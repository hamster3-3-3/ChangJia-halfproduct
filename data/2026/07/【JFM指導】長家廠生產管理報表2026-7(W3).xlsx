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7月半成品及日報繳交處\"/>
    </mc:Choice>
  </mc:AlternateContent>
  <xr:revisionPtr revIDLastSave="0" documentId="13_ncr:1_{A57F1FEE-A460-4690-B201-17EBBB51B090}" xr6:coauthVersionLast="47" xr6:coauthVersionMax="47" xr10:uidLastSave="{00000000-0000-0000-0000-000000000000}"/>
  <bookViews>
    <workbookView xWindow="-120" yWindow="-120" windowWidth="29040" windowHeight="15720" tabRatio="780" activeTab="1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日別報廢率總表 " sheetId="56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填寫舉例" sheetId="1" r:id="rId18"/>
    <sheet name="鮮食品群番" sheetId="38" r:id="rId19"/>
    <sheet name="07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9" i="48" l="1"/>
  <c r="K69" i="48"/>
  <c r="I18" i="5"/>
  <c r="I19" i="5"/>
  <c r="I20" i="5"/>
  <c r="I21" i="5"/>
  <c r="I22" i="5"/>
  <c r="I23" i="5"/>
  <c r="I24" i="5"/>
  <c r="I6" i="57"/>
  <c r="AV49" i="49"/>
  <c r="AW49" i="49" s="1"/>
  <c r="AV50" i="49"/>
  <c r="AV47" i="49"/>
  <c r="AV54" i="48"/>
  <c r="AV55" i="48"/>
  <c r="AW64" i="48" s="1"/>
  <c r="AW55" i="48"/>
  <c r="AV56" i="48"/>
  <c r="AW56" i="48" s="1"/>
  <c r="AV57" i="48"/>
  <c r="AW57" i="48"/>
  <c r="AV58" i="48"/>
  <c r="AW58" i="48" s="1"/>
  <c r="AV59" i="48"/>
  <c r="AW59" i="48"/>
  <c r="AV60" i="48"/>
  <c r="AV61" i="48"/>
  <c r="AV62" i="48"/>
  <c r="AV63" i="48"/>
  <c r="AW63" i="48"/>
  <c r="AV64" i="48"/>
  <c r="AV65" i="48"/>
  <c r="AW65" i="48" s="1"/>
  <c r="AV66" i="48"/>
  <c r="AW66" i="48"/>
  <c r="AV67" i="48"/>
  <c r="AW67" i="48" s="1"/>
  <c r="AV68" i="48"/>
  <c r="AV69" i="48"/>
  <c r="AW69" i="48" l="1"/>
  <c r="AW61" i="48"/>
  <c r="AW60" i="48"/>
  <c r="B10" i="40" l="1"/>
  <c r="B9" i="40"/>
  <c r="B5" i="40"/>
  <c r="G29" i="47" l="1"/>
  <c r="G28" i="47"/>
  <c r="G27" i="47"/>
  <c r="G24" i="47"/>
  <c r="G23" i="47"/>
  <c r="G22" i="47"/>
  <c r="G21" i="47"/>
  <c r="G20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8" i="1"/>
  <c r="V48" i="1" s="1"/>
  <c r="X47" i="1"/>
  <c r="X46" i="1"/>
  <c r="X45" i="1"/>
  <c r="X44" i="1"/>
  <c r="X43" i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34" i="1" s="1"/>
  <c r="V34" i="1" s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D11" i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D9" i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O14" i="1" s="1"/>
  <c r="E6" i="1"/>
  <c r="D6" i="1"/>
  <c r="K36" i="56"/>
  <c r="L36" i="56" s="1"/>
  <c r="I36" i="56"/>
  <c r="G36" i="56"/>
  <c r="H36" i="56" s="1"/>
  <c r="E36" i="56"/>
  <c r="C36" i="56"/>
  <c r="B36" i="56"/>
  <c r="K35" i="56"/>
  <c r="I35" i="56"/>
  <c r="J35" i="56" s="1"/>
  <c r="G35" i="56"/>
  <c r="E35" i="56"/>
  <c r="C35" i="56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L25" i="56"/>
  <c r="J25" i="56"/>
  <c r="H25" i="56"/>
  <c r="F25" i="56"/>
  <c r="D25" i="56"/>
  <c r="O24" i="56"/>
  <c r="N24" i="56"/>
  <c r="M24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L18" i="56"/>
  <c r="J18" i="56"/>
  <c r="H18" i="56"/>
  <c r="F18" i="56"/>
  <c r="D18" i="56"/>
  <c r="O17" i="56"/>
  <c r="N17" i="56"/>
  <c r="M18" i="5" s="1"/>
  <c r="M17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L11" i="56"/>
  <c r="J11" i="56"/>
  <c r="H11" i="56"/>
  <c r="F11" i="56"/>
  <c r="D11" i="56"/>
  <c r="O10" i="56"/>
  <c r="N10" i="56"/>
  <c r="M10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O4" i="56"/>
  <c r="N4" i="56"/>
  <c r="M4" i="56"/>
  <c r="Q4" i="56" s="1"/>
  <c r="L4" i="56"/>
  <c r="J4" i="56"/>
  <c r="H4" i="56"/>
  <c r="F4" i="56"/>
  <c r="D4" i="56"/>
  <c r="U24" i="55"/>
  <c r="T24" i="55"/>
  <c r="S24" i="55"/>
  <c r="R24" i="55"/>
  <c r="P24" i="55"/>
  <c r="O24" i="55"/>
  <c r="N24" i="55"/>
  <c r="L24" i="55"/>
  <c r="J24" i="55"/>
  <c r="F24" i="55"/>
  <c r="S23" i="55"/>
  <c r="R23" i="55"/>
  <c r="P23" i="55"/>
  <c r="O23" i="55"/>
  <c r="T23" i="55" s="1"/>
  <c r="N23" i="55"/>
  <c r="L23" i="55"/>
  <c r="J23" i="55"/>
  <c r="U22" i="55"/>
  <c r="T22" i="55"/>
  <c r="F22" i="55" s="1"/>
  <c r="S22" i="55"/>
  <c r="R22" i="55"/>
  <c r="P22" i="55"/>
  <c r="O22" i="55"/>
  <c r="N22" i="55"/>
  <c r="L22" i="55"/>
  <c r="J22" i="55"/>
  <c r="S21" i="55"/>
  <c r="R21" i="55"/>
  <c r="P21" i="55"/>
  <c r="O21" i="55"/>
  <c r="T21" i="55" s="1"/>
  <c r="N21" i="55"/>
  <c r="L21" i="55"/>
  <c r="J21" i="55"/>
  <c r="S20" i="55"/>
  <c r="R20" i="55"/>
  <c r="P20" i="55"/>
  <c r="O20" i="55"/>
  <c r="T20" i="55" s="1"/>
  <c r="N20" i="55"/>
  <c r="L20" i="55"/>
  <c r="J20" i="55"/>
  <c r="U19" i="55"/>
  <c r="T19" i="55"/>
  <c r="F19" i="55" s="1"/>
  <c r="S19" i="55"/>
  <c r="R19" i="55"/>
  <c r="P19" i="55"/>
  <c r="O19" i="55"/>
  <c r="N19" i="55"/>
  <c r="L19" i="55"/>
  <c r="J19" i="55"/>
  <c r="U18" i="55"/>
  <c r="T18" i="55"/>
  <c r="S18" i="55"/>
  <c r="R18" i="55"/>
  <c r="P18" i="55"/>
  <c r="O18" i="55"/>
  <c r="N18" i="55"/>
  <c r="L18" i="55"/>
  <c r="J18" i="55"/>
  <c r="F18" i="55"/>
  <c r="S17" i="55"/>
  <c r="R17" i="55"/>
  <c r="P17" i="55"/>
  <c r="O17" i="55"/>
  <c r="T17" i="55" s="1"/>
  <c r="N17" i="55"/>
  <c r="L17" i="55"/>
  <c r="J17" i="55"/>
  <c r="U16" i="55"/>
  <c r="T16" i="55"/>
  <c r="F16" i="55" s="1"/>
  <c r="S16" i="55"/>
  <c r="R16" i="55"/>
  <c r="P16" i="55"/>
  <c r="O16" i="55"/>
  <c r="N16" i="55"/>
  <c r="L16" i="55"/>
  <c r="J16" i="55"/>
  <c r="S15" i="55"/>
  <c r="R15" i="55"/>
  <c r="P15" i="55"/>
  <c r="O15" i="55"/>
  <c r="T15" i="55" s="1"/>
  <c r="N15" i="55"/>
  <c r="L15" i="55"/>
  <c r="J15" i="55"/>
  <c r="S14" i="55"/>
  <c r="R14" i="55"/>
  <c r="P14" i="55"/>
  <c r="O14" i="55"/>
  <c r="T14" i="55" s="1"/>
  <c r="N14" i="55"/>
  <c r="L14" i="55"/>
  <c r="J14" i="55"/>
  <c r="U13" i="55"/>
  <c r="T13" i="55"/>
  <c r="F13" i="55" s="1"/>
  <c r="AE8" i="55" s="1"/>
  <c r="H10" i="40" s="1"/>
  <c r="S13" i="55"/>
  <c r="R13" i="55"/>
  <c r="P13" i="55"/>
  <c r="O13" i="55"/>
  <c r="N13" i="55"/>
  <c r="L13" i="55"/>
  <c r="J13" i="55"/>
  <c r="U12" i="55"/>
  <c r="T12" i="55"/>
  <c r="S12" i="55"/>
  <c r="R12" i="55"/>
  <c r="P12" i="55"/>
  <c r="O12" i="55"/>
  <c r="N12" i="55"/>
  <c r="L12" i="55"/>
  <c r="J12" i="55"/>
  <c r="F12" i="55"/>
  <c r="S11" i="55"/>
  <c r="R11" i="55"/>
  <c r="P11" i="55"/>
  <c r="O11" i="55"/>
  <c r="T11" i="55" s="1"/>
  <c r="N11" i="55"/>
  <c r="L11" i="55"/>
  <c r="J11" i="55"/>
  <c r="U10" i="55"/>
  <c r="T10" i="55"/>
  <c r="F10" i="55" s="1"/>
  <c r="S10" i="55"/>
  <c r="R10" i="55"/>
  <c r="P10" i="55"/>
  <c r="O10" i="55"/>
  <c r="N10" i="55"/>
  <c r="L10" i="55"/>
  <c r="J10" i="55"/>
  <c r="S9" i="55"/>
  <c r="R9" i="55"/>
  <c r="O9" i="55"/>
  <c r="T9" i="55" s="1"/>
  <c r="N9" i="55"/>
  <c r="L9" i="55"/>
  <c r="J9" i="55"/>
  <c r="AH8" i="55"/>
  <c r="F15" i="40" s="1"/>
  <c r="AF8" i="55"/>
  <c r="J10" i="40" s="1"/>
  <c r="S8" i="55"/>
  <c r="R8" i="55"/>
  <c r="O8" i="55"/>
  <c r="P8" i="55" s="1"/>
  <c r="N8" i="55"/>
  <c r="L8" i="55"/>
  <c r="J8" i="55"/>
  <c r="AJ7" i="55"/>
  <c r="AJ9" i="55" s="1"/>
  <c r="K15" i="40" s="1"/>
  <c r="AI7" i="55"/>
  <c r="AI9" i="55" s="1"/>
  <c r="I15" i="40" s="1"/>
  <c r="AH7" i="55"/>
  <c r="AH9" i="55" s="1"/>
  <c r="G15" i="40" s="1"/>
  <c r="AG7" i="55"/>
  <c r="AG9" i="55" s="1"/>
  <c r="M10" i="40" s="1"/>
  <c r="AF7" i="55"/>
  <c r="AF9" i="55" s="1"/>
  <c r="K10" i="40" s="1"/>
  <c r="AE7" i="55"/>
  <c r="AE9" i="55" s="1"/>
  <c r="I10" i="40" s="1"/>
  <c r="AD7" i="55"/>
  <c r="AD9" i="55" s="1"/>
  <c r="G10" i="40" s="1"/>
  <c r="AC7" i="55"/>
  <c r="S7" i="55"/>
  <c r="R7" i="55"/>
  <c r="O7" i="55"/>
  <c r="T7" i="55" s="1"/>
  <c r="N7" i="55"/>
  <c r="L7" i="55"/>
  <c r="J7" i="55"/>
  <c r="T6" i="55"/>
  <c r="U6" i="55" s="1"/>
  <c r="S6" i="55"/>
  <c r="R6" i="55"/>
  <c r="P6" i="55"/>
  <c r="O6" i="55"/>
  <c r="N6" i="55"/>
  <c r="L6" i="55"/>
  <c r="J6" i="55"/>
  <c r="S5" i="55"/>
  <c r="R5" i="55"/>
  <c r="P5" i="55"/>
  <c r="O5" i="55"/>
  <c r="T5" i="55" s="1"/>
  <c r="N5" i="55"/>
  <c r="L5" i="55"/>
  <c r="J5" i="55"/>
  <c r="R24" i="52"/>
  <c r="O24" i="52"/>
  <c r="S24" i="52" s="1"/>
  <c r="N24" i="52"/>
  <c r="L24" i="52"/>
  <c r="J24" i="52"/>
  <c r="F24" i="52"/>
  <c r="R23" i="52"/>
  <c r="O23" i="52"/>
  <c r="P23" i="52" s="1"/>
  <c r="N23" i="52"/>
  <c r="L23" i="52"/>
  <c r="J23" i="52"/>
  <c r="F23" i="52"/>
  <c r="S22" i="52"/>
  <c r="U22" i="52" s="1"/>
  <c r="R22" i="52"/>
  <c r="O22" i="52"/>
  <c r="P22" i="52" s="1"/>
  <c r="N22" i="52"/>
  <c r="L22" i="52"/>
  <c r="J22" i="52"/>
  <c r="F22" i="52"/>
  <c r="R21" i="52"/>
  <c r="O21" i="52"/>
  <c r="S21" i="52" s="1"/>
  <c r="N21" i="52"/>
  <c r="L21" i="52"/>
  <c r="J21" i="52"/>
  <c r="F21" i="52"/>
  <c r="T20" i="52"/>
  <c r="S20" i="52"/>
  <c r="U20" i="52" s="1"/>
  <c r="R20" i="52"/>
  <c r="P20" i="52"/>
  <c r="O20" i="52"/>
  <c r="N20" i="52"/>
  <c r="L20" i="52"/>
  <c r="J20" i="52"/>
  <c r="F20" i="52"/>
  <c r="R19" i="52"/>
  <c r="P19" i="52"/>
  <c r="O19" i="52"/>
  <c r="S19" i="52" s="1"/>
  <c r="N19" i="52"/>
  <c r="L19" i="52"/>
  <c r="J19" i="52"/>
  <c r="F19" i="52"/>
  <c r="R18" i="52"/>
  <c r="O18" i="52"/>
  <c r="S18" i="52" s="1"/>
  <c r="N18" i="52"/>
  <c r="L18" i="52"/>
  <c r="J18" i="52"/>
  <c r="F18" i="52"/>
  <c r="R17" i="52"/>
  <c r="O17" i="52"/>
  <c r="P17" i="52" s="1"/>
  <c r="N17" i="52"/>
  <c r="L17" i="52"/>
  <c r="J17" i="52"/>
  <c r="F17" i="52"/>
  <c r="S16" i="52"/>
  <c r="U16" i="52" s="1"/>
  <c r="R16" i="52"/>
  <c r="O16" i="52"/>
  <c r="P16" i="52" s="1"/>
  <c r="N16" i="52"/>
  <c r="L16" i="52"/>
  <c r="J16" i="52"/>
  <c r="F16" i="52"/>
  <c r="R15" i="52"/>
  <c r="O15" i="52"/>
  <c r="S15" i="52" s="1"/>
  <c r="N15" i="52"/>
  <c r="L15" i="52"/>
  <c r="J15" i="52"/>
  <c r="F15" i="52"/>
  <c r="T14" i="52"/>
  <c r="S14" i="52"/>
  <c r="U14" i="52" s="1"/>
  <c r="R14" i="52"/>
  <c r="P14" i="52"/>
  <c r="O14" i="52"/>
  <c r="N14" i="52"/>
  <c r="L14" i="52"/>
  <c r="J14" i="52"/>
  <c r="F14" i="52"/>
  <c r="R13" i="52"/>
  <c r="P13" i="52"/>
  <c r="O13" i="52"/>
  <c r="S13" i="52" s="1"/>
  <c r="N13" i="52"/>
  <c r="L13" i="52"/>
  <c r="J13" i="52"/>
  <c r="F13" i="52"/>
  <c r="R12" i="52"/>
  <c r="O12" i="52"/>
  <c r="S12" i="52" s="1"/>
  <c r="N12" i="52"/>
  <c r="L12" i="52"/>
  <c r="J12" i="52"/>
  <c r="F12" i="52"/>
  <c r="AE8" i="52" s="1"/>
  <c r="H9" i="40" s="1"/>
  <c r="R11" i="52"/>
  <c r="O11" i="52"/>
  <c r="P11" i="52" s="1"/>
  <c r="N11" i="52"/>
  <c r="L11" i="52"/>
  <c r="J11" i="52"/>
  <c r="F11" i="52"/>
  <c r="S10" i="52"/>
  <c r="U10" i="52" s="1"/>
  <c r="R10" i="52"/>
  <c r="O10" i="52"/>
  <c r="P10" i="52" s="1"/>
  <c r="N10" i="52"/>
  <c r="L10" i="52"/>
  <c r="J10" i="52"/>
  <c r="F10" i="52"/>
  <c r="R9" i="52"/>
  <c r="P9" i="52"/>
  <c r="O9" i="52"/>
  <c r="S9" i="52" s="1"/>
  <c r="N9" i="52"/>
  <c r="L9" i="52"/>
  <c r="J9" i="52"/>
  <c r="F9" i="52"/>
  <c r="AG8" i="52" s="1"/>
  <c r="L9" i="40" s="1"/>
  <c r="AI8" i="52"/>
  <c r="AH8" i="52"/>
  <c r="F14" i="40" s="1"/>
  <c r="AF8" i="52"/>
  <c r="J9" i="40" s="1"/>
  <c r="R8" i="52"/>
  <c r="O8" i="52"/>
  <c r="S8" i="52" s="1"/>
  <c r="N8" i="52"/>
  <c r="L8" i="52"/>
  <c r="J8" i="52"/>
  <c r="F8" i="52"/>
  <c r="AJ7" i="52"/>
  <c r="AJ9" i="52" s="1"/>
  <c r="K14" i="40" s="1"/>
  <c r="AI7" i="52"/>
  <c r="AI9" i="52" s="1"/>
  <c r="I14" i="40" s="1"/>
  <c r="AH7" i="52"/>
  <c r="AH9" i="52" s="1"/>
  <c r="G14" i="40" s="1"/>
  <c r="AG7" i="52"/>
  <c r="AF7" i="52"/>
  <c r="AE7" i="52"/>
  <c r="AD7" i="52"/>
  <c r="AD9" i="52" s="1"/>
  <c r="G9" i="40" s="1"/>
  <c r="AC7" i="52"/>
  <c r="R7" i="52"/>
  <c r="O7" i="52"/>
  <c r="S7" i="52" s="1"/>
  <c r="N7" i="52"/>
  <c r="L7" i="52"/>
  <c r="J7" i="52"/>
  <c r="F7" i="52"/>
  <c r="AJ8" i="52" s="1"/>
  <c r="J14" i="40" s="1"/>
  <c r="R6" i="52"/>
  <c r="P6" i="52"/>
  <c r="O6" i="52"/>
  <c r="S6" i="52" s="1"/>
  <c r="N6" i="52"/>
  <c r="L6" i="52"/>
  <c r="J6" i="52"/>
  <c r="F6" i="52"/>
  <c r="S5" i="52"/>
  <c r="U5" i="52" s="1"/>
  <c r="R5" i="52"/>
  <c r="O5" i="52"/>
  <c r="P5" i="52" s="1"/>
  <c r="N5" i="52"/>
  <c r="L5" i="52"/>
  <c r="J5" i="52"/>
  <c r="F5" i="52"/>
  <c r="L20" i="21"/>
  <c r="L19" i="21"/>
  <c r="L18" i="21"/>
  <c r="L17" i="21"/>
  <c r="L16" i="21"/>
  <c r="L13" i="21"/>
  <c r="L12" i="21"/>
  <c r="L11" i="21"/>
  <c r="L10" i="21"/>
  <c r="L9" i="21"/>
  <c r="M38" i="51"/>
  <c r="M26" i="51"/>
  <c r="M25" i="51"/>
  <c r="M21" i="51"/>
  <c r="M20" i="51"/>
  <c r="M19" i="51"/>
  <c r="M18" i="51"/>
  <c r="M17" i="51"/>
  <c r="M22" i="51" s="1"/>
  <c r="K22" i="51" s="1"/>
  <c r="M13" i="51"/>
  <c r="M12" i="51"/>
  <c r="M11" i="51"/>
  <c r="M10" i="51"/>
  <c r="M9" i="51"/>
  <c r="M29" i="50"/>
  <c r="M28" i="50"/>
  <c r="M27" i="50"/>
  <c r="M26" i="50"/>
  <c r="M25" i="50"/>
  <c r="M30" i="50" s="1"/>
  <c r="K30" i="50" s="1"/>
  <c r="M21" i="50"/>
  <c r="M20" i="50"/>
  <c r="M19" i="50"/>
  <c r="M22" i="50" s="1"/>
  <c r="K22" i="50" s="1"/>
  <c r="M18" i="50"/>
  <c r="M17" i="50"/>
  <c r="M13" i="50"/>
  <c r="M12" i="50"/>
  <c r="M11" i="50"/>
  <c r="M10" i="50"/>
  <c r="M9" i="50"/>
  <c r="M30" i="20"/>
  <c r="K30" i="20"/>
  <c r="M26" i="20"/>
  <c r="M25" i="20"/>
  <c r="M21" i="20"/>
  <c r="M20" i="20"/>
  <c r="M19" i="20"/>
  <c r="M18" i="20"/>
  <c r="M17" i="20"/>
  <c r="M22" i="20" s="1"/>
  <c r="K22" i="20" s="1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22" i="19" s="1"/>
  <c r="K22" i="19" s="1"/>
  <c r="M13" i="19"/>
  <c r="M12" i="19"/>
  <c r="M11" i="19"/>
  <c r="M10" i="19"/>
  <c r="M9" i="19"/>
  <c r="H14" i="40"/>
  <c r="K38" i="51"/>
  <c r="C9" i="40"/>
  <c r="R139" i="48"/>
  <c r="S139" i="48" s="1"/>
  <c r="J139" i="48"/>
  <c r="I139" i="48"/>
  <c r="F139" i="48"/>
  <c r="G139" i="48" s="1"/>
  <c r="E139" i="48"/>
  <c r="R138" i="48"/>
  <c r="S138" i="48" s="1"/>
  <c r="K138" i="48"/>
  <c r="M138" i="48" s="1"/>
  <c r="J138" i="48"/>
  <c r="I138" i="48"/>
  <c r="F138" i="48"/>
  <c r="G138" i="48" s="1"/>
  <c r="E138" i="48"/>
  <c r="AV137" i="48"/>
  <c r="AW137" i="48" s="1"/>
  <c r="AR137" i="48"/>
  <c r="AQ137" i="48"/>
  <c r="AM137" i="48"/>
  <c r="AL137" i="48"/>
  <c r="AH137" i="48"/>
  <c r="AG137" i="48"/>
  <c r="AB137" i="48"/>
  <c r="AC137" i="48" s="1"/>
  <c r="W137" i="48"/>
  <c r="X137" i="48" s="1"/>
  <c r="R137" i="48"/>
  <c r="S137" i="48" s="1"/>
  <c r="J137" i="48"/>
  <c r="I137" i="48"/>
  <c r="G137" i="48"/>
  <c r="F137" i="48"/>
  <c r="E137" i="48"/>
  <c r="AV136" i="48"/>
  <c r="AW136" i="48" s="1"/>
  <c r="AR136" i="48"/>
  <c r="AQ136" i="48"/>
  <c r="AL136" i="48"/>
  <c r="AM136" i="48" s="1"/>
  <c r="AG136" i="48"/>
  <c r="AH136" i="48" s="1"/>
  <c r="AB136" i="48"/>
  <c r="AC136" i="48" s="1"/>
  <c r="W136" i="48"/>
  <c r="X136" i="48" s="1"/>
  <c r="R136" i="48"/>
  <c r="K136" i="48" s="1"/>
  <c r="M136" i="48"/>
  <c r="J136" i="48"/>
  <c r="I136" i="48"/>
  <c r="F136" i="48"/>
  <c r="G136" i="48" s="1"/>
  <c r="E136" i="48"/>
  <c r="AW135" i="48"/>
  <c r="AV135" i="48"/>
  <c r="AR135" i="48"/>
  <c r="AQ135" i="48"/>
  <c r="AL135" i="48"/>
  <c r="AM135" i="48" s="1"/>
  <c r="AG135" i="48"/>
  <c r="AH135" i="48" s="1"/>
  <c r="AC135" i="48"/>
  <c r="AB135" i="48"/>
  <c r="X135" i="48"/>
  <c r="W135" i="48"/>
  <c r="G135" i="48"/>
  <c r="F135" i="48"/>
  <c r="E135" i="48"/>
  <c r="AV134" i="48"/>
  <c r="AW134" i="48" s="1"/>
  <c r="AR134" i="48"/>
  <c r="AQ134" i="48"/>
  <c r="AL134" i="48"/>
  <c r="AM134" i="48" s="1"/>
  <c r="AG134" i="48"/>
  <c r="AH134" i="48" s="1"/>
  <c r="AB134" i="48"/>
  <c r="AC134" i="48" s="1"/>
  <c r="W134" i="48"/>
  <c r="X134" i="48" s="1"/>
  <c r="R134" i="48"/>
  <c r="K134" i="48" s="1"/>
  <c r="M134" i="48"/>
  <c r="J134" i="48"/>
  <c r="I134" i="48"/>
  <c r="F134" i="48"/>
  <c r="G134" i="48" s="1"/>
  <c r="E134" i="48"/>
  <c r="AV133" i="48"/>
  <c r="AW133" i="48" s="1"/>
  <c r="AR133" i="48"/>
  <c r="AQ133" i="48"/>
  <c r="AL133" i="48"/>
  <c r="AM133" i="48" s="1"/>
  <c r="AG133" i="48"/>
  <c r="AH133" i="48" s="1"/>
  <c r="AC133" i="48"/>
  <c r="AB133" i="48"/>
  <c r="X133" i="48"/>
  <c r="W133" i="48"/>
  <c r="S133" i="48"/>
  <c r="R133" i="48"/>
  <c r="K133" i="48" s="1"/>
  <c r="M133" i="48"/>
  <c r="J133" i="48"/>
  <c r="I133" i="48"/>
  <c r="F133" i="48"/>
  <c r="E133" i="48"/>
  <c r="AV132" i="48"/>
  <c r="AW132" i="48" s="1"/>
  <c r="AQ132" i="48"/>
  <c r="AR132" i="48" s="1"/>
  <c r="AL132" i="48"/>
  <c r="AM132" i="48" s="1"/>
  <c r="AG132" i="48"/>
  <c r="AH132" i="48" s="1"/>
  <c r="AC132" i="48"/>
  <c r="AB132" i="48"/>
  <c r="W132" i="48"/>
  <c r="X132" i="48" s="1"/>
  <c r="R132" i="48"/>
  <c r="S132" i="48" s="1"/>
  <c r="K132" i="48"/>
  <c r="M132" i="48" s="1"/>
  <c r="J132" i="48"/>
  <c r="I132" i="48"/>
  <c r="F132" i="48"/>
  <c r="G132" i="48" s="1"/>
  <c r="E132" i="48"/>
  <c r="AV131" i="48"/>
  <c r="AW131" i="48" s="1"/>
  <c r="AR131" i="48"/>
  <c r="AQ131" i="48"/>
  <c r="AM131" i="48"/>
  <c r="AL131" i="48"/>
  <c r="AG131" i="48"/>
  <c r="AH131" i="48" s="1"/>
  <c r="AC131" i="48"/>
  <c r="AB131" i="48"/>
  <c r="W131" i="48"/>
  <c r="X131" i="48" s="1"/>
  <c r="R131" i="48"/>
  <c r="S131" i="48" s="1"/>
  <c r="J131" i="48"/>
  <c r="I131" i="48"/>
  <c r="F131" i="48"/>
  <c r="E131" i="48"/>
  <c r="G131" i="48" s="1"/>
  <c r="AV130" i="48"/>
  <c r="AW130" i="48" s="1"/>
  <c r="AR130" i="48"/>
  <c r="AQ130" i="48"/>
  <c r="AL130" i="48"/>
  <c r="AM130" i="48" s="1"/>
  <c r="AG130" i="48"/>
  <c r="AH130" i="48" s="1"/>
  <c r="AB130" i="48"/>
  <c r="AC130" i="48" s="1"/>
  <c r="W130" i="48"/>
  <c r="X130" i="48" s="1"/>
  <c r="R130" i="48"/>
  <c r="J130" i="48"/>
  <c r="I130" i="48"/>
  <c r="F130" i="48"/>
  <c r="G130" i="48" s="1"/>
  <c r="E130" i="48"/>
  <c r="AV129" i="48"/>
  <c r="AW129" i="48" s="1"/>
  <c r="AR129" i="48"/>
  <c r="AQ129" i="48"/>
  <c r="AL129" i="48"/>
  <c r="AM129" i="48" s="1"/>
  <c r="AG129" i="48"/>
  <c r="AH129" i="48" s="1"/>
  <c r="AC129" i="48"/>
  <c r="AB129" i="48"/>
  <c r="X129" i="48"/>
  <c r="W129" i="48"/>
  <c r="S129" i="48"/>
  <c r="R129" i="48"/>
  <c r="K129" i="48" s="1"/>
  <c r="M129" i="48"/>
  <c r="J129" i="48"/>
  <c r="I129" i="48"/>
  <c r="F129" i="48"/>
  <c r="E129" i="48"/>
  <c r="AV128" i="48"/>
  <c r="AW128" i="48" s="1"/>
  <c r="AQ128" i="48"/>
  <c r="AR128" i="48" s="1"/>
  <c r="AL128" i="48"/>
  <c r="AM128" i="48" s="1"/>
  <c r="AG128" i="48"/>
  <c r="AH128" i="48" s="1"/>
  <c r="AC128" i="48"/>
  <c r="AB128" i="48"/>
  <c r="W128" i="48"/>
  <c r="X128" i="48" s="1"/>
  <c r="R128" i="48"/>
  <c r="S128" i="48" s="1"/>
  <c r="K128" i="48"/>
  <c r="M128" i="48" s="1"/>
  <c r="J128" i="48"/>
  <c r="I128" i="48"/>
  <c r="F128" i="48"/>
  <c r="G128" i="48" s="1"/>
  <c r="E128" i="48"/>
  <c r="AV127" i="48"/>
  <c r="AW127" i="48" s="1"/>
  <c r="AR127" i="48"/>
  <c r="AQ127" i="48"/>
  <c r="AM127" i="48"/>
  <c r="AL127" i="48"/>
  <c r="AH127" i="48"/>
  <c r="AG127" i="48"/>
  <c r="AC127" i="48"/>
  <c r="AB127" i="48"/>
  <c r="W127" i="48"/>
  <c r="X127" i="48" s="1"/>
  <c r="R127" i="48"/>
  <c r="J127" i="48"/>
  <c r="I127" i="48"/>
  <c r="F127" i="48"/>
  <c r="G127" i="48" s="1"/>
  <c r="E127" i="48"/>
  <c r="AV126" i="48"/>
  <c r="AW126" i="48" s="1"/>
  <c r="AR126" i="48"/>
  <c r="AQ126" i="48"/>
  <c r="AL126" i="48"/>
  <c r="AM126" i="48" s="1"/>
  <c r="AG126" i="48"/>
  <c r="AH126" i="48" s="1"/>
  <c r="AB126" i="48"/>
  <c r="AC126" i="48" s="1"/>
  <c r="W126" i="48"/>
  <c r="X126" i="48" s="1"/>
  <c r="R126" i="48"/>
  <c r="J126" i="48"/>
  <c r="I126" i="48"/>
  <c r="F126" i="48"/>
  <c r="G126" i="48" s="1"/>
  <c r="E126" i="48"/>
  <c r="AV125" i="48"/>
  <c r="AW125" i="48" s="1"/>
  <c r="AR125" i="48"/>
  <c r="AQ125" i="48"/>
  <c r="AL125" i="48"/>
  <c r="AM125" i="48" s="1"/>
  <c r="AG125" i="48"/>
  <c r="AH125" i="48" s="1"/>
  <c r="AC125" i="48"/>
  <c r="AB125" i="48"/>
  <c r="X125" i="48"/>
  <c r="W125" i="48"/>
  <c r="S125" i="48"/>
  <c r="R125" i="48"/>
  <c r="K125" i="48" s="1"/>
  <c r="M125" i="48"/>
  <c r="J125" i="48"/>
  <c r="I125" i="48"/>
  <c r="F125" i="48"/>
  <c r="E125" i="48"/>
  <c r="AV124" i="48"/>
  <c r="AW124" i="48" s="1"/>
  <c r="AQ124" i="48"/>
  <c r="AR124" i="48" s="1"/>
  <c r="AM124" i="48"/>
  <c r="AL124" i="48"/>
  <c r="AG124" i="48"/>
  <c r="AH124" i="48" s="1"/>
  <c r="AC124" i="48"/>
  <c r="AB124" i="48"/>
  <c r="X124" i="48"/>
  <c r="W124" i="48"/>
  <c r="R124" i="48"/>
  <c r="S124" i="48" s="1"/>
  <c r="K124" i="48"/>
  <c r="M124" i="48" s="1"/>
  <c r="J124" i="48"/>
  <c r="I124" i="48"/>
  <c r="F124" i="48"/>
  <c r="E124" i="48"/>
  <c r="AV123" i="48"/>
  <c r="AW123" i="48" s="1"/>
  <c r="AR123" i="48"/>
  <c r="AQ123" i="48"/>
  <c r="AM123" i="48"/>
  <c r="AL123" i="48"/>
  <c r="AG123" i="48"/>
  <c r="AH123" i="48" s="1"/>
  <c r="AC123" i="48"/>
  <c r="AB123" i="48"/>
  <c r="W123" i="48"/>
  <c r="X123" i="48" s="1"/>
  <c r="R123" i="48"/>
  <c r="J123" i="48"/>
  <c r="I123" i="48"/>
  <c r="F123" i="48"/>
  <c r="G123" i="48" s="1"/>
  <c r="E123" i="48"/>
  <c r="AV122" i="48"/>
  <c r="AX122" i="48" s="1"/>
  <c r="AR122" i="48"/>
  <c r="AQ122" i="48"/>
  <c r="AS122" i="48" s="1"/>
  <c r="AM122" i="48"/>
  <c r="AL122" i="48"/>
  <c r="AN122" i="48" s="1"/>
  <c r="AG122" i="48"/>
  <c r="AI122" i="48" s="1"/>
  <c r="AB122" i="48"/>
  <c r="AD122" i="48" s="1"/>
  <c r="W122" i="48"/>
  <c r="Y122" i="48" s="1"/>
  <c r="S122" i="48"/>
  <c r="R122" i="48"/>
  <c r="T122" i="48" s="1"/>
  <c r="K122" i="48"/>
  <c r="M122" i="48" s="1"/>
  <c r="J122" i="48"/>
  <c r="I122" i="48"/>
  <c r="F122" i="48"/>
  <c r="E122" i="48"/>
  <c r="AV115" i="48"/>
  <c r="AW115" i="48" s="1"/>
  <c r="AQ115" i="48"/>
  <c r="AR115" i="48" s="1"/>
  <c r="AL115" i="48"/>
  <c r="AM115" i="48" s="1"/>
  <c r="AG115" i="48"/>
  <c r="AH115" i="48" s="1"/>
  <c r="AC115" i="48"/>
  <c r="AB115" i="48"/>
  <c r="W115" i="48"/>
  <c r="X115" i="48" s="1"/>
  <c r="R115" i="48"/>
  <c r="S115" i="48" s="1"/>
  <c r="J115" i="48"/>
  <c r="I115" i="48"/>
  <c r="F115" i="48"/>
  <c r="E115" i="48"/>
  <c r="AV114" i="48"/>
  <c r="AW114" i="48" s="1"/>
  <c r="AR114" i="48"/>
  <c r="AQ114" i="48"/>
  <c r="AM114" i="48"/>
  <c r="AL114" i="48"/>
  <c r="AG114" i="48"/>
  <c r="AH114" i="48" s="1"/>
  <c r="AC114" i="48"/>
  <c r="AB114" i="48"/>
  <c r="W114" i="48"/>
  <c r="X114" i="48" s="1"/>
  <c r="R114" i="48"/>
  <c r="J114" i="48"/>
  <c r="I114" i="48"/>
  <c r="G114" i="48"/>
  <c r="F114" i="48"/>
  <c r="E114" i="48"/>
  <c r="AV113" i="48"/>
  <c r="AW113" i="48" s="1"/>
  <c r="AR113" i="48"/>
  <c r="AQ113" i="48"/>
  <c r="AL113" i="48"/>
  <c r="AM113" i="48" s="1"/>
  <c r="AG113" i="48"/>
  <c r="AH113" i="48" s="1"/>
  <c r="AB113" i="48"/>
  <c r="AC113" i="48" s="1"/>
  <c r="W113" i="48"/>
  <c r="X113" i="48" s="1"/>
  <c r="R113" i="48"/>
  <c r="J113" i="48"/>
  <c r="I113" i="48"/>
  <c r="F113" i="48"/>
  <c r="G113" i="48" s="1"/>
  <c r="E113" i="48"/>
  <c r="AV112" i="48"/>
  <c r="AW112" i="48" s="1"/>
  <c r="AR112" i="48"/>
  <c r="AQ112" i="48"/>
  <c r="AL112" i="48"/>
  <c r="AM112" i="48" s="1"/>
  <c r="AG112" i="48"/>
  <c r="AH112" i="48" s="1"/>
  <c r="AC112" i="48"/>
  <c r="AB112" i="48"/>
  <c r="X112" i="48"/>
  <c r="W112" i="48"/>
  <c r="S112" i="48"/>
  <c r="R112" i="48"/>
  <c r="K112" i="48" s="1"/>
  <c r="M112" i="48"/>
  <c r="J112" i="48"/>
  <c r="I112" i="48"/>
  <c r="F112" i="48"/>
  <c r="E112" i="48"/>
  <c r="AV111" i="48"/>
  <c r="AW111" i="48" s="1"/>
  <c r="AQ111" i="48"/>
  <c r="AR111" i="48" s="1"/>
  <c r="AL111" i="48"/>
  <c r="AM111" i="48" s="1"/>
  <c r="AG111" i="48"/>
  <c r="AH111" i="48" s="1"/>
  <c r="AC111" i="48"/>
  <c r="AB111" i="48"/>
  <c r="W111" i="48"/>
  <c r="X111" i="48" s="1"/>
  <c r="R111" i="48"/>
  <c r="S111" i="48" s="1"/>
  <c r="J111" i="48"/>
  <c r="I111" i="48"/>
  <c r="F111" i="48"/>
  <c r="G111" i="48" s="1"/>
  <c r="AW110" i="48"/>
  <c r="AV110" i="48"/>
  <c r="AQ110" i="48"/>
  <c r="AR110" i="48" s="1"/>
  <c r="AL110" i="48"/>
  <c r="AM110" i="48" s="1"/>
  <c r="AG110" i="48"/>
  <c r="AH110" i="48" s="1"/>
  <c r="AB110" i="48"/>
  <c r="AC110" i="48" s="1"/>
  <c r="W110" i="48"/>
  <c r="X110" i="48" s="1"/>
  <c r="S110" i="48"/>
  <c r="R110" i="48"/>
  <c r="M110" i="48"/>
  <c r="K110" i="48"/>
  <c r="J110" i="48"/>
  <c r="I110" i="48"/>
  <c r="F110" i="48"/>
  <c r="G110" i="48" s="1"/>
  <c r="E110" i="48"/>
  <c r="AW109" i="48"/>
  <c r="AV109" i="48"/>
  <c r="AR109" i="48"/>
  <c r="AQ109" i="48"/>
  <c r="AL109" i="48"/>
  <c r="AM109" i="48" s="1"/>
  <c r="AH109" i="48"/>
  <c r="AG109" i="48"/>
  <c r="AC109" i="48"/>
  <c r="AB109" i="48"/>
  <c r="W109" i="48"/>
  <c r="X109" i="48" s="1"/>
  <c r="S109" i="48"/>
  <c r="R109" i="48"/>
  <c r="K109" i="48"/>
  <c r="M109" i="48" s="1"/>
  <c r="J109" i="48"/>
  <c r="I109" i="48"/>
  <c r="G109" i="48"/>
  <c r="F109" i="48"/>
  <c r="E109" i="48"/>
  <c r="AV108" i="48"/>
  <c r="AW108" i="48" s="1"/>
  <c r="AQ108" i="48"/>
  <c r="AR108" i="48" s="1"/>
  <c r="AL108" i="48"/>
  <c r="AM108" i="48" s="1"/>
  <c r="AH108" i="48"/>
  <c r="AG108" i="48"/>
  <c r="AC108" i="48"/>
  <c r="AB108" i="48"/>
  <c r="W108" i="48"/>
  <c r="X108" i="48" s="1"/>
  <c r="R108" i="48"/>
  <c r="S108" i="48" s="1"/>
  <c r="K108" i="48"/>
  <c r="M108" i="48" s="1"/>
  <c r="J108" i="48"/>
  <c r="I108" i="48"/>
  <c r="F108" i="48"/>
  <c r="E108" i="48"/>
  <c r="G108" i="48" s="1"/>
  <c r="AW107" i="48"/>
  <c r="AV107" i="48"/>
  <c r="AR107" i="48"/>
  <c r="AQ107" i="48"/>
  <c r="AM107" i="48"/>
  <c r="AL107" i="48"/>
  <c r="AH107" i="48"/>
  <c r="AG107" i="48"/>
  <c r="AC107" i="48"/>
  <c r="AB107" i="48"/>
  <c r="W107" i="48"/>
  <c r="X107" i="48" s="1"/>
  <c r="R107" i="48"/>
  <c r="K107" i="48" s="1"/>
  <c r="M107" i="48" s="1"/>
  <c r="J107" i="48"/>
  <c r="I107" i="48"/>
  <c r="F107" i="48"/>
  <c r="E107" i="48"/>
  <c r="G107" i="48" s="1"/>
  <c r="AW106" i="48"/>
  <c r="AV106" i="48"/>
  <c r="AQ106" i="48"/>
  <c r="AR106" i="48" s="1"/>
  <c r="AL106" i="48"/>
  <c r="AM106" i="48" s="1"/>
  <c r="AG106" i="48"/>
  <c r="AH106" i="48" s="1"/>
  <c r="AB106" i="48"/>
  <c r="AC106" i="48" s="1"/>
  <c r="W106" i="48"/>
  <c r="X106" i="48" s="1"/>
  <c r="S106" i="48"/>
  <c r="R106" i="48"/>
  <c r="K106" i="48"/>
  <c r="M106" i="48" s="1"/>
  <c r="J106" i="48"/>
  <c r="I106" i="48"/>
  <c r="F106" i="48"/>
  <c r="E106" i="48"/>
  <c r="AW105" i="48"/>
  <c r="AV105" i="48"/>
  <c r="AR105" i="48"/>
  <c r="AQ105" i="48"/>
  <c r="AL105" i="48"/>
  <c r="AM105" i="48" s="1"/>
  <c r="AH105" i="48"/>
  <c r="AG105" i="48"/>
  <c r="AC105" i="48"/>
  <c r="AB105" i="48"/>
  <c r="W105" i="48"/>
  <c r="X105" i="48" s="1"/>
  <c r="S105" i="48"/>
  <c r="R105" i="48"/>
  <c r="K105" i="48"/>
  <c r="M105" i="48" s="1"/>
  <c r="J105" i="48"/>
  <c r="I105" i="48"/>
  <c r="G105" i="48"/>
  <c r="E105" i="48"/>
  <c r="AW104" i="48"/>
  <c r="AV104" i="48"/>
  <c r="AQ104" i="48"/>
  <c r="AR104" i="48" s="1"/>
  <c r="AM104" i="48"/>
  <c r="AL104" i="48"/>
  <c r="AG104" i="48"/>
  <c r="AH104" i="48" s="1"/>
  <c r="AB104" i="48"/>
  <c r="AC104" i="48" s="1"/>
  <c r="W104" i="48"/>
  <c r="X104" i="48" s="1"/>
  <c r="S104" i="48"/>
  <c r="R104" i="48"/>
  <c r="K104" i="48"/>
  <c r="M104" i="48" s="1"/>
  <c r="J104" i="48"/>
  <c r="I104" i="48"/>
  <c r="F104" i="48"/>
  <c r="G104" i="48" s="1"/>
  <c r="E104" i="48"/>
  <c r="AV103" i="48"/>
  <c r="AW103" i="48" s="1"/>
  <c r="AR103" i="48"/>
  <c r="AQ103" i="48"/>
  <c r="AL103" i="48"/>
  <c r="AM103" i="48" s="1"/>
  <c r="AG103" i="48"/>
  <c r="AH103" i="48" s="1"/>
  <c r="AB103" i="48"/>
  <c r="AC103" i="48" s="1"/>
  <c r="X103" i="48"/>
  <c r="W103" i="48"/>
  <c r="R103" i="48"/>
  <c r="S103" i="48" s="1"/>
  <c r="J103" i="48"/>
  <c r="I103" i="48"/>
  <c r="G103" i="48"/>
  <c r="F103" i="48"/>
  <c r="AV102" i="48"/>
  <c r="AW102" i="48" s="1"/>
  <c r="AR102" i="48"/>
  <c r="AQ102" i="48"/>
  <c r="AL102" i="48"/>
  <c r="AM102" i="48" s="1"/>
  <c r="AH102" i="48"/>
  <c r="AG102" i="48"/>
  <c r="AB102" i="48"/>
  <c r="AC102" i="48" s="1"/>
  <c r="X102" i="48"/>
  <c r="W102" i="48"/>
  <c r="R102" i="48"/>
  <c r="J102" i="48"/>
  <c r="I102" i="48"/>
  <c r="G102" i="48"/>
  <c r="F102" i="48"/>
  <c r="E102" i="48"/>
  <c r="AW101" i="48"/>
  <c r="AV101" i="48"/>
  <c r="AR101" i="48"/>
  <c r="AQ101" i="48"/>
  <c r="AL101" i="48"/>
  <c r="AM101" i="48" s="1"/>
  <c r="AG101" i="48"/>
  <c r="AH101" i="48" s="1"/>
  <c r="AB101" i="48"/>
  <c r="AC101" i="48" s="1"/>
  <c r="X101" i="48"/>
  <c r="W101" i="48"/>
  <c r="R101" i="48"/>
  <c r="K101" i="48" s="1"/>
  <c r="M101" i="48" s="1"/>
  <c r="J101" i="48"/>
  <c r="I101" i="48"/>
  <c r="F101" i="48"/>
  <c r="E101" i="48"/>
  <c r="AV100" i="48"/>
  <c r="AW100" i="48" s="1"/>
  <c r="AQ100" i="48"/>
  <c r="AR100" i="48" s="1"/>
  <c r="AM100" i="48"/>
  <c r="AL100" i="48"/>
  <c r="AG100" i="48"/>
  <c r="AH100" i="48" s="1"/>
  <c r="AC100" i="48"/>
  <c r="AB100" i="48"/>
  <c r="W100" i="48"/>
  <c r="X100" i="48" s="1"/>
  <c r="R100" i="48"/>
  <c r="S100" i="48" s="1"/>
  <c r="J100" i="48"/>
  <c r="I100" i="48"/>
  <c r="F100" i="48"/>
  <c r="G100" i="48" s="1"/>
  <c r="E100" i="48"/>
  <c r="AV99" i="48"/>
  <c r="AX99" i="48" s="1"/>
  <c r="AS99" i="48"/>
  <c r="AR99" i="48"/>
  <c r="AQ99" i="48"/>
  <c r="AN99" i="48"/>
  <c r="AM99" i="48"/>
  <c r="AL99" i="48"/>
  <c r="AG99" i="48"/>
  <c r="AI99" i="48" s="1"/>
  <c r="AC99" i="48"/>
  <c r="AB99" i="48"/>
  <c r="AD99" i="48" s="1"/>
  <c r="Y99" i="48"/>
  <c r="X99" i="48"/>
  <c r="W99" i="48"/>
  <c r="S99" i="48"/>
  <c r="R99" i="48"/>
  <c r="K99" i="48" s="1"/>
  <c r="J99" i="48"/>
  <c r="I99" i="48"/>
  <c r="F99" i="48"/>
  <c r="G99" i="48" s="1"/>
  <c r="AV91" i="48"/>
  <c r="AW91" i="48" s="1"/>
  <c r="AQ91" i="48"/>
  <c r="AR91" i="48" s="1"/>
  <c r="AM91" i="48"/>
  <c r="AL91" i="48"/>
  <c r="AG91" i="48"/>
  <c r="AH91" i="48" s="1"/>
  <c r="AC91" i="48"/>
  <c r="AB91" i="48"/>
  <c r="W91" i="48"/>
  <c r="X91" i="48" s="1"/>
  <c r="R91" i="48"/>
  <c r="S91" i="48" s="1"/>
  <c r="J91" i="48"/>
  <c r="I91" i="48"/>
  <c r="G91" i="48"/>
  <c r="F91" i="48"/>
  <c r="E91" i="48"/>
  <c r="AV90" i="48"/>
  <c r="AW90" i="48" s="1"/>
  <c r="AR90" i="48"/>
  <c r="AQ90" i="48"/>
  <c r="AM90" i="48"/>
  <c r="AL90" i="48"/>
  <c r="AH90" i="48"/>
  <c r="AG90" i="48"/>
  <c r="AB90" i="48"/>
  <c r="AC90" i="48" s="1"/>
  <c r="W90" i="48"/>
  <c r="X90" i="48" s="1"/>
  <c r="R90" i="48"/>
  <c r="J90" i="48"/>
  <c r="I90" i="48"/>
  <c r="F90" i="48"/>
  <c r="G90" i="48" s="1"/>
  <c r="E90" i="48"/>
  <c r="AW89" i="48"/>
  <c r="AV89" i="48"/>
  <c r="AR89" i="48"/>
  <c r="AQ89" i="48"/>
  <c r="AM89" i="48"/>
  <c r="AL89" i="48"/>
  <c r="AG89" i="48"/>
  <c r="AH89" i="48" s="1"/>
  <c r="AC89" i="48"/>
  <c r="AB89" i="48"/>
  <c r="X89" i="48"/>
  <c r="W89" i="48"/>
  <c r="R89" i="48"/>
  <c r="K89" i="48" s="1"/>
  <c r="M89" i="48" s="1"/>
  <c r="J89" i="48"/>
  <c r="I89" i="48"/>
  <c r="F89" i="48"/>
  <c r="G89" i="48" s="1"/>
  <c r="E89" i="48"/>
  <c r="AV88" i="48"/>
  <c r="AW88" i="48" s="1"/>
  <c r="AQ88" i="48"/>
  <c r="AR88" i="48" s="1"/>
  <c r="AL88" i="48"/>
  <c r="AM88" i="48" s="1"/>
  <c r="AG88" i="48"/>
  <c r="AH88" i="48" s="1"/>
  <c r="AC88" i="48"/>
  <c r="AB88" i="48"/>
  <c r="W88" i="48"/>
  <c r="X88" i="48" s="1"/>
  <c r="S88" i="48"/>
  <c r="R88" i="48"/>
  <c r="K88" i="48"/>
  <c r="M88" i="48" s="1"/>
  <c r="J88" i="48"/>
  <c r="I88" i="48"/>
  <c r="F88" i="48"/>
  <c r="G88" i="48" s="1"/>
  <c r="AW87" i="48"/>
  <c r="AV87" i="48"/>
  <c r="AR87" i="48"/>
  <c r="AQ87" i="48"/>
  <c r="AL87" i="48"/>
  <c r="AM87" i="48" s="1"/>
  <c r="AG87" i="48"/>
  <c r="AH87" i="48" s="1"/>
  <c r="AB87" i="48"/>
  <c r="AC87" i="48" s="1"/>
  <c r="W87" i="48"/>
  <c r="X87" i="48" s="1"/>
  <c r="S87" i="48"/>
  <c r="R87" i="48"/>
  <c r="M87" i="48"/>
  <c r="K87" i="48"/>
  <c r="J87" i="48"/>
  <c r="I87" i="48"/>
  <c r="F87" i="48"/>
  <c r="E87" i="48"/>
  <c r="AW86" i="48"/>
  <c r="AV86" i="48"/>
  <c r="AQ86" i="48"/>
  <c r="AR86" i="48" s="1"/>
  <c r="AL86" i="48"/>
  <c r="AM86" i="48" s="1"/>
  <c r="AG86" i="48"/>
  <c r="AH86" i="48" s="1"/>
  <c r="AC86" i="48"/>
  <c r="AB86" i="48"/>
  <c r="W86" i="48"/>
  <c r="X86" i="48" s="1"/>
  <c r="S86" i="48"/>
  <c r="R86" i="48"/>
  <c r="K86" i="48"/>
  <c r="M86" i="48" s="1"/>
  <c r="J86" i="48"/>
  <c r="I86" i="48"/>
  <c r="F86" i="48"/>
  <c r="G86" i="48" s="1"/>
  <c r="E86" i="48"/>
  <c r="AV85" i="48"/>
  <c r="AW85" i="48" s="1"/>
  <c r="AQ85" i="48"/>
  <c r="AR85" i="48" s="1"/>
  <c r="AL85" i="48"/>
  <c r="AM85" i="48" s="1"/>
  <c r="AH85" i="48"/>
  <c r="AG85" i="48"/>
  <c r="AB85" i="48"/>
  <c r="AC85" i="48" s="1"/>
  <c r="W85" i="48"/>
  <c r="X85" i="48" s="1"/>
  <c r="R85" i="48"/>
  <c r="S85" i="48" s="1"/>
  <c r="K85" i="48"/>
  <c r="M85" i="48" s="1"/>
  <c r="J85" i="48"/>
  <c r="I85" i="48"/>
  <c r="G85" i="48"/>
  <c r="F85" i="48"/>
  <c r="E85" i="48"/>
  <c r="AV84" i="48"/>
  <c r="AW84" i="48" s="1"/>
  <c r="AR84" i="48"/>
  <c r="AQ84" i="48"/>
  <c r="AM84" i="48"/>
  <c r="AL84" i="48"/>
  <c r="AH84" i="48"/>
  <c r="AG84" i="48"/>
  <c r="AB84" i="48"/>
  <c r="AC84" i="48" s="1"/>
  <c r="W84" i="48"/>
  <c r="X84" i="48" s="1"/>
  <c r="R84" i="48"/>
  <c r="K84" i="48" s="1"/>
  <c r="M84" i="48"/>
  <c r="J84" i="48"/>
  <c r="I84" i="48"/>
  <c r="F84" i="48"/>
  <c r="E84" i="48"/>
  <c r="G84" i="48" s="1"/>
  <c r="AW83" i="48"/>
  <c r="AV83" i="48"/>
  <c r="AQ83" i="48"/>
  <c r="AR83" i="48" s="1"/>
  <c r="AL83" i="48"/>
  <c r="AM83" i="48" s="1"/>
  <c r="AG83" i="48"/>
  <c r="AH83" i="48" s="1"/>
  <c r="AB83" i="48"/>
  <c r="AC83" i="48" s="1"/>
  <c r="W83" i="48"/>
  <c r="X83" i="48" s="1"/>
  <c r="S83" i="48"/>
  <c r="R83" i="48"/>
  <c r="K83" i="48"/>
  <c r="M83" i="48" s="1"/>
  <c r="J83" i="48"/>
  <c r="I83" i="48"/>
  <c r="F83" i="48"/>
  <c r="E83" i="48"/>
  <c r="AW82" i="48"/>
  <c r="AV82" i="48"/>
  <c r="AQ82" i="48"/>
  <c r="AR82" i="48" s="1"/>
  <c r="AL82" i="48"/>
  <c r="AM82" i="48" s="1"/>
  <c r="AH82" i="48"/>
  <c r="AG82" i="48"/>
  <c r="AC82" i="48"/>
  <c r="AB82" i="48"/>
  <c r="X82" i="48"/>
  <c r="W82" i="48"/>
  <c r="S82" i="48"/>
  <c r="R82" i="48"/>
  <c r="K82" i="48"/>
  <c r="M82" i="48" s="1"/>
  <c r="J82" i="48"/>
  <c r="I82" i="48"/>
  <c r="G82" i="48"/>
  <c r="E82" i="48"/>
  <c r="AW81" i="48"/>
  <c r="AV81" i="48"/>
  <c r="AR81" i="48"/>
  <c r="AQ81" i="48"/>
  <c r="AM81" i="48"/>
  <c r="AL81" i="48"/>
  <c r="AG81" i="48"/>
  <c r="AH81" i="48" s="1"/>
  <c r="AB81" i="48"/>
  <c r="AC81" i="48" s="1"/>
  <c r="W81" i="48"/>
  <c r="X81" i="48" s="1"/>
  <c r="S81" i="48"/>
  <c r="R81" i="48"/>
  <c r="K81" i="48"/>
  <c r="M81" i="48" s="1"/>
  <c r="J81" i="48"/>
  <c r="I81" i="48"/>
  <c r="G81" i="48"/>
  <c r="F81" i="48"/>
  <c r="E81" i="48"/>
  <c r="AW80" i="48"/>
  <c r="AV80" i="48"/>
  <c r="AR80" i="48"/>
  <c r="AQ80" i="48"/>
  <c r="AL80" i="48"/>
  <c r="AM80" i="48" s="1"/>
  <c r="AG80" i="48"/>
  <c r="AH80" i="48" s="1"/>
  <c r="AB80" i="48"/>
  <c r="AC80" i="48" s="1"/>
  <c r="X80" i="48"/>
  <c r="W80" i="48"/>
  <c r="S80" i="48"/>
  <c r="R80" i="48"/>
  <c r="M80" i="48"/>
  <c r="K80" i="48"/>
  <c r="J80" i="48"/>
  <c r="I80" i="48"/>
  <c r="F80" i="48"/>
  <c r="G80" i="48" s="1"/>
  <c r="AV79" i="48"/>
  <c r="AW79" i="48" s="1"/>
  <c r="AR79" i="48"/>
  <c r="AQ79" i="48"/>
  <c r="AM79" i="48"/>
  <c r="AL79" i="48"/>
  <c r="AG79" i="48"/>
  <c r="AH79" i="48" s="1"/>
  <c r="AB79" i="48"/>
  <c r="AC79" i="48" s="1"/>
  <c r="X79" i="48"/>
  <c r="W79" i="48"/>
  <c r="R79" i="48"/>
  <c r="J79" i="48"/>
  <c r="I79" i="48"/>
  <c r="F79" i="48"/>
  <c r="G79" i="48" s="1"/>
  <c r="E79" i="48"/>
  <c r="AV78" i="48"/>
  <c r="AW78" i="48" s="1"/>
  <c r="AR78" i="48"/>
  <c r="AQ78" i="48"/>
  <c r="AL78" i="48"/>
  <c r="AM78" i="48" s="1"/>
  <c r="AG78" i="48"/>
  <c r="AH78" i="48" s="1"/>
  <c r="AC78" i="48"/>
  <c r="AB78" i="48"/>
  <c r="W78" i="48"/>
  <c r="X78" i="48" s="1"/>
  <c r="S78" i="48"/>
  <c r="R78" i="48"/>
  <c r="K78" i="48" s="1"/>
  <c r="M78" i="48"/>
  <c r="J78" i="48"/>
  <c r="I78" i="48"/>
  <c r="F78" i="48"/>
  <c r="E78" i="48"/>
  <c r="AV77" i="48"/>
  <c r="AW77" i="48" s="1"/>
  <c r="AQ77" i="48"/>
  <c r="AR77" i="48" s="1"/>
  <c r="AM77" i="48"/>
  <c r="AL77" i="48"/>
  <c r="AG77" i="48"/>
  <c r="AH77" i="48" s="1"/>
  <c r="AC77" i="48"/>
  <c r="AB77" i="48"/>
  <c r="X77" i="48"/>
  <c r="W77" i="48"/>
  <c r="R77" i="48"/>
  <c r="S77" i="48" s="1"/>
  <c r="J77" i="48"/>
  <c r="I77" i="48"/>
  <c r="F77" i="48"/>
  <c r="E77" i="48"/>
  <c r="AW76" i="48"/>
  <c r="AV76" i="48"/>
  <c r="AX76" i="48" s="1"/>
  <c r="AQ76" i="48"/>
  <c r="AS76" i="48" s="1"/>
  <c r="AN76" i="48"/>
  <c r="AM76" i="48"/>
  <c r="AL76" i="48"/>
  <c r="AG76" i="48"/>
  <c r="AI76" i="48" s="1"/>
  <c r="AB76" i="48"/>
  <c r="AD76" i="48" s="1"/>
  <c r="W76" i="48"/>
  <c r="X76" i="48" s="1"/>
  <c r="R76" i="48"/>
  <c r="T76" i="48" s="1"/>
  <c r="J76" i="48"/>
  <c r="I76" i="48"/>
  <c r="F76" i="48"/>
  <c r="G76" i="48" s="1"/>
  <c r="AQ69" i="48"/>
  <c r="AL69" i="48"/>
  <c r="AG69" i="48"/>
  <c r="AH69" i="48" s="1"/>
  <c r="AB69" i="48"/>
  <c r="W69" i="48"/>
  <c r="R69" i="48"/>
  <c r="J69" i="48"/>
  <c r="I69" i="48"/>
  <c r="F69" i="48"/>
  <c r="G69" i="48" s="1"/>
  <c r="E69" i="48"/>
  <c r="AQ68" i="48"/>
  <c r="AR68" i="48" s="1"/>
  <c r="AL68" i="48"/>
  <c r="AG68" i="48"/>
  <c r="AB68" i="48"/>
  <c r="AC68" i="48" s="1"/>
  <c r="W68" i="48"/>
  <c r="R68" i="48"/>
  <c r="K68" i="48" s="1"/>
  <c r="J68" i="48"/>
  <c r="I68" i="48"/>
  <c r="G68" i="48"/>
  <c r="F68" i="48"/>
  <c r="E68" i="48"/>
  <c r="AQ67" i="48"/>
  <c r="AL67" i="48"/>
  <c r="AG67" i="48"/>
  <c r="AB67" i="48"/>
  <c r="W67" i="48"/>
  <c r="R67" i="48"/>
  <c r="J67" i="48"/>
  <c r="I67" i="48"/>
  <c r="F67" i="48"/>
  <c r="E67" i="48"/>
  <c r="G67" i="48" s="1"/>
  <c r="AQ66" i="48"/>
  <c r="AL66" i="48"/>
  <c r="AG66" i="48"/>
  <c r="AH66" i="48" s="1"/>
  <c r="AB66" i="48"/>
  <c r="W66" i="48"/>
  <c r="K66" i="48" s="1"/>
  <c r="R66" i="48"/>
  <c r="J66" i="48"/>
  <c r="I66" i="48"/>
  <c r="F66" i="48"/>
  <c r="G66" i="48" s="1"/>
  <c r="E66" i="48"/>
  <c r="AQ65" i="48"/>
  <c r="AL65" i="48"/>
  <c r="AG65" i="48"/>
  <c r="AH65" i="48" s="1"/>
  <c r="AB65" i="48"/>
  <c r="W65" i="48"/>
  <c r="R65" i="48"/>
  <c r="J65" i="48"/>
  <c r="I65" i="48"/>
  <c r="F65" i="48"/>
  <c r="G65" i="48" s="1"/>
  <c r="E65" i="48"/>
  <c r="AQ64" i="48"/>
  <c r="AL64" i="48"/>
  <c r="AG64" i="48"/>
  <c r="AB64" i="48"/>
  <c r="W64" i="48"/>
  <c r="R64" i="48"/>
  <c r="J64" i="48"/>
  <c r="I64" i="48"/>
  <c r="F64" i="48"/>
  <c r="E64" i="48"/>
  <c r="G64" i="48" s="1"/>
  <c r="AQ63" i="48"/>
  <c r="AL63" i="48"/>
  <c r="AG63" i="48"/>
  <c r="AB63" i="48"/>
  <c r="W63" i="48"/>
  <c r="R63" i="48"/>
  <c r="J63" i="48"/>
  <c r="I63" i="48"/>
  <c r="F63" i="48"/>
  <c r="E63" i="48"/>
  <c r="G63" i="48" s="1"/>
  <c r="AQ62" i="48"/>
  <c r="AR62" i="48" s="1"/>
  <c r="AL62" i="48"/>
  <c r="AG62" i="48"/>
  <c r="AB62" i="48"/>
  <c r="W62" i="48"/>
  <c r="R62" i="48"/>
  <c r="K62" i="48"/>
  <c r="J62" i="48"/>
  <c r="I62" i="48"/>
  <c r="G62" i="48"/>
  <c r="F62" i="48"/>
  <c r="E62" i="48"/>
  <c r="AQ61" i="48"/>
  <c r="AR61" i="48" s="1"/>
  <c r="AL61" i="48"/>
  <c r="AG61" i="48"/>
  <c r="AH61" i="48" s="1"/>
  <c r="AB61" i="48"/>
  <c r="W61" i="48"/>
  <c r="R61" i="48"/>
  <c r="J61" i="48"/>
  <c r="I61" i="48"/>
  <c r="F61" i="48"/>
  <c r="G61" i="48" s="1"/>
  <c r="E61" i="48"/>
  <c r="AQ60" i="48"/>
  <c r="AR60" i="48" s="1"/>
  <c r="AL60" i="48"/>
  <c r="AG60" i="48"/>
  <c r="AB60" i="48"/>
  <c r="W60" i="48"/>
  <c r="R60" i="48"/>
  <c r="J60" i="48"/>
  <c r="I60" i="48"/>
  <c r="G60" i="48"/>
  <c r="F60" i="48"/>
  <c r="E60" i="48"/>
  <c r="AQ59" i="48"/>
  <c r="AL59" i="48"/>
  <c r="AG59" i="48"/>
  <c r="AB59" i="48"/>
  <c r="W59" i="48"/>
  <c r="X57" i="48" s="1"/>
  <c r="R59" i="48"/>
  <c r="J59" i="48"/>
  <c r="I59" i="48"/>
  <c r="F59" i="48"/>
  <c r="G59" i="48" s="1"/>
  <c r="E59" i="48"/>
  <c r="AR58" i="48"/>
  <c r="AQ58" i="48"/>
  <c r="AL58" i="48"/>
  <c r="AH58" i="48"/>
  <c r="AG58" i="48"/>
  <c r="AB58" i="48"/>
  <c r="W58" i="48"/>
  <c r="R58" i="48"/>
  <c r="J58" i="48"/>
  <c r="I58" i="48"/>
  <c r="G58" i="48"/>
  <c r="F58" i="48"/>
  <c r="E58" i="48"/>
  <c r="AQ57" i="48"/>
  <c r="AR57" i="48" s="1"/>
  <c r="AL57" i="48"/>
  <c r="AH57" i="48"/>
  <c r="AG57" i="48"/>
  <c r="AB57" i="48"/>
  <c r="W57" i="48"/>
  <c r="R57" i="48"/>
  <c r="K57" i="48" s="1"/>
  <c r="J57" i="48"/>
  <c r="I57" i="48"/>
  <c r="G57" i="48"/>
  <c r="F57" i="48"/>
  <c r="E57" i="48"/>
  <c r="AQ56" i="48"/>
  <c r="AR56" i="48" s="1"/>
  <c r="AL56" i="48"/>
  <c r="AG56" i="48"/>
  <c r="AB56" i="48"/>
  <c r="W56" i="48"/>
  <c r="R56" i="48"/>
  <c r="J56" i="48"/>
  <c r="I56" i="48"/>
  <c r="G56" i="48"/>
  <c r="F56" i="48"/>
  <c r="E56" i="48"/>
  <c r="AQ55" i="48"/>
  <c r="AR55" i="48" s="1"/>
  <c r="AL55" i="48"/>
  <c r="AG55" i="48"/>
  <c r="AB55" i="48"/>
  <c r="W55" i="48"/>
  <c r="R55" i="48"/>
  <c r="J55" i="48"/>
  <c r="I55" i="48"/>
  <c r="F55" i="48"/>
  <c r="G55" i="48" s="1"/>
  <c r="E55" i="48"/>
  <c r="AQ54" i="48"/>
  <c r="AR54" i="48" s="1"/>
  <c r="AL54" i="48"/>
  <c r="AG54" i="48"/>
  <c r="AH54" i="48" s="1"/>
  <c r="AC54" i="48"/>
  <c r="AB54" i="48"/>
  <c r="W54" i="48"/>
  <c r="R54" i="48"/>
  <c r="K54" i="48"/>
  <c r="J54" i="48"/>
  <c r="I54" i="48"/>
  <c r="F54" i="48"/>
  <c r="G54" i="48" s="1"/>
  <c r="E54" i="48"/>
  <c r="AV53" i="48"/>
  <c r="AX53" i="48" s="1"/>
  <c r="AQ53" i="48"/>
  <c r="AL53" i="48"/>
  <c r="AG53" i="48"/>
  <c r="AH67" i="48" s="1"/>
  <c r="AB53" i="48"/>
  <c r="W53" i="48"/>
  <c r="R53" i="48"/>
  <c r="J53" i="48"/>
  <c r="I53" i="48"/>
  <c r="F53" i="48"/>
  <c r="E53" i="48"/>
  <c r="G53" i="48" s="1"/>
  <c r="H53" i="48" s="1"/>
  <c r="AV45" i="48"/>
  <c r="AQ45" i="48"/>
  <c r="AL45" i="48"/>
  <c r="AG45" i="48"/>
  <c r="AB45" i="48"/>
  <c r="W45" i="48"/>
  <c r="X45" i="48" s="1"/>
  <c r="R45" i="48"/>
  <c r="J45" i="48"/>
  <c r="I45" i="48"/>
  <c r="G45" i="48"/>
  <c r="F45" i="48"/>
  <c r="E45" i="48"/>
  <c r="AV44" i="48"/>
  <c r="AQ44" i="48"/>
  <c r="AM44" i="48"/>
  <c r="AL44" i="48"/>
  <c r="AG44" i="48"/>
  <c r="AB44" i="48"/>
  <c r="W44" i="48"/>
  <c r="R44" i="48"/>
  <c r="J44" i="48"/>
  <c r="K44" i="48" s="1"/>
  <c r="I44" i="48"/>
  <c r="F44" i="48"/>
  <c r="E44" i="48"/>
  <c r="AV43" i="48"/>
  <c r="AR43" i="48"/>
  <c r="AQ43" i="48"/>
  <c r="AL43" i="48"/>
  <c r="AG43" i="48"/>
  <c r="AB43" i="48"/>
  <c r="W43" i="48"/>
  <c r="R43" i="48"/>
  <c r="S43" i="48" s="1"/>
  <c r="J43" i="48"/>
  <c r="I43" i="48"/>
  <c r="F43" i="48"/>
  <c r="G43" i="48" s="1"/>
  <c r="E43" i="48"/>
  <c r="AV42" i="48"/>
  <c r="AQ42" i="48"/>
  <c r="AL42" i="48"/>
  <c r="AG42" i="48"/>
  <c r="AB42" i="48"/>
  <c r="W42" i="48"/>
  <c r="X42" i="48" s="1"/>
  <c r="R42" i="48"/>
  <c r="J42" i="48"/>
  <c r="I42" i="48"/>
  <c r="K42" i="48" s="1"/>
  <c r="G42" i="48"/>
  <c r="F42" i="48"/>
  <c r="E42" i="48"/>
  <c r="AV41" i="48"/>
  <c r="AQ41" i="48"/>
  <c r="AL41" i="48"/>
  <c r="AG41" i="48"/>
  <c r="AB41" i="48"/>
  <c r="W41" i="48"/>
  <c r="X41" i="48" s="1"/>
  <c r="S41" i="48"/>
  <c r="R41" i="48"/>
  <c r="J41" i="48"/>
  <c r="K41" i="48" s="1"/>
  <c r="I41" i="48"/>
  <c r="G41" i="48"/>
  <c r="F41" i="48"/>
  <c r="AV40" i="48"/>
  <c r="AQ40" i="48"/>
  <c r="AL40" i="48"/>
  <c r="AG40" i="48"/>
  <c r="AC40" i="48"/>
  <c r="AB40" i="48"/>
  <c r="W40" i="48"/>
  <c r="R40" i="48"/>
  <c r="J40" i="48"/>
  <c r="K40" i="48" s="1"/>
  <c r="I40" i="48"/>
  <c r="F40" i="48"/>
  <c r="E40" i="48"/>
  <c r="AV39" i="48"/>
  <c r="AQ39" i="48"/>
  <c r="AR39" i="48" s="1"/>
  <c r="AM39" i="48"/>
  <c r="AL39" i="48"/>
  <c r="AG39" i="48"/>
  <c r="AB39" i="48"/>
  <c r="W39" i="48"/>
  <c r="X39" i="48" s="1"/>
  <c r="R39" i="48"/>
  <c r="K39" i="48"/>
  <c r="J39" i="48"/>
  <c r="I39" i="48"/>
  <c r="F39" i="48"/>
  <c r="G39" i="48" s="1"/>
  <c r="E39" i="48"/>
  <c r="AV38" i="48"/>
  <c r="AR38" i="48"/>
  <c r="AQ38" i="48"/>
  <c r="AL38" i="48"/>
  <c r="AG38" i="48"/>
  <c r="AB38" i="48"/>
  <c r="W38" i="48"/>
  <c r="R38" i="48"/>
  <c r="J38" i="48"/>
  <c r="K38" i="48" s="1"/>
  <c r="I38" i="48"/>
  <c r="F38" i="48"/>
  <c r="G38" i="48" s="1"/>
  <c r="E38" i="48"/>
  <c r="AV37" i="48"/>
  <c r="AQ37" i="48"/>
  <c r="AL37" i="48"/>
  <c r="AM37" i="48" s="1"/>
  <c r="AG37" i="48"/>
  <c r="AB37" i="48"/>
  <c r="W37" i="48"/>
  <c r="R37" i="48"/>
  <c r="J37" i="48"/>
  <c r="K37" i="48" s="1"/>
  <c r="I37" i="48"/>
  <c r="F37" i="48"/>
  <c r="G37" i="48" s="1"/>
  <c r="E37" i="48"/>
  <c r="AV36" i="48"/>
  <c r="AQ36" i="48"/>
  <c r="AR36" i="48" s="1"/>
  <c r="AL36" i="48"/>
  <c r="AG36" i="48"/>
  <c r="AB36" i="48"/>
  <c r="X36" i="48"/>
  <c r="W36" i="48"/>
  <c r="R36" i="48"/>
  <c r="J36" i="48"/>
  <c r="K36" i="48" s="1"/>
  <c r="I36" i="48"/>
  <c r="F36" i="48"/>
  <c r="G36" i="48" s="1"/>
  <c r="E36" i="48"/>
  <c r="AV35" i="48"/>
  <c r="AQ35" i="48"/>
  <c r="AR34" i="48" s="1"/>
  <c r="AL35" i="48"/>
  <c r="AG35" i="48"/>
  <c r="AH35" i="48" s="1"/>
  <c r="AB35" i="48"/>
  <c r="W35" i="48"/>
  <c r="R35" i="48"/>
  <c r="K35" i="48"/>
  <c r="J35" i="48"/>
  <c r="I35" i="48"/>
  <c r="F35" i="48"/>
  <c r="G35" i="48" s="1"/>
  <c r="E35" i="48"/>
  <c r="AV34" i="48"/>
  <c r="AQ34" i="48"/>
  <c r="AM34" i="48"/>
  <c r="AL34" i="48"/>
  <c r="AG34" i="48"/>
  <c r="AB34" i="48"/>
  <c r="W34" i="48"/>
  <c r="R34" i="48"/>
  <c r="J34" i="48"/>
  <c r="K34" i="48" s="1"/>
  <c r="I34" i="48"/>
  <c r="F34" i="48"/>
  <c r="G34" i="48" s="1"/>
  <c r="E34" i="48"/>
  <c r="AV33" i="48"/>
  <c r="AQ33" i="48"/>
  <c r="AL33" i="48"/>
  <c r="AM31" i="48" s="1"/>
  <c r="AG33" i="48"/>
  <c r="AB33" i="48"/>
  <c r="AC33" i="48" s="1"/>
  <c r="W33" i="48"/>
  <c r="R33" i="48"/>
  <c r="J33" i="48"/>
  <c r="I33" i="48"/>
  <c r="F33" i="48"/>
  <c r="G33" i="48" s="1"/>
  <c r="E33" i="48"/>
  <c r="AV32" i="48"/>
  <c r="AQ32" i="48"/>
  <c r="AM32" i="48"/>
  <c r="AL32" i="48"/>
  <c r="AM38" i="48" s="1"/>
  <c r="AG32" i="48"/>
  <c r="AB32" i="48"/>
  <c r="X32" i="48"/>
  <c r="W32" i="48"/>
  <c r="R32" i="48"/>
  <c r="S36" i="48" s="1"/>
  <c r="J32" i="48"/>
  <c r="I32" i="48"/>
  <c r="F32" i="48"/>
  <c r="E32" i="48"/>
  <c r="AV31" i="48"/>
  <c r="AQ31" i="48"/>
  <c r="AL31" i="48"/>
  <c r="AG31" i="48"/>
  <c r="AC31" i="48"/>
  <c r="AB31" i="48"/>
  <c r="W31" i="48"/>
  <c r="X34" i="48" s="1"/>
  <c r="R31" i="48"/>
  <c r="K31" i="48"/>
  <c r="J31" i="48"/>
  <c r="I31" i="48"/>
  <c r="F31" i="48"/>
  <c r="G31" i="48" s="1"/>
  <c r="E31" i="48"/>
  <c r="AV30" i="48"/>
  <c r="AQ30" i="48"/>
  <c r="AN30" i="48"/>
  <c r="AL30" i="48"/>
  <c r="AG30" i="48"/>
  <c r="AB30" i="48"/>
  <c r="AC45" i="48" s="1"/>
  <c r="X30" i="48"/>
  <c r="W30" i="48"/>
  <c r="R30" i="48"/>
  <c r="K30" i="48"/>
  <c r="J30" i="48"/>
  <c r="I30" i="48"/>
  <c r="F30" i="48"/>
  <c r="G30" i="48" s="1"/>
  <c r="E30" i="48"/>
  <c r="AV23" i="48"/>
  <c r="AQ23" i="48"/>
  <c r="AL23" i="48"/>
  <c r="AG23" i="48"/>
  <c r="AB23" i="48"/>
  <c r="W23" i="48"/>
  <c r="S23" i="48"/>
  <c r="J23" i="48"/>
  <c r="K23" i="48" s="1"/>
  <c r="I23" i="48"/>
  <c r="F23" i="48"/>
  <c r="G23" i="48" s="1"/>
  <c r="E23" i="48"/>
  <c r="AV22" i="48"/>
  <c r="AQ22" i="48"/>
  <c r="AL22" i="48"/>
  <c r="AG22" i="48"/>
  <c r="AB22" i="48"/>
  <c r="W22" i="48"/>
  <c r="S22" i="48"/>
  <c r="K22" i="48"/>
  <c r="J22" i="48"/>
  <c r="I22" i="48"/>
  <c r="F22" i="48"/>
  <c r="E22" i="48"/>
  <c r="G22" i="48" s="1"/>
  <c r="AV21" i="48"/>
  <c r="AQ21" i="48"/>
  <c r="AL21" i="48"/>
  <c r="AG21" i="48"/>
  <c r="AB21" i="48"/>
  <c r="W21" i="48"/>
  <c r="S21" i="48"/>
  <c r="K21" i="48"/>
  <c r="J21" i="48"/>
  <c r="I21" i="48"/>
  <c r="G21" i="48"/>
  <c r="F21" i="48"/>
  <c r="E21" i="48"/>
  <c r="AW20" i="48"/>
  <c r="AV20" i="48"/>
  <c r="AQ20" i="48"/>
  <c r="AL20" i="48"/>
  <c r="AG20" i="48"/>
  <c r="AB20" i="48"/>
  <c r="W20" i="48"/>
  <c r="S20" i="48"/>
  <c r="J20" i="48"/>
  <c r="K20" i="48" s="1"/>
  <c r="I20" i="48"/>
  <c r="F20" i="48"/>
  <c r="G20" i="48" s="1"/>
  <c r="E20" i="48"/>
  <c r="AV19" i="48"/>
  <c r="AQ19" i="48"/>
  <c r="AL19" i="48"/>
  <c r="AG19" i="48"/>
  <c r="AB19" i="48"/>
  <c r="W19" i="48"/>
  <c r="S19" i="48"/>
  <c r="J19" i="48"/>
  <c r="I19" i="48"/>
  <c r="K19" i="48" s="1"/>
  <c r="F19" i="48"/>
  <c r="E19" i="48"/>
  <c r="G19" i="48" s="1"/>
  <c r="AV18" i="48"/>
  <c r="AQ18" i="48"/>
  <c r="AL18" i="48"/>
  <c r="AG18" i="48"/>
  <c r="AB18" i="48"/>
  <c r="W18" i="48"/>
  <c r="S18" i="48"/>
  <c r="J18" i="48"/>
  <c r="I18" i="48"/>
  <c r="K18" i="48" s="1"/>
  <c r="F18" i="48"/>
  <c r="G18" i="48" s="1"/>
  <c r="E18" i="48"/>
  <c r="AV17" i="48"/>
  <c r="AW17" i="48" s="1"/>
  <c r="AQ17" i="48"/>
  <c r="AL17" i="48"/>
  <c r="AG17" i="48"/>
  <c r="AB17" i="48"/>
  <c r="W17" i="48"/>
  <c r="S17" i="48"/>
  <c r="J17" i="48"/>
  <c r="K17" i="48" s="1"/>
  <c r="I17" i="48"/>
  <c r="F17" i="48"/>
  <c r="G17" i="48" s="1"/>
  <c r="E17" i="48"/>
  <c r="AV16" i="48"/>
  <c r="AQ16" i="48"/>
  <c r="AL16" i="48"/>
  <c r="AG16" i="48"/>
  <c r="AB16" i="48"/>
  <c r="W16" i="48"/>
  <c r="S16" i="48"/>
  <c r="J16" i="48"/>
  <c r="I16" i="48"/>
  <c r="K16" i="48" s="1"/>
  <c r="G16" i="48"/>
  <c r="F16" i="48"/>
  <c r="E16" i="48"/>
  <c r="AV15" i="48"/>
  <c r="AQ15" i="48"/>
  <c r="AL15" i="48"/>
  <c r="AG15" i="48"/>
  <c r="AB15" i="48"/>
  <c r="W15" i="48"/>
  <c r="S15" i="48"/>
  <c r="J15" i="48"/>
  <c r="I15" i="48"/>
  <c r="K15" i="48" s="1"/>
  <c r="G15" i="48"/>
  <c r="F15" i="48"/>
  <c r="E15" i="48"/>
  <c r="AV14" i="48"/>
  <c r="AQ14" i="48"/>
  <c r="AL14" i="48"/>
  <c r="AG14" i="48"/>
  <c r="AB14" i="48"/>
  <c r="AC14" i="48" s="1"/>
  <c r="W14" i="48"/>
  <c r="S14" i="48"/>
  <c r="J14" i="48"/>
  <c r="I14" i="48"/>
  <c r="G14" i="48"/>
  <c r="F14" i="48"/>
  <c r="E14" i="48"/>
  <c r="AV13" i="48"/>
  <c r="AW13" i="48" s="1"/>
  <c r="AR13" i="48"/>
  <c r="AQ13" i="48"/>
  <c r="AL13" i="48"/>
  <c r="AG13" i="48"/>
  <c r="AB13" i="48"/>
  <c r="W13" i="48"/>
  <c r="S13" i="48"/>
  <c r="K13" i="48"/>
  <c r="J13" i="48"/>
  <c r="I13" i="48"/>
  <c r="F13" i="48"/>
  <c r="E13" i="48"/>
  <c r="G13" i="48" s="1"/>
  <c r="AV12" i="48"/>
  <c r="AW9" i="48" s="1"/>
  <c r="AQ12" i="48"/>
  <c r="AL12" i="48"/>
  <c r="AG12" i="48"/>
  <c r="AB12" i="48"/>
  <c r="W12" i="48"/>
  <c r="S12" i="48"/>
  <c r="K12" i="48"/>
  <c r="J12" i="48"/>
  <c r="I12" i="48"/>
  <c r="G12" i="48"/>
  <c r="F12" i="48"/>
  <c r="E12" i="48"/>
  <c r="AW11" i="48"/>
  <c r="AV11" i="48"/>
  <c r="AQ11" i="48"/>
  <c r="AL11" i="48"/>
  <c r="AG11" i="48"/>
  <c r="AB11" i="48"/>
  <c r="W11" i="48"/>
  <c r="S11" i="48"/>
  <c r="J11" i="48"/>
  <c r="K11" i="48" s="1"/>
  <c r="I11" i="48"/>
  <c r="F11" i="48"/>
  <c r="G11" i="48" s="1"/>
  <c r="E11" i="48"/>
  <c r="AW10" i="48"/>
  <c r="AV10" i="48"/>
  <c r="AQ10" i="48"/>
  <c r="AL10" i="48"/>
  <c r="AM10" i="48" s="1"/>
  <c r="AG10" i="48"/>
  <c r="AB10" i="48"/>
  <c r="W10" i="48"/>
  <c r="S10" i="48"/>
  <c r="J10" i="48"/>
  <c r="I10" i="48"/>
  <c r="K10" i="48" s="1"/>
  <c r="F10" i="48"/>
  <c r="E10" i="48"/>
  <c r="G10" i="48" s="1"/>
  <c r="AV9" i="48"/>
  <c r="AQ9" i="48"/>
  <c r="AL9" i="48"/>
  <c r="AG9" i="48"/>
  <c r="AB9" i="48"/>
  <c r="W9" i="48"/>
  <c r="X9" i="48" s="1"/>
  <c r="S9" i="48"/>
  <c r="J9" i="48"/>
  <c r="I9" i="48"/>
  <c r="K9" i="48" s="1"/>
  <c r="F9" i="48"/>
  <c r="G9" i="48" s="1"/>
  <c r="E9" i="48"/>
  <c r="AV8" i="48"/>
  <c r="AW8" i="48" s="1"/>
  <c r="AQ8" i="48"/>
  <c r="AL8" i="48"/>
  <c r="AG8" i="48"/>
  <c r="AB8" i="48"/>
  <c r="AC21" i="48" s="1"/>
  <c r="W8" i="48"/>
  <c r="S8" i="48"/>
  <c r="J8" i="48"/>
  <c r="K8" i="48" s="1"/>
  <c r="I8" i="48"/>
  <c r="F8" i="48"/>
  <c r="G8" i="48" s="1"/>
  <c r="H7" i="48" s="1"/>
  <c r="E8" i="48"/>
  <c r="AV7" i="48"/>
  <c r="AW18" i="48" s="1"/>
  <c r="AQ7" i="48"/>
  <c r="AS7" i="48" s="1"/>
  <c r="AL7" i="48"/>
  <c r="AG7" i="48"/>
  <c r="AD7" i="48"/>
  <c r="AB7" i="48"/>
  <c r="W7" i="48"/>
  <c r="X17" i="48" s="1"/>
  <c r="T7" i="48"/>
  <c r="S7" i="48"/>
  <c r="J7" i="48"/>
  <c r="I7" i="48"/>
  <c r="K7" i="48" s="1"/>
  <c r="G7" i="48"/>
  <c r="F7" i="48"/>
  <c r="E7" i="48"/>
  <c r="AE2" i="48"/>
  <c r="AJ2" i="48" s="1"/>
  <c r="AO2" i="48" s="1"/>
  <c r="AT2" i="48" s="1"/>
  <c r="P25" i="48" s="1"/>
  <c r="U25" i="48" s="1"/>
  <c r="Z25" i="48" s="1"/>
  <c r="Z2" i="48"/>
  <c r="U2" i="48"/>
  <c r="F40" i="6"/>
  <c r="N40" i="6" s="1"/>
  <c r="N36" i="6"/>
  <c r="L36" i="6"/>
  <c r="J36" i="6"/>
  <c r="F36" i="6"/>
  <c r="N35" i="6"/>
  <c r="J35" i="6"/>
  <c r="F35" i="6"/>
  <c r="L35" i="6" s="1"/>
  <c r="J34" i="6"/>
  <c r="F34" i="6"/>
  <c r="N34" i="6" s="1"/>
  <c r="N33" i="6"/>
  <c r="L33" i="6"/>
  <c r="J33" i="6"/>
  <c r="F33" i="6"/>
  <c r="F32" i="6"/>
  <c r="N32" i="6" s="1"/>
  <c r="N31" i="6"/>
  <c r="J31" i="6"/>
  <c r="F31" i="6"/>
  <c r="L31" i="6" s="1"/>
  <c r="N30" i="6"/>
  <c r="L30" i="6"/>
  <c r="J30" i="6"/>
  <c r="F30" i="6"/>
  <c r="F29" i="6"/>
  <c r="N29" i="6" s="1"/>
  <c r="N28" i="6"/>
  <c r="J28" i="6"/>
  <c r="F28" i="6"/>
  <c r="L28" i="6" s="1"/>
  <c r="N27" i="6"/>
  <c r="L27" i="6"/>
  <c r="J27" i="6"/>
  <c r="F27" i="6"/>
  <c r="F26" i="6"/>
  <c r="N26" i="6" s="1"/>
  <c r="N25" i="6"/>
  <c r="J25" i="6"/>
  <c r="F25" i="6"/>
  <c r="L25" i="6" s="1"/>
  <c r="N24" i="6"/>
  <c r="L24" i="6"/>
  <c r="F24" i="6"/>
  <c r="J24" i="6" s="1"/>
  <c r="F23" i="6"/>
  <c r="L23" i="6" s="1"/>
  <c r="F22" i="6"/>
  <c r="L22" i="6" s="1"/>
  <c r="F21" i="6"/>
  <c r="F20" i="6"/>
  <c r="N20" i="6" s="1"/>
  <c r="N19" i="6"/>
  <c r="F19" i="6"/>
  <c r="L19" i="6" s="1"/>
  <c r="F18" i="6"/>
  <c r="N17" i="6"/>
  <c r="F17" i="6"/>
  <c r="L17" i="6" s="1"/>
  <c r="L16" i="6"/>
  <c r="J16" i="6"/>
  <c r="F16" i="6"/>
  <c r="N16" i="6" s="1"/>
  <c r="F15" i="6"/>
  <c r="L15" i="6" s="1"/>
  <c r="N14" i="6"/>
  <c r="L14" i="6"/>
  <c r="J14" i="6"/>
  <c r="F14" i="6"/>
  <c r="N13" i="6"/>
  <c r="J13" i="6"/>
  <c r="F13" i="6"/>
  <c r="L13" i="6" s="1"/>
  <c r="F12" i="6"/>
  <c r="N12" i="6" s="1"/>
  <c r="N11" i="6"/>
  <c r="L11" i="6"/>
  <c r="J11" i="6"/>
  <c r="F11" i="6"/>
  <c r="N10" i="6"/>
  <c r="J10" i="6"/>
  <c r="F10" i="6"/>
  <c r="L10" i="6" s="1"/>
  <c r="J9" i="6"/>
  <c r="F9" i="6"/>
  <c r="N9" i="6" s="1"/>
  <c r="N8" i="6"/>
  <c r="L8" i="6"/>
  <c r="J8" i="6"/>
  <c r="F8" i="6"/>
  <c r="L7" i="6"/>
  <c r="F7" i="6"/>
  <c r="I42" i="7"/>
  <c r="F40" i="7"/>
  <c r="N37" i="7"/>
  <c r="F37" i="7"/>
  <c r="L37" i="7" s="1"/>
  <c r="J36" i="7"/>
  <c r="F36" i="7"/>
  <c r="L36" i="7" s="1"/>
  <c r="F35" i="7"/>
  <c r="N35" i="7" s="1"/>
  <c r="N34" i="7"/>
  <c r="L34" i="7"/>
  <c r="J34" i="7"/>
  <c r="F34" i="7"/>
  <c r="N33" i="7"/>
  <c r="J33" i="7"/>
  <c r="F33" i="7"/>
  <c r="L33" i="7" s="1"/>
  <c r="F32" i="7"/>
  <c r="N32" i="7" s="1"/>
  <c r="N31" i="7"/>
  <c r="L31" i="7"/>
  <c r="J31" i="7"/>
  <c r="F31" i="7"/>
  <c r="N30" i="7"/>
  <c r="J30" i="7"/>
  <c r="F30" i="7"/>
  <c r="L30" i="7" s="1"/>
  <c r="F29" i="7"/>
  <c r="G27" i="7" s="1"/>
  <c r="N28" i="7"/>
  <c r="L28" i="7"/>
  <c r="J28" i="7"/>
  <c r="F28" i="7"/>
  <c r="N27" i="7"/>
  <c r="J27" i="7"/>
  <c r="F27" i="7"/>
  <c r="L27" i="7" s="1"/>
  <c r="F26" i="7"/>
  <c r="F25" i="7"/>
  <c r="L25" i="7" s="1"/>
  <c r="L24" i="7"/>
  <c r="F24" i="7"/>
  <c r="N24" i="7" s="1"/>
  <c r="F23" i="7"/>
  <c r="F22" i="7"/>
  <c r="L22" i="7" s="1"/>
  <c r="F21" i="7"/>
  <c r="N21" i="7" s="1"/>
  <c r="J20" i="7"/>
  <c r="F20" i="7"/>
  <c r="N20" i="7" s="1"/>
  <c r="N19" i="7"/>
  <c r="L19" i="7"/>
  <c r="J19" i="7"/>
  <c r="F19" i="7"/>
  <c r="N18" i="7"/>
  <c r="L18" i="7"/>
  <c r="F18" i="7"/>
  <c r="J18" i="7" s="1"/>
  <c r="L17" i="7"/>
  <c r="J17" i="7"/>
  <c r="F17" i="7"/>
  <c r="N17" i="7" s="1"/>
  <c r="N16" i="7"/>
  <c r="L16" i="7"/>
  <c r="J16" i="7"/>
  <c r="F16" i="7"/>
  <c r="N15" i="7"/>
  <c r="L15" i="7"/>
  <c r="F15" i="7"/>
  <c r="J15" i="7" s="1"/>
  <c r="L14" i="7"/>
  <c r="J14" i="7"/>
  <c r="F14" i="7"/>
  <c r="N14" i="7" s="1"/>
  <c r="F13" i="7"/>
  <c r="N13" i="7" s="1"/>
  <c r="N12" i="7"/>
  <c r="J12" i="7"/>
  <c r="F12" i="7"/>
  <c r="L12" i="7" s="1"/>
  <c r="N11" i="7"/>
  <c r="L11" i="7"/>
  <c r="J11" i="7"/>
  <c r="F11" i="7"/>
  <c r="F10" i="7"/>
  <c r="N10" i="7" s="1"/>
  <c r="N9" i="7"/>
  <c r="J9" i="7"/>
  <c r="F9" i="7"/>
  <c r="L9" i="7" s="1"/>
  <c r="N8" i="7"/>
  <c r="L8" i="7"/>
  <c r="J8" i="7"/>
  <c r="F8" i="7"/>
  <c r="L7" i="7"/>
  <c r="F7" i="7"/>
  <c r="N7" i="7" s="1"/>
  <c r="O38" i="5"/>
  <c r="I38" i="5"/>
  <c r="O35" i="5"/>
  <c r="L35" i="5"/>
  <c r="O34" i="5"/>
  <c r="L34" i="5"/>
  <c r="O33" i="5"/>
  <c r="L33" i="5"/>
  <c r="O32" i="5"/>
  <c r="L32" i="5"/>
  <c r="O31" i="5"/>
  <c r="L31" i="5"/>
  <c r="G31" i="5"/>
  <c r="O30" i="5"/>
  <c r="L30" i="5"/>
  <c r="O29" i="5"/>
  <c r="L29" i="5"/>
  <c r="O28" i="5"/>
  <c r="L28" i="5"/>
  <c r="O27" i="5"/>
  <c r="L27" i="5"/>
  <c r="O26" i="5"/>
  <c r="L26" i="5"/>
  <c r="V25" i="5"/>
  <c r="S25" i="5"/>
  <c r="P25" i="5"/>
  <c r="O25" i="5"/>
  <c r="M25" i="5"/>
  <c r="L25" i="5"/>
  <c r="J25" i="5"/>
  <c r="G25" i="5"/>
  <c r="O24" i="5"/>
  <c r="L24" i="5"/>
  <c r="O23" i="5"/>
  <c r="L23" i="5"/>
  <c r="O22" i="5"/>
  <c r="L22" i="5"/>
  <c r="O21" i="5"/>
  <c r="L21" i="5"/>
  <c r="O20" i="5"/>
  <c r="L20" i="5"/>
  <c r="O19" i="5"/>
  <c r="L19" i="5"/>
  <c r="V18" i="5"/>
  <c r="I11" i="57" s="1"/>
  <c r="S18" i="5"/>
  <c r="P18" i="5"/>
  <c r="O18" i="5"/>
  <c r="L18" i="5"/>
  <c r="J18" i="5"/>
  <c r="G18" i="5"/>
  <c r="O17" i="5"/>
  <c r="L17" i="5"/>
  <c r="I17" i="5"/>
  <c r="O16" i="5"/>
  <c r="L16" i="5"/>
  <c r="I16" i="5"/>
  <c r="O15" i="5"/>
  <c r="L15" i="5"/>
  <c r="I15" i="5"/>
  <c r="O14" i="5"/>
  <c r="L14" i="5"/>
  <c r="I14" i="5"/>
  <c r="O13" i="5"/>
  <c r="L13" i="5"/>
  <c r="I13" i="5"/>
  <c r="O12" i="5"/>
  <c r="L12" i="5"/>
  <c r="I12" i="5"/>
  <c r="V11" i="5"/>
  <c r="S11" i="5"/>
  <c r="P11" i="5"/>
  <c r="O11" i="5"/>
  <c r="M11" i="5"/>
  <c r="L11" i="5"/>
  <c r="J11" i="5"/>
  <c r="I11" i="5"/>
  <c r="G11" i="5"/>
  <c r="O10" i="5"/>
  <c r="L10" i="5"/>
  <c r="I10" i="5"/>
  <c r="O9" i="5"/>
  <c r="L9" i="5"/>
  <c r="I9" i="5"/>
  <c r="O8" i="5"/>
  <c r="L8" i="5"/>
  <c r="I8" i="5"/>
  <c r="O7" i="5"/>
  <c r="L7" i="5"/>
  <c r="I7" i="5"/>
  <c r="O6" i="5"/>
  <c r="L6" i="5"/>
  <c r="I6" i="5"/>
  <c r="W5" i="5"/>
  <c r="K11" i="57" s="1"/>
  <c r="V5" i="5"/>
  <c r="T5" i="5"/>
  <c r="S5" i="5"/>
  <c r="Q5" i="5"/>
  <c r="P5" i="5"/>
  <c r="O5" i="5"/>
  <c r="N5" i="5"/>
  <c r="M5" i="5"/>
  <c r="L5" i="5"/>
  <c r="J5" i="5"/>
  <c r="I5" i="5"/>
  <c r="K5" i="5" s="1"/>
  <c r="H5" i="5"/>
  <c r="K6" i="57" s="1"/>
  <c r="K7" i="57" s="1"/>
  <c r="G5" i="5"/>
  <c r="O38" i="3"/>
  <c r="U35" i="3"/>
  <c r="U34" i="3"/>
  <c r="U33" i="3"/>
  <c r="O33" i="3"/>
  <c r="U32" i="3"/>
  <c r="O32" i="3"/>
  <c r="U31" i="3"/>
  <c r="O31" i="3"/>
  <c r="U30" i="3"/>
  <c r="O30" i="3"/>
  <c r="U29" i="3"/>
  <c r="O29" i="3"/>
  <c r="U28" i="3"/>
  <c r="O28" i="3"/>
  <c r="V27" i="3"/>
  <c r="U27" i="3"/>
  <c r="S27" i="3"/>
  <c r="O27" i="3"/>
  <c r="U26" i="3"/>
  <c r="O26" i="3"/>
  <c r="U25" i="3"/>
  <c r="O25" i="3"/>
  <c r="M25" i="3"/>
  <c r="J25" i="3"/>
  <c r="G25" i="3"/>
  <c r="P25" i="3" s="1"/>
  <c r="U24" i="3"/>
  <c r="O24" i="3"/>
  <c r="U23" i="3"/>
  <c r="O23" i="3"/>
  <c r="U22" i="3"/>
  <c r="O22" i="3"/>
  <c r="U21" i="3"/>
  <c r="O21" i="3"/>
  <c r="U20" i="3"/>
  <c r="S20" i="3"/>
  <c r="V20" i="3" s="1"/>
  <c r="O20" i="3"/>
  <c r="U19" i="3"/>
  <c r="O19" i="3"/>
  <c r="U18" i="3"/>
  <c r="O18" i="3"/>
  <c r="M18" i="3"/>
  <c r="B8" i="57" s="1"/>
  <c r="D8" i="57" s="1"/>
  <c r="J18" i="3"/>
  <c r="B7" i="57" s="1"/>
  <c r="G18" i="3"/>
  <c r="U17" i="3"/>
  <c r="O17" i="3"/>
  <c r="U16" i="3"/>
  <c r="O16" i="3"/>
  <c r="U15" i="3"/>
  <c r="O15" i="3"/>
  <c r="U14" i="3"/>
  <c r="O14" i="3"/>
  <c r="U13" i="3"/>
  <c r="S13" i="3"/>
  <c r="V13" i="3" s="1"/>
  <c r="O13" i="3"/>
  <c r="U12" i="3"/>
  <c r="O12" i="3"/>
  <c r="U11" i="3"/>
  <c r="P11" i="3"/>
  <c r="O11" i="3"/>
  <c r="M11" i="3"/>
  <c r="J11" i="3"/>
  <c r="G11" i="3"/>
  <c r="U10" i="3"/>
  <c r="O10" i="3"/>
  <c r="U9" i="3"/>
  <c r="O9" i="3"/>
  <c r="U8" i="3"/>
  <c r="O8" i="3"/>
  <c r="U7" i="3"/>
  <c r="O7" i="3"/>
  <c r="V6" i="3"/>
  <c r="U6" i="3"/>
  <c r="S6" i="3"/>
  <c r="O6" i="3"/>
  <c r="U5" i="3"/>
  <c r="T5" i="3"/>
  <c r="S5" i="3"/>
  <c r="V5" i="3" s="1"/>
  <c r="O5" i="3"/>
  <c r="N5" i="3"/>
  <c r="M5" i="3"/>
  <c r="P5" i="3" s="1"/>
  <c r="K5" i="3"/>
  <c r="E7" i="57" s="1"/>
  <c r="J5" i="3"/>
  <c r="H5" i="3"/>
  <c r="E6" i="57" s="1"/>
  <c r="G5" i="3"/>
  <c r="D24" i="57"/>
  <c r="D23" i="57"/>
  <c r="D22" i="57"/>
  <c r="J18" i="57"/>
  <c r="D18" i="57"/>
  <c r="H17" i="57"/>
  <c r="B17" i="57"/>
  <c r="H15" i="57"/>
  <c r="B15" i="57"/>
  <c r="C15" i="57" s="1"/>
  <c r="D11" i="57"/>
  <c r="K10" i="57"/>
  <c r="I10" i="57"/>
  <c r="D10" i="57"/>
  <c r="K9" i="57"/>
  <c r="I9" i="57"/>
  <c r="C9" i="57"/>
  <c r="K8" i="57"/>
  <c r="J7" i="57"/>
  <c r="I7" i="57"/>
  <c r="H6" i="57"/>
  <c r="B6" i="57"/>
  <c r="S110" i="49"/>
  <c r="R110" i="49"/>
  <c r="J110" i="49"/>
  <c r="K110" i="49" s="1"/>
  <c r="M110" i="49" s="1"/>
  <c r="I110" i="49"/>
  <c r="G110" i="49"/>
  <c r="F110" i="49"/>
  <c r="E110" i="49"/>
  <c r="AW109" i="49"/>
  <c r="AV109" i="49"/>
  <c r="AQ109" i="49"/>
  <c r="AR109" i="49" s="1"/>
  <c r="AH109" i="49"/>
  <c r="AG109" i="49"/>
  <c r="AB109" i="49"/>
  <c r="AC109" i="49" s="1"/>
  <c r="W109" i="49"/>
  <c r="X109" i="49" s="1"/>
  <c r="S109" i="49"/>
  <c r="R109" i="49"/>
  <c r="J109" i="49"/>
  <c r="K109" i="49" s="1"/>
  <c r="M109" i="49" s="1"/>
  <c r="I109" i="49"/>
  <c r="G109" i="49"/>
  <c r="F109" i="49"/>
  <c r="E109" i="49"/>
  <c r="AW108" i="49"/>
  <c r="AV108" i="49"/>
  <c r="AR108" i="49"/>
  <c r="AQ108" i="49"/>
  <c r="AL108" i="49"/>
  <c r="AM108" i="49" s="1"/>
  <c r="AG108" i="49"/>
  <c r="AH108" i="49" s="1"/>
  <c r="AC108" i="49"/>
  <c r="AB108" i="49"/>
  <c r="X108" i="49"/>
  <c r="W108" i="49"/>
  <c r="S108" i="49"/>
  <c r="R108" i="49"/>
  <c r="M108" i="49"/>
  <c r="K108" i="49"/>
  <c r="J108" i="49"/>
  <c r="I108" i="49"/>
  <c r="F108" i="49"/>
  <c r="E108" i="49"/>
  <c r="AX107" i="49"/>
  <c r="AW107" i="49"/>
  <c r="AV107" i="49"/>
  <c r="AQ107" i="49"/>
  <c r="AN107" i="49"/>
  <c r="AL107" i="49"/>
  <c r="AM107" i="49" s="1"/>
  <c r="AG107" i="49"/>
  <c r="AD107" i="49"/>
  <c r="AC107" i="49"/>
  <c r="AB107" i="49"/>
  <c r="W107" i="49"/>
  <c r="T107" i="49"/>
  <c r="R107" i="49"/>
  <c r="S107" i="49" s="1"/>
  <c r="K107" i="49"/>
  <c r="J107" i="49"/>
  <c r="I107" i="49"/>
  <c r="F107" i="49"/>
  <c r="E107" i="49"/>
  <c r="G107" i="49" s="1"/>
  <c r="AV90" i="49"/>
  <c r="AW90" i="49" s="1"/>
  <c r="AQ90" i="49"/>
  <c r="AR90" i="49" s="1"/>
  <c r="AM90" i="49"/>
  <c r="AL90" i="49"/>
  <c r="AH90" i="49"/>
  <c r="AG90" i="49"/>
  <c r="AC90" i="49"/>
  <c r="AB90" i="49"/>
  <c r="X90" i="49"/>
  <c r="W90" i="49"/>
  <c r="R90" i="49"/>
  <c r="S90" i="49" s="1"/>
  <c r="K90" i="49"/>
  <c r="M90" i="49" s="1"/>
  <c r="J90" i="49"/>
  <c r="I90" i="49"/>
  <c r="F90" i="49"/>
  <c r="E90" i="49"/>
  <c r="G90" i="49" s="1"/>
  <c r="AV89" i="49"/>
  <c r="AW89" i="49" s="1"/>
  <c r="AR89" i="49"/>
  <c r="AQ89" i="49"/>
  <c r="AM89" i="49"/>
  <c r="AL89" i="49"/>
  <c r="AG89" i="49"/>
  <c r="AH89" i="49" s="1"/>
  <c r="AC89" i="49"/>
  <c r="AB89" i="49"/>
  <c r="W89" i="49"/>
  <c r="X89" i="49" s="1"/>
  <c r="R89" i="49"/>
  <c r="J89" i="49"/>
  <c r="I89" i="49"/>
  <c r="F89" i="49"/>
  <c r="G89" i="49" s="1"/>
  <c r="E89" i="49"/>
  <c r="AW88" i="49"/>
  <c r="AV88" i="49"/>
  <c r="AR88" i="49"/>
  <c r="AQ88" i="49"/>
  <c r="AM88" i="49"/>
  <c r="AL88" i="49"/>
  <c r="AG88" i="49"/>
  <c r="AH88" i="49" s="1"/>
  <c r="AB88" i="49"/>
  <c r="AC88" i="49" s="1"/>
  <c r="X88" i="49"/>
  <c r="W88" i="49"/>
  <c r="S88" i="49"/>
  <c r="R88" i="49"/>
  <c r="K88" i="49" s="1"/>
  <c r="M88" i="49" s="1"/>
  <c r="J88" i="49"/>
  <c r="I88" i="49"/>
  <c r="F88" i="49"/>
  <c r="G88" i="49" s="1"/>
  <c r="E88" i="49"/>
  <c r="AX87" i="49"/>
  <c r="AW87" i="49"/>
  <c r="AV87" i="49"/>
  <c r="AQ87" i="49"/>
  <c r="AS87" i="49" s="1"/>
  <c r="AM87" i="49"/>
  <c r="AL87" i="49"/>
  <c r="AN87" i="49" s="1"/>
  <c r="AH87" i="49"/>
  <c r="AG87" i="49"/>
  <c r="AI87" i="49" s="1"/>
  <c r="AD87" i="49"/>
  <c r="AC87" i="49"/>
  <c r="AB87" i="49"/>
  <c r="W87" i="49"/>
  <c r="Y87" i="49" s="1"/>
  <c r="S87" i="49"/>
  <c r="R87" i="49"/>
  <c r="T87" i="49" s="1"/>
  <c r="J87" i="49"/>
  <c r="I87" i="49"/>
  <c r="F87" i="49"/>
  <c r="E87" i="49"/>
  <c r="G87" i="49" s="1"/>
  <c r="AW70" i="49"/>
  <c r="AV70" i="49"/>
  <c r="AR70" i="49"/>
  <c r="AQ70" i="49"/>
  <c r="AM70" i="49"/>
  <c r="AL70" i="49"/>
  <c r="AH70" i="49"/>
  <c r="AG70" i="49"/>
  <c r="AB70" i="49"/>
  <c r="AC70" i="49" s="1"/>
  <c r="W70" i="49"/>
  <c r="X70" i="49" s="1"/>
  <c r="S70" i="49"/>
  <c r="R70" i="49"/>
  <c r="K70" i="49" s="1"/>
  <c r="M70" i="49" s="1"/>
  <c r="J70" i="49"/>
  <c r="I70" i="49"/>
  <c r="G70" i="49"/>
  <c r="F70" i="49"/>
  <c r="E70" i="49"/>
  <c r="AW69" i="49"/>
  <c r="AV69" i="49"/>
  <c r="AQ69" i="49"/>
  <c r="AR69" i="49" s="1"/>
  <c r="AM69" i="49"/>
  <c r="AL69" i="49"/>
  <c r="AG69" i="49"/>
  <c r="AH69" i="49" s="1"/>
  <c r="AB69" i="49"/>
  <c r="AC69" i="49" s="1"/>
  <c r="X69" i="49"/>
  <c r="W69" i="49"/>
  <c r="S69" i="49"/>
  <c r="R69" i="49"/>
  <c r="K69" i="49"/>
  <c r="M69" i="49" s="1"/>
  <c r="J69" i="49"/>
  <c r="I69" i="49"/>
  <c r="F69" i="49"/>
  <c r="G69" i="49" s="1"/>
  <c r="E69" i="49"/>
  <c r="AW68" i="49"/>
  <c r="AV68" i="49"/>
  <c r="AQ68" i="49"/>
  <c r="AR68" i="49" s="1"/>
  <c r="AL68" i="49"/>
  <c r="AM68" i="49" s="1"/>
  <c r="AH68" i="49"/>
  <c r="AG68" i="49"/>
  <c r="AC68" i="49"/>
  <c r="AB68" i="49"/>
  <c r="X68" i="49"/>
  <c r="W68" i="49"/>
  <c r="S68" i="49"/>
  <c r="R68" i="49"/>
  <c r="K68" i="49" s="1"/>
  <c r="M68" i="49" s="1"/>
  <c r="J68" i="49"/>
  <c r="I68" i="49"/>
  <c r="G68" i="49"/>
  <c r="F68" i="49"/>
  <c r="E68" i="49"/>
  <c r="AX67" i="49"/>
  <c r="AW67" i="49"/>
  <c r="AV67" i="49"/>
  <c r="AS67" i="49"/>
  <c r="AR67" i="49"/>
  <c r="AQ67" i="49"/>
  <c r="AL67" i="49"/>
  <c r="AN67" i="49" s="1"/>
  <c r="AI67" i="49"/>
  <c r="AH67" i="49"/>
  <c r="AG67" i="49"/>
  <c r="AD67" i="49"/>
  <c r="AC67" i="49"/>
  <c r="AB67" i="49"/>
  <c r="Y67" i="49"/>
  <c r="X67" i="49"/>
  <c r="W67" i="49"/>
  <c r="R67" i="49"/>
  <c r="K67" i="49" s="1"/>
  <c r="L67" i="49" s="1"/>
  <c r="J67" i="49"/>
  <c r="I67" i="49"/>
  <c r="G67" i="49"/>
  <c r="H67" i="49" s="1"/>
  <c r="F67" i="49"/>
  <c r="E67" i="49"/>
  <c r="AQ50" i="49"/>
  <c r="AM50" i="49"/>
  <c r="AL50" i="49"/>
  <c r="AG50" i="49"/>
  <c r="AB50" i="49"/>
  <c r="AC48" i="49" s="1"/>
  <c r="X50" i="49"/>
  <c r="W50" i="49"/>
  <c r="R50" i="49"/>
  <c r="K50" i="49" s="1"/>
  <c r="J50" i="49"/>
  <c r="I50" i="49"/>
  <c r="F50" i="49"/>
  <c r="G50" i="49" s="1"/>
  <c r="E50" i="49"/>
  <c r="AQ49" i="49"/>
  <c r="AL49" i="49"/>
  <c r="AM49" i="49" s="1"/>
  <c r="AG49" i="49"/>
  <c r="AH49" i="49" s="1"/>
  <c r="AB49" i="49"/>
  <c r="W49" i="49"/>
  <c r="R49" i="49"/>
  <c r="J49" i="49"/>
  <c r="I49" i="49"/>
  <c r="F49" i="49"/>
  <c r="G49" i="49" s="1"/>
  <c r="E49" i="49"/>
  <c r="AV48" i="49"/>
  <c r="K48" i="49" s="1"/>
  <c r="AQ48" i="49"/>
  <c r="AR49" i="49" s="1"/>
  <c r="AM48" i="49"/>
  <c r="AL48" i="49"/>
  <c r="AG48" i="49"/>
  <c r="AB48" i="49"/>
  <c r="X48" i="49"/>
  <c r="W48" i="49"/>
  <c r="X49" i="49" s="1"/>
  <c r="R48" i="49"/>
  <c r="S48" i="49" s="1"/>
  <c r="J48" i="49"/>
  <c r="I48" i="49"/>
  <c r="F48" i="49"/>
  <c r="E48" i="49"/>
  <c r="G48" i="49" s="1"/>
  <c r="AX47" i="49"/>
  <c r="AQ47" i="49"/>
  <c r="AS47" i="49" s="1"/>
  <c r="AN47" i="49"/>
  <c r="AM47" i="49"/>
  <c r="AL47" i="49"/>
  <c r="AG47" i="49"/>
  <c r="AH48" i="49" s="1"/>
  <c r="AC47" i="49"/>
  <c r="AB47" i="49"/>
  <c r="AD47" i="49" s="1"/>
  <c r="W47" i="49"/>
  <c r="Y47" i="49" s="1"/>
  <c r="S47" i="49"/>
  <c r="R47" i="49"/>
  <c r="J47" i="49"/>
  <c r="I47" i="49"/>
  <c r="F47" i="49"/>
  <c r="G47" i="49" s="1"/>
  <c r="E47" i="49"/>
  <c r="AW30" i="49"/>
  <c r="AV30" i="49"/>
  <c r="AQ30" i="49"/>
  <c r="AR30" i="49" s="1"/>
  <c r="AL30" i="49"/>
  <c r="AN27" i="49" s="1"/>
  <c r="AH30" i="49"/>
  <c r="AG30" i="49"/>
  <c r="AH27" i="49" s="1"/>
  <c r="AB30" i="49"/>
  <c r="W30" i="49"/>
  <c r="S30" i="49"/>
  <c r="R30" i="49"/>
  <c r="K30" i="49" s="1"/>
  <c r="J30" i="49"/>
  <c r="I30" i="49"/>
  <c r="G30" i="49"/>
  <c r="F30" i="49"/>
  <c r="E30" i="49"/>
  <c r="AV29" i="49"/>
  <c r="AW29" i="49" s="1"/>
  <c r="AQ29" i="49"/>
  <c r="AS27" i="49" s="1"/>
  <c r="AL29" i="49"/>
  <c r="AG29" i="49"/>
  <c r="AB29" i="49"/>
  <c r="AC29" i="49" s="1"/>
  <c r="W29" i="49"/>
  <c r="R29" i="49"/>
  <c r="S29" i="49" s="1"/>
  <c r="J29" i="49"/>
  <c r="I29" i="49"/>
  <c r="F29" i="49"/>
  <c r="E29" i="49"/>
  <c r="G29" i="49" s="1"/>
  <c r="AW28" i="49"/>
  <c r="AV28" i="49"/>
  <c r="AQ28" i="49"/>
  <c r="AL28" i="49"/>
  <c r="AH28" i="49"/>
  <c r="AG28" i="49"/>
  <c r="AH29" i="49" s="1"/>
  <c r="AB28" i="49"/>
  <c r="AC28" i="49" s="1"/>
  <c r="W28" i="49"/>
  <c r="X29" i="49" s="1"/>
  <c r="S28" i="49"/>
  <c r="R28" i="49"/>
  <c r="K28" i="49" s="1"/>
  <c r="J28" i="49"/>
  <c r="I28" i="49"/>
  <c r="G28" i="49"/>
  <c r="F28" i="49"/>
  <c r="E28" i="49"/>
  <c r="AV27" i="49"/>
  <c r="AX27" i="49" s="1"/>
  <c r="AQ27" i="49"/>
  <c r="AR28" i="49" s="1"/>
  <c r="AL27" i="49"/>
  <c r="AI27" i="49"/>
  <c r="AG27" i="49"/>
  <c r="AB27" i="49"/>
  <c r="AC30" i="49" s="1"/>
  <c r="Y27" i="49"/>
  <c r="W27" i="49"/>
  <c r="K27" i="49" s="1"/>
  <c r="R27" i="49"/>
  <c r="J27" i="49"/>
  <c r="I27" i="49"/>
  <c r="G27" i="49"/>
  <c r="F27" i="49"/>
  <c r="E27" i="49"/>
  <c r="AV10" i="49"/>
  <c r="AX7" i="49" s="1"/>
  <c r="AR10" i="49"/>
  <c r="AQ10" i="49"/>
  <c r="AL10" i="49"/>
  <c r="AG10" i="49"/>
  <c r="AC10" i="49"/>
  <c r="AB10" i="49"/>
  <c r="W10" i="49"/>
  <c r="X10" i="49" s="1"/>
  <c r="R10" i="49"/>
  <c r="S8" i="49" s="1"/>
  <c r="K10" i="49"/>
  <c r="J10" i="49"/>
  <c r="I10" i="49"/>
  <c r="F10" i="49"/>
  <c r="E10" i="49"/>
  <c r="G10" i="49" s="1"/>
  <c r="AV9" i="49"/>
  <c r="AQ9" i="49"/>
  <c r="AL9" i="49"/>
  <c r="AG9" i="49"/>
  <c r="AB9" i="49"/>
  <c r="AC9" i="49" s="1"/>
  <c r="W9" i="49"/>
  <c r="R9" i="49"/>
  <c r="J9" i="49"/>
  <c r="I9" i="49"/>
  <c r="G9" i="49"/>
  <c r="F9" i="49"/>
  <c r="E9" i="49"/>
  <c r="AV8" i="49"/>
  <c r="AQ8" i="49"/>
  <c r="AL8" i="49"/>
  <c r="AM8" i="49" s="1"/>
  <c r="AG8" i="49"/>
  <c r="AC8" i="49"/>
  <c r="AB8" i="49"/>
  <c r="AC7" i="49" s="1"/>
  <c r="W8" i="49"/>
  <c r="R8" i="49"/>
  <c r="K8" i="49"/>
  <c r="J8" i="49"/>
  <c r="I8" i="49"/>
  <c r="F8" i="49"/>
  <c r="E8" i="49"/>
  <c r="AV7" i="49"/>
  <c r="AQ7" i="49"/>
  <c r="AL7" i="49"/>
  <c r="AG7" i="49"/>
  <c r="AD7" i="49"/>
  <c r="AB7" i="49"/>
  <c r="W7" i="49"/>
  <c r="R7" i="49"/>
  <c r="S7" i="49" s="1"/>
  <c r="K7" i="49"/>
  <c r="J7" i="49"/>
  <c r="I7" i="49"/>
  <c r="F7" i="49"/>
  <c r="E7" i="49"/>
  <c r="G7" i="49" s="1"/>
  <c r="U2" i="49"/>
  <c r="Z2" i="49" s="1"/>
  <c r="AE2" i="49" s="1"/>
  <c r="AJ2" i="49" s="1"/>
  <c r="AO2" i="49" s="1"/>
  <c r="AT2" i="49" s="1"/>
  <c r="P22" i="49" s="1"/>
  <c r="U22" i="49" s="1"/>
  <c r="Z22" i="49" s="1"/>
  <c r="Z42" i="49" s="1"/>
  <c r="Z62" i="49" s="1"/>
  <c r="Z82" i="49" s="1"/>
  <c r="AW48" i="49" l="1"/>
  <c r="AW47" i="49"/>
  <c r="AW50" i="49"/>
  <c r="M66" i="48"/>
  <c r="AW53" i="48"/>
  <c r="AW62" i="48"/>
  <c r="AW68" i="48"/>
  <c r="AW54" i="48"/>
  <c r="N22" i="6"/>
  <c r="J23" i="6"/>
  <c r="J20" i="6"/>
  <c r="L20" i="6"/>
  <c r="N23" i="6"/>
  <c r="B9" i="57"/>
  <c r="D9" i="57" s="1"/>
  <c r="P18" i="3"/>
  <c r="C16" i="57"/>
  <c r="E16" i="57" s="1"/>
  <c r="L21" i="7"/>
  <c r="C17" i="57"/>
  <c r="E17" i="57" s="1"/>
  <c r="N25" i="7"/>
  <c r="N22" i="7"/>
  <c r="J24" i="7"/>
  <c r="G20" i="7"/>
  <c r="J21" i="7"/>
  <c r="J36" i="56"/>
  <c r="F35" i="56"/>
  <c r="H35" i="56"/>
  <c r="L35" i="56"/>
  <c r="I8" i="57"/>
  <c r="D36" i="56"/>
  <c r="F36" i="56"/>
  <c r="M30" i="51"/>
  <c r="K30" i="51" s="1"/>
  <c r="M14" i="51"/>
  <c r="K14" i="51" s="1"/>
  <c r="M14" i="50"/>
  <c r="K14" i="50" s="1"/>
  <c r="M14" i="20"/>
  <c r="K14" i="20" s="1"/>
  <c r="M14" i="19"/>
  <c r="K14" i="19" s="1"/>
  <c r="M30" i="19"/>
  <c r="K30" i="19" s="1"/>
  <c r="AD8" i="52"/>
  <c r="F9" i="40" s="1"/>
  <c r="AG9" i="52"/>
  <c r="M9" i="40" s="1"/>
  <c r="AH10" i="48"/>
  <c r="AH23" i="48"/>
  <c r="AH17" i="48"/>
  <c r="AH8" i="48"/>
  <c r="AH15" i="48"/>
  <c r="AH20" i="48"/>
  <c r="AH11" i="48"/>
  <c r="AH18" i="48"/>
  <c r="AH9" i="48"/>
  <c r="AH14" i="48"/>
  <c r="AI7" i="48"/>
  <c r="AH21" i="48"/>
  <c r="AH7" i="48"/>
  <c r="AH12" i="48"/>
  <c r="K49" i="49"/>
  <c r="M49" i="49" s="1"/>
  <c r="S49" i="49"/>
  <c r="T47" i="49"/>
  <c r="S89" i="49"/>
  <c r="K89" i="49"/>
  <c r="M89" i="49" s="1"/>
  <c r="X8" i="49"/>
  <c r="Y7" i="49"/>
  <c r="X7" i="49"/>
  <c r="M67" i="49"/>
  <c r="AH107" i="49"/>
  <c r="AI107" i="49"/>
  <c r="AM9" i="48"/>
  <c r="AM11" i="48"/>
  <c r="AC12" i="48"/>
  <c r="AC17" i="48"/>
  <c r="AM19" i="48"/>
  <c r="AM20" i="48"/>
  <c r="M28" i="49"/>
  <c r="AH19" i="48"/>
  <c r="AE22" i="49"/>
  <c r="K29" i="49"/>
  <c r="M29" i="49" s="1"/>
  <c r="I43" i="7"/>
  <c r="N40" i="7"/>
  <c r="J40" i="7"/>
  <c r="AE25" i="48"/>
  <c r="Z48" i="48"/>
  <c r="Z71" i="48" s="1"/>
  <c r="Z94" i="48" s="1"/>
  <c r="AM15" i="48"/>
  <c r="AM22" i="48"/>
  <c r="AM16" i="48"/>
  <c r="AM14" i="48"/>
  <c r="AM7" i="48"/>
  <c r="AM21" i="48"/>
  <c r="AM12" i="48"/>
  <c r="AM8" i="48"/>
  <c r="AC15" i="48"/>
  <c r="AM18" i="48"/>
  <c r="AM23" i="48"/>
  <c r="AH41" i="48"/>
  <c r="K9" i="49"/>
  <c r="M9" i="49" s="1"/>
  <c r="H47" i="49"/>
  <c r="AH50" i="49"/>
  <c r="H7" i="7"/>
  <c r="J23" i="7"/>
  <c r="N23" i="7"/>
  <c r="L23" i="7"/>
  <c r="AM17" i="48"/>
  <c r="K55" i="48"/>
  <c r="M55" i="48" s="1"/>
  <c r="S55" i="48"/>
  <c r="S62" i="48"/>
  <c r="T53" i="48"/>
  <c r="I15" i="57"/>
  <c r="I17" i="57"/>
  <c r="K17" i="57" s="1"/>
  <c r="D7" i="57"/>
  <c r="I16" i="57"/>
  <c r="K16" i="57" s="1"/>
  <c r="AS107" i="49"/>
  <c r="AR107" i="49"/>
  <c r="J21" i="6"/>
  <c r="G20" i="6"/>
  <c r="N21" i="6"/>
  <c r="L21" i="6"/>
  <c r="AM62" i="48"/>
  <c r="AM59" i="48"/>
  <c r="AM66" i="48"/>
  <c r="AM63" i="48"/>
  <c r="AN53" i="48"/>
  <c r="AM53" i="48"/>
  <c r="AM55" i="48"/>
  <c r="AM54" i="48"/>
  <c r="AM10" i="49"/>
  <c r="X9" i="49"/>
  <c r="H27" i="49"/>
  <c r="L27" i="49"/>
  <c r="H87" i="49"/>
  <c r="AH9" i="49"/>
  <c r="AH10" i="49"/>
  <c r="AH7" i="49"/>
  <c r="AI7" i="49"/>
  <c r="C18" i="57"/>
  <c r="E15" i="57"/>
  <c r="AS7" i="49"/>
  <c r="AR7" i="49"/>
  <c r="AR9" i="49"/>
  <c r="AH8" i="49"/>
  <c r="S50" i="49"/>
  <c r="M107" i="49"/>
  <c r="L107" i="49"/>
  <c r="W5" i="3"/>
  <c r="Q5" i="3"/>
  <c r="E8" i="57"/>
  <c r="E9" i="57" s="1"/>
  <c r="AN7" i="49"/>
  <c r="AM9" i="49"/>
  <c r="AW32" i="48"/>
  <c r="AW42" i="48"/>
  <c r="AW40" i="48"/>
  <c r="AR27" i="49"/>
  <c r="AR29" i="49"/>
  <c r="G8" i="49"/>
  <c r="H7" i="49" s="1"/>
  <c r="AR8" i="49"/>
  <c r="Y107" i="49"/>
  <c r="X107" i="49"/>
  <c r="G108" i="49"/>
  <c r="H107" i="49" s="1"/>
  <c r="N26" i="7"/>
  <c r="L26" i="7"/>
  <c r="J26" i="7"/>
  <c r="L18" i="6"/>
  <c r="H7" i="6"/>
  <c r="J18" i="6"/>
  <c r="N18" i="6"/>
  <c r="X16" i="48"/>
  <c r="X18" i="48"/>
  <c r="AR23" i="48"/>
  <c r="AH31" i="48"/>
  <c r="K33" i="48"/>
  <c r="S37" i="48"/>
  <c r="AW38" i="48"/>
  <c r="AH40" i="48"/>
  <c r="AW43" i="48"/>
  <c r="AR44" i="48"/>
  <c r="AM67" i="48"/>
  <c r="AM69" i="48"/>
  <c r="S10" i="49"/>
  <c r="AW10" i="49"/>
  <c r="AC27" i="49"/>
  <c r="AW27" i="49"/>
  <c r="X28" i="49"/>
  <c r="AM30" i="49"/>
  <c r="AR48" i="49"/>
  <c r="AC50" i="49"/>
  <c r="S67" i="49"/>
  <c r="AM67" i="49"/>
  <c r="K87" i="49"/>
  <c r="D6" i="57"/>
  <c r="L20" i="7"/>
  <c r="J29" i="7"/>
  <c r="J32" i="7"/>
  <c r="J35" i="7"/>
  <c r="J12" i="6"/>
  <c r="J15" i="6"/>
  <c r="J40" i="6"/>
  <c r="AR8" i="48"/>
  <c r="AR17" i="48"/>
  <c r="AW23" i="48"/>
  <c r="AR30" i="48"/>
  <c r="AM35" i="48"/>
  <c r="AC36" i="48"/>
  <c r="AW39" i="48"/>
  <c r="AC55" i="48"/>
  <c r="S56" i="48"/>
  <c r="K56" i="48"/>
  <c r="M56" i="48" s="1"/>
  <c r="AR64" i="48"/>
  <c r="AR65" i="48"/>
  <c r="AR67" i="48"/>
  <c r="AD27" i="49"/>
  <c r="X47" i="49"/>
  <c r="AR47" i="49"/>
  <c r="T67" i="49"/>
  <c r="L29" i="7"/>
  <c r="L32" i="7"/>
  <c r="L35" i="7"/>
  <c r="L12" i="6"/>
  <c r="N15" i="6"/>
  <c r="AC9" i="48"/>
  <c r="X11" i="48"/>
  <c r="AW15" i="48"/>
  <c r="AC16" i="48"/>
  <c r="AC18" i="48"/>
  <c r="X20" i="48"/>
  <c r="S30" i="48"/>
  <c r="AX30" i="48"/>
  <c r="AW30" i="48"/>
  <c r="AC32" i="48"/>
  <c r="S33" i="48"/>
  <c r="AW34" i="48"/>
  <c r="AR35" i="48"/>
  <c r="AH36" i="48"/>
  <c r="X37" i="48"/>
  <c r="S38" i="48"/>
  <c r="AM40" i="48"/>
  <c r="AC41" i="48"/>
  <c r="AW44" i="48"/>
  <c r="AH45" i="48"/>
  <c r="X56" i="48"/>
  <c r="M99" i="48"/>
  <c r="L99" i="48"/>
  <c r="AR15" i="48"/>
  <c r="AM7" i="49"/>
  <c r="N29" i="7"/>
  <c r="L9" i="6"/>
  <c r="J19" i="6"/>
  <c r="J22" i="6"/>
  <c r="L34" i="6"/>
  <c r="AN7" i="48"/>
  <c r="AR10" i="48"/>
  <c r="AH16" i="48"/>
  <c r="AR19" i="48"/>
  <c r="X22" i="48"/>
  <c r="T30" i="48"/>
  <c r="AS30" i="48"/>
  <c r="AR31" i="48"/>
  <c r="AR33" i="48"/>
  <c r="AH32" i="48"/>
  <c r="AW35" i="48"/>
  <c r="AC37" i="48"/>
  <c r="G40" i="48"/>
  <c r="AR40" i="48"/>
  <c r="K43" i="48"/>
  <c r="M40" i="48" s="1"/>
  <c r="AC56" i="48"/>
  <c r="T7" i="49"/>
  <c r="S9" i="49"/>
  <c r="AW9" i="49"/>
  <c r="AM29" i="49"/>
  <c r="AC49" i="49"/>
  <c r="G7" i="7"/>
  <c r="G7" i="6"/>
  <c r="G13" i="6"/>
  <c r="AC11" i="48"/>
  <c r="AR12" i="48"/>
  <c r="X13" i="48"/>
  <c r="X15" i="48"/>
  <c r="AC20" i="48"/>
  <c r="AR21" i="48"/>
  <c r="AC22" i="48"/>
  <c r="AW31" i="48"/>
  <c r="X33" i="48"/>
  <c r="S34" i="48"/>
  <c r="AM36" i="48"/>
  <c r="AH37" i="48"/>
  <c r="X38" i="48"/>
  <c r="S42" i="48"/>
  <c r="AM45" i="48"/>
  <c r="AC57" i="48"/>
  <c r="AR14" i="48"/>
  <c r="AW19" i="48"/>
  <c r="AW21" i="48"/>
  <c r="AH22" i="48"/>
  <c r="AC38" i="48"/>
  <c r="S44" i="48"/>
  <c r="K53" i="48"/>
  <c r="M54" i="48" s="1"/>
  <c r="AM56" i="48"/>
  <c r="J7" i="7"/>
  <c r="J10" i="7"/>
  <c r="G13" i="7"/>
  <c r="N36" i="7"/>
  <c r="J7" i="6"/>
  <c r="J26" i="6"/>
  <c r="J29" i="6"/>
  <c r="J32" i="6"/>
  <c r="AR7" i="48"/>
  <c r="X8" i="48"/>
  <c r="AW12" i="48"/>
  <c r="AC13" i="48"/>
  <c r="K14" i="48"/>
  <c r="M14" i="48" s="1"/>
  <c r="AD30" i="48"/>
  <c r="AC43" i="48"/>
  <c r="AC30" i="48"/>
  <c r="G32" i="48"/>
  <c r="H30" i="48" s="1"/>
  <c r="AR32" i="48"/>
  <c r="AH33" i="48"/>
  <c r="AR37" i="48"/>
  <c r="S39" i="48"/>
  <c r="AM41" i="48"/>
  <c r="AC42" i="48"/>
  <c r="X43" i="48"/>
  <c r="AR45" i="48"/>
  <c r="S60" i="48"/>
  <c r="S27" i="49"/>
  <c r="AM28" i="49"/>
  <c r="L10" i="7"/>
  <c r="J13" i="7"/>
  <c r="L26" i="6"/>
  <c r="L29" i="6"/>
  <c r="L32" i="6"/>
  <c r="Y7" i="48"/>
  <c r="AH13" i="48"/>
  <c r="AW14" i="48"/>
  <c r="AR16" i="48"/>
  <c r="X23" i="48"/>
  <c r="AI30" i="48"/>
  <c r="AM33" i="48"/>
  <c r="AC34" i="48"/>
  <c r="AW36" i="48"/>
  <c r="AW37" i="48"/>
  <c r="AH38" i="48"/>
  <c r="S40" i="48"/>
  <c r="AR41" i="48"/>
  <c r="X44" i="48"/>
  <c r="X59" i="48"/>
  <c r="K59" i="48"/>
  <c r="M59" i="48" s="1"/>
  <c r="X54" i="48"/>
  <c r="X60" i="48"/>
  <c r="S63" i="48"/>
  <c r="AW8" i="49"/>
  <c r="AM27" i="49"/>
  <c r="K47" i="49"/>
  <c r="AR50" i="49"/>
  <c r="T27" i="49"/>
  <c r="AH47" i="49"/>
  <c r="X87" i="49"/>
  <c r="AR87" i="49"/>
  <c r="L13" i="7"/>
  <c r="J22" i="7"/>
  <c r="J25" i="7"/>
  <c r="J37" i="7"/>
  <c r="N7" i="6"/>
  <c r="J17" i="6"/>
  <c r="X7" i="48"/>
  <c r="AW7" i="48"/>
  <c r="AC8" i="48"/>
  <c r="AR9" i="48"/>
  <c r="X10" i="48"/>
  <c r="X12" i="48"/>
  <c r="AR18" i="48"/>
  <c r="X19" i="48"/>
  <c r="X21" i="48"/>
  <c r="AC23" i="48"/>
  <c r="AH30" i="48"/>
  <c r="S31" i="48"/>
  <c r="K32" i="48"/>
  <c r="M37" i="48" s="1"/>
  <c r="S35" i="48"/>
  <c r="AC39" i="48"/>
  <c r="AH42" i="48"/>
  <c r="AH43" i="48"/>
  <c r="AC44" i="48"/>
  <c r="AW45" i="48"/>
  <c r="AC67" i="48"/>
  <c r="AC61" i="48"/>
  <c r="AC53" i="48"/>
  <c r="AC58" i="48"/>
  <c r="AC62" i="48"/>
  <c r="AC69" i="48"/>
  <c r="AC59" i="48"/>
  <c r="AC60" i="48"/>
  <c r="X62" i="48"/>
  <c r="S64" i="48"/>
  <c r="S67" i="48"/>
  <c r="S69" i="48"/>
  <c r="X30" i="49"/>
  <c r="AW7" i="49"/>
  <c r="AI47" i="49"/>
  <c r="G27" i="6"/>
  <c r="AX7" i="48"/>
  <c r="AR11" i="48"/>
  <c r="AM13" i="48"/>
  <c r="AW16" i="48"/>
  <c r="AR20" i="48"/>
  <c r="AR22" i="48"/>
  <c r="X31" i="48"/>
  <c r="Y30" i="48"/>
  <c r="AW33" i="48"/>
  <c r="AH34" i="48"/>
  <c r="X35" i="48"/>
  <c r="AH39" i="48"/>
  <c r="X40" i="48"/>
  <c r="AW41" i="48"/>
  <c r="AM42" i="48"/>
  <c r="AM43" i="48"/>
  <c r="AH44" i="48"/>
  <c r="AD53" i="48"/>
  <c r="AM58" i="48"/>
  <c r="X64" i="48"/>
  <c r="X65" i="48"/>
  <c r="X27" i="49"/>
  <c r="AC7" i="48"/>
  <c r="AC10" i="48"/>
  <c r="X14" i="48"/>
  <c r="AC19" i="48"/>
  <c r="AW22" i="48"/>
  <c r="AM30" i="48"/>
  <c r="S32" i="48"/>
  <c r="AC35" i="48"/>
  <c r="AR42" i="48"/>
  <c r="S45" i="48"/>
  <c r="AM60" i="48"/>
  <c r="AC63" i="48"/>
  <c r="AC64" i="48"/>
  <c r="AC65" i="48"/>
  <c r="AC66" i="48"/>
  <c r="X68" i="48"/>
  <c r="AI53" i="48"/>
  <c r="K58" i="48"/>
  <c r="M58" i="48" s="1"/>
  <c r="S59" i="48"/>
  <c r="AM61" i="48"/>
  <c r="AH64" i="48"/>
  <c r="Y76" i="48"/>
  <c r="U12" i="52"/>
  <c r="T12" i="52"/>
  <c r="AM64" i="48"/>
  <c r="T99" i="48"/>
  <c r="K103" i="48"/>
  <c r="M103" i="48" s="1"/>
  <c r="AH122" i="48"/>
  <c r="G129" i="48"/>
  <c r="AM57" i="48"/>
  <c r="AH60" i="48"/>
  <c r="K61" i="48"/>
  <c r="M61" i="48" s="1"/>
  <c r="S65" i="48"/>
  <c r="S68" i="48"/>
  <c r="AC76" i="48"/>
  <c r="G77" i="48"/>
  <c r="S53" i="48"/>
  <c r="X55" i="48"/>
  <c r="S58" i="48"/>
  <c r="AH63" i="48"/>
  <c r="K64" i="48"/>
  <c r="M64" i="48" s="1"/>
  <c r="K67" i="48"/>
  <c r="M67" i="48" s="1"/>
  <c r="K113" i="48"/>
  <c r="M113" i="48" s="1"/>
  <c r="S113" i="48"/>
  <c r="S123" i="48"/>
  <c r="K123" i="48"/>
  <c r="M123" i="48" s="1"/>
  <c r="U21" i="52"/>
  <c r="T21" i="52"/>
  <c r="U5" i="55"/>
  <c r="F5" i="55"/>
  <c r="AR53" i="48"/>
  <c r="AH56" i="48"/>
  <c r="AH76" i="48"/>
  <c r="AW99" i="48"/>
  <c r="S101" i="48"/>
  <c r="L122" i="48"/>
  <c r="G124" i="48"/>
  <c r="U7" i="52"/>
  <c r="T7" i="52"/>
  <c r="T9" i="52"/>
  <c r="U9" i="52"/>
  <c r="F9" i="55"/>
  <c r="AG8" i="55" s="1"/>
  <c r="L10" i="40" s="1"/>
  <c r="U9" i="55"/>
  <c r="F15" i="55"/>
  <c r="U15" i="55"/>
  <c r="X53" i="48"/>
  <c r="AS53" i="48"/>
  <c r="S54" i="48"/>
  <c r="X58" i="48"/>
  <c r="AH59" i="48"/>
  <c r="K60" i="48"/>
  <c r="M60" i="48" s="1"/>
  <c r="S61" i="48"/>
  <c r="AR69" i="48"/>
  <c r="K76" i="48"/>
  <c r="K77" i="48"/>
  <c r="M77" i="48" s="1"/>
  <c r="G83" i="48"/>
  <c r="S84" i="48"/>
  <c r="K90" i="48"/>
  <c r="M90" i="48" s="1"/>
  <c r="S90" i="48"/>
  <c r="K111" i="48"/>
  <c r="M111" i="48" s="1"/>
  <c r="G112" i="48"/>
  <c r="K126" i="48"/>
  <c r="M126" i="48" s="1"/>
  <c r="S126" i="48"/>
  <c r="G133" i="48"/>
  <c r="U18" i="52"/>
  <c r="T18" i="52"/>
  <c r="F21" i="55"/>
  <c r="U21" i="55"/>
  <c r="K45" i="48"/>
  <c r="M45" i="48" s="1"/>
  <c r="Y53" i="48"/>
  <c r="U8" i="52"/>
  <c r="T8" i="52"/>
  <c r="U13" i="52"/>
  <c r="T13" i="52"/>
  <c r="F7" i="55"/>
  <c r="U7" i="55"/>
  <c r="AH55" i="48"/>
  <c r="S57" i="48"/>
  <c r="X61" i="48"/>
  <c r="AH62" i="48"/>
  <c r="K63" i="48"/>
  <c r="M63" i="48" s="1"/>
  <c r="AR63" i="48"/>
  <c r="AR66" i="48"/>
  <c r="X67" i="48"/>
  <c r="G106" i="48"/>
  <c r="S107" i="48"/>
  <c r="S114" i="48"/>
  <c r="K114" i="48"/>
  <c r="M114" i="48" s="1"/>
  <c r="G125" i="48"/>
  <c r="U11" i="55"/>
  <c r="F11" i="55"/>
  <c r="AI8" i="55" s="1"/>
  <c r="H15" i="40" s="1"/>
  <c r="G44" i="48"/>
  <c r="AH68" i="48"/>
  <c r="S76" i="48"/>
  <c r="K79" i="48"/>
  <c r="M79" i="48" s="1"/>
  <c r="S79" i="48"/>
  <c r="G87" i="48"/>
  <c r="AH99" i="48"/>
  <c r="G115" i="48"/>
  <c r="AW122" i="48"/>
  <c r="U17" i="55"/>
  <c r="F17" i="55"/>
  <c r="AR59" i="48"/>
  <c r="AM65" i="48"/>
  <c r="AM68" i="48"/>
  <c r="AR76" i="48"/>
  <c r="G78" i="48"/>
  <c r="H76" i="48" s="1"/>
  <c r="K91" i="48"/>
  <c r="M91" i="48" s="1"/>
  <c r="K100" i="48"/>
  <c r="M100" i="48" s="1"/>
  <c r="X122" i="48"/>
  <c r="S127" i="48"/>
  <c r="K127" i="48"/>
  <c r="M127" i="48" s="1"/>
  <c r="U6" i="52"/>
  <c r="T6" i="52"/>
  <c r="F14" i="55"/>
  <c r="AJ8" i="55" s="1"/>
  <c r="J15" i="40" s="1"/>
  <c r="U14" i="55"/>
  <c r="U23" i="55"/>
  <c r="F23" i="55"/>
  <c r="S66" i="48"/>
  <c r="X69" i="48"/>
  <c r="K102" i="48"/>
  <c r="M102" i="48" s="1"/>
  <c r="S102" i="48"/>
  <c r="U15" i="52"/>
  <c r="T15" i="52"/>
  <c r="U24" i="52"/>
  <c r="T24" i="52"/>
  <c r="F20" i="55"/>
  <c r="U20" i="55"/>
  <c r="AH53" i="48"/>
  <c r="X63" i="48"/>
  <c r="K65" i="48"/>
  <c r="X66" i="48"/>
  <c r="S89" i="48"/>
  <c r="G101" i="48"/>
  <c r="H99" i="48" s="1"/>
  <c r="K115" i="48"/>
  <c r="M115" i="48" s="1"/>
  <c r="G122" i="48"/>
  <c r="AC122" i="48"/>
  <c r="K130" i="48"/>
  <c r="M130" i="48" s="1"/>
  <c r="S130" i="48"/>
  <c r="U19" i="52"/>
  <c r="T19" i="52"/>
  <c r="S134" i="48"/>
  <c r="S136" i="48"/>
  <c r="K139" i="48"/>
  <c r="M139" i="48" s="1"/>
  <c r="F6" i="55"/>
  <c r="T8" i="55"/>
  <c r="S11" i="52"/>
  <c r="S17" i="52"/>
  <c r="S23" i="52"/>
  <c r="U14" i="1"/>
  <c r="AE9" i="52"/>
  <c r="I9" i="40" s="1"/>
  <c r="P9" i="55"/>
  <c r="Q6" i="1"/>
  <c r="P8" i="52"/>
  <c r="AF9" i="52"/>
  <c r="K9" i="40" s="1"/>
  <c r="P15" i="52"/>
  <c r="P21" i="52"/>
  <c r="P7" i="55"/>
  <c r="D35" i="56"/>
  <c r="C10" i="40"/>
  <c r="K38" i="20"/>
  <c r="T5" i="52"/>
  <c r="T10" i="52"/>
  <c r="T16" i="52"/>
  <c r="T22" i="52"/>
  <c r="K131" i="48"/>
  <c r="M131" i="48" s="1"/>
  <c r="K137" i="48"/>
  <c r="M137" i="48" s="1"/>
  <c r="P7" i="52"/>
  <c r="P12" i="52"/>
  <c r="P18" i="52"/>
  <c r="P24" i="52"/>
  <c r="M50" i="49" l="1"/>
  <c r="M48" i="49"/>
  <c r="M65" i="48"/>
  <c r="M57" i="48"/>
  <c r="M62" i="48"/>
  <c r="M68" i="48"/>
  <c r="L30" i="48"/>
  <c r="M12" i="48"/>
  <c r="M16" i="48"/>
  <c r="L7" i="49"/>
  <c r="M36" i="48"/>
  <c r="M39" i="48"/>
  <c r="M87" i="49"/>
  <c r="L87" i="49"/>
  <c r="M30" i="48"/>
  <c r="M20" i="48"/>
  <c r="AJ25" i="48"/>
  <c r="AE48" i="48"/>
  <c r="AE71" i="48" s="1"/>
  <c r="AE94" i="48" s="1"/>
  <c r="H122" i="48"/>
  <c r="M35" i="48"/>
  <c r="M8" i="48"/>
  <c r="M18" i="48"/>
  <c r="U11" i="52"/>
  <c r="T11" i="52"/>
  <c r="M11" i="48"/>
  <c r="M42" i="48"/>
  <c r="M76" i="48"/>
  <c r="L76" i="48"/>
  <c r="F8" i="55"/>
  <c r="AD8" i="55" s="1"/>
  <c r="F10" i="40" s="1"/>
  <c r="U8" i="55"/>
  <c r="U23" i="52"/>
  <c r="T23" i="52"/>
  <c r="M31" i="48"/>
  <c r="M27" i="49"/>
  <c r="M10" i="48"/>
  <c r="U17" i="52"/>
  <c r="T17" i="52"/>
  <c r="L7" i="48"/>
  <c r="M33" i="48"/>
  <c r="M7" i="48"/>
  <c r="M22" i="48"/>
  <c r="K15" i="57"/>
  <c r="I18" i="57"/>
  <c r="AE42" i="49"/>
  <c r="AE62" i="49" s="1"/>
  <c r="AE82" i="49" s="1"/>
  <c r="AJ22" i="49"/>
  <c r="M19" i="48"/>
  <c r="M23" i="48"/>
  <c r="M15" i="48"/>
  <c r="M30" i="49"/>
  <c r="M44" i="48"/>
  <c r="M43" i="48"/>
  <c r="M9" i="48"/>
  <c r="M34" i="48"/>
  <c r="M7" i="49"/>
  <c r="M8" i="49"/>
  <c r="M21" i="48"/>
  <c r="M41" i="48"/>
  <c r="M32" i="48"/>
  <c r="M47" i="49"/>
  <c r="L47" i="49"/>
  <c r="L53" i="48"/>
  <c r="M53" i="48"/>
  <c r="M17" i="48"/>
  <c r="M13" i="48"/>
  <c r="M38" i="48"/>
  <c r="M10" i="49"/>
  <c r="C1" i="48" l="1"/>
  <c r="E22" i="57" s="1"/>
  <c r="C1" i="49"/>
  <c r="E24" i="57" s="1"/>
  <c r="AJ42" i="49"/>
  <c r="AJ62" i="49" s="1"/>
  <c r="AJ82" i="49" s="1"/>
  <c r="AO22" i="49"/>
  <c r="AJ48" i="48"/>
  <c r="AJ71" i="48" s="1"/>
  <c r="AJ94" i="48" s="1"/>
  <c r="AO25" i="48"/>
  <c r="AO48" i="48" l="1"/>
  <c r="AO71" i="48" s="1"/>
  <c r="AO94" i="48" s="1"/>
  <c r="AT25" i="48"/>
  <c r="AT22" i="49"/>
  <c r="AO42" i="49"/>
  <c r="AO62" i="49" s="1"/>
  <c r="AO82" i="49" s="1"/>
  <c r="P42" i="49" l="1"/>
  <c r="U42" i="49" s="1"/>
  <c r="AT42" i="49"/>
  <c r="P48" i="48"/>
  <c r="U48" i="48" s="1"/>
  <c r="AT48" i="48"/>
  <c r="AT71" i="48" l="1"/>
  <c r="P71" i="48"/>
  <c r="U71" i="48" s="1"/>
  <c r="P62" i="49"/>
  <c r="U62" i="49" s="1"/>
  <c r="AT62" i="49"/>
  <c r="AT82" i="49" l="1"/>
  <c r="P102" i="49" s="1"/>
  <c r="P82" i="49"/>
  <c r="U82" i="49" s="1"/>
  <c r="AT94" i="48"/>
  <c r="P94" i="48"/>
  <c r="U94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<sst xmlns="http://schemas.openxmlformats.org/spreadsheetml/2006/main" count="2442" uniqueCount="416">
  <si>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</si>
  <si>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</si>
  <si>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</si>
  <si>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W3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</si>
  <si>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</si>
  <si>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</si>
  <si>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</si>
  <si>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</si>
  <si>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</si>
  <si>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</si>
  <si>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</si>
  <si>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</si>
  <si>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</si>
  <si>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</si>
  <si>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</si>
  <si>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</si>
  <si>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</si>
  <si>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</si>
  <si>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</si>
  <si>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</si>
  <si>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</si>
  <si>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</si>
  <si>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</si>
  <si>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</si>
  <si>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</si>
  <si>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</si>
  <si>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</si>
  <si>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</si>
  <si>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</si>
  <si>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</si>
  <si>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</si>
  <si>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</si>
  <si>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</si>
  <si>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</si>
  <si>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</si>
  <si>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</si>
  <si>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</si>
  <si>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</si>
  <si>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</si>
  <si>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</si>
  <si>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</si>
  <si>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</si>
  <si>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</si>
  <si>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</si>
  <si>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</si>
  <si>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</si>
  <si>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</si>
  <si>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</si>
  <si>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</si>
  <si>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</si>
  <si>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</si>
  <si>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</si>
  <si>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</si>
  <si>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</si>
  <si>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</si>
  <si>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七</t>
  </si>
  <si>
    <t>三</t>
  </si>
  <si>
    <t>四</t>
  </si>
  <si>
    <t>五</t>
  </si>
  <si>
    <t>六</t>
  </si>
  <si>
    <t>一</t>
  </si>
  <si>
    <t>二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</si>
  <si>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</si>
  <si>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</si>
  <si>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</si>
  <si>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</si>
  <si>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</si>
  <si>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</si>
  <si>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</si>
  <si>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</si>
  <si>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</si>
  <si>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</si>
  <si>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</si>
  <si>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</si>
  <si>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</si>
  <si>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</si>
  <si>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</si>
  <si>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</si>
  <si>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</si>
  <si>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</si>
  <si>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</si>
  <si>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</si>
  <si>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</si>
  <si>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</si>
  <si>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</si>
  <si>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</si>
  <si>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</si>
  <si>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</si>
  <si>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</si>
  <si>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</si>
  <si>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</si>
  <si>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</si>
  <si>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</si>
  <si>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</si>
  <si>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</si>
  <si>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</si>
  <si>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</si>
  <si>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</si>
  <si>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</si>
  <si>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小滷青蔬</t>
  </si>
  <si>
    <t>起司馬鈴薯</t>
  </si>
  <si>
    <t>韓式炒冬粉</t>
  </si>
  <si>
    <t>麻辣雞心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</si>
  <si>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</si>
  <si>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</si>
  <si>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</si>
  <si>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</si>
  <si>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</si>
  <si>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</si>
  <si>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</si>
  <si>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</si>
  <si>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</si>
  <si>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</si>
  <si>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</si>
  <si>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青醬蛤蜊義大利麵</t>
  </si>
  <si>
    <t>白酒清炒鮮蛤義大利麵</t>
  </si>
  <si>
    <t>奶油培根義大利麵</t>
  </si>
  <si>
    <t>香煎魚排佐檸檬奶油義大利麵</t>
  </si>
  <si>
    <t>▼1</t>
  </si>
  <si>
    <t>蒜香奶油蝦蝦義大利麵</t>
  </si>
  <si>
    <t>▼2</t>
  </si>
  <si>
    <t>府城鹽水意麵</t>
  </si>
  <si>
    <t>▼3</t>
  </si>
  <si>
    <t>焦糖拿鐵烤雞細扁麵</t>
  </si>
  <si>
    <t>▼4</t>
  </si>
  <si>
    <t>奶油鮮蝦明太子細扁麵</t>
  </si>
  <si>
    <t>▼5</t>
  </si>
  <si>
    <t>黑松露野菇義大利麵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</si>
  <si>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</si>
  <si>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袋子上機SOP完成，減少1人</t>
  </si>
  <si>
    <t>袋子上機SOP完成</t>
  </si>
  <si>
    <t>分兩條線製作，機台速度不同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</si>
  <si>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</si>
  <si>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</si>
  <si>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</si>
  <si>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</si>
  <si>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</si>
  <si>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</si>
  <si>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</si>
  <si>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</si>
  <si>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</si>
  <si>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</si>
  <si>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</si>
  <si>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</si>
  <si>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</si>
  <si>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</si>
  <si>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</si>
  <si>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</si>
  <si>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</si>
  <si>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</si>
  <si>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</si>
  <si>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</si>
  <si>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</si>
  <si>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</si>
  <si>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</si>
  <si>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義麵-海鮮湯凍(115年)</t>
  </si>
  <si>
    <t>除中式麵外，A級3i依預估90%配料，其餘品項拉低預估量</t>
  </si>
  <si>
    <t>義麵-奶青醬(114年)</t>
  </si>
  <si>
    <t>青花椒麻雞肉拌麵</t>
  </si>
  <si>
    <t>煮青花椒湯凍(114年)</t>
  </si>
  <si>
    <t>奶香白醬</t>
  </si>
  <si>
    <t>義麵-蒜味蝦醬(115年)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</si>
  <si>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</si>
  <si>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</si>
  <si>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</si>
  <si>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焗烤起司雙饗筆尖麵</t>
  </si>
  <si>
    <t>每日追踪製成率，長期異常調整出料率</t>
  </si>
  <si>
    <t>蕃茄莎莎海鮮冷義大利麵</t>
  </si>
  <si>
    <t>川燙-切紅黃甜椒絲</t>
  </si>
  <si>
    <t>包裝超用超補→加強教育訓練</t>
  </si>
  <si>
    <t>義式蛋蛋青醬鮪魚冷義大利麵</t>
  </si>
  <si>
    <t>煮意麵肉燥</t>
  </si>
  <si>
    <t>新品/包裝超用超補→加強教育訓練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</si>
  <si>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</si>
  <si>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（８）超用原因別前幾名品項</t>
  </si>
  <si>
    <t>羅馬黑胡椒起司義大利麵</t>
  </si>
  <si>
    <t>加強稽核及教育訓練</t>
  </si>
  <si>
    <t>義麵-拿鐵醬</t>
  </si>
  <si>
    <t>煮鹽水意麵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</si>
  <si>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</si>
  <si>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</si>
  <si>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</si>
  <si>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</si>
  <si>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</si>
  <si>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</si>
  <si>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</si>
  <si>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</si>
  <si>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</si>
  <si>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</si>
  <si>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</si>
  <si>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</si>
  <si>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</si>
  <si>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</si>
  <si>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</si>
  <si>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</si>
  <si>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</si>
  <si>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</si>
  <si>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</si>
  <si>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</si>
  <si>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</si>
  <si>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</si>
  <si>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</si>
  <si>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</si>
  <si>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</si>
  <si>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t>0714-0720</t>
  </si>
  <si>
    <t>生管預估</t>
  </si>
  <si>
    <t>預估量大於訂單量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</si>
  <si>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</si>
  <si>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</si>
  <si>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蒸去骨鱈魚切片</t>
  </si>
  <si>
    <t>鱈魚佐粉紅青醬筆尖麵</t>
  </si>
  <si>
    <t>義麵-橄欖酸豆紅醬</t>
  </si>
  <si>
    <t>包裝</t>
  </si>
  <si>
    <t>加強教育訓練，抓樣範圍95%~100%</t>
  </si>
  <si>
    <t>百分比</t>
  </si>
  <si>
    <t>烤-巴沙魚排</t>
  </si>
  <si>
    <t>調理</t>
  </si>
  <si>
    <t>研發</t>
  </si>
  <si>
    <t>義麵-粉紅辣味奶醬</t>
  </si>
  <si>
    <t>川燙油菜</t>
  </si>
  <si>
    <t>原物料</t>
  </si>
  <si>
    <t>滷-白花菜</t>
  </si>
  <si>
    <t>113年煮沙茶炒麵湯凍</t>
  </si>
  <si>
    <t>沙茶豬肉炒麵</t>
  </si>
  <si>
    <t>炒高麗菜紅蘿蔔絲</t>
  </si>
  <si>
    <t>川燙-切段油菜</t>
  </si>
  <si>
    <t>川燙青紅辣椒圓片</t>
  </si>
  <si>
    <t>混蒜酥洋香菜(114年)</t>
  </si>
  <si>
    <t>檸檬奶油醬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</si>
  <si>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</si>
  <si>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</si>
  <si>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r>
      <t>0</t>
    </r>
    <r>
      <rPr>
        <sz val="12"/>
        <color rgb="FF000000"/>
        <rFont val="微軟正黑體"/>
        <family val="2"/>
        <charset val="136"/>
      </rPr>
      <t>714</t>
    </r>
    <r>
      <rPr>
        <sz val="12"/>
        <color rgb="FF000000"/>
        <rFont val="Meiryo UI"/>
        <family val="2"/>
      </rPr>
      <t>-07</t>
    </r>
    <r>
      <rPr>
        <sz val="12"/>
        <color rgb="FF000000"/>
        <rFont val="微軟正黑體"/>
        <family val="2"/>
        <charset val="136"/>
      </rPr>
      <t>20</t>
    </r>
  </si>
  <si>
    <t>滷-切片高麗菜</t>
  </si>
  <si>
    <t>川燙9號蝦仁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</si>
  <si>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</si>
  <si>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</si>
  <si>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</si>
  <si>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</si>
  <si>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</si>
  <si>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</si>
  <si>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</si>
  <si>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</si>
  <si>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</si>
  <si>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</si>
  <si>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</si>
  <si>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</si>
  <si>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</si>
  <si>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</si>
  <si>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</si>
  <si>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</si>
  <si>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</si>
  <si>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</si>
  <si>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</si>
  <si>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</si>
  <si>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</si>
  <si>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</si>
  <si>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</si>
  <si>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</si>
  <si>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</si>
  <si>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</si>
  <si>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</si>
  <si>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</si>
  <si>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</si>
  <si>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</si>
  <si>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</si>
  <si>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</si>
  <si>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</si>
  <si>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</si>
  <si>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</si>
  <si>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</si>
  <si>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</si>
  <si>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</si>
  <si>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</si>
  <si>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</si>
  <si>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</si>
  <si>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</si>
  <si>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</si>
  <si>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</si>
  <si>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</si>
  <si>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</si>
  <si>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</si>
  <si>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</si>
  <si>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</si>
  <si>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</si>
  <si>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</si>
  <si>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</si>
  <si>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</si>
  <si>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</si>
  <si>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</si>
  <si>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</si>
  <si>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</si>
  <si>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</si>
  <si>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</si>
  <si>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</si>
  <si>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</si>
  <si>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</si>
  <si>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</si>
  <si>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</si>
  <si>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</si>
  <si>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</si>
  <si>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</si>
  <si>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</si>
  <si>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</si>
  <si>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</si>
  <si>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</si>
  <si>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</si>
  <si>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</si>
  <si>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</si>
  <si>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</si>
  <si>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</si>
  <si>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</si>
  <si>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</si>
  <si>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</si>
  <si>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</si>
  <si>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</si>
  <si>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</si>
  <si>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</si>
  <si>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</si>
  <si>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</si>
  <si>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</si>
  <si>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</si>
  <si>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</si>
  <si>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</si>
  <si>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</si>
  <si>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</si>
  <si>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</si>
  <si>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</si>
  <si>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</si>
  <si>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</si>
  <si>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</si>
  <si>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</si>
  <si>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</si>
  <si>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</si>
  <si>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</si>
  <si>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</si>
  <si>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</si>
  <si>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</si>
  <si>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</si>
  <si>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</si>
  <si>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</si>
  <si>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</si>
  <si>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</si>
  <si>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</si>
  <si>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</si>
  <si>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</si>
  <si>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</si>
  <si>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</si>
  <si>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</si>
  <si>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</si>
  <si>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</si>
  <si>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</si>
  <si>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</si>
  <si>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</si>
  <si>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</si>
  <si>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</si>
  <si>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</si>
  <si>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</si>
  <si>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</si>
  <si>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</si>
  <si>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</si>
  <si>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</si>
  <si>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</si>
  <si>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</si>
  <si>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</si>
  <si>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</si>
  <si>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</si>
  <si>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</si>
  <si>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</si>
  <si>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</si>
  <si>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</si>
  <si>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</si>
  <si>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</si>
  <si>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</si>
  <si>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</si>
  <si>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</si>
  <si>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</si>
  <si>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</si>
  <si>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</si>
  <si>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t>蒜香奶油蝦蝦義大利麵-手</t>
  </si>
  <si>
    <t>鱈魚粉紅青醬筆尖麵</t>
  </si>
  <si>
    <t>焗烤起司肉醬筆尖麵-降</t>
  </si>
  <si>
    <t>焗烤起司肉醬筆尖麵</t>
  </si>
  <si>
    <t>義式辣味嫩烤雞腿排義大利麵</t>
  </si>
  <si>
    <t>整條德式香腸義大利麵</t>
  </si>
  <si>
    <t>每箱片數不定</t>
    <phoneticPr fontId="23" type="noConversion"/>
  </si>
  <si>
    <t>義麵-橄欖酸豆紅醬</t>
    <phoneticPr fontId="23" type="noConversion"/>
  </si>
  <si>
    <t>鱈魚佐粉紅青醬筆尖麵</t>
    <phoneticPr fontId="23" type="noConversion"/>
  </si>
  <si>
    <t>川燙-切紅黃甜椒絲</t>
    <phoneticPr fontId="23" type="noConversion"/>
  </si>
  <si>
    <t>焦糖拿鐵烤雞細扁麵</t>
    <phoneticPr fontId="23" type="noConversion"/>
  </si>
  <si>
    <t>炒高麗菜紅蘿蔔絲</t>
    <phoneticPr fontId="23" type="noConversion"/>
  </si>
  <si>
    <t>沙茶豬肉炒麵</t>
    <phoneticPr fontId="23" type="noConversion"/>
  </si>
  <si>
    <t>混蒜酥洋香菜(114年)</t>
    <phoneticPr fontId="23" type="noConversion"/>
  </si>
  <si>
    <t>蒜香奶油蝦蝦義大利麵</t>
    <phoneticPr fontId="23" type="noConversion"/>
  </si>
  <si>
    <t>蒸去骨鱈魚切片</t>
    <phoneticPr fontId="23" type="noConversion"/>
  </si>
  <si>
    <t>烤-巴沙魚排</t>
    <phoneticPr fontId="23" type="noConversion"/>
  </si>
  <si>
    <t>滷-白花菜</t>
    <phoneticPr fontId="23" type="noConversion"/>
  </si>
  <si>
    <t>香煎魚排佐檸檬奶油義大利麵</t>
    <phoneticPr fontId="23" type="noConversion"/>
  </si>
  <si>
    <t>小滷青蔬</t>
    <phoneticPr fontId="23" type="noConversion"/>
  </si>
  <si>
    <t>每包2朵</t>
    <phoneticPr fontId="23" type="noConversion"/>
  </si>
  <si>
    <t>白花菜放兩顆</t>
    <phoneticPr fontId="23" type="noConversion"/>
  </si>
  <si>
    <t>規格大小差異</t>
    <phoneticPr fontId="23" type="noConversion"/>
  </si>
  <si>
    <t>奶香白醬</t>
    <phoneticPr fontId="23" type="noConversion"/>
  </si>
  <si>
    <t>滷-切片高麗菜</t>
    <phoneticPr fontId="23" type="noConversion"/>
  </si>
  <si>
    <t>川燙9號蝦仁</t>
    <phoneticPr fontId="23" type="noConversion"/>
  </si>
  <si>
    <t>蕃茄莎莎海鮮冷義大利麵</t>
    <phoneticPr fontId="23" type="noConversion"/>
  </si>
  <si>
    <t>煮意麵肉燥</t>
    <phoneticPr fontId="23" type="noConversion"/>
  </si>
  <si>
    <t>煮鹽水意麵</t>
    <phoneticPr fontId="23" type="noConversion"/>
  </si>
  <si>
    <t>府城鹽水意麵</t>
    <phoneticPr fontId="23" type="noConversion"/>
  </si>
  <si>
    <t>川燙油菜</t>
    <phoneticPr fontId="23" type="noConversion"/>
  </si>
  <si>
    <t>1包2顆，規格大小差異大</t>
    <phoneticPr fontId="23" type="noConversion"/>
  </si>
  <si>
    <t>規格差異大</t>
    <phoneticPr fontId="23" type="noConversion"/>
  </si>
  <si>
    <t>拌油減少1人</t>
    <phoneticPr fontId="23" type="noConversion"/>
  </si>
  <si>
    <t>羅馬黑胡椒起司義大利麵</t>
    <phoneticPr fontId="23" type="noConversion"/>
  </si>
  <si>
    <t>蒜香奶油蝦蝦義大利麵-手</t>
    <phoneticPr fontId="23" type="noConversion"/>
  </si>
  <si>
    <t>自動線轉手工線</t>
    <phoneticPr fontId="23" type="noConversion"/>
  </si>
  <si>
    <t>包裝機秒數0.4→0.5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</si>
</sst>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5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sz val="11"/>
      <color theme="1"/>
      <name val="Meiryo UI"/>
      <family val="2"/>
      <charset val="1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00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D9E7FD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75">
    <xf numFmtId="0" fontId="0" fillId="0" borderId="0"/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9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2" fillId="0" borderId="0">
      <alignment vertical="center"/>
    </xf>
    <xf numFmtId="0" fontId="4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8" fillId="0" borderId="0"/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7" fillId="0" borderId="0"/>
    <xf numFmtId="0" fontId="14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18">
    <xf numFmtId="0" fontId="0" fillId="0" borderId="0" xfId="0"/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1" xfId="0" applyFont="1" applyBorder="1" applyAlignment="1">
      <alignment horizontal="right" shrinkToFit="1"/>
    </xf>
    <xf numFmtId="0" fontId="17" fillId="0" borderId="1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8" fillId="0" borderId="3" xfId="0" applyFont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3" fontId="17" fillId="0" borderId="1" xfId="0" applyNumberFormat="1" applyFont="1" applyBorder="1" applyAlignment="1">
      <alignment shrinkToFit="1"/>
    </xf>
    <xf numFmtId="3" fontId="17" fillId="3" borderId="1" xfId="0" applyNumberFormat="1" applyFont="1" applyFill="1" applyBorder="1" applyAlignment="1">
      <alignment shrinkToFit="1"/>
    </xf>
    <xf numFmtId="4" fontId="17" fillId="0" borderId="1" xfId="0" applyNumberFormat="1" applyFont="1" applyBorder="1" applyAlignment="1">
      <alignment horizontal="right" shrinkToFit="1"/>
    </xf>
    <xf numFmtId="10" fontId="17" fillId="2" borderId="1" xfId="0" applyNumberFormat="1" applyFont="1" applyFill="1" applyBorder="1" applyAlignment="1">
      <alignment horizontal="right" shrinkToFit="1"/>
    </xf>
    <xf numFmtId="10" fontId="17" fillId="3" borderId="1" xfId="0" applyNumberFormat="1" applyFont="1" applyFill="1" applyBorder="1" applyAlignment="1">
      <alignment shrinkToFit="1"/>
    </xf>
    <xf numFmtId="10" fontId="17" fillId="0" borderId="1" xfId="0" applyNumberFormat="1" applyFont="1" applyBorder="1" applyAlignment="1">
      <alignment shrinkToFit="1"/>
    </xf>
    <xf numFmtId="10" fontId="18" fillId="0" borderId="0" xfId="0" applyNumberFormat="1" applyFont="1" applyAlignment="1">
      <alignment shrinkToFit="1"/>
    </xf>
    <xf numFmtId="0" fontId="17" fillId="3" borderId="1" xfId="0" applyFont="1" applyFill="1" applyBorder="1" applyAlignment="1">
      <alignment shrinkToFit="1"/>
    </xf>
    <xf numFmtId="4" fontId="17" fillId="0" borderId="1" xfId="0" applyNumberFormat="1" applyFont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8" fillId="2" borderId="7" xfId="0" applyFont="1" applyFill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2" borderId="7" xfId="0" applyFont="1" applyFill="1" applyBorder="1" applyAlignment="1">
      <alignment shrinkToFit="1"/>
    </xf>
    <xf numFmtId="0" fontId="18" fillId="0" borderId="8" xfId="0" applyFont="1" applyBorder="1" applyAlignment="1">
      <alignment shrinkToFit="1"/>
    </xf>
    <xf numFmtId="0" fontId="17" fillId="0" borderId="5" xfId="0" applyFont="1" applyBorder="1" applyAlignment="1">
      <alignment shrinkToFit="1"/>
    </xf>
    <xf numFmtId="0" fontId="17" fillId="0" borderId="14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10" fontId="17" fillId="0" borderId="5" xfId="0" applyNumberFormat="1" applyFont="1" applyBorder="1" applyAlignment="1">
      <alignment shrinkToFit="1"/>
    </xf>
    <xf numFmtId="0" fontId="17" fillId="3" borderId="5" xfId="0" applyFont="1" applyFill="1" applyBorder="1" applyAlignment="1">
      <alignment shrinkToFit="1"/>
    </xf>
    <xf numFmtId="0" fontId="17" fillId="2" borderId="15" xfId="0" applyFont="1" applyFill="1" applyBorder="1" applyAlignment="1">
      <alignment shrinkToFit="1"/>
    </xf>
    <xf numFmtId="10" fontId="17" fillId="3" borderId="17" xfId="0" applyNumberFormat="1" applyFont="1" applyFill="1" applyBorder="1" applyAlignment="1">
      <alignment shrinkToFit="1"/>
    </xf>
    <xf numFmtId="0" fontId="17" fillId="3" borderId="18" xfId="0" applyFont="1" applyFill="1" applyBorder="1" applyAlignment="1">
      <alignment shrinkToFit="1"/>
    </xf>
    <xf numFmtId="0" fontId="17" fillId="0" borderId="6" xfId="0" applyFont="1" applyBorder="1" applyAlignment="1">
      <alignment shrinkToFit="1"/>
    </xf>
    <xf numFmtId="10" fontId="17" fillId="0" borderId="6" xfId="0" applyNumberFormat="1" applyFont="1" applyBorder="1" applyAlignment="1">
      <alignment shrinkToFit="1"/>
    </xf>
    <xf numFmtId="0" fontId="17" fillId="3" borderId="6" xfId="0" applyFont="1" applyFill="1" applyBorder="1" applyAlignment="1">
      <alignment shrinkToFit="1"/>
    </xf>
    <xf numFmtId="10" fontId="17" fillId="0" borderId="0" xfId="0" applyNumberFormat="1" applyFont="1" applyAlignment="1">
      <alignment shrinkToFit="1"/>
    </xf>
    <xf numFmtId="10" fontId="17" fillId="2" borderId="1" xfId="0" applyNumberFormat="1" applyFont="1" applyFill="1" applyBorder="1" applyAlignment="1">
      <alignment shrinkToFit="1"/>
    </xf>
    <xf numFmtId="0" fontId="17" fillId="3" borderId="7" xfId="0" applyFont="1" applyFill="1" applyBorder="1" applyAlignment="1">
      <alignment shrinkToFit="1"/>
    </xf>
    <xf numFmtId="10" fontId="17" fillId="3" borderId="5" xfId="0" applyNumberFormat="1" applyFont="1" applyFill="1" applyBorder="1" applyAlignment="1">
      <alignment shrinkToFit="1"/>
    </xf>
    <xf numFmtId="0" fontId="17" fillId="0" borderId="11" xfId="0" applyFont="1" applyBorder="1" applyAlignment="1">
      <alignment shrinkToFit="1"/>
    </xf>
    <xf numFmtId="10" fontId="17" fillId="0" borderId="14" xfId="0" applyNumberFormat="1" applyFont="1" applyBorder="1" applyAlignment="1">
      <alignment shrinkToFit="1"/>
    </xf>
    <xf numFmtId="10" fontId="17" fillId="3" borderId="14" xfId="0" applyNumberFormat="1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20" fillId="0" borderId="1" xfId="0" applyFont="1" applyBorder="1" applyAlignment="1">
      <alignment shrinkToFit="1"/>
    </xf>
    <xf numFmtId="0" fontId="20" fillId="2" borderId="1" xfId="0" applyFont="1" applyFill="1" applyBorder="1" applyAlignment="1">
      <alignment horizontal="left" shrinkToFit="1"/>
    </xf>
    <xf numFmtId="0" fontId="21" fillId="2" borderId="1" xfId="0" applyFont="1" applyFill="1" applyBorder="1" applyAlignment="1">
      <alignment shrinkToFit="1"/>
    </xf>
    <xf numFmtId="0" fontId="20" fillId="2" borderId="6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1" fillId="2" borderId="5" xfId="0" applyFont="1" applyFill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23" xfId="0" applyFont="1" applyFill="1" applyBorder="1" applyAlignment="1">
      <alignment shrinkToFit="1"/>
    </xf>
    <xf numFmtId="0" fontId="20" fillId="2" borderId="22" xfId="0" applyFont="1" applyFill="1" applyBorder="1" applyAlignment="1">
      <alignment shrinkToFit="1"/>
    </xf>
    <xf numFmtId="0" fontId="20" fillId="2" borderId="1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16" xfId="0" applyFont="1" applyFill="1" applyBorder="1" applyAlignment="1">
      <alignment shrinkToFit="1"/>
    </xf>
    <xf numFmtId="0" fontId="20" fillId="4" borderId="0" xfId="0" applyFont="1" applyFill="1"/>
    <xf numFmtId="0" fontId="21" fillId="4" borderId="0" xfId="0" applyFont="1" applyFill="1" applyAlignment="1">
      <alignment shrinkToFit="1"/>
    </xf>
    <xf numFmtId="0" fontId="20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7" fillId="4" borderId="0" xfId="0" applyFont="1" applyFill="1"/>
    <xf numFmtId="10" fontId="17" fillId="4" borderId="0" xfId="0" applyNumberFormat="1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7" fillId="2" borderId="24" xfId="0" applyFont="1" applyFill="1" applyBorder="1" applyAlignment="1">
      <alignment shrinkToFit="1"/>
    </xf>
    <xf numFmtId="0" fontId="21" fillId="0" borderId="11" xfId="0" applyFont="1" applyBorder="1" applyAlignment="1">
      <alignment horizontal="right" shrinkToFit="1"/>
    </xf>
    <xf numFmtId="0" fontId="21" fillId="0" borderId="3" xfId="0" applyFont="1" applyBorder="1" applyAlignment="1">
      <alignment horizontal="right" shrinkToFit="1"/>
    </xf>
    <xf numFmtId="0" fontId="22" fillId="0" borderId="0" xfId="0" applyFont="1" applyAlignment="1">
      <alignment horizontal="center"/>
    </xf>
    <xf numFmtId="10" fontId="22" fillId="0" borderId="0" xfId="0" applyNumberFormat="1" applyFont="1"/>
    <xf numFmtId="0" fontId="22" fillId="0" borderId="0" xfId="0" applyFont="1"/>
    <xf numFmtId="0" fontId="19" fillId="0" borderId="3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25" fillId="0" borderId="0" xfId="0" applyFont="1" applyAlignment="1">
      <alignment horizontal="left" vertical="center"/>
    </xf>
    <xf numFmtId="0" fontId="30" fillId="0" borderId="0" xfId="0" applyFont="1"/>
    <xf numFmtId="176" fontId="31" fillId="5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76" fontId="31" fillId="0" borderId="0" xfId="0" applyNumberFormat="1" applyFont="1" applyAlignment="1">
      <alignment horizontal="center" vertical="center"/>
    </xf>
    <xf numFmtId="179" fontId="30" fillId="0" borderId="0" xfId="0" applyNumberFormat="1" applyFont="1" applyAlignment="1">
      <alignment horizontal="center"/>
    </xf>
    <xf numFmtId="176" fontId="30" fillId="0" borderId="0" xfId="0" applyNumberFormat="1" applyFont="1"/>
    <xf numFmtId="177" fontId="30" fillId="0" borderId="0" xfId="0" applyNumberFormat="1" applyFont="1"/>
    <xf numFmtId="178" fontId="30" fillId="0" borderId="0" xfId="0" applyNumberFormat="1" applyFont="1"/>
    <xf numFmtId="10" fontId="30" fillId="0" borderId="0" xfId="0" applyNumberFormat="1" applyFont="1"/>
    <xf numFmtId="176" fontId="31" fillId="6" borderId="0" xfId="0" applyNumberFormat="1" applyFont="1" applyFill="1" applyAlignment="1">
      <alignment horizontal="center" vertical="center"/>
    </xf>
    <xf numFmtId="176" fontId="31" fillId="8" borderId="0" xfId="0" applyNumberFormat="1" applyFont="1" applyFill="1" applyAlignment="1">
      <alignment horizontal="center" vertical="center"/>
    </xf>
    <xf numFmtId="180" fontId="30" fillId="0" borderId="0" xfId="0" applyNumberFormat="1" applyFont="1"/>
    <xf numFmtId="180" fontId="22" fillId="0" borderId="0" xfId="0" applyNumberFormat="1" applyFont="1"/>
    <xf numFmtId="176" fontId="24" fillId="0" borderId="0" xfId="0" applyNumberFormat="1" applyFont="1" applyAlignment="1">
      <alignment horizontal="center" vertical="center"/>
    </xf>
    <xf numFmtId="180" fontId="24" fillId="0" borderId="0" xfId="0" applyNumberFormat="1" applyFont="1" applyAlignment="1">
      <alignment horizontal="center" vertical="center"/>
    </xf>
    <xf numFmtId="182" fontId="30" fillId="0" borderId="0" xfId="0" applyNumberFormat="1" applyFont="1"/>
    <xf numFmtId="182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2" fontId="30" fillId="0" borderId="22" xfId="0" applyNumberFormat="1" applyFont="1" applyBorder="1"/>
    <xf numFmtId="10" fontId="30" fillId="0" borderId="22" xfId="0" applyNumberFormat="1" applyFont="1" applyBorder="1"/>
    <xf numFmtId="182" fontId="30" fillId="0" borderId="0" xfId="0" applyNumberFormat="1" applyFont="1" applyAlignment="1">
      <alignment horizontal="center"/>
    </xf>
    <xf numFmtId="0" fontId="34" fillId="0" borderId="0" xfId="0" applyFont="1"/>
    <xf numFmtId="177" fontId="30" fillId="0" borderId="0" xfId="0" applyNumberFormat="1" applyFont="1" applyAlignment="1">
      <alignment horizontal="center"/>
    </xf>
    <xf numFmtId="177" fontId="24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7" fillId="0" borderId="3" xfId="0" applyFont="1" applyBorder="1" applyAlignment="1">
      <alignment vertical="center" shrinkToFit="1"/>
    </xf>
    <xf numFmtId="0" fontId="17" fillId="0" borderId="8" xfId="0" applyFont="1" applyBorder="1" applyAlignment="1">
      <alignment vertical="center" shrinkToFit="1"/>
    </xf>
    <xf numFmtId="0" fontId="20" fillId="2" borderId="1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shrinkToFit="1"/>
    </xf>
    <xf numFmtId="0" fontId="20" fillId="2" borderId="2" xfId="0" applyFont="1" applyFill="1" applyBorder="1" applyAlignment="1">
      <alignment horizontal="center" vertical="center" shrinkToFit="1"/>
    </xf>
    <xf numFmtId="0" fontId="20" fillId="2" borderId="3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20" fillId="2" borderId="16" xfId="0" applyFont="1" applyFill="1" applyBorder="1" applyAlignment="1">
      <alignment horizontal="center" shrinkToFit="1"/>
    </xf>
    <xf numFmtId="0" fontId="30" fillId="0" borderId="0" xfId="0" applyFont="1" applyAlignment="1">
      <alignment shrinkToFit="1"/>
    </xf>
    <xf numFmtId="0" fontId="30" fillId="4" borderId="0" xfId="0" applyFont="1" applyFill="1" applyAlignment="1">
      <alignment shrinkToFit="1"/>
    </xf>
    <xf numFmtId="0" fontId="30" fillId="0" borderId="0" xfId="0" applyFont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10" fontId="32" fillId="0" borderId="22" xfId="0" applyNumberFormat="1" applyFont="1" applyBorder="1" applyAlignment="1">
      <alignment shrinkToFit="1"/>
    </xf>
    <xf numFmtId="0" fontId="32" fillId="0" borderId="22" xfId="0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32" fillId="0" borderId="3" xfId="0" applyFont="1" applyBorder="1" applyAlignment="1">
      <alignment vertical="center" shrinkToFit="1"/>
    </xf>
    <xf numFmtId="0" fontId="32" fillId="0" borderId="1" xfId="0" applyFont="1" applyBorder="1" applyAlignment="1">
      <alignment shrinkToFit="1"/>
    </xf>
    <xf numFmtId="10" fontId="32" fillId="0" borderId="1" xfId="0" applyNumberFormat="1" applyFont="1" applyBorder="1" applyAlignment="1">
      <alignment shrinkToFit="1"/>
    </xf>
    <xf numFmtId="0" fontId="32" fillId="3" borderId="1" xfId="0" applyFont="1" applyFill="1" applyBorder="1" applyAlignment="1">
      <alignment shrinkToFit="1"/>
    </xf>
    <xf numFmtId="0" fontId="32" fillId="0" borderId="4" xfId="0" applyFont="1" applyBorder="1" applyAlignment="1">
      <alignment shrinkToFit="1"/>
    </xf>
    <xf numFmtId="0" fontId="53" fillId="0" borderId="3" xfId="0" applyFont="1" applyBorder="1" applyAlignment="1">
      <alignment shrinkToFit="1"/>
    </xf>
    <xf numFmtId="0" fontId="32" fillId="0" borderId="8" xfId="0" applyFont="1" applyBorder="1" applyAlignment="1">
      <alignment vertical="center" shrinkToFit="1"/>
    </xf>
    <xf numFmtId="0" fontId="32" fillId="0" borderId="5" xfId="0" applyFont="1" applyBorder="1" applyAlignment="1">
      <alignment shrinkToFit="1"/>
    </xf>
    <xf numFmtId="10" fontId="32" fillId="0" borderId="5" xfId="0" applyNumberFormat="1" applyFont="1" applyBorder="1" applyAlignment="1">
      <alignment shrinkToFit="1"/>
    </xf>
    <xf numFmtId="0" fontId="32" fillId="3" borderId="5" xfId="0" applyFont="1" applyFill="1" applyBorder="1" applyAlignment="1">
      <alignment shrinkToFit="1"/>
    </xf>
    <xf numFmtId="0" fontId="32" fillId="0" borderId="9" xfId="0" applyFont="1" applyBorder="1" applyAlignment="1">
      <alignment shrinkToFit="1"/>
    </xf>
    <xf numFmtId="0" fontId="53" fillId="0" borderId="8" xfId="0" applyFont="1" applyBorder="1" applyAlignment="1">
      <alignment shrinkToFit="1"/>
    </xf>
    <xf numFmtId="0" fontId="32" fillId="2" borderId="16" xfId="0" applyFont="1" applyFill="1" applyBorder="1" applyAlignment="1">
      <alignment horizontal="center" shrinkToFit="1"/>
    </xf>
    <xf numFmtId="10" fontId="32" fillId="3" borderId="17" xfId="0" applyNumberFormat="1" applyFont="1" applyFill="1" applyBorder="1" applyAlignment="1">
      <alignment horizontal="center" shrinkToFit="1"/>
    </xf>
    <xf numFmtId="0" fontId="32" fillId="3" borderId="18" xfId="0" applyFont="1" applyFill="1" applyBorder="1" applyAlignment="1">
      <alignment shrinkToFit="1"/>
    </xf>
    <xf numFmtId="0" fontId="30" fillId="0" borderId="0" xfId="0" applyFont="1" applyAlignment="1">
      <alignment wrapText="1" shrinkToFit="1"/>
    </xf>
    <xf numFmtId="0" fontId="30" fillId="0" borderId="0" xfId="0" applyFont="1" applyAlignment="1">
      <alignment horizontal="center" vertical="center" wrapText="1" shrinkToFit="1"/>
    </xf>
    <xf numFmtId="10" fontId="32" fillId="2" borderId="22" xfId="0" applyNumberFormat="1" applyFont="1" applyFill="1" applyBorder="1" applyAlignment="1">
      <alignment horizontal="center" vertical="center" shrinkToFit="1"/>
    </xf>
    <xf numFmtId="10" fontId="32" fillId="3" borderId="22" xfId="0" applyNumberFormat="1" applyFont="1" applyFill="1" applyBorder="1" applyAlignment="1">
      <alignment shrinkToFit="1"/>
    </xf>
    <xf numFmtId="0" fontId="32" fillId="2" borderId="23" xfId="0" applyFont="1" applyFill="1" applyBorder="1" applyAlignment="1">
      <alignment horizontal="center" vertical="center" shrinkToFit="1"/>
    </xf>
    <xf numFmtId="10" fontId="32" fillId="2" borderId="23" xfId="0" applyNumberFormat="1" applyFont="1" applyFill="1" applyBorder="1" applyAlignment="1">
      <alignment horizontal="center" vertical="center" shrinkToFit="1"/>
    </xf>
    <xf numFmtId="0" fontId="30" fillId="0" borderId="0" xfId="253" applyFont="1" applyAlignment="1">
      <alignment shrinkToFit="1"/>
    </xf>
    <xf numFmtId="0" fontId="30" fillId="4" borderId="0" xfId="253" applyFont="1" applyFill="1" applyAlignment="1">
      <alignment shrinkToFit="1"/>
    </xf>
    <xf numFmtId="0" fontId="45" fillId="0" borderId="6" xfId="253" applyFont="1" applyBorder="1" applyAlignment="1">
      <alignment horizontal="center" shrinkToFit="1"/>
    </xf>
    <xf numFmtId="3" fontId="40" fillId="0" borderId="6" xfId="253" applyNumberFormat="1" applyFont="1" applyBorder="1" applyAlignment="1">
      <alignment shrinkToFit="1"/>
    </xf>
    <xf numFmtId="10" fontId="40" fillId="0" borderId="6" xfId="253" applyNumberFormat="1" applyFont="1" applyBorder="1" applyAlignment="1">
      <alignment shrinkToFit="1"/>
    </xf>
    <xf numFmtId="3" fontId="32" fillId="0" borderId="22" xfId="253" applyNumberFormat="1" applyFont="1" applyBorder="1" applyAlignment="1">
      <alignment shrinkToFit="1"/>
    </xf>
    <xf numFmtId="10" fontId="32" fillId="0" borderId="22" xfId="253" applyNumberFormat="1" applyFont="1" applyBorder="1" applyAlignment="1">
      <alignment shrinkToFit="1"/>
    </xf>
    <xf numFmtId="0" fontId="45" fillId="0" borderId="1" xfId="253" applyFont="1" applyBorder="1" applyAlignment="1">
      <alignment horizontal="center" shrinkToFit="1"/>
    </xf>
    <xf numFmtId="3" fontId="40" fillId="0" borderId="1" xfId="253" applyNumberFormat="1" applyFont="1" applyBorder="1" applyAlignment="1">
      <alignment shrinkToFit="1"/>
    </xf>
    <xf numFmtId="0" fontId="34" fillId="0" borderId="0" xfId="253" applyFont="1"/>
    <xf numFmtId="0" fontId="34" fillId="0" borderId="0" xfId="253" applyFont="1" applyAlignment="1">
      <alignment vertical="center"/>
    </xf>
    <xf numFmtId="0" fontId="17" fillId="0" borderId="0" xfId="286"/>
    <xf numFmtId="0" fontId="59" fillId="9" borderId="30" xfId="286" applyFont="1" applyFill="1" applyBorder="1"/>
    <xf numFmtId="0" fontId="59" fillId="0" borderId="0" xfId="286" applyFont="1"/>
    <xf numFmtId="0" fontId="59" fillId="0" borderId="22" xfId="286" applyFont="1" applyBorder="1"/>
    <xf numFmtId="0" fontId="59" fillId="9" borderId="22" xfId="286" applyFont="1" applyFill="1" applyBorder="1"/>
    <xf numFmtId="185" fontId="30" fillId="0" borderId="0" xfId="0" applyNumberFormat="1" applyFont="1"/>
    <xf numFmtId="0" fontId="34" fillId="5" borderId="23" xfId="253" applyFont="1" applyFill="1" applyBorder="1" applyAlignment="1">
      <alignment horizontal="center" vertical="center"/>
    </xf>
    <xf numFmtId="0" fontId="32" fillId="5" borderId="22" xfId="253" applyFont="1" applyFill="1" applyBorder="1" applyAlignment="1">
      <alignment horizontal="center" vertical="center" shrinkToFit="1"/>
    </xf>
    <xf numFmtId="0" fontId="30" fillId="4" borderId="0" xfId="253" applyFont="1" applyFill="1" applyAlignment="1">
      <alignment horizontal="center" vertical="center" shrinkToFit="1"/>
    </xf>
    <xf numFmtId="0" fontId="30" fillId="0" borderId="0" xfId="253" applyFont="1" applyAlignment="1">
      <alignment horizontal="center" vertical="center" shrinkToFit="1"/>
    </xf>
    <xf numFmtId="0" fontId="32" fillId="5" borderId="22" xfId="253" applyFont="1" applyFill="1" applyBorder="1" applyAlignment="1">
      <alignment horizontal="center" shrinkToFit="1"/>
    </xf>
    <xf numFmtId="0" fontId="30" fillId="4" borderId="0" xfId="253" applyFont="1" applyFill="1" applyAlignment="1">
      <alignment horizontal="center" shrinkToFit="1"/>
    </xf>
    <xf numFmtId="0" fontId="45" fillId="2" borderId="22" xfId="253" applyFont="1" applyFill="1" applyBorder="1" applyAlignment="1">
      <alignment horizontal="center" vertical="center" shrinkToFit="1"/>
    </xf>
    <xf numFmtId="0" fontId="32" fillId="2" borderId="22" xfId="253" applyFont="1" applyFill="1" applyBorder="1" applyAlignment="1">
      <alignment horizontal="center" vertical="center" shrinkToFit="1"/>
    </xf>
    <xf numFmtId="0" fontId="45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0" borderId="22" xfId="253" applyFont="1" applyBorder="1" applyAlignment="1">
      <alignment horizontal="right" shrinkToFit="1"/>
    </xf>
    <xf numFmtId="0" fontId="45" fillId="2" borderId="22" xfId="253" applyFont="1" applyFill="1" applyBorder="1" applyAlignment="1">
      <alignment horizontal="center" shrinkToFit="1"/>
    </xf>
    <xf numFmtId="0" fontId="32" fillId="2" borderId="22" xfId="253" applyFont="1" applyFill="1" applyBorder="1" applyAlignment="1">
      <alignment horizontal="center" shrinkToFit="1"/>
    </xf>
    <xf numFmtId="0" fontId="30" fillId="0" borderId="0" xfId="253" applyFont="1" applyAlignment="1">
      <alignment horizontal="center" shrinkToFit="1"/>
    </xf>
    <xf numFmtId="1" fontId="32" fillId="0" borderId="22" xfId="253" applyNumberFormat="1" applyFont="1" applyBorder="1" applyAlignment="1">
      <alignment shrinkToFit="1"/>
    </xf>
    <xf numFmtId="183" fontId="32" fillId="0" borderId="22" xfId="253" applyNumberFormat="1" applyFont="1" applyBorder="1" applyAlignment="1">
      <alignment shrinkToFit="1"/>
    </xf>
    <xf numFmtId="183" fontId="32" fillId="3" borderId="1" xfId="0" applyNumberFormat="1" applyFont="1" applyFill="1" applyBorder="1" applyAlignment="1">
      <alignment shrinkToFit="1"/>
    </xf>
    <xf numFmtId="183" fontId="32" fillId="3" borderId="5" xfId="0" applyNumberFormat="1" applyFont="1" applyFill="1" applyBorder="1" applyAlignment="1">
      <alignment shrinkToFit="1"/>
    </xf>
    <xf numFmtId="183" fontId="17" fillId="3" borderId="1" xfId="0" applyNumberFormat="1" applyFont="1" applyFill="1" applyBorder="1" applyAlignment="1">
      <alignment shrinkToFit="1"/>
    </xf>
    <xf numFmtId="183" fontId="17" fillId="3" borderId="5" xfId="0" applyNumberFormat="1" applyFont="1" applyFill="1" applyBorder="1" applyAlignment="1">
      <alignment shrinkToFit="1"/>
    </xf>
    <xf numFmtId="0" fontId="41" fillId="0" borderId="0" xfId="351" applyFont="1" applyAlignment="1">
      <alignment horizontal="center" vertical="center"/>
    </xf>
    <xf numFmtId="0" fontId="10" fillId="0" borderId="0" xfId="351">
      <alignment vertical="center"/>
    </xf>
    <xf numFmtId="0" fontId="63" fillId="0" borderId="0" xfId="351" applyFont="1" applyAlignment="1">
      <alignment horizontal="center" vertical="center"/>
    </xf>
    <xf numFmtId="186" fontId="30" fillId="0" borderId="0" xfId="0" applyNumberFormat="1" applyFont="1"/>
    <xf numFmtId="0" fontId="26" fillId="0" borderId="0" xfId="0" applyFont="1" applyAlignment="1">
      <alignment vertical="center"/>
    </xf>
    <xf numFmtId="0" fontId="25" fillId="0" borderId="0" xfId="253" applyFont="1" applyAlignment="1">
      <alignment horizontal="left" vertical="center"/>
    </xf>
    <xf numFmtId="0" fontId="60" fillId="0" borderId="0" xfId="253" applyFont="1" applyAlignment="1">
      <alignment vertical="center"/>
    </xf>
    <xf numFmtId="183" fontId="28" fillId="0" borderId="0" xfId="253" applyNumberFormat="1" applyAlignment="1">
      <alignment horizontal="center" vertical="center"/>
    </xf>
    <xf numFmtId="0" fontId="28" fillId="0" borderId="0" xfId="253" applyAlignment="1">
      <alignment horizontal="center" vertical="center"/>
    </xf>
    <xf numFmtId="0" fontId="28" fillId="0" borderId="0" xfId="253" applyAlignment="1">
      <alignment vertical="center"/>
    </xf>
    <xf numFmtId="0" fontId="30" fillId="0" borderId="0" xfId="253" applyFont="1" applyAlignment="1">
      <alignment vertical="center"/>
    </xf>
    <xf numFmtId="0" fontId="39" fillId="0" borderId="0" xfId="253" applyFont="1" applyAlignment="1">
      <alignment horizontal="left" vertical="center"/>
    </xf>
    <xf numFmtId="0" fontId="39" fillId="0" borderId="34" xfId="253" applyFont="1" applyBorder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9" fillId="0" borderId="36" xfId="253" applyFont="1" applyBorder="1" applyAlignment="1">
      <alignment horizontal="left" vertical="center"/>
    </xf>
    <xf numFmtId="0" fontId="30" fillId="0" borderId="0" xfId="253" applyFont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1" fontId="28" fillId="0" borderId="22" xfId="253" applyNumberForma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1" fontId="28" fillId="0" borderId="31" xfId="253" applyNumberFormat="1" applyBorder="1" applyAlignment="1">
      <alignment horizontal="center" vertical="center"/>
    </xf>
    <xf numFmtId="0" fontId="62" fillId="0" borderId="22" xfId="253" applyFont="1" applyBorder="1" applyAlignment="1">
      <alignment horizontal="center" vertical="center"/>
    </xf>
    <xf numFmtId="0" fontId="39" fillId="0" borderId="37" xfId="253" applyFont="1" applyBorder="1" applyAlignment="1">
      <alignment horizontal="left" vertical="center"/>
    </xf>
    <xf numFmtId="0" fontId="39" fillId="0" borderId="32" xfId="253" applyFont="1" applyBorder="1" applyAlignment="1">
      <alignment horizontal="left" vertical="center"/>
    </xf>
    <xf numFmtId="179" fontId="69" fillId="0" borderId="0" xfId="0" applyNumberFormat="1" applyFont="1" applyAlignment="1">
      <alignment horizontal="center"/>
    </xf>
    <xf numFmtId="185" fontId="17" fillId="0" borderId="1" xfId="697" applyNumberFormat="1" applyFont="1" applyBorder="1" applyAlignment="1">
      <alignment shrinkToFit="1"/>
    </xf>
    <xf numFmtId="185" fontId="32" fillId="0" borderId="22" xfId="697" applyNumberFormat="1" applyFont="1" applyBorder="1" applyAlignment="1">
      <alignment shrinkToFit="1"/>
    </xf>
    <xf numFmtId="183" fontId="32" fillId="3" borderId="18" xfId="0" applyNumberFormat="1" applyFont="1" applyFill="1" applyBorder="1" applyAlignment="1">
      <alignment shrinkToFit="1"/>
    </xf>
    <xf numFmtId="185" fontId="32" fillId="0" borderId="1" xfId="0" applyNumberFormat="1" applyFont="1" applyBorder="1" applyAlignment="1">
      <alignment shrinkToFit="1"/>
    </xf>
    <xf numFmtId="185" fontId="30" fillId="0" borderId="0" xfId="0" applyNumberFormat="1" applyFont="1" applyAlignment="1">
      <alignment vertical="center"/>
    </xf>
    <xf numFmtId="0" fontId="34" fillId="0" borderId="22" xfId="253" applyFont="1" applyBorder="1" applyAlignment="1">
      <alignment horizontal="center" vertical="center"/>
    </xf>
    <xf numFmtId="0" fontId="40" fillId="5" borderId="23" xfId="286" applyFont="1" applyFill="1" applyBorder="1" applyAlignment="1">
      <alignment horizontal="center" vertical="center"/>
    </xf>
    <xf numFmtId="0" fontId="34" fillId="0" borderId="0" xfId="253" applyFont="1" applyAlignment="1">
      <alignment horizontal="center" vertical="center"/>
    </xf>
    <xf numFmtId="0" fontId="65" fillId="0" borderId="22" xfId="253" applyFont="1" applyBorder="1" applyAlignment="1">
      <alignment horizontal="center" vertical="center"/>
    </xf>
    <xf numFmtId="0" fontId="40" fillId="0" borderId="22" xfId="253" applyFont="1" applyBorder="1" applyAlignment="1">
      <alignment horizontal="center" vertical="center"/>
    </xf>
    <xf numFmtId="0" fontId="34" fillId="0" borderId="41" xfId="253" applyFont="1" applyBorder="1" applyAlignment="1">
      <alignment horizontal="center" vertical="center"/>
    </xf>
    <xf numFmtId="0" fontId="40" fillId="0" borderId="22" xfId="253" applyFont="1" applyBorder="1" applyAlignment="1">
      <alignment horizontal="left" vertical="center"/>
    </xf>
    <xf numFmtId="0" fontId="65" fillId="0" borderId="22" xfId="253" applyFont="1" applyBorder="1" applyAlignment="1">
      <alignment horizontal="left" vertical="center"/>
    </xf>
    <xf numFmtId="0" fontId="34" fillId="0" borderId="0" xfId="253" applyFont="1" applyAlignment="1">
      <alignment horizontal="left" vertical="center"/>
    </xf>
    <xf numFmtId="186" fontId="30" fillId="0" borderId="22" xfId="0" applyNumberFormat="1" applyFont="1" applyBorder="1"/>
    <xf numFmtId="0" fontId="7" fillId="0" borderId="0" xfId="43">
      <alignment vertical="center"/>
    </xf>
    <xf numFmtId="189" fontId="75" fillId="9" borderId="43" xfId="43" applyNumberFormat="1" applyFont="1" applyFill="1" applyBorder="1" applyAlignment="1">
      <alignment horizontal="center" vertical="center"/>
    </xf>
    <xf numFmtId="190" fontId="75" fillId="0" borderId="43" xfId="43" applyNumberFormat="1" applyFont="1" applyBorder="1" applyAlignment="1">
      <alignment horizontal="center" vertical="center"/>
    </xf>
    <xf numFmtId="189" fontId="75" fillId="9" borderId="43" xfId="158" applyNumberFormat="1" applyFont="1" applyFill="1" applyBorder="1" applyAlignment="1">
      <alignment horizontal="center" vertical="center"/>
    </xf>
    <xf numFmtId="10" fontId="75" fillId="0" borderId="43" xfId="705" applyNumberFormat="1" applyFont="1" applyBorder="1" applyAlignment="1">
      <alignment horizontal="center" vertical="center"/>
    </xf>
    <xf numFmtId="189" fontId="75" fillId="9" borderId="43" xfId="705" applyNumberFormat="1" applyFont="1" applyFill="1" applyBorder="1" applyAlignment="1">
      <alignment horizontal="center" vertical="center"/>
    </xf>
    <xf numFmtId="191" fontId="75" fillId="9" borderId="43" xfId="43" applyNumberFormat="1" applyFont="1" applyFill="1" applyBorder="1" applyAlignment="1">
      <alignment horizontal="center" vertical="center"/>
    </xf>
    <xf numFmtId="10" fontId="75" fillId="0" borderId="43" xfId="43" applyNumberFormat="1" applyFont="1" applyBorder="1" applyAlignment="1">
      <alignment horizontal="center" vertical="center"/>
    </xf>
    <xf numFmtId="189" fontId="75" fillId="9" borderId="22" xfId="43" applyNumberFormat="1" applyFont="1" applyFill="1" applyBorder="1" applyAlignment="1">
      <alignment horizontal="center" vertical="center"/>
    </xf>
    <xf numFmtId="190" fontId="75" fillId="0" borderId="22" xfId="43" applyNumberFormat="1" applyFont="1" applyBorder="1" applyAlignment="1">
      <alignment horizontal="center" vertical="center"/>
    </xf>
    <xf numFmtId="189" fontId="75" fillId="9" borderId="22" xfId="158" applyNumberFormat="1" applyFont="1" applyFill="1" applyBorder="1" applyAlignment="1">
      <alignment horizontal="center" vertical="center"/>
    </xf>
    <xf numFmtId="10" fontId="75" fillId="0" borderId="22" xfId="705" applyNumberFormat="1" applyFont="1" applyBorder="1" applyAlignment="1">
      <alignment horizontal="center" vertical="center"/>
    </xf>
    <xf numFmtId="189" fontId="75" fillId="9" borderId="22" xfId="705" applyNumberFormat="1" applyFont="1" applyFill="1" applyBorder="1" applyAlignment="1">
      <alignment horizontal="center" vertical="center"/>
    </xf>
    <xf numFmtId="191" fontId="75" fillId="9" borderId="22" xfId="43" applyNumberFormat="1" applyFont="1" applyFill="1" applyBorder="1" applyAlignment="1">
      <alignment horizontal="center" vertical="center"/>
    </xf>
    <xf numFmtId="10" fontId="75" fillId="0" borderId="22" xfId="43" applyNumberFormat="1" applyFont="1" applyBorder="1" applyAlignment="1">
      <alignment horizontal="center" vertical="center"/>
    </xf>
    <xf numFmtId="1" fontId="7" fillId="0" borderId="0" xfId="43" applyNumberFormat="1">
      <alignment vertical="center"/>
    </xf>
    <xf numFmtId="188" fontId="75" fillId="0" borderId="44" xfId="286" applyNumberFormat="1" applyFont="1" applyBorder="1" applyAlignment="1">
      <alignment horizontal="center" vertical="center"/>
    </xf>
    <xf numFmtId="189" fontId="75" fillId="9" borderId="46" xfId="43" applyNumberFormat="1" applyFont="1" applyFill="1" applyBorder="1" applyAlignment="1">
      <alignment horizontal="center" vertical="center"/>
    </xf>
    <xf numFmtId="190" fontId="75" fillId="0" borderId="46" xfId="43" applyNumberFormat="1" applyFont="1" applyBorder="1" applyAlignment="1">
      <alignment horizontal="center" vertical="center"/>
    </xf>
    <xf numFmtId="10" fontId="75" fillId="0" borderId="46" xfId="705" applyNumberFormat="1" applyFont="1" applyBorder="1" applyAlignment="1">
      <alignment horizontal="center" vertical="center"/>
    </xf>
    <xf numFmtId="10" fontId="75" fillId="0" borderId="46" xfId="43" applyNumberFormat="1" applyFont="1" applyBorder="1" applyAlignment="1">
      <alignment horizontal="center" vertical="center"/>
    </xf>
    <xf numFmtId="3" fontId="7" fillId="0" borderId="0" xfId="43" applyNumberFormat="1">
      <alignment vertical="center"/>
    </xf>
    <xf numFmtId="190" fontId="7" fillId="0" borderId="0" xfId="705" applyNumberFormat="1" applyFont="1" applyAlignment="1">
      <alignment vertical="center"/>
    </xf>
    <xf numFmtId="189" fontId="75" fillId="9" borderId="46" xfId="158" applyNumberFormat="1" applyFont="1" applyFill="1" applyBorder="1" applyAlignment="1">
      <alignment horizontal="center" vertical="center"/>
    </xf>
    <xf numFmtId="189" fontId="75" fillId="9" borderId="46" xfId="705" applyNumberFormat="1" applyFont="1" applyFill="1" applyBorder="1" applyAlignment="1">
      <alignment horizontal="center" vertical="center"/>
    </xf>
    <xf numFmtId="191" fontId="75" fillId="9" borderId="46" xfId="43" applyNumberFormat="1" applyFont="1" applyFill="1" applyBorder="1" applyAlignment="1">
      <alignment horizontal="center" vertical="center"/>
    </xf>
    <xf numFmtId="188" fontId="75" fillId="0" borderId="42" xfId="286" applyNumberFormat="1" applyFont="1" applyBorder="1" applyAlignment="1">
      <alignment horizontal="center" vertical="center"/>
    </xf>
    <xf numFmtId="189" fontId="75" fillId="9" borderId="30" xfId="43" applyNumberFormat="1" applyFont="1" applyFill="1" applyBorder="1" applyAlignment="1">
      <alignment horizontal="center" vertical="center"/>
    </xf>
    <xf numFmtId="190" fontId="75" fillId="0" borderId="30" xfId="43" applyNumberFormat="1" applyFont="1" applyBorder="1" applyAlignment="1">
      <alignment horizontal="center" vertical="center"/>
    </xf>
    <xf numFmtId="189" fontId="75" fillId="9" borderId="30" xfId="158" applyNumberFormat="1" applyFont="1" applyFill="1" applyBorder="1" applyAlignment="1">
      <alignment horizontal="center" vertical="center"/>
    </xf>
    <xf numFmtId="10" fontId="75" fillId="0" borderId="30" xfId="705" applyNumberFormat="1" applyFont="1" applyBorder="1" applyAlignment="1">
      <alignment horizontal="center" vertical="center"/>
    </xf>
    <xf numFmtId="189" fontId="75" fillId="9" borderId="30" xfId="705" applyNumberFormat="1" applyFont="1" applyFill="1" applyBorder="1" applyAlignment="1">
      <alignment horizontal="center" vertical="center"/>
    </xf>
    <xf numFmtId="191" fontId="75" fillId="9" borderId="30" xfId="43" applyNumberFormat="1" applyFont="1" applyFill="1" applyBorder="1" applyAlignment="1">
      <alignment horizontal="center" vertical="center"/>
    </xf>
    <xf numFmtId="10" fontId="75" fillId="0" borderId="30" xfId="43" applyNumberFormat="1" applyFont="1" applyBorder="1" applyAlignment="1">
      <alignment horizontal="center" vertical="center"/>
    </xf>
    <xf numFmtId="10" fontId="75" fillId="0" borderId="0" xfId="43" applyNumberFormat="1" applyFont="1" applyAlignment="1">
      <alignment horizontal="center" vertical="center"/>
    </xf>
    <xf numFmtId="188" fontId="76" fillId="0" borderId="22" xfId="286" applyNumberFormat="1" applyFont="1" applyBorder="1" applyAlignment="1">
      <alignment horizontal="center" vertical="center"/>
    </xf>
    <xf numFmtId="10" fontId="74" fillId="0" borderId="22" xfId="705" applyNumberFormat="1" applyFont="1" applyBorder="1" applyAlignment="1">
      <alignment horizontal="center" vertical="center"/>
    </xf>
    <xf numFmtId="0" fontId="75" fillId="0" borderId="0" xfId="43" applyFont="1">
      <alignment vertical="center"/>
    </xf>
    <xf numFmtId="1" fontId="75" fillId="0" borderId="0" xfId="43" applyNumberFormat="1" applyFont="1">
      <alignment vertical="center"/>
    </xf>
    <xf numFmtId="189" fontId="75" fillId="0" borderId="0" xfId="43" applyNumberFormat="1" applyFont="1">
      <alignment vertical="center"/>
    </xf>
    <xf numFmtId="0" fontId="49" fillId="0" borderId="22" xfId="253" applyFont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0" fontId="78" fillId="0" borderId="22" xfId="253" applyFont="1" applyBorder="1" applyAlignment="1">
      <alignment horizontal="center" vertical="center" shrinkToFit="1"/>
    </xf>
    <xf numFmtId="0" fontId="79" fillId="9" borderId="22" xfId="253" applyFont="1" applyFill="1" applyBorder="1" applyAlignment="1">
      <alignment horizontal="center" vertical="center" shrinkToFit="1"/>
    </xf>
    <xf numFmtId="0" fontId="32" fillId="4" borderId="0" xfId="253" applyFont="1" applyFill="1" applyAlignment="1">
      <alignment shrinkToFit="1"/>
    </xf>
    <xf numFmtId="0" fontId="47" fillId="0" borderId="0" xfId="253" applyFont="1"/>
    <xf numFmtId="0" fontId="45" fillId="0" borderId="0" xfId="253" applyFont="1" applyAlignment="1">
      <alignment shrinkToFit="1"/>
    </xf>
    <xf numFmtId="0" fontId="48" fillId="0" borderId="0" xfId="253" applyFont="1"/>
    <xf numFmtId="0" fontId="50" fillId="0" borderId="22" xfId="253" applyFont="1" applyBorder="1" applyAlignment="1">
      <alignment horizontal="center" shrinkToFit="1"/>
    </xf>
    <xf numFmtId="0" fontId="45" fillId="0" borderId="22" xfId="253" applyFont="1" applyBorder="1" applyAlignment="1">
      <alignment horizontal="center" shrinkToFit="1"/>
    </xf>
    <xf numFmtId="0" fontId="32" fillId="0" borderId="0" xfId="253" applyFont="1" applyAlignment="1">
      <alignment horizontal="center" shrinkToFit="1"/>
    </xf>
    <xf numFmtId="4" fontId="32" fillId="0" borderId="22" xfId="253" applyNumberFormat="1" applyFont="1" applyBorder="1" applyAlignment="1">
      <alignment horizontal="right" shrinkToFit="1"/>
    </xf>
    <xf numFmtId="0" fontId="32" fillId="0" borderId="0" xfId="253" applyFont="1" applyAlignment="1">
      <alignment shrinkToFit="1"/>
    </xf>
    <xf numFmtId="0" fontId="45" fillId="0" borderId="22" xfId="253" applyFont="1" applyBorder="1" applyAlignment="1">
      <alignment horizontal="center" vertical="center" shrinkToFit="1"/>
    </xf>
    <xf numFmtId="0" fontId="50" fillId="0" borderId="22" xfId="253" applyFont="1" applyBorder="1" applyAlignment="1">
      <alignment horizontal="center" vertical="center" shrinkToFit="1"/>
    </xf>
    <xf numFmtId="10" fontId="45" fillId="0" borderId="0" xfId="253" applyNumberFormat="1" applyFont="1" applyAlignment="1">
      <alignment shrinkToFit="1"/>
    </xf>
    <xf numFmtId="0" fontId="46" fillId="0" borderId="0" xfId="253" applyFont="1"/>
    <xf numFmtId="0" fontId="50" fillId="0" borderId="22" xfId="253" applyFont="1" applyBorder="1" applyAlignment="1">
      <alignment shrinkToFit="1"/>
    </xf>
    <xf numFmtId="0" fontId="17" fillId="0" borderId="0" xfId="253" applyFont="1" applyAlignment="1">
      <alignment horizontal="center" vertical="center" shrinkToFit="1"/>
    </xf>
    <xf numFmtId="0" fontId="28" fillId="4" borderId="0" xfId="253" applyFill="1" applyAlignment="1">
      <alignment horizontal="center" vertical="center" shrinkToFit="1"/>
    </xf>
    <xf numFmtId="0" fontId="17" fillId="0" borderId="0" xfId="253" applyFont="1" applyAlignment="1">
      <alignment horizontal="right" shrinkToFit="1"/>
    </xf>
    <xf numFmtId="0" fontId="20" fillId="0" borderId="0" xfId="253" applyFont="1" applyAlignment="1">
      <alignment shrinkToFit="1"/>
    </xf>
    <xf numFmtId="0" fontId="17" fillId="0" borderId="0" xfId="253" applyFont="1" applyAlignment="1">
      <alignment shrinkToFit="1"/>
    </xf>
    <xf numFmtId="0" fontId="18" fillId="0" borderId="0" xfId="253" applyFont="1" applyAlignment="1">
      <alignment shrinkToFit="1"/>
    </xf>
    <xf numFmtId="0" fontId="28" fillId="4" borderId="0" xfId="253" applyFill="1" applyAlignment="1">
      <alignment shrinkToFit="1"/>
    </xf>
    <xf numFmtId="0" fontId="17" fillId="4" borderId="0" xfId="253" applyFont="1" applyFill="1" applyAlignment="1">
      <alignment shrinkToFit="1"/>
    </xf>
    <xf numFmtId="188" fontId="76" fillId="0" borderId="30" xfId="286" applyNumberFormat="1" applyFont="1" applyBorder="1" applyAlignment="1">
      <alignment horizontal="center" vertical="center"/>
    </xf>
    <xf numFmtId="10" fontId="74" fillId="0" borderId="30" xfId="705" applyNumberFormat="1" applyFont="1" applyBorder="1" applyAlignment="1">
      <alignment horizontal="center" vertical="center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3" xfId="43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 shrinkToFit="1"/>
    </xf>
    <xf numFmtId="186" fontId="30" fillId="0" borderId="0" xfId="0" applyNumberFormat="1" applyFont="1" applyAlignment="1">
      <alignment vertical="center"/>
    </xf>
    <xf numFmtId="10" fontId="30" fillId="0" borderId="0" xfId="0" applyNumberFormat="1" applyFont="1" applyAlignment="1">
      <alignment vertical="center"/>
    </xf>
    <xf numFmtId="179" fontId="30" fillId="0" borderId="0" xfId="253" applyNumberFormat="1" applyFont="1" applyAlignment="1">
      <alignment horizontal="center"/>
    </xf>
    <xf numFmtId="179" fontId="69" fillId="0" borderId="0" xfId="253" applyNumberFormat="1" applyFont="1" applyAlignment="1">
      <alignment horizontal="center"/>
    </xf>
    <xf numFmtId="183" fontId="17" fillId="0" borderId="1" xfId="0" applyNumberFormat="1" applyFont="1" applyBorder="1" applyAlignment="1">
      <alignment shrinkToFit="1"/>
    </xf>
    <xf numFmtId="0" fontId="80" fillId="0" borderId="0" xfId="351" applyFont="1">
      <alignment vertical="center"/>
    </xf>
    <xf numFmtId="179" fontId="30" fillId="0" borderId="0" xfId="253" applyNumberFormat="1" applyFont="1" applyAlignment="1">
      <alignment vertical="center"/>
    </xf>
    <xf numFmtId="187" fontId="30" fillId="0" borderId="0" xfId="253" applyNumberFormat="1" applyFont="1" applyAlignment="1">
      <alignment vertical="center"/>
    </xf>
    <xf numFmtId="186" fontId="30" fillId="0" borderId="0" xfId="0" applyNumberFormat="1" applyFont="1" applyAlignment="1">
      <alignment horizontal="right"/>
    </xf>
    <xf numFmtId="189" fontId="75" fillId="9" borderId="23" xfId="43" applyNumberFormat="1" applyFont="1" applyFill="1" applyBorder="1" applyAlignment="1">
      <alignment horizontal="center" vertical="center"/>
    </xf>
    <xf numFmtId="190" fontId="75" fillId="0" borderId="23" xfId="43" applyNumberFormat="1" applyFont="1" applyBorder="1" applyAlignment="1">
      <alignment horizontal="center" vertical="center"/>
    </xf>
    <xf numFmtId="189" fontId="75" fillId="9" borderId="23" xfId="158" applyNumberFormat="1" applyFont="1" applyFill="1" applyBorder="1" applyAlignment="1">
      <alignment horizontal="center" vertical="center"/>
    </xf>
    <xf numFmtId="10" fontId="75" fillId="0" borderId="23" xfId="705" applyNumberFormat="1" applyFont="1" applyBorder="1" applyAlignment="1">
      <alignment horizontal="center" vertical="center"/>
    </xf>
    <xf numFmtId="189" fontId="75" fillId="9" borderId="23" xfId="705" applyNumberFormat="1" applyFont="1" applyFill="1" applyBorder="1" applyAlignment="1">
      <alignment horizontal="center" vertical="center"/>
    </xf>
    <xf numFmtId="191" fontId="75" fillId="9" borderId="23" xfId="43" applyNumberFormat="1" applyFont="1" applyFill="1" applyBorder="1" applyAlignment="1">
      <alignment horizontal="center" vertical="center"/>
    </xf>
    <xf numFmtId="10" fontId="75" fillId="0" borderId="23" xfId="43" applyNumberFormat="1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46" fillId="0" borderId="49" xfId="253" applyFont="1" applyBorder="1" applyAlignment="1">
      <alignment shrinkToFit="1"/>
    </xf>
    <xf numFmtId="184" fontId="56" fillId="0" borderId="50" xfId="253" applyNumberFormat="1" applyFont="1" applyBorder="1" applyAlignment="1">
      <alignment shrinkToFit="1"/>
    </xf>
    <xf numFmtId="0" fontId="30" fillId="0" borderId="50" xfId="253" applyFont="1" applyBorder="1" applyAlignment="1">
      <alignment shrinkToFit="1"/>
    </xf>
    <xf numFmtId="0" fontId="32" fillId="0" borderId="51" xfId="253" applyFont="1" applyBorder="1" applyAlignment="1">
      <alignment horizontal="center" vertical="center" shrinkToFit="1"/>
    </xf>
    <xf numFmtId="0" fontId="45" fillId="0" borderId="52" xfId="253" applyFont="1" applyBorder="1" applyAlignment="1">
      <alignment horizontal="center" shrinkToFit="1"/>
    </xf>
    <xf numFmtId="10" fontId="32" fillId="0" borderId="51" xfId="253" applyNumberFormat="1" applyFont="1" applyBorder="1" applyAlignment="1">
      <alignment shrinkToFit="1"/>
    </xf>
    <xf numFmtId="0" fontId="45" fillId="0" borderId="53" xfId="253" applyFont="1" applyBorder="1" applyAlignment="1">
      <alignment horizontal="center" shrinkToFit="1"/>
    </xf>
    <xf numFmtId="0" fontId="30" fillId="0" borderId="54" xfId="253" applyFont="1" applyBorder="1" applyAlignment="1">
      <alignment shrinkToFit="1"/>
    </xf>
    <xf numFmtId="0" fontId="30" fillId="0" borderId="55" xfId="253" applyFont="1" applyBorder="1" applyAlignment="1">
      <alignment shrinkToFit="1"/>
    </xf>
    <xf numFmtId="0" fontId="30" fillId="0" borderId="56" xfId="253" applyFont="1" applyBorder="1" applyAlignment="1">
      <alignment shrinkToFit="1"/>
    </xf>
    <xf numFmtId="0" fontId="45" fillId="0" borderId="57" xfId="253" applyFont="1" applyBorder="1" applyAlignment="1">
      <alignment horizontal="center" shrinkToFit="1"/>
    </xf>
    <xf numFmtId="3" fontId="32" fillId="0" borderId="46" xfId="253" applyNumberFormat="1" applyFont="1" applyBorder="1" applyAlignment="1">
      <alignment shrinkToFit="1"/>
    </xf>
    <xf numFmtId="10" fontId="32" fillId="0" borderId="46" xfId="253" applyNumberFormat="1" applyFont="1" applyBorder="1" applyAlignment="1">
      <alignment shrinkToFit="1"/>
    </xf>
    <xf numFmtId="10" fontId="32" fillId="0" borderId="58" xfId="253" applyNumberFormat="1" applyFont="1" applyBorder="1" applyAlignment="1">
      <alignment shrinkToFit="1"/>
    </xf>
    <xf numFmtId="10" fontId="30" fillId="0" borderId="0" xfId="0" applyNumberFormat="1" applyFont="1" applyAlignment="1">
      <alignment horizontal="right" vertical="center"/>
    </xf>
    <xf numFmtId="192" fontId="75" fillId="0" borderId="47" xfId="43" applyNumberFormat="1" applyFont="1" applyBorder="1">
      <alignment vertical="center"/>
    </xf>
    <xf numFmtId="188" fontId="74" fillId="0" borderId="44" xfId="286" applyNumberFormat="1" applyFont="1" applyBorder="1" applyAlignment="1">
      <alignment horizontal="center" vertical="center"/>
    </xf>
    <xf numFmtId="188" fontId="75" fillId="0" borderId="59" xfId="286" applyNumberFormat="1" applyFont="1" applyBorder="1" applyAlignment="1">
      <alignment horizontal="center" vertical="center"/>
    </xf>
    <xf numFmtId="188" fontId="75" fillId="0" borderId="45" xfId="286" applyNumberFormat="1" applyFont="1" applyBorder="1" applyAlignment="1">
      <alignment horizontal="center" vertical="center"/>
    </xf>
    <xf numFmtId="188" fontId="75" fillId="0" borderId="61" xfId="286" applyNumberFormat="1" applyFont="1" applyBorder="1" applyAlignment="1">
      <alignment horizontal="center" vertical="center"/>
    </xf>
    <xf numFmtId="189" fontId="74" fillId="9" borderId="43" xfId="43" applyNumberFormat="1" applyFont="1" applyFill="1" applyBorder="1" applyAlignment="1">
      <alignment horizontal="center" vertical="center"/>
    </xf>
    <xf numFmtId="0" fontId="73" fillId="10" borderId="63" xfId="43" applyFont="1" applyFill="1" applyBorder="1" applyAlignment="1">
      <alignment horizontal="center" vertical="center"/>
    </xf>
    <xf numFmtId="192" fontId="75" fillId="0" borderId="60" xfId="43" applyNumberFormat="1" applyFont="1" applyBorder="1">
      <alignment vertical="center"/>
    </xf>
    <xf numFmtId="180" fontId="30" fillId="0" borderId="0" xfId="0" applyNumberFormat="1" applyFont="1" applyAlignment="1">
      <alignment vertical="center"/>
    </xf>
    <xf numFmtId="185" fontId="32" fillId="0" borderId="1" xfId="697" applyNumberFormat="1" applyFont="1" applyBorder="1" applyAlignment="1">
      <alignment shrinkToFit="1"/>
    </xf>
    <xf numFmtId="183" fontId="81" fillId="0" borderId="22" xfId="253" applyNumberFormat="1" applyFont="1" applyBorder="1" applyAlignment="1">
      <alignment horizontal="center" vertical="center"/>
    </xf>
    <xf numFmtId="1" fontId="81" fillId="0" borderId="22" xfId="253" applyNumberFormat="1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0" fontId="41" fillId="0" borderId="22" xfId="20" applyFont="1" applyBorder="1" applyAlignment="1">
      <alignment horizontal="center" vertical="center"/>
    </xf>
    <xf numFmtId="3" fontId="59" fillId="0" borderId="22" xfId="253" applyNumberFormat="1" applyFont="1" applyBorder="1" applyAlignment="1">
      <alignment shrinkToFit="1"/>
    </xf>
    <xf numFmtId="187" fontId="30" fillId="0" borderId="0" xfId="0" applyNumberFormat="1" applyFont="1" applyAlignment="1">
      <alignment vertical="center"/>
    </xf>
    <xf numFmtId="183" fontId="82" fillId="0" borderId="22" xfId="253" applyNumberFormat="1" applyFont="1" applyBorder="1" applyAlignment="1">
      <alignment horizontal="center" vertical="center"/>
    </xf>
    <xf numFmtId="180" fontId="69" fillId="0" borderId="0" xfId="0" applyNumberFormat="1" applyFont="1"/>
    <xf numFmtId="0" fontId="18" fillId="0" borderId="22" xfId="253" applyFont="1" applyBorder="1" applyAlignment="1">
      <alignment horizontal="center" vertical="center"/>
    </xf>
    <xf numFmtId="1" fontId="18" fillId="0" borderId="22" xfId="253" applyNumberFormat="1" applyFont="1" applyBorder="1" applyAlignment="1">
      <alignment horizontal="center" vertical="center"/>
    </xf>
    <xf numFmtId="10" fontId="22" fillId="0" borderId="0" xfId="697" applyNumberFormat="1" applyFont="1" applyAlignment="1"/>
    <xf numFmtId="193" fontId="32" fillId="0" borderId="22" xfId="253" applyNumberFormat="1" applyFont="1" applyBorder="1" applyAlignment="1">
      <alignment horizontal="right" shrinkToFit="1"/>
    </xf>
    <xf numFmtId="0" fontId="18" fillId="12" borderId="22" xfId="253" applyFont="1" applyFill="1" applyBorder="1" applyAlignment="1">
      <alignment horizontal="center" vertical="center"/>
    </xf>
    <xf numFmtId="0" fontId="41" fillId="0" borderId="22" xfId="210" applyFont="1" applyBorder="1" applyAlignment="1">
      <alignment horizontal="center"/>
    </xf>
    <xf numFmtId="0" fontId="83" fillId="0" borderId="0" xfId="253" applyFont="1" applyAlignment="1">
      <alignment horizontal="left" vertical="center"/>
    </xf>
    <xf numFmtId="0" fontId="21" fillId="0" borderId="0" xfId="253" applyFont="1" applyAlignment="1">
      <alignment vertical="center"/>
    </xf>
    <xf numFmtId="183" fontId="18" fillId="0" borderId="0" xfId="253" applyNumberFormat="1" applyFont="1" applyAlignment="1">
      <alignment horizontal="center" vertical="center"/>
    </xf>
    <xf numFmtId="0" fontId="18" fillId="0" borderId="0" xfId="253" applyFont="1" applyAlignment="1">
      <alignment horizontal="center" vertical="center"/>
    </xf>
    <xf numFmtId="0" fontId="18" fillId="0" borderId="0" xfId="253" applyFont="1" applyAlignment="1">
      <alignment vertical="center"/>
    </xf>
    <xf numFmtId="0" fontId="45" fillId="0" borderId="0" xfId="253" applyFont="1" applyAlignment="1">
      <alignment vertical="center"/>
    </xf>
    <xf numFmtId="0" fontId="85" fillId="0" borderId="0" xfId="253" applyFont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0" fontId="85" fillId="0" borderId="32" xfId="253" applyFont="1" applyBorder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85" fillId="0" borderId="36" xfId="253" applyFont="1" applyBorder="1" applyAlignment="1">
      <alignment horizontal="left" vertical="center"/>
    </xf>
    <xf numFmtId="0" fontId="21" fillId="0" borderId="22" xfId="253" applyFont="1" applyBorder="1" applyAlignment="1">
      <alignment horizontal="center" vertical="center"/>
    </xf>
    <xf numFmtId="0" fontId="45" fillId="0" borderId="0" xfId="253" applyFont="1" applyAlignment="1">
      <alignment horizontal="center" vertical="center"/>
    </xf>
    <xf numFmtId="0" fontId="86" fillId="0" borderId="22" xfId="253" applyFont="1" applyBorder="1" applyAlignment="1">
      <alignment horizontal="center" vertical="center"/>
    </xf>
    <xf numFmtId="0" fontId="87" fillId="0" borderId="22" xfId="253" applyFont="1" applyBorder="1" applyAlignment="1">
      <alignment horizontal="center" vertical="center"/>
    </xf>
    <xf numFmtId="0" fontId="85" fillId="0" borderId="34" xfId="253" applyFont="1" applyBorder="1" applyAlignment="1">
      <alignment horizontal="left" vertical="center"/>
    </xf>
    <xf numFmtId="1" fontId="18" fillId="0" borderId="31" xfId="253" applyNumberFormat="1" applyFont="1" applyBorder="1" applyAlignment="1">
      <alignment horizontal="center" vertical="center"/>
    </xf>
    <xf numFmtId="183" fontId="18" fillId="0" borderId="22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10" fontId="30" fillId="0" borderId="0" xfId="253" applyNumberFormat="1" applyFont="1" applyAlignment="1">
      <alignment vertical="center"/>
    </xf>
    <xf numFmtId="176" fontId="30" fillId="0" borderId="0" xfId="0" applyNumberFormat="1" applyFont="1" applyAlignment="1">
      <alignment vertical="center"/>
    </xf>
    <xf numFmtId="183" fontId="40" fillId="9" borderId="22" xfId="709" applyNumberFormat="1" applyFont="1" applyFill="1" applyBorder="1" applyAlignment="1">
      <alignment horizontal="center" vertical="center"/>
    </xf>
    <xf numFmtId="183" fontId="40" fillId="9" borderId="22" xfId="253" applyNumberFormat="1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88" fillId="5" borderId="22" xfId="45" applyFont="1" applyFill="1" applyBorder="1" applyAlignment="1">
      <alignment horizontal="center" vertical="center" wrapText="1"/>
    </xf>
    <xf numFmtId="0" fontId="34" fillId="9" borderId="22" xfId="253" applyFont="1" applyFill="1" applyBorder="1" applyAlignment="1">
      <alignment horizontal="left" vertical="center"/>
    </xf>
    <xf numFmtId="192" fontId="40" fillId="4" borderId="22" xfId="253" applyNumberFormat="1" applyFont="1" applyFill="1" applyBorder="1" applyAlignment="1">
      <alignment horizontal="center" vertical="center"/>
    </xf>
    <xf numFmtId="185" fontId="40" fillId="0" borderId="22" xfId="709" applyNumberFormat="1" applyFont="1" applyFill="1" applyBorder="1" applyAlignment="1">
      <alignment horizontal="center" vertical="center"/>
    </xf>
    <xf numFmtId="194" fontId="40" fillId="0" borderId="22" xfId="253" applyNumberFormat="1" applyFont="1" applyBorder="1" applyAlignment="1">
      <alignment horizontal="center" vertical="center"/>
    </xf>
    <xf numFmtId="192" fontId="40" fillId="0" borderId="22" xfId="253" applyNumberFormat="1" applyFont="1" applyBorder="1" applyAlignment="1">
      <alignment horizontal="center" vertical="center"/>
    </xf>
    <xf numFmtId="1" fontId="34" fillId="0" borderId="64" xfId="253" applyNumberFormat="1" applyFont="1" applyBorder="1" applyAlignment="1">
      <alignment horizontal="center" vertical="center"/>
    </xf>
    <xf numFmtId="1" fontId="34" fillId="0" borderId="22" xfId="253" applyNumberFormat="1" applyFont="1" applyBorder="1" applyAlignment="1">
      <alignment horizontal="center" vertical="center"/>
    </xf>
    <xf numFmtId="1" fontId="57" fillId="0" borderId="65" xfId="253" applyNumberFormat="1" applyFont="1" applyBorder="1" applyAlignment="1">
      <alignment horizontal="center" vertical="center"/>
    </xf>
    <xf numFmtId="9" fontId="34" fillId="0" borderId="65" xfId="709" applyFont="1" applyBorder="1" applyAlignment="1">
      <alignment horizontal="center" vertical="center"/>
    </xf>
    <xf numFmtId="192" fontId="40" fillId="0" borderId="22" xfId="709" applyNumberFormat="1" applyFont="1" applyFill="1" applyBorder="1" applyAlignment="1">
      <alignment horizontal="center" vertical="center"/>
    </xf>
    <xf numFmtId="193" fontId="32" fillId="0" borderId="22" xfId="253" applyNumberFormat="1" applyFont="1" applyBorder="1" applyAlignment="1">
      <alignment shrinkToFit="1"/>
    </xf>
    <xf numFmtId="1" fontId="28" fillId="12" borderId="22" xfId="253" applyNumberFormat="1" applyFill="1" applyBorder="1" applyAlignment="1">
      <alignment horizontal="center" vertical="center"/>
    </xf>
    <xf numFmtId="0" fontId="82" fillId="0" borderId="22" xfId="253" applyFont="1" applyBorder="1" applyAlignment="1">
      <alignment horizontal="center" vertical="center"/>
    </xf>
    <xf numFmtId="0" fontId="89" fillId="0" borderId="0" xfId="253" applyFont="1" applyAlignment="1">
      <alignment horizontal="left" vertical="center"/>
    </xf>
    <xf numFmtId="1" fontId="82" fillId="0" borderId="22" xfId="253" applyNumberFormat="1" applyFont="1" applyBorder="1" applyAlignment="1">
      <alignment horizontal="center" vertical="center"/>
    </xf>
    <xf numFmtId="187" fontId="30" fillId="0" borderId="0" xfId="253" applyNumberFormat="1" applyFont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10" fontId="30" fillId="0" borderId="0" xfId="253" applyNumberFormat="1" applyFont="1" applyAlignment="1">
      <alignment horizontal="center" vertical="center"/>
    </xf>
    <xf numFmtId="180" fontId="30" fillId="0" borderId="0" xfId="0" applyNumberFormat="1" applyFont="1" applyAlignment="1">
      <alignment horizontal="center" vertical="center"/>
    </xf>
    <xf numFmtId="185" fontId="3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182" fontId="30" fillId="0" borderId="0" xfId="0" applyNumberFormat="1" applyFont="1" applyAlignment="1">
      <alignment vertical="center"/>
    </xf>
    <xf numFmtId="0" fontId="81" fillId="0" borderId="22" xfId="253" applyFont="1" applyBorder="1" applyAlignment="1">
      <alignment horizontal="center" vertical="center"/>
    </xf>
    <xf numFmtId="183" fontId="17" fillId="3" borderId="18" xfId="0" applyNumberFormat="1" applyFont="1" applyFill="1" applyBorder="1" applyAlignment="1">
      <alignment shrinkToFit="1"/>
    </xf>
    <xf numFmtId="10" fontId="90" fillId="13" borderId="66" xfId="0" applyNumberFormat="1" applyFont="1" applyFill="1" applyBorder="1" applyAlignment="1">
      <alignment horizontal="center" shrinkToFit="1"/>
    </xf>
    <xf numFmtId="183" fontId="81" fillId="0" borderId="22" xfId="0" applyNumberFormat="1" applyFont="1" applyBorder="1" applyAlignment="1">
      <alignment horizontal="center" vertical="center"/>
    </xf>
    <xf numFmtId="189" fontId="74" fillId="9" borderId="22" xfId="43" applyNumberFormat="1" applyFont="1" applyFill="1" applyBorder="1" applyAlignment="1">
      <alignment horizontal="center" vertical="center"/>
    </xf>
    <xf numFmtId="9" fontId="32" fillId="0" borderId="1" xfId="697" applyFont="1" applyBorder="1" applyAlignment="1">
      <alignment shrinkToFit="1"/>
    </xf>
    <xf numFmtId="192" fontId="75" fillId="0" borderId="43" xfId="43" applyNumberFormat="1" applyFont="1" applyBorder="1">
      <alignment vertical="center"/>
    </xf>
    <xf numFmtId="192" fontId="75" fillId="0" borderId="22" xfId="43" applyNumberFormat="1" applyFont="1" applyBorder="1">
      <alignment vertical="center"/>
    </xf>
    <xf numFmtId="192" fontId="75" fillId="0" borderId="51" xfId="43" applyNumberFormat="1" applyFont="1" applyBorder="1">
      <alignment vertical="center"/>
    </xf>
    <xf numFmtId="192" fontId="75" fillId="0" borderId="46" xfId="43" applyNumberFormat="1" applyFont="1" applyBorder="1">
      <alignment vertical="center"/>
    </xf>
    <xf numFmtId="192" fontId="75" fillId="0" borderId="58" xfId="43" applyNumberFormat="1" applyFont="1" applyBorder="1">
      <alignment vertical="center"/>
    </xf>
    <xf numFmtId="192" fontId="75" fillId="0" borderId="48" xfId="43" applyNumberFormat="1" applyFont="1" applyBorder="1">
      <alignment vertical="center"/>
    </xf>
    <xf numFmtId="189" fontId="74" fillId="9" borderId="43" xfId="158" applyNumberFormat="1" applyFont="1" applyFill="1" applyBorder="1" applyAlignment="1">
      <alignment horizontal="center" vertical="center"/>
    </xf>
    <xf numFmtId="188" fontId="75" fillId="0" borderId="67" xfId="286" applyNumberFormat="1" applyFont="1" applyBorder="1" applyAlignment="1">
      <alignment horizontal="center" vertical="center"/>
    </xf>
    <xf numFmtId="189" fontId="75" fillId="9" borderId="47" xfId="43" applyNumberFormat="1" applyFont="1" applyFill="1" applyBorder="1" applyAlignment="1">
      <alignment horizontal="center" vertical="center"/>
    </xf>
    <xf numFmtId="190" fontId="75" fillId="0" borderId="47" xfId="43" applyNumberFormat="1" applyFont="1" applyBorder="1" applyAlignment="1">
      <alignment horizontal="center" vertical="center"/>
    </xf>
    <xf numFmtId="189" fontId="75" fillId="9" borderId="47" xfId="158" applyNumberFormat="1" applyFont="1" applyFill="1" applyBorder="1" applyAlignment="1">
      <alignment horizontal="center" vertical="center"/>
    </xf>
    <xf numFmtId="10" fontId="75" fillId="0" borderId="47" xfId="705" applyNumberFormat="1" applyFont="1" applyBorder="1" applyAlignment="1">
      <alignment horizontal="center" vertical="center"/>
    </xf>
    <xf numFmtId="189" fontId="75" fillId="9" borderId="47" xfId="705" applyNumberFormat="1" applyFont="1" applyFill="1" applyBorder="1" applyAlignment="1">
      <alignment horizontal="center" vertical="center"/>
    </xf>
    <xf numFmtId="10" fontId="75" fillId="0" borderId="47" xfId="43" applyNumberFormat="1" applyFont="1" applyBorder="1" applyAlignment="1">
      <alignment horizontal="center" vertical="center"/>
    </xf>
    <xf numFmtId="192" fontId="75" fillId="0" borderId="30" xfId="43" applyNumberFormat="1" applyFont="1" applyBorder="1">
      <alignment vertical="center"/>
    </xf>
    <xf numFmtId="192" fontId="75" fillId="0" borderId="68" xfId="43" applyNumberFormat="1" applyFont="1" applyBorder="1">
      <alignment vertical="center"/>
    </xf>
    <xf numFmtId="182" fontId="30" fillId="0" borderId="32" xfId="0" applyNumberFormat="1" applyFont="1" applyBorder="1" applyAlignment="1">
      <alignment vertical="center"/>
    </xf>
    <xf numFmtId="182" fontId="30" fillId="0" borderId="34" xfId="0" applyNumberFormat="1" applyFont="1" applyBorder="1" applyAlignment="1">
      <alignment vertical="center"/>
    </xf>
    <xf numFmtId="0" fontId="82" fillId="12" borderId="22" xfId="253" applyFont="1" applyFill="1" applyBorder="1" applyAlignment="1">
      <alignment horizontal="center" vertical="center"/>
    </xf>
    <xf numFmtId="1" fontId="18" fillId="12" borderId="22" xfId="253" applyNumberFormat="1" applyFont="1" applyFill="1" applyBorder="1" applyAlignment="1">
      <alignment horizontal="center" vertical="center"/>
    </xf>
    <xf numFmtId="189" fontId="75" fillId="9" borderId="23" xfId="49" applyNumberFormat="1" applyFont="1" applyFill="1" applyBorder="1" applyAlignment="1">
      <alignment horizontal="center" vertical="center"/>
    </xf>
    <xf numFmtId="190" fontId="75" fillId="0" borderId="23" xfId="49" applyNumberFormat="1" applyFont="1" applyBorder="1" applyAlignment="1">
      <alignment horizontal="center" vertical="center"/>
    </xf>
    <xf numFmtId="189" fontId="75" fillId="9" borderId="23" xfId="162" applyNumberFormat="1" applyFont="1" applyFill="1" applyBorder="1" applyAlignment="1">
      <alignment horizontal="center" vertical="center"/>
    </xf>
    <xf numFmtId="191" fontId="75" fillId="9" borderId="23" xfId="49" applyNumberFormat="1" applyFont="1" applyFill="1" applyBorder="1" applyAlignment="1">
      <alignment horizontal="center" vertical="center"/>
    </xf>
    <xf numFmtId="10" fontId="75" fillId="0" borderId="23" xfId="49" applyNumberFormat="1" applyFont="1" applyBorder="1" applyAlignment="1">
      <alignment horizontal="center" vertical="center"/>
    </xf>
    <xf numFmtId="10" fontId="7" fillId="0" borderId="0" xfId="697" applyNumberFormat="1" applyFont="1" applyAlignment="1">
      <alignment vertical="center"/>
    </xf>
    <xf numFmtId="182" fontId="69" fillId="0" borderId="0" xfId="0" applyNumberFormat="1" applyFont="1"/>
    <xf numFmtId="0" fontId="44" fillId="0" borderId="0" xfId="253" applyFont="1" applyAlignment="1">
      <alignment horizontal="center" vertical="center" shrinkToFit="1"/>
    </xf>
    <xf numFmtId="0" fontId="78" fillId="9" borderId="22" xfId="253" applyFont="1" applyFill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10" fontId="30" fillId="0" borderId="0" xfId="253" applyNumberFormat="1" applyFont="1" applyAlignment="1">
      <alignment horizontal="center" vertical="center"/>
    </xf>
    <xf numFmtId="179" fontId="30" fillId="0" borderId="0" xfId="253" applyNumberFormat="1" applyFont="1" applyAlignment="1">
      <alignment horizontal="center" vertical="center"/>
    </xf>
    <xf numFmtId="187" fontId="30" fillId="0" borderId="0" xfId="0" applyNumberFormat="1" applyFont="1" applyAlignment="1">
      <alignment horizontal="center" vertical="center"/>
    </xf>
    <xf numFmtId="186" fontId="30" fillId="0" borderId="0" xfId="0" applyNumberFormat="1" applyFont="1" applyAlignment="1">
      <alignment horizontal="center" vertical="center"/>
    </xf>
    <xf numFmtId="187" fontId="30" fillId="0" borderId="0" xfId="253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77" fontId="31" fillId="8" borderId="0" xfId="0" applyNumberFormat="1" applyFont="1" applyFill="1" applyAlignment="1">
      <alignment horizontal="center" vertical="center"/>
    </xf>
    <xf numFmtId="178" fontId="31" fillId="6" borderId="0" xfId="0" applyNumberFormat="1" applyFont="1" applyFill="1" applyAlignment="1">
      <alignment horizontal="center" vertical="center"/>
    </xf>
    <xf numFmtId="176" fontId="31" fillId="5" borderId="0" xfId="0" applyNumberFormat="1" applyFont="1" applyFill="1" applyAlignment="1">
      <alignment horizontal="center" vertical="center"/>
    </xf>
    <xf numFmtId="0" fontId="33" fillId="7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shrinkToFit="1"/>
    </xf>
    <xf numFmtId="178" fontId="31" fillId="0" borderId="0" xfId="0" applyNumberFormat="1" applyFont="1" applyAlignment="1">
      <alignment horizontal="center" vertical="center"/>
    </xf>
    <xf numFmtId="10" fontId="31" fillId="0" borderId="0" xfId="0" applyNumberFormat="1" applyFont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180" fontId="30" fillId="0" borderId="0" xfId="0" applyNumberFormat="1" applyFont="1" applyAlignment="1">
      <alignment horizontal="center" vertical="center"/>
    </xf>
    <xf numFmtId="185" fontId="30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81" fontId="23" fillId="0" borderId="0" xfId="0" applyNumberFormat="1" applyFont="1" applyAlignment="1">
      <alignment horizontal="center" vertical="center"/>
    </xf>
    <xf numFmtId="10" fontId="23" fillId="5" borderId="0" xfId="0" applyNumberFormat="1" applyFont="1" applyFill="1" applyAlignment="1">
      <alignment horizontal="center" vertical="center"/>
    </xf>
    <xf numFmtId="10" fontId="23" fillId="0" borderId="0" xfId="0" applyNumberFormat="1" applyFont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3" fillId="7" borderId="34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shrinkToFit="1"/>
    </xf>
    <xf numFmtId="182" fontId="32" fillId="0" borderId="22" xfId="0" applyNumberFormat="1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187" fontId="30" fillId="0" borderId="37" xfId="253" applyNumberFormat="1" applyFont="1" applyBorder="1" applyAlignment="1">
      <alignment horizontal="center" vertical="center"/>
    </xf>
    <xf numFmtId="177" fontId="25" fillId="0" borderId="27" xfId="0" applyNumberFormat="1" applyFont="1" applyBorder="1" applyAlignment="1">
      <alignment horizontal="center" vertical="center"/>
    </xf>
    <xf numFmtId="177" fontId="25" fillId="0" borderId="28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 shrinkToFit="1"/>
    </xf>
    <xf numFmtId="177" fontId="32" fillId="0" borderId="22" xfId="0" applyNumberFormat="1" applyFont="1" applyBorder="1" applyAlignment="1">
      <alignment horizontal="center" vertical="center" shrinkToFit="1"/>
    </xf>
    <xf numFmtId="186" fontId="30" fillId="0" borderId="32" xfId="0" applyNumberFormat="1" applyFont="1" applyBorder="1" applyAlignment="1">
      <alignment horizontal="center" vertical="center"/>
    </xf>
    <xf numFmtId="186" fontId="30" fillId="0" borderId="34" xfId="0" applyNumberFormat="1" applyFont="1" applyBorder="1" applyAlignment="1">
      <alignment horizontal="center" vertical="center"/>
    </xf>
    <xf numFmtId="186" fontId="30" fillId="0" borderId="37" xfId="0" applyNumberFormat="1" applyFont="1" applyBorder="1" applyAlignment="1">
      <alignment horizontal="center" vertical="center"/>
    </xf>
    <xf numFmtId="183" fontId="18" fillId="0" borderId="31" xfId="253" applyNumberFormat="1" applyFont="1" applyBorder="1" applyAlignment="1">
      <alignment horizontal="center" vertical="center"/>
    </xf>
    <xf numFmtId="183" fontId="18" fillId="0" borderId="33" xfId="253" applyNumberFormat="1" applyFont="1" applyBorder="1" applyAlignment="1">
      <alignment horizontal="center" vertical="center"/>
    </xf>
    <xf numFmtId="183" fontId="18" fillId="0" borderId="35" xfId="253" applyNumberFormat="1" applyFont="1" applyBorder="1" applyAlignment="1">
      <alignment horizontal="center" vertical="center"/>
    </xf>
    <xf numFmtId="0" fontId="21" fillId="0" borderId="27" xfId="253" applyFont="1" applyBorder="1" applyAlignment="1">
      <alignment horizontal="center" vertical="center"/>
    </xf>
    <xf numFmtId="0" fontId="21" fillId="0" borderId="28" xfId="253" applyFont="1" applyBorder="1" applyAlignment="1">
      <alignment horizontal="center" vertical="center"/>
    </xf>
    <xf numFmtId="0" fontId="21" fillId="0" borderId="25" xfId="253" applyFont="1" applyBorder="1" applyAlignment="1">
      <alignment horizontal="center" vertical="center"/>
    </xf>
    <xf numFmtId="179" fontId="21" fillId="0" borderId="22" xfId="253" applyNumberFormat="1" applyFont="1" applyBorder="1" applyAlignment="1">
      <alignment horizontal="center" vertical="center"/>
    </xf>
    <xf numFmtId="0" fontId="18" fillId="0" borderId="22" xfId="253" applyFont="1" applyBorder="1" applyAlignment="1">
      <alignment horizontal="center" vertical="center"/>
    </xf>
    <xf numFmtId="183" fontId="18" fillId="0" borderId="23" xfId="253" applyNumberFormat="1" applyFont="1" applyBorder="1" applyAlignment="1">
      <alignment horizontal="center" vertical="center"/>
    </xf>
    <xf numFmtId="183" fontId="18" fillId="0" borderId="29" xfId="253" applyNumberFormat="1" applyFont="1" applyBorder="1" applyAlignment="1">
      <alignment horizontal="center" vertical="center"/>
    </xf>
    <xf numFmtId="183" fontId="18" fillId="0" borderId="30" xfId="253" applyNumberFormat="1" applyFont="1" applyBorder="1" applyAlignment="1">
      <alignment horizontal="center" vertical="center"/>
    </xf>
    <xf numFmtId="0" fontId="21" fillId="0" borderId="22" xfId="253" applyFont="1" applyBorder="1" applyAlignment="1">
      <alignment horizontal="center" vertical="center"/>
    </xf>
    <xf numFmtId="0" fontId="84" fillId="0" borderId="0" xfId="253" applyFont="1" applyAlignment="1">
      <alignment horizontal="left" vertical="center"/>
    </xf>
    <xf numFmtId="0" fontId="85" fillId="0" borderId="0" xfId="253" applyFont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21" fillId="0" borderId="23" xfId="253" applyFont="1" applyBorder="1" applyAlignment="1">
      <alignment horizontal="center" vertical="center"/>
    </xf>
    <xf numFmtId="0" fontId="21" fillId="0" borderId="29" xfId="253" applyFont="1" applyBorder="1" applyAlignment="1">
      <alignment horizontal="center" vertical="center"/>
    </xf>
    <xf numFmtId="0" fontId="21" fillId="0" borderId="30" xfId="253" applyFont="1" applyBorder="1" applyAlignment="1">
      <alignment horizontal="center" vertical="center"/>
    </xf>
    <xf numFmtId="0" fontId="86" fillId="0" borderId="22" xfId="253" applyFont="1" applyBorder="1" applyAlignment="1">
      <alignment horizontal="center" vertical="center"/>
    </xf>
    <xf numFmtId="0" fontId="18" fillId="0" borderId="32" xfId="253" applyFont="1" applyBorder="1" applyAlignment="1">
      <alignment horizontal="center" vertical="center"/>
    </xf>
    <xf numFmtId="0" fontId="18" fillId="0" borderId="34" xfId="253" applyFont="1" applyBorder="1" applyAlignment="1">
      <alignment horizontal="center" vertical="center"/>
    </xf>
    <xf numFmtId="0" fontId="21" fillId="0" borderId="31" xfId="253" applyFont="1" applyBorder="1" applyAlignment="1">
      <alignment horizontal="center" vertical="center"/>
    </xf>
    <xf numFmtId="0" fontId="21" fillId="0" borderId="33" xfId="253" applyFont="1" applyBorder="1" applyAlignment="1">
      <alignment horizontal="center" vertical="center"/>
    </xf>
    <xf numFmtId="0" fontId="21" fillId="0" borderId="35" xfId="253" applyFont="1" applyBorder="1" applyAlignment="1">
      <alignment horizontal="center" vertical="center"/>
    </xf>
    <xf numFmtId="0" fontId="84" fillId="0" borderId="37" xfId="253" applyFont="1" applyBorder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183" fontId="18" fillId="0" borderId="22" xfId="253" applyNumberFormat="1" applyFont="1" applyBorder="1" applyAlignment="1">
      <alignment horizontal="center" vertical="center"/>
    </xf>
    <xf numFmtId="0" fontId="86" fillId="0" borderId="23" xfId="253" applyFont="1" applyBorder="1" applyAlignment="1">
      <alignment horizontal="center" vertical="center"/>
    </xf>
    <xf numFmtId="0" fontId="18" fillId="0" borderId="23" xfId="253" applyFont="1" applyBorder="1" applyAlignment="1">
      <alignment horizontal="center" vertical="center"/>
    </xf>
    <xf numFmtId="0" fontId="18" fillId="0" borderId="29" xfId="253" applyFont="1" applyBorder="1" applyAlignment="1">
      <alignment horizontal="center" vertical="center"/>
    </xf>
    <xf numFmtId="0" fontId="18" fillId="0" borderId="30" xfId="253" applyFont="1" applyBorder="1" applyAlignment="1">
      <alignment horizontal="center" vertical="center"/>
    </xf>
    <xf numFmtId="0" fontId="73" fillId="0" borderId="0" xfId="253" applyFont="1" applyAlignment="1">
      <alignment horizontal="left" vertical="center"/>
    </xf>
    <xf numFmtId="0" fontId="38" fillId="0" borderId="0" xfId="253" applyFont="1" applyAlignment="1">
      <alignment horizontal="left" vertical="center"/>
    </xf>
    <xf numFmtId="0" fontId="39" fillId="0" borderId="0" xfId="253" applyFont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7" fillId="0" borderId="23" xfId="253" applyFont="1" applyBorder="1" applyAlignment="1">
      <alignment horizontal="center" vertical="center"/>
    </xf>
    <xf numFmtId="0" fontId="37" fillId="0" borderId="30" xfId="253" applyFont="1" applyBorder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183" fontId="28" fillId="0" borderId="31" xfId="253" applyNumberFormat="1" applyBorder="1" applyAlignment="1">
      <alignment horizontal="center" vertical="center"/>
    </xf>
    <xf numFmtId="183" fontId="28" fillId="0" borderId="33" xfId="253" applyNumberFormat="1" applyBorder="1" applyAlignment="1">
      <alignment horizontal="center" vertical="center"/>
    </xf>
    <xf numFmtId="183" fontId="28" fillId="0" borderId="35" xfId="253" applyNumberFormat="1" applyBorder="1" applyAlignment="1">
      <alignment horizontal="center" vertical="center"/>
    </xf>
    <xf numFmtId="0" fontId="37" fillId="0" borderId="31" xfId="253" applyFont="1" applyBorder="1" applyAlignment="1">
      <alignment horizontal="center" vertical="center"/>
    </xf>
    <xf numFmtId="0" fontId="37" fillId="0" borderId="33" xfId="253" applyFont="1" applyBorder="1" applyAlignment="1">
      <alignment horizontal="center" vertical="center"/>
    </xf>
    <xf numFmtId="0" fontId="37" fillId="0" borderId="35" xfId="253" applyFont="1" applyBorder="1" applyAlignment="1">
      <alignment horizontal="center" vertical="center"/>
    </xf>
    <xf numFmtId="179" fontId="37" fillId="0" borderId="22" xfId="253" applyNumberFormat="1" applyFont="1" applyBorder="1" applyAlignment="1">
      <alignment horizontal="center" vertical="center"/>
    </xf>
    <xf numFmtId="0" fontId="37" fillId="0" borderId="27" xfId="253" applyFont="1" applyBorder="1" applyAlignment="1">
      <alignment horizontal="center" vertical="center"/>
    </xf>
    <xf numFmtId="0" fontId="37" fillId="0" borderId="28" xfId="253" applyFont="1" applyBorder="1" applyAlignment="1">
      <alignment horizontal="center" vertical="center"/>
    </xf>
    <xf numFmtId="0" fontId="37" fillId="0" borderId="25" xfId="253" applyFon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0" fontId="37" fillId="0" borderId="29" xfId="253" applyFont="1" applyBorder="1" applyAlignment="1">
      <alignment horizontal="center" vertical="center"/>
    </xf>
    <xf numFmtId="0" fontId="38" fillId="0" borderId="37" xfId="253" applyFont="1" applyBorder="1" applyAlignment="1">
      <alignment horizontal="left" vertical="center"/>
    </xf>
    <xf numFmtId="0" fontId="39" fillId="0" borderId="37" xfId="253" applyFont="1" applyBorder="1" applyAlignment="1">
      <alignment horizontal="left" vertical="center"/>
    </xf>
    <xf numFmtId="0" fontId="45" fillId="0" borderId="22" xfId="253" applyFont="1" applyBorder="1" applyAlignment="1">
      <alignment shrinkToFit="1"/>
    </xf>
    <xf numFmtId="0" fontId="53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2" borderId="22" xfId="253" applyFont="1" applyFill="1" applyBorder="1" applyAlignment="1">
      <alignment horizontal="center" shrinkToFit="1"/>
    </xf>
    <xf numFmtId="0" fontId="53" fillId="0" borderId="22" xfId="253" applyFont="1" applyBorder="1" applyAlignment="1">
      <alignment horizontal="center" shrinkToFit="1"/>
    </xf>
    <xf numFmtId="0" fontId="30" fillId="0" borderId="22" xfId="253" applyFont="1" applyBorder="1" applyAlignment="1">
      <alignment horizontal="center" vertical="center" shrinkToFit="1"/>
    </xf>
    <xf numFmtId="0" fontId="61" fillId="2" borderId="22" xfId="253" applyFont="1" applyFill="1" applyBorder="1" applyAlignment="1">
      <alignment horizontal="center" vertical="center" shrinkToFit="1"/>
    </xf>
    <xf numFmtId="0" fontId="32" fillId="0" borderId="27" xfId="253" applyFont="1" applyBorder="1" applyAlignment="1">
      <alignment horizontal="left" shrinkToFit="1"/>
    </xf>
    <xf numFmtId="0" fontId="32" fillId="0" borderId="28" xfId="253" applyFont="1" applyBorder="1" applyAlignment="1">
      <alignment horizontal="left" shrinkToFit="1"/>
    </xf>
    <xf numFmtId="0" fontId="32" fillId="0" borderId="25" xfId="253" applyFont="1" applyBorder="1" applyAlignment="1">
      <alignment horizontal="left" shrinkToFit="1"/>
    </xf>
    <xf numFmtId="0" fontId="66" fillId="0" borderId="22" xfId="253" applyFont="1" applyBorder="1" applyAlignment="1">
      <alignment shrinkToFit="1"/>
    </xf>
    <xf numFmtId="0" fontId="32" fillId="0" borderId="27" xfId="253" applyFont="1" applyBorder="1" applyAlignment="1">
      <alignment shrinkToFit="1"/>
    </xf>
    <xf numFmtId="0" fontId="32" fillId="0" borderId="28" xfId="253" applyFont="1" applyBorder="1" applyAlignment="1">
      <alignment shrinkToFit="1"/>
    </xf>
    <xf numFmtId="0" fontId="32" fillId="0" borderId="25" xfId="253" applyFont="1" applyBorder="1" applyAlignment="1">
      <alignment shrinkToFit="1"/>
    </xf>
    <xf numFmtId="0" fontId="45" fillId="0" borderId="27" xfId="253" applyFont="1" applyBorder="1" applyAlignment="1">
      <alignment shrinkToFit="1"/>
    </xf>
    <xf numFmtId="0" fontId="45" fillId="0" borderId="28" xfId="253" applyFont="1" applyBorder="1" applyAlignment="1">
      <alignment shrinkToFit="1"/>
    </xf>
    <xf numFmtId="0" fontId="45" fillId="0" borderId="25" xfId="253" applyFont="1" applyBorder="1" applyAlignment="1">
      <alignment shrinkToFit="1"/>
    </xf>
    <xf numFmtId="0" fontId="45" fillId="2" borderId="22" xfId="253" applyFont="1" applyFill="1" applyBorder="1" applyAlignment="1">
      <alignment horizontal="center" vertical="center" shrinkToFit="1"/>
    </xf>
    <xf numFmtId="0" fontId="66" fillId="0" borderId="27" xfId="253" applyFont="1" applyBorder="1" applyAlignment="1">
      <alignment shrinkToFit="1"/>
    </xf>
    <xf numFmtId="0" fontId="67" fillId="0" borderId="27" xfId="253" applyFont="1" applyBorder="1" applyAlignment="1">
      <alignment shrinkToFit="1"/>
    </xf>
    <xf numFmtId="0" fontId="68" fillId="0" borderId="22" xfId="253" applyFont="1" applyBorder="1" applyAlignment="1">
      <alignment shrinkToFit="1"/>
    </xf>
    <xf numFmtId="0" fontId="51" fillId="0" borderId="0" xfId="253" applyFont="1" applyAlignment="1">
      <alignment horizontal="left" vertical="center" shrinkToFit="1"/>
    </xf>
    <xf numFmtId="0" fontId="52" fillId="0" borderId="0" xfId="253" applyFont="1" applyAlignment="1">
      <alignment horizontal="left" vertical="center" shrinkToFit="1"/>
    </xf>
    <xf numFmtId="0" fontId="53" fillId="0" borderId="22" xfId="253" applyFont="1" applyBorder="1" applyAlignment="1">
      <alignment horizontal="center" vertical="center" shrinkToFit="1"/>
    </xf>
    <xf numFmtId="0" fontId="54" fillId="0" borderId="22" xfId="253" applyFont="1" applyBorder="1" applyAlignment="1">
      <alignment horizontal="center" vertical="center" shrinkToFit="1"/>
    </xf>
    <xf numFmtId="0" fontId="35" fillId="0" borderId="22" xfId="253" applyFont="1" applyBorder="1" applyAlignment="1">
      <alignment horizontal="center" vertical="center" shrinkToFit="1"/>
    </xf>
    <xf numFmtId="0" fontId="35" fillId="0" borderId="51" xfId="253" applyFont="1" applyBorder="1" applyAlignment="1">
      <alignment horizontal="center" vertical="center" shrinkToFit="1"/>
    </xf>
    <xf numFmtId="0" fontId="70" fillId="0" borderId="22" xfId="253" applyFont="1" applyBorder="1" applyAlignment="1">
      <alignment horizontal="center" vertical="center" shrinkToFit="1"/>
    </xf>
    <xf numFmtId="0" fontId="54" fillId="0" borderId="51" xfId="253" applyFont="1" applyBorder="1" applyAlignment="1">
      <alignment horizontal="center" vertical="center" shrinkToFit="1"/>
    </xf>
    <xf numFmtId="0" fontId="22" fillId="11" borderId="43" xfId="253" applyFont="1" applyFill="1" applyBorder="1" applyAlignment="1">
      <alignment horizontal="center" vertical="center" shrinkToFit="1"/>
    </xf>
    <xf numFmtId="0" fontId="22" fillId="11" borderId="48" xfId="253" applyFont="1" applyFill="1" applyBorder="1" applyAlignment="1">
      <alignment horizontal="center" vertical="center" shrinkToFit="1"/>
    </xf>
    <xf numFmtId="0" fontId="46" fillId="0" borderId="44" xfId="253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32" fillId="0" borderId="37" xfId="253" applyFont="1" applyBorder="1" applyAlignment="1">
      <alignment horizontal="center" vertical="center" shrinkToFit="1"/>
    </xf>
    <xf numFmtId="0" fontId="32" fillId="0" borderId="0" xfId="253" applyFont="1" applyAlignment="1">
      <alignment horizontal="center" vertical="center" shrinkToFit="1"/>
    </xf>
    <xf numFmtId="0" fontId="32" fillId="0" borderId="56" xfId="253" applyFont="1" applyBorder="1" applyAlignment="1">
      <alignment horizontal="center" vertical="center" shrinkToFit="1"/>
    </xf>
    <xf numFmtId="0" fontId="46" fillId="0" borderId="22" xfId="253" applyFont="1" applyBorder="1" applyAlignment="1">
      <alignment horizontal="center" vertical="center"/>
    </xf>
    <xf numFmtId="0" fontId="30" fillId="0" borderId="51" xfId="253" applyFont="1" applyBorder="1" applyAlignment="1">
      <alignment horizontal="center" vertical="center" shrinkToFit="1"/>
    </xf>
    <xf numFmtId="0" fontId="30" fillId="0" borderId="22" xfId="253" applyFont="1" applyBorder="1" applyAlignment="1">
      <alignment horizontal="center" shrinkToFit="1"/>
    </xf>
    <xf numFmtId="0" fontId="30" fillId="0" borderId="51" xfId="253" applyFont="1" applyBorder="1" applyAlignment="1">
      <alignment horizontal="center" shrinkToFit="1"/>
    </xf>
    <xf numFmtId="192" fontId="75" fillId="0" borderId="69" xfId="43" applyNumberFormat="1" applyFont="1" applyBorder="1" applyAlignment="1">
      <alignment horizontal="center" vertical="center"/>
    </xf>
    <xf numFmtId="192" fontId="75" fillId="0" borderId="29" xfId="43" applyNumberFormat="1" applyFont="1" applyBorder="1" applyAlignment="1">
      <alignment horizontal="center" vertical="center"/>
    </xf>
    <xf numFmtId="192" fontId="75" fillId="0" borderId="47" xfId="43" applyNumberFormat="1" applyFont="1" applyBorder="1" applyAlignment="1">
      <alignment horizontal="center" vertical="center"/>
    </xf>
    <xf numFmtId="192" fontId="75" fillId="0" borderId="70" xfId="43" applyNumberFormat="1" applyFont="1" applyBorder="1" applyAlignment="1">
      <alignment horizontal="center" vertical="center"/>
    </xf>
    <xf numFmtId="192" fontId="75" fillId="0" borderId="71" xfId="43" applyNumberFormat="1" applyFont="1" applyBorder="1" applyAlignment="1">
      <alignment horizontal="center" vertical="center"/>
    </xf>
    <xf numFmtId="192" fontId="75" fillId="0" borderId="60" xfId="43" applyNumberFormat="1" applyFont="1" applyBorder="1" applyAlignment="1">
      <alignment horizontal="center" vertical="center"/>
    </xf>
    <xf numFmtId="0" fontId="71" fillId="5" borderId="42" xfId="43" applyFont="1" applyFill="1" applyBorder="1" applyAlignment="1">
      <alignment horizontal="center" vertical="center"/>
    </xf>
    <xf numFmtId="0" fontId="71" fillId="5" borderId="43" xfId="43" applyFont="1" applyFill="1" applyBorder="1" applyAlignment="1">
      <alignment horizontal="center" vertical="center"/>
    </xf>
    <xf numFmtId="0" fontId="71" fillId="5" borderId="48" xfId="43" applyFont="1" applyFill="1" applyBorder="1" applyAlignment="1">
      <alignment horizontal="center" vertical="center"/>
    </xf>
    <xf numFmtId="0" fontId="72" fillId="10" borderId="44" xfId="43" applyFont="1" applyFill="1" applyBorder="1" applyAlignment="1">
      <alignment horizontal="center" vertical="center" wrapText="1"/>
    </xf>
    <xf numFmtId="0" fontId="72" fillId="10" borderId="61" xfId="43" applyFont="1" applyFill="1" applyBorder="1" applyAlignment="1">
      <alignment horizontal="center" vertical="center" wrapText="1"/>
    </xf>
    <xf numFmtId="0" fontId="72" fillId="10" borderId="22" xfId="43" applyFont="1" applyFill="1" applyBorder="1" applyAlignment="1">
      <alignment horizontal="center" vertical="center" wrapText="1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7" xfId="43" applyFont="1" applyFill="1" applyBorder="1" applyAlignment="1">
      <alignment horizontal="center" vertical="center"/>
    </xf>
    <xf numFmtId="0" fontId="73" fillId="10" borderId="28" xfId="43" applyFont="1" applyFill="1" applyBorder="1" applyAlignment="1">
      <alignment horizontal="center" vertical="center"/>
    </xf>
    <xf numFmtId="0" fontId="73" fillId="10" borderId="62" xfId="43" applyFont="1" applyFill="1" applyBorder="1" applyAlignment="1">
      <alignment horizontal="center" vertical="center"/>
    </xf>
    <xf numFmtId="0" fontId="77" fillId="0" borderId="0" xfId="286" applyFont="1" applyAlignment="1">
      <alignment horizontal="left" vertical="center"/>
    </xf>
    <xf numFmtId="0" fontId="6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32" fillId="2" borderId="0" xfId="0" applyFont="1" applyFill="1" applyAlignment="1">
      <alignment horizontal="center" vertical="center" shrinkToFit="1"/>
    </xf>
    <xf numFmtId="0" fontId="32" fillId="2" borderId="40" xfId="0" applyFont="1" applyFill="1" applyBorder="1" applyAlignment="1">
      <alignment horizontal="center" vertical="center" shrinkToFit="1"/>
    </xf>
    <xf numFmtId="0" fontId="32" fillId="2" borderId="39" xfId="0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 shrinkToFit="1"/>
    </xf>
    <xf numFmtId="0" fontId="32" fillId="2" borderId="3" xfId="0" applyFont="1" applyFill="1" applyBorder="1" applyAlignment="1">
      <alignment horizontal="center" shrinkToFit="1"/>
    </xf>
    <xf numFmtId="0" fontId="32" fillId="0" borderId="2" xfId="0" applyFont="1" applyBorder="1" applyAlignment="1">
      <alignment shrinkToFit="1"/>
    </xf>
    <xf numFmtId="0" fontId="32" fillId="0" borderId="3" xfId="0" applyFont="1" applyBorder="1" applyAlignment="1">
      <alignment shrinkToFit="1"/>
    </xf>
    <xf numFmtId="0" fontId="30" fillId="0" borderId="22" xfId="0" applyFont="1" applyBorder="1" applyAlignment="1">
      <alignment horizontal="center" vertical="center" shrinkToFit="1"/>
    </xf>
    <xf numFmtId="0" fontId="30" fillId="0" borderId="22" xfId="0" applyFont="1" applyBorder="1" applyAlignment="1">
      <alignment horizontal="center" vertical="center" wrapText="1" shrinkToFit="1"/>
    </xf>
    <xf numFmtId="0" fontId="32" fillId="0" borderId="4" xfId="0" applyFont="1" applyBorder="1" applyAlignment="1">
      <alignment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45" fillId="2" borderId="4" xfId="0" applyFont="1" applyFill="1" applyBorder="1" applyAlignment="1">
      <alignment horizontal="center" vertical="center" shrinkToFit="1"/>
    </xf>
    <xf numFmtId="0" fontId="45" fillId="2" borderId="3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66" fillId="0" borderId="4" xfId="0" applyFont="1" applyBorder="1" applyAlignment="1">
      <alignment horizontal="left" shrinkToFit="1"/>
    </xf>
    <xf numFmtId="0" fontId="66" fillId="0" borderId="3" xfId="0" applyFont="1" applyBorder="1" applyAlignment="1">
      <alignment horizontal="left" shrinkToFit="1"/>
    </xf>
    <xf numFmtId="0" fontId="44" fillId="0" borderId="0" xfId="0" applyFont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52" fillId="0" borderId="0" xfId="0" applyFont="1" applyAlignment="1">
      <alignment horizontal="left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67" fillId="0" borderId="4" xfId="0" applyFont="1" applyBorder="1" applyAlignment="1">
      <alignment horizontal="center" shrinkToFit="1"/>
    </xf>
    <xf numFmtId="0" fontId="17" fillId="0" borderId="3" xfId="0" applyFont="1" applyBorder="1" applyAlignment="1">
      <alignment horizontal="center" shrinkToFit="1"/>
    </xf>
    <xf numFmtId="0" fontId="17" fillId="2" borderId="39" xfId="0" applyFont="1" applyFill="1" applyBorder="1" applyAlignment="1">
      <alignment horizontal="center" shrinkToFit="1"/>
    </xf>
    <xf numFmtId="0" fontId="17" fillId="2" borderId="2" xfId="0" applyFont="1" applyFill="1" applyBorder="1" applyAlignment="1">
      <alignment horizontal="center" shrinkToFit="1"/>
    </xf>
    <xf numFmtId="0" fontId="17" fillId="2" borderId="3" xfId="0" applyFont="1" applyFill="1" applyBorder="1" applyAlignment="1">
      <alignment horizontal="center" shrinkToFit="1"/>
    </xf>
    <xf numFmtId="0" fontId="67" fillId="0" borderId="3" xfId="0" applyFont="1" applyBorder="1" applyAlignment="1">
      <alignment horizontal="center" shrinkToFit="1"/>
    </xf>
    <xf numFmtId="0" fontId="17" fillId="0" borderId="4" xfId="0" applyFont="1" applyBorder="1" applyAlignment="1">
      <alignment horizontal="center" shrinkToFit="1"/>
    </xf>
    <xf numFmtId="0" fontId="37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21" fillId="2" borderId="4" xfId="0" applyFont="1" applyFill="1" applyBorder="1" applyAlignment="1">
      <alignment horizontal="center" vertical="center" shrinkToFit="1"/>
    </xf>
    <xf numFmtId="0" fontId="21" fillId="2" borderId="3" xfId="0" applyFont="1" applyFill="1" applyBorder="1" applyAlignment="1">
      <alignment horizontal="center" vertical="center" shrinkToFit="1"/>
    </xf>
    <xf numFmtId="0" fontId="17" fillId="2" borderId="0" xfId="0" applyFont="1" applyFill="1" applyAlignment="1">
      <alignment horizontal="center" vertical="center" shrinkToFit="1"/>
    </xf>
    <xf numFmtId="0" fontId="17" fillId="2" borderId="40" xfId="0" applyFont="1" applyFill="1" applyBorder="1" applyAlignment="1">
      <alignment horizontal="center" vertical="center" shrinkToFit="1"/>
    </xf>
    <xf numFmtId="0" fontId="17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59" fillId="0" borderId="4" xfId="0" applyFont="1" applyBorder="1" applyAlignment="1">
      <alignment shrinkToFit="1"/>
    </xf>
    <xf numFmtId="0" fontId="37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6" fillId="0" borderId="9" xfId="0" applyFont="1" applyBorder="1" applyAlignment="1">
      <alignment shrinkToFit="1"/>
    </xf>
    <xf numFmtId="0" fontId="17" fillId="0" borderId="10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55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32" fillId="0" borderId="3" xfId="0" applyFont="1" applyBorder="1" applyAlignment="1">
      <alignment horizontal="center" shrinkToFit="1"/>
    </xf>
    <xf numFmtId="0" fontId="32" fillId="0" borderId="9" xfId="0" applyFont="1" applyBorder="1" applyAlignment="1">
      <alignment shrinkToFit="1"/>
    </xf>
    <xf numFmtId="0" fontId="32" fillId="0" borderId="10" xfId="0" applyFont="1" applyBorder="1" applyAlignment="1">
      <alignment shrinkToFit="1"/>
    </xf>
    <xf numFmtId="0" fontId="32" fillId="0" borderId="8" xfId="0" applyFont="1" applyBorder="1" applyAlignment="1">
      <alignment shrinkToFit="1"/>
    </xf>
    <xf numFmtId="0" fontId="67" fillId="0" borderId="4" xfId="0" applyFont="1" applyBorder="1" applyAlignment="1">
      <alignment shrinkToFit="1"/>
    </xf>
    <xf numFmtId="0" fontId="32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shrinkToFit="1"/>
    </xf>
    <xf numFmtId="0" fontId="32" fillId="0" borderId="38" xfId="0" applyFont="1" applyBorder="1" applyAlignment="1">
      <alignment horizontal="center" shrinkToFit="1"/>
    </xf>
    <xf numFmtId="0" fontId="32" fillId="2" borderId="23" xfId="0" applyFont="1" applyFill="1" applyBorder="1" applyAlignment="1">
      <alignment horizontal="center" vertical="center" shrinkToFit="1"/>
    </xf>
    <xf numFmtId="0" fontId="32" fillId="2" borderId="29" xfId="0" applyFont="1" applyFill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32" fillId="2" borderId="33" xfId="0" applyFont="1" applyFill="1" applyBorder="1" applyAlignment="1">
      <alignment horizontal="center" vertical="center" shrinkToFit="1"/>
    </xf>
    <xf numFmtId="0" fontId="43" fillId="0" borderId="26" xfId="253" applyFont="1" applyBorder="1" applyAlignment="1">
      <alignment horizontal="center" vertical="center"/>
    </xf>
    <xf numFmtId="0" fontId="36" fillId="0" borderId="26" xfId="253" applyFont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40" fillId="5" borderId="23" xfId="45" applyFont="1" applyFill="1" applyBorder="1" applyAlignment="1">
      <alignment horizontal="center" vertical="center" wrapText="1"/>
    </xf>
    <xf numFmtId="0" fontId="40" fillId="5" borderId="30" xfId="45" applyFont="1" applyFill="1" applyBorder="1" applyAlignment="1">
      <alignment horizontal="center" vertical="center" wrapText="1"/>
    </xf>
    <xf numFmtId="0" fontId="88" fillId="5" borderId="23" xfId="45" applyFont="1" applyFill="1" applyBorder="1" applyAlignment="1">
      <alignment horizontal="center" vertical="center" wrapText="1"/>
    </xf>
    <xf numFmtId="0" fontId="42" fillId="5" borderId="27" xfId="45" applyFont="1" applyFill="1" applyBorder="1" applyAlignment="1">
      <alignment horizontal="center" vertical="center"/>
    </xf>
    <xf numFmtId="0" fontId="42" fillId="5" borderId="25" xfId="45" applyFont="1" applyFill="1" applyBorder="1" applyAlignment="1">
      <alignment horizontal="center" vertical="center"/>
    </xf>
    <xf numFmtId="0" fontId="49" fillId="5" borderId="31" xfId="286" applyFont="1" applyFill="1" applyBorder="1" applyAlignment="1">
      <alignment horizontal="center" vertical="center"/>
    </xf>
    <xf numFmtId="0" fontId="49" fillId="5" borderId="37" xfId="286" applyFont="1" applyFill="1" applyBorder="1" applyAlignment="1">
      <alignment horizontal="center" vertical="center"/>
    </xf>
    <xf numFmtId="0" fontId="49" fillId="5" borderId="32" xfId="286" applyFont="1" applyFill="1" applyBorder="1" applyAlignment="1">
      <alignment horizontal="center" vertical="center"/>
    </xf>
    <xf numFmtId="0" fontId="49" fillId="5" borderId="33" xfId="286" applyFont="1" applyFill="1" applyBorder="1" applyAlignment="1">
      <alignment horizontal="center" vertical="center"/>
    </xf>
    <xf numFmtId="0" fontId="49" fillId="5" borderId="0" xfId="286" applyFont="1" applyFill="1" applyAlignment="1">
      <alignment horizontal="center" vertical="center"/>
    </xf>
    <xf numFmtId="0" fontId="49" fillId="5" borderId="34" xfId="286" applyFont="1" applyFill="1" applyBorder="1" applyAlignment="1">
      <alignment horizontal="center" vertical="center"/>
    </xf>
    <xf numFmtId="0" fontId="49" fillId="5" borderId="35" xfId="286" applyFont="1" applyFill="1" applyBorder="1" applyAlignment="1">
      <alignment horizontal="center" vertical="center"/>
    </xf>
    <xf numFmtId="0" fontId="49" fillId="5" borderId="26" xfId="286" applyFont="1" applyFill="1" applyBorder="1" applyAlignment="1">
      <alignment horizontal="center" vertical="center"/>
    </xf>
    <xf numFmtId="0" fontId="49" fillId="5" borderId="36" xfId="286" applyFont="1" applyFill="1" applyBorder="1" applyAlignment="1">
      <alignment horizontal="center" vertical="center"/>
    </xf>
    <xf numFmtId="0" fontId="42" fillId="5" borderId="27" xfId="45" applyFont="1" applyFill="1" applyBorder="1" applyAlignment="1">
      <alignment horizontal="center" vertical="center" wrapText="1"/>
    </xf>
    <xf numFmtId="0" fontId="42" fillId="5" borderId="28" xfId="45" applyFont="1" applyFill="1" applyBorder="1" applyAlignment="1">
      <alignment horizontal="center" vertical="center" wrapText="1"/>
    </xf>
    <xf numFmtId="0" fontId="42" fillId="5" borderId="25" xfId="45" applyFont="1" applyFill="1" applyBorder="1" applyAlignment="1">
      <alignment horizontal="center" vertical="center" wrapText="1"/>
    </xf>
    <xf numFmtId="0" fontId="40" fillId="5" borderId="23" xfId="286" applyFont="1" applyFill="1" applyBorder="1" applyAlignment="1">
      <alignment horizontal="center" vertical="center"/>
    </xf>
    <xf numFmtId="0" fontId="40" fillId="5" borderId="30" xfId="286" applyFont="1" applyFill="1" applyBorder="1" applyAlignment="1">
      <alignment horizontal="center" vertical="center"/>
    </xf>
    <xf numFmtId="0" fontId="34" fillId="0" borderId="31" xfId="253" applyFont="1" applyBorder="1" applyAlignment="1">
      <alignment horizontal="center" vertical="center"/>
    </xf>
    <xf numFmtId="0" fontId="34" fillId="0" borderId="32" xfId="253" applyFont="1" applyBorder="1" applyAlignment="1">
      <alignment horizontal="center" vertical="center"/>
    </xf>
    <xf numFmtId="0" fontId="34" fillId="0" borderId="33" xfId="253" applyFont="1" applyBorder="1" applyAlignment="1">
      <alignment horizontal="center" vertical="center"/>
    </xf>
    <xf numFmtId="0" fontId="34" fillId="0" borderId="34" xfId="253" applyFont="1" applyBorder="1" applyAlignment="1">
      <alignment horizontal="center" vertical="center"/>
    </xf>
    <xf numFmtId="0" fontId="34" fillId="0" borderId="35" xfId="253" applyFont="1" applyBorder="1" applyAlignment="1">
      <alignment horizontal="center" vertical="center"/>
    </xf>
    <xf numFmtId="0" fontId="34" fillId="0" borderId="36" xfId="253" applyFont="1" applyBorder="1" applyAlignment="1">
      <alignment horizontal="center" vertical="center"/>
    </xf>
    <xf numFmtId="0" fontId="34" fillId="5" borderId="33" xfId="253" applyFont="1" applyFill="1" applyBorder="1" applyAlignment="1">
      <alignment horizontal="center" vertical="center"/>
    </xf>
    <xf numFmtId="0" fontId="34" fillId="5" borderId="34" xfId="253" applyFont="1" applyFill="1" applyBorder="1" applyAlignment="1">
      <alignment horizontal="center" vertical="center"/>
    </xf>
    <xf numFmtId="0" fontId="34" fillId="5" borderId="35" xfId="253" applyFont="1" applyFill="1" applyBorder="1" applyAlignment="1">
      <alignment horizontal="center" vertical="center"/>
    </xf>
    <xf numFmtId="0" fontId="34" fillId="5" borderId="36" xfId="253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/>
    </xf>
    <xf numFmtId="0" fontId="88" fillId="5" borderId="22" xfId="45" applyFont="1" applyFill="1" applyBorder="1" applyAlignment="1">
      <alignment horizontal="center" vertical="center"/>
    </xf>
    <xf numFmtId="0" fontId="42" fillId="5" borderId="28" xfId="45" applyFont="1" applyFill="1" applyBorder="1" applyAlignment="1">
      <alignment horizontal="center" vertical="center"/>
    </xf>
    <xf numFmtId="0" fontId="88" fillId="5" borderId="22" xfId="45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20" fillId="0" borderId="4" xfId="0" applyFont="1" applyBorder="1" applyAlignment="1">
      <alignment shrinkToFit="1"/>
    </xf>
    <xf numFmtId="0" fontId="19" fillId="0" borderId="2" xfId="0" applyFont="1" applyBorder="1" applyAlignment="1">
      <alignment shrinkToFit="1"/>
    </xf>
    <xf numFmtId="0" fontId="19" fillId="0" borderId="3" xfId="0" applyFont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0" fillId="2" borderId="3" xfId="0" applyFont="1" applyFill="1" applyBorder="1" applyAlignment="1">
      <alignment shrinkToFit="1"/>
    </xf>
    <xf numFmtId="0" fontId="20" fillId="0" borderId="19" xfId="0" applyFont="1" applyBorder="1" applyAlignment="1">
      <alignment shrinkToFit="1"/>
    </xf>
    <xf numFmtId="0" fontId="19" fillId="0" borderId="20" xfId="0" applyFont="1" applyBorder="1" applyAlignment="1">
      <alignment shrinkToFit="1"/>
    </xf>
    <xf numFmtId="0" fontId="19" fillId="0" borderId="21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19" fillId="0" borderId="10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20" fillId="0" borderId="12" xfId="0" applyFont="1" applyBorder="1" applyAlignment="1">
      <alignment shrinkToFit="1"/>
    </xf>
    <xf numFmtId="0" fontId="19" fillId="0" borderId="13" xfId="0" applyFont="1" applyBorder="1" applyAlignment="1">
      <alignment shrinkToFit="1"/>
    </xf>
    <xf numFmtId="0" fontId="19" fillId="0" borderId="11" xfId="0" applyFont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8" fillId="0" borderId="4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8" fillId="0" borderId="9" xfId="0" applyFont="1" applyBorder="1" applyAlignment="1">
      <alignment shrinkToFit="1"/>
    </xf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21" fillId="2" borderId="3" xfId="0" applyFont="1" applyFill="1" applyBorder="1" applyAlignment="1">
      <alignment shrinkToFit="1"/>
    </xf>
    <xf numFmtId="0" fontId="17" fillId="0" borderId="19" xfId="0" applyFont="1" applyBorder="1" applyAlignment="1">
      <alignment shrinkToFit="1"/>
    </xf>
    <xf numFmtId="0" fontId="41" fillId="5" borderId="22" xfId="286" applyFont="1" applyFill="1" applyBorder="1" applyAlignment="1">
      <alignment horizontal="center"/>
    </xf>
  </cellXfs>
  <cellStyles count="775">
    <cellStyle name="一般" xfId="0" builtinId="0"/>
    <cellStyle name="一般 10" xfId="1" xr:uid="{00000000-0005-0000-0000-000001000000}"/>
    <cellStyle name="一般 10 2" xfId="2" xr:uid="{00000000-0005-0000-0000-000002000000}"/>
    <cellStyle name="一般 10 2 2" xfId="3" xr:uid="{FF9FBC35-6389-42BF-9652-95AA9E1E8D03}"/>
    <cellStyle name="一般 10 2 3" xfId="4" xr:uid="{4E257A1A-C98D-49D4-B306-E578EFD6C811}"/>
    <cellStyle name="一般 10 3" xfId="5" xr:uid="{F8FB5540-BF23-497D-B6F5-4FD8F7D23425}"/>
    <cellStyle name="一般 10 3 2" xfId="6" xr:uid="{9207526C-EC11-4A73-A201-22144B7FFE77}"/>
    <cellStyle name="一般 10 4" xfId="7" xr:uid="{AF6EA111-34B1-4DDF-A938-3FC0285F871C}"/>
    <cellStyle name="一般 10 5" xfId="8" xr:uid="{ECE3B7A4-075A-455D-95BB-B0E1D3236048}"/>
    <cellStyle name="一般 11" xfId="9" xr:uid="{00000000-0005-0000-0000-000003000000}"/>
    <cellStyle name="一般 11 2" xfId="10" xr:uid="{00000000-0005-0000-0000-000004000000}"/>
    <cellStyle name="一般 11 2 2" xfId="11" xr:uid="{68FCB014-3230-4C94-AAF3-92C3D111E8A2}"/>
    <cellStyle name="一般 11 2 3" xfId="12" xr:uid="{B489CAD2-D3AE-4C05-8104-C3EBADDA528D}"/>
    <cellStyle name="一般 11 3" xfId="13" xr:uid="{5CB74B6B-1EBC-4F63-A882-9EAB3D1C8DD8}"/>
    <cellStyle name="一般 11 3 2" xfId="14" xr:uid="{3BA9E34F-5706-44F8-9D17-5703BC35AC86}"/>
    <cellStyle name="一般 11 4" xfId="15" xr:uid="{1F218CEF-914D-4A99-8891-0178CF4D0240}"/>
    <cellStyle name="一般 11 5" xfId="16" xr:uid="{AB722884-7B90-49F4-8D0C-0AE64F9C0D55}"/>
    <cellStyle name="一般 12" xfId="17" xr:uid="{BCFB3671-EFBB-402C-8B50-D9491EC6BD3C}"/>
    <cellStyle name="一般 12 2" xfId="18" xr:uid="{A386129E-A1D5-40D9-B0C3-8DC8E319769A}"/>
    <cellStyle name="一般 12 3" xfId="19" xr:uid="{8804E2AA-CF74-4B26-AB42-076002BC56CF}"/>
    <cellStyle name="一般 2" xfId="20" xr:uid="{00000000-0005-0000-0000-000005000000}"/>
    <cellStyle name="一般 2 17 2" xfId="21" xr:uid="{840EC81D-C134-435D-B183-F823118FEB9F}"/>
    <cellStyle name="一般 2 17 2 2" xfId="22" xr:uid="{47EE5DCD-9168-471C-AD1D-B4F46637E7A6}"/>
    <cellStyle name="一般 2 17 2 3" xfId="23" xr:uid="{F03E1DB5-BDAA-4AD3-B68A-551268E0CC75}"/>
    <cellStyle name="一般 2 17 2 4" xfId="24" xr:uid="{8EB95613-A47F-4649-BA63-0BED7F92A495}"/>
    <cellStyle name="一般 2 18" xfId="25" xr:uid="{980C6D1A-3746-49BB-9AA7-0D2231082B21}"/>
    <cellStyle name="一般 2 18 2" xfId="26" xr:uid="{F14C4798-9460-431A-A841-EB7E20639127}"/>
    <cellStyle name="一般 2 18 3" xfId="27" xr:uid="{5D416464-EA9F-48A3-AEA8-AF130D540F91}"/>
    <cellStyle name="一般 2 18 4" xfId="28" xr:uid="{3C746D3F-5658-4544-AB5B-5D131665D66C}"/>
    <cellStyle name="一般 2 2" xfId="29" xr:uid="{00000000-0005-0000-0000-000006000000}"/>
    <cellStyle name="一般 2 2 10" xfId="30" xr:uid="{3392B9AB-9349-4FC1-9D84-50CE7E22BAD8}"/>
    <cellStyle name="一般 2 2 10 2" xfId="31" xr:uid="{58442E02-D4B4-4436-8925-DEFD269838C8}"/>
    <cellStyle name="一般 2 2 2" xfId="32" xr:uid="{00000000-0005-0000-0000-000007000000}"/>
    <cellStyle name="一般 2 2 2 2" xfId="33" xr:uid="{FC903EAD-821C-4EBF-AA01-EF414A3E4C41}"/>
    <cellStyle name="一般 2 2 2 2 2" xfId="34" xr:uid="{4A64ABEE-C14D-4811-BF4E-6E9B710BFC55}"/>
    <cellStyle name="一般 2 2 2 2 3" xfId="35" xr:uid="{2EDE8354-2DCC-479E-81CB-6EC9D4757723}"/>
    <cellStyle name="一般 2 2 2 2 4" xfId="36" xr:uid="{74D68C22-721A-428C-8C21-54CE5682FEAD}"/>
    <cellStyle name="一般 2 2 3" xfId="37" xr:uid="{6E310142-1FA2-45D2-80CE-85A34A6221E6}"/>
    <cellStyle name="一般 2 2 3 2" xfId="38" xr:uid="{289A9720-43FC-4B0B-8129-1FE6F2619AAE}"/>
    <cellStyle name="一般 2 2 30 2 2 30 2" xfId="39" xr:uid="{00000000-0005-0000-0000-000008000000}"/>
    <cellStyle name="一般 2 2 30 2 2 30 2 10" xfId="40" xr:uid="{73F1B91B-32B8-43F2-B091-14210E6CE42E}"/>
    <cellStyle name="一般 2 2 30 2 2 30 2 11" xfId="41" xr:uid="{BB56B3F7-D4AC-41FE-A136-554E0643E525}"/>
    <cellStyle name="一般 2 2 30 2 2 30 2 2" xfId="42" xr:uid="{00000000-0005-0000-0000-000009000000}"/>
    <cellStyle name="一般 2 2 30 2 2 30 2 2 2" xfId="43" xr:uid="{00000000-0005-0000-0000-00000A000000}"/>
    <cellStyle name="一般 2 2 30 2 2 30 2 2 2 2" xfId="44" xr:uid="{9BBAF59A-B672-48A7-AFCF-A143C54D6BF6}"/>
    <cellStyle name="一般 2 2 30 2 2 30 2 2 2 2 2" xfId="45" xr:uid="{D19CECF8-DCD8-4202-954A-00D656C4D69A}"/>
    <cellStyle name="一般 2 2 30 2 2 30 2 2 2 2 2 2" xfId="46" xr:uid="{9D9BA3D4-9B1B-4476-BFED-25F7525CCD9A}"/>
    <cellStyle name="一般 2 2 30 2 2 30 2 2 2 2 3" xfId="47" xr:uid="{193CD617-75A1-4CE1-A3ED-D8FB1F17791A}"/>
    <cellStyle name="一般 2 2 30 2 2 30 2 2 2 3" xfId="48" xr:uid="{ABAEB5B4-E74C-4280-B3D1-0B6890C46737}"/>
    <cellStyle name="一般 2 2 30 2 2 30 2 2 2 4" xfId="49" xr:uid="{64C38C1B-BFBC-424A-AD46-0F7B4C828E09}"/>
    <cellStyle name="一般 2 2 30 2 2 30 2 2 3" xfId="50" xr:uid="{00000000-0005-0000-0000-00000B000000}"/>
    <cellStyle name="一般 2 2 30 2 2 30 2 2 3 2" xfId="51" xr:uid="{56C8A491-45BB-46AD-A26A-CCE8789423AC}"/>
    <cellStyle name="一般 2 2 30 2 2 30 2 2 3 3" xfId="52" xr:uid="{74902758-10AA-44FC-B9C4-CE1086F81BDD}"/>
    <cellStyle name="一般 2 2 30 2 2 30 2 2 4" xfId="53" xr:uid="{33F8A430-BCFA-4C00-A2FE-86D1E5C08046}"/>
    <cellStyle name="一般 2 2 30 2 2 30 2 2 4 2" xfId="54" xr:uid="{E6F72D43-4DEB-4316-B17A-5DF4AE1F56F0}"/>
    <cellStyle name="一般 2 2 30 2 2 30 2 2 5" xfId="55" xr:uid="{BBC9232C-34A1-4A2A-82F4-FA6DC0720260}"/>
    <cellStyle name="一般 2 2 30 2 2 30 2 3" xfId="56" xr:uid="{00000000-0005-0000-0000-00000C000000}"/>
    <cellStyle name="一般 2 2 30 2 2 30 2 3 2" xfId="57" xr:uid="{00000000-0005-0000-0000-00000D000000}"/>
    <cellStyle name="一般 2 2 30 2 2 30 2 3 2 2" xfId="58" xr:uid="{73F120B9-2EB0-4706-9EE0-EB20C0D45783}"/>
    <cellStyle name="一般 2 2 30 2 2 30 2 3 2 3" xfId="59" xr:uid="{CB230330-128A-4077-A157-3943884DF5AD}"/>
    <cellStyle name="一般 2 2 30 2 2 30 2 3 3" xfId="60" xr:uid="{71391230-3DFB-4067-A841-FA8FE5F76074}"/>
    <cellStyle name="一般 2 2 30 2 2 30 2 3 3 2" xfId="61" xr:uid="{621CAAE1-4423-46F8-896B-6EB4226DBC75}"/>
    <cellStyle name="一般 2 2 30 2 2 30 2 3 4" xfId="62" xr:uid="{910EFC0F-0AC1-4C4D-90D5-C2273A485E26}"/>
    <cellStyle name="一般 2 2 30 2 2 30 2 3 5" xfId="63" xr:uid="{EE6B02EE-1BD1-412B-9F7F-F3A425E4E865}"/>
    <cellStyle name="一般 2 2 30 2 2 30 2 4" xfId="64" xr:uid="{00000000-0005-0000-0000-00000E000000}"/>
    <cellStyle name="一般 2 2 30 2 2 30 2 4 2" xfId="65" xr:uid="{00000000-0005-0000-0000-00000F000000}"/>
    <cellStyle name="一般 2 2 30 2 2 30 2 4 2 2" xfId="66" xr:uid="{00000000-0005-0000-0000-000010000000}"/>
    <cellStyle name="一般 2 2 30 2 2 30 2 4 2 2 2" xfId="67" xr:uid="{F627AA02-AEA6-401E-BD61-029F5D9CA1CE}"/>
    <cellStyle name="一般 2 2 30 2 2 30 2 4 2 2 3" xfId="68" xr:uid="{F2807018-D043-405E-8017-5443318DCC52}"/>
    <cellStyle name="一般 2 2 30 2 2 30 2 4 2 3" xfId="69" xr:uid="{40BCCA23-86DD-42FF-B2A2-5F76CE8D9964}"/>
    <cellStyle name="一般 2 2 30 2 2 30 2 4 2 3 2" xfId="70" xr:uid="{D3032C45-C0D4-4AE0-854E-496732DF8CBB}"/>
    <cellStyle name="一般 2 2 30 2 2 30 2 4 2 4" xfId="71" xr:uid="{2EAE1BE9-6E07-4FF2-AC40-9F1088A35B25}"/>
    <cellStyle name="一般 2 2 30 2 2 30 2 4 2 5" xfId="72" xr:uid="{11E7C6D4-4956-4732-ACFA-0E423C4EEB91}"/>
    <cellStyle name="一般 2 2 30 2 2 30 2 4 3" xfId="73" xr:uid="{00000000-0005-0000-0000-000011000000}"/>
    <cellStyle name="一般 2 2 30 2 2 30 2 4 3 2" xfId="74" xr:uid="{00000000-0005-0000-0000-000012000000}"/>
    <cellStyle name="一般 2 2 30 2 2 30 2 4 3 2 2" xfId="75" xr:uid="{00000000-0005-0000-0000-000013000000}"/>
    <cellStyle name="一般 2 2 30 2 2 30 2 4 3 2 2 2" xfId="76" xr:uid="{C4C92197-CE1A-483A-BF54-8B35393FB2FA}"/>
    <cellStyle name="一般 2 2 30 2 2 30 2 4 3 2 2 3" xfId="77" xr:uid="{196D5253-B3B2-4819-A2EB-74B7F42A9070}"/>
    <cellStyle name="一般 2 2 30 2 2 30 2 4 3 2 3" xfId="78" xr:uid="{F4E2DE29-DED3-4E95-894C-D22C5F7B80C6}"/>
    <cellStyle name="一般 2 2 30 2 2 30 2 4 3 2 3 2" xfId="79" xr:uid="{863B116A-63B5-48B2-9EB2-FF7F5C0E1532}"/>
    <cellStyle name="一般 2 2 30 2 2 30 2 4 3 2 4" xfId="80" xr:uid="{CCE0E27E-6B2A-4DE2-8E99-E69CA48CDE07}"/>
    <cellStyle name="一般 2 2 30 2 2 30 2 4 3 2 5" xfId="81" xr:uid="{7F7C0D3E-654A-4D12-9FB3-31D610747D09}"/>
    <cellStyle name="一般 2 2 30 2 2 30 2 4 3 3" xfId="82" xr:uid="{00000000-0005-0000-0000-000014000000}"/>
    <cellStyle name="一般 2 2 30 2 2 30 2 4 3 3 2" xfId="83" xr:uid="{00000000-0005-0000-0000-000015000000}"/>
    <cellStyle name="一般 2 2 30 2 2 30 2 4 3 3 2 2" xfId="84" xr:uid="{978FEAA4-FD1B-41B1-AB2F-43A714E23B22}"/>
    <cellStyle name="一般 2 2 30 2 2 30 2 4 3 3 2 3" xfId="85" xr:uid="{E5264AE8-FCDB-441F-B001-95B1C3D91C12}"/>
    <cellStyle name="一般 2 2 30 2 2 30 2 4 3 3 3" xfId="86" xr:uid="{151926C4-437D-4A73-97B1-149794330404}"/>
    <cellStyle name="一般 2 2 30 2 2 30 2 4 3 3 3 2" xfId="87" xr:uid="{3D99B65D-4456-447B-8F98-FBA59DE01080}"/>
    <cellStyle name="一般 2 2 30 2 2 30 2 4 3 3 4" xfId="88" xr:uid="{139B8A3F-63EC-461C-BAC1-4806004DA7F2}"/>
    <cellStyle name="一般 2 2 30 2 2 30 2 4 3 3 5" xfId="89" xr:uid="{BF0E3660-7055-4A90-B8EA-C53C8F6199AB}"/>
    <cellStyle name="一般 2 2 30 2 2 30 2 4 3 4" xfId="90" xr:uid="{00000000-0005-0000-0000-000016000000}"/>
    <cellStyle name="一般 2 2 30 2 2 30 2 4 3 4 2" xfId="91" xr:uid="{00000000-0005-0000-0000-000017000000}"/>
    <cellStyle name="一般 2 2 30 2 2 30 2 4 3 4 2 2" xfId="92" xr:uid="{7BADD9E9-62FF-43DC-A181-77458ACE7A14}"/>
    <cellStyle name="一般 2 2 30 2 2 30 2 4 3 4 2 3" xfId="93" xr:uid="{15CADCFC-A59D-4D8E-A55A-EB26E8D3FF11}"/>
    <cellStyle name="一般 2 2 30 2 2 30 2 4 3 4 3" xfId="94" xr:uid="{62A3A3B3-4A45-4646-8455-9FE278C9A1F2}"/>
    <cellStyle name="一般 2 2 30 2 2 30 2 4 3 4 3 2" xfId="95" xr:uid="{34AB6B2D-CC82-41E7-8ABF-E33302038A57}"/>
    <cellStyle name="一般 2 2 30 2 2 30 2 4 3 4 4" xfId="96" xr:uid="{A3FE5AB8-1456-411C-82C0-55C6535B9FC8}"/>
    <cellStyle name="一般 2 2 30 2 2 30 2 4 3 4 5" xfId="97" xr:uid="{8D30F6C5-E965-4C36-8D17-71F90BAC3C93}"/>
    <cellStyle name="一般 2 2 30 2 2 30 2 4 3 5" xfId="98" xr:uid="{00000000-0005-0000-0000-000018000000}"/>
    <cellStyle name="一般 2 2 30 2 2 30 2 4 3 5 2" xfId="99" xr:uid="{0BEA1F7E-2558-40FE-8DCB-0E79C250E755}"/>
    <cellStyle name="一般 2 2 30 2 2 30 2 4 3 5 3" xfId="100" xr:uid="{133D1B7F-5851-4CF0-8BDE-7668407BCAB8}"/>
    <cellStyle name="一般 2 2 30 2 2 30 2 4 3 6" xfId="101" xr:uid="{C1DC1536-CF2D-45FA-9A77-A275F9C3D867}"/>
    <cellStyle name="一般 2 2 30 2 2 30 2 4 3 6 2" xfId="102" xr:uid="{6DE5A050-9825-4D00-B5FB-55B28505D108}"/>
    <cellStyle name="一般 2 2 30 2 2 30 2 4 3 7" xfId="103" xr:uid="{D705C2E6-7434-407D-B725-8DA51D70A8A9}"/>
    <cellStyle name="一般 2 2 30 2 2 30 2 4 3 8" xfId="104" xr:uid="{1D6B57AD-5866-4F53-82E1-E3E15D6DEC7D}"/>
    <cellStyle name="一般 2 2 30 2 2 30 2 4 4" xfId="105" xr:uid="{00000000-0005-0000-0000-000019000000}"/>
    <cellStyle name="一般 2 2 30 2 2 30 2 4 4 2" xfId="106" xr:uid="{00000000-0005-0000-0000-00001A000000}"/>
    <cellStyle name="一般 2 2 30 2 2 30 2 4 4 2 2" xfId="107" xr:uid="{99C9E3CC-3B87-4EE1-9D77-BBA78BE3CD8A}"/>
    <cellStyle name="一般 2 2 30 2 2 30 2 4 4 2 3" xfId="108" xr:uid="{3BBFDB78-7637-4AA9-A71C-E74FDB11609B}"/>
    <cellStyle name="一般 2 2 30 2 2 30 2 4 4 3" xfId="109" xr:uid="{DD88B523-C260-4530-B773-70D96415CC18}"/>
    <cellStyle name="一般 2 2 30 2 2 30 2 4 4 3 2" xfId="110" xr:uid="{C5BA752A-9514-410E-A0CF-9E8848952595}"/>
    <cellStyle name="一般 2 2 30 2 2 30 2 4 4 4" xfId="111" xr:uid="{E1C0DD16-997B-4215-B4CE-721C824AFD0A}"/>
    <cellStyle name="一般 2 2 30 2 2 30 2 4 4 5" xfId="112" xr:uid="{CCFB8540-4D0A-44CE-AA65-06F4A1E7CCA7}"/>
    <cellStyle name="一般 2 2 30 2 2 30 2 4 5" xfId="113" xr:uid="{00000000-0005-0000-0000-00001B000000}"/>
    <cellStyle name="一般 2 2 30 2 2 30 2 4 5 2" xfId="114" xr:uid="{00000000-0005-0000-0000-00001C000000}"/>
    <cellStyle name="一般 2 2 30 2 2 30 2 4 5 2 2" xfId="115" xr:uid="{B041B3BF-4F43-4A3C-85FC-CA3C292D4205}"/>
    <cellStyle name="一般 2 2 30 2 2 30 2 4 5 2 3" xfId="116" xr:uid="{0C7A487F-6375-49A4-8F86-A2FE028D2DAD}"/>
    <cellStyle name="一般 2 2 30 2 2 30 2 4 5 3" xfId="117" xr:uid="{6D56E1C9-8511-4D6D-B86C-0A6126250CBD}"/>
    <cellStyle name="一般 2 2 30 2 2 30 2 4 5 3 2" xfId="118" xr:uid="{15BDC5E3-2621-411E-B817-68280DAAFE54}"/>
    <cellStyle name="一般 2 2 30 2 2 30 2 4 5 4" xfId="119" xr:uid="{90F5F201-A8A9-4282-A6F5-838F371EF388}"/>
    <cellStyle name="一般 2 2 30 2 2 30 2 4 5 5" xfId="120" xr:uid="{88B7E56C-8A04-4E1E-AC3A-F0BBD058F43E}"/>
    <cellStyle name="一般 2 2 30 2 2 30 2 4 6" xfId="121" xr:uid="{00000000-0005-0000-0000-00001D000000}"/>
    <cellStyle name="一般 2 2 30 2 2 30 2 4 6 2" xfId="122" xr:uid="{01DA9B75-6171-4C86-8FB4-9FA9CF485F4B}"/>
    <cellStyle name="一般 2 2 30 2 2 30 2 4 6 3" xfId="123" xr:uid="{1B73F457-137B-44A8-8203-4777C08BA7EE}"/>
    <cellStyle name="一般 2 2 30 2 2 30 2 4 7" xfId="124" xr:uid="{36EE91C6-0330-487B-AE4F-8BA4486424CE}"/>
    <cellStyle name="一般 2 2 30 2 2 30 2 4 7 2" xfId="125" xr:uid="{4D856E5D-FA98-4AC4-8D03-9634D500048F}"/>
    <cellStyle name="一般 2 2 30 2 2 30 2 4 8" xfId="126" xr:uid="{F4F3BB48-C9DF-42E8-B4E0-01DF6337E935}"/>
    <cellStyle name="一般 2 2 30 2 2 30 2 4 9" xfId="127" xr:uid="{AB837887-4EE5-4162-8C05-961E9C06ACAA}"/>
    <cellStyle name="一般 2 2 30 2 2 30 2 5" xfId="128" xr:uid="{00000000-0005-0000-0000-00001E000000}"/>
    <cellStyle name="一般 2 2 30 2 2 30 2 5 2" xfId="129" xr:uid="{00000000-0005-0000-0000-00001F000000}"/>
    <cellStyle name="一般 2 2 30 2 2 30 2 5 2 2" xfId="130" xr:uid="{C3E0B1F4-4473-42DE-859B-8AE3F78105F0}"/>
    <cellStyle name="一般 2 2 30 2 2 30 2 5 2 3" xfId="131" xr:uid="{404E1316-5D90-4B8A-845D-EA486D352BB1}"/>
    <cellStyle name="一般 2 2 30 2 2 30 2 5 3" xfId="132" xr:uid="{0FC39D77-DE50-4144-AE13-8D09D9FE2722}"/>
    <cellStyle name="一般 2 2 30 2 2 30 2 5 3 2" xfId="133" xr:uid="{ED4548E5-06FD-4B78-96CA-B09225A1425B}"/>
    <cellStyle name="一般 2 2 30 2 2 30 2 5 4" xfId="134" xr:uid="{E5F4E20B-33DC-47A0-B239-D5D58E1CE2CF}"/>
    <cellStyle name="一般 2 2 30 2 2 30 2 5 5" xfId="135" xr:uid="{234C31E6-FB57-43EA-A648-4B36893BA894}"/>
    <cellStyle name="一般 2 2 30 2 2 30 2 6" xfId="136" xr:uid="{00000000-0005-0000-0000-000020000000}"/>
    <cellStyle name="一般 2 2 30 2 2 30 2 6 2" xfId="137" xr:uid="{00000000-0005-0000-0000-000021000000}"/>
    <cellStyle name="一般 2 2 30 2 2 30 2 6 2 2" xfId="138" xr:uid="{1EDCD655-5270-4910-8AFC-64C8877426F8}"/>
    <cellStyle name="一般 2 2 30 2 2 30 2 6 2 3" xfId="139" xr:uid="{A6A9E92D-E792-4B69-9807-4079F7F16FA3}"/>
    <cellStyle name="一般 2 2 30 2 2 30 2 6 3" xfId="140" xr:uid="{FF9E2871-948E-41DE-9B81-72C9785D23FC}"/>
    <cellStyle name="一般 2 2 30 2 2 30 2 6 3 2" xfId="141" xr:uid="{359546EB-A517-481D-B9C7-5D976414553D}"/>
    <cellStyle name="一般 2 2 30 2 2 30 2 6 4" xfId="142" xr:uid="{13326321-F092-4313-84CB-D321A14CA78C}"/>
    <cellStyle name="一般 2 2 30 2 2 30 2 6 5" xfId="143" xr:uid="{B43B0196-B7EA-4E2C-8759-73FD353A4E8E}"/>
    <cellStyle name="一般 2 2 30 2 2 30 2 7" xfId="144" xr:uid="{00000000-0005-0000-0000-000022000000}"/>
    <cellStyle name="一般 2 2 30 2 2 30 2 7 2" xfId="145" xr:uid="{00000000-0005-0000-0000-000023000000}"/>
    <cellStyle name="一般 2 2 30 2 2 30 2 7 2 2" xfId="146" xr:uid="{5FA28D60-8AFC-448D-BA56-725825B8BC47}"/>
    <cellStyle name="一般 2 2 30 2 2 30 2 7 2 3" xfId="147" xr:uid="{4F299F92-611F-438A-B34A-55CD4EFF6139}"/>
    <cellStyle name="一般 2 2 30 2 2 30 2 7 3" xfId="148" xr:uid="{A22B2491-1FB6-4C40-9DFE-DE40D9CBA1CB}"/>
    <cellStyle name="一般 2 2 30 2 2 30 2 7 3 2" xfId="149" xr:uid="{F610220D-A046-4B6D-8806-47593C536B71}"/>
    <cellStyle name="一般 2 2 30 2 2 30 2 7 4" xfId="150" xr:uid="{CFADD014-C5A8-4FBD-A46A-88F920B6C64E}"/>
    <cellStyle name="一般 2 2 30 2 2 30 2 7 5" xfId="151" xr:uid="{A222F72D-9A73-4537-BE86-46731034DE54}"/>
    <cellStyle name="一般 2 2 30 2 2 30 2 8" xfId="152" xr:uid="{00000000-0005-0000-0000-000024000000}"/>
    <cellStyle name="一般 2 2 30 2 2 30 2 8 2" xfId="153" xr:uid="{924C9310-2FC4-4DD7-B26E-0864119E64CA}"/>
    <cellStyle name="一般 2 2 30 2 2 30 2 8 3" xfId="154" xr:uid="{5A789866-CF93-4D4C-82A7-5B101A266552}"/>
    <cellStyle name="一般 2 2 30 2 2 30 2 9" xfId="155" xr:uid="{3BB15D78-D8BC-4BA6-A8EE-9C6B7BA10E20}"/>
    <cellStyle name="一般 2 2 30 2 2 30 2 9 2" xfId="156" xr:uid="{3AEB0577-4A29-4731-B43C-67383B522BE7}"/>
    <cellStyle name="一般 2 2 30 2 3 2" xfId="157" xr:uid="{00000000-0005-0000-0000-000025000000}"/>
    <cellStyle name="一般 2 2 30 2 3 2 2" xfId="158" xr:uid="{00000000-0005-0000-0000-000026000000}"/>
    <cellStyle name="一般 2 2 30 2 3 2 2 2" xfId="159" xr:uid="{5879A4B5-3D91-40A9-9BC5-7A6E7EFD654B}"/>
    <cellStyle name="一般 2 2 30 2 3 2 2 2 2" xfId="160" xr:uid="{3214F36A-05E2-4AAA-B443-357D21979617}"/>
    <cellStyle name="一般 2 2 30 2 3 2 2 3" xfId="161" xr:uid="{16263DBB-7FE1-4DE6-86AC-3FC68CCF417E}"/>
    <cellStyle name="一般 2 2 30 2 3 2 2 4" xfId="162" xr:uid="{FEAA698E-112C-4AA3-A99B-FFC5B1F1D8EB}"/>
    <cellStyle name="一般 2 2 30 2 3 2 3" xfId="163" xr:uid="{00000000-0005-0000-0000-000027000000}"/>
    <cellStyle name="一般 2 2 30 2 3 2 3 2" xfId="164" xr:uid="{72D50F6C-AC53-4365-BFAE-ACF536EB1796}"/>
    <cellStyle name="一般 2 2 30 2 3 2 3 3" xfId="165" xr:uid="{9438486C-B4E6-40C2-8FB4-90527B4F3B62}"/>
    <cellStyle name="一般 2 2 30 2 3 2 4" xfId="166" xr:uid="{473EB76A-F5DB-4A38-8EF1-3F7FF0ACFE66}"/>
    <cellStyle name="一般 2 2 30 2 3 2 4 2" xfId="167" xr:uid="{324FC272-57E1-4E2F-8499-7E85E2FBEB79}"/>
    <cellStyle name="一般 2 2 30 2 3 2 5" xfId="168" xr:uid="{494295AF-1D19-4AE4-99BE-019B4D060B1C}"/>
    <cellStyle name="一般 2 2 30 3 30" xfId="169" xr:uid="{00000000-0005-0000-0000-000028000000}"/>
    <cellStyle name="一般 2 2 30 3 30 2" xfId="170" xr:uid="{00000000-0005-0000-0000-000029000000}"/>
    <cellStyle name="一般 2 2 30 3 30 2 2" xfId="171" xr:uid="{8F68F138-5672-4635-8B5A-F33EA8D97B1D}"/>
    <cellStyle name="一般 2 2 30 3 30 2 3" xfId="172" xr:uid="{D21A84E0-98E1-473F-8282-E2720D0A0DA0}"/>
    <cellStyle name="一般 2 2 30 3 30 3" xfId="173" xr:uid="{A0CF8BBA-6A8F-4754-B06C-02E6FFFAB0EB}"/>
    <cellStyle name="一般 2 2 30 3 30 3 2" xfId="174" xr:uid="{F4FFF31C-80F6-4D94-8EEB-0D6D4E25934B}"/>
    <cellStyle name="一般 2 2 30 3 30 4" xfId="175" xr:uid="{00000000-0005-0000-0000-00002A000000}"/>
    <cellStyle name="一般 2 2 30 3 30 4 2" xfId="176" xr:uid="{00000000-0005-0000-0000-00002B000000}"/>
    <cellStyle name="一般 2 2 30 3 30 4 2 2" xfId="177" xr:uid="{00000000-0005-0000-0000-00002C000000}"/>
    <cellStyle name="一般 2 2 30 3 30 4 2 2 2" xfId="178" xr:uid="{4299CD64-AD25-4041-9F34-EC015A0939D1}"/>
    <cellStyle name="一般 2 2 30 3 30 4 2 2 3" xfId="179" xr:uid="{C8020132-ADA1-4016-9BEA-D2EFE5C82550}"/>
    <cellStyle name="一般 2 2 30 3 30 4 2 3" xfId="180" xr:uid="{25296B72-EDCA-4640-800D-F4C08869D2EF}"/>
    <cellStyle name="一般 2 2 30 3 30 4 2 3 2" xfId="181" xr:uid="{4189C4BB-741B-4B24-9A71-34A9B7D6FB02}"/>
    <cellStyle name="一般 2 2 30 3 30 4 2 4" xfId="182" xr:uid="{7819310A-2A3F-48DA-A2C7-3F85867BD66A}"/>
    <cellStyle name="一般 2 2 30 3 30 4 2 5" xfId="183" xr:uid="{1A793E68-D8DE-4909-B0B2-B0AB6C1860CB}"/>
    <cellStyle name="一般 2 2 30 3 30 4 3" xfId="184" xr:uid="{00000000-0005-0000-0000-00002D000000}"/>
    <cellStyle name="一般 2 2 30 3 30 4 3 2" xfId="185" xr:uid="{00000000-0005-0000-0000-00002E000000}"/>
    <cellStyle name="一般 2 2 30 3 30 4 3 2 2" xfId="186" xr:uid="{D79757C5-37CD-4C72-8BB6-25C520EA9C4B}"/>
    <cellStyle name="一般 2 2 30 3 30 4 3 2 3" xfId="187" xr:uid="{43E3AEFE-DCE5-47F8-B285-7746448F32FE}"/>
    <cellStyle name="一般 2 2 30 3 30 4 3 3" xfId="188" xr:uid="{78B88302-5CDB-4910-8FD8-731035C6CC9A}"/>
    <cellStyle name="一般 2 2 30 3 30 4 3 3 2" xfId="189" xr:uid="{29F6B765-83E3-480C-B888-182EE5C2715C}"/>
    <cellStyle name="一般 2 2 30 3 30 4 3 4" xfId="190" xr:uid="{30EC76C9-6BB7-450C-BFAF-261A8947F667}"/>
    <cellStyle name="一般 2 2 30 3 30 4 3 5" xfId="191" xr:uid="{851EA54B-77EA-464F-B8BF-60D064BEA680}"/>
    <cellStyle name="一般 2 2 30 3 30 4 4" xfId="192" xr:uid="{00000000-0005-0000-0000-00002F000000}"/>
    <cellStyle name="一般 2 2 30 3 30 4 4 2" xfId="193" xr:uid="{00000000-0005-0000-0000-000030000000}"/>
    <cellStyle name="一般 2 2 30 3 30 4 4 2 2" xfId="194" xr:uid="{8B00923B-3ADD-4461-A5A6-6B7FD44B750A}"/>
    <cellStyle name="一般 2 2 30 3 30 4 4 2 3" xfId="195" xr:uid="{E577B322-2AEE-4BA7-96D8-0785633F5608}"/>
    <cellStyle name="一般 2 2 30 3 30 4 4 3" xfId="196" xr:uid="{AECEA48D-00BB-4251-BA12-554A998D537E}"/>
    <cellStyle name="一般 2 2 30 3 30 4 4 3 2" xfId="197" xr:uid="{A08CD445-1215-4598-9C64-178B1ECF7AEB}"/>
    <cellStyle name="一般 2 2 30 3 30 4 4 4" xfId="198" xr:uid="{83DF961F-5B74-4BAD-AE71-7D80F6E21445}"/>
    <cellStyle name="一般 2 2 30 3 30 4 4 5" xfId="199" xr:uid="{7FB04B1A-C7F7-47C5-A999-FC49C5C1572C}"/>
    <cellStyle name="一般 2 2 30 3 30 4 5" xfId="200" xr:uid="{00000000-0005-0000-0000-000031000000}"/>
    <cellStyle name="一般 2 2 30 3 30 4 5 2" xfId="201" xr:uid="{5C383C08-014C-4BE3-9FB4-82B8B3BA1BDA}"/>
    <cellStyle name="一般 2 2 30 3 30 4 5 3" xfId="202" xr:uid="{FE0A9DBD-39BF-4CA3-98DC-53D5B422BA14}"/>
    <cellStyle name="一般 2 2 30 3 30 4 6" xfId="203" xr:uid="{5C7FB26A-4FFA-4532-BF21-33A5548AA954}"/>
    <cellStyle name="一般 2 2 30 3 30 4 6 2" xfId="204" xr:uid="{C8DF30F0-72BB-4ED1-BD54-9394DBCBE819}"/>
    <cellStyle name="一般 2 2 30 3 30 4 7" xfId="205" xr:uid="{07B2A739-3D17-4326-878D-25C12B745EC4}"/>
    <cellStyle name="一般 2 2 30 3 30 4 8" xfId="206" xr:uid="{A54E316B-B45D-4F5E-9C31-69EB698977FB}"/>
    <cellStyle name="一般 2 2 30 3 30 5" xfId="207" xr:uid="{1F395330-2AFA-400A-ACA3-520CC4FF881C}"/>
    <cellStyle name="一般 2 2 30 3 30 6" xfId="208" xr:uid="{ACB6A41E-858F-46E5-897F-B44C9D5DC1F1}"/>
    <cellStyle name="一般 2 2 4" xfId="209" xr:uid="{00000000-0005-0000-0000-000032000000}"/>
    <cellStyle name="一般 2 2 4 2" xfId="210" xr:uid="{00000000-0005-0000-0000-000033000000}"/>
    <cellStyle name="一般 2 2 4 2 2" xfId="211" xr:uid="{00000000-0005-0000-0000-000034000000}"/>
    <cellStyle name="一般 2 2 4 2 2 2" xfId="212" xr:uid="{D56D6DB5-5B99-41D0-9AC3-27713F3BC3BB}"/>
    <cellStyle name="一般 2 2 4 2 2 2 2" xfId="213" xr:uid="{C6C2C640-16D8-4738-910D-61AEABE8D521}"/>
    <cellStyle name="一般 2 2 4 2 2 3" xfId="214" xr:uid="{72BED7EF-BE25-450A-A23F-4EE1FA4A4825}"/>
    <cellStyle name="一般 2 2 4 2 3" xfId="215" xr:uid="{9D79834C-EE78-4C92-BB2B-DFBAA1FBEA52}"/>
    <cellStyle name="一般 2 2 4 2 3 2" xfId="216" xr:uid="{D4FE7D99-AA1B-4648-956D-09EA9511083F}"/>
    <cellStyle name="一般 2 2 4 2 3 3" xfId="217" xr:uid="{2DB0E39E-3A3A-43F1-8988-D24095357FF1}"/>
    <cellStyle name="一般 2 2 4 2 4" xfId="218" xr:uid="{C811102D-3861-43E3-A77F-4BEE46165C95}"/>
    <cellStyle name="一般 2 2 4 2 5" xfId="219" xr:uid="{0F279269-6FBB-4EDF-891B-F5BD0853DDDF}"/>
    <cellStyle name="一般 2 2 4 3" xfId="220" xr:uid="{00000000-0005-0000-0000-000035000000}"/>
    <cellStyle name="一般 2 2 4 3 2" xfId="221" xr:uid="{00000000-0005-0000-0000-000036000000}"/>
    <cellStyle name="一般 2 2 4 3 2 2" xfId="222" xr:uid="{223068E2-EC8B-4416-BAED-B35E46504A30}"/>
    <cellStyle name="一般 2 2 4 3 2 3" xfId="223" xr:uid="{6C282F08-EA37-46C1-B45A-436FC7B2513D}"/>
    <cellStyle name="一般 2 2 4 3 3" xfId="224" xr:uid="{DA1B1F1C-EA8F-4863-8A1F-435F5A0B3BFB}"/>
    <cellStyle name="一般 2 2 4 3 3 2" xfId="225" xr:uid="{F086CFA3-ECBB-43AC-8A09-AD0E62E72693}"/>
    <cellStyle name="一般 2 2 4 3 3 3" xfId="226" xr:uid="{7F23DF9F-7CF0-4575-B6BA-8C84A5A4FF86}"/>
    <cellStyle name="一般 2 2 4 3 4" xfId="227" xr:uid="{8080BA45-66D2-4430-A6A8-453635A109D4}"/>
    <cellStyle name="一般 2 2 4 3 5" xfId="228" xr:uid="{6269E414-4318-4FBD-ABF9-6167D0F29906}"/>
    <cellStyle name="一般 2 2 4 4" xfId="229" xr:uid="{00000000-0005-0000-0000-000037000000}"/>
    <cellStyle name="一般 2 2 4 4 2" xfId="230" xr:uid="{351CB045-C033-4474-A744-DD96B1D9D463}"/>
    <cellStyle name="一般 2 2 4 4 3" xfId="231" xr:uid="{27699968-7D07-4182-A94C-3895F5464F12}"/>
    <cellStyle name="一般 2 2 4 5" xfId="232" xr:uid="{7B694A0F-CE06-42D7-BBDB-8E3837CD277D}"/>
    <cellStyle name="一般 2 2 4 5 2" xfId="233" xr:uid="{B764A395-CC12-44E3-A743-52B3CFA565EE}"/>
    <cellStyle name="一般 2 2 4 5 3" xfId="234" xr:uid="{0F651860-030D-461B-BAF5-AE8217169630}"/>
    <cellStyle name="一般 2 2 4 6" xfId="235" xr:uid="{F480F69D-5FEC-4A44-A13C-2FDFC138E875}"/>
    <cellStyle name="一般 2 2 4 6 2" xfId="236" xr:uid="{B1D2FB3A-FA65-4C33-9222-70DAA2DD152D}"/>
    <cellStyle name="一般 2 2 4 7" xfId="237" xr:uid="{FD767409-AC63-486E-BDDE-1B865479FE35}"/>
    <cellStyle name="一般 2 2 4 8" xfId="238" xr:uid="{DAE74912-BC31-42B8-8BBB-C363CD11BEC1}"/>
    <cellStyle name="一般 2 2 5" xfId="239" xr:uid="{E5F456C0-A32B-4705-BA5A-50925E0CDFC3}"/>
    <cellStyle name="一般 2 3" xfId="240" xr:uid="{CE6D02E6-340F-4C52-B008-04DA19994BE5}"/>
    <cellStyle name="一般 2 3 2" xfId="241" xr:uid="{51F9D908-D07D-4DB4-B32D-5B0A35E13D4C}"/>
    <cellStyle name="一般 2 4" xfId="242" xr:uid="{EA67DC1A-246D-4698-BC12-D15AD3FB64EE}"/>
    <cellStyle name="一般 2 4 2" xfId="243" xr:uid="{00000000-0005-0000-0000-000038000000}"/>
    <cellStyle name="一般 2 4 3" xfId="244" xr:uid="{104A735A-BE46-4222-9E5A-14550B21B1E7}"/>
    <cellStyle name="一般 2 5" xfId="245" xr:uid="{410D0077-D454-4D61-9183-E2660D7CF8FE}"/>
    <cellStyle name="一般 2 6" xfId="246" xr:uid="{0173F62C-C7AD-4B36-A9F2-E4CD755F1866}"/>
    <cellStyle name="一般 2 8" xfId="247" xr:uid="{BDCF7075-5635-4C5F-A0FD-2A262F440E83}"/>
    <cellStyle name="一般 2 8 2" xfId="248" xr:uid="{56EC57A8-2BB9-4A75-B381-DC509DD4B426}"/>
    <cellStyle name="一般 2 8 23" xfId="249" xr:uid="{CC32046D-358A-49BB-B52F-6A39226DAADC}"/>
    <cellStyle name="一般 2 8 23 2" xfId="250" xr:uid="{58C2B2C4-F1AB-4AD0-B6A5-B04618115A9F}"/>
    <cellStyle name="一般 2 8 3" xfId="251" xr:uid="{08483DB8-5ED3-4A25-98B6-D6225EAC039E}"/>
    <cellStyle name="一般 2 8 4" xfId="252" xr:uid="{029EFB97-7618-42CC-ADE7-C6D26AF3C20F}"/>
    <cellStyle name="一般 3" xfId="253" xr:uid="{00000000-0005-0000-0000-000039000000}"/>
    <cellStyle name="一般 3 3 3 2" xfId="254" xr:uid="{00000000-0005-0000-0000-00003A000000}"/>
    <cellStyle name="一般 3 3 3 2 2" xfId="255" xr:uid="{00000000-0005-0000-0000-00003B000000}"/>
    <cellStyle name="一般 3 3 3 2 2 2" xfId="256" xr:uid="{00000000-0005-0000-0000-00003C000000}"/>
    <cellStyle name="一般 3 3 3 2 2 2 2" xfId="257" xr:uid="{974F6594-087A-4640-A46E-1EE5DE6A6C2B}"/>
    <cellStyle name="一般 3 3 3 2 2 2 3" xfId="258" xr:uid="{773EA550-5FE0-4943-8F27-4F99B886A3E6}"/>
    <cellStyle name="一般 3 3 3 2 2 3" xfId="259" xr:uid="{C879B325-46DC-40C7-A842-77A089A7C097}"/>
    <cellStyle name="一般 3 3 3 2 2 3 2" xfId="260" xr:uid="{38AD3B9C-E579-4E1E-A0B8-87D1D44DC4C2}"/>
    <cellStyle name="一般 3 3 3 2 2 4" xfId="261" xr:uid="{728A2F15-9443-4B01-A9E7-CBBBCC25ADDF}"/>
    <cellStyle name="一般 3 3 3 2 2 5" xfId="262" xr:uid="{43DE7C5E-7DA3-45C3-947F-9D16B1D16263}"/>
    <cellStyle name="一般 3 3 3 2 3" xfId="263" xr:uid="{00000000-0005-0000-0000-00003D000000}"/>
    <cellStyle name="一般 3 3 3 2 3 2" xfId="264" xr:uid="{00000000-0005-0000-0000-00003E000000}"/>
    <cellStyle name="一般 3 3 3 2 3 2 2" xfId="265" xr:uid="{D92BEEBF-0645-4E74-96D2-60FB9DD30DEF}"/>
    <cellStyle name="一般 3 3 3 2 3 2 3" xfId="266" xr:uid="{DFF93DEC-9EB5-4E8D-B8E3-5B012205B389}"/>
    <cellStyle name="一般 3 3 3 2 3 3" xfId="267" xr:uid="{AD092754-4B3D-4D07-AAAA-6F66ECC8A658}"/>
    <cellStyle name="一般 3 3 3 2 3 3 2" xfId="268" xr:uid="{1BD148C9-00A1-44BA-BD74-973C30772A2A}"/>
    <cellStyle name="一般 3 3 3 2 3 4" xfId="269" xr:uid="{DD6D7B38-1329-4104-A125-F32A27B3F0F8}"/>
    <cellStyle name="一般 3 3 3 2 3 5" xfId="270" xr:uid="{A67AD556-D1C0-48BE-B521-282DF7268E0E}"/>
    <cellStyle name="一般 3 3 3 2 4" xfId="271" xr:uid="{00000000-0005-0000-0000-00003F000000}"/>
    <cellStyle name="一般 3 3 3 2 4 2" xfId="272" xr:uid="{00000000-0005-0000-0000-000040000000}"/>
    <cellStyle name="一般 3 3 3 2 4 2 2" xfId="273" xr:uid="{D83F936B-BDBD-48A4-AFD5-B158999AB4DA}"/>
    <cellStyle name="一般 3 3 3 2 4 2 3" xfId="274" xr:uid="{CB77FF19-08B0-435B-A91E-CF95B2B758A3}"/>
    <cellStyle name="一般 3 3 3 2 4 3" xfId="275" xr:uid="{D766CD9A-CB1A-4B03-834B-5F2B1F54E11C}"/>
    <cellStyle name="一般 3 3 3 2 4 3 2" xfId="276" xr:uid="{78F93D5B-1A42-4B9F-9AE3-B0CEAC75C9EA}"/>
    <cellStyle name="一般 3 3 3 2 4 4" xfId="277" xr:uid="{654EDCCB-3A37-4E86-B202-ABF7642D7C62}"/>
    <cellStyle name="一般 3 3 3 2 4 5" xfId="278" xr:uid="{07E99D0C-1E21-4A0C-A42B-CC0DCFA48D5F}"/>
    <cellStyle name="一般 3 3 3 2 5" xfId="279" xr:uid="{00000000-0005-0000-0000-000041000000}"/>
    <cellStyle name="一般 3 3 3 2 5 2" xfId="280" xr:uid="{DB6906A0-BE47-4AA5-949B-F8B17717442F}"/>
    <cellStyle name="一般 3 3 3 2 5 3" xfId="281" xr:uid="{7A333199-0E09-45BC-B066-EC0BF376C6FB}"/>
    <cellStyle name="一般 3 3 3 2 6" xfId="282" xr:uid="{A3BA0872-6E0A-4394-ABB4-7872E78C55DE}"/>
    <cellStyle name="一般 3 3 3 2 6 2" xfId="283" xr:uid="{797AF0DC-544D-45FA-B1FE-3FEC95C10973}"/>
    <cellStyle name="一般 3 3 3 2 7" xfId="284" xr:uid="{D0D513D2-11A2-4FC4-9FCE-897EE07571F0}"/>
    <cellStyle name="一般 3 3 3 2 8" xfId="285" xr:uid="{F1A024F4-040E-476E-8CD7-E871DB922C60}"/>
    <cellStyle name="一般 4" xfId="286" xr:uid="{00000000-0005-0000-0000-000042000000}"/>
    <cellStyle name="一般 5" xfId="287" xr:uid="{00000000-0005-0000-0000-000043000000}"/>
    <cellStyle name="一般 5 2" xfId="288" xr:uid="{00000000-0005-0000-0000-000044000000}"/>
    <cellStyle name="一般 5 2 2" xfId="289" xr:uid="{00000000-0005-0000-0000-000045000000}"/>
    <cellStyle name="一般 5 2 2 2" xfId="290" xr:uid="{DA23F747-FCF1-4F07-B5E2-A229F0E21F47}"/>
    <cellStyle name="一般 5 2 2 3" xfId="291" xr:uid="{CD5A4275-D61C-4403-B73E-24785BE3E109}"/>
    <cellStyle name="一般 5 2 3" xfId="292" xr:uid="{B85DEDEA-29C0-464E-8D37-7A7B42B6F148}"/>
    <cellStyle name="一般 5 2 3 2" xfId="293" xr:uid="{D29E3845-4ADE-4DE5-9052-372F4EC807FF}"/>
    <cellStyle name="一般 5 2 4" xfId="294" xr:uid="{AE21AC60-1EB8-4691-B691-342597140906}"/>
    <cellStyle name="一般 5 2 5" xfId="295" xr:uid="{753CE3F9-C817-469B-A736-75906396D461}"/>
    <cellStyle name="一般 5 3" xfId="296" xr:uid="{00000000-0005-0000-0000-000046000000}"/>
    <cellStyle name="一般 5 3 2" xfId="297" xr:uid="{00000000-0005-0000-0000-000047000000}"/>
    <cellStyle name="一般 5 3 2 2" xfId="298" xr:uid="{BAAF3A00-8F4F-48B1-BB5C-706DAE8CD93A}"/>
    <cellStyle name="一般 5 3 2 3" xfId="299" xr:uid="{9EE35464-3782-4D79-9285-032524290005}"/>
    <cellStyle name="一般 5 3 3" xfId="300" xr:uid="{EF830A6F-7B36-458F-B309-64F2F8275DCB}"/>
    <cellStyle name="一般 5 3 3 2" xfId="301" xr:uid="{A4BFC3CE-7C7E-486C-AFC6-1761E9191D7F}"/>
    <cellStyle name="一般 5 3 4" xfId="302" xr:uid="{C1B6FF90-8FA7-4642-849F-6DD5AAE69382}"/>
    <cellStyle name="一般 5 3 5" xfId="303" xr:uid="{EBCA9F4B-EDF1-45BA-8AC6-97F97889E157}"/>
    <cellStyle name="一般 5 4" xfId="304" xr:uid="{00000000-0005-0000-0000-000048000000}"/>
    <cellStyle name="一般 5 4 2" xfId="305" xr:uid="{00000000-0005-0000-0000-000049000000}"/>
    <cellStyle name="一般 5 4 2 2" xfId="306" xr:uid="{B114D30A-CC81-4CFB-8EE5-493482CAF9EF}"/>
    <cellStyle name="一般 5 4 2 3" xfId="307" xr:uid="{4E977030-1B0B-4E15-B03A-E5098D1B48ED}"/>
    <cellStyle name="一般 5 4 3" xfId="308" xr:uid="{BFEB5C13-BB63-464A-A558-2B0D0511A3CD}"/>
    <cellStyle name="一般 5 4 3 2" xfId="309" xr:uid="{38E2B4B5-A841-4EC1-AB9E-88F6CBBD1ECF}"/>
    <cellStyle name="一般 5 4 4" xfId="310" xr:uid="{10F2819A-033B-4924-B0B6-4146CB6BB888}"/>
    <cellStyle name="一般 5 4 5" xfId="311" xr:uid="{CDE44CB2-22EC-49F7-93CA-830E5A52D57B}"/>
    <cellStyle name="一般 5 5" xfId="312" xr:uid="{00000000-0005-0000-0000-00004A000000}"/>
    <cellStyle name="一般 5 5 2" xfId="313" xr:uid="{00000000-0005-0000-0000-00004B000000}"/>
    <cellStyle name="一般 5 5 2 2" xfId="314" xr:uid="{28F182CB-1665-471E-85F5-A1597CB6E4FB}"/>
    <cellStyle name="一般 5 5 2 3" xfId="315" xr:uid="{D874F3B9-D77C-410C-897C-9906C4C111C0}"/>
    <cellStyle name="一般 5 5 3" xfId="316" xr:uid="{AFB81EA6-A22C-4CF8-BD9B-D3CA75EA7D7C}"/>
    <cellStyle name="一般 5 5 3 2" xfId="317" xr:uid="{D1967309-E3C7-4CC2-BD0B-7A68B466272C}"/>
    <cellStyle name="一般 5 5 4" xfId="318" xr:uid="{865004A4-3160-4AAF-8E19-22E7E24C22A9}"/>
    <cellStyle name="一般 5 5 5" xfId="319" xr:uid="{24D18BAE-E4D9-430C-A007-A1E0FC88BE2F}"/>
    <cellStyle name="一般 5 6" xfId="320" xr:uid="{00000000-0005-0000-0000-00004C000000}"/>
    <cellStyle name="一般 5 6 2" xfId="321" xr:uid="{42C7B2ED-7CA6-4B2A-8EA5-B4C9ADA1B455}"/>
    <cellStyle name="一般 5 6 3" xfId="322" xr:uid="{AA581817-4CFE-4A41-8907-D91C4A5FFCCF}"/>
    <cellStyle name="一般 5 7" xfId="323" xr:uid="{51558519-DCE4-4056-B247-961A5FE7FB66}"/>
    <cellStyle name="一般 5 7 2" xfId="324" xr:uid="{039A51BD-E048-4268-975D-A92DD6BD57D0}"/>
    <cellStyle name="一般 5 8" xfId="325" xr:uid="{64DFD79C-22EF-4211-9AE2-F370AFC13F08}"/>
    <cellStyle name="一般 5 9" xfId="326" xr:uid="{9E8B176D-AE9A-478F-94E7-D88BE79E160E}"/>
    <cellStyle name="一般 6" xfId="327" xr:uid="{00000000-0005-0000-0000-00004D000000}"/>
    <cellStyle name="一般 6 2" xfId="328" xr:uid="{00000000-0005-0000-0000-00004E000000}"/>
    <cellStyle name="一般 6 2 2" xfId="329" xr:uid="{4AEB89A2-9BEB-48A0-A781-D11AA5505C1D}"/>
    <cellStyle name="一般 6 2 3" xfId="330" xr:uid="{43A0FAD5-FCFB-428F-B5DE-664B62BB0548}"/>
    <cellStyle name="一般 6 3" xfId="331" xr:uid="{B8ADDB35-C187-491C-B65F-93CD581631BD}"/>
    <cellStyle name="一般 6 3 2" xfId="332" xr:uid="{72B68EA1-ED3B-47D7-96F2-53419EB7A26A}"/>
    <cellStyle name="一般 6 4" xfId="333" xr:uid="{F5212934-4B8A-4186-8D92-85D375645BC0}"/>
    <cellStyle name="一般 6 5" xfId="334" xr:uid="{88964ABD-DD87-4B3B-B610-FC56F1E188B0}"/>
    <cellStyle name="一般 7" xfId="335" xr:uid="{00000000-0005-0000-0000-00004F000000}"/>
    <cellStyle name="一般 7 2" xfId="336" xr:uid="{00000000-0005-0000-0000-000050000000}"/>
    <cellStyle name="一般 7 2 2" xfId="337" xr:uid="{7021D9A3-AC9A-40FE-BDC7-061544386D57}"/>
    <cellStyle name="一般 7 2 3" xfId="338" xr:uid="{F7EF6460-3D95-4C69-9B2B-DF7C104BB16F}"/>
    <cellStyle name="一般 7 3" xfId="339" xr:uid="{9E3BA9A4-1974-4D83-AF8E-CA2128160A71}"/>
    <cellStyle name="一般 7 3 2" xfId="340" xr:uid="{693FA5EF-B335-495E-91F3-081411A6B6B9}"/>
    <cellStyle name="一般 7 4" xfId="341" xr:uid="{CF88D79E-725E-4BDE-A17E-D115B9AFA501}"/>
    <cellStyle name="一般 7 5" xfId="342" xr:uid="{E08404CC-472E-4E1F-9F6A-ED4415C9A023}"/>
    <cellStyle name="一般 8" xfId="343" xr:uid="{00000000-0005-0000-0000-000051000000}"/>
    <cellStyle name="一般 8 2" xfId="344" xr:uid="{00000000-0005-0000-0000-000052000000}"/>
    <cellStyle name="一般 8 2 2" xfId="345" xr:uid="{42B6CB9C-9D6A-4DC1-B01F-EDBD5B722C49}"/>
    <cellStyle name="一般 8 2 3" xfId="346" xr:uid="{7A88C677-C215-43BF-8D0B-E1C16BFC6B75}"/>
    <cellStyle name="一般 8 3" xfId="347" xr:uid="{65DEF198-8C45-4824-AF25-14A0706A7EB4}"/>
    <cellStyle name="一般 8 3 2" xfId="348" xr:uid="{B9EFC245-9011-400E-9CB0-521AC1C931DB}"/>
    <cellStyle name="一般 8 4" xfId="349" xr:uid="{8022A0A1-A096-4D64-BD01-EC885E5476CF}"/>
    <cellStyle name="一般 8 5" xfId="350" xr:uid="{19168C5E-B0E2-454B-B3EB-EEF2CB15E1CF}"/>
    <cellStyle name="一般 9" xfId="351" xr:uid="{00000000-0005-0000-0000-000053000000}"/>
    <cellStyle name="一般 9 2" xfId="352" xr:uid="{00000000-0005-0000-0000-000054000000}"/>
    <cellStyle name="一般 9 2 2" xfId="353" xr:uid="{9BEA7041-F88C-42F4-86D6-CC736D1AEBE4}"/>
    <cellStyle name="一般 9 2 2 2" xfId="354" xr:uid="{2E970C79-7615-451C-85FF-8A6359E2F24C}"/>
    <cellStyle name="一般 9 2 3" xfId="355" xr:uid="{1C4DF0D3-84C7-4A24-B396-3548D303C90B}"/>
    <cellStyle name="一般 9 3" xfId="356" xr:uid="{82E1E7D8-B3B1-44DC-B0B9-1D8893B73480}"/>
    <cellStyle name="一般 9 3 2" xfId="357" xr:uid="{5464468B-0253-48C0-A5F5-1903CEF6EAFD}"/>
    <cellStyle name="一般 9 4" xfId="358" xr:uid="{5CAAD22A-0812-47F6-B6D0-6FD77C01E9D0}"/>
    <cellStyle name="一般 9 5" xfId="359" xr:uid="{877C55D6-C77D-4288-BDB0-6525EE643AD5}"/>
    <cellStyle name="千分位 2" xfId="360" xr:uid="{00000000-0005-0000-0000-000056000000}"/>
    <cellStyle name="千分位 2 10" xfId="361" xr:uid="{F16F8959-D051-446D-AADE-C1580C75C5F7}"/>
    <cellStyle name="千分位 2 10 2" xfId="362" xr:uid="{510C8FFB-B8ED-44C7-84AA-975997D7FFFB}"/>
    <cellStyle name="千分位 2 10 2 2" xfId="363" xr:uid="{91B7B640-3F7F-46A2-9F6D-C7D7F9E6CDCE}"/>
    <cellStyle name="千分位 2 10 2 2 2" xfId="364" xr:uid="{891B062C-F08E-4AD8-8AD4-31909BAC7D04}"/>
    <cellStyle name="千分位 2 10 2 2 2 2" xfId="365" xr:uid="{B0E9B175-93E0-4506-923C-9C9E31DDEF41}"/>
    <cellStyle name="千分位 2 10 2 2 2 2 2" xfId="366" xr:uid="{1FFBBE62-26EF-44AD-8A34-8B5F230DA03D}"/>
    <cellStyle name="千分位 2 10 2 2 2 2 2 2" xfId="367" xr:uid="{3287769F-E900-46DF-9096-4EEA1A173203}"/>
    <cellStyle name="千分位 2 10 2 2 2 2 3" xfId="368" xr:uid="{79429B29-6EF5-474A-BBD0-5184C697A11B}"/>
    <cellStyle name="千分位 2 10 2 2 2 3" xfId="369" xr:uid="{9444DD0C-7E05-468E-AEAC-2F2396A4818C}"/>
    <cellStyle name="千分位 2 10 2 2 2 3 2" xfId="370" xr:uid="{F55AAF8D-5AFC-4AED-AAAE-6A003E9A6566}"/>
    <cellStyle name="千分位 2 10 2 2 2 4" xfId="371" xr:uid="{5E411BA3-A6EA-4E0B-BB72-65992F644BE7}"/>
    <cellStyle name="千分位 2 10 2 2 3" xfId="372" xr:uid="{6EE93FD9-6D55-4008-BBC9-1387CAF23AC4}"/>
    <cellStyle name="千分位 2 10 2 2 3 2" xfId="373" xr:uid="{982C3510-FA4C-4EA2-BA56-D40024E8E161}"/>
    <cellStyle name="千分位 2 10 2 2 3 2 2" xfId="374" xr:uid="{312A8EA9-7E14-4318-BC1E-D2F397AF6B88}"/>
    <cellStyle name="千分位 2 10 2 2 3 3" xfId="375" xr:uid="{E931F590-F6C6-4005-AEE2-19CA0D6F602F}"/>
    <cellStyle name="千分位 2 10 2 2 4" xfId="376" xr:uid="{4D8A8C5B-BC2E-416B-83DF-E8B5ECF993A3}"/>
    <cellStyle name="千分位 2 10 2 2 4 2" xfId="377" xr:uid="{7D6D9358-3F76-4025-9C7F-F683BA40046B}"/>
    <cellStyle name="千分位 2 10 2 2 5" xfId="378" xr:uid="{41636BAA-E84E-49AC-9E5E-1475798F8FD3}"/>
    <cellStyle name="千分位 2 10 2 3" xfId="379" xr:uid="{E3061DCE-3B09-4659-9932-8F2B076433B1}"/>
    <cellStyle name="千分位 2 10 2 3 2" xfId="380" xr:uid="{D5B441CB-5F8F-4DAC-8697-F8E872D67D1A}"/>
    <cellStyle name="千分位 2 10 2 3 2 2" xfId="381" xr:uid="{7162B933-966B-4B08-90D5-2294CDEE688D}"/>
    <cellStyle name="千分位 2 10 2 3 2 2 2" xfId="382" xr:uid="{5E444518-3284-455A-9177-63E2D6B50572}"/>
    <cellStyle name="千分位 2 10 2 3 2 3" xfId="383" xr:uid="{D86D2EC5-0E7F-49A1-96D4-1DAA0171C4E4}"/>
    <cellStyle name="千分位 2 10 2 3 3" xfId="384" xr:uid="{8DDA5F5A-109D-4C7C-BAB0-FA0B6B210B14}"/>
    <cellStyle name="千分位 2 10 2 3 3 2" xfId="385" xr:uid="{C6526470-2C58-495A-88BD-C26FA1B3AF93}"/>
    <cellStyle name="千分位 2 10 2 3 4" xfId="386" xr:uid="{BA246EB7-E864-4F14-BB68-E89C65F0A8E1}"/>
    <cellStyle name="千分位 2 10 2 4" xfId="387" xr:uid="{662661E6-4A96-4FA0-9003-8D44F2C1503B}"/>
    <cellStyle name="千分位 2 10 2 4 2" xfId="388" xr:uid="{F6532E6D-5C82-4AFB-8622-E8B8E3C0EF0F}"/>
    <cellStyle name="千分位 2 10 2 4 2 2" xfId="389" xr:uid="{5C9509FF-25FE-436A-B816-AC0CB0E18FB1}"/>
    <cellStyle name="千分位 2 10 2 4 3" xfId="390" xr:uid="{CB9C402D-AF89-40B8-94F5-6F5329B2973C}"/>
    <cellStyle name="千分位 2 10 2 5" xfId="391" xr:uid="{33A5E1A1-0602-485C-AB70-11A8C19ACFFD}"/>
    <cellStyle name="千分位 2 10 2 5 2" xfId="392" xr:uid="{C1A34B77-5382-44A4-ABB0-9CD4E21C2B8E}"/>
    <cellStyle name="千分位 2 10 2 6" xfId="393" xr:uid="{57780D43-10A2-4398-A375-7301E7CE8F89}"/>
    <cellStyle name="千分位 2 10 3" xfId="394" xr:uid="{3F66933B-BFC2-4B58-B683-754832E9992B}"/>
    <cellStyle name="千分位 2 10 3 2" xfId="395" xr:uid="{2D0590E5-5EF0-46BC-A5DE-3C9B6EC016C0}"/>
    <cellStyle name="千分位 2 10 3 2 2" xfId="396" xr:uid="{2FB3FB66-3929-4CB9-993D-D1AFAF4EFF12}"/>
    <cellStyle name="千分位 2 10 3 2 2 2" xfId="397" xr:uid="{0CA48076-6237-442E-A328-B0D4A5DF5E7E}"/>
    <cellStyle name="千分位 2 10 3 2 2 2 2" xfId="398" xr:uid="{BBEA3825-8225-40FC-BA9D-A2DA12B59C08}"/>
    <cellStyle name="千分位 2 10 3 2 2 3" xfId="399" xr:uid="{753D9363-DA2A-421B-B007-9C7EA864F8D9}"/>
    <cellStyle name="千分位 2 10 3 2 3" xfId="400" xr:uid="{C591833D-762A-4684-951F-1F47BF502B63}"/>
    <cellStyle name="千分位 2 10 3 2 3 2" xfId="401" xr:uid="{3F1C94B0-A448-41E1-81D5-90AEA86079C3}"/>
    <cellStyle name="千分位 2 10 3 2 4" xfId="402" xr:uid="{E8C708C6-9E3A-4357-8B4F-264DADBCB7B7}"/>
    <cellStyle name="千分位 2 10 3 3" xfId="403" xr:uid="{2E630BA9-E5E7-440F-BDB0-5F668A660ABC}"/>
    <cellStyle name="千分位 2 10 3 3 2" xfId="404" xr:uid="{B3ACEFE3-1544-4BBD-9B3E-944085BC7058}"/>
    <cellStyle name="千分位 2 10 3 3 2 2" xfId="405" xr:uid="{3492E245-BEFD-44B2-9497-8B0EF3A84D61}"/>
    <cellStyle name="千分位 2 10 3 3 3" xfId="406" xr:uid="{806D620D-6DD6-4B48-BBB7-FF73B3BA427F}"/>
    <cellStyle name="千分位 2 10 3 4" xfId="407" xr:uid="{F10A11BB-65EC-4128-BB5A-BEB8B0C7EC2F}"/>
    <cellStyle name="千分位 2 10 3 4 2" xfId="408" xr:uid="{3F1F35AE-E510-4559-B3DC-708D6F8AB36E}"/>
    <cellStyle name="千分位 2 10 3 5" xfId="409" xr:uid="{6165EA7A-EE02-406F-9BF9-8485CB4308D7}"/>
    <cellStyle name="千分位 2 10 4" xfId="410" xr:uid="{0B7D1CA5-2996-45E1-B3D1-EFDB7D9F4EF4}"/>
    <cellStyle name="千分位 2 10 4 2" xfId="411" xr:uid="{EDABF1F6-CD38-4AD9-A843-FD01B0D1540C}"/>
    <cellStyle name="千分位 2 10 4 2 2" xfId="412" xr:uid="{3EC00895-06E3-4610-BA18-ECFD6A64F2B2}"/>
    <cellStyle name="千分位 2 10 4 2 2 2" xfId="413" xr:uid="{075C39EA-9693-41AE-B1F0-F08174EC4FC0}"/>
    <cellStyle name="千分位 2 10 4 2 3" xfId="414" xr:uid="{BFA692EC-6345-44B9-9FF6-71F973864595}"/>
    <cellStyle name="千分位 2 10 4 3" xfId="415" xr:uid="{39EA2617-8BCC-4C36-9151-426FAFAC6991}"/>
    <cellStyle name="千分位 2 10 4 3 2" xfId="416" xr:uid="{3D88550C-43C5-4CEC-8226-F807156E809A}"/>
    <cellStyle name="千分位 2 10 4 4" xfId="417" xr:uid="{40C2D530-4A69-4690-95D5-D53E1F47FD7F}"/>
    <cellStyle name="千分位 2 10 5" xfId="418" xr:uid="{7ECD9B14-47F1-4955-BC46-120FEFB1C839}"/>
    <cellStyle name="千分位 2 10 5 2" xfId="419" xr:uid="{F50BDD2B-2260-45B8-AF05-6AB37EF451AA}"/>
    <cellStyle name="千分位 2 10 5 2 2" xfId="420" xr:uid="{44B21679-F1E8-4F71-BB86-01F25C2D2895}"/>
    <cellStyle name="千分位 2 10 5 3" xfId="421" xr:uid="{9CF292FC-D74F-4D01-92EE-24DDF5BAA272}"/>
    <cellStyle name="千分位 2 10 6" xfId="422" xr:uid="{A1CA0EC4-1BF1-487D-BCD4-A2981D0E3DC1}"/>
    <cellStyle name="千分位 2 10 6 2" xfId="423" xr:uid="{DE5C0132-0C10-499C-AE51-1871E2340AF4}"/>
    <cellStyle name="千分位 2 10 7" xfId="424" xr:uid="{8F34B723-5311-488A-8598-2BE50678E51B}"/>
    <cellStyle name="千分位 2 11" xfId="425" xr:uid="{0A37F661-0028-4EE9-89D3-19367866D58C}"/>
    <cellStyle name="千分位 2 11 2" xfId="426" xr:uid="{CF511935-73E9-4C4F-AD85-66520D091BE6}"/>
    <cellStyle name="千分位 2 12" xfId="427" xr:uid="{7E2449AD-79C3-4E50-8AD9-F4B479717403}"/>
    <cellStyle name="千分位 2 2" xfId="428" xr:uid="{00000000-0005-0000-0000-000057000000}"/>
    <cellStyle name="千分位 2 2 2" xfId="429" xr:uid="{00000000-0005-0000-0000-000058000000}"/>
    <cellStyle name="千分位 2 2 2 2" xfId="430" xr:uid="{FB9B9639-6E8A-4C14-B3C2-BD94A0E49872}"/>
    <cellStyle name="千分位 2 2 2 2 2" xfId="431" xr:uid="{661DF30A-C3CE-4BAA-97B5-5A7C4706B16A}"/>
    <cellStyle name="千分位 2 2 2 2 2 2" xfId="432" xr:uid="{483414E8-DB46-4306-A7F4-5C17D0A7C14A}"/>
    <cellStyle name="千分位 2 2 2 2 2 2 2" xfId="433" xr:uid="{2ABC695F-701E-4549-95AF-0487567E553F}"/>
    <cellStyle name="千分位 2 2 2 2 2 3" xfId="434" xr:uid="{0F456E04-DCF2-4DD0-9DA1-3E96837E90D0}"/>
    <cellStyle name="千分位 2 2 2 2 3" xfId="435" xr:uid="{9CA42FB0-EA5D-4D93-8C01-EA2D894A7B40}"/>
    <cellStyle name="千分位 2 2 2 2 3 2" xfId="436" xr:uid="{617BF095-70C9-4EBF-8459-84ABAC8C006D}"/>
    <cellStyle name="千分位 2 2 2 2 4" xfId="437" xr:uid="{07996D95-EE82-4A4B-A98B-4B034E850ABB}"/>
    <cellStyle name="千分位 2 2 2 3" xfId="438" xr:uid="{C04E7857-9263-4CC8-9D9C-C5A320FBC7AF}"/>
    <cellStyle name="千分位 2 2 2 3 2" xfId="439" xr:uid="{B40A2782-A2F9-4645-B090-2241F68E0DC3}"/>
    <cellStyle name="千分位 2 2 2 3 2 2" xfId="440" xr:uid="{531B2BC6-321C-4F48-83E9-C8EB644D70CF}"/>
    <cellStyle name="千分位 2 2 2 3 3" xfId="441" xr:uid="{B3EDC925-F093-4C14-B23A-59A5BDBDD786}"/>
    <cellStyle name="千分位 2 2 2 4" xfId="442" xr:uid="{2F38C4CF-CA62-40DF-8608-67DAE838E344}"/>
    <cellStyle name="千分位 2 2 2 4 2" xfId="443" xr:uid="{9782AED3-E246-4EA0-AC6E-4D46D4138869}"/>
    <cellStyle name="千分位 2 2 2 5" xfId="444" xr:uid="{3C7CFFED-0C82-45D6-8DF3-E287BB083E8A}"/>
    <cellStyle name="千分位 2 2 2 5 2" xfId="445" xr:uid="{E8750205-E204-4B2B-B9F7-BB032DBC7B84}"/>
    <cellStyle name="千分位 2 2 2 6" xfId="446" xr:uid="{28931E99-0090-45D3-B46F-27641801FFEB}"/>
    <cellStyle name="千分位 2 2 2 7" xfId="447" xr:uid="{7D17B7DC-2BAF-4316-975D-B17145214422}"/>
    <cellStyle name="千分位 2 2 3" xfId="448" xr:uid="{362CCA17-A0F5-4670-ABA1-6041B21D94C7}"/>
    <cellStyle name="千分位 2 2 3 2" xfId="449" xr:uid="{C08ED967-F305-4402-9D58-744AA7BA7973}"/>
    <cellStyle name="千分位 2 2 3 2 2" xfId="450" xr:uid="{7F904925-1635-465B-94D1-778A44A27900}"/>
    <cellStyle name="千分位 2 2 3 2 2 2" xfId="451" xr:uid="{C078143B-0252-4C24-8353-8DA313EA404A}"/>
    <cellStyle name="千分位 2 2 3 2 3" xfId="452" xr:uid="{3CEF8D7B-443A-4449-BE56-6755A6B8776E}"/>
    <cellStyle name="千分位 2 2 3 3" xfId="453" xr:uid="{A014E15E-DF71-4D9C-BA52-B64B92CC1FA5}"/>
    <cellStyle name="千分位 2 2 3 3 2" xfId="454" xr:uid="{7F41551C-11B9-411A-AFC3-449BF306E8B4}"/>
    <cellStyle name="千分位 2 2 3 4" xfId="455" xr:uid="{305428B8-9516-4B6C-A89C-BDB09F68FB4B}"/>
    <cellStyle name="千分位 2 2 3 5" xfId="456" xr:uid="{8406476D-18B4-4D86-9B10-0C05D2BBBB41}"/>
    <cellStyle name="千分位 2 2 4" xfId="457" xr:uid="{1BB75A2A-6C7B-44BE-9D0A-9C0D0C7248FC}"/>
    <cellStyle name="千分位 2 2 4 2" xfId="458" xr:uid="{630E93F6-7CB2-4525-AED4-09590BF788F1}"/>
    <cellStyle name="千分位 2 2 4 2 2" xfId="459" xr:uid="{7173A35D-3BD0-4B9C-9185-E6DEA104A3C7}"/>
    <cellStyle name="千分位 2 2 4 3" xfId="460" xr:uid="{8AF10B01-1ADF-4824-B176-D4AC4D112CF7}"/>
    <cellStyle name="千分位 2 2 5" xfId="461" xr:uid="{DE2A5E2D-44C3-496C-BFAB-EB654711F9CA}"/>
    <cellStyle name="千分位 2 2 5 2" xfId="462" xr:uid="{2F7EC633-34A1-4199-AD40-6D09B46777D4}"/>
    <cellStyle name="千分位 2 2 6" xfId="463" xr:uid="{8ED38AD6-A7F2-4DDB-94E5-549DAFBFB108}"/>
    <cellStyle name="千分位 2 2 6 2" xfId="464" xr:uid="{3B8AE068-BB54-47DD-A0F4-E4408A059F1B}"/>
    <cellStyle name="千分位 2 2 7" xfId="465" xr:uid="{69265FBB-24B2-40B1-BDD8-74ABE03DA58C}"/>
    <cellStyle name="千分位 2 2 7 2" xfId="466" xr:uid="{1E71F694-68BB-4541-ACB7-8981C1A6091E}"/>
    <cellStyle name="千分位 2 2 8" xfId="467" xr:uid="{8BB7750F-CB32-42A2-B8AD-5EABEA7FC9AC}"/>
    <cellStyle name="千分位 2 3" xfId="468" xr:uid="{00000000-0005-0000-0000-000059000000}"/>
    <cellStyle name="千分位 2 3 2" xfId="469" xr:uid="{00000000-0005-0000-0000-00005A000000}"/>
    <cellStyle name="千分位 2 3 2 2" xfId="470" xr:uid="{8090E5ED-5371-494D-A48D-15C4C910F43A}"/>
    <cellStyle name="千分位 2 3 2 2 2" xfId="471" xr:uid="{9CF94084-D332-40BD-B658-3AD3842BF196}"/>
    <cellStyle name="千分位 2 3 2 2 2 2" xfId="472" xr:uid="{0E2CD161-9B01-4548-8981-44683BCBE51F}"/>
    <cellStyle name="千分位 2 3 2 2 2 2 2" xfId="473" xr:uid="{74030533-A42E-4912-AD55-19659EAA3981}"/>
    <cellStyle name="千分位 2 3 2 2 2 3" xfId="474" xr:uid="{3489A775-C470-458E-B5BF-5F5ABD3AE880}"/>
    <cellStyle name="千分位 2 3 2 2 3" xfId="475" xr:uid="{30E7655C-1850-43FB-B1D3-A3DEF1BAD6C6}"/>
    <cellStyle name="千分位 2 3 2 2 3 2" xfId="476" xr:uid="{FDC10324-6F65-4862-9F94-12FF85E0E12F}"/>
    <cellStyle name="千分位 2 3 2 2 4" xfId="477" xr:uid="{5C41534F-AE26-4DF2-BE46-315F7DD69D97}"/>
    <cellStyle name="千分位 2 3 2 3" xfId="478" xr:uid="{2A8CB286-2BD4-4FDF-9201-98DA97FAC9F3}"/>
    <cellStyle name="千分位 2 3 2 3 2" xfId="479" xr:uid="{A1B81D8C-7E72-4F68-8167-EB7AB1EA54F2}"/>
    <cellStyle name="千分位 2 3 2 3 2 2" xfId="480" xr:uid="{984B95C8-9BDC-489A-98DC-B199DC2CD7B1}"/>
    <cellStyle name="千分位 2 3 2 3 3" xfId="481" xr:uid="{73C7BB1E-D6DB-4D68-BD63-BCC74FB0A137}"/>
    <cellStyle name="千分位 2 3 2 4" xfId="482" xr:uid="{5AFFB647-DFA5-4357-AFB0-2D75165AC957}"/>
    <cellStyle name="千分位 2 3 2 4 2" xfId="483" xr:uid="{6FB5B787-2C72-499B-94AF-57CE31E877EF}"/>
    <cellStyle name="千分位 2 3 2 5" xfId="484" xr:uid="{C72221E5-B317-4604-92F8-B022EAB270A4}"/>
    <cellStyle name="千分位 2 3 2 5 2" xfId="485" xr:uid="{FD48702C-58F1-4CBC-B867-7D468A2F1886}"/>
    <cellStyle name="千分位 2 3 2 6" xfId="486" xr:uid="{E4179D6E-05F6-4F40-B403-676F9473CC87}"/>
    <cellStyle name="千分位 2 3 2 7" xfId="487" xr:uid="{2CE94B6C-B14F-4EB3-8753-5996A379137C}"/>
    <cellStyle name="千分位 2 3 3" xfId="488" xr:uid="{06CE07BA-057E-4C90-9645-05F086E68D4E}"/>
    <cellStyle name="千分位 2 3 3 2" xfId="489" xr:uid="{BB3C7E21-6008-44E2-913B-E83B726023AA}"/>
    <cellStyle name="千分位 2 3 3 2 2" xfId="490" xr:uid="{F2C8AD50-D5C2-4D9C-A2B6-986247A1C354}"/>
    <cellStyle name="千分位 2 3 3 2 2 2" xfId="491" xr:uid="{1197730B-F037-457F-A4BF-11209C53D4B8}"/>
    <cellStyle name="千分位 2 3 3 2 3" xfId="492" xr:uid="{BB6D57F6-B2D1-4ED6-8BE3-B396580DD09D}"/>
    <cellStyle name="千分位 2 3 3 3" xfId="493" xr:uid="{AFBE8115-6FE4-4539-96FD-79E32C933680}"/>
    <cellStyle name="千分位 2 3 3 3 2" xfId="494" xr:uid="{5DC0A456-7753-46EB-B6EA-00F792FA2CC3}"/>
    <cellStyle name="千分位 2 3 3 4" xfId="495" xr:uid="{B78C2AF6-205D-4C0D-8AB9-0827D955B43E}"/>
    <cellStyle name="千分位 2 3 3 5" xfId="496" xr:uid="{6085AF48-1157-4229-AA04-F3D02BF074A6}"/>
    <cellStyle name="千分位 2 3 4" xfId="497" xr:uid="{81D7B82B-2107-4004-9DB6-9A12063D59DE}"/>
    <cellStyle name="千分位 2 3 4 2" xfId="498" xr:uid="{47139D08-D10E-4E72-B58C-79E8D8EAB694}"/>
    <cellStyle name="千分位 2 3 4 2 2" xfId="499" xr:uid="{D671280B-3854-4A50-880B-282A2E25CC2E}"/>
    <cellStyle name="千分位 2 3 4 3" xfId="500" xr:uid="{7C8DDAD3-70A4-4F15-8564-A02C77EF036A}"/>
    <cellStyle name="千分位 2 3 5" xfId="501" xr:uid="{EDDA62C3-DD59-4574-890A-B58ABE137273}"/>
    <cellStyle name="千分位 2 3 5 2" xfId="502" xr:uid="{B92AEFF4-5767-4115-B62A-45F4EDD39A4E}"/>
    <cellStyle name="千分位 2 3 6" xfId="503" xr:uid="{C2749002-8304-4C14-85E9-D4A6638951FF}"/>
    <cellStyle name="千分位 2 3 6 2" xfId="504" xr:uid="{83341B1D-8D3B-4173-AB04-E6E0D272F13E}"/>
    <cellStyle name="千分位 2 3 7" xfId="505" xr:uid="{11924974-8939-42D4-AA58-B87F5CED4DEB}"/>
    <cellStyle name="千分位 2 3 7 2" xfId="506" xr:uid="{816949A0-8B43-460F-B301-52B0C18894F6}"/>
    <cellStyle name="千分位 2 3 8" xfId="507" xr:uid="{2E4204E2-B5F6-4FB7-8B3B-564D4A0C6C03}"/>
    <cellStyle name="千分位 2 4" xfId="508" xr:uid="{00000000-0005-0000-0000-00005B000000}"/>
    <cellStyle name="千分位 2 4 2" xfId="509" xr:uid="{00000000-0005-0000-0000-00005C000000}"/>
    <cellStyle name="千分位 2 4 2 2" xfId="510" xr:uid="{E9702D74-08B4-43E9-BC47-2517E8EBACF1}"/>
    <cellStyle name="千分位 2 4 2 2 2" xfId="511" xr:uid="{D4AA9B05-071A-4E67-A3F0-808ACC31976B}"/>
    <cellStyle name="千分位 2 4 2 2 2 2" xfId="512" xr:uid="{F637F511-0396-44C4-B713-B44C24FA1B24}"/>
    <cellStyle name="千分位 2 4 2 2 3" xfId="513" xr:uid="{81B3A35A-874A-4F63-9174-951B5806CF9F}"/>
    <cellStyle name="千分位 2 4 2 3" xfId="514" xr:uid="{50CECB03-B18F-485D-A7C8-E96BB259FF6F}"/>
    <cellStyle name="千分位 2 4 2 3 2" xfId="515" xr:uid="{6687AF95-DB3C-42AC-B1D8-C76D354D2A16}"/>
    <cellStyle name="千分位 2 4 2 4" xfId="516" xr:uid="{348C59C1-FF4B-46C6-AEA7-A8407300C742}"/>
    <cellStyle name="千分位 2 4 2 4 2" xfId="517" xr:uid="{F88A3D14-455B-4C94-B7B7-A303A31EBB56}"/>
    <cellStyle name="千分位 2 4 2 5" xfId="518" xr:uid="{CC235787-2299-4147-9A93-E5947B2B6488}"/>
    <cellStyle name="千分位 2 4 2 6" xfId="519" xr:uid="{57C20A74-7508-453A-8BB6-A39E458D2650}"/>
    <cellStyle name="千分位 2 4 3" xfId="520" xr:uid="{392FEC40-5586-49E6-A6BC-283BA2F0E8F3}"/>
    <cellStyle name="千分位 2 4 3 2" xfId="521" xr:uid="{B81A687B-122B-4AA6-B85F-5DB1DEEF8DF6}"/>
    <cellStyle name="千分位 2 4 3 2 2" xfId="522" xr:uid="{FCBDD703-EBC9-470E-A139-51042C1A46EB}"/>
    <cellStyle name="千分位 2 4 3 3" xfId="523" xr:uid="{2ACFC28E-6CF5-4944-9313-B8F98F80BA3D}"/>
    <cellStyle name="千分位 2 4 3 4" xfId="524" xr:uid="{B91B247B-3442-45B4-B7C0-99D3A1CB22FE}"/>
    <cellStyle name="千分位 2 4 4" xfId="525" xr:uid="{E16674DB-4D75-43BC-A8E4-66F09029C4E5}"/>
    <cellStyle name="千分位 2 4 4 2" xfId="526" xr:uid="{981A84BF-33E8-4C78-8269-AE22200846BB}"/>
    <cellStyle name="千分位 2 4 5" xfId="527" xr:uid="{A74EFC45-89A0-40D0-82C5-7B5186C8A713}"/>
    <cellStyle name="千分位 2 4 5 2" xfId="528" xr:uid="{8844500B-8D69-4420-8841-38DBE8A845A5}"/>
    <cellStyle name="千分位 2 4 6" xfId="529" xr:uid="{86438EFC-1825-4631-8E48-DD3DDE714BF4}"/>
    <cellStyle name="千分位 2 4 6 2" xfId="530" xr:uid="{B7A02AD6-C239-45F2-AAF0-763CEC7C533B}"/>
    <cellStyle name="千分位 2 4 7" xfId="531" xr:uid="{8576A5FA-DFFA-4921-A1A9-98C8C6757F18}"/>
    <cellStyle name="千分位 2 5" xfId="532" xr:uid="{00000000-0005-0000-0000-00005D000000}"/>
    <cellStyle name="千分位 2 5 2" xfId="533" xr:uid="{00000000-0005-0000-0000-00005E000000}"/>
    <cellStyle name="千分位 2 5 2 2" xfId="534" xr:uid="{0B9E3AA7-3CCB-4D2B-81E3-14C72E0E06F1}"/>
    <cellStyle name="千分位 2 5 2 2 2" xfId="535" xr:uid="{D262AABD-5044-4025-9F8C-314150D61139}"/>
    <cellStyle name="千分位 2 5 2 3" xfId="536" xr:uid="{8E9CCADF-75B5-40C5-9608-AD73874A3451}"/>
    <cellStyle name="千分位 2 5 2 3 2" xfId="537" xr:uid="{8CB6F173-EF8B-42B2-9252-60E572E13823}"/>
    <cellStyle name="千分位 2 5 2 4" xfId="538" xr:uid="{05C4C7C3-79F3-4173-B66C-20A90D62863A}"/>
    <cellStyle name="千分位 2 5 2 5" xfId="539" xr:uid="{6713350A-A99C-4A8E-B5D6-D272F57D1765}"/>
    <cellStyle name="千分位 2 5 3" xfId="540" xr:uid="{A47840CA-55F8-4847-9E1E-3EB10DA11F9B}"/>
    <cellStyle name="千分位 2 5 3 2" xfId="541" xr:uid="{40A4C725-6EE9-49AA-B77F-161F795D9AD9}"/>
    <cellStyle name="千分位 2 5 3 3" xfId="542" xr:uid="{841F397F-45C5-4150-A990-1585B1D1E96F}"/>
    <cellStyle name="千分位 2 5 4" xfId="543" xr:uid="{2046A3EB-551C-48E9-9F36-1D5E35C310EE}"/>
    <cellStyle name="千分位 2 5 4 2" xfId="544" xr:uid="{F86FC99A-14D7-4D32-8C30-CF590BE17042}"/>
    <cellStyle name="千分位 2 5 5" xfId="545" xr:uid="{31B04D1F-D3F1-4A8B-81F9-F63F4523BFF8}"/>
    <cellStyle name="千分位 2 5 5 2" xfId="546" xr:uid="{280C98A6-A646-4E7C-A30D-B0652C492083}"/>
    <cellStyle name="千分位 2 5 6" xfId="547" xr:uid="{64359A7E-4F7D-460C-8A7E-3D57E7CB57C4}"/>
    <cellStyle name="千分位 2 6" xfId="548" xr:uid="{00000000-0005-0000-0000-00005F000000}"/>
    <cellStyle name="千分位 2 6 2" xfId="549" xr:uid="{2C48AEA6-38D3-4515-824D-1DA23F171028}"/>
    <cellStyle name="千分位 2 6 2 2" xfId="550" xr:uid="{30F14A06-79AF-48BE-9E6B-D876F68253FD}"/>
    <cellStyle name="千分位 2 6 3" xfId="551" xr:uid="{A6FBA685-F057-4A63-8FE0-7075F6B84AEE}"/>
    <cellStyle name="千分位 2 6 3 2" xfId="552" xr:uid="{B8BC2C4B-F7A2-4FB1-828A-04FBDBC41881}"/>
    <cellStyle name="千分位 2 6 4" xfId="553" xr:uid="{C99EB6A1-1371-4B19-83E1-E2BC814E3DCC}"/>
    <cellStyle name="千分位 2 6 5" xfId="554" xr:uid="{D120D657-9A21-40FD-9CEA-D2F9B872D1B3}"/>
    <cellStyle name="千分位 2 7" xfId="555" xr:uid="{D1A7EF9A-B68B-4097-9A7B-DE480BAA9C86}"/>
    <cellStyle name="千分位 2 7 2" xfId="556" xr:uid="{86F7E588-F62E-41D7-931B-F9F920CDC931}"/>
    <cellStyle name="千分位 2 7 3" xfId="557" xr:uid="{8ED39779-495A-420F-863A-A9FC53B977F9}"/>
    <cellStyle name="千分位 2 8" xfId="558" xr:uid="{4F7C4791-D8B3-4CA6-A976-7FD37719DB22}"/>
    <cellStyle name="千分位 2 8 2" xfId="559" xr:uid="{8D3D7031-6125-48DF-A1BF-D921806B2630}"/>
    <cellStyle name="千分位 2 8 2 2" xfId="560" xr:uid="{82A01D8E-4B8D-4D4E-A0E9-C45D0ADB816D}"/>
    <cellStyle name="千分位 2 8 2 2 2" xfId="561" xr:uid="{527F3527-2E92-421F-BF58-063691C293A8}"/>
    <cellStyle name="千分位 2 8 2 2 2 2" xfId="562" xr:uid="{BD36A616-AB9A-4982-B256-5248576F6771}"/>
    <cellStyle name="千分位 2 8 2 2 2 2 2" xfId="563" xr:uid="{C8B3103A-DD09-4278-AF4E-6C8680B762DA}"/>
    <cellStyle name="千分位 2 8 2 2 2 2 2 2" xfId="564" xr:uid="{195E9022-EE98-4157-80B7-A6815A93E61F}"/>
    <cellStyle name="千分位 2 8 2 2 2 2 3" xfId="565" xr:uid="{512B0FCC-A29D-4324-9B73-FE7810ABAE3A}"/>
    <cellStyle name="千分位 2 8 2 2 2 3" xfId="566" xr:uid="{45249F81-2E37-4567-81DB-D9AFB5B37E8C}"/>
    <cellStyle name="千分位 2 8 2 2 2 3 2" xfId="567" xr:uid="{1CF74D40-2BE5-42EC-8499-3F68B7BCB6CF}"/>
    <cellStyle name="千分位 2 8 2 2 2 4" xfId="568" xr:uid="{2D2FCEFB-6868-4E68-9CAD-84F8DE362A53}"/>
    <cellStyle name="千分位 2 8 2 2 3" xfId="569" xr:uid="{231F889E-0EF8-48B4-BF37-5F5F7B91DC0A}"/>
    <cellStyle name="千分位 2 8 2 2 3 2" xfId="570" xr:uid="{71B1FBB9-4A4A-43A7-AA8A-0F5DC7207211}"/>
    <cellStyle name="千分位 2 8 2 2 3 2 2" xfId="571" xr:uid="{18603C6C-F090-40A7-9A77-109E526A5AC5}"/>
    <cellStyle name="千分位 2 8 2 2 3 3" xfId="572" xr:uid="{6D3F1BA1-7094-4A08-A2B5-E538DB1C6D7C}"/>
    <cellStyle name="千分位 2 8 2 2 4" xfId="573" xr:uid="{3E31516D-B99E-4309-A8FB-5BDB055C11B6}"/>
    <cellStyle name="千分位 2 8 2 2 4 2" xfId="574" xr:uid="{5D8092C5-9B75-47F4-AF84-769BB0200269}"/>
    <cellStyle name="千分位 2 8 2 2 5" xfId="575" xr:uid="{C4597114-48FE-48FF-8421-D14C332FA53B}"/>
    <cellStyle name="千分位 2 8 2 3" xfId="576" xr:uid="{A35DEA8A-A164-4D00-8E83-BA3206870BC7}"/>
    <cellStyle name="千分位 2 8 2 3 2" xfId="577" xr:uid="{FCE81970-0225-426B-A0F4-7E11EE2035DD}"/>
    <cellStyle name="千分位 2 8 2 3 2 2" xfId="578" xr:uid="{6D2E0CB1-3C62-4BFD-880E-C9BCF96D0412}"/>
    <cellStyle name="千分位 2 8 2 3 2 2 2" xfId="579" xr:uid="{A6D7F53F-DBE2-48FE-96AB-0A217724A887}"/>
    <cellStyle name="千分位 2 8 2 3 2 3" xfId="580" xr:uid="{4CBCB4F0-81AE-4042-A8A8-4B4ED13DCA25}"/>
    <cellStyle name="千分位 2 8 2 3 3" xfId="581" xr:uid="{A731F9E7-7166-468B-966B-AE3BF27D734F}"/>
    <cellStyle name="千分位 2 8 2 3 3 2" xfId="582" xr:uid="{AE6CA374-263B-46F4-8648-E882CE3B9A5D}"/>
    <cellStyle name="千分位 2 8 2 3 4" xfId="583" xr:uid="{F9A658BE-6BAE-4D8F-8B6C-4E7D8082A51D}"/>
    <cellStyle name="千分位 2 8 2 4" xfId="584" xr:uid="{5711F887-8685-4C89-8F53-C0BEFDC2D40D}"/>
    <cellStyle name="千分位 2 8 2 4 2" xfId="585" xr:uid="{006B65CF-529F-4E5B-9A21-3E903198FE0B}"/>
    <cellStyle name="千分位 2 8 2 4 2 2" xfId="586" xr:uid="{D3F231B8-4637-4EC2-BA57-0A41122E2702}"/>
    <cellStyle name="千分位 2 8 2 4 3" xfId="587" xr:uid="{E45E062D-A7E7-4769-BC70-63256E04BEFF}"/>
    <cellStyle name="千分位 2 8 2 5" xfId="588" xr:uid="{8D4A43C9-5861-458A-B567-EDD603089FD5}"/>
    <cellStyle name="千分位 2 8 2 5 2" xfId="589" xr:uid="{DC01E2F1-CFFF-408E-B539-081C3DBA92FB}"/>
    <cellStyle name="千分位 2 8 2 6" xfId="590" xr:uid="{BCDA568D-CB17-42FD-AF7F-974072AD9E6C}"/>
    <cellStyle name="千分位 2 8 2 7" xfId="591" xr:uid="{DF0BF9C8-C054-4405-AD2D-D30C479F4135}"/>
    <cellStyle name="千分位 2 8 3" xfId="592" xr:uid="{7248D2E2-CA0B-4C2B-BD82-887C23E76738}"/>
    <cellStyle name="千分位 2 8 3 2" xfId="593" xr:uid="{63A52462-C438-4CA1-9A34-78ABDA8AAD61}"/>
    <cellStyle name="千分位 2 8 3 2 2" xfId="594" xr:uid="{5105B1E6-16C7-4336-BEF4-163E3C7999C6}"/>
    <cellStyle name="千分位 2 8 3 2 2 2" xfId="595" xr:uid="{A8376CDE-B36C-4B0F-A6EB-A92DE6D58029}"/>
    <cellStyle name="千分位 2 8 3 2 2 2 2" xfId="596" xr:uid="{05DB5BC7-A829-4FF3-B747-B58A88067EED}"/>
    <cellStyle name="千分位 2 8 3 2 2 3" xfId="597" xr:uid="{10BF512A-7B87-4A4A-9BCC-1A6F0BB15E8F}"/>
    <cellStyle name="千分位 2 8 3 2 3" xfId="598" xr:uid="{2A405AE1-9B28-4084-9013-39B9DA2DF80F}"/>
    <cellStyle name="千分位 2 8 3 2 3 2" xfId="599" xr:uid="{F59C5401-4489-466E-9109-1F0D290751A4}"/>
    <cellStyle name="千分位 2 8 3 2 4" xfId="600" xr:uid="{CCF492F9-C46B-4607-A568-436DD205D384}"/>
    <cellStyle name="千分位 2 8 3 3" xfId="601" xr:uid="{563A4DA0-B7E4-43C4-888F-820D8698C7B5}"/>
    <cellStyle name="千分位 2 8 3 3 2" xfId="602" xr:uid="{7CBB5366-8CD1-435F-ACB4-712BF3C41883}"/>
    <cellStyle name="千分位 2 8 3 3 2 2" xfId="603" xr:uid="{19308CC0-0B9C-4D3F-BBD5-AB1E1243ACED}"/>
    <cellStyle name="千分位 2 8 3 3 3" xfId="604" xr:uid="{E835E2BC-5433-46BD-9088-90B67188B063}"/>
    <cellStyle name="千分位 2 8 3 4" xfId="605" xr:uid="{425D605C-293C-476D-B8B7-091EBAA8EA23}"/>
    <cellStyle name="千分位 2 8 3 4 2" xfId="606" xr:uid="{B03B02C5-1E7E-423F-857E-4E2817472997}"/>
    <cellStyle name="千分位 2 8 3 5" xfId="607" xr:uid="{D3F4C648-2E1F-4A34-B7CB-D791712F9BC7}"/>
    <cellStyle name="千分位 2 8 4" xfId="608" xr:uid="{096480B4-CC89-4473-85E5-C3B7F2668308}"/>
    <cellStyle name="千分位 2 8 4 2" xfId="609" xr:uid="{333C264D-50F1-411E-8633-067E7B400654}"/>
    <cellStyle name="千分位 2 8 4 2 2" xfId="610" xr:uid="{C8CBEF20-4BB0-4159-B183-53CAD1636DA4}"/>
    <cellStyle name="千分位 2 8 4 2 2 2" xfId="611" xr:uid="{99896621-AC78-456D-949E-78B752B7E8C3}"/>
    <cellStyle name="千分位 2 8 4 2 3" xfId="612" xr:uid="{8FAE63E7-B837-44DF-B29E-886F1E73B659}"/>
    <cellStyle name="千分位 2 8 4 3" xfId="613" xr:uid="{74D89DC4-CBC0-4E12-A705-1D5035D703F7}"/>
    <cellStyle name="千分位 2 8 4 3 2" xfId="614" xr:uid="{632EEBE1-E925-4CED-AB8A-976F1A7E82C8}"/>
    <cellStyle name="千分位 2 8 4 4" xfId="615" xr:uid="{C6F8E24E-2EB2-4469-9B49-F8496D571879}"/>
    <cellStyle name="千分位 2 8 5" xfId="616" xr:uid="{917C2CF3-126A-4A1E-BBFA-0C460D6C163F}"/>
    <cellStyle name="千分位 2 8 5 2" xfId="617" xr:uid="{D1C168B8-46D2-4698-8BB3-46C08A9B9837}"/>
    <cellStyle name="千分位 2 8 5 2 2" xfId="618" xr:uid="{76FD7380-590E-431F-9793-B6B0D7DB1490}"/>
    <cellStyle name="千分位 2 8 5 3" xfId="619" xr:uid="{19A369D2-01C1-4C5C-AC28-AEC1529BDDF8}"/>
    <cellStyle name="千分位 2 8 6" xfId="620" xr:uid="{BC5157E6-988B-49D6-B73E-AC3DB8F38A8C}"/>
    <cellStyle name="千分位 2 8 6 2" xfId="621" xr:uid="{926743BF-153C-4376-BA8D-4369AF8CFCCF}"/>
    <cellStyle name="千分位 2 8 7" xfId="622" xr:uid="{6C893143-D86E-4DFA-81E2-17FE3217201B}"/>
    <cellStyle name="千分位 2 8 8" xfId="623" xr:uid="{D3A99157-4D15-4445-A681-AFF09C1E999C}"/>
    <cellStyle name="千分位 2 9" xfId="624" xr:uid="{FD188967-B001-4FA3-B860-A4C29E1AA79A}"/>
    <cellStyle name="千分位 2 9 2" xfId="625" xr:uid="{00E5CB80-1AE5-4C95-BC94-D1961FEAD79F}"/>
    <cellStyle name="千分位 3" xfId="626" xr:uid="{00000000-0005-0000-0000-000060000000}"/>
    <cellStyle name="千分位 3 2" xfId="627" xr:uid="{6CDF8FC4-16F7-42EF-A0F2-D98C2BDF07A9}"/>
    <cellStyle name="千分位 3 3" xfId="628" xr:uid="{6F5E331F-3DB5-4B93-8E1B-0D47C7157E04}"/>
    <cellStyle name="千分位 4" xfId="629" xr:uid="{3A6DF4C8-822C-4C42-9079-F59E2D742AAC}"/>
    <cellStyle name="千分位 4 2" xfId="630" xr:uid="{32053223-1B33-4BFE-ABC6-52350405AFF1}"/>
    <cellStyle name="千分位 5" xfId="631" xr:uid="{D8E490F9-2F3F-4399-86C7-1C97F7D06279}"/>
    <cellStyle name="千分位 9" xfId="632" xr:uid="{128C1EE2-07F0-4DEB-BB95-DC34BBF52467}"/>
    <cellStyle name="千分位 9 2" xfId="633" xr:uid="{9508EF36-28D5-4642-A46C-491ABB719FDB}"/>
    <cellStyle name="千分位 9 2 2" xfId="634" xr:uid="{54B705FC-E9C7-4837-BB33-CE56C036D93B}"/>
    <cellStyle name="千分位 9 2 2 2" xfId="635" xr:uid="{0F4B4A59-F2D7-44ED-859F-D3ACAEBAAE43}"/>
    <cellStyle name="千分位 9 2 2 2 2" xfId="636" xr:uid="{73792DCB-F1D1-4529-AD1B-FACD8BA00832}"/>
    <cellStyle name="千分位 9 2 2 2 2 2" xfId="637" xr:uid="{D8E267EA-ED5F-4AE4-8CCB-219AA1736FFF}"/>
    <cellStyle name="千分位 9 2 2 2 2 2 2" xfId="638" xr:uid="{B1D1CAEE-A2EE-45C8-83DA-91F1D6BD0CF0}"/>
    <cellStyle name="千分位 9 2 2 2 2 3" xfId="639" xr:uid="{0C215150-ECA5-46E2-8AE2-7FAF39FA7A1D}"/>
    <cellStyle name="千分位 9 2 2 2 3" xfId="640" xr:uid="{1F4876F8-895C-4AB4-93E3-D6D79D11253D}"/>
    <cellStyle name="千分位 9 2 2 2 3 2" xfId="641" xr:uid="{D2CE0264-215E-4456-9AF9-68064ECA21FF}"/>
    <cellStyle name="千分位 9 2 2 2 4" xfId="642" xr:uid="{4B5DF193-13A9-4AB5-8AAA-3E679E148366}"/>
    <cellStyle name="千分位 9 2 2 3" xfId="643" xr:uid="{C2DF8C3D-103D-4A66-BC81-E7A7B77AB041}"/>
    <cellStyle name="千分位 9 2 2 3 2" xfId="644" xr:uid="{2E143A6B-544C-48FE-8C57-01A41A8E3334}"/>
    <cellStyle name="千分位 9 2 2 3 2 2" xfId="645" xr:uid="{5E615E3A-B4B1-4A5E-B7F9-CF96CD943A0A}"/>
    <cellStyle name="千分位 9 2 2 3 3" xfId="646" xr:uid="{D511EEB9-A367-48A3-907B-FB26D450A92A}"/>
    <cellStyle name="千分位 9 2 2 4" xfId="647" xr:uid="{11BFFB1A-8C1A-4D93-A2B4-7D7F6EDECD1C}"/>
    <cellStyle name="千分位 9 2 2 4 2" xfId="648" xr:uid="{FADB9B00-C544-47A5-ACF9-D8710331C017}"/>
    <cellStyle name="千分位 9 2 2 5" xfId="649" xr:uid="{D7CFF607-0287-4760-B906-048CFF66FDA9}"/>
    <cellStyle name="千分位 9 2 3" xfId="650" xr:uid="{FFBDD06D-AF96-4515-80E6-FD4DBD11C251}"/>
    <cellStyle name="千分位 9 2 3 2" xfId="651" xr:uid="{FB245668-C76C-4F13-973D-3D39F5B149A1}"/>
    <cellStyle name="千分位 9 2 3 2 2" xfId="652" xr:uid="{3AA8B189-E867-46D4-9610-7063D5698BF0}"/>
    <cellStyle name="千分位 9 2 3 2 2 2" xfId="653" xr:uid="{A01CCC62-F6C2-4CB7-821B-395AE6B122AF}"/>
    <cellStyle name="千分位 9 2 3 2 3" xfId="654" xr:uid="{7D6C7D5F-214D-4B2D-BD30-84BD423727FF}"/>
    <cellStyle name="千分位 9 2 3 3" xfId="655" xr:uid="{D0209E9F-3ABA-4F79-82B9-D8F727F48052}"/>
    <cellStyle name="千分位 9 2 3 3 2" xfId="656" xr:uid="{24AF5360-A32E-4017-AE7B-41C64491D2B4}"/>
    <cellStyle name="千分位 9 2 3 4" xfId="657" xr:uid="{006EE35C-44A2-46D2-A1FF-F384F9B104A2}"/>
    <cellStyle name="千分位 9 2 4" xfId="658" xr:uid="{5C3C6297-4C79-42B0-A6B7-36EBC6D0A7B8}"/>
    <cellStyle name="千分位 9 2 4 2" xfId="659" xr:uid="{6CC911EF-0F28-488D-A6A2-4EFDAF6EC452}"/>
    <cellStyle name="千分位 9 2 4 2 2" xfId="660" xr:uid="{D353CC8B-E57E-442E-BACA-F14762EB0A0B}"/>
    <cellStyle name="千分位 9 2 4 3" xfId="661" xr:uid="{1032D8E2-6CA7-412D-8B87-2D7E68F45B23}"/>
    <cellStyle name="千分位 9 2 5" xfId="662" xr:uid="{1DEA8574-24A1-415B-9238-B3C2378BD9AE}"/>
    <cellStyle name="千分位 9 2 5 2" xfId="663" xr:uid="{D69DC436-C334-4D3A-9347-9CDE745B82C3}"/>
    <cellStyle name="千分位 9 2 6" xfId="664" xr:uid="{51204956-AFB8-46D1-A1D3-AD182E954AF3}"/>
    <cellStyle name="千分位 9 3" xfId="665" xr:uid="{85701B98-8809-4737-AC9D-E6A24AB3D644}"/>
    <cellStyle name="千分位 9 3 2" xfId="666" xr:uid="{7CF8AE92-595F-4D5F-9DA3-678D7D8541B1}"/>
    <cellStyle name="千分位 9 3 2 2" xfId="667" xr:uid="{3EF09015-6B4A-45E8-96C3-5CCFC6EFBE1D}"/>
    <cellStyle name="千分位 9 3 2 2 2" xfId="668" xr:uid="{54E51347-AA15-4B43-B8EB-967624AF6E58}"/>
    <cellStyle name="千分位 9 3 2 2 2 2" xfId="669" xr:uid="{C01E68C6-6C6A-41BA-BE48-5D3057C9DE24}"/>
    <cellStyle name="千分位 9 3 2 2 3" xfId="670" xr:uid="{F5ED39D1-9435-4DC3-9793-0012A1EB30F9}"/>
    <cellStyle name="千分位 9 3 2 3" xfId="671" xr:uid="{4B8DB966-D54B-4AFB-97DF-F9BF2F54940F}"/>
    <cellStyle name="千分位 9 3 2 3 2" xfId="672" xr:uid="{FF340A48-556D-4E8E-B2B8-D847E91191F2}"/>
    <cellStyle name="千分位 9 3 2 4" xfId="673" xr:uid="{76FACE93-5CAF-4F51-9E4D-82BC830ED797}"/>
    <cellStyle name="千分位 9 3 3" xfId="674" xr:uid="{287FE3D3-F00A-42F5-B065-B9B0F0ADA623}"/>
    <cellStyle name="千分位 9 3 3 2" xfId="675" xr:uid="{38E34ADF-474D-4AAB-AA5B-A373AB3A83A7}"/>
    <cellStyle name="千分位 9 3 3 2 2" xfId="676" xr:uid="{F7AF25DC-7646-471A-B35C-8532037B7B69}"/>
    <cellStyle name="千分位 9 3 3 3" xfId="677" xr:uid="{486BC4A1-B64E-4B38-82A0-64D119A554E0}"/>
    <cellStyle name="千分位 9 3 4" xfId="678" xr:uid="{D3BF9C48-A27C-4D6B-B9D6-3C657BDF795F}"/>
    <cellStyle name="千分位 9 3 4 2" xfId="679" xr:uid="{D300F063-8E33-4E7B-8FB7-59A7E8560204}"/>
    <cellStyle name="千分位 9 3 5" xfId="680" xr:uid="{827B5DB2-8160-4624-9626-053CCDC947BE}"/>
    <cellStyle name="千分位 9 4" xfId="681" xr:uid="{BA7E03D0-FFE3-4D03-9A44-7C04E5880F65}"/>
    <cellStyle name="千分位 9 4 2" xfId="682" xr:uid="{91850CC1-023A-4ADB-99E9-2FCF56584930}"/>
    <cellStyle name="千分位 9 4 2 2" xfId="683" xr:uid="{C62D7973-F1AB-4C0D-9947-E669C656ECC1}"/>
    <cellStyle name="千分位 9 4 2 2 2" xfId="684" xr:uid="{96F8FF73-E538-42C6-9460-EF8A4FFF7F34}"/>
    <cellStyle name="千分位 9 4 2 3" xfId="685" xr:uid="{C91EEEAE-4754-4129-9A63-E829074BE765}"/>
    <cellStyle name="千分位 9 4 3" xfId="686" xr:uid="{50960BDD-98CF-4C97-9198-7EA0EE42AF63}"/>
    <cellStyle name="千分位 9 4 3 2" xfId="687" xr:uid="{4C801C84-D2F6-4D16-BE40-4A1DA7A380F5}"/>
    <cellStyle name="千分位 9 4 4" xfId="688" xr:uid="{4C76AF76-5542-4688-A078-884A78D4A599}"/>
    <cellStyle name="千分位 9 5" xfId="689" xr:uid="{3B52D3F8-F979-4916-B923-378FEECFA034}"/>
    <cellStyle name="千分位 9 5 2" xfId="690" xr:uid="{69B7D580-F116-4B4B-AE8D-A5BA4B8A69F3}"/>
    <cellStyle name="千分位 9 5 2 2" xfId="691" xr:uid="{F419E1AE-A5B6-45CF-89D4-99B69A447DB3}"/>
    <cellStyle name="千分位 9 5 3" xfId="692" xr:uid="{4716F557-AD6E-4384-BE1E-9D5C15532B92}"/>
    <cellStyle name="千分位 9 5 4" xfId="693" xr:uid="{2F69CB03-D8C0-4BB0-8A1A-C0A2B56B5F5F}"/>
    <cellStyle name="千分位 9 6" xfId="694" xr:uid="{958EF142-EE3A-42A6-A0EE-AFF6677659EC}"/>
    <cellStyle name="千分位 9 6 2" xfId="695" xr:uid="{18D2B419-0957-463D-89BC-5C8088410D20}"/>
    <cellStyle name="千分位 9 7" xfId="696" xr:uid="{D8A69410-57FD-495D-BC4A-5CE0C21AC3F0}"/>
    <cellStyle name="百分比" xfId="697" builtinId="5"/>
    <cellStyle name="百分比 2" xfId="698" xr:uid="{00000000-0005-0000-0000-000062000000}"/>
    <cellStyle name="百分比 2 2" xfId="699" xr:uid="{00000000-0005-0000-0000-000063000000}"/>
    <cellStyle name="百分比 2 2 2" xfId="700" xr:uid="{00000000-0005-0000-0000-000064000000}"/>
    <cellStyle name="百分比 2 2 2 2" xfId="701" xr:uid="{3B9EECDC-E106-4FE0-943C-A8AF9A6F83DB}"/>
    <cellStyle name="百分比 2 2 2 2 2" xfId="702" xr:uid="{2F95E6D8-5A17-4950-AD62-DE1F408AE814}"/>
    <cellStyle name="百分比 2 2 2 2 3" xfId="703" xr:uid="{0FD875DD-B6F6-43EC-A0C7-F444D4189CD4}"/>
    <cellStyle name="百分比 2 2 2 2 4" xfId="704" xr:uid="{6C8525A2-1306-46F4-A7B8-97A663C958AE}"/>
    <cellStyle name="百分比 2 3" xfId="705" xr:uid="{00000000-0005-0000-0000-000065000000}"/>
    <cellStyle name="百分比 2 4" xfId="706" xr:uid="{37815DD2-E54B-4C77-9ACF-4AE8C575F988}"/>
    <cellStyle name="百分比 2 5" xfId="707" xr:uid="{68CAF0C3-147E-4F67-B170-63159E79E0E2}"/>
    <cellStyle name="百分比 3" xfId="708" xr:uid="{00000000-0005-0000-0000-000066000000}"/>
    <cellStyle name="百分比 4" xfId="709" xr:uid="{00000000-0005-0000-0000-000067000000}"/>
    <cellStyle name="百分比 5" xfId="710" xr:uid="{00000000-0005-0000-0000-000068000000}"/>
    <cellStyle name="百分比 5 2" xfId="711" xr:uid="{00000000-0005-0000-0000-000069000000}"/>
    <cellStyle name="百分比 5 2 2" xfId="712" xr:uid="{166D8B89-3727-4F3D-B15A-377C2B4292D5}"/>
    <cellStyle name="百分比 5 2 3" xfId="713" xr:uid="{7EA5F5CE-4948-4D04-BB39-18D973267B09}"/>
    <cellStyle name="百分比 5 3" xfId="714" xr:uid="{16C795B7-EE24-41B9-A379-46DFA25C242E}"/>
    <cellStyle name="百分比 5 3 2" xfId="715" xr:uid="{65C5FD26-8F09-41D5-A326-73EFDAAEFCA8}"/>
    <cellStyle name="百分比 5 4" xfId="716" xr:uid="{B41513D4-C2BA-4CAD-B255-11A692116CF8}"/>
    <cellStyle name="百分比 5 5" xfId="717" xr:uid="{077F3BA6-B7AE-4FE8-AE4B-BB3F4F69E0E6}"/>
    <cellStyle name="百分比 6" xfId="718" xr:uid="{00000000-0005-0000-0000-00006A000000}"/>
    <cellStyle name="百分比 6 2" xfId="719" xr:uid="{00000000-0005-0000-0000-00006B000000}"/>
    <cellStyle name="百分比 6 2 2" xfId="720" xr:uid="{6B96C8F9-D73F-4F06-A481-3F7DC29CE846}"/>
    <cellStyle name="百分比 6 2 3" xfId="721" xr:uid="{9668DFC5-479C-4CC7-82D8-F330E7C44DED}"/>
    <cellStyle name="百分比 6 3" xfId="722" xr:uid="{2BC27672-7B18-4C9A-8B98-429C7279678D}"/>
    <cellStyle name="百分比 6 3 2" xfId="723" xr:uid="{D161693E-70A0-4CE8-80A0-A1D7F60025C8}"/>
    <cellStyle name="百分比 6 4" xfId="724" xr:uid="{00000000-0005-0000-0000-00006C000000}"/>
    <cellStyle name="百分比 6 4 2" xfId="725" xr:uid="{00000000-0005-0000-0000-00006D000000}"/>
    <cellStyle name="百分比 6 4 2 2" xfId="726" xr:uid="{00000000-0005-0000-0000-00006E000000}"/>
    <cellStyle name="百分比 6 4 2 2 2" xfId="727" xr:uid="{1F3D5EB2-B887-4D88-BC87-BFA57F2FB6C8}"/>
    <cellStyle name="百分比 6 4 2 2 3" xfId="728" xr:uid="{D0A180AF-E333-4743-8FAD-574B8894DD99}"/>
    <cellStyle name="百分比 6 4 2 3" xfId="729" xr:uid="{2B28AE43-1121-440E-A675-463AF0201403}"/>
    <cellStyle name="百分比 6 4 2 3 2" xfId="730" xr:uid="{04244A33-2E3F-4BD3-8C29-1CBB73D1D198}"/>
    <cellStyle name="百分比 6 4 2 4" xfId="731" xr:uid="{09237303-3596-4339-B1F1-E98A124EC743}"/>
    <cellStyle name="百分比 6 4 2 5" xfId="732" xr:uid="{DA5F7A2C-AC3E-40E6-9D7B-E7AA796023AD}"/>
    <cellStyle name="百分比 6 4 3" xfId="733" xr:uid="{00000000-0005-0000-0000-00006F000000}"/>
    <cellStyle name="百分比 6 4 3 2" xfId="734" xr:uid="{00000000-0005-0000-0000-000070000000}"/>
    <cellStyle name="百分比 6 4 3 2 2" xfId="735" xr:uid="{3AF81C8C-CFE7-4425-B981-1F31E375F471}"/>
    <cellStyle name="百分比 6 4 3 2 3" xfId="736" xr:uid="{580211D6-9F9D-4027-B31B-C53EF26F1F40}"/>
    <cellStyle name="百分比 6 4 3 3" xfId="737" xr:uid="{2B5C7C25-B0B0-4583-A856-233EE437A454}"/>
    <cellStyle name="百分比 6 4 3 3 2" xfId="738" xr:uid="{B900755D-691B-434E-AB58-DCD2F758ACEC}"/>
    <cellStyle name="百分比 6 4 3 4" xfId="739" xr:uid="{579D6AE0-92DE-4B39-8C61-E02616B13B2F}"/>
    <cellStyle name="百分比 6 4 3 5" xfId="740" xr:uid="{6A6A0F33-5C7F-470D-B6B9-A0C721881CD5}"/>
    <cellStyle name="百分比 6 4 4" xfId="741" xr:uid="{00000000-0005-0000-0000-000071000000}"/>
    <cellStyle name="百分比 6 4 4 2" xfId="742" xr:uid="{00000000-0005-0000-0000-000072000000}"/>
    <cellStyle name="百分比 6 4 4 2 2" xfId="743" xr:uid="{8886DD24-E9F9-4EC3-95DA-E4C9F44320C4}"/>
    <cellStyle name="百分比 6 4 4 2 3" xfId="744" xr:uid="{8ED48CD8-ACC0-4263-B103-1241BAB370C8}"/>
    <cellStyle name="百分比 6 4 4 3" xfId="745" xr:uid="{A1E9C3C7-3376-444B-B7B0-AA73379DFB12}"/>
    <cellStyle name="百分比 6 4 4 3 2" xfId="746" xr:uid="{347FE9A5-C592-4B75-AA41-95655516C3C9}"/>
    <cellStyle name="百分比 6 4 4 4" xfId="747" xr:uid="{1C14D180-FB38-4D44-A63C-7A576976B40A}"/>
    <cellStyle name="百分比 6 4 4 5" xfId="748" xr:uid="{D8BD19FF-B801-446C-99B8-65AA11B6C9AF}"/>
    <cellStyle name="百分比 6 4 5" xfId="749" xr:uid="{00000000-0005-0000-0000-000073000000}"/>
    <cellStyle name="百分比 6 4 5 2" xfId="750" xr:uid="{C9339DCA-0B66-40A1-BE9A-1E22EB291CCD}"/>
    <cellStyle name="百分比 6 4 5 3" xfId="751" xr:uid="{723B54E0-6E36-4C73-82C8-BAADDE51F19F}"/>
    <cellStyle name="百分比 6 4 6" xfId="752" xr:uid="{B78C6FF1-105D-4508-AC92-5140747F87FF}"/>
    <cellStyle name="百分比 6 4 6 2" xfId="753" xr:uid="{94E39D04-04EC-4D63-9D00-F5CAAD9A04C1}"/>
    <cellStyle name="百分比 6 4 7" xfId="754" xr:uid="{BE08CBC2-5EBE-42C9-A48C-B1A113339E85}"/>
    <cellStyle name="百分比 6 4 8" xfId="755" xr:uid="{8B93407F-89ED-4B7F-9B58-95BD1ACDEF6E}"/>
    <cellStyle name="百分比 6 5" xfId="756" xr:uid="{460B9BBC-466A-4851-A559-45F8260BF566}"/>
    <cellStyle name="百分比 6 6" xfId="757" xr:uid="{F1A7305E-DE1C-44AB-A96B-41E790F772C2}"/>
    <cellStyle name="百分比 7" xfId="758" xr:uid="{00000000-0005-0000-0000-000074000000}"/>
    <cellStyle name="百分比 7 2" xfId="759" xr:uid="{00000000-0005-0000-0000-000075000000}"/>
    <cellStyle name="百分比 7 2 2" xfId="760" xr:uid="{B1682D47-F4BC-4BF3-BFB8-A410889D4182}"/>
    <cellStyle name="百分比 7 2 3" xfId="761" xr:uid="{26BE3B08-BA8A-4F56-9646-3269752B1F3F}"/>
    <cellStyle name="百分比 7 3" xfId="762" xr:uid="{29D8A7F6-8DB0-4487-BFD9-B5903F7848A4}"/>
    <cellStyle name="百分比 7 3 2" xfId="763" xr:uid="{65DC7A7C-83E8-4A69-85DB-5A12ED784F8E}"/>
    <cellStyle name="百分比 7 4" xfId="764" xr:uid="{CD32A1E4-5AC7-4C9B-8331-D1E8C9F49D00}"/>
    <cellStyle name="百分比 7 4 2" xfId="765" xr:uid="{EFD041B7-3F31-49F1-BDA5-209C25F10004}"/>
    <cellStyle name="百分比 7 5" xfId="766" xr:uid="{758CD0D9-091F-4D6E-9A0A-70983EC3A8C6}"/>
    <cellStyle name="百分比 8" xfId="767" xr:uid="{00000000-0005-0000-0000-000076000000}"/>
    <cellStyle name="百分比 8 2" xfId="768" xr:uid="{00000000-0005-0000-0000-000077000000}"/>
    <cellStyle name="百分比 8 2 2" xfId="769" xr:uid="{4ADB6253-F575-4CD2-A333-D426DC97C169}"/>
    <cellStyle name="百分比 8 2 3" xfId="770" xr:uid="{FA9A5726-8384-423C-B958-56C392346A73}"/>
    <cellStyle name="百分比 8 3" xfId="771" xr:uid="{A4C8053C-7F0B-49DD-AA88-D04DF3F66781}"/>
    <cellStyle name="百分比 8 3 2" xfId="772" xr:uid="{FC1E48A6-CFA4-4FB3-8E0B-66827531783C}"/>
    <cellStyle name="百分比 8 4" xfId="773" xr:uid="{A7ADCBDC-9F1F-4E1C-B22F-036C15764F9E}"/>
    <cellStyle name="百分比 8 5" xfId="774" xr:uid="{BE5F374C-3341-4243-AC31-365FFF3BA54C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view="pageBreakPreview" zoomScaleNormal="60" zoomScaleSheetLayoutView="100" workbookViewId="0">
      <selection activeCell="I22" sqref="I22"/>
    </sheetView>
  </sheetViews>
  <sheetFormatPr defaultColWidth="12.5703125" defaultRowHeight="15.75" customHeight="1" x14ac:dyDescent="0.25"/>
  <cols>
    <col min="1" max="1" width="27.42578125" style="150" bestFit="1" customWidth="1"/>
    <col min="2" max="4" width="12.5703125" style="150" customWidth="1"/>
    <col min="5" max="5" width="16.42578125" style="150" customWidth="1"/>
    <col min="6" max="6" width="2.42578125" style="150" customWidth="1"/>
    <col min="7" max="7" width="24.85546875" style="150" bestFit="1" customWidth="1"/>
    <col min="8" max="10" width="12.5703125" style="150" customWidth="1"/>
    <col min="11" max="11" width="16.42578125" style="150" customWidth="1"/>
    <col min="12" max="12" width="12.5703125" style="151" customWidth="1"/>
    <col min="13" max="51" width="12.5703125" style="150" customWidth="1"/>
    <col min="52" max="16384" width="12.5703125" style="150"/>
  </cols>
  <sheetData>
    <row r="1" spans="1:14" ht="15.75" customHeight="1" x14ac:dyDescent="0.25">
      <c r="A1" s="434" t="s">
        <v>0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150"/>
    </row>
    <row r="2" spans="1:14" s="151" customFormat="1" ht="15.75" customHeight="1" x14ac:dyDescent="0.25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</row>
    <row r="3" spans="1:14" ht="21.6" customHeight="1" x14ac:dyDescent="0.25">
      <c r="A3" s="267" t="s">
        <v>1</v>
      </c>
      <c r="B3" s="268">
        <v>7</v>
      </c>
      <c r="C3" s="269" t="s">
        <v>2</v>
      </c>
      <c r="D3" s="270" t="s">
        <v>3</v>
      </c>
      <c r="E3" s="267" t="s">
        <v>4</v>
      </c>
      <c r="F3" s="435" t="s">
        <v>5</v>
      </c>
      <c r="G3" s="436"/>
      <c r="H3" s="151"/>
      <c r="I3" s="271"/>
      <c r="J3" s="151"/>
      <c r="K3" s="151"/>
      <c r="M3" s="151"/>
      <c r="N3" s="151"/>
    </row>
    <row r="4" spans="1:14" ht="15.75" customHeight="1" x14ac:dyDescent="0.25">
      <c r="A4" s="272" t="s">
        <v>6</v>
      </c>
      <c r="E4" s="273" t="s">
        <v>7</v>
      </c>
      <c r="G4" s="274" t="s">
        <v>8</v>
      </c>
      <c r="L4" s="150"/>
    </row>
    <row r="5" spans="1:14" s="180" customFormat="1" ht="15.75" customHeight="1" x14ac:dyDescent="0.25">
      <c r="A5" s="275" t="s">
        <v>9</v>
      </c>
      <c r="B5" s="275" t="s">
        <v>10</v>
      </c>
      <c r="C5" s="275" t="s">
        <v>11</v>
      </c>
      <c r="D5" s="276" t="s">
        <v>12</v>
      </c>
      <c r="E5" s="276" t="s">
        <v>13</v>
      </c>
      <c r="G5" s="275" t="s">
        <v>9</v>
      </c>
      <c r="H5" s="276" t="s">
        <v>14</v>
      </c>
      <c r="I5" s="276" t="s">
        <v>10</v>
      </c>
      <c r="J5" s="276" t="s">
        <v>11</v>
      </c>
      <c r="K5" s="276" t="s">
        <v>13</v>
      </c>
      <c r="L5" s="277" t="s">
        <v>15</v>
      </c>
    </row>
    <row r="6" spans="1:14" ht="18" customHeight="1" x14ac:dyDescent="0.25">
      <c r="A6" s="175" t="s">
        <v>16</v>
      </c>
      <c r="B6" s="155">
        <f>'（１）收支狀況'!G18/1000</f>
        <v>20961.817930000001</v>
      </c>
      <c r="C6" s="155">
        <v>21123.70018</v>
      </c>
      <c r="D6" s="155">
        <f t="shared" ref="D6:D11" si="0">B6-C6</f>
        <v>-161.88224999999875</v>
      </c>
      <c r="E6" s="155">
        <f>'（１）收支狀況'!H5/1000</f>
        <v>60007.833080000011</v>
      </c>
      <c r="G6" s="175" t="s">
        <v>17</v>
      </c>
      <c r="H6" s="278">
        <f>'（２）ＫＰＩ達成進度'!C1</f>
        <v>122.3</v>
      </c>
      <c r="I6" s="278">
        <f>'（２）ＫＰＩ達成進度'!G18</f>
        <v>113.12857142857141</v>
      </c>
      <c r="J6" s="278">
        <v>113.45714285714284</v>
      </c>
      <c r="K6" s="351">
        <f>'（２）ＫＰＩ達成進度'!H5</f>
        <v>112.25</v>
      </c>
      <c r="L6" s="279" t="s">
        <v>18</v>
      </c>
    </row>
    <row r="7" spans="1:14" ht="18" customHeight="1" x14ac:dyDescent="0.25">
      <c r="A7" s="175" t="s">
        <v>19</v>
      </c>
      <c r="B7" s="155">
        <f>'（１）收支狀況'!J18</f>
        <v>456696</v>
      </c>
      <c r="C7" s="155">
        <v>455465</v>
      </c>
      <c r="D7" s="155">
        <f>B7-C7</f>
        <v>1231</v>
      </c>
      <c r="E7" s="344">
        <f>'（１）收支狀況'!K5</f>
        <v>1287266</v>
      </c>
      <c r="G7" s="175" t="s">
        <v>20</v>
      </c>
      <c r="H7" s="156">
        <v>0.8</v>
      </c>
      <c r="I7" s="156">
        <f>I6/H6</f>
        <v>0.92500876065880133</v>
      </c>
      <c r="J7" s="156">
        <f>J6/H6</f>
        <v>0.92769536269127428</v>
      </c>
      <c r="K7" s="156">
        <f>K6/H6</f>
        <v>0.91782502044153724</v>
      </c>
      <c r="L7" s="279" t="s">
        <v>21</v>
      </c>
    </row>
    <row r="8" spans="1:14" ht="18" customHeight="1" x14ac:dyDescent="0.25">
      <c r="A8" s="175" t="s">
        <v>22</v>
      </c>
      <c r="B8" s="155">
        <f>'（１）收支狀況'!M18/1000</f>
        <v>13232.2552959</v>
      </c>
      <c r="C8" s="155">
        <v>13334.331113400001</v>
      </c>
      <c r="D8" s="155">
        <f>B8-C8</f>
        <v>-102.07581750000099</v>
      </c>
      <c r="E8" s="155">
        <f>'（１）收支狀況'!N5/1000</f>
        <v>37884.644840399997</v>
      </c>
      <c r="G8" s="175" t="s">
        <v>23</v>
      </c>
      <c r="H8" s="156">
        <v>2.5000000000000001E-3</v>
      </c>
      <c r="I8" s="156">
        <f>('日別報廢率總表 '!N17)/('日別報廢率總表 '!M17)</f>
        <v>2.8275812096990199E-3</v>
      </c>
      <c r="J8" s="156">
        <v>2.1085068819199655E-3</v>
      </c>
      <c r="K8" s="156">
        <f>'日別報廢率總表 '!C36/'日別報廢率總表 '!B36</f>
        <v>2.475859043300751E-3</v>
      </c>
      <c r="L8" s="279" t="s">
        <v>24</v>
      </c>
    </row>
    <row r="9" spans="1:14" ht="18" customHeight="1" x14ac:dyDescent="0.25">
      <c r="A9" s="175" t="s">
        <v>25</v>
      </c>
      <c r="B9" s="156">
        <f>B8/B6</f>
        <v>0.63125513922923382</v>
      </c>
      <c r="C9" s="156">
        <f>C8/C6</f>
        <v>0.63124978104096541</v>
      </c>
      <c r="D9" s="156">
        <f t="shared" si="0"/>
        <v>5.3581882684117232E-6</v>
      </c>
      <c r="E9" s="156">
        <f>E8/E6</f>
        <v>0.631328326585193</v>
      </c>
      <c r="G9" s="175" t="s">
        <v>26</v>
      </c>
      <c r="H9" s="156">
        <v>2.5000000000000001E-3</v>
      </c>
      <c r="I9" s="156">
        <f>('日別報廢率總表 '!O17)/('日別報廢率總表 '!M17)</f>
        <v>2.7065688705750534E-3</v>
      </c>
      <c r="J9" s="156">
        <v>3.6409609445793413E-3</v>
      </c>
      <c r="K9" s="156">
        <f>'日別報廢率總表 '!E36/'日別報廢率總表 '!B36</f>
        <v>3.2437446964715495E-3</v>
      </c>
      <c r="L9" s="279" t="s">
        <v>27</v>
      </c>
    </row>
    <row r="10" spans="1:14" ht="18" customHeight="1" x14ac:dyDescent="0.25">
      <c r="A10" s="175" t="s">
        <v>28</v>
      </c>
      <c r="B10" s="155"/>
      <c r="C10" s="155"/>
      <c r="D10" s="155">
        <f t="shared" si="0"/>
        <v>0</v>
      </c>
      <c r="E10" s="176"/>
      <c r="G10" s="175" t="s">
        <v>29</v>
      </c>
      <c r="H10" s="156">
        <v>1</v>
      </c>
      <c r="I10" s="156">
        <f>'（２）ＫＰＩ達成進度'!S18</f>
        <v>0.28570000000000001</v>
      </c>
      <c r="J10" s="156">
        <v>0.28570000000000001</v>
      </c>
      <c r="K10" s="156">
        <f>'（２）ＫＰＩ達成進度'!T5</f>
        <v>0.28570000000000012</v>
      </c>
      <c r="L10" s="279" t="s">
        <v>30</v>
      </c>
    </row>
    <row r="11" spans="1:14" ht="18" customHeight="1" x14ac:dyDescent="0.25">
      <c r="A11" s="175" t="s">
        <v>31</v>
      </c>
      <c r="B11" s="156"/>
      <c r="C11" s="156"/>
      <c r="D11" s="156">
        <f t="shared" si="0"/>
        <v>0</v>
      </c>
      <c r="E11" s="156"/>
      <c r="G11" s="175" t="s">
        <v>32</v>
      </c>
      <c r="H11" s="156">
        <v>1</v>
      </c>
      <c r="I11" s="156">
        <f>'（２）ＫＰＩ達成進度'!V18</f>
        <v>0.89285714285714302</v>
      </c>
      <c r="J11" s="156">
        <v>0.79999999999999993</v>
      </c>
      <c r="K11" s="156">
        <f>'（２）ＫＰＩ達成進度'!W5</f>
        <v>0.82241379310344853</v>
      </c>
      <c r="L11" s="279" t="s">
        <v>33</v>
      </c>
    </row>
    <row r="12" spans="1:14" ht="9.6" customHeight="1" x14ac:dyDescent="0.25">
      <c r="L12" s="150"/>
    </row>
    <row r="13" spans="1:14" ht="15.75" customHeight="1" x14ac:dyDescent="0.25">
      <c r="A13" s="272" t="s">
        <v>34</v>
      </c>
      <c r="G13" s="272" t="s">
        <v>35</v>
      </c>
      <c r="L13" s="150"/>
    </row>
    <row r="14" spans="1:14" s="170" customFormat="1" ht="14.25" x14ac:dyDescent="0.2">
      <c r="A14" s="280"/>
      <c r="B14" s="281" t="s">
        <v>10</v>
      </c>
      <c r="C14" s="280" t="s">
        <v>36</v>
      </c>
      <c r="D14" s="281" t="s">
        <v>11</v>
      </c>
      <c r="E14" s="280" t="s">
        <v>12</v>
      </c>
      <c r="G14" s="280"/>
      <c r="H14" s="281" t="s">
        <v>10</v>
      </c>
      <c r="I14" s="280" t="s">
        <v>36</v>
      </c>
      <c r="J14" s="281" t="s">
        <v>11</v>
      </c>
      <c r="K14" s="280" t="s">
        <v>12</v>
      </c>
    </row>
    <row r="15" spans="1:14" ht="18" customHeight="1" x14ac:dyDescent="0.25">
      <c r="A15" s="175" t="s">
        <v>37</v>
      </c>
      <c r="B15" s="155">
        <f>SUM('（３）業績構成比'!I20:I26)/1000</f>
        <v>18823.32055</v>
      </c>
      <c r="C15" s="156">
        <f>B15/B6</f>
        <v>0.89798130166279899</v>
      </c>
      <c r="D15" s="156">
        <v>0.89711264307482719</v>
      </c>
      <c r="E15" s="156">
        <f>C15-D15</f>
        <v>8.6865858797180451E-4</v>
      </c>
      <c r="G15" s="175" t="s">
        <v>37</v>
      </c>
      <c r="H15" s="155">
        <f>SUM('（４）訂單數量構成比'!I20:I26)</f>
        <v>379277</v>
      </c>
      <c r="I15" s="156">
        <f>IFERROR(H15/$B$7,"")</f>
        <v>0.83048023192670839</v>
      </c>
      <c r="J15" s="156">
        <v>0.82721175062847863</v>
      </c>
      <c r="K15" s="156">
        <f>IFERROR(I15-J15,"")</f>
        <v>3.268481298229764E-3</v>
      </c>
      <c r="L15" s="150"/>
    </row>
    <row r="16" spans="1:14" ht="18" customHeight="1" x14ac:dyDescent="0.25">
      <c r="A16" s="175" t="s">
        <v>38</v>
      </c>
      <c r="B16" s="155"/>
      <c r="C16" s="156">
        <f>IFERROR(B16/$B$6,"")</f>
        <v>0</v>
      </c>
      <c r="D16" s="156">
        <v>0</v>
      </c>
      <c r="E16" s="156">
        <f>IFERROR(C16-D16,"")</f>
        <v>0</v>
      </c>
      <c r="G16" s="175" t="s">
        <v>38</v>
      </c>
      <c r="H16" s="155"/>
      <c r="I16" s="156">
        <f>IFERROR(H16/$B$7,"")</f>
        <v>0</v>
      </c>
      <c r="J16" s="156">
        <v>0</v>
      </c>
      <c r="K16" s="156">
        <f>IFERROR(I16-J16,"")</f>
        <v>0</v>
      </c>
      <c r="L16" s="150"/>
    </row>
    <row r="17" spans="1:17" ht="18" customHeight="1" x14ac:dyDescent="0.25">
      <c r="A17" s="175" t="s">
        <v>39</v>
      </c>
      <c r="B17" s="155">
        <f>SUM('（３）業績構成比'!M20:M26)/1000</f>
        <v>2138.4973799999998</v>
      </c>
      <c r="C17" s="156">
        <f>B17/B6</f>
        <v>0.10201869833720094</v>
      </c>
      <c r="D17" s="156">
        <v>0.10288735692517295</v>
      </c>
      <c r="E17" s="156">
        <f>C17-D17</f>
        <v>-8.6865858797201267E-4</v>
      </c>
      <c r="G17" s="175" t="s">
        <v>39</v>
      </c>
      <c r="H17" s="155">
        <f>SUM('（４）訂單數量構成比'!M20:M26)</f>
        <v>77419</v>
      </c>
      <c r="I17" s="156">
        <f>IFERROR(H17/$B$7,"")</f>
        <v>0.16951976807329164</v>
      </c>
      <c r="J17" s="156">
        <v>0.1727882493715214</v>
      </c>
      <c r="K17" s="156">
        <f>IFERROR(I17-J17,"")</f>
        <v>-3.268481298229764E-3</v>
      </c>
      <c r="L17" s="150"/>
    </row>
    <row r="18" spans="1:17" ht="15.75" customHeight="1" x14ac:dyDescent="0.25">
      <c r="C18" s="282">
        <f>SUM(C15:C17)</f>
        <v>0.99999999999999989</v>
      </c>
      <c r="D18" s="282">
        <f>SUM(D15:D17)</f>
        <v>1.0000000000000002</v>
      </c>
      <c r="I18" s="282">
        <f>SUM(I15:I17)</f>
        <v>1</v>
      </c>
      <c r="J18" s="282">
        <f>SUM(J15:J17)</f>
        <v>1</v>
      </c>
      <c r="L18" s="150"/>
    </row>
    <row r="19" spans="1:17" ht="9.6" customHeight="1" x14ac:dyDescent="0.25">
      <c r="A19" s="283"/>
      <c r="L19" s="150"/>
    </row>
    <row r="20" spans="1:17" ht="15.75" customHeight="1" x14ac:dyDescent="0.25">
      <c r="A20" s="272" t="s">
        <v>40</v>
      </c>
      <c r="L20" s="150"/>
    </row>
    <row r="21" spans="1:17" ht="15.75" customHeight="1" x14ac:dyDescent="0.25">
      <c r="A21" s="175" t="s">
        <v>41</v>
      </c>
      <c r="B21" s="284" t="s">
        <v>10</v>
      </c>
      <c r="C21" s="284" t="s">
        <v>11</v>
      </c>
      <c r="D21" s="175" t="s">
        <v>12</v>
      </c>
      <c r="E21" s="175" t="s">
        <v>13</v>
      </c>
      <c r="L21" s="150"/>
    </row>
    <row r="22" spans="1:17" ht="18" customHeight="1" x14ac:dyDescent="0.25">
      <c r="A22" s="175" t="s">
        <v>37</v>
      </c>
      <c r="B22" s="176">
        <v>111.5</v>
      </c>
      <c r="C22" s="176">
        <v>110.7</v>
      </c>
      <c r="D22" s="176">
        <f>B22-C22</f>
        <v>0.79999999999999716</v>
      </c>
      <c r="E22" s="389">
        <f>'（５-1）品群別人時生產性（熱食義麵）'!C1</f>
        <v>110.49749322915915</v>
      </c>
      <c r="G22" s="285"/>
      <c r="H22" s="285"/>
      <c r="I22" s="285"/>
      <c r="J22" s="285"/>
      <c r="K22" s="285"/>
      <c r="L22" s="285"/>
      <c r="M22" s="285"/>
      <c r="N22" s="285"/>
      <c r="O22" s="285"/>
      <c r="P22" s="286"/>
      <c r="Q22" s="286"/>
    </row>
    <row r="23" spans="1:17" ht="18" customHeight="1" x14ac:dyDescent="0.25">
      <c r="A23" s="175" t="s">
        <v>38</v>
      </c>
      <c r="B23" s="176"/>
      <c r="C23" s="176"/>
      <c r="D23" s="176">
        <f>B23-C23</f>
        <v>0</v>
      </c>
      <c r="E23" s="389"/>
      <c r="G23" s="287"/>
      <c r="H23" s="287"/>
      <c r="I23" s="288"/>
      <c r="J23" s="289"/>
      <c r="K23" s="290"/>
      <c r="L23" s="291"/>
      <c r="M23" s="292"/>
      <c r="N23" s="291"/>
      <c r="O23" s="291"/>
      <c r="P23" s="291"/>
      <c r="Q23" s="291"/>
    </row>
    <row r="24" spans="1:17" ht="18" customHeight="1" x14ac:dyDescent="0.25">
      <c r="A24" s="175" t="s">
        <v>39</v>
      </c>
      <c r="B24" s="182">
        <v>128.6</v>
      </c>
      <c r="C24" s="182">
        <v>127.6</v>
      </c>
      <c r="D24" s="176">
        <f>B24-C24</f>
        <v>1</v>
      </c>
      <c r="E24" s="389">
        <f>'（５-3）品群別人時生產性(微波小吃)'!C1</f>
        <v>127.68457926955097</v>
      </c>
      <c r="L24" s="150"/>
    </row>
    <row r="25" spans="1:17" ht="15.75" customHeight="1" x14ac:dyDescent="0.25">
      <c r="L25" s="150"/>
    </row>
    <row r="26" spans="1:17" ht="15.75" customHeight="1" x14ac:dyDescent="0.25">
      <c r="L26" s="150"/>
    </row>
  </sheetData>
  <mergeCells count="2">
    <mergeCell ref="A1:K2"/>
    <mergeCell ref="F3:G3"/>
  </mergeCells>
  <phoneticPr fontId="2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tabSelected="1" topLeftCell="D1" zoomScale="85" zoomScaleNormal="85" workbookViewId="0">
      <selection activeCell="L23" sqref="L23"/>
    </sheetView>
  </sheetViews>
  <sheetFormatPr defaultColWidth="8.85546875" defaultRowHeight="14.25" x14ac:dyDescent="0.25"/>
  <cols>
    <col min="1" max="1" width="8.85546875" style="79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79" customWidth="1"/>
    <col min="24" max="62" width="8.85546875" style="79" customWidth="1"/>
    <col min="63" max="16384" width="8.85546875" style="79"/>
  </cols>
  <sheetData>
    <row r="2" spans="2:23" ht="38.1" customHeight="1" x14ac:dyDescent="0.25">
      <c r="B2" s="442" t="s">
        <v>42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</row>
    <row r="3" spans="2:23" s="81" customFormat="1" ht="23.45" customHeight="1" x14ac:dyDescent="0.25">
      <c r="B3" s="446" t="s">
        <v>43</v>
      </c>
      <c r="C3" s="447" t="s">
        <v>44</v>
      </c>
      <c r="D3" s="448" t="s">
        <v>45</v>
      </c>
      <c r="E3" s="448"/>
      <c r="F3" s="445" t="s">
        <v>46</v>
      </c>
      <c r="G3" s="445"/>
      <c r="H3" s="445"/>
      <c r="I3" s="443" t="s">
        <v>47</v>
      </c>
      <c r="J3" s="443"/>
      <c r="K3" s="443"/>
      <c r="L3" s="444" t="s">
        <v>48</v>
      </c>
      <c r="M3" s="444"/>
      <c r="N3" s="444"/>
      <c r="O3" s="450" t="s">
        <v>49</v>
      </c>
      <c r="P3" s="450"/>
      <c r="Q3" s="450"/>
      <c r="R3" s="449" t="s">
        <v>50</v>
      </c>
      <c r="S3" s="449"/>
      <c r="T3" s="449"/>
      <c r="U3" s="450" t="s">
        <v>51</v>
      </c>
      <c r="V3" s="450"/>
      <c r="W3" s="450"/>
    </row>
    <row r="4" spans="2:23" s="81" customFormat="1" ht="23.45" customHeight="1" x14ac:dyDescent="0.25">
      <c r="B4" s="446"/>
      <c r="C4" s="447"/>
      <c r="D4" s="448"/>
      <c r="E4" s="448"/>
      <c r="F4" s="80" t="s">
        <v>52</v>
      </c>
      <c r="G4" s="80" t="s">
        <v>53</v>
      </c>
      <c r="H4" s="80" t="s">
        <v>54</v>
      </c>
      <c r="I4" s="91" t="s">
        <v>52</v>
      </c>
      <c r="J4" s="91" t="s">
        <v>53</v>
      </c>
      <c r="K4" s="91" t="s">
        <v>54</v>
      </c>
      <c r="L4" s="90" t="s">
        <v>52</v>
      </c>
      <c r="M4" s="90" t="s">
        <v>53</v>
      </c>
      <c r="N4" s="90" t="s">
        <v>54</v>
      </c>
      <c r="O4" s="84" t="s">
        <v>52</v>
      </c>
      <c r="P4" s="84" t="s">
        <v>53</v>
      </c>
      <c r="Q4" s="84" t="s">
        <v>54</v>
      </c>
      <c r="R4" s="84" t="s">
        <v>52</v>
      </c>
      <c r="S4" s="84" t="s">
        <v>53</v>
      </c>
      <c r="T4" s="84" t="s">
        <v>54</v>
      </c>
      <c r="U4" s="84" t="s">
        <v>52</v>
      </c>
      <c r="V4" s="84" t="s">
        <v>53</v>
      </c>
      <c r="W4" s="84" t="s">
        <v>54</v>
      </c>
    </row>
    <row r="5" spans="2:23" x14ac:dyDescent="0.25">
      <c r="B5" s="438">
        <v>46211</v>
      </c>
      <c r="C5" s="452" t="s">
        <v>55</v>
      </c>
      <c r="D5" s="300">
        <v>46204</v>
      </c>
      <c r="E5" s="300" t="s">
        <v>56</v>
      </c>
      <c r="F5" s="86">
        <v>3008575.97</v>
      </c>
      <c r="G5" s="441">
        <f>SUM(F5:F10)</f>
        <v>17922314.969999999</v>
      </c>
      <c r="H5" s="439">
        <f>SUM(F5:F35)</f>
        <v>60007833.080000013</v>
      </c>
      <c r="I5" s="190">
        <v>64740</v>
      </c>
      <c r="J5" s="440">
        <f>SUM(I5:I10)</f>
        <v>375105</v>
      </c>
      <c r="K5" s="440">
        <f>SUM(I5:I35)</f>
        <v>1287266</v>
      </c>
      <c r="L5" s="86">
        <v>1900002.8611000001</v>
      </c>
      <c r="M5" s="441">
        <f>SUM(L5:L10)</f>
        <v>11318058.4311</v>
      </c>
      <c r="N5" s="439">
        <f>SUM(L5:L35)</f>
        <v>37884644.840399995</v>
      </c>
      <c r="O5" s="329">
        <f>L5/F5</f>
        <v>0.63152896255433433</v>
      </c>
      <c r="P5" s="437">
        <f>M5/G5</f>
        <v>0.63150650181325318</v>
      </c>
      <c r="Q5" s="451">
        <f>N5/H5</f>
        <v>0.631328326585193</v>
      </c>
      <c r="S5" s="394">
        <f>SUM(R5)</f>
        <v>0</v>
      </c>
      <c r="T5" s="439">
        <f>SUM(R5:R36)</f>
        <v>0</v>
      </c>
      <c r="U5" s="89">
        <f>R5/F5</f>
        <v>0</v>
      </c>
      <c r="V5" s="396">
        <f>S5/M5</f>
        <v>0</v>
      </c>
      <c r="W5" s="451">
        <f>T5/N5</f>
        <v>0</v>
      </c>
    </row>
    <row r="6" spans="2:23" x14ac:dyDescent="0.25">
      <c r="B6" s="438"/>
      <c r="C6" s="452"/>
      <c r="D6" s="300">
        <v>46205</v>
      </c>
      <c r="E6" s="301" t="s">
        <v>57</v>
      </c>
      <c r="F6" s="86">
        <v>2877019.59</v>
      </c>
      <c r="G6" s="441"/>
      <c r="H6" s="439"/>
      <c r="I6" s="306">
        <v>51631</v>
      </c>
      <c r="J6" s="440"/>
      <c r="K6" s="440"/>
      <c r="L6" s="86">
        <v>1816222.3417</v>
      </c>
      <c r="M6" s="441"/>
      <c r="N6" s="439"/>
      <c r="O6" s="329">
        <f>L6/F6</f>
        <v>0.6312860531130412</v>
      </c>
      <c r="P6" s="437"/>
      <c r="Q6" s="451"/>
      <c r="S6" s="441">
        <f>SUM(R6:R12)</f>
        <v>0</v>
      </c>
      <c r="T6" s="439"/>
      <c r="U6" s="89">
        <f t="shared" ref="U6:U35" si="0">R6/F6</f>
        <v>0</v>
      </c>
      <c r="V6" s="437" t="e">
        <f>S6/M6</f>
        <v>#DIV/0!</v>
      </c>
      <c r="W6" s="451"/>
    </row>
    <row r="7" spans="2:23" x14ac:dyDescent="0.25">
      <c r="B7" s="438"/>
      <c r="C7" s="452"/>
      <c r="D7" s="300">
        <v>46206</v>
      </c>
      <c r="E7" s="301" t="s">
        <v>58</v>
      </c>
      <c r="F7" s="86">
        <v>2420688.25</v>
      </c>
      <c r="G7" s="441"/>
      <c r="H7" s="439"/>
      <c r="I7" s="306">
        <v>52190</v>
      </c>
      <c r="J7" s="440"/>
      <c r="K7" s="440"/>
      <c r="L7" s="86">
        <v>1529033.5974999999</v>
      </c>
      <c r="M7" s="441"/>
      <c r="N7" s="439"/>
      <c r="O7" s="329">
        <f t="shared" ref="O7:O33" si="1">L7/F7</f>
        <v>0.63165242261162702</v>
      </c>
      <c r="P7" s="437"/>
      <c r="Q7" s="451"/>
      <c r="S7" s="441"/>
      <c r="T7" s="439"/>
      <c r="U7" s="89">
        <f t="shared" si="0"/>
        <v>0</v>
      </c>
      <c r="V7" s="437"/>
      <c r="W7" s="451"/>
    </row>
    <row r="8" spans="2:23" x14ac:dyDescent="0.25">
      <c r="B8" s="438"/>
      <c r="C8" s="452"/>
      <c r="D8" s="300">
        <v>46207</v>
      </c>
      <c r="E8" s="301" t="s">
        <v>59</v>
      </c>
      <c r="F8" s="86">
        <v>2867965.9000000004</v>
      </c>
      <c r="G8" s="441"/>
      <c r="H8" s="439"/>
      <c r="I8" s="306">
        <v>61707</v>
      </c>
      <c r="J8" s="440"/>
      <c r="K8" s="440"/>
      <c r="L8" s="86">
        <v>1811818.517</v>
      </c>
      <c r="M8" s="441"/>
      <c r="N8" s="439"/>
      <c r="O8" s="329">
        <f t="shared" si="1"/>
        <v>0.63174339590299866</v>
      </c>
      <c r="P8" s="437"/>
      <c r="Q8" s="451"/>
      <c r="S8" s="441"/>
      <c r="T8" s="439"/>
      <c r="U8" s="89">
        <f t="shared" si="0"/>
        <v>0</v>
      </c>
      <c r="V8" s="437"/>
      <c r="W8" s="451"/>
    </row>
    <row r="9" spans="2:23" x14ac:dyDescent="0.25">
      <c r="B9" s="438"/>
      <c r="C9" s="452"/>
      <c r="D9" s="300">
        <v>46208</v>
      </c>
      <c r="E9" s="301" t="s">
        <v>52</v>
      </c>
      <c r="F9" s="86">
        <v>3409988.45</v>
      </c>
      <c r="G9" s="441"/>
      <c r="H9" s="439"/>
      <c r="I9" s="298">
        <v>73271</v>
      </c>
      <c r="J9" s="440"/>
      <c r="K9" s="440"/>
      <c r="L9" s="86">
        <v>2152992.7234999998</v>
      </c>
      <c r="M9" s="441"/>
      <c r="N9" s="439"/>
      <c r="O9" s="329">
        <f t="shared" si="1"/>
        <v>0.63137830378868287</v>
      </c>
      <c r="P9" s="437"/>
      <c r="Q9" s="451"/>
      <c r="S9" s="441"/>
      <c r="T9" s="439"/>
      <c r="U9" s="89">
        <f t="shared" si="0"/>
        <v>0</v>
      </c>
      <c r="V9" s="437"/>
      <c r="W9" s="451"/>
    </row>
    <row r="10" spans="2:23" x14ac:dyDescent="0.25">
      <c r="B10" s="438"/>
      <c r="C10" s="452"/>
      <c r="D10" s="300">
        <v>46209</v>
      </c>
      <c r="E10" s="301" t="s">
        <v>60</v>
      </c>
      <c r="F10" s="86">
        <v>3338076.81</v>
      </c>
      <c r="G10" s="441"/>
      <c r="H10" s="439"/>
      <c r="I10" s="298">
        <v>71566</v>
      </c>
      <c r="J10" s="440"/>
      <c r="K10" s="440"/>
      <c r="L10" s="86">
        <v>2107988.3903000001</v>
      </c>
      <c r="M10" s="441"/>
      <c r="N10" s="439"/>
      <c r="O10" s="329">
        <f t="shared" si="1"/>
        <v>0.63149786846876066</v>
      </c>
      <c r="P10" s="437"/>
      <c r="Q10" s="451"/>
      <c r="S10" s="441"/>
      <c r="T10" s="439"/>
      <c r="U10" s="89">
        <f t="shared" si="0"/>
        <v>0</v>
      </c>
      <c r="V10" s="437"/>
      <c r="W10" s="451"/>
    </row>
    <row r="11" spans="2:23" x14ac:dyDescent="0.25">
      <c r="B11" s="438">
        <v>46218</v>
      </c>
      <c r="C11" s="452"/>
      <c r="D11" s="300">
        <v>46210</v>
      </c>
      <c r="E11" s="301" t="s">
        <v>61</v>
      </c>
      <c r="F11" s="86">
        <v>2944276.67</v>
      </c>
      <c r="G11" s="441">
        <f>SUM(F11:F17)</f>
        <v>21123700.18</v>
      </c>
      <c r="H11" s="439"/>
      <c r="I11" s="298">
        <v>63648</v>
      </c>
      <c r="J11" s="440">
        <f>SUM(I11:I17)</f>
        <v>455465</v>
      </c>
      <c r="K11" s="440"/>
      <c r="L11" s="86">
        <v>1858894.3021</v>
      </c>
      <c r="M11" s="441">
        <f>SUM(L11:L17)</f>
        <v>13334331.113400001</v>
      </c>
      <c r="N11" s="439"/>
      <c r="O11" s="329">
        <f t="shared" si="1"/>
        <v>0.6313585679772411</v>
      </c>
      <c r="P11" s="437">
        <f>M11/G11</f>
        <v>0.63124978104096541</v>
      </c>
      <c r="Q11" s="451"/>
      <c r="S11" s="441"/>
      <c r="T11" s="439"/>
      <c r="U11" s="89">
        <f t="shared" si="0"/>
        <v>0</v>
      </c>
      <c r="V11" s="437"/>
      <c r="W11" s="451"/>
    </row>
    <row r="12" spans="2:23" x14ac:dyDescent="0.25">
      <c r="B12" s="438"/>
      <c r="C12" s="452"/>
      <c r="D12" s="300">
        <v>46211</v>
      </c>
      <c r="E12" s="300" t="s">
        <v>56</v>
      </c>
      <c r="F12" s="86">
        <v>3038869.3</v>
      </c>
      <c r="G12" s="441"/>
      <c r="H12" s="439"/>
      <c r="I12" s="298">
        <v>65338</v>
      </c>
      <c r="J12" s="440"/>
      <c r="K12" s="440"/>
      <c r="L12" s="86">
        <v>1917487.659</v>
      </c>
      <c r="M12" s="441"/>
      <c r="N12" s="439"/>
      <c r="O12" s="329">
        <f t="shared" si="1"/>
        <v>0.63098720928866536</v>
      </c>
      <c r="P12" s="437"/>
      <c r="Q12" s="451"/>
      <c r="S12" s="441"/>
      <c r="T12" s="439"/>
      <c r="U12" s="89">
        <f t="shared" si="0"/>
        <v>0</v>
      </c>
      <c r="V12" s="437"/>
      <c r="W12" s="451"/>
    </row>
    <row r="13" spans="2:23" x14ac:dyDescent="0.25">
      <c r="B13" s="438"/>
      <c r="C13" s="452"/>
      <c r="D13" s="300">
        <v>46212</v>
      </c>
      <c r="E13" s="301" t="s">
        <v>57</v>
      </c>
      <c r="F13" s="86">
        <v>3350396.61</v>
      </c>
      <c r="G13" s="441"/>
      <c r="H13" s="439"/>
      <c r="I13" s="298">
        <v>71986</v>
      </c>
      <c r="J13" s="440"/>
      <c r="K13" s="440"/>
      <c r="L13" s="86">
        <v>2115749.8643</v>
      </c>
      <c r="M13" s="441"/>
      <c r="N13" s="439"/>
      <c r="O13" s="329">
        <f t="shared" si="1"/>
        <v>0.63149236063129854</v>
      </c>
      <c r="P13" s="437"/>
      <c r="Q13" s="451"/>
      <c r="S13" s="441">
        <f>SUM(R13:R19)</f>
        <v>0</v>
      </c>
      <c r="T13" s="439"/>
      <c r="U13" s="89">
        <f t="shared" si="0"/>
        <v>0</v>
      </c>
      <c r="V13" s="437" t="e">
        <f>S13/M13</f>
        <v>#DIV/0!</v>
      </c>
      <c r="W13" s="451"/>
    </row>
    <row r="14" spans="2:23" x14ac:dyDescent="0.25">
      <c r="B14" s="438"/>
      <c r="C14" s="452"/>
      <c r="D14" s="300">
        <v>46213</v>
      </c>
      <c r="E14" s="301" t="s">
        <v>58</v>
      </c>
      <c r="F14" s="86">
        <v>2275501.0699999998</v>
      </c>
      <c r="G14" s="441"/>
      <c r="H14" s="439"/>
      <c r="I14" s="298">
        <v>49267</v>
      </c>
      <c r="J14" s="440"/>
      <c r="K14" s="440"/>
      <c r="L14" s="86">
        <v>1436565.6740999999</v>
      </c>
      <c r="M14" s="441"/>
      <c r="N14" s="439"/>
      <c r="O14" s="329">
        <f t="shared" si="1"/>
        <v>0.63131839094235187</v>
      </c>
      <c r="P14" s="437"/>
      <c r="Q14" s="451"/>
      <c r="S14" s="441"/>
      <c r="T14" s="439"/>
      <c r="U14" s="89">
        <f t="shared" si="0"/>
        <v>0</v>
      </c>
      <c r="V14" s="437"/>
      <c r="W14" s="451"/>
    </row>
    <row r="15" spans="2:23" x14ac:dyDescent="0.25">
      <c r="B15" s="438"/>
      <c r="C15" s="452"/>
      <c r="D15" s="300">
        <v>46214</v>
      </c>
      <c r="E15" s="301" t="s">
        <v>59</v>
      </c>
      <c r="F15" s="86">
        <v>2731629.9899999998</v>
      </c>
      <c r="G15" s="441"/>
      <c r="H15" s="439"/>
      <c r="I15" s="298">
        <v>58998</v>
      </c>
      <c r="J15" s="440"/>
      <c r="K15" s="440"/>
      <c r="L15" s="86">
        <v>1723926.8936999999</v>
      </c>
      <c r="M15" s="441"/>
      <c r="N15" s="439"/>
      <c r="O15" s="329">
        <f t="shared" si="1"/>
        <v>0.63109824537400105</v>
      </c>
      <c r="P15" s="437"/>
      <c r="Q15" s="451"/>
      <c r="S15" s="441"/>
      <c r="T15" s="439"/>
      <c r="U15" s="89">
        <f t="shared" si="0"/>
        <v>0</v>
      </c>
      <c r="V15" s="437"/>
      <c r="W15" s="451"/>
    </row>
    <row r="16" spans="2:23" x14ac:dyDescent="0.25">
      <c r="B16" s="438"/>
      <c r="C16" s="452"/>
      <c r="D16" s="300">
        <v>46215</v>
      </c>
      <c r="E16" s="301" t="s">
        <v>52</v>
      </c>
      <c r="F16" s="86">
        <v>3362568.3400000003</v>
      </c>
      <c r="G16" s="441"/>
      <c r="H16" s="439"/>
      <c r="I16" s="306">
        <v>72479</v>
      </c>
      <c r="J16" s="440"/>
      <c r="K16" s="440"/>
      <c r="L16" s="86">
        <v>2122618.0542000001</v>
      </c>
      <c r="M16" s="441"/>
      <c r="N16" s="439"/>
      <c r="O16" s="329">
        <f t="shared" si="1"/>
        <v>0.63124904524617031</v>
      </c>
      <c r="P16" s="437"/>
      <c r="Q16" s="451"/>
      <c r="S16" s="441"/>
      <c r="T16" s="439"/>
      <c r="U16" s="89">
        <f t="shared" si="0"/>
        <v>0</v>
      </c>
      <c r="V16" s="437"/>
      <c r="W16" s="451"/>
    </row>
    <row r="17" spans="2:23" x14ac:dyDescent="0.25">
      <c r="B17" s="438"/>
      <c r="C17" s="452"/>
      <c r="D17" s="300">
        <v>46216</v>
      </c>
      <c r="E17" s="301" t="s">
        <v>60</v>
      </c>
      <c r="F17" s="86">
        <v>3420458.1999999997</v>
      </c>
      <c r="G17" s="441"/>
      <c r="H17" s="439"/>
      <c r="I17" s="306">
        <v>73749</v>
      </c>
      <c r="J17" s="440"/>
      <c r="K17" s="440"/>
      <c r="L17" s="86">
        <v>2159088.6660000002</v>
      </c>
      <c r="M17" s="441"/>
      <c r="N17" s="439"/>
      <c r="O17" s="329">
        <f t="shared" si="1"/>
        <v>0.63122790566480258</v>
      </c>
      <c r="P17" s="437"/>
      <c r="Q17" s="451"/>
      <c r="S17" s="441"/>
      <c r="T17" s="439"/>
      <c r="U17" s="89">
        <f t="shared" si="0"/>
        <v>0</v>
      </c>
      <c r="V17" s="437"/>
      <c r="W17" s="451"/>
    </row>
    <row r="18" spans="2:23" x14ac:dyDescent="0.25">
      <c r="B18" s="438">
        <v>46225</v>
      </c>
      <c r="C18" s="452"/>
      <c r="D18" s="300">
        <v>46217</v>
      </c>
      <c r="E18" s="301" t="s">
        <v>61</v>
      </c>
      <c r="F18" s="86">
        <v>3528841.4</v>
      </c>
      <c r="G18" s="441">
        <f>SUM(F18:F24)</f>
        <v>20961817.93</v>
      </c>
      <c r="H18" s="439"/>
      <c r="I18" s="306">
        <v>75526</v>
      </c>
      <c r="J18" s="440">
        <f>SUM(I18:I24)</f>
        <v>456696</v>
      </c>
      <c r="K18" s="440"/>
      <c r="L18" s="86">
        <v>2227860.0819999999</v>
      </c>
      <c r="M18" s="441">
        <f>SUM(L18:L24)</f>
        <v>13232255.2959</v>
      </c>
      <c r="N18" s="439"/>
      <c r="O18" s="329">
        <f t="shared" si="1"/>
        <v>0.63132904811193835</v>
      </c>
      <c r="P18" s="437">
        <f>M18/G18</f>
        <v>0.63125513922923382</v>
      </c>
      <c r="Q18" s="451"/>
      <c r="S18" s="441"/>
      <c r="T18" s="439"/>
      <c r="U18" s="89">
        <f t="shared" si="0"/>
        <v>0</v>
      </c>
      <c r="V18" s="437"/>
      <c r="W18" s="451"/>
    </row>
    <row r="19" spans="2:23" x14ac:dyDescent="0.25">
      <c r="B19" s="438"/>
      <c r="C19" s="452"/>
      <c r="D19" s="300">
        <v>46218</v>
      </c>
      <c r="E19" s="300" t="s">
        <v>56</v>
      </c>
      <c r="F19" s="86">
        <v>3157061.3400000003</v>
      </c>
      <c r="G19" s="441"/>
      <c r="H19" s="439"/>
      <c r="I19" s="306">
        <v>67666</v>
      </c>
      <c r="J19" s="440"/>
      <c r="K19" s="440"/>
      <c r="L19" s="86">
        <v>1992648.6442</v>
      </c>
      <c r="M19" s="441"/>
      <c r="N19" s="439"/>
      <c r="O19" s="329">
        <f t="shared" si="1"/>
        <v>0.63117197596167063</v>
      </c>
      <c r="P19" s="437"/>
      <c r="Q19" s="451"/>
      <c r="S19" s="441"/>
      <c r="T19" s="439"/>
      <c r="U19" s="89">
        <f t="shared" si="0"/>
        <v>0</v>
      </c>
      <c r="V19" s="437"/>
      <c r="W19" s="451"/>
    </row>
    <row r="20" spans="2:23" x14ac:dyDescent="0.25">
      <c r="B20" s="438"/>
      <c r="C20" s="452"/>
      <c r="D20" s="300">
        <v>46219</v>
      </c>
      <c r="E20" s="301" t="s">
        <v>57</v>
      </c>
      <c r="F20" s="86">
        <v>2922058.21</v>
      </c>
      <c r="G20" s="441"/>
      <c r="H20" s="439"/>
      <c r="I20" s="306">
        <v>62695</v>
      </c>
      <c r="J20" s="440"/>
      <c r="K20" s="440"/>
      <c r="L20" s="86">
        <v>1844696.6723</v>
      </c>
      <c r="M20" s="441"/>
      <c r="N20" s="439"/>
      <c r="O20" s="329">
        <f t="shared" si="1"/>
        <v>0.6313004532171862</v>
      </c>
      <c r="P20" s="437"/>
      <c r="Q20" s="451"/>
      <c r="S20" s="441">
        <f>SUM(R20:R26)</f>
        <v>0</v>
      </c>
      <c r="T20" s="439"/>
      <c r="U20" s="89">
        <f t="shared" si="0"/>
        <v>0</v>
      </c>
      <c r="V20" s="437" t="e">
        <f>S20/M20</f>
        <v>#DIV/0!</v>
      </c>
      <c r="W20" s="451"/>
    </row>
    <row r="21" spans="2:23" x14ac:dyDescent="0.25">
      <c r="B21" s="438"/>
      <c r="C21" s="452"/>
      <c r="D21" s="300">
        <v>46220</v>
      </c>
      <c r="E21" s="301" t="s">
        <v>58</v>
      </c>
      <c r="F21" s="86">
        <v>2282826.46</v>
      </c>
      <c r="G21" s="441"/>
      <c r="H21" s="439"/>
      <c r="I21" s="306">
        <v>49290</v>
      </c>
      <c r="J21" s="440"/>
      <c r="K21" s="440"/>
      <c r="L21" s="86">
        <v>1441100.6698</v>
      </c>
      <c r="M21" s="441"/>
      <c r="N21" s="439"/>
      <c r="O21" s="329">
        <f t="shared" si="1"/>
        <v>0.63127911606561637</v>
      </c>
      <c r="P21" s="437"/>
      <c r="Q21" s="451"/>
      <c r="S21" s="441"/>
      <c r="T21" s="439"/>
      <c r="U21" s="89">
        <f t="shared" si="0"/>
        <v>0</v>
      </c>
      <c r="V21" s="437"/>
      <c r="W21" s="451"/>
    </row>
    <row r="22" spans="2:23" x14ac:dyDescent="0.25">
      <c r="B22" s="438"/>
      <c r="C22" s="452"/>
      <c r="D22" s="300">
        <v>46221</v>
      </c>
      <c r="E22" s="301" t="s">
        <v>59</v>
      </c>
      <c r="F22" s="86">
        <v>2534267.7399999998</v>
      </c>
      <c r="G22" s="441"/>
      <c r="H22" s="439"/>
      <c r="I22" s="306">
        <v>54825</v>
      </c>
      <c r="J22" s="440"/>
      <c r="K22" s="440"/>
      <c r="L22" s="86">
        <v>1599588.6762000001</v>
      </c>
      <c r="M22" s="441"/>
      <c r="N22" s="439"/>
      <c r="O22" s="329">
        <f t="shared" si="1"/>
        <v>0.63118377389754421</v>
      </c>
      <c r="P22" s="437"/>
      <c r="Q22" s="451"/>
      <c r="S22" s="441"/>
      <c r="T22" s="439"/>
      <c r="U22" s="89">
        <f t="shared" si="0"/>
        <v>0</v>
      </c>
      <c r="V22" s="437"/>
      <c r="W22" s="451"/>
    </row>
    <row r="23" spans="2:23" x14ac:dyDescent="0.25">
      <c r="B23" s="438"/>
      <c r="C23" s="452"/>
      <c r="D23" s="300">
        <v>46222</v>
      </c>
      <c r="E23" s="301" t="s">
        <v>52</v>
      </c>
      <c r="F23" s="86">
        <v>3200427.39</v>
      </c>
      <c r="G23" s="441"/>
      <c r="H23" s="439"/>
      <c r="I23" s="306">
        <v>74386</v>
      </c>
      <c r="J23" s="440"/>
      <c r="K23" s="440"/>
      <c r="L23" s="86">
        <v>2020269.2557000001</v>
      </c>
      <c r="M23" s="441"/>
      <c r="N23" s="439"/>
      <c r="O23" s="329">
        <f t="shared" si="1"/>
        <v>0.63124983307307592</v>
      </c>
      <c r="P23" s="437"/>
      <c r="Q23" s="451"/>
      <c r="S23" s="441"/>
      <c r="T23" s="439"/>
      <c r="U23" s="89">
        <f t="shared" si="0"/>
        <v>0</v>
      </c>
      <c r="V23" s="437"/>
      <c r="W23" s="451"/>
    </row>
    <row r="24" spans="2:23" x14ac:dyDescent="0.25">
      <c r="B24" s="438"/>
      <c r="C24" s="452"/>
      <c r="D24" s="300">
        <v>46223</v>
      </c>
      <c r="E24" s="301" t="s">
        <v>60</v>
      </c>
      <c r="F24" s="86">
        <v>3336335.39</v>
      </c>
      <c r="G24" s="441"/>
      <c r="H24" s="439"/>
      <c r="I24" s="306">
        <v>72308</v>
      </c>
      <c r="J24" s="440"/>
      <c r="K24" s="440"/>
      <c r="L24" s="86">
        <v>2106091.2957000001</v>
      </c>
      <c r="M24" s="441"/>
      <c r="N24" s="439"/>
      <c r="O24" s="329">
        <f t="shared" si="1"/>
        <v>0.63125886624366023</v>
      </c>
      <c r="P24" s="437"/>
      <c r="Q24" s="451"/>
      <c r="S24" s="441"/>
      <c r="T24" s="439"/>
      <c r="U24" s="89">
        <f t="shared" si="0"/>
        <v>0</v>
      </c>
      <c r="V24" s="437"/>
      <c r="W24" s="451"/>
    </row>
    <row r="25" spans="2:23" x14ac:dyDescent="0.25">
      <c r="B25" s="438">
        <v>46232</v>
      </c>
      <c r="C25" s="452"/>
      <c r="D25" s="300">
        <v>46224</v>
      </c>
      <c r="E25" s="301" t="s">
        <v>61</v>
      </c>
      <c r="G25" s="305">
        <f>SUM(F25:F31)</f>
        <v>0</v>
      </c>
      <c r="H25" s="439"/>
      <c r="I25" s="306"/>
      <c r="J25" s="298">
        <f>SUM(I25:I31)</f>
        <v>0</v>
      </c>
      <c r="K25" s="440"/>
      <c r="L25" s="86"/>
      <c r="M25" s="305">
        <f>SUM(L25:L31)</f>
        <v>0</v>
      </c>
      <c r="N25" s="439"/>
      <c r="O25" s="329" t="e">
        <f t="shared" si="1"/>
        <v>#DIV/0!</v>
      </c>
      <c r="P25" s="437" t="e">
        <f>M25/G25</f>
        <v>#DIV/0!</v>
      </c>
      <c r="Q25" s="451"/>
      <c r="S25" s="441"/>
      <c r="T25" s="439"/>
      <c r="U25" s="89" t="e">
        <f t="shared" si="0"/>
        <v>#DIV/0!</v>
      </c>
      <c r="V25" s="437"/>
      <c r="W25" s="451"/>
    </row>
    <row r="26" spans="2:23" x14ac:dyDescent="0.25">
      <c r="B26" s="438"/>
      <c r="C26" s="452"/>
      <c r="D26" s="300">
        <v>46225</v>
      </c>
      <c r="E26" s="300" t="s">
        <v>56</v>
      </c>
      <c r="G26" s="305"/>
      <c r="H26" s="439"/>
      <c r="I26" s="306"/>
      <c r="J26" s="298"/>
      <c r="K26" s="440"/>
      <c r="L26" s="86"/>
      <c r="M26" s="305"/>
      <c r="N26" s="439"/>
      <c r="O26" s="329" t="e">
        <f t="shared" si="1"/>
        <v>#DIV/0!</v>
      </c>
      <c r="P26" s="437"/>
      <c r="Q26" s="451"/>
      <c r="S26" s="441"/>
      <c r="T26" s="439"/>
      <c r="U26" s="89" t="e">
        <f t="shared" si="0"/>
        <v>#DIV/0!</v>
      </c>
      <c r="V26" s="437"/>
      <c r="W26" s="451"/>
    </row>
    <row r="27" spans="2:23" x14ac:dyDescent="0.25">
      <c r="B27" s="438"/>
      <c r="C27" s="452"/>
      <c r="D27" s="300">
        <v>46226</v>
      </c>
      <c r="E27" s="301" t="s">
        <v>57</v>
      </c>
      <c r="G27" s="305"/>
      <c r="H27" s="439"/>
      <c r="I27" s="306"/>
      <c r="J27" s="298"/>
      <c r="K27" s="440"/>
      <c r="L27" s="86"/>
      <c r="M27" s="305"/>
      <c r="N27" s="439"/>
      <c r="O27" s="329" t="e">
        <f t="shared" si="1"/>
        <v>#DIV/0!</v>
      </c>
      <c r="P27" s="437"/>
      <c r="Q27" s="451"/>
      <c r="S27" s="441">
        <f>SUM(R27:R33)</f>
        <v>0</v>
      </c>
      <c r="T27" s="439"/>
      <c r="U27" s="89" t="e">
        <f t="shared" si="0"/>
        <v>#DIV/0!</v>
      </c>
      <c r="V27" s="437" t="e">
        <f>S27/M27</f>
        <v>#DIV/0!</v>
      </c>
      <c r="W27" s="451"/>
    </row>
    <row r="28" spans="2:23" x14ac:dyDescent="0.25">
      <c r="B28" s="438"/>
      <c r="C28" s="452"/>
      <c r="D28" s="300">
        <v>46227</v>
      </c>
      <c r="E28" s="301" t="s">
        <v>58</v>
      </c>
      <c r="G28" s="305"/>
      <c r="H28" s="439"/>
      <c r="I28" s="306"/>
      <c r="J28" s="298"/>
      <c r="K28" s="440"/>
      <c r="L28" s="86"/>
      <c r="M28" s="305"/>
      <c r="N28" s="439"/>
      <c r="O28" s="329" t="e">
        <f t="shared" si="1"/>
        <v>#DIV/0!</v>
      </c>
      <c r="P28" s="437"/>
      <c r="Q28" s="451"/>
      <c r="S28" s="441"/>
      <c r="T28" s="439"/>
      <c r="U28" s="89" t="e">
        <f t="shared" si="0"/>
        <v>#DIV/0!</v>
      </c>
      <c r="V28" s="437"/>
      <c r="W28" s="451"/>
    </row>
    <row r="29" spans="2:23" x14ac:dyDescent="0.25">
      <c r="B29" s="438"/>
      <c r="C29" s="452"/>
      <c r="D29" s="300">
        <v>46228</v>
      </c>
      <c r="E29" s="301" t="s">
        <v>59</v>
      </c>
      <c r="G29" s="305"/>
      <c r="H29" s="439"/>
      <c r="I29" s="306"/>
      <c r="J29" s="298"/>
      <c r="K29" s="440"/>
      <c r="L29" s="86"/>
      <c r="M29" s="305"/>
      <c r="N29" s="439"/>
      <c r="O29" s="329" t="e">
        <f t="shared" si="1"/>
        <v>#DIV/0!</v>
      </c>
      <c r="P29" s="437"/>
      <c r="Q29" s="451"/>
      <c r="S29" s="441"/>
      <c r="T29" s="439"/>
      <c r="U29" s="89" t="e">
        <f t="shared" si="0"/>
        <v>#DIV/0!</v>
      </c>
      <c r="V29" s="437"/>
      <c r="W29" s="451"/>
    </row>
    <row r="30" spans="2:23" x14ac:dyDescent="0.25">
      <c r="B30" s="438"/>
      <c r="C30" s="452"/>
      <c r="D30" s="300">
        <v>46229</v>
      </c>
      <c r="E30" s="301" t="s">
        <v>52</v>
      </c>
      <c r="G30" s="305"/>
      <c r="H30" s="439"/>
      <c r="I30" s="306"/>
      <c r="J30" s="298"/>
      <c r="K30" s="440"/>
      <c r="L30" s="86"/>
      <c r="M30" s="305"/>
      <c r="N30" s="439"/>
      <c r="O30" s="329" t="e">
        <f t="shared" si="1"/>
        <v>#DIV/0!</v>
      </c>
      <c r="P30" s="437"/>
      <c r="Q30" s="451"/>
      <c r="S30" s="441"/>
      <c r="T30" s="439"/>
      <c r="U30" s="89" t="e">
        <f t="shared" si="0"/>
        <v>#DIV/0!</v>
      </c>
      <c r="V30" s="437"/>
      <c r="W30" s="451"/>
    </row>
    <row r="31" spans="2:23" x14ac:dyDescent="0.25">
      <c r="B31" s="438"/>
      <c r="C31" s="452"/>
      <c r="D31" s="300">
        <v>46230</v>
      </c>
      <c r="E31" s="301" t="s">
        <v>60</v>
      </c>
      <c r="G31" s="305"/>
      <c r="H31" s="439"/>
      <c r="I31" s="306"/>
      <c r="J31" s="298"/>
      <c r="K31" s="440"/>
      <c r="L31" s="86"/>
      <c r="M31" s="305"/>
      <c r="N31" s="439"/>
      <c r="O31" s="329" t="e">
        <f t="shared" si="1"/>
        <v>#DIV/0!</v>
      </c>
      <c r="P31" s="437"/>
      <c r="Q31" s="451"/>
      <c r="S31" s="441"/>
      <c r="T31" s="439"/>
      <c r="U31" s="89" t="e">
        <f t="shared" si="0"/>
        <v>#DIV/0!</v>
      </c>
      <c r="V31" s="437"/>
      <c r="W31" s="451"/>
    </row>
    <row r="32" spans="2:23" x14ac:dyDescent="0.25">
      <c r="B32" s="304"/>
      <c r="C32" s="452"/>
      <c r="D32" s="300">
        <v>46231</v>
      </c>
      <c r="E32" s="301" t="s">
        <v>61</v>
      </c>
      <c r="G32" s="305"/>
      <c r="H32" s="439"/>
      <c r="I32" s="306"/>
      <c r="J32" s="298"/>
      <c r="K32" s="440"/>
      <c r="L32" s="86"/>
      <c r="M32" s="305"/>
      <c r="N32" s="439"/>
      <c r="O32" s="329" t="e">
        <f t="shared" si="1"/>
        <v>#DIV/0!</v>
      </c>
      <c r="P32" s="373"/>
      <c r="Q32" s="451"/>
      <c r="S32" s="441"/>
      <c r="T32" s="439"/>
      <c r="U32" s="89" t="e">
        <f t="shared" si="0"/>
        <v>#DIV/0!</v>
      </c>
      <c r="V32" s="437"/>
      <c r="W32" s="451"/>
    </row>
    <row r="33" spans="2:23" x14ac:dyDescent="0.25">
      <c r="B33" s="304"/>
      <c r="C33" s="452"/>
      <c r="D33" s="300">
        <v>46232</v>
      </c>
      <c r="E33" s="300" t="s">
        <v>56</v>
      </c>
      <c r="G33" s="305"/>
      <c r="H33" s="439"/>
      <c r="I33" s="306"/>
      <c r="J33" s="298"/>
      <c r="K33" s="440"/>
      <c r="L33" s="86"/>
      <c r="M33" s="305"/>
      <c r="N33" s="439"/>
      <c r="O33" s="329" t="e">
        <f t="shared" si="1"/>
        <v>#DIV/0!</v>
      </c>
      <c r="P33" s="373"/>
      <c r="Q33" s="451"/>
      <c r="S33" s="441"/>
      <c r="T33" s="439"/>
      <c r="U33" s="89" t="e">
        <f t="shared" si="0"/>
        <v>#DIV/0!</v>
      </c>
      <c r="V33" s="437"/>
      <c r="W33" s="451"/>
    </row>
    <row r="34" spans="2:23" x14ac:dyDescent="0.25">
      <c r="B34" s="304"/>
      <c r="C34" s="452"/>
      <c r="D34" s="300">
        <v>46233</v>
      </c>
      <c r="E34" s="301" t="s">
        <v>57</v>
      </c>
      <c r="G34" s="305"/>
      <c r="H34" s="439"/>
      <c r="J34" s="298"/>
      <c r="K34" s="440"/>
      <c r="M34" s="305"/>
      <c r="N34" s="439"/>
      <c r="P34" s="373"/>
      <c r="Q34" s="451"/>
      <c r="S34" s="305"/>
      <c r="T34" s="439"/>
      <c r="U34" s="89">
        <f>R34/F38</f>
        <v>0</v>
      </c>
      <c r="V34" s="305"/>
      <c r="W34" s="451"/>
    </row>
    <row r="35" spans="2:23" x14ac:dyDescent="0.25">
      <c r="B35" s="304"/>
      <c r="C35" s="452"/>
      <c r="D35" s="300">
        <v>46234</v>
      </c>
      <c r="E35" s="301" t="s">
        <v>58</v>
      </c>
      <c r="G35" s="305"/>
      <c r="H35" s="345"/>
      <c r="I35" s="306"/>
      <c r="J35" s="298"/>
      <c r="K35" s="306"/>
      <c r="L35" s="86"/>
      <c r="M35" s="305"/>
      <c r="N35" s="345"/>
      <c r="O35" s="329"/>
      <c r="P35" s="373"/>
      <c r="Q35" s="299"/>
      <c r="S35" s="305"/>
      <c r="T35" s="345"/>
      <c r="U35" s="89" t="e">
        <f t="shared" si="0"/>
        <v>#DIV/0!</v>
      </c>
      <c r="V35" s="305"/>
      <c r="W35" s="345"/>
    </row>
    <row r="36" spans="2:23" x14ac:dyDescent="0.25">
      <c r="B36" s="304"/>
      <c r="C36" s="399"/>
      <c r="D36" s="300"/>
      <c r="E36" s="301"/>
      <c r="G36" s="305"/>
      <c r="H36" s="345"/>
      <c r="I36" s="190"/>
      <c r="J36" s="298"/>
      <c r="K36" s="190"/>
      <c r="L36" s="86"/>
      <c r="M36" s="305"/>
      <c r="N36" s="345"/>
      <c r="O36" s="329"/>
      <c r="P36" s="373"/>
      <c r="Q36" s="299"/>
      <c r="S36" s="305"/>
      <c r="T36" s="345"/>
      <c r="V36" s="305"/>
      <c r="W36" s="345"/>
    </row>
    <row r="37" spans="2:23" x14ac:dyDescent="0.25">
      <c r="B37" s="304"/>
      <c r="D37" s="300"/>
      <c r="E37" s="301"/>
      <c r="G37" s="305"/>
      <c r="H37" s="345"/>
      <c r="I37" s="190"/>
      <c r="J37" s="298"/>
      <c r="K37" s="190"/>
      <c r="L37" s="86"/>
      <c r="M37" s="305"/>
      <c r="N37" s="345"/>
      <c r="O37" s="329"/>
      <c r="P37" s="373"/>
      <c r="Q37" s="299"/>
      <c r="S37" s="305"/>
      <c r="T37" s="374"/>
      <c r="V37" s="86"/>
      <c r="W37" s="86"/>
    </row>
    <row r="38" spans="2:23" x14ac:dyDescent="0.25">
      <c r="B38" s="304"/>
      <c r="D38" s="300">
        <v>46203</v>
      </c>
      <c r="E38" s="301" t="s">
        <v>61</v>
      </c>
      <c r="F38" s="86">
        <v>3411506.44</v>
      </c>
      <c r="G38" s="305"/>
      <c r="I38" s="306">
        <v>73435</v>
      </c>
      <c r="J38" s="298"/>
      <c r="K38" s="190"/>
      <c r="L38" s="86">
        <v>2158249.0572000002</v>
      </c>
      <c r="M38" s="305"/>
      <c r="N38" s="86"/>
      <c r="O38" s="329">
        <f>L38/F38</f>
        <v>0.63263813073734088</v>
      </c>
      <c r="P38" s="373"/>
      <c r="Q38" s="86"/>
      <c r="S38" s="305"/>
      <c r="T38" s="86"/>
      <c r="V38" s="86"/>
      <c r="W38" s="86"/>
    </row>
    <row r="39" spans="2:23" x14ac:dyDescent="0.25">
      <c r="B39" s="304"/>
      <c r="D39" s="300"/>
      <c r="E39" s="301"/>
      <c r="G39" s="305"/>
      <c r="I39" s="190"/>
      <c r="J39" s="298"/>
      <c r="K39" s="190"/>
      <c r="L39" s="86"/>
      <c r="M39" s="305"/>
      <c r="N39" s="86"/>
      <c r="O39" s="329"/>
      <c r="P39" s="373"/>
      <c r="Q39" s="86"/>
      <c r="S39" s="305"/>
      <c r="T39" s="86"/>
      <c r="V39" s="86"/>
      <c r="W39" s="86"/>
    </row>
    <row r="40" spans="2:23" x14ac:dyDescent="0.25">
      <c r="B40" s="304"/>
      <c r="D40" s="300"/>
      <c r="E40" s="301"/>
      <c r="G40" s="305"/>
      <c r="I40" s="190"/>
      <c r="J40" s="298"/>
      <c r="K40" s="190"/>
      <c r="L40" s="86"/>
      <c r="M40" s="305"/>
      <c r="N40" s="86"/>
      <c r="O40" s="329"/>
      <c r="P40" s="299"/>
      <c r="Q40" s="86"/>
      <c r="S40" s="305"/>
      <c r="T40" s="86"/>
      <c r="V40" s="86"/>
      <c r="W40" s="86"/>
    </row>
    <row r="41" spans="2:23" x14ac:dyDescent="0.25">
      <c r="B41" s="82"/>
      <c r="D41" s="85"/>
      <c r="E41" s="85"/>
      <c r="I41" s="190"/>
      <c r="J41" s="298"/>
      <c r="K41" s="190"/>
      <c r="L41" s="86"/>
      <c r="M41" s="86"/>
      <c r="N41" s="86"/>
      <c r="P41" s="86"/>
      <c r="Q41" s="86"/>
      <c r="S41" s="86"/>
      <c r="T41" s="86"/>
      <c r="V41" s="86"/>
      <c r="W41" s="86"/>
    </row>
    <row r="42" spans="2:23" x14ac:dyDescent="0.25">
      <c r="B42" s="82"/>
      <c r="D42" s="85"/>
      <c r="E42" s="85"/>
      <c r="I42" s="190"/>
      <c r="J42" s="298"/>
      <c r="K42" s="190"/>
      <c r="L42" s="86"/>
      <c r="M42" s="86"/>
      <c r="N42" s="86"/>
      <c r="P42" s="86"/>
      <c r="Q42" s="86"/>
      <c r="S42" s="86"/>
      <c r="T42" s="86"/>
      <c r="V42" s="86"/>
      <c r="W42" s="86"/>
    </row>
    <row r="43" spans="2:23" x14ac:dyDescent="0.25">
      <c r="B43" s="82"/>
      <c r="D43" s="85"/>
      <c r="E43" s="85"/>
      <c r="I43" s="190"/>
      <c r="J43" s="298"/>
      <c r="K43" s="190"/>
      <c r="L43" s="86"/>
      <c r="M43" s="86"/>
      <c r="N43" s="86"/>
      <c r="P43" s="86"/>
      <c r="Q43" s="86"/>
      <c r="S43" s="86"/>
      <c r="T43" s="86"/>
      <c r="V43" s="86"/>
      <c r="W43" s="86"/>
    </row>
    <row r="44" spans="2:23" x14ac:dyDescent="0.25">
      <c r="J44" s="298"/>
    </row>
    <row r="45" spans="2:23" x14ac:dyDescent="0.25">
      <c r="J45" s="298"/>
    </row>
    <row r="46" spans="2:23" x14ac:dyDescent="0.25">
      <c r="J46" s="298"/>
    </row>
    <row r="47" spans="2:23" x14ac:dyDescent="0.25">
      <c r="J47" s="298"/>
    </row>
  </sheetData>
  <mergeCells count="42">
    <mergeCell ref="W5:W34"/>
    <mergeCell ref="S13:S19"/>
    <mergeCell ref="C5:C35"/>
    <mergeCell ref="B11:B17"/>
    <mergeCell ref="N5:N34"/>
    <mergeCell ref="Q5:Q34"/>
    <mergeCell ref="S6:S12"/>
    <mergeCell ref="V27:V33"/>
    <mergeCell ref="T5:T34"/>
    <mergeCell ref="V6:V12"/>
    <mergeCell ref="V13:V19"/>
    <mergeCell ref="V20:V26"/>
    <mergeCell ref="S20:S26"/>
    <mergeCell ref="S27:S33"/>
    <mergeCell ref="B18:B24"/>
    <mergeCell ref="B25:B31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P5:P10"/>
    <mergeCell ref="P11:P17"/>
    <mergeCell ref="P18:P24"/>
    <mergeCell ref="P25:P31"/>
    <mergeCell ref="B5:B10"/>
    <mergeCell ref="H5:H34"/>
    <mergeCell ref="K5:K34"/>
    <mergeCell ref="G5:G10"/>
    <mergeCell ref="J5:J10"/>
    <mergeCell ref="M5:M10"/>
    <mergeCell ref="G11:G17"/>
    <mergeCell ref="J11:J17"/>
    <mergeCell ref="M11:M17"/>
    <mergeCell ref="G18:G24"/>
    <mergeCell ref="J18:J24"/>
    <mergeCell ref="M18:M24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51"/>
  <sheetViews>
    <sheetView zoomScale="85" zoomScaleNormal="85" workbookViewId="0">
      <selection activeCell="H36" sqref="H36"/>
    </sheetView>
  </sheetViews>
  <sheetFormatPr defaultColWidth="8.85546875" defaultRowHeight="14.25" x14ac:dyDescent="0.25"/>
  <cols>
    <col min="1" max="1" width="4.42578125" style="73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25.5703125" style="93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62" width="8.85546875" style="73" customWidth="1"/>
    <col min="63" max="16384" width="8.85546875" style="73"/>
  </cols>
  <sheetData>
    <row r="1" spans="2:23" x14ac:dyDescent="0.25">
      <c r="C1" s="79">
        <v>122.3</v>
      </c>
      <c r="F1" s="347"/>
    </row>
    <row r="2" spans="2:23" ht="38.1" customHeight="1" x14ac:dyDescent="0.25">
      <c r="B2" s="442" t="s">
        <v>8</v>
      </c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5"/>
      <c r="R2" s="455"/>
      <c r="S2" s="455"/>
      <c r="T2" s="455"/>
      <c r="U2" s="455"/>
    </row>
    <row r="3" spans="2:23" s="71" customFormat="1" ht="23.45" customHeight="1" x14ac:dyDescent="0.25">
      <c r="B3" s="446" t="s">
        <v>43</v>
      </c>
      <c r="C3" s="447" t="s">
        <v>44</v>
      </c>
      <c r="D3" s="448" t="s">
        <v>45</v>
      </c>
      <c r="E3" s="448"/>
      <c r="F3" s="456" t="s">
        <v>62</v>
      </c>
      <c r="G3" s="456"/>
      <c r="H3" s="456"/>
      <c r="I3" s="458" t="s">
        <v>63</v>
      </c>
      <c r="J3" s="458"/>
      <c r="K3" s="458"/>
      <c r="L3" s="457" t="s">
        <v>64</v>
      </c>
      <c r="M3" s="457"/>
      <c r="N3" s="457"/>
      <c r="O3" s="457" t="s">
        <v>65</v>
      </c>
      <c r="P3" s="457"/>
      <c r="Q3" s="457"/>
      <c r="R3" s="457" t="s">
        <v>66</v>
      </c>
      <c r="S3" s="457"/>
      <c r="T3" s="457"/>
      <c r="U3" s="457" t="s">
        <v>67</v>
      </c>
      <c r="V3" s="457"/>
      <c r="W3" s="457"/>
    </row>
    <row r="4" spans="2:23" ht="15.75" x14ac:dyDescent="0.25">
      <c r="B4" s="446"/>
      <c r="C4" s="447"/>
      <c r="D4" s="448"/>
      <c r="E4" s="448"/>
      <c r="F4" s="84" t="s">
        <v>52</v>
      </c>
      <c r="G4" s="95" t="s">
        <v>68</v>
      </c>
      <c r="H4" s="95" t="s">
        <v>69</v>
      </c>
      <c r="I4" s="84" t="s">
        <v>52</v>
      </c>
      <c r="J4" s="94" t="s">
        <v>68</v>
      </c>
      <c r="K4" s="94" t="s">
        <v>69</v>
      </c>
      <c r="L4" s="84" t="s">
        <v>52</v>
      </c>
      <c r="M4" s="94" t="s">
        <v>68</v>
      </c>
      <c r="N4" s="94" t="s">
        <v>69</v>
      </c>
      <c r="O4" s="84" t="s">
        <v>52</v>
      </c>
      <c r="P4" s="94" t="s">
        <v>68</v>
      </c>
      <c r="Q4" s="94" t="s">
        <v>69</v>
      </c>
      <c r="R4" s="84" t="s">
        <v>52</v>
      </c>
      <c r="S4" s="94" t="s">
        <v>68</v>
      </c>
      <c r="T4" s="94" t="s">
        <v>69</v>
      </c>
      <c r="U4" s="84" t="s">
        <v>52</v>
      </c>
      <c r="V4" s="94" t="s">
        <v>68</v>
      </c>
      <c r="W4" s="94" t="s">
        <v>69</v>
      </c>
    </row>
    <row r="5" spans="2:23" ht="14.45" customHeight="1" x14ac:dyDescent="0.25">
      <c r="B5" s="438">
        <v>46211</v>
      </c>
      <c r="C5" s="452" t="s">
        <v>55</v>
      </c>
      <c r="D5" s="300">
        <v>46204</v>
      </c>
      <c r="E5" s="300" t="s">
        <v>56</v>
      </c>
      <c r="F5" s="92">
        <v>108.4</v>
      </c>
      <c r="G5" s="453">
        <f>(SUM(F5:F10)+F38)/7</f>
        <v>110.8</v>
      </c>
      <c r="H5" s="453">
        <f>AVERAGE(F5:F35)</f>
        <v>112.25</v>
      </c>
      <c r="I5" s="350">
        <f>F5/$C$1</f>
        <v>0.88634505314799683</v>
      </c>
      <c r="J5" s="454">
        <f>AVERAGE(F5:F10,F38)/$C$1</f>
        <v>0.90596892886345048</v>
      </c>
      <c r="K5" s="454">
        <f>AVERAGE(I5:I38)</f>
        <v>0.91803916987890821</v>
      </c>
      <c r="L5" s="89">
        <f>'日別報廢率總表 '!C4/'日別報廢率總表 '!B4</f>
        <v>2.32603798932822E-3</v>
      </c>
      <c r="M5" s="451">
        <f>'日別報廢率總表 '!N4/'日別報廢率總表 '!M4</f>
        <v>2.2480416881101159E-3</v>
      </c>
      <c r="N5" s="451">
        <f>'日別報廢率總表 '!C36/'日別報廢率總表 '!B36</f>
        <v>2.475859043300751E-3</v>
      </c>
      <c r="O5" s="89">
        <f>'日別報廢率總表 '!E4/'日別報廢率總表 '!B4</f>
        <v>4.472966218632665E-3</v>
      </c>
      <c r="P5" s="451">
        <f>'日別報廢率總表 '!O4/'日別報廢率總表 '!M4</f>
        <v>3.8929937419797506E-3</v>
      </c>
      <c r="Q5" s="451">
        <f>'日別報廢率總表 '!E36/'日別報廢率總表 '!B36</f>
        <v>3.2437446964715495E-3</v>
      </c>
      <c r="R5" s="166">
        <v>0.28570000000000001</v>
      </c>
      <c r="S5" s="451">
        <f>AVERAGE(R5:R10)</f>
        <v>0.28570000000000001</v>
      </c>
      <c r="T5" s="451">
        <f>AVERAGE(R5:R35)</f>
        <v>0.28570000000000012</v>
      </c>
      <c r="U5" s="166">
        <v>0.95</v>
      </c>
      <c r="V5" s="451">
        <f>AVERAGE(U5:U10)</f>
        <v>0.79999999999999993</v>
      </c>
      <c r="W5" s="451">
        <f>AVERAGE(U5:U33)</f>
        <v>0.82241379310344853</v>
      </c>
    </row>
    <row r="6" spans="2:23" ht="14.45" customHeight="1" x14ac:dyDescent="0.25">
      <c r="B6" s="438"/>
      <c r="C6" s="452"/>
      <c r="D6" s="300">
        <v>46205</v>
      </c>
      <c r="E6" s="301" t="s">
        <v>57</v>
      </c>
      <c r="F6" s="92">
        <v>108.7</v>
      </c>
      <c r="G6" s="453"/>
      <c r="H6" s="453"/>
      <c r="I6" s="350">
        <f t="shared" ref="I6:I24" si="0">F6/$C$1</f>
        <v>0.88879803761242848</v>
      </c>
      <c r="J6" s="454"/>
      <c r="K6" s="454"/>
      <c r="L6" s="89">
        <f>'日別報廢率總表 '!C5/'日別報廢率總表 '!B5</f>
        <v>2.1041335696987732E-3</v>
      </c>
      <c r="M6" s="451"/>
      <c r="N6" s="451"/>
      <c r="O6" s="89">
        <f>'日別報廢率總表 '!E5/'日別報廢率總表 '!B5</f>
        <v>3.8430133108686951E-3</v>
      </c>
      <c r="P6" s="451"/>
      <c r="Q6" s="451"/>
      <c r="R6" s="166">
        <v>0.28570000000000001</v>
      </c>
      <c r="S6" s="451"/>
      <c r="T6" s="451"/>
      <c r="U6" s="166">
        <v>0.75</v>
      </c>
      <c r="V6" s="451"/>
      <c r="W6" s="451"/>
    </row>
    <row r="7" spans="2:23" ht="14.45" customHeight="1" x14ac:dyDescent="0.25">
      <c r="B7" s="438"/>
      <c r="C7" s="452"/>
      <c r="D7" s="300">
        <v>46206</v>
      </c>
      <c r="E7" s="301" t="s">
        <v>58</v>
      </c>
      <c r="F7" s="92">
        <v>110.3</v>
      </c>
      <c r="G7" s="453"/>
      <c r="H7" s="453"/>
      <c r="I7" s="350">
        <f t="shared" si="0"/>
        <v>0.90188062142273095</v>
      </c>
      <c r="J7" s="454"/>
      <c r="K7" s="454"/>
      <c r="L7" s="89">
        <f>'日別報廢率總表 '!C6/'日別報廢率總表 '!B6</f>
        <v>1.198108100041383E-3</v>
      </c>
      <c r="M7" s="451"/>
      <c r="N7" s="451"/>
      <c r="O7" s="89">
        <f>'日別報廢率總表 '!E6/'日別報廢率總表 '!B6</f>
        <v>2.2266928919905311E-3</v>
      </c>
      <c r="P7" s="451"/>
      <c r="Q7" s="451"/>
      <c r="R7" s="166">
        <v>0.28570000000000001</v>
      </c>
      <c r="S7" s="451"/>
      <c r="T7" s="451"/>
      <c r="U7" s="166">
        <v>0.75</v>
      </c>
      <c r="V7" s="451"/>
      <c r="W7" s="451"/>
    </row>
    <row r="8" spans="2:23" ht="14.45" customHeight="1" x14ac:dyDescent="0.25">
      <c r="B8" s="438"/>
      <c r="C8" s="452"/>
      <c r="D8" s="300">
        <v>46207</v>
      </c>
      <c r="E8" s="301" t="s">
        <v>59</v>
      </c>
      <c r="F8" s="92">
        <v>110.6</v>
      </c>
      <c r="G8" s="453"/>
      <c r="H8" s="453"/>
      <c r="I8" s="350">
        <f t="shared" si="0"/>
        <v>0.90433360588716272</v>
      </c>
      <c r="J8" s="454"/>
      <c r="K8" s="454"/>
      <c r="L8" s="89">
        <f>'日別報廢率總表 '!C7/'日別報廢率總表 '!B7</f>
        <v>3.6737765954609146E-3</v>
      </c>
      <c r="M8" s="451"/>
      <c r="N8" s="451"/>
      <c r="O8" s="89">
        <f>'日別報廢率總表 '!E7/'日別報廢率總表 '!B7</f>
        <v>5.9518247689067686E-3</v>
      </c>
      <c r="P8" s="451"/>
      <c r="Q8" s="451"/>
      <c r="R8" s="166">
        <v>0.28570000000000001</v>
      </c>
      <c r="S8" s="451"/>
      <c r="T8" s="451"/>
      <c r="U8" s="166">
        <v>0.75</v>
      </c>
      <c r="V8" s="451"/>
      <c r="W8" s="451"/>
    </row>
    <row r="9" spans="2:23" ht="14.45" customHeight="1" x14ac:dyDescent="0.25">
      <c r="B9" s="438"/>
      <c r="C9" s="452"/>
      <c r="D9" s="300">
        <v>46208</v>
      </c>
      <c r="E9" s="301" t="s">
        <v>52</v>
      </c>
      <c r="F9" s="92">
        <v>112.7</v>
      </c>
      <c r="G9" s="453"/>
      <c r="H9" s="453"/>
      <c r="I9" s="350">
        <f t="shared" si="0"/>
        <v>0.92150449713818483</v>
      </c>
      <c r="J9" s="454"/>
      <c r="K9" s="454"/>
      <c r="L9" s="89">
        <f>'日別報廢率總表 '!C8/'日別報廢率總表 '!B8</f>
        <v>3.4429345354527519E-3</v>
      </c>
      <c r="M9" s="451"/>
      <c r="N9" s="451"/>
      <c r="O9" s="89">
        <f>'日別報廢率總表 '!E8/'日別報廢率總表 '!B8</f>
        <v>5.3104474415448556E-3</v>
      </c>
      <c r="P9" s="451"/>
      <c r="Q9" s="451"/>
      <c r="R9" s="166">
        <v>0.28570000000000001</v>
      </c>
      <c r="S9" s="451"/>
      <c r="T9" s="451"/>
      <c r="U9" s="166">
        <v>0.8</v>
      </c>
      <c r="V9" s="451"/>
      <c r="W9" s="451"/>
    </row>
    <row r="10" spans="2:23" ht="14.45" customHeight="1" x14ac:dyDescent="0.25">
      <c r="B10" s="438"/>
      <c r="C10" s="452"/>
      <c r="D10" s="300">
        <v>46209</v>
      </c>
      <c r="E10" s="301" t="s">
        <v>60</v>
      </c>
      <c r="F10" s="92">
        <v>112.1</v>
      </c>
      <c r="G10" s="453"/>
      <c r="H10" s="453"/>
      <c r="I10" s="350">
        <f t="shared" si="0"/>
        <v>0.91659852820932131</v>
      </c>
      <c r="J10" s="454"/>
      <c r="K10" s="454"/>
      <c r="L10" s="89">
        <f>'日別報廢率總表 '!C9/'日別報廢率總表 '!B9</f>
        <v>6.1758210410982133E-4</v>
      </c>
      <c r="M10" s="451"/>
      <c r="N10" s="451"/>
      <c r="O10" s="89">
        <f>'日別報廢率總表 '!E9/'日別報廢率總表 '!B9</f>
        <v>1.404836613091597E-3</v>
      </c>
      <c r="P10" s="451"/>
      <c r="Q10" s="451"/>
      <c r="R10" s="166">
        <v>0.28570000000000001</v>
      </c>
      <c r="S10" s="451"/>
      <c r="T10" s="451"/>
      <c r="U10" s="166">
        <v>0.8</v>
      </c>
      <c r="V10" s="451"/>
      <c r="W10" s="451"/>
    </row>
    <row r="11" spans="2:23" ht="14.45" customHeight="1" x14ac:dyDescent="0.25">
      <c r="B11" s="438">
        <v>46218</v>
      </c>
      <c r="C11" s="452"/>
      <c r="D11" s="300">
        <v>46210</v>
      </c>
      <c r="E11" s="301" t="s">
        <v>61</v>
      </c>
      <c r="F11" s="92">
        <v>113.9</v>
      </c>
      <c r="G11" s="453">
        <f>AVERAGE(F11:F17)</f>
        <v>113.45714285714284</v>
      </c>
      <c r="H11" s="453"/>
      <c r="I11" s="350">
        <f t="shared" si="0"/>
        <v>0.93131643499591177</v>
      </c>
      <c r="J11" s="454">
        <f>AVERAGE(F11:F17)/$C$1</f>
        <v>0.92769536269127428</v>
      </c>
      <c r="K11" s="454"/>
      <c r="L11" s="89">
        <f>'日別報廢率總表 '!C10/'日別報廢率總表 '!B10</f>
        <v>3.4873563699433182E-3</v>
      </c>
      <c r="M11" s="451">
        <f>'日別報廢率總表 '!N10/'日別報廢率總表 '!M10</f>
        <v>2.3201229937169082E-3</v>
      </c>
      <c r="N11" s="451"/>
      <c r="O11" s="89">
        <f>'日別報廢率總表 '!E10/'日別報廢率總表 '!B10</f>
        <v>4.3177596282077688E-3</v>
      </c>
      <c r="P11" s="451">
        <f>'日別報廢率總表 '!O10/'日別報廢率總表 '!M10</f>
        <v>3.2259512215818621E-3</v>
      </c>
      <c r="Q11" s="451"/>
      <c r="R11" s="166">
        <v>0.28570000000000001</v>
      </c>
      <c r="S11" s="451">
        <f>AVERAGE(R11:R17)</f>
        <v>0.28570000000000001</v>
      </c>
      <c r="T11" s="451"/>
      <c r="U11" s="166">
        <v>0.8</v>
      </c>
      <c r="V11" s="451">
        <f>AVERAGE(U11:U17)</f>
        <v>0.79999999999999993</v>
      </c>
      <c r="W11" s="451"/>
    </row>
    <row r="12" spans="2:23" ht="14.45" customHeight="1" x14ac:dyDescent="0.25">
      <c r="B12" s="438"/>
      <c r="C12" s="452"/>
      <c r="D12" s="300">
        <v>46211</v>
      </c>
      <c r="E12" s="300" t="s">
        <v>56</v>
      </c>
      <c r="F12" s="92">
        <v>113.4</v>
      </c>
      <c r="G12" s="453"/>
      <c r="H12" s="453"/>
      <c r="I12" s="350">
        <f t="shared" si="0"/>
        <v>0.92722812755519224</v>
      </c>
      <c r="J12" s="454"/>
      <c r="K12" s="454"/>
      <c r="L12" s="89">
        <f>'日別報廢率總表 '!C11/'日別報廢率總表 '!B11</f>
        <v>4.3968656368340692E-4</v>
      </c>
      <c r="M12" s="451"/>
      <c r="N12" s="451"/>
      <c r="O12" s="89">
        <f>'日別報廢率總表 '!E11/'日別報廢率總表 '!B11</f>
        <v>1.4416776660977157E-4</v>
      </c>
      <c r="P12" s="451"/>
      <c r="Q12" s="451"/>
      <c r="R12" s="166">
        <v>0.28570000000000001</v>
      </c>
      <c r="S12" s="451"/>
      <c r="T12" s="451"/>
      <c r="U12" s="166">
        <v>0.8</v>
      </c>
      <c r="V12" s="451"/>
      <c r="W12" s="451"/>
    </row>
    <row r="13" spans="2:23" ht="14.45" customHeight="1" x14ac:dyDescent="0.25">
      <c r="B13" s="438"/>
      <c r="C13" s="452"/>
      <c r="D13" s="300">
        <v>46212</v>
      </c>
      <c r="E13" s="301" t="s">
        <v>57</v>
      </c>
      <c r="F13" s="92">
        <v>112.2</v>
      </c>
      <c r="G13" s="453"/>
      <c r="H13" s="453"/>
      <c r="I13" s="350">
        <f t="shared" si="0"/>
        <v>0.9174161896974653</v>
      </c>
      <c r="J13" s="454"/>
      <c r="K13" s="454"/>
      <c r="L13" s="89">
        <f>'日別報廢率總表 '!C12/'日別報廢率總表 '!B12</f>
        <v>4.6947755239043178E-4</v>
      </c>
      <c r="M13" s="451"/>
      <c r="N13" s="451"/>
      <c r="O13" s="89">
        <f>'日別報廢率總表 '!E12/'日別報廢率總表 '!B12</f>
        <v>7.6458583809276156E-4</v>
      </c>
      <c r="P13" s="451"/>
      <c r="Q13" s="451"/>
      <c r="R13" s="166">
        <v>0.28570000000000001</v>
      </c>
      <c r="S13" s="451"/>
      <c r="T13" s="451"/>
      <c r="U13" s="166">
        <v>0.8</v>
      </c>
      <c r="V13" s="451"/>
      <c r="W13" s="451"/>
    </row>
    <row r="14" spans="2:23" ht="14.45" customHeight="1" x14ac:dyDescent="0.25">
      <c r="B14" s="438"/>
      <c r="C14" s="452"/>
      <c r="D14" s="300">
        <v>46213</v>
      </c>
      <c r="E14" s="301" t="s">
        <v>58</v>
      </c>
      <c r="F14" s="92">
        <v>110.1</v>
      </c>
      <c r="G14" s="453"/>
      <c r="H14" s="453"/>
      <c r="I14" s="350">
        <f t="shared" si="0"/>
        <v>0.90024529844644319</v>
      </c>
      <c r="J14" s="454"/>
      <c r="K14" s="454"/>
      <c r="L14" s="89">
        <f>'日別報廢率總表 '!C13/'日別報廢率總表 '!B13</f>
        <v>2.5282844626392555E-3</v>
      </c>
      <c r="M14" s="451"/>
      <c r="N14" s="451"/>
      <c r="O14" s="89">
        <f>'日別報廢率總表 '!E13/'日別報廢率總表 '!B13</f>
        <v>4.0588680101126037E-3</v>
      </c>
      <c r="P14" s="451"/>
      <c r="Q14" s="451"/>
      <c r="R14" s="166">
        <v>0.28570000000000001</v>
      </c>
      <c r="S14" s="451"/>
      <c r="T14" s="451"/>
      <c r="U14" s="166">
        <v>0.8</v>
      </c>
      <c r="V14" s="451"/>
      <c r="W14" s="451"/>
    </row>
    <row r="15" spans="2:23" ht="14.45" customHeight="1" x14ac:dyDescent="0.25">
      <c r="B15" s="438"/>
      <c r="C15" s="452"/>
      <c r="D15" s="300">
        <v>46214</v>
      </c>
      <c r="E15" s="301" t="s">
        <v>59</v>
      </c>
      <c r="F15" s="92">
        <v>114.9</v>
      </c>
      <c r="G15" s="453"/>
      <c r="H15" s="453"/>
      <c r="I15" s="350">
        <f t="shared" si="0"/>
        <v>0.93949304987735083</v>
      </c>
      <c r="J15" s="454"/>
      <c r="K15" s="454"/>
      <c r="L15" s="89">
        <f>'日別報廢率總表 '!C14/'日別報廢率總表 '!B14</f>
        <v>3.3121078012472698E-3</v>
      </c>
      <c r="M15" s="451"/>
      <c r="N15" s="451"/>
      <c r="O15" s="89">
        <f>'日別報廢率總表 '!E14/'日別報廢率總表 '!B14</f>
        <v>5.4262865154734961E-3</v>
      </c>
      <c r="P15" s="451"/>
      <c r="Q15" s="451"/>
      <c r="R15" s="166">
        <v>0.28570000000000001</v>
      </c>
      <c r="S15" s="451"/>
      <c r="T15" s="451"/>
      <c r="U15" s="166">
        <v>0.8</v>
      </c>
      <c r="V15" s="451"/>
      <c r="W15" s="451"/>
    </row>
    <row r="16" spans="2:23" ht="14.45" customHeight="1" x14ac:dyDescent="0.25">
      <c r="B16" s="438"/>
      <c r="C16" s="452"/>
      <c r="D16" s="300">
        <v>46215</v>
      </c>
      <c r="E16" s="301" t="s">
        <v>52</v>
      </c>
      <c r="F16" s="92">
        <v>113.9</v>
      </c>
      <c r="G16" s="453"/>
      <c r="H16" s="453"/>
      <c r="I16" s="350">
        <f t="shared" si="0"/>
        <v>0.93131643499591177</v>
      </c>
      <c r="J16" s="454"/>
      <c r="K16" s="454"/>
      <c r="L16" s="89">
        <f>'日別報廢率總表 '!C15/'日別報廢率總表 '!B15</f>
        <v>5.867119268719456E-3</v>
      </c>
      <c r="M16" s="451"/>
      <c r="N16" s="451"/>
      <c r="O16" s="89">
        <f>'日別報廢率總表 '!E15/'日別報廢率總表 '!B15</f>
        <v>8.4265972658268701E-3</v>
      </c>
      <c r="P16" s="451"/>
      <c r="Q16" s="451"/>
      <c r="R16" s="166">
        <v>0.28570000000000001</v>
      </c>
      <c r="S16" s="451"/>
      <c r="T16" s="451"/>
      <c r="U16" s="166">
        <v>0.8</v>
      </c>
      <c r="V16" s="451"/>
      <c r="W16" s="451"/>
    </row>
    <row r="17" spans="2:23" ht="14.45" customHeight="1" x14ac:dyDescent="0.25">
      <c r="B17" s="438"/>
      <c r="C17" s="452"/>
      <c r="D17" s="300">
        <v>46216</v>
      </c>
      <c r="E17" s="301" t="s">
        <v>60</v>
      </c>
      <c r="F17" s="92">
        <v>115.8</v>
      </c>
      <c r="G17" s="453"/>
      <c r="H17" s="453"/>
      <c r="I17" s="350">
        <f t="shared" si="0"/>
        <v>0.946852003270646</v>
      </c>
      <c r="J17" s="454"/>
      <c r="K17" s="454"/>
      <c r="L17" s="89">
        <f>'日別報廢率總表 '!C16/'日別報廢率總表 '!B16</f>
        <v>3.8111794495836849E-4</v>
      </c>
      <c r="M17" s="451"/>
      <c r="N17" s="451"/>
      <c r="O17" s="89">
        <f>'日別報廢率總表 '!E16/'日別報廢率總表 '!B16</f>
        <v>1.1109622681546074E-5</v>
      </c>
      <c r="P17" s="451"/>
      <c r="Q17" s="451"/>
      <c r="R17" s="166">
        <v>0.28570000000000001</v>
      </c>
      <c r="S17" s="451"/>
      <c r="T17" s="451"/>
      <c r="U17" s="166">
        <v>0.8</v>
      </c>
      <c r="V17" s="451"/>
      <c r="W17" s="451"/>
    </row>
    <row r="18" spans="2:23" ht="14.45" customHeight="1" x14ac:dyDescent="0.25">
      <c r="B18" s="438">
        <v>46225</v>
      </c>
      <c r="C18" s="452"/>
      <c r="D18" s="300">
        <v>46217</v>
      </c>
      <c r="E18" s="301" t="s">
        <v>61</v>
      </c>
      <c r="F18" s="92">
        <v>108.8</v>
      </c>
      <c r="G18" s="453">
        <f>AVERAGE(F17:F23)</f>
        <v>113.12857142857141</v>
      </c>
      <c r="H18" s="453"/>
      <c r="I18" s="350">
        <f t="shared" si="0"/>
        <v>0.88961569910057237</v>
      </c>
      <c r="J18" s="454">
        <f>AVERAGE(F18:F24)/$C$1</f>
        <v>0.92045321808199965</v>
      </c>
      <c r="K18" s="454"/>
      <c r="L18" s="89">
        <f>'日別報廢率總表 '!C17/'日別報廢率總表 '!B17</f>
        <v>2.7490928042274731E-3</v>
      </c>
      <c r="M18" s="451">
        <f>'日別報廢率總表 '!N17/'日別報廢率總表 '!M17</f>
        <v>2.8275812096990199E-3</v>
      </c>
      <c r="N18" s="451"/>
      <c r="O18" s="89">
        <f>'日別報廢率總表 '!E17/'日別報廢率總表 '!B17</f>
        <v>3.3046488572708336E-3</v>
      </c>
      <c r="P18" s="451">
        <f>'日別報廢率總表 '!O17/'日別報廢率總表 '!M17</f>
        <v>2.7065688705750534E-3</v>
      </c>
      <c r="Q18" s="451"/>
      <c r="R18" s="166">
        <v>0.28570000000000001</v>
      </c>
      <c r="S18" s="451">
        <f>AVERAGE(R18:R24)</f>
        <v>0.28570000000000001</v>
      </c>
      <c r="T18" s="451"/>
      <c r="U18" s="166">
        <v>0.85</v>
      </c>
      <c r="V18" s="451">
        <f>AVERAGE(U18:U24)</f>
        <v>0.89285714285714302</v>
      </c>
      <c r="W18" s="451"/>
    </row>
    <row r="19" spans="2:23" ht="14.45" customHeight="1" x14ac:dyDescent="0.25">
      <c r="B19" s="438"/>
      <c r="C19" s="452"/>
      <c r="D19" s="300">
        <v>46218</v>
      </c>
      <c r="E19" s="300" t="s">
        <v>56</v>
      </c>
      <c r="F19" s="92">
        <v>114.6</v>
      </c>
      <c r="G19" s="453"/>
      <c r="H19" s="453"/>
      <c r="I19" s="350">
        <f t="shared" si="0"/>
        <v>0.93704006541291907</v>
      </c>
      <c r="J19" s="454"/>
      <c r="K19" s="454"/>
      <c r="L19" s="89">
        <f>'日別報廢率總表 '!C18/'日別報廢率總表 '!B18</f>
        <v>1.12401442919066E-3</v>
      </c>
      <c r="M19" s="451"/>
      <c r="N19" s="451"/>
      <c r="O19" s="89">
        <f>'日別報廢率總表 '!E18/'日別報廢率總表 '!B18</f>
        <v>9.4866358219064561E-4</v>
      </c>
      <c r="P19" s="451"/>
      <c r="Q19" s="451"/>
      <c r="R19" s="166">
        <v>0.28570000000000001</v>
      </c>
      <c r="S19" s="451"/>
      <c r="T19" s="451"/>
      <c r="U19" s="166">
        <v>0.9</v>
      </c>
      <c r="V19" s="451"/>
      <c r="W19" s="451"/>
    </row>
    <row r="20" spans="2:23" ht="14.45" customHeight="1" x14ac:dyDescent="0.25">
      <c r="B20" s="438"/>
      <c r="C20" s="452"/>
      <c r="D20" s="300">
        <v>46219</v>
      </c>
      <c r="E20" s="301" t="s">
        <v>57</v>
      </c>
      <c r="F20" s="92">
        <v>112.3</v>
      </c>
      <c r="G20" s="453"/>
      <c r="H20" s="453"/>
      <c r="I20" s="350">
        <f t="shared" si="0"/>
        <v>0.91823385118560918</v>
      </c>
      <c r="J20" s="454"/>
      <c r="K20" s="454"/>
      <c r="L20" s="89">
        <f>'日別報廢率總表 '!C19/'日別報廢率總表 '!B19</f>
        <v>2.0578931245863168E-3</v>
      </c>
      <c r="M20" s="451"/>
      <c r="N20" s="451"/>
      <c r="O20" s="89">
        <f>'日別報廢率總表 '!E19/'日別報廢率總表 '!B19</f>
        <v>1.8978758263682911E-3</v>
      </c>
      <c r="P20" s="451"/>
      <c r="Q20" s="451"/>
      <c r="R20" s="166">
        <v>0.28570000000000001</v>
      </c>
      <c r="S20" s="451"/>
      <c r="T20" s="451"/>
      <c r="U20" s="166">
        <v>0.9</v>
      </c>
      <c r="V20" s="451"/>
      <c r="W20" s="451"/>
    </row>
    <row r="21" spans="2:23" ht="14.45" customHeight="1" x14ac:dyDescent="0.25">
      <c r="B21" s="438"/>
      <c r="C21" s="452"/>
      <c r="D21" s="300">
        <v>46220</v>
      </c>
      <c r="E21" s="301" t="s">
        <v>58</v>
      </c>
      <c r="F21" s="92">
        <v>112.8</v>
      </c>
      <c r="G21" s="453"/>
      <c r="H21" s="453"/>
      <c r="I21" s="350">
        <f t="shared" si="0"/>
        <v>0.92232215862632871</v>
      </c>
      <c r="J21" s="454"/>
      <c r="K21" s="454"/>
      <c r="L21" s="89">
        <f>'日別報廢率總表 '!C20/'日別報廢率總表 '!B20</f>
        <v>3.6016491590867574E-3</v>
      </c>
      <c r="M21" s="451"/>
      <c r="N21" s="451"/>
      <c r="O21" s="89">
        <f>'日別報廢率總表 '!E20/'日別報廢率總表 '!B20</f>
        <v>3.5216036526928966E-3</v>
      </c>
      <c r="P21" s="451"/>
      <c r="Q21" s="451"/>
      <c r="R21" s="166">
        <v>0.28570000000000001</v>
      </c>
      <c r="S21" s="451"/>
      <c r="T21" s="451"/>
      <c r="U21" s="166">
        <v>0.9</v>
      </c>
      <c r="V21" s="451"/>
      <c r="W21" s="451"/>
    </row>
    <row r="22" spans="2:23" ht="14.45" customHeight="1" x14ac:dyDescent="0.25">
      <c r="B22" s="438"/>
      <c r="C22" s="452"/>
      <c r="D22" s="300">
        <v>46221</v>
      </c>
      <c r="E22" s="301" t="s">
        <v>59</v>
      </c>
      <c r="F22" s="92">
        <v>113.3</v>
      </c>
      <c r="G22" s="453"/>
      <c r="H22" s="453"/>
      <c r="I22" s="350">
        <f t="shared" si="0"/>
        <v>0.92641046606704824</v>
      </c>
      <c r="J22" s="454"/>
      <c r="K22" s="454"/>
      <c r="L22" s="89">
        <f>'日別報廢率總表 '!C21/'日別報廢率總表 '!B21</f>
        <v>6.1825742610762992E-3</v>
      </c>
      <c r="M22" s="451"/>
      <c r="N22" s="451"/>
      <c r="O22" s="89">
        <f>'日別報廢率總表 '!E21/'日別報廢率總表 '!B21</f>
        <v>5.9989016077677719E-3</v>
      </c>
      <c r="P22" s="451"/>
      <c r="Q22" s="451"/>
      <c r="R22" s="166">
        <v>0.28570000000000001</v>
      </c>
      <c r="S22" s="451"/>
      <c r="T22" s="451"/>
      <c r="U22" s="166">
        <v>0.9</v>
      </c>
      <c r="V22" s="451"/>
      <c r="W22" s="451"/>
    </row>
    <row r="23" spans="2:23" ht="14.45" customHeight="1" x14ac:dyDescent="0.25">
      <c r="B23" s="438"/>
      <c r="C23" s="452"/>
      <c r="D23" s="300">
        <v>46222</v>
      </c>
      <c r="E23" s="301" t="s">
        <v>52</v>
      </c>
      <c r="F23" s="92">
        <v>114.3</v>
      </c>
      <c r="G23" s="453"/>
      <c r="H23" s="453"/>
      <c r="I23" s="350">
        <f t="shared" si="0"/>
        <v>0.9345870809484873</v>
      </c>
      <c r="J23" s="454"/>
      <c r="K23" s="454"/>
      <c r="L23" s="89">
        <f>'日別報廢率總表 '!C22/'日別報廢率總表 '!B22</f>
        <v>1.4365814123344319E-3</v>
      </c>
      <c r="M23" s="451"/>
      <c r="N23" s="451"/>
      <c r="O23" s="89">
        <f>'日別報廢率總表 '!E22/'日別報廢率總表 '!B22</f>
        <v>2.9703245353115222E-4</v>
      </c>
      <c r="P23" s="451"/>
      <c r="Q23" s="451"/>
      <c r="R23" s="166">
        <v>0.28570000000000001</v>
      </c>
      <c r="S23" s="451"/>
      <c r="T23" s="451"/>
      <c r="U23" s="166">
        <v>0.9</v>
      </c>
      <c r="V23" s="451"/>
      <c r="W23" s="451"/>
    </row>
    <row r="24" spans="2:23" ht="14.45" customHeight="1" x14ac:dyDescent="0.25">
      <c r="B24" s="438"/>
      <c r="C24" s="452"/>
      <c r="D24" s="300">
        <v>46223</v>
      </c>
      <c r="E24" s="301" t="s">
        <v>60</v>
      </c>
      <c r="F24" s="92">
        <v>111.9</v>
      </c>
      <c r="G24" s="453"/>
      <c r="H24" s="453"/>
      <c r="I24" s="350">
        <f t="shared" si="0"/>
        <v>0.91496320523303354</v>
      </c>
      <c r="J24" s="454"/>
      <c r="K24" s="454"/>
      <c r="L24" s="89">
        <f>'日別報廢率總表 '!C23/'日別報廢率總表 '!B23</f>
        <v>3.452995473575575E-3</v>
      </c>
      <c r="M24" s="451"/>
      <c r="N24" s="451"/>
      <c r="O24" s="89">
        <f>'日別報廢率總表 '!E23/'日別報廢率總表 '!B23</f>
        <v>3.6985687461115837E-3</v>
      </c>
      <c r="P24" s="451"/>
      <c r="Q24" s="451"/>
      <c r="R24" s="166">
        <v>0.28570000000000001</v>
      </c>
      <c r="S24" s="451"/>
      <c r="T24" s="451"/>
      <c r="U24" s="166">
        <v>0.9</v>
      </c>
      <c r="V24" s="451"/>
      <c r="W24" s="451"/>
    </row>
    <row r="25" spans="2:23" ht="14.45" customHeight="1" x14ac:dyDescent="0.25">
      <c r="B25" s="438">
        <v>46232</v>
      </c>
      <c r="C25" s="452"/>
      <c r="D25" s="300">
        <v>46224</v>
      </c>
      <c r="E25" s="301" t="s">
        <v>61</v>
      </c>
      <c r="F25" s="92"/>
      <c r="G25" s="397">
        <f>AVERAGE(F24:F30)</f>
        <v>111.9</v>
      </c>
      <c r="H25" s="453"/>
      <c r="I25" s="350"/>
      <c r="J25" s="398" t="e">
        <f>AVERAGE(F25:F31)/$C$1</f>
        <v>#DIV/0!</v>
      </c>
      <c r="K25" s="454"/>
      <c r="L25" s="89" t="e">
        <f>'日別報廢率總表 '!C24/'日別報廢率總表 '!B24</f>
        <v>#DIV/0!</v>
      </c>
      <c r="M25" s="299" t="e">
        <f>'日別報廢率總表 '!N24/'日別報廢率總表 '!M24</f>
        <v>#DIV/0!</v>
      </c>
      <c r="N25" s="451"/>
      <c r="O25" s="89" t="e">
        <f>'日別報廢率總表 '!E24/'日別報廢率總表 '!B24</f>
        <v>#DIV/0!</v>
      </c>
      <c r="P25" s="299" t="e">
        <f>'日別報廢率總表 '!O24/'日別報廢率總表 '!M24</f>
        <v>#DIV/0!</v>
      </c>
      <c r="Q25" s="451"/>
      <c r="R25" s="166">
        <v>0.28570000000000001</v>
      </c>
      <c r="S25" s="395">
        <f>AVERAGE(R25:R31)</f>
        <v>0.28570000000000001</v>
      </c>
      <c r="T25" s="451"/>
      <c r="U25" s="166">
        <v>0.8</v>
      </c>
      <c r="V25" s="395">
        <f>AVERAGE(U25:U31)</f>
        <v>0.79999999999999993</v>
      </c>
      <c r="W25" s="451"/>
    </row>
    <row r="26" spans="2:23" ht="14.45" customHeight="1" x14ac:dyDescent="0.25">
      <c r="B26" s="438"/>
      <c r="C26" s="452"/>
      <c r="D26" s="300">
        <v>46225</v>
      </c>
      <c r="E26" s="300" t="s">
        <v>56</v>
      </c>
      <c r="F26" s="92"/>
      <c r="G26" s="338"/>
      <c r="H26" s="453"/>
      <c r="I26" s="350"/>
      <c r="J26" s="216"/>
      <c r="K26" s="454"/>
      <c r="L26" s="89" t="e">
        <f>'日別報廢率總表 '!C25/'日別報廢率總表 '!B25</f>
        <v>#DIV/0!</v>
      </c>
      <c r="M26" s="299"/>
      <c r="N26" s="451"/>
      <c r="O26" s="89" t="e">
        <f>'日別報廢率總表 '!E25/'日別報廢率總表 '!B25</f>
        <v>#DIV/0!</v>
      </c>
      <c r="P26" s="299"/>
      <c r="Q26" s="451"/>
      <c r="R26" s="166">
        <v>0.28570000000000001</v>
      </c>
      <c r="S26" s="395"/>
      <c r="T26" s="451"/>
      <c r="U26" s="166">
        <v>0.8</v>
      </c>
      <c r="V26" s="395"/>
      <c r="W26" s="451"/>
    </row>
    <row r="27" spans="2:23" ht="14.45" customHeight="1" x14ac:dyDescent="0.25">
      <c r="B27" s="438"/>
      <c r="C27" s="452"/>
      <c r="D27" s="300">
        <v>46226</v>
      </c>
      <c r="E27" s="301" t="s">
        <v>57</v>
      </c>
      <c r="F27" s="92"/>
      <c r="G27" s="338"/>
      <c r="H27" s="453"/>
      <c r="I27" s="350"/>
      <c r="J27" s="216"/>
      <c r="K27" s="454"/>
      <c r="L27" s="89" t="e">
        <f>'日別報廢率總表 '!C26/'日別報廢率總表 '!B26</f>
        <v>#DIV/0!</v>
      </c>
      <c r="M27" s="299"/>
      <c r="N27" s="451"/>
      <c r="O27" s="89" t="e">
        <f>'日別報廢率總表 '!E26/'日別報廢率總表 '!B26</f>
        <v>#DIV/0!</v>
      </c>
      <c r="P27" s="299"/>
      <c r="Q27" s="451"/>
      <c r="R27" s="166">
        <v>0.28570000000000001</v>
      </c>
      <c r="S27" s="395"/>
      <c r="T27" s="451"/>
      <c r="U27" s="166">
        <v>0.8</v>
      </c>
      <c r="V27" s="395"/>
      <c r="W27" s="451"/>
    </row>
    <row r="28" spans="2:23" ht="14.45" customHeight="1" x14ac:dyDescent="0.25">
      <c r="B28" s="438"/>
      <c r="C28" s="452"/>
      <c r="D28" s="300">
        <v>46227</v>
      </c>
      <c r="E28" s="301" t="s">
        <v>58</v>
      </c>
      <c r="F28" s="92"/>
      <c r="G28" s="338"/>
      <c r="H28" s="453"/>
      <c r="I28" s="350"/>
      <c r="J28" s="216"/>
      <c r="K28" s="454"/>
      <c r="L28" s="89" t="e">
        <f>'日別報廢率總表 '!C27/'日別報廢率總表 '!B27</f>
        <v>#DIV/0!</v>
      </c>
      <c r="M28" s="299"/>
      <c r="N28" s="451"/>
      <c r="O28" s="89" t="e">
        <f>'日別報廢率總表 '!E27/'日別報廢率總表 '!B27</f>
        <v>#DIV/0!</v>
      </c>
      <c r="P28" s="299"/>
      <c r="Q28" s="451"/>
      <c r="R28" s="166">
        <v>0.28570000000000001</v>
      </c>
      <c r="S28" s="395"/>
      <c r="T28" s="451"/>
      <c r="U28" s="166">
        <v>0.8</v>
      </c>
      <c r="V28" s="395"/>
      <c r="W28" s="451"/>
    </row>
    <row r="29" spans="2:23" ht="14.45" customHeight="1" x14ac:dyDescent="0.25">
      <c r="B29" s="438"/>
      <c r="C29" s="452"/>
      <c r="D29" s="300">
        <v>46228</v>
      </c>
      <c r="E29" s="301" t="s">
        <v>59</v>
      </c>
      <c r="F29" s="92"/>
      <c r="G29" s="338"/>
      <c r="H29" s="453"/>
      <c r="I29" s="350"/>
      <c r="J29" s="216"/>
      <c r="K29" s="454"/>
      <c r="L29" s="89" t="e">
        <f>'日別報廢率總表 '!C28/'日別報廢率總表 '!B28</f>
        <v>#DIV/0!</v>
      </c>
      <c r="M29" s="299"/>
      <c r="N29" s="451"/>
      <c r="O29" s="89" t="e">
        <f>'日別報廢率總表 '!E28/'日別報廢率總表 '!B28</f>
        <v>#DIV/0!</v>
      </c>
      <c r="P29" s="299"/>
      <c r="Q29" s="451"/>
      <c r="R29" s="166">
        <v>0.28570000000000001</v>
      </c>
      <c r="S29" s="299"/>
      <c r="T29" s="451"/>
      <c r="U29" s="166">
        <v>0.8</v>
      </c>
      <c r="V29" s="299"/>
      <c r="W29" s="451"/>
    </row>
    <row r="30" spans="2:23" ht="14.45" customHeight="1" x14ac:dyDescent="0.25">
      <c r="B30" s="438"/>
      <c r="C30" s="452"/>
      <c r="D30" s="300">
        <v>46229</v>
      </c>
      <c r="E30" s="301" t="s">
        <v>52</v>
      </c>
      <c r="F30" s="92"/>
      <c r="H30" s="453"/>
      <c r="I30" s="350"/>
      <c r="J30" s="216"/>
      <c r="K30" s="454"/>
      <c r="L30" s="89" t="e">
        <f>'日別報廢率總表 '!C29/'日別報廢率總表 '!B29</f>
        <v>#DIV/0!</v>
      </c>
      <c r="M30" s="299"/>
      <c r="N30" s="451"/>
      <c r="O30" s="89" t="e">
        <f>'日別報廢率總表 '!E29/'日別報廢率總表 '!B29</f>
        <v>#DIV/0!</v>
      </c>
      <c r="P30" s="299"/>
      <c r="Q30" s="451"/>
      <c r="R30" s="166">
        <v>0.28570000000000001</v>
      </c>
      <c r="S30" s="299"/>
      <c r="T30" s="451"/>
      <c r="U30" s="166">
        <v>0.8</v>
      </c>
      <c r="V30" s="299"/>
      <c r="W30" s="451"/>
    </row>
    <row r="31" spans="2:23" ht="14.45" customHeight="1" x14ac:dyDescent="0.25">
      <c r="B31" s="438"/>
      <c r="C31" s="452"/>
      <c r="D31" s="300">
        <v>46230</v>
      </c>
      <c r="E31" s="301" t="s">
        <v>60</v>
      </c>
      <c r="F31" s="92"/>
      <c r="G31" s="397" t="e">
        <f>AVERAGE(F30:F36)</f>
        <v>#DIV/0!</v>
      </c>
      <c r="H31" s="453"/>
      <c r="I31" s="350"/>
      <c r="J31" s="216"/>
      <c r="K31" s="454"/>
      <c r="L31" s="89" t="e">
        <f>'日別報廢率總表 '!C30/'日別報廢率總表 '!B30</f>
        <v>#DIV/0!</v>
      </c>
      <c r="M31" s="299"/>
      <c r="N31" s="451"/>
      <c r="O31" s="89" t="e">
        <f>'日別報廢率總表 '!E30/'日別報廢率總表 '!B30</f>
        <v>#DIV/0!</v>
      </c>
      <c r="P31" s="299"/>
      <c r="Q31" s="451"/>
      <c r="R31" s="166">
        <v>0.28570000000000001</v>
      </c>
      <c r="S31" s="299"/>
      <c r="T31" s="451"/>
      <c r="U31" s="166">
        <v>0.8</v>
      </c>
      <c r="V31" s="299"/>
      <c r="W31" s="451"/>
    </row>
    <row r="32" spans="2:23" ht="14.45" customHeight="1" x14ac:dyDescent="0.25">
      <c r="B32" s="304"/>
      <c r="C32" s="452"/>
      <c r="D32" s="300">
        <v>46231</v>
      </c>
      <c r="E32" s="301" t="s">
        <v>61</v>
      </c>
      <c r="F32" s="92"/>
      <c r="G32" s="338"/>
      <c r="H32" s="453"/>
      <c r="I32" s="350"/>
      <c r="J32" s="216"/>
      <c r="K32" s="454"/>
      <c r="L32" s="89" t="e">
        <f>'日別報廢率總表 '!C31/'日別報廢率總表 '!B31</f>
        <v>#DIV/0!</v>
      </c>
      <c r="M32" s="299"/>
      <c r="N32" s="451"/>
      <c r="O32" s="89" t="e">
        <f>'日別報廢率總表 '!E31/'日別報廢率總表 '!B31</f>
        <v>#DIV/0!</v>
      </c>
      <c r="P32" s="299"/>
      <c r="Q32" s="451"/>
      <c r="R32" s="166">
        <v>0.28570000000000001</v>
      </c>
      <c r="S32" s="299"/>
      <c r="T32" s="451"/>
      <c r="U32" s="166">
        <v>0.8</v>
      </c>
      <c r="V32" s="299"/>
      <c r="W32" s="451"/>
    </row>
    <row r="33" spans="2:23" ht="14.45" customHeight="1" x14ac:dyDescent="0.25">
      <c r="B33" s="304"/>
      <c r="C33" s="452"/>
      <c r="D33" s="300">
        <v>46232</v>
      </c>
      <c r="E33" s="300" t="s">
        <v>56</v>
      </c>
      <c r="F33" s="92"/>
      <c r="G33" s="338"/>
      <c r="H33" s="453"/>
      <c r="I33" s="350"/>
      <c r="J33" s="216"/>
      <c r="K33" s="454"/>
      <c r="L33" s="89" t="e">
        <f>'日別報廢率總表 '!C32/'日別報廢率總表 '!B32</f>
        <v>#DIV/0!</v>
      </c>
      <c r="M33" s="299"/>
      <c r="N33" s="451"/>
      <c r="O33" s="89" t="e">
        <f>'日別報廢率總表 '!E32/'日別報廢率總表 '!B32</f>
        <v>#DIV/0!</v>
      </c>
      <c r="P33" s="299"/>
      <c r="Q33" s="451"/>
      <c r="R33" s="166">
        <v>0.28570000000000001</v>
      </c>
      <c r="S33" s="299"/>
      <c r="T33" s="451"/>
      <c r="U33" s="166">
        <v>0.8</v>
      </c>
      <c r="V33" s="299"/>
      <c r="W33" s="451"/>
    </row>
    <row r="34" spans="2:23" ht="14.45" customHeight="1" x14ac:dyDescent="0.25">
      <c r="B34" s="304"/>
      <c r="C34" s="452"/>
      <c r="D34" s="300">
        <v>46233</v>
      </c>
      <c r="E34" s="301" t="s">
        <v>57</v>
      </c>
      <c r="G34" s="338"/>
      <c r="H34" s="453"/>
      <c r="I34" s="350"/>
      <c r="J34" s="216"/>
      <c r="K34" s="454"/>
      <c r="L34" s="89" t="e">
        <f>'日別報廢率總表 '!C33/'日別報廢率總表 '!B33</f>
        <v>#DIV/0!</v>
      </c>
      <c r="M34" s="299"/>
      <c r="N34" s="451"/>
      <c r="O34" s="89" t="e">
        <f>'日別報廢率總表 '!E33/'日別報廢率總表 '!B33</f>
        <v>#DIV/0!</v>
      </c>
      <c r="P34" s="299"/>
      <c r="Q34" s="451"/>
      <c r="R34" s="166">
        <v>0.28570000000000001</v>
      </c>
      <c r="S34" s="299"/>
      <c r="T34" s="451"/>
      <c r="U34" s="166">
        <v>0.8</v>
      </c>
      <c r="V34" s="299"/>
      <c r="W34" s="451"/>
    </row>
    <row r="35" spans="2:23" x14ac:dyDescent="0.25">
      <c r="B35" s="304"/>
      <c r="C35" s="452"/>
      <c r="D35" s="300">
        <v>46234</v>
      </c>
      <c r="E35" s="301" t="s">
        <v>58</v>
      </c>
      <c r="F35" s="92"/>
      <c r="G35" s="338"/>
      <c r="H35" s="453"/>
      <c r="I35" s="350"/>
      <c r="J35" s="216"/>
      <c r="K35" s="216"/>
      <c r="L35" s="89" t="e">
        <f>'日別報廢率總表 '!C34/'日別報廢率總表 '!B34</f>
        <v>#DIV/0!</v>
      </c>
      <c r="M35" s="299"/>
      <c r="N35" s="451"/>
      <c r="O35" s="89" t="e">
        <f>'日別報廢率總表 '!E34/'日別報廢率總表 '!B34</f>
        <v>#DIV/0!</v>
      </c>
      <c r="P35" s="299"/>
      <c r="Q35" s="451"/>
      <c r="R35" s="166">
        <v>0.28570000000000001</v>
      </c>
      <c r="S35" s="299"/>
      <c r="T35" s="451"/>
      <c r="U35" s="166">
        <v>0.8</v>
      </c>
      <c r="V35" s="299"/>
      <c r="W35" s="451"/>
    </row>
    <row r="36" spans="2:23" x14ac:dyDescent="0.25">
      <c r="B36" s="304"/>
      <c r="C36" s="399"/>
      <c r="D36" s="300"/>
      <c r="E36" s="301"/>
      <c r="F36" s="92"/>
      <c r="G36" s="338"/>
      <c r="H36" s="92"/>
      <c r="I36" s="350"/>
      <c r="J36" s="216"/>
      <c r="K36" s="86"/>
      <c r="L36" s="89"/>
      <c r="M36" s="299"/>
      <c r="N36" s="89"/>
      <c r="O36" s="89"/>
      <c r="P36" s="299"/>
      <c r="Q36" s="89"/>
      <c r="R36" s="166"/>
      <c r="S36" s="299"/>
      <c r="T36" s="89"/>
      <c r="U36" s="166"/>
      <c r="V36" s="299"/>
      <c r="W36" s="89"/>
    </row>
    <row r="37" spans="2:23" x14ac:dyDescent="0.25">
      <c r="B37" s="304"/>
      <c r="D37" s="300"/>
      <c r="E37" s="301"/>
      <c r="G37" s="338"/>
      <c r="I37" s="350"/>
      <c r="J37" s="216"/>
      <c r="M37" s="299"/>
      <c r="P37" s="299"/>
      <c r="R37" s="166"/>
      <c r="S37" s="216"/>
      <c r="U37" s="166"/>
      <c r="V37" s="216"/>
    </row>
    <row r="38" spans="2:23" x14ac:dyDescent="0.25">
      <c r="B38" s="304"/>
      <c r="D38" s="300">
        <v>46203</v>
      </c>
      <c r="E38" s="301" t="s">
        <v>61</v>
      </c>
      <c r="F38" s="92">
        <v>112.8</v>
      </c>
      <c r="G38" s="338"/>
      <c r="I38" s="350">
        <f>F38/$C$1</f>
        <v>0.92232215862632871</v>
      </c>
      <c r="J38" s="216"/>
      <c r="L38" s="89">
        <v>1.41E-3</v>
      </c>
      <c r="M38" s="299"/>
      <c r="O38" s="89" t="e">
        <f>'日別報廢率總表 '!E33/'日別報廢率總表 '!B33</f>
        <v>#DIV/0!</v>
      </c>
      <c r="P38" s="299"/>
      <c r="R38" s="166">
        <v>0.28570000000000001</v>
      </c>
      <c r="S38" s="216"/>
      <c r="U38" s="166">
        <v>0.8</v>
      </c>
      <c r="V38" s="216"/>
    </row>
    <row r="39" spans="2:23" x14ac:dyDescent="0.25">
      <c r="B39" s="304"/>
      <c r="D39" s="300"/>
      <c r="E39" s="301"/>
      <c r="G39" s="338"/>
      <c r="I39" s="350"/>
      <c r="J39" s="216"/>
      <c r="M39" s="299"/>
      <c r="P39" s="299"/>
      <c r="R39" s="166"/>
      <c r="S39" s="216"/>
      <c r="U39" s="166"/>
      <c r="V39" s="216"/>
    </row>
    <row r="40" spans="2:23" x14ac:dyDescent="0.25">
      <c r="B40" s="304"/>
      <c r="D40" s="300"/>
      <c r="E40" s="300"/>
      <c r="G40" s="338"/>
      <c r="I40" s="89"/>
      <c r="J40" s="216"/>
      <c r="M40" s="299"/>
      <c r="P40" s="299"/>
      <c r="R40" s="166"/>
      <c r="S40" s="216"/>
      <c r="U40" s="166"/>
      <c r="V40" s="216"/>
    </row>
    <row r="45" spans="2:23" x14ac:dyDescent="0.25">
      <c r="H45" s="350">
        <v>0.91568163908589439</v>
      </c>
    </row>
    <row r="46" spans="2:23" x14ac:dyDescent="0.25">
      <c r="H46" s="350">
        <v>0.90622537431048067</v>
      </c>
    </row>
    <row r="47" spans="2:23" x14ac:dyDescent="0.25">
      <c r="H47" s="350">
        <v>0.88967691095350665</v>
      </c>
    </row>
    <row r="48" spans="2:23" x14ac:dyDescent="0.25">
      <c r="H48" s="350">
        <v>0.8699763593380615</v>
      </c>
    </row>
    <row r="49" spans="8:8" x14ac:dyDescent="0.25">
      <c r="H49" s="350">
        <v>0.91883372734436553</v>
      </c>
    </row>
    <row r="50" spans="8:8" x14ac:dyDescent="0.25">
      <c r="H50" s="350">
        <v>0.88337273443656417</v>
      </c>
    </row>
    <row r="51" spans="8:8" x14ac:dyDescent="0.25">
      <c r="H51" s="350">
        <v>0.92277383766745458</v>
      </c>
    </row>
  </sheetData>
  <mergeCells count="39">
    <mergeCell ref="B5:B10"/>
    <mergeCell ref="C5:C35"/>
    <mergeCell ref="B11:B17"/>
    <mergeCell ref="B18:B24"/>
    <mergeCell ref="B25:B31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G5:G10"/>
    <mergeCell ref="H5:H35"/>
    <mergeCell ref="J5:J10"/>
    <mergeCell ref="M5:M10"/>
    <mergeCell ref="N5:N35"/>
    <mergeCell ref="K5:K34"/>
    <mergeCell ref="G11:G17"/>
    <mergeCell ref="J11:J17"/>
    <mergeCell ref="M11:M17"/>
    <mergeCell ref="M18:M24"/>
    <mergeCell ref="G18:G24"/>
    <mergeCell ref="J18:J24"/>
    <mergeCell ref="W5:W35"/>
    <mergeCell ref="P5:P10"/>
    <mergeCell ref="Q5:Q35"/>
    <mergeCell ref="S5:S10"/>
    <mergeCell ref="T5:T35"/>
    <mergeCell ref="V5:V10"/>
    <mergeCell ref="P11:P17"/>
    <mergeCell ref="S11:S17"/>
    <mergeCell ref="V11:V17"/>
    <mergeCell ref="V18:V24"/>
    <mergeCell ref="S18:S24"/>
    <mergeCell ref="P18:P24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98"/>
  <sheetViews>
    <sheetView topLeftCell="A4" zoomScale="85" zoomScaleNormal="85" workbookViewId="0">
      <selection activeCell="I35" sqref="I35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6" width="20.28515625" style="101" bestFit="1" customWidth="1"/>
    <col min="7" max="8" width="21.7109375" style="101" bestFit="1" customWidth="1"/>
    <col min="9" max="9" width="21.7109375" style="96" bestFit="1" customWidth="1"/>
    <col min="10" max="10" width="10.42578125" style="89" customWidth="1"/>
    <col min="11" max="11" width="10.42578125" style="96" customWidth="1"/>
    <col min="12" max="12" width="10.42578125" style="89" customWidth="1"/>
    <col min="13" max="13" width="18.28515625" style="96" bestFit="1" customWidth="1"/>
    <col min="14" max="14" width="10.42578125" style="89" customWidth="1"/>
    <col min="15" max="15" width="8.85546875" style="79" customWidth="1"/>
    <col min="16" max="16" width="18.140625" style="79" bestFit="1" customWidth="1"/>
    <col min="17" max="53" width="8.85546875" style="79" customWidth="1"/>
    <col min="54" max="16384" width="8.85546875" style="79"/>
  </cols>
  <sheetData>
    <row r="2" spans="1:16" ht="38.1" customHeight="1" x14ac:dyDescent="0.25">
      <c r="A2" s="78"/>
      <c r="B2" s="442" t="s">
        <v>70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</row>
    <row r="3" spans="1:16" ht="25.35" customHeight="1" x14ac:dyDescent="0.25">
      <c r="B3" s="460" t="s">
        <v>43</v>
      </c>
      <c r="C3" s="461" t="s">
        <v>71</v>
      </c>
      <c r="D3" s="462" t="s">
        <v>45</v>
      </c>
      <c r="E3" s="462"/>
      <c r="F3" s="463" t="s">
        <v>72</v>
      </c>
      <c r="G3" s="463"/>
      <c r="H3" s="463"/>
      <c r="I3" s="465" t="s">
        <v>73</v>
      </c>
      <c r="J3" s="466"/>
      <c r="K3" s="466"/>
      <c r="L3" s="466"/>
      <c r="M3" s="466"/>
      <c r="N3" s="467"/>
    </row>
    <row r="4" spans="1:16" ht="25.35" customHeight="1" x14ac:dyDescent="0.25">
      <c r="B4" s="460"/>
      <c r="C4" s="461"/>
      <c r="D4" s="462"/>
      <c r="E4" s="462"/>
      <c r="F4" s="463"/>
      <c r="G4" s="463"/>
      <c r="H4" s="463"/>
      <c r="I4" s="459" t="s">
        <v>74</v>
      </c>
      <c r="J4" s="459"/>
      <c r="K4" s="459" t="s">
        <v>75</v>
      </c>
      <c r="L4" s="459"/>
      <c r="M4" s="459" t="s">
        <v>76</v>
      </c>
      <c r="N4" s="459"/>
    </row>
    <row r="5" spans="1:16" ht="25.35" customHeight="1" x14ac:dyDescent="0.25">
      <c r="B5" s="460"/>
      <c r="C5" s="461"/>
      <c r="D5" s="462"/>
      <c r="E5" s="462"/>
      <c r="F5" s="464" t="s">
        <v>52</v>
      </c>
      <c r="G5" s="464" t="s">
        <v>53</v>
      </c>
      <c r="H5" s="464" t="s">
        <v>54</v>
      </c>
      <c r="I5" s="459" t="s">
        <v>77</v>
      </c>
      <c r="J5" s="459"/>
      <c r="K5" s="459" t="s">
        <v>77</v>
      </c>
      <c r="L5" s="459"/>
      <c r="M5" s="459" t="s">
        <v>77</v>
      </c>
      <c r="N5" s="459"/>
    </row>
    <row r="6" spans="1:16" s="81" customFormat="1" ht="23.45" customHeight="1" x14ac:dyDescent="0.25">
      <c r="B6" s="460"/>
      <c r="C6" s="461"/>
      <c r="D6" s="462"/>
      <c r="E6" s="462"/>
      <c r="F6" s="464"/>
      <c r="G6" s="464"/>
      <c r="H6" s="464"/>
      <c r="I6" s="97" t="s">
        <v>78</v>
      </c>
      <c r="J6" s="98" t="s">
        <v>79</v>
      </c>
      <c r="K6" s="97" t="s">
        <v>78</v>
      </c>
      <c r="L6" s="98" t="s">
        <v>79</v>
      </c>
      <c r="M6" s="97" t="s">
        <v>78</v>
      </c>
      <c r="N6" s="98" t="s">
        <v>79</v>
      </c>
    </row>
    <row r="7" spans="1:16" ht="14.25" x14ac:dyDescent="0.25">
      <c r="B7" s="438">
        <v>46211</v>
      </c>
      <c r="C7" s="452" t="s">
        <v>55</v>
      </c>
      <c r="D7" s="300">
        <v>46204</v>
      </c>
      <c r="E7" s="300" t="s">
        <v>56</v>
      </c>
      <c r="F7" s="96">
        <f>I7+M7</f>
        <v>3008575.97</v>
      </c>
      <c r="G7" s="468">
        <f>SUM(F7:F12,F40)</f>
        <v>21333821.41</v>
      </c>
      <c r="H7" s="423">
        <f>SUM(F7:F37)</f>
        <v>60007833.080000013</v>
      </c>
      <c r="I7" s="96">
        <v>2704765.97</v>
      </c>
      <c r="J7" s="100">
        <f t="shared" ref="J7:J37" si="0">I7/F7</f>
        <v>0.89901867094949905</v>
      </c>
      <c r="K7" s="99"/>
      <c r="L7" s="100">
        <f t="shared" ref="L7:L37" si="1">K7/F7</f>
        <v>0</v>
      </c>
      <c r="M7" s="96">
        <v>303810</v>
      </c>
      <c r="N7" s="100">
        <f t="shared" ref="N7:N37" si="2">M7/F7</f>
        <v>0.10098132905050092</v>
      </c>
      <c r="P7" s="86"/>
    </row>
    <row r="8" spans="1:16" ht="14.25" x14ac:dyDescent="0.25">
      <c r="B8" s="438"/>
      <c r="C8" s="452"/>
      <c r="D8" s="300">
        <v>46205</v>
      </c>
      <c r="E8" s="301" t="s">
        <v>57</v>
      </c>
      <c r="F8" s="96">
        <f t="shared" ref="F8:F35" si="3">I8+M8</f>
        <v>2877019.59</v>
      </c>
      <c r="G8" s="441"/>
      <c r="H8" s="424"/>
      <c r="I8" s="99">
        <v>2594796.87</v>
      </c>
      <c r="J8" s="100">
        <f t="shared" si="0"/>
        <v>0.90190448442514781</v>
      </c>
      <c r="K8" s="99"/>
      <c r="L8" s="100">
        <f t="shared" si="1"/>
        <v>0</v>
      </c>
      <c r="M8" s="99">
        <v>282222.71999999997</v>
      </c>
      <c r="N8" s="100">
        <f t="shared" si="2"/>
        <v>9.809551557485223E-2</v>
      </c>
      <c r="P8" s="86"/>
    </row>
    <row r="9" spans="1:16" ht="14.25" x14ac:dyDescent="0.25">
      <c r="B9" s="438"/>
      <c r="C9" s="452"/>
      <c r="D9" s="300">
        <v>46206</v>
      </c>
      <c r="E9" s="301" t="s">
        <v>58</v>
      </c>
      <c r="F9" s="96">
        <f t="shared" si="3"/>
        <v>2420688.25</v>
      </c>
      <c r="G9" s="441"/>
      <c r="H9" s="424"/>
      <c r="I9" s="99">
        <v>2177752.37</v>
      </c>
      <c r="J9" s="100">
        <f t="shared" si="0"/>
        <v>0.89964181467811899</v>
      </c>
      <c r="K9" s="99"/>
      <c r="L9" s="100">
        <f t="shared" si="1"/>
        <v>0</v>
      </c>
      <c r="M9" s="99">
        <v>242935.88</v>
      </c>
      <c r="N9" s="100">
        <f t="shared" si="2"/>
        <v>0.10035818532188108</v>
      </c>
      <c r="P9" s="86"/>
    </row>
    <row r="10" spans="1:16" ht="14.25" x14ac:dyDescent="0.25">
      <c r="B10" s="438"/>
      <c r="C10" s="452"/>
      <c r="D10" s="300">
        <v>46207</v>
      </c>
      <c r="E10" s="301" t="s">
        <v>59</v>
      </c>
      <c r="F10" s="96">
        <f t="shared" si="3"/>
        <v>2867965.9000000004</v>
      </c>
      <c r="G10" s="441"/>
      <c r="H10" s="424"/>
      <c r="I10" s="99">
        <v>2581183.87</v>
      </c>
      <c r="J10" s="100">
        <f t="shared" si="0"/>
        <v>0.90000507676886943</v>
      </c>
      <c r="K10" s="99"/>
      <c r="L10" s="100">
        <f t="shared" si="1"/>
        <v>0</v>
      </c>
      <c r="M10" s="99">
        <v>286782.03000000003</v>
      </c>
      <c r="N10" s="100">
        <f t="shared" si="2"/>
        <v>9.9994923231130461E-2</v>
      </c>
      <c r="P10" s="86"/>
    </row>
    <row r="11" spans="1:16" ht="14.25" x14ac:dyDescent="0.25">
      <c r="B11" s="438"/>
      <c r="C11" s="452"/>
      <c r="D11" s="300">
        <v>46208</v>
      </c>
      <c r="E11" s="301" t="s">
        <v>52</v>
      </c>
      <c r="F11" s="96">
        <f t="shared" si="3"/>
        <v>3409988.45</v>
      </c>
      <c r="G11" s="441"/>
      <c r="H11" s="424"/>
      <c r="I11" s="99">
        <v>3085249.06</v>
      </c>
      <c r="J11" s="100">
        <f t="shared" si="0"/>
        <v>0.90476818477200416</v>
      </c>
      <c r="K11" s="99"/>
      <c r="L11" s="100">
        <f t="shared" si="1"/>
        <v>0</v>
      </c>
      <c r="M11" s="99">
        <v>324739.39</v>
      </c>
      <c r="N11" s="100">
        <f t="shared" si="2"/>
        <v>9.5231815227995856E-2</v>
      </c>
      <c r="P11" s="86"/>
    </row>
    <row r="12" spans="1:16" ht="14.25" x14ac:dyDescent="0.25">
      <c r="B12" s="438"/>
      <c r="C12" s="452"/>
      <c r="D12" s="300">
        <v>46209</v>
      </c>
      <c r="E12" s="301" t="s">
        <v>60</v>
      </c>
      <c r="F12" s="96">
        <f t="shared" si="3"/>
        <v>3338076.81</v>
      </c>
      <c r="G12" s="441"/>
      <c r="H12" s="424"/>
      <c r="I12" s="99">
        <v>3004362.52</v>
      </c>
      <c r="J12" s="100">
        <f t="shared" si="0"/>
        <v>0.90002797748683316</v>
      </c>
      <c r="K12" s="99"/>
      <c r="L12" s="100">
        <f t="shared" si="1"/>
        <v>0</v>
      </c>
      <c r="M12" s="99">
        <v>333714.28999999998</v>
      </c>
      <c r="N12" s="100">
        <f t="shared" si="2"/>
        <v>9.9972022513166794E-2</v>
      </c>
      <c r="P12" s="86"/>
    </row>
    <row r="13" spans="1:16" ht="14.25" x14ac:dyDescent="0.25">
      <c r="B13" s="438">
        <v>46218</v>
      </c>
      <c r="C13" s="452"/>
      <c r="D13" s="300">
        <v>46210</v>
      </c>
      <c r="E13" s="301" t="s">
        <v>61</v>
      </c>
      <c r="F13" s="96">
        <f t="shared" si="3"/>
        <v>2944276.67</v>
      </c>
      <c r="G13" s="441">
        <f>SUM(F13:F19)</f>
        <v>21123700.18</v>
      </c>
      <c r="H13" s="424"/>
      <c r="I13" s="99">
        <v>2624629.66</v>
      </c>
      <c r="J13" s="100">
        <f t="shared" si="0"/>
        <v>0.89143445204828531</v>
      </c>
      <c r="K13" s="99"/>
      <c r="L13" s="100">
        <f t="shared" si="1"/>
        <v>0</v>
      </c>
      <c r="M13" s="99">
        <v>319647.01</v>
      </c>
      <c r="N13" s="100">
        <f t="shared" si="2"/>
        <v>0.10856554795171475</v>
      </c>
    </row>
    <row r="14" spans="1:16" ht="14.25" x14ac:dyDescent="0.25">
      <c r="B14" s="438"/>
      <c r="C14" s="452"/>
      <c r="D14" s="300">
        <v>46211</v>
      </c>
      <c r="E14" s="300" t="s">
        <v>56</v>
      </c>
      <c r="F14" s="96">
        <f t="shared" si="3"/>
        <v>3038869.3</v>
      </c>
      <c r="G14" s="441"/>
      <c r="H14" s="424"/>
      <c r="I14" s="99">
        <v>2732746.08</v>
      </c>
      <c r="J14" s="100">
        <f t="shared" si="0"/>
        <v>0.89926410457995021</v>
      </c>
      <c r="K14" s="99"/>
      <c r="L14" s="100">
        <f t="shared" si="1"/>
        <v>0</v>
      </c>
      <c r="M14" s="99">
        <v>306123.21999999997</v>
      </c>
      <c r="N14" s="100">
        <f t="shared" si="2"/>
        <v>0.10073589542004982</v>
      </c>
    </row>
    <row r="15" spans="1:16" ht="14.25" x14ac:dyDescent="0.25">
      <c r="B15" s="438"/>
      <c r="C15" s="452"/>
      <c r="D15" s="300">
        <v>46212</v>
      </c>
      <c r="E15" s="301" t="s">
        <v>57</v>
      </c>
      <c r="F15" s="96">
        <f t="shared" si="3"/>
        <v>3350396.61</v>
      </c>
      <c r="G15" s="441"/>
      <c r="H15" s="424"/>
      <c r="I15" s="99">
        <v>3018909.55</v>
      </c>
      <c r="J15" s="100">
        <f t="shared" si="0"/>
        <v>0.90106035237422233</v>
      </c>
      <c r="K15" s="99"/>
      <c r="L15" s="100">
        <f t="shared" si="1"/>
        <v>0</v>
      </c>
      <c r="M15" s="99">
        <v>331487.06</v>
      </c>
      <c r="N15" s="100">
        <f t="shared" si="2"/>
        <v>9.8939647625777657E-2</v>
      </c>
    </row>
    <row r="16" spans="1:16" ht="14.25" x14ac:dyDescent="0.25">
      <c r="B16" s="438"/>
      <c r="C16" s="452"/>
      <c r="D16" s="300">
        <v>46213</v>
      </c>
      <c r="E16" s="301" t="s">
        <v>58</v>
      </c>
      <c r="F16" s="96">
        <f t="shared" si="3"/>
        <v>2275501.0699999998</v>
      </c>
      <c r="G16" s="441"/>
      <c r="H16" s="424"/>
      <c r="I16" s="99">
        <v>2037955.01</v>
      </c>
      <c r="J16" s="100">
        <f t="shared" si="0"/>
        <v>0.89560714203487501</v>
      </c>
      <c r="K16" s="99"/>
      <c r="L16" s="100">
        <f t="shared" si="1"/>
        <v>0</v>
      </c>
      <c r="M16" s="99">
        <v>237546.06</v>
      </c>
      <c r="N16" s="100">
        <f t="shared" si="2"/>
        <v>0.10439285796512503</v>
      </c>
    </row>
    <row r="17" spans="2:14" ht="14.25" x14ac:dyDescent="0.25">
      <c r="B17" s="438"/>
      <c r="C17" s="452"/>
      <c r="D17" s="300">
        <v>46214</v>
      </c>
      <c r="E17" s="301" t="s">
        <v>59</v>
      </c>
      <c r="F17" s="96">
        <f t="shared" si="3"/>
        <v>2731629.9899999998</v>
      </c>
      <c r="G17" s="441"/>
      <c r="H17" s="424"/>
      <c r="I17" s="99">
        <v>2452817.0099999998</v>
      </c>
      <c r="J17" s="100">
        <f t="shared" si="0"/>
        <v>0.89793164483451871</v>
      </c>
      <c r="K17" s="99"/>
      <c r="L17" s="100">
        <f t="shared" si="1"/>
        <v>0</v>
      </c>
      <c r="M17" s="99">
        <v>278812.98</v>
      </c>
      <c r="N17" s="100">
        <f t="shared" si="2"/>
        <v>0.10206835516548125</v>
      </c>
    </row>
    <row r="18" spans="2:14" ht="14.25" x14ac:dyDescent="0.25">
      <c r="B18" s="438"/>
      <c r="C18" s="452"/>
      <c r="D18" s="300">
        <v>46215</v>
      </c>
      <c r="E18" s="301" t="s">
        <v>52</v>
      </c>
      <c r="F18" s="96">
        <f t="shared" si="3"/>
        <v>3362568.3400000003</v>
      </c>
      <c r="G18" s="441"/>
      <c r="H18" s="424"/>
      <c r="I18" s="99">
        <v>3022699.66</v>
      </c>
      <c r="J18" s="100">
        <f t="shared" si="0"/>
        <v>0.89892586688661913</v>
      </c>
      <c r="K18" s="99"/>
      <c r="L18" s="100">
        <f t="shared" si="1"/>
        <v>0</v>
      </c>
      <c r="M18" s="99">
        <v>339868.68</v>
      </c>
      <c r="N18" s="100">
        <f t="shared" si="2"/>
        <v>0.10107413311338082</v>
      </c>
    </row>
    <row r="19" spans="2:14" ht="14.25" x14ac:dyDescent="0.25">
      <c r="B19" s="438"/>
      <c r="C19" s="452"/>
      <c r="D19" s="300">
        <v>46216</v>
      </c>
      <c r="E19" s="301" t="s">
        <v>60</v>
      </c>
      <c r="F19" s="96">
        <f t="shared" si="3"/>
        <v>3420458.1999999997</v>
      </c>
      <c r="G19" s="441"/>
      <c r="H19" s="424"/>
      <c r="I19" s="99">
        <v>3060581.53</v>
      </c>
      <c r="J19" s="100">
        <f t="shared" si="0"/>
        <v>0.89478699958970409</v>
      </c>
      <c r="K19" s="99"/>
      <c r="L19" s="100">
        <f t="shared" si="1"/>
        <v>0</v>
      </c>
      <c r="M19" s="99">
        <v>359876.67</v>
      </c>
      <c r="N19" s="100">
        <f t="shared" si="2"/>
        <v>0.10521300041029591</v>
      </c>
    </row>
    <row r="20" spans="2:14" ht="14.25" x14ac:dyDescent="0.25">
      <c r="B20" s="438">
        <v>46225</v>
      </c>
      <c r="C20" s="452"/>
      <c r="D20" s="300">
        <v>46217</v>
      </c>
      <c r="E20" s="301" t="s">
        <v>61</v>
      </c>
      <c r="F20" s="96">
        <f t="shared" si="3"/>
        <v>3528841.4</v>
      </c>
      <c r="G20" s="305">
        <f>SUM(F20:F26)</f>
        <v>20961817.93</v>
      </c>
      <c r="H20" s="424"/>
      <c r="I20" s="99">
        <v>3196165.92</v>
      </c>
      <c r="J20" s="100">
        <f t="shared" si="0"/>
        <v>0.90572671245582193</v>
      </c>
      <c r="K20" s="99"/>
      <c r="L20" s="100">
        <f t="shared" si="1"/>
        <v>0</v>
      </c>
      <c r="M20" s="99">
        <v>332675.48</v>
      </c>
      <c r="N20" s="100">
        <f t="shared" si="2"/>
        <v>9.4273287544178089E-2</v>
      </c>
    </row>
    <row r="21" spans="2:14" ht="14.25" x14ac:dyDescent="0.25">
      <c r="B21" s="438"/>
      <c r="C21" s="452"/>
      <c r="D21" s="300">
        <v>46218</v>
      </c>
      <c r="E21" s="300" t="s">
        <v>56</v>
      </c>
      <c r="F21" s="96">
        <f t="shared" si="3"/>
        <v>3157061.3400000003</v>
      </c>
      <c r="G21" s="305"/>
      <c r="H21" s="424"/>
      <c r="I21" s="99">
        <v>2852950.43</v>
      </c>
      <c r="J21" s="100">
        <f t="shared" si="0"/>
        <v>0.90367279021572633</v>
      </c>
      <c r="K21" s="99"/>
      <c r="L21" s="100">
        <f t="shared" si="1"/>
        <v>0</v>
      </c>
      <c r="M21" s="99">
        <v>304110.90999999997</v>
      </c>
      <c r="N21" s="100">
        <f t="shared" si="2"/>
        <v>9.6327209784273601E-2</v>
      </c>
    </row>
    <row r="22" spans="2:14" ht="14.25" x14ac:dyDescent="0.25">
      <c r="B22" s="438"/>
      <c r="C22" s="452"/>
      <c r="D22" s="300">
        <v>46219</v>
      </c>
      <c r="E22" s="301" t="s">
        <v>57</v>
      </c>
      <c r="F22" s="96">
        <f t="shared" si="3"/>
        <v>2922058.21</v>
      </c>
      <c r="G22" s="305"/>
      <c r="H22" s="424"/>
      <c r="I22" s="99">
        <v>2637733.14</v>
      </c>
      <c r="J22" s="100">
        <f t="shared" si="0"/>
        <v>0.90269698631363005</v>
      </c>
      <c r="K22" s="99"/>
      <c r="L22" s="100">
        <f t="shared" si="1"/>
        <v>0</v>
      </c>
      <c r="M22" s="99">
        <v>284325.07</v>
      </c>
      <c r="N22" s="100">
        <f t="shared" si="2"/>
        <v>9.7303013686370066E-2</v>
      </c>
    </row>
    <row r="23" spans="2:14" ht="14.25" x14ac:dyDescent="0.25">
      <c r="B23" s="438"/>
      <c r="C23" s="452"/>
      <c r="D23" s="300">
        <v>46220</v>
      </c>
      <c r="E23" s="301" t="s">
        <v>58</v>
      </c>
      <c r="F23" s="96">
        <f t="shared" si="3"/>
        <v>2282826.46</v>
      </c>
      <c r="G23" s="305"/>
      <c r="H23" s="424"/>
      <c r="I23" s="99">
        <v>2042641.53</v>
      </c>
      <c r="J23" s="100">
        <f t="shared" si="0"/>
        <v>0.89478616346509321</v>
      </c>
      <c r="K23" s="99"/>
      <c r="L23" s="100">
        <f t="shared" si="1"/>
        <v>0</v>
      </c>
      <c r="M23" s="99">
        <v>240184.93</v>
      </c>
      <c r="N23" s="100">
        <f t="shared" si="2"/>
        <v>0.10521383653490682</v>
      </c>
    </row>
    <row r="24" spans="2:14" ht="14.25" x14ac:dyDescent="0.25">
      <c r="B24" s="438"/>
      <c r="C24" s="452"/>
      <c r="D24" s="300">
        <v>46221</v>
      </c>
      <c r="E24" s="301" t="s">
        <v>59</v>
      </c>
      <c r="F24" s="96">
        <f t="shared" si="3"/>
        <v>2534267.7399999998</v>
      </c>
      <c r="G24" s="305"/>
      <c r="H24" s="424"/>
      <c r="I24" s="99">
        <v>2271670.0699999998</v>
      </c>
      <c r="J24" s="100">
        <f t="shared" si="0"/>
        <v>0.89638124423270293</v>
      </c>
      <c r="K24" s="99"/>
      <c r="L24" s="100">
        <f t="shared" si="1"/>
        <v>0</v>
      </c>
      <c r="M24" s="99">
        <v>262597.67</v>
      </c>
      <c r="N24" s="100">
        <f t="shared" si="2"/>
        <v>0.10361875576729711</v>
      </c>
    </row>
    <row r="25" spans="2:14" ht="14.25" x14ac:dyDescent="0.25">
      <c r="B25" s="438"/>
      <c r="C25" s="452"/>
      <c r="D25" s="300">
        <v>46222</v>
      </c>
      <c r="E25" s="301" t="s">
        <v>52</v>
      </c>
      <c r="F25" s="96">
        <f t="shared" si="3"/>
        <v>3200427.39</v>
      </c>
      <c r="G25" s="305"/>
      <c r="H25" s="424"/>
      <c r="I25" s="99">
        <v>2863269.96</v>
      </c>
      <c r="J25" s="100">
        <f t="shared" si="0"/>
        <v>0.89465237328818137</v>
      </c>
      <c r="K25" s="99"/>
      <c r="L25" s="100">
        <f t="shared" si="1"/>
        <v>0</v>
      </c>
      <c r="M25" s="99">
        <v>337157.43</v>
      </c>
      <c r="N25" s="100">
        <f t="shared" si="2"/>
        <v>0.10534762671181863</v>
      </c>
    </row>
    <row r="26" spans="2:14" ht="14.25" x14ac:dyDescent="0.25">
      <c r="B26" s="438"/>
      <c r="C26" s="452"/>
      <c r="D26" s="300">
        <v>46223</v>
      </c>
      <c r="E26" s="301" t="s">
        <v>60</v>
      </c>
      <c r="F26" s="96">
        <f t="shared" si="3"/>
        <v>3336335.39</v>
      </c>
      <c r="G26" s="305"/>
      <c r="H26" s="424"/>
      <c r="I26" s="99">
        <v>2958889.5</v>
      </c>
      <c r="J26" s="100">
        <f t="shared" si="0"/>
        <v>0.8868681214930253</v>
      </c>
      <c r="K26" s="99"/>
      <c r="L26" s="100">
        <f t="shared" si="1"/>
        <v>0</v>
      </c>
      <c r="M26" s="99">
        <v>377445.89</v>
      </c>
      <c r="N26" s="100">
        <f t="shared" si="2"/>
        <v>0.11313187850697469</v>
      </c>
    </row>
    <row r="27" spans="2:14" ht="14.25" x14ac:dyDescent="0.25">
      <c r="B27" s="438">
        <v>46232</v>
      </c>
      <c r="C27" s="452"/>
      <c r="D27" s="300">
        <v>46224</v>
      </c>
      <c r="E27" s="301" t="s">
        <v>61</v>
      </c>
      <c r="F27" s="96">
        <f t="shared" si="3"/>
        <v>0</v>
      </c>
      <c r="G27" s="305">
        <f>SUM(F27:F33)</f>
        <v>0</v>
      </c>
      <c r="H27" s="424"/>
      <c r="I27" s="99"/>
      <c r="J27" s="100" t="e">
        <f t="shared" si="0"/>
        <v>#DIV/0!</v>
      </c>
      <c r="K27" s="99"/>
      <c r="L27" s="100" t="e">
        <f t="shared" si="1"/>
        <v>#DIV/0!</v>
      </c>
      <c r="M27" s="99"/>
      <c r="N27" s="100" t="e">
        <f t="shared" si="2"/>
        <v>#DIV/0!</v>
      </c>
    </row>
    <row r="28" spans="2:14" ht="14.25" x14ac:dyDescent="0.25">
      <c r="B28" s="438"/>
      <c r="C28" s="452"/>
      <c r="D28" s="300">
        <v>46225</v>
      </c>
      <c r="E28" s="300" t="s">
        <v>56</v>
      </c>
      <c r="F28" s="96">
        <f t="shared" si="3"/>
        <v>0</v>
      </c>
      <c r="G28" s="305"/>
      <c r="H28" s="424"/>
      <c r="I28" s="99"/>
      <c r="J28" s="100" t="e">
        <f t="shared" si="0"/>
        <v>#DIV/0!</v>
      </c>
      <c r="K28" s="99"/>
      <c r="L28" s="100" t="e">
        <f t="shared" si="1"/>
        <v>#DIV/0!</v>
      </c>
      <c r="M28" s="99"/>
      <c r="N28" s="100" t="e">
        <f t="shared" si="2"/>
        <v>#DIV/0!</v>
      </c>
    </row>
    <row r="29" spans="2:14" ht="14.25" x14ac:dyDescent="0.25">
      <c r="B29" s="438"/>
      <c r="C29" s="452"/>
      <c r="D29" s="300">
        <v>46226</v>
      </c>
      <c r="E29" s="301" t="s">
        <v>57</v>
      </c>
      <c r="F29" s="96">
        <f t="shared" si="3"/>
        <v>0</v>
      </c>
      <c r="G29" s="305"/>
      <c r="H29" s="424"/>
      <c r="I29" s="99"/>
      <c r="J29" s="100" t="e">
        <f t="shared" si="0"/>
        <v>#DIV/0!</v>
      </c>
      <c r="K29" s="99"/>
      <c r="L29" s="100" t="e">
        <f t="shared" si="1"/>
        <v>#DIV/0!</v>
      </c>
      <c r="M29" s="99"/>
      <c r="N29" s="100" t="e">
        <f t="shared" si="2"/>
        <v>#DIV/0!</v>
      </c>
    </row>
    <row r="30" spans="2:14" ht="14.25" x14ac:dyDescent="0.25">
      <c r="B30" s="438"/>
      <c r="C30" s="452"/>
      <c r="D30" s="300">
        <v>46227</v>
      </c>
      <c r="E30" s="301" t="s">
        <v>58</v>
      </c>
      <c r="F30" s="96">
        <f t="shared" si="3"/>
        <v>0</v>
      </c>
      <c r="G30" s="305"/>
      <c r="H30" s="424"/>
      <c r="I30" s="99"/>
      <c r="J30" s="100" t="e">
        <f t="shared" si="0"/>
        <v>#DIV/0!</v>
      </c>
      <c r="K30" s="99"/>
      <c r="L30" s="100" t="e">
        <f t="shared" si="1"/>
        <v>#DIV/0!</v>
      </c>
      <c r="M30" s="99"/>
      <c r="N30" s="100" t="e">
        <f t="shared" si="2"/>
        <v>#DIV/0!</v>
      </c>
    </row>
    <row r="31" spans="2:14" ht="14.25" x14ac:dyDescent="0.25">
      <c r="B31" s="438"/>
      <c r="C31" s="452"/>
      <c r="D31" s="300">
        <v>46228</v>
      </c>
      <c r="E31" s="301" t="s">
        <v>59</v>
      </c>
      <c r="F31" s="96">
        <f t="shared" si="3"/>
        <v>0</v>
      </c>
      <c r="G31" s="305"/>
      <c r="H31" s="424"/>
      <c r="I31" s="99"/>
      <c r="J31" s="100" t="e">
        <f t="shared" si="0"/>
        <v>#DIV/0!</v>
      </c>
      <c r="K31" s="99"/>
      <c r="L31" s="100" t="e">
        <f t="shared" si="1"/>
        <v>#DIV/0!</v>
      </c>
      <c r="M31" s="99"/>
      <c r="N31" s="100" t="e">
        <f t="shared" si="2"/>
        <v>#DIV/0!</v>
      </c>
    </row>
    <row r="32" spans="2:14" ht="14.25" x14ac:dyDescent="0.25">
      <c r="B32" s="438"/>
      <c r="C32" s="452"/>
      <c r="D32" s="300">
        <v>46229</v>
      </c>
      <c r="E32" s="301" t="s">
        <v>52</v>
      </c>
      <c r="F32" s="96">
        <f t="shared" si="3"/>
        <v>0</v>
      </c>
      <c r="G32" s="305"/>
      <c r="H32" s="424"/>
      <c r="I32" s="99"/>
      <c r="J32" s="100" t="e">
        <f t="shared" si="0"/>
        <v>#DIV/0!</v>
      </c>
      <c r="K32" s="99"/>
      <c r="L32" s="100" t="e">
        <f t="shared" si="1"/>
        <v>#DIV/0!</v>
      </c>
      <c r="M32" s="99"/>
      <c r="N32" s="100" t="e">
        <f t="shared" si="2"/>
        <v>#DIV/0!</v>
      </c>
    </row>
    <row r="33" spans="1:22" ht="14.25" x14ac:dyDescent="0.25">
      <c r="B33" s="438"/>
      <c r="C33" s="452"/>
      <c r="D33" s="300">
        <v>46230</v>
      </c>
      <c r="E33" s="301" t="s">
        <v>60</v>
      </c>
      <c r="F33" s="96">
        <f t="shared" si="3"/>
        <v>0</v>
      </c>
      <c r="G33" s="305"/>
      <c r="H33" s="424"/>
      <c r="I33" s="99"/>
      <c r="J33" s="100" t="e">
        <f t="shared" si="0"/>
        <v>#DIV/0!</v>
      </c>
      <c r="K33" s="99"/>
      <c r="L33" s="100" t="e">
        <f t="shared" si="1"/>
        <v>#DIV/0!</v>
      </c>
      <c r="M33" s="99"/>
      <c r="N33" s="100" t="e">
        <f t="shared" si="2"/>
        <v>#DIV/0!</v>
      </c>
    </row>
    <row r="34" spans="1:22" ht="14.25" x14ac:dyDescent="0.25">
      <c r="B34" s="304"/>
      <c r="C34" s="452"/>
      <c r="D34" s="300">
        <v>46231</v>
      </c>
      <c r="E34" s="301" t="s">
        <v>61</v>
      </c>
      <c r="F34" s="96">
        <f t="shared" si="3"/>
        <v>0</v>
      </c>
      <c r="G34" s="305"/>
      <c r="H34" s="424"/>
      <c r="I34" s="99"/>
      <c r="J34" s="100" t="e">
        <f t="shared" si="0"/>
        <v>#DIV/0!</v>
      </c>
      <c r="K34" s="99"/>
      <c r="L34" s="100" t="e">
        <f t="shared" si="1"/>
        <v>#DIV/0!</v>
      </c>
      <c r="M34" s="99"/>
      <c r="N34" s="100" t="e">
        <f t="shared" si="2"/>
        <v>#DIV/0!</v>
      </c>
    </row>
    <row r="35" spans="1:22" ht="14.25" x14ac:dyDescent="0.25">
      <c r="B35" s="304"/>
      <c r="C35" s="452"/>
      <c r="D35" s="300">
        <v>46232</v>
      </c>
      <c r="E35" s="300" t="s">
        <v>56</v>
      </c>
      <c r="F35" s="96">
        <f t="shared" si="3"/>
        <v>0</v>
      </c>
      <c r="G35" s="305"/>
      <c r="H35" s="424"/>
      <c r="I35" s="99"/>
      <c r="J35" s="100" t="e">
        <f t="shared" si="0"/>
        <v>#DIV/0!</v>
      </c>
      <c r="K35" s="99"/>
      <c r="L35" s="100" t="e">
        <f t="shared" si="1"/>
        <v>#DIV/0!</v>
      </c>
      <c r="M35" s="99"/>
      <c r="N35" s="100" t="e">
        <f t="shared" si="2"/>
        <v>#DIV/0!</v>
      </c>
    </row>
    <row r="36" spans="1:22" ht="14.25" x14ac:dyDescent="0.25">
      <c r="B36" s="304"/>
      <c r="C36" s="452"/>
      <c r="D36" s="300">
        <v>46233</v>
      </c>
      <c r="E36" s="301" t="s">
        <v>57</v>
      </c>
      <c r="F36" s="96">
        <f>I36+M36</f>
        <v>0</v>
      </c>
      <c r="G36" s="305"/>
      <c r="H36" s="424"/>
      <c r="I36" s="99"/>
      <c r="J36" s="100" t="e">
        <f t="shared" si="0"/>
        <v>#DIV/0!</v>
      </c>
      <c r="K36" s="99"/>
      <c r="L36" s="100" t="e">
        <f t="shared" si="1"/>
        <v>#DIV/0!</v>
      </c>
      <c r="M36" s="99"/>
      <c r="N36" s="100" t="e">
        <f t="shared" si="2"/>
        <v>#DIV/0!</v>
      </c>
    </row>
    <row r="37" spans="1:22" ht="14.25" x14ac:dyDescent="0.25">
      <c r="B37" s="304"/>
      <c r="C37" s="452"/>
      <c r="D37" s="300">
        <v>46234</v>
      </c>
      <c r="E37" s="301" t="s">
        <v>58</v>
      </c>
      <c r="F37" s="96">
        <f>I37+M37</f>
        <v>0</v>
      </c>
      <c r="G37" s="305"/>
      <c r="H37" s="400"/>
      <c r="I37" s="99"/>
      <c r="J37" s="100" t="e">
        <f t="shared" si="0"/>
        <v>#DIV/0!</v>
      </c>
      <c r="K37" s="99"/>
      <c r="L37" s="100" t="e">
        <f t="shared" si="1"/>
        <v>#DIV/0!</v>
      </c>
      <c r="M37" s="99"/>
      <c r="N37" s="100" t="e">
        <f t="shared" si="2"/>
        <v>#DIV/0!</v>
      </c>
    </row>
    <row r="38" spans="1:22" ht="14.25" x14ac:dyDescent="0.25">
      <c r="B38" s="304"/>
      <c r="C38" s="399"/>
      <c r="D38" s="300"/>
      <c r="E38" s="301"/>
      <c r="F38" s="96"/>
      <c r="G38" s="305"/>
      <c r="H38" s="400"/>
      <c r="J38" s="100"/>
      <c r="N38" s="100"/>
    </row>
    <row r="39" spans="1:22" ht="14.25" x14ac:dyDescent="0.25">
      <c r="B39" s="82"/>
      <c r="C39" s="79"/>
      <c r="D39" s="85"/>
      <c r="E39" s="85"/>
      <c r="F39" s="96"/>
      <c r="G39" s="96"/>
      <c r="H39" s="96"/>
    </row>
    <row r="40" spans="1:22" ht="14.25" x14ac:dyDescent="0.25">
      <c r="B40" s="82"/>
      <c r="C40" s="79"/>
      <c r="D40" s="85"/>
      <c r="E40" s="85"/>
      <c r="F40" s="96">
        <f>I40+M40</f>
        <v>3411506.44</v>
      </c>
      <c r="G40" s="96"/>
      <c r="H40" s="96"/>
      <c r="I40" s="99">
        <v>3076682.51</v>
      </c>
      <c r="J40" s="100">
        <f>I40/F40</f>
        <v>0.90185452207441819</v>
      </c>
      <c r="M40" s="99">
        <v>334823.93</v>
      </c>
      <c r="N40" s="100">
        <f>M40/F40</f>
        <v>9.8145477925581759E-2</v>
      </c>
    </row>
    <row r="41" spans="1:22" ht="14.25" x14ac:dyDescent="0.25">
      <c r="B41" s="82"/>
      <c r="C41" s="79"/>
      <c r="D41" s="85"/>
      <c r="E41" s="85"/>
      <c r="F41" s="96"/>
      <c r="G41" s="96"/>
      <c r="H41" s="96"/>
    </row>
    <row r="42" spans="1:22" ht="14.25" x14ac:dyDescent="0.25">
      <c r="B42" s="82"/>
      <c r="C42" s="79"/>
      <c r="D42" s="81"/>
      <c r="F42" s="96"/>
      <c r="G42" s="96"/>
      <c r="H42" s="96"/>
      <c r="I42" s="96">
        <f>SUM(I7:I12)+I40</f>
        <v>19224793.170000002</v>
      </c>
    </row>
    <row r="43" spans="1:22" ht="14.25" x14ac:dyDescent="0.25">
      <c r="B43" s="82"/>
      <c r="C43" s="79"/>
      <c r="D43" s="81"/>
      <c r="F43" s="96"/>
      <c r="G43" s="96"/>
      <c r="H43" s="96"/>
      <c r="I43" s="433">
        <f>SUM(F7:F12)+F40</f>
        <v>21333821.41</v>
      </c>
    </row>
    <row r="44" spans="1:22" ht="14.25" x14ac:dyDescent="0.25">
      <c r="B44" s="82"/>
      <c r="C44" s="79"/>
      <c r="D44" s="81"/>
      <c r="F44" s="96"/>
      <c r="G44" s="96"/>
      <c r="H44" s="96"/>
    </row>
    <row r="45" spans="1:22" ht="14.25" x14ac:dyDescent="0.25">
      <c r="B45" s="82"/>
      <c r="C45" s="79"/>
      <c r="D45" s="81"/>
      <c r="F45" s="96"/>
      <c r="G45" s="96"/>
      <c r="H45" s="96"/>
    </row>
    <row r="46" spans="1:22" s="81" customFormat="1" ht="14.25" x14ac:dyDescent="0.25">
      <c r="A46" s="79"/>
      <c r="B46" s="82"/>
      <c r="C46" s="79"/>
      <c r="F46" s="101"/>
      <c r="G46" s="101"/>
      <c r="H46" s="101"/>
      <c r="I46" s="96"/>
      <c r="J46" s="89"/>
      <c r="K46" s="96"/>
      <c r="L46" s="89"/>
      <c r="M46" s="96"/>
      <c r="N46" s="89"/>
      <c r="O46" s="79"/>
      <c r="P46" s="79"/>
      <c r="Q46" s="79"/>
      <c r="R46" s="79"/>
      <c r="S46" s="79"/>
      <c r="T46" s="79"/>
      <c r="U46" s="79"/>
      <c r="V46" s="79"/>
    </row>
    <row r="47" spans="1:22" s="81" customFormat="1" ht="14.25" x14ac:dyDescent="0.25">
      <c r="A47" s="79"/>
      <c r="B47" s="82"/>
      <c r="C47" s="79"/>
      <c r="F47" s="101"/>
      <c r="G47" s="101"/>
      <c r="H47" s="101"/>
      <c r="I47" s="96"/>
      <c r="J47" s="89"/>
      <c r="K47" s="96"/>
      <c r="L47" s="89"/>
      <c r="M47" s="96"/>
      <c r="N47" s="89"/>
      <c r="O47" s="79"/>
      <c r="P47" s="79"/>
      <c r="Q47" s="79"/>
      <c r="R47" s="79"/>
      <c r="S47" s="79"/>
      <c r="T47" s="79"/>
      <c r="U47" s="79"/>
      <c r="V47" s="79"/>
    </row>
    <row r="48" spans="1:22" s="81" customFormat="1" ht="14.25" x14ac:dyDescent="0.25">
      <c r="A48" s="79"/>
      <c r="B48" s="82"/>
      <c r="C48" s="79"/>
      <c r="F48" s="101"/>
      <c r="G48" s="101"/>
      <c r="H48" s="101"/>
      <c r="I48" s="96"/>
      <c r="J48" s="89"/>
      <c r="K48" s="96"/>
      <c r="L48" s="89"/>
      <c r="M48" s="96"/>
      <c r="N48" s="89"/>
      <c r="O48" s="79"/>
      <c r="P48" s="79"/>
      <c r="Q48" s="79"/>
      <c r="R48" s="79"/>
      <c r="S48" s="79"/>
      <c r="T48" s="79"/>
      <c r="U48" s="79"/>
      <c r="V48" s="79"/>
    </row>
    <row r="49" spans="1:22" s="81" customFormat="1" ht="14.25" x14ac:dyDescent="0.25">
      <c r="A49" s="79"/>
      <c r="B49" s="82"/>
      <c r="C49" s="79"/>
      <c r="F49" s="101"/>
      <c r="G49" s="101"/>
      <c r="H49" s="101"/>
      <c r="I49" s="96"/>
      <c r="J49" s="89"/>
      <c r="K49" s="96"/>
      <c r="L49" s="89"/>
      <c r="M49" s="96"/>
      <c r="N49" s="89"/>
      <c r="O49" s="79"/>
      <c r="P49" s="79"/>
      <c r="Q49" s="79"/>
      <c r="R49" s="79"/>
      <c r="S49" s="79"/>
      <c r="T49" s="79"/>
      <c r="U49" s="79"/>
      <c r="V49" s="79"/>
    </row>
    <row r="50" spans="1:22" s="81" customFormat="1" ht="14.25" x14ac:dyDescent="0.25">
      <c r="A50" s="79"/>
      <c r="B50" s="82"/>
      <c r="C50" s="79"/>
      <c r="F50" s="101"/>
      <c r="G50" s="101"/>
      <c r="H50" s="101"/>
      <c r="I50" s="96"/>
      <c r="J50" s="89"/>
      <c r="K50" s="96"/>
      <c r="L50" s="89"/>
      <c r="M50" s="96"/>
      <c r="N50" s="89"/>
      <c r="O50" s="79"/>
      <c r="P50" s="79"/>
      <c r="Q50" s="79"/>
      <c r="R50" s="79"/>
      <c r="S50" s="79"/>
      <c r="T50" s="79"/>
      <c r="U50" s="79"/>
      <c r="V50" s="79"/>
    </row>
    <row r="51" spans="1:22" s="81" customFormat="1" ht="14.25" x14ac:dyDescent="0.25">
      <c r="A51" s="79"/>
      <c r="B51" s="82"/>
      <c r="C51" s="79"/>
      <c r="F51" s="101"/>
      <c r="G51" s="101"/>
      <c r="H51" s="101"/>
      <c r="I51" s="96"/>
      <c r="J51" s="89"/>
      <c r="K51" s="96"/>
      <c r="L51" s="89"/>
      <c r="M51" s="96"/>
      <c r="N51" s="89"/>
      <c r="O51" s="79"/>
      <c r="P51" s="79"/>
      <c r="Q51" s="79"/>
      <c r="R51" s="79"/>
      <c r="S51" s="79"/>
      <c r="T51" s="79"/>
      <c r="U51" s="79"/>
      <c r="V51" s="79"/>
    </row>
    <row r="52" spans="1:22" s="81" customFormat="1" ht="14.25" x14ac:dyDescent="0.25">
      <c r="A52" s="79"/>
      <c r="B52" s="82"/>
      <c r="C52" s="79"/>
      <c r="F52" s="101"/>
      <c r="G52" s="101"/>
      <c r="H52" s="101"/>
      <c r="I52" s="96"/>
      <c r="J52" s="89"/>
      <c r="K52" s="96"/>
      <c r="L52" s="89"/>
      <c r="M52" s="96"/>
      <c r="N52" s="89"/>
      <c r="O52" s="79"/>
      <c r="P52" s="79"/>
      <c r="Q52" s="79"/>
      <c r="R52" s="79"/>
      <c r="S52" s="79"/>
      <c r="T52" s="79"/>
      <c r="U52" s="79"/>
      <c r="V52" s="79"/>
    </row>
    <row r="53" spans="1:22" s="81" customFormat="1" ht="14.25" x14ac:dyDescent="0.25">
      <c r="A53" s="79"/>
      <c r="B53" s="82"/>
      <c r="C53" s="79"/>
      <c r="F53" s="101"/>
      <c r="G53" s="101"/>
      <c r="H53" s="101"/>
      <c r="I53" s="96"/>
      <c r="J53" s="89"/>
      <c r="K53" s="96"/>
      <c r="L53" s="89"/>
      <c r="M53" s="96"/>
      <c r="N53" s="89"/>
      <c r="O53" s="79"/>
      <c r="P53" s="79"/>
      <c r="Q53" s="79"/>
      <c r="R53" s="79"/>
      <c r="S53" s="79"/>
      <c r="T53" s="79"/>
      <c r="U53" s="79"/>
      <c r="V53" s="79"/>
    </row>
    <row r="54" spans="1:22" s="81" customFormat="1" ht="14.25" x14ac:dyDescent="0.25">
      <c r="A54" s="79"/>
      <c r="B54" s="82"/>
      <c r="C54" s="79"/>
      <c r="F54" s="101"/>
      <c r="G54" s="101"/>
      <c r="H54" s="101"/>
      <c r="I54" s="96"/>
      <c r="J54" s="89"/>
      <c r="K54" s="96"/>
      <c r="L54" s="89"/>
      <c r="M54" s="96"/>
      <c r="N54" s="89"/>
      <c r="O54" s="79"/>
      <c r="P54" s="79"/>
      <c r="Q54" s="79"/>
      <c r="R54" s="79"/>
      <c r="S54" s="79"/>
      <c r="T54" s="79"/>
      <c r="U54" s="79"/>
      <c r="V54" s="79"/>
    </row>
    <row r="55" spans="1:22" s="81" customFormat="1" ht="14.25" x14ac:dyDescent="0.25">
      <c r="A55" s="79"/>
      <c r="B55" s="82"/>
      <c r="C55" s="79"/>
      <c r="F55" s="101"/>
      <c r="G55" s="101"/>
      <c r="H55" s="101"/>
      <c r="I55" s="96"/>
      <c r="J55" s="89"/>
      <c r="K55" s="96"/>
      <c r="L55" s="89"/>
      <c r="M55" s="96"/>
      <c r="N55" s="89"/>
      <c r="O55" s="79"/>
      <c r="P55" s="79"/>
      <c r="Q55" s="79"/>
      <c r="R55" s="79"/>
      <c r="S55" s="79"/>
      <c r="T55" s="79"/>
      <c r="U55" s="79"/>
      <c r="V55" s="79"/>
    </row>
    <row r="56" spans="1:22" s="81" customFormat="1" ht="14.25" x14ac:dyDescent="0.25">
      <c r="A56" s="79"/>
      <c r="B56" s="82"/>
      <c r="C56" s="79"/>
      <c r="F56" s="101"/>
      <c r="G56" s="101"/>
      <c r="H56" s="101"/>
      <c r="I56" s="96"/>
      <c r="J56" s="89"/>
      <c r="K56" s="96"/>
      <c r="L56" s="89"/>
      <c r="M56" s="96"/>
      <c r="N56" s="89"/>
      <c r="O56" s="79"/>
      <c r="P56" s="79"/>
      <c r="Q56" s="79"/>
      <c r="R56" s="79"/>
      <c r="S56" s="79"/>
      <c r="T56" s="79"/>
      <c r="U56" s="79"/>
      <c r="V56" s="79"/>
    </row>
    <row r="57" spans="1:22" s="81" customFormat="1" ht="14.25" x14ac:dyDescent="0.25">
      <c r="A57" s="79"/>
      <c r="B57" s="82"/>
      <c r="C57" s="79"/>
      <c r="F57" s="101"/>
      <c r="G57" s="101"/>
      <c r="H57" s="101"/>
      <c r="I57" s="96"/>
      <c r="J57" s="89"/>
      <c r="K57" s="96"/>
      <c r="L57" s="89"/>
      <c r="M57" s="96"/>
      <c r="N57" s="89"/>
      <c r="O57" s="79"/>
      <c r="P57" s="79"/>
      <c r="Q57" s="79"/>
      <c r="R57" s="79"/>
      <c r="S57" s="79"/>
      <c r="T57" s="79"/>
      <c r="U57" s="79"/>
      <c r="V57" s="79"/>
    </row>
    <row r="58" spans="1:22" s="81" customFormat="1" ht="14.25" x14ac:dyDescent="0.25">
      <c r="A58" s="79"/>
      <c r="B58" s="82"/>
      <c r="C58" s="79"/>
      <c r="F58" s="101"/>
      <c r="G58" s="101"/>
      <c r="H58" s="101"/>
      <c r="I58" s="96"/>
      <c r="J58" s="89"/>
      <c r="K58" s="96"/>
      <c r="L58" s="89"/>
      <c r="M58" s="96"/>
      <c r="N58" s="89"/>
      <c r="O58" s="79"/>
      <c r="P58" s="79"/>
      <c r="Q58" s="79"/>
      <c r="R58" s="79"/>
      <c r="S58" s="79"/>
      <c r="T58" s="79"/>
      <c r="U58" s="79"/>
      <c r="V58" s="79"/>
    </row>
    <row r="59" spans="1:22" s="81" customFormat="1" ht="14.25" x14ac:dyDescent="0.25">
      <c r="A59" s="79"/>
      <c r="B59" s="82"/>
      <c r="C59" s="79"/>
      <c r="F59" s="101"/>
      <c r="G59" s="101"/>
      <c r="H59" s="101"/>
      <c r="I59" s="96"/>
      <c r="J59" s="89"/>
      <c r="K59" s="96"/>
      <c r="L59" s="89"/>
      <c r="M59" s="96"/>
      <c r="N59" s="89"/>
      <c r="O59" s="79"/>
      <c r="P59" s="79"/>
      <c r="Q59" s="79"/>
      <c r="R59" s="79"/>
      <c r="S59" s="79"/>
      <c r="T59" s="79"/>
      <c r="U59" s="79"/>
      <c r="V59" s="79"/>
    </row>
    <row r="60" spans="1:22" s="81" customFormat="1" ht="14.25" x14ac:dyDescent="0.25">
      <c r="A60" s="79"/>
      <c r="B60" s="82"/>
      <c r="C60" s="79"/>
      <c r="F60" s="101"/>
      <c r="G60" s="101"/>
      <c r="H60" s="101"/>
      <c r="I60" s="96"/>
      <c r="J60" s="89"/>
      <c r="K60" s="96"/>
      <c r="L60" s="89"/>
      <c r="M60" s="96"/>
      <c r="N60" s="89"/>
      <c r="O60" s="79"/>
      <c r="P60" s="79"/>
      <c r="Q60" s="79"/>
      <c r="R60" s="79"/>
      <c r="S60" s="79"/>
      <c r="T60" s="79"/>
      <c r="U60" s="79"/>
      <c r="V60" s="79"/>
    </row>
    <row r="61" spans="1:22" s="81" customFormat="1" ht="14.25" x14ac:dyDescent="0.25">
      <c r="A61" s="79"/>
      <c r="B61" s="82"/>
      <c r="C61" s="79"/>
      <c r="F61" s="101"/>
      <c r="G61" s="101"/>
      <c r="H61" s="101"/>
      <c r="I61" s="96"/>
      <c r="J61" s="89"/>
      <c r="K61" s="96"/>
      <c r="L61" s="89"/>
      <c r="M61" s="96"/>
      <c r="N61" s="89"/>
      <c r="O61" s="79"/>
      <c r="P61" s="79"/>
      <c r="Q61" s="79"/>
      <c r="R61" s="79"/>
      <c r="S61" s="79"/>
      <c r="T61" s="79"/>
      <c r="U61" s="79"/>
      <c r="V61" s="79"/>
    </row>
    <row r="62" spans="1:22" s="81" customFormat="1" ht="14.25" x14ac:dyDescent="0.25">
      <c r="A62" s="79"/>
      <c r="B62" s="82"/>
      <c r="C62" s="79"/>
      <c r="F62" s="101"/>
      <c r="G62" s="101"/>
      <c r="H62" s="101"/>
      <c r="I62" s="96"/>
      <c r="J62" s="89"/>
      <c r="K62" s="96"/>
      <c r="L62" s="89"/>
      <c r="M62" s="96"/>
      <c r="N62" s="89"/>
      <c r="O62" s="79"/>
      <c r="P62" s="79"/>
      <c r="Q62" s="79"/>
      <c r="R62" s="79"/>
      <c r="S62" s="79"/>
      <c r="T62" s="79"/>
      <c r="U62" s="79"/>
      <c r="V62" s="79"/>
    </row>
    <row r="63" spans="1:22" s="81" customFormat="1" ht="14.25" x14ac:dyDescent="0.25">
      <c r="A63" s="79"/>
      <c r="B63" s="82"/>
      <c r="C63" s="79"/>
      <c r="F63" s="101"/>
      <c r="G63" s="101"/>
      <c r="H63" s="101"/>
      <c r="I63" s="96"/>
      <c r="J63" s="89"/>
      <c r="K63" s="96"/>
      <c r="L63" s="89"/>
      <c r="M63" s="96"/>
      <c r="N63" s="89"/>
      <c r="O63" s="79"/>
      <c r="P63" s="79"/>
      <c r="Q63" s="79"/>
      <c r="R63" s="79"/>
      <c r="S63" s="79"/>
      <c r="T63" s="79"/>
      <c r="U63" s="79"/>
      <c r="V63" s="79"/>
    </row>
    <row r="64" spans="1:22" s="81" customFormat="1" ht="14.25" x14ac:dyDescent="0.25">
      <c r="A64" s="79"/>
      <c r="B64" s="82"/>
      <c r="C64" s="79"/>
      <c r="F64" s="101"/>
      <c r="G64" s="101"/>
      <c r="H64" s="101"/>
      <c r="I64" s="96"/>
      <c r="J64" s="89"/>
      <c r="K64" s="96"/>
      <c r="L64" s="89"/>
      <c r="M64" s="96"/>
      <c r="N64" s="89"/>
      <c r="O64" s="79"/>
      <c r="P64" s="79"/>
      <c r="Q64" s="79"/>
      <c r="R64" s="79"/>
      <c r="S64" s="79"/>
      <c r="T64" s="79"/>
      <c r="U64" s="79"/>
      <c r="V64" s="79"/>
    </row>
    <row r="65" spans="1:22" s="81" customFormat="1" ht="14.25" x14ac:dyDescent="0.25">
      <c r="A65" s="79"/>
      <c r="B65" s="82"/>
      <c r="C65" s="79"/>
      <c r="F65" s="101"/>
      <c r="G65" s="101"/>
      <c r="H65" s="101"/>
      <c r="I65" s="96"/>
      <c r="J65" s="89"/>
      <c r="K65" s="96"/>
      <c r="L65" s="89"/>
      <c r="M65" s="96"/>
      <c r="N65" s="89"/>
      <c r="O65" s="79"/>
      <c r="P65" s="79"/>
      <c r="Q65" s="79"/>
      <c r="R65" s="79"/>
      <c r="S65" s="79"/>
      <c r="T65" s="79"/>
      <c r="U65" s="79"/>
      <c r="V65" s="79"/>
    </row>
    <row r="66" spans="1:22" s="81" customFormat="1" ht="14.25" x14ac:dyDescent="0.25">
      <c r="A66" s="79"/>
      <c r="B66" s="82"/>
      <c r="C66" s="79"/>
      <c r="F66" s="101"/>
      <c r="G66" s="101"/>
      <c r="H66" s="101"/>
      <c r="I66" s="96"/>
      <c r="J66" s="89"/>
      <c r="K66" s="96"/>
      <c r="L66" s="89"/>
      <c r="M66" s="96"/>
      <c r="N66" s="89"/>
      <c r="O66" s="79"/>
      <c r="P66" s="79"/>
      <c r="Q66" s="79"/>
      <c r="R66" s="79"/>
      <c r="S66" s="79"/>
      <c r="T66" s="79"/>
      <c r="U66" s="79"/>
      <c r="V66" s="79"/>
    </row>
    <row r="67" spans="1:22" s="81" customFormat="1" ht="14.25" x14ac:dyDescent="0.25">
      <c r="A67" s="79"/>
      <c r="B67" s="82"/>
      <c r="C67" s="79"/>
      <c r="F67" s="101"/>
      <c r="G67" s="101"/>
      <c r="H67" s="101"/>
      <c r="I67" s="96"/>
      <c r="J67" s="89"/>
      <c r="K67" s="96"/>
      <c r="L67" s="89"/>
      <c r="M67" s="96"/>
      <c r="N67" s="89"/>
      <c r="O67" s="79"/>
      <c r="P67" s="79"/>
      <c r="Q67" s="79"/>
      <c r="R67" s="79"/>
      <c r="S67" s="79"/>
      <c r="T67" s="79"/>
      <c r="U67" s="79"/>
      <c r="V67" s="79"/>
    </row>
    <row r="68" spans="1:22" s="81" customFormat="1" ht="14.25" x14ac:dyDescent="0.25">
      <c r="A68" s="79"/>
      <c r="B68" s="82"/>
      <c r="C68" s="79"/>
      <c r="F68" s="101"/>
      <c r="G68" s="101"/>
      <c r="H68" s="101"/>
      <c r="I68" s="96"/>
      <c r="J68" s="89"/>
      <c r="K68" s="96"/>
      <c r="L68" s="89"/>
      <c r="M68" s="96"/>
      <c r="N68" s="89"/>
      <c r="O68" s="79"/>
      <c r="P68" s="79"/>
      <c r="Q68" s="79"/>
      <c r="R68" s="79"/>
      <c r="S68" s="79"/>
      <c r="T68" s="79"/>
      <c r="U68" s="79"/>
      <c r="V68" s="79"/>
    </row>
    <row r="69" spans="1:22" s="81" customFormat="1" ht="14.25" x14ac:dyDescent="0.25">
      <c r="A69" s="79"/>
      <c r="B69" s="82"/>
      <c r="C69" s="79"/>
      <c r="F69" s="101"/>
      <c r="G69" s="101"/>
      <c r="H69" s="101"/>
      <c r="I69" s="96"/>
      <c r="J69" s="89"/>
      <c r="K69" s="96"/>
      <c r="L69" s="89"/>
      <c r="M69" s="96"/>
      <c r="N69" s="89"/>
      <c r="O69" s="79"/>
      <c r="P69" s="79"/>
      <c r="Q69" s="79"/>
      <c r="R69" s="79"/>
      <c r="S69" s="79"/>
      <c r="T69" s="79"/>
      <c r="U69" s="79"/>
      <c r="V69" s="79"/>
    </row>
    <row r="70" spans="1:22" s="81" customFormat="1" ht="14.25" x14ac:dyDescent="0.25">
      <c r="A70" s="79"/>
      <c r="B70" s="82"/>
      <c r="C70" s="79"/>
      <c r="F70" s="101"/>
      <c r="G70" s="101"/>
      <c r="H70" s="101"/>
      <c r="I70" s="96"/>
      <c r="J70" s="89"/>
      <c r="K70" s="96"/>
      <c r="L70" s="89"/>
      <c r="M70" s="96"/>
      <c r="N70" s="89"/>
      <c r="O70" s="79"/>
      <c r="P70" s="79"/>
      <c r="Q70" s="79"/>
      <c r="R70" s="79"/>
      <c r="S70" s="79"/>
      <c r="T70" s="79"/>
      <c r="U70" s="79"/>
      <c r="V70" s="79"/>
    </row>
    <row r="71" spans="1:22" s="81" customFormat="1" ht="14.25" x14ac:dyDescent="0.25">
      <c r="A71" s="79"/>
      <c r="B71" s="82"/>
      <c r="C71" s="79"/>
      <c r="F71" s="101"/>
      <c r="G71" s="101"/>
      <c r="H71" s="101"/>
      <c r="I71" s="96"/>
      <c r="J71" s="89"/>
      <c r="K71" s="96"/>
      <c r="L71" s="89"/>
      <c r="M71" s="96"/>
      <c r="N71" s="89"/>
      <c r="O71" s="79"/>
      <c r="P71" s="79"/>
      <c r="Q71" s="79"/>
      <c r="R71" s="79"/>
      <c r="S71" s="79"/>
      <c r="T71" s="79"/>
      <c r="U71" s="79"/>
      <c r="V71" s="79"/>
    </row>
    <row r="72" spans="1:22" s="81" customFormat="1" ht="14.25" x14ac:dyDescent="0.25">
      <c r="A72" s="79"/>
      <c r="B72" s="82"/>
      <c r="C72" s="79"/>
      <c r="F72" s="101"/>
      <c r="G72" s="101"/>
      <c r="H72" s="101"/>
      <c r="I72" s="96"/>
      <c r="J72" s="89"/>
      <c r="K72" s="96"/>
      <c r="L72" s="89"/>
      <c r="M72" s="96"/>
      <c r="N72" s="89"/>
      <c r="O72" s="79"/>
      <c r="P72" s="79"/>
      <c r="Q72" s="79"/>
      <c r="R72" s="79"/>
      <c r="S72" s="79"/>
      <c r="T72" s="79"/>
      <c r="U72" s="79"/>
      <c r="V72" s="79"/>
    </row>
    <row r="73" spans="1:22" s="81" customFormat="1" ht="14.25" x14ac:dyDescent="0.25">
      <c r="A73" s="79"/>
      <c r="B73" s="82"/>
      <c r="C73" s="79"/>
      <c r="F73" s="101"/>
      <c r="G73" s="101"/>
      <c r="H73" s="101"/>
      <c r="I73" s="96"/>
      <c r="J73" s="89"/>
      <c r="K73" s="96"/>
      <c r="L73" s="89"/>
      <c r="M73" s="96"/>
      <c r="N73" s="89"/>
      <c r="O73" s="79"/>
      <c r="P73" s="79"/>
      <c r="Q73" s="79"/>
      <c r="R73" s="79"/>
      <c r="S73" s="79"/>
      <c r="T73" s="79"/>
      <c r="U73" s="79"/>
      <c r="V73" s="79"/>
    </row>
    <row r="74" spans="1:22" s="81" customFormat="1" ht="14.25" x14ac:dyDescent="0.25">
      <c r="A74" s="79"/>
      <c r="B74" s="82"/>
      <c r="C74" s="79"/>
      <c r="F74" s="101"/>
      <c r="G74" s="101"/>
      <c r="H74" s="101"/>
      <c r="I74" s="96"/>
      <c r="J74" s="89"/>
      <c r="K74" s="96"/>
      <c r="L74" s="89"/>
      <c r="M74" s="96"/>
      <c r="N74" s="89"/>
      <c r="O74" s="79"/>
      <c r="P74" s="79"/>
      <c r="Q74" s="79"/>
      <c r="R74" s="79"/>
      <c r="S74" s="79"/>
      <c r="T74" s="79"/>
      <c r="U74" s="79"/>
      <c r="V74" s="79"/>
    </row>
    <row r="75" spans="1:22" s="81" customFormat="1" ht="14.25" x14ac:dyDescent="0.25">
      <c r="A75" s="79"/>
      <c r="B75" s="82"/>
      <c r="C75" s="79"/>
      <c r="F75" s="101"/>
      <c r="G75" s="101"/>
      <c r="H75" s="101"/>
      <c r="I75" s="96"/>
      <c r="J75" s="89"/>
      <c r="K75" s="96"/>
      <c r="L75" s="89"/>
      <c r="M75" s="96"/>
      <c r="N75" s="89"/>
      <c r="O75" s="79"/>
      <c r="P75" s="79"/>
      <c r="Q75" s="79"/>
      <c r="R75" s="79"/>
      <c r="S75" s="79"/>
      <c r="T75" s="79"/>
      <c r="U75" s="79"/>
      <c r="V75" s="79"/>
    </row>
    <row r="76" spans="1:22" s="81" customFormat="1" ht="14.25" x14ac:dyDescent="0.25">
      <c r="A76" s="79"/>
      <c r="B76" s="82"/>
      <c r="C76" s="79"/>
      <c r="F76" s="101"/>
      <c r="G76" s="101"/>
      <c r="H76" s="101"/>
      <c r="I76" s="96"/>
      <c r="J76" s="89"/>
      <c r="K76" s="96"/>
      <c r="L76" s="89"/>
      <c r="M76" s="96"/>
      <c r="N76" s="89"/>
      <c r="O76" s="79"/>
      <c r="P76" s="79"/>
      <c r="Q76" s="79"/>
      <c r="R76" s="79"/>
      <c r="S76" s="79"/>
      <c r="T76" s="79"/>
      <c r="U76" s="79"/>
      <c r="V76" s="79"/>
    </row>
    <row r="77" spans="1:22" s="81" customFormat="1" ht="14.25" x14ac:dyDescent="0.25">
      <c r="A77" s="79"/>
      <c r="B77" s="82"/>
      <c r="C77" s="79"/>
      <c r="F77" s="101"/>
      <c r="G77" s="101"/>
      <c r="H77" s="101"/>
      <c r="I77" s="96"/>
      <c r="J77" s="89"/>
      <c r="K77" s="96"/>
      <c r="L77" s="89"/>
      <c r="M77" s="96"/>
      <c r="N77" s="89"/>
      <c r="O77" s="79"/>
      <c r="P77" s="79"/>
      <c r="Q77" s="79"/>
      <c r="R77" s="79"/>
      <c r="S77" s="79"/>
      <c r="T77" s="79"/>
      <c r="U77" s="79"/>
      <c r="V77" s="79"/>
    </row>
    <row r="78" spans="1:22" s="81" customFormat="1" ht="14.25" x14ac:dyDescent="0.25">
      <c r="A78" s="79"/>
      <c r="B78" s="82"/>
      <c r="C78" s="79"/>
      <c r="F78" s="101"/>
      <c r="G78" s="101"/>
      <c r="H78" s="101"/>
      <c r="I78" s="96"/>
      <c r="J78" s="89"/>
      <c r="K78" s="96"/>
      <c r="L78" s="89"/>
      <c r="M78" s="96"/>
      <c r="N78" s="89"/>
      <c r="O78" s="79"/>
      <c r="P78" s="79"/>
      <c r="Q78" s="79"/>
      <c r="R78" s="79"/>
      <c r="S78" s="79"/>
      <c r="T78" s="79"/>
      <c r="U78" s="79"/>
      <c r="V78" s="79"/>
    </row>
    <row r="79" spans="1:22" s="81" customFormat="1" ht="14.25" x14ac:dyDescent="0.25">
      <c r="A79" s="79"/>
      <c r="B79" s="82"/>
      <c r="C79" s="79"/>
      <c r="F79" s="101"/>
      <c r="G79" s="101"/>
      <c r="H79" s="101"/>
      <c r="I79" s="96"/>
      <c r="J79" s="89"/>
      <c r="K79" s="96"/>
      <c r="L79" s="89"/>
      <c r="M79" s="96"/>
      <c r="N79" s="89"/>
      <c r="O79" s="79"/>
      <c r="P79" s="79"/>
      <c r="Q79" s="79"/>
      <c r="R79" s="79"/>
      <c r="S79" s="79"/>
      <c r="T79" s="79"/>
      <c r="U79" s="79"/>
      <c r="V79" s="79"/>
    </row>
    <row r="80" spans="1:22" s="81" customFormat="1" ht="14.25" x14ac:dyDescent="0.25">
      <c r="A80" s="79"/>
      <c r="B80" s="82"/>
      <c r="C80" s="79"/>
      <c r="F80" s="101"/>
      <c r="G80" s="101"/>
      <c r="H80" s="101"/>
      <c r="I80" s="96"/>
      <c r="J80" s="89"/>
      <c r="K80" s="96"/>
      <c r="L80" s="89"/>
      <c r="M80" s="96"/>
      <c r="N80" s="89"/>
      <c r="O80" s="79"/>
      <c r="P80" s="79"/>
      <c r="Q80" s="79"/>
      <c r="R80" s="79"/>
      <c r="S80" s="79"/>
      <c r="T80" s="79"/>
      <c r="U80" s="79"/>
      <c r="V80" s="79"/>
    </row>
    <row r="81" spans="1:22" s="81" customFormat="1" ht="14.25" x14ac:dyDescent="0.25">
      <c r="A81" s="79"/>
      <c r="B81" s="82"/>
      <c r="C81" s="79"/>
      <c r="F81" s="101"/>
      <c r="G81" s="101"/>
      <c r="H81" s="101"/>
      <c r="I81" s="96"/>
      <c r="J81" s="89"/>
      <c r="K81" s="96"/>
      <c r="L81" s="89"/>
      <c r="M81" s="96"/>
      <c r="N81" s="89"/>
      <c r="O81" s="79"/>
      <c r="P81" s="79"/>
      <c r="Q81" s="79"/>
      <c r="R81" s="79"/>
      <c r="S81" s="79"/>
      <c r="T81" s="79"/>
      <c r="U81" s="79"/>
      <c r="V81" s="79"/>
    </row>
    <row r="82" spans="1:22" s="81" customFormat="1" ht="14.25" x14ac:dyDescent="0.25">
      <c r="A82" s="79"/>
      <c r="B82" s="82"/>
      <c r="C82" s="79"/>
      <c r="F82" s="101"/>
      <c r="G82" s="101"/>
      <c r="H82" s="101"/>
      <c r="I82" s="96"/>
      <c r="J82" s="89"/>
      <c r="K82" s="96"/>
      <c r="L82" s="89"/>
      <c r="M82" s="96"/>
      <c r="N82" s="89"/>
      <c r="O82" s="79"/>
      <c r="P82" s="79"/>
      <c r="Q82" s="79"/>
      <c r="R82" s="79"/>
      <c r="S82" s="79"/>
      <c r="T82" s="79"/>
      <c r="U82" s="79"/>
      <c r="V82" s="79"/>
    </row>
    <row r="83" spans="1:22" s="81" customFormat="1" ht="14.25" x14ac:dyDescent="0.25">
      <c r="A83" s="79"/>
      <c r="B83" s="82"/>
      <c r="C83" s="79"/>
      <c r="F83" s="101"/>
      <c r="G83" s="101"/>
      <c r="H83" s="101"/>
      <c r="I83" s="96"/>
      <c r="J83" s="89"/>
      <c r="K83" s="96"/>
      <c r="L83" s="89"/>
      <c r="M83" s="96"/>
      <c r="N83" s="89"/>
      <c r="O83" s="79"/>
      <c r="P83" s="79"/>
      <c r="Q83" s="79"/>
      <c r="R83" s="79"/>
      <c r="S83" s="79"/>
      <c r="T83" s="79"/>
      <c r="U83" s="79"/>
      <c r="V83" s="79"/>
    </row>
    <row r="84" spans="1:22" s="81" customFormat="1" ht="14.25" x14ac:dyDescent="0.25">
      <c r="A84" s="79"/>
      <c r="B84" s="82"/>
      <c r="C84" s="79"/>
      <c r="F84" s="101"/>
      <c r="G84" s="101"/>
      <c r="H84" s="101"/>
      <c r="I84" s="96"/>
      <c r="J84" s="89"/>
      <c r="K84" s="96"/>
      <c r="L84" s="89"/>
      <c r="M84" s="96"/>
      <c r="N84" s="89"/>
      <c r="O84" s="79"/>
      <c r="P84" s="79"/>
      <c r="Q84" s="79"/>
      <c r="R84" s="79"/>
      <c r="S84" s="79"/>
      <c r="T84" s="79"/>
      <c r="U84" s="79"/>
      <c r="V84" s="79"/>
    </row>
    <row r="85" spans="1:22" s="81" customFormat="1" ht="14.25" x14ac:dyDescent="0.25">
      <c r="A85" s="79"/>
      <c r="B85" s="82"/>
      <c r="C85" s="79"/>
      <c r="F85" s="101"/>
      <c r="G85" s="101"/>
      <c r="H85" s="101"/>
      <c r="I85" s="96"/>
      <c r="J85" s="89"/>
      <c r="K85" s="96"/>
      <c r="L85" s="89"/>
      <c r="M85" s="96"/>
      <c r="N85" s="89"/>
      <c r="O85" s="79"/>
      <c r="P85" s="79"/>
      <c r="Q85" s="79"/>
      <c r="R85" s="79"/>
      <c r="S85" s="79"/>
      <c r="T85" s="79"/>
      <c r="U85" s="79"/>
      <c r="V85" s="79"/>
    </row>
    <row r="86" spans="1:22" s="81" customFormat="1" ht="14.25" x14ac:dyDescent="0.25">
      <c r="A86" s="79"/>
      <c r="B86" s="82"/>
      <c r="C86" s="79"/>
      <c r="F86" s="101"/>
      <c r="G86" s="101"/>
      <c r="H86" s="101"/>
      <c r="I86" s="96"/>
      <c r="J86" s="89"/>
      <c r="K86" s="96"/>
      <c r="L86" s="89"/>
      <c r="M86" s="96"/>
      <c r="N86" s="89"/>
      <c r="O86" s="79"/>
      <c r="P86" s="79"/>
      <c r="Q86" s="79"/>
      <c r="R86" s="79"/>
      <c r="S86" s="79"/>
      <c r="T86" s="79"/>
      <c r="U86" s="79"/>
      <c r="V86" s="79"/>
    </row>
    <row r="87" spans="1:22" s="81" customFormat="1" ht="14.25" x14ac:dyDescent="0.25">
      <c r="A87" s="79"/>
      <c r="B87" s="82"/>
      <c r="C87" s="79"/>
      <c r="F87" s="101"/>
      <c r="G87" s="101"/>
      <c r="H87" s="101"/>
      <c r="I87" s="96"/>
      <c r="J87" s="89"/>
      <c r="K87" s="96"/>
      <c r="L87" s="89"/>
      <c r="M87" s="96"/>
      <c r="N87" s="89"/>
      <c r="O87" s="79"/>
      <c r="P87" s="79"/>
      <c r="Q87" s="79"/>
      <c r="R87" s="79"/>
      <c r="S87" s="79"/>
      <c r="T87" s="79"/>
      <c r="U87" s="79"/>
      <c r="V87" s="79"/>
    </row>
    <row r="88" spans="1:22" s="81" customFormat="1" ht="14.25" x14ac:dyDescent="0.25">
      <c r="A88" s="79"/>
      <c r="B88" s="82"/>
      <c r="C88" s="79"/>
      <c r="F88" s="101"/>
      <c r="G88" s="101"/>
      <c r="H88" s="101"/>
      <c r="I88" s="96"/>
      <c r="J88" s="89"/>
      <c r="K88" s="96"/>
      <c r="L88" s="89"/>
      <c r="M88" s="96"/>
      <c r="N88" s="89"/>
      <c r="O88" s="79"/>
      <c r="P88" s="79"/>
      <c r="Q88" s="79"/>
      <c r="R88" s="79"/>
      <c r="S88" s="79"/>
      <c r="T88" s="79"/>
      <c r="U88" s="79"/>
      <c r="V88" s="79"/>
    </row>
    <row r="89" spans="1:22" s="81" customFormat="1" ht="14.25" x14ac:dyDescent="0.25">
      <c r="A89" s="79"/>
      <c r="B89" s="82"/>
      <c r="C89" s="79"/>
      <c r="F89" s="101"/>
      <c r="G89" s="101"/>
      <c r="H89" s="101"/>
      <c r="I89" s="96"/>
      <c r="J89" s="89"/>
      <c r="K89" s="96"/>
      <c r="L89" s="89"/>
      <c r="M89" s="96"/>
      <c r="N89" s="89"/>
      <c r="O89" s="79"/>
      <c r="P89" s="79"/>
      <c r="Q89" s="79"/>
      <c r="R89" s="79"/>
      <c r="S89" s="79"/>
      <c r="T89" s="79"/>
      <c r="U89" s="79"/>
      <c r="V89" s="79"/>
    </row>
    <row r="90" spans="1:22" s="81" customFormat="1" ht="14.25" x14ac:dyDescent="0.25">
      <c r="A90" s="79"/>
      <c r="B90" s="82"/>
      <c r="C90" s="79"/>
      <c r="F90" s="101"/>
      <c r="G90" s="101"/>
      <c r="H90" s="101"/>
      <c r="I90" s="96"/>
      <c r="J90" s="89"/>
      <c r="K90" s="96"/>
      <c r="L90" s="89"/>
      <c r="M90" s="96"/>
      <c r="N90" s="89"/>
      <c r="O90" s="79"/>
      <c r="P90" s="79"/>
      <c r="Q90" s="79"/>
      <c r="R90" s="79"/>
      <c r="S90" s="79"/>
      <c r="T90" s="79"/>
      <c r="U90" s="79"/>
      <c r="V90" s="79"/>
    </row>
    <row r="91" spans="1:22" s="81" customFormat="1" ht="14.25" x14ac:dyDescent="0.25">
      <c r="A91" s="79"/>
      <c r="B91" s="82"/>
      <c r="C91" s="79"/>
      <c r="F91" s="101"/>
      <c r="G91" s="101"/>
      <c r="H91" s="101"/>
      <c r="I91" s="96"/>
      <c r="J91" s="89"/>
      <c r="K91" s="96"/>
      <c r="L91" s="89"/>
      <c r="M91" s="96"/>
      <c r="N91" s="89"/>
      <c r="O91" s="79"/>
      <c r="P91" s="79"/>
      <c r="Q91" s="79"/>
      <c r="R91" s="79"/>
      <c r="S91" s="79"/>
      <c r="T91" s="79"/>
      <c r="U91" s="79"/>
      <c r="V91" s="79"/>
    </row>
    <row r="92" spans="1:22" s="81" customFormat="1" ht="14.25" x14ac:dyDescent="0.25">
      <c r="A92" s="79"/>
      <c r="B92" s="82"/>
      <c r="C92" s="79"/>
      <c r="F92" s="101"/>
      <c r="G92" s="101"/>
      <c r="H92" s="101"/>
      <c r="I92" s="96"/>
      <c r="J92" s="89"/>
      <c r="K92" s="96"/>
      <c r="L92" s="89"/>
      <c r="M92" s="96"/>
      <c r="N92" s="89"/>
      <c r="O92" s="79"/>
      <c r="P92" s="79"/>
      <c r="Q92" s="79"/>
      <c r="R92" s="79"/>
      <c r="S92" s="79"/>
      <c r="T92" s="79"/>
      <c r="U92" s="79"/>
      <c r="V92" s="79"/>
    </row>
    <row r="93" spans="1:22" s="81" customFormat="1" ht="14.25" x14ac:dyDescent="0.25">
      <c r="A93" s="79"/>
      <c r="B93" s="82"/>
      <c r="C93" s="79"/>
      <c r="F93" s="101"/>
      <c r="G93" s="101"/>
      <c r="H93" s="101"/>
      <c r="I93" s="96"/>
      <c r="J93" s="89"/>
      <c r="K93" s="96"/>
      <c r="L93" s="89"/>
      <c r="M93" s="96"/>
      <c r="N93" s="89"/>
      <c r="O93" s="79"/>
      <c r="P93" s="79"/>
      <c r="Q93" s="79"/>
      <c r="R93" s="79"/>
      <c r="S93" s="79"/>
      <c r="T93" s="79"/>
      <c r="U93" s="79"/>
      <c r="V93" s="79"/>
    </row>
    <row r="94" spans="1:22" s="81" customFormat="1" ht="14.25" x14ac:dyDescent="0.25">
      <c r="A94" s="79"/>
      <c r="B94" s="82"/>
      <c r="C94" s="79"/>
      <c r="F94" s="101"/>
      <c r="G94" s="101"/>
      <c r="H94" s="101"/>
      <c r="I94" s="96"/>
      <c r="J94" s="89"/>
      <c r="K94" s="96"/>
      <c r="L94" s="89"/>
      <c r="M94" s="96"/>
      <c r="N94" s="89"/>
      <c r="O94" s="79"/>
      <c r="P94" s="79"/>
      <c r="Q94" s="79"/>
      <c r="R94" s="79"/>
      <c r="S94" s="79"/>
      <c r="T94" s="79"/>
      <c r="U94" s="79"/>
      <c r="V94" s="79"/>
    </row>
    <row r="95" spans="1:22" s="81" customFormat="1" ht="14.25" x14ac:dyDescent="0.25">
      <c r="A95" s="79"/>
      <c r="B95" s="82"/>
      <c r="C95" s="79"/>
      <c r="F95" s="101"/>
      <c r="G95" s="101"/>
      <c r="H95" s="101"/>
      <c r="I95" s="96"/>
      <c r="J95" s="89"/>
      <c r="K95" s="96"/>
      <c r="L95" s="89"/>
      <c r="M95" s="96"/>
      <c r="N95" s="89"/>
      <c r="O95" s="79"/>
      <c r="P95" s="79"/>
      <c r="Q95" s="79"/>
      <c r="R95" s="79"/>
      <c r="S95" s="79"/>
      <c r="T95" s="79"/>
      <c r="U95" s="79"/>
      <c r="V95" s="79"/>
    </row>
    <row r="96" spans="1:22" s="81" customFormat="1" ht="14.25" x14ac:dyDescent="0.25">
      <c r="A96" s="79"/>
      <c r="B96" s="82"/>
      <c r="C96" s="79"/>
      <c r="F96" s="101"/>
      <c r="G96" s="101"/>
      <c r="H96" s="101"/>
      <c r="I96" s="96"/>
      <c r="J96" s="89"/>
      <c r="K96" s="96"/>
      <c r="L96" s="89"/>
      <c r="M96" s="96"/>
      <c r="N96" s="89"/>
      <c r="O96" s="79"/>
      <c r="P96" s="79"/>
      <c r="Q96" s="79"/>
      <c r="R96" s="79"/>
      <c r="S96" s="79"/>
      <c r="T96" s="79"/>
      <c r="U96" s="79"/>
      <c r="V96" s="79"/>
    </row>
    <row r="97" spans="1:22" s="81" customFormat="1" ht="14.25" x14ac:dyDescent="0.25">
      <c r="A97" s="79"/>
      <c r="B97" s="82"/>
      <c r="C97" s="79"/>
      <c r="F97" s="101"/>
      <c r="G97" s="101"/>
      <c r="H97" s="101"/>
      <c r="I97" s="96"/>
      <c r="J97" s="89"/>
      <c r="K97" s="96"/>
      <c r="L97" s="89"/>
      <c r="M97" s="96"/>
      <c r="N97" s="89"/>
      <c r="O97" s="79"/>
      <c r="P97" s="79"/>
      <c r="Q97" s="79"/>
      <c r="R97" s="79"/>
      <c r="S97" s="79"/>
      <c r="T97" s="79"/>
      <c r="U97" s="79"/>
      <c r="V97" s="79"/>
    </row>
    <row r="98" spans="1:22" s="81" customFormat="1" ht="14.25" x14ac:dyDescent="0.25">
      <c r="A98" s="79"/>
      <c r="B98" s="82"/>
      <c r="C98" s="79"/>
      <c r="F98" s="101"/>
      <c r="G98" s="101"/>
      <c r="H98" s="101"/>
      <c r="I98" s="96"/>
      <c r="J98" s="89"/>
      <c r="K98" s="96"/>
      <c r="L98" s="89"/>
      <c r="M98" s="96"/>
      <c r="N98" s="89"/>
      <c r="O98" s="79"/>
      <c r="P98" s="79"/>
      <c r="Q98" s="79"/>
      <c r="R98" s="79"/>
      <c r="S98" s="79"/>
      <c r="T98" s="79"/>
      <c r="U98" s="79"/>
      <c r="V98" s="79"/>
    </row>
  </sheetData>
  <mergeCells count="22">
    <mergeCell ref="G7:G12"/>
    <mergeCell ref="G13:G19"/>
    <mergeCell ref="B7:B12"/>
    <mergeCell ref="C7:C37"/>
    <mergeCell ref="B13:B19"/>
    <mergeCell ref="B20:B26"/>
    <mergeCell ref="B27:B33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6"/>
  <sheetViews>
    <sheetView topLeftCell="A3" zoomScale="85" zoomScaleNormal="85" workbookViewId="0">
      <selection activeCell="G20" sqref="G20:G26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8" width="17.42578125" style="103" customWidth="1"/>
    <col min="9" max="9" width="10.42578125" style="87" customWidth="1"/>
    <col min="10" max="10" width="10.42578125" style="89" customWidth="1"/>
    <col min="11" max="11" width="10.42578125" style="87" customWidth="1"/>
    <col min="12" max="12" width="10.42578125" style="89" customWidth="1"/>
    <col min="13" max="13" width="10.42578125" style="87" customWidth="1"/>
    <col min="14" max="14" width="10.42578125" style="89" customWidth="1"/>
    <col min="15" max="53" width="8.85546875" style="79" customWidth="1"/>
    <col min="54" max="16384" width="8.85546875" style="79"/>
  </cols>
  <sheetData>
    <row r="2" spans="1:14" ht="38.1" customHeight="1" x14ac:dyDescent="0.25">
      <c r="A2" s="78"/>
      <c r="B2" s="191" t="s">
        <v>80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</row>
    <row r="3" spans="1:14" ht="25.35" customHeight="1" x14ac:dyDescent="0.25">
      <c r="B3" s="460" t="s">
        <v>43</v>
      </c>
      <c r="C3" s="461" t="s">
        <v>71</v>
      </c>
      <c r="D3" s="462" t="s">
        <v>45</v>
      </c>
      <c r="E3" s="462"/>
      <c r="F3" s="474" t="s">
        <v>81</v>
      </c>
      <c r="G3" s="475"/>
      <c r="H3" s="475"/>
      <c r="I3" s="469" t="s">
        <v>82</v>
      </c>
      <c r="J3" s="470"/>
      <c r="K3" s="470"/>
      <c r="L3" s="470"/>
      <c r="M3" s="470"/>
      <c r="N3" s="471"/>
    </row>
    <row r="4" spans="1:14" ht="25.35" customHeight="1" x14ac:dyDescent="0.25">
      <c r="B4" s="460"/>
      <c r="C4" s="461"/>
      <c r="D4" s="462"/>
      <c r="E4" s="462"/>
      <c r="F4" s="475"/>
      <c r="G4" s="475"/>
      <c r="H4" s="475"/>
      <c r="I4" s="472" t="s">
        <v>74</v>
      </c>
      <c r="J4" s="472"/>
      <c r="K4" s="472" t="s">
        <v>75</v>
      </c>
      <c r="L4" s="472"/>
      <c r="M4" s="472" t="s">
        <v>76</v>
      </c>
      <c r="N4" s="472"/>
    </row>
    <row r="5" spans="1:14" ht="25.35" customHeight="1" x14ac:dyDescent="0.25">
      <c r="B5" s="460"/>
      <c r="C5" s="461"/>
      <c r="D5" s="462"/>
      <c r="E5" s="462"/>
      <c r="F5" s="473" t="s">
        <v>52</v>
      </c>
      <c r="G5" s="473" t="s">
        <v>53</v>
      </c>
      <c r="H5" s="473" t="s">
        <v>54</v>
      </c>
      <c r="I5" s="472" t="s">
        <v>77</v>
      </c>
      <c r="J5" s="472"/>
      <c r="K5" s="472" t="s">
        <v>77</v>
      </c>
      <c r="L5" s="472"/>
      <c r="M5" s="472" t="s">
        <v>77</v>
      </c>
      <c r="N5" s="472"/>
    </row>
    <row r="6" spans="1:14" s="81" customFormat="1" ht="23.45" customHeight="1" x14ac:dyDescent="0.25">
      <c r="B6" s="460"/>
      <c r="C6" s="461"/>
      <c r="D6" s="462"/>
      <c r="E6" s="462"/>
      <c r="F6" s="473"/>
      <c r="G6" s="473"/>
      <c r="H6" s="473"/>
      <c r="I6" s="104" t="s">
        <v>83</v>
      </c>
      <c r="J6" s="98" t="s">
        <v>79</v>
      </c>
      <c r="K6" s="104" t="s">
        <v>83</v>
      </c>
      <c r="L6" s="98" t="s">
        <v>79</v>
      </c>
      <c r="M6" s="104" t="s">
        <v>83</v>
      </c>
      <c r="N6" s="98" t="s">
        <v>79</v>
      </c>
    </row>
    <row r="7" spans="1:14" ht="14.25" x14ac:dyDescent="0.25">
      <c r="B7" s="438">
        <v>46211</v>
      </c>
      <c r="C7" s="452" t="s">
        <v>55</v>
      </c>
      <c r="D7" s="300">
        <v>46204</v>
      </c>
      <c r="E7" s="300" t="s">
        <v>56</v>
      </c>
      <c r="F7" s="190">
        <f>SUM(I7,K7,M7)</f>
        <v>64740</v>
      </c>
      <c r="G7" s="478">
        <f>SUM(F7:F12)</f>
        <v>375105</v>
      </c>
      <c r="H7" s="476">
        <f>SUM(F7:F36)</f>
        <v>1287266</v>
      </c>
      <c r="I7" s="226">
        <v>53739</v>
      </c>
      <c r="J7" s="100">
        <f t="shared" ref="J7:J36" si="0">I7/F7</f>
        <v>0.83007414272474511</v>
      </c>
      <c r="K7" s="105"/>
      <c r="L7" s="100">
        <f t="shared" ref="L7:L36" si="1">K7/F7</f>
        <v>0</v>
      </c>
      <c r="M7" s="226">
        <v>11001</v>
      </c>
      <c r="N7" s="100">
        <f t="shared" ref="N7:N36" si="2">M7/F7</f>
        <v>0.16992585727525486</v>
      </c>
    </row>
    <row r="8" spans="1:14" ht="14.25" x14ac:dyDescent="0.25">
      <c r="B8" s="438"/>
      <c r="C8" s="452"/>
      <c r="D8" s="300">
        <v>46205</v>
      </c>
      <c r="E8" s="301" t="s">
        <v>57</v>
      </c>
      <c r="F8" s="190">
        <f t="shared" ref="F8:F36" si="3">SUM(I8,K8,M8)</f>
        <v>51631</v>
      </c>
      <c r="G8" s="440"/>
      <c r="H8" s="477"/>
      <c r="I8" s="226">
        <v>41408</v>
      </c>
      <c r="J8" s="100">
        <f t="shared" si="0"/>
        <v>0.80199879917104067</v>
      </c>
      <c r="K8" s="105"/>
      <c r="L8" s="100">
        <f t="shared" si="1"/>
        <v>0</v>
      </c>
      <c r="M8" s="226">
        <v>10223</v>
      </c>
      <c r="N8" s="100">
        <f t="shared" si="2"/>
        <v>0.19800120082895933</v>
      </c>
    </row>
    <row r="9" spans="1:14" ht="14.25" x14ac:dyDescent="0.25">
      <c r="B9" s="438"/>
      <c r="C9" s="452"/>
      <c r="D9" s="300">
        <v>46206</v>
      </c>
      <c r="E9" s="301" t="s">
        <v>58</v>
      </c>
      <c r="F9" s="190">
        <f t="shared" si="3"/>
        <v>52190</v>
      </c>
      <c r="G9" s="440"/>
      <c r="H9" s="477"/>
      <c r="I9" s="226">
        <v>43392</v>
      </c>
      <c r="J9" s="100">
        <f t="shared" si="0"/>
        <v>0.83142364437631733</v>
      </c>
      <c r="K9" s="105"/>
      <c r="L9" s="100">
        <f t="shared" si="1"/>
        <v>0</v>
      </c>
      <c r="M9" s="226">
        <v>8798</v>
      </c>
      <c r="N9" s="100">
        <f t="shared" si="2"/>
        <v>0.1685763556236827</v>
      </c>
    </row>
    <row r="10" spans="1:14" ht="14.25" x14ac:dyDescent="0.25">
      <c r="B10" s="438"/>
      <c r="C10" s="452"/>
      <c r="D10" s="300">
        <v>46207</v>
      </c>
      <c r="E10" s="301" t="s">
        <v>59</v>
      </c>
      <c r="F10" s="190">
        <f t="shared" si="3"/>
        <v>61707</v>
      </c>
      <c r="G10" s="440"/>
      <c r="H10" s="477"/>
      <c r="I10" s="226">
        <v>51314</v>
      </c>
      <c r="J10" s="100">
        <f t="shared" si="0"/>
        <v>0.83157502390328486</v>
      </c>
      <c r="K10" s="105"/>
      <c r="L10" s="100">
        <f t="shared" si="1"/>
        <v>0</v>
      </c>
      <c r="M10" s="226">
        <v>10393</v>
      </c>
      <c r="N10" s="100">
        <f t="shared" si="2"/>
        <v>0.16842497609671511</v>
      </c>
    </row>
    <row r="11" spans="1:14" ht="14.25" x14ac:dyDescent="0.25">
      <c r="B11" s="438"/>
      <c r="C11" s="452"/>
      <c r="D11" s="300">
        <v>46208</v>
      </c>
      <c r="E11" s="301" t="s">
        <v>52</v>
      </c>
      <c r="F11" s="190">
        <f t="shared" si="3"/>
        <v>73271</v>
      </c>
      <c r="G11" s="440"/>
      <c r="H11" s="477"/>
      <c r="I11" s="226">
        <v>61496</v>
      </c>
      <c r="J11" s="100">
        <f t="shared" si="0"/>
        <v>0.83929521911806859</v>
      </c>
      <c r="K11" s="105"/>
      <c r="L11" s="100">
        <f t="shared" si="1"/>
        <v>0</v>
      </c>
      <c r="M11" s="226">
        <v>11775</v>
      </c>
      <c r="N11" s="100">
        <f t="shared" si="2"/>
        <v>0.16070478088193146</v>
      </c>
    </row>
    <row r="12" spans="1:14" ht="14.25" x14ac:dyDescent="0.25">
      <c r="B12" s="438"/>
      <c r="C12" s="452"/>
      <c r="D12" s="300">
        <v>46209</v>
      </c>
      <c r="E12" s="301" t="s">
        <v>60</v>
      </c>
      <c r="F12" s="190">
        <f t="shared" si="3"/>
        <v>71566</v>
      </c>
      <c r="G12" s="440"/>
      <c r="H12" s="477"/>
      <c r="I12" s="226">
        <v>59473</v>
      </c>
      <c r="J12" s="100">
        <f t="shared" si="0"/>
        <v>0.83102311153340969</v>
      </c>
      <c r="K12" s="105"/>
      <c r="L12" s="100">
        <f t="shared" si="1"/>
        <v>0</v>
      </c>
      <c r="M12" s="226">
        <v>12093</v>
      </c>
      <c r="N12" s="100">
        <f t="shared" si="2"/>
        <v>0.16897688846659029</v>
      </c>
    </row>
    <row r="13" spans="1:14" ht="14.25" x14ac:dyDescent="0.25">
      <c r="B13" s="438">
        <v>46218</v>
      </c>
      <c r="C13" s="452"/>
      <c r="D13" s="300">
        <v>46210</v>
      </c>
      <c r="E13" s="301" t="s">
        <v>61</v>
      </c>
      <c r="F13" s="190">
        <f t="shared" si="3"/>
        <v>63648</v>
      </c>
      <c r="G13" s="440">
        <f>SUM(F13:F19)</f>
        <v>455465</v>
      </c>
      <c r="H13" s="477"/>
      <c r="I13" s="226">
        <v>52070</v>
      </c>
      <c r="J13" s="100">
        <f t="shared" si="0"/>
        <v>0.8180932629462041</v>
      </c>
      <c r="K13" s="105"/>
      <c r="L13" s="100">
        <f t="shared" si="1"/>
        <v>0</v>
      </c>
      <c r="M13" s="226">
        <v>11578</v>
      </c>
      <c r="N13" s="100">
        <f t="shared" si="2"/>
        <v>0.18190673705379587</v>
      </c>
    </row>
    <row r="14" spans="1:14" ht="14.25" x14ac:dyDescent="0.25">
      <c r="B14" s="438"/>
      <c r="C14" s="452"/>
      <c r="D14" s="300">
        <v>46211</v>
      </c>
      <c r="E14" s="300" t="s">
        <v>56</v>
      </c>
      <c r="F14" s="190">
        <f t="shared" si="3"/>
        <v>65338</v>
      </c>
      <c r="G14" s="440"/>
      <c r="H14" s="477"/>
      <c r="I14" s="226">
        <v>54255</v>
      </c>
      <c r="J14" s="100">
        <f t="shared" si="0"/>
        <v>0.83037436101502959</v>
      </c>
      <c r="K14" s="105"/>
      <c r="L14" s="100">
        <f t="shared" si="1"/>
        <v>0</v>
      </c>
      <c r="M14" s="226">
        <v>11083</v>
      </c>
      <c r="N14" s="100">
        <f t="shared" si="2"/>
        <v>0.16962563898497046</v>
      </c>
    </row>
    <row r="15" spans="1:14" ht="14.25" x14ac:dyDescent="0.25">
      <c r="B15" s="438"/>
      <c r="C15" s="452"/>
      <c r="D15" s="300">
        <v>46212</v>
      </c>
      <c r="E15" s="301" t="s">
        <v>57</v>
      </c>
      <c r="F15" s="190">
        <f t="shared" si="3"/>
        <v>71986</v>
      </c>
      <c r="G15" s="440"/>
      <c r="H15" s="477"/>
      <c r="I15" s="226">
        <v>59985</v>
      </c>
      <c r="J15" s="100">
        <f t="shared" si="0"/>
        <v>0.83328702803322874</v>
      </c>
      <c r="K15" s="105"/>
      <c r="L15" s="100">
        <f t="shared" si="1"/>
        <v>0</v>
      </c>
      <c r="M15" s="226">
        <v>12001</v>
      </c>
      <c r="N15" s="100">
        <f t="shared" si="2"/>
        <v>0.16671297196677132</v>
      </c>
    </row>
    <row r="16" spans="1:14" ht="14.25" x14ac:dyDescent="0.25">
      <c r="B16" s="438"/>
      <c r="C16" s="452"/>
      <c r="D16" s="300">
        <v>46213</v>
      </c>
      <c r="E16" s="301" t="s">
        <v>58</v>
      </c>
      <c r="F16" s="190">
        <f t="shared" si="3"/>
        <v>49267</v>
      </c>
      <c r="G16" s="440"/>
      <c r="H16" s="477"/>
      <c r="I16" s="226">
        <v>40667</v>
      </c>
      <c r="J16" s="100">
        <f t="shared" si="0"/>
        <v>0.82544096454015869</v>
      </c>
      <c r="K16" s="105"/>
      <c r="L16" s="100">
        <f t="shared" si="1"/>
        <v>0</v>
      </c>
      <c r="M16" s="226">
        <v>8600</v>
      </c>
      <c r="N16" s="100">
        <f t="shared" si="2"/>
        <v>0.17455903545984128</v>
      </c>
    </row>
    <row r="17" spans="2:14" ht="14.25" x14ac:dyDescent="0.25">
      <c r="B17" s="438"/>
      <c r="C17" s="452"/>
      <c r="D17" s="300">
        <v>46214</v>
      </c>
      <c r="E17" s="301" t="s">
        <v>59</v>
      </c>
      <c r="F17" s="190">
        <f t="shared" si="3"/>
        <v>58998</v>
      </c>
      <c r="G17" s="440"/>
      <c r="H17" s="477"/>
      <c r="I17" s="226">
        <v>48901</v>
      </c>
      <c r="J17" s="100">
        <f t="shared" si="0"/>
        <v>0.82885860537645339</v>
      </c>
      <c r="K17" s="105"/>
      <c r="L17" s="100">
        <f t="shared" si="1"/>
        <v>0</v>
      </c>
      <c r="M17" s="226">
        <v>10097</v>
      </c>
      <c r="N17" s="100">
        <f t="shared" si="2"/>
        <v>0.17114139462354655</v>
      </c>
    </row>
    <row r="18" spans="2:14" ht="14.25" x14ac:dyDescent="0.25">
      <c r="B18" s="438"/>
      <c r="C18" s="452"/>
      <c r="D18" s="300">
        <v>46215</v>
      </c>
      <c r="E18" s="301" t="s">
        <v>52</v>
      </c>
      <c r="F18" s="190">
        <f t="shared" si="3"/>
        <v>72479</v>
      </c>
      <c r="G18" s="440"/>
      <c r="H18" s="477"/>
      <c r="I18" s="226">
        <v>60167</v>
      </c>
      <c r="J18" s="100">
        <f t="shared" si="0"/>
        <v>0.83013010665158182</v>
      </c>
      <c r="K18" s="105"/>
      <c r="L18" s="100">
        <f t="shared" si="1"/>
        <v>0</v>
      </c>
      <c r="M18" s="226">
        <v>12312</v>
      </c>
      <c r="N18" s="100">
        <f t="shared" si="2"/>
        <v>0.16986989334841815</v>
      </c>
    </row>
    <row r="19" spans="2:14" ht="14.25" x14ac:dyDescent="0.25">
      <c r="B19" s="438"/>
      <c r="C19" s="452"/>
      <c r="D19" s="300">
        <v>46216</v>
      </c>
      <c r="E19" s="301" t="s">
        <v>60</v>
      </c>
      <c r="F19" s="190">
        <f t="shared" si="3"/>
        <v>73749</v>
      </c>
      <c r="G19" s="440"/>
      <c r="H19" s="477"/>
      <c r="I19" s="226">
        <v>60721</v>
      </c>
      <c r="J19" s="100">
        <f t="shared" si="0"/>
        <v>0.82334675724416606</v>
      </c>
      <c r="K19" s="105"/>
      <c r="L19" s="100">
        <f t="shared" si="1"/>
        <v>0</v>
      </c>
      <c r="M19" s="226">
        <v>13028</v>
      </c>
      <c r="N19" s="100">
        <f t="shared" si="2"/>
        <v>0.17665324275583397</v>
      </c>
    </row>
    <row r="20" spans="2:14" ht="14.25" x14ac:dyDescent="0.25">
      <c r="B20" s="438">
        <v>46225</v>
      </c>
      <c r="C20" s="452"/>
      <c r="D20" s="300">
        <v>46217</v>
      </c>
      <c r="E20" s="301" t="s">
        <v>61</v>
      </c>
      <c r="F20" s="190">
        <f t="shared" si="3"/>
        <v>75526</v>
      </c>
      <c r="G20" s="440">
        <f>SUM(F20:F26)</f>
        <v>456696</v>
      </c>
      <c r="H20" s="477"/>
      <c r="I20" s="226">
        <v>63483</v>
      </c>
      <c r="J20" s="100">
        <f t="shared" si="0"/>
        <v>0.84054497788840932</v>
      </c>
      <c r="K20" s="105"/>
      <c r="L20" s="100">
        <f t="shared" si="1"/>
        <v>0</v>
      </c>
      <c r="M20" s="226">
        <v>12043</v>
      </c>
      <c r="N20" s="100">
        <f t="shared" si="2"/>
        <v>0.15945502211159071</v>
      </c>
    </row>
    <row r="21" spans="2:14" ht="14.25" x14ac:dyDescent="0.25">
      <c r="B21" s="438"/>
      <c r="C21" s="452"/>
      <c r="D21" s="300">
        <v>46218</v>
      </c>
      <c r="E21" s="300" t="s">
        <v>56</v>
      </c>
      <c r="F21" s="190">
        <f t="shared" si="3"/>
        <v>67666</v>
      </c>
      <c r="G21" s="440"/>
      <c r="H21" s="477"/>
      <c r="I21" s="226">
        <v>56656</v>
      </c>
      <c r="J21" s="100">
        <f t="shared" si="0"/>
        <v>0.83728903733041704</v>
      </c>
      <c r="K21" s="105"/>
      <c r="L21" s="100">
        <f t="shared" si="1"/>
        <v>0</v>
      </c>
      <c r="M21" s="226">
        <v>11010</v>
      </c>
      <c r="N21" s="100">
        <f t="shared" si="2"/>
        <v>0.16271096266958296</v>
      </c>
    </row>
    <row r="22" spans="2:14" ht="14.25" x14ac:dyDescent="0.25">
      <c r="B22" s="438"/>
      <c r="C22" s="452"/>
      <c r="D22" s="300">
        <v>46219</v>
      </c>
      <c r="E22" s="301" t="s">
        <v>57</v>
      </c>
      <c r="F22" s="190">
        <f t="shared" si="3"/>
        <v>62695</v>
      </c>
      <c r="G22" s="440"/>
      <c r="H22" s="477"/>
      <c r="I22" s="226">
        <v>52400</v>
      </c>
      <c r="J22" s="100">
        <f t="shared" si="0"/>
        <v>0.83579232793683711</v>
      </c>
      <c r="K22" s="105"/>
      <c r="L22" s="100">
        <f t="shared" si="1"/>
        <v>0</v>
      </c>
      <c r="M22" s="226">
        <v>10295</v>
      </c>
      <c r="N22" s="100">
        <f t="shared" si="2"/>
        <v>0.16420767206316292</v>
      </c>
    </row>
    <row r="23" spans="2:14" ht="14.25" x14ac:dyDescent="0.25">
      <c r="B23" s="438"/>
      <c r="C23" s="452"/>
      <c r="D23" s="300">
        <v>46220</v>
      </c>
      <c r="E23" s="301" t="s">
        <v>58</v>
      </c>
      <c r="F23" s="190">
        <f t="shared" si="3"/>
        <v>49290</v>
      </c>
      <c r="G23" s="440"/>
      <c r="H23" s="477"/>
      <c r="I23" s="226">
        <v>40594</v>
      </c>
      <c r="J23" s="100">
        <f t="shared" si="0"/>
        <v>0.82357476161493204</v>
      </c>
      <c r="K23" s="105"/>
      <c r="L23" s="100">
        <f t="shared" si="1"/>
        <v>0</v>
      </c>
      <c r="M23" s="226">
        <v>8696</v>
      </c>
      <c r="N23" s="100">
        <f t="shared" si="2"/>
        <v>0.17642523838506796</v>
      </c>
    </row>
    <row r="24" spans="2:14" ht="14.25" x14ac:dyDescent="0.25">
      <c r="B24" s="438"/>
      <c r="C24" s="452"/>
      <c r="D24" s="300">
        <v>46221</v>
      </c>
      <c r="E24" s="301" t="s">
        <v>59</v>
      </c>
      <c r="F24" s="190">
        <f t="shared" si="3"/>
        <v>54825</v>
      </c>
      <c r="G24" s="440"/>
      <c r="H24" s="477"/>
      <c r="I24" s="226">
        <v>45315</v>
      </c>
      <c r="J24" s="100">
        <f t="shared" si="0"/>
        <v>0.82653898768809853</v>
      </c>
      <c r="K24" s="105"/>
      <c r="L24" s="100">
        <f t="shared" si="1"/>
        <v>0</v>
      </c>
      <c r="M24" s="226">
        <v>9510</v>
      </c>
      <c r="N24" s="100">
        <f t="shared" si="2"/>
        <v>0.1734610123119015</v>
      </c>
    </row>
    <row r="25" spans="2:14" ht="14.25" x14ac:dyDescent="0.25">
      <c r="B25" s="438"/>
      <c r="C25" s="452"/>
      <c r="D25" s="300">
        <v>46222</v>
      </c>
      <c r="E25" s="301" t="s">
        <v>52</v>
      </c>
      <c r="F25" s="190">
        <f t="shared" si="3"/>
        <v>74386</v>
      </c>
      <c r="G25" s="440"/>
      <c r="H25" s="477"/>
      <c r="I25" s="226">
        <v>62168</v>
      </c>
      <c r="J25" s="100">
        <f t="shared" si="0"/>
        <v>0.8357486623827064</v>
      </c>
      <c r="K25" s="105"/>
      <c r="L25" s="100">
        <f t="shared" si="1"/>
        <v>0</v>
      </c>
      <c r="M25" s="226">
        <v>12218</v>
      </c>
      <c r="N25" s="100">
        <f t="shared" si="2"/>
        <v>0.16425133761729357</v>
      </c>
    </row>
    <row r="26" spans="2:14" ht="14.25" x14ac:dyDescent="0.25">
      <c r="B26" s="438"/>
      <c r="C26" s="452"/>
      <c r="D26" s="300">
        <v>46223</v>
      </c>
      <c r="E26" s="301" t="s">
        <v>60</v>
      </c>
      <c r="F26" s="190">
        <f t="shared" si="3"/>
        <v>72308</v>
      </c>
      <c r="G26" s="440"/>
      <c r="H26" s="477"/>
      <c r="I26" s="226">
        <v>58661</v>
      </c>
      <c r="J26" s="100">
        <f t="shared" si="0"/>
        <v>0.811265696741716</v>
      </c>
      <c r="K26" s="105"/>
      <c r="L26" s="100">
        <f t="shared" si="1"/>
        <v>0</v>
      </c>
      <c r="M26" s="226">
        <v>13647</v>
      </c>
      <c r="N26" s="100">
        <f t="shared" si="2"/>
        <v>0.188734303258284</v>
      </c>
    </row>
    <row r="27" spans="2:14" ht="14.25" x14ac:dyDescent="0.25">
      <c r="B27" s="438">
        <v>46232</v>
      </c>
      <c r="C27" s="452"/>
      <c r="D27" s="300">
        <v>46224</v>
      </c>
      <c r="E27" s="301" t="s">
        <v>61</v>
      </c>
      <c r="F27" s="190">
        <f t="shared" si="3"/>
        <v>0</v>
      </c>
      <c r="G27" s="298">
        <f>SUM(F27:F33)</f>
        <v>0</v>
      </c>
      <c r="H27" s="477"/>
      <c r="I27" s="226"/>
      <c r="J27" s="100" t="e">
        <f t="shared" si="0"/>
        <v>#DIV/0!</v>
      </c>
      <c r="K27" s="105"/>
      <c r="L27" s="100" t="e">
        <f t="shared" si="1"/>
        <v>#DIV/0!</v>
      </c>
      <c r="M27" s="226"/>
      <c r="N27" s="100" t="e">
        <f t="shared" si="2"/>
        <v>#DIV/0!</v>
      </c>
    </row>
    <row r="28" spans="2:14" ht="14.25" x14ac:dyDescent="0.25">
      <c r="B28" s="438"/>
      <c r="C28" s="452"/>
      <c r="D28" s="300">
        <v>46225</v>
      </c>
      <c r="E28" s="300" t="s">
        <v>56</v>
      </c>
      <c r="F28" s="190">
        <f t="shared" si="3"/>
        <v>0</v>
      </c>
      <c r="G28" s="298"/>
      <c r="H28" s="477"/>
      <c r="I28" s="226"/>
      <c r="J28" s="100" t="e">
        <f t="shared" si="0"/>
        <v>#DIV/0!</v>
      </c>
      <c r="K28" s="105"/>
      <c r="L28" s="100" t="e">
        <f t="shared" si="1"/>
        <v>#DIV/0!</v>
      </c>
      <c r="M28" s="226"/>
      <c r="N28" s="100" t="e">
        <f t="shared" si="2"/>
        <v>#DIV/0!</v>
      </c>
    </row>
    <row r="29" spans="2:14" ht="14.25" x14ac:dyDescent="0.25">
      <c r="B29" s="438"/>
      <c r="C29" s="452"/>
      <c r="D29" s="300">
        <v>46226</v>
      </c>
      <c r="E29" s="301" t="s">
        <v>57</v>
      </c>
      <c r="F29" s="190">
        <f t="shared" si="3"/>
        <v>0</v>
      </c>
      <c r="G29" s="298"/>
      <c r="H29" s="477"/>
      <c r="I29" s="226"/>
      <c r="J29" s="100" t="e">
        <f t="shared" si="0"/>
        <v>#DIV/0!</v>
      </c>
      <c r="K29" s="105"/>
      <c r="L29" s="100" t="e">
        <f t="shared" si="1"/>
        <v>#DIV/0!</v>
      </c>
      <c r="M29" s="226"/>
      <c r="N29" s="100" t="e">
        <f t="shared" si="2"/>
        <v>#DIV/0!</v>
      </c>
    </row>
    <row r="30" spans="2:14" ht="14.25" x14ac:dyDescent="0.25">
      <c r="B30" s="438"/>
      <c r="C30" s="452"/>
      <c r="D30" s="300">
        <v>46227</v>
      </c>
      <c r="E30" s="301" t="s">
        <v>58</v>
      </c>
      <c r="F30" s="190">
        <f t="shared" si="3"/>
        <v>0</v>
      </c>
      <c r="G30" s="298"/>
      <c r="H30" s="477"/>
      <c r="I30" s="226"/>
      <c r="J30" s="100" t="e">
        <f t="shared" si="0"/>
        <v>#DIV/0!</v>
      </c>
      <c r="K30" s="105"/>
      <c r="L30" s="100" t="e">
        <f t="shared" si="1"/>
        <v>#DIV/0!</v>
      </c>
      <c r="M30" s="226"/>
      <c r="N30" s="100" t="e">
        <f t="shared" si="2"/>
        <v>#DIV/0!</v>
      </c>
    </row>
    <row r="31" spans="2:14" ht="14.25" x14ac:dyDescent="0.25">
      <c r="B31" s="438"/>
      <c r="C31" s="452"/>
      <c r="D31" s="300">
        <v>46228</v>
      </c>
      <c r="E31" s="301" t="s">
        <v>59</v>
      </c>
      <c r="F31" s="190">
        <f t="shared" si="3"/>
        <v>0</v>
      </c>
      <c r="G31" s="298"/>
      <c r="H31" s="477"/>
      <c r="I31" s="226"/>
      <c r="J31" s="100" t="e">
        <f t="shared" si="0"/>
        <v>#DIV/0!</v>
      </c>
      <c r="K31" s="105"/>
      <c r="L31" s="100" t="e">
        <f t="shared" si="1"/>
        <v>#DIV/0!</v>
      </c>
      <c r="M31" s="226"/>
      <c r="N31" s="100" t="e">
        <f t="shared" si="2"/>
        <v>#DIV/0!</v>
      </c>
    </row>
    <row r="32" spans="2:14" ht="14.25" x14ac:dyDescent="0.25">
      <c r="B32" s="438"/>
      <c r="C32" s="452"/>
      <c r="D32" s="300">
        <v>46229</v>
      </c>
      <c r="E32" s="301" t="s">
        <v>52</v>
      </c>
      <c r="F32" s="190">
        <f t="shared" si="3"/>
        <v>0</v>
      </c>
      <c r="G32" s="298"/>
      <c r="H32" s="477"/>
      <c r="I32" s="226"/>
      <c r="J32" s="100" t="e">
        <f t="shared" si="0"/>
        <v>#DIV/0!</v>
      </c>
      <c r="K32" s="105"/>
      <c r="L32" s="100" t="e">
        <f t="shared" si="1"/>
        <v>#DIV/0!</v>
      </c>
      <c r="M32" s="226"/>
      <c r="N32" s="100" t="e">
        <f t="shared" si="2"/>
        <v>#DIV/0!</v>
      </c>
    </row>
    <row r="33" spans="2:14" ht="14.25" x14ac:dyDescent="0.25">
      <c r="B33" s="438"/>
      <c r="C33" s="452"/>
      <c r="D33" s="300">
        <v>46230</v>
      </c>
      <c r="E33" s="301" t="s">
        <v>60</v>
      </c>
      <c r="F33" s="190">
        <f t="shared" si="3"/>
        <v>0</v>
      </c>
      <c r="G33" s="298"/>
      <c r="H33" s="477"/>
      <c r="I33" s="226"/>
      <c r="J33" s="100" t="e">
        <f t="shared" si="0"/>
        <v>#DIV/0!</v>
      </c>
      <c r="K33" s="105"/>
      <c r="L33" s="100" t="e">
        <f t="shared" si="1"/>
        <v>#DIV/0!</v>
      </c>
      <c r="M33" s="226"/>
      <c r="N33" s="100" t="e">
        <f t="shared" si="2"/>
        <v>#DIV/0!</v>
      </c>
    </row>
    <row r="34" spans="2:14" ht="14.25" x14ac:dyDescent="0.25">
      <c r="B34" s="304"/>
      <c r="C34" s="452"/>
      <c r="D34" s="300">
        <v>46231</v>
      </c>
      <c r="E34" s="301" t="s">
        <v>61</v>
      </c>
      <c r="F34" s="190">
        <f t="shared" si="3"/>
        <v>0</v>
      </c>
      <c r="G34" s="298"/>
      <c r="H34" s="477"/>
      <c r="I34" s="226"/>
      <c r="J34" s="100" t="e">
        <f t="shared" si="0"/>
        <v>#DIV/0!</v>
      </c>
      <c r="K34" s="105"/>
      <c r="L34" s="100" t="e">
        <f t="shared" si="1"/>
        <v>#DIV/0!</v>
      </c>
      <c r="M34" s="226"/>
      <c r="N34" s="100" t="e">
        <f t="shared" si="2"/>
        <v>#DIV/0!</v>
      </c>
    </row>
    <row r="35" spans="2:14" ht="14.25" x14ac:dyDescent="0.25">
      <c r="B35" s="304"/>
      <c r="C35" s="452"/>
      <c r="D35" s="300">
        <v>46232</v>
      </c>
      <c r="E35" s="300" t="s">
        <v>56</v>
      </c>
      <c r="F35" s="190">
        <f t="shared" si="3"/>
        <v>0</v>
      </c>
      <c r="G35" s="298"/>
      <c r="H35" s="477"/>
      <c r="I35" s="226"/>
      <c r="J35" s="100" t="e">
        <f t="shared" si="0"/>
        <v>#DIV/0!</v>
      </c>
      <c r="K35" s="105"/>
      <c r="L35" s="100" t="e">
        <f t="shared" si="1"/>
        <v>#DIV/0!</v>
      </c>
      <c r="M35" s="226"/>
      <c r="N35" s="100" t="e">
        <f t="shared" si="2"/>
        <v>#DIV/0!</v>
      </c>
    </row>
    <row r="36" spans="2:14" ht="14.25" x14ac:dyDescent="0.25">
      <c r="B36" s="304"/>
      <c r="C36" s="452"/>
      <c r="D36" s="300">
        <v>46233</v>
      </c>
      <c r="E36" s="301" t="s">
        <v>57</v>
      </c>
      <c r="F36" s="190">
        <f t="shared" si="3"/>
        <v>0</v>
      </c>
      <c r="G36" s="298"/>
      <c r="H36" s="477"/>
      <c r="I36" s="226"/>
      <c r="J36" s="100" t="e">
        <f t="shared" si="0"/>
        <v>#DIV/0!</v>
      </c>
      <c r="K36" s="105"/>
      <c r="L36" s="100" t="e">
        <f t="shared" si="1"/>
        <v>#DIV/0!</v>
      </c>
      <c r="M36" s="226"/>
      <c r="N36" s="100" t="e">
        <f t="shared" si="2"/>
        <v>#DIV/0!</v>
      </c>
    </row>
    <row r="37" spans="2:14" ht="14.25" x14ac:dyDescent="0.25">
      <c r="B37" s="304"/>
      <c r="C37" s="452"/>
      <c r="D37" s="300">
        <v>46234</v>
      </c>
      <c r="E37" s="301" t="s">
        <v>58</v>
      </c>
      <c r="F37" s="190"/>
      <c r="G37" s="298"/>
      <c r="H37" s="477"/>
      <c r="I37" s="226"/>
      <c r="J37" s="100"/>
      <c r="K37" s="105"/>
      <c r="L37" s="100"/>
      <c r="M37" s="226"/>
      <c r="N37" s="100"/>
    </row>
    <row r="38" spans="2:14" ht="14.25" x14ac:dyDescent="0.25">
      <c r="B38" s="304"/>
      <c r="C38" s="399"/>
      <c r="D38" s="300"/>
      <c r="E38" s="301"/>
      <c r="F38" s="190"/>
      <c r="G38" s="298"/>
      <c r="H38" s="477"/>
      <c r="I38" s="226"/>
      <c r="J38" s="100"/>
      <c r="M38" s="226"/>
      <c r="N38" s="100"/>
    </row>
    <row r="39" spans="2:14" ht="14.25" x14ac:dyDescent="0.25">
      <c r="B39" s="82"/>
      <c r="C39" s="79"/>
      <c r="D39" s="85"/>
      <c r="E39" s="211"/>
      <c r="F39" s="190"/>
      <c r="G39" s="190"/>
      <c r="H39" s="190"/>
    </row>
    <row r="40" spans="2:14" ht="14.25" x14ac:dyDescent="0.25">
      <c r="B40" s="82"/>
      <c r="C40" s="79"/>
      <c r="D40" s="81"/>
      <c r="F40" s="190">
        <f>SUM(I40,K40,M40)</f>
        <v>73435</v>
      </c>
      <c r="G40" s="87"/>
      <c r="H40" s="87"/>
      <c r="I40" s="226">
        <v>61306</v>
      </c>
      <c r="J40" s="100">
        <f>I40/F40</f>
        <v>0.83483352624770202</v>
      </c>
      <c r="M40" s="226">
        <v>12129</v>
      </c>
      <c r="N40" s="100">
        <f>M40/F40</f>
        <v>0.16516647375229795</v>
      </c>
    </row>
    <row r="41" spans="2:14" ht="14.25" x14ac:dyDescent="0.25">
      <c r="B41" s="82"/>
      <c r="C41" s="79"/>
      <c r="D41" s="81"/>
      <c r="F41" s="87"/>
      <c r="G41" s="87"/>
      <c r="H41" s="87"/>
    </row>
    <row r="42" spans="2:14" ht="14.25" x14ac:dyDescent="0.25">
      <c r="B42" s="82"/>
      <c r="C42" s="79"/>
      <c r="D42" s="81"/>
      <c r="F42" s="87"/>
      <c r="G42" s="87"/>
      <c r="H42" s="87"/>
    </row>
    <row r="43" spans="2:14" ht="14.25" x14ac:dyDescent="0.25">
      <c r="B43" s="82"/>
      <c r="C43" s="79"/>
      <c r="D43" s="81"/>
      <c r="F43" s="87"/>
      <c r="G43" s="87"/>
      <c r="H43" s="87"/>
    </row>
    <row r="44" spans="2:14" ht="14.25" x14ac:dyDescent="0.25">
      <c r="B44" s="82"/>
      <c r="C44" s="79"/>
      <c r="D44" s="81"/>
    </row>
    <row r="45" spans="2:14" ht="14.25" x14ac:dyDescent="0.25">
      <c r="B45" s="82"/>
      <c r="C45" s="79"/>
      <c r="D45" s="81"/>
    </row>
    <row r="46" spans="2:14" ht="14.25" x14ac:dyDescent="0.25">
      <c r="B46" s="82"/>
      <c r="C46" s="79"/>
      <c r="D46" s="81"/>
    </row>
    <row r="47" spans="2:14" ht="14.25" x14ac:dyDescent="0.25">
      <c r="B47" s="82"/>
      <c r="C47" s="79"/>
      <c r="D47" s="81"/>
    </row>
    <row r="48" spans="2:14" ht="14.25" x14ac:dyDescent="0.25">
      <c r="B48" s="82"/>
      <c r="C48" s="79"/>
      <c r="D48" s="81"/>
    </row>
    <row r="49" spans="2:4" ht="14.25" x14ac:dyDescent="0.25">
      <c r="B49" s="82"/>
      <c r="C49" s="79"/>
      <c r="D49" s="81"/>
    </row>
    <row r="50" spans="2:4" ht="14.25" x14ac:dyDescent="0.25">
      <c r="B50" s="82"/>
      <c r="C50" s="79"/>
      <c r="D50" s="81"/>
    </row>
    <row r="51" spans="2:4" ht="14.25" x14ac:dyDescent="0.25">
      <c r="B51" s="82"/>
      <c r="C51" s="79"/>
      <c r="D51" s="81"/>
    </row>
    <row r="52" spans="2:4" ht="14.25" x14ac:dyDescent="0.25">
      <c r="B52" s="82"/>
      <c r="C52" s="79"/>
      <c r="D52" s="81"/>
    </row>
    <row r="53" spans="2:4" ht="14.25" x14ac:dyDescent="0.25">
      <c r="B53" s="82"/>
      <c r="C53" s="79"/>
      <c r="D53" s="81"/>
    </row>
    <row r="54" spans="2:4" ht="14.25" x14ac:dyDescent="0.25">
      <c r="B54" s="82"/>
      <c r="C54" s="79"/>
      <c r="D54" s="81"/>
    </row>
    <row r="55" spans="2:4" ht="14.25" x14ac:dyDescent="0.25">
      <c r="B55" s="82"/>
      <c r="C55" s="79"/>
      <c r="D55" s="81"/>
    </row>
    <row r="56" spans="2:4" ht="14.25" x14ac:dyDescent="0.25">
      <c r="B56" s="82"/>
      <c r="C56" s="79"/>
      <c r="D56" s="81"/>
    </row>
    <row r="57" spans="2:4" ht="14.25" x14ac:dyDescent="0.25">
      <c r="B57" s="82"/>
      <c r="C57" s="79"/>
      <c r="D57" s="81"/>
    </row>
    <row r="58" spans="2:4" ht="14.25" x14ac:dyDescent="0.25">
      <c r="B58" s="82"/>
      <c r="C58" s="79"/>
      <c r="D58" s="81"/>
    </row>
    <row r="59" spans="2:4" ht="14.25" x14ac:dyDescent="0.25">
      <c r="B59" s="82"/>
      <c r="C59" s="79"/>
      <c r="D59" s="81"/>
    </row>
    <row r="60" spans="2:4" ht="14.25" x14ac:dyDescent="0.25">
      <c r="B60" s="82"/>
      <c r="C60" s="79"/>
      <c r="D60" s="81"/>
    </row>
    <row r="61" spans="2:4" ht="14.25" x14ac:dyDescent="0.25">
      <c r="B61" s="82"/>
      <c r="C61" s="79"/>
      <c r="D61" s="81"/>
    </row>
    <row r="62" spans="2:4" ht="14.25" x14ac:dyDescent="0.25">
      <c r="B62" s="82"/>
      <c r="C62" s="79"/>
      <c r="D62" s="81"/>
    </row>
    <row r="63" spans="2:4" ht="14.25" x14ac:dyDescent="0.25">
      <c r="B63" s="82"/>
      <c r="C63" s="79"/>
      <c r="D63" s="81"/>
    </row>
    <row r="64" spans="2:4" ht="14.25" x14ac:dyDescent="0.25">
      <c r="B64" s="82"/>
      <c r="C64" s="79"/>
      <c r="D64" s="81"/>
    </row>
    <row r="65" spans="2:4" ht="14.25" x14ac:dyDescent="0.25">
      <c r="B65" s="82"/>
      <c r="C65" s="79"/>
      <c r="D65" s="81"/>
    </row>
    <row r="66" spans="2:4" ht="14.25" x14ac:dyDescent="0.25">
      <c r="B66" s="82"/>
      <c r="C66" s="79"/>
      <c r="D66" s="81"/>
    </row>
    <row r="67" spans="2:4" ht="14.25" x14ac:dyDescent="0.25">
      <c r="B67" s="82"/>
      <c r="C67" s="79"/>
      <c r="D67" s="81"/>
    </row>
    <row r="68" spans="2:4" ht="14.25" x14ac:dyDescent="0.25">
      <c r="B68" s="82"/>
      <c r="C68" s="79"/>
      <c r="D68" s="81"/>
    </row>
    <row r="69" spans="2:4" ht="14.25" x14ac:dyDescent="0.25">
      <c r="B69" s="82"/>
      <c r="C69" s="79"/>
      <c r="D69" s="81"/>
    </row>
    <row r="70" spans="2:4" ht="14.25" x14ac:dyDescent="0.25">
      <c r="B70" s="82"/>
      <c r="C70" s="79"/>
      <c r="D70" s="81"/>
    </row>
    <row r="71" spans="2:4" ht="14.25" x14ac:dyDescent="0.25">
      <c r="B71" s="82"/>
      <c r="C71" s="79"/>
      <c r="D71" s="81"/>
    </row>
    <row r="72" spans="2:4" ht="14.25" x14ac:dyDescent="0.25">
      <c r="B72" s="82"/>
      <c r="C72" s="79"/>
      <c r="D72" s="81"/>
    </row>
    <row r="73" spans="2:4" ht="14.25" x14ac:dyDescent="0.25">
      <c r="B73" s="82"/>
      <c r="C73" s="79"/>
      <c r="D73" s="81"/>
    </row>
    <row r="74" spans="2:4" ht="14.25" x14ac:dyDescent="0.25">
      <c r="B74" s="82"/>
      <c r="C74" s="79"/>
      <c r="D74" s="81"/>
    </row>
    <row r="75" spans="2:4" ht="14.25" x14ac:dyDescent="0.25">
      <c r="B75" s="82"/>
      <c r="C75" s="79"/>
      <c r="D75" s="81"/>
    </row>
    <row r="76" spans="2:4" ht="14.25" x14ac:dyDescent="0.25">
      <c r="B76" s="82"/>
      <c r="C76" s="79"/>
      <c r="D76" s="81"/>
    </row>
    <row r="77" spans="2:4" ht="14.25" x14ac:dyDescent="0.25">
      <c r="B77" s="82"/>
      <c r="C77" s="79"/>
      <c r="D77" s="81"/>
    </row>
    <row r="78" spans="2:4" ht="14.25" x14ac:dyDescent="0.25">
      <c r="B78" s="82"/>
      <c r="C78" s="79"/>
      <c r="D78" s="81"/>
    </row>
    <row r="79" spans="2:4" ht="14.25" x14ac:dyDescent="0.25">
      <c r="B79" s="82"/>
      <c r="C79" s="79"/>
      <c r="D79" s="81"/>
    </row>
    <row r="80" spans="2:4" ht="14.25" x14ac:dyDescent="0.25">
      <c r="B80" s="82"/>
      <c r="C80" s="79"/>
      <c r="D80" s="81"/>
    </row>
    <row r="81" spans="2:4" ht="14.25" x14ac:dyDescent="0.25">
      <c r="B81" s="82"/>
      <c r="C81" s="79"/>
      <c r="D81" s="81"/>
    </row>
    <row r="82" spans="2:4" ht="14.25" x14ac:dyDescent="0.25">
      <c r="B82" s="82"/>
      <c r="C82" s="79"/>
      <c r="D82" s="81"/>
    </row>
    <row r="83" spans="2:4" ht="14.25" x14ac:dyDescent="0.25">
      <c r="B83" s="82"/>
      <c r="C83" s="79"/>
      <c r="D83" s="81"/>
    </row>
    <row r="84" spans="2:4" ht="14.25" x14ac:dyDescent="0.25">
      <c r="B84" s="82"/>
      <c r="C84" s="79"/>
      <c r="D84" s="81"/>
    </row>
    <row r="85" spans="2:4" ht="14.25" x14ac:dyDescent="0.25">
      <c r="B85" s="82"/>
      <c r="C85" s="79"/>
      <c r="D85" s="81"/>
    </row>
    <row r="86" spans="2:4" ht="14.25" x14ac:dyDescent="0.25">
      <c r="B86" s="82"/>
      <c r="C86" s="79"/>
      <c r="D86" s="81"/>
    </row>
    <row r="87" spans="2:4" ht="14.25" x14ac:dyDescent="0.25">
      <c r="B87" s="82"/>
      <c r="C87" s="79"/>
      <c r="D87" s="81"/>
    </row>
    <row r="88" spans="2:4" ht="14.25" x14ac:dyDescent="0.25">
      <c r="B88" s="82"/>
      <c r="C88" s="79"/>
      <c r="D88" s="81"/>
    </row>
    <row r="89" spans="2:4" ht="14.25" x14ac:dyDescent="0.25">
      <c r="B89" s="82"/>
      <c r="C89" s="79"/>
      <c r="D89" s="81"/>
    </row>
    <row r="90" spans="2:4" ht="14.25" x14ac:dyDescent="0.25">
      <c r="B90" s="82"/>
      <c r="C90" s="79"/>
      <c r="D90" s="81"/>
    </row>
    <row r="91" spans="2:4" ht="14.25" x14ac:dyDescent="0.25">
      <c r="B91" s="82"/>
      <c r="C91" s="79"/>
      <c r="D91" s="81"/>
    </row>
    <row r="92" spans="2:4" ht="14.25" x14ac:dyDescent="0.25">
      <c r="B92" s="82"/>
      <c r="C92" s="79"/>
      <c r="D92" s="81"/>
    </row>
    <row r="93" spans="2:4" ht="14.25" x14ac:dyDescent="0.25">
      <c r="B93" s="82"/>
      <c r="C93" s="79"/>
      <c r="D93" s="81"/>
    </row>
    <row r="94" spans="2:4" ht="14.25" x14ac:dyDescent="0.25">
      <c r="B94" s="82"/>
      <c r="C94" s="79"/>
      <c r="D94" s="81"/>
    </row>
    <row r="95" spans="2:4" ht="14.25" x14ac:dyDescent="0.25">
      <c r="B95" s="82"/>
      <c r="C95" s="79"/>
      <c r="D95" s="81"/>
    </row>
    <row r="96" spans="2:4" ht="14.25" x14ac:dyDescent="0.25">
      <c r="B96" s="82"/>
      <c r="C96" s="79"/>
      <c r="D96" s="81"/>
    </row>
  </sheetData>
  <mergeCells count="23">
    <mergeCell ref="H7:H38"/>
    <mergeCell ref="B7:B12"/>
    <mergeCell ref="C7:C37"/>
    <mergeCell ref="B13:B19"/>
    <mergeCell ref="B20:B26"/>
    <mergeCell ref="B27:B33"/>
    <mergeCell ref="G7:G12"/>
    <mergeCell ref="G13:G19"/>
    <mergeCell ref="G20:G26"/>
    <mergeCell ref="B3:B6"/>
    <mergeCell ref="G5:G6"/>
    <mergeCell ref="H5:H6"/>
    <mergeCell ref="F3:H4"/>
    <mergeCell ref="D3:E6"/>
    <mergeCell ref="F5:F6"/>
    <mergeCell ref="C3:C6"/>
    <mergeCell ref="I3:N3"/>
    <mergeCell ref="K4:L4"/>
    <mergeCell ref="K5:L5"/>
    <mergeCell ref="M5:N5"/>
    <mergeCell ref="I5:J5"/>
    <mergeCell ref="I4:J4"/>
    <mergeCell ref="M4:N4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8" ySplit="6" topLeftCell="I40" activePane="bottomRight" state="frozen"/>
      <selection pane="topRight" activeCell="I1" sqref="I1"/>
      <selection pane="bottomLeft" activeCell="A7" sqref="A7"/>
      <selection pane="bottomRight" activeCell="I53" sqref="I53:K69"/>
    </sheetView>
  </sheetViews>
  <sheetFormatPr defaultColWidth="8.85546875" defaultRowHeight="12.75" x14ac:dyDescent="0.2"/>
  <cols>
    <col min="1" max="1" width="5.5703125" style="358" customWidth="1"/>
    <col min="2" max="2" width="12.42578125" style="358" customWidth="1"/>
    <col min="3" max="3" width="8.85546875" style="357" customWidth="1"/>
    <col min="4" max="4" width="26.42578125" style="357" customWidth="1"/>
    <col min="5" max="7" width="8.42578125" style="357" customWidth="1"/>
    <col min="8" max="8" width="11.140625" style="357" bestFit="1" customWidth="1"/>
    <col min="9" max="12" width="11.140625" style="357" customWidth="1"/>
    <col min="13" max="13" width="13.5703125" style="357" customWidth="1"/>
    <col min="14" max="14" width="9.85546875" style="357" customWidth="1"/>
    <col min="15" max="15" width="7.140625" style="357" customWidth="1"/>
    <col min="16" max="18" width="12.85546875" style="357" customWidth="1"/>
    <col min="19" max="19" width="5.42578125" style="357" customWidth="1"/>
    <col min="20" max="20" width="12.85546875" style="357" customWidth="1"/>
    <col min="21" max="23" width="12.85546875" style="358" customWidth="1"/>
    <col min="24" max="24" width="5.42578125" style="357" customWidth="1"/>
    <col min="25" max="28" width="12.85546875" style="358" customWidth="1"/>
    <col min="29" max="29" width="7.7109375" style="357" bestFit="1" customWidth="1"/>
    <col min="30" max="30" width="12.85546875" style="358" customWidth="1"/>
    <col min="31" max="33" width="12.5703125" style="358" customWidth="1"/>
    <col min="34" max="34" width="7.7109375" style="357" bestFit="1" customWidth="1"/>
    <col min="35" max="35" width="13" style="358" customWidth="1"/>
    <col min="36" max="38" width="12.5703125" style="358" customWidth="1"/>
    <col min="39" max="39" width="5.42578125" style="357" customWidth="1"/>
    <col min="40" max="40" width="13" style="358" customWidth="1"/>
    <col min="41" max="43" width="13.140625" style="358" customWidth="1"/>
    <col min="44" max="44" width="5.42578125" style="358" customWidth="1"/>
    <col min="45" max="48" width="13.140625" style="358" customWidth="1"/>
    <col min="49" max="49" width="5.42578125" style="358" customWidth="1"/>
    <col min="50" max="50" width="13.140625" style="358" customWidth="1"/>
    <col min="51" max="89" width="8.85546875" style="358" customWidth="1"/>
    <col min="90" max="16384" width="8.85546875" style="358"/>
  </cols>
  <sheetData>
    <row r="1" spans="1:50" ht="24" x14ac:dyDescent="0.2">
      <c r="A1" s="354"/>
      <c r="B1" s="355" t="s">
        <v>84</v>
      </c>
      <c r="C1" s="356">
        <f>AVERAGE(L7,L30,L53,L76,L99,L122)</f>
        <v>110.49749322915915</v>
      </c>
    </row>
    <row r="2" spans="1:50" ht="15.75" customHeight="1" x14ac:dyDescent="0.2">
      <c r="A2" s="359"/>
      <c r="B2" s="491" t="s">
        <v>85</v>
      </c>
      <c r="C2" s="492"/>
      <c r="D2" s="492"/>
      <c r="E2" s="492"/>
      <c r="F2" s="492"/>
      <c r="G2" s="492"/>
      <c r="H2" s="492"/>
      <c r="I2" s="361"/>
      <c r="J2" s="361"/>
      <c r="K2" s="361"/>
      <c r="L2" s="361"/>
      <c r="M2" s="362"/>
      <c r="N2" s="494" t="s">
        <v>86</v>
      </c>
      <c r="O2" s="494" t="s">
        <v>45</v>
      </c>
      <c r="P2" s="485">
        <v>46203</v>
      </c>
      <c r="Q2" s="486"/>
      <c r="R2" s="486"/>
      <c r="S2" s="486"/>
      <c r="T2" s="486"/>
      <c r="U2" s="485">
        <f>P2+1</f>
        <v>46204</v>
      </c>
      <c r="V2" s="486"/>
      <c r="W2" s="486"/>
      <c r="X2" s="486"/>
      <c r="Y2" s="486"/>
      <c r="Z2" s="485">
        <f>U2+1</f>
        <v>46205</v>
      </c>
      <c r="AA2" s="486"/>
      <c r="AB2" s="486"/>
      <c r="AC2" s="486"/>
      <c r="AD2" s="486"/>
      <c r="AE2" s="485">
        <f>Z2+1</f>
        <v>46206</v>
      </c>
      <c r="AF2" s="486"/>
      <c r="AG2" s="486"/>
      <c r="AH2" s="486"/>
      <c r="AI2" s="486"/>
      <c r="AJ2" s="485">
        <f>AE2+1</f>
        <v>46207</v>
      </c>
      <c r="AK2" s="486"/>
      <c r="AL2" s="486"/>
      <c r="AM2" s="486"/>
      <c r="AN2" s="486"/>
      <c r="AO2" s="485">
        <f>AJ2+1</f>
        <v>46208</v>
      </c>
      <c r="AP2" s="486"/>
      <c r="AQ2" s="486"/>
      <c r="AR2" s="486"/>
      <c r="AS2" s="486"/>
      <c r="AT2" s="485">
        <f>AO2+1</f>
        <v>46209</v>
      </c>
      <c r="AU2" s="486"/>
      <c r="AV2" s="486"/>
      <c r="AW2" s="486"/>
      <c r="AX2" s="486"/>
    </row>
    <row r="3" spans="1:50" ht="15.75" x14ac:dyDescent="0.2">
      <c r="A3" s="359"/>
      <c r="B3" s="493"/>
      <c r="C3" s="493"/>
      <c r="D3" s="493"/>
      <c r="E3" s="493"/>
      <c r="F3" s="493"/>
      <c r="G3" s="493"/>
      <c r="H3" s="493"/>
      <c r="I3" s="363"/>
      <c r="J3" s="363"/>
      <c r="K3" s="363"/>
      <c r="L3" s="363"/>
      <c r="M3" s="364"/>
      <c r="N3" s="496"/>
      <c r="O3" s="496"/>
      <c r="P3" s="485" t="s">
        <v>61</v>
      </c>
      <c r="Q3" s="486"/>
      <c r="R3" s="486"/>
      <c r="S3" s="486"/>
      <c r="T3" s="486"/>
      <c r="U3" s="485" t="s">
        <v>56</v>
      </c>
      <c r="V3" s="486"/>
      <c r="W3" s="486"/>
      <c r="X3" s="486"/>
      <c r="Y3" s="486"/>
      <c r="Z3" s="485" t="s">
        <v>57</v>
      </c>
      <c r="AA3" s="486"/>
      <c r="AB3" s="486"/>
      <c r="AC3" s="486"/>
      <c r="AD3" s="486"/>
      <c r="AE3" s="485" t="s">
        <v>58</v>
      </c>
      <c r="AF3" s="486"/>
      <c r="AG3" s="486"/>
      <c r="AH3" s="486"/>
      <c r="AI3" s="486"/>
      <c r="AJ3" s="485" t="s">
        <v>59</v>
      </c>
      <c r="AK3" s="486"/>
      <c r="AL3" s="486"/>
      <c r="AM3" s="486"/>
      <c r="AN3" s="486"/>
      <c r="AO3" s="485" t="s">
        <v>52</v>
      </c>
      <c r="AP3" s="486"/>
      <c r="AQ3" s="486"/>
      <c r="AR3" s="486"/>
      <c r="AS3" s="486"/>
      <c r="AT3" s="485" t="s">
        <v>60</v>
      </c>
      <c r="AU3" s="486"/>
      <c r="AV3" s="486"/>
      <c r="AW3" s="486"/>
      <c r="AX3" s="486"/>
    </row>
    <row r="4" spans="1:50" ht="14.25" x14ac:dyDescent="0.2">
      <c r="A4" s="359"/>
      <c r="B4" s="490" t="s">
        <v>41</v>
      </c>
      <c r="C4" s="490" t="s">
        <v>87</v>
      </c>
      <c r="D4" s="490"/>
      <c r="E4" s="490" t="s">
        <v>88</v>
      </c>
      <c r="F4" s="490"/>
      <c r="G4" s="490"/>
      <c r="H4" s="500" t="s">
        <v>89</v>
      </c>
      <c r="I4" s="490" t="s">
        <v>90</v>
      </c>
      <c r="J4" s="490"/>
      <c r="K4" s="490"/>
      <c r="L4" s="500" t="s">
        <v>89</v>
      </c>
      <c r="M4" s="494" t="s">
        <v>91</v>
      </c>
      <c r="N4" s="494"/>
      <c r="O4" s="494" t="s">
        <v>92</v>
      </c>
      <c r="P4" s="482" t="s">
        <v>93</v>
      </c>
      <c r="Q4" s="483"/>
      <c r="R4" s="483"/>
      <c r="S4" s="484"/>
      <c r="T4" s="490" t="s">
        <v>89</v>
      </c>
      <c r="U4" s="482" t="s">
        <v>93</v>
      </c>
      <c r="V4" s="483"/>
      <c r="W4" s="483"/>
      <c r="X4" s="484"/>
      <c r="Y4" s="490" t="s">
        <v>89</v>
      </c>
      <c r="Z4" s="482" t="s">
        <v>93</v>
      </c>
      <c r="AA4" s="483"/>
      <c r="AB4" s="483"/>
      <c r="AC4" s="484"/>
      <c r="AD4" s="490" t="s">
        <v>89</v>
      </c>
      <c r="AE4" s="482" t="s">
        <v>93</v>
      </c>
      <c r="AF4" s="483"/>
      <c r="AG4" s="483"/>
      <c r="AH4" s="484"/>
      <c r="AI4" s="490" t="s">
        <v>89</v>
      </c>
      <c r="AJ4" s="482" t="s">
        <v>93</v>
      </c>
      <c r="AK4" s="483"/>
      <c r="AL4" s="483"/>
      <c r="AM4" s="484"/>
      <c r="AN4" s="490" t="s">
        <v>89</v>
      </c>
      <c r="AO4" s="482" t="s">
        <v>93</v>
      </c>
      <c r="AP4" s="483"/>
      <c r="AQ4" s="483"/>
      <c r="AR4" s="484"/>
      <c r="AS4" s="490" t="s">
        <v>89</v>
      </c>
      <c r="AT4" s="482" t="s">
        <v>93</v>
      </c>
      <c r="AU4" s="483"/>
      <c r="AV4" s="483"/>
      <c r="AW4" s="484"/>
      <c r="AX4" s="490" t="s">
        <v>89</v>
      </c>
    </row>
    <row r="5" spans="1:50" ht="14.25" x14ac:dyDescent="0.2">
      <c r="A5" s="359"/>
      <c r="B5" s="490"/>
      <c r="C5" s="490"/>
      <c r="D5" s="490"/>
      <c r="E5" s="490" t="s">
        <v>94</v>
      </c>
      <c r="F5" s="490"/>
      <c r="G5" s="490"/>
      <c r="H5" s="501"/>
      <c r="I5" s="490" t="s">
        <v>94</v>
      </c>
      <c r="J5" s="490"/>
      <c r="K5" s="490"/>
      <c r="L5" s="501"/>
      <c r="M5" s="495"/>
      <c r="N5" s="495"/>
      <c r="O5" s="495"/>
      <c r="P5" s="482" t="s">
        <v>95</v>
      </c>
      <c r="Q5" s="483"/>
      <c r="R5" s="483"/>
      <c r="S5" s="484"/>
      <c r="T5" s="490"/>
      <c r="U5" s="482" t="s">
        <v>95</v>
      </c>
      <c r="V5" s="483"/>
      <c r="W5" s="483"/>
      <c r="X5" s="484"/>
      <c r="Y5" s="490"/>
      <c r="Z5" s="482" t="s">
        <v>95</v>
      </c>
      <c r="AA5" s="483"/>
      <c r="AB5" s="483"/>
      <c r="AC5" s="484"/>
      <c r="AD5" s="490"/>
      <c r="AE5" s="482" t="s">
        <v>95</v>
      </c>
      <c r="AF5" s="483"/>
      <c r="AG5" s="483"/>
      <c r="AH5" s="484"/>
      <c r="AI5" s="490"/>
      <c r="AJ5" s="482" t="s">
        <v>95</v>
      </c>
      <c r="AK5" s="483"/>
      <c r="AL5" s="483"/>
      <c r="AM5" s="484"/>
      <c r="AN5" s="490"/>
      <c r="AO5" s="482" t="s">
        <v>95</v>
      </c>
      <c r="AP5" s="483"/>
      <c r="AQ5" s="483"/>
      <c r="AR5" s="484"/>
      <c r="AS5" s="490"/>
      <c r="AT5" s="482" t="s">
        <v>95</v>
      </c>
      <c r="AU5" s="483"/>
      <c r="AV5" s="483"/>
      <c r="AW5" s="484"/>
      <c r="AX5" s="490"/>
    </row>
    <row r="6" spans="1:50" ht="14.25" x14ac:dyDescent="0.2">
      <c r="A6" s="366"/>
      <c r="B6" s="490"/>
      <c r="C6" s="490"/>
      <c r="D6" s="490"/>
      <c r="E6" s="365" t="s">
        <v>96</v>
      </c>
      <c r="F6" s="365" t="s">
        <v>97</v>
      </c>
      <c r="G6" s="365" t="s">
        <v>98</v>
      </c>
      <c r="H6" s="502"/>
      <c r="I6" s="365" t="s">
        <v>96</v>
      </c>
      <c r="J6" s="365" t="s">
        <v>97</v>
      </c>
      <c r="K6" s="365" t="s">
        <v>98</v>
      </c>
      <c r="L6" s="502"/>
      <c r="M6" s="496"/>
      <c r="N6" s="495"/>
      <c r="O6" s="495"/>
      <c r="P6" s="365" t="s">
        <v>96</v>
      </c>
      <c r="Q6" s="365" t="s">
        <v>97</v>
      </c>
      <c r="R6" s="365" t="s">
        <v>98</v>
      </c>
      <c r="S6" s="365" t="s">
        <v>91</v>
      </c>
      <c r="T6" s="490"/>
      <c r="U6" s="365" t="s">
        <v>96</v>
      </c>
      <c r="V6" s="365" t="s">
        <v>97</v>
      </c>
      <c r="W6" s="365" t="s">
        <v>98</v>
      </c>
      <c r="X6" s="365" t="s">
        <v>91</v>
      </c>
      <c r="Y6" s="490"/>
      <c r="Z6" s="365" t="s">
        <v>96</v>
      </c>
      <c r="AA6" s="365" t="s">
        <v>97</v>
      </c>
      <c r="AB6" s="365" t="s">
        <v>98</v>
      </c>
      <c r="AC6" s="365" t="s">
        <v>91</v>
      </c>
      <c r="AD6" s="490"/>
      <c r="AE6" s="365" t="s">
        <v>96</v>
      </c>
      <c r="AF6" s="365" t="s">
        <v>97</v>
      </c>
      <c r="AG6" s="365" t="s">
        <v>98</v>
      </c>
      <c r="AH6" s="365" t="s">
        <v>91</v>
      </c>
      <c r="AI6" s="490"/>
      <c r="AJ6" s="365" t="s">
        <v>96</v>
      </c>
      <c r="AK6" s="365" t="s">
        <v>97</v>
      </c>
      <c r="AL6" s="365" t="s">
        <v>98</v>
      </c>
      <c r="AM6" s="365" t="s">
        <v>91</v>
      </c>
      <c r="AN6" s="490"/>
      <c r="AO6" s="365" t="s">
        <v>96</v>
      </c>
      <c r="AP6" s="365" t="s">
        <v>97</v>
      </c>
      <c r="AQ6" s="365" t="s">
        <v>98</v>
      </c>
      <c r="AR6" s="365" t="s">
        <v>91</v>
      </c>
      <c r="AS6" s="490"/>
      <c r="AT6" s="365" t="s">
        <v>96</v>
      </c>
      <c r="AU6" s="365" t="s">
        <v>97</v>
      </c>
      <c r="AV6" s="365" t="s">
        <v>98</v>
      </c>
      <c r="AW6" s="365" t="s">
        <v>91</v>
      </c>
      <c r="AX6" s="490"/>
    </row>
    <row r="7" spans="1:50" ht="14.25" x14ac:dyDescent="0.2">
      <c r="A7" s="359"/>
      <c r="B7" s="498" t="s">
        <v>334</v>
      </c>
      <c r="C7" s="348">
        <v>1</v>
      </c>
      <c r="D7" s="367" t="s">
        <v>113</v>
      </c>
      <c r="E7" s="349">
        <f>VLOOKUP(D7,'07產線配置圖'!$A$2:$C$25,2,0)</f>
        <v>13</v>
      </c>
      <c r="F7" s="349">
        <f>VLOOKUP(D7,'07產線配置圖'!$A$2:$C$25,3,0)</f>
        <v>2250</v>
      </c>
      <c r="G7" s="342">
        <f>F7/E7</f>
        <v>173.07692307692307</v>
      </c>
      <c r="H7" s="487" t="e">
        <f>AVERAGE(G7:G21)</f>
        <v>#N/A</v>
      </c>
      <c r="I7" s="349">
        <f>AVERAGE(P7,U7,Z7,AE7,AJ7,AO7,AT7)</f>
        <v>13</v>
      </c>
      <c r="J7" s="349">
        <f>AVERAGE(Q7,V7,AA7,AF7,AK7,AP7,AU7)</f>
        <v>2085.2857142857142</v>
      </c>
      <c r="K7" s="342">
        <f>J7/I7</f>
        <v>160.4065934065934</v>
      </c>
      <c r="L7" s="487">
        <f>IFERROR(AVERAGE(K7:K24),"-")</f>
        <v>109.28977347660461</v>
      </c>
      <c r="M7" s="349">
        <f>RANK(K7,$K$7:$K$24)</f>
        <v>1</v>
      </c>
      <c r="N7" s="495"/>
      <c r="O7" s="495"/>
      <c r="P7" s="349">
        <v>13</v>
      </c>
      <c r="Q7" s="349">
        <v>2060</v>
      </c>
      <c r="R7" s="342">
        <v>158.46153846153845</v>
      </c>
      <c r="S7" s="348">
        <f>RANK(R7,$R$7:$R$24)</f>
        <v>1</v>
      </c>
      <c r="T7" s="487">
        <f>AVERAGE(R7:R24)</f>
        <v>110.71180813131505</v>
      </c>
      <c r="U7" s="349">
        <v>13</v>
      </c>
      <c r="V7" s="349">
        <v>2051</v>
      </c>
      <c r="W7" s="342">
        <f>V7/U7</f>
        <v>157.76923076923077</v>
      </c>
      <c r="X7" s="348">
        <f>RANK(W7,$W$7:$W$24)</f>
        <v>1</v>
      </c>
      <c r="Y7" s="487">
        <f>AVERAGE(W7:W24)</f>
        <v>105.22102813261529</v>
      </c>
      <c r="Z7" s="349">
        <v>13</v>
      </c>
      <c r="AA7" s="349">
        <v>2071</v>
      </c>
      <c r="AB7" s="342">
        <f>AA7/Z7</f>
        <v>159.30769230769232</v>
      </c>
      <c r="AC7" s="348">
        <f>RANK(AB7,$AB$7:$AB$24)</f>
        <v>1</v>
      </c>
      <c r="AD7" s="487">
        <f>AVERAGE(AB7:AB24)</f>
        <v>106.72490726305605</v>
      </c>
      <c r="AE7" s="349">
        <v>13</v>
      </c>
      <c r="AF7" s="349">
        <v>2039</v>
      </c>
      <c r="AG7" s="342">
        <f>AF7/AE7</f>
        <v>156.84615384615384</v>
      </c>
      <c r="AH7" s="348">
        <f>RANK(AG7,$AG$7:$AG$24)</f>
        <v>2</v>
      </c>
      <c r="AI7" s="487">
        <f>AVERAGE(AG7:AG24)</f>
        <v>109.11875657502821</v>
      </c>
      <c r="AJ7" s="349">
        <v>13</v>
      </c>
      <c r="AK7" s="349">
        <v>2105</v>
      </c>
      <c r="AL7" s="342">
        <f>AK7/AJ7</f>
        <v>161.92307692307693</v>
      </c>
      <c r="AM7" s="348">
        <f>RANK(AL7,$AL$7:$AL$24)</f>
        <v>1</v>
      </c>
      <c r="AN7" s="487">
        <f>AVERAGE(AL7:AL24)</f>
        <v>111.02792042636334</v>
      </c>
      <c r="AO7" s="349">
        <v>13</v>
      </c>
      <c r="AP7" s="349">
        <v>2143</v>
      </c>
      <c r="AQ7" s="342">
        <f>AP7/AO7</f>
        <v>164.84615384615384</v>
      </c>
      <c r="AR7" s="348">
        <f>RANK(AQ7,$AQ$7:$AQ$24)</f>
        <v>1</v>
      </c>
      <c r="AS7" s="487">
        <f>AVERAGE(AQ7:AQ24)</f>
        <v>112.81090963534736</v>
      </c>
      <c r="AT7" s="349">
        <v>13</v>
      </c>
      <c r="AU7" s="349">
        <v>2128</v>
      </c>
      <c r="AV7" s="342">
        <f>AU7/AT7</f>
        <v>163.69230769230768</v>
      </c>
      <c r="AW7" s="348">
        <f>RANK(AV7,$AV$7:$AV$24)</f>
        <v>1</v>
      </c>
      <c r="AX7" s="487">
        <f>AVERAGE(AV7:AV24)</f>
        <v>109.81296056884291</v>
      </c>
    </row>
    <row r="8" spans="1:50" ht="15" customHeight="1" x14ac:dyDescent="0.2">
      <c r="A8" s="359"/>
      <c r="B8" s="499"/>
      <c r="C8" s="348">
        <v>2</v>
      </c>
      <c r="D8" s="348" t="s">
        <v>116</v>
      </c>
      <c r="E8" s="349">
        <f>VLOOKUP(D8,'07產線配置圖'!$A$2:$C$25,2,0)</f>
        <v>15</v>
      </c>
      <c r="F8" s="349">
        <f>VLOOKUP(D8,'07產線配置圖'!$A$2:$C$25,3,0)</f>
        <v>2250</v>
      </c>
      <c r="G8" s="342">
        <f t="shared" ref="G8:G12" si="0">F8/E8</f>
        <v>150</v>
      </c>
      <c r="H8" s="488"/>
      <c r="I8" s="349">
        <f t="shared" ref="I8:I23" si="1">AVERAGE(P8,U8,Z8,AE8,AJ8,AO8,AT8)</f>
        <v>15</v>
      </c>
      <c r="J8" s="349">
        <f t="shared" ref="J8:J23" si="2">AVERAGE(Q8,V8,AA8,AF8,AK8,AP8,AU8)</f>
        <v>2077.1428571428573</v>
      </c>
      <c r="K8" s="342">
        <f t="shared" ref="K8:K23" si="3">J8/I8</f>
        <v>138.47619047619048</v>
      </c>
      <c r="L8" s="488"/>
      <c r="M8" s="349">
        <f t="shared" ref="M8:M23" si="4">RANK(K8,$K$7:$K$24)</f>
        <v>5</v>
      </c>
      <c r="N8" s="495"/>
      <c r="O8" s="495"/>
      <c r="P8" s="349">
        <v>15</v>
      </c>
      <c r="Q8" s="349">
        <v>2107</v>
      </c>
      <c r="R8" s="342">
        <v>140.46666666666667</v>
      </c>
      <c r="S8" s="348">
        <f t="shared" ref="S8:S23" si="5">RANK(R8,$R$7:$R$24)</f>
        <v>4</v>
      </c>
      <c r="T8" s="488"/>
      <c r="U8" s="349">
        <v>15</v>
      </c>
      <c r="V8" s="349">
        <v>2045</v>
      </c>
      <c r="W8" s="342">
        <f t="shared" ref="W8:W23" si="6">V8/U8</f>
        <v>136.33333333333334</v>
      </c>
      <c r="X8" s="348">
        <f t="shared" ref="X8:X23" si="7">RANK(W8,$W$7:$W$24)</f>
        <v>3</v>
      </c>
      <c r="Y8" s="488"/>
      <c r="Z8" s="349">
        <v>15</v>
      </c>
      <c r="AA8" s="349">
        <v>2014</v>
      </c>
      <c r="AB8" s="342">
        <f t="shared" ref="AB8:AB23" si="8">AA8/Z8</f>
        <v>134.26666666666668</v>
      </c>
      <c r="AC8" s="348">
        <f t="shared" ref="AC8:AC23" si="9">RANK(AB8,$AB$7:$AB$24)</f>
        <v>5</v>
      </c>
      <c r="AD8" s="488"/>
      <c r="AE8" s="349">
        <v>15</v>
      </c>
      <c r="AF8" s="349">
        <v>2065</v>
      </c>
      <c r="AG8" s="342">
        <f t="shared" ref="AG8:AG23" si="10">AF8/AE8</f>
        <v>137.66666666666666</v>
      </c>
      <c r="AH8" s="348">
        <f t="shared" ref="AH8:AH23" si="11">RANK(AG8,$AG$7:$AG$24)</f>
        <v>5</v>
      </c>
      <c r="AI8" s="488"/>
      <c r="AJ8" s="349">
        <v>15</v>
      </c>
      <c r="AK8" s="349">
        <v>2111</v>
      </c>
      <c r="AL8" s="342">
        <f t="shared" ref="AL8:AL23" si="12">AK8/AJ8</f>
        <v>140.73333333333332</v>
      </c>
      <c r="AM8" s="348">
        <f t="shared" ref="AM8:AM23" si="13">RANK(AL8,$AL$7:$AL$24)</f>
        <v>5</v>
      </c>
      <c r="AN8" s="488"/>
      <c r="AO8" s="349">
        <v>15</v>
      </c>
      <c r="AP8" s="349">
        <v>2112</v>
      </c>
      <c r="AQ8" s="342">
        <f t="shared" ref="AQ8:AQ23" si="14">AP8/AO8</f>
        <v>140.80000000000001</v>
      </c>
      <c r="AR8" s="348">
        <f t="shared" ref="AR8:AR23" si="15">RANK(AQ8,$AQ$7:$AQ$24)</f>
        <v>5</v>
      </c>
      <c r="AS8" s="488"/>
      <c r="AT8" s="349">
        <v>15</v>
      </c>
      <c r="AU8" s="349">
        <v>2086</v>
      </c>
      <c r="AV8" s="342">
        <f t="shared" ref="AV8:AV23" si="16">AU8/AT8</f>
        <v>139.06666666666666</v>
      </c>
      <c r="AW8" s="348">
        <f t="shared" ref="AW8:AW23" si="17">RANK(AV8,$AV$7:$AV$24)</f>
        <v>6</v>
      </c>
      <c r="AX8" s="488"/>
    </row>
    <row r="9" spans="1:50" ht="14.25" x14ac:dyDescent="0.2">
      <c r="A9" s="359"/>
      <c r="B9" s="499"/>
      <c r="C9" s="348">
        <v>3</v>
      </c>
      <c r="D9" s="348" t="s">
        <v>115</v>
      </c>
      <c r="E9" s="349">
        <f>VLOOKUP(D9,'07產線配置圖'!$A$2:$C$25,2,0)</f>
        <v>15</v>
      </c>
      <c r="F9" s="349">
        <f>VLOOKUP(D9,'07產線配置圖'!$A$2:$C$25,3,0)</f>
        <v>2250</v>
      </c>
      <c r="G9" s="342">
        <f t="shared" si="0"/>
        <v>150</v>
      </c>
      <c r="H9" s="488"/>
      <c r="I9" s="349">
        <f t="shared" si="1"/>
        <v>15</v>
      </c>
      <c r="J9" s="349">
        <f t="shared" si="2"/>
        <v>2112.4285714285716</v>
      </c>
      <c r="K9" s="342">
        <f t="shared" si="3"/>
        <v>140.82857142857145</v>
      </c>
      <c r="L9" s="488"/>
      <c r="M9" s="349">
        <f t="shared" si="4"/>
        <v>3</v>
      </c>
      <c r="N9" s="495"/>
      <c r="O9" s="495"/>
      <c r="P9" s="349">
        <v>15</v>
      </c>
      <c r="Q9" s="349">
        <v>2094</v>
      </c>
      <c r="R9" s="342">
        <v>139.6</v>
      </c>
      <c r="S9" s="348">
        <f t="shared" si="5"/>
        <v>5</v>
      </c>
      <c r="T9" s="488"/>
      <c r="U9" s="349">
        <v>15</v>
      </c>
      <c r="V9" s="349">
        <v>2090</v>
      </c>
      <c r="W9" s="342">
        <f t="shared" si="6"/>
        <v>139.33333333333334</v>
      </c>
      <c r="X9" s="348">
        <f t="shared" si="7"/>
        <v>2</v>
      </c>
      <c r="Y9" s="488"/>
      <c r="Z9" s="349">
        <v>15</v>
      </c>
      <c r="AA9" s="349">
        <v>2048</v>
      </c>
      <c r="AB9" s="342">
        <f t="shared" si="8"/>
        <v>136.53333333333333</v>
      </c>
      <c r="AC9" s="348">
        <f t="shared" si="9"/>
        <v>4</v>
      </c>
      <c r="AD9" s="488"/>
      <c r="AE9" s="349">
        <v>15</v>
      </c>
      <c r="AF9" s="349">
        <v>2093</v>
      </c>
      <c r="AG9" s="342">
        <f t="shared" si="10"/>
        <v>139.53333333333333</v>
      </c>
      <c r="AH9" s="348">
        <f t="shared" si="11"/>
        <v>4</v>
      </c>
      <c r="AI9" s="488"/>
      <c r="AJ9" s="349">
        <v>15</v>
      </c>
      <c r="AK9" s="349">
        <v>2164</v>
      </c>
      <c r="AL9" s="342">
        <f t="shared" si="12"/>
        <v>144.26666666666668</v>
      </c>
      <c r="AM9" s="348">
        <f t="shared" si="13"/>
        <v>3</v>
      </c>
      <c r="AN9" s="488"/>
      <c r="AO9" s="349">
        <v>15</v>
      </c>
      <c r="AP9" s="349">
        <v>2192</v>
      </c>
      <c r="AQ9" s="342">
        <f t="shared" si="14"/>
        <v>146.13333333333333</v>
      </c>
      <c r="AR9" s="348">
        <f t="shared" si="15"/>
        <v>3</v>
      </c>
      <c r="AS9" s="488"/>
      <c r="AT9" s="349">
        <v>15</v>
      </c>
      <c r="AU9" s="349">
        <v>2106</v>
      </c>
      <c r="AV9" s="342">
        <f t="shared" si="16"/>
        <v>140.4</v>
      </c>
      <c r="AW9" s="348">
        <f t="shared" si="17"/>
        <v>4</v>
      </c>
      <c r="AX9" s="488"/>
    </row>
    <row r="10" spans="1:50" ht="14.25" x14ac:dyDescent="0.2">
      <c r="A10" s="359"/>
      <c r="B10" s="499"/>
      <c r="C10" s="348">
        <v>4</v>
      </c>
      <c r="D10" s="348" t="s">
        <v>165</v>
      </c>
      <c r="E10" s="349">
        <f>VLOOKUP(D10,'07產線配置圖'!$A$2:$C$25,2,0)</f>
        <v>16</v>
      </c>
      <c r="F10" s="349">
        <f>VLOOKUP(D10,'07產線配置圖'!$A$2:$C$25,3,0)</f>
        <v>1800</v>
      </c>
      <c r="G10" s="342">
        <f t="shared" si="0"/>
        <v>112.5</v>
      </c>
      <c r="H10" s="488"/>
      <c r="I10" s="349">
        <f t="shared" si="1"/>
        <v>15.428571428571429</v>
      </c>
      <c r="J10" s="349">
        <f t="shared" si="2"/>
        <v>1586.5714285714287</v>
      </c>
      <c r="K10" s="342">
        <f t="shared" si="3"/>
        <v>102.83333333333334</v>
      </c>
      <c r="L10" s="488"/>
      <c r="M10" s="349">
        <f t="shared" si="4"/>
        <v>8</v>
      </c>
      <c r="N10" s="495"/>
      <c r="O10" s="495"/>
      <c r="P10" s="349">
        <v>16</v>
      </c>
      <c r="Q10" s="349">
        <v>1549</v>
      </c>
      <c r="R10" s="342">
        <v>96.8125</v>
      </c>
      <c r="S10" s="348">
        <f t="shared" si="5"/>
        <v>10</v>
      </c>
      <c r="T10" s="488"/>
      <c r="U10" s="349">
        <v>16</v>
      </c>
      <c r="V10" s="349">
        <v>1632</v>
      </c>
      <c r="W10" s="342">
        <f t="shared" si="6"/>
        <v>102</v>
      </c>
      <c r="X10" s="348">
        <f t="shared" si="7"/>
        <v>8</v>
      </c>
      <c r="Y10" s="488"/>
      <c r="Z10" s="349">
        <v>16</v>
      </c>
      <c r="AA10" s="349">
        <v>1726</v>
      </c>
      <c r="AB10" s="342">
        <f t="shared" si="8"/>
        <v>107.875</v>
      </c>
      <c r="AC10" s="348">
        <f t="shared" si="9"/>
        <v>9</v>
      </c>
      <c r="AD10" s="488"/>
      <c r="AE10" s="349">
        <v>16</v>
      </c>
      <c r="AF10" s="349">
        <v>1615</v>
      </c>
      <c r="AG10" s="342">
        <f t="shared" si="10"/>
        <v>100.9375</v>
      </c>
      <c r="AH10" s="348">
        <f t="shared" si="11"/>
        <v>9</v>
      </c>
      <c r="AI10" s="488"/>
      <c r="AJ10" s="349">
        <v>16</v>
      </c>
      <c r="AK10" s="349">
        <v>1628</v>
      </c>
      <c r="AL10" s="342">
        <f t="shared" si="12"/>
        <v>101.75</v>
      </c>
      <c r="AM10" s="348">
        <f t="shared" si="13"/>
        <v>9</v>
      </c>
      <c r="AN10" s="488"/>
      <c r="AO10" s="426">
        <v>12</v>
      </c>
      <c r="AP10" s="349">
        <v>1334</v>
      </c>
      <c r="AQ10" s="342">
        <f t="shared" si="14"/>
        <v>111.16666666666667</v>
      </c>
      <c r="AR10" s="348">
        <f t="shared" si="15"/>
        <v>8</v>
      </c>
      <c r="AS10" s="488"/>
      <c r="AT10" s="349">
        <v>16</v>
      </c>
      <c r="AU10" s="349">
        <v>1622</v>
      </c>
      <c r="AV10" s="342">
        <f t="shared" si="16"/>
        <v>101.375</v>
      </c>
      <c r="AW10" s="348">
        <f t="shared" si="17"/>
        <v>8</v>
      </c>
      <c r="AX10" s="488"/>
    </row>
    <row r="11" spans="1:50" ht="14.25" x14ac:dyDescent="0.2">
      <c r="A11" s="359"/>
      <c r="B11" s="499"/>
      <c r="C11" s="348">
        <v>5</v>
      </c>
      <c r="D11" s="368" t="s">
        <v>114</v>
      </c>
      <c r="E11" s="349">
        <f>VLOOKUP(D11,'07產線配置圖'!$A$2:$C$25,2,0)</f>
        <v>14</v>
      </c>
      <c r="F11" s="349">
        <f>VLOOKUP(D11,'07產線配置圖'!$A$2:$C$25,3,0)</f>
        <v>2250</v>
      </c>
      <c r="G11" s="342">
        <f t="shared" si="0"/>
        <v>160.71428571428572</v>
      </c>
      <c r="H11" s="488"/>
      <c r="I11" s="349">
        <f t="shared" si="1"/>
        <v>14</v>
      </c>
      <c r="J11" s="349">
        <f t="shared" si="2"/>
        <v>2039.8571428571429</v>
      </c>
      <c r="K11" s="342">
        <f t="shared" si="3"/>
        <v>145.70408163265307</v>
      </c>
      <c r="L11" s="488"/>
      <c r="M11" s="349">
        <f t="shared" si="4"/>
        <v>2</v>
      </c>
      <c r="N11" s="495"/>
      <c r="O11" s="495"/>
      <c r="P11" s="349">
        <v>14</v>
      </c>
      <c r="Q11" s="349">
        <v>1987</v>
      </c>
      <c r="R11" s="342">
        <v>141.92857142857142</v>
      </c>
      <c r="S11" s="348">
        <f t="shared" si="5"/>
        <v>2</v>
      </c>
      <c r="T11" s="488"/>
      <c r="U11" s="349">
        <v>14</v>
      </c>
      <c r="V11" s="349">
        <v>1839</v>
      </c>
      <c r="W11" s="340">
        <f t="shared" si="6"/>
        <v>131.35714285714286</v>
      </c>
      <c r="X11" s="348">
        <f t="shared" si="7"/>
        <v>4</v>
      </c>
      <c r="Y11" s="488"/>
      <c r="Z11" s="349">
        <v>14</v>
      </c>
      <c r="AA11" s="349">
        <v>2019</v>
      </c>
      <c r="AB11" s="342">
        <f t="shared" si="8"/>
        <v>144.21428571428572</v>
      </c>
      <c r="AC11" s="348">
        <f t="shared" si="9"/>
        <v>2</v>
      </c>
      <c r="AD11" s="488"/>
      <c r="AE11" s="349">
        <v>14</v>
      </c>
      <c r="AF11" s="349">
        <v>2225</v>
      </c>
      <c r="AG11" s="342">
        <f t="shared" si="10"/>
        <v>158.92857142857142</v>
      </c>
      <c r="AH11" s="348">
        <f t="shared" si="11"/>
        <v>1</v>
      </c>
      <c r="AI11" s="488"/>
      <c r="AJ11" s="349">
        <v>14</v>
      </c>
      <c r="AK11" s="349">
        <v>2082</v>
      </c>
      <c r="AL11" s="342">
        <f t="shared" si="12"/>
        <v>148.71428571428572</v>
      </c>
      <c r="AM11" s="348">
        <f t="shared" si="13"/>
        <v>2</v>
      </c>
      <c r="AN11" s="488"/>
      <c r="AO11" s="349">
        <v>14</v>
      </c>
      <c r="AP11" s="349">
        <v>2114</v>
      </c>
      <c r="AQ11" s="342">
        <f t="shared" si="14"/>
        <v>151</v>
      </c>
      <c r="AR11" s="348">
        <f t="shared" si="15"/>
        <v>2</v>
      </c>
      <c r="AS11" s="488"/>
      <c r="AT11" s="349">
        <v>14</v>
      </c>
      <c r="AU11" s="349">
        <v>2013</v>
      </c>
      <c r="AV11" s="342">
        <f t="shared" si="16"/>
        <v>143.78571428571428</v>
      </c>
      <c r="AW11" s="348">
        <f t="shared" si="17"/>
        <v>3</v>
      </c>
      <c r="AX11" s="488"/>
    </row>
    <row r="12" spans="1:50" ht="14.25" x14ac:dyDescent="0.2">
      <c r="A12" s="359"/>
      <c r="B12" s="499"/>
      <c r="C12" s="348">
        <v>6</v>
      </c>
      <c r="D12" s="348" t="s">
        <v>158</v>
      </c>
      <c r="E12" s="349">
        <f>VLOOKUP(D12,'07產線配置圖'!$A$2:$C$25,2,0)</f>
        <v>15</v>
      </c>
      <c r="F12" s="349">
        <f>VLOOKUP(D12,'07產線配置圖'!$A$2:$C$25,3,0)</f>
        <v>1714</v>
      </c>
      <c r="G12" s="342">
        <f t="shared" si="0"/>
        <v>114.26666666666667</v>
      </c>
      <c r="H12" s="488"/>
      <c r="I12" s="349">
        <f t="shared" si="1"/>
        <v>15.142857142857142</v>
      </c>
      <c r="J12" s="349">
        <f t="shared" si="2"/>
        <v>1542.4285714285713</v>
      </c>
      <c r="K12" s="342">
        <f t="shared" si="3"/>
        <v>101.85849056603773</v>
      </c>
      <c r="L12" s="488"/>
      <c r="M12" s="349">
        <f t="shared" si="4"/>
        <v>9</v>
      </c>
      <c r="N12" s="495"/>
      <c r="O12" s="495"/>
      <c r="P12" s="349">
        <v>15</v>
      </c>
      <c r="Q12" s="349">
        <v>1521</v>
      </c>
      <c r="R12" s="342">
        <v>101.4</v>
      </c>
      <c r="S12" s="348">
        <f t="shared" si="5"/>
        <v>8</v>
      </c>
      <c r="T12" s="488"/>
      <c r="U12" s="341">
        <v>16</v>
      </c>
      <c r="V12" s="349">
        <v>1394</v>
      </c>
      <c r="W12" s="340">
        <f t="shared" si="6"/>
        <v>87.125</v>
      </c>
      <c r="X12" s="348">
        <f t="shared" si="7"/>
        <v>13</v>
      </c>
      <c r="Y12" s="488"/>
      <c r="Z12" s="349">
        <v>15</v>
      </c>
      <c r="AA12" s="349">
        <v>1624</v>
      </c>
      <c r="AB12" s="342">
        <f t="shared" si="8"/>
        <v>108.26666666666667</v>
      </c>
      <c r="AC12" s="348">
        <f t="shared" si="9"/>
        <v>8</v>
      </c>
      <c r="AD12" s="488"/>
      <c r="AE12" s="349">
        <v>15</v>
      </c>
      <c r="AF12" s="349">
        <v>1608</v>
      </c>
      <c r="AG12" s="342">
        <f t="shared" si="10"/>
        <v>107.2</v>
      </c>
      <c r="AH12" s="348">
        <f t="shared" si="11"/>
        <v>8</v>
      </c>
      <c r="AI12" s="488"/>
      <c r="AJ12" s="349">
        <v>15</v>
      </c>
      <c r="AK12" s="349">
        <v>1639</v>
      </c>
      <c r="AL12" s="342">
        <f t="shared" si="12"/>
        <v>109.26666666666667</v>
      </c>
      <c r="AM12" s="348">
        <f t="shared" si="13"/>
        <v>7</v>
      </c>
      <c r="AN12" s="488"/>
      <c r="AO12" s="349">
        <v>15</v>
      </c>
      <c r="AP12" s="349">
        <v>1589</v>
      </c>
      <c r="AQ12" s="342">
        <f t="shared" si="14"/>
        <v>105.93333333333334</v>
      </c>
      <c r="AR12" s="348">
        <f t="shared" si="15"/>
        <v>9</v>
      </c>
      <c r="AS12" s="488"/>
      <c r="AT12" s="349">
        <v>15</v>
      </c>
      <c r="AU12" s="349">
        <v>1422</v>
      </c>
      <c r="AV12" s="342">
        <f t="shared" si="16"/>
        <v>94.8</v>
      </c>
      <c r="AW12" s="348">
        <f t="shared" si="17"/>
        <v>10</v>
      </c>
      <c r="AX12" s="488"/>
    </row>
    <row r="13" spans="1:50" ht="14.25" x14ac:dyDescent="0.2">
      <c r="A13" s="359"/>
      <c r="B13" s="499"/>
      <c r="C13" s="348">
        <v>7</v>
      </c>
      <c r="D13" s="348" t="s">
        <v>223</v>
      </c>
      <c r="E13" s="349">
        <f>VLOOKUP(D13,'07產線配置圖'!$A$2:$C$25,2,0)</f>
        <v>17</v>
      </c>
      <c r="F13" s="349">
        <f>VLOOKUP(D13,'07產線配置圖'!$A$2:$C$25,3,0)</f>
        <v>1800</v>
      </c>
      <c r="G13" s="342">
        <f t="shared" ref="G13:G21" si="18">F13/E13</f>
        <v>105.88235294117646</v>
      </c>
      <c r="H13" s="488"/>
      <c r="I13" s="349">
        <f t="shared" si="1"/>
        <v>16.857142857142858</v>
      </c>
      <c r="J13" s="349">
        <f t="shared" si="2"/>
        <v>1629.5714285714287</v>
      </c>
      <c r="K13" s="342">
        <f t="shared" si="3"/>
        <v>96.669491525423737</v>
      </c>
      <c r="L13" s="488"/>
      <c r="M13" s="349">
        <f t="shared" si="4"/>
        <v>10</v>
      </c>
      <c r="N13" s="495"/>
      <c r="O13" s="495"/>
      <c r="P13" s="349">
        <v>16</v>
      </c>
      <c r="Q13" s="349">
        <v>1573</v>
      </c>
      <c r="R13" s="342">
        <v>98.3125</v>
      </c>
      <c r="S13" s="348">
        <f t="shared" si="5"/>
        <v>9</v>
      </c>
      <c r="T13" s="488"/>
      <c r="U13" s="349">
        <v>17</v>
      </c>
      <c r="V13" s="349">
        <v>1599</v>
      </c>
      <c r="W13" s="342">
        <f t="shared" si="6"/>
        <v>94.058823529411768</v>
      </c>
      <c r="X13" s="348">
        <f t="shared" si="7"/>
        <v>9</v>
      </c>
      <c r="Y13" s="488"/>
      <c r="Z13" s="349">
        <v>17</v>
      </c>
      <c r="AA13" s="349">
        <v>1524</v>
      </c>
      <c r="AB13" s="340">
        <f t="shared" si="8"/>
        <v>89.647058823529406</v>
      </c>
      <c r="AC13" s="348">
        <f t="shared" si="9"/>
        <v>11</v>
      </c>
      <c r="AD13" s="488"/>
      <c r="AE13" s="349">
        <v>17</v>
      </c>
      <c r="AF13" s="349">
        <v>1611</v>
      </c>
      <c r="AG13" s="342">
        <f t="shared" si="10"/>
        <v>94.764705882352942</v>
      </c>
      <c r="AH13" s="348">
        <f t="shared" si="11"/>
        <v>10</v>
      </c>
      <c r="AI13" s="488"/>
      <c r="AJ13" s="349">
        <v>17</v>
      </c>
      <c r="AK13" s="349">
        <v>1683</v>
      </c>
      <c r="AL13" s="342">
        <f t="shared" si="12"/>
        <v>99</v>
      </c>
      <c r="AM13" s="348">
        <f t="shared" si="13"/>
        <v>10</v>
      </c>
      <c r="AN13" s="488"/>
      <c r="AO13" s="349">
        <v>17</v>
      </c>
      <c r="AP13" s="349">
        <v>1766</v>
      </c>
      <c r="AQ13" s="342">
        <f t="shared" si="14"/>
        <v>103.88235294117646</v>
      </c>
      <c r="AR13" s="348">
        <f t="shared" si="15"/>
        <v>10</v>
      </c>
      <c r="AS13" s="488"/>
      <c r="AT13" s="349">
        <v>17</v>
      </c>
      <c r="AU13" s="349">
        <v>1651</v>
      </c>
      <c r="AV13" s="342">
        <f t="shared" si="16"/>
        <v>97.117647058823536</v>
      </c>
      <c r="AW13" s="348">
        <f t="shared" si="17"/>
        <v>9</v>
      </c>
      <c r="AX13" s="488"/>
    </row>
    <row r="14" spans="1:50" ht="14.25" x14ac:dyDescent="0.2">
      <c r="A14" s="359"/>
      <c r="B14" s="499"/>
      <c r="C14" s="348">
        <v>8</v>
      </c>
      <c r="D14" s="348" t="s">
        <v>121</v>
      </c>
      <c r="E14" s="349">
        <f>VLOOKUP(D14,'07產線配置圖'!$A$2:$C$25,2,0)</f>
        <v>18</v>
      </c>
      <c r="F14" s="349">
        <f>VLOOKUP(D14,'07產線配置圖'!$A$2:$C$25,3,0)</f>
        <v>1636</v>
      </c>
      <c r="G14" s="342">
        <f t="shared" si="18"/>
        <v>90.888888888888886</v>
      </c>
      <c r="H14" s="488"/>
      <c r="I14" s="349">
        <f t="shared" si="1"/>
        <v>17.428571428571427</v>
      </c>
      <c r="J14" s="349">
        <f t="shared" si="2"/>
        <v>1452.8571428571429</v>
      </c>
      <c r="K14" s="342">
        <f t="shared" si="3"/>
        <v>83.360655737704931</v>
      </c>
      <c r="L14" s="488"/>
      <c r="M14" s="349">
        <f t="shared" si="4"/>
        <v>14</v>
      </c>
      <c r="N14" s="495"/>
      <c r="O14" s="495"/>
      <c r="P14" s="348">
        <v>17</v>
      </c>
      <c r="Q14" s="349">
        <v>1527</v>
      </c>
      <c r="R14" s="342">
        <v>89.82352941176471</v>
      </c>
      <c r="S14" s="348">
        <f t="shared" si="5"/>
        <v>13</v>
      </c>
      <c r="T14" s="488"/>
      <c r="U14" s="401">
        <v>19</v>
      </c>
      <c r="V14" s="349">
        <v>1549</v>
      </c>
      <c r="W14" s="340">
        <f t="shared" si="6"/>
        <v>81.526315789473685</v>
      </c>
      <c r="X14" s="348">
        <f t="shared" si="7"/>
        <v>16</v>
      </c>
      <c r="Y14" s="488"/>
      <c r="Z14" s="348">
        <v>17</v>
      </c>
      <c r="AA14" s="349">
        <v>1397</v>
      </c>
      <c r="AB14" s="340">
        <f t="shared" si="8"/>
        <v>82.17647058823529</v>
      </c>
      <c r="AC14" s="348">
        <f t="shared" si="9"/>
        <v>14</v>
      </c>
      <c r="AD14" s="488"/>
      <c r="AE14" s="401">
        <v>18</v>
      </c>
      <c r="AF14" s="349">
        <v>1422</v>
      </c>
      <c r="AG14" s="340">
        <f t="shared" si="10"/>
        <v>79</v>
      </c>
      <c r="AH14" s="348">
        <f t="shared" si="11"/>
        <v>16</v>
      </c>
      <c r="AI14" s="488"/>
      <c r="AJ14" s="348">
        <v>17</v>
      </c>
      <c r="AK14" s="349">
        <v>1369</v>
      </c>
      <c r="AL14" s="340">
        <f t="shared" si="12"/>
        <v>80.529411764705884</v>
      </c>
      <c r="AM14" s="348">
        <f t="shared" si="13"/>
        <v>17</v>
      </c>
      <c r="AN14" s="488"/>
      <c r="AO14" s="348">
        <v>17</v>
      </c>
      <c r="AP14" s="349">
        <v>1416</v>
      </c>
      <c r="AQ14" s="340">
        <f t="shared" si="14"/>
        <v>83.294117647058826</v>
      </c>
      <c r="AR14" s="348">
        <f t="shared" si="15"/>
        <v>13</v>
      </c>
      <c r="AS14" s="488"/>
      <c r="AT14" s="348">
        <v>17</v>
      </c>
      <c r="AU14" s="349">
        <v>1490</v>
      </c>
      <c r="AV14" s="340">
        <f t="shared" si="16"/>
        <v>87.647058823529406</v>
      </c>
      <c r="AW14" s="348">
        <f t="shared" si="17"/>
        <v>13</v>
      </c>
      <c r="AX14" s="488"/>
    </row>
    <row r="15" spans="1:50" ht="14.25" x14ac:dyDescent="0.2">
      <c r="A15" s="359"/>
      <c r="B15" s="499"/>
      <c r="C15" s="348">
        <v>9</v>
      </c>
      <c r="D15" s="348" t="s">
        <v>381</v>
      </c>
      <c r="E15" s="349">
        <f>VLOOKUP(D15,'07產線配置圖'!$A$2:$C$25,2,0)</f>
        <v>13</v>
      </c>
      <c r="F15" s="349">
        <f>VLOOKUP(D15,'07產線配置圖'!$A$2:$C$25,3,0)</f>
        <v>1440</v>
      </c>
      <c r="G15" s="342">
        <f t="shared" si="18"/>
        <v>110.76923076923077</v>
      </c>
      <c r="H15" s="488"/>
      <c r="I15" s="349">
        <f t="shared" si="1"/>
        <v>12.428571428571429</v>
      </c>
      <c r="J15" s="349">
        <f t="shared" si="2"/>
        <v>1022</v>
      </c>
      <c r="K15" s="342">
        <f t="shared" si="3"/>
        <v>82.229885057471265</v>
      </c>
      <c r="L15" s="488"/>
      <c r="M15" s="349">
        <f t="shared" si="4"/>
        <v>15</v>
      </c>
      <c r="N15" s="495"/>
      <c r="O15" s="495"/>
      <c r="P15" s="348">
        <v>11</v>
      </c>
      <c r="Q15" s="349">
        <v>1063</v>
      </c>
      <c r="R15" s="342">
        <v>96.63636363636364</v>
      </c>
      <c r="S15" s="348">
        <f t="shared" si="5"/>
        <v>11</v>
      </c>
      <c r="T15" s="488"/>
      <c r="U15" s="348">
        <v>13</v>
      </c>
      <c r="V15" s="349">
        <v>1160</v>
      </c>
      <c r="W15" s="340">
        <f t="shared" si="6"/>
        <v>89.230769230769226</v>
      </c>
      <c r="X15" s="348">
        <f t="shared" si="7"/>
        <v>11</v>
      </c>
      <c r="Y15" s="488"/>
      <c r="Z15" s="348">
        <v>13</v>
      </c>
      <c r="AA15" s="349">
        <v>759</v>
      </c>
      <c r="AB15" s="340">
        <f t="shared" si="8"/>
        <v>58.384615384615387</v>
      </c>
      <c r="AC15" s="348">
        <f t="shared" si="9"/>
        <v>17</v>
      </c>
      <c r="AD15" s="488"/>
      <c r="AE15" s="348">
        <v>13</v>
      </c>
      <c r="AF15" s="349">
        <v>968</v>
      </c>
      <c r="AG15" s="340">
        <f t="shared" si="10"/>
        <v>74.461538461538467</v>
      </c>
      <c r="AH15" s="348">
        <f t="shared" si="11"/>
        <v>17</v>
      </c>
      <c r="AI15" s="488"/>
      <c r="AJ15" s="352">
        <v>11</v>
      </c>
      <c r="AK15" s="349">
        <v>1007</v>
      </c>
      <c r="AL15" s="342">
        <f t="shared" si="12"/>
        <v>91.545454545454547</v>
      </c>
      <c r="AM15" s="348">
        <f t="shared" si="13"/>
        <v>12</v>
      </c>
      <c r="AN15" s="488"/>
      <c r="AO15" s="348">
        <v>13</v>
      </c>
      <c r="AP15" s="349">
        <v>1304</v>
      </c>
      <c r="AQ15" s="342">
        <f t="shared" si="14"/>
        <v>100.30769230769231</v>
      </c>
      <c r="AR15" s="348">
        <f t="shared" si="15"/>
        <v>11</v>
      </c>
      <c r="AS15" s="488"/>
      <c r="AT15" s="348">
        <v>13</v>
      </c>
      <c r="AU15" s="349">
        <v>893</v>
      </c>
      <c r="AV15" s="340">
        <f t="shared" si="16"/>
        <v>68.692307692307693</v>
      </c>
      <c r="AW15" s="348">
        <f t="shared" si="17"/>
        <v>17</v>
      </c>
      <c r="AX15" s="488"/>
    </row>
    <row r="16" spans="1:50" ht="14.25" x14ac:dyDescent="0.2">
      <c r="A16" s="359"/>
      <c r="B16" s="499"/>
      <c r="C16" s="348">
        <v>10</v>
      </c>
      <c r="D16" s="348" t="s">
        <v>119</v>
      </c>
      <c r="E16" s="349">
        <f>VLOOKUP(D16,'07產線配置圖'!$A$2:$C$25,2,0)</f>
        <v>17</v>
      </c>
      <c r="F16" s="349">
        <f>VLOOKUP(D16,'07產線配置圖'!$A$2:$C$25,3,0)</f>
        <v>2250</v>
      </c>
      <c r="G16" s="342">
        <f t="shared" si="18"/>
        <v>132.35294117647058</v>
      </c>
      <c r="H16" s="488"/>
      <c r="I16" s="349">
        <f t="shared" si="1"/>
        <v>16.857142857142858</v>
      </c>
      <c r="J16" s="349">
        <f t="shared" si="2"/>
        <v>2002.1428571428571</v>
      </c>
      <c r="K16" s="342">
        <f t="shared" si="3"/>
        <v>118.77118644067797</v>
      </c>
      <c r="L16" s="488"/>
      <c r="M16" s="349">
        <f t="shared" si="4"/>
        <v>7</v>
      </c>
      <c r="N16" s="495"/>
      <c r="O16" s="495"/>
      <c r="P16" s="348">
        <v>17</v>
      </c>
      <c r="Q16" s="349">
        <v>2078</v>
      </c>
      <c r="R16" s="342">
        <v>122.23529411764706</v>
      </c>
      <c r="S16" s="348">
        <f t="shared" si="5"/>
        <v>7</v>
      </c>
      <c r="T16" s="488"/>
      <c r="U16" s="348">
        <v>17</v>
      </c>
      <c r="V16" s="349">
        <v>1922</v>
      </c>
      <c r="W16" s="340">
        <f t="shared" si="6"/>
        <v>113.05882352941177</v>
      </c>
      <c r="X16" s="348">
        <f t="shared" si="7"/>
        <v>6</v>
      </c>
      <c r="Y16" s="488"/>
      <c r="Z16" s="348">
        <v>17</v>
      </c>
      <c r="AA16" s="349">
        <v>1875</v>
      </c>
      <c r="AB16" s="340">
        <f t="shared" si="8"/>
        <v>110.29411764705883</v>
      </c>
      <c r="AC16" s="348">
        <f t="shared" si="9"/>
        <v>7</v>
      </c>
      <c r="AD16" s="488"/>
      <c r="AE16" s="352">
        <v>16</v>
      </c>
      <c r="AF16" s="349">
        <v>1818</v>
      </c>
      <c r="AG16" s="340">
        <f t="shared" si="10"/>
        <v>113.625</v>
      </c>
      <c r="AH16" s="348">
        <f t="shared" si="11"/>
        <v>7</v>
      </c>
      <c r="AI16" s="488"/>
      <c r="AJ16" s="348">
        <v>17</v>
      </c>
      <c r="AK16" s="349">
        <v>2120</v>
      </c>
      <c r="AL16" s="342">
        <f t="shared" si="12"/>
        <v>124.70588235294117</v>
      </c>
      <c r="AM16" s="348">
        <f t="shared" si="13"/>
        <v>6</v>
      </c>
      <c r="AN16" s="488"/>
      <c r="AO16" s="348">
        <v>17</v>
      </c>
      <c r="AP16" s="349">
        <v>2096</v>
      </c>
      <c r="AQ16" s="342">
        <f t="shared" si="14"/>
        <v>123.29411764705883</v>
      </c>
      <c r="AR16" s="348">
        <f t="shared" si="15"/>
        <v>7</v>
      </c>
      <c r="AS16" s="488"/>
      <c r="AT16" s="348">
        <v>17</v>
      </c>
      <c r="AU16" s="349">
        <v>2106</v>
      </c>
      <c r="AV16" s="342">
        <f t="shared" si="16"/>
        <v>123.88235294117646</v>
      </c>
      <c r="AW16" s="348">
        <f t="shared" si="17"/>
        <v>7</v>
      </c>
      <c r="AX16" s="488"/>
    </row>
    <row r="17" spans="2:50" x14ac:dyDescent="0.2">
      <c r="B17" s="499"/>
      <c r="C17" s="348">
        <v>11</v>
      </c>
      <c r="D17" s="348" t="s">
        <v>382</v>
      </c>
      <c r="E17" s="349" t="e">
        <f>VLOOKUP(D17,'07產線配置圖'!$A$2:$C$25,2,0)</f>
        <v>#N/A</v>
      </c>
      <c r="F17" s="349" t="e">
        <f>VLOOKUP(D17,'07產線配置圖'!$A$2:$C$25,3,0)</f>
        <v>#N/A</v>
      </c>
      <c r="G17" s="342" t="e">
        <f t="shared" si="18"/>
        <v>#N/A</v>
      </c>
      <c r="H17" s="488"/>
      <c r="I17" s="349">
        <f t="shared" si="1"/>
        <v>15</v>
      </c>
      <c r="J17" s="349">
        <f t="shared" si="2"/>
        <v>1837</v>
      </c>
      <c r="K17" s="342">
        <f t="shared" si="3"/>
        <v>122.46666666666667</v>
      </c>
      <c r="L17" s="488"/>
      <c r="M17" s="349">
        <f t="shared" si="4"/>
        <v>6</v>
      </c>
      <c r="N17" s="495"/>
      <c r="O17" s="495"/>
      <c r="P17" s="348">
        <v>15</v>
      </c>
      <c r="Q17" s="348">
        <v>1984</v>
      </c>
      <c r="R17" s="342">
        <v>132.26666666666668</v>
      </c>
      <c r="S17" s="348">
        <f t="shared" si="5"/>
        <v>6</v>
      </c>
      <c r="T17" s="488"/>
      <c r="U17" s="348">
        <v>15</v>
      </c>
      <c r="V17" s="348">
        <v>1673</v>
      </c>
      <c r="W17" s="340">
        <f t="shared" si="6"/>
        <v>111.53333333333333</v>
      </c>
      <c r="X17" s="348">
        <f t="shared" si="7"/>
        <v>7</v>
      </c>
      <c r="Y17" s="488"/>
      <c r="Z17" s="348">
        <v>15</v>
      </c>
      <c r="AA17" s="348">
        <v>1814</v>
      </c>
      <c r="AB17" s="340">
        <f t="shared" si="8"/>
        <v>120.93333333333334</v>
      </c>
      <c r="AC17" s="348">
        <f t="shared" si="9"/>
        <v>6</v>
      </c>
      <c r="AD17" s="488"/>
      <c r="AE17" s="348">
        <v>15</v>
      </c>
      <c r="AF17" s="348">
        <v>1779</v>
      </c>
      <c r="AG17" s="340">
        <f t="shared" si="10"/>
        <v>118.6</v>
      </c>
      <c r="AH17" s="348">
        <f t="shared" si="11"/>
        <v>6</v>
      </c>
      <c r="AI17" s="488"/>
      <c r="AJ17" s="348">
        <v>15</v>
      </c>
      <c r="AK17" s="348">
        <v>1570</v>
      </c>
      <c r="AL17" s="342">
        <f t="shared" si="12"/>
        <v>104.66666666666667</v>
      </c>
      <c r="AM17" s="348">
        <f t="shared" si="13"/>
        <v>8</v>
      </c>
      <c r="AN17" s="488"/>
      <c r="AO17" s="348">
        <v>15</v>
      </c>
      <c r="AP17" s="348">
        <v>1944</v>
      </c>
      <c r="AQ17" s="340">
        <f t="shared" si="14"/>
        <v>129.6</v>
      </c>
      <c r="AR17" s="348">
        <f t="shared" si="15"/>
        <v>6</v>
      </c>
      <c r="AS17" s="488"/>
      <c r="AT17" s="348">
        <v>15</v>
      </c>
      <c r="AU17" s="348">
        <v>2095</v>
      </c>
      <c r="AV17" s="342">
        <f t="shared" si="16"/>
        <v>139.66666666666666</v>
      </c>
      <c r="AW17" s="348">
        <f t="shared" si="17"/>
        <v>5</v>
      </c>
      <c r="AX17" s="488"/>
    </row>
    <row r="18" spans="2:50" x14ac:dyDescent="0.2">
      <c r="B18" s="499"/>
      <c r="C18" s="348">
        <v>12</v>
      </c>
      <c r="D18" s="348" t="s">
        <v>117</v>
      </c>
      <c r="E18" s="349">
        <f>VLOOKUP(D18,'07產線配置圖'!$A$2:$C$25,2,0)</f>
        <v>15</v>
      </c>
      <c r="F18" s="349">
        <f>VLOOKUP(D18,'07產線配置圖'!$A$2:$C$25,3,0)</f>
        <v>2250</v>
      </c>
      <c r="G18" s="342">
        <f t="shared" si="18"/>
        <v>150</v>
      </c>
      <c r="H18" s="488"/>
      <c r="I18" s="349">
        <f t="shared" si="1"/>
        <v>15</v>
      </c>
      <c r="J18" s="349">
        <f t="shared" si="2"/>
        <v>2081.4285714285716</v>
      </c>
      <c r="K18" s="342">
        <f t="shared" si="3"/>
        <v>138.76190476190476</v>
      </c>
      <c r="L18" s="488"/>
      <c r="M18" s="349">
        <f t="shared" si="4"/>
        <v>4</v>
      </c>
      <c r="N18" s="495"/>
      <c r="O18" s="495"/>
      <c r="P18" s="348">
        <v>15</v>
      </c>
      <c r="Q18" s="348">
        <v>2118</v>
      </c>
      <c r="R18" s="342">
        <v>141.19999999999999</v>
      </c>
      <c r="S18" s="348">
        <f t="shared" si="5"/>
        <v>3</v>
      </c>
      <c r="T18" s="488"/>
      <c r="U18" s="348">
        <v>15</v>
      </c>
      <c r="V18" s="348">
        <v>1795</v>
      </c>
      <c r="W18" s="340">
        <f t="shared" si="6"/>
        <v>119.66666666666667</v>
      </c>
      <c r="X18" s="348">
        <f t="shared" si="7"/>
        <v>5</v>
      </c>
      <c r="Y18" s="488"/>
      <c r="Z18" s="348">
        <v>15</v>
      </c>
      <c r="AA18" s="348">
        <v>2087</v>
      </c>
      <c r="AB18" s="342">
        <f t="shared" si="8"/>
        <v>139.13333333333333</v>
      </c>
      <c r="AC18" s="348">
        <f t="shared" si="9"/>
        <v>3</v>
      </c>
      <c r="AD18" s="488"/>
      <c r="AE18" s="348">
        <v>15</v>
      </c>
      <c r="AF18" s="348">
        <v>2114</v>
      </c>
      <c r="AG18" s="342">
        <f t="shared" si="10"/>
        <v>140.93333333333334</v>
      </c>
      <c r="AH18" s="348">
        <f t="shared" si="11"/>
        <v>3</v>
      </c>
      <c r="AI18" s="488"/>
      <c r="AJ18" s="348">
        <v>15</v>
      </c>
      <c r="AK18" s="348">
        <v>2132</v>
      </c>
      <c r="AL18" s="342">
        <f t="shared" si="12"/>
        <v>142.13333333333333</v>
      </c>
      <c r="AM18" s="348">
        <f t="shared" si="13"/>
        <v>4</v>
      </c>
      <c r="AN18" s="488"/>
      <c r="AO18" s="348">
        <v>15</v>
      </c>
      <c r="AP18" s="348">
        <v>2132</v>
      </c>
      <c r="AQ18" s="342">
        <f t="shared" si="14"/>
        <v>142.13333333333333</v>
      </c>
      <c r="AR18" s="348">
        <f t="shared" si="15"/>
        <v>4</v>
      </c>
      <c r="AS18" s="488"/>
      <c r="AT18" s="348">
        <v>15</v>
      </c>
      <c r="AU18" s="348">
        <v>2192</v>
      </c>
      <c r="AV18" s="342">
        <f t="shared" si="16"/>
        <v>146.13333333333333</v>
      </c>
      <c r="AW18" s="348">
        <f t="shared" si="17"/>
        <v>2</v>
      </c>
      <c r="AX18" s="488"/>
    </row>
    <row r="19" spans="2:50" x14ac:dyDescent="0.2">
      <c r="B19" s="499"/>
      <c r="C19" s="348">
        <v>13</v>
      </c>
      <c r="D19" s="348" t="s">
        <v>127</v>
      </c>
      <c r="E19" s="349">
        <f>VLOOKUP(D19,'07產線配置圖'!$A$2:$C$25,2,0)</f>
        <v>17</v>
      </c>
      <c r="F19" s="349">
        <f>VLOOKUP(D19,'07產線配置圖'!$A$2:$C$25,3,0)</f>
        <v>1636</v>
      </c>
      <c r="G19" s="342">
        <f t="shared" si="18"/>
        <v>96.235294117647058</v>
      </c>
      <c r="H19" s="488"/>
      <c r="I19" s="349">
        <f t="shared" si="1"/>
        <v>16.571428571428573</v>
      </c>
      <c r="J19" s="349">
        <f t="shared" si="2"/>
        <v>1475.2857142857142</v>
      </c>
      <c r="K19" s="342">
        <f t="shared" si="3"/>
        <v>89.025862068965509</v>
      </c>
      <c r="L19" s="488"/>
      <c r="M19" s="349">
        <f t="shared" si="4"/>
        <v>11</v>
      </c>
      <c r="N19" s="495"/>
      <c r="O19" s="495"/>
      <c r="P19" s="348">
        <v>16</v>
      </c>
      <c r="Q19" s="348">
        <v>1485</v>
      </c>
      <c r="R19" s="342">
        <v>92.8125</v>
      </c>
      <c r="S19" s="348">
        <f t="shared" si="5"/>
        <v>12</v>
      </c>
      <c r="T19" s="488"/>
      <c r="U19" s="352">
        <v>17</v>
      </c>
      <c r="V19" s="348">
        <v>1564</v>
      </c>
      <c r="W19" s="342">
        <f t="shared" si="6"/>
        <v>92</v>
      </c>
      <c r="X19" s="348">
        <f t="shared" si="7"/>
        <v>10</v>
      </c>
      <c r="Y19" s="488"/>
      <c r="Z19" s="352">
        <v>17</v>
      </c>
      <c r="AA19" s="348">
        <v>1553</v>
      </c>
      <c r="AB19" s="342">
        <f t="shared" si="8"/>
        <v>91.352941176470594</v>
      </c>
      <c r="AC19" s="348">
        <f t="shared" si="9"/>
        <v>10</v>
      </c>
      <c r="AD19" s="488"/>
      <c r="AE19" s="352">
        <v>17</v>
      </c>
      <c r="AF19" s="348">
        <v>1466</v>
      </c>
      <c r="AG19" s="342">
        <f t="shared" si="10"/>
        <v>86.235294117647058</v>
      </c>
      <c r="AH19" s="348">
        <f t="shared" si="11"/>
        <v>13</v>
      </c>
      <c r="AI19" s="488"/>
      <c r="AJ19" s="352">
        <v>17</v>
      </c>
      <c r="AK19" s="348">
        <v>1520</v>
      </c>
      <c r="AL19" s="342">
        <f t="shared" si="12"/>
        <v>89.411764705882348</v>
      </c>
      <c r="AM19" s="348">
        <f t="shared" si="13"/>
        <v>13</v>
      </c>
      <c r="AN19" s="488"/>
      <c r="AO19" s="352">
        <v>16</v>
      </c>
      <c r="AP19" s="348">
        <v>1319</v>
      </c>
      <c r="AQ19" s="340">
        <f t="shared" si="14"/>
        <v>82.4375</v>
      </c>
      <c r="AR19" s="348">
        <f t="shared" si="15"/>
        <v>15</v>
      </c>
      <c r="AS19" s="488"/>
      <c r="AT19" s="352">
        <v>16</v>
      </c>
      <c r="AU19" s="348">
        <v>1420</v>
      </c>
      <c r="AV19" s="340">
        <f t="shared" si="16"/>
        <v>88.75</v>
      </c>
      <c r="AW19" s="348">
        <f t="shared" si="17"/>
        <v>12</v>
      </c>
      <c r="AX19" s="488"/>
    </row>
    <row r="20" spans="2:50" x14ac:dyDescent="0.2">
      <c r="B20" s="499"/>
      <c r="C20" s="348">
        <v>14</v>
      </c>
      <c r="D20" s="348" t="s">
        <v>125</v>
      </c>
      <c r="E20" s="349">
        <f>VLOOKUP(D20,'07產線配置圖'!$A$2:$C$25,2,0)</f>
        <v>18</v>
      </c>
      <c r="F20" s="349">
        <f>VLOOKUP(D20,'07產線配置圖'!$A$2:$C$25,3,0)</f>
        <v>1636</v>
      </c>
      <c r="G20" s="342">
        <f t="shared" si="18"/>
        <v>90.888888888888886</v>
      </c>
      <c r="H20" s="488"/>
      <c r="I20" s="349">
        <f t="shared" si="1"/>
        <v>17.428571428571427</v>
      </c>
      <c r="J20" s="349">
        <f t="shared" si="2"/>
        <v>1487.5714285714287</v>
      </c>
      <c r="K20" s="342">
        <f t="shared" si="3"/>
        <v>85.352459016393453</v>
      </c>
      <c r="L20" s="488"/>
      <c r="M20" s="349">
        <f t="shared" si="4"/>
        <v>13</v>
      </c>
      <c r="N20" s="495"/>
      <c r="O20" s="495"/>
      <c r="P20" s="348">
        <v>18</v>
      </c>
      <c r="Q20" s="348">
        <v>1569</v>
      </c>
      <c r="R20" s="342">
        <v>87.166666666666671</v>
      </c>
      <c r="S20" s="348">
        <f t="shared" si="5"/>
        <v>14</v>
      </c>
      <c r="T20" s="488"/>
      <c r="U20" s="348">
        <v>17</v>
      </c>
      <c r="V20" s="348">
        <v>1486</v>
      </c>
      <c r="W20" s="340">
        <f t="shared" si="6"/>
        <v>87.411764705882348</v>
      </c>
      <c r="X20" s="348">
        <f t="shared" si="7"/>
        <v>12</v>
      </c>
      <c r="Y20" s="488"/>
      <c r="Z20" s="348">
        <v>17</v>
      </c>
      <c r="AA20" s="348">
        <v>1480</v>
      </c>
      <c r="AB20" s="340">
        <f t="shared" si="8"/>
        <v>87.058823529411768</v>
      </c>
      <c r="AC20" s="348">
        <f t="shared" si="9"/>
        <v>12</v>
      </c>
      <c r="AD20" s="488"/>
      <c r="AE20" s="425">
        <v>17</v>
      </c>
      <c r="AF20" s="348">
        <v>1443</v>
      </c>
      <c r="AG20" s="340">
        <f t="shared" si="10"/>
        <v>84.882352941176464</v>
      </c>
      <c r="AH20" s="348">
        <f t="shared" si="11"/>
        <v>14</v>
      </c>
      <c r="AI20" s="488"/>
      <c r="AJ20" s="348">
        <v>18</v>
      </c>
      <c r="AK20" s="348">
        <v>1519</v>
      </c>
      <c r="AL20" s="340">
        <f t="shared" si="12"/>
        <v>84.388888888888886</v>
      </c>
      <c r="AM20" s="348">
        <f t="shared" si="13"/>
        <v>15</v>
      </c>
      <c r="AN20" s="488"/>
      <c r="AO20" s="352">
        <v>17</v>
      </c>
      <c r="AP20" s="348">
        <v>1402</v>
      </c>
      <c r="AQ20" s="340">
        <f t="shared" si="14"/>
        <v>82.470588235294116</v>
      </c>
      <c r="AR20" s="348">
        <f t="shared" si="15"/>
        <v>14</v>
      </c>
      <c r="AS20" s="488"/>
      <c r="AT20" s="348">
        <v>18</v>
      </c>
      <c r="AU20" s="348">
        <v>1514</v>
      </c>
      <c r="AV20" s="340">
        <f t="shared" si="16"/>
        <v>84.111111111111114</v>
      </c>
      <c r="AW20" s="348">
        <f t="shared" si="17"/>
        <v>14</v>
      </c>
      <c r="AX20" s="488"/>
    </row>
    <row r="21" spans="2:50" x14ac:dyDescent="0.2">
      <c r="B21" s="499"/>
      <c r="C21" s="348">
        <v>15</v>
      </c>
      <c r="D21" s="348" t="s">
        <v>123</v>
      </c>
      <c r="E21" s="349">
        <f>VLOOKUP(D21,'07產線配置圖'!$A$2:$C$25,2,0)</f>
        <v>18</v>
      </c>
      <c r="F21" s="349">
        <f>VLOOKUP(D21,'07產線配置圖'!$A$2:$C$25,3,0)</f>
        <v>1565</v>
      </c>
      <c r="G21" s="342">
        <f t="shared" si="18"/>
        <v>86.944444444444443</v>
      </c>
      <c r="H21" s="488"/>
      <c r="I21" s="349">
        <f t="shared" si="1"/>
        <v>17.142857142857142</v>
      </c>
      <c r="J21" s="349">
        <f t="shared" si="2"/>
        <v>1385.7142857142858</v>
      </c>
      <c r="K21" s="342">
        <f t="shared" si="3"/>
        <v>80.833333333333343</v>
      </c>
      <c r="L21" s="488"/>
      <c r="M21" s="349">
        <f t="shared" si="4"/>
        <v>17</v>
      </c>
      <c r="N21" s="495"/>
      <c r="O21" s="495"/>
      <c r="P21" s="348">
        <v>16</v>
      </c>
      <c r="Q21" s="348">
        <v>1210</v>
      </c>
      <c r="R21" s="342">
        <v>75.625</v>
      </c>
      <c r="S21" s="348">
        <f t="shared" si="5"/>
        <v>17</v>
      </c>
      <c r="T21" s="488"/>
      <c r="U21" s="348">
        <v>17</v>
      </c>
      <c r="V21" s="348">
        <v>1405</v>
      </c>
      <c r="W21" s="340">
        <f t="shared" si="6"/>
        <v>82.647058823529406</v>
      </c>
      <c r="X21" s="348">
        <f t="shared" si="7"/>
        <v>15</v>
      </c>
      <c r="Y21" s="488"/>
      <c r="Z21" s="348">
        <v>18</v>
      </c>
      <c r="AA21" s="348">
        <v>1441</v>
      </c>
      <c r="AB21" s="340">
        <f t="shared" si="8"/>
        <v>80.055555555555557</v>
      </c>
      <c r="AC21" s="348">
        <f t="shared" si="9"/>
        <v>15</v>
      </c>
      <c r="AD21" s="488"/>
      <c r="AE21" s="352">
        <v>17</v>
      </c>
      <c r="AF21" s="348">
        <v>1426</v>
      </c>
      <c r="AG21" s="340">
        <f t="shared" si="10"/>
        <v>83.882352941176464</v>
      </c>
      <c r="AH21" s="348">
        <f t="shared" si="11"/>
        <v>15</v>
      </c>
      <c r="AI21" s="488"/>
      <c r="AJ21" s="352">
        <v>17</v>
      </c>
      <c r="AK21" s="348">
        <v>1429</v>
      </c>
      <c r="AL21" s="340">
        <f t="shared" si="12"/>
        <v>84.058823529411768</v>
      </c>
      <c r="AM21" s="348">
        <f t="shared" si="13"/>
        <v>16</v>
      </c>
      <c r="AN21" s="488"/>
      <c r="AO21" s="352">
        <v>17</v>
      </c>
      <c r="AP21" s="348">
        <v>1381</v>
      </c>
      <c r="AQ21" s="340">
        <f t="shared" si="14"/>
        <v>81.235294117647058</v>
      </c>
      <c r="AR21" s="348">
        <f t="shared" si="15"/>
        <v>17</v>
      </c>
      <c r="AS21" s="488"/>
      <c r="AT21" s="348">
        <v>18</v>
      </c>
      <c r="AU21" s="348">
        <v>1408</v>
      </c>
      <c r="AV21" s="340">
        <f t="shared" si="16"/>
        <v>78.222222222222229</v>
      </c>
      <c r="AW21" s="348">
        <f t="shared" si="17"/>
        <v>15</v>
      </c>
      <c r="AX21" s="488"/>
    </row>
    <row r="22" spans="2:50" x14ac:dyDescent="0.2">
      <c r="B22" s="499"/>
      <c r="C22" s="348">
        <v>16</v>
      </c>
      <c r="D22" s="348" t="s">
        <v>170</v>
      </c>
      <c r="E22" s="349">
        <f>VLOOKUP(D22,'07產線配置圖'!$A$2:$C$25,2,0)</f>
        <v>17</v>
      </c>
      <c r="F22" s="349">
        <f>VLOOKUP(D22,'07產線配置圖'!$A$2:$C$25,3,0)</f>
        <v>1500</v>
      </c>
      <c r="G22" s="342">
        <f t="shared" ref="G22:G23" si="19">F22/E22</f>
        <v>88.235294117647058</v>
      </c>
      <c r="H22" s="488"/>
      <c r="I22" s="349">
        <f t="shared" si="1"/>
        <v>17</v>
      </c>
      <c r="J22" s="349">
        <f t="shared" si="2"/>
        <v>1500</v>
      </c>
      <c r="K22" s="342">
        <f t="shared" si="3"/>
        <v>88.235294117647058</v>
      </c>
      <c r="L22" s="488"/>
      <c r="M22" s="349">
        <f t="shared" si="4"/>
        <v>12</v>
      </c>
      <c r="N22" s="495"/>
      <c r="O22" s="495"/>
      <c r="P22" s="348">
        <v>17</v>
      </c>
      <c r="Q22" s="348">
        <v>1417</v>
      </c>
      <c r="R22" s="342">
        <v>83.352941176470594</v>
      </c>
      <c r="S22" s="348">
        <f t="shared" si="5"/>
        <v>16</v>
      </c>
      <c r="T22" s="488"/>
      <c r="U22" s="348">
        <v>17</v>
      </c>
      <c r="V22" s="348">
        <v>1440</v>
      </c>
      <c r="W22" s="340">
        <f t="shared" si="6"/>
        <v>84.705882352941174</v>
      </c>
      <c r="X22" s="348">
        <f t="shared" si="7"/>
        <v>14</v>
      </c>
      <c r="Y22" s="488"/>
      <c r="Z22" s="348">
        <v>17</v>
      </c>
      <c r="AA22" s="348">
        <v>1459</v>
      </c>
      <c r="AB22" s="340">
        <f t="shared" si="8"/>
        <v>85.82352941176471</v>
      </c>
      <c r="AC22" s="348">
        <f t="shared" si="9"/>
        <v>13</v>
      </c>
      <c r="AD22" s="488"/>
      <c r="AE22" s="348">
        <v>17</v>
      </c>
      <c r="AF22" s="348">
        <v>1541</v>
      </c>
      <c r="AG22" s="342">
        <f t="shared" si="10"/>
        <v>90.647058823529406</v>
      </c>
      <c r="AH22" s="348">
        <f t="shared" si="11"/>
        <v>11</v>
      </c>
      <c r="AI22" s="488"/>
      <c r="AJ22" s="348">
        <v>17</v>
      </c>
      <c r="AK22" s="348">
        <v>1575</v>
      </c>
      <c r="AL22" s="342">
        <f t="shared" si="12"/>
        <v>92.647058823529406</v>
      </c>
      <c r="AM22" s="348">
        <f t="shared" si="13"/>
        <v>11</v>
      </c>
      <c r="AN22" s="488"/>
      <c r="AO22" s="348">
        <v>17</v>
      </c>
      <c r="AP22" s="348">
        <v>1481</v>
      </c>
      <c r="AQ22" s="340">
        <f t="shared" si="14"/>
        <v>87.117647058823536</v>
      </c>
      <c r="AR22" s="348">
        <f t="shared" si="15"/>
        <v>12</v>
      </c>
      <c r="AS22" s="488"/>
      <c r="AT22" s="348">
        <v>17</v>
      </c>
      <c r="AU22" s="348">
        <v>1587</v>
      </c>
      <c r="AV22" s="342">
        <f t="shared" si="16"/>
        <v>93.352941176470594</v>
      </c>
      <c r="AW22" s="348">
        <f t="shared" si="17"/>
        <v>11</v>
      </c>
      <c r="AX22" s="488"/>
    </row>
    <row r="23" spans="2:50" x14ac:dyDescent="0.2">
      <c r="B23" s="499"/>
      <c r="C23" s="348">
        <v>17</v>
      </c>
      <c r="D23" s="348" t="s">
        <v>167</v>
      </c>
      <c r="E23" s="349">
        <f>VLOOKUP(D23,'07產線配置圖'!$A$2:$C$25,2,0)</f>
        <v>16</v>
      </c>
      <c r="F23" s="349">
        <f>VLOOKUP(D23,'07產線配置圖'!$A$2:$C$25,3,0)</f>
        <v>1500</v>
      </c>
      <c r="G23" s="342">
        <f t="shared" si="19"/>
        <v>93.75</v>
      </c>
      <c r="H23" s="488"/>
      <c r="I23" s="349">
        <f t="shared" si="1"/>
        <v>15.285714285714286</v>
      </c>
      <c r="J23" s="349">
        <f t="shared" si="2"/>
        <v>1255.1428571428571</v>
      </c>
      <c r="K23" s="342">
        <f t="shared" si="3"/>
        <v>82.112149532710276</v>
      </c>
      <c r="L23" s="488"/>
      <c r="M23" s="349">
        <f t="shared" si="4"/>
        <v>16</v>
      </c>
      <c r="N23" s="495"/>
      <c r="O23" s="495"/>
      <c r="P23" s="348">
        <v>15</v>
      </c>
      <c r="Q23" s="348">
        <v>1260</v>
      </c>
      <c r="R23" s="342">
        <v>84</v>
      </c>
      <c r="S23" s="348">
        <f t="shared" si="5"/>
        <v>15</v>
      </c>
      <c r="T23" s="488"/>
      <c r="U23" s="352">
        <v>15</v>
      </c>
      <c r="V23" s="348">
        <v>1185</v>
      </c>
      <c r="W23" s="340">
        <f t="shared" si="6"/>
        <v>79</v>
      </c>
      <c r="X23" s="348">
        <f t="shared" si="7"/>
        <v>17</v>
      </c>
      <c r="Y23" s="488"/>
      <c r="Z23" s="352">
        <v>15</v>
      </c>
      <c r="AA23" s="348">
        <v>1185</v>
      </c>
      <c r="AB23" s="340">
        <f t="shared" si="8"/>
        <v>79</v>
      </c>
      <c r="AC23" s="348">
        <f t="shared" si="9"/>
        <v>16</v>
      </c>
      <c r="AD23" s="488"/>
      <c r="AE23" s="348">
        <v>16</v>
      </c>
      <c r="AF23" s="348">
        <v>1390</v>
      </c>
      <c r="AG23" s="340">
        <f t="shared" si="10"/>
        <v>86.875</v>
      </c>
      <c r="AH23" s="348">
        <f t="shared" si="11"/>
        <v>12</v>
      </c>
      <c r="AI23" s="488"/>
      <c r="AJ23" s="352">
        <v>15</v>
      </c>
      <c r="AK23" s="348">
        <v>1316</v>
      </c>
      <c r="AL23" s="340">
        <f t="shared" si="12"/>
        <v>87.733333333333334</v>
      </c>
      <c r="AM23" s="348">
        <f t="shared" si="13"/>
        <v>14</v>
      </c>
      <c r="AN23" s="488"/>
      <c r="AO23" s="352">
        <v>15</v>
      </c>
      <c r="AP23" s="348">
        <v>1232</v>
      </c>
      <c r="AQ23" s="340">
        <f t="shared" si="14"/>
        <v>82.13333333333334</v>
      </c>
      <c r="AR23" s="348">
        <f t="shared" si="15"/>
        <v>16</v>
      </c>
      <c r="AS23" s="488"/>
      <c r="AT23" s="348">
        <v>16</v>
      </c>
      <c r="AU23" s="348">
        <v>1218</v>
      </c>
      <c r="AV23" s="340">
        <f t="shared" si="16"/>
        <v>76.125</v>
      </c>
      <c r="AW23" s="348">
        <f t="shared" si="17"/>
        <v>16</v>
      </c>
      <c r="AX23" s="488"/>
    </row>
    <row r="24" spans="2:50" x14ac:dyDescent="0.2">
      <c r="B24" s="499"/>
      <c r="C24" s="348">
        <v>18</v>
      </c>
      <c r="D24" s="348"/>
      <c r="E24" s="348"/>
      <c r="F24" s="348"/>
      <c r="G24" s="348"/>
      <c r="H24" s="488"/>
      <c r="I24" s="349"/>
      <c r="J24" s="349"/>
      <c r="K24" s="342"/>
      <c r="L24" s="489"/>
      <c r="M24" s="349"/>
      <c r="N24" s="496"/>
      <c r="O24" s="496"/>
      <c r="P24" s="348"/>
      <c r="Q24" s="348"/>
      <c r="R24" s="348"/>
      <c r="S24" s="348"/>
      <c r="T24" s="489"/>
      <c r="U24" s="348"/>
      <c r="V24" s="348"/>
      <c r="W24" s="342"/>
      <c r="X24" s="348"/>
      <c r="Y24" s="489"/>
      <c r="Z24" s="348"/>
      <c r="AA24" s="348"/>
      <c r="AB24" s="342"/>
      <c r="AC24" s="348"/>
      <c r="AD24" s="489"/>
      <c r="AE24" s="348"/>
      <c r="AF24" s="348"/>
      <c r="AG24" s="342"/>
      <c r="AH24" s="348"/>
      <c r="AI24" s="489"/>
      <c r="AJ24" s="348"/>
      <c r="AK24" s="348"/>
      <c r="AL24" s="342"/>
      <c r="AM24" s="348"/>
      <c r="AN24" s="489"/>
      <c r="AO24" s="348"/>
      <c r="AP24" s="348"/>
      <c r="AQ24" s="342"/>
      <c r="AR24" s="348"/>
      <c r="AS24" s="489"/>
      <c r="AT24" s="348"/>
      <c r="AU24" s="348"/>
      <c r="AV24" s="342"/>
      <c r="AW24" s="348"/>
      <c r="AX24" s="489"/>
    </row>
    <row r="25" spans="2:50" ht="15.75" x14ac:dyDescent="0.2">
      <c r="B25" s="503" t="s">
        <v>85</v>
      </c>
      <c r="C25" s="504"/>
      <c r="D25" s="504"/>
      <c r="E25" s="504"/>
      <c r="F25" s="504"/>
      <c r="G25" s="504"/>
      <c r="H25" s="504"/>
      <c r="I25" s="360"/>
      <c r="J25" s="360"/>
      <c r="K25" s="360"/>
      <c r="L25" s="360"/>
      <c r="M25" s="369"/>
      <c r="N25" s="494" t="s">
        <v>86</v>
      </c>
      <c r="O25" s="494" t="s">
        <v>45</v>
      </c>
      <c r="P25" s="485">
        <f>AT2+1</f>
        <v>46210</v>
      </c>
      <c r="Q25" s="486"/>
      <c r="R25" s="486"/>
      <c r="S25" s="486"/>
      <c r="T25" s="486"/>
      <c r="U25" s="485">
        <f>P25+1</f>
        <v>46211</v>
      </c>
      <c r="V25" s="486"/>
      <c r="W25" s="486"/>
      <c r="X25" s="486"/>
      <c r="Y25" s="486"/>
      <c r="Z25" s="485">
        <f>U25+1</f>
        <v>46212</v>
      </c>
      <c r="AA25" s="486"/>
      <c r="AB25" s="486"/>
      <c r="AC25" s="486"/>
      <c r="AD25" s="486"/>
      <c r="AE25" s="485">
        <f>Z25+1</f>
        <v>46213</v>
      </c>
      <c r="AF25" s="486"/>
      <c r="AG25" s="486"/>
      <c r="AH25" s="486"/>
      <c r="AI25" s="486"/>
      <c r="AJ25" s="485">
        <f>AE25+1</f>
        <v>46214</v>
      </c>
      <c r="AK25" s="486"/>
      <c r="AL25" s="486"/>
      <c r="AM25" s="486"/>
      <c r="AN25" s="486"/>
      <c r="AO25" s="485">
        <f>AJ25+1</f>
        <v>46215</v>
      </c>
      <c r="AP25" s="486"/>
      <c r="AQ25" s="486"/>
      <c r="AR25" s="486"/>
      <c r="AS25" s="486"/>
      <c r="AT25" s="485">
        <f>AO25+1</f>
        <v>46216</v>
      </c>
      <c r="AU25" s="486"/>
      <c r="AV25" s="486"/>
      <c r="AW25" s="486"/>
      <c r="AX25" s="486"/>
    </row>
    <row r="26" spans="2:50" ht="15.75" x14ac:dyDescent="0.2">
      <c r="B26" s="493"/>
      <c r="C26" s="493"/>
      <c r="D26" s="493"/>
      <c r="E26" s="493"/>
      <c r="F26" s="493"/>
      <c r="G26" s="493"/>
      <c r="H26" s="493"/>
      <c r="I26" s="363"/>
      <c r="J26" s="363"/>
      <c r="K26" s="363"/>
      <c r="L26" s="363"/>
      <c r="M26" s="364"/>
      <c r="N26" s="496"/>
      <c r="O26" s="496"/>
      <c r="P26" s="485" t="s">
        <v>61</v>
      </c>
      <c r="Q26" s="486"/>
      <c r="R26" s="486"/>
      <c r="S26" s="486"/>
      <c r="T26" s="486"/>
      <c r="U26" s="485" t="s">
        <v>56</v>
      </c>
      <c r="V26" s="486"/>
      <c r="W26" s="486"/>
      <c r="X26" s="486"/>
      <c r="Y26" s="486"/>
      <c r="Z26" s="485" t="s">
        <v>57</v>
      </c>
      <c r="AA26" s="486"/>
      <c r="AB26" s="486"/>
      <c r="AC26" s="486"/>
      <c r="AD26" s="486"/>
      <c r="AE26" s="485" t="s">
        <v>58</v>
      </c>
      <c r="AF26" s="486"/>
      <c r="AG26" s="486"/>
      <c r="AH26" s="486"/>
      <c r="AI26" s="486"/>
      <c r="AJ26" s="485" t="s">
        <v>59</v>
      </c>
      <c r="AK26" s="486"/>
      <c r="AL26" s="486"/>
      <c r="AM26" s="486"/>
      <c r="AN26" s="486"/>
      <c r="AO26" s="485" t="s">
        <v>52</v>
      </c>
      <c r="AP26" s="486"/>
      <c r="AQ26" s="486"/>
      <c r="AR26" s="486"/>
      <c r="AS26" s="486"/>
      <c r="AT26" s="485" t="s">
        <v>60</v>
      </c>
      <c r="AU26" s="486"/>
      <c r="AV26" s="486"/>
      <c r="AW26" s="486"/>
      <c r="AX26" s="486"/>
    </row>
    <row r="27" spans="2:50" x14ac:dyDescent="0.2">
      <c r="B27" s="490" t="s">
        <v>41</v>
      </c>
      <c r="C27" s="497" t="s">
        <v>87</v>
      </c>
      <c r="D27" s="490"/>
      <c r="E27" s="490" t="s">
        <v>88</v>
      </c>
      <c r="F27" s="490"/>
      <c r="G27" s="490"/>
      <c r="H27" s="500" t="s">
        <v>89</v>
      </c>
      <c r="I27" s="490" t="s">
        <v>90</v>
      </c>
      <c r="J27" s="490"/>
      <c r="K27" s="490"/>
      <c r="L27" s="500" t="s">
        <v>89</v>
      </c>
      <c r="M27" s="494" t="s">
        <v>91</v>
      </c>
      <c r="N27" s="490"/>
      <c r="O27" s="490" t="s">
        <v>92</v>
      </c>
      <c r="P27" s="482" t="s">
        <v>93</v>
      </c>
      <c r="Q27" s="483"/>
      <c r="R27" s="483"/>
      <c r="S27" s="484"/>
      <c r="T27" s="490" t="s">
        <v>89</v>
      </c>
      <c r="U27" s="482" t="s">
        <v>93</v>
      </c>
      <c r="V27" s="483"/>
      <c r="W27" s="483"/>
      <c r="X27" s="484"/>
      <c r="Y27" s="490" t="s">
        <v>89</v>
      </c>
      <c r="Z27" s="482" t="s">
        <v>93</v>
      </c>
      <c r="AA27" s="483"/>
      <c r="AB27" s="483"/>
      <c r="AC27" s="484"/>
      <c r="AD27" s="490" t="s">
        <v>89</v>
      </c>
      <c r="AE27" s="482" t="s">
        <v>93</v>
      </c>
      <c r="AF27" s="483"/>
      <c r="AG27" s="483"/>
      <c r="AH27" s="484"/>
      <c r="AI27" s="490" t="s">
        <v>89</v>
      </c>
      <c r="AJ27" s="482" t="s">
        <v>93</v>
      </c>
      <c r="AK27" s="483"/>
      <c r="AL27" s="483"/>
      <c r="AM27" s="484"/>
      <c r="AN27" s="490" t="s">
        <v>89</v>
      </c>
      <c r="AO27" s="482" t="s">
        <v>93</v>
      </c>
      <c r="AP27" s="483"/>
      <c r="AQ27" s="483"/>
      <c r="AR27" s="484"/>
      <c r="AS27" s="490" t="s">
        <v>89</v>
      </c>
      <c r="AT27" s="482" t="s">
        <v>93</v>
      </c>
      <c r="AU27" s="483"/>
      <c r="AV27" s="483"/>
      <c r="AW27" s="484"/>
      <c r="AX27" s="490" t="s">
        <v>89</v>
      </c>
    </row>
    <row r="28" spans="2:50" x14ac:dyDescent="0.2">
      <c r="B28" s="490"/>
      <c r="C28" s="490"/>
      <c r="D28" s="490"/>
      <c r="E28" s="490" t="s">
        <v>94</v>
      </c>
      <c r="F28" s="490"/>
      <c r="G28" s="490"/>
      <c r="H28" s="501"/>
      <c r="I28" s="490" t="s">
        <v>94</v>
      </c>
      <c r="J28" s="490"/>
      <c r="K28" s="490"/>
      <c r="L28" s="501"/>
      <c r="M28" s="495"/>
      <c r="N28" s="490"/>
      <c r="O28" s="490"/>
      <c r="P28" s="482" t="s">
        <v>95</v>
      </c>
      <c r="Q28" s="483"/>
      <c r="R28" s="483"/>
      <c r="S28" s="484"/>
      <c r="T28" s="490"/>
      <c r="U28" s="482" t="s">
        <v>95</v>
      </c>
      <c r="V28" s="483"/>
      <c r="W28" s="483"/>
      <c r="X28" s="484"/>
      <c r="Y28" s="490"/>
      <c r="Z28" s="482" t="s">
        <v>95</v>
      </c>
      <c r="AA28" s="483"/>
      <c r="AB28" s="483"/>
      <c r="AC28" s="484"/>
      <c r="AD28" s="490"/>
      <c r="AE28" s="482" t="s">
        <v>95</v>
      </c>
      <c r="AF28" s="483"/>
      <c r="AG28" s="483"/>
      <c r="AH28" s="484"/>
      <c r="AI28" s="490"/>
      <c r="AJ28" s="482" t="s">
        <v>95</v>
      </c>
      <c r="AK28" s="483"/>
      <c r="AL28" s="483"/>
      <c r="AM28" s="484"/>
      <c r="AN28" s="490"/>
      <c r="AO28" s="482" t="s">
        <v>95</v>
      </c>
      <c r="AP28" s="483"/>
      <c r="AQ28" s="483"/>
      <c r="AR28" s="484"/>
      <c r="AS28" s="490"/>
      <c r="AT28" s="482" t="s">
        <v>95</v>
      </c>
      <c r="AU28" s="483"/>
      <c r="AV28" s="483"/>
      <c r="AW28" s="484"/>
      <c r="AX28" s="490"/>
    </row>
    <row r="29" spans="2:50" x14ac:dyDescent="0.2">
      <c r="B29" s="490"/>
      <c r="C29" s="490"/>
      <c r="D29" s="490"/>
      <c r="E29" s="365" t="s">
        <v>96</v>
      </c>
      <c r="F29" s="365" t="s">
        <v>97</v>
      </c>
      <c r="G29" s="365" t="s">
        <v>98</v>
      </c>
      <c r="H29" s="502"/>
      <c r="I29" s="365" t="s">
        <v>96</v>
      </c>
      <c r="J29" s="365" t="s">
        <v>97</v>
      </c>
      <c r="K29" s="365" t="s">
        <v>98</v>
      </c>
      <c r="L29" s="502"/>
      <c r="M29" s="496"/>
      <c r="N29" s="490"/>
      <c r="O29" s="490"/>
      <c r="P29" s="365" t="s">
        <v>96</v>
      </c>
      <c r="Q29" s="365" t="s">
        <v>97</v>
      </c>
      <c r="R29" s="365" t="s">
        <v>98</v>
      </c>
      <c r="S29" s="365" t="s">
        <v>91</v>
      </c>
      <c r="T29" s="490"/>
      <c r="U29" s="365" t="s">
        <v>96</v>
      </c>
      <c r="V29" s="365" t="s">
        <v>97</v>
      </c>
      <c r="W29" s="365" t="s">
        <v>98</v>
      </c>
      <c r="X29" s="365" t="s">
        <v>91</v>
      </c>
      <c r="Y29" s="490"/>
      <c r="Z29" s="365" t="s">
        <v>96</v>
      </c>
      <c r="AA29" s="365" t="s">
        <v>97</v>
      </c>
      <c r="AB29" s="365" t="s">
        <v>98</v>
      </c>
      <c r="AC29" s="365" t="s">
        <v>91</v>
      </c>
      <c r="AD29" s="490"/>
      <c r="AE29" s="365" t="s">
        <v>96</v>
      </c>
      <c r="AF29" s="365" t="s">
        <v>97</v>
      </c>
      <c r="AG29" s="365" t="s">
        <v>98</v>
      </c>
      <c r="AH29" s="365" t="s">
        <v>91</v>
      </c>
      <c r="AI29" s="490"/>
      <c r="AJ29" s="365" t="s">
        <v>96</v>
      </c>
      <c r="AK29" s="365" t="s">
        <v>97</v>
      </c>
      <c r="AL29" s="365" t="s">
        <v>98</v>
      </c>
      <c r="AM29" s="365" t="s">
        <v>91</v>
      </c>
      <c r="AN29" s="490"/>
      <c r="AO29" s="365" t="s">
        <v>96</v>
      </c>
      <c r="AP29" s="365" t="s">
        <v>97</v>
      </c>
      <c r="AQ29" s="365" t="s">
        <v>98</v>
      </c>
      <c r="AR29" s="365" t="s">
        <v>91</v>
      </c>
      <c r="AS29" s="490"/>
      <c r="AT29" s="365" t="s">
        <v>96</v>
      </c>
      <c r="AU29" s="365" t="s">
        <v>97</v>
      </c>
      <c r="AV29" s="365" t="s">
        <v>98</v>
      </c>
      <c r="AW29" s="365" t="s">
        <v>91</v>
      </c>
      <c r="AX29" s="490"/>
    </row>
    <row r="30" spans="2:50" ht="13.5" x14ac:dyDescent="0.2">
      <c r="B30" s="486" t="s">
        <v>334</v>
      </c>
      <c r="C30" s="348">
        <v>1</v>
      </c>
      <c r="D30" s="367" t="s">
        <v>113</v>
      </c>
      <c r="E30" s="349">
        <f>VLOOKUP(D30,'07產線配置圖'!$A$2:$C$25,2,0)</f>
        <v>13</v>
      </c>
      <c r="F30" s="349">
        <f>VLOOKUP(D30,'07產線配置圖'!$A$2:$C$25,3,0)</f>
        <v>2250</v>
      </c>
      <c r="G30" s="342">
        <f t="shared" ref="G30:G38" si="20">F30/E30</f>
        <v>173.07692307692307</v>
      </c>
      <c r="H30" s="479">
        <f>AVERAGE(G30:G47)</f>
        <v>121.02256125206492</v>
      </c>
      <c r="I30" s="349">
        <f>AVERAGE(P30,U30,Z30,AE30,AJ30,AO30,AT30)</f>
        <v>12.714285714285714</v>
      </c>
      <c r="J30" s="349">
        <f>AVERAGE(Q30,V30,AA30,AF30,AK30,AP30,AU30)</f>
        <v>2070.4285714285716</v>
      </c>
      <c r="K30" s="342">
        <f t="shared" ref="K30:K45" si="21">J30/I30</f>
        <v>162.84269662921349</v>
      </c>
      <c r="L30" s="479">
        <f>IFERROR(AVERAGE(K30:K47),"-")</f>
        <v>110.74777777850994</v>
      </c>
      <c r="M30" s="370">
        <f>RANK(K30, K$30:$K$47)</f>
        <v>1</v>
      </c>
      <c r="N30" s="490"/>
      <c r="O30" s="490"/>
      <c r="P30" s="349">
        <v>13</v>
      </c>
      <c r="Q30" s="349">
        <v>2148</v>
      </c>
      <c r="R30" s="342">
        <f>Q30/P30</f>
        <v>165.23076923076923</v>
      </c>
      <c r="S30" s="348">
        <f>RANK(R30,$R$30:$R$47)</f>
        <v>1</v>
      </c>
      <c r="T30" s="505">
        <f>AVERAGE(R30:R47)</f>
        <v>111.19833358022696</v>
      </c>
      <c r="U30" s="349">
        <v>13</v>
      </c>
      <c r="V30" s="349">
        <v>1997</v>
      </c>
      <c r="W30" s="342">
        <f t="shared" ref="W30:W31" si="22">V30/U30</f>
        <v>153.61538461538461</v>
      </c>
      <c r="X30" s="348">
        <f t="shared" ref="X30:X31" si="23">RANK(W30, $W$30:$W$47)</f>
        <v>1</v>
      </c>
      <c r="Y30" s="505">
        <f>AVERAGE(W30:W47)</f>
        <v>110.06989609144939</v>
      </c>
      <c r="Z30" s="349">
        <v>13</v>
      </c>
      <c r="AA30" s="349">
        <v>2154</v>
      </c>
      <c r="AB30" s="342">
        <f t="shared" ref="AB30:AB31" si="24">AA30/Z30</f>
        <v>165.69230769230768</v>
      </c>
      <c r="AC30" s="348">
        <f t="shared" ref="AC30:AC31" si="25">RANK(AB30, $AB$30:$AB$47)</f>
        <v>1</v>
      </c>
      <c r="AD30" s="505">
        <f>AVERAGE(AB30:AB47)</f>
        <v>110.15652859701574</v>
      </c>
      <c r="AE30" s="349">
        <v>13</v>
      </c>
      <c r="AF30" s="349">
        <v>1948</v>
      </c>
      <c r="AG30" s="342">
        <f>AF30/AE30</f>
        <v>149.84615384615384</v>
      </c>
      <c r="AH30" s="348">
        <f>RANK(AG30, $AG$30:$AG$47)</f>
        <v>2</v>
      </c>
      <c r="AI30" s="505">
        <f>AVERAGE(AG30:AG47)</f>
        <v>108.39631292420816</v>
      </c>
      <c r="AJ30" s="349">
        <v>13</v>
      </c>
      <c r="AK30" s="349">
        <v>2060</v>
      </c>
      <c r="AL30" s="342">
        <f>AK30/AJ30</f>
        <v>158.46153846153845</v>
      </c>
      <c r="AM30" s="348">
        <f>RANK(AL30, $AL$30:$AL$47)</f>
        <v>1</v>
      </c>
      <c r="AN30" s="505">
        <f>AVERAGE(AL30:AL47)</f>
        <v>111.48999373787976</v>
      </c>
      <c r="AO30" s="426">
        <v>12</v>
      </c>
      <c r="AP30" s="349">
        <v>2127</v>
      </c>
      <c r="AQ30" s="342">
        <f>AP30/AO30</f>
        <v>177.25</v>
      </c>
      <c r="AR30" s="348">
        <f>RANK(AQ30,$AQ$30:$AQ$47)</f>
        <v>1</v>
      </c>
      <c r="AS30" s="505">
        <f>AVERAGE(AQ30:AQ47)</f>
        <v>111.46963191526611</v>
      </c>
      <c r="AT30" s="426">
        <v>12</v>
      </c>
      <c r="AU30" s="349">
        <v>2059</v>
      </c>
      <c r="AV30" s="342">
        <f>AU30/AT30</f>
        <v>171.58333333333334</v>
      </c>
      <c r="AW30" s="348">
        <f>RANK(AV30, $AV$30:$AV$47)</f>
        <v>1</v>
      </c>
      <c r="AX30" s="505">
        <f>AVERAGE(AV30:AV47)</f>
        <v>112.88036679415356</v>
      </c>
    </row>
    <row r="31" spans="2:50" x14ac:dyDescent="0.2">
      <c r="B31" s="486"/>
      <c r="C31" s="348">
        <v>2</v>
      </c>
      <c r="D31" s="348" t="s">
        <v>116</v>
      </c>
      <c r="E31" s="349">
        <f>VLOOKUP(D31,'07產線配置圖'!$A$2:$C$25,2,0)</f>
        <v>15</v>
      </c>
      <c r="F31" s="349">
        <f>VLOOKUP(D31,'07產線配置圖'!$A$2:$C$25,3,0)</f>
        <v>2250</v>
      </c>
      <c r="G31" s="342">
        <f t="shared" si="20"/>
        <v>150</v>
      </c>
      <c r="H31" s="480"/>
      <c r="I31" s="349">
        <f t="shared" ref="I31:J41" si="26">AVERAGE(P31,U31,Z31,AE31,AJ31,AO31,AT31)</f>
        <v>14.714285714285714</v>
      </c>
      <c r="J31" s="349">
        <f t="shared" si="26"/>
        <v>2120</v>
      </c>
      <c r="K31" s="342">
        <f t="shared" si="21"/>
        <v>144.07766990291262</v>
      </c>
      <c r="L31" s="480"/>
      <c r="M31" s="370">
        <f>RANK(K31, K$30:$K$47)</f>
        <v>4</v>
      </c>
      <c r="N31" s="490"/>
      <c r="O31" s="490"/>
      <c r="P31" s="349">
        <v>15</v>
      </c>
      <c r="Q31" s="349">
        <v>2131</v>
      </c>
      <c r="R31" s="342">
        <f t="shared" ref="R31:R38" si="27">Q31/P31</f>
        <v>142.06666666666666</v>
      </c>
      <c r="S31" s="348">
        <f t="shared" ref="S31:S44" si="28">RANK(R31,$R$30:$R$47)</f>
        <v>4</v>
      </c>
      <c r="T31" s="505"/>
      <c r="U31" s="349">
        <v>15</v>
      </c>
      <c r="V31" s="349">
        <v>2055</v>
      </c>
      <c r="W31" s="342">
        <f t="shared" si="22"/>
        <v>137</v>
      </c>
      <c r="X31" s="348">
        <f t="shared" si="23"/>
        <v>3</v>
      </c>
      <c r="Y31" s="505"/>
      <c r="Z31" s="349">
        <v>15</v>
      </c>
      <c r="AA31" s="349">
        <v>2148</v>
      </c>
      <c r="AB31" s="342">
        <f t="shared" si="24"/>
        <v>143.19999999999999</v>
      </c>
      <c r="AC31" s="348">
        <f t="shared" si="25"/>
        <v>4</v>
      </c>
      <c r="AD31" s="505"/>
      <c r="AE31" s="349">
        <v>15</v>
      </c>
      <c r="AF31" s="349">
        <v>2097</v>
      </c>
      <c r="AG31" s="342">
        <f t="shared" ref="AG31:AG45" si="29">AF31/AE31</f>
        <v>139.80000000000001</v>
      </c>
      <c r="AH31" s="348">
        <f t="shared" ref="AH31:AH45" si="30">RANK(AG31, $AG$30:$AG$47)</f>
        <v>4</v>
      </c>
      <c r="AI31" s="505"/>
      <c r="AJ31" s="349">
        <v>15</v>
      </c>
      <c r="AK31" s="349">
        <v>2150</v>
      </c>
      <c r="AL31" s="342">
        <f t="shared" ref="AL31:AL45" si="31">AK31/AJ31</f>
        <v>143.33333333333334</v>
      </c>
      <c r="AM31" s="348">
        <f t="shared" ref="AM31:AM45" si="32">RANK(AL31, $AL$30:$AL$47)</f>
        <v>3</v>
      </c>
      <c r="AN31" s="505"/>
      <c r="AO31" s="426">
        <v>14</v>
      </c>
      <c r="AP31" s="349">
        <v>2133</v>
      </c>
      <c r="AQ31" s="342">
        <f t="shared" ref="AQ31:AQ45" si="33">AP31/AO31</f>
        <v>152.35714285714286</v>
      </c>
      <c r="AR31" s="348">
        <f t="shared" ref="AR31:AR45" si="34">RANK(AQ31,$AQ$30:$AQ$47)</f>
        <v>2</v>
      </c>
      <c r="AS31" s="505"/>
      <c r="AT31" s="426">
        <v>14</v>
      </c>
      <c r="AU31" s="349">
        <v>2126</v>
      </c>
      <c r="AV31" s="342">
        <f t="shared" ref="AV31:AV45" si="35">AU31/AT31</f>
        <v>151.85714285714286</v>
      </c>
      <c r="AW31" s="348">
        <f t="shared" ref="AW31:AW45" si="36">RANK(AV31, $AV$30:$AV$47)</f>
        <v>4</v>
      </c>
      <c r="AX31" s="505"/>
    </row>
    <row r="32" spans="2:50" x14ac:dyDescent="0.2">
      <c r="B32" s="486"/>
      <c r="C32" s="348">
        <v>3</v>
      </c>
      <c r="D32" s="348" t="s">
        <v>115</v>
      </c>
      <c r="E32" s="349">
        <f>VLOOKUP(D32,'07產線配置圖'!$A$2:$C$25,2,0)</f>
        <v>15</v>
      </c>
      <c r="F32" s="349">
        <f>VLOOKUP(D32,'07產線配置圖'!$A$2:$C$25,3,0)</f>
        <v>2250</v>
      </c>
      <c r="G32" s="342">
        <f t="shared" si="20"/>
        <v>150</v>
      </c>
      <c r="H32" s="480"/>
      <c r="I32" s="349">
        <f t="shared" si="26"/>
        <v>14.714285714285714</v>
      </c>
      <c r="J32" s="349">
        <f t="shared" si="26"/>
        <v>2130.5714285714284</v>
      </c>
      <c r="K32" s="342">
        <f t="shared" si="21"/>
        <v>144.79611650485435</v>
      </c>
      <c r="L32" s="480"/>
      <c r="M32" s="370">
        <f>RANK(K32, K$30:$K$47)</f>
        <v>3</v>
      </c>
      <c r="N32" s="490"/>
      <c r="O32" s="490"/>
      <c r="P32" s="349">
        <v>15</v>
      </c>
      <c r="Q32" s="349">
        <v>2130</v>
      </c>
      <c r="R32" s="342">
        <f t="shared" si="27"/>
        <v>142</v>
      </c>
      <c r="S32" s="348">
        <f t="shared" si="28"/>
        <v>5</v>
      </c>
      <c r="T32" s="505"/>
      <c r="U32" s="349">
        <v>15</v>
      </c>
      <c r="V32" s="349">
        <v>2068</v>
      </c>
      <c r="W32" s="342">
        <f t="shared" ref="W32:W34" si="37">V32/U32</f>
        <v>137.86666666666667</v>
      </c>
      <c r="X32" s="348">
        <f t="shared" ref="X32:X34" si="38">RANK(W32, $W$30:$W$47)</f>
        <v>2</v>
      </c>
      <c r="Y32" s="505"/>
      <c r="Z32" s="349">
        <v>15</v>
      </c>
      <c r="AA32" s="349">
        <v>2171</v>
      </c>
      <c r="AB32" s="342">
        <f t="shared" ref="AB32:AB34" si="39">AA32/Z32</f>
        <v>144.73333333333332</v>
      </c>
      <c r="AC32" s="348">
        <f t="shared" ref="AC32:AC34" si="40">RANK(AB32, $AB$30:$AB$47)</f>
        <v>3</v>
      </c>
      <c r="AD32" s="505"/>
      <c r="AE32" s="349">
        <v>15</v>
      </c>
      <c r="AF32" s="349">
        <v>2142</v>
      </c>
      <c r="AG32" s="342">
        <f t="shared" si="29"/>
        <v>142.80000000000001</v>
      </c>
      <c r="AH32" s="348">
        <f t="shared" si="30"/>
        <v>3</v>
      </c>
      <c r="AI32" s="505"/>
      <c r="AJ32" s="349">
        <v>15</v>
      </c>
      <c r="AK32" s="349">
        <v>2209</v>
      </c>
      <c r="AL32" s="342">
        <f t="shared" si="31"/>
        <v>147.26666666666668</v>
      </c>
      <c r="AM32" s="348">
        <f t="shared" si="32"/>
        <v>2</v>
      </c>
      <c r="AN32" s="505"/>
      <c r="AO32" s="426">
        <v>14</v>
      </c>
      <c r="AP32" s="349">
        <v>2062</v>
      </c>
      <c r="AQ32" s="342">
        <f t="shared" si="33"/>
        <v>147.28571428571428</v>
      </c>
      <c r="AR32" s="348">
        <f t="shared" si="34"/>
        <v>3</v>
      </c>
      <c r="AS32" s="505"/>
      <c r="AT32" s="426">
        <v>14</v>
      </c>
      <c r="AU32" s="349">
        <v>2132</v>
      </c>
      <c r="AV32" s="342">
        <f t="shared" si="35"/>
        <v>152.28571428571428</v>
      </c>
      <c r="AW32" s="348">
        <f t="shared" si="36"/>
        <v>3</v>
      </c>
      <c r="AX32" s="505"/>
    </row>
    <row r="33" spans="2:50" x14ac:dyDescent="0.2">
      <c r="B33" s="486"/>
      <c r="C33" s="348">
        <v>4</v>
      </c>
      <c r="D33" s="348" t="s">
        <v>165</v>
      </c>
      <c r="E33" s="349">
        <f>VLOOKUP(D33,'07產線配置圖'!$A$2:$C$25,2,0)</f>
        <v>16</v>
      </c>
      <c r="F33" s="349">
        <f>VLOOKUP(D33,'07產線配置圖'!$A$2:$C$25,3,0)</f>
        <v>1800</v>
      </c>
      <c r="G33" s="342">
        <f t="shared" si="20"/>
        <v>112.5</v>
      </c>
      <c r="H33" s="480"/>
      <c r="I33" s="349">
        <f t="shared" si="26"/>
        <v>16</v>
      </c>
      <c r="J33" s="349">
        <f t="shared" si="26"/>
        <v>1590.5714285714287</v>
      </c>
      <c r="K33" s="342">
        <f t="shared" si="21"/>
        <v>99.410714285714292</v>
      </c>
      <c r="L33" s="480"/>
      <c r="M33" s="370">
        <f>RANK(K33, K$30:$K$47)</f>
        <v>8</v>
      </c>
      <c r="N33" s="490"/>
      <c r="O33" s="490"/>
      <c r="P33" s="349">
        <v>16</v>
      </c>
      <c r="Q33" s="349">
        <v>1635</v>
      </c>
      <c r="R33" s="342">
        <f t="shared" si="27"/>
        <v>102.1875</v>
      </c>
      <c r="S33" s="348">
        <f t="shared" si="28"/>
        <v>8</v>
      </c>
      <c r="T33" s="505"/>
      <c r="U33" s="349">
        <v>16</v>
      </c>
      <c r="V33" s="349">
        <v>1582</v>
      </c>
      <c r="W33" s="342">
        <f t="shared" si="37"/>
        <v>98.875</v>
      </c>
      <c r="X33" s="348">
        <f t="shared" si="38"/>
        <v>9</v>
      </c>
      <c r="Y33" s="505"/>
      <c r="Z33" s="349">
        <v>16</v>
      </c>
      <c r="AA33" s="349">
        <v>1562</v>
      </c>
      <c r="AB33" s="342">
        <f t="shared" si="39"/>
        <v>97.625</v>
      </c>
      <c r="AC33" s="348">
        <f t="shared" si="40"/>
        <v>9</v>
      </c>
      <c r="AD33" s="505"/>
      <c r="AE33" s="349">
        <v>16</v>
      </c>
      <c r="AF33" s="349">
        <v>1616</v>
      </c>
      <c r="AG33" s="342">
        <f t="shared" si="29"/>
        <v>101</v>
      </c>
      <c r="AH33" s="348">
        <f t="shared" si="30"/>
        <v>8</v>
      </c>
      <c r="AI33" s="505"/>
      <c r="AJ33" s="349">
        <v>16</v>
      </c>
      <c r="AK33" s="349">
        <v>1552</v>
      </c>
      <c r="AL33" s="342">
        <f t="shared" si="31"/>
        <v>97</v>
      </c>
      <c r="AM33" s="348">
        <f t="shared" si="32"/>
        <v>9</v>
      </c>
      <c r="AN33" s="505"/>
      <c r="AO33" s="349">
        <v>16</v>
      </c>
      <c r="AP33" s="349">
        <v>1658</v>
      </c>
      <c r="AQ33" s="342">
        <f t="shared" si="33"/>
        <v>103.625</v>
      </c>
      <c r="AR33" s="348">
        <f t="shared" si="34"/>
        <v>7</v>
      </c>
      <c r="AS33" s="505"/>
      <c r="AT33" s="349">
        <v>16</v>
      </c>
      <c r="AU33" s="349">
        <v>1529</v>
      </c>
      <c r="AV33" s="342">
        <f t="shared" si="35"/>
        <v>95.5625</v>
      </c>
      <c r="AW33" s="348">
        <f t="shared" si="36"/>
        <v>9</v>
      </c>
      <c r="AX33" s="505"/>
    </row>
    <row r="34" spans="2:50" x14ac:dyDescent="0.2">
      <c r="B34" s="486"/>
      <c r="C34" s="348">
        <v>5</v>
      </c>
      <c r="D34" s="368" t="s">
        <v>114</v>
      </c>
      <c r="E34" s="349">
        <f>VLOOKUP(D34,'07產線配置圖'!$A$2:$C$25,2,0)</f>
        <v>14</v>
      </c>
      <c r="F34" s="349">
        <f>VLOOKUP(D34,'07產線配置圖'!$A$2:$C$25,3,0)</f>
        <v>2250</v>
      </c>
      <c r="G34" s="342">
        <f t="shared" si="20"/>
        <v>160.71428571428572</v>
      </c>
      <c r="H34" s="480"/>
      <c r="I34" s="349">
        <f t="shared" si="26"/>
        <v>13.857142857142858</v>
      </c>
      <c r="J34" s="349">
        <f t="shared" si="26"/>
        <v>2069.1428571428573</v>
      </c>
      <c r="K34" s="342">
        <f t="shared" si="21"/>
        <v>149.31958762886597</v>
      </c>
      <c r="L34" s="480"/>
      <c r="M34" s="370">
        <f>RANK(K34, K$30:$K$47)</f>
        <v>2</v>
      </c>
      <c r="N34" s="490"/>
      <c r="O34" s="490"/>
      <c r="P34" s="349">
        <v>14</v>
      </c>
      <c r="Q34" s="349">
        <v>2151</v>
      </c>
      <c r="R34" s="342">
        <f t="shared" si="27"/>
        <v>153.64285714285714</v>
      </c>
      <c r="S34" s="348">
        <f t="shared" si="28"/>
        <v>2</v>
      </c>
      <c r="T34" s="505"/>
      <c r="U34" s="349">
        <v>14</v>
      </c>
      <c r="V34" s="349">
        <v>1901</v>
      </c>
      <c r="W34" s="342">
        <f t="shared" si="37"/>
        <v>135.78571428571428</v>
      </c>
      <c r="X34" s="348">
        <f t="shared" si="38"/>
        <v>4</v>
      </c>
      <c r="Y34" s="505"/>
      <c r="Z34" s="349">
        <v>14</v>
      </c>
      <c r="AA34" s="349">
        <v>2169</v>
      </c>
      <c r="AB34" s="342">
        <f t="shared" si="39"/>
        <v>154.92857142857142</v>
      </c>
      <c r="AC34" s="348">
        <f t="shared" si="40"/>
        <v>2</v>
      </c>
      <c r="AD34" s="505"/>
      <c r="AE34" s="349">
        <v>14</v>
      </c>
      <c r="AF34" s="349">
        <v>2135</v>
      </c>
      <c r="AG34" s="342">
        <f t="shared" si="29"/>
        <v>152.5</v>
      </c>
      <c r="AH34" s="348">
        <f t="shared" si="30"/>
        <v>1</v>
      </c>
      <c r="AI34" s="505"/>
      <c r="AJ34" s="349">
        <v>14</v>
      </c>
      <c r="AK34" s="349">
        <v>2006</v>
      </c>
      <c r="AL34" s="342">
        <f t="shared" si="31"/>
        <v>143.28571428571428</v>
      </c>
      <c r="AM34" s="348">
        <f t="shared" si="32"/>
        <v>4</v>
      </c>
      <c r="AN34" s="505"/>
      <c r="AO34" s="349">
        <v>14</v>
      </c>
      <c r="AP34" s="349">
        <v>1978</v>
      </c>
      <c r="AQ34" s="342">
        <f t="shared" si="33"/>
        <v>141.28571428571428</v>
      </c>
      <c r="AR34" s="348">
        <f t="shared" si="34"/>
        <v>6</v>
      </c>
      <c r="AS34" s="505"/>
      <c r="AT34" s="426">
        <v>13</v>
      </c>
      <c r="AU34" s="349">
        <v>2144</v>
      </c>
      <c r="AV34" s="342">
        <f t="shared" si="35"/>
        <v>164.92307692307693</v>
      </c>
      <c r="AW34" s="348">
        <f t="shared" si="36"/>
        <v>2</v>
      </c>
      <c r="AX34" s="505"/>
    </row>
    <row r="35" spans="2:50" ht="14.25" customHeight="1" x14ac:dyDescent="0.2">
      <c r="B35" s="486"/>
      <c r="C35" s="348">
        <v>6</v>
      </c>
      <c r="D35" s="348" t="s">
        <v>158</v>
      </c>
      <c r="E35" s="349">
        <f>VLOOKUP(D35,'07產線配置圖'!$A$2:$C$25,2,0)</f>
        <v>15</v>
      </c>
      <c r="F35" s="349">
        <f>VLOOKUP(D35,'07產線配置圖'!$A$2:$C$25,3,0)</f>
        <v>1714</v>
      </c>
      <c r="G35" s="342">
        <f t="shared" si="20"/>
        <v>114.26666666666667</v>
      </c>
      <c r="H35" s="480"/>
      <c r="I35" s="349">
        <f t="shared" si="26"/>
        <v>15.142857142857142</v>
      </c>
      <c r="J35" s="349">
        <f t="shared" si="26"/>
        <v>1564.8571428571429</v>
      </c>
      <c r="K35" s="342">
        <f t="shared" si="21"/>
        <v>103.33962264150944</v>
      </c>
      <c r="L35" s="480"/>
      <c r="M35" s="370">
        <f>RANK(K35, K$30:$K$47)</f>
        <v>7</v>
      </c>
      <c r="N35" s="490"/>
      <c r="O35" s="490"/>
      <c r="P35" s="349">
        <v>15</v>
      </c>
      <c r="Q35" s="349">
        <v>1630</v>
      </c>
      <c r="R35" s="342">
        <f t="shared" si="27"/>
        <v>108.66666666666667</v>
      </c>
      <c r="S35" s="348">
        <f t="shared" si="28"/>
        <v>7</v>
      </c>
      <c r="T35" s="505"/>
      <c r="U35" s="349">
        <v>15</v>
      </c>
      <c r="V35" s="349">
        <v>1602</v>
      </c>
      <c r="W35" s="342">
        <f t="shared" ref="W35:W45" si="41">V35/U35</f>
        <v>106.8</v>
      </c>
      <c r="X35" s="348">
        <f t="shared" ref="X35:X45" si="42">RANK(W35, $W$30:$W$47)</f>
        <v>8</v>
      </c>
      <c r="Y35" s="505"/>
      <c r="Z35" s="349">
        <v>15</v>
      </c>
      <c r="AA35" s="349">
        <v>1580</v>
      </c>
      <c r="AB35" s="342">
        <f t="shared" ref="AB35:AB45" si="43">AA35/Z35</f>
        <v>105.33333333333333</v>
      </c>
      <c r="AC35" s="348">
        <f t="shared" ref="AC35:AC45" si="44">RANK(AB35, $AB$30:$AB$47)</f>
        <v>7</v>
      </c>
      <c r="AD35" s="505"/>
      <c r="AE35" s="349">
        <v>15</v>
      </c>
      <c r="AF35" s="349">
        <v>1523</v>
      </c>
      <c r="AG35" s="342">
        <f t="shared" si="29"/>
        <v>101.53333333333333</v>
      </c>
      <c r="AH35" s="348">
        <f t="shared" si="30"/>
        <v>7</v>
      </c>
      <c r="AI35" s="505"/>
      <c r="AJ35" s="349">
        <v>15</v>
      </c>
      <c r="AK35" s="349">
        <v>1620</v>
      </c>
      <c r="AL35" s="342">
        <f t="shared" si="31"/>
        <v>108</v>
      </c>
      <c r="AM35" s="348">
        <f t="shared" si="32"/>
        <v>7</v>
      </c>
      <c r="AN35" s="505"/>
      <c r="AO35" s="349">
        <v>15</v>
      </c>
      <c r="AP35" s="349">
        <v>1509</v>
      </c>
      <c r="AQ35" s="342">
        <f t="shared" si="33"/>
        <v>100.6</v>
      </c>
      <c r="AR35" s="348">
        <f t="shared" si="34"/>
        <v>8</v>
      </c>
      <c r="AS35" s="505"/>
      <c r="AT35" s="341">
        <v>16</v>
      </c>
      <c r="AU35" s="349">
        <v>1490</v>
      </c>
      <c r="AV35" s="342">
        <f t="shared" si="35"/>
        <v>93.125</v>
      </c>
      <c r="AW35" s="348">
        <f t="shared" si="36"/>
        <v>10</v>
      </c>
      <c r="AX35" s="505"/>
    </row>
    <row r="36" spans="2:50" x14ac:dyDescent="0.2">
      <c r="B36" s="486"/>
      <c r="C36" s="348">
        <v>7</v>
      </c>
      <c r="D36" s="348" t="s">
        <v>223</v>
      </c>
      <c r="E36" s="349">
        <f>VLOOKUP(D36,'07產線配置圖'!$A$2:$C$25,2,0)</f>
        <v>17</v>
      </c>
      <c r="F36" s="349">
        <f>VLOOKUP(D36,'07產線配置圖'!$A$2:$C$25,3,0)</f>
        <v>1800</v>
      </c>
      <c r="G36" s="342">
        <f t="shared" si="20"/>
        <v>105.88235294117646</v>
      </c>
      <c r="H36" s="480"/>
      <c r="I36" s="349">
        <f t="shared" si="26"/>
        <v>17</v>
      </c>
      <c r="J36" s="349">
        <f t="shared" si="26"/>
        <v>1621.5714285714287</v>
      </c>
      <c r="K36" s="342">
        <f t="shared" si="21"/>
        <v>95.386554621848745</v>
      </c>
      <c r="L36" s="480"/>
      <c r="M36" s="370">
        <f>RANK(K36, K$30:$K$47)</f>
        <v>9</v>
      </c>
      <c r="N36" s="490"/>
      <c r="O36" s="490"/>
      <c r="P36" s="349">
        <v>17</v>
      </c>
      <c r="Q36" s="349">
        <v>1637</v>
      </c>
      <c r="R36" s="342">
        <f t="shared" si="27"/>
        <v>96.294117647058826</v>
      </c>
      <c r="S36" s="348">
        <f t="shared" si="28"/>
        <v>9</v>
      </c>
      <c r="T36" s="505"/>
      <c r="U36" s="349">
        <v>17</v>
      </c>
      <c r="V36" s="349">
        <v>1680</v>
      </c>
      <c r="W36" s="342">
        <f t="shared" si="41"/>
        <v>98.82352941176471</v>
      </c>
      <c r="X36" s="348">
        <f t="shared" si="42"/>
        <v>10</v>
      </c>
      <c r="Y36" s="505"/>
      <c r="Z36" s="349">
        <v>17</v>
      </c>
      <c r="AA36" s="349">
        <v>1633</v>
      </c>
      <c r="AB36" s="342">
        <f t="shared" si="43"/>
        <v>96.058823529411768</v>
      </c>
      <c r="AC36" s="348">
        <f t="shared" si="44"/>
        <v>10</v>
      </c>
      <c r="AD36" s="505"/>
      <c r="AE36" s="349">
        <v>17</v>
      </c>
      <c r="AF36" s="349">
        <v>1428</v>
      </c>
      <c r="AG36" s="340">
        <f t="shared" si="29"/>
        <v>84</v>
      </c>
      <c r="AH36" s="348">
        <f t="shared" si="30"/>
        <v>13</v>
      </c>
      <c r="AI36" s="505"/>
      <c r="AJ36" s="349">
        <v>17</v>
      </c>
      <c r="AK36" s="349">
        <v>1766</v>
      </c>
      <c r="AL36" s="342">
        <f t="shared" si="31"/>
        <v>103.88235294117646</v>
      </c>
      <c r="AM36" s="348">
        <f t="shared" si="32"/>
        <v>8</v>
      </c>
      <c r="AN36" s="505"/>
      <c r="AO36" s="349">
        <v>17</v>
      </c>
      <c r="AP36" s="349">
        <v>1563</v>
      </c>
      <c r="AQ36" s="342">
        <f t="shared" si="33"/>
        <v>91.941176470588232</v>
      </c>
      <c r="AR36" s="348">
        <f t="shared" si="34"/>
        <v>9</v>
      </c>
      <c r="AS36" s="505"/>
      <c r="AT36" s="349">
        <v>17</v>
      </c>
      <c r="AU36" s="349">
        <v>1644</v>
      </c>
      <c r="AV36" s="342">
        <f t="shared" si="35"/>
        <v>96.705882352941174</v>
      </c>
      <c r="AW36" s="348">
        <f t="shared" si="36"/>
        <v>7</v>
      </c>
      <c r="AX36" s="505"/>
    </row>
    <row r="37" spans="2:50" x14ac:dyDescent="0.2">
      <c r="B37" s="486"/>
      <c r="C37" s="348">
        <v>8</v>
      </c>
      <c r="D37" s="348" t="s">
        <v>121</v>
      </c>
      <c r="E37" s="349">
        <f>VLOOKUP(D37,'07產線配置圖'!$A$2:$C$25,2,0)</f>
        <v>18</v>
      </c>
      <c r="F37" s="349">
        <f>VLOOKUP(D37,'07產線配置圖'!$A$2:$C$25,3,0)</f>
        <v>1636</v>
      </c>
      <c r="G37" s="342">
        <f t="shared" si="20"/>
        <v>90.888888888888886</v>
      </c>
      <c r="H37" s="480"/>
      <c r="I37" s="349">
        <f t="shared" si="26"/>
        <v>17.285714285714285</v>
      </c>
      <c r="J37" s="349">
        <f t="shared" si="26"/>
        <v>1431</v>
      </c>
      <c r="K37" s="342">
        <f t="shared" si="21"/>
        <v>82.785123966942152</v>
      </c>
      <c r="L37" s="480"/>
      <c r="M37" s="370">
        <f>RANK(K37, K$30:$K$47)</f>
        <v>15</v>
      </c>
      <c r="N37" s="490"/>
      <c r="O37" s="490"/>
      <c r="P37" s="352">
        <v>18</v>
      </c>
      <c r="Q37" s="349">
        <v>1353</v>
      </c>
      <c r="R37" s="340">
        <f t="shared" si="27"/>
        <v>75.166666666666671</v>
      </c>
      <c r="S37" s="348">
        <f t="shared" si="28"/>
        <v>15</v>
      </c>
      <c r="T37" s="505"/>
      <c r="U37" s="348">
        <v>18</v>
      </c>
      <c r="V37" s="349">
        <v>1526</v>
      </c>
      <c r="W37" s="340">
        <f t="shared" si="41"/>
        <v>84.777777777777771</v>
      </c>
      <c r="X37" s="348">
        <f t="shared" si="42"/>
        <v>16</v>
      </c>
      <c r="Y37" s="505"/>
      <c r="Z37" s="352">
        <v>17</v>
      </c>
      <c r="AA37" s="349">
        <v>1404</v>
      </c>
      <c r="AB37" s="340">
        <f t="shared" si="43"/>
        <v>82.588235294117652</v>
      </c>
      <c r="AC37" s="348">
        <f t="shared" si="44"/>
        <v>15</v>
      </c>
      <c r="AD37" s="505"/>
      <c r="AE37" s="348">
        <v>17</v>
      </c>
      <c r="AF37" s="349">
        <v>1341</v>
      </c>
      <c r="AG37" s="340">
        <f t="shared" si="29"/>
        <v>78.882352941176464</v>
      </c>
      <c r="AH37" s="348">
        <f t="shared" si="30"/>
        <v>15</v>
      </c>
      <c r="AI37" s="505"/>
      <c r="AJ37" s="352">
        <v>16</v>
      </c>
      <c r="AK37" s="349">
        <v>1370</v>
      </c>
      <c r="AL37" s="342">
        <f t="shared" si="31"/>
        <v>85.625</v>
      </c>
      <c r="AM37" s="348">
        <f t="shared" si="32"/>
        <v>14</v>
      </c>
      <c r="AN37" s="505"/>
      <c r="AO37" s="348">
        <v>18</v>
      </c>
      <c r="AP37" s="349">
        <v>1547</v>
      </c>
      <c r="AQ37" s="340">
        <f t="shared" si="33"/>
        <v>85.944444444444443</v>
      </c>
      <c r="AR37" s="348">
        <f t="shared" si="34"/>
        <v>12</v>
      </c>
      <c r="AS37" s="505"/>
      <c r="AT37" s="352">
        <v>17</v>
      </c>
      <c r="AU37" s="349">
        <v>1476</v>
      </c>
      <c r="AV37" s="340">
        <f t="shared" si="35"/>
        <v>86.82352941176471</v>
      </c>
      <c r="AW37" s="348">
        <f t="shared" si="36"/>
        <v>12</v>
      </c>
      <c r="AX37" s="505"/>
    </row>
    <row r="38" spans="2:50" x14ac:dyDescent="0.2">
      <c r="B38" s="486"/>
      <c r="C38" s="348">
        <v>9</v>
      </c>
      <c r="D38" s="348" t="s">
        <v>119</v>
      </c>
      <c r="E38" s="349">
        <f>VLOOKUP(D38,'07產線配置圖'!$A$2:$C$25,2,0)</f>
        <v>17</v>
      </c>
      <c r="F38" s="349">
        <f>VLOOKUP(D38,'07產線配置圖'!$A$2:$C$25,3,0)</f>
        <v>2250</v>
      </c>
      <c r="G38" s="342">
        <f t="shared" si="20"/>
        <v>132.35294117647058</v>
      </c>
      <c r="H38" s="480"/>
      <c r="I38" s="349">
        <f t="shared" si="26"/>
        <v>14.285714285714286</v>
      </c>
      <c r="J38" s="349">
        <f t="shared" si="26"/>
        <v>1126.4285714285713</v>
      </c>
      <c r="K38" s="342">
        <f t="shared" si="21"/>
        <v>78.849999999999994</v>
      </c>
      <c r="L38" s="480"/>
      <c r="M38" s="370">
        <f>RANK(K38, K$30:$K$47)</f>
        <v>16</v>
      </c>
      <c r="N38" s="490"/>
      <c r="O38" s="490"/>
      <c r="P38" s="352">
        <v>13</v>
      </c>
      <c r="Q38" s="349">
        <v>935</v>
      </c>
      <c r="R38" s="340">
        <f t="shared" si="27"/>
        <v>71.92307692307692</v>
      </c>
      <c r="S38" s="348">
        <f t="shared" si="28"/>
        <v>16</v>
      </c>
      <c r="T38" s="505"/>
      <c r="U38" s="352">
        <v>16</v>
      </c>
      <c r="V38" s="349">
        <v>1754</v>
      </c>
      <c r="W38" s="342">
        <f t="shared" si="41"/>
        <v>109.625</v>
      </c>
      <c r="X38" s="348">
        <f t="shared" si="42"/>
        <v>7</v>
      </c>
      <c r="Y38" s="505"/>
      <c r="Z38" s="352">
        <v>15</v>
      </c>
      <c r="AA38" s="349">
        <v>926</v>
      </c>
      <c r="AB38" s="340">
        <f t="shared" si="43"/>
        <v>61.733333333333334</v>
      </c>
      <c r="AC38" s="348">
        <f t="shared" si="44"/>
        <v>16</v>
      </c>
      <c r="AD38" s="505"/>
      <c r="AE38" s="348">
        <v>15</v>
      </c>
      <c r="AF38" s="349">
        <v>1131</v>
      </c>
      <c r="AG38" s="340">
        <f t="shared" si="29"/>
        <v>75.400000000000006</v>
      </c>
      <c r="AH38" s="348">
        <f t="shared" si="30"/>
        <v>16</v>
      </c>
      <c r="AI38" s="505"/>
      <c r="AJ38" s="348">
        <v>9</v>
      </c>
      <c r="AK38" s="349">
        <v>735</v>
      </c>
      <c r="AL38" s="342">
        <f t="shared" si="31"/>
        <v>81.666666666666671</v>
      </c>
      <c r="AM38" s="348">
        <f t="shared" si="32"/>
        <v>15</v>
      </c>
      <c r="AN38" s="505"/>
      <c r="AO38" s="352">
        <v>16</v>
      </c>
      <c r="AP38" s="349">
        <v>1127</v>
      </c>
      <c r="AQ38" s="340">
        <f t="shared" si="33"/>
        <v>70.4375</v>
      </c>
      <c r="AR38" s="348">
        <f t="shared" si="34"/>
        <v>16</v>
      </c>
      <c r="AS38" s="505"/>
      <c r="AT38" s="348">
        <v>16</v>
      </c>
      <c r="AU38" s="349">
        <v>1277</v>
      </c>
      <c r="AV38" s="340">
        <f t="shared" si="35"/>
        <v>79.8125</v>
      </c>
      <c r="AW38" s="348">
        <f t="shared" si="36"/>
        <v>15</v>
      </c>
      <c r="AX38" s="505"/>
    </row>
    <row r="39" spans="2:50" x14ac:dyDescent="0.2">
      <c r="B39" s="486"/>
      <c r="C39" s="348">
        <v>10</v>
      </c>
      <c r="D39" s="348" t="s">
        <v>117</v>
      </c>
      <c r="E39" s="349">
        <f>VLOOKUP(D39,'07產線配置圖'!$A$2:$C$25,2,0)</f>
        <v>15</v>
      </c>
      <c r="F39" s="349">
        <f>VLOOKUP(D39,'07產線配置圖'!$A$2:$C$25,3,0)</f>
        <v>2250</v>
      </c>
      <c r="G39" s="342">
        <f t="shared" ref="G39:G41" si="45">F39/E39</f>
        <v>150</v>
      </c>
      <c r="H39" s="480"/>
      <c r="I39" s="349">
        <f t="shared" si="26"/>
        <v>14.714285714285714</v>
      </c>
      <c r="J39" s="349">
        <f t="shared" si="26"/>
        <v>2056.7142857142858</v>
      </c>
      <c r="K39" s="342">
        <f t="shared" si="21"/>
        <v>139.77669902912623</v>
      </c>
      <c r="L39" s="480"/>
      <c r="M39" s="370">
        <f>RANK(K39, K$30:$K$47)</f>
        <v>5</v>
      </c>
      <c r="N39" s="490"/>
      <c r="O39" s="490"/>
      <c r="P39" s="348">
        <v>15</v>
      </c>
      <c r="Q39" s="348">
        <v>2174</v>
      </c>
      <c r="R39" s="342">
        <f t="shared" ref="R39:R45" si="46">Q39/P39</f>
        <v>144.93333333333334</v>
      </c>
      <c r="S39" s="348">
        <f t="shared" si="28"/>
        <v>3</v>
      </c>
      <c r="T39" s="505"/>
      <c r="U39" s="348">
        <v>15</v>
      </c>
      <c r="V39" s="349">
        <v>1919</v>
      </c>
      <c r="W39" s="342">
        <f t="shared" si="41"/>
        <v>127.93333333333334</v>
      </c>
      <c r="X39" s="348">
        <f t="shared" si="42"/>
        <v>6</v>
      </c>
      <c r="Y39" s="505"/>
      <c r="Z39" s="348">
        <v>15</v>
      </c>
      <c r="AA39" s="349">
        <v>2080</v>
      </c>
      <c r="AB39" s="342">
        <f t="shared" si="43"/>
        <v>138.66666666666666</v>
      </c>
      <c r="AC39" s="348">
        <f t="shared" si="44"/>
        <v>5</v>
      </c>
      <c r="AD39" s="505"/>
      <c r="AE39" s="348">
        <v>15</v>
      </c>
      <c r="AF39" s="349">
        <v>2084</v>
      </c>
      <c r="AG39" s="342">
        <f t="shared" si="29"/>
        <v>138.93333333333334</v>
      </c>
      <c r="AH39" s="348">
        <f t="shared" si="30"/>
        <v>5</v>
      </c>
      <c r="AI39" s="505"/>
      <c r="AJ39" s="348">
        <v>15</v>
      </c>
      <c r="AK39" s="349">
        <v>2080</v>
      </c>
      <c r="AL39" s="342">
        <f t="shared" si="31"/>
        <v>138.66666666666666</v>
      </c>
      <c r="AM39" s="348">
        <f t="shared" si="32"/>
        <v>5</v>
      </c>
      <c r="AN39" s="505"/>
      <c r="AO39" s="352">
        <v>14</v>
      </c>
      <c r="AP39" s="349">
        <v>1995</v>
      </c>
      <c r="AQ39" s="342">
        <f t="shared" si="33"/>
        <v>142.5</v>
      </c>
      <c r="AR39" s="348">
        <f t="shared" si="34"/>
        <v>5</v>
      </c>
      <c r="AS39" s="505"/>
      <c r="AT39" s="352">
        <v>14</v>
      </c>
      <c r="AU39" s="349">
        <v>2065</v>
      </c>
      <c r="AV39" s="342">
        <f t="shared" si="35"/>
        <v>147.5</v>
      </c>
      <c r="AW39" s="348">
        <f t="shared" si="36"/>
        <v>5</v>
      </c>
      <c r="AX39" s="505"/>
    </row>
    <row r="40" spans="2:50" x14ac:dyDescent="0.2">
      <c r="B40" s="486"/>
      <c r="C40" s="348">
        <v>11</v>
      </c>
      <c r="D40" s="348" t="s">
        <v>127</v>
      </c>
      <c r="E40" s="349">
        <f>VLOOKUP(D40,'07產線配置圖'!$A$2:$C$25,2,0)</f>
        <v>17</v>
      </c>
      <c r="F40" s="349">
        <f>VLOOKUP(D40,'07產線配置圖'!$A$2:$C$25,3,0)</f>
        <v>1636</v>
      </c>
      <c r="G40" s="342">
        <f t="shared" si="45"/>
        <v>96.235294117647058</v>
      </c>
      <c r="H40" s="480"/>
      <c r="I40" s="349">
        <f t="shared" si="26"/>
        <v>17</v>
      </c>
      <c r="J40" s="349">
        <f t="shared" si="26"/>
        <v>1477</v>
      </c>
      <c r="K40" s="342">
        <f t="shared" si="21"/>
        <v>86.882352941176464</v>
      </c>
      <c r="L40" s="480"/>
      <c r="M40" s="370">
        <f>RANK(K40, K$30:$K$47)</f>
        <v>12</v>
      </c>
      <c r="N40" s="490"/>
      <c r="O40" s="490"/>
      <c r="P40" s="348">
        <v>17</v>
      </c>
      <c r="Q40" s="348">
        <v>1505</v>
      </c>
      <c r="R40" s="340">
        <f t="shared" si="46"/>
        <v>88.529411764705884</v>
      </c>
      <c r="S40" s="348">
        <f t="shared" si="28"/>
        <v>12</v>
      </c>
      <c r="T40" s="505"/>
      <c r="U40" s="348">
        <v>17</v>
      </c>
      <c r="V40" s="348">
        <v>1524</v>
      </c>
      <c r="W40" s="340">
        <f t="shared" si="41"/>
        <v>89.647058823529406</v>
      </c>
      <c r="X40" s="348">
        <f t="shared" si="42"/>
        <v>12</v>
      </c>
      <c r="Y40" s="505"/>
      <c r="Z40" s="348">
        <v>17</v>
      </c>
      <c r="AA40" s="348">
        <v>1449</v>
      </c>
      <c r="AB40" s="340">
        <f t="shared" si="43"/>
        <v>85.235294117647058</v>
      </c>
      <c r="AC40" s="348">
        <f t="shared" si="44"/>
        <v>13</v>
      </c>
      <c r="AD40" s="505"/>
      <c r="AE40" s="348">
        <v>17</v>
      </c>
      <c r="AF40" s="348">
        <v>1579</v>
      </c>
      <c r="AG40" s="342">
        <f t="shared" si="29"/>
        <v>92.882352941176464</v>
      </c>
      <c r="AH40" s="348">
        <f t="shared" si="30"/>
        <v>9</v>
      </c>
      <c r="AI40" s="505"/>
      <c r="AJ40" s="348">
        <v>17</v>
      </c>
      <c r="AK40" s="348">
        <v>1477</v>
      </c>
      <c r="AL40" s="342">
        <f t="shared" si="31"/>
        <v>86.882352941176464</v>
      </c>
      <c r="AM40" s="348">
        <f t="shared" si="32"/>
        <v>13</v>
      </c>
      <c r="AN40" s="505"/>
      <c r="AO40" s="348">
        <v>17</v>
      </c>
      <c r="AP40" s="348">
        <v>1391</v>
      </c>
      <c r="AQ40" s="340">
        <f t="shared" si="33"/>
        <v>81.82352941176471</v>
      </c>
      <c r="AR40" s="348">
        <f t="shared" si="34"/>
        <v>15</v>
      </c>
      <c r="AS40" s="505"/>
      <c r="AT40" s="348">
        <v>17</v>
      </c>
      <c r="AU40" s="348">
        <v>1414</v>
      </c>
      <c r="AV40" s="340">
        <f t="shared" si="35"/>
        <v>83.17647058823529</v>
      </c>
      <c r="AW40" s="348">
        <f t="shared" si="36"/>
        <v>14</v>
      </c>
      <c r="AX40" s="505"/>
    </row>
    <row r="41" spans="2:50" x14ac:dyDescent="0.2">
      <c r="B41" s="486"/>
      <c r="C41" s="348">
        <v>12</v>
      </c>
      <c r="D41" s="348" t="s">
        <v>125</v>
      </c>
      <c r="E41" s="349">
        <v>18</v>
      </c>
      <c r="F41" s="349">
        <f>VLOOKUP(D41,'07產線配置圖'!$A$2:$C$25,3,0)</f>
        <v>1636</v>
      </c>
      <c r="G41" s="342">
        <f t="shared" si="45"/>
        <v>90.888888888888886</v>
      </c>
      <c r="H41" s="480"/>
      <c r="I41" s="349">
        <f t="shared" si="26"/>
        <v>17.714285714285715</v>
      </c>
      <c r="J41" s="349">
        <f t="shared" si="26"/>
        <v>1528.1428571428571</v>
      </c>
      <c r="K41" s="342">
        <f t="shared" si="21"/>
        <v>86.266129032258064</v>
      </c>
      <c r="L41" s="480"/>
      <c r="M41" s="370">
        <f>RANK(K41, K$30:$K$47)</f>
        <v>13</v>
      </c>
      <c r="N41" s="490"/>
      <c r="O41" s="490"/>
      <c r="P41" s="348">
        <v>18</v>
      </c>
      <c r="Q41" s="348">
        <v>1566</v>
      </c>
      <c r="R41" s="340">
        <f t="shared" si="46"/>
        <v>87</v>
      </c>
      <c r="S41" s="348">
        <f t="shared" si="28"/>
        <v>13</v>
      </c>
      <c r="T41" s="505"/>
      <c r="U41" s="348">
        <v>18</v>
      </c>
      <c r="V41" s="348">
        <v>1529</v>
      </c>
      <c r="W41" s="340">
        <f t="shared" si="41"/>
        <v>84.944444444444443</v>
      </c>
      <c r="X41" s="348">
        <f t="shared" si="42"/>
        <v>15</v>
      </c>
      <c r="Y41" s="505"/>
      <c r="Z41" s="352">
        <v>17</v>
      </c>
      <c r="AA41" s="348">
        <v>1444</v>
      </c>
      <c r="AB41" s="340">
        <f t="shared" si="43"/>
        <v>84.941176470588232</v>
      </c>
      <c r="AC41" s="348">
        <f t="shared" si="44"/>
        <v>14</v>
      </c>
      <c r="AD41" s="505"/>
      <c r="AE41" s="348">
        <v>18</v>
      </c>
      <c r="AF41" s="348">
        <v>1543</v>
      </c>
      <c r="AG41" s="340">
        <f t="shared" si="29"/>
        <v>85.722222222222229</v>
      </c>
      <c r="AH41" s="348">
        <f t="shared" si="30"/>
        <v>12</v>
      </c>
      <c r="AI41" s="505"/>
      <c r="AJ41" s="348">
        <v>17</v>
      </c>
      <c r="AK41" s="348">
        <v>1491</v>
      </c>
      <c r="AL41" s="342">
        <f t="shared" si="31"/>
        <v>87.705882352941174</v>
      </c>
      <c r="AM41" s="348">
        <f t="shared" si="32"/>
        <v>12</v>
      </c>
      <c r="AN41" s="505"/>
      <c r="AO41" s="348">
        <v>18</v>
      </c>
      <c r="AP41" s="348">
        <v>1546</v>
      </c>
      <c r="AQ41" s="340">
        <f t="shared" si="33"/>
        <v>85.888888888888886</v>
      </c>
      <c r="AR41" s="348">
        <f t="shared" si="34"/>
        <v>13</v>
      </c>
      <c r="AS41" s="505"/>
      <c r="AT41" s="348">
        <v>18</v>
      </c>
      <c r="AU41" s="348">
        <v>1578</v>
      </c>
      <c r="AV41" s="340">
        <f t="shared" si="35"/>
        <v>87.666666666666671</v>
      </c>
      <c r="AW41" s="348">
        <f t="shared" si="36"/>
        <v>11</v>
      </c>
      <c r="AX41" s="505"/>
    </row>
    <row r="42" spans="2:50" x14ac:dyDescent="0.2">
      <c r="B42" s="486"/>
      <c r="C42" s="348">
        <v>13</v>
      </c>
      <c r="D42" s="348" t="s">
        <v>123</v>
      </c>
      <c r="E42" s="349">
        <f>VLOOKUP(D42,'07產線配置圖'!$A$2:$C$25,2,0)</f>
        <v>18</v>
      </c>
      <c r="F42" s="349">
        <f>VLOOKUP(D42,'07產線配置圖'!$A$2:$C$25,3,0)</f>
        <v>1565</v>
      </c>
      <c r="G42" s="342">
        <f>F42/E42</f>
        <v>86.944444444444443</v>
      </c>
      <c r="H42" s="480"/>
      <c r="I42" s="349">
        <f>AVERAGE(P42,U42,Z42,AE42,AJ42,AO42,AT42)</f>
        <v>17.428571428571427</v>
      </c>
      <c r="J42" s="349">
        <f t="shared" ref="J42:J44" si="47">AVERAGE(Q42,V42,AA42,AF42,AK42,AP42,AU42)</f>
        <v>1448.7142857142858</v>
      </c>
      <c r="K42" s="342">
        <f t="shared" si="21"/>
        <v>83.122950819672141</v>
      </c>
      <c r="L42" s="480"/>
      <c r="M42" s="370">
        <f>RANK(K42, K$30:$K$47)</f>
        <v>14</v>
      </c>
      <c r="N42" s="490"/>
      <c r="O42" s="490"/>
      <c r="P42" s="348">
        <v>18</v>
      </c>
      <c r="Q42" s="348">
        <v>1501</v>
      </c>
      <c r="R42" s="340">
        <f t="shared" si="46"/>
        <v>83.388888888888886</v>
      </c>
      <c r="S42" s="348">
        <f t="shared" si="28"/>
        <v>14</v>
      </c>
      <c r="T42" s="505"/>
      <c r="U42" s="348">
        <v>18</v>
      </c>
      <c r="V42" s="348">
        <v>1563</v>
      </c>
      <c r="W42" s="340">
        <f t="shared" si="41"/>
        <v>86.833333333333329</v>
      </c>
      <c r="X42" s="348">
        <f t="shared" si="42"/>
        <v>14</v>
      </c>
      <c r="Y42" s="505"/>
      <c r="Z42" s="348">
        <v>16</v>
      </c>
      <c r="AA42" s="348">
        <v>1380</v>
      </c>
      <c r="AB42" s="340">
        <f t="shared" si="43"/>
        <v>86.25</v>
      </c>
      <c r="AC42" s="348">
        <f t="shared" si="44"/>
        <v>12</v>
      </c>
      <c r="AD42" s="505"/>
      <c r="AE42" s="348">
        <v>18</v>
      </c>
      <c r="AF42" s="348">
        <v>1469</v>
      </c>
      <c r="AG42" s="340">
        <f t="shared" si="29"/>
        <v>81.611111111111114</v>
      </c>
      <c r="AH42" s="348">
        <f t="shared" si="30"/>
        <v>14</v>
      </c>
      <c r="AI42" s="505"/>
      <c r="AJ42" s="348">
        <v>17</v>
      </c>
      <c r="AK42" s="348">
        <v>1383</v>
      </c>
      <c r="AL42" s="342">
        <f t="shared" si="31"/>
        <v>81.352941176470594</v>
      </c>
      <c r="AM42" s="348">
        <f t="shared" si="32"/>
        <v>16</v>
      </c>
      <c r="AN42" s="505"/>
      <c r="AO42" s="352">
        <v>17</v>
      </c>
      <c r="AP42" s="348">
        <v>1421</v>
      </c>
      <c r="AQ42" s="340">
        <f t="shared" si="33"/>
        <v>83.588235294117652</v>
      </c>
      <c r="AR42" s="348">
        <f t="shared" si="34"/>
        <v>14</v>
      </c>
      <c r="AS42" s="505"/>
      <c r="AT42" s="348">
        <v>18</v>
      </c>
      <c r="AU42" s="348">
        <v>1424</v>
      </c>
      <c r="AV42" s="340">
        <f t="shared" si="35"/>
        <v>79.111111111111114</v>
      </c>
      <c r="AW42" s="348">
        <f t="shared" si="36"/>
        <v>16</v>
      </c>
      <c r="AX42" s="505"/>
    </row>
    <row r="43" spans="2:50" x14ac:dyDescent="0.2">
      <c r="B43" s="486"/>
      <c r="C43" s="348">
        <v>14</v>
      </c>
      <c r="D43" s="348" t="s">
        <v>170</v>
      </c>
      <c r="E43" s="349">
        <f>VLOOKUP(D43,'07產線配置圖'!$A$2:$C$25,2,0)</f>
        <v>17</v>
      </c>
      <c r="F43" s="349">
        <f>VLOOKUP(D43,'07產線配置圖'!$A$2:$C$25,3,0)</f>
        <v>1500</v>
      </c>
      <c r="G43" s="342">
        <f>F43/E43</f>
        <v>88.235294117647058</v>
      </c>
      <c r="H43" s="480"/>
      <c r="I43" s="349">
        <f>AVERAGE(P43,U43,Z43,AE43,AJ43,AO43,AT43)</f>
        <v>17</v>
      </c>
      <c r="J43" s="349">
        <f t="shared" si="47"/>
        <v>1513.8571428571429</v>
      </c>
      <c r="K43" s="342">
        <f t="shared" si="21"/>
        <v>89.050420168067234</v>
      </c>
      <c r="L43" s="480"/>
      <c r="M43" s="370">
        <f>RANK(K43, K$30:$K$47)</f>
        <v>11</v>
      </c>
      <c r="N43" s="490"/>
      <c r="O43" s="490"/>
      <c r="P43" s="348">
        <v>17</v>
      </c>
      <c r="Q43" s="348">
        <v>1559</v>
      </c>
      <c r="R43" s="342">
        <f t="shared" si="46"/>
        <v>91.705882352941174</v>
      </c>
      <c r="S43" s="348">
        <f t="shared" si="28"/>
        <v>11</v>
      </c>
      <c r="T43" s="505"/>
      <c r="U43" s="348">
        <v>17</v>
      </c>
      <c r="V43" s="348">
        <v>1526</v>
      </c>
      <c r="W43" s="340">
        <f t="shared" si="41"/>
        <v>89.764705882352942</v>
      </c>
      <c r="X43" s="348">
        <f t="shared" si="42"/>
        <v>11</v>
      </c>
      <c r="Y43" s="505"/>
      <c r="Z43" s="348">
        <v>17</v>
      </c>
      <c r="AA43" s="348">
        <v>1508</v>
      </c>
      <c r="AB43" s="340">
        <f t="shared" si="43"/>
        <v>88.705882352941174</v>
      </c>
      <c r="AC43" s="348">
        <f t="shared" si="44"/>
        <v>11</v>
      </c>
      <c r="AD43" s="505"/>
      <c r="AE43" s="348">
        <v>17</v>
      </c>
      <c r="AF43" s="348">
        <v>1515</v>
      </c>
      <c r="AG43" s="340">
        <f t="shared" si="29"/>
        <v>89.117647058823536</v>
      </c>
      <c r="AH43" s="348">
        <f t="shared" si="30"/>
        <v>11</v>
      </c>
      <c r="AI43" s="505"/>
      <c r="AJ43" s="348">
        <v>17</v>
      </c>
      <c r="AK43" s="348">
        <v>1518</v>
      </c>
      <c r="AL43" s="342">
        <f t="shared" si="31"/>
        <v>89.294117647058826</v>
      </c>
      <c r="AM43" s="348">
        <f t="shared" si="32"/>
        <v>11</v>
      </c>
      <c r="AN43" s="505"/>
      <c r="AO43" s="348">
        <v>17</v>
      </c>
      <c r="AP43" s="348">
        <v>1503</v>
      </c>
      <c r="AQ43" s="340">
        <f t="shared" si="33"/>
        <v>88.411764705882348</v>
      </c>
      <c r="AR43" s="348">
        <f t="shared" si="34"/>
        <v>10</v>
      </c>
      <c r="AS43" s="505"/>
      <c r="AT43" s="348">
        <v>17</v>
      </c>
      <c r="AU43" s="348">
        <v>1468</v>
      </c>
      <c r="AV43" s="340">
        <f t="shared" si="35"/>
        <v>86.352941176470594</v>
      </c>
      <c r="AW43" s="348">
        <f t="shared" si="36"/>
        <v>13</v>
      </c>
      <c r="AX43" s="505"/>
    </row>
    <row r="44" spans="2:50" x14ac:dyDescent="0.2">
      <c r="B44" s="486"/>
      <c r="C44" s="348">
        <v>15</v>
      </c>
      <c r="D44" s="348" t="s">
        <v>167</v>
      </c>
      <c r="E44" s="349">
        <f>VLOOKUP(D44,'07產線配置圖'!$A$2:$C$25,2,0)</f>
        <v>16</v>
      </c>
      <c r="F44" s="349">
        <f>VLOOKUP(D44,'07產線配置圖'!$A$2:$C$25,3,0)</f>
        <v>1500</v>
      </c>
      <c r="G44" s="342">
        <f t="shared" ref="G44:G45" si="48">F44/E44</f>
        <v>93.75</v>
      </c>
      <c r="H44" s="480"/>
      <c r="I44" s="349">
        <f>AVERAGE(P44,U44,Z44,AE44,AJ44,AO44,AT44)</f>
        <v>16.142857142857142</v>
      </c>
      <c r="J44" s="349">
        <f t="shared" si="47"/>
        <v>1492</v>
      </c>
      <c r="K44" s="342">
        <f t="shared" si="21"/>
        <v>92.424778761061944</v>
      </c>
      <c r="L44" s="480"/>
      <c r="M44" s="370">
        <f>RANK(K44, K$30:$K$47)</f>
        <v>10</v>
      </c>
      <c r="N44" s="490"/>
      <c r="O44" s="490"/>
      <c r="P44" s="348">
        <v>16</v>
      </c>
      <c r="Q44" s="348">
        <v>1484</v>
      </c>
      <c r="R44" s="342">
        <f t="shared" si="46"/>
        <v>92.75</v>
      </c>
      <c r="S44" s="348">
        <f t="shared" si="28"/>
        <v>10</v>
      </c>
      <c r="T44" s="505"/>
      <c r="U44" s="348">
        <v>18</v>
      </c>
      <c r="V44" s="348">
        <v>1582</v>
      </c>
      <c r="W44" s="340">
        <f t="shared" si="41"/>
        <v>87.888888888888886</v>
      </c>
      <c r="X44" s="348">
        <f t="shared" si="42"/>
        <v>13</v>
      </c>
      <c r="Y44" s="505"/>
      <c r="Z44" s="348">
        <v>16</v>
      </c>
      <c r="AA44" s="348">
        <v>1564</v>
      </c>
      <c r="AB44" s="342">
        <f t="shared" si="43"/>
        <v>97.75</v>
      </c>
      <c r="AC44" s="348">
        <f t="shared" si="44"/>
        <v>8</v>
      </c>
      <c r="AD44" s="505"/>
      <c r="AE44" s="348">
        <v>16</v>
      </c>
      <c r="AF44" s="348">
        <v>1460</v>
      </c>
      <c r="AG44" s="342">
        <f t="shared" si="29"/>
        <v>91.25</v>
      </c>
      <c r="AH44" s="348">
        <f t="shared" si="30"/>
        <v>10</v>
      </c>
      <c r="AI44" s="505"/>
      <c r="AJ44" s="348">
        <v>16</v>
      </c>
      <c r="AK44" s="348">
        <v>1532</v>
      </c>
      <c r="AL44" s="342">
        <f t="shared" si="31"/>
        <v>95.75</v>
      </c>
      <c r="AM44" s="348">
        <f t="shared" si="32"/>
        <v>10</v>
      </c>
      <c r="AN44" s="505"/>
      <c r="AO44" s="348">
        <v>16</v>
      </c>
      <c r="AP44" s="348">
        <v>1382</v>
      </c>
      <c r="AQ44" s="340">
        <f t="shared" si="33"/>
        <v>86.375</v>
      </c>
      <c r="AR44" s="348">
        <f t="shared" si="34"/>
        <v>11</v>
      </c>
      <c r="AS44" s="505"/>
      <c r="AT44" s="352">
        <v>15</v>
      </c>
      <c r="AU44" s="348">
        <v>1440</v>
      </c>
      <c r="AV44" s="342">
        <f t="shared" si="35"/>
        <v>96</v>
      </c>
      <c r="AW44" s="348">
        <f t="shared" si="36"/>
        <v>8</v>
      </c>
      <c r="AX44" s="505"/>
    </row>
    <row r="45" spans="2:50" x14ac:dyDescent="0.2">
      <c r="B45" s="486"/>
      <c r="C45" s="348">
        <v>16</v>
      </c>
      <c r="D45" s="348" t="s">
        <v>175</v>
      </c>
      <c r="E45" s="349">
        <f>VLOOKUP(D45,'07產線配置圖'!$A$2:$C$25,2,0)</f>
        <v>16</v>
      </c>
      <c r="F45" s="349">
        <f>VLOOKUP(D45,'07產線配置圖'!$A$2:$C$25,3,0)</f>
        <v>2250</v>
      </c>
      <c r="G45" s="342">
        <f t="shared" si="48"/>
        <v>140.625</v>
      </c>
      <c r="H45" s="480"/>
      <c r="I45" s="349">
        <f>AVERAGE(P45,U45,Z45,AE45,AJ45,AO45,AT45)</f>
        <v>15.571428571428571</v>
      </c>
      <c r="J45" s="349">
        <f>AVERAGE(Q45,V45,AA45,AF45,AK45,AP45,AU45)</f>
        <v>2080.8571428571427</v>
      </c>
      <c r="K45" s="342">
        <f t="shared" si="21"/>
        <v>133.63302752293578</v>
      </c>
      <c r="L45" s="480"/>
      <c r="M45" s="370">
        <f>RANK(K45, K$30:$K$47)</f>
        <v>6</v>
      </c>
      <c r="N45" s="490"/>
      <c r="O45" s="490"/>
      <c r="P45" s="348">
        <v>16</v>
      </c>
      <c r="Q45" s="348">
        <v>2139</v>
      </c>
      <c r="R45" s="342">
        <f t="shared" si="46"/>
        <v>133.6875</v>
      </c>
      <c r="S45" s="348">
        <f>RANK(R45,$R$30:$R$47)</f>
        <v>6</v>
      </c>
      <c r="T45" s="505"/>
      <c r="U45" s="348">
        <v>16</v>
      </c>
      <c r="V45" s="348">
        <v>2095</v>
      </c>
      <c r="W45" s="342">
        <f t="shared" si="41"/>
        <v>130.9375</v>
      </c>
      <c r="X45" s="348">
        <f t="shared" si="42"/>
        <v>5</v>
      </c>
      <c r="Y45" s="505"/>
      <c r="Z45" s="348">
        <v>16</v>
      </c>
      <c r="AA45" s="348">
        <v>2065</v>
      </c>
      <c r="AB45" s="342">
        <f t="shared" si="43"/>
        <v>129.0625</v>
      </c>
      <c r="AC45" s="348">
        <f t="shared" si="44"/>
        <v>6</v>
      </c>
      <c r="AD45" s="505"/>
      <c r="AE45" s="348">
        <v>16</v>
      </c>
      <c r="AF45" s="348">
        <v>2065</v>
      </c>
      <c r="AG45" s="342">
        <f t="shared" si="29"/>
        <v>129.0625</v>
      </c>
      <c r="AH45" s="348">
        <f t="shared" si="30"/>
        <v>6</v>
      </c>
      <c r="AI45" s="505"/>
      <c r="AJ45" s="348">
        <v>15</v>
      </c>
      <c r="AK45" s="348">
        <v>2035</v>
      </c>
      <c r="AL45" s="342">
        <f t="shared" si="31"/>
        <v>135.66666666666666</v>
      </c>
      <c r="AM45" s="348">
        <f t="shared" si="32"/>
        <v>6</v>
      </c>
      <c r="AN45" s="505"/>
      <c r="AO45" s="352">
        <v>15</v>
      </c>
      <c r="AP45" s="348">
        <v>2163</v>
      </c>
      <c r="AQ45" s="342">
        <f t="shared" si="33"/>
        <v>144.19999999999999</v>
      </c>
      <c r="AR45" s="348">
        <f t="shared" si="34"/>
        <v>4</v>
      </c>
      <c r="AS45" s="505"/>
      <c r="AT45" s="352">
        <v>15</v>
      </c>
      <c r="AU45" s="348">
        <v>2004</v>
      </c>
      <c r="AV45" s="342">
        <f t="shared" si="35"/>
        <v>133.6</v>
      </c>
      <c r="AW45" s="348">
        <f t="shared" si="36"/>
        <v>6</v>
      </c>
      <c r="AX45" s="505"/>
    </row>
    <row r="46" spans="2:50" x14ac:dyDescent="0.2">
      <c r="B46" s="486"/>
      <c r="C46" s="348">
        <v>17</v>
      </c>
      <c r="D46" s="348"/>
      <c r="E46" s="349"/>
      <c r="F46" s="349"/>
      <c r="G46" s="342"/>
      <c r="H46" s="480"/>
      <c r="I46" s="349"/>
      <c r="J46" s="349"/>
      <c r="K46" s="342"/>
      <c r="L46" s="480"/>
      <c r="M46" s="370"/>
      <c r="N46" s="490"/>
      <c r="O46" s="490"/>
      <c r="P46" s="348"/>
      <c r="Q46" s="348"/>
      <c r="R46" s="342"/>
      <c r="S46" s="348"/>
      <c r="T46" s="505"/>
      <c r="U46" s="348"/>
      <c r="V46" s="348"/>
      <c r="W46" s="348"/>
      <c r="X46" s="348"/>
      <c r="Y46" s="505"/>
      <c r="Z46" s="348"/>
      <c r="AA46" s="348"/>
      <c r="AB46" s="348"/>
      <c r="AC46" s="348"/>
      <c r="AD46" s="505"/>
      <c r="AE46" s="348"/>
      <c r="AF46" s="348"/>
      <c r="AG46" s="348"/>
      <c r="AH46" s="348"/>
      <c r="AI46" s="505"/>
      <c r="AJ46" s="348"/>
      <c r="AK46" s="348"/>
      <c r="AL46" s="348"/>
      <c r="AM46" s="348"/>
      <c r="AN46" s="505"/>
      <c r="AO46" s="348"/>
      <c r="AP46" s="348"/>
      <c r="AQ46" s="342"/>
      <c r="AR46" s="348"/>
      <c r="AS46" s="505"/>
      <c r="AT46" s="348"/>
      <c r="AU46" s="348"/>
      <c r="AV46" s="342"/>
      <c r="AW46" s="348"/>
      <c r="AX46" s="505"/>
    </row>
    <row r="47" spans="2:50" x14ac:dyDescent="0.2">
      <c r="B47" s="486"/>
      <c r="C47" s="348">
        <v>18</v>
      </c>
      <c r="D47" s="348"/>
      <c r="E47" s="349"/>
      <c r="F47" s="349"/>
      <c r="G47" s="342"/>
      <c r="H47" s="481"/>
      <c r="I47" s="348"/>
      <c r="J47" s="348"/>
      <c r="K47" s="348"/>
      <c r="L47" s="481"/>
      <c r="M47" s="349"/>
      <c r="N47" s="490"/>
      <c r="O47" s="490"/>
      <c r="P47" s="348"/>
      <c r="Q47" s="348"/>
      <c r="R47" s="348"/>
      <c r="S47" s="348"/>
      <c r="T47" s="505"/>
      <c r="U47" s="348"/>
      <c r="V47" s="348"/>
      <c r="W47" s="348"/>
      <c r="X47" s="348"/>
      <c r="Y47" s="505"/>
      <c r="Z47" s="348"/>
      <c r="AA47" s="348"/>
      <c r="AB47" s="348"/>
      <c r="AC47" s="348"/>
      <c r="AD47" s="505"/>
      <c r="AE47" s="348"/>
      <c r="AF47" s="348"/>
      <c r="AG47" s="348"/>
      <c r="AH47" s="348"/>
      <c r="AI47" s="505"/>
      <c r="AJ47" s="348"/>
      <c r="AK47" s="348"/>
      <c r="AL47" s="348"/>
      <c r="AM47" s="348"/>
      <c r="AN47" s="505"/>
      <c r="AO47" s="348"/>
      <c r="AP47" s="348"/>
      <c r="AQ47" s="348"/>
      <c r="AR47" s="348"/>
      <c r="AS47" s="505"/>
      <c r="AT47" s="348"/>
      <c r="AU47" s="348"/>
      <c r="AV47" s="342"/>
      <c r="AW47" s="348"/>
      <c r="AX47" s="505"/>
    </row>
    <row r="48" spans="2:50" ht="15.75" x14ac:dyDescent="0.2">
      <c r="B48" s="503" t="s">
        <v>85</v>
      </c>
      <c r="C48" s="504"/>
      <c r="D48" s="504"/>
      <c r="E48" s="504"/>
      <c r="F48" s="504"/>
      <c r="G48" s="504"/>
      <c r="H48" s="504"/>
      <c r="I48" s="361"/>
      <c r="J48" s="360"/>
      <c r="K48" s="361"/>
      <c r="L48" s="361"/>
      <c r="M48" s="369"/>
      <c r="N48" s="494" t="s">
        <v>86</v>
      </c>
      <c r="O48" s="494" t="s">
        <v>45</v>
      </c>
      <c r="P48" s="485">
        <f>AT25+1</f>
        <v>46217</v>
      </c>
      <c r="Q48" s="486"/>
      <c r="R48" s="486"/>
      <c r="S48" s="486"/>
      <c r="T48" s="486"/>
      <c r="U48" s="485">
        <f>P48+1</f>
        <v>46218</v>
      </c>
      <c r="V48" s="486"/>
      <c r="W48" s="486"/>
      <c r="X48" s="486"/>
      <c r="Y48" s="486"/>
      <c r="Z48" s="485">
        <f>Z25+7</f>
        <v>46219</v>
      </c>
      <c r="AA48" s="486"/>
      <c r="AB48" s="486"/>
      <c r="AC48" s="486"/>
      <c r="AD48" s="486"/>
      <c r="AE48" s="485">
        <f>AE25+7</f>
        <v>46220</v>
      </c>
      <c r="AF48" s="486"/>
      <c r="AG48" s="486"/>
      <c r="AH48" s="486"/>
      <c r="AI48" s="486"/>
      <c r="AJ48" s="485">
        <f>AJ25+7</f>
        <v>46221</v>
      </c>
      <c r="AK48" s="486"/>
      <c r="AL48" s="486"/>
      <c r="AM48" s="486"/>
      <c r="AN48" s="486"/>
      <c r="AO48" s="485">
        <f>AO25+7</f>
        <v>46222</v>
      </c>
      <c r="AP48" s="486"/>
      <c r="AQ48" s="486"/>
      <c r="AR48" s="486"/>
      <c r="AS48" s="486"/>
      <c r="AT48" s="485">
        <f>AT25+7</f>
        <v>46223</v>
      </c>
      <c r="AU48" s="486"/>
      <c r="AV48" s="486"/>
      <c r="AW48" s="486"/>
      <c r="AX48" s="486"/>
    </row>
    <row r="49" spans="2:50" ht="15.75" x14ac:dyDescent="0.2">
      <c r="B49" s="493"/>
      <c r="C49" s="493"/>
      <c r="D49" s="493"/>
      <c r="E49" s="493"/>
      <c r="F49" s="493"/>
      <c r="G49" s="493"/>
      <c r="H49" s="493"/>
      <c r="I49" s="363"/>
      <c r="J49" s="363"/>
      <c r="K49" s="363"/>
      <c r="L49" s="363"/>
      <c r="M49" s="364"/>
      <c r="N49" s="496"/>
      <c r="O49" s="496"/>
      <c r="P49" s="485" t="s">
        <v>61</v>
      </c>
      <c r="Q49" s="486"/>
      <c r="R49" s="486"/>
      <c r="S49" s="486"/>
      <c r="T49" s="486"/>
      <c r="U49" s="485" t="s">
        <v>56</v>
      </c>
      <c r="V49" s="486"/>
      <c r="W49" s="486"/>
      <c r="X49" s="486"/>
      <c r="Y49" s="486"/>
      <c r="Z49" s="485" t="s">
        <v>57</v>
      </c>
      <c r="AA49" s="486"/>
      <c r="AB49" s="486"/>
      <c r="AC49" s="486"/>
      <c r="AD49" s="486"/>
      <c r="AE49" s="485" t="s">
        <v>58</v>
      </c>
      <c r="AF49" s="486"/>
      <c r="AG49" s="486"/>
      <c r="AH49" s="486"/>
      <c r="AI49" s="486"/>
      <c r="AJ49" s="485" t="s">
        <v>59</v>
      </c>
      <c r="AK49" s="486"/>
      <c r="AL49" s="486"/>
      <c r="AM49" s="486"/>
      <c r="AN49" s="486"/>
      <c r="AO49" s="485" t="s">
        <v>52</v>
      </c>
      <c r="AP49" s="486"/>
      <c r="AQ49" s="486"/>
      <c r="AR49" s="486"/>
      <c r="AS49" s="486"/>
      <c r="AT49" s="485" t="s">
        <v>60</v>
      </c>
      <c r="AU49" s="486"/>
      <c r="AV49" s="486"/>
      <c r="AW49" s="486"/>
      <c r="AX49" s="486"/>
    </row>
    <row r="50" spans="2:50" x14ac:dyDescent="0.2">
      <c r="B50" s="490" t="s">
        <v>41</v>
      </c>
      <c r="C50" s="490" t="s">
        <v>87</v>
      </c>
      <c r="D50" s="490"/>
      <c r="E50" s="490" t="s">
        <v>88</v>
      </c>
      <c r="F50" s="490"/>
      <c r="G50" s="490"/>
      <c r="H50" s="500" t="s">
        <v>89</v>
      </c>
      <c r="I50" s="490" t="s">
        <v>90</v>
      </c>
      <c r="J50" s="490"/>
      <c r="K50" s="490"/>
      <c r="L50" s="500" t="s">
        <v>89</v>
      </c>
      <c r="M50" s="494" t="s">
        <v>91</v>
      </c>
      <c r="N50" s="490"/>
      <c r="O50" s="490" t="s">
        <v>92</v>
      </c>
      <c r="P50" s="482" t="s">
        <v>93</v>
      </c>
      <c r="Q50" s="483"/>
      <c r="R50" s="483"/>
      <c r="S50" s="484"/>
      <c r="T50" s="490" t="s">
        <v>89</v>
      </c>
      <c r="U50" s="482" t="s">
        <v>93</v>
      </c>
      <c r="V50" s="483"/>
      <c r="W50" s="483"/>
      <c r="X50" s="484"/>
      <c r="Y50" s="490" t="s">
        <v>89</v>
      </c>
      <c r="Z50" s="482" t="s">
        <v>93</v>
      </c>
      <c r="AA50" s="483"/>
      <c r="AB50" s="483"/>
      <c r="AC50" s="484"/>
      <c r="AD50" s="490" t="s">
        <v>89</v>
      </c>
      <c r="AE50" s="482" t="s">
        <v>93</v>
      </c>
      <c r="AF50" s="483"/>
      <c r="AG50" s="483"/>
      <c r="AH50" s="484"/>
      <c r="AI50" s="490" t="s">
        <v>89</v>
      </c>
      <c r="AJ50" s="482" t="s">
        <v>93</v>
      </c>
      <c r="AK50" s="483"/>
      <c r="AL50" s="483"/>
      <c r="AM50" s="484"/>
      <c r="AN50" s="490" t="s">
        <v>89</v>
      </c>
      <c r="AO50" s="482" t="s">
        <v>93</v>
      </c>
      <c r="AP50" s="483"/>
      <c r="AQ50" s="483"/>
      <c r="AR50" s="484"/>
      <c r="AS50" s="490" t="s">
        <v>89</v>
      </c>
      <c r="AT50" s="482" t="s">
        <v>93</v>
      </c>
      <c r="AU50" s="483"/>
      <c r="AV50" s="483"/>
      <c r="AW50" s="484"/>
      <c r="AX50" s="490" t="s">
        <v>89</v>
      </c>
    </row>
    <row r="51" spans="2:50" x14ac:dyDescent="0.2">
      <c r="B51" s="490"/>
      <c r="C51" s="490"/>
      <c r="D51" s="490"/>
      <c r="E51" s="490" t="s">
        <v>94</v>
      </c>
      <c r="F51" s="490"/>
      <c r="G51" s="490"/>
      <c r="H51" s="501"/>
      <c r="I51" s="490" t="s">
        <v>94</v>
      </c>
      <c r="J51" s="490"/>
      <c r="K51" s="490"/>
      <c r="L51" s="501"/>
      <c r="M51" s="495"/>
      <c r="N51" s="490"/>
      <c r="O51" s="490"/>
      <c r="P51" s="482" t="s">
        <v>95</v>
      </c>
      <c r="Q51" s="483"/>
      <c r="R51" s="483"/>
      <c r="S51" s="484"/>
      <c r="T51" s="490"/>
      <c r="U51" s="482" t="s">
        <v>95</v>
      </c>
      <c r="V51" s="483"/>
      <c r="W51" s="483"/>
      <c r="X51" s="484"/>
      <c r="Y51" s="490"/>
      <c r="Z51" s="482" t="s">
        <v>95</v>
      </c>
      <c r="AA51" s="483"/>
      <c r="AB51" s="483"/>
      <c r="AC51" s="484"/>
      <c r="AD51" s="490"/>
      <c r="AE51" s="482" t="s">
        <v>95</v>
      </c>
      <c r="AF51" s="483"/>
      <c r="AG51" s="483"/>
      <c r="AH51" s="484"/>
      <c r="AI51" s="490"/>
      <c r="AJ51" s="482" t="s">
        <v>95</v>
      </c>
      <c r="AK51" s="483"/>
      <c r="AL51" s="483"/>
      <c r="AM51" s="484"/>
      <c r="AN51" s="490"/>
      <c r="AO51" s="482" t="s">
        <v>95</v>
      </c>
      <c r="AP51" s="483"/>
      <c r="AQ51" s="483"/>
      <c r="AR51" s="484"/>
      <c r="AS51" s="490"/>
      <c r="AT51" s="482" t="s">
        <v>95</v>
      </c>
      <c r="AU51" s="483"/>
      <c r="AV51" s="483"/>
      <c r="AW51" s="484"/>
      <c r="AX51" s="490"/>
    </row>
    <row r="52" spans="2:50" x14ac:dyDescent="0.2">
      <c r="B52" s="490"/>
      <c r="C52" s="490"/>
      <c r="D52" s="490"/>
      <c r="E52" s="365" t="s">
        <v>96</v>
      </c>
      <c r="F52" s="365" t="s">
        <v>97</v>
      </c>
      <c r="G52" s="365" t="s">
        <v>98</v>
      </c>
      <c r="H52" s="502"/>
      <c r="I52" s="365" t="s">
        <v>96</v>
      </c>
      <c r="J52" s="365" t="s">
        <v>97</v>
      </c>
      <c r="K52" s="365" t="s">
        <v>98</v>
      </c>
      <c r="L52" s="502"/>
      <c r="M52" s="496"/>
      <c r="N52" s="490"/>
      <c r="O52" s="490"/>
      <c r="P52" s="365" t="s">
        <v>96</v>
      </c>
      <c r="Q52" s="365" t="s">
        <v>97</v>
      </c>
      <c r="R52" s="365" t="s">
        <v>98</v>
      </c>
      <c r="S52" s="365" t="s">
        <v>91</v>
      </c>
      <c r="T52" s="490"/>
      <c r="U52" s="365" t="s">
        <v>96</v>
      </c>
      <c r="V52" s="365" t="s">
        <v>97</v>
      </c>
      <c r="W52" s="365" t="s">
        <v>98</v>
      </c>
      <c r="X52" s="365" t="s">
        <v>91</v>
      </c>
      <c r="Y52" s="490"/>
      <c r="Z52" s="365" t="s">
        <v>96</v>
      </c>
      <c r="AA52" s="365" t="s">
        <v>97</v>
      </c>
      <c r="AB52" s="365" t="s">
        <v>98</v>
      </c>
      <c r="AC52" s="365" t="s">
        <v>91</v>
      </c>
      <c r="AD52" s="490"/>
      <c r="AE52" s="365" t="s">
        <v>96</v>
      </c>
      <c r="AF52" s="365" t="s">
        <v>97</v>
      </c>
      <c r="AG52" s="365" t="s">
        <v>98</v>
      </c>
      <c r="AH52" s="365" t="s">
        <v>91</v>
      </c>
      <c r="AI52" s="490"/>
      <c r="AJ52" s="365" t="s">
        <v>96</v>
      </c>
      <c r="AK52" s="365" t="s">
        <v>97</v>
      </c>
      <c r="AL52" s="365" t="s">
        <v>98</v>
      </c>
      <c r="AM52" s="365" t="s">
        <v>91</v>
      </c>
      <c r="AN52" s="490"/>
      <c r="AO52" s="365" t="s">
        <v>96</v>
      </c>
      <c r="AP52" s="365" t="s">
        <v>97</v>
      </c>
      <c r="AQ52" s="365" t="s">
        <v>98</v>
      </c>
      <c r="AR52" s="365" t="s">
        <v>91</v>
      </c>
      <c r="AS52" s="490"/>
      <c r="AT52" s="365" t="s">
        <v>96</v>
      </c>
      <c r="AU52" s="365" t="s">
        <v>97</v>
      </c>
      <c r="AV52" s="365" t="s">
        <v>98</v>
      </c>
      <c r="AW52" s="365" t="s">
        <v>91</v>
      </c>
      <c r="AX52" s="490"/>
    </row>
    <row r="53" spans="2:50" ht="13.5" x14ac:dyDescent="0.2">
      <c r="B53" s="486" t="s">
        <v>334</v>
      </c>
      <c r="C53" s="348">
        <v>1</v>
      </c>
      <c r="D53" s="367" t="s">
        <v>113</v>
      </c>
      <c r="E53" s="349">
        <f>VLOOKUP(D53,'07產線配置圖'!$A$2:$C$25,2,0)</f>
        <v>13</v>
      </c>
      <c r="F53" s="349">
        <f>VLOOKUP(D53,'07產線配置圖'!$A$2:$C$25,3,0)</f>
        <v>2250</v>
      </c>
      <c r="G53" s="342">
        <f t="shared" ref="G53:G68" si="49">F53/E53</f>
        <v>173.07692307692307</v>
      </c>
      <c r="H53" s="479">
        <f>AVERAGE(G53:G70)</f>
        <v>117.71673584969433</v>
      </c>
      <c r="I53" s="349">
        <f>AVERAGE(P53,U53,Z53,AE53,AJ53,AO53,AT53)</f>
        <v>12</v>
      </c>
      <c r="J53" s="349">
        <f>AVERAGE(Q53,V53,AA53,AF53,AK53,AP53,AU53)</f>
        <v>2044.4285714285713</v>
      </c>
      <c r="K53" s="342">
        <f>AVERAGE(R53,W53,AB53,AG53,AL53,AQ53,AV53)</f>
        <v>170.36904761904762</v>
      </c>
      <c r="L53" s="479">
        <f>IFERROR(AVERAGE(K53:K70),"-")</f>
        <v>111.45492843236291</v>
      </c>
      <c r="M53" s="349">
        <f>RANK(K53, K$53:$K$70)</f>
        <v>1</v>
      </c>
      <c r="N53" s="490"/>
      <c r="O53" s="490"/>
      <c r="P53" s="426">
        <v>12</v>
      </c>
      <c r="Q53" s="349">
        <v>2140</v>
      </c>
      <c r="R53" s="342">
        <f>Q53/P53</f>
        <v>178.33333333333334</v>
      </c>
      <c r="S53" s="348">
        <f>RANK(R53, $R$53:$R$70)</f>
        <v>1</v>
      </c>
      <c r="T53" s="505">
        <f>AVERAGE(R53:R70)</f>
        <v>111.06546420227217</v>
      </c>
      <c r="U53" s="426">
        <v>12</v>
      </c>
      <c r="V53" s="349">
        <v>2008</v>
      </c>
      <c r="W53" s="342">
        <f>V53/U53</f>
        <v>167.33333333333334</v>
      </c>
      <c r="X53" s="348">
        <f>RANK(W53,$W$53:$W$70)</f>
        <v>1</v>
      </c>
      <c r="Y53" s="505">
        <f>AVERAGE(W53:W70)</f>
        <v>112.83797783819412</v>
      </c>
      <c r="Z53" s="426">
        <v>12</v>
      </c>
      <c r="AA53" s="349">
        <v>2120</v>
      </c>
      <c r="AB53" s="342">
        <f>AA53/Z53</f>
        <v>176.66666666666666</v>
      </c>
      <c r="AC53" s="348">
        <f>RANK(AB53, $AB$53:$AB$70)</f>
        <v>1</v>
      </c>
      <c r="AD53" s="505">
        <f>AVERAGE(AB53:AB70)</f>
        <v>110.16928273571872</v>
      </c>
      <c r="AE53" s="426">
        <v>12</v>
      </c>
      <c r="AF53" s="349">
        <v>2055</v>
      </c>
      <c r="AG53" s="342">
        <f t="shared" ref="AG53:AG55" si="50">AF53/AE53</f>
        <v>171.25</v>
      </c>
      <c r="AH53" s="348">
        <f t="shared" ref="AH53:AH55" si="51">RANK(AG53, $AG$53:$AG$70)</f>
        <v>1</v>
      </c>
      <c r="AI53" s="505">
        <f>AVERAGE(AG53:AG70)</f>
        <v>111.88701867624879</v>
      </c>
      <c r="AJ53" s="426">
        <v>12</v>
      </c>
      <c r="AK53" s="349">
        <v>2006</v>
      </c>
      <c r="AL53" s="342">
        <f>AK53/AJ53</f>
        <v>167.16666666666666</v>
      </c>
      <c r="AM53" s="348">
        <f>RANK(AL53,$AL$53:$AL$70)</f>
        <v>1</v>
      </c>
      <c r="AN53" s="505">
        <f>AVERAGE(AL53:AL70)</f>
        <v>112.60629917948258</v>
      </c>
      <c r="AO53" s="426">
        <v>12</v>
      </c>
      <c r="AP53" s="349">
        <v>1952</v>
      </c>
      <c r="AQ53" s="342">
        <f>AP53/AO53</f>
        <v>162.66666666666666</v>
      </c>
      <c r="AR53" s="348">
        <f>RANK(AQ53,$AQ$53:$AQ$70)</f>
        <v>1</v>
      </c>
      <c r="AS53" s="505">
        <f>AVERAGE(AQ53:AQ70)</f>
        <v>112.14599192618223</v>
      </c>
      <c r="AT53" s="426">
        <v>12</v>
      </c>
      <c r="AU53" s="349">
        <v>2030</v>
      </c>
      <c r="AV53" s="342">
        <f>AU53/AT53</f>
        <v>169.16666666666666</v>
      </c>
      <c r="AW53" s="348">
        <f>RANK(AV53,$AV$53:$AV$70)</f>
        <v>1</v>
      </c>
      <c r="AX53" s="505">
        <f>AVERAGE(AV53:AV70)</f>
        <v>109.47246446844196</v>
      </c>
    </row>
    <row r="54" spans="2:50" x14ac:dyDescent="0.2">
      <c r="B54" s="486"/>
      <c r="C54" s="348">
        <v>2</v>
      </c>
      <c r="D54" s="348" t="s">
        <v>116</v>
      </c>
      <c r="E54" s="349">
        <f>VLOOKUP(D54,'07產線配置圖'!$A$2:$C$25,2,0)</f>
        <v>15</v>
      </c>
      <c r="F54" s="349">
        <f>VLOOKUP(D54,'07產線配置圖'!$A$2:$C$25,3,0)</f>
        <v>2250</v>
      </c>
      <c r="G54" s="342">
        <f t="shared" si="49"/>
        <v>150</v>
      </c>
      <c r="H54" s="480"/>
      <c r="I54" s="349">
        <f t="shared" ref="I54:K58" si="52">AVERAGE(P54,U54,Z54,AE54,AJ54,AO54,AT54)</f>
        <v>14</v>
      </c>
      <c r="J54" s="349">
        <f t="shared" si="52"/>
        <v>2099.1428571428573</v>
      </c>
      <c r="K54" s="342">
        <f t="shared" si="52"/>
        <v>149.9387755102041</v>
      </c>
      <c r="L54" s="480"/>
      <c r="M54" s="349">
        <f>RANK(K54, K$53:$K$70)</f>
        <v>4</v>
      </c>
      <c r="N54" s="490"/>
      <c r="O54" s="490"/>
      <c r="P54" s="426">
        <v>14</v>
      </c>
      <c r="Q54" s="349">
        <v>2154</v>
      </c>
      <c r="R54" s="342">
        <f t="shared" ref="R54:R68" si="53">Q54/P54</f>
        <v>153.85714285714286</v>
      </c>
      <c r="S54" s="348">
        <f t="shared" ref="S54:S68" si="54">RANK(R54, $R$53:$R$70)</f>
        <v>3</v>
      </c>
      <c r="T54" s="505"/>
      <c r="U54" s="426">
        <v>14</v>
      </c>
      <c r="V54" s="349">
        <v>2222</v>
      </c>
      <c r="W54" s="342">
        <f t="shared" ref="W54:W68" si="55">V54/U54</f>
        <v>158.71428571428572</v>
      </c>
      <c r="X54" s="348">
        <f t="shared" ref="X54:X68" si="56">RANK(W54,$W$53:$W$70)</f>
        <v>3</v>
      </c>
      <c r="Y54" s="505"/>
      <c r="Z54" s="426">
        <v>14</v>
      </c>
      <c r="AA54" s="349">
        <v>1991</v>
      </c>
      <c r="AB54" s="342">
        <f t="shared" ref="AB54:AB68" si="57">AA54/Z54</f>
        <v>142.21428571428572</v>
      </c>
      <c r="AC54" s="348">
        <f t="shared" ref="AC54:AC68" si="58">RANK(AB54, $AB$53:$AB$70)</f>
        <v>5</v>
      </c>
      <c r="AD54" s="505"/>
      <c r="AE54" s="426">
        <v>14</v>
      </c>
      <c r="AF54" s="349">
        <v>2141</v>
      </c>
      <c r="AG54" s="342">
        <f t="shared" si="50"/>
        <v>152.92857142857142</v>
      </c>
      <c r="AH54" s="348">
        <f t="shared" si="51"/>
        <v>3</v>
      </c>
      <c r="AI54" s="505"/>
      <c r="AJ54" s="426">
        <v>14</v>
      </c>
      <c r="AK54" s="349">
        <v>2112</v>
      </c>
      <c r="AL54" s="342">
        <f t="shared" ref="AL54:AL69" si="59">AK54/AJ54</f>
        <v>150.85714285714286</v>
      </c>
      <c r="AM54" s="348">
        <f t="shared" ref="AM54:AM69" si="60">RANK(AL54,$AL$53:$AL$70)</f>
        <v>5</v>
      </c>
      <c r="AN54" s="505"/>
      <c r="AO54" s="426">
        <v>14</v>
      </c>
      <c r="AP54" s="349">
        <v>2126</v>
      </c>
      <c r="AQ54" s="342">
        <f t="shared" ref="AQ54:AQ68" si="61">AP54/AO54</f>
        <v>151.85714285714286</v>
      </c>
      <c r="AR54" s="348">
        <f t="shared" ref="AR54:AR68" si="62">RANK(AQ54,$AQ$53:$AQ$70)</f>
        <v>4</v>
      </c>
      <c r="AS54" s="505"/>
      <c r="AT54" s="426">
        <v>14</v>
      </c>
      <c r="AU54" s="349">
        <v>1948</v>
      </c>
      <c r="AV54" s="342">
        <f t="shared" ref="AV54:AV69" si="63">AU54/AT54</f>
        <v>139.14285714285714</v>
      </c>
      <c r="AW54" s="348">
        <f t="shared" ref="AW54:AW69" si="64">RANK(AV54,$AV$53:$AV$70)</f>
        <v>4</v>
      </c>
      <c r="AX54" s="505"/>
    </row>
    <row r="55" spans="2:50" x14ac:dyDescent="0.2">
      <c r="B55" s="486"/>
      <c r="C55" s="348">
        <v>3</v>
      </c>
      <c r="D55" s="348" t="s">
        <v>115</v>
      </c>
      <c r="E55" s="349">
        <f>VLOOKUP(D55,'07產線配置圖'!$A$2:$C$25,2,0)</f>
        <v>15</v>
      </c>
      <c r="F55" s="349">
        <f>VLOOKUP(D55,'07產線配置圖'!$A$2:$C$25,3,0)</f>
        <v>2250</v>
      </c>
      <c r="G55" s="342">
        <f t="shared" si="49"/>
        <v>150</v>
      </c>
      <c r="H55" s="480"/>
      <c r="I55" s="349">
        <f t="shared" si="52"/>
        <v>14</v>
      </c>
      <c r="J55" s="349">
        <f t="shared" si="52"/>
        <v>2125.7142857142858</v>
      </c>
      <c r="K55" s="342">
        <f t="shared" si="52"/>
        <v>151.83673469387756</v>
      </c>
      <c r="L55" s="480"/>
      <c r="M55" s="349">
        <f>RANK(K55, K$53:$K$70)</f>
        <v>3</v>
      </c>
      <c r="N55" s="490"/>
      <c r="O55" s="490"/>
      <c r="P55" s="349">
        <v>14</v>
      </c>
      <c r="Q55" s="349">
        <v>2159</v>
      </c>
      <c r="R55" s="342">
        <f t="shared" si="53"/>
        <v>154.21428571428572</v>
      </c>
      <c r="S55" s="348">
        <f t="shared" si="54"/>
        <v>2</v>
      </c>
      <c r="T55" s="505"/>
      <c r="U55" s="426">
        <v>14</v>
      </c>
      <c r="V55" s="349">
        <v>2075</v>
      </c>
      <c r="W55" s="342">
        <f t="shared" si="55"/>
        <v>148.21428571428572</v>
      </c>
      <c r="X55" s="348">
        <f t="shared" si="56"/>
        <v>5</v>
      </c>
      <c r="Y55" s="505"/>
      <c r="Z55" s="426">
        <v>14</v>
      </c>
      <c r="AA55" s="349">
        <v>2044</v>
      </c>
      <c r="AB55" s="342">
        <f t="shared" si="57"/>
        <v>146</v>
      </c>
      <c r="AC55" s="348">
        <f t="shared" si="58"/>
        <v>4</v>
      </c>
      <c r="AD55" s="505"/>
      <c r="AE55" s="426">
        <v>14</v>
      </c>
      <c r="AF55" s="349">
        <v>2122</v>
      </c>
      <c r="AG55" s="342">
        <f t="shared" si="50"/>
        <v>151.57142857142858</v>
      </c>
      <c r="AH55" s="348">
        <f t="shared" si="51"/>
        <v>5</v>
      </c>
      <c r="AI55" s="505"/>
      <c r="AJ55" s="426">
        <v>14</v>
      </c>
      <c r="AK55" s="349">
        <v>2180</v>
      </c>
      <c r="AL55" s="342">
        <f t="shared" si="59"/>
        <v>155.71428571428572</v>
      </c>
      <c r="AM55" s="348">
        <f t="shared" si="60"/>
        <v>3</v>
      </c>
      <c r="AN55" s="505"/>
      <c r="AO55" s="426">
        <v>14</v>
      </c>
      <c r="AP55" s="349">
        <v>2159</v>
      </c>
      <c r="AQ55" s="342">
        <f t="shared" si="61"/>
        <v>154.21428571428572</v>
      </c>
      <c r="AR55" s="348">
        <f t="shared" si="62"/>
        <v>3</v>
      </c>
      <c r="AS55" s="505"/>
      <c r="AT55" s="426">
        <v>14</v>
      </c>
      <c r="AU55" s="349">
        <v>2141</v>
      </c>
      <c r="AV55" s="342">
        <f t="shared" si="63"/>
        <v>152.92857142857142</v>
      </c>
      <c r="AW55" s="348">
        <f t="shared" si="64"/>
        <v>3</v>
      </c>
      <c r="AX55" s="505"/>
    </row>
    <row r="56" spans="2:50" x14ac:dyDescent="0.2">
      <c r="B56" s="486"/>
      <c r="C56" s="348">
        <v>4</v>
      </c>
      <c r="D56" s="348" t="s">
        <v>165</v>
      </c>
      <c r="E56" s="349">
        <f>VLOOKUP(D56,'07產線配置圖'!$A$2:$C$25,2,0)</f>
        <v>16</v>
      </c>
      <c r="F56" s="349">
        <f>VLOOKUP(D56,'07產線配置圖'!$A$2:$C$25,3,0)</f>
        <v>1800</v>
      </c>
      <c r="G56" s="342">
        <f t="shared" si="49"/>
        <v>112.5</v>
      </c>
      <c r="H56" s="480"/>
      <c r="I56" s="349">
        <f t="shared" si="52"/>
        <v>16</v>
      </c>
      <c r="J56" s="349">
        <f t="shared" si="52"/>
        <v>1592.5714285714287</v>
      </c>
      <c r="K56" s="342">
        <f t="shared" si="52"/>
        <v>99.535714285714292</v>
      </c>
      <c r="L56" s="480"/>
      <c r="M56" s="349">
        <f>RANK(K56, K$53:$K$70)</f>
        <v>8</v>
      </c>
      <c r="N56" s="490"/>
      <c r="O56" s="490"/>
      <c r="P56" s="349">
        <v>16</v>
      </c>
      <c r="Q56" s="349">
        <v>1594</v>
      </c>
      <c r="R56" s="342">
        <f t="shared" si="53"/>
        <v>99.625</v>
      </c>
      <c r="S56" s="348">
        <f t="shared" si="54"/>
        <v>9</v>
      </c>
      <c r="T56" s="505"/>
      <c r="U56" s="349">
        <v>16</v>
      </c>
      <c r="V56" s="349">
        <v>1595</v>
      </c>
      <c r="W56" s="342">
        <f t="shared" si="55"/>
        <v>99.6875</v>
      </c>
      <c r="X56" s="348">
        <f t="shared" si="56"/>
        <v>8</v>
      </c>
      <c r="Y56" s="505"/>
      <c r="Z56" s="349">
        <v>16</v>
      </c>
      <c r="AA56" s="349">
        <v>1526</v>
      </c>
      <c r="AB56" s="342">
        <f t="shared" si="57"/>
        <v>95.375</v>
      </c>
      <c r="AC56" s="348">
        <f t="shared" si="58"/>
        <v>8</v>
      </c>
      <c r="AD56" s="505"/>
      <c r="AE56" s="349">
        <v>16</v>
      </c>
      <c r="AF56" s="349">
        <v>1628</v>
      </c>
      <c r="AG56" s="342">
        <f>AF56/AE56</f>
        <v>101.75</v>
      </c>
      <c r="AH56" s="348">
        <f>RANK(AG56, $AG$53:$AG$70)</f>
        <v>8</v>
      </c>
      <c r="AI56" s="505"/>
      <c r="AJ56" s="349">
        <v>16</v>
      </c>
      <c r="AK56" s="349">
        <v>1595</v>
      </c>
      <c r="AL56" s="342">
        <f t="shared" si="59"/>
        <v>99.6875</v>
      </c>
      <c r="AM56" s="348">
        <f t="shared" si="60"/>
        <v>8</v>
      </c>
      <c r="AN56" s="505"/>
      <c r="AO56" s="349">
        <v>16</v>
      </c>
      <c r="AP56" s="349">
        <v>1672</v>
      </c>
      <c r="AQ56" s="342">
        <f t="shared" si="61"/>
        <v>104.5</v>
      </c>
      <c r="AR56" s="348">
        <f t="shared" si="62"/>
        <v>8</v>
      </c>
      <c r="AS56" s="505"/>
      <c r="AT56" s="349">
        <v>16</v>
      </c>
      <c r="AU56" s="349">
        <v>1538</v>
      </c>
      <c r="AV56" s="342">
        <f t="shared" si="63"/>
        <v>96.125</v>
      </c>
      <c r="AW56" s="348">
        <f t="shared" si="64"/>
        <v>8</v>
      </c>
      <c r="AX56" s="505"/>
    </row>
    <row r="57" spans="2:50" x14ac:dyDescent="0.2">
      <c r="B57" s="486"/>
      <c r="C57" s="348">
        <v>5</v>
      </c>
      <c r="D57" s="368" t="s">
        <v>114</v>
      </c>
      <c r="E57" s="349">
        <f>VLOOKUP(D57,'07產線配置圖'!$A$2:$C$25,2,0)</f>
        <v>14</v>
      </c>
      <c r="F57" s="349">
        <f>VLOOKUP(D57,'07產線配置圖'!$A$2:$C$25,3,0)</f>
        <v>2250</v>
      </c>
      <c r="G57" s="342">
        <f t="shared" si="49"/>
        <v>160.71428571428572</v>
      </c>
      <c r="H57" s="480"/>
      <c r="I57" s="349">
        <f t="shared" si="52"/>
        <v>13.142857142857142</v>
      </c>
      <c r="J57" s="349">
        <f t="shared" si="52"/>
        <v>2066.7142857142858</v>
      </c>
      <c r="K57" s="342">
        <f t="shared" si="52"/>
        <v>157.22605965463109</v>
      </c>
      <c r="L57" s="480"/>
      <c r="M57" s="349">
        <f>RANK(K57, K$53:$K$70)</f>
        <v>2</v>
      </c>
      <c r="N57" s="490"/>
      <c r="O57" s="490"/>
      <c r="P57" s="426">
        <v>13</v>
      </c>
      <c r="Q57" s="349">
        <v>1939</v>
      </c>
      <c r="R57" s="342">
        <f t="shared" si="53"/>
        <v>149.15384615384616</v>
      </c>
      <c r="S57" s="348">
        <f t="shared" si="54"/>
        <v>5</v>
      </c>
      <c r="T57" s="505"/>
      <c r="U57" s="426">
        <v>13</v>
      </c>
      <c r="V57" s="349">
        <v>2132</v>
      </c>
      <c r="W57" s="342">
        <f t="shared" si="55"/>
        <v>164</v>
      </c>
      <c r="X57" s="348">
        <f t="shared" si="56"/>
        <v>2</v>
      </c>
      <c r="Y57" s="505"/>
      <c r="Z57" s="426">
        <v>13</v>
      </c>
      <c r="AA57" s="349">
        <v>2052</v>
      </c>
      <c r="AB57" s="342">
        <f t="shared" si="57"/>
        <v>157.84615384615384</v>
      </c>
      <c r="AC57" s="348">
        <f t="shared" si="58"/>
        <v>2</v>
      </c>
      <c r="AD57" s="505"/>
      <c r="AE57" s="426">
        <v>13</v>
      </c>
      <c r="AF57" s="349">
        <v>1985</v>
      </c>
      <c r="AG57" s="342">
        <f t="shared" ref="AG57:AG69" si="65">AF57/AE57</f>
        <v>152.69230769230768</v>
      </c>
      <c r="AH57" s="348">
        <f t="shared" ref="AH57:AH69" si="66">RANK(AG57, $AG$53:$AG$70)</f>
        <v>4</v>
      </c>
      <c r="AI57" s="505"/>
      <c r="AJ57" s="426">
        <v>13</v>
      </c>
      <c r="AK57" s="349">
        <v>2068</v>
      </c>
      <c r="AL57" s="342">
        <f t="shared" si="59"/>
        <v>159.07692307692307</v>
      </c>
      <c r="AM57" s="348">
        <f t="shared" si="60"/>
        <v>2</v>
      </c>
      <c r="AN57" s="505"/>
      <c r="AO57" s="349">
        <v>14</v>
      </c>
      <c r="AP57" s="349">
        <v>2232</v>
      </c>
      <c r="AQ57" s="342">
        <f t="shared" si="61"/>
        <v>159.42857142857142</v>
      </c>
      <c r="AR57" s="348">
        <f t="shared" si="62"/>
        <v>2</v>
      </c>
      <c r="AS57" s="505"/>
      <c r="AT57" s="349">
        <v>13</v>
      </c>
      <c r="AU57" s="349">
        <v>2059</v>
      </c>
      <c r="AV57" s="342">
        <f t="shared" si="63"/>
        <v>158.38461538461539</v>
      </c>
      <c r="AW57" s="348">
        <f t="shared" si="64"/>
        <v>2</v>
      </c>
      <c r="AX57" s="505"/>
    </row>
    <row r="58" spans="2:50" x14ac:dyDescent="0.2">
      <c r="B58" s="486"/>
      <c r="C58" s="348">
        <v>6</v>
      </c>
      <c r="D58" s="348" t="s">
        <v>158</v>
      </c>
      <c r="E58" s="349">
        <f>VLOOKUP(D58,'07產線配置圖'!$A$2:$C$25,2,0)</f>
        <v>15</v>
      </c>
      <c r="F58" s="349">
        <f>VLOOKUP(D58,'07產線配置圖'!$A$2:$C$25,3,0)</f>
        <v>1714</v>
      </c>
      <c r="G58" s="342">
        <f t="shared" si="49"/>
        <v>114.26666666666667</v>
      </c>
      <c r="H58" s="480"/>
      <c r="I58" s="349">
        <f t="shared" si="52"/>
        <v>15</v>
      </c>
      <c r="J58" s="349">
        <f t="shared" si="52"/>
        <v>1582.1428571428571</v>
      </c>
      <c r="K58" s="342">
        <f t="shared" si="52"/>
        <v>105.47619047619047</v>
      </c>
      <c r="L58" s="480"/>
      <c r="M58" s="349">
        <f>RANK(K58, K$53:$K$70)</f>
        <v>7</v>
      </c>
      <c r="N58" s="490"/>
      <c r="O58" s="490"/>
      <c r="P58" s="349">
        <v>15</v>
      </c>
      <c r="Q58" s="349">
        <v>1497</v>
      </c>
      <c r="R58" s="342">
        <f t="shared" si="53"/>
        <v>99.8</v>
      </c>
      <c r="S58" s="348">
        <f t="shared" si="54"/>
        <v>8</v>
      </c>
      <c r="T58" s="505"/>
      <c r="U58" s="349">
        <v>15</v>
      </c>
      <c r="V58" s="349">
        <v>1590</v>
      </c>
      <c r="W58" s="342">
        <f t="shared" si="55"/>
        <v>106</v>
      </c>
      <c r="X58" s="348">
        <f t="shared" si="56"/>
        <v>7</v>
      </c>
      <c r="Y58" s="505"/>
      <c r="Z58" s="349">
        <v>15</v>
      </c>
      <c r="AA58" s="349">
        <v>1516</v>
      </c>
      <c r="AB58" s="342">
        <f t="shared" si="57"/>
        <v>101.06666666666666</v>
      </c>
      <c r="AC58" s="348">
        <f t="shared" si="58"/>
        <v>7</v>
      </c>
      <c r="AD58" s="505"/>
      <c r="AE58" s="349">
        <v>15</v>
      </c>
      <c r="AF58" s="349">
        <v>1611</v>
      </c>
      <c r="AG58" s="342">
        <f t="shared" si="65"/>
        <v>107.4</v>
      </c>
      <c r="AH58" s="348">
        <f t="shared" si="66"/>
        <v>7</v>
      </c>
      <c r="AI58" s="505"/>
      <c r="AJ58" s="349">
        <v>15</v>
      </c>
      <c r="AK58" s="349">
        <v>1532</v>
      </c>
      <c r="AL58" s="342">
        <f t="shared" si="59"/>
        <v>102.13333333333334</v>
      </c>
      <c r="AM58" s="348">
        <f t="shared" si="60"/>
        <v>7</v>
      </c>
      <c r="AN58" s="505"/>
      <c r="AO58" s="349">
        <v>15</v>
      </c>
      <c r="AP58" s="349">
        <v>1677</v>
      </c>
      <c r="AQ58" s="342">
        <f t="shared" si="61"/>
        <v>111.8</v>
      </c>
      <c r="AR58" s="348">
        <f t="shared" si="62"/>
        <v>7</v>
      </c>
      <c r="AS58" s="505"/>
      <c r="AT58" s="349">
        <v>15</v>
      </c>
      <c r="AU58" s="349">
        <v>1652</v>
      </c>
      <c r="AV58" s="342">
        <f t="shared" si="63"/>
        <v>110.13333333333334</v>
      </c>
      <c r="AW58" s="348">
        <f t="shared" si="64"/>
        <v>7</v>
      </c>
      <c r="AX58" s="505"/>
    </row>
    <row r="59" spans="2:50" x14ac:dyDescent="0.2">
      <c r="B59" s="486"/>
      <c r="C59" s="348">
        <v>7</v>
      </c>
      <c r="D59" s="348" t="s">
        <v>223</v>
      </c>
      <c r="E59" s="349">
        <f>VLOOKUP(D59,'07產線配置圖'!$A$2:$C$25,2,0)</f>
        <v>17</v>
      </c>
      <c r="F59" s="349">
        <f>VLOOKUP(D59,'07產線配置圖'!$A$2:$C$25,3,0)</f>
        <v>1800</v>
      </c>
      <c r="G59" s="342">
        <f t="shared" si="49"/>
        <v>105.88235294117646</v>
      </c>
      <c r="H59" s="480"/>
      <c r="I59" s="349">
        <f t="shared" ref="I59:I63" si="67">AVERAGE(P59,U59,Z59,AE59,AJ59,AO59,AT59)</f>
        <v>17</v>
      </c>
      <c r="J59" s="349">
        <f t="shared" ref="J59:J63" si="68">AVERAGE(Q59,V59,AA59,AF59,AK59,AP59,AU59)</f>
        <v>1641.5714285714287</v>
      </c>
      <c r="K59" s="342">
        <f t="shared" ref="K59:K63" si="69">AVERAGE(R59,W59,AB59,AG59,AL59,AQ59,AV59)</f>
        <v>96.563025210084035</v>
      </c>
      <c r="L59" s="480"/>
      <c r="M59" s="349">
        <f>RANK(K59, K$53:$K$70)</f>
        <v>9</v>
      </c>
      <c r="N59" s="490"/>
      <c r="O59" s="490"/>
      <c r="P59" s="349">
        <v>17</v>
      </c>
      <c r="Q59" s="349">
        <v>1722</v>
      </c>
      <c r="R59" s="342">
        <f t="shared" si="53"/>
        <v>101.29411764705883</v>
      </c>
      <c r="S59" s="348">
        <f t="shared" si="54"/>
        <v>7</v>
      </c>
      <c r="T59" s="505"/>
      <c r="U59" s="349">
        <v>17</v>
      </c>
      <c r="V59" s="349">
        <v>1679</v>
      </c>
      <c r="W59" s="342">
        <f t="shared" si="55"/>
        <v>98.764705882352942</v>
      </c>
      <c r="X59" s="348">
        <f t="shared" si="56"/>
        <v>9</v>
      </c>
      <c r="Y59" s="505"/>
      <c r="Z59" s="349">
        <v>17</v>
      </c>
      <c r="AA59" s="349">
        <v>1607</v>
      </c>
      <c r="AB59" s="342">
        <f t="shared" si="57"/>
        <v>94.529411764705884</v>
      </c>
      <c r="AC59" s="348">
        <f t="shared" si="58"/>
        <v>9</v>
      </c>
      <c r="AD59" s="505"/>
      <c r="AE59" s="349">
        <v>17</v>
      </c>
      <c r="AF59" s="349">
        <v>1682</v>
      </c>
      <c r="AG59" s="342">
        <f t="shared" si="65"/>
        <v>98.941176470588232</v>
      </c>
      <c r="AH59" s="348">
        <f t="shared" si="66"/>
        <v>9</v>
      </c>
      <c r="AI59" s="505"/>
      <c r="AJ59" s="349">
        <v>17</v>
      </c>
      <c r="AK59" s="349">
        <v>1694</v>
      </c>
      <c r="AL59" s="342">
        <f t="shared" si="59"/>
        <v>99.647058823529406</v>
      </c>
      <c r="AM59" s="348">
        <f t="shared" si="60"/>
        <v>9</v>
      </c>
      <c r="AN59" s="505"/>
      <c r="AO59" s="349">
        <v>17</v>
      </c>
      <c r="AP59" s="349">
        <v>1544</v>
      </c>
      <c r="AQ59" s="342">
        <f t="shared" si="61"/>
        <v>90.82352941176471</v>
      </c>
      <c r="AR59" s="348">
        <f t="shared" si="62"/>
        <v>11</v>
      </c>
      <c r="AS59" s="505"/>
      <c r="AT59" s="349">
        <v>17</v>
      </c>
      <c r="AU59" s="349">
        <v>1563</v>
      </c>
      <c r="AV59" s="342">
        <f t="shared" si="63"/>
        <v>91.941176470588232</v>
      </c>
      <c r="AW59" s="348">
        <f t="shared" si="64"/>
        <v>10</v>
      </c>
      <c r="AX59" s="505"/>
    </row>
    <row r="60" spans="2:50" x14ac:dyDescent="0.2">
      <c r="B60" s="486"/>
      <c r="C60" s="348">
        <v>8</v>
      </c>
      <c r="D60" s="348" t="s">
        <v>121</v>
      </c>
      <c r="E60" s="349">
        <f>VLOOKUP(D60,'07產線配置圖'!$A$2:$C$25,2,0)</f>
        <v>18</v>
      </c>
      <c r="F60" s="349">
        <f>VLOOKUP(D60,'07產線配置圖'!$A$2:$C$25,3,0)</f>
        <v>1636</v>
      </c>
      <c r="G60" s="342">
        <f t="shared" si="49"/>
        <v>90.888888888888886</v>
      </c>
      <c r="H60" s="480"/>
      <c r="I60" s="349">
        <f t="shared" si="67"/>
        <v>17.285714285714285</v>
      </c>
      <c r="J60" s="349">
        <f t="shared" si="68"/>
        <v>1415.4285714285713</v>
      </c>
      <c r="K60" s="342">
        <f t="shared" si="69"/>
        <v>82.007002801120436</v>
      </c>
      <c r="L60" s="480"/>
      <c r="M60" s="349">
        <f>RANK(K60, K$53:$K$70)</f>
        <v>15</v>
      </c>
      <c r="N60" s="490"/>
      <c r="O60" s="490"/>
      <c r="P60" s="352">
        <v>17</v>
      </c>
      <c r="Q60" s="349">
        <v>1415</v>
      </c>
      <c r="R60" s="340">
        <f t="shared" si="53"/>
        <v>83.235294117647058</v>
      </c>
      <c r="S60" s="348">
        <f t="shared" si="54"/>
        <v>13</v>
      </c>
      <c r="T60" s="505"/>
      <c r="U60" s="348">
        <v>18</v>
      </c>
      <c r="V60" s="349">
        <v>1477</v>
      </c>
      <c r="W60" s="340">
        <f t="shared" si="55"/>
        <v>82.055555555555557</v>
      </c>
      <c r="X60" s="348">
        <f t="shared" si="56"/>
        <v>16</v>
      </c>
      <c r="Y60" s="505"/>
      <c r="Z60" s="348">
        <v>18</v>
      </c>
      <c r="AA60" s="349">
        <v>1359</v>
      </c>
      <c r="AB60" s="340">
        <f t="shared" si="57"/>
        <v>75.5</v>
      </c>
      <c r="AC60" s="348">
        <f t="shared" si="58"/>
        <v>16</v>
      </c>
      <c r="AD60" s="505"/>
      <c r="AE60" s="352">
        <v>17</v>
      </c>
      <c r="AF60" s="349">
        <v>1456</v>
      </c>
      <c r="AG60" s="340">
        <f t="shared" si="65"/>
        <v>85.647058823529406</v>
      </c>
      <c r="AH60" s="348">
        <f t="shared" si="66"/>
        <v>13</v>
      </c>
      <c r="AI60" s="505"/>
      <c r="AJ60" s="352">
        <v>15</v>
      </c>
      <c r="AK60" s="349">
        <v>1280</v>
      </c>
      <c r="AL60" s="340">
        <f t="shared" si="59"/>
        <v>85.333333333333329</v>
      </c>
      <c r="AM60" s="348">
        <f t="shared" si="60"/>
        <v>14</v>
      </c>
      <c r="AN60" s="505"/>
      <c r="AO60" s="348">
        <v>18</v>
      </c>
      <c r="AP60" s="349">
        <v>1419</v>
      </c>
      <c r="AQ60" s="340">
        <f t="shared" si="61"/>
        <v>78.833333333333329</v>
      </c>
      <c r="AR60" s="348">
        <f t="shared" si="62"/>
        <v>16</v>
      </c>
      <c r="AS60" s="505"/>
      <c r="AT60" s="348">
        <v>18</v>
      </c>
      <c r="AU60" s="349">
        <v>1502</v>
      </c>
      <c r="AV60" s="340">
        <f t="shared" si="63"/>
        <v>83.444444444444443</v>
      </c>
      <c r="AW60" s="348">
        <f t="shared" si="64"/>
        <v>13</v>
      </c>
      <c r="AX60" s="505"/>
    </row>
    <row r="61" spans="2:50" x14ac:dyDescent="0.2">
      <c r="B61" s="486"/>
      <c r="C61" s="348">
        <v>9</v>
      </c>
      <c r="D61" s="348" t="s">
        <v>378</v>
      </c>
      <c r="E61" s="349">
        <f>VLOOKUP(D61,'07產線配置圖'!$A$2:$C$25,2,0)</f>
        <v>17</v>
      </c>
      <c r="F61" s="349">
        <f>VLOOKUP(D61,'07產線配置圖'!$A$2:$C$25,3,0)</f>
        <v>1716</v>
      </c>
      <c r="G61" s="342">
        <f t="shared" si="49"/>
        <v>100.94117647058823</v>
      </c>
      <c r="H61" s="480"/>
      <c r="I61" s="349">
        <f t="shared" si="67"/>
        <v>15.285714285714286</v>
      </c>
      <c r="J61" s="349">
        <f t="shared" si="68"/>
        <v>1146.7142857142858</v>
      </c>
      <c r="K61" s="342">
        <f t="shared" si="69"/>
        <v>74.877180872348944</v>
      </c>
      <c r="L61" s="480"/>
      <c r="M61" s="349">
        <f>RANK(K61, K$53:$K$70)</f>
        <v>17</v>
      </c>
      <c r="N61" s="490"/>
      <c r="O61" s="490"/>
      <c r="P61" s="348">
        <v>17</v>
      </c>
      <c r="Q61" s="349">
        <v>1328</v>
      </c>
      <c r="R61" s="340">
        <f t="shared" si="53"/>
        <v>78.117647058823536</v>
      </c>
      <c r="S61" s="348">
        <f t="shared" si="54"/>
        <v>16</v>
      </c>
      <c r="T61" s="505"/>
      <c r="U61" s="352">
        <v>16</v>
      </c>
      <c r="V61" s="349">
        <v>1186</v>
      </c>
      <c r="W61" s="340">
        <f t="shared" si="55"/>
        <v>74.125</v>
      </c>
      <c r="X61" s="348">
        <f t="shared" si="56"/>
        <v>17</v>
      </c>
      <c r="Y61" s="505"/>
      <c r="Z61" s="352">
        <v>15</v>
      </c>
      <c r="AA61" s="349">
        <v>1148</v>
      </c>
      <c r="AB61" s="340">
        <f t="shared" si="57"/>
        <v>76.533333333333331</v>
      </c>
      <c r="AC61" s="348">
        <f t="shared" si="58"/>
        <v>15</v>
      </c>
      <c r="AD61" s="505"/>
      <c r="AE61" s="352">
        <v>14</v>
      </c>
      <c r="AF61" s="349">
        <v>898</v>
      </c>
      <c r="AG61" s="340">
        <f t="shared" si="65"/>
        <v>64.142857142857139</v>
      </c>
      <c r="AH61" s="348">
        <f t="shared" si="66"/>
        <v>17</v>
      </c>
      <c r="AI61" s="505"/>
      <c r="AJ61" s="352">
        <v>14</v>
      </c>
      <c r="AK61" s="349">
        <v>1086</v>
      </c>
      <c r="AL61" s="340">
        <f t="shared" si="59"/>
        <v>77.571428571428569</v>
      </c>
      <c r="AM61" s="348">
        <f t="shared" si="60"/>
        <v>16</v>
      </c>
      <c r="AN61" s="505"/>
      <c r="AO61" s="352">
        <v>15</v>
      </c>
      <c r="AP61" s="349">
        <v>1161</v>
      </c>
      <c r="AQ61" s="340">
        <f t="shared" si="61"/>
        <v>77.400000000000006</v>
      </c>
      <c r="AR61" s="348">
        <f t="shared" si="62"/>
        <v>17</v>
      </c>
      <c r="AS61" s="505"/>
      <c r="AT61" s="352">
        <v>16</v>
      </c>
      <c r="AU61" s="349">
        <v>1220</v>
      </c>
      <c r="AV61" s="340">
        <f t="shared" si="63"/>
        <v>76.25</v>
      </c>
      <c r="AW61" s="348">
        <f t="shared" si="64"/>
        <v>16</v>
      </c>
      <c r="AX61" s="505"/>
    </row>
    <row r="62" spans="2:50" x14ac:dyDescent="0.2">
      <c r="B62" s="486"/>
      <c r="C62" s="348">
        <v>10</v>
      </c>
      <c r="D62" s="348" t="s">
        <v>117</v>
      </c>
      <c r="E62" s="349">
        <f>VLOOKUP(D62,'07產線配置圖'!$A$2:$C$25,2,0)</f>
        <v>15</v>
      </c>
      <c r="F62" s="349">
        <f>VLOOKUP(D62,'07產線配置圖'!$A$2:$C$25,3,0)</f>
        <v>2250</v>
      </c>
      <c r="G62" s="342">
        <f t="shared" si="49"/>
        <v>150</v>
      </c>
      <c r="H62" s="480"/>
      <c r="I62" s="349">
        <f t="shared" si="67"/>
        <v>14</v>
      </c>
      <c r="J62" s="349">
        <f t="shared" si="68"/>
        <v>2017.4285714285713</v>
      </c>
      <c r="K62" s="342">
        <f t="shared" si="69"/>
        <v>144.10204081632654</v>
      </c>
      <c r="L62" s="480"/>
      <c r="M62" s="349">
        <f>RANK(K62, K$53:$K$70)</f>
        <v>6</v>
      </c>
      <c r="N62" s="490"/>
      <c r="O62" s="490"/>
      <c r="P62" s="348">
        <v>14</v>
      </c>
      <c r="Q62" s="349">
        <v>1788</v>
      </c>
      <c r="R62" s="342">
        <f t="shared" si="53"/>
        <v>127.71428571428571</v>
      </c>
      <c r="S62" s="348">
        <f t="shared" si="54"/>
        <v>6</v>
      </c>
      <c r="T62" s="505"/>
      <c r="U62" s="352">
        <v>14</v>
      </c>
      <c r="V62" s="349">
        <v>1929</v>
      </c>
      <c r="W62" s="342">
        <f t="shared" si="55"/>
        <v>137.78571428571428</v>
      </c>
      <c r="X62" s="348">
        <f t="shared" si="56"/>
        <v>6</v>
      </c>
      <c r="Y62" s="505"/>
      <c r="Z62" s="352">
        <v>14</v>
      </c>
      <c r="AA62" s="349">
        <v>2173</v>
      </c>
      <c r="AB62" s="342">
        <f t="shared" si="57"/>
        <v>155.21428571428572</v>
      </c>
      <c r="AC62" s="348">
        <f t="shared" si="58"/>
        <v>3</v>
      </c>
      <c r="AD62" s="505"/>
      <c r="AE62" s="352">
        <v>14</v>
      </c>
      <c r="AF62" s="349">
        <v>2150</v>
      </c>
      <c r="AG62" s="342">
        <f t="shared" si="65"/>
        <v>153.57142857142858</v>
      </c>
      <c r="AH62" s="348">
        <f t="shared" si="66"/>
        <v>2</v>
      </c>
      <c r="AI62" s="505"/>
      <c r="AJ62" s="352">
        <v>14</v>
      </c>
      <c r="AK62" s="349">
        <v>2119</v>
      </c>
      <c r="AL62" s="342">
        <f t="shared" si="59"/>
        <v>151.35714285714286</v>
      </c>
      <c r="AM62" s="348">
        <f t="shared" si="60"/>
        <v>4</v>
      </c>
      <c r="AN62" s="505"/>
      <c r="AO62" s="352">
        <v>14</v>
      </c>
      <c r="AP62" s="349">
        <v>2019</v>
      </c>
      <c r="AQ62" s="342">
        <f t="shared" si="61"/>
        <v>144.21428571428572</v>
      </c>
      <c r="AR62" s="348">
        <f t="shared" si="62"/>
        <v>6</v>
      </c>
      <c r="AS62" s="505"/>
      <c r="AT62" s="352">
        <v>14</v>
      </c>
      <c r="AU62" s="349">
        <v>1944</v>
      </c>
      <c r="AV62" s="342">
        <f t="shared" si="63"/>
        <v>138.85714285714286</v>
      </c>
      <c r="AW62" s="348">
        <f t="shared" si="64"/>
        <v>6</v>
      </c>
      <c r="AX62" s="505"/>
    </row>
    <row r="63" spans="2:50" x14ac:dyDescent="0.2">
      <c r="B63" s="486"/>
      <c r="C63" s="348">
        <v>11</v>
      </c>
      <c r="D63" s="348" t="s">
        <v>127</v>
      </c>
      <c r="E63" s="349">
        <f>VLOOKUP(D63,'07產線配置圖'!$A$2:$C$25,2,0)</f>
        <v>17</v>
      </c>
      <c r="F63" s="349">
        <f>VLOOKUP(D63,'07產線配置圖'!$A$2:$C$25,3,0)</f>
        <v>1636</v>
      </c>
      <c r="G63" s="342">
        <f t="shared" si="49"/>
        <v>96.235294117647058</v>
      </c>
      <c r="H63" s="480"/>
      <c r="I63" s="349">
        <f t="shared" si="67"/>
        <v>16.857142857142858</v>
      </c>
      <c r="J63" s="349">
        <f t="shared" si="68"/>
        <v>1437.7142857142858</v>
      </c>
      <c r="K63" s="342">
        <f t="shared" si="69"/>
        <v>85.292016806722685</v>
      </c>
      <c r="L63" s="480"/>
      <c r="M63" s="349">
        <f>RANK(K63, K$53:$K$70)</f>
        <v>13</v>
      </c>
      <c r="N63" s="490"/>
      <c r="O63" s="490"/>
      <c r="P63" s="348">
        <v>17</v>
      </c>
      <c r="Q63" s="348">
        <v>1405</v>
      </c>
      <c r="R63" s="340">
        <f t="shared" si="53"/>
        <v>82.647058823529406</v>
      </c>
      <c r="S63" s="348">
        <f t="shared" si="54"/>
        <v>14</v>
      </c>
      <c r="T63" s="505"/>
      <c r="U63" s="348">
        <v>17</v>
      </c>
      <c r="V63" s="348">
        <v>1414</v>
      </c>
      <c r="W63" s="340">
        <f t="shared" si="55"/>
        <v>83.17647058823529</v>
      </c>
      <c r="X63" s="348">
        <f t="shared" si="56"/>
        <v>15</v>
      </c>
      <c r="Y63" s="505"/>
      <c r="Z63" s="348">
        <v>17</v>
      </c>
      <c r="AA63" s="348">
        <v>1282</v>
      </c>
      <c r="AB63" s="340">
        <f t="shared" si="57"/>
        <v>75.411764705882348</v>
      </c>
      <c r="AC63" s="348">
        <f t="shared" si="58"/>
        <v>17</v>
      </c>
      <c r="AD63" s="505"/>
      <c r="AE63" s="348">
        <v>17</v>
      </c>
      <c r="AF63" s="348">
        <v>1515</v>
      </c>
      <c r="AG63" s="340">
        <f t="shared" si="65"/>
        <v>89.117647058823536</v>
      </c>
      <c r="AH63" s="348">
        <f t="shared" si="66"/>
        <v>11</v>
      </c>
      <c r="AI63" s="505"/>
      <c r="AJ63" s="348">
        <v>17</v>
      </c>
      <c r="AK63" s="348">
        <v>1580</v>
      </c>
      <c r="AL63" s="342">
        <f t="shared" si="59"/>
        <v>92.941176470588232</v>
      </c>
      <c r="AM63" s="348">
        <f t="shared" si="60"/>
        <v>11</v>
      </c>
      <c r="AN63" s="505"/>
      <c r="AO63" s="352">
        <v>16</v>
      </c>
      <c r="AP63" s="348">
        <v>1372</v>
      </c>
      <c r="AQ63" s="340">
        <f t="shared" si="61"/>
        <v>85.75</v>
      </c>
      <c r="AR63" s="348">
        <f t="shared" si="62"/>
        <v>13</v>
      </c>
      <c r="AS63" s="505"/>
      <c r="AT63" s="348">
        <v>17</v>
      </c>
      <c r="AU63" s="348">
        <v>1496</v>
      </c>
      <c r="AV63" s="340">
        <f t="shared" si="63"/>
        <v>88</v>
      </c>
      <c r="AW63" s="348">
        <f t="shared" si="64"/>
        <v>12</v>
      </c>
      <c r="AX63" s="505"/>
    </row>
    <row r="64" spans="2:50" x14ac:dyDescent="0.2">
      <c r="B64" s="486"/>
      <c r="C64" s="348">
        <v>12</v>
      </c>
      <c r="D64" s="348" t="s">
        <v>125</v>
      </c>
      <c r="E64" s="349">
        <f>VLOOKUP(D64,'07產線配置圖'!$A$2:$C$25,2,0)</f>
        <v>18</v>
      </c>
      <c r="F64" s="349">
        <f>VLOOKUP(D64,'07產線配置圖'!$A$2:$C$25,3,0)</f>
        <v>1636</v>
      </c>
      <c r="G64" s="342">
        <f t="shared" si="49"/>
        <v>90.888888888888886</v>
      </c>
      <c r="H64" s="480"/>
      <c r="I64" s="349">
        <f>AVERAGE(P64,U64,Z64,AE64,AJ64,AO64,AT64)</f>
        <v>17.285714285714285</v>
      </c>
      <c r="J64" s="349">
        <f>AVERAGE(Q64,V64,AA64,AF64,AK64,AP64,AU64)</f>
        <v>1466.7142857142858</v>
      </c>
      <c r="K64" s="342">
        <f>AVERAGE(R64,W64,AB64,AG64,AL64,AQ64,AV64)</f>
        <v>84.82259570494864</v>
      </c>
      <c r="L64" s="480"/>
      <c r="M64" s="349">
        <f>RANK(K64, K$53:$K$70)</f>
        <v>14</v>
      </c>
      <c r="N64" s="490"/>
      <c r="O64" s="490"/>
      <c r="P64" s="348">
        <v>18</v>
      </c>
      <c r="Q64" s="348">
        <v>1563</v>
      </c>
      <c r="R64" s="340">
        <f t="shared" si="53"/>
        <v>86.833333333333329</v>
      </c>
      <c r="S64" s="348">
        <f t="shared" si="54"/>
        <v>12</v>
      </c>
      <c r="T64" s="505"/>
      <c r="U64" s="348">
        <v>18</v>
      </c>
      <c r="V64" s="348">
        <v>1553</v>
      </c>
      <c r="W64" s="340">
        <f t="shared" si="55"/>
        <v>86.277777777777771</v>
      </c>
      <c r="X64" s="348">
        <f t="shared" si="56"/>
        <v>13</v>
      </c>
      <c r="Y64" s="505"/>
      <c r="Z64" s="352">
        <v>17</v>
      </c>
      <c r="AA64" s="348">
        <v>1448</v>
      </c>
      <c r="AB64" s="342">
        <f t="shared" si="57"/>
        <v>85.17647058823529</v>
      </c>
      <c r="AC64" s="348">
        <f t="shared" si="58"/>
        <v>13</v>
      </c>
      <c r="AD64" s="505"/>
      <c r="AE64" s="352">
        <v>17</v>
      </c>
      <c r="AF64" s="348">
        <v>1461</v>
      </c>
      <c r="AG64" s="340">
        <f t="shared" si="65"/>
        <v>85.941176470588232</v>
      </c>
      <c r="AH64" s="348">
        <f t="shared" si="66"/>
        <v>12</v>
      </c>
      <c r="AI64" s="505"/>
      <c r="AJ64" s="352">
        <v>17</v>
      </c>
      <c r="AK64" s="348">
        <v>1474</v>
      </c>
      <c r="AL64" s="342">
        <f t="shared" si="59"/>
        <v>86.705882352941174</v>
      </c>
      <c r="AM64" s="348">
        <f t="shared" si="60"/>
        <v>13</v>
      </c>
      <c r="AN64" s="505"/>
      <c r="AO64" s="352">
        <v>17</v>
      </c>
      <c r="AP64" s="348">
        <v>1427</v>
      </c>
      <c r="AQ64" s="340">
        <f t="shared" si="61"/>
        <v>83.941176470588232</v>
      </c>
      <c r="AR64" s="348">
        <f t="shared" si="62"/>
        <v>14</v>
      </c>
      <c r="AS64" s="505"/>
      <c r="AT64" s="352">
        <v>17</v>
      </c>
      <c r="AU64" s="348">
        <v>1341</v>
      </c>
      <c r="AV64" s="340">
        <f t="shared" si="63"/>
        <v>78.882352941176464</v>
      </c>
      <c r="AW64" s="348">
        <f t="shared" si="64"/>
        <v>15</v>
      </c>
      <c r="AX64" s="505"/>
    </row>
    <row r="65" spans="2:50" x14ac:dyDescent="0.2">
      <c r="B65" s="486"/>
      <c r="C65" s="348">
        <v>13</v>
      </c>
      <c r="D65" s="348" t="s">
        <v>123</v>
      </c>
      <c r="E65" s="349">
        <f>VLOOKUP(D65,'07產線配置圖'!$A$2:$C$25,2,0)</f>
        <v>18</v>
      </c>
      <c r="F65" s="349">
        <f>VLOOKUP(D65,'07產線配置圖'!$A$2:$C$25,3,0)</f>
        <v>1565</v>
      </c>
      <c r="G65" s="342">
        <f t="shared" si="49"/>
        <v>86.944444444444443</v>
      </c>
      <c r="H65" s="480"/>
      <c r="I65" s="349">
        <f t="shared" ref="I65:K66" si="70">AVERAGE(P65,U65,Z65,AE65,AJ65,AO65,AT65)</f>
        <v>17.142857142857142</v>
      </c>
      <c r="J65" s="349">
        <f t="shared" si="70"/>
        <v>1373</v>
      </c>
      <c r="K65" s="342">
        <f t="shared" si="70"/>
        <v>80.048611111111114</v>
      </c>
      <c r="L65" s="480"/>
      <c r="M65" s="349">
        <f>RANK(K65, K$53:$K$70)</f>
        <v>16</v>
      </c>
      <c r="N65" s="490"/>
      <c r="O65" s="490"/>
      <c r="P65" s="348">
        <v>18</v>
      </c>
      <c r="Q65" s="348">
        <v>1487</v>
      </c>
      <c r="R65" s="340">
        <f t="shared" si="53"/>
        <v>82.611111111111114</v>
      </c>
      <c r="S65" s="348">
        <f t="shared" si="54"/>
        <v>15</v>
      </c>
      <c r="T65" s="505"/>
      <c r="U65" s="348">
        <v>18</v>
      </c>
      <c r="V65" s="348">
        <v>1506</v>
      </c>
      <c r="W65" s="340">
        <f t="shared" si="55"/>
        <v>83.666666666666671</v>
      </c>
      <c r="X65" s="348">
        <f t="shared" si="56"/>
        <v>14</v>
      </c>
      <c r="Y65" s="505"/>
      <c r="Z65" s="352">
        <v>17</v>
      </c>
      <c r="AA65" s="348">
        <v>1369</v>
      </c>
      <c r="AB65" s="340">
        <f t="shared" si="57"/>
        <v>80.529411764705884</v>
      </c>
      <c r="AC65" s="348">
        <f t="shared" si="58"/>
        <v>14</v>
      </c>
      <c r="AD65" s="505"/>
      <c r="AE65" s="352">
        <v>17</v>
      </c>
      <c r="AF65" s="348">
        <v>1426</v>
      </c>
      <c r="AG65" s="340">
        <f t="shared" si="65"/>
        <v>83.882352941176464</v>
      </c>
      <c r="AH65" s="348">
        <f t="shared" si="66"/>
        <v>14</v>
      </c>
      <c r="AI65" s="505"/>
      <c r="AJ65" s="352">
        <v>17</v>
      </c>
      <c r="AK65" s="348">
        <v>1296</v>
      </c>
      <c r="AL65" s="340">
        <f t="shared" si="59"/>
        <v>76.235294117647058</v>
      </c>
      <c r="AM65" s="348">
        <f t="shared" si="60"/>
        <v>17</v>
      </c>
      <c r="AN65" s="505"/>
      <c r="AO65" s="352">
        <v>16</v>
      </c>
      <c r="AP65" s="348">
        <v>1297</v>
      </c>
      <c r="AQ65" s="340">
        <f t="shared" si="61"/>
        <v>81.0625</v>
      </c>
      <c r="AR65" s="348">
        <f t="shared" si="62"/>
        <v>15</v>
      </c>
      <c r="AS65" s="505"/>
      <c r="AT65" s="352">
        <v>17</v>
      </c>
      <c r="AU65" s="348">
        <v>1230</v>
      </c>
      <c r="AV65" s="340">
        <f t="shared" si="63"/>
        <v>72.352941176470594</v>
      </c>
      <c r="AW65" s="348">
        <f t="shared" si="64"/>
        <v>17</v>
      </c>
      <c r="AX65" s="505"/>
    </row>
    <row r="66" spans="2:50" x14ac:dyDescent="0.2">
      <c r="B66" s="486"/>
      <c r="C66" s="348">
        <v>14</v>
      </c>
      <c r="D66" s="348" t="s">
        <v>170</v>
      </c>
      <c r="E66" s="349">
        <f>VLOOKUP(D66,'07產線配置圖'!$A$2:$C$25,2,0)</f>
        <v>17</v>
      </c>
      <c r="F66" s="349">
        <f>VLOOKUP(D66,'07產線配置圖'!$A$2:$C$25,3,0)</f>
        <v>1500</v>
      </c>
      <c r="G66" s="342">
        <f t="shared" si="49"/>
        <v>88.235294117647058</v>
      </c>
      <c r="H66" s="480"/>
      <c r="I66" s="349">
        <f t="shared" si="70"/>
        <v>16.714285714285715</v>
      </c>
      <c r="J66" s="349">
        <f t="shared" si="70"/>
        <v>1429</v>
      </c>
      <c r="K66" s="342">
        <f t="shared" si="70"/>
        <v>85.303641456582639</v>
      </c>
      <c r="L66" s="480"/>
      <c r="M66" s="349">
        <f>RANK(K66, K$53:$K$70)</f>
        <v>12</v>
      </c>
      <c r="N66" s="490"/>
      <c r="O66" s="490"/>
      <c r="P66" s="352">
        <v>15</v>
      </c>
      <c r="Q66" s="348">
        <v>1111</v>
      </c>
      <c r="R66" s="340">
        <f t="shared" si="53"/>
        <v>74.066666666666663</v>
      </c>
      <c r="S66" s="348">
        <f t="shared" si="54"/>
        <v>17</v>
      </c>
      <c r="T66" s="505"/>
      <c r="U66" s="348">
        <v>17</v>
      </c>
      <c r="V66" s="348">
        <v>1533</v>
      </c>
      <c r="W66" s="342">
        <f t="shared" si="55"/>
        <v>90.17647058823529</v>
      </c>
      <c r="X66" s="348">
        <f t="shared" si="56"/>
        <v>12</v>
      </c>
      <c r="Y66" s="505"/>
      <c r="Z66" s="348">
        <v>17</v>
      </c>
      <c r="AA66" s="348">
        <v>1535</v>
      </c>
      <c r="AB66" s="342">
        <f t="shared" si="57"/>
        <v>90.294117647058826</v>
      </c>
      <c r="AC66" s="348">
        <f t="shared" si="58"/>
        <v>11</v>
      </c>
      <c r="AD66" s="505"/>
      <c r="AE66" s="348">
        <v>17</v>
      </c>
      <c r="AF66" s="348">
        <v>1401</v>
      </c>
      <c r="AG66" s="340">
        <f t="shared" si="65"/>
        <v>82.411764705882348</v>
      </c>
      <c r="AH66" s="348">
        <f t="shared" si="66"/>
        <v>16</v>
      </c>
      <c r="AI66" s="505"/>
      <c r="AJ66" s="348">
        <v>17</v>
      </c>
      <c r="AK66" s="348">
        <v>1426</v>
      </c>
      <c r="AL66" s="340">
        <f t="shared" si="59"/>
        <v>83.882352941176464</v>
      </c>
      <c r="AM66" s="348">
        <f t="shared" si="60"/>
        <v>15</v>
      </c>
      <c r="AN66" s="505"/>
      <c r="AO66" s="348">
        <v>17</v>
      </c>
      <c r="AP66" s="348">
        <v>1480</v>
      </c>
      <c r="AQ66" s="340">
        <f t="shared" si="61"/>
        <v>87.058823529411768</v>
      </c>
      <c r="AR66" s="348">
        <f t="shared" si="62"/>
        <v>12</v>
      </c>
      <c r="AS66" s="505"/>
      <c r="AT66" s="348">
        <v>17</v>
      </c>
      <c r="AU66" s="348">
        <v>1517</v>
      </c>
      <c r="AV66" s="340">
        <f t="shared" si="63"/>
        <v>89.235294117647058</v>
      </c>
      <c r="AW66" s="348">
        <f t="shared" si="64"/>
        <v>11</v>
      </c>
      <c r="AX66" s="505"/>
    </row>
    <row r="67" spans="2:50" x14ac:dyDescent="0.2">
      <c r="B67" s="486"/>
      <c r="C67" s="348">
        <v>15</v>
      </c>
      <c r="D67" s="348" t="s">
        <v>167</v>
      </c>
      <c r="E67" s="349">
        <f>VLOOKUP(D67,'07產線配置圖'!$A$2:$C$25,2,0)</f>
        <v>16</v>
      </c>
      <c r="F67" s="349">
        <f>VLOOKUP(D67,'07產線配置圖'!$A$2:$C$25,3,0)</f>
        <v>1500</v>
      </c>
      <c r="G67" s="342">
        <f t="shared" si="49"/>
        <v>93.75</v>
      </c>
      <c r="H67" s="480"/>
      <c r="I67" s="349">
        <f t="shared" ref="I67:I69" si="71">AVERAGE(P67,U67,Z67,AE67,AJ67,AO67,AT67)</f>
        <v>16</v>
      </c>
      <c r="J67" s="349">
        <f t="shared" ref="J67:J69" si="72">AVERAGE(Q67,V67,AA67,AF67,AK67,AP67,AU67)</f>
        <v>1519.2857142857142</v>
      </c>
      <c r="K67" s="342">
        <f t="shared" ref="K67:K69" si="73">AVERAGE(R67,W67,AB67,AG67,AL67,AQ67,AV67)</f>
        <v>94.955357142857139</v>
      </c>
      <c r="L67" s="480"/>
      <c r="M67" s="349">
        <f>RANK(K67, K$53:$K$70)</f>
        <v>10</v>
      </c>
      <c r="N67" s="490"/>
      <c r="O67" s="490"/>
      <c r="P67" s="348">
        <v>16</v>
      </c>
      <c r="Q67" s="348">
        <v>1551</v>
      </c>
      <c r="R67" s="342">
        <f t="shared" si="53"/>
        <v>96.9375</v>
      </c>
      <c r="S67" s="348">
        <f t="shared" si="54"/>
        <v>10</v>
      </c>
      <c r="T67" s="505"/>
      <c r="U67" s="348">
        <v>16</v>
      </c>
      <c r="V67" s="348">
        <v>1550</v>
      </c>
      <c r="W67" s="342">
        <f t="shared" si="55"/>
        <v>96.875</v>
      </c>
      <c r="X67" s="348">
        <f t="shared" si="56"/>
        <v>10</v>
      </c>
      <c r="Y67" s="505"/>
      <c r="Z67" s="348">
        <v>16</v>
      </c>
      <c r="AA67" s="348">
        <v>1482</v>
      </c>
      <c r="AB67" s="342">
        <f t="shared" si="57"/>
        <v>92.625</v>
      </c>
      <c r="AC67" s="348">
        <f t="shared" si="58"/>
        <v>10</v>
      </c>
      <c r="AD67" s="505"/>
      <c r="AE67" s="348">
        <v>16</v>
      </c>
      <c r="AF67" s="348">
        <v>1517</v>
      </c>
      <c r="AG67" s="342">
        <f t="shared" si="65"/>
        <v>94.8125</v>
      </c>
      <c r="AH67" s="348">
        <f t="shared" si="66"/>
        <v>10</v>
      </c>
      <c r="AI67" s="505"/>
      <c r="AJ67" s="348">
        <v>16</v>
      </c>
      <c r="AK67" s="348">
        <v>1505</v>
      </c>
      <c r="AL67" s="342">
        <f t="shared" si="59"/>
        <v>94.0625</v>
      </c>
      <c r="AM67" s="348">
        <f t="shared" si="60"/>
        <v>10</v>
      </c>
      <c r="AN67" s="505"/>
      <c r="AO67" s="348">
        <v>16</v>
      </c>
      <c r="AP67" s="348">
        <v>1501</v>
      </c>
      <c r="AQ67" s="342">
        <f t="shared" si="61"/>
        <v>93.8125</v>
      </c>
      <c r="AR67" s="348">
        <f t="shared" si="62"/>
        <v>9</v>
      </c>
      <c r="AS67" s="505"/>
      <c r="AT67" s="348">
        <v>16</v>
      </c>
      <c r="AU67" s="348">
        <v>1529</v>
      </c>
      <c r="AV67" s="342">
        <f t="shared" si="63"/>
        <v>95.5625</v>
      </c>
      <c r="AW67" s="348">
        <f t="shared" si="64"/>
        <v>9</v>
      </c>
      <c r="AX67" s="505"/>
    </row>
    <row r="68" spans="2:50" x14ac:dyDescent="0.2">
      <c r="B68" s="486"/>
      <c r="C68" s="348">
        <v>16</v>
      </c>
      <c r="D68" s="348" t="s">
        <v>175</v>
      </c>
      <c r="E68" s="349">
        <f>VLOOKUP(D68,'07產線配置圖'!$A$2:$C$25,2,0)</f>
        <v>16</v>
      </c>
      <c r="F68" s="349">
        <f>VLOOKUP(D68,'07產線配置圖'!$A$2:$C$25,3,0)</f>
        <v>2250</v>
      </c>
      <c r="G68" s="342">
        <f t="shared" si="49"/>
        <v>140.625</v>
      </c>
      <c r="H68" s="480"/>
      <c r="I68" s="349">
        <f t="shared" si="71"/>
        <v>14.142857142857142</v>
      </c>
      <c r="J68" s="349">
        <f t="shared" si="72"/>
        <v>2044.8571428571429</v>
      </c>
      <c r="K68" s="342">
        <f t="shared" si="73"/>
        <v>144.62789115646257</v>
      </c>
      <c r="L68" s="480"/>
      <c r="M68" s="349">
        <f>RANK(K68, K$53:$K$70)</f>
        <v>5</v>
      </c>
      <c r="N68" s="490"/>
      <c r="O68" s="490"/>
      <c r="P68" s="352">
        <v>14</v>
      </c>
      <c r="Q68" s="348">
        <v>2130</v>
      </c>
      <c r="R68" s="342">
        <f t="shared" si="53"/>
        <v>152.14285714285714</v>
      </c>
      <c r="S68" s="348">
        <f t="shared" si="54"/>
        <v>4</v>
      </c>
      <c r="T68" s="505"/>
      <c r="U68" s="352">
        <v>14</v>
      </c>
      <c r="V68" s="348">
        <v>2088</v>
      </c>
      <c r="W68" s="342">
        <f t="shared" si="55"/>
        <v>149.14285714285714</v>
      </c>
      <c r="X68" s="348">
        <f t="shared" si="56"/>
        <v>4</v>
      </c>
      <c r="Y68" s="505"/>
      <c r="Z68" s="352">
        <v>15</v>
      </c>
      <c r="AA68" s="348">
        <v>2107</v>
      </c>
      <c r="AB68" s="342">
        <f t="shared" si="57"/>
        <v>140.46666666666667</v>
      </c>
      <c r="AC68" s="348">
        <f t="shared" si="58"/>
        <v>6</v>
      </c>
      <c r="AD68" s="505"/>
      <c r="AE68" s="352">
        <v>14</v>
      </c>
      <c r="AF68" s="348">
        <v>1992</v>
      </c>
      <c r="AG68" s="342">
        <f t="shared" si="65"/>
        <v>142.28571428571428</v>
      </c>
      <c r="AH68" s="348">
        <f t="shared" si="66"/>
        <v>6</v>
      </c>
      <c r="AI68" s="505"/>
      <c r="AJ68" s="352">
        <v>14</v>
      </c>
      <c r="AK68" s="348">
        <v>1996</v>
      </c>
      <c r="AL68" s="342">
        <f t="shared" si="59"/>
        <v>142.57142857142858</v>
      </c>
      <c r="AM68" s="348">
        <f t="shared" si="60"/>
        <v>6</v>
      </c>
      <c r="AN68" s="505"/>
      <c r="AO68" s="352">
        <v>14</v>
      </c>
      <c r="AP68" s="348">
        <v>2055</v>
      </c>
      <c r="AQ68" s="342">
        <f t="shared" si="61"/>
        <v>146.78571428571428</v>
      </c>
      <c r="AR68" s="348">
        <f t="shared" si="62"/>
        <v>5</v>
      </c>
      <c r="AS68" s="505"/>
      <c r="AT68" s="352">
        <v>14</v>
      </c>
      <c r="AU68" s="348">
        <v>1946</v>
      </c>
      <c r="AV68" s="342">
        <f t="shared" si="63"/>
        <v>139</v>
      </c>
      <c r="AW68" s="348">
        <f t="shared" si="64"/>
        <v>5</v>
      </c>
      <c r="AX68" s="505"/>
    </row>
    <row r="69" spans="2:50" x14ac:dyDescent="0.2">
      <c r="B69" s="486"/>
      <c r="C69" s="348">
        <v>17</v>
      </c>
      <c r="D69" s="348" t="s">
        <v>379</v>
      </c>
      <c r="E69" s="349">
        <f>VLOOKUP(D69,'07產線配置圖'!$A$2:$C$25,2,0)</f>
        <v>17</v>
      </c>
      <c r="F69" s="349">
        <f>VLOOKUP(D69,'07產線配置圖'!$A$2:$C$25,3,0)</f>
        <v>1636</v>
      </c>
      <c r="G69" s="342">
        <f>F69/E69</f>
        <v>96.235294117647058</v>
      </c>
      <c r="H69" s="480"/>
      <c r="I69" s="349">
        <f t="shared" si="71"/>
        <v>13.857142857142858</v>
      </c>
      <c r="J69" s="349">
        <f t="shared" si="72"/>
        <v>1210.2857142857142</v>
      </c>
      <c r="K69" s="342">
        <f t="shared" si="73"/>
        <v>87.751898031940058</v>
      </c>
      <c r="L69" s="480"/>
      <c r="M69" s="349">
        <f>RANK(K69, K$53:$K$70)</f>
        <v>11</v>
      </c>
      <c r="N69" s="490"/>
      <c r="O69" s="490"/>
      <c r="P69" s="348">
        <v>17</v>
      </c>
      <c r="Q69" s="348">
        <v>1488</v>
      </c>
      <c r="R69" s="340">
        <f>Q69/P69</f>
        <v>87.529411764705884</v>
      </c>
      <c r="S69" s="348">
        <f>RANK(R69, $R$53:$R$70)</f>
        <v>11</v>
      </c>
      <c r="T69" s="505"/>
      <c r="U69" s="352">
        <v>12</v>
      </c>
      <c r="V69" s="348">
        <v>1107</v>
      </c>
      <c r="W69" s="342">
        <f>V69/U69</f>
        <v>92.25</v>
      </c>
      <c r="X69" s="348">
        <f>RANK(W69,$W$53:$W$70)</f>
        <v>11</v>
      </c>
      <c r="Y69" s="505"/>
      <c r="Z69" s="352">
        <v>14</v>
      </c>
      <c r="AA69" s="348">
        <v>1224</v>
      </c>
      <c r="AB69" s="340">
        <f>AA69/Z69</f>
        <v>87.428571428571431</v>
      </c>
      <c r="AC69" s="348">
        <f>RANK(AB69, $AB$53:$AB$70)</f>
        <v>12</v>
      </c>
      <c r="AD69" s="505"/>
      <c r="AE69" s="352">
        <v>15</v>
      </c>
      <c r="AF69" s="348">
        <v>1256</v>
      </c>
      <c r="AG69" s="340">
        <f t="shared" si="65"/>
        <v>83.733333333333334</v>
      </c>
      <c r="AH69" s="348">
        <f t="shared" si="66"/>
        <v>15</v>
      </c>
      <c r="AI69" s="505"/>
      <c r="AJ69" s="352">
        <v>11</v>
      </c>
      <c r="AK69" s="348">
        <v>983</v>
      </c>
      <c r="AL69" s="342">
        <f t="shared" si="59"/>
        <v>89.36363636363636</v>
      </c>
      <c r="AM69" s="348">
        <f t="shared" si="60"/>
        <v>12</v>
      </c>
      <c r="AN69" s="505"/>
      <c r="AO69" s="352">
        <v>12</v>
      </c>
      <c r="AP69" s="348">
        <v>1108</v>
      </c>
      <c r="AQ69" s="342">
        <f>AP69/AO69</f>
        <v>92.333333333333329</v>
      </c>
      <c r="AR69" s="348">
        <f>RANK(AQ69,$AQ$53:$AQ$70)</f>
        <v>10</v>
      </c>
      <c r="AS69" s="505"/>
      <c r="AT69" s="352">
        <v>16</v>
      </c>
      <c r="AU69" s="348">
        <v>1306</v>
      </c>
      <c r="AV69" s="340">
        <f t="shared" si="63"/>
        <v>81.625</v>
      </c>
      <c r="AW69" s="348">
        <f t="shared" si="64"/>
        <v>14</v>
      </c>
      <c r="AX69" s="505"/>
    </row>
    <row r="70" spans="2:50" x14ac:dyDescent="0.2">
      <c r="B70" s="486"/>
      <c r="C70" s="348">
        <v>18</v>
      </c>
      <c r="D70" s="348"/>
      <c r="E70" s="348"/>
      <c r="F70" s="348"/>
      <c r="G70" s="342"/>
      <c r="H70" s="481"/>
      <c r="I70" s="348"/>
      <c r="J70" s="349"/>
      <c r="K70" s="342"/>
      <c r="L70" s="481"/>
      <c r="M70" s="349"/>
      <c r="N70" s="490"/>
      <c r="O70" s="490"/>
      <c r="P70" s="348"/>
      <c r="Q70" s="348"/>
      <c r="R70" s="342"/>
      <c r="S70" s="348"/>
      <c r="T70" s="505"/>
      <c r="U70" s="348"/>
      <c r="V70" s="348"/>
      <c r="W70" s="342"/>
      <c r="X70" s="348"/>
      <c r="Y70" s="505"/>
      <c r="Z70" s="348"/>
      <c r="AA70" s="348"/>
      <c r="AB70" s="342"/>
      <c r="AC70" s="348"/>
      <c r="AD70" s="505"/>
      <c r="AE70" s="348"/>
      <c r="AF70" s="348"/>
      <c r="AG70" s="342"/>
      <c r="AH70" s="348"/>
      <c r="AI70" s="505"/>
      <c r="AJ70" s="348"/>
      <c r="AK70" s="348"/>
      <c r="AL70" s="342"/>
      <c r="AM70" s="348"/>
      <c r="AN70" s="505"/>
      <c r="AO70" s="348"/>
      <c r="AP70" s="348"/>
      <c r="AQ70" s="342"/>
      <c r="AR70" s="348"/>
      <c r="AS70" s="505"/>
      <c r="AT70" s="348"/>
      <c r="AU70" s="348"/>
      <c r="AV70" s="342"/>
      <c r="AW70" s="348"/>
      <c r="AX70" s="505"/>
    </row>
    <row r="71" spans="2:50" ht="15.75" x14ac:dyDescent="0.2">
      <c r="B71" s="491" t="s">
        <v>85</v>
      </c>
      <c r="C71" s="492"/>
      <c r="D71" s="492"/>
      <c r="E71" s="492"/>
      <c r="F71" s="492"/>
      <c r="G71" s="492"/>
      <c r="H71" s="492"/>
      <c r="I71" s="361"/>
      <c r="J71" s="361"/>
      <c r="K71" s="361"/>
      <c r="L71" s="361"/>
      <c r="M71" s="362"/>
      <c r="N71" s="494" t="s">
        <v>86</v>
      </c>
      <c r="O71" s="494" t="s">
        <v>45</v>
      </c>
      <c r="P71" s="485">
        <f>AT48+1</f>
        <v>46224</v>
      </c>
      <c r="Q71" s="486"/>
      <c r="R71" s="486"/>
      <c r="S71" s="486"/>
      <c r="T71" s="486"/>
      <c r="U71" s="485">
        <f>P71+1</f>
        <v>46225</v>
      </c>
      <c r="V71" s="486"/>
      <c r="W71" s="486"/>
      <c r="X71" s="486"/>
      <c r="Y71" s="486"/>
      <c r="Z71" s="485">
        <f>Z48+7</f>
        <v>46226</v>
      </c>
      <c r="AA71" s="486"/>
      <c r="AB71" s="486"/>
      <c r="AC71" s="486"/>
      <c r="AD71" s="486"/>
      <c r="AE71" s="485">
        <f>AE48+7</f>
        <v>46227</v>
      </c>
      <c r="AF71" s="486"/>
      <c r="AG71" s="486"/>
      <c r="AH71" s="486"/>
      <c r="AI71" s="486"/>
      <c r="AJ71" s="485">
        <f>AJ48+7</f>
        <v>46228</v>
      </c>
      <c r="AK71" s="486"/>
      <c r="AL71" s="486"/>
      <c r="AM71" s="486"/>
      <c r="AN71" s="486"/>
      <c r="AO71" s="485">
        <f>AO48+7</f>
        <v>46229</v>
      </c>
      <c r="AP71" s="486"/>
      <c r="AQ71" s="486"/>
      <c r="AR71" s="486"/>
      <c r="AS71" s="486"/>
      <c r="AT71" s="485">
        <f>AT48+7</f>
        <v>46230</v>
      </c>
      <c r="AU71" s="486"/>
      <c r="AV71" s="486"/>
      <c r="AW71" s="486"/>
      <c r="AX71" s="486"/>
    </row>
    <row r="72" spans="2:50" ht="15.75" x14ac:dyDescent="0.2">
      <c r="B72" s="493"/>
      <c r="C72" s="493"/>
      <c r="D72" s="493"/>
      <c r="E72" s="493"/>
      <c r="F72" s="493"/>
      <c r="G72" s="493"/>
      <c r="H72" s="493"/>
      <c r="I72" s="363"/>
      <c r="J72" s="363"/>
      <c r="K72" s="363"/>
      <c r="L72" s="363"/>
      <c r="M72" s="364"/>
      <c r="N72" s="496"/>
      <c r="O72" s="496"/>
      <c r="P72" s="485" t="s">
        <v>61</v>
      </c>
      <c r="Q72" s="486"/>
      <c r="R72" s="486"/>
      <c r="S72" s="486"/>
      <c r="T72" s="486"/>
      <c r="U72" s="485" t="s">
        <v>56</v>
      </c>
      <c r="V72" s="486"/>
      <c r="W72" s="486"/>
      <c r="X72" s="486"/>
      <c r="Y72" s="486"/>
      <c r="Z72" s="485" t="s">
        <v>57</v>
      </c>
      <c r="AA72" s="486"/>
      <c r="AB72" s="486"/>
      <c r="AC72" s="486"/>
      <c r="AD72" s="486"/>
      <c r="AE72" s="485" t="s">
        <v>58</v>
      </c>
      <c r="AF72" s="486"/>
      <c r="AG72" s="486"/>
      <c r="AH72" s="486"/>
      <c r="AI72" s="486"/>
      <c r="AJ72" s="485" t="s">
        <v>59</v>
      </c>
      <c r="AK72" s="486"/>
      <c r="AL72" s="486"/>
      <c r="AM72" s="486"/>
      <c r="AN72" s="486"/>
      <c r="AO72" s="485" t="s">
        <v>52</v>
      </c>
      <c r="AP72" s="486"/>
      <c r="AQ72" s="486"/>
      <c r="AR72" s="486"/>
      <c r="AS72" s="486"/>
      <c r="AT72" s="485" t="s">
        <v>60</v>
      </c>
      <c r="AU72" s="486"/>
      <c r="AV72" s="486"/>
      <c r="AW72" s="486"/>
      <c r="AX72" s="486"/>
    </row>
    <row r="73" spans="2:50" x14ac:dyDescent="0.2">
      <c r="B73" s="490" t="s">
        <v>41</v>
      </c>
      <c r="C73" s="497" t="s">
        <v>87</v>
      </c>
      <c r="D73" s="490"/>
      <c r="E73" s="490" t="s">
        <v>88</v>
      </c>
      <c r="F73" s="490"/>
      <c r="G73" s="490"/>
      <c r="H73" s="500" t="s">
        <v>89</v>
      </c>
      <c r="I73" s="490" t="s">
        <v>90</v>
      </c>
      <c r="J73" s="490"/>
      <c r="K73" s="490"/>
      <c r="L73" s="500" t="s">
        <v>89</v>
      </c>
      <c r="M73" s="506" t="s">
        <v>91</v>
      </c>
      <c r="N73" s="494"/>
      <c r="O73" s="494" t="s">
        <v>92</v>
      </c>
      <c r="P73" s="482" t="s">
        <v>93</v>
      </c>
      <c r="Q73" s="483"/>
      <c r="R73" s="483"/>
      <c r="S73" s="484"/>
      <c r="T73" s="490" t="s">
        <v>89</v>
      </c>
      <c r="U73" s="482" t="s">
        <v>93</v>
      </c>
      <c r="V73" s="483"/>
      <c r="W73" s="483"/>
      <c r="X73" s="484"/>
      <c r="Y73" s="490" t="s">
        <v>89</v>
      </c>
      <c r="Z73" s="482" t="s">
        <v>93</v>
      </c>
      <c r="AA73" s="483"/>
      <c r="AB73" s="483"/>
      <c r="AC73" s="484"/>
      <c r="AD73" s="490" t="s">
        <v>89</v>
      </c>
      <c r="AE73" s="482" t="s">
        <v>93</v>
      </c>
      <c r="AF73" s="483"/>
      <c r="AG73" s="483"/>
      <c r="AH73" s="484"/>
      <c r="AI73" s="490" t="s">
        <v>89</v>
      </c>
      <c r="AJ73" s="482" t="s">
        <v>93</v>
      </c>
      <c r="AK73" s="483"/>
      <c r="AL73" s="483"/>
      <c r="AM73" s="484"/>
      <c r="AN73" s="490" t="s">
        <v>89</v>
      </c>
      <c r="AO73" s="482" t="s">
        <v>93</v>
      </c>
      <c r="AP73" s="483"/>
      <c r="AQ73" s="483"/>
      <c r="AR73" s="484"/>
      <c r="AS73" s="490" t="s">
        <v>89</v>
      </c>
      <c r="AT73" s="482" t="s">
        <v>93</v>
      </c>
      <c r="AU73" s="483"/>
      <c r="AV73" s="483"/>
      <c r="AW73" s="484"/>
      <c r="AX73" s="490" t="s">
        <v>89</v>
      </c>
    </row>
    <row r="74" spans="2:50" x14ac:dyDescent="0.2">
      <c r="B74" s="490"/>
      <c r="C74" s="490"/>
      <c r="D74" s="490"/>
      <c r="E74" s="490" t="s">
        <v>94</v>
      </c>
      <c r="F74" s="490"/>
      <c r="G74" s="490"/>
      <c r="H74" s="501"/>
      <c r="I74" s="490" t="s">
        <v>94</v>
      </c>
      <c r="J74" s="490"/>
      <c r="K74" s="490"/>
      <c r="L74" s="501"/>
      <c r="M74" s="495"/>
      <c r="N74" s="495"/>
      <c r="O74" s="495"/>
      <c r="P74" s="482" t="s">
        <v>95</v>
      </c>
      <c r="Q74" s="483"/>
      <c r="R74" s="483"/>
      <c r="S74" s="484"/>
      <c r="T74" s="490"/>
      <c r="U74" s="482" t="s">
        <v>95</v>
      </c>
      <c r="V74" s="483"/>
      <c r="W74" s="483"/>
      <c r="X74" s="484"/>
      <c r="Y74" s="490"/>
      <c r="Z74" s="482" t="s">
        <v>95</v>
      </c>
      <c r="AA74" s="483"/>
      <c r="AB74" s="483"/>
      <c r="AC74" s="484"/>
      <c r="AD74" s="490"/>
      <c r="AE74" s="482" t="s">
        <v>95</v>
      </c>
      <c r="AF74" s="483"/>
      <c r="AG74" s="483"/>
      <c r="AH74" s="484"/>
      <c r="AI74" s="490"/>
      <c r="AJ74" s="482" t="s">
        <v>95</v>
      </c>
      <c r="AK74" s="483"/>
      <c r="AL74" s="483"/>
      <c r="AM74" s="484"/>
      <c r="AN74" s="490"/>
      <c r="AO74" s="482" t="s">
        <v>95</v>
      </c>
      <c r="AP74" s="483"/>
      <c r="AQ74" s="483"/>
      <c r="AR74" s="484"/>
      <c r="AS74" s="490"/>
      <c r="AT74" s="482" t="s">
        <v>95</v>
      </c>
      <c r="AU74" s="483"/>
      <c r="AV74" s="483"/>
      <c r="AW74" s="484"/>
      <c r="AX74" s="490"/>
    </row>
    <row r="75" spans="2:50" x14ac:dyDescent="0.2">
      <c r="B75" s="490"/>
      <c r="C75" s="490"/>
      <c r="D75" s="490"/>
      <c r="E75" s="365" t="s">
        <v>96</v>
      </c>
      <c r="F75" s="365" t="s">
        <v>97</v>
      </c>
      <c r="G75" s="365" t="s">
        <v>98</v>
      </c>
      <c r="H75" s="502"/>
      <c r="I75" s="365" t="s">
        <v>96</v>
      </c>
      <c r="J75" s="365" t="s">
        <v>97</v>
      </c>
      <c r="K75" s="365" t="s">
        <v>98</v>
      </c>
      <c r="L75" s="502"/>
      <c r="M75" s="496"/>
      <c r="N75" s="495"/>
      <c r="O75" s="495"/>
      <c r="P75" s="365" t="s">
        <v>96</v>
      </c>
      <c r="Q75" s="365" t="s">
        <v>97</v>
      </c>
      <c r="R75" s="365" t="s">
        <v>98</v>
      </c>
      <c r="S75" s="365" t="s">
        <v>91</v>
      </c>
      <c r="T75" s="490"/>
      <c r="U75" s="365" t="s">
        <v>96</v>
      </c>
      <c r="V75" s="365" t="s">
        <v>97</v>
      </c>
      <c r="W75" s="365" t="s">
        <v>98</v>
      </c>
      <c r="X75" s="365" t="s">
        <v>91</v>
      </c>
      <c r="Y75" s="490"/>
      <c r="Z75" s="365" t="s">
        <v>96</v>
      </c>
      <c r="AA75" s="365" t="s">
        <v>97</v>
      </c>
      <c r="AB75" s="365" t="s">
        <v>98</v>
      </c>
      <c r="AC75" s="365" t="s">
        <v>91</v>
      </c>
      <c r="AD75" s="490"/>
      <c r="AE75" s="365" t="s">
        <v>96</v>
      </c>
      <c r="AF75" s="365" t="s">
        <v>97</v>
      </c>
      <c r="AG75" s="365" t="s">
        <v>98</v>
      </c>
      <c r="AH75" s="365" t="s">
        <v>91</v>
      </c>
      <c r="AI75" s="490"/>
      <c r="AJ75" s="365" t="s">
        <v>96</v>
      </c>
      <c r="AK75" s="365" t="s">
        <v>97</v>
      </c>
      <c r="AL75" s="365" t="s">
        <v>98</v>
      </c>
      <c r="AM75" s="365" t="s">
        <v>91</v>
      </c>
      <c r="AN75" s="490"/>
      <c r="AO75" s="365" t="s">
        <v>96</v>
      </c>
      <c r="AP75" s="365" t="s">
        <v>97</v>
      </c>
      <c r="AQ75" s="365" t="s">
        <v>98</v>
      </c>
      <c r="AR75" s="365" t="s">
        <v>91</v>
      </c>
      <c r="AS75" s="490"/>
      <c r="AT75" s="365" t="s">
        <v>96</v>
      </c>
      <c r="AU75" s="365" t="s">
        <v>97</v>
      </c>
      <c r="AV75" s="365" t="s">
        <v>98</v>
      </c>
      <c r="AW75" s="365" t="s">
        <v>91</v>
      </c>
      <c r="AX75" s="490"/>
    </row>
    <row r="76" spans="2:50" ht="13.5" x14ac:dyDescent="0.2">
      <c r="B76" s="507" t="s">
        <v>334</v>
      </c>
      <c r="C76" s="348">
        <v>1</v>
      </c>
      <c r="D76" s="367" t="s">
        <v>113</v>
      </c>
      <c r="E76" s="349">
        <v>13</v>
      </c>
      <c r="F76" s="349">
        <f>VLOOKUP(D76,'07產線配置圖'!$A$2:$C$25,3,0)</f>
        <v>2250</v>
      </c>
      <c r="G76" s="342">
        <f>F76/E76</f>
        <v>173.07692307692307</v>
      </c>
      <c r="H76" s="487" t="e">
        <f>AVERAGE(G76:G90)</f>
        <v>#N/A</v>
      </c>
      <c r="I76" s="349" t="e">
        <f>AVERAGE(P76,U76,Z76,AE76,AJ76,AO76,AT76)</f>
        <v>#DIV/0!</v>
      </c>
      <c r="J76" s="349" t="e">
        <f>AVERAGE(Q76,V76,AA76,AF76,AK76,AP76,AU76)</f>
        <v>#DIV/0!</v>
      </c>
      <c r="K76" s="342" t="e">
        <f>AVERAGE(R76,W76,AB76,AG76,AL76,AQ76,AV76)</f>
        <v>#DIV/0!</v>
      </c>
      <c r="L76" s="487" t="str">
        <f>IFERROR(AVERAGE(K76:K93),"-")</f>
        <v>-</v>
      </c>
      <c r="M76" s="349" t="e">
        <f>RANK(K76, $K$76:$K$93)</f>
        <v>#DIV/0!</v>
      </c>
      <c r="N76" s="495"/>
      <c r="O76" s="495"/>
      <c r="P76" s="349"/>
      <c r="Q76" s="349"/>
      <c r="R76" s="371" t="e">
        <f>Q76/P76</f>
        <v>#DIV/0!</v>
      </c>
      <c r="S76" s="372" t="e">
        <f>RANK(R76, $R$76:$R$93)</f>
        <v>#DIV/0!</v>
      </c>
      <c r="T76" s="487" t="e">
        <f>AVERAGE(R76:R93)</f>
        <v>#DIV/0!</v>
      </c>
      <c r="U76" s="349"/>
      <c r="V76" s="349"/>
      <c r="W76" s="342" t="e">
        <f>V76/U76</f>
        <v>#DIV/0!</v>
      </c>
      <c r="X76" s="348" t="e">
        <f>RANK(W76, $W$76:$W$93)</f>
        <v>#DIV/0!</v>
      </c>
      <c r="Y76" s="487" t="e">
        <f>AVERAGE(W76:W93)</f>
        <v>#DIV/0!</v>
      </c>
      <c r="Z76" s="349"/>
      <c r="AA76" s="349"/>
      <c r="AB76" s="342" t="e">
        <f>AA76/Z76</f>
        <v>#DIV/0!</v>
      </c>
      <c r="AC76" s="348" t="e">
        <f>RANK(AB76, $AB$76:$AB$93)</f>
        <v>#DIV/0!</v>
      </c>
      <c r="AD76" s="487" t="e">
        <f>AVERAGE(AB76:AB93)</f>
        <v>#DIV/0!</v>
      </c>
      <c r="AE76" s="349"/>
      <c r="AF76" s="349"/>
      <c r="AG76" s="340" t="e">
        <f>AF76/AE76</f>
        <v>#DIV/0!</v>
      </c>
      <c r="AH76" s="348" t="e">
        <f>RANK(AG76, $AG$76:$AG$93)</f>
        <v>#DIV/0!</v>
      </c>
      <c r="AI76" s="487" t="e">
        <f>AVERAGE(AG76:AG93)</f>
        <v>#DIV/0!</v>
      </c>
      <c r="AJ76" s="349"/>
      <c r="AK76" s="349"/>
      <c r="AL76" s="342" t="e">
        <f>AK76/AJ76</f>
        <v>#DIV/0!</v>
      </c>
      <c r="AM76" s="348" t="e">
        <f>RANK(AL76, $AL$76:$AL$93)</f>
        <v>#DIV/0!</v>
      </c>
      <c r="AN76" s="487" t="e">
        <f>AVERAGE(AL76:AL93)</f>
        <v>#DIV/0!</v>
      </c>
      <c r="AO76" s="349"/>
      <c r="AP76" s="349"/>
      <c r="AQ76" s="342" t="e">
        <f>AP76/AO76</f>
        <v>#DIV/0!</v>
      </c>
      <c r="AR76" s="348" t="e">
        <f>RANK(AQ76, $AQ$76:$AQ$93)</f>
        <v>#DIV/0!</v>
      </c>
      <c r="AS76" s="487" t="e">
        <f>AVERAGE(AQ76:AQ93)</f>
        <v>#DIV/0!</v>
      </c>
      <c r="AT76" s="349"/>
      <c r="AU76" s="349"/>
      <c r="AV76" s="342" t="e">
        <f>AU76/AT76</f>
        <v>#DIV/0!</v>
      </c>
      <c r="AW76" s="348" t="e">
        <f>RANK(AV76, $AV$76:$AV$93)</f>
        <v>#DIV/0!</v>
      </c>
      <c r="AX76" s="487" t="e">
        <f>AVERAGE(AV76:AV93)</f>
        <v>#DIV/0!</v>
      </c>
    </row>
    <row r="77" spans="2:50" x14ac:dyDescent="0.2">
      <c r="B77" s="508"/>
      <c r="C77" s="348">
        <v>2</v>
      </c>
      <c r="D77" s="348" t="s">
        <v>116</v>
      </c>
      <c r="E77" s="349">
        <f>VLOOKUP(D77,'07產線配置圖'!$A$2:$C$25,2,0)</f>
        <v>15</v>
      </c>
      <c r="F77" s="349">
        <f>VLOOKUP(D77,'07產線配置圖'!$A$2:$C$25,3,0)</f>
        <v>2250</v>
      </c>
      <c r="G77" s="342">
        <f t="shared" ref="G77:G89" si="74">F77/E77</f>
        <v>150</v>
      </c>
      <c r="H77" s="488"/>
      <c r="I77" s="349" t="e">
        <f t="shared" ref="I77:K84" si="75">AVERAGE(P77,U77,Z77,AE77,AJ77,AO77,AT77)</f>
        <v>#DIV/0!</v>
      </c>
      <c r="J77" s="349" t="e">
        <f t="shared" si="75"/>
        <v>#DIV/0!</v>
      </c>
      <c r="K77" s="342" t="e">
        <f t="shared" si="75"/>
        <v>#DIV/0!</v>
      </c>
      <c r="L77" s="488"/>
      <c r="M77" s="349" t="e">
        <f t="shared" ref="M77:M91" si="76">RANK(K77, $K$76:$K$93)</f>
        <v>#DIV/0!</v>
      </c>
      <c r="N77" s="495"/>
      <c r="O77" s="495"/>
      <c r="P77" s="349"/>
      <c r="Q77" s="349"/>
      <c r="R77" s="371" t="e">
        <f t="shared" ref="R77:R81" si="77">Q77/P77</f>
        <v>#DIV/0!</v>
      </c>
      <c r="S77" s="372" t="e">
        <f t="shared" ref="S77:S81" si="78">RANK(R77, $R$76:$R$93)</f>
        <v>#DIV/0!</v>
      </c>
      <c r="T77" s="488"/>
      <c r="U77" s="349"/>
      <c r="V77" s="349"/>
      <c r="W77" s="342" t="e">
        <f t="shared" ref="W77:W91" si="79">V77/U77</f>
        <v>#DIV/0!</v>
      </c>
      <c r="X77" s="348" t="e">
        <f t="shared" ref="X77:X91" si="80">RANK(W77, $W$76:$W$93)</f>
        <v>#DIV/0!</v>
      </c>
      <c r="Y77" s="488"/>
      <c r="Z77" s="349"/>
      <c r="AA77" s="349"/>
      <c r="AB77" s="342" t="e">
        <f t="shared" ref="AB77:AB91" si="81">AA77/Z77</f>
        <v>#DIV/0!</v>
      </c>
      <c r="AC77" s="348" t="e">
        <f t="shared" ref="AC77:AC91" si="82">RANK(AB77, $AB$76:$AB$93)</f>
        <v>#DIV/0!</v>
      </c>
      <c r="AD77" s="488"/>
      <c r="AE77" s="349"/>
      <c r="AF77" s="349"/>
      <c r="AG77" s="340" t="e">
        <f t="shared" ref="AG77:AG91" si="83">AF77/AE77</f>
        <v>#DIV/0!</v>
      </c>
      <c r="AH77" s="348" t="e">
        <f t="shared" ref="AH77:AH91" si="84">RANK(AG77, $AG$76:$AG$93)</f>
        <v>#DIV/0!</v>
      </c>
      <c r="AI77" s="488"/>
      <c r="AJ77" s="349"/>
      <c r="AK77" s="349"/>
      <c r="AL77" s="342" t="e">
        <f t="shared" ref="AL77:AL91" si="85">AK77/AJ77</f>
        <v>#DIV/0!</v>
      </c>
      <c r="AM77" s="348" t="e">
        <f t="shared" ref="AM77:AM91" si="86">RANK(AL77, $AL$76:$AL$93)</f>
        <v>#DIV/0!</v>
      </c>
      <c r="AN77" s="488"/>
      <c r="AO77" s="349"/>
      <c r="AP77" s="349"/>
      <c r="AQ77" s="342" t="e">
        <f t="shared" ref="AQ77:AQ91" si="87">AP77/AO77</f>
        <v>#DIV/0!</v>
      </c>
      <c r="AR77" s="348" t="e">
        <f t="shared" ref="AR77:AR91" si="88">RANK(AQ77, $AQ$76:$AQ$93)</f>
        <v>#DIV/0!</v>
      </c>
      <c r="AS77" s="488"/>
      <c r="AT77" s="349"/>
      <c r="AU77" s="349"/>
      <c r="AV77" s="342" t="e">
        <f t="shared" ref="AV77:AV91" si="89">AU77/AT77</f>
        <v>#DIV/0!</v>
      </c>
      <c r="AW77" s="348" t="e">
        <f t="shared" ref="AW77:AW91" si="90">RANK(AV77, $AV$76:$AV$93)</f>
        <v>#DIV/0!</v>
      </c>
      <c r="AX77" s="488"/>
    </row>
    <row r="78" spans="2:50" x14ac:dyDescent="0.2">
      <c r="B78" s="508"/>
      <c r="C78" s="348">
        <v>3</v>
      </c>
      <c r="D78" s="348" t="s">
        <v>115</v>
      </c>
      <c r="E78" s="349">
        <f>VLOOKUP(D78,'07產線配置圖'!$A$2:$C$25,2,0)</f>
        <v>15</v>
      </c>
      <c r="F78" s="349">
        <f>VLOOKUP(D78,'07產線配置圖'!$A$2:$C$25,3,0)</f>
        <v>2250</v>
      </c>
      <c r="G78" s="342">
        <f t="shared" si="74"/>
        <v>150</v>
      </c>
      <c r="H78" s="488"/>
      <c r="I78" s="349" t="e">
        <f t="shared" si="75"/>
        <v>#DIV/0!</v>
      </c>
      <c r="J78" s="349" t="e">
        <f t="shared" si="75"/>
        <v>#DIV/0!</v>
      </c>
      <c r="K78" s="342" t="e">
        <f t="shared" si="75"/>
        <v>#DIV/0!</v>
      </c>
      <c r="L78" s="488"/>
      <c r="M78" s="349" t="e">
        <f t="shared" si="76"/>
        <v>#DIV/0!</v>
      </c>
      <c r="N78" s="495"/>
      <c r="O78" s="495"/>
      <c r="P78" s="349"/>
      <c r="Q78" s="349"/>
      <c r="R78" s="371" t="e">
        <f t="shared" si="77"/>
        <v>#DIV/0!</v>
      </c>
      <c r="S78" s="372" t="e">
        <f t="shared" si="78"/>
        <v>#DIV/0!</v>
      </c>
      <c r="T78" s="488"/>
      <c r="U78" s="349"/>
      <c r="V78" s="349"/>
      <c r="W78" s="342" t="e">
        <f t="shared" si="79"/>
        <v>#DIV/0!</v>
      </c>
      <c r="X78" s="348" t="e">
        <f t="shared" si="80"/>
        <v>#DIV/0!</v>
      </c>
      <c r="Y78" s="488"/>
      <c r="Z78" s="349"/>
      <c r="AA78" s="349"/>
      <c r="AB78" s="342" t="e">
        <f t="shared" si="81"/>
        <v>#DIV/0!</v>
      </c>
      <c r="AC78" s="348" t="e">
        <f t="shared" si="82"/>
        <v>#DIV/0!</v>
      </c>
      <c r="AD78" s="488"/>
      <c r="AE78" s="349"/>
      <c r="AF78" s="349"/>
      <c r="AG78" s="340" t="e">
        <f t="shared" si="83"/>
        <v>#DIV/0!</v>
      </c>
      <c r="AH78" s="348" t="e">
        <f t="shared" si="84"/>
        <v>#DIV/0!</v>
      </c>
      <c r="AI78" s="488"/>
      <c r="AJ78" s="349"/>
      <c r="AK78" s="349"/>
      <c r="AL78" s="340" t="e">
        <f t="shared" si="85"/>
        <v>#DIV/0!</v>
      </c>
      <c r="AM78" s="348" t="e">
        <f t="shared" si="86"/>
        <v>#DIV/0!</v>
      </c>
      <c r="AN78" s="488"/>
      <c r="AO78" s="349"/>
      <c r="AP78" s="349"/>
      <c r="AQ78" s="342" t="e">
        <f t="shared" si="87"/>
        <v>#DIV/0!</v>
      </c>
      <c r="AR78" s="348" t="e">
        <f t="shared" si="88"/>
        <v>#DIV/0!</v>
      </c>
      <c r="AS78" s="488"/>
      <c r="AT78" s="349"/>
      <c r="AU78" s="349"/>
      <c r="AV78" s="342" t="e">
        <f t="shared" si="89"/>
        <v>#DIV/0!</v>
      </c>
      <c r="AW78" s="348" t="e">
        <f t="shared" si="90"/>
        <v>#DIV/0!</v>
      </c>
      <c r="AX78" s="488"/>
    </row>
    <row r="79" spans="2:50" x14ac:dyDescent="0.2">
      <c r="B79" s="508"/>
      <c r="C79" s="348">
        <v>4</v>
      </c>
      <c r="D79" s="348" t="s">
        <v>165</v>
      </c>
      <c r="E79" s="349">
        <f>VLOOKUP(D79,'07產線配置圖'!$A$2:$C$25,2,0)</f>
        <v>16</v>
      </c>
      <c r="F79" s="349">
        <f>VLOOKUP(D79,'07產線配置圖'!$A$2:$C$25,3,0)</f>
        <v>1800</v>
      </c>
      <c r="G79" s="342">
        <f t="shared" si="74"/>
        <v>112.5</v>
      </c>
      <c r="H79" s="488"/>
      <c r="I79" s="349" t="e">
        <f t="shared" si="75"/>
        <v>#DIV/0!</v>
      </c>
      <c r="J79" s="349" t="e">
        <f t="shared" si="75"/>
        <v>#DIV/0!</v>
      </c>
      <c r="K79" s="342" t="e">
        <f t="shared" si="75"/>
        <v>#DIV/0!</v>
      </c>
      <c r="L79" s="488"/>
      <c r="M79" s="349" t="e">
        <f t="shared" si="76"/>
        <v>#DIV/0!</v>
      </c>
      <c r="N79" s="495"/>
      <c r="O79" s="495"/>
      <c r="P79" s="349"/>
      <c r="Q79" s="349"/>
      <c r="R79" s="371" t="e">
        <f t="shared" si="77"/>
        <v>#DIV/0!</v>
      </c>
      <c r="S79" s="372" t="e">
        <f t="shared" si="78"/>
        <v>#DIV/0!</v>
      </c>
      <c r="T79" s="488"/>
      <c r="U79" s="349"/>
      <c r="V79" s="349"/>
      <c r="W79" s="342" t="e">
        <f t="shared" si="79"/>
        <v>#DIV/0!</v>
      </c>
      <c r="X79" s="348" t="e">
        <f t="shared" si="80"/>
        <v>#DIV/0!</v>
      </c>
      <c r="Y79" s="488"/>
      <c r="Z79" s="349"/>
      <c r="AA79" s="349"/>
      <c r="AB79" s="342" t="e">
        <f t="shared" si="81"/>
        <v>#DIV/0!</v>
      </c>
      <c r="AC79" s="348" t="e">
        <f t="shared" si="82"/>
        <v>#DIV/0!</v>
      </c>
      <c r="AD79" s="488"/>
      <c r="AE79" s="349"/>
      <c r="AF79" s="349"/>
      <c r="AG79" s="342" t="e">
        <f t="shared" si="83"/>
        <v>#DIV/0!</v>
      </c>
      <c r="AH79" s="348" t="e">
        <f t="shared" si="84"/>
        <v>#DIV/0!</v>
      </c>
      <c r="AI79" s="488"/>
      <c r="AJ79" s="349"/>
      <c r="AK79" s="349"/>
      <c r="AL79" s="342" t="e">
        <f t="shared" si="85"/>
        <v>#DIV/0!</v>
      </c>
      <c r="AM79" s="348" t="e">
        <f t="shared" si="86"/>
        <v>#DIV/0!</v>
      </c>
      <c r="AN79" s="488"/>
      <c r="AO79" s="349"/>
      <c r="AP79" s="349"/>
      <c r="AQ79" s="342" t="e">
        <f t="shared" si="87"/>
        <v>#DIV/0!</v>
      </c>
      <c r="AR79" s="348" t="e">
        <f t="shared" si="88"/>
        <v>#DIV/0!</v>
      </c>
      <c r="AS79" s="488"/>
      <c r="AT79" s="349"/>
      <c r="AU79" s="349"/>
      <c r="AV79" s="342" t="e">
        <f t="shared" si="89"/>
        <v>#DIV/0!</v>
      </c>
      <c r="AW79" s="348" t="e">
        <f t="shared" si="90"/>
        <v>#DIV/0!</v>
      </c>
      <c r="AX79" s="488"/>
    </row>
    <row r="80" spans="2:50" ht="13.5" x14ac:dyDescent="0.2">
      <c r="B80" s="508"/>
      <c r="C80" s="348">
        <v>5</v>
      </c>
      <c r="D80" s="367" t="s">
        <v>114</v>
      </c>
      <c r="E80" s="349">
        <v>14</v>
      </c>
      <c r="F80" s="349">
        <f>VLOOKUP(D80,'07產線配置圖'!$A$2:$C$25,3,0)</f>
        <v>2250</v>
      </c>
      <c r="G80" s="342">
        <f t="shared" si="74"/>
        <v>160.71428571428572</v>
      </c>
      <c r="H80" s="488"/>
      <c r="I80" s="349" t="e">
        <f t="shared" si="75"/>
        <v>#DIV/0!</v>
      </c>
      <c r="J80" s="349" t="e">
        <f>AVERAGE(Q80,V80,AA80,AF80,AK80,AP80,AU80)</f>
        <v>#DIV/0!</v>
      </c>
      <c r="K80" s="342" t="e">
        <f t="shared" si="75"/>
        <v>#DIV/0!</v>
      </c>
      <c r="L80" s="488"/>
      <c r="M80" s="349" t="e">
        <f t="shared" si="76"/>
        <v>#DIV/0!</v>
      </c>
      <c r="N80" s="495"/>
      <c r="O80" s="495"/>
      <c r="P80" s="349"/>
      <c r="Q80" s="349"/>
      <c r="R80" s="371" t="e">
        <f t="shared" si="77"/>
        <v>#DIV/0!</v>
      </c>
      <c r="S80" s="372" t="e">
        <f t="shared" si="78"/>
        <v>#DIV/0!</v>
      </c>
      <c r="T80" s="488"/>
      <c r="U80" s="349"/>
      <c r="V80" s="349"/>
      <c r="W80" s="342" t="e">
        <f t="shared" si="79"/>
        <v>#DIV/0!</v>
      </c>
      <c r="X80" s="348" t="e">
        <f t="shared" si="80"/>
        <v>#DIV/0!</v>
      </c>
      <c r="Y80" s="488"/>
      <c r="Z80" s="349"/>
      <c r="AA80" s="349"/>
      <c r="AB80" s="342" t="e">
        <f t="shared" si="81"/>
        <v>#DIV/0!</v>
      </c>
      <c r="AC80" s="348" t="e">
        <f t="shared" si="82"/>
        <v>#DIV/0!</v>
      </c>
      <c r="AD80" s="488"/>
      <c r="AE80" s="349"/>
      <c r="AF80" s="349"/>
      <c r="AG80" s="342" t="e">
        <f t="shared" si="83"/>
        <v>#DIV/0!</v>
      </c>
      <c r="AH80" s="348" t="e">
        <f t="shared" si="84"/>
        <v>#DIV/0!</v>
      </c>
      <c r="AI80" s="488"/>
      <c r="AJ80" s="349"/>
      <c r="AK80" s="349"/>
      <c r="AL80" s="342" t="e">
        <f t="shared" si="85"/>
        <v>#DIV/0!</v>
      </c>
      <c r="AM80" s="348" t="e">
        <f t="shared" si="86"/>
        <v>#DIV/0!</v>
      </c>
      <c r="AN80" s="488"/>
      <c r="AO80" s="349"/>
      <c r="AP80" s="349"/>
      <c r="AQ80" s="342" t="e">
        <f t="shared" si="87"/>
        <v>#DIV/0!</v>
      </c>
      <c r="AR80" s="348" t="e">
        <f t="shared" si="88"/>
        <v>#DIV/0!</v>
      </c>
      <c r="AS80" s="488"/>
      <c r="AT80" s="349"/>
      <c r="AU80" s="349"/>
      <c r="AV80" s="342" t="e">
        <f t="shared" si="89"/>
        <v>#DIV/0!</v>
      </c>
      <c r="AW80" s="348" t="e">
        <f t="shared" si="90"/>
        <v>#DIV/0!</v>
      </c>
      <c r="AX80" s="488"/>
    </row>
    <row r="81" spans="2:50" ht="13.5" customHeight="1" x14ac:dyDescent="0.2">
      <c r="B81" s="508"/>
      <c r="C81" s="348">
        <v>6</v>
      </c>
      <c r="D81" s="348" t="s">
        <v>158</v>
      </c>
      <c r="E81" s="349">
        <f>VLOOKUP(D81,'07產線配置圖'!$A$2:$C$25,2,0)</f>
        <v>15</v>
      </c>
      <c r="F81" s="349">
        <f>VLOOKUP(D81,'07產線配置圖'!$A$2:$C$25,3,0)</f>
        <v>1714</v>
      </c>
      <c r="G81" s="342">
        <f t="shared" si="74"/>
        <v>114.26666666666667</v>
      </c>
      <c r="H81" s="488"/>
      <c r="I81" s="349" t="e">
        <f>AVERAGE(P81,U81,Z81,AE81,AJ81,AO81,AT81)</f>
        <v>#DIV/0!</v>
      </c>
      <c r="J81" s="349" t="e">
        <f>AVERAGE(Q81,V81,AA81,AF81,AK81,AP81,AU81)</f>
        <v>#DIV/0!</v>
      </c>
      <c r="K81" s="342" t="e">
        <f>AVERAGE(R81,W81,AB81,AG81,AL81,AQ81,AV81)</f>
        <v>#DIV/0!</v>
      </c>
      <c r="L81" s="488"/>
      <c r="M81" s="349" t="e">
        <f t="shared" si="76"/>
        <v>#DIV/0!</v>
      </c>
      <c r="N81" s="495"/>
      <c r="O81" s="495"/>
      <c r="P81" s="349"/>
      <c r="Q81" s="349"/>
      <c r="R81" s="371" t="e">
        <f t="shared" si="77"/>
        <v>#DIV/0!</v>
      </c>
      <c r="S81" s="372" t="e">
        <f t="shared" si="78"/>
        <v>#DIV/0!</v>
      </c>
      <c r="T81" s="488"/>
      <c r="U81" s="349"/>
      <c r="V81" s="349"/>
      <c r="W81" s="342" t="e">
        <f t="shared" si="79"/>
        <v>#DIV/0!</v>
      </c>
      <c r="X81" s="348" t="e">
        <f t="shared" si="80"/>
        <v>#DIV/0!</v>
      </c>
      <c r="Y81" s="488"/>
      <c r="Z81" s="349"/>
      <c r="AA81" s="349"/>
      <c r="AB81" s="342" t="e">
        <f t="shared" si="81"/>
        <v>#DIV/0!</v>
      </c>
      <c r="AC81" s="348" t="e">
        <f t="shared" si="82"/>
        <v>#DIV/0!</v>
      </c>
      <c r="AD81" s="488"/>
      <c r="AE81" s="349"/>
      <c r="AF81" s="349"/>
      <c r="AG81" s="342" t="e">
        <f t="shared" si="83"/>
        <v>#DIV/0!</v>
      </c>
      <c r="AH81" s="348" t="e">
        <f t="shared" si="84"/>
        <v>#DIV/0!</v>
      </c>
      <c r="AI81" s="488"/>
      <c r="AJ81" s="349"/>
      <c r="AK81" s="349"/>
      <c r="AL81" s="342" t="e">
        <f t="shared" si="85"/>
        <v>#DIV/0!</v>
      </c>
      <c r="AM81" s="348" t="e">
        <f t="shared" si="86"/>
        <v>#DIV/0!</v>
      </c>
      <c r="AN81" s="488"/>
      <c r="AO81" s="349"/>
      <c r="AP81" s="349"/>
      <c r="AQ81" s="342" t="e">
        <f t="shared" si="87"/>
        <v>#DIV/0!</v>
      </c>
      <c r="AR81" s="348" t="e">
        <f t="shared" si="88"/>
        <v>#DIV/0!</v>
      </c>
      <c r="AS81" s="488"/>
      <c r="AT81" s="349"/>
      <c r="AU81" s="349"/>
      <c r="AV81" s="342" t="e">
        <f t="shared" si="89"/>
        <v>#DIV/0!</v>
      </c>
      <c r="AW81" s="348" t="e">
        <f t="shared" si="90"/>
        <v>#DIV/0!</v>
      </c>
      <c r="AX81" s="488"/>
    </row>
    <row r="82" spans="2:50" x14ac:dyDescent="0.2">
      <c r="B82" s="508"/>
      <c r="C82" s="348">
        <v>7</v>
      </c>
      <c r="D82" s="348" t="s">
        <v>223</v>
      </c>
      <c r="E82" s="349">
        <f>VLOOKUP(D82,'07產線配置圖'!$A$2:$C$25,2,0)</f>
        <v>17</v>
      </c>
      <c r="F82" s="349">
        <v>1800</v>
      </c>
      <c r="G82" s="342">
        <f t="shared" si="74"/>
        <v>105.88235294117646</v>
      </c>
      <c r="H82" s="488"/>
      <c r="I82" s="349" t="e">
        <f>AVERAGE(P82,U82,Z82,AE82,AJ82,AO82,AT82)</f>
        <v>#DIV/0!</v>
      </c>
      <c r="J82" s="349" t="e">
        <f>AVERAGE(Q82,V82,AA82,AF82,AK82,AP82,AU82)</f>
        <v>#DIV/0!</v>
      </c>
      <c r="K82" s="342" t="e">
        <f>AVERAGE(R82,W82,AB82,AG82,AL82,AQ82,AV82)</f>
        <v>#DIV/0!</v>
      </c>
      <c r="L82" s="488"/>
      <c r="M82" s="349" t="e">
        <f t="shared" si="76"/>
        <v>#DIV/0!</v>
      </c>
      <c r="N82" s="495"/>
      <c r="O82" s="495"/>
      <c r="P82" s="349"/>
      <c r="Q82" s="349"/>
      <c r="R82" s="371" t="e">
        <f t="shared" ref="R82:R86" si="91">Q82/P82</f>
        <v>#DIV/0!</v>
      </c>
      <c r="S82" s="372" t="e">
        <f t="shared" ref="S82:S86" si="92">RANK(R82, $R$76:$R$93)</f>
        <v>#DIV/0!</v>
      </c>
      <c r="T82" s="488"/>
      <c r="U82" s="349"/>
      <c r="V82" s="349"/>
      <c r="W82" s="342" t="e">
        <f t="shared" si="79"/>
        <v>#DIV/0!</v>
      </c>
      <c r="X82" s="348" t="e">
        <f t="shared" si="80"/>
        <v>#DIV/0!</v>
      </c>
      <c r="Y82" s="488"/>
      <c r="Z82" s="349"/>
      <c r="AA82" s="349"/>
      <c r="AB82" s="340" t="e">
        <f t="shared" si="81"/>
        <v>#DIV/0!</v>
      </c>
      <c r="AC82" s="348" t="e">
        <f t="shared" si="82"/>
        <v>#DIV/0!</v>
      </c>
      <c r="AD82" s="488"/>
      <c r="AE82" s="349"/>
      <c r="AF82" s="349"/>
      <c r="AG82" s="342" t="e">
        <f t="shared" si="83"/>
        <v>#DIV/0!</v>
      </c>
      <c r="AH82" s="348" t="e">
        <f t="shared" si="84"/>
        <v>#DIV/0!</v>
      </c>
      <c r="AI82" s="488"/>
      <c r="AJ82" s="349"/>
      <c r="AK82" s="349"/>
      <c r="AL82" s="342" t="e">
        <f t="shared" si="85"/>
        <v>#DIV/0!</v>
      </c>
      <c r="AM82" s="348" t="e">
        <f t="shared" si="86"/>
        <v>#DIV/0!</v>
      </c>
      <c r="AN82" s="488"/>
      <c r="AO82" s="349"/>
      <c r="AP82" s="349"/>
      <c r="AQ82" s="342" t="e">
        <f t="shared" si="87"/>
        <v>#DIV/0!</v>
      </c>
      <c r="AR82" s="348" t="e">
        <f t="shared" si="88"/>
        <v>#DIV/0!</v>
      </c>
      <c r="AS82" s="488"/>
      <c r="AT82" s="349"/>
      <c r="AU82" s="349"/>
      <c r="AV82" s="342" t="e">
        <f t="shared" si="89"/>
        <v>#DIV/0!</v>
      </c>
      <c r="AW82" s="348" t="e">
        <f t="shared" si="90"/>
        <v>#DIV/0!</v>
      </c>
      <c r="AX82" s="488"/>
    </row>
    <row r="83" spans="2:50" x14ac:dyDescent="0.2">
      <c r="B83" s="508"/>
      <c r="C83" s="348">
        <v>8</v>
      </c>
      <c r="D83" s="348" t="s">
        <v>121</v>
      </c>
      <c r="E83" s="349">
        <f>VLOOKUP(D83,'07產線配置圖'!$A$2:$C$25,2,0)</f>
        <v>18</v>
      </c>
      <c r="F83" s="349">
        <f>VLOOKUP(D83,'07產線配置圖'!$A$2:$C$25,3,0)</f>
        <v>1636</v>
      </c>
      <c r="G83" s="342">
        <f t="shared" si="74"/>
        <v>90.888888888888886</v>
      </c>
      <c r="H83" s="488"/>
      <c r="I83" s="349" t="e">
        <f t="shared" si="75"/>
        <v>#DIV/0!</v>
      </c>
      <c r="J83" s="349" t="e">
        <f t="shared" si="75"/>
        <v>#DIV/0!</v>
      </c>
      <c r="K83" s="342" t="e">
        <f t="shared" si="75"/>
        <v>#DIV/0!</v>
      </c>
      <c r="L83" s="488"/>
      <c r="M83" s="349" t="e">
        <f t="shared" si="76"/>
        <v>#DIV/0!</v>
      </c>
      <c r="N83" s="495"/>
      <c r="O83" s="495"/>
      <c r="P83" s="348"/>
      <c r="Q83" s="349"/>
      <c r="R83" s="371" t="e">
        <f t="shared" si="91"/>
        <v>#DIV/0!</v>
      </c>
      <c r="S83" s="372" t="e">
        <f t="shared" si="92"/>
        <v>#DIV/0!</v>
      </c>
      <c r="T83" s="488"/>
      <c r="U83" s="348"/>
      <c r="V83" s="349"/>
      <c r="W83" s="340" t="e">
        <f t="shared" si="79"/>
        <v>#DIV/0!</v>
      </c>
      <c r="X83" s="348" t="e">
        <f t="shared" si="80"/>
        <v>#DIV/0!</v>
      </c>
      <c r="Y83" s="488"/>
      <c r="Z83" s="348"/>
      <c r="AA83" s="349"/>
      <c r="AB83" s="340" t="e">
        <f t="shared" si="81"/>
        <v>#DIV/0!</v>
      </c>
      <c r="AC83" s="348" t="e">
        <f t="shared" si="82"/>
        <v>#DIV/0!</v>
      </c>
      <c r="AD83" s="488"/>
      <c r="AE83" s="348"/>
      <c r="AF83" s="349"/>
      <c r="AG83" s="342" t="e">
        <f t="shared" si="83"/>
        <v>#DIV/0!</v>
      </c>
      <c r="AH83" s="348" t="e">
        <f t="shared" si="84"/>
        <v>#DIV/0!</v>
      </c>
      <c r="AI83" s="488"/>
      <c r="AJ83" s="348"/>
      <c r="AK83" s="349"/>
      <c r="AL83" s="340" t="e">
        <f t="shared" si="85"/>
        <v>#DIV/0!</v>
      </c>
      <c r="AM83" s="348" t="e">
        <f t="shared" si="86"/>
        <v>#DIV/0!</v>
      </c>
      <c r="AN83" s="488"/>
      <c r="AO83" s="348"/>
      <c r="AP83" s="349"/>
      <c r="AQ83" s="340" t="e">
        <f t="shared" si="87"/>
        <v>#DIV/0!</v>
      </c>
      <c r="AR83" s="348" t="e">
        <f t="shared" si="88"/>
        <v>#DIV/0!</v>
      </c>
      <c r="AS83" s="488"/>
      <c r="AT83" s="348"/>
      <c r="AU83" s="349"/>
      <c r="AV83" s="340" t="e">
        <f t="shared" si="89"/>
        <v>#DIV/0!</v>
      </c>
      <c r="AW83" s="348" t="e">
        <f t="shared" si="90"/>
        <v>#DIV/0!</v>
      </c>
      <c r="AX83" s="488"/>
    </row>
    <row r="84" spans="2:50" x14ac:dyDescent="0.2">
      <c r="B84" s="508"/>
      <c r="C84" s="348">
        <v>9</v>
      </c>
      <c r="D84" s="348" t="s">
        <v>381</v>
      </c>
      <c r="E84" s="349">
        <f>VLOOKUP(D84,'07產線配置圖'!$A$2:$C$25,2,0)</f>
        <v>13</v>
      </c>
      <c r="F84" s="349">
        <f>VLOOKUP(D84,'07產線配置圖'!$A$2:$C$25,3,0)</f>
        <v>1440</v>
      </c>
      <c r="G84" s="342">
        <f t="shared" si="74"/>
        <v>110.76923076923077</v>
      </c>
      <c r="H84" s="488"/>
      <c r="I84" s="349" t="e">
        <f t="shared" si="75"/>
        <v>#DIV/0!</v>
      </c>
      <c r="J84" s="349" t="e">
        <f t="shared" ref="J84:K86" si="93">AVERAGE(Q84,V84,AA84,AF84,AK84,AP84,AU84)</f>
        <v>#DIV/0!</v>
      </c>
      <c r="K84" s="342" t="e">
        <f t="shared" si="93"/>
        <v>#DIV/0!</v>
      </c>
      <c r="L84" s="488"/>
      <c r="M84" s="349" t="e">
        <f t="shared" si="76"/>
        <v>#DIV/0!</v>
      </c>
      <c r="N84" s="495"/>
      <c r="O84" s="495"/>
      <c r="P84" s="348"/>
      <c r="Q84" s="349"/>
      <c r="R84" s="371" t="e">
        <f t="shared" si="91"/>
        <v>#DIV/0!</v>
      </c>
      <c r="S84" s="372" t="e">
        <f t="shared" si="92"/>
        <v>#DIV/0!</v>
      </c>
      <c r="T84" s="488"/>
      <c r="U84" s="348"/>
      <c r="V84" s="349"/>
      <c r="W84" s="342" t="e">
        <f t="shared" si="79"/>
        <v>#DIV/0!</v>
      </c>
      <c r="X84" s="348" t="e">
        <f t="shared" si="80"/>
        <v>#DIV/0!</v>
      </c>
      <c r="Y84" s="488"/>
      <c r="Z84" s="348"/>
      <c r="AA84" s="349"/>
      <c r="AB84" s="342" t="e">
        <f t="shared" si="81"/>
        <v>#DIV/0!</v>
      </c>
      <c r="AC84" s="348" t="e">
        <f t="shared" si="82"/>
        <v>#DIV/0!</v>
      </c>
      <c r="AD84" s="488"/>
      <c r="AE84" s="348"/>
      <c r="AF84" s="349"/>
      <c r="AG84" s="342" t="e">
        <f t="shared" si="83"/>
        <v>#DIV/0!</v>
      </c>
      <c r="AH84" s="348" t="e">
        <f t="shared" si="84"/>
        <v>#DIV/0!</v>
      </c>
      <c r="AI84" s="488"/>
      <c r="AJ84" s="348"/>
      <c r="AK84" s="349"/>
      <c r="AL84" s="342" t="e">
        <f t="shared" si="85"/>
        <v>#DIV/0!</v>
      </c>
      <c r="AM84" s="348" t="e">
        <f t="shared" si="86"/>
        <v>#DIV/0!</v>
      </c>
      <c r="AN84" s="488"/>
      <c r="AO84" s="348"/>
      <c r="AP84" s="349"/>
      <c r="AQ84" s="342" t="e">
        <f t="shared" si="87"/>
        <v>#DIV/0!</v>
      </c>
      <c r="AR84" s="348" t="e">
        <f t="shared" si="88"/>
        <v>#DIV/0!</v>
      </c>
      <c r="AS84" s="488"/>
      <c r="AT84" s="348"/>
      <c r="AU84" s="349"/>
      <c r="AV84" s="342" t="e">
        <f t="shared" si="89"/>
        <v>#DIV/0!</v>
      </c>
      <c r="AW84" s="348" t="e">
        <f t="shared" si="90"/>
        <v>#DIV/0!</v>
      </c>
      <c r="AX84" s="488"/>
    </row>
    <row r="85" spans="2:50" x14ac:dyDescent="0.2">
      <c r="B85" s="508"/>
      <c r="C85" s="348">
        <v>10</v>
      </c>
      <c r="D85" s="348" t="s">
        <v>119</v>
      </c>
      <c r="E85" s="349">
        <f>VLOOKUP(D85,'07產線配置圖'!$A$2:$C$25,2,0)</f>
        <v>17</v>
      </c>
      <c r="F85" s="349">
        <f>VLOOKUP(D85,'07產線配置圖'!$A$2:$C$25,3,0)</f>
        <v>2250</v>
      </c>
      <c r="G85" s="342">
        <f t="shared" si="74"/>
        <v>132.35294117647058</v>
      </c>
      <c r="H85" s="488"/>
      <c r="I85" s="349" t="e">
        <f>AVERAGE(P85,U85,Z85,AE85,AJ85,AO85,AT85)</f>
        <v>#DIV/0!</v>
      </c>
      <c r="J85" s="349" t="e">
        <f t="shared" si="93"/>
        <v>#DIV/0!</v>
      </c>
      <c r="K85" s="342" t="e">
        <f t="shared" si="93"/>
        <v>#DIV/0!</v>
      </c>
      <c r="L85" s="488"/>
      <c r="M85" s="349" t="e">
        <f t="shared" si="76"/>
        <v>#DIV/0!</v>
      </c>
      <c r="N85" s="495"/>
      <c r="O85" s="495"/>
      <c r="P85" s="348"/>
      <c r="Q85" s="349"/>
      <c r="R85" s="371" t="e">
        <f t="shared" si="91"/>
        <v>#DIV/0!</v>
      </c>
      <c r="S85" s="372" t="e">
        <f t="shared" si="92"/>
        <v>#DIV/0!</v>
      </c>
      <c r="T85" s="488"/>
      <c r="U85" s="348"/>
      <c r="V85" s="349"/>
      <c r="W85" s="342" t="e">
        <f t="shared" si="79"/>
        <v>#DIV/0!</v>
      </c>
      <c r="X85" s="348" t="e">
        <f t="shared" si="80"/>
        <v>#DIV/0!</v>
      </c>
      <c r="Y85" s="488"/>
      <c r="Z85" s="348"/>
      <c r="AA85" s="349"/>
      <c r="AB85" s="342" t="e">
        <f t="shared" si="81"/>
        <v>#DIV/0!</v>
      </c>
      <c r="AC85" s="348" t="e">
        <f t="shared" si="82"/>
        <v>#DIV/0!</v>
      </c>
      <c r="AD85" s="488"/>
      <c r="AE85" s="348"/>
      <c r="AF85" s="349"/>
      <c r="AG85" s="340" t="e">
        <f t="shared" si="83"/>
        <v>#DIV/0!</v>
      </c>
      <c r="AH85" s="348" t="e">
        <f t="shared" si="84"/>
        <v>#DIV/0!</v>
      </c>
      <c r="AI85" s="488"/>
      <c r="AJ85" s="348"/>
      <c r="AK85" s="349"/>
      <c r="AL85" s="342" t="e">
        <f t="shared" si="85"/>
        <v>#DIV/0!</v>
      </c>
      <c r="AM85" s="348" t="e">
        <f t="shared" si="86"/>
        <v>#DIV/0!</v>
      </c>
      <c r="AN85" s="488"/>
      <c r="AO85" s="348"/>
      <c r="AP85" s="349"/>
      <c r="AQ85" s="342" t="e">
        <f t="shared" si="87"/>
        <v>#DIV/0!</v>
      </c>
      <c r="AR85" s="348" t="e">
        <f t="shared" si="88"/>
        <v>#DIV/0!</v>
      </c>
      <c r="AS85" s="488"/>
      <c r="AT85" s="348"/>
      <c r="AU85" s="349"/>
      <c r="AV85" s="342" t="e">
        <f t="shared" si="89"/>
        <v>#DIV/0!</v>
      </c>
      <c r="AW85" s="348" t="e">
        <f t="shared" si="90"/>
        <v>#DIV/0!</v>
      </c>
      <c r="AX85" s="488"/>
    </row>
    <row r="86" spans="2:50" x14ac:dyDescent="0.2">
      <c r="B86" s="508"/>
      <c r="C86" s="348">
        <v>11</v>
      </c>
      <c r="D86" s="348" t="s">
        <v>382</v>
      </c>
      <c r="E86" s="349" t="e">
        <f>VLOOKUP(D86,'07產線配置圖'!$A$2:$C$25,2,0)</f>
        <v>#N/A</v>
      </c>
      <c r="F86" s="349" t="e">
        <f>VLOOKUP(D86,'07產線配置圖'!$A$2:$C$25,3,0)</f>
        <v>#N/A</v>
      </c>
      <c r="G86" s="342" t="e">
        <f t="shared" si="74"/>
        <v>#N/A</v>
      </c>
      <c r="H86" s="488"/>
      <c r="I86" s="349" t="e">
        <f>AVERAGE(P86,U86,Z86,AE86,AJ86,AO86,AT86)</f>
        <v>#DIV/0!</v>
      </c>
      <c r="J86" s="349" t="e">
        <f t="shared" si="93"/>
        <v>#DIV/0!</v>
      </c>
      <c r="K86" s="342" t="e">
        <f t="shared" si="93"/>
        <v>#DIV/0!</v>
      </c>
      <c r="L86" s="488"/>
      <c r="M86" s="349" t="e">
        <f t="shared" si="76"/>
        <v>#DIV/0!</v>
      </c>
      <c r="N86" s="495"/>
      <c r="O86" s="495"/>
      <c r="P86" s="348"/>
      <c r="Q86" s="348"/>
      <c r="R86" s="371" t="e">
        <f t="shared" si="91"/>
        <v>#DIV/0!</v>
      </c>
      <c r="S86" s="372" t="e">
        <f t="shared" si="92"/>
        <v>#DIV/0!</v>
      </c>
      <c r="T86" s="488"/>
      <c r="U86" s="348"/>
      <c r="V86" s="348"/>
      <c r="W86" s="342" t="e">
        <f t="shared" si="79"/>
        <v>#DIV/0!</v>
      </c>
      <c r="X86" s="348" t="e">
        <f t="shared" si="80"/>
        <v>#DIV/0!</v>
      </c>
      <c r="Y86" s="488"/>
      <c r="Z86" s="348"/>
      <c r="AA86" s="348"/>
      <c r="AB86" s="342" t="e">
        <f t="shared" si="81"/>
        <v>#DIV/0!</v>
      </c>
      <c r="AC86" s="348" t="e">
        <f t="shared" si="82"/>
        <v>#DIV/0!</v>
      </c>
      <c r="AD86" s="488"/>
      <c r="AE86" s="348"/>
      <c r="AF86" s="348"/>
      <c r="AG86" s="342" t="e">
        <f t="shared" si="83"/>
        <v>#DIV/0!</v>
      </c>
      <c r="AH86" s="348" t="e">
        <f t="shared" si="84"/>
        <v>#DIV/0!</v>
      </c>
      <c r="AI86" s="488"/>
      <c r="AJ86" s="348"/>
      <c r="AK86" s="348"/>
      <c r="AL86" s="342" t="e">
        <f t="shared" si="85"/>
        <v>#DIV/0!</v>
      </c>
      <c r="AM86" s="348" t="e">
        <f t="shared" si="86"/>
        <v>#DIV/0!</v>
      </c>
      <c r="AN86" s="488"/>
      <c r="AO86" s="348"/>
      <c r="AP86" s="348"/>
      <c r="AQ86" s="342" t="e">
        <f t="shared" si="87"/>
        <v>#DIV/0!</v>
      </c>
      <c r="AR86" s="348" t="e">
        <f t="shared" si="88"/>
        <v>#DIV/0!</v>
      </c>
      <c r="AS86" s="488"/>
      <c r="AT86" s="348"/>
      <c r="AU86" s="348"/>
      <c r="AV86" s="342" t="e">
        <f t="shared" si="89"/>
        <v>#DIV/0!</v>
      </c>
      <c r="AW86" s="348" t="e">
        <f t="shared" si="90"/>
        <v>#DIV/0!</v>
      </c>
      <c r="AX86" s="488"/>
    </row>
    <row r="87" spans="2:50" x14ac:dyDescent="0.2">
      <c r="B87" s="508"/>
      <c r="C87" s="348">
        <v>12</v>
      </c>
      <c r="D87" s="348" t="s">
        <v>117</v>
      </c>
      <c r="E87" s="349">
        <f>VLOOKUP(D87,'07產線配置圖'!$A$2:$C$25,2,0)</f>
        <v>15</v>
      </c>
      <c r="F87" s="349">
        <f>VLOOKUP(D87,'07產線配置圖'!$A$2:$C$25,3,0)</f>
        <v>2250</v>
      </c>
      <c r="G87" s="342">
        <f t="shared" si="74"/>
        <v>150</v>
      </c>
      <c r="H87" s="488"/>
      <c r="I87" s="349" t="e">
        <f t="shared" ref="I87:I88" si="94">AVERAGE(P87,U87,Z87,AE87,AJ87,AO87,AT87)</f>
        <v>#DIV/0!</v>
      </c>
      <c r="J87" s="349" t="e">
        <f t="shared" ref="J87:J88" si="95">AVERAGE(Q87,V87,AA87,AF87,AK87,AP87,AU87)</f>
        <v>#DIV/0!</v>
      </c>
      <c r="K87" s="342" t="e">
        <f t="shared" ref="K87:K88" si="96">AVERAGE(R87,W87,AB87,AG87,AL87,AQ87,AV87)</f>
        <v>#DIV/0!</v>
      </c>
      <c r="L87" s="488"/>
      <c r="M87" s="349" t="e">
        <f t="shared" si="76"/>
        <v>#DIV/0!</v>
      </c>
      <c r="N87" s="495"/>
      <c r="O87" s="495"/>
      <c r="P87" s="348"/>
      <c r="Q87" s="348"/>
      <c r="R87" s="371" t="e">
        <f t="shared" ref="R87:R88" si="97">Q87/P87</f>
        <v>#DIV/0!</v>
      </c>
      <c r="S87" s="372" t="e">
        <f t="shared" ref="S87:S88" si="98">RANK(R87, $R$76:$R$93)</f>
        <v>#DIV/0!</v>
      </c>
      <c r="T87" s="488"/>
      <c r="U87" s="348"/>
      <c r="V87" s="348"/>
      <c r="W87" s="342" t="e">
        <f t="shared" si="79"/>
        <v>#DIV/0!</v>
      </c>
      <c r="X87" s="348" t="e">
        <f t="shared" si="80"/>
        <v>#DIV/0!</v>
      </c>
      <c r="Y87" s="488"/>
      <c r="Z87" s="348"/>
      <c r="AA87" s="348"/>
      <c r="AB87" s="342" t="e">
        <f t="shared" si="81"/>
        <v>#DIV/0!</v>
      </c>
      <c r="AC87" s="348" t="e">
        <f t="shared" si="82"/>
        <v>#DIV/0!</v>
      </c>
      <c r="AD87" s="488"/>
      <c r="AE87" s="348"/>
      <c r="AF87" s="348"/>
      <c r="AG87" s="342" t="e">
        <f t="shared" si="83"/>
        <v>#DIV/0!</v>
      </c>
      <c r="AH87" s="348" t="e">
        <f t="shared" si="84"/>
        <v>#DIV/0!</v>
      </c>
      <c r="AI87" s="488"/>
      <c r="AJ87" s="348"/>
      <c r="AK87" s="348"/>
      <c r="AL87" s="342" t="e">
        <f t="shared" si="85"/>
        <v>#DIV/0!</v>
      </c>
      <c r="AM87" s="348" t="e">
        <f t="shared" si="86"/>
        <v>#DIV/0!</v>
      </c>
      <c r="AN87" s="488"/>
      <c r="AO87" s="348"/>
      <c r="AP87" s="348"/>
      <c r="AQ87" s="342" t="e">
        <f t="shared" si="87"/>
        <v>#DIV/0!</v>
      </c>
      <c r="AR87" s="348" t="e">
        <f t="shared" si="88"/>
        <v>#DIV/0!</v>
      </c>
      <c r="AS87" s="488"/>
      <c r="AT87" s="348"/>
      <c r="AU87" s="348"/>
      <c r="AV87" s="342" t="e">
        <f t="shared" si="89"/>
        <v>#DIV/0!</v>
      </c>
      <c r="AW87" s="348" t="e">
        <f t="shared" si="90"/>
        <v>#DIV/0!</v>
      </c>
      <c r="AX87" s="488"/>
    </row>
    <row r="88" spans="2:50" x14ac:dyDescent="0.2">
      <c r="B88" s="508"/>
      <c r="C88" s="348">
        <v>13</v>
      </c>
      <c r="D88" s="348" t="s">
        <v>127</v>
      </c>
      <c r="E88" s="349">
        <v>18</v>
      </c>
      <c r="F88" s="349">
        <f>VLOOKUP(D88,'07產線配置圖'!$A$2:$C$25,3,0)</f>
        <v>1636</v>
      </c>
      <c r="G88" s="342">
        <f t="shared" si="74"/>
        <v>90.888888888888886</v>
      </c>
      <c r="H88" s="488"/>
      <c r="I88" s="349" t="e">
        <f t="shared" si="94"/>
        <v>#DIV/0!</v>
      </c>
      <c r="J88" s="349" t="e">
        <f t="shared" si="95"/>
        <v>#DIV/0!</v>
      </c>
      <c r="K88" s="342" t="e">
        <f t="shared" si="96"/>
        <v>#DIV/0!</v>
      </c>
      <c r="L88" s="488"/>
      <c r="M88" s="349" t="e">
        <f t="shared" si="76"/>
        <v>#DIV/0!</v>
      </c>
      <c r="N88" s="495"/>
      <c r="O88" s="495"/>
      <c r="P88" s="348"/>
      <c r="Q88" s="348"/>
      <c r="R88" s="404" t="e">
        <f t="shared" si="97"/>
        <v>#DIV/0!</v>
      </c>
      <c r="S88" s="372" t="e">
        <f t="shared" si="98"/>
        <v>#DIV/0!</v>
      </c>
      <c r="T88" s="488"/>
      <c r="U88" s="348"/>
      <c r="V88" s="348"/>
      <c r="W88" s="340" t="e">
        <f t="shared" si="79"/>
        <v>#DIV/0!</v>
      </c>
      <c r="X88" s="348" t="e">
        <f t="shared" si="80"/>
        <v>#DIV/0!</v>
      </c>
      <c r="Y88" s="488"/>
      <c r="Z88" s="348"/>
      <c r="AA88" s="348"/>
      <c r="AB88" s="340" t="e">
        <f t="shared" si="81"/>
        <v>#DIV/0!</v>
      </c>
      <c r="AC88" s="348" t="e">
        <f t="shared" si="82"/>
        <v>#DIV/0!</v>
      </c>
      <c r="AD88" s="488"/>
      <c r="AE88" s="348"/>
      <c r="AF88" s="348"/>
      <c r="AG88" s="340" t="e">
        <f t="shared" si="83"/>
        <v>#DIV/0!</v>
      </c>
      <c r="AH88" s="348" t="e">
        <f t="shared" si="84"/>
        <v>#DIV/0!</v>
      </c>
      <c r="AI88" s="488"/>
      <c r="AJ88" s="348"/>
      <c r="AK88" s="348"/>
      <c r="AL88" s="340" t="e">
        <f t="shared" si="85"/>
        <v>#DIV/0!</v>
      </c>
      <c r="AM88" s="348" t="e">
        <f t="shared" si="86"/>
        <v>#DIV/0!</v>
      </c>
      <c r="AN88" s="488"/>
      <c r="AO88" s="348"/>
      <c r="AP88" s="348"/>
      <c r="AQ88" s="340" t="e">
        <f t="shared" si="87"/>
        <v>#DIV/0!</v>
      </c>
      <c r="AR88" s="348" t="e">
        <f t="shared" si="88"/>
        <v>#DIV/0!</v>
      </c>
      <c r="AS88" s="488"/>
      <c r="AT88" s="348"/>
      <c r="AU88" s="348"/>
      <c r="AV88" s="340" t="e">
        <f t="shared" si="89"/>
        <v>#DIV/0!</v>
      </c>
      <c r="AW88" s="348" t="e">
        <f t="shared" si="90"/>
        <v>#DIV/0!</v>
      </c>
      <c r="AX88" s="488"/>
    </row>
    <row r="89" spans="2:50" x14ac:dyDescent="0.2">
      <c r="B89" s="508"/>
      <c r="C89" s="348">
        <v>14</v>
      </c>
      <c r="D89" s="348" t="s">
        <v>383</v>
      </c>
      <c r="E89" s="349" t="e">
        <f>VLOOKUP(D89,'07產線配置圖'!$A$2:$C$25,2,0)</f>
        <v>#N/A</v>
      </c>
      <c r="F89" s="349" t="e">
        <f>VLOOKUP(D89,'07產線配置圖'!$A$2:$C$25,3,0)</f>
        <v>#N/A</v>
      </c>
      <c r="G89" s="342" t="e">
        <f t="shared" si="74"/>
        <v>#N/A</v>
      </c>
      <c r="H89" s="488"/>
      <c r="I89" s="349" t="e">
        <f>AVERAGE(P89,U89,Z89,AE89,AJ89,AO89,AT89)</f>
        <v>#DIV/0!</v>
      </c>
      <c r="J89" s="349" t="e">
        <f>AVERAGE(Q89,V89,AA89,AF89,AK89,AP89,AU89)</f>
        <v>#DIV/0!</v>
      </c>
      <c r="K89" s="342" t="e">
        <f>AVERAGE(R89,W89,AB89,AG89,AL89,AQ89,AV89)</f>
        <v>#DIV/0!</v>
      </c>
      <c r="L89" s="488"/>
      <c r="M89" s="349" t="e">
        <f t="shared" si="76"/>
        <v>#DIV/0!</v>
      </c>
      <c r="N89" s="495"/>
      <c r="O89" s="495"/>
      <c r="P89" s="348"/>
      <c r="Q89" s="348"/>
      <c r="R89" s="404" t="e">
        <f>Q89/P89</f>
        <v>#DIV/0!</v>
      </c>
      <c r="S89" s="372" t="e">
        <f>RANK(R89, $R$76:$R$93)</f>
        <v>#DIV/0!</v>
      </c>
      <c r="T89" s="488"/>
      <c r="U89" s="348"/>
      <c r="V89" s="348"/>
      <c r="W89" s="340" t="e">
        <f t="shared" si="79"/>
        <v>#DIV/0!</v>
      </c>
      <c r="X89" s="348" t="e">
        <f t="shared" si="80"/>
        <v>#DIV/0!</v>
      </c>
      <c r="Y89" s="488"/>
      <c r="Z89" s="348"/>
      <c r="AA89" s="348"/>
      <c r="AB89" s="340" t="e">
        <f t="shared" si="81"/>
        <v>#DIV/0!</v>
      </c>
      <c r="AC89" s="348" t="e">
        <f t="shared" si="82"/>
        <v>#DIV/0!</v>
      </c>
      <c r="AD89" s="488"/>
      <c r="AE89" s="348"/>
      <c r="AF89" s="348"/>
      <c r="AG89" s="340" t="e">
        <f t="shared" si="83"/>
        <v>#DIV/0!</v>
      </c>
      <c r="AH89" s="348" t="e">
        <f t="shared" si="84"/>
        <v>#DIV/0!</v>
      </c>
      <c r="AI89" s="488"/>
      <c r="AJ89" s="348"/>
      <c r="AK89" s="348"/>
      <c r="AL89" s="340" t="e">
        <f t="shared" si="85"/>
        <v>#DIV/0!</v>
      </c>
      <c r="AM89" s="348" t="e">
        <f t="shared" si="86"/>
        <v>#DIV/0!</v>
      </c>
      <c r="AN89" s="488"/>
      <c r="AO89" s="348"/>
      <c r="AP89" s="348"/>
      <c r="AQ89" s="340" t="e">
        <f t="shared" si="87"/>
        <v>#DIV/0!</v>
      </c>
      <c r="AR89" s="348" t="e">
        <f t="shared" si="88"/>
        <v>#DIV/0!</v>
      </c>
      <c r="AS89" s="488"/>
      <c r="AT89" s="348"/>
      <c r="AU89" s="348"/>
      <c r="AV89" s="340" t="e">
        <f t="shared" si="89"/>
        <v>#DIV/0!</v>
      </c>
      <c r="AW89" s="348" t="e">
        <f t="shared" si="90"/>
        <v>#DIV/0!</v>
      </c>
      <c r="AX89" s="488"/>
    </row>
    <row r="90" spans="2:50" x14ac:dyDescent="0.2">
      <c r="B90" s="508"/>
      <c r="C90" s="348">
        <v>15</v>
      </c>
      <c r="D90" s="348" t="s">
        <v>125</v>
      </c>
      <c r="E90" s="349">
        <f>VLOOKUP(D90,'07產線配置圖'!$A$2:$C$25,2,0)</f>
        <v>18</v>
      </c>
      <c r="F90" s="349">
        <f>VLOOKUP(D90,'07產線配置圖'!$A$2:$C$25,3,0)</f>
        <v>1636</v>
      </c>
      <c r="G90" s="342">
        <f>F90/E90</f>
        <v>90.888888888888886</v>
      </c>
      <c r="H90" s="488"/>
      <c r="I90" s="349" t="e">
        <f>AVERAGE(P90,U90,Z90,AE90,AJ90,AO90,AT90)</f>
        <v>#DIV/0!</v>
      </c>
      <c r="J90" s="349" t="e">
        <f>AVERAGE(Q90,V90,AA90,AF90,AK90,AP90,AU90)</f>
        <v>#DIV/0!</v>
      </c>
      <c r="K90" s="342" t="e">
        <f t="shared" ref="K90:K91" si="99">AVERAGE(R90,W90,AB90,AG90,AL90,AQ90,AV90)</f>
        <v>#DIV/0!</v>
      </c>
      <c r="L90" s="488"/>
      <c r="M90" s="349" t="e">
        <f t="shared" si="76"/>
        <v>#DIV/0!</v>
      </c>
      <c r="N90" s="495"/>
      <c r="O90" s="495"/>
      <c r="P90" s="348"/>
      <c r="Q90" s="348"/>
      <c r="R90" s="404" t="e">
        <f t="shared" ref="R90:R91" si="100">Q90/P90</f>
        <v>#DIV/0!</v>
      </c>
      <c r="S90" s="372" t="e">
        <f t="shared" ref="S90:S91" si="101">RANK(R90, $R$76:$R$93)</f>
        <v>#DIV/0!</v>
      </c>
      <c r="T90" s="488"/>
      <c r="U90" s="348"/>
      <c r="V90" s="348"/>
      <c r="W90" s="342" t="e">
        <f t="shared" si="79"/>
        <v>#DIV/0!</v>
      </c>
      <c r="X90" s="348" t="e">
        <f t="shared" si="80"/>
        <v>#DIV/0!</v>
      </c>
      <c r="Y90" s="488"/>
      <c r="Z90" s="348"/>
      <c r="AA90" s="348"/>
      <c r="AB90" s="340" t="e">
        <f t="shared" si="81"/>
        <v>#DIV/0!</v>
      </c>
      <c r="AC90" s="348" t="e">
        <f t="shared" si="82"/>
        <v>#DIV/0!</v>
      </c>
      <c r="AD90" s="488"/>
      <c r="AE90" s="348"/>
      <c r="AF90" s="348"/>
      <c r="AG90" s="340" t="e">
        <f t="shared" si="83"/>
        <v>#DIV/0!</v>
      </c>
      <c r="AH90" s="348" t="e">
        <f t="shared" si="84"/>
        <v>#DIV/0!</v>
      </c>
      <c r="AI90" s="488"/>
      <c r="AJ90" s="348"/>
      <c r="AK90" s="348"/>
      <c r="AL90" s="340" t="e">
        <f t="shared" si="85"/>
        <v>#DIV/0!</v>
      </c>
      <c r="AM90" s="348" t="e">
        <f t="shared" si="86"/>
        <v>#DIV/0!</v>
      </c>
      <c r="AN90" s="488"/>
      <c r="AO90" s="348"/>
      <c r="AP90" s="348"/>
      <c r="AQ90" s="340" t="e">
        <f t="shared" si="87"/>
        <v>#DIV/0!</v>
      </c>
      <c r="AR90" s="348" t="e">
        <f t="shared" si="88"/>
        <v>#DIV/0!</v>
      </c>
      <c r="AS90" s="488"/>
      <c r="AT90" s="348"/>
      <c r="AU90" s="348"/>
      <c r="AV90" s="340" t="e">
        <f t="shared" si="89"/>
        <v>#DIV/0!</v>
      </c>
      <c r="AW90" s="348" t="e">
        <f t="shared" si="90"/>
        <v>#DIV/0!</v>
      </c>
      <c r="AX90" s="488"/>
    </row>
    <row r="91" spans="2:50" x14ac:dyDescent="0.2">
      <c r="B91" s="508"/>
      <c r="C91" s="348">
        <v>16</v>
      </c>
      <c r="D91" s="348" t="s">
        <v>123</v>
      </c>
      <c r="E91" s="349">
        <f>VLOOKUP(D91,'07產線配置圖'!$A$2:$C$25,2,0)</f>
        <v>18</v>
      </c>
      <c r="F91" s="349">
        <f>VLOOKUP(D91,'07產線配置圖'!$A$2:$C$25,3,0)</f>
        <v>1565</v>
      </c>
      <c r="G91" s="342">
        <f>F91/E91</f>
        <v>86.944444444444443</v>
      </c>
      <c r="H91" s="488"/>
      <c r="I91" s="349" t="e">
        <f>AVERAGE(P91,U91,Z91,AE91,AJ91,AO91,AT91)</f>
        <v>#DIV/0!</v>
      </c>
      <c r="J91" s="349" t="e">
        <f>AVERAGE(Q91,V91,AA91,AF91,AK91,AP91,AU91)</f>
        <v>#DIV/0!</v>
      </c>
      <c r="K91" s="342" t="e">
        <f t="shared" si="99"/>
        <v>#DIV/0!</v>
      </c>
      <c r="L91" s="488"/>
      <c r="M91" s="349" t="e">
        <f t="shared" si="76"/>
        <v>#DIV/0!</v>
      </c>
      <c r="N91" s="495"/>
      <c r="O91" s="495"/>
      <c r="P91" s="348"/>
      <c r="Q91" s="348"/>
      <c r="R91" s="404" t="e">
        <f t="shared" si="100"/>
        <v>#DIV/0!</v>
      </c>
      <c r="S91" s="372" t="e">
        <f t="shared" si="101"/>
        <v>#DIV/0!</v>
      </c>
      <c r="T91" s="488"/>
      <c r="U91" s="348"/>
      <c r="V91" s="348"/>
      <c r="W91" s="340" t="e">
        <f t="shared" si="79"/>
        <v>#DIV/0!</v>
      </c>
      <c r="X91" s="348" t="e">
        <f t="shared" si="80"/>
        <v>#DIV/0!</v>
      </c>
      <c r="Y91" s="488"/>
      <c r="Z91" s="348"/>
      <c r="AA91" s="348"/>
      <c r="AB91" s="340" t="e">
        <f t="shared" si="81"/>
        <v>#DIV/0!</v>
      </c>
      <c r="AC91" s="348" t="e">
        <f t="shared" si="82"/>
        <v>#DIV/0!</v>
      </c>
      <c r="AD91" s="488"/>
      <c r="AE91" s="348"/>
      <c r="AF91" s="348"/>
      <c r="AG91" s="340" t="e">
        <f t="shared" si="83"/>
        <v>#DIV/0!</v>
      </c>
      <c r="AH91" s="348" t="e">
        <f t="shared" si="84"/>
        <v>#DIV/0!</v>
      </c>
      <c r="AI91" s="488"/>
      <c r="AJ91" s="348"/>
      <c r="AK91" s="348"/>
      <c r="AL91" s="340" t="e">
        <f t="shared" si="85"/>
        <v>#DIV/0!</v>
      </c>
      <c r="AM91" s="348" t="e">
        <f t="shared" si="86"/>
        <v>#DIV/0!</v>
      </c>
      <c r="AN91" s="488"/>
      <c r="AO91" s="348"/>
      <c r="AP91" s="348"/>
      <c r="AQ91" s="340" t="e">
        <f t="shared" si="87"/>
        <v>#DIV/0!</v>
      </c>
      <c r="AR91" s="348" t="e">
        <f t="shared" si="88"/>
        <v>#DIV/0!</v>
      </c>
      <c r="AS91" s="488"/>
      <c r="AT91" s="348"/>
      <c r="AU91" s="348"/>
      <c r="AV91" s="340" t="e">
        <f t="shared" si="89"/>
        <v>#DIV/0!</v>
      </c>
      <c r="AW91" s="348" t="e">
        <f t="shared" si="90"/>
        <v>#DIV/0!</v>
      </c>
      <c r="AX91" s="488"/>
    </row>
    <row r="92" spans="2:50" x14ac:dyDescent="0.2">
      <c r="B92" s="508"/>
      <c r="C92" s="348">
        <v>17</v>
      </c>
      <c r="D92" s="348"/>
      <c r="E92" s="349"/>
      <c r="F92" s="349"/>
      <c r="G92" s="342"/>
      <c r="H92" s="488"/>
      <c r="I92" s="349"/>
      <c r="J92" s="349"/>
      <c r="K92" s="342"/>
      <c r="L92" s="488"/>
      <c r="M92" s="349"/>
      <c r="N92" s="495"/>
      <c r="O92" s="495"/>
      <c r="P92" s="348"/>
      <c r="Q92" s="348"/>
      <c r="R92" s="371"/>
      <c r="S92" s="372"/>
      <c r="T92" s="488"/>
      <c r="U92" s="348"/>
      <c r="V92" s="348"/>
      <c r="W92" s="342"/>
      <c r="X92" s="348"/>
      <c r="Y92" s="488"/>
      <c r="Z92" s="348"/>
      <c r="AA92" s="348"/>
      <c r="AB92" s="342"/>
      <c r="AC92" s="348"/>
      <c r="AD92" s="488"/>
      <c r="AE92" s="348"/>
      <c r="AF92" s="348"/>
      <c r="AG92" s="342"/>
      <c r="AH92" s="348"/>
      <c r="AI92" s="488"/>
      <c r="AJ92" s="348"/>
      <c r="AK92" s="348"/>
      <c r="AL92" s="342"/>
      <c r="AM92" s="348"/>
      <c r="AN92" s="488"/>
      <c r="AO92" s="348"/>
      <c r="AP92" s="348"/>
      <c r="AQ92" s="342"/>
      <c r="AR92" s="348"/>
      <c r="AS92" s="488"/>
      <c r="AT92" s="348"/>
      <c r="AU92" s="348"/>
      <c r="AV92" s="342"/>
      <c r="AW92" s="348"/>
      <c r="AX92" s="488"/>
    </row>
    <row r="93" spans="2:50" x14ac:dyDescent="0.2">
      <c r="B93" s="509"/>
      <c r="C93" s="348">
        <v>18</v>
      </c>
      <c r="D93" s="348"/>
      <c r="E93" s="349"/>
      <c r="F93" s="349"/>
      <c r="G93" s="342"/>
      <c r="H93" s="488"/>
      <c r="I93" s="348"/>
      <c r="J93" s="348"/>
      <c r="K93" s="348"/>
      <c r="L93" s="489"/>
      <c r="M93" s="349"/>
      <c r="N93" s="496"/>
      <c r="O93" s="496"/>
      <c r="P93" s="348"/>
      <c r="Q93" s="348"/>
      <c r="R93" s="371"/>
      <c r="S93" s="372"/>
      <c r="T93" s="489"/>
      <c r="U93" s="348"/>
      <c r="V93" s="348"/>
      <c r="W93" s="342"/>
      <c r="X93" s="348"/>
      <c r="Y93" s="489"/>
      <c r="Z93" s="348"/>
      <c r="AA93" s="348"/>
      <c r="AB93" s="342"/>
      <c r="AC93" s="348"/>
      <c r="AD93" s="489"/>
      <c r="AE93" s="348"/>
      <c r="AF93" s="348"/>
      <c r="AG93" s="342"/>
      <c r="AH93" s="348"/>
      <c r="AI93" s="489"/>
      <c r="AJ93" s="348"/>
      <c r="AK93" s="348"/>
      <c r="AL93" s="342"/>
      <c r="AM93" s="348"/>
      <c r="AN93" s="489"/>
      <c r="AO93" s="348"/>
      <c r="AP93" s="348"/>
      <c r="AQ93" s="342"/>
      <c r="AR93" s="348"/>
      <c r="AS93" s="489"/>
      <c r="AT93" s="348"/>
      <c r="AU93" s="348"/>
      <c r="AV93" s="342"/>
      <c r="AW93" s="348"/>
      <c r="AX93" s="489"/>
    </row>
    <row r="94" spans="2:50" ht="15.75" x14ac:dyDescent="0.2">
      <c r="B94" s="491" t="s">
        <v>85</v>
      </c>
      <c r="C94" s="492"/>
      <c r="D94" s="492"/>
      <c r="E94" s="492"/>
      <c r="F94" s="492"/>
      <c r="G94" s="492"/>
      <c r="H94" s="492"/>
      <c r="I94" s="361"/>
      <c r="J94" s="361"/>
      <c r="K94" s="361"/>
      <c r="L94" s="361"/>
      <c r="M94" s="362"/>
      <c r="N94" s="494" t="s">
        <v>86</v>
      </c>
      <c r="O94" s="494" t="s">
        <v>45</v>
      </c>
      <c r="P94" s="485">
        <f>AT71+1</f>
        <v>46231</v>
      </c>
      <c r="Q94" s="486"/>
      <c r="R94" s="486"/>
      <c r="S94" s="486"/>
      <c r="T94" s="486"/>
      <c r="U94" s="485">
        <f>P94+1</f>
        <v>46232</v>
      </c>
      <c r="V94" s="486"/>
      <c r="W94" s="486"/>
      <c r="X94" s="486"/>
      <c r="Y94" s="486"/>
      <c r="Z94" s="485">
        <f>Z71+7</f>
        <v>46233</v>
      </c>
      <c r="AA94" s="486"/>
      <c r="AB94" s="486"/>
      <c r="AC94" s="486"/>
      <c r="AD94" s="486"/>
      <c r="AE94" s="485">
        <f>AE71+7</f>
        <v>46234</v>
      </c>
      <c r="AF94" s="486"/>
      <c r="AG94" s="486"/>
      <c r="AH94" s="486"/>
      <c r="AI94" s="486"/>
      <c r="AJ94" s="485">
        <f>AJ71+7</f>
        <v>46235</v>
      </c>
      <c r="AK94" s="486"/>
      <c r="AL94" s="486"/>
      <c r="AM94" s="486"/>
      <c r="AN94" s="486"/>
      <c r="AO94" s="485">
        <f>AO71+7</f>
        <v>46236</v>
      </c>
      <c r="AP94" s="486"/>
      <c r="AQ94" s="486"/>
      <c r="AR94" s="486"/>
      <c r="AS94" s="486"/>
      <c r="AT94" s="485">
        <f>AT71+7</f>
        <v>46237</v>
      </c>
      <c r="AU94" s="486"/>
      <c r="AV94" s="486"/>
      <c r="AW94" s="486"/>
      <c r="AX94" s="486"/>
    </row>
    <row r="95" spans="2:50" ht="15.75" x14ac:dyDescent="0.2">
      <c r="B95" s="493"/>
      <c r="C95" s="493"/>
      <c r="D95" s="493"/>
      <c r="E95" s="493"/>
      <c r="F95" s="493"/>
      <c r="G95" s="493"/>
      <c r="H95" s="493"/>
      <c r="I95" s="363"/>
      <c r="J95" s="363"/>
      <c r="K95" s="363"/>
      <c r="L95" s="363"/>
      <c r="M95" s="364"/>
      <c r="N95" s="496"/>
      <c r="O95" s="496"/>
      <c r="P95" s="485" t="s">
        <v>61</v>
      </c>
      <c r="Q95" s="486"/>
      <c r="R95" s="486"/>
      <c r="S95" s="486"/>
      <c r="T95" s="486"/>
      <c r="U95" s="485" t="s">
        <v>56</v>
      </c>
      <c r="V95" s="486"/>
      <c r="W95" s="486"/>
      <c r="X95" s="486"/>
      <c r="Y95" s="486"/>
      <c r="Z95" s="485" t="s">
        <v>57</v>
      </c>
      <c r="AA95" s="486"/>
      <c r="AB95" s="486"/>
      <c r="AC95" s="486"/>
      <c r="AD95" s="486"/>
      <c r="AE95" s="485" t="s">
        <v>58</v>
      </c>
      <c r="AF95" s="486"/>
      <c r="AG95" s="486"/>
      <c r="AH95" s="486"/>
      <c r="AI95" s="486"/>
      <c r="AJ95" s="485" t="s">
        <v>59</v>
      </c>
      <c r="AK95" s="486"/>
      <c r="AL95" s="486"/>
      <c r="AM95" s="486"/>
      <c r="AN95" s="486"/>
      <c r="AO95" s="485" t="s">
        <v>52</v>
      </c>
      <c r="AP95" s="486"/>
      <c r="AQ95" s="486"/>
      <c r="AR95" s="486"/>
      <c r="AS95" s="486"/>
      <c r="AT95" s="485" t="s">
        <v>60</v>
      </c>
      <c r="AU95" s="486"/>
      <c r="AV95" s="486"/>
      <c r="AW95" s="486"/>
      <c r="AX95" s="486"/>
    </row>
    <row r="96" spans="2:50" x14ac:dyDescent="0.2">
      <c r="B96" s="490" t="s">
        <v>41</v>
      </c>
      <c r="C96" s="490" t="s">
        <v>87</v>
      </c>
      <c r="D96" s="490"/>
      <c r="E96" s="490" t="s">
        <v>88</v>
      </c>
      <c r="F96" s="490"/>
      <c r="G96" s="490"/>
      <c r="H96" s="500" t="s">
        <v>89</v>
      </c>
      <c r="I96" s="490" t="s">
        <v>90</v>
      </c>
      <c r="J96" s="490"/>
      <c r="K96" s="490"/>
      <c r="L96" s="500" t="s">
        <v>89</v>
      </c>
      <c r="M96" s="494" t="s">
        <v>91</v>
      </c>
      <c r="N96" s="494"/>
      <c r="O96" s="494" t="s">
        <v>92</v>
      </c>
      <c r="P96" s="482" t="s">
        <v>93</v>
      </c>
      <c r="Q96" s="483"/>
      <c r="R96" s="483"/>
      <c r="S96" s="484"/>
      <c r="T96" s="490" t="s">
        <v>89</v>
      </c>
      <c r="U96" s="482" t="s">
        <v>93</v>
      </c>
      <c r="V96" s="483"/>
      <c r="W96" s="483"/>
      <c r="X96" s="484"/>
      <c r="Y96" s="490" t="s">
        <v>89</v>
      </c>
      <c r="Z96" s="482" t="s">
        <v>93</v>
      </c>
      <c r="AA96" s="483"/>
      <c r="AB96" s="483"/>
      <c r="AC96" s="484"/>
      <c r="AD96" s="490" t="s">
        <v>89</v>
      </c>
      <c r="AE96" s="482" t="s">
        <v>93</v>
      </c>
      <c r="AF96" s="483"/>
      <c r="AG96" s="483"/>
      <c r="AH96" s="484"/>
      <c r="AI96" s="490" t="s">
        <v>89</v>
      </c>
      <c r="AJ96" s="482" t="s">
        <v>93</v>
      </c>
      <c r="AK96" s="483"/>
      <c r="AL96" s="483"/>
      <c r="AM96" s="484"/>
      <c r="AN96" s="490" t="s">
        <v>89</v>
      </c>
      <c r="AO96" s="482" t="s">
        <v>93</v>
      </c>
      <c r="AP96" s="483"/>
      <c r="AQ96" s="483"/>
      <c r="AR96" s="484"/>
      <c r="AS96" s="490" t="s">
        <v>89</v>
      </c>
      <c r="AT96" s="482" t="s">
        <v>93</v>
      </c>
      <c r="AU96" s="483"/>
      <c r="AV96" s="483"/>
      <c r="AW96" s="484"/>
      <c r="AX96" s="490" t="s">
        <v>89</v>
      </c>
    </row>
    <row r="97" spans="1:50" x14ac:dyDescent="0.2">
      <c r="B97" s="490"/>
      <c r="C97" s="490"/>
      <c r="D97" s="490"/>
      <c r="E97" s="490" t="s">
        <v>94</v>
      </c>
      <c r="F97" s="490"/>
      <c r="G97" s="490"/>
      <c r="H97" s="501"/>
      <c r="I97" s="490" t="s">
        <v>94</v>
      </c>
      <c r="J97" s="490"/>
      <c r="K97" s="490"/>
      <c r="L97" s="501"/>
      <c r="M97" s="495"/>
      <c r="N97" s="495"/>
      <c r="O97" s="495"/>
      <c r="P97" s="482" t="s">
        <v>95</v>
      </c>
      <c r="Q97" s="483"/>
      <c r="R97" s="483"/>
      <c r="S97" s="484"/>
      <c r="T97" s="490"/>
      <c r="U97" s="482" t="s">
        <v>95</v>
      </c>
      <c r="V97" s="483"/>
      <c r="W97" s="483"/>
      <c r="X97" s="484"/>
      <c r="Y97" s="490"/>
      <c r="Z97" s="482" t="s">
        <v>95</v>
      </c>
      <c r="AA97" s="483"/>
      <c r="AB97" s="483"/>
      <c r="AC97" s="484"/>
      <c r="AD97" s="490"/>
      <c r="AE97" s="482" t="s">
        <v>95</v>
      </c>
      <c r="AF97" s="483"/>
      <c r="AG97" s="483"/>
      <c r="AH97" s="484"/>
      <c r="AI97" s="490"/>
      <c r="AJ97" s="482" t="s">
        <v>95</v>
      </c>
      <c r="AK97" s="483"/>
      <c r="AL97" s="483"/>
      <c r="AM97" s="484"/>
      <c r="AN97" s="490"/>
      <c r="AO97" s="482" t="s">
        <v>95</v>
      </c>
      <c r="AP97" s="483"/>
      <c r="AQ97" s="483"/>
      <c r="AR97" s="484"/>
      <c r="AS97" s="490"/>
      <c r="AT97" s="482" t="s">
        <v>95</v>
      </c>
      <c r="AU97" s="483"/>
      <c r="AV97" s="483"/>
      <c r="AW97" s="484"/>
      <c r="AX97" s="490"/>
    </row>
    <row r="98" spans="1:50" x14ac:dyDescent="0.2">
      <c r="B98" s="490"/>
      <c r="C98" s="490"/>
      <c r="D98" s="490"/>
      <c r="E98" s="365" t="s">
        <v>96</v>
      </c>
      <c r="F98" s="365" t="s">
        <v>97</v>
      </c>
      <c r="G98" s="365" t="s">
        <v>98</v>
      </c>
      <c r="H98" s="502"/>
      <c r="I98" s="365" t="s">
        <v>96</v>
      </c>
      <c r="J98" s="365" t="s">
        <v>97</v>
      </c>
      <c r="K98" s="365" t="s">
        <v>98</v>
      </c>
      <c r="L98" s="502"/>
      <c r="M98" s="496"/>
      <c r="N98" s="495"/>
      <c r="O98" s="495"/>
      <c r="P98" s="365" t="s">
        <v>96</v>
      </c>
      <c r="Q98" s="365" t="s">
        <v>97</v>
      </c>
      <c r="R98" s="365" t="s">
        <v>98</v>
      </c>
      <c r="S98" s="365" t="s">
        <v>91</v>
      </c>
      <c r="T98" s="490"/>
      <c r="U98" s="365" t="s">
        <v>96</v>
      </c>
      <c r="V98" s="365" t="s">
        <v>97</v>
      </c>
      <c r="W98" s="365" t="s">
        <v>98</v>
      </c>
      <c r="X98" s="365" t="s">
        <v>91</v>
      </c>
      <c r="Y98" s="490"/>
      <c r="Z98" s="365" t="s">
        <v>96</v>
      </c>
      <c r="AA98" s="365" t="s">
        <v>97</v>
      </c>
      <c r="AB98" s="365" t="s">
        <v>98</v>
      </c>
      <c r="AC98" s="365" t="s">
        <v>91</v>
      </c>
      <c r="AD98" s="490"/>
      <c r="AE98" s="365" t="s">
        <v>96</v>
      </c>
      <c r="AF98" s="365" t="s">
        <v>97</v>
      </c>
      <c r="AG98" s="365" t="s">
        <v>98</v>
      </c>
      <c r="AH98" s="365" t="s">
        <v>91</v>
      </c>
      <c r="AI98" s="490"/>
      <c r="AJ98" s="365" t="s">
        <v>96</v>
      </c>
      <c r="AK98" s="365" t="s">
        <v>97</v>
      </c>
      <c r="AL98" s="365" t="s">
        <v>98</v>
      </c>
      <c r="AM98" s="365" t="s">
        <v>91</v>
      </c>
      <c r="AN98" s="490"/>
      <c r="AO98" s="365" t="s">
        <v>96</v>
      </c>
      <c r="AP98" s="365" t="s">
        <v>97</v>
      </c>
      <c r="AQ98" s="365" t="s">
        <v>98</v>
      </c>
      <c r="AR98" s="365" t="s">
        <v>91</v>
      </c>
      <c r="AS98" s="490"/>
      <c r="AT98" s="365" t="s">
        <v>96</v>
      </c>
      <c r="AU98" s="365" t="s">
        <v>97</v>
      </c>
      <c r="AV98" s="365" t="s">
        <v>98</v>
      </c>
      <c r="AW98" s="365" t="s">
        <v>91</v>
      </c>
      <c r="AX98" s="490"/>
    </row>
    <row r="99" spans="1:50" ht="13.5" x14ac:dyDescent="0.2">
      <c r="B99" s="498" t="s">
        <v>334</v>
      </c>
      <c r="C99" s="348">
        <v>1</v>
      </c>
      <c r="D99" s="367" t="s">
        <v>113</v>
      </c>
      <c r="E99" s="349">
        <v>13</v>
      </c>
      <c r="F99" s="349">
        <f>VLOOKUP(D99,'07產線配置圖'!$A$2:$C$25,3,0)</f>
        <v>2250</v>
      </c>
      <c r="G99" s="342">
        <f>F99/E99</f>
        <v>173.07692307692307</v>
      </c>
      <c r="H99" s="487" t="e">
        <f>AVERAGE(G99:G113)</f>
        <v>#N/A</v>
      </c>
      <c r="I99" s="349" t="e">
        <f>AVERAGE(P99,U99,Z99,AE99,AJ99,AO99,AT99)</f>
        <v>#DIV/0!</v>
      </c>
      <c r="J99" s="349" t="e">
        <f>AVERAGE(Q99,V99,AA99,AF99,AK99,AP99,AU99)</f>
        <v>#DIV/0!</v>
      </c>
      <c r="K99" s="342" t="e">
        <f>AVERAGE(R99,W99,AB99,AG99,AL99,AQ99,AV99)</f>
        <v>#DIV/0!</v>
      </c>
      <c r="L99" s="487" t="str">
        <f>IFERROR(AVERAGE(K99:K116),"-")</f>
        <v>-</v>
      </c>
      <c r="M99" s="349" t="e">
        <f>RANK(K99, K$99:$K$116)</f>
        <v>#DIV/0!</v>
      </c>
      <c r="N99" s="495"/>
      <c r="O99" s="495"/>
      <c r="P99" s="349"/>
      <c r="Q99" s="349"/>
      <c r="R99" s="342" t="e">
        <f>Q99/P99</f>
        <v>#DIV/0!</v>
      </c>
      <c r="S99" s="348" t="e">
        <f>RANK(R99,$R$99:$R$116)</f>
        <v>#DIV/0!</v>
      </c>
      <c r="T99" s="487" t="e">
        <f>AVERAGE(R99:R116)</f>
        <v>#DIV/0!</v>
      </c>
      <c r="U99" s="349"/>
      <c r="V99" s="349"/>
      <c r="W99" s="342" t="e">
        <f>V99/U99</f>
        <v>#DIV/0!</v>
      </c>
      <c r="X99" s="348" t="e">
        <f>RANK(W99,$W$99:$W$116)</f>
        <v>#DIV/0!</v>
      </c>
      <c r="Y99" s="487" t="e">
        <f>AVERAGE(W99:W116)</f>
        <v>#DIV/0!</v>
      </c>
      <c r="Z99" s="349"/>
      <c r="AA99" s="349"/>
      <c r="AB99" s="342" t="e">
        <f>AA99/Z99</f>
        <v>#DIV/0!</v>
      </c>
      <c r="AC99" s="348" t="e">
        <f>RANK(AB99, $AB$99:$AB$116)</f>
        <v>#DIV/0!</v>
      </c>
      <c r="AD99" s="487" t="e">
        <f>AVERAGE(AB99:AB116)</f>
        <v>#DIV/0!</v>
      </c>
      <c r="AE99" s="349"/>
      <c r="AF99" s="349"/>
      <c r="AG99" s="342" t="e">
        <f>AF99/AE99</f>
        <v>#DIV/0!</v>
      </c>
      <c r="AH99" s="348" t="e">
        <f>RANK(AG99,$AG$99:$AG$116)</f>
        <v>#DIV/0!</v>
      </c>
      <c r="AI99" s="487" t="e">
        <f>AVERAGE(AG99:AG116)</f>
        <v>#DIV/0!</v>
      </c>
      <c r="AJ99" s="349"/>
      <c r="AK99" s="349"/>
      <c r="AL99" s="342" t="e">
        <f>AK99/AJ99</f>
        <v>#DIV/0!</v>
      </c>
      <c r="AM99" s="348" t="e">
        <f>RANK(AL99,$AL$99:$AL$116)</f>
        <v>#DIV/0!</v>
      </c>
      <c r="AN99" s="487" t="e">
        <f>AVERAGE(AL99:AL116)</f>
        <v>#DIV/0!</v>
      </c>
      <c r="AO99" s="349"/>
      <c r="AP99" s="349"/>
      <c r="AQ99" s="342" t="e">
        <f>AP99/AO99</f>
        <v>#DIV/0!</v>
      </c>
      <c r="AR99" s="348" t="e">
        <f>RANK(AQ99,$AQ$99:$AQ$116)</f>
        <v>#DIV/0!</v>
      </c>
      <c r="AS99" s="487" t="e">
        <f>AVERAGE(AQ99:AQ116)</f>
        <v>#DIV/0!</v>
      </c>
      <c r="AT99" s="349"/>
      <c r="AU99" s="349"/>
      <c r="AV99" s="342" t="e">
        <f>AU99/AT99</f>
        <v>#DIV/0!</v>
      </c>
      <c r="AW99" s="348" t="e">
        <f>RANK(AV99,$AV$99:$AV$116)</f>
        <v>#DIV/0!</v>
      </c>
      <c r="AX99" s="487" t="e">
        <f>AVERAGE(AV99:AV116)</f>
        <v>#DIV/0!</v>
      </c>
    </row>
    <row r="100" spans="1:50" x14ac:dyDescent="0.2">
      <c r="B100" s="499"/>
      <c r="C100" s="348">
        <v>2</v>
      </c>
      <c r="D100" s="348" t="s">
        <v>116</v>
      </c>
      <c r="E100" s="349">
        <f>VLOOKUP(D100,'07產線配置圖'!$A$2:$C$25,2,0)</f>
        <v>15</v>
      </c>
      <c r="F100" s="349">
        <f>VLOOKUP(D100,'07產線配置圖'!$A$2:$C$25,3,0)</f>
        <v>2250</v>
      </c>
      <c r="G100" s="342">
        <f t="shared" ref="G100:G112" si="102">F100/E100</f>
        <v>150</v>
      </c>
      <c r="H100" s="488"/>
      <c r="I100" s="349" t="e">
        <f t="shared" ref="I100:I103" si="103">AVERAGE(P100,U100,Z100,AE100,AJ100,AO100,AT100)</f>
        <v>#DIV/0!</v>
      </c>
      <c r="J100" s="349" t="e">
        <f t="shared" ref="J100:J103" si="104">AVERAGE(Q100,V100,AA100,AF100,AK100,AP100,AU100)</f>
        <v>#DIV/0!</v>
      </c>
      <c r="K100" s="342" t="e">
        <f t="shared" ref="K100:K103" si="105">AVERAGE(R100,W100,AB100,AG100,AL100,AQ100,AV100)</f>
        <v>#DIV/0!</v>
      </c>
      <c r="L100" s="488"/>
      <c r="M100" s="349" t="e">
        <f>RANK(K100, K$99:$K$116)</f>
        <v>#DIV/0!</v>
      </c>
      <c r="N100" s="495"/>
      <c r="O100" s="495"/>
      <c r="P100" s="349"/>
      <c r="Q100" s="349"/>
      <c r="R100" s="342" t="e">
        <f t="shared" ref="R100:R115" si="106">Q100/P100</f>
        <v>#DIV/0!</v>
      </c>
      <c r="S100" s="348" t="e">
        <f t="shared" ref="S100:S115" si="107">RANK(R100,$R$99:$R$116)</f>
        <v>#DIV/0!</v>
      </c>
      <c r="T100" s="488"/>
      <c r="U100" s="349"/>
      <c r="V100" s="349"/>
      <c r="W100" s="342" t="e">
        <f t="shared" ref="W100:W115" si="108">V100/U100</f>
        <v>#DIV/0!</v>
      </c>
      <c r="X100" s="348" t="e">
        <f t="shared" ref="X100:X115" si="109">RANK(W100,$W$99:$W$116)</f>
        <v>#DIV/0!</v>
      </c>
      <c r="Y100" s="488"/>
      <c r="Z100" s="349"/>
      <c r="AA100" s="349"/>
      <c r="AB100" s="342" t="e">
        <f t="shared" ref="AB100:AB115" si="110">AA100/Z100</f>
        <v>#DIV/0!</v>
      </c>
      <c r="AC100" s="348" t="e">
        <f t="shared" ref="AC100:AC115" si="111">RANK(AB100, $AB$99:$AB$116)</f>
        <v>#DIV/0!</v>
      </c>
      <c r="AD100" s="488"/>
      <c r="AE100" s="349"/>
      <c r="AF100" s="349"/>
      <c r="AG100" s="342" t="e">
        <f t="shared" ref="AG100:AG115" si="112">AF100/AE100</f>
        <v>#DIV/0!</v>
      </c>
      <c r="AH100" s="348" t="e">
        <f t="shared" ref="AH100:AH115" si="113">RANK(AG100,$AG$99:$AG$116)</f>
        <v>#DIV/0!</v>
      </c>
      <c r="AI100" s="488"/>
      <c r="AJ100" s="349"/>
      <c r="AK100" s="349"/>
      <c r="AL100" s="342" t="e">
        <f t="shared" ref="AL100:AL115" si="114">AK100/AJ100</f>
        <v>#DIV/0!</v>
      </c>
      <c r="AM100" s="348" t="e">
        <f t="shared" ref="AM100:AM115" si="115">RANK(AL100,$AL$99:$AL$116)</f>
        <v>#DIV/0!</v>
      </c>
      <c r="AN100" s="488"/>
      <c r="AO100" s="349"/>
      <c r="AP100" s="349"/>
      <c r="AQ100" s="342" t="e">
        <f t="shared" ref="AQ100:AQ115" si="116">AP100/AO100</f>
        <v>#DIV/0!</v>
      </c>
      <c r="AR100" s="348" t="e">
        <f t="shared" ref="AR100:AR115" si="117">RANK(AQ100,$AQ$99:$AQ$116)</f>
        <v>#DIV/0!</v>
      </c>
      <c r="AS100" s="488"/>
      <c r="AT100" s="349"/>
      <c r="AU100" s="349"/>
      <c r="AV100" s="342" t="e">
        <f t="shared" ref="AV100:AV115" si="118">AU100/AT100</f>
        <v>#DIV/0!</v>
      </c>
      <c r="AW100" s="348" t="e">
        <f t="shared" ref="AW100:AW115" si="119">RANK(AV100,$AV$99:$AV$116)</f>
        <v>#DIV/0!</v>
      </c>
      <c r="AX100" s="488"/>
    </row>
    <row r="101" spans="1:50" x14ac:dyDescent="0.2">
      <c r="B101" s="499"/>
      <c r="C101" s="348">
        <v>3</v>
      </c>
      <c r="D101" s="348" t="s">
        <v>115</v>
      </c>
      <c r="E101" s="349">
        <f>VLOOKUP(D101,'07產線配置圖'!$A$2:$C$25,2,0)</f>
        <v>15</v>
      </c>
      <c r="F101" s="349">
        <f>VLOOKUP(D101,'07產線配置圖'!$A$2:$C$25,3,0)</f>
        <v>2250</v>
      </c>
      <c r="G101" s="342">
        <f t="shared" si="102"/>
        <v>150</v>
      </c>
      <c r="H101" s="488"/>
      <c r="I101" s="349" t="e">
        <f t="shared" si="103"/>
        <v>#DIV/0!</v>
      </c>
      <c r="J101" s="349" t="e">
        <f t="shared" si="104"/>
        <v>#DIV/0!</v>
      </c>
      <c r="K101" s="342" t="e">
        <f t="shared" si="105"/>
        <v>#DIV/0!</v>
      </c>
      <c r="L101" s="488"/>
      <c r="M101" s="349" t="e">
        <f>RANK(K101, K$99:$K$116)</f>
        <v>#DIV/0!</v>
      </c>
      <c r="N101" s="495"/>
      <c r="O101" s="495"/>
      <c r="P101" s="349"/>
      <c r="Q101" s="349"/>
      <c r="R101" s="342" t="e">
        <f t="shared" si="106"/>
        <v>#DIV/0!</v>
      </c>
      <c r="S101" s="348" t="e">
        <f t="shared" si="107"/>
        <v>#DIV/0!</v>
      </c>
      <c r="T101" s="488"/>
      <c r="U101" s="349"/>
      <c r="V101" s="349"/>
      <c r="W101" s="342" t="e">
        <f t="shared" si="108"/>
        <v>#DIV/0!</v>
      </c>
      <c r="X101" s="348" t="e">
        <f t="shared" si="109"/>
        <v>#DIV/0!</v>
      </c>
      <c r="Y101" s="488"/>
      <c r="Z101" s="349"/>
      <c r="AA101" s="349"/>
      <c r="AB101" s="342" t="e">
        <f t="shared" si="110"/>
        <v>#DIV/0!</v>
      </c>
      <c r="AC101" s="348" t="e">
        <f t="shared" si="111"/>
        <v>#DIV/0!</v>
      </c>
      <c r="AD101" s="488"/>
      <c r="AE101" s="349"/>
      <c r="AF101" s="349"/>
      <c r="AG101" s="342" t="e">
        <f t="shared" si="112"/>
        <v>#DIV/0!</v>
      </c>
      <c r="AH101" s="348" t="e">
        <f t="shared" si="113"/>
        <v>#DIV/0!</v>
      </c>
      <c r="AI101" s="488"/>
      <c r="AJ101" s="349"/>
      <c r="AK101" s="349"/>
      <c r="AL101" s="342" t="e">
        <f t="shared" si="114"/>
        <v>#DIV/0!</v>
      </c>
      <c r="AM101" s="348" t="e">
        <f t="shared" si="115"/>
        <v>#DIV/0!</v>
      </c>
      <c r="AN101" s="488"/>
      <c r="AO101" s="349"/>
      <c r="AP101" s="349"/>
      <c r="AQ101" s="342" t="e">
        <f t="shared" si="116"/>
        <v>#DIV/0!</v>
      </c>
      <c r="AR101" s="348" t="e">
        <f t="shared" si="117"/>
        <v>#DIV/0!</v>
      </c>
      <c r="AS101" s="488"/>
      <c r="AT101" s="349"/>
      <c r="AU101" s="349"/>
      <c r="AV101" s="342" t="e">
        <f t="shared" si="118"/>
        <v>#DIV/0!</v>
      </c>
      <c r="AW101" s="348" t="e">
        <f t="shared" si="119"/>
        <v>#DIV/0!</v>
      </c>
      <c r="AX101" s="488"/>
    </row>
    <row r="102" spans="1:50" x14ac:dyDescent="0.2">
      <c r="A102" s="358">
        <v>18</v>
      </c>
      <c r="B102" s="499"/>
      <c r="C102" s="348">
        <v>4</v>
      </c>
      <c r="D102" s="348" t="s">
        <v>165</v>
      </c>
      <c r="E102" s="349">
        <f>VLOOKUP(D102,'07產線配置圖'!$A$2:$C$25,2,0)</f>
        <v>16</v>
      </c>
      <c r="F102" s="349">
        <f>VLOOKUP(D102,'07產線配置圖'!$A$2:$C$25,3,0)</f>
        <v>1800</v>
      </c>
      <c r="G102" s="342">
        <f t="shared" si="102"/>
        <v>112.5</v>
      </c>
      <c r="H102" s="488"/>
      <c r="I102" s="349" t="e">
        <f t="shared" si="103"/>
        <v>#DIV/0!</v>
      </c>
      <c r="J102" s="349" t="e">
        <f t="shared" si="104"/>
        <v>#DIV/0!</v>
      </c>
      <c r="K102" s="342" t="e">
        <f t="shared" si="105"/>
        <v>#DIV/0!</v>
      </c>
      <c r="L102" s="488"/>
      <c r="M102" s="349" t="e">
        <f>RANK(K102, K$99:$K$116)</f>
        <v>#DIV/0!</v>
      </c>
      <c r="N102" s="495"/>
      <c r="O102" s="495"/>
      <c r="P102" s="349"/>
      <c r="Q102" s="349"/>
      <c r="R102" s="342" t="e">
        <f t="shared" si="106"/>
        <v>#DIV/0!</v>
      </c>
      <c r="S102" s="348" t="e">
        <f t="shared" si="107"/>
        <v>#DIV/0!</v>
      </c>
      <c r="T102" s="488"/>
      <c r="U102" s="349"/>
      <c r="V102" s="349"/>
      <c r="W102" s="342" t="e">
        <f t="shared" si="108"/>
        <v>#DIV/0!</v>
      </c>
      <c r="X102" s="348" t="e">
        <f t="shared" si="109"/>
        <v>#DIV/0!</v>
      </c>
      <c r="Y102" s="488"/>
      <c r="Z102" s="349"/>
      <c r="AA102" s="349"/>
      <c r="AB102" s="342" t="e">
        <f t="shared" si="110"/>
        <v>#DIV/0!</v>
      </c>
      <c r="AC102" s="348" t="e">
        <f t="shared" si="111"/>
        <v>#DIV/0!</v>
      </c>
      <c r="AD102" s="488"/>
      <c r="AE102" s="349"/>
      <c r="AF102" s="349"/>
      <c r="AG102" s="342" t="e">
        <f t="shared" si="112"/>
        <v>#DIV/0!</v>
      </c>
      <c r="AH102" s="348" t="e">
        <f t="shared" si="113"/>
        <v>#DIV/0!</v>
      </c>
      <c r="AI102" s="488"/>
      <c r="AJ102" s="349"/>
      <c r="AK102" s="349"/>
      <c r="AL102" s="342" t="e">
        <f t="shared" si="114"/>
        <v>#DIV/0!</v>
      </c>
      <c r="AM102" s="348" t="e">
        <f t="shared" si="115"/>
        <v>#DIV/0!</v>
      </c>
      <c r="AN102" s="488"/>
      <c r="AO102" s="349"/>
      <c r="AP102" s="349"/>
      <c r="AQ102" s="342" t="e">
        <f t="shared" si="116"/>
        <v>#DIV/0!</v>
      </c>
      <c r="AR102" s="348" t="e">
        <f t="shared" si="117"/>
        <v>#DIV/0!</v>
      </c>
      <c r="AS102" s="488"/>
      <c r="AT102" s="349"/>
      <c r="AU102" s="349"/>
      <c r="AV102" s="342" t="e">
        <f t="shared" si="118"/>
        <v>#DIV/0!</v>
      </c>
      <c r="AW102" s="348" t="e">
        <f t="shared" si="119"/>
        <v>#DIV/0!</v>
      </c>
      <c r="AX102" s="488"/>
    </row>
    <row r="103" spans="1:50" ht="13.5" x14ac:dyDescent="0.2">
      <c r="B103" s="499"/>
      <c r="C103" s="348">
        <v>5</v>
      </c>
      <c r="D103" s="367" t="s">
        <v>114</v>
      </c>
      <c r="E103" s="349">
        <v>14</v>
      </c>
      <c r="F103" s="349">
        <f>VLOOKUP(D103,'07產線配置圖'!$A$2:$C$25,3,0)</f>
        <v>2250</v>
      </c>
      <c r="G103" s="342">
        <f t="shared" si="102"/>
        <v>160.71428571428572</v>
      </c>
      <c r="H103" s="488"/>
      <c r="I103" s="349" t="e">
        <f t="shared" si="103"/>
        <v>#DIV/0!</v>
      </c>
      <c r="J103" s="349" t="e">
        <f t="shared" si="104"/>
        <v>#DIV/0!</v>
      </c>
      <c r="K103" s="342" t="e">
        <f t="shared" si="105"/>
        <v>#DIV/0!</v>
      </c>
      <c r="L103" s="488"/>
      <c r="M103" s="349" t="e">
        <f>RANK(K103, K$99:$K$116)</f>
        <v>#DIV/0!</v>
      </c>
      <c r="N103" s="495"/>
      <c r="O103" s="495"/>
      <c r="P103" s="349"/>
      <c r="Q103" s="349"/>
      <c r="R103" s="342" t="e">
        <f t="shared" si="106"/>
        <v>#DIV/0!</v>
      </c>
      <c r="S103" s="348" t="e">
        <f t="shared" si="107"/>
        <v>#DIV/0!</v>
      </c>
      <c r="T103" s="488"/>
      <c r="U103" s="349"/>
      <c r="V103" s="349"/>
      <c r="W103" s="342" t="e">
        <f t="shared" si="108"/>
        <v>#DIV/0!</v>
      </c>
      <c r="X103" s="348" t="e">
        <f t="shared" si="109"/>
        <v>#DIV/0!</v>
      </c>
      <c r="Y103" s="488"/>
      <c r="Z103" s="349"/>
      <c r="AA103" s="349"/>
      <c r="AB103" s="342" t="e">
        <f t="shared" si="110"/>
        <v>#DIV/0!</v>
      </c>
      <c r="AC103" s="348" t="e">
        <f t="shared" si="111"/>
        <v>#DIV/0!</v>
      </c>
      <c r="AD103" s="488"/>
      <c r="AE103" s="349"/>
      <c r="AF103" s="349"/>
      <c r="AG103" s="342" t="e">
        <f t="shared" si="112"/>
        <v>#DIV/0!</v>
      </c>
      <c r="AH103" s="348" t="e">
        <f t="shared" si="113"/>
        <v>#DIV/0!</v>
      </c>
      <c r="AI103" s="488"/>
      <c r="AJ103" s="349"/>
      <c r="AK103" s="349"/>
      <c r="AL103" s="342" t="e">
        <f t="shared" si="114"/>
        <v>#DIV/0!</v>
      </c>
      <c r="AM103" s="348" t="e">
        <f t="shared" si="115"/>
        <v>#DIV/0!</v>
      </c>
      <c r="AN103" s="488"/>
      <c r="AO103" s="349"/>
      <c r="AP103" s="349"/>
      <c r="AQ103" s="342" t="e">
        <f t="shared" si="116"/>
        <v>#DIV/0!</v>
      </c>
      <c r="AR103" s="348" t="e">
        <f t="shared" si="117"/>
        <v>#DIV/0!</v>
      </c>
      <c r="AS103" s="488"/>
      <c r="AT103" s="349"/>
      <c r="AU103" s="349"/>
      <c r="AV103" s="342" t="e">
        <f t="shared" si="118"/>
        <v>#DIV/0!</v>
      </c>
      <c r="AW103" s="348" t="e">
        <f t="shared" si="119"/>
        <v>#DIV/0!</v>
      </c>
      <c r="AX103" s="488"/>
    </row>
    <row r="104" spans="1:50" x14ac:dyDescent="0.2">
      <c r="B104" s="499"/>
      <c r="C104" s="348">
        <v>6</v>
      </c>
      <c r="D104" s="348" t="s">
        <v>158</v>
      </c>
      <c r="E104" s="349">
        <f>VLOOKUP(D104,'07產線配置圖'!$A$2:$C$25,2,0)</f>
        <v>15</v>
      </c>
      <c r="F104" s="349">
        <f>VLOOKUP(D104,'07產線配置圖'!$A$2:$C$25,3,0)</f>
        <v>1714</v>
      </c>
      <c r="G104" s="342">
        <f t="shared" si="102"/>
        <v>114.26666666666667</v>
      </c>
      <c r="H104" s="488"/>
      <c r="I104" s="349" t="e">
        <f>AVERAGE(P104,U104,Z104,AE104,AJ104,AO104,AT104)</f>
        <v>#DIV/0!</v>
      </c>
      <c r="J104" s="349" t="e">
        <f>AVERAGE(Q104,V104,AA104,AF104,AK104,AP104,AU104)</f>
        <v>#DIV/0!</v>
      </c>
      <c r="K104" s="342" t="e">
        <f>AVERAGE(R104,W104,AB104,AG104,AL104,AQ104,AV104)</f>
        <v>#DIV/0!</v>
      </c>
      <c r="L104" s="488"/>
      <c r="M104" s="349" t="e">
        <f>RANK(K104, K$99:$K$116)</f>
        <v>#DIV/0!</v>
      </c>
      <c r="N104" s="495"/>
      <c r="O104" s="495"/>
      <c r="P104" s="349"/>
      <c r="Q104" s="349"/>
      <c r="R104" s="342" t="e">
        <f t="shared" si="106"/>
        <v>#DIV/0!</v>
      </c>
      <c r="S104" s="348" t="e">
        <f t="shared" si="107"/>
        <v>#DIV/0!</v>
      </c>
      <c r="T104" s="488"/>
      <c r="U104" s="349"/>
      <c r="V104" s="349"/>
      <c r="W104" s="342" t="e">
        <f t="shared" si="108"/>
        <v>#DIV/0!</v>
      </c>
      <c r="X104" s="348" t="e">
        <f t="shared" si="109"/>
        <v>#DIV/0!</v>
      </c>
      <c r="Y104" s="488"/>
      <c r="Z104" s="349"/>
      <c r="AA104" s="349"/>
      <c r="AB104" s="342" t="e">
        <f t="shared" si="110"/>
        <v>#DIV/0!</v>
      </c>
      <c r="AC104" s="348" t="e">
        <f t="shared" si="111"/>
        <v>#DIV/0!</v>
      </c>
      <c r="AD104" s="488"/>
      <c r="AE104" s="349"/>
      <c r="AF104" s="349"/>
      <c r="AG104" s="342" t="e">
        <f t="shared" si="112"/>
        <v>#DIV/0!</v>
      </c>
      <c r="AH104" s="348" t="e">
        <f t="shared" si="113"/>
        <v>#DIV/0!</v>
      </c>
      <c r="AI104" s="488"/>
      <c r="AJ104" s="349"/>
      <c r="AK104" s="349"/>
      <c r="AL104" s="342" t="e">
        <f t="shared" si="114"/>
        <v>#DIV/0!</v>
      </c>
      <c r="AM104" s="348" t="e">
        <f t="shared" si="115"/>
        <v>#DIV/0!</v>
      </c>
      <c r="AN104" s="488"/>
      <c r="AO104" s="349"/>
      <c r="AP104" s="349"/>
      <c r="AQ104" s="342" t="e">
        <f t="shared" si="116"/>
        <v>#DIV/0!</v>
      </c>
      <c r="AR104" s="348" t="e">
        <f t="shared" si="117"/>
        <v>#DIV/0!</v>
      </c>
      <c r="AS104" s="488"/>
      <c r="AT104" s="349"/>
      <c r="AU104" s="349"/>
      <c r="AV104" s="342" t="e">
        <f t="shared" si="118"/>
        <v>#DIV/0!</v>
      </c>
      <c r="AW104" s="348" t="e">
        <f t="shared" si="119"/>
        <v>#DIV/0!</v>
      </c>
      <c r="AX104" s="488"/>
    </row>
    <row r="105" spans="1:50" x14ac:dyDescent="0.2">
      <c r="B105" s="499"/>
      <c r="C105" s="348">
        <v>7</v>
      </c>
      <c r="D105" s="348" t="s">
        <v>223</v>
      </c>
      <c r="E105" s="349">
        <f>VLOOKUP(D105,'07產線配置圖'!$A$2:$C$25,2,0)</f>
        <v>17</v>
      </c>
      <c r="F105" s="349">
        <v>1800</v>
      </c>
      <c r="G105" s="342">
        <f t="shared" si="102"/>
        <v>105.88235294117646</v>
      </c>
      <c r="H105" s="488"/>
      <c r="I105" s="349" t="e">
        <f t="shared" ref="I105:I115" si="120">AVERAGE(P105,U105,Z105,AE105,AJ105,AO105,AT105)</f>
        <v>#DIV/0!</v>
      </c>
      <c r="J105" s="349" t="e">
        <f t="shared" ref="J105:J115" si="121">AVERAGE(Q105,V105,AA105,AF105,AK105,AP105,AU105)</f>
        <v>#DIV/0!</v>
      </c>
      <c r="K105" s="342" t="e">
        <f t="shared" ref="K105:K115" si="122">AVERAGE(R105,W105,AB105,AG105,AL105,AQ105,AV105)</f>
        <v>#DIV/0!</v>
      </c>
      <c r="L105" s="488"/>
      <c r="M105" s="349" t="e">
        <f>RANK(K105, K$99:$K$116)</f>
        <v>#DIV/0!</v>
      </c>
      <c r="N105" s="495"/>
      <c r="O105" s="495"/>
      <c r="P105" s="349"/>
      <c r="Q105" s="349"/>
      <c r="R105" s="342" t="e">
        <f t="shared" si="106"/>
        <v>#DIV/0!</v>
      </c>
      <c r="S105" s="348" t="e">
        <f t="shared" si="107"/>
        <v>#DIV/0!</v>
      </c>
      <c r="T105" s="488"/>
      <c r="U105" s="349"/>
      <c r="V105" s="349"/>
      <c r="W105" s="342" t="e">
        <f t="shared" si="108"/>
        <v>#DIV/0!</v>
      </c>
      <c r="X105" s="348" t="e">
        <f t="shared" si="109"/>
        <v>#DIV/0!</v>
      </c>
      <c r="Y105" s="488"/>
      <c r="Z105" s="349"/>
      <c r="AA105" s="349"/>
      <c r="AB105" s="342" t="e">
        <f t="shared" si="110"/>
        <v>#DIV/0!</v>
      </c>
      <c r="AC105" s="348" t="e">
        <f t="shared" si="111"/>
        <v>#DIV/0!</v>
      </c>
      <c r="AD105" s="488"/>
      <c r="AE105" s="349"/>
      <c r="AF105" s="349"/>
      <c r="AG105" s="340" t="e">
        <f t="shared" si="112"/>
        <v>#DIV/0!</v>
      </c>
      <c r="AH105" s="348" t="e">
        <f t="shared" si="113"/>
        <v>#DIV/0!</v>
      </c>
      <c r="AI105" s="488"/>
      <c r="AJ105" s="349"/>
      <c r="AK105" s="349"/>
      <c r="AL105" s="342" t="e">
        <f t="shared" si="114"/>
        <v>#DIV/0!</v>
      </c>
      <c r="AM105" s="348" t="e">
        <f t="shared" si="115"/>
        <v>#DIV/0!</v>
      </c>
      <c r="AN105" s="488"/>
      <c r="AO105" s="349"/>
      <c r="AP105" s="349"/>
      <c r="AQ105" s="342" t="e">
        <f t="shared" si="116"/>
        <v>#DIV/0!</v>
      </c>
      <c r="AR105" s="348" t="e">
        <f t="shared" si="117"/>
        <v>#DIV/0!</v>
      </c>
      <c r="AS105" s="488"/>
      <c r="AT105" s="349"/>
      <c r="AU105" s="349"/>
      <c r="AV105" s="342" t="e">
        <f t="shared" si="118"/>
        <v>#DIV/0!</v>
      </c>
      <c r="AW105" s="348" t="e">
        <f t="shared" si="119"/>
        <v>#DIV/0!</v>
      </c>
      <c r="AX105" s="488"/>
    </row>
    <row r="106" spans="1:50" x14ac:dyDescent="0.2">
      <c r="B106" s="499"/>
      <c r="C106" s="348">
        <v>8</v>
      </c>
      <c r="D106" s="348" t="s">
        <v>121</v>
      </c>
      <c r="E106" s="349">
        <f>VLOOKUP(D106,'07產線配置圖'!$A$2:$C$25,2,0)</f>
        <v>18</v>
      </c>
      <c r="F106" s="349">
        <f>VLOOKUP(D106,'07產線配置圖'!$A$2:$C$25,3,0)</f>
        <v>1636</v>
      </c>
      <c r="G106" s="342">
        <f t="shared" si="102"/>
        <v>90.888888888888886</v>
      </c>
      <c r="H106" s="488"/>
      <c r="I106" s="349" t="e">
        <f t="shared" si="120"/>
        <v>#DIV/0!</v>
      </c>
      <c r="J106" s="349" t="e">
        <f t="shared" si="121"/>
        <v>#DIV/0!</v>
      </c>
      <c r="K106" s="342" t="e">
        <f t="shared" si="122"/>
        <v>#DIV/0!</v>
      </c>
      <c r="L106" s="488"/>
      <c r="M106" s="349" t="e">
        <f>RANK(K106, K$99:$K$116)</f>
        <v>#DIV/0!</v>
      </c>
      <c r="N106" s="495"/>
      <c r="O106" s="495"/>
      <c r="P106" s="348"/>
      <c r="Q106" s="349"/>
      <c r="R106" s="342" t="e">
        <f t="shared" si="106"/>
        <v>#DIV/0!</v>
      </c>
      <c r="S106" s="348" t="e">
        <f t="shared" si="107"/>
        <v>#DIV/0!</v>
      </c>
      <c r="T106" s="488"/>
      <c r="U106" s="348"/>
      <c r="V106" s="349"/>
      <c r="W106" s="340" t="e">
        <f t="shared" si="108"/>
        <v>#DIV/0!</v>
      </c>
      <c r="X106" s="348" t="e">
        <f t="shared" si="109"/>
        <v>#DIV/0!</v>
      </c>
      <c r="Y106" s="488"/>
      <c r="Z106" s="348"/>
      <c r="AA106" s="349"/>
      <c r="AB106" s="342" t="e">
        <f t="shared" si="110"/>
        <v>#DIV/0!</v>
      </c>
      <c r="AC106" s="348" t="e">
        <f t="shared" si="111"/>
        <v>#DIV/0!</v>
      </c>
      <c r="AD106" s="488"/>
      <c r="AE106" s="348"/>
      <c r="AF106" s="349"/>
      <c r="AG106" s="340" t="e">
        <f t="shared" si="112"/>
        <v>#DIV/0!</v>
      </c>
      <c r="AH106" s="348" t="e">
        <f t="shared" si="113"/>
        <v>#DIV/0!</v>
      </c>
      <c r="AI106" s="488"/>
      <c r="AJ106" s="348"/>
      <c r="AK106" s="349"/>
      <c r="AL106" s="342" t="e">
        <f t="shared" si="114"/>
        <v>#DIV/0!</v>
      </c>
      <c r="AM106" s="348" t="e">
        <f t="shared" si="115"/>
        <v>#DIV/0!</v>
      </c>
      <c r="AN106" s="488"/>
      <c r="AO106" s="348"/>
      <c r="AP106" s="349"/>
      <c r="AQ106" s="340" t="e">
        <f t="shared" si="116"/>
        <v>#DIV/0!</v>
      </c>
      <c r="AR106" s="348" t="e">
        <f t="shared" si="117"/>
        <v>#DIV/0!</v>
      </c>
      <c r="AS106" s="488"/>
      <c r="AT106" s="348"/>
      <c r="AU106" s="349"/>
      <c r="AV106" s="342" t="e">
        <f t="shared" si="118"/>
        <v>#DIV/0!</v>
      </c>
      <c r="AW106" s="348" t="e">
        <f t="shared" si="119"/>
        <v>#DIV/0!</v>
      </c>
      <c r="AX106" s="488"/>
    </row>
    <row r="107" spans="1:50" x14ac:dyDescent="0.2">
      <c r="B107" s="499"/>
      <c r="C107" s="348">
        <v>9</v>
      </c>
      <c r="D107" s="348" t="s">
        <v>381</v>
      </c>
      <c r="E107" s="349">
        <f>VLOOKUP(D107,'07產線配置圖'!$A$2:$C$25,2,0)</f>
        <v>13</v>
      </c>
      <c r="F107" s="349">
        <f>VLOOKUP(D107,'07產線配置圖'!$A$2:$C$25,3,0)</f>
        <v>1440</v>
      </c>
      <c r="G107" s="342">
        <f t="shared" si="102"/>
        <v>110.76923076923077</v>
      </c>
      <c r="H107" s="488"/>
      <c r="I107" s="349" t="e">
        <f t="shared" si="120"/>
        <v>#DIV/0!</v>
      </c>
      <c r="J107" s="349" t="e">
        <f t="shared" si="121"/>
        <v>#DIV/0!</v>
      </c>
      <c r="K107" s="342" t="e">
        <f t="shared" si="122"/>
        <v>#DIV/0!</v>
      </c>
      <c r="L107" s="488"/>
      <c r="M107" s="349" t="e">
        <f>RANK(K107, K$99:$K$116)</f>
        <v>#DIV/0!</v>
      </c>
      <c r="N107" s="495"/>
      <c r="O107" s="495"/>
      <c r="P107" s="348"/>
      <c r="Q107" s="349"/>
      <c r="R107" s="342" t="e">
        <f t="shared" si="106"/>
        <v>#DIV/0!</v>
      </c>
      <c r="S107" s="348" t="e">
        <f t="shared" si="107"/>
        <v>#DIV/0!</v>
      </c>
      <c r="T107" s="488"/>
      <c r="U107" s="348"/>
      <c r="V107" s="349"/>
      <c r="W107" s="342" t="e">
        <f t="shared" si="108"/>
        <v>#DIV/0!</v>
      </c>
      <c r="X107" s="348" t="e">
        <f t="shared" si="109"/>
        <v>#DIV/0!</v>
      </c>
      <c r="Y107" s="488"/>
      <c r="Z107" s="348"/>
      <c r="AA107" s="349"/>
      <c r="AB107" s="340" t="e">
        <f t="shared" si="110"/>
        <v>#DIV/0!</v>
      </c>
      <c r="AC107" s="348" t="e">
        <f t="shared" si="111"/>
        <v>#DIV/0!</v>
      </c>
      <c r="AD107" s="488"/>
      <c r="AE107" s="348"/>
      <c r="AF107" s="349"/>
      <c r="AG107" s="342" t="e">
        <f t="shared" si="112"/>
        <v>#DIV/0!</v>
      </c>
      <c r="AH107" s="348" t="e">
        <f t="shared" si="113"/>
        <v>#DIV/0!</v>
      </c>
      <c r="AI107" s="488"/>
      <c r="AJ107" s="348"/>
      <c r="AK107" s="349"/>
      <c r="AL107" s="342" t="e">
        <f t="shared" si="114"/>
        <v>#DIV/0!</v>
      </c>
      <c r="AM107" s="348" t="e">
        <f t="shared" si="115"/>
        <v>#DIV/0!</v>
      </c>
      <c r="AN107" s="488"/>
      <c r="AO107" s="348"/>
      <c r="AP107" s="349"/>
      <c r="AQ107" s="342" t="e">
        <f t="shared" si="116"/>
        <v>#DIV/0!</v>
      </c>
      <c r="AR107" s="348" t="e">
        <f t="shared" si="117"/>
        <v>#DIV/0!</v>
      </c>
      <c r="AS107" s="488"/>
      <c r="AT107" s="348"/>
      <c r="AU107" s="349"/>
      <c r="AV107" s="342" t="e">
        <f t="shared" si="118"/>
        <v>#DIV/0!</v>
      </c>
      <c r="AW107" s="348" t="e">
        <f t="shared" si="119"/>
        <v>#DIV/0!</v>
      </c>
      <c r="AX107" s="488"/>
    </row>
    <row r="108" spans="1:50" x14ac:dyDescent="0.2">
      <c r="B108" s="499"/>
      <c r="C108" s="348">
        <v>10</v>
      </c>
      <c r="D108" s="348" t="s">
        <v>119</v>
      </c>
      <c r="E108" s="349">
        <f>VLOOKUP(D108,'07產線配置圖'!$A$2:$C$25,2,0)</f>
        <v>17</v>
      </c>
      <c r="F108" s="349">
        <f>VLOOKUP(D108,'07產線配置圖'!$A$2:$C$25,3,0)</f>
        <v>2250</v>
      </c>
      <c r="G108" s="342">
        <f t="shared" si="102"/>
        <v>132.35294117647058</v>
      </c>
      <c r="H108" s="488"/>
      <c r="I108" s="349" t="e">
        <f t="shared" si="120"/>
        <v>#DIV/0!</v>
      </c>
      <c r="J108" s="349" t="e">
        <f t="shared" si="121"/>
        <v>#DIV/0!</v>
      </c>
      <c r="K108" s="342" t="e">
        <f t="shared" si="122"/>
        <v>#DIV/0!</v>
      </c>
      <c r="L108" s="488"/>
      <c r="M108" s="349" t="e">
        <f>RANK(K108, K$99:$K$116)</f>
        <v>#DIV/0!</v>
      </c>
      <c r="N108" s="495"/>
      <c r="O108" s="495"/>
      <c r="P108" s="348"/>
      <c r="Q108" s="349"/>
      <c r="R108" s="342" t="e">
        <f t="shared" si="106"/>
        <v>#DIV/0!</v>
      </c>
      <c r="S108" s="348" t="e">
        <f t="shared" si="107"/>
        <v>#DIV/0!</v>
      </c>
      <c r="T108" s="488"/>
      <c r="U108" s="348"/>
      <c r="V108" s="349"/>
      <c r="W108" s="342" t="e">
        <f t="shared" si="108"/>
        <v>#DIV/0!</v>
      </c>
      <c r="X108" s="348" t="e">
        <f t="shared" si="109"/>
        <v>#DIV/0!</v>
      </c>
      <c r="Y108" s="488"/>
      <c r="Z108" s="348"/>
      <c r="AA108" s="349"/>
      <c r="AB108" s="342" t="e">
        <f t="shared" si="110"/>
        <v>#DIV/0!</v>
      </c>
      <c r="AC108" s="348" t="e">
        <f t="shared" si="111"/>
        <v>#DIV/0!</v>
      </c>
      <c r="AD108" s="488"/>
      <c r="AE108" s="348"/>
      <c r="AF108" s="349"/>
      <c r="AG108" s="342" t="e">
        <f t="shared" si="112"/>
        <v>#DIV/0!</v>
      </c>
      <c r="AH108" s="348" t="e">
        <f t="shared" si="113"/>
        <v>#DIV/0!</v>
      </c>
      <c r="AI108" s="488"/>
      <c r="AJ108" s="348"/>
      <c r="AK108" s="349"/>
      <c r="AL108" s="342" t="e">
        <f t="shared" si="114"/>
        <v>#DIV/0!</v>
      </c>
      <c r="AM108" s="348" t="e">
        <f t="shared" si="115"/>
        <v>#DIV/0!</v>
      </c>
      <c r="AN108" s="488"/>
      <c r="AO108" s="348"/>
      <c r="AP108" s="349"/>
      <c r="AQ108" s="342" t="e">
        <f t="shared" si="116"/>
        <v>#DIV/0!</v>
      </c>
      <c r="AR108" s="348" t="e">
        <f t="shared" si="117"/>
        <v>#DIV/0!</v>
      </c>
      <c r="AS108" s="488"/>
      <c r="AT108" s="348"/>
      <c r="AU108" s="349"/>
      <c r="AV108" s="342" t="e">
        <f t="shared" si="118"/>
        <v>#DIV/0!</v>
      </c>
      <c r="AW108" s="348" t="e">
        <f t="shared" si="119"/>
        <v>#DIV/0!</v>
      </c>
      <c r="AX108" s="488"/>
    </row>
    <row r="109" spans="1:50" x14ac:dyDescent="0.2">
      <c r="B109" s="499"/>
      <c r="C109" s="348">
        <v>11</v>
      </c>
      <c r="D109" s="348" t="s">
        <v>382</v>
      </c>
      <c r="E109" s="349" t="e">
        <f>VLOOKUP(D109,'07產線配置圖'!$A$2:$C$25,2,0)</f>
        <v>#N/A</v>
      </c>
      <c r="F109" s="349" t="e">
        <f>VLOOKUP(D109,'07產線配置圖'!$A$2:$C$25,3,0)</f>
        <v>#N/A</v>
      </c>
      <c r="G109" s="342" t="e">
        <f t="shared" si="102"/>
        <v>#N/A</v>
      </c>
      <c r="H109" s="488"/>
      <c r="I109" s="349" t="e">
        <f t="shared" si="120"/>
        <v>#DIV/0!</v>
      </c>
      <c r="J109" s="349" t="e">
        <f t="shared" si="121"/>
        <v>#DIV/0!</v>
      </c>
      <c r="K109" s="342" t="e">
        <f t="shared" si="122"/>
        <v>#DIV/0!</v>
      </c>
      <c r="L109" s="488"/>
      <c r="M109" s="349" t="e">
        <f>RANK(K109, K$99:$K$116)</f>
        <v>#DIV/0!</v>
      </c>
      <c r="N109" s="495"/>
      <c r="O109" s="495"/>
      <c r="P109" s="348"/>
      <c r="Q109" s="348"/>
      <c r="R109" s="342" t="e">
        <f t="shared" si="106"/>
        <v>#DIV/0!</v>
      </c>
      <c r="S109" s="348" t="e">
        <f t="shared" si="107"/>
        <v>#DIV/0!</v>
      </c>
      <c r="T109" s="488"/>
      <c r="U109" s="348"/>
      <c r="V109" s="348"/>
      <c r="W109" s="342" t="e">
        <f t="shared" si="108"/>
        <v>#DIV/0!</v>
      </c>
      <c r="X109" s="348" t="e">
        <f t="shared" si="109"/>
        <v>#DIV/0!</v>
      </c>
      <c r="Y109" s="488"/>
      <c r="Z109" s="348"/>
      <c r="AA109" s="348"/>
      <c r="AB109" s="342" t="e">
        <f t="shared" si="110"/>
        <v>#DIV/0!</v>
      </c>
      <c r="AC109" s="348" t="e">
        <f t="shared" si="111"/>
        <v>#DIV/0!</v>
      </c>
      <c r="AD109" s="488"/>
      <c r="AE109" s="348"/>
      <c r="AF109" s="348"/>
      <c r="AG109" s="342" t="e">
        <f t="shared" si="112"/>
        <v>#DIV/0!</v>
      </c>
      <c r="AH109" s="348" t="e">
        <f t="shared" si="113"/>
        <v>#DIV/0!</v>
      </c>
      <c r="AI109" s="488"/>
      <c r="AJ109" s="348"/>
      <c r="AK109" s="348"/>
      <c r="AL109" s="342" t="e">
        <f t="shared" si="114"/>
        <v>#DIV/0!</v>
      </c>
      <c r="AM109" s="348" t="e">
        <f t="shared" si="115"/>
        <v>#DIV/0!</v>
      </c>
      <c r="AN109" s="488"/>
      <c r="AO109" s="348"/>
      <c r="AP109" s="348"/>
      <c r="AQ109" s="342" t="e">
        <f t="shared" si="116"/>
        <v>#DIV/0!</v>
      </c>
      <c r="AR109" s="348" t="e">
        <f t="shared" si="117"/>
        <v>#DIV/0!</v>
      </c>
      <c r="AS109" s="488"/>
      <c r="AT109" s="348"/>
      <c r="AU109" s="348"/>
      <c r="AV109" s="342" t="e">
        <f t="shared" si="118"/>
        <v>#DIV/0!</v>
      </c>
      <c r="AW109" s="348" t="e">
        <f t="shared" si="119"/>
        <v>#DIV/0!</v>
      </c>
      <c r="AX109" s="488"/>
    </row>
    <row r="110" spans="1:50" x14ac:dyDescent="0.2">
      <c r="B110" s="499"/>
      <c r="C110" s="348">
        <v>12</v>
      </c>
      <c r="D110" s="348" t="s">
        <v>117</v>
      </c>
      <c r="E110" s="349">
        <f>VLOOKUP(D110,'07產線配置圖'!$A$2:$C$25,2,0)</f>
        <v>15</v>
      </c>
      <c r="F110" s="349">
        <f>VLOOKUP(D110,'07產線配置圖'!$A$2:$C$25,3,0)</f>
        <v>2250</v>
      </c>
      <c r="G110" s="342">
        <f t="shared" si="102"/>
        <v>150</v>
      </c>
      <c r="H110" s="488"/>
      <c r="I110" s="349" t="e">
        <f t="shared" si="120"/>
        <v>#DIV/0!</v>
      </c>
      <c r="J110" s="349" t="e">
        <f t="shared" si="121"/>
        <v>#DIV/0!</v>
      </c>
      <c r="K110" s="342" t="e">
        <f t="shared" si="122"/>
        <v>#DIV/0!</v>
      </c>
      <c r="L110" s="488"/>
      <c r="M110" s="349" t="e">
        <f>RANK(K110, K$99:$K$116)</f>
        <v>#DIV/0!</v>
      </c>
      <c r="N110" s="495"/>
      <c r="O110" s="495"/>
      <c r="P110" s="348"/>
      <c r="Q110" s="348"/>
      <c r="R110" s="342" t="e">
        <f t="shared" si="106"/>
        <v>#DIV/0!</v>
      </c>
      <c r="S110" s="348" t="e">
        <f t="shared" si="107"/>
        <v>#DIV/0!</v>
      </c>
      <c r="T110" s="488"/>
      <c r="U110" s="348"/>
      <c r="V110" s="348"/>
      <c r="W110" s="342" t="e">
        <f t="shared" si="108"/>
        <v>#DIV/0!</v>
      </c>
      <c r="X110" s="348" t="e">
        <f t="shared" si="109"/>
        <v>#DIV/0!</v>
      </c>
      <c r="Y110" s="488"/>
      <c r="Z110" s="348"/>
      <c r="AA110" s="348"/>
      <c r="AB110" s="342" t="e">
        <f t="shared" si="110"/>
        <v>#DIV/0!</v>
      </c>
      <c r="AC110" s="348" t="e">
        <f t="shared" si="111"/>
        <v>#DIV/0!</v>
      </c>
      <c r="AD110" s="488"/>
      <c r="AE110" s="348"/>
      <c r="AF110" s="348"/>
      <c r="AG110" s="342" t="e">
        <f t="shared" si="112"/>
        <v>#DIV/0!</v>
      </c>
      <c r="AH110" s="348" t="e">
        <f t="shared" si="113"/>
        <v>#DIV/0!</v>
      </c>
      <c r="AI110" s="488"/>
      <c r="AJ110" s="348"/>
      <c r="AK110" s="348"/>
      <c r="AL110" s="342" t="e">
        <f t="shared" si="114"/>
        <v>#DIV/0!</v>
      </c>
      <c r="AM110" s="348" t="e">
        <f t="shared" si="115"/>
        <v>#DIV/0!</v>
      </c>
      <c r="AN110" s="488"/>
      <c r="AO110" s="348"/>
      <c r="AP110" s="348"/>
      <c r="AQ110" s="342" t="e">
        <f t="shared" si="116"/>
        <v>#DIV/0!</v>
      </c>
      <c r="AR110" s="348" t="e">
        <f t="shared" si="117"/>
        <v>#DIV/0!</v>
      </c>
      <c r="AS110" s="488"/>
      <c r="AT110" s="348"/>
      <c r="AU110" s="348"/>
      <c r="AV110" s="342" t="e">
        <f t="shared" si="118"/>
        <v>#DIV/0!</v>
      </c>
      <c r="AW110" s="348" t="e">
        <f t="shared" si="119"/>
        <v>#DIV/0!</v>
      </c>
      <c r="AX110" s="488"/>
    </row>
    <row r="111" spans="1:50" x14ac:dyDescent="0.2">
      <c r="B111" s="499"/>
      <c r="C111" s="348">
        <v>13</v>
      </c>
      <c r="D111" s="348" t="s">
        <v>127</v>
      </c>
      <c r="E111" s="349">
        <v>18</v>
      </c>
      <c r="F111" s="349">
        <f>VLOOKUP(D111,'07產線配置圖'!$A$2:$C$25,3,0)</f>
        <v>1636</v>
      </c>
      <c r="G111" s="342">
        <f t="shared" si="102"/>
        <v>90.888888888888886</v>
      </c>
      <c r="H111" s="488"/>
      <c r="I111" s="349" t="e">
        <f t="shared" si="120"/>
        <v>#DIV/0!</v>
      </c>
      <c r="J111" s="349" t="e">
        <f t="shared" si="121"/>
        <v>#DIV/0!</v>
      </c>
      <c r="K111" s="342" t="e">
        <f t="shared" si="122"/>
        <v>#DIV/0!</v>
      </c>
      <c r="L111" s="488"/>
      <c r="M111" s="349" t="e">
        <f>RANK(K111, K$99:$K$116)</f>
        <v>#DIV/0!</v>
      </c>
      <c r="N111" s="495"/>
      <c r="O111" s="495"/>
      <c r="P111" s="348"/>
      <c r="Q111" s="348"/>
      <c r="R111" s="342" t="e">
        <f t="shared" si="106"/>
        <v>#DIV/0!</v>
      </c>
      <c r="S111" s="348" t="e">
        <f t="shared" si="107"/>
        <v>#DIV/0!</v>
      </c>
      <c r="T111" s="488"/>
      <c r="U111" s="348"/>
      <c r="V111" s="348"/>
      <c r="W111" s="346" t="e">
        <f t="shared" si="108"/>
        <v>#DIV/0!</v>
      </c>
      <c r="X111" s="348" t="e">
        <f t="shared" si="109"/>
        <v>#DIV/0!</v>
      </c>
      <c r="Y111" s="488"/>
      <c r="Z111" s="348"/>
      <c r="AA111" s="348"/>
      <c r="AB111" s="340" t="e">
        <f t="shared" si="110"/>
        <v>#DIV/0!</v>
      </c>
      <c r="AC111" s="348" t="e">
        <f t="shared" si="111"/>
        <v>#DIV/0!</v>
      </c>
      <c r="AD111" s="488"/>
      <c r="AE111" s="348"/>
      <c r="AF111" s="348"/>
      <c r="AG111" s="340" t="e">
        <f t="shared" si="112"/>
        <v>#DIV/0!</v>
      </c>
      <c r="AH111" s="348" t="e">
        <f t="shared" si="113"/>
        <v>#DIV/0!</v>
      </c>
      <c r="AI111" s="488"/>
      <c r="AJ111" s="348"/>
      <c r="AK111" s="348"/>
      <c r="AL111" s="342" t="e">
        <f t="shared" si="114"/>
        <v>#DIV/0!</v>
      </c>
      <c r="AM111" s="348" t="e">
        <f t="shared" si="115"/>
        <v>#DIV/0!</v>
      </c>
      <c r="AN111" s="488"/>
      <c r="AO111" s="348"/>
      <c r="AP111" s="348"/>
      <c r="AQ111" s="342" t="e">
        <f t="shared" si="116"/>
        <v>#DIV/0!</v>
      </c>
      <c r="AR111" s="348" t="e">
        <f t="shared" si="117"/>
        <v>#DIV/0!</v>
      </c>
      <c r="AS111" s="488"/>
      <c r="AT111" s="348"/>
      <c r="AU111" s="348"/>
      <c r="AV111" s="342" t="e">
        <f t="shared" si="118"/>
        <v>#DIV/0!</v>
      </c>
      <c r="AW111" s="348" t="e">
        <f t="shared" si="119"/>
        <v>#DIV/0!</v>
      </c>
      <c r="AX111" s="488"/>
    </row>
    <row r="112" spans="1:50" x14ac:dyDescent="0.2">
      <c r="B112" s="499"/>
      <c r="C112" s="348">
        <v>14</v>
      </c>
      <c r="D112" s="348" t="s">
        <v>383</v>
      </c>
      <c r="E112" s="349" t="e">
        <f>VLOOKUP(D112,'07產線配置圖'!$A$2:$C$25,2,0)</f>
        <v>#N/A</v>
      </c>
      <c r="F112" s="349" t="e">
        <f>VLOOKUP(D112,'07產線配置圖'!$A$2:$C$25,3,0)</f>
        <v>#N/A</v>
      </c>
      <c r="G112" s="342" t="e">
        <f t="shared" si="102"/>
        <v>#N/A</v>
      </c>
      <c r="H112" s="488"/>
      <c r="I112" s="349" t="e">
        <f t="shared" si="120"/>
        <v>#DIV/0!</v>
      </c>
      <c r="J112" s="349" t="e">
        <f t="shared" si="121"/>
        <v>#DIV/0!</v>
      </c>
      <c r="K112" s="342" t="e">
        <f t="shared" si="122"/>
        <v>#DIV/0!</v>
      </c>
      <c r="L112" s="488"/>
      <c r="M112" s="349" t="e">
        <f>RANK(K112, K$99:$K$116)</f>
        <v>#DIV/0!</v>
      </c>
      <c r="N112" s="495"/>
      <c r="O112" s="495"/>
      <c r="P112" s="348"/>
      <c r="Q112" s="348"/>
      <c r="R112" s="342" t="e">
        <f t="shared" si="106"/>
        <v>#DIV/0!</v>
      </c>
      <c r="S112" s="348" t="e">
        <f t="shared" si="107"/>
        <v>#DIV/0!</v>
      </c>
      <c r="T112" s="488"/>
      <c r="U112" s="348"/>
      <c r="V112" s="348"/>
      <c r="W112" s="342" t="e">
        <f t="shared" si="108"/>
        <v>#DIV/0!</v>
      </c>
      <c r="X112" s="348" t="e">
        <f t="shared" si="109"/>
        <v>#DIV/0!</v>
      </c>
      <c r="Y112" s="488"/>
      <c r="Z112" s="348"/>
      <c r="AA112" s="348"/>
      <c r="AB112" s="340" t="e">
        <f t="shared" si="110"/>
        <v>#DIV/0!</v>
      </c>
      <c r="AC112" s="348" t="e">
        <f t="shared" si="111"/>
        <v>#DIV/0!</v>
      </c>
      <c r="AD112" s="488"/>
      <c r="AE112" s="348"/>
      <c r="AF112" s="348"/>
      <c r="AG112" s="340" t="e">
        <f t="shared" si="112"/>
        <v>#DIV/0!</v>
      </c>
      <c r="AH112" s="348" t="e">
        <f t="shared" si="113"/>
        <v>#DIV/0!</v>
      </c>
      <c r="AI112" s="488"/>
      <c r="AJ112" s="348"/>
      <c r="AK112" s="348"/>
      <c r="AL112" s="342" t="e">
        <f t="shared" si="114"/>
        <v>#DIV/0!</v>
      </c>
      <c r="AM112" s="348" t="e">
        <f t="shared" si="115"/>
        <v>#DIV/0!</v>
      </c>
      <c r="AN112" s="488"/>
      <c r="AO112" s="348"/>
      <c r="AP112" s="348"/>
      <c r="AQ112" s="340" t="e">
        <f t="shared" si="116"/>
        <v>#DIV/0!</v>
      </c>
      <c r="AR112" s="348" t="e">
        <f t="shared" si="117"/>
        <v>#DIV/0!</v>
      </c>
      <c r="AS112" s="488"/>
      <c r="AT112" s="348"/>
      <c r="AU112" s="348"/>
      <c r="AV112" s="342" t="e">
        <f t="shared" si="118"/>
        <v>#DIV/0!</v>
      </c>
      <c r="AW112" s="348" t="e">
        <f t="shared" si="119"/>
        <v>#DIV/0!</v>
      </c>
      <c r="AX112" s="488"/>
    </row>
    <row r="113" spans="2:50" x14ac:dyDescent="0.2">
      <c r="B113" s="499"/>
      <c r="C113" s="348">
        <v>15</v>
      </c>
      <c r="D113" s="348" t="s">
        <v>125</v>
      </c>
      <c r="E113" s="349">
        <f>VLOOKUP(D113,'07產線配置圖'!$A$2:$C$25,2,0)</f>
        <v>18</v>
      </c>
      <c r="F113" s="349">
        <f>VLOOKUP(D113,'07產線配置圖'!$A$2:$C$25,3,0)</f>
        <v>1636</v>
      </c>
      <c r="G113" s="342">
        <f>F113/E113</f>
        <v>90.888888888888886</v>
      </c>
      <c r="H113" s="488"/>
      <c r="I113" s="349" t="e">
        <f t="shared" si="120"/>
        <v>#DIV/0!</v>
      </c>
      <c r="J113" s="349" t="e">
        <f t="shared" si="121"/>
        <v>#DIV/0!</v>
      </c>
      <c r="K113" s="342" t="e">
        <f t="shared" si="122"/>
        <v>#DIV/0!</v>
      </c>
      <c r="L113" s="488"/>
      <c r="M113" s="349" t="e">
        <f>RANK(K113, K$99:$K$116)</f>
        <v>#DIV/0!</v>
      </c>
      <c r="N113" s="495"/>
      <c r="O113" s="495"/>
      <c r="P113" s="348"/>
      <c r="Q113" s="348"/>
      <c r="R113" s="342" t="e">
        <f t="shared" si="106"/>
        <v>#DIV/0!</v>
      </c>
      <c r="S113" s="348" t="e">
        <f t="shared" si="107"/>
        <v>#DIV/0!</v>
      </c>
      <c r="T113" s="488"/>
      <c r="U113" s="348"/>
      <c r="V113" s="348"/>
      <c r="W113" s="340" t="e">
        <f t="shared" si="108"/>
        <v>#DIV/0!</v>
      </c>
      <c r="X113" s="348" t="e">
        <f t="shared" si="109"/>
        <v>#DIV/0!</v>
      </c>
      <c r="Y113" s="488"/>
      <c r="Z113" s="348"/>
      <c r="AA113" s="348"/>
      <c r="AB113" s="340" t="e">
        <f t="shared" si="110"/>
        <v>#DIV/0!</v>
      </c>
      <c r="AC113" s="348" t="e">
        <f t="shared" si="111"/>
        <v>#DIV/0!</v>
      </c>
      <c r="AD113" s="488"/>
      <c r="AE113" s="348"/>
      <c r="AF113" s="348"/>
      <c r="AG113" s="340" t="e">
        <f t="shared" si="112"/>
        <v>#DIV/0!</v>
      </c>
      <c r="AH113" s="348" t="e">
        <f t="shared" si="113"/>
        <v>#DIV/0!</v>
      </c>
      <c r="AI113" s="488"/>
      <c r="AJ113" s="348"/>
      <c r="AK113" s="348"/>
      <c r="AL113" s="342" t="e">
        <f t="shared" si="114"/>
        <v>#DIV/0!</v>
      </c>
      <c r="AM113" s="348" t="e">
        <f t="shared" si="115"/>
        <v>#DIV/0!</v>
      </c>
      <c r="AN113" s="488"/>
      <c r="AO113" s="348"/>
      <c r="AP113" s="348"/>
      <c r="AQ113" s="340" t="e">
        <f t="shared" si="116"/>
        <v>#DIV/0!</v>
      </c>
      <c r="AR113" s="348" t="e">
        <f t="shared" si="117"/>
        <v>#DIV/0!</v>
      </c>
      <c r="AS113" s="488"/>
      <c r="AT113" s="348"/>
      <c r="AU113" s="348"/>
      <c r="AV113" s="342" t="e">
        <f t="shared" si="118"/>
        <v>#DIV/0!</v>
      </c>
      <c r="AW113" s="348" t="e">
        <f t="shared" si="119"/>
        <v>#DIV/0!</v>
      </c>
      <c r="AX113" s="488"/>
    </row>
    <row r="114" spans="2:50" x14ac:dyDescent="0.2">
      <c r="B114" s="499"/>
      <c r="C114" s="348">
        <v>16</v>
      </c>
      <c r="D114" s="348" t="s">
        <v>123</v>
      </c>
      <c r="E114" s="349">
        <f>VLOOKUP(D114,'07產線配置圖'!$A$2:$C$25,2,0)</f>
        <v>18</v>
      </c>
      <c r="F114" s="349">
        <f>VLOOKUP(D114,'07產線配置圖'!$A$2:$C$25,3,0)</f>
        <v>1565</v>
      </c>
      <c r="G114" s="342">
        <f>F114/E114</f>
        <v>86.944444444444443</v>
      </c>
      <c r="H114" s="488"/>
      <c r="I114" s="349" t="e">
        <f t="shared" si="120"/>
        <v>#DIV/0!</v>
      </c>
      <c r="J114" s="349" t="e">
        <f t="shared" si="121"/>
        <v>#DIV/0!</v>
      </c>
      <c r="K114" s="342" t="e">
        <f t="shared" si="122"/>
        <v>#DIV/0!</v>
      </c>
      <c r="L114" s="488"/>
      <c r="M114" s="349" t="e">
        <f>RANK(K114, K$99:$K$116)</f>
        <v>#DIV/0!</v>
      </c>
      <c r="N114" s="495"/>
      <c r="O114" s="495"/>
      <c r="P114" s="348"/>
      <c r="Q114" s="348"/>
      <c r="R114" s="342" t="e">
        <f t="shared" si="106"/>
        <v>#DIV/0!</v>
      </c>
      <c r="S114" s="348" t="e">
        <f t="shared" si="107"/>
        <v>#DIV/0!</v>
      </c>
      <c r="T114" s="488"/>
      <c r="U114" s="348"/>
      <c r="V114" s="348"/>
      <c r="W114" s="340" t="e">
        <f t="shared" si="108"/>
        <v>#DIV/0!</v>
      </c>
      <c r="X114" s="348" t="e">
        <f t="shared" si="109"/>
        <v>#DIV/0!</v>
      </c>
      <c r="Y114" s="488"/>
      <c r="Z114" s="348"/>
      <c r="AA114" s="348"/>
      <c r="AB114" s="340" t="e">
        <f t="shared" si="110"/>
        <v>#DIV/0!</v>
      </c>
      <c r="AC114" s="348" t="e">
        <f t="shared" si="111"/>
        <v>#DIV/0!</v>
      </c>
      <c r="AD114" s="488"/>
      <c r="AE114" s="348"/>
      <c r="AF114" s="348"/>
      <c r="AG114" s="340" t="e">
        <f t="shared" si="112"/>
        <v>#DIV/0!</v>
      </c>
      <c r="AH114" s="348" t="e">
        <f t="shared" si="113"/>
        <v>#DIV/0!</v>
      </c>
      <c r="AI114" s="488"/>
      <c r="AJ114" s="348"/>
      <c r="AK114" s="348"/>
      <c r="AL114" s="342" t="e">
        <f t="shared" si="114"/>
        <v>#DIV/0!</v>
      </c>
      <c r="AM114" s="348" t="e">
        <f t="shared" si="115"/>
        <v>#DIV/0!</v>
      </c>
      <c r="AN114" s="488"/>
      <c r="AO114" s="348"/>
      <c r="AP114" s="348"/>
      <c r="AQ114" s="340" t="e">
        <f t="shared" si="116"/>
        <v>#DIV/0!</v>
      </c>
      <c r="AR114" s="348" t="e">
        <f t="shared" si="117"/>
        <v>#DIV/0!</v>
      </c>
      <c r="AS114" s="488"/>
      <c r="AT114" s="348"/>
      <c r="AU114" s="348"/>
      <c r="AV114" s="342" t="e">
        <f t="shared" si="118"/>
        <v>#DIV/0!</v>
      </c>
      <c r="AW114" s="348" t="e">
        <f t="shared" si="119"/>
        <v>#DIV/0!</v>
      </c>
      <c r="AX114" s="488"/>
    </row>
    <row r="115" spans="2:50" ht="13.5" x14ac:dyDescent="0.2">
      <c r="B115" s="499"/>
      <c r="C115" s="348">
        <v>17</v>
      </c>
      <c r="D115" s="367" t="s">
        <v>170</v>
      </c>
      <c r="E115" s="349">
        <f>VLOOKUP(D115,'07產線配置圖'!$A$2:$C$25,2,0)</f>
        <v>17</v>
      </c>
      <c r="F115" s="349">
        <f>VLOOKUP(D115,'07產線配置圖'!$A$2:$C$25,3,0)</f>
        <v>1500</v>
      </c>
      <c r="G115" s="342">
        <f>F115/E115</f>
        <v>88.235294117647058</v>
      </c>
      <c r="H115" s="488"/>
      <c r="I115" s="349" t="e">
        <f t="shared" si="120"/>
        <v>#DIV/0!</v>
      </c>
      <c r="J115" s="349" t="e">
        <f t="shared" si="121"/>
        <v>#DIV/0!</v>
      </c>
      <c r="K115" s="342" t="e">
        <f t="shared" si="122"/>
        <v>#DIV/0!</v>
      </c>
      <c r="L115" s="488"/>
      <c r="M115" s="349" t="e">
        <f>RANK(K115, K$99:$K$116)</f>
        <v>#DIV/0!</v>
      </c>
      <c r="N115" s="495"/>
      <c r="O115" s="495"/>
      <c r="P115" s="348"/>
      <c r="Q115" s="348"/>
      <c r="R115" s="342" t="e">
        <f t="shared" si="106"/>
        <v>#DIV/0!</v>
      </c>
      <c r="S115" s="348" t="e">
        <f t="shared" si="107"/>
        <v>#DIV/0!</v>
      </c>
      <c r="T115" s="488"/>
      <c r="U115" s="348"/>
      <c r="V115" s="348"/>
      <c r="W115" s="340" t="e">
        <f t="shared" si="108"/>
        <v>#DIV/0!</v>
      </c>
      <c r="X115" s="348" t="e">
        <f t="shared" si="109"/>
        <v>#DIV/0!</v>
      </c>
      <c r="Y115" s="488"/>
      <c r="Z115" s="348"/>
      <c r="AA115" s="348"/>
      <c r="AB115" s="340" t="e">
        <f t="shared" si="110"/>
        <v>#DIV/0!</v>
      </c>
      <c r="AC115" s="348" t="e">
        <f t="shared" si="111"/>
        <v>#DIV/0!</v>
      </c>
      <c r="AD115" s="488"/>
      <c r="AE115" s="348"/>
      <c r="AF115" s="348"/>
      <c r="AG115" s="340" t="e">
        <f t="shared" si="112"/>
        <v>#DIV/0!</v>
      </c>
      <c r="AH115" s="348" t="e">
        <f t="shared" si="113"/>
        <v>#DIV/0!</v>
      </c>
      <c r="AI115" s="488"/>
      <c r="AJ115" s="348"/>
      <c r="AK115" s="348"/>
      <c r="AL115" s="342" t="e">
        <f t="shared" si="114"/>
        <v>#DIV/0!</v>
      </c>
      <c r="AM115" s="348" t="e">
        <f t="shared" si="115"/>
        <v>#DIV/0!</v>
      </c>
      <c r="AN115" s="488"/>
      <c r="AO115" s="348"/>
      <c r="AP115" s="348"/>
      <c r="AQ115" s="340" t="e">
        <f t="shared" si="116"/>
        <v>#DIV/0!</v>
      </c>
      <c r="AR115" s="348" t="e">
        <f t="shared" si="117"/>
        <v>#DIV/0!</v>
      </c>
      <c r="AS115" s="488"/>
      <c r="AT115" s="348"/>
      <c r="AU115" s="348"/>
      <c r="AV115" s="342" t="e">
        <f t="shared" si="118"/>
        <v>#DIV/0!</v>
      </c>
      <c r="AW115" s="348" t="e">
        <f t="shared" si="119"/>
        <v>#DIV/0!</v>
      </c>
      <c r="AX115" s="488"/>
    </row>
    <row r="116" spans="2:50" x14ac:dyDescent="0.2">
      <c r="B116" s="499"/>
      <c r="C116" s="348">
        <v>18</v>
      </c>
      <c r="D116" s="348"/>
      <c r="E116" s="348"/>
      <c r="F116" s="348"/>
      <c r="G116" s="348"/>
      <c r="H116" s="488"/>
      <c r="I116" s="348"/>
      <c r="J116" s="348"/>
      <c r="K116" s="348"/>
      <c r="L116" s="489"/>
      <c r="M116" s="349"/>
      <c r="N116" s="496"/>
      <c r="O116" s="496"/>
      <c r="P116" s="348"/>
      <c r="Q116" s="348"/>
      <c r="R116" s="348"/>
      <c r="S116" s="348"/>
      <c r="T116" s="489"/>
      <c r="U116" s="348"/>
      <c r="V116" s="348"/>
      <c r="W116" s="342"/>
      <c r="X116" s="348"/>
      <c r="Y116" s="489"/>
      <c r="Z116" s="348"/>
      <c r="AA116" s="348"/>
      <c r="AB116" s="342"/>
      <c r="AC116" s="348"/>
      <c r="AD116" s="489"/>
      <c r="AE116" s="348"/>
      <c r="AF116" s="348"/>
      <c r="AG116" s="342"/>
      <c r="AH116" s="348"/>
      <c r="AI116" s="489"/>
      <c r="AJ116" s="348"/>
      <c r="AK116" s="348"/>
      <c r="AL116" s="342"/>
      <c r="AM116" s="348"/>
      <c r="AN116" s="489"/>
      <c r="AO116" s="348"/>
      <c r="AP116" s="348"/>
      <c r="AQ116" s="342"/>
      <c r="AR116" s="348"/>
      <c r="AS116" s="489"/>
      <c r="AT116" s="348"/>
      <c r="AU116" s="348"/>
      <c r="AV116" s="342"/>
      <c r="AW116" s="348"/>
      <c r="AX116" s="489"/>
    </row>
    <row r="117" spans="2:50" ht="15.75" x14ac:dyDescent="0.2">
      <c r="B117" s="510" t="s">
        <v>85</v>
      </c>
      <c r="C117" s="492"/>
      <c r="D117" s="492"/>
      <c r="E117" s="492"/>
      <c r="F117" s="492"/>
      <c r="G117" s="492"/>
      <c r="H117" s="492"/>
      <c r="I117" s="360"/>
      <c r="J117" s="360"/>
      <c r="K117" s="360"/>
      <c r="L117" s="360"/>
      <c r="M117" s="369"/>
      <c r="N117" s="494" t="s">
        <v>86</v>
      </c>
      <c r="O117" s="494" t="s">
        <v>45</v>
      </c>
      <c r="P117" s="485"/>
      <c r="Q117" s="486"/>
      <c r="R117" s="486"/>
      <c r="S117" s="486"/>
      <c r="T117" s="486"/>
      <c r="U117" s="485"/>
      <c r="V117" s="486"/>
      <c r="W117" s="486"/>
      <c r="X117" s="486"/>
      <c r="Y117" s="486"/>
      <c r="Z117" s="485"/>
      <c r="AA117" s="486"/>
      <c r="AB117" s="486"/>
      <c r="AC117" s="486"/>
      <c r="AD117" s="486"/>
      <c r="AE117" s="485"/>
      <c r="AF117" s="486"/>
      <c r="AG117" s="486"/>
      <c r="AH117" s="486"/>
      <c r="AI117" s="486"/>
      <c r="AJ117" s="485"/>
      <c r="AK117" s="486"/>
      <c r="AL117" s="486"/>
      <c r="AM117" s="486"/>
      <c r="AN117" s="486"/>
      <c r="AO117" s="485"/>
      <c r="AP117" s="486"/>
      <c r="AQ117" s="486"/>
      <c r="AR117" s="486"/>
      <c r="AS117" s="486"/>
      <c r="AT117" s="485"/>
      <c r="AU117" s="486"/>
      <c r="AV117" s="486"/>
      <c r="AW117" s="486"/>
      <c r="AX117" s="486"/>
    </row>
    <row r="118" spans="2:50" ht="15.75" x14ac:dyDescent="0.2">
      <c r="B118" s="493"/>
      <c r="C118" s="493"/>
      <c r="D118" s="493"/>
      <c r="E118" s="493"/>
      <c r="F118" s="493"/>
      <c r="G118" s="493"/>
      <c r="H118" s="493"/>
      <c r="I118" s="363"/>
      <c r="J118" s="363"/>
      <c r="K118" s="363"/>
      <c r="L118" s="363"/>
      <c r="M118" s="364"/>
      <c r="N118" s="496"/>
      <c r="O118" s="496"/>
      <c r="P118" s="485" t="s">
        <v>61</v>
      </c>
      <c r="Q118" s="486"/>
      <c r="R118" s="486"/>
      <c r="S118" s="486"/>
      <c r="T118" s="486"/>
      <c r="U118" s="485" t="s">
        <v>56</v>
      </c>
      <c r="V118" s="486"/>
      <c r="W118" s="486"/>
      <c r="X118" s="486"/>
      <c r="Y118" s="486"/>
      <c r="Z118" s="485" t="s">
        <v>57</v>
      </c>
      <c r="AA118" s="486"/>
      <c r="AB118" s="486"/>
      <c r="AC118" s="486"/>
      <c r="AD118" s="486"/>
      <c r="AE118" s="485" t="s">
        <v>58</v>
      </c>
      <c r="AF118" s="486"/>
      <c r="AG118" s="486"/>
      <c r="AH118" s="486"/>
      <c r="AI118" s="486"/>
      <c r="AJ118" s="485" t="s">
        <v>59</v>
      </c>
      <c r="AK118" s="486"/>
      <c r="AL118" s="486"/>
      <c r="AM118" s="486"/>
      <c r="AN118" s="486"/>
      <c r="AO118" s="485" t="s">
        <v>52</v>
      </c>
      <c r="AP118" s="486"/>
      <c r="AQ118" s="486"/>
      <c r="AR118" s="486"/>
      <c r="AS118" s="486"/>
      <c r="AT118" s="485" t="s">
        <v>60</v>
      </c>
      <c r="AU118" s="486"/>
      <c r="AV118" s="486"/>
      <c r="AW118" s="486"/>
      <c r="AX118" s="486"/>
    </row>
    <row r="119" spans="2:50" x14ac:dyDescent="0.2">
      <c r="B119" s="490" t="s">
        <v>41</v>
      </c>
      <c r="C119" s="497" t="s">
        <v>87</v>
      </c>
      <c r="D119" s="490"/>
      <c r="E119" s="490" t="s">
        <v>88</v>
      </c>
      <c r="F119" s="490"/>
      <c r="G119" s="490"/>
      <c r="H119" s="500" t="s">
        <v>89</v>
      </c>
      <c r="I119" s="490" t="s">
        <v>90</v>
      </c>
      <c r="J119" s="490"/>
      <c r="K119" s="490"/>
      <c r="L119" s="500" t="s">
        <v>89</v>
      </c>
      <c r="M119" s="494" t="s">
        <v>91</v>
      </c>
      <c r="N119" s="490"/>
      <c r="O119" s="490" t="s">
        <v>92</v>
      </c>
      <c r="P119" s="482" t="s">
        <v>93</v>
      </c>
      <c r="Q119" s="483"/>
      <c r="R119" s="483"/>
      <c r="S119" s="484"/>
      <c r="T119" s="490" t="s">
        <v>89</v>
      </c>
      <c r="U119" s="482" t="s">
        <v>93</v>
      </c>
      <c r="V119" s="483"/>
      <c r="W119" s="483"/>
      <c r="X119" s="484"/>
      <c r="Y119" s="490" t="s">
        <v>89</v>
      </c>
      <c r="Z119" s="482" t="s">
        <v>93</v>
      </c>
      <c r="AA119" s="483"/>
      <c r="AB119" s="483"/>
      <c r="AC119" s="484"/>
      <c r="AD119" s="490" t="s">
        <v>89</v>
      </c>
      <c r="AE119" s="482" t="s">
        <v>93</v>
      </c>
      <c r="AF119" s="483"/>
      <c r="AG119" s="483"/>
      <c r="AH119" s="484"/>
      <c r="AI119" s="490" t="s">
        <v>89</v>
      </c>
      <c r="AJ119" s="482" t="s">
        <v>93</v>
      </c>
      <c r="AK119" s="483"/>
      <c r="AL119" s="483"/>
      <c r="AM119" s="484"/>
      <c r="AN119" s="490" t="s">
        <v>89</v>
      </c>
      <c r="AO119" s="482" t="s">
        <v>93</v>
      </c>
      <c r="AP119" s="483"/>
      <c r="AQ119" s="483"/>
      <c r="AR119" s="484"/>
      <c r="AS119" s="490" t="s">
        <v>89</v>
      </c>
      <c r="AT119" s="482" t="s">
        <v>93</v>
      </c>
      <c r="AU119" s="483"/>
      <c r="AV119" s="483"/>
      <c r="AW119" s="484"/>
      <c r="AX119" s="490" t="s">
        <v>89</v>
      </c>
    </row>
    <row r="120" spans="2:50" x14ac:dyDescent="0.2">
      <c r="B120" s="490"/>
      <c r="C120" s="490"/>
      <c r="D120" s="490"/>
      <c r="E120" s="490" t="s">
        <v>94</v>
      </c>
      <c r="F120" s="490"/>
      <c r="G120" s="490"/>
      <c r="H120" s="501"/>
      <c r="I120" s="490" t="s">
        <v>94</v>
      </c>
      <c r="J120" s="490"/>
      <c r="K120" s="490"/>
      <c r="L120" s="501"/>
      <c r="M120" s="495"/>
      <c r="N120" s="490"/>
      <c r="O120" s="490"/>
      <c r="P120" s="482" t="s">
        <v>95</v>
      </c>
      <c r="Q120" s="483"/>
      <c r="R120" s="483"/>
      <c r="S120" s="484"/>
      <c r="T120" s="490"/>
      <c r="U120" s="482" t="s">
        <v>95</v>
      </c>
      <c r="V120" s="483"/>
      <c r="W120" s="483"/>
      <c r="X120" s="484"/>
      <c r="Y120" s="490"/>
      <c r="Z120" s="482" t="s">
        <v>95</v>
      </c>
      <c r="AA120" s="483"/>
      <c r="AB120" s="483"/>
      <c r="AC120" s="484"/>
      <c r="AD120" s="490"/>
      <c r="AE120" s="482" t="s">
        <v>95</v>
      </c>
      <c r="AF120" s="483"/>
      <c r="AG120" s="483"/>
      <c r="AH120" s="484"/>
      <c r="AI120" s="490"/>
      <c r="AJ120" s="482" t="s">
        <v>95</v>
      </c>
      <c r="AK120" s="483"/>
      <c r="AL120" s="483"/>
      <c r="AM120" s="484"/>
      <c r="AN120" s="490"/>
      <c r="AO120" s="482" t="s">
        <v>95</v>
      </c>
      <c r="AP120" s="483"/>
      <c r="AQ120" s="483"/>
      <c r="AR120" s="484"/>
      <c r="AS120" s="490"/>
      <c r="AT120" s="482" t="s">
        <v>95</v>
      </c>
      <c r="AU120" s="483"/>
      <c r="AV120" s="483"/>
      <c r="AW120" s="484"/>
      <c r="AX120" s="490"/>
    </row>
    <row r="121" spans="2:50" x14ac:dyDescent="0.2">
      <c r="B121" s="490"/>
      <c r="C121" s="490"/>
      <c r="D121" s="490"/>
      <c r="E121" s="365" t="s">
        <v>96</v>
      </c>
      <c r="F121" s="365" t="s">
        <v>97</v>
      </c>
      <c r="G121" s="365" t="s">
        <v>98</v>
      </c>
      <c r="H121" s="502"/>
      <c r="I121" s="365" t="s">
        <v>96</v>
      </c>
      <c r="J121" s="365" t="s">
        <v>97</v>
      </c>
      <c r="K121" s="365" t="s">
        <v>98</v>
      </c>
      <c r="L121" s="502"/>
      <c r="M121" s="496"/>
      <c r="N121" s="490"/>
      <c r="O121" s="490"/>
      <c r="P121" s="365" t="s">
        <v>96</v>
      </c>
      <c r="Q121" s="365" t="s">
        <v>97</v>
      </c>
      <c r="R121" s="365" t="s">
        <v>98</v>
      </c>
      <c r="S121" s="365" t="s">
        <v>91</v>
      </c>
      <c r="T121" s="490"/>
      <c r="U121" s="365" t="s">
        <v>96</v>
      </c>
      <c r="V121" s="365" t="s">
        <v>97</v>
      </c>
      <c r="W121" s="365" t="s">
        <v>98</v>
      </c>
      <c r="X121" s="365" t="s">
        <v>91</v>
      </c>
      <c r="Y121" s="490"/>
      <c r="Z121" s="365" t="s">
        <v>96</v>
      </c>
      <c r="AA121" s="365" t="s">
        <v>97</v>
      </c>
      <c r="AB121" s="365" t="s">
        <v>98</v>
      </c>
      <c r="AC121" s="365" t="s">
        <v>91</v>
      </c>
      <c r="AD121" s="490"/>
      <c r="AE121" s="365" t="s">
        <v>96</v>
      </c>
      <c r="AF121" s="365" t="s">
        <v>97</v>
      </c>
      <c r="AG121" s="365" t="s">
        <v>98</v>
      </c>
      <c r="AH121" s="365" t="s">
        <v>91</v>
      </c>
      <c r="AI121" s="490"/>
      <c r="AJ121" s="365" t="s">
        <v>96</v>
      </c>
      <c r="AK121" s="365" t="s">
        <v>97</v>
      </c>
      <c r="AL121" s="365" t="s">
        <v>98</v>
      </c>
      <c r="AM121" s="365" t="s">
        <v>91</v>
      </c>
      <c r="AN121" s="490"/>
      <c r="AO121" s="365" t="s">
        <v>96</v>
      </c>
      <c r="AP121" s="365" t="s">
        <v>97</v>
      </c>
      <c r="AQ121" s="365" t="s">
        <v>98</v>
      </c>
      <c r="AR121" s="365" t="s">
        <v>91</v>
      </c>
      <c r="AS121" s="490"/>
      <c r="AT121" s="365" t="s">
        <v>96</v>
      </c>
      <c r="AU121" s="365" t="s">
        <v>97</v>
      </c>
      <c r="AV121" s="365" t="s">
        <v>98</v>
      </c>
      <c r="AW121" s="365" t="s">
        <v>91</v>
      </c>
      <c r="AX121" s="490"/>
    </row>
    <row r="122" spans="2:50" ht="13.5" x14ac:dyDescent="0.2">
      <c r="B122" s="486" t="s">
        <v>334</v>
      </c>
      <c r="C122" s="348">
        <v>1</v>
      </c>
      <c r="D122" s="367" t="s">
        <v>113</v>
      </c>
      <c r="E122" s="349">
        <f>VLOOKUP(D122,'07產線配置圖'!$A$2:$C$25,2,0)</f>
        <v>13</v>
      </c>
      <c r="F122" s="349">
        <f>VLOOKUP(D122,'07產線配置圖'!$A$2:$C$25,3,0)</f>
        <v>2250</v>
      </c>
      <c r="G122" s="342">
        <f>F122/E122</f>
        <v>173.07692307692307</v>
      </c>
      <c r="H122" s="479" t="e">
        <f>AVERAGE(G122:G139)</f>
        <v>#N/A</v>
      </c>
      <c r="I122" s="349" t="e">
        <f>AVERAGE(P122,U122,Z122,AE122,AJ122,AO122,AT122)</f>
        <v>#DIV/0!</v>
      </c>
      <c r="J122" s="349" t="e">
        <f>AVERAGE(Q122,V122,AA122,AF122,AK122,AP122,AU122)</f>
        <v>#DIV/0!</v>
      </c>
      <c r="K122" s="342" t="e">
        <f>AVERAGE(R122)</f>
        <v>#DIV/0!</v>
      </c>
      <c r="L122" s="479" t="str">
        <f>IFERROR(AVERAGE(K122:K139),"-")</f>
        <v>-</v>
      </c>
      <c r="M122" s="370" t="e">
        <f>RANK(K122,$K$122:$K$139)</f>
        <v>#DIV/0!</v>
      </c>
      <c r="N122" s="490"/>
      <c r="O122" s="490"/>
      <c r="P122" s="349"/>
      <c r="Q122" s="349"/>
      <c r="R122" s="342" t="e">
        <f>Q122/P122</f>
        <v>#DIV/0!</v>
      </c>
      <c r="S122" s="348" t="e">
        <f>RANK(R122,$R$122:$R$139)</f>
        <v>#DIV/0!</v>
      </c>
      <c r="T122" s="505" t="e">
        <f>AVERAGE(R122:R139)</f>
        <v>#DIV/0!</v>
      </c>
      <c r="U122" s="349"/>
      <c r="V122" s="349"/>
      <c r="W122" s="342" t="e">
        <f>V122/U122</f>
        <v>#DIV/0!</v>
      </c>
      <c r="X122" s="348" t="e">
        <f>RANK(W122,$W$122:$W$137)</f>
        <v>#DIV/0!</v>
      </c>
      <c r="Y122" s="505" t="e">
        <f>AVERAGE(W122:W139)</f>
        <v>#DIV/0!</v>
      </c>
      <c r="Z122" s="349"/>
      <c r="AA122" s="349"/>
      <c r="AB122" s="342" t="e">
        <f>AA122/Z122</f>
        <v>#DIV/0!</v>
      </c>
      <c r="AC122" s="348" t="e">
        <f>RANK(AB122,AB$122:AB$137)</f>
        <v>#DIV/0!</v>
      </c>
      <c r="AD122" s="505" t="e">
        <f>AVERAGE(AB122:AB139)</f>
        <v>#DIV/0!</v>
      </c>
      <c r="AE122" s="349"/>
      <c r="AF122" s="349"/>
      <c r="AG122" s="342" t="e">
        <f>AF122/AE122</f>
        <v>#DIV/0!</v>
      </c>
      <c r="AH122" s="348" t="e">
        <f>RANK(AG122,AG$122:AG$137)</f>
        <v>#DIV/0!</v>
      </c>
      <c r="AI122" s="505" t="e">
        <f>AVERAGE(AG122:AG139)</f>
        <v>#DIV/0!</v>
      </c>
      <c r="AJ122" s="349"/>
      <c r="AK122" s="349"/>
      <c r="AL122" s="342" t="e">
        <f>AK122/AJ122</f>
        <v>#DIV/0!</v>
      </c>
      <c r="AM122" s="348" t="e">
        <f t="shared" ref="AM122:AM137" si="123">RANK(AL122,AL$122:AL$137)</f>
        <v>#DIV/0!</v>
      </c>
      <c r="AN122" s="505" t="e">
        <f>AVERAGE(AL122:AL139)</f>
        <v>#DIV/0!</v>
      </c>
      <c r="AO122" s="349"/>
      <c r="AP122" s="349"/>
      <c r="AQ122" s="342" t="e">
        <f>AP122/AO122</f>
        <v>#DIV/0!</v>
      </c>
      <c r="AR122" s="348" t="e">
        <f t="shared" ref="AR122:AR137" si="124">RANK(AQ122,AQ$122:AQ$137)</f>
        <v>#DIV/0!</v>
      </c>
      <c r="AS122" s="505" t="e">
        <f>AVERAGE(AQ122:AQ139)</f>
        <v>#DIV/0!</v>
      </c>
      <c r="AT122" s="349"/>
      <c r="AU122" s="349"/>
      <c r="AV122" s="342" t="e">
        <f>AU122/AT122</f>
        <v>#DIV/0!</v>
      </c>
      <c r="AW122" s="348" t="e">
        <f t="shared" ref="AW122:AW137" si="125">RANK(AV122,AV$122:AV$137)</f>
        <v>#DIV/0!</v>
      </c>
      <c r="AX122" s="505" t="e">
        <f>AVERAGE(AV122:AV139)</f>
        <v>#DIV/0!</v>
      </c>
    </row>
    <row r="123" spans="2:50" x14ac:dyDescent="0.2">
      <c r="B123" s="486"/>
      <c r="C123" s="348">
        <v>2</v>
      </c>
      <c r="D123" s="348" t="s">
        <v>116</v>
      </c>
      <c r="E123" s="349">
        <f>VLOOKUP(D123,'07產線配置圖'!$A$2:$C$25,2,0)</f>
        <v>15</v>
      </c>
      <c r="F123" s="349">
        <f>VLOOKUP(D123,'07產線配置圖'!$A$2:$C$25,3,0)</f>
        <v>2250</v>
      </c>
      <c r="G123" s="342">
        <f t="shared" ref="G123:G135" si="126">F123/E123</f>
        <v>150</v>
      </c>
      <c r="H123" s="480"/>
      <c r="I123" s="349" t="e">
        <f t="shared" ref="I123:I127" si="127">AVERAGE(P123,U123,Z123,AE123,AJ123,AO123,AT123)</f>
        <v>#DIV/0!</v>
      </c>
      <c r="J123" s="349" t="e">
        <f t="shared" ref="J123:J127" si="128">AVERAGE(Q123,V123,AA123,AF123,AK123,AP123,AU123)</f>
        <v>#DIV/0!</v>
      </c>
      <c r="K123" s="342" t="e">
        <f t="shared" ref="K123:K127" si="129">AVERAGE(R123)</f>
        <v>#DIV/0!</v>
      </c>
      <c r="L123" s="480"/>
      <c r="M123" s="370" t="e">
        <f t="shared" ref="M123:M139" si="130">RANK(K123,$K$122:$K$139)</f>
        <v>#DIV/0!</v>
      </c>
      <c r="N123" s="490"/>
      <c r="O123" s="490"/>
      <c r="P123" s="349"/>
      <c r="Q123" s="349"/>
      <c r="R123" s="342" t="e">
        <f t="shared" ref="R123:R139" si="131">Q123/P123</f>
        <v>#DIV/0!</v>
      </c>
      <c r="S123" s="348" t="e">
        <f t="shared" ref="S123:S139" si="132">RANK(R123,$R$122:$R$139)</f>
        <v>#DIV/0!</v>
      </c>
      <c r="T123" s="505"/>
      <c r="U123" s="349"/>
      <c r="V123" s="349"/>
      <c r="W123" s="342" t="e">
        <f t="shared" ref="W123:W131" si="133">V123/U123</f>
        <v>#DIV/0!</v>
      </c>
      <c r="X123" s="348" t="e">
        <f t="shared" ref="X123:X137" si="134">RANK(W123,$W$122:$W$137)</f>
        <v>#DIV/0!</v>
      </c>
      <c r="Y123" s="505"/>
      <c r="Z123" s="349"/>
      <c r="AA123" s="349"/>
      <c r="AB123" s="342" t="e">
        <f t="shared" ref="AB123:AB131" si="135">AA123/Z123</f>
        <v>#DIV/0!</v>
      </c>
      <c r="AC123" s="348" t="e">
        <f t="shared" ref="AC123:AC137" si="136">RANK(AB123,AB$122:AB$137)</f>
        <v>#DIV/0!</v>
      </c>
      <c r="AD123" s="505"/>
      <c r="AE123" s="349"/>
      <c r="AF123" s="349"/>
      <c r="AG123" s="342" t="e">
        <f t="shared" ref="AG123:AG131" si="137">AF123/AE123</f>
        <v>#DIV/0!</v>
      </c>
      <c r="AH123" s="348" t="e">
        <f t="shared" ref="AH123:AH137" si="138">RANK(AG123,AG$122:AG$137)</f>
        <v>#DIV/0!</v>
      </c>
      <c r="AI123" s="505"/>
      <c r="AJ123" s="349"/>
      <c r="AK123" s="349"/>
      <c r="AL123" s="342" t="e">
        <f t="shared" ref="AL123:AL131" si="139">AK123/AJ123</f>
        <v>#DIV/0!</v>
      </c>
      <c r="AM123" s="348" t="e">
        <f t="shared" si="123"/>
        <v>#DIV/0!</v>
      </c>
      <c r="AN123" s="505"/>
      <c r="AO123" s="349"/>
      <c r="AP123" s="349"/>
      <c r="AQ123" s="342" t="e">
        <f t="shared" ref="AQ123:AQ131" si="140">AP123/AO123</f>
        <v>#DIV/0!</v>
      </c>
      <c r="AR123" s="348" t="e">
        <f t="shared" si="124"/>
        <v>#DIV/0!</v>
      </c>
      <c r="AS123" s="505"/>
      <c r="AT123" s="349"/>
      <c r="AU123" s="349"/>
      <c r="AV123" s="342" t="e">
        <f t="shared" ref="AV123:AV135" si="141">AU123/AT123</f>
        <v>#DIV/0!</v>
      </c>
      <c r="AW123" s="348" t="e">
        <f t="shared" si="125"/>
        <v>#DIV/0!</v>
      </c>
      <c r="AX123" s="505"/>
    </row>
    <row r="124" spans="2:50" x14ac:dyDescent="0.2">
      <c r="B124" s="486"/>
      <c r="C124" s="348">
        <v>3</v>
      </c>
      <c r="D124" s="348" t="s">
        <v>115</v>
      </c>
      <c r="E124" s="349">
        <f>VLOOKUP(D124,'07產線配置圖'!$A$2:$C$25,2,0)</f>
        <v>15</v>
      </c>
      <c r="F124" s="349">
        <f>VLOOKUP(D124,'07產線配置圖'!$A$2:$C$25,3,0)</f>
        <v>2250</v>
      </c>
      <c r="G124" s="342">
        <f t="shared" si="126"/>
        <v>150</v>
      </c>
      <c r="H124" s="480"/>
      <c r="I124" s="349" t="e">
        <f t="shared" si="127"/>
        <v>#DIV/0!</v>
      </c>
      <c r="J124" s="349" t="e">
        <f t="shared" si="128"/>
        <v>#DIV/0!</v>
      </c>
      <c r="K124" s="342" t="e">
        <f t="shared" si="129"/>
        <v>#DIV/0!</v>
      </c>
      <c r="L124" s="480"/>
      <c r="M124" s="370" t="e">
        <f t="shared" si="130"/>
        <v>#DIV/0!</v>
      </c>
      <c r="N124" s="490"/>
      <c r="O124" s="490"/>
      <c r="P124" s="349"/>
      <c r="Q124" s="349"/>
      <c r="R124" s="342" t="e">
        <f t="shared" si="131"/>
        <v>#DIV/0!</v>
      </c>
      <c r="S124" s="348" t="e">
        <f t="shared" si="132"/>
        <v>#DIV/0!</v>
      </c>
      <c r="T124" s="505"/>
      <c r="U124" s="349"/>
      <c r="V124" s="349"/>
      <c r="W124" s="342" t="e">
        <f t="shared" si="133"/>
        <v>#DIV/0!</v>
      </c>
      <c r="X124" s="348" t="e">
        <f t="shared" si="134"/>
        <v>#DIV/0!</v>
      </c>
      <c r="Y124" s="505"/>
      <c r="Z124" s="349"/>
      <c r="AA124" s="349"/>
      <c r="AB124" s="342" t="e">
        <f t="shared" si="135"/>
        <v>#DIV/0!</v>
      </c>
      <c r="AC124" s="348" t="e">
        <f t="shared" si="136"/>
        <v>#DIV/0!</v>
      </c>
      <c r="AD124" s="505"/>
      <c r="AE124" s="349"/>
      <c r="AF124" s="349"/>
      <c r="AG124" s="342" t="e">
        <f t="shared" si="137"/>
        <v>#DIV/0!</v>
      </c>
      <c r="AH124" s="348" t="e">
        <f t="shared" si="138"/>
        <v>#DIV/0!</v>
      </c>
      <c r="AI124" s="505"/>
      <c r="AJ124" s="349"/>
      <c r="AK124" s="349"/>
      <c r="AL124" s="342" t="e">
        <f t="shared" si="139"/>
        <v>#DIV/0!</v>
      </c>
      <c r="AM124" s="348" t="e">
        <f t="shared" si="123"/>
        <v>#DIV/0!</v>
      </c>
      <c r="AN124" s="505"/>
      <c r="AO124" s="349"/>
      <c r="AP124" s="349"/>
      <c r="AQ124" s="342" t="e">
        <f t="shared" si="140"/>
        <v>#DIV/0!</v>
      </c>
      <c r="AR124" s="348" t="e">
        <f t="shared" si="124"/>
        <v>#DIV/0!</v>
      </c>
      <c r="AS124" s="505"/>
      <c r="AT124" s="349"/>
      <c r="AU124" s="349"/>
      <c r="AV124" s="342" t="e">
        <f t="shared" si="141"/>
        <v>#DIV/0!</v>
      </c>
      <c r="AW124" s="348" t="e">
        <f t="shared" si="125"/>
        <v>#DIV/0!</v>
      </c>
      <c r="AX124" s="505"/>
    </row>
    <row r="125" spans="2:50" x14ac:dyDescent="0.2">
      <c r="B125" s="486"/>
      <c r="C125" s="348">
        <v>4</v>
      </c>
      <c r="D125" s="348" t="s">
        <v>165</v>
      </c>
      <c r="E125" s="349">
        <f>VLOOKUP(D125,'07產線配置圖'!$A$2:$C$25,2,0)</f>
        <v>16</v>
      </c>
      <c r="F125" s="349">
        <f>VLOOKUP(D125,'07產線配置圖'!$A$2:$C$25,3,0)</f>
        <v>1800</v>
      </c>
      <c r="G125" s="342">
        <f t="shared" si="126"/>
        <v>112.5</v>
      </c>
      <c r="H125" s="480"/>
      <c r="I125" s="349" t="e">
        <f t="shared" si="127"/>
        <v>#DIV/0!</v>
      </c>
      <c r="J125" s="349" t="e">
        <f t="shared" si="128"/>
        <v>#DIV/0!</v>
      </c>
      <c r="K125" s="342" t="e">
        <f t="shared" si="129"/>
        <v>#DIV/0!</v>
      </c>
      <c r="L125" s="480"/>
      <c r="M125" s="370" t="e">
        <f t="shared" si="130"/>
        <v>#DIV/0!</v>
      </c>
      <c r="N125" s="490"/>
      <c r="O125" s="490"/>
      <c r="P125" s="349"/>
      <c r="Q125" s="349"/>
      <c r="R125" s="342" t="e">
        <f t="shared" si="131"/>
        <v>#DIV/0!</v>
      </c>
      <c r="S125" s="348" t="e">
        <f t="shared" si="132"/>
        <v>#DIV/0!</v>
      </c>
      <c r="T125" s="505"/>
      <c r="U125" s="349"/>
      <c r="V125" s="349"/>
      <c r="W125" s="342" t="e">
        <f t="shared" si="133"/>
        <v>#DIV/0!</v>
      </c>
      <c r="X125" s="348" t="e">
        <f t="shared" si="134"/>
        <v>#DIV/0!</v>
      </c>
      <c r="Y125" s="505"/>
      <c r="Z125" s="349"/>
      <c r="AA125" s="349"/>
      <c r="AB125" s="342" t="e">
        <f t="shared" si="135"/>
        <v>#DIV/0!</v>
      </c>
      <c r="AC125" s="348" t="e">
        <f t="shared" si="136"/>
        <v>#DIV/0!</v>
      </c>
      <c r="AD125" s="505"/>
      <c r="AE125" s="349"/>
      <c r="AF125" s="349"/>
      <c r="AG125" s="342" t="e">
        <f t="shared" si="137"/>
        <v>#DIV/0!</v>
      </c>
      <c r="AH125" s="348" t="e">
        <f t="shared" si="138"/>
        <v>#DIV/0!</v>
      </c>
      <c r="AI125" s="505"/>
      <c r="AJ125" s="349"/>
      <c r="AK125" s="349"/>
      <c r="AL125" s="342" t="e">
        <f t="shared" si="139"/>
        <v>#DIV/0!</v>
      </c>
      <c r="AM125" s="348" t="e">
        <f t="shared" si="123"/>
        <v>#DIV/0!</v>
      </c>
      <c r="AN125" s="505"/>
      <c r="AO125" s="349"/>
      <c r="AP125" s="349"/>
      <c r="AQ125" s="342" t="e">
        <f t="shared" si="140"/>
        <v>#DIV/0!</v>
      </c>
      <c r="AR125" s="348" t="e">
        <f t="shared" si="124"/>
        <v>#DIV/0!</v>
      </c>
      <c r="AS125" s="505"/>
      <c r="AT125" s="349"/>
      <c r="AU125" s="349"/>
      <c r="AV125" s="342" t="e">
        <f t="shared" si="141"/>
        <v>#DIV/0!</v>
      </c>
      <c r="AW125" s="348" t="e">
        <f t="shared" si="125"/>
        <v>#DIV/0!</v>
      </c>
      <c r="AX125" s="505"/>
    </row>
    <row r="126" spans="2:50" ht="13.5" x14ac:dyDescent="0.2">
      <c r="B126" s="486"/>
      <c r="C126" s="348">
        <v>5</v>
      </c>
      <c r="D126" s="367" t="s">
        <v>114</v>
      </c>
      <c r="E126" s="349">
        <f>VLOOKUP(D126,'07產線配置圖'!$A$2:$C$25,2,0)</f>
        <v>14</v>
      </c>
      <c r="F126" s="349">
        <f>VLOOKUP(D126,'07產線配置圖'!$A$2:$C$25,3,0)</f>
        <v>2250</v>
      </c>
      <c r="G126" s="342">
        <f t="shared" si="126"/>
        <v>160.71428571428572</v>
      </c>
      <c r="H126" s="480"/>
      <c r="I126" s="349" t="e">
        <f t="shared" si="127"/>
        <v>#DIV/0!</v>
      </c>
      <c r="J126" s="349" t="e">
        <f t="shared" si="128"/>
        <v>#DIV/0!</v>
      </c>
      <c r="K126" s="342" t="e">
        <f t="shared" si="129"/>
        <v>#DIV/0!</v>
      </c>
      <c r="L126" s="480"/>
      <c r="M126" s="370" t="e">
        <f t="shared" si="130"/>
        <v>#DIV/0!</v>
      </c>
      <c r="N126" s="490"/>
      <c r="O126" s="490"/>
      <c r="P126" s="349"/>
      <c r="Q126" s="349"/>
      <c r="R126" s="342" t="e">
        <f t="shared" si="131"/>
        <v>#DIV/0!</v>
      </c>
      <c r="S126" s="348" t="e">
        <f t="shared" si="132"/>
        <v>#DIV/0!</v>
      </c>
      <c r="T126" s="505"/>
      <c r="U126" s="349"/>
      <c r="V126" s="349"/>
      <c r="W126" s="342" t="e">
        <f t="shared" si="133"/>
        <v>#DIV/0!</v>
      </c>
      <c r="X126" s="348" t="e">
        <f t="shared" si="134"/>
        <v>#DIV/0!</v>
      </c>
      <c r="Y126" s="505"/>
      <c r="Z126" s="349"/>
      <c r="AA126" s="349"/>
      <c r="AB126" s="342" t="e">
        <f t="shared" si="135"/>
        <v>#DIV/0!</v>
      </c>
      <c r="AC126" s="348" t="e">
        <f t="shared" si="136"/>
        <v>#DIV/0!</v>
      </c>
      <c r="AD126" s="505"/>
      <c r="AE126" s="349"/>
      <c r="AF126" s="349"/>
      <c r="AG126" s="342" t="e">
        <f t="shared" si="137"/>
        <v>#DIV/0!</v>
      </c>
      <c r="AH126" s="348" t="e">
        <f t="shared" si="138"/>
        <v>#DIV/0!</v>
      </c>
      <c r="AI126" s="505"/>
      <c r="AJ126" s="349"/>
      <c r="AK126" s="349"/>
      <c r="AL126" s="342" t="e">
        <f t="shared" si="139"/>
        <v>#DIV/0!</v>
      </c>
      <c r="AM126" s="348" t="e">
        <f t="shared" si="123"/>
        <v>#DIV/0!</v>
      </c>
      <c r="AN126" s="505"/>
      <c r="AO126" s="349"/>
      <c r="AP126" s="349"/>
      <c r="AQ126" s="342" t="e">
        <f t="shared" si="140"/>
        <v>#DIV/0!</v>
      </c>
      <c r="AR126" s="348" t="e">
        <f t="shared" si="124"/>
        <v>#DIV/0!</v>
      </c>
      <c r="AS126" s="505"/>
      <c r="AT126" s="349"/>
      <c r="AU126" s="349"/>
      <c r="AV126" s="342" t="e">
        <f t="shared" si="141"/>
        <v>#DIV/0!</v>
      </c>
      <c r="AW126" s="348" t="e">
        <f t="shared" si="125"/>
        <v>#DIV/0!</v>
      </c>
      <c r="AX126" s="505"/>
    </row>
    <row r="127" spans="2:50" x14ac:dyDescent="0.2">
      <c r="B127" s="486"/>
      <c r="C127" s="348">
        <v>6</v>
      </c>
      <c r="D127" s="348" t="s">
        <v>158</v>
      </c>
      <c r="E127" s="349">
        <f>VLOOKUP(D127,'07產線配置圖'!$A$2:$C$25,2,0)</f>
        <v>15</v>
      </c>
      <c r="F127" s="349">
        <f>VLOOKUP(D127,'07產線配置圖'!$A$2:$C$25,3,0)</f>
        <v>1714</v>
      </c>
      <c r="G127" s="342">
        <f t="shared" si="126"/>
        <v>114.26666666666667</v>
      </c>
      <c r="H127" s="480"/>
      <c r="I127" s="349" t="e">
        <f t="shared" si="127"/>
        <v>#DIV/0!</v>
      </c>
      <c r="J127" s="349" t="e">
        <f t="shared" si="128"/>
        <v>#DIV/0!</v>
      </c>
      <c r="K127" s="342" t="e">
        <f t="shared" si="129"/>
        <v>#DIV/0!</v>
      </c>
      <c r="L127" s="480"/>
      <c r="M127" s="370" t="e">
        <f t="shared" si="130"/>
        <v>#DIV/0!</v>
      </c>
      <c r="N127" s="490"/>
      <c r="O127" s="490"/>
      <c r="P127" s="349"/>
      <c r="Q127" s="349"/>
      <c r="R127" s="342" t="e">
        <f t="shared" si="131"/>
        <v>#DIV/0!</v>
      </c>
      <c r="S127" s="348" t="e">
        <f t="shared" si="132"/>
        <v>#DIV/0!</v>
      </c>
      <c r="T127" s="505"/>
      <c r="U127" s="349"/>
      <c r="V127" s="349"/>
      <c r="W127" s="342" t="e">
        <f t="shared" si="133"/>
        <v>#DIV/0!</v>
      </c>
      <c r="X127" s="348" t="e">
        <f t="shared" si="134"/>
        <v>#DIV/0!</v>
      </c>
      <c r="Y127" s="505"/>
      <c r="Z127" s="349"/>
      <c r="AA127" s="349"/>
      <c r="AB127" s="342" t="e">
        <f t="shared" si="135"/>
        <v>#DIV/0!</v>
      </c>
      <c r="AC127" s="348" t="e">
        <f t="shared" si="136"/>
        <v>#DIV/0!</v>
      </c>
      <c r="AD127" s="505"/>
      <c r="AE127" s="349"/>
      <c r="AF127" s="349"/>
      <c r="AG127" s="342" t="e">
        <f t="shared" si="137"/>
        <v>#DIV/0!</v>
      </c>
      <c r="AH127" s="348" t="e">
        <f t="shared" si="138"/>
        <v>#DIV/0!</v>
      </c>
      <c r="AI127" s="505"/>
      <c r="AJ127" s="349"/>
      <c r="AK127" s="349"/>
      <c r="AL127" s="342" t="e">
        <f t="shared" si="139"/>
        <v>#DIV/0!</v>
      </c>
      <c r="AM127" s="348" t="e">
        <f t="shared" si="123"/>
        <v>#DIV/0!</v>
      </c>
      <c r="AN127" s="505"/>
      <c r="AO127" s="349"/>
      <c r="AP127" s="349"/>
      <c r="AQ127" s="342" t="e">
        <f t="shared" si="140"/>
        <v>#DIV/0!</v>
      </c>
      <c r="AR127" s="348" t="e">
        <f t="shared" si="124"/>
        <v>#DIV/0!</v>
      </c>
      <c r="AS127" s="505"/>
      <c r="AT127" s="349"/>
      <c r="AU127" s="349"/>
      <c r="AV127" s="342" t="e">
        <f t="shared" si="141"/>
        <v>#DIV/0!</v>
      </c>
      <c r="AW127" s="348" t="e">
        <f t="shared" si="125"/>
        <v>#DIV/0!</v>
      </c>
      <c r="AX127" s="505"/>
    </row>
    <row r="128" spans="2:50" x14ac:dyDescent="0.2">
      <c r="B128" s="486"/>
      <c r="C128" s="348">
        <v>7</v>
      </c>
      <c r="D128" s="348" t="s">
        <v>223</v>
      </c>
      <c r="E128" s="349">
        <f>VLOOKUP(D128,'07產線配置圖'!$A$2:$C$25,2,0)</f>
        <v>17</v>
      </c>
      <c r="F128" s="349">
        <f>VLOOKUP(D128,'07產線配置圖'!$A$2:$C$25,3,0)</f>
        <v>1800</v>
      </c>
      <c r="G128" s="342">
        <f t="shared" si="126"/>
        <v>105.88235294117646</v>
      </c>
      <c r="H128" s="480"/>
      <c r="I128" s="349" t="e">
        <f>AVERAGE(P128,U128,Z128,AE128,AJ128,AO128,AT128)</f>
        <v>#DIV/0!</v>
      </c>
      <c r="J128" s="349" t="e">
        <f>AVERAGE(Q128,V128,AA128,AF128,AK128,AP128,AU128)</f>
        <v>#DIV/0!</v>
      </c>
      <c r="K128" s="342" t="e">
        <f>AVERAGE(R128)</f>
        <v>#DIV/0!</v>
      </c>
      <c r="L128" s="480"/>
      <c r="M128" s="370" t="e">
        <f t="shared" si="130"/>
        <v>#DIV/0!</v>
      </c>
      <c r="N128" s="490"/>
      <c r="O128" s="490"/>
      <c r="P128" s="349"/>
      <c r="Q128" s="349"/>
      <c r="R128" s="342" t="e">
        <f t="shared" si="131"/>
        <v>#DIV/0!</v>
      </c>
      <c r="S128" s="348" t="e">
        <f t="shared" si="132"/>
        <v>#DIV/0!</v>
      </c>
      <c r="T128" s="505"/>
      <c r="U128" s="349"/>
      <c r="V128" s="349"/>
      <c r="W128" s="342" t="e">
        <f>V128/U127</f>
        <v>#DIV/0!</v>
      </c>
      <c r="X128" s="348" t="e">
        <f t="shared" si="134"/>
        <v>#DIV/0!</v>
      </c>
      <c r="Y128" s="505"/>
      <c r="Z128" s="349"/>
      <c r="AA128" s="349"/>
      <c r="AB128" s="342" t="e">
        <f t="shared" si="135"/>
        <v>#DIV/0!</v>
      </c>
      <c r="AC128" s="348" t="e">
        <f t="shared" si="136"/>
        <v>#DIV/0!</v>
      </c>
      <c r="AD128" s="505"/>
      <c r="AE128" s="349"/>
      <c r="AF128" s="349"/>
      <c r="AG128" s="342" t="e">
        <f t="shared" si="137"/>
        <v>#DIV/0!</v>
      </c>
      <c r="AH128" s="348" t="e">
        <f t="shared" si="138"/>
        <v>#DIV/0!</v>
      </c>
      <c r="AI128" s="505"/>
      <c r="AJ128" s="349"/>
      <c r="AK128" s="349"/>
      <c r="AL128" s="342" t="e">
        <f t="shared" si="139"/>
        <v>#DIV/0!</v>
      </c>
      <c r="AM128" s="348" t="e">
        <f t="shared" si="123"/>
        <v>#DIV/0!</v>
      </c>
      <c r="AN128" s="505"/>
      <c r="AO128" s="349"/>
      <c r="AP128" s="349"/>
      <c r="AQ128" s="342" t="e">
        <f t="shared" si="140"/>
        <v>#DIV/0!</v>
      </c>
      <c r="AR128" s="348" t="e">
        <f t="shared" si="124"/>
        <v>#DIV/0!</v>
      </c>
      <c r="AS128" s="505"/>
      <c r="AT128" s="349"/>
      <c r="AU128" s="349"/>
      <c r="AV128" s="342" t="e">
        <f t="shared" si="141"/>
        <v>#DIV/0!</v>
      </c>
      <c r="AW128" s="348" t="e">
        <f t="shared" si="125"/>
        <v>#DIV/0!</v>
      </c>
      <c r="AX128" s="505"/>
    </row>
    <row r="129" spans="2:50" x14ac:dyDescent="0.2">
      <c r="B129" s="486"/>
      <c r="C129" s="348">
        <v>8</v>
      </c>
      <c r="D129" s="348" t="s">
        <v>121</v>
      </c>
      <c r="E129" s="349">
        <f>VLOOKUP(D129,'07產線配置圖'!$A$2:$C$25,2,0)</f>
        <v>18</v>
      </c>
      <c r="F129" s="349">
        <f>VLOOKUP(D129,'07產線配置圖'!$A$2:$C$25,3,0)</f>
        <v>1636</v>
      </c>
      <c r="G129" s="342">
        <f t="shared" si="126"/>
        <v>90.888888888888886</v>
      </c>
      <c r="H129" s="480"/>
      <c r="I129" s="349" t="e">
        <f t="shared" ref="I129:I133" si="142">AVERAGE(P129,U129,Z129,AE129,AJ129,AO129,AT129)</f>
        <v>#DIV/0!</v>
      </c>
      <c r="J129" s="349" t="e">
        <f t="shared" ref="J129:J133" si="143">AVERAGE(Q129,V129,AA129,AF129,AK129,AP129,AU129)</f>
        <v>#DIV/0!</v>
      </c>
      <c r="K129" s="342" t="e">
        <f t="shared" ref="K129:K133" si="144">AVERAGE(R129)</f>
        <v>#DIV/0!</v>
      </c>
      <c r="L129" s="480"/>
      <c r="M129" s="370" t="e">
        <f t="shared" si="130"/>
        <v>#DIV/0!</v>
      </c>
      <c r="N129" s="490"/>
      <c r="O129" s="490"/>
      <c r="P129" s="348"/>
      <c r="Q129" s="349"/>
      <c r="R129" s="340" t="e">
        <f t="shared" si="131"/>
        <v>#DIV/0!</v>
      </c>
      <c r="S129" s="348" t="e">
        <f t="shared" si="132"/>
        <v>#DIV/0!</v>
      </c>
      <c r="T129" s="505"/>
      <c r="U129" s="349"/>
      <c r="V129" s="349"/>
      <c r="W129" s="342" t="e">
        <f t="shared" si="133"/>
        <v>#DIV/0!</v>
      </c>
      <c r="X129" s="348" t="e">
        <f t="shared" si="134"/>
        <v>#DIV/0!</v>
      </c>
      <c r="Y129" s="505"/>
      <c r="Z129" s="349"/>
      <c r="AA129" s="349"/>
      <c r="AB129" s="342" t="e">
        <f t="shared" si="135"/>
        <v>#DIV/0!</v>
      </c>
      <c r="AC129" s="348" t="e">
        <f t="shared" si="136"/>
        <v>#DIV/0!</v>
      </c>
      <c r="AD129" s="505"/>
      <c r="AE129" s="349"/>
      <c r="AF129" s="349"/>
      <c r="AG129" s="342" t="e">
        <f t="shared" si="137"/>
        <v>#DIV/0!</v>
      </c>
      <c r="AH129" s="348" t="e">
        <f t="shared" si="138"/>
        <v>#DIV/0!</v>
      </c>
      <c r="AI129" s="505"/>
      <c r="AJ129" s="349"/>
      <c r="AK129" s="349"/>
      <c r="AL129" s="342" t="e">
        <f t="shared" si="139"/>
        <v>#DIV/0!</v>
      </c>
      <c r="AM129" s="348" t="e">
        <f t="shared" si="123"/>
        <v>#DIV/0!</v>
      </c>
      <c r="AN129" s="505"/>
      <c r="AO129" s="349"/>
      <c r="AP129" s="349"/>
      <c r="AQ129" s="342" t="e">
        <f t="shared" si="140"/>
        <v>#DIV/0!</v>
      </c>
      <c r="AR129" s="348" t="e">
        <f t="shared" si="124"/>
        <v>#DIV/0!</v>
      </c>
      <c r="AS129" s="505"/>
      <c r="AT129" s="349"/>
      <c r="AU129" s="349"/>
      <c r="AV129" s="342" t="e">
        <f t="shared" si="141"/>
        <v>#DIV/0!</v>
      </c>
      <c r="AW129" s="348" t="e">
        <f t="shared" si="125"/>
        <v>#DIV/0!</v>
      </c>
      <c r="AX129" s="505"/>
    </row>
    <row r="130" spans="2:50" x14ac:dyDescent="0.2">
      <c r="B130" s="486"/>
      <c r="C130" s="348">
        <v>9</v>
      </c>
      <c r="D130" s="348" t="s">
        <v>381</v>
      </c>
      <c r="E130" s="349">
        <f>VLOOKUP(D130,'07產線配置圖'!$A$2:$C$25,2,0)</f>
        <v>13</v>
      </c>
      <c r="F130" s="349">
        <f>VLOOKUP(D130,'07產線配置圖'!$A$2:$C$25,3,0)</f>
        <v>1440</v>
      </c>
      <c r="G130" s="342">
        <f t="shared" si="126"/>
        <v>110.76923076923077</v>
      </c>
      <c r="H130" s="480"/>
      <c r="I130" s="349" t="e">
        <f t="shared" si="142"/>
        <v>#DIV/0!</v>
      </c>
      <c r="J130" s="349" t="e">
        <f t="shared" si="143"/>
        <v>#DIV/0!</v>
      </c>
      <c r="K130" s="342" t="e">
        <f t="shared" si="144"/>
        <v>#DIV/0!</v>
      </c>
      <c r="L130" s="480"/>
      <c r="M130" s="370" t="e">
        <f t="shared" si="130"/>
        <v>#DIV/0!</v>
      </c>
      <c r="N130" s="490"/>
      <c r="O130" s="490"/>
      <c r="P130" s="348"/>
      <c r="Q130" s="349"/>
      <c r="R130" s="342" t="e">
        <f t="shared" si="131"/>
        <v>#DIV/0!</v>
      </c>
      <c r="S130" s="348" t="e">
        <f t="shared" si="132"/>
        <v>#DIV/0!</v>
      </c>
      <c r="T130" s="505"/>
      <c r="U130" s="349"/>
      <c r="V130" s="349"/>
      <c r="W130" s="342" t="e">
        <f t="shared" si="133"/>
        <v>#DIV/0!</v>
      </c>
      <c r="X130" s="348" t="e">
        <f t="shared" si="134"/>
        <v>#DIV/0!</v>
      </c>
      <c r="Y130" s="505"/>
      <c r="Z130" s="349"/>
      <c r="AA130" s="349"/>
      <c r="AB130" s="342" t="e">
        <f t="shared" si="135"/>
        <v>#DIV/0!</v>
      </c>
      <c r="AC130" s="348" t="e">
        <f t="shared" si="136"/>
        <v>#DIV/0!</v>
      </c>
      <c r="AD130" s="505"/>
      <c r="AE130" s="349"/>
      <c r="AF130" s="349"/>
      <c r="AG130" s="342" t="e">
        <f t="shared" si="137"/>
        <v>#DIV/0!</v>
      </c>
      <c r="AH130" s="348" t="e">
        <f t="shared" si="138"/>
        <v>#DIV/0!</v>
      </c>
      <c r="AI130" s="505"/>
      <c r="AJ130" s="349"/>
      <c r="AK130" s="349"/>
      <c r="AL130" s="342" t="e">
        <f t="shared" si="139"/>
        <v>#DIV/0!</v>
      </c>
      <c r="AM130" s="348" t="e">
        <f t="shared" si="123"/>
        <v>#DIV/0!</v>
      </c>
      <c r="AN130" s="505"/>
      <c r="AO130" s="349"/>
      <c r="AP130" s="349"/>
      <c r="AQ130" s="342" t="e">
        <f t="shared" si="140"/>
        <v>#DIV/0!</v>
      </c>
      <c r="AR130" s="348" t="e">
        <f t="shared" si="124"/>
        <v>#DIV/0!</v>
      </c>
      <c r="AS130" s="505"/>
      <c r="AT130" s="349"/>
      <c r="AU130" s="349"/>
      <c r="AV130" s="342" t="e">
        <f t="shared" si="141"/>
        <v>#DIV/0!</v>
      </c>
      <c r="AW130" s="348" t="e">
        <f t="shared" si="125"/>
        <v>#DIV/0!</v>
      </c>
      <c r="AX130" s="505"/>
    </row>
    <row r="131" spans="2:50" x14ac:dyDescent="0.2">
      <c r="B131" s="486"/>
      <c r="C131" s="348">
        <v>10</v>
      </c>
      <c r="D131" s="348" t="s">
        <v>119</v>
      </c>
      <c r="E131" s="349">
        <f>VLOOKUP(D131,'07產線配置圖'!$A$2:$C$25,2,0)</f>
        <v>17</v>
      </c>
      <c r="F131" s="349">
        <f>VLOOKUP(D131,'07產線配置圖'!$A$2:$C$25,3,0)</f>
        <v>2250</v>
      </c>
      <c r="G131" s="342">
        <f t="shared" si="126"/>
        <v>132.35294117647058</v>
      </c>
      <c r="H131" s="480"/>
      <c r="I131" s="349" t="e">
        <f t="shared" si="142"/>
        <v>#DIV/0!</v>
      </c>
      <c r="J131" s="349" t="e">
        <f t="shared" si="143"/>
        <v>#DIV/0!</v>
      </c>
      <c r="K131" s="342" t="e">
        <f t="shared" si="144"/>
        <v>#DIV/0!</v>
      </c>
      <c r="L131" s="480"/>
      <c r="M131" s="370" t="e">
        <f t="shared" si="130"/>
        <v>#DIV/0!</v>
      </c>
      <c r="N131" s="490"/>
      <c r="O131" s="490"/>
      <c r="P131" s="348"/>
      <c r="Q131" s="349"/>
      <c r="R131" s="342" t="e">
        <f t="shared" si="131"/>
        <v>#DIV/0!</v>
      </c>
      <c r="S131" s="348" t="e">
        <f t="shared" si="132"/>
        <v>#DIV/0!</v>
      </c>
      <c r="T131" s="505"/>
      <c r="U131" s="349"/>
      <c r="V131" s="349"/>
      <c r="W131" s="342" t="e">
        <f t="shared" si="133"/>
        <v>#DIV/0!</v>
      </c>
      <c r="X131" s="348" t="e">
        <f t="shared" si="134"/>
        <v>#DIV/0!</v>
      </c>
      <c r="Y131" s="505"/>
      <c r="Z131" s="349"/>
      <c r="AA131" s="349"/>
      <c r="AB131" s="342" t="e">
        <f t="shared" si="135"/>
        <v>#DIV/0!</v>
      </c>
      <c r="AC131" s="348" t="e">
        <f t="shared" si="136"/>
        <v>#DIV/0!</v>
      </c>
      <c r="AD131" s="505"/>
      <c r="AE131" s="349"/>
      <c r="AF131" s="349"/>
      <c r="AG131" s="342" t="e">
        <f t="shared" si="137"/>
        <v>#DIV/0!</v>
      </c>
      <c r="AH131" s="348" t="e">
        <f t="shared" si="138"/>
        <v>#DIV/0!</v>
      </c>
      <c r="AI131" s="505"/>
      <c r="AJ131" s="349"/>
      <c r="AK131" s="349"/>
      <c r="AL131" s="342" t="e">
        <f t="shared" si="139"/>
        <v>#DIV/0!</v>
      </c>
      <c r="AM131" s="348" t="e">
        <f t="shared" si="123"/>
        <v>#DIV/0!</v>
      </c>
      <c r="AN131" s="505"/>
      <c r="AO131" s="349"/>
      <c r="AP131" s="349"/>
      <c r="AQ131" s="342" t="e">
        <f t="shared" si="140"/>
        <v>#DIV/0!</v>
      </c>
      <c r="AR131" s="348" t="e">
        <f t="shared" si="124"/>
        <v>#DIV/0!</v>
      </c>
      <c r="AS131" s="505"/>
      <c r="AT131" s="349"/>
      <c r="AU131" s="349"/>
      <c r="AV131" s="342" t="e">
        <f t="shared" si="141"/>
        <v>#DIV/0!</v>
      </c>
      <c r="AW131" s="348" t="e">
        <f t="shared" si="125"/>
        <v>#DIV/0!</v>
      </c>
      <c r="AX131" s="505"/>
    </row>
    <row r="132" spans="2:50" x14ac:dyDescent="0.2">
      <c r="B132" s="486"/>
      <c r="C132" s="348">
        <v>11</v>
      </c>
      <c r="D132" s="348" t="s">
        <v>382</v>
      </c>
      <c r="E132" s="349" t="e">
        <f>VLOOKUP(D132,'07產線配置圖'!$A$2:$C$25,2,0)</f>
        <v>#N/A</v>
      </c>
      <c r="F132" s="349" t="e">
        <f>VLOOKUP(D132,'07產線配置圖'!$A$2:$C$25,3,0)</f>
        <v>#N/A</v>
      </c>
      <c r="G132" s="342" t="e">
        <f t="shared" si="126"/>
        <v>#N/A</v>
      </c>
      <c r="H132" s="480"/>
      <c r="I132" s="349" t="e">
        <f t="shared" si="142"/>
        <v>#DIV/0!</v>
      </c>
      <c r="J132" s="349" t="e">
        <f t="shared" si="143"/>
        <v>#DIV/0!</v>
      </c>
      <c r="K132" s="342" t="e">
        <f t="shared" si="144"/>
        <v>#DIV/0!</v>
      </c>
      <c r="L132" s="480"/>
      <c r="M132" s="370" t="e">
        <f t="shared" si="130"/>
        <v>#DIV/0!</v>
      </c>
      <c r="N132" s="490"/>
      <c r="O132" s="490"/>
      <c r="P132" s="348"/>
      <c r="Q132" s="348"/>
      <c r="R132" s="342" t="e">
        <f t="shared" si="131"/>
        <v>#DIV/0!</v>
      </c>
      <c r="S132" s="348" t="e">
        <f t="shared" si="132"/>
        <v>#DIV/0!</v>
      </c>
      <c r="T132" s="505"/>
      <c r="U132" s="348"/>
      <c r="V132" s="348"/>
      <c r="W132" s="342" t="e">
        <f>V132/U132</f>
        <v>#DIV/0!</v>
      </c>
      <c r="X132" s="348" t="e">
        <f t="shared" si="134"/>
        <v>#DIV/0!</v>
      </c>
      <c r="Y132" s="505"/>
      <c r="Z132" s="348"/>
      <c r="AA132" s="348"/>
      <c r="AB132" s="342" t="e">
        <f>AA132/Z132</f>
        <v>#DIV/0!</v>
      </c>
      <c r="AC132" s="348" t="e">
        <f t="shared" si="136"/>
        <v>#DIV/0!</v>
      </c>
      <c r="AD132" s="505"/>
      <c r="AE132" s="348"/>
      <c r="AF132" s="348"/>
      <c r="AG132" s="342" t="e">
        <f>AF132/AE132</f>
        <v>#DIV/0!</v>
      </c>
      <c r="AH132" s="348" t="e">
        <f t="shared" si="138"/>
        <v>#DIV/0!</v>
      </c>
      <c r="AI132" s="505"/>
      <c r="AJ132" s="348"/>
      <c r="AK132" s="348"/>
      <c r="AL132" s="342" t="e">
        <f t="shared" ref="AL132:AL137" si="145">AK132/AJ132</f>
        <v>#DIV/0!</v>
      </c>
      <c r="AM132" s="348" t="e">
        <f t="shared" si="123"/>
        <v>#DIV/0!</v>
      </c>
      <c r="AN132" s="505"/>
      <c r="AO132" s="348"/>
      <c r="AP132" s="348"/>
      <c r="AQ132" s="342" t="e">
        <f t="shared" ref="AQ132:AQ137" si="146">AP132/AO132</f>
        <v>#DIV/0!</v>
      </c>
      <c r="AR132" s="348" t="e">
        <f t="shared" si="124"/>
        <v>#DIV/0!</v>
      </c>
      <c r="AS132" s="505"/>
      <c r="AT132" s="348"/>
      <c r="AU132" s="348"/>
      <c r="AV132" s="342" t="e">
        <f t="shared" si="141"/>
        <v>#DIV/0!</v>
      </c>
      <c r="AW132" s="348" t="e">
        <f t="shared" si="125"/>
        <v>#DIV/0!</v>
      </c>
      <c r="AX132" s="505"/>
    </row>
    <row r="133" spans="2:50" x14ac:dyDescent="0.2">
      <c r="B133" s="486"/>
      <c r="C133" s="348">
        <v>12</v>
      </c>
      <c r="D133" s="348" t="s">
        <v>117</v>
      </c>
      <c r="E133" s="349">
        <f>VLOOKUP(D133,'07產線配置圖'!$A$2:$C$25,2,0)</f>
        <v>15</v>
      </c>
      <c r="F133" s="349">
        <f>VLOOKUP(D133,'07產線配置圖'!$A$2:$C$25,3,0)</f>
        <v>2250</v>
      </c>
      <c r="G133" s="342">
        <f t="shared" si="126"/>
        <v>150</v>
      </c>
      <c r="H133" s="480"/>
      <c r="I133" s="349" t="e">
        <f t="shared" si="142"/>
        <v>#DIV/0!</v>
      </c>
      <c r="J133" s="349" t="e">
        <f t="shared" si="143"/>
        <v>#DIV/0!</v>
      </c>
      <c r="K133" s="342" t="e">
        <f t="shared" si="144"/>
        <v>#DIV/0!</v>
      </c>
      <c r="L133" s="480"/>
      <c r="M133" s="370" t="e">
        <f t="shared" si="130"/>
        <v>#DIV/0!</v>
      </c>
      <c r="N133" s="490"/>
      <c r="O133" s="490"/>
      <c r="P133" s="348"/>
      <c r="Q133" s="348"/>
      <c r="R133" s="342" t="e">
        <f t="shared" si="131"/>
        <v>#DIV/0!</v>
      </c>
      <c r="S133" s="348" t="e">
        <f t="shared" si="132"/>
        <v>#DIV/0!</v>
      </c>
      <c r="T133" s="505"/>
      <c r="U133" s="348"/>
      <c r="V133" s="349"/>
      <c r="W133" s="342" t="e">
        <f t="shared" ref="W133:W137" si="147">V133/U133</f>
        <v>#DIV/0!</v>
      </c>
      <c r="X133" s="348" t="e">
        <f t="shared" si="134"/>
        <v>#DIV/0!</v>
      </c>
      <c r="Y133" s="505"/>
      <c r="Z133" s="348"/>
      <c r="AA133" s="349"/>
      <c r="AB133" s="342" t="e">
        <f t="shared" ref="AB133:AB137" si="148">AA133/Z133</f>
        <v>#DIV/0!</v>
      </c>
      <c r="AC133" s="348" t="e">
        <f t="shared" si="136"/>
        <v>#DIV/0!</v>
      </c>
      <c r="AD133" s="505"/>
      <c r="AE133" s="348"/>
      <c r="AF133" s="349"/>
      <c r="AG133" s="342" t="e">
        <f>AF133/AE133</f>
        <v>#DIV/0!</v>
      </c>
      <c r="AH133" s="348" t="e">
        <f t="shared" si="138"/>
        <v>#DIV/0!</v>
      </c>
      <c r="AI133" s="505"/>
      <c r="AJ133" s="348"/>
      <c r="AK133" s="349"/>
      <c r="AL133" s="342" t="e">
        <f t="shared" si="145"/>
        <v>#DIV/0!</v>
      </c>
      <c r="AM133" s="348" t="e">
        <f t="shared" si="123"/>
        <v>#DIV/0!</v>
      </c>
      <c r="AN133" s="505"/>
      <c r="AO133" s="348"/>
      <c r="AP133" s="349"/>
      <c r="AQ133" s="342" t="e">
        <f t="shared" si="146"/>
        <v>#DIV/0!</v>
      </c>
      <c r="AR133" s="348" t="e">
        <f t="shared" si="124"/>
        <v>#DIV/0!</v>
      </c>
      <c r="AS133" s="505"/>
      <c r="AT133" s="348"/>
      <c r="AU133" s="349"/>
      <c r="AV133" s="342" t="e">
        <f t="shared" si="141"/>
        <v>#DIV/0!</v>
      </c>
      <c r="AW133" s="348" t="e">
        <f t="shared" si="125"/>
        <v>#DIV/0!</v>
      </c>
      <c r="AX133" s="505"/>
    </row>
    <row r="134" spans="2:50" x14ac:dyDescent="0.2">
      <c r="B134" s="486"/>
      <c r="C134" s="348">
        <v>13</v>
      </c>
      <c r="D134" s="348" t="s">
        <v>127</v>
      </c>
      <c r="E134" s="349">
        <f>VLOOKUP(D134,'07產線配置圖'!$A$2:$C$25,2,0)</f>
        <v>17</v>
      </c>
      <c r="F134" s="349">
        <f>VLOOKUP(D134,'07產線配置圖'!$A$2:$C$25,3,0)</f>
        <v>1636</v>
      </c>
      <c r="G134" s="342">
        <f t="shared" si="126"/>
        <v>96.235294117647058</v>
      </c>
      <c r="H134" s="480"/>
      <c r="I134" s="349" t="e">
        <f t="shared" ref="I134:I137" si="149">AVERAGE(P134,U134,Z134,AE134,AJ134,AO134,AT134)</f>
        <v>#DIV/0!</v>
      </c>
      <c r="J134" s="349" t="e">
        <f t="shared" ref="J134:J137" si="150">AVERAGE(Q134,V134,AA134,AF134,AK134,AP134,AU134)</f>
        <v>#DIV/0!</v>
      </c>
      <c r="K134" s="342" t="e">
        <f t="shared" ref="K134:K137" si="151">AVERAGE(R134)</f>
        <v>#DIV/0!</v>
      </c>
      <c r="L134" s="480"/>
      <c r="M134" s="370" t="e">
        <f t="shared" si="130"/>
        <v>#DIV/0!</v>
      </c>
      <c r="N134" s="490"/>
      <c r="O134" s="490"/>
      <c r="P134" s="348"/>
      <c r="Q134" s="348"/>
      <c r="R134" s="342" t="e">
        <f t="shared" si="131"/>
        <v>#DIV/0!</v>
      </c>
      <c r="S134" s="348" t="e">
        <f t="shared" si="132"/>
        <v>#DIV/0!</v>
      </c>
      <c r="T134" s="505"/>
      <c r="U134" s="348"/>
      <c r="V134" s="348"/>
      <c r="W134" s="342" t="e">
        <f t="shared" si="147"/>
        <v>#DIV/0!</v>
      </c>
      <c r="X134" s="348" t="e">
        <f t="shared" si="134"/>
        <v>#DIV/0!</v>
      </c>
      <c r="Y134" s="505"/>
      <c r="Z134" s="348"/>
      <c r="AA134" s="348"/>
      <c r="AB134" s="342" t="e">
        <f t="shared" si="148"/>
        <v>#DIV/0!</v>
      </c>
      <c r="AC134" s="348" t="e">
        <f t="shared" si="136"/>
        <v>#DIV/0!</v>
      </c>
      <c r="AD134" s="505"/>
      <c r="AE134" s="348"/>
      <c r="AF134" s="348"/>
      <c r="AG134" s="342" t="e">
        <f>AF134/AE134</f>
        <v>#DIV/0!</v>
      </c>
      <c r="AH134" s="348" t="e">
        <f t="shared" si="138"/>
        <v>#DIV/0!</v>
      </c>
      <c r="AI134" s="505"/>
      <c r="AJ134" s="348"/>
      <c r="AK134" s="348"/>
      <c r="AL134" s="342" t="e">
        <f t="shared" si="145"/>
        <v>#DIV/0!</v>
      </c>
      <c r="AM134" s="348" t="e">
        <f t="shared" si="123"/>
        <v>#DIV/0!</v>
      </c>
      <c r="AN134" s="505"/>
      <c r="AO134" s="348"/>
      <c r="AP134" s="348"/>
      <c r="AQ134" s="342" t="e">
        <f t="shared" si="146"/>
        <v>#DIV/0!</v>
      </c>
      <c r="AR134" s="348" t="e">
        <f t="shared" si="124"/>
        <v>#DIV/0!</v>
      </c>
      <c r="AS134" s="505"/>
      <c r="AT134" s="348"/>
      <c r="AU134" s="348"/>
      <c r="AV134" s="342" t="e">
        <f t="shared" si="141"/>
        <v>#DIV/0!</v>
      </c>
      <c r="AW134" s="348" t="e">
        <f t="shared" si="125"/>
        <v>#DIV/0!</v>
      </c>
      <c r="AX134" s="505"/>
    </row>
    <row r="135" spans="2:50" x14ac:dyDescent="0.2">
      <c r="B135" s="486"/>
      <c r="C135" s="348">
        <v>14</v>
      </c>
      <c r="D135" s="348" t="s">
        <v>383</v>
      </c>
      <c r="E135" s="349" t="e">
        <f>VLOOKUP(D135,'07產線配置圖'!$A$2:$C$25,2,0)</f>
        <v>#N/A</v>
      </c>
      <c r="F135" s="349" t="e">
        <f>VLOOKUP(D135,'07產線配置圖'!$A$2:$C$25,3,0)</f>
        <v>#N/A</v>
      </c>
      <c r="G135" s="342" t="e">
        <f t="shared" si="126"/>
        <v>#N/A</v>
      </c>
      <c r="H135" s="480"/>
      <c r="I135" s="349"/>
      <c r="J135" s="349"/>
      <c r="K135" s="342"/>
      <c r="L135" s="480"/>
      <c r="M135" s="370"/>
      <c r="N135" s="490"/>
      <c r="O135" s="490"/>
      <c r="P135" s="348"/>
      <c r="Q135" s="348"/>
      <c r="R135" s="342"/>
      <c r="S135" s="348"/>
      <c r="T135" s="505"/>
      <c r="U135" s="348"/>
      <c r="V135" s="348"/>
      <c r="W135" s="342" t="e">
        <f t="shared" si="147"/>
        <v>#DIV/0!</v>
      </c>
      <c r="X135" s="348" t="e">
        <f t="shared" si="134"/>
        <v>#DIV/0!</v>
      </c>
      <c r="Y135" s="505"/>
      <c r="Z135" s="348"/>
      <c r="AA135" s="348"/>
      <c r="AB135" s="342" t="e">
        <f t="shared" si="148"/>
        <v>#DIV/0!</v>
      </c>
      <c r="AC135" s="348" t="e">
        <f t="shared" si="136"/>
        <v>#DIV/0!</v>
      </c>
      <c r="AD135" s="505"/>
      <c r="AE135" s="348"/>
      <c r="AF135" s="348"/>
      <c r="AG135" s="342" t="e">
        <f>AF135/AE135</f>
        <v>#DIV/0!</v>
      </c>
      <c r="AH135" s="348" t="e">
        <f t="shared" si="138"/>
        <v>#DIV/0!</v>
      </c>
      <c r="AI135" s="505"/>
      <c r="AJ135" s="348"/>
      <c r="AK135" s="348"/>
      <c r="AL135" s="342" t="e">
        <f t="shared" si="145"/>
        <v>#DIV/0!</v>
      </c>
      <c r="AM135" s="348" t="e">
        <f t="shared" si="123"/>
        <v>#DIV/0!</v>
      </c>
      <c r="AN135" s="505"/>
      <c r="AO135" s="348"/>
      <c r="AP135" s="348"/>
      <c r="AQ135" s="342" t="e">
        <f t="shared" si="146"/>
        <v>#DIV/0!</v>
      </c>
      <c r="AR135" s="348" t="e">
        <f t="shared" si="124"/>
        <v>#DIV/0!</v>
      </c>
      <c r="AS135" s="505"/>
      <c r="AT135" s="348"/>
      <c r="AU135" s="348"/>
      <c r="AV135" s="342" t="e">
        <f t="shared" si="141"/>
        <v>#DIV/0!</v>
      </c>
      <c r="AW135" s="348" t="e">
        <f t="shared" si="125"/>
        <v>#DIV/0!</v>
      </c>
      <c r="AX135" s="505"/>
    </row>
    <row r="136" spans="2:50" x14ac:dyDescent="0.2">
      <c r="B136" s="486"/>
      <c r="C136" s="348">
        <v>15</v>
      </c>
      <c r="D136" s="348" t="s">
        <v>125</v>
      </c>
      <c r="E136" s="349">
        <f>VLOOKUP(D136,'07產線配置圖'!$A$2:$C$25,2,0)</f>
        <v>18</v>
      </c>
      <c r="F136" s="349">
        <f>VLOOKUP(D136,'07產線配置圖'!$A$2:$C$25,3,0)</f>
        <v>1636</v>
      </c>
      <c r="G136" s="342">
        <f t="shared" ref="G136:G138" si="152">F136/E136</f>
        <v>90.888888888888886</v>
      </c>
      <c r="H136" s="480"/>
      <c r="I136" s="349" t="e">
        <f t="shared" si="149"/>
        <v>#DIV/0!</v>
      </c>
      <c r="J136" s="349" t="e">
        <f t="shared" si="150"/>
        <v>#DIV/0!</v>
      </c>
      <c r="K136" s="342" t="e">
        <f t="shared" si="151"/>
        <v>#DIV/0!</v>
      </c>
      <c r="L136" s="480"/>
      <c r="M136" s="370" t="e">
        <f t="shared" si="130"/>
        <v>#DIV/0!</v>
      </c>
      <c r="N136" s="490"/>
      <c r="O136" s="490"/>
      <c r="P136" s="348"/>
      <c r="Q136" s="348"/>
      <c r="R136" s="340" t="e">
        <f t="shared" si="131"/>
        <v>#DIV/0!</v>
      </c>
      <c r="S136" s="348" t="e">
        <f t="shared" si="132"/>
        <v>#DIV/0!</v>
      </c>
      <c r="T136" s="505"/>
      <c r="U136" s="348"/>
      <c r="V136" s="348"/>
      <c r="W136" s="342" t="e">
        <f t="shared" si="147"/>
        <v>#DIV/0!</v>
      </c>
      <c r="X136" s="348" t="e">
        <f t="shared" si="134"/>
        <v>#DIV/0!</v>
      </c>
      <c r="Y136" s="505"/>
      <c r="Z136" s="348"/>
      <c r="AA136" s="348"/>
      <c r="AB136" s="342" t="e">
        <f t="shared" si="148"/>
        <v>#DIV/0!</v>
      </c>
      <c r="AC136" s="348" t="e">
        <f t="shared" si="136"/>
        <v>#DIV/0!</v>
      </c>
      <c r="AD136" s="505"/>
      <c r="AE136" s="348"/>
      <c r="AF136" s="348"/>
      <c r="AG136" s="342" t="e">
        <f t="shared" ref="AG136:AG137" si="153">AF136/AE136</f>
        <v>#DIV/0!</v>
      </c>
      <c r="AH136" s="348" t="e">
        <f t="shared" si="138"/>
        <v>#DIV/0!</v>
      </c>
      <c r="AI136" s="505"/>
      <c r="AJ136" s="348"/>
      <c r="AK136" s="348"/>
      <c r="AL136" s="342" t="e">
        <f t="shared" si="145"/>
        <v>#DIV/0!</v>
      </c>
      <c r="AM136" s="348" t="e">
        <f t="shared" si="123"/>
        <v>#DIV/0!</v>
      </c>
      <c r="AN136" s="505"/>
      <c r="AO136" s="348"/>
      <c r="AP136" s="348"/>
      <c r="AQ136" s="342" t="e">
        <f t="shared" si="146"/>
        <v>#DIV/0!</v>
      </c>
      <c r="AR136" s="348" t="e">
        <f t="shared" si="124"/>
        <v>#DIV/0!</v>
      </c>
      <c r="AS136" s="505"/>
      <c r="AT136" s="348"/>
      <c r="AU136" s="348"/>
      <c r="AV136" s="342" t="e">
        <f>AU136/AT136</f>
        <v>#DIV/0!</v>
      </c>
      <c r="AW136" s="348" t="e">
        <f t="shared" si="125"/>
        <v>#DIV/0!</v>
      </c>
      <c r="AX136" s="505"/>
    </row>
    <row r="137" spans="2:50" x14ac:dyDescent="0.2">
      <c r="B137" s="486"/>
      <c r="C137" s="348">
        <v>16</v>
      </c>
      <c r="D137" s="348" t="s">
        <v>123</v>
      </c>
      <c r="E137" s="349">
        <f>VLOOKUP(D137,'07產線配置圖'!$A$2:$C$25,2,0)</f>
        <v>18</v>
      </c>
      <c r="F137" s="349">
        <f>VLOOKUP(D137,'07產線配置圖'!$A$2:$C$25,3,0)</f>
        <v>1565</v>
      </c>
      <c r="G137" s="342">
        <f t="shared" si="152"/>
        <v>86.944444444444443</v>
      </c>
      <c r="H137" s="480"/>
      <c r="I137" s="349" t="e">
        <f t="shared" si="149"/>
        <v>#DIV/0!</v>
      </c>
      <c r="J137" s="349" t="e">
        <f t="shared" si="150"/>
        <v>#DIV/0!</v>
      </c>
      <c r="K137" s="342" t="e">
        <f t="shared" si="151"/>
        <v>#DIV/0!</v>
      </c>
      <c r="L137" s="480"/>
      <c r="M137" s="370" t="e">
        <f t="shared" si="130"/>
        <v>#DIV/0!</v>
      </c>
      <c r="N137" s="490"/>
      <c r="O137" s="490"/>
      <c r="P137" s="348"/>
      <c r="Q137" s="348"/>
      <c r="R137" s="340" t="e">
        <f t="shared" si="131"/>
        <v>#DIV/0!</v>
      </c>
      <c r="S137" s="348" t="e">
        <f t="shared" si="132"/>
        <v>#DIV/0!</v>
      </c>
      <c r="T137" s="505"/>
      <c r="U137" s="348"/>
      <c r="V137" s="348"/>
      <c r="W137" s="342" t="e">
        <f t="shared" si="147"/>
        <v>#DIV/0!</v>
      </c>
      <c r="X137" s="348" t="e">
        <f t="shared" si="134"/>
        <v>#DIV/0!</v>
      </c>
      <c r="Y137" s="505"/>
      <c r="Z137" s="348"/>
      <c r="AA137" s="348"/>
      <c r="AB137" s="342" t="e">
        <f t="shared" si="148"/>
        <v>#DIV/0!</v>
      </c>
      <c r="AC137" s="348" t="e">
        <f t="shared" si="136"/>
        <v>#DIV/0!</v>
      </c>
      <c r="AD137" s="505"/>
      <c r="AE137" s="348"/>
      <c r="AF137" s="348"/>
      <c r="AG137" s="342" t="e">
        <f t="shared" si="153"/>
        <v>#DIV/0!</v>
      </c>
      <c r="AH137" s="348" t="e">
        <f t="shared" si="138"/>
        <v>#DIV/0!</v>
      </c>
      <c r="AI137" s="505"/>
      <c r="AJ137" s="348"/>
      <c r="AK137" s="348"/>
      <c r="AL137" s="342" t="e">
        <f t="shared" si="145"/>
        <v>#DIV/0!</v>
      </c>
      <c r="AM137" s="348" t="e">
        <f t="shared" si="123"/>
        <v>#DIV/0!</v>
      </c>
      <c r="AN137" s="505"/>
      <c r="AO137" s="348"/>
      <c r="AP137" s="348"/>
      <c r="AQ137" s="342" t="e">
        <f t="shared" si="146"/>
        <v>#DIV/0!</v>
      </c>
      <c r="AR137" s="348" t="e">
        <f t="shared" si="124"/>
        <v>#DIV/0!</v>
      </c>
      <c r="AS137" s="505"/>
      <c r="AT137" s="348"/>
      <c r="AU137" s="348"/>
      <c r="AV137" s="342" t="e">
        <f>AU137/AT137</f>
        <v>#DIV/0!</v>
      </c>
      <c r="AW137" s="348" t="e">
        <f t="shared" si="125"/>
        <v>#DIV/0!</v>
      </c>
      <c r="AX137" s="505"/>
    </row>
    <row r="138" spans="2:50" ht="13.5" x14ac:dyDescent="0.2">
      <c r="B138" s="486"/>
      <c r="C138" s="348">
        <v>17</v>
      </c>
      <c r="D138" s="367" t="s">
        <v>170</v>
      </c>
      <c r="E138" s="349">
        <f>VLOOKUP(D138,'07產線配置圖'!$A$2:$C$25,2,0)</f>
        <v>17</v>
      </c>
      <c r="F138" s="349">
        <f>VLOOKUP(D138,'07產線配置圖'!$A$2:$C$25,3,0)</f>
        <v>1500</v>
      </c>
      <c r="G138" s="342">
        <f t="shared" si="152"/>
        <v>88.235294117647058</v>
      </c>
      <c r="H138" s="480"/>
      <c r="I138" s="349" t="e">
        <f t="shared" ref="I138:I139" si="154">AVERAGE(P138,U138,Z138,AE138,AJ138,AO138,AT138)</f>
        <v>#DIV/0!</v>
      </c>
      <c r="J138" s="349" t="e">
        <f t="shared" ref="J138:J139" si="155">AVERAGE(Q138,V138,AA138,AF138,AK138,AP138,AU138)</f>
        <v>#DIV/0!</v>
      </c>
      <c r="K138" s="342" t="e">
        <f t="shared" ref="K138:K139" si="156">AVERAGE(R138)</f>
        <v>#DIV/0!</v>
      </c>
      <c r="L138" s="480"/>
      <c r="M138" s="370" t="e">
        <f t="shared" si="130"/>
        <v>#DIV/0!</v>
      </c>
      <c r="N138" s="490"/>
      <c r="O138" s="490"/>
      <c r="P138" s="348"/>
      <c r="Q138" s="348"/>
      <c r="R138" s="340" t="e">
        <f t="shared" si="131"/>
        <v>#DIV/0!</v>
      </c>
      <c r="S138" s="348" t="e">
        <f t="shared" si="132"/>
        <v>#DIV/0!</v>
      </c>
      <c r="T138" s="505"/>
      <c r="U138" s="348"/>
      <c r="V138" s="348"/>
      <c r="W138" s="342"/>
      <c r="X138" s="348"/>
      <c r="Y138" s="505"/>
      <c r="Z138" s="348"/>
      <c r="AA138" s="348"/>
      <c r="AB138" s="348"/>
      <c r="AC138" s="348"/>
      <c r="AD138" s="505"/>
      <c r="AE138" s="348"/>
      <c r="AF138" s="348"/>
      <c r="AG138" s="342"/>
      <c r="AH138" s="348"/>
      <c r="AI138" s="505"/>
      <c r="AJ138" s="348"/>
      <c r="AK138" s="348"/>
      <c r="AL138" s="348"/>
      <c r="AM138" s="348"/>
      <c r="AN138" s="505"/>
      <c r="AO138" s="348"/>
      <c r="AP138" s="348"/>
      <c r="AQ138" s="348"/>
      <c r="AR138" s="348"/>
      <c r="AS138" s="505"/>
      <c r="AT138" s="348"/>
      <c r="AU138" s="348"/>
      <c r="AV138" s="348"/>
      <c r="AW138" s="348"/>
      <c r="AX138" s="505"/>
    </row>
    <row r="139" spans="2:50" x14ac:dyDescent="0.2">
      <c r="B139" s="486"/>
      <c r="C139" s="348">
        <v>18</v>
      </c>
      <c r="D139" s="348" t="s">
        <v>167</v>
      </c>
      <c r="E139" s="349">
        <f>VLOOKUP(D139,'07產線配置圖'!$A$2:$C$25,2,0)</f>
        <v>16</v>
      </c>
      <c r="F139" s="349">
        <f>VLOOKUP(D139,'07產線配置圖'!$A$2:$C$25,3,0)</f>
        <v>1500</v>
      </c>
      <c r="G139" s="342">
        <f>F139/E139</f>
        <v>93.75</v>
      </c>
      <c r="H139" s="481"/>
      <c r="I139" s="348" t="e">
        <f t="shared" si="154"/>
        <v>#DIV/0!</v>
      </c>
      <c r="J139" s="348" t="e">
        <f t="shared" si="155"/>
        <v>#DIV/0!</v>
      </c>
      <c r="K139" s="342" t="e">
        <f t="shared" si="156"/>
        <v>#DIV/0!</v>
      </c>
      <c r="L139" s="481"/>
      <c r="M139" s="370" t="e">
        <f t="shared" si="130"/>
        <v>#DIV/0!</v>
      </c>
      <c r="N139" s="490"/>
      <c r="O139" s="490"/>
      <c r="P139" s="348"/>
      <c r="Q139" s="348"/>
      <c r="R139" s="340" t="e">
        <f t="shared" si="131"/>
        <v>#DIV/0!</v>
      </c>
      <c r="S139" s="348" t="e">
        <f t="shared" si="132"/>
        <v>#DIV/0!</v>
      </c>
      <c r="T139" s="505"/>
      <c r="U139" s="348"/>
      <c r="V139" s="348"/>
      <c r="W139" s="342"/>
      <c r="X139" s="348"/>
      <c r="Y139" s="505"/>
      <c r="Z139" s="348"/>
      <c r="AA139" s="348"/>
      <c r="AB139" s="348"/>
      <c r="AC139" s="348"/>
      <c r="AD139" s="505"/>
      <c r="AE139" s="348"/>
      <c r="AF139" s="348"/>
      <c r="AG139" s="342"/>
      <c r="AH139" s="348"/>
      <c r="AI139" s="505"/>
      <c r="AJ139" s="348"/>
      <c r="AK139" s="348"/>
      <c r="AL139" s="348"/>
      <c r="AM139" s="348"/>
      <c r="AN139" s="505"/>
      <c r="AO139" s="348"/>
      <c r="AP139" s="348"/>
      <c r="AQ139" s="348"/>
      <c r="AR139" s="348"/>
      <c r="AS139" s="505"/>
      <c r="AT139" s="348"/>
      <c r="AU139" s="348"/>
      <c r="AV139" s="348"/>
      <c r="AW139" s="348"/>
      <c r="AX139" s="505"/>
    </row>
  </sheetData>
  <mergeCells count="354">
    <mergeCell ref="N117:N118"/>
    <mergeCell ref="U118:Y118"/>
    <mergeCell ref="B117:H118"/>
    <mergeCell ref="B122:B139"/>
    <mergeCell ref="H122:H139"/>
    <mergeCell ref="L122:L139"/>
    <mergeCell ref="B119:B121"/>
    <mergeCell ref="C119:D121"/>
    <mergeCell ref="E119:G119"/>
    <mergeCell ref="H119:H121"/>
    <mergeCell ref="I119:K119"/>
    <mergeCell ref="E120:G120"/>
    <mergeCell ref="I120:K120"/>
    <mergeCell ref="N119:N139"/>
    <mergeCell ref="O119:O139"/>
    <mergeCell ref="L119:L121"/>
    <mergeCell ref="AI122:AI139"/>
    <mergeCell ref="M119:M121"/>
    <mergeCell ref="P119:S119"/>
    <mergeCell ref="T119:T121"/>
    <mergeCell ref="U119:X119"/>
    <mergeCell ref="U120:X120"/>
    <mergeCell ref="AI119:AI121"/>
    <mergeCell ref="AE120:AH120"/>
    <mergeCell ref="AE119:AH119"/>
    <mergeCell ref="Y119:Y121"/>
    <mergeCell ref="Z119:AC119"/>
    <mergeCell ref="Z120:AC120"/>
    <mergeCell ref="T122:T139"/>
    <mergeCell ref="Y122:Y139"/>
    <mergeCell ref="AD122:AD139"/>
    <mergeCell ref="AO96:AR96"/>
    <mergeCell ref="AX96:AX98"/>
    <mergeCell ref="AD119:AD121"/>
    <mergeCell ref="P120:S120"/>
    <mergeCell ref="AX122:AX139"/>
    <mergeCell ref="AT120:AW120"/>
    <mergeCell ref="AX119:AX121"/>
    <mergeCell ref="AT119:AW119"/>
    <mergeCell ref="AJ120:AM120"/>
    <mergeCell ref="AO119:AR119"/>
    <mergeCell ref="AS122:AS139"/>
    <mergeCell ref="AS119:AS121"/>
    <mergeCell ref="AN122:AN139"/>
    <mergeCell ref="AO120:AR120"/>
    <mergeCell ref="AJ119:AM119"/>
    <mergeCell ref="AN119:AN121"/>
    <mergeCell ref="Z118:AD118"/>
    <mergeCell ref="AO28:AR28"/>
    <mergeCell ref="AT27:AW27"/>
    <mergeCell ref="AN30:AN47"/>
    <mergeCell ref="AT26:AX26"/>
    <mergeCell ref="AO72:AS72"/>
    <mergeCell ref="AX53:AX70"/>
    <mergeCell ref="AT72:AX72"/>
    <mergeCell ref="AO71:AS71"/>
    <mergeCell ref="AJ118:AN118"/>
    <mergeCell ref="AS96:AS98"/>
    <mergeCell ref="AT96:AW96"/>
    <mergeCell ref="AT97:AW97"/>
    <mergeCell ref="AJ97:AM97"/>
    <mergeCell ref="AN96:AN98"/>
    <mergeCell ref="AN99:AN116"/>
    <mergeCell ref="AT118:AX118"/>
    <mergeCell ref="AT117:AX117"/>
    <mergeCell ref="AO117:AS117"/>
    <mergeCell ref="AS99:AS116"/>
    <mergeCell ref="AJ117:AN117"/>
    <mergeCell ref="AO118:AS118"/>
    <mergeCell ref="AX99:AX116"/>
    <mergeCell ref="AJ96:AM96"/>
    <mergeCell ref="AO97:AR97"/>
    <mergeCell ref="AX73:AX75"/>
    <mergeCell ref="AN73:AN75"/>
    <mergeCell ref="AN76:AN93"/>
    <mergeCell ref="AO74:AR74"/>
    <mergeCell ref="AS73:AS75"/>
    <mergeCell ref="AO73:AR73"/>
    <mergeCell ref="AX30:AX47"/>
    <mergeCell ref="AS53:AS70"/>
    <mergeCell ref="AO51:AR51"/>
    <mergeCell ref="AO50:AR50"/>
    <mergeCell ref="AT51:AW51"/>
    <mergeCell ref="AO48:AS48"/>
    <mergeCell ref="AT49:AX49"/>
    <mergeCell ref="AO49:AS49"/>
    <mergeCell ref="AS30:AS47"/>
    <mergeCell ref="AT71:AX71"/>
    <mergeCell ref="AN53:AN70"/>
    <mergeCell ref="AS50:AS52"/>
    <mergeCell ref="AT48:AX48"/>
    <mergeCell ref="AX50:AX52"/>
    <mergeCell ref="AT50:AW50"/>
    <mergeCell ref="AT95:AX95"/>
    <mergeCell ref="AJ94:AN94"/>
    <mergeCell ref="AO95:AS95"/>
    <mergeCell ref="Z26:AD26"/>
    <mergeCell ref="AO27:AR27"/>
    <mergeCell ref="AN27:AN29"/>
    <mergeCell ref="AS27:AS29"/>
    <mergeCell ref="AD30:AD47"/>
    <mergeCell ref="AI30:AI47"/>
    <mergeCell ref="AJ72:AN72"/>
    <mergeCell ref="AJ50:AM50"/>
    <mergeCell ref="AJ49:AN49"/>
    <mergeCell ref="AJ48:AN48"/>
    <mergeCell ref="AN50:AN52"/>
    <mergeCell ref="AX76:AX93"/>
    <mergeCell ref="AJ74:AM74"/>
    <mergeCell ref="AT94:AX94"/>
    <mergeCell ref="AO94:AS94"/>
    <mergeCell ref="AS76:AS93"/>
    <mergeCell ref="AJ71:AN71"/>
    <mergeCell ref="AJ51:AM51"/>
    <mergeCell ref="AJ73:AM73"/>
    <mergeCell ref="AT74:AW74"/>
    <mergeCell ref="AT73:AW73"/>
    <mergeCell ref="Z28:AC28"/>
    <mergeCell ref="U49:Y49"/>
    <mergeCell ref="AD53:AD70"/>
    <mergeCell ref="Z51:AC51"/>
    <mergeCell ref="Z3:AD3"/>
    <mergeCell ref="Z4:AC4"/>
    <mergeCell ref="Z5:AC5"/>
    <mergeCell ref="Z49:AD49"/>
    <mergeCell ref="Z48:AD48"/>
    <mergeCell ref="Z50:AC50"/>
    <mergeCell ref="Y53:Y70"/>
    <mergeCell ref="U51:X51"/>
    <mergeCell ref="AD50:AD52"/>
    <mergeCell ref="Y50:Y52"/>
    <mergeCell ref="AD4:AD6"/>
    <mergeCell ref="Z25:AD25"/>
    <mergeCell ref="AD27:AD29"/>
    <mergeCell ref="Z27:AC27"/>
    <mergeCell ref="AJ3:AN3"/>
    <mergeCell ref="AE3:AI3"/>
    <mergeCell ref="AD7:AD24"/>
    <mergeCell ref="AE2:AI2"/>
    <mergeCell ref="AS4:AS6"/>
    <mergeCell ref="AO4:AR4"/>
    <mergeCell ref="AN7:AN24"/>
    <mergeCell ref="AJ2:AN2"/>
    <mergeCell ref="AT2:AX2"/>
    <mergeCell ref="AO3:AS3"/>
    <mergeCell ref="AT3:AX3"/>
    <mergeCell ref="AO2:AS2"/>
    <mergeCell ref="Z2:AD2"/>
    <mergeCell ref="AO5:AR5"/>
    <mergeCell ref="AJ5:AM5"/>
    <mergeCell ref="AI7:AI24"/>
    <mergeCell ref="AS7:AS24"/>
    <mergeCell ref="AN4:AN6"/>
    <mergeCell ref="AJ4:AM4"/>
    <mergeCell ref="AI4:AI6"/>
    <mergeCell ref="AE4:AH4"/>
    <mergeCell ref="AE5:AH5"/>
    <mergeCell ref="AI53:AI70"/>
    <mergeCell ref="AI50:AI52"/>
    <mergeCell ref="AE48:AI48"/>
    <mergeCell ref="AE50:AH50"/>
    <mergeCell ref="AE49:AI49"/>
    <mergeCell ref="AX4:AX6"/>
    <mergeCell ref="AT5:AW5"/>
    <mergeCell ref="AT4:AW4"/>
    <mergeCell ref="AX7:AX24"/>
    <mergeCell ref="AJ28:AM28"/>
    <mergeCell ref="AE51:AH51"/>
    <mergeCell ref="AO25:AS25"/>
    <mergeCell ref="AE26:AI26"/>
    <mergeCell ref="AI27:AI29"/>
    <mergeCell ref="AE25:AI25"/>
    <mergeCell ref="AE28:AH28"/>
    <mergeCell ref="AO26:AS26"/>
    <mergeCell ref="AJ26:AN26"/>
    <mergeCell ref="AJ25:AN25"/>
    <mergeCell ref="AE27:AH27"/>
    <mergeCell ref="AJ27:AM27"/>
    <mergeCell ref="AT25:AX25"/>
    <mergeCell ref="AT28:AW28"/>
    <mergeCell ref="AX27:AX29"/>
    <mergeCell ref="AJ95:AN95"/>
    <mergeCell ref="AE118:AI118"/>
    <mergeCell ref="O73:O93"/>
    <mergeCell ref="Z95:AD95"/>
    <mergeCell ref="Z96:AC96"/>
    <mergeCell ref="Z94:AD94"/>
    <mergeCell ref="AD76:AD93"/>
    <mergeCell ref="AD96:AD98"/>
    <mergeCell ref="Z97:AC97"/>
    <mergeCell ref="O117:O118"/>
    <mergeCell ref="P118:T118"/>
    <mergeCell ref="P117:T117"/>
    <mergeCell ref="O96:O116"/>
    <mergeCell ref="AI73:AI75"/>
    <mergeCell ref="AE73:AH73"/>
    <mergeCell ref="AE74:AH74"/>
    <mergeCell ref="AI76:AI93"/>
    <mergeCell ref="AE117:AI117"/>
    <mergeCell ref="Y99:Y116"/>
    <mergeCell ref="AE94:AI94"/>
    <mergeCell ref="P97:S97"/>
    <mergeCell ref="U94:Y94"/>
    <mergeCell ref="Z117:AD117"/>
    <mergeCell ref="U117:Y117"/>
    <mergeCell ref="U95:Y95"/>
    <mergeCell ref="U97:X97"/>
    <mergeCell ref="Y96:Y98"/>
    <mergeCell ref="P95:T95"/>
    <mergeCell ref="T99:T116"/>
    <mergeCell ref="AI96:AI98"/>
    <mergeCell ref="AE97:AH97"/>
    <mergeCell ref="U96:X96"/>
    <mergeCell ref="U74:X74"/>
    <mergeCell ref="Y76:Y93"/>
    <mergeCell ref="U71:Y71"/>
    <mergeCell ref="Z71:AD71"/>
    <mergeCell ref="P96:S96"/>
    <mergeCell ref="T96:T98"/>
    <mergeCell ref="AD99:AD116"/>
    <mergeCell ref="AI99:AI116"/>
    <mergeCell ref="AE95:AI95"/>
    <mergeCell ref="AE96:AH96"/>
    <mergeCell ref="Z74:AC74"/>
    <mergeCell ref="AE72:AI72"/>
    <mergeCell ref="AE71:AI71"/>
    <mergeCell ref="L73:L75"/>
    <mergeCell ref="H73:H75"/>
    <mergeCell ref="N73:N93"/>
    <mergeCell ref="P72:T72"/>
    <mergeCell ref="E74:G74"/>
    <mergeCell ref="B71:H72"/>
    <mergeCell ref="Z73:AC73"/>
    <mergeCell ref="U72:Y72"/>
    <mergeCell ref="P74:S74"/>
    <mergeCell ref="P73:S73"/>
    <mergeCell ref="E73:G73"/>
    <mergeCell ref="Z72:AD72"/>
    <mergeCell ref="AD73:AD75"/>
    <mergeCell ref="B76:B93"/>
    <mergeCell ref="I74:K74"/>
    <mergeCell ref="H76:H93"/>
    <mergeCell ref="O71:O72"/>
    <mergeCell ref="P71:T71"/>
    <mergeCell ref="C73:D75"/>
    <mergeCell ref="I73:K73"/>
    <mergeCell ref="T76:T93"/>
    <mergeCell ref="Y73:Y75"/>
    <mergeCell ref="U73:X73"/>
    <mergeCell ref="T73:T75"/>
    <mergeCell ref="U50:X50"/>
    <mergeCell ref="O25:O26"/>
    <mergeCell ref="P25:T25"/>
    <mergeCell ref="U48:Y48"/>
    <mergeCell ref="Y30:Y47"/>
    <mergeCell ref="P50:S50"/>
    <mergeCell ref="N50:N70"/>
    <mergeCell ref="E51:G51"/>
    <mergeCell ref="I51:K51"/>
    <mergeCell ref="M50:M52"/>
    <mergeCell ref="E50:G50"/>
    <mergeCell ref="H53:H70"/>
    <mergeCell ref="L50:L52"/>
    <mergeCell ref="H50:H52"/>
    <mergeCell ref="L53:L70"/>
    <mergeCell ref="I50:K50"/>
    <mergeCell ref="L27:L29"/>
    <mergeCell ref="I28:K28"/>
    <mergeCell ref="E28:G28"/>
    <mergeCell ref="H27:H29"/>
    <mergeCell ref="M27:M29"/>
    <mergeCell ref="L30:L47"/>
    <mergeCell ref="B48:H49"/>
    <mergeCell ref="B30:B47"/>
    <mergeCell ref="B99:B116"/>
    <mergeCell ref="L96:L98"/>
    <mergeCell ref="E96:G96"/>
    <mergeCell ref="H99:H116"/>
    <mergeCell ref="B96:B98"/>
    <mergeCell ref="L99:L116"/>
    <mergeCell ref="T7:T24"/>
    <mergeCell ref="N48:N49"/>
    <mergeCell ref="P51:S51"/>
    <mergeCell ref="O27:O47"/>
    <mergeCell ref="O48:O49"/>
    <mergeCell ref="P48:T48"/>
    <mergeCell ref="P49:T49"/>
    <mergeCell ref="T30:T47"/>
    <mergeCell ref="T27:T29"/>
    <mergeCell ref="O50:O70"/>
    <mergeCell ref="T53:T70"/>
    <mergeCell ref="T50:T52"/>
    <mergeCell ref="N25:N26"/>
    <mergeCell ref="O4:O24"/>
    <mergeCell ref="P94:T94"/>
    <mergeCell ref="P28:S28"/>
    <mergeCell ref="N27:N47"/>
    <mergeCell ref="O94:O95"/>
    <mergeCell ref="B50:B52"/>
    <mergeCell ref="I97:K97"/>
    <mergeCell ref="N4:N24"/>
    <mergeCell ref="L7:L24"/>
    <mergeCell ref="H4:H6"/>
    <mergeCell ref="I4:K4"/>
    <mergeCell ref="L4:L6"/>
    <mergeCell ref="H7:H24"/>
    <mergeCell ref="C4:D6"/>
    <mergeCell ref="E4:G4"/>
    <mergeCell ref="C96:D98"/>
    <mergeCell ref="H96:H98"/>
    <mergeCell ref="I96:K96"/>
    <mergeCell ref="E97:G97"/>
    <mergeCell ref="E27:G27"/>
    <mergeCell ref="B25:H26"/>
    <mergeCell ref="N94:N95"/>
    <mergeCell ref="B94:H95"/>
    <mergeCell ref="L76:L93"/>
    <mergeCell ref="N71:N72"/>
    <mergeCell ref="M73:M75"/>
    <mergeCell ref="C50:D52"/>
    <mergeCell ref="B53:B70"/>
    <mergeCell ref="B73:B75"/>
    <mergeCell ref="N96:N116"/>
    <mergeCell ref="M96:M98"/>
    <mergeCell ref="P3:T3"/>
    <mergeCell ref="P2:T2"/>
    <mergeCell ref="T4:T6"/>
    <mergeCell ref="P4:S4"/>
    <mergeCell ref="O2:O3"/>
    <mergeCell ref="N2:N3"/>
    <mergeCell ref="M4:M6"/>
    <mergeCell ref="H30:H47"/>
    <mergeCell ref="U28:X28"/>
    <mergeCell ref="P26:T26"/>
    <mergeCell ref="P27:S27"/>
    <mergeCell ref="U3:Y3"/>
    <mergeCell ref="Y7:Y24"/>
    <mergeCell ref="U25:Y25"/>
    <mergeCell ref="U4:X4"/>
    <mergeCell ref="U5:X5"/>
    <mergeCell ref="U26:Y26"/>
    <mergeCell ref="Y4:Y6"/>
    <mergeCell ref="U27:X27"/>
    <mergeCell ref="Y27:Y29"/>
    <mergeCell ref="P5:S5"/>
    <mergeCell ref="B2:H3"/>
    <mergeCell ref="B4:B6"/>
    <mergeCell ref="B27:B29"/>
    <mergeCell ref="C27:D29"/>
    <mergeCell ref="I27:K27"/>
    <mergeCell ref="B7:B24"/>
    <mergeCell ref="E5:G5"/>
    <mergeCell ref="I5:K5"/>
    <mergeCell ref="U2:Y2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'07產線配置圖'!$A$3:$A$25</xm:f>
          </x14:formula1>
          <xm:sqref>D7:D24 D122:D139 D76:D93 D99:D116 D30:D47 D53:D70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8" ySplit="6" topLeftCell="I40" activePane="bottomRight" state="frozen"/>
      <selection pane="topRight" activeCell="I1" sqref="I1"/>
      <selection pane="bottomLeft" activeCell="A7" sqref="A7"/>
      <selection pane="bottomRight" activeCell="I47" sqref="I47:K50"/>
    </sheetView>
  </sheetViews>
  <sheetFormatPr defaultColWidth="8.85546875" defaultRowHeight="12.75" x14ac:dyDescent="0.2"/>
  <cols>
    <col min="1" max="1" width="5.5703125" style="196" customWidth="1"/>
    <col min="2" max="2" width="12.42578125" style="196" customWidth="1"/>
    <col min="3" max="3" width="8.85546875" style="195" customWidth="1"/>
    <col min="4" max="4" width="31.42578125" style="195" customWidth="1"/>
    <col min="5" max="7" width="8.42578125" style="195" customWidth="1"/>
    <col min="8" max="8" width="11.140625" style="195" bestFit="1" customWidth="1"/>
    <col min="9" max="12" width="11.140625" style="195" customWidth="1"/>
    <col min="13" max="13" width="13.5703125" style="195" customWidth="1"/>
    <col min="14" max="14" width="9.85546875" style="195" customWidth="1"/>
    <col min="15" max="15" width="7.140625" style="195" customWidth="1"/>
    <col min="16" max="18" width="12.85546875" style="195" customWidth="1"/>
    <col min="19" max="19" width="7.7109375" style="195" bestFit="1" customWidth="1"/>
    <col min="20" max="20" width="12.85546875" style="195" customWidth="1"/>
    <col min="21" max="23" width="12.85546875" style="196" customWidth="1"/>
    <col min="24" max="24" width="5.42578125" style="195" customWidth="1"/>
    <col min="25" max="28" width="12.85546875" style="196" customWidth="1"/>
    <col min="29" max="29" width="5.42578125" style="195" customWidth="1"/>
    <col min="30" max="30" width="12.85546875" style="196" customWidth="1"/>
    <col min="31" max="33" width="12.5703125" style="196" customWidth="1"/>
    <col min="34" max="34" width="5.42578125" style="195" customWidth="1"/>
    <col min="35" max="35" width="13" style="196" customWidth="1"/>
    <col min="36" max="38" width="12.5703125" style="196" customWidth="1"/>
    <col min="39" max="39" width="5.42578125" style="195" customWidth="1"/>
    <col min="40" max="40" width="13" style="196" customWidth="1"/>
    <col min="41" max="43" width="13.140625" style="196" customWidth="1"/>
    <col min="44" max="44" width="5.42578125" style="196" customWidth="1"/>
    <col min="45" max="48" width="13.140625" style="196" customWidth="1"/>
    <col min="49" max="49" width="5.42578125" style="196" customWidth="1"/>
    <col min="50" max="50" width="13.140625" style="196" customWidth="1"/>
    <col min="51" max="89" width="8.85546875" style="196" customWidth="1"/>
    <col min="90" max="16384" width="8.85546875" style="196"/>
  </cols>
  <sheetData>
    <row r="1" spans="1:50" ht="24" x14ac:dyDescent="0.2">
      <c r="A1" s="192"/>
      <c r="B1" s="193" t="s">
        <v>84</v>
      </c>
      <c r="C1" s="194">
        <f>AVERAGE(L7,L27,L47,L67,L87,L107)</f>
        <v>127.68457926955097</v>
      </c>
    </row>
    <row r="2" spans="1:50" ht="15.75" x14ac:dyDescent="0.2">
      <c r="A2" s="197"/>
      <c r="B2" s="511" t="s">
        <v>85</v>
      </c>
      <c r="C2" s="512"/>
      <c r="D2" s="512"/>
      <c r="E2" s="512"/>
      <c r="F2" s="512"/>
      <c r="G2" s="512"/>
      <c r="H2" s="512"/>
      <c r="I2" s="198"/>
      <c r="J2" s="198"/>
      <c r="K2" s="198"/>
      <c r="L2" s="198"/>
      <c r="M2" s="199"/>
      <c r="N2" s="514" t="s">
        <v>86</v>
      </c>
      <c r="O2" s="514" t="s">
        <v>45</v>
      </c>
      <c r="P2" s="524">
        <v>46203</v>
      </c>
      <c r="Q2" s="517"/>
      <c r="R2" s="517"/>
      <c r="S2" s="517"/>
      <c r="T2" s="517"/>
      <c r="U2" s="524">
        <f>P2+1</f>
        <v>46204</v>
      </c>
      <c r="V2" s="517"/>
      <c r="W2" s="517"/>
      <c r="X2" s="517"/>
      <c r="Y2" s="517"/>
      <c r="Z2" s="524">
        <f>U2+1</f>
        <v>46205</v>
      </c>
      <c r="AA2" s="517"/>
      <c r="AB2" s="517"/>
      <c r="AC2" s="517"/>
      <c r="AD2" s="517"/>
      <c r="AE2" s="524">
        <f>Z2+1</f>
        <v>46206</v>
      </c>
      <c r="AF2" s="517"/>
      <c r="AG2" s="517"/>
      <c r="AH2" s="517"/>
      <c r="AI2" s="517"/>
      <c r="AJ2" s="524">
        <f>AE2+1</f>
        <v>46207</v>
      </c>
      <c r="AK2" s="517"/>
      <c r="AL2" s="517"/>
      <c r="AM2" s="517"/>
      <c r="AN2" s="517"/>
      <c r="AO2" s="524">
        <f>AJ2+1</f>
        <v>46208</v>
      </c>
      <c r="AP2" s="517"/>
      <c r="AQ2" s="517"/>
      <c r="AR2" s="517"/>
      <c r="AS2" s="517"/>
      <c r="AT2" s="524">
        <f>AO2+1</f>
        <v>46209</v>
      </c>
      <c r="AU2" s="517"/>
      <c r="AV2" s="517"/>
      <c r="AW2" s="517"/>
      <c r="AX2" s="517"/>
    </row>
    <row r="3" spans="1:50" ht="15.75" x14ac:dyDescent="0.2">
      <c r="A3" s="197"/>
      <c r="B3" s="513"/>
      <c r="C3" s="513"/>
      <c r="D3" s="513"/>
      <c r="E3" s="513"/>
      <c r="F3" s="513"/>
      <c r="G3" s="513"/>
      <c r="H3" s="513"/>
      <c r="I3" s="200"/>
      <c r="J3" s="200"/>
      <c r="K3" s="200"/>
      <c r="L3" s="200"/>
      <c r="M3" s="201"/>
      <c r="N3" s="515"/>
      <c r="O3" s="515"/>
      <c r="P3" s="524" t="s">
        <v>61</v>
      </c>
      <c r="Q3" s="517"/>
      <c r="R3" s="517"/>
      <c r="S3" s="517"/>
      <c r="T3" s="517"/>
      <c r="U3" s="524" t="s">
        <v>56</v>
      </c>
      <c r="V3" s="517"/>
      <c r="W3" s="517"/>
      <c r="X3" s="517"/>
      <c r="Y3" s="517"/>
      <c r="Z3" s="524" t="s">
        <v>57</v>
      </c>
      <c r="AA3" s="517"/>
      <c r="AB3" s="517"/>
      <c r="AC3" s="517"/>
      <c r="AD3" s="517"/>
      <c r="AE3" s="524" t="s">
        <v>58</v>
      </c>
      <c r="AF3" s="517"/>
      <c r="AG3" s="517"/>
      <c r="AH3" s="517"/>
      <c r="AI3" s="517"/>
      <c r="AJ3" s="524" t="s">
        <v>59</v>
      </c>
      <c r="AK3" s="517"/>
      <c r="AL3" s="517"/>
      <c r="AM3" s="517"/>
      <c r="AN3" s="517"/>
      <c r="AO3" s="524" t="s">
        <v>52</v>
      </c>
      <c r="AP3" s="517"/>
      <c r="AQ3" s="517"/>
      <c r="AR3" s="517"/>
      <c r="AS3" s="517"/>
      <c r="AT3" s="524" t="s">
        <v>60</v>
      </c>
      <c r="AU3" s="517"/>
      <c r="AV3" s="517"/>
      <c r="AW3" s="517"/>
      <c r="AX3" s="517"/>
    </row>
    <row r="4" spans="1:50" ht="14.25" x14ac:dyDescent="0.2">
      <c r="A4" s="197"/>
      <c r="B4" s="516" t="s">
        <v>41</v>
      </c>
      <c r="C4" s="516" t="s">
        <v>87</v>
      </c>
      <c r="D4" s="516"/>
      <c r="E4" s="516" t="s">
        <v>88</v>
      </c>
      <c r="F4" s="516"/>
      <c r="G4" s="516"/>
      <c r="H4" s="521" t="s">
        <v>89</v>
      </c>
      <c r="I4" s="516" t="s">
        <v>90</v>
      </c>
      <c r="J4" s="516"/>
      <c r="K4" s="516"/>
      <c r="L4" s="521" t="s">
        <v>89</v>
      </c>
      <c r="M4" s="514" t="s">
        <v>91</v>
      </c>
      <c r="N4" s="516"/>
      <c r="O4" s="516" t="s">
        <v>92</v>
      </c>
      <c r="P4" s="525" t="s">
        <v>93</v>
      </c>
      <c r="Q4" s="526"/>
      <c r="R4" s="526"/>
      <c r="S4" s="527"/>
      <c r="T4" s="516" t="s">
        <v>89</v>
      </c>
      <c r="U4" s="525" t="s">
        <v>93</v>
      </c>
      <c r="V4" s="526"/>
      <c r="W4" s="526"/>
      <c r="X4" s="527"/>
      <c r="Y4" s="516" t="s">
        <v>89</v>
      </c>
      <c r="Z4" s="525" t="s">
        <v>93</v>
      </c>
      <c r="AA4" s="526"/>
      <c r="AB4" s="526"/>
      <c r="AC4" s="527"/>
      <c r="AD4" s="516" t="s">
        <v>89</v>
      </c>
      <c r="AE4" s="525" t="s">
        <v>93</v>
      </c>
      <c r="AF4" s="526"/>
      <c r="AG4" s="526"/>
      <c r="AH4" s="527"/>
      <c r="AI4" s="516" t="s">
        <v>89</v>
      </c>
      <c r="AJ4" s="525" t="s">
        <v>93</v>
      </c>
      <c r="AK4" s="526"/>
      <c r="AL4" s="526"/>
      <c r="AM4" s="527"/>
      <c r="AN4" s="516" t="s">
        <v>89</v>
      </c>
      <c r="AO4" s="525" t="s">
        <v>93</v>
      </c>
      <c r="AP4" s="526"/>
      <c r="AQ4" s="526"/>
      <c r="AR4" s="527"/>
      <c r="AS4" s="516" t="s">
        <v>89</v>
      </c>
      <c r="AT4" s="525" t="s">
        <v>93</v>
      </c>
      <c r="AU4" s="526"/>
      <c r="AV4" s="526"/>
      <c r="AW4" s="527"/>
      <c r="AX4" s="516" t="s">
        <v>89</v>
      </c>
    </row>
    <row r="5" spans="1:50" ht="14.25" x14ac:dyDescent="0.2">
      <c r="A5" s="197"/>
      <c r="B5" s="516"/>
      <c r="C5" s="516"/>
      <c r="D5" s="516"/>
      <c r="E5" s="516" t="s">
        <v>94</v>
      </c>
      <c r="F5" s="516"/>
      <c r="G5" s="516"/>
      <c r="H5" s="522"/>
      <c r="I5" s="516" t="s">
        <v>94</v>
      </c>
      <c r="J5" s="516"/>
      <c r="K5" s="516"/>
      <c r="L5" s="522"/>
      <c r="M5" s="529"/>
      <c r="N5" s="516"/>
      <c r="O5" s="516"/>
      <c r="P5" s="525" t="s">
        <v>95</v>
      </c>
      <c r="Q5" s="526"/>
      <c r="R5" s="526"/>
      <c r="S5" s="527"/>
      <c r="T5" s="516"/>
      <c r="U5" s="525" t="s">
        <v>95</v>
      </c>
      <c r="V5" s="526"/>
      <c r="W5" s="526"/>
      <c r="X5" s="527"/>
      <c r="Y5" s="516"/>
      <c r="Z5" s="525" t="s">
        <v>95</v>
      </c>
      <c r="AA5" s="526"/>
      <c r="AB5" s="526"/>
      <c r="AC5" s="527"/>
      <c r="AD5" s="516"/>
      <c r="AE5" s="525" t="s">
        <v>95</v>
      </c>
      <c r="AF5" s="526"/>
      <c r="AG5" s="526"/>
      <c r="AH5" s="527"/>
      <c r="AI5" s="516"/>
      <c r="AJ5" s="525" t="s">
        <v>95</v>
      </c>
      <c r="AK5" s="526"/>
      <c r="AL5" s="526"/>
      <c r="AM5" s="527"/>
      <c r="AN5" s="516"/>
      <c r="AO5" s="525" t="s">
        <v>95</v>
      </c>
      <c r="AP5" s="526"/>
      <c r="AQ5" s="526"/>
      <c r="AR5" s="527"/>
      <c r="AS5" s="516"/>
      <c r="AT5" s="525" t="s">
        <v>95</v>
      </c>
      <c r="AU5" s="526"/>
      <c r="AV5" s="526"/>
      <c r="AW5" s="527"/>
      <c r="AX5" s="516"/>
    </row>
    <row r="6" spans="1:50" ht="14.25" x14ac:dyDescent="0.2">
      <c r="A6" s="202"/>
      <c r="B6" s="516"/>
      <c r="C6" s="516"/>
      <c r="D6" s="516"/>
      <c r="E6" s="203" t="s">
        <v>96</v>
      </c>
      <c r="F6" s="203" t="s">
        <v>97</v>
      </c>
      <c r="G6" s="203" t="s">
        <v>98</v>
      </c>
      <c r="H6" s="523"/>
      <c r="I6" s="203" t="s">
        <v>96</v>
      </c>
      <c r="J6" s="203" t="s">
        <v>97</v>
      </c>
      <c r="K6" s="203" t="s">
        <v>98</v>
      </c>
      <c r="L6" s="523"/>
      <c r="M6" s="515"/>
      <c r="N6" s="516"/>
      <c r="O6" s="516"/>
      <c r="P6" s="203" t="s">
        <v>96</v>
      </c>
      <c r="Q6" s="203" t="s">
        <v>97</v>
      </c>
      <c r="R6" s="203" t="s">
        <v>98</v>
      </c>
      <c r="S6" s="203" t="s">
        <v>91</v>
      </c>
      <c r="T6" s="516"/>
      <c r="U6" s="203" t="s">
        <v>96</v>
      </c>
      <c r="V6" s="203" t="s">
        <v>97</v>
      </c>
      <c r="W6" s="203" t="s">
        <v>98</v>
      </c>
      <c r="X6" s="203" t="s">
        <v>91</v>
      </c>
      <c r="Y6" s="516"/>
      <c r="Z6" s="203" t="s">
        <v>96</v>
      </c>
      <c r="AA6" s="203" t="s">
        <v>97</v>
      </c>
      <c r="AB6" s="203" t="s">
        <v>98</v>
      </c>
      <c r="AC6" s="203" t="s">
        <v>91</v>
      </c>
      <c r="AD6" s="516"/>
      <c r="AE6" s="203" t="s">
        <v>96</v>
      </c>
      <c r="AF6" s="203" t="s">
        <v>97</v>
      </c>
      <c r="AG6" s="203" t="s">
        <v>98</v>
      </c>
      <c r="AH6" s="203" t="s">
        <v>91</v>
      </c>
      <c r="AI6" s="516"/>
      <c r="AJ6" s="203" t="s">
        <v>96</v>
      </c>
      <c r="AK6" s="203" t="s">
        <v>97</v>
      </c>
      <c r="AL6" s="203" t="s">
        <v>98</v>
      </c>
      <c r="AM6" s="203" t="s">
        <v>91</v>
      </c>
      <c r="AN6" s="516"/>
      <c r="AO6" s="203" t="s">
        <v>96</v>
      </c>
      <c r="AP6" s="203" t="s">
        <v>97</v>
      </c>
      <c r="AQ6" s="203" t="s">
        <v>98</v>
      </c>
      <c r="AR6" s="203" t="s">
        <v>91</v>
      </c>
      <c r="AS6" s="516"/>
      <c r="AT6" s="203" t="s">
        <v>96</v>
      </c>
      <c r="AU6" s="203" t="s">
        <v>97</v>
      </c>
      <c r="AV6" s="203" t="s">
        <v>98</v>
      </c>
      <c r="AW6" s="203" t="s">
        <v>91</v>
      </c>
      <c r="AX6" s="516"/>
    </row>
    <row r="7" spans="1:50" ht="14.25" x14ac:dyDescent="0.2">
      <c r="A7" s="197"/>
      <c r="B7" s="516" t="s">
        <v>76</v>
      </c>
      <c r="C7" s="204">
        <v>1</v>
      </c>
      <c r="D7" s="208" t="s">
        <v>99</v>
      </c>
      <c r="E7" s="205">
        <f>VLOOKUP(D7,'07產線配置圖'!$A$26:$C$33,2,0)</f>
        <v>15</v>
      </c>
      <c r="F7" s="205">
        <f>VLOOKUP(D7,'07產線配置圖'!$A$26:$C$33,3,0)</f>
        <v>1636</v>
      </c>
      <c r="G7" s="206">
        <f t="shared" ref="G7:G9" si="0">F7/E7</f>
        <v>109.06666666666666</v>
      </c>
      <c r="H7" s="518">
        <f>AVERAGE(G7:G21)</f>
        <v>138.81212121212121</v>
      </c>
      <c r="I7" s="205">
        <f>AVERAGE(P7,U7,Z7,AE7,AJ7,AO7,AT7)</f>
        <v>14.714285714285714</v>
      </c>
      <c r="J7" s="205">
        <f>AVERAGE(Q7,V7,AA7,AF7,AK7,AP7,AU7)</f>
        <v>1518.1428571428571</v>
      </c>
      <c r="K7" s="206">
        <f>J7/I7</f>
        <v>103.1747572815534</v>
      </c>
      <c r="L7" s="518">
        <f>IFERROR(AVERAGE(K7:K21),"-")</f>
        <v>126.80810546480629</v>
      </c>
      <c r="M7" s="207">
        <f>RANK(K7,$K$7:$K$21)</f>
        <v>4</v>
      </c>
      <c r="N7" s="516"/>
      <c r="O7" s="516"/>
      <c r="P7" s="205">
        <v>15</v>
      </c>
      <c r="Q7" s="205">
        <v>1510</v>
      </c>
      <c r="R7" s="206">
        <f>Q7/P7</f>
        <v>100.66666666666667</v>
      </c>
      <c r="S7" s="204">
        <f>RANK(R7, R$7:R$21)</f>
        <v>4</v>
      </c>
      <c r="T7" s="528">
        <f>AVERAGE(R7:R21)</f>
        <v>121.0473484848485</v>
      </c>
      <c r="U7" s="390">
        <v>14</v>
      </c>
      <c r="V7" s="205">
        <v>1487</v>
      </c>
      <c r="W7" s="206">
        <f>V7/U7</f>
        <v>106.21428571428571</v>
      </c>
      <c r="X7" s="204">
        <f>RANK(W7,$W$7:$W$21)</f>
        <v>4</v>
      </c>
      <c r="Y7" s="528">
        <f>AVERAGE(W7:W21)</f>
        <v>133.00811688311688</v>
      </c>
      <c r="Z7" s="205">
        <v>15</v>
      </c>
      <c r="AA7" s="205">
        <v>1589</v>
      </c>
      <c r="AB7" s="206">
        <f>AA7/Z7</f>
        <v>105.93333333333334</v>
      </c>
      <c r="AC7" s="204">
        <f>RANK(AB7,$AB$7:$AB$21)</f>
        <v>4</v>
      </c>
      <c r="AD7" s="528">
        <f>AVERAGE(AB7:AB21)</f>
        <v>126.94242424242425</v>
      </c>
      <c r="AE7" s="205">
        <v>15</v>
      </c>
      <c r="AF7" s="205">
        <v>1560</v>
      </c>
      <c r="AG7" s="206">
        <f>AF7/AE7</f>
        <v>104</v>
      </c>
      <c r="AH7" s="204">
        <f>RANK(AG7,$AG$7:$AG$21)</f>
        <v>4</v>
      </c>
      <c r="AI7" s="528">
        <f>AVERAGE(AG7:AG21)</f>
        <v>124.31818181818181</v>
      </c>
      <c r="AJ7" s="205">
        <v>15</v>
      </c>
      <c r="AK7" s="205">
        <v>1566</v>
      </c>
      <c r="AL7" s="342">
        <f>AK7/AJ7</f>
        <v>104.4</v>
      </c>
      <c r="AM7" s="204">
        <f>RANK(AL7,$AL$7:$AL$21)</f>
        <v>4</v>
      </c>
      <c r="AN7" s="528">
        <f>AVERAGE(AL7:AL21)</f>
        <v>127.26590909090909</v>
      </c>
      <c r="AO7" s="390">
        <v>14</v>
      </c>
      <c r="AP7" s="205">
        <v>1360</v>
      </c>
      <c r="AQ7" s="340">
        <f>AP7/AO7</f>
        <v>97.142857142857139</v>
      </c>
      <c r="AR7" s="204">
        <f>RANK(AQ7,$AQ$7:$AQ$21)</f>
        <v>4</v>
      </c>
      <c r="AS7" s="528">
        <f>AVERAGE(AQ7:AQ21)</f>
        <v>124.79935064935066</v>
      </c>
      <c r="AT7" s="205">
        <v>15</v>
      </c>
      <c r="AU7" s="205">
        <v>1555</v>
      </c>
      <c r="AV7" s="206">
        <f>AU7/AT7</f>
        <v>103.66666666666667</v>
      </c>
      <c r="AW7" s="204">
        <f>RANK(AV7,$AV$7:$AV$21)</f>
        <v>4</v>
      </c>
      <c r="AX7" s="528">
        <f>AVERAGE(AV7:AV21)</f>
        <v>130.68712121212121</v>
      </c>
    </row>
    <row r="8" spans="1:50" ht="15" customHeight="1" x14ac:dyDescent="0.2">
      <c r="A8" s="197"/>
      <c r="B8" s="517"/>
      <c r="C8" s="204">
        <v>2</v>
      </c>
      <c r="D8" s="208" t="s">
        <v>100</v>
      </c>
      <c r="E8" s="205">
        <f>VLOOKUP(D8,'07產線配置圖'!$A$26:$C$33,2,0)</f>
        <v>11</v>
      </c>
      <c r="F8" s="205">
        <f>VLOOKUP(D8,'07產線配置圖'!$A$26:$C$33,3,0)</f>
        <v>1636</v>
      </c>
      <c r="G8" s="206">
        <f t="shared" si="0"/>
        <v>148.72727272727272</v>
      </c>
      <c r="H8" s="519"/>
      <c r="I8" s="205">
        <f t="shared" ref="I8:I10" si="1">AVERAGE(P8,U8,Z8,AE8,AJ8,AO8,AT8)</f>
        <v>11.142857142857142</v>
      </c>
      <c r="J8" s="205">
        <f t="shared" ref="J8:J10" si="2">AVERAGE(Q8,V8,AA8,AF8,AK8,AP8,AU8)</f>
        <v>1534.2857142857142</v>
      </c>
      <c r="K8" s="206">
        <f t="shared" ref="K8:K10" si="3">J8/I8</f>
        <v>137.69230769230768</v>
      </c>
      <c r="L8" s="519"/>
      <c r="M8" s="207">
        <f t="shared" ref="M8:M10" si="4">RANK(K8,$K$7:$K$21)</f>
        <v>1</v>
      </c>
      <c r="N8" s="516"/>
      <c r="O8" s="516"/>
      <c r="P8" s="205">
        <v>12</v>
      </c>
      <c r="Q8" s="205">
        <v>1491</v>
      </c>
      <c r="R8" s="206">
        <f t="shared" ref="R8:R10" si="5">Q8/P8</f>
        <v>124.25</v>
      </c>
      <c r="S8" s="204">
        <f t="shared" ref="S8:S10" si="6">RANK(R8, R$7:R$21)</f>
        <v>3</v>
      </c>
      <c r="T8" s="528"/>
      <c r="U8" s="390">
        <v>11</v>
      </c>
      <c r="V8" s="205">
        <v>1590</v>
      </c>
      <c r="W8" s="206">
        <f t="shared" ref="W8:W9" si="7">V8/U8</f>
        <v>144.54545454545453</v>
      </c>
      <c r="X8" s="204">
        <f t="shared" ref="X8:X9" si="8">RANK(W8,$W$7:$W$21)</f>
        <v>2</v>
      </c>
      <c r="Y8" s="528"/>
      <c r="Z8" s="390">
        <v>11</v>
      </c>
      <c r="AA8" s="205">
        <v>1567</v>
      </c>
      <c r="AB8" s="206">
        <f t="shared" ref="AB8:AB9" si="9">AA8/Z8</f>
        <v>142.45454545454547</v>
      </c>
      <c r="AC8" s="204">
        <f t="shared" ref="AC8:AC9" si="10">RANK(AB8,$AB$7:$AB$21)</f>
        <v>1</v>
      </c>
      <c r="AD8" s="528"/>
      <c r="AE8" s="390">
        <v>11</v>
      </c>
      <c r="AF8" s="205">
        <v>1580</v>
      </c>
      <c r="AG8" s="206">
        <f>AF8/AE8</f>
        <v>143.63636363636363</v>
      </c>
      <c r="AH8" s="204">
        <f>RANK(AG8,$AG$7:$AG$21)</f>
        <v>1</v>
      </c>
      <c r="AI8" s="528"/>
      <c r="AJ8" s="390">
        <v>11</v>
      </c>
      <c r="AK8" s="205">
        <v>1497</v>
      </c>
      <c r="AL8" s="342">
        <f t="shared" ref="AL8:AL10" si="11">AK8/AJ8</f>
        <v>136.09090909090909</v>
      </c>
      <c r="AM8" s="204">
        <f t="shared" ref="AM8:AM10" si="12">RANK(AL8,$AL$7:$AL$21)</f>
        <v>2</v>
      </c>
      <c r="AN8" s="528"/>
      <c r="AO8" s="390">
        <v>11</v>
      </c>
      <c r="AP8" s="205">
        <v>1490</v>
      </c>
      <c r="AQ8" s="206">
        <f t="shared" ref="AQ8:AQ10" si="13">AP8/AO8</f>
        <v>135.45454545454547</v>
      </c>
      <c r="AR8" s="204">
        <f t="shared" ref="AR8:AR10" si="14">RANK(AQ8,$AQ$7:$AQ$21)</f>
        <v>2</v>
      </c>
      <c r="AS8" s="528"/>
      <c r="AT8" s="205">
        <v>11</v>
      </c>
      <c r="AU8" s="205">
        <v>1525</v>
      </c>
      <c r="AV8" s="206">
        <f t="shared" ref="AV8:AV10" si="15">AU8/AT8</f>
        <v>138.63636363636363</v>
      </c>
      <c r="AW8" s="204">
        <f t="shared" ref="AW8:AW10" si="16">RANK(AV8,$AV$7:$AV$21)</f>
        <v>2</v>
      </c>
      <c r="AX8" s="528"/>
    </row>
    <row r="9" spans="1:50" ht="14.25" x14ac:dyDescent="0.2">
      <c r="A9" s="197"/>
      <c r="B9" s="517"/>
      <c r="C9" s="204">
        <v>3</v>
      </c>
      <c r="D9" s="208" t="s">
        <v>101</v>
      </c>
      <c r="E9" s="205">
        <f>VLOOKUP(D9,'07產線配置圖'!$A$26:$C$33,2,0)</f>
        <v>11</v>
      </c>
      <c r="F9" s="205">
        <f>VLOOKUP(D9,'07產線配置圖'!$A$26:$C$33,3,0)</f>
        <v>1636</v>
      </c>
      <c r="G9" s="206">
        <f t="shared" si="0"/>
        <v>148.72727272727272</v>
      </c>
      <c r="H9" s="519"/>
      <c r="I9" s="205">
        <f t="shared" si="1"/>
        <v>10.857142857142858</v>
      </c>
      <c r="J9" s="205">
        <f t="shared" si="2"/>
        <v>1463.2857142857142</v>
      </c>
      <c r="K9" s="206">
        <f t="shared" si="3"/>
        <v>134.77631578947367</v>
      </c>
      <c r="L9" s="519"/>
      <c r="M9" s="207">
        <f t="shared" si="4"/>
        <v>2</v>
      </c>
      <c r="N9" s="516"/>
      <c r="O9" s="516"/>
      <c r="P9" s="205">
        <v>11</v>
      </c>
      <c r="Q9" s="205">
        <v>1390</v>
      </c>
      <c r="R9" s="206">
        <f t="shared" si="5"/>
        <v>126.36363636363636</v>
      </c>
      <c r="S9" s="204">
        <f t="shared" si="6"/>
        <v>2</v>
      </c>
      <c r="T9" s="528"/>
      <c r="U9" s="205">
        <v>11</v>
      </c>
      <c r="V9" s="205">
        <v>1605</v>
      </c>
      <c r="W9" s="206">
        <f t="shared" si="7"/>
        <v>145.90909090909091</v>
      </c>
      <c r="X9" s="204">
        <f t="shared" si="8"/>
        <v>1</v>
      </c>
      <c r="Y9" s="528"/>
      <c r="Z9" s="205">
        <v>11</v>
      </c>
      <c r="AA9" s="205">
        <v>1377</v>
      </c>
      <c r="AB9" s="206">
        <f t="shared" si="9"/>
        <v>125.18181818181819</v>
      </c>
      <c r="AC9" s="204">
        <f t="shared" si="10"/>
        <v>3</v>
      </c>
      <c r="AD9" s="528"/>
      <c r="AE9" s="205">
        <v>11</v>
      </c>
      <c r="AF9" s="205">
        <v>1358</v>
      </c>
      <c r="AG9" s="206">
        <f t="shared" ref="AG9:AG10" si="17">AF9/AE9</f>
        <v>123.45454545454545</v>
      </c>
      <c r="AH9" s="204">
        <f t="shared" ref="AH9:AH10" si="18">RANK(AG9,$AG$7:$AG$21)</f>
        <v>3</v>
      </c>
      <c r="AI9" s="528"/>
      <c r="AJ9" s="205">
        <v>11</v>
      </c>
      <c r="AK9" s="205">
        <v>1532</v>
      </c>
      <c r="AL9" s="342">
        <f t="shared" si="11"/>
        <v>139.27272727272728</v>
      </c>
      <c r="AM9" s="204">
        <f t="shared" si="12"/>
        <v>1</v>
      </c>
      <c r="AN9" s="528"/>
      <c r="AO9" s="390">
        <v>10</v>
      </c>
      <c r="AP9" s="205">
        <v>1413</v>
      </c>
      <c r="AQ9" s="206">
        <f t="shared" si="13"/>
        <v>141.30000000000001</v>
      </c>
      <c r="AR9" s="204">
        <f t="shared" si="14"/>
        <v>1</v>
      </c>
      <c r="AS9" s="528"/>
      <c r="AT9" s="205">
        <v>11</v>
      </c>
      <c r="AU9" s="205">
        <v>1568</v>
      </c>
      <c r="AV9" s="206">
        <f t="shared" si="15"/>
        <v>142.54545454545453</v>
      </c>
      <c r="AW9" s="204">
        <f t="shared" si="16"/>
        <v>1</v>
      </c>
      <c r="AX9" s="528"/>
    </row>
    <row r="10" spans="1:50" ht="14.25" x14ac:dyDescent="0.2">
      <c r="A10" s="197"/>
      <c r="B10" s="517"/>
      <c r="C10" s="204">
        <v>4</v>
      </c>
      <c r="D10" s="208" t="s">
        <v>102</v>
      </c>
      <c r="E10" s="205">
        <f>VLOOKUP(D10,'07產線配置圖'!$A$26:$C$33,2,0)</f>
        <v>11</v>
      </c>
      <c r="F10" s="205">
        <f>VLOOKUP(D10,'07產線配置圖'!$A$26:$C$33,3,0)</f>
        <v>1636</v>
      </c>
      <c r="G10" s="206">
        <f>F10/E10</f>
        <v>148.72727272727272</v>
      </c>
      <c r="H10" s="519"/>
      <c r="I10" s="205">
        <f t="shared" si="1"/>
        <v>10.428571428571429</v>
      </c>
      <c r="J10" s="205">
        <f t="shared" si="2"/>
        <v>1372.2857142857142</v>
      </c>
      <c r="K10" s="206">
        <f t="shared" si="3"/>
        <v>131.58904109589039</v>
      </c>
      <c r="L10" s="519"/>
      <c r="M10" s="207">
        <f t="shared" si="4"/>
        <v>3</v>
      </c>
      <c r="N10" s="516"/>
      <c r="O10" s="516"/>
      <c r="P10" s="205">
        <v>11</v>
      </c>
      <c r="Q10" s="205">
        <v>1462</v>
      </c>
      <c r="R10" s="206">
        <f t="shared" si="5"/>
        <v>132.90909090909091</v>
      </c>
      <c r="S10" s="204">
        <f t="shared" si="6"/>
        <v>1</v>
      </c>
      <c r="T10" s="528"/>
      <c r="U10" s="205">
        <v>11</v>
      </c>
      <c r="V10" s="205">
        <v>1489</v>
      </c>
      <c r="W10" s="206">
        <f>V10/U10</f>
        <v>135.36363636363637</v>
      </c>
      <c r="X10" s="204">
        <f>RANK(W10,$W$7:$W$21)</f>
        <v>3</v>
      </c>
      <c r="Y10" s="528"/>
      <c r="Z10" s="390">
        <v>10</v>
      </c>
      <c r="AA10" s="205">
        <v>1342</v>
      </c>
      <c r="AB10" s="206">
        <f>AA10/Z10</f>
        <v>134.19999999999999</v>
      </c>
      <c r="AC10" s="204">
        <f>RANK(AB10,$AB$7:$AB$21)</f>
        <v>2</v>
      </c>
      <c r="AD10" s="528"/>
      <c r="AE10" s="205">
        <v>11</v>
      </c>
      <c r="AF10" s="205">
        <v>1388</v>
      </c>
      <c r="AG10" s="206">
        <f t="shared" si="17"/>
        <v>126.18181818181819</v>
      </c>
      <c r="AH10" s="204">
        <f t="shared" si="18"/>
        <v>2</v>
      </c>
      <c r="AI10" s="528"/>
      <c r="AJ10" s="390">
        <v>10</v>
      </c>
      <c r="AK10" s="205">
        <v>1293</v>
      </c>
      <c r="AL10" s="342">
        <f t="shared" si="11"/>
        <v>129.30000000000001</v>
      </c>
      <c r="AM10" s="204">
        <f t="shared" si="12"/>
        <v>3</v>
      </c>
      <c r="AN10" s="528"/>
      <c r="AO10" s="390">
        <v>10</v>
      </c>
      <c r="AP10" s="205">
        <v>1253</v>
      </c>
      <c r="AQ10" s="206">
        <f t="shared" si="13"/>
        <v>125.3</v>
      </c>
      <c r="AR10" s="204">
        <f t="shared" si="14"/>
        <v>3</v>
      </c>
      <c r="AS10" s="528"/>
      <c r="AT10" s="390">
        <v>10</v>
      </c>
      <c r="AU10" s="205">
        <v>1379</v>
      </c>
      <c r="AV10" s="206">
        <f t="shared" si="15"/>
        <v>137.9</v>
      </c>
      <c r="AW10" s="204">
        <f t="shared" si="16"/>
        <v>3</v>
      </c>
      <c r="AX10" s="528"/>
    </row>
    <row r="11" spans="1:50" ht="14.25" x14ac:dyDescent="0.2">
      <c r="A11" s="197"/>
      <c r="B11" s="517"/>
      <c r="C11" s="204">
        <v>5</v>
      </c>
      <c r="D11" s="208"/>
      <c r="E11" s="205"/>
      <c r="F11" s="205"/>
      <c r="G11" s="206"/>
      <c r="H11" s="519"/>
      <c r="I11" s="205"/>
      <c r="J11" s="205"/>
      <c r="K11" s="206"/>
      <c r="L11" s="519"/>
      <c r="M11" s="207"/>
      <c r="N11" s="516"/>
      <c r="O11" s="516"/>
      <c r="P11" s="393"/>
      <c r="Q11" s="393"/>
      <c r="R11" s="206"/>
      <c r="S11" s="204"/>
      <c r="T11" s="528"/>
      <c r="U11" s="205"/>
      <c r="V11" s="205"/>
      <c r="W11" s="206"/>
      <c r="X11" s="204"/>
      <c r="Y11" s="528"/>
      <c r="Z11" s="205"/>
      <c r="AA11" s="205"/>
      <c r="AB11" s="206"/>
      <c r="AC11" s="204"/>
      <c r="AD11" s="528"/>
      <c r="AE11" s="205"/>
      <c r="AF11" s="205"/>
      <c r="AG11" s="204"/>
      <c r="AH11" s="204"/>
      <c r="AI11" s="528"/>
      <c r="AJ11" s="205"/>
      <c r="AK11" s="205"/>
      <c r="AL11" s="204"/>
      <c r="AM11" s="204"/>
      <c r="AN11" s="528"/>
      <c r="AO11" s="205"/>
      <c r="AP11" s="205"/>
      <c r="AQ11" s="204"/>
      <c r="AR11" s="204"/>
      <c r="AS11" s="528"/>
      <c r="AT11" s="205"/>
      <c r="AU11" s="205"/>
      <c r="AV11" s="204"/>
      <c r="AW11" s="204"/>
      <c r="AX11" s="528"/>
    </row>
    <row r="12" spans="1:50" ht="14.25" x14ac:dyDescent="0.2">
      <c r="A12" s="197"/>
      <c r="B12" s="517"/>
      <c r="C12" s="204">
        <v>6</v>
      </c>
      <c r="D12" s="208"/>
      <c r="E12" s="205"/>
      <c r="F12" s="205"/>
      <c r="G12" s="206"/>
      <c r="H12" s="519"/>
      <c r="I12" s="205"/>
      <c r="J12" s="205"/>
      <c r="K12" s="206"/>
      <c r="L12" s="519"/>
      <c r="M12" s="207"/>
      <c r="N12" s="516"/>
      <c r="O12" s="516"/>
      <c r="P12" s="393"/>
      <c r="Q12" s="393"/>
      <c r="R12" s="206"/>
      <c r="S12" s="204"/>
      <c r="T12" s="528"/>
      <c r="U12" s="205"/>
      <c r="V12" s="205"/>
      <c r="W12" s="206"/>
      <c r="X12" s="204"/>
      <c r="Y12" s="528"/>
      <c r="Z12" s="205"/>
      <c r="AA12" s="205"/>
      <c r="AB12" s="206"/>
      <c r="AC12" s="204"/>
      <c r="AD12" s="528"/>
      <c r="AE12" s="205"/>
      <c r="AF12" s="205"/>
      <c r="AG12" s="204"/>
      <c r="AH12" s="204"/>
      <c r="AI12" s="528"/>
      <c r="AJ12" s="205"/>
      <c r="AK12" s="205"/>
      <c r="AL12" s="204"/>
      <c r="AM12" s="204"/>
      <c r="AN12" s="528"/>
      <c r="AO12" s="205"/>
      <c r="AP12" s="205"/>
      <c r="AQ12" s="204"/>
      <c r="AR12" s="204"/>
      <c r="AS12" s="528"/>
      <c r="AT12" s="205"/>
      <c r="AU12" s="205"/>
      <c r="AV12" s="204"/>
      <c r="AW12" s="204"/>
      <c r="AX12" s="528"/>
    </row>
    <row r="13" spans="1:50" ht="14.25" x14ac:dyDescent="0.2">
      <c r="A13" s="197"/>
      <c r="B13" s="517"/>
      <c r="C13" s="204">
        <v>7</v>
      </c>
      <c r="D13" s="208"/>
      <c r="E13" s="205"/>
      <c r="F13" s="205"/>
      <c r="G13" s="206"/>
      <c r="H13" s="519"/>
      <c r="I13" s="205"/>
      <c r="J13" s="205"/>
      <c r="K13" s="206"/>
      <c r="L13" s="519"/>
      <c r="M13" s="207"/>
      <c r="N13" s="516"/>
      <c r="O13" s="516"/>
      <c r="P13" s="393"/>
      <c r="Q13" s="393"/>
      <c r="R13" s="206"/>
      <c r="S13" s="204"/>
      <c r="T13" s="528"/>
      <c r="U13" s="205"/>
      <c r="V13" s="205"/>
      <c r="W13" s="206"/>
      <c r="X13" s="204"/>
      <c r="Y13" s="528"/>
      <c r="Z13" s="205"/>
      <c r="AA13" s="205"/>
      <c r="AB13" s="206"/>
      <c r="AC13" s="204"/>
      <c r="AD13" s="528"/>
      <c r="AE13" s="205"/>
      <c r="AF13" s="205"/>
      <c r="AG13" s="204"/>
      <c r="AH13" s="204"/>
      <c r="AI13" s="528"/>
      <c r="AJ13" s="205"/>
      <c r="AK13" s="205"/>
      <c r="AL13" s="204"/>
      <c r="AM13" s="204"/>
      <c r="AN13" s="528"/>
      <c r="AO13" s="205"/>
      <c r="AP13" s="205"/>
      <c r="AQ13" s="204"/>
      <c r="AR13" s="204"/>
      <c r="AS13" s="528"/>
      <c r="AT13" s="205"/>
      <c r="AU13" s="205"/>
      <c r="AV13" s="204"/>
      <c r="AW13" s="204"/>
      <c r="AX13" s="528"/>
    </row>
    <row r="14" spans="1:50" ht="14.25" x14ac:dyDescent="0.2">
      <c r="A14" s="197"/>
      <c r="B14" s="517"/>
      <c r="C14" s="204">
        <v>8</v>
      </c>
      <c r="D14" s="208"/>
      <c r="E14" s="205"/>
      <c r="F14" s="205"/>
      <c r="G14" s="206"/>
      <c r="H14" s="519"/>
      <c r="I14" s="205"/>
      <c r="J14" s="205"/>
      <c r="K14" s="206"/>
      <c r="L14" s="519"/>
      <c r="M14" s="207"/>
      <c r="N14" s="516"/>
      <c r="O14" s="516"/>
      <c r="P14" s="393"/>
      <c r="Q14" s="393"/>
      <c r="R14" s="206"/>
      <c r="S14" s="204"/>
      <c r="T14" s="528"/>
      <c r="U14" s="205"/>
      <c r="V14" s="205"/>
      <c r="W14" s="206"/>
      <c r="X14" s="204"/>
      <c r="Y14" s="528"/>
      <c r="Z14" s="205"/>
      <c r="AA14" s="205"/>
      <c r="AB14" s="206"/>
      <c r="AC14" s="204"/>
      <c r="AD14" s="528"/>
      <c r="AE14" s="205"/>
      <c r="AF14" s="205"/>
      <c r="AG14" s="204"/>
      <c r="AH14" s="204"/>
      <c r="AI14" s="528"/>
      <c r="AJ14" s="205"/>
      <c r="AK14" s="205"/>
      <c r="AL14" s="204"/>
      <c r="AM14" s="204"/>
      <c r="AN14" s="528"/>
      <c r="AO14" s="205"/>
      <c r="AP14" s="205"/>
      <c r="AQ14" s="204"/>
      <c r="AR14" s="204"/>
      <c r="AS14" s="528"/>
      <c r="AT14" s="205"/>
      <c r="AU14" s="205"/>
      <c r="AV14" s="204"/>
      <c r="AW14" s="204"/>
      <c r="AX14" s="528"/>
    </row>
    <row r="15" spans="1:50" ht="14.25" x14ac:dyDescent="0.2">
      <c r="A15" s="197"/>
      <c r="B15" s="517"/>
      <c r="C15" s="204">
        <v>9</v>
      </c>
      <c r="D15" s="208"/>
      <c r="E15" s="205"/>
      <c r="F15" s="205"/>
      <c r="G15" s="206"/>
      <c r="H15" s="519"/>
      <c r="I15" s="205"/>
      <c r="J15" s="205"/>
      <c r="K15" s="206"/>
      <c r="L15" s="519"/>
      <c r="M15" s="207"/>
      <c r="N15" s="516"/>
      <c r="O15" s="516"/>
      <c r="P15" s="393"/>
      <c r="Q15" s="393"/>
      <c r="R15" s="206"/>
      <c r="S15" s="204"/>
      <c r="T15" s="528"/>
      <c r="U15" s="205"/>
      <c r="V15" s="205"/>
      <c r="W15" s="206"/>
      <c r="X15" s="204"/>
      <c r="Y15" s="528"/>
      <c r="Z15" s="205"/>
      <c r="AA15" s="205"/>
      <c r="AB15" s="206"/>
      <c r="AC15" s="204"/>
      <c r="AD15" s="528"/>
      <c r="AE15" s="205"/>
      <c r="AF15" s="205"/>
      <c r="AG15" s="204"/>
      <c r="AH15" s="204"/>
      <c r="AI15" s="528"/>
      <c r="AJ15" s="205"/>
      <c r="AK15" s="205"/>
      <c r="AL15" s="204"/>
      <c r="AM15" s="204"/>
      <c r="AN15" s="528"/>
      <c r="AO15" s="205"/>
      <c r="AP15" s="205"/>
      <c r="AQ15" s="204"/>
      <c r="AR15" s="204"/>
      <c r="AS15" s="528"/>
      <c r="AT15" s="205"/>
      <c r="AU15" s="205"/>
      <c r="AV15" s="204"/>
      <c r="AW15" s="204"/>
      <c r="AX15" s="528"/>
    </row>
    <row r="16" spans="1:50" ht="14.25" x14ac:dyDescent="0.2">
      <c r="A16" s="197"/>
      <c r="B16" s="517"/>
      <c r="C16" s="204">
        <v>10</v>
      </c>
      <c r="D16" s="208"/>
      <c r="E16" s="205"/>
      <c r="F16" s="205"/>
      <c r="G16" s="206"/>
      <c r="H16" s="519"/>
      <c r="I16" s="205"/>
      <c r="J16" s="205"/>
      <c r="K16" s="206"/>
      <c r="L16" s="519"/>
      <c r="M16" s="207"/>
      <c r="N16" s="516"/>
      <c r="O16" s="516"/>
      <c r="P16" s="393"/>
      <c r="Q16" s="393"/>
      <c r="R16" s="206"/>
      <c r="S16" s="204"/>
      <c r="T16" s="528"/>
      <c r="U16" s="205"/>
      <c r="V16" s="205"/>
      <c r="W16" s="206"/>
      <c r="X16" s="204"/>
      <c r="Y16" s="528"/>
      <c r="Z16" s="205"/>
      <c r="AA16" s="205"/>
      <c r="AB16" s="206"/>
      <c r="AC16" s="204"/>
      <c r="AD16" s="528"/>
      <c r="AE16" s="205"/>
      <c r="AF16" s="205"/>
      <c r="AG16" s="204"/>
      <c r="AH16" s="204"/>
      <c r="AI16" s="528"/>
      <c r="AJ16" s="205"/>
      <c r="AK16" s="205"/>
      <c r="AL16" s="204"/>
      <c r="AM16" s="204"/>
      <c r="AN16" s="528"/>
      <c r="AO16" s="205"/>
      <c r="AP16" s="205"/>
      <c r="AQ16" s="204"/>
      <c r="AR16" s="204"/>
      <c r="AS16" s="528"/>
      <c r="AT16" s="205"/>
      <c r="AU16" s="205"/>
      <c r="AV16" s="204"/>
      <c r="AW16" s="204"/>
      <c r="AX16" s="528"/>
    </row>
    <row r="17" spans="2:50" ht="13.5" x14ac:dyDescent="0.2">
      <c r="B17" s="517"/>
      <c r="C17" s="204">
        <v>11</v>
      </c>
      <c r="D17" s="208"/>
      <c r="E17" s="205"/>
      <c r="F17" s="205"/>
      <c r="G17" s="206"/>
      <c r="H17" s="519"/>
      <c r="I17" s="205"/>
      <c r="J17" s="205"/>
      <c r="K17" s="206"/>
      <c r="L17" s="519"/>
      <c r="M17" s="207"/>
      <c r="N17" s="516"/>
      <c r="O17" s="516"/>
      <c r="P17" s="391"/>
      <c r="Q17" s="391"/>
      <c r="R17" s="206"/>
      <c r="S17" s="204"/>
      <c r="T17" s="528"/>
      <c r="U17" s="204"/>
      <c r="V17" s="204"/>
      <c r="W17" s="206"/>
      <c r="X17" s="204"/>
      <c r="Y17" s="528"/>
      <c r="Z17" s="204"/>
      <c r="AA17" s="204"/>
      <c r="AB17" s="206"/>
      <c r="AC17" s="204"/>
      <c r="AD17" s="528"/>
      <c r="AE17" s="204"/>
      <c r="AF17" s="204"/>
      <c r="AG17" s="204"/>
      <c r="AH17" s="204"/>
      <c r="AI17" s="528"/>
      <c r="AJ17" s="204"/>
      <c r="AK17" s="204"/>
      <c r="AL17" s="204"/>
      <c r="AM17" s="204"/>
      <c r="AN17" s="528"/>
      <c r="AO17" s="204"/>
      <c r="AP17" s="204"/>
      <c r="AQ17" s="204"/>
      <c r="AR17" s="204"/>
      <c r="AS17" s="528"/>
      <c r="AT17" s="204"/>
      <c r="AU17" s="204"/>
      <c r="AV17" s="204"/>
      <c r="AW17" s="204"/>
      <c r="AX17" s="528"/>
    </row>
    <row r="18" spans="2:50" ht="13.5" x14ac:dyDescent="0.2">
      <c r="B18" s="517"/>
      <c r="C18" s="204">
        <v>12</v>
      </c>
      <c r="D18" s="208"/>
      <c r="E18" s="205"/>
      <c r="F18" s="205"/>
      <c r="G18" s="206"/>
      <c r="H18" s="519"/>
      <c r="I18" s="205"/>
      <c r="J18" s="205"/>
      <c r="K18" s="206"/>
      <c r="L18" s="519"/>
      <c r="M18" s="207"/>
      <c r="N18" s="516"/>
      <c r="O18" s="516"/>
      <c r="P18" s="391"/>
      <c r="Q18" s="391"/>
      <c r="R18" s="206"/>
      <c r="S18" s="204"/>
      <c r="T18" s="528"/>
      <c r="U18" s="204"/>
      <c r="V18" s="204"/>
      <c r="W18" s="206"/>
      <c r="X18" s="204"/>
      <c r="Y18" s="528"/>
      <c r="Z18" s="204"/>
      <c r="AA18" s="204"/>
      <c r="AB18" s="206"/>
      <c r="AC18" s="204"/>
      <c r="AD18" s="528"/>
      <c r="AE18" s="204"/>
      <c r="AF18" s="204"/>
      <c r="AG18" s="204"/>
      <c r="AH18" s="204"/>
      <c r="AI18" s="528"/>
      <c r="AJ18" s="204"/>
      <c r="AK18" s="204"/>
      <c r="AL18" s="204"/>
      <c r="AM18" s="204"/>
      <c r="AN18" s="528"/>
      <c r="AO18" s="204"/>
      <c r="AP18" s="204"/>
      <c r="AQ18" s="204"/>
      <c r="AR18" s="204"/>
      <c r="AS18" s="528"/>
      <c r="AT18" s="204"/>
      <c r="AU18" s="204"/>
      <c r="AV18" s="204"/>
      <c r="AW18" s="204"/>
      <c r="AX18" s="528"/>
    </row>
    <row r="19" spans="2:50" ht="13.5" x14ac:dyDescent="0.2">
      <c r="B19" s="517"/>
      <c r="C19" s="204">
        <v>13</v>
      </c>
      <c r="D19" s="208"/>
      <c r="E19" s="205"/>
      <c r="F19" s="205"/>
      <c r="G19" s="206"/>
      <c r="H19" s="519"/>
      <c r="I19" s="205"/>
      <c r="J19" s="205"/>
      <c r="K19" s="206"/>
      <c r="L19" s="519"/>
      <c r="M19" s="207"/>
      <c r="N19" s="516"/>
      <c r="O19" s="516"/>
      <c r="P19" s="391"/>
      <c r="Q19" s="391"/>
      <c r="R19" s="206"/>
      <c r="S19" s="204"/>
      <c r="T19" s="528"/>
      <c r="U19" s="204"/>
      <c r="V19" s="204"/>
      <c r="W19" s="206"/>
      <c r="X19" s="204"/>
      <c r="Y19" s="528"/>
      <c r="Z19" s="204"/>
      <c r="AA19" s="204"/>
      <c r="AB19" s="206"/>
      <c r="AC19" s="204"/>
      <c r="AD19" s="528"/>
      <c r="AE19" s="204"/>
      <c r="AF19" s="204"/>
      <c r="AG19" s="204"/>
      <c r="AH19" s="204"/>
      <c r="AI19" s="528"/>
      <c r="AJ19" s="204"/>
      <c r="AK19" s="204"/>
      <c r="AL19" s="204"/>
      <c r="AM19" s="204"/>
      <c r="AN19" s="528"/>
      <c r="AO19" s="204"/>
      <c r="AP19" s="204"/>
      <c r="AQ19" s="204"/>
      <c r="AR19" s="204"/>
      <c r="AS19" s="528"/>
      <c r="AT19" s="204"/>
      <c r="AU19" s="204"/>
      <c r="AV19" s="204"/>
      <c r="AW19" s="204"/>
      <c r="AX19" s="528"/>
    </row>
    <row r="20" spans="2:50" ht="13.5" x14ac:dyDescent="0.2">
      <c r="B20" s="517"/>
      <c r="C20" s="204">
        <v>14</v>
      </c>
      <c r="D20" s="208"/>
      <c r="E20" s="205"/>
      <c r="F20" s="205"/>
      <c r="G20" s="206"/>
      <c r="H20" s="519"/>
      <c r="I20" s="205"/>
      <c r="J20" s="205"/>
      <c r="K20" s="206"/>
      <c r="L20" s="519"/>
      <c r="M20" s="207"/>
      <c r="N20" s="516"/>
      <c r="O20" s="516"/>
      <c r="P20" s="391"/>
      <c r="Q20" s="391"/>
      <c r="R20" s="206"/>
      <c r="S20" s="204"/>
      <c r="T20" s="528"/>
      <c r="U20" s="204"/>
      <c r="V20" s="204"/>
      <c r="W20" s="206"/>
      <c r="X20" s="204"/>
      <c r="Y20" s="528"/>
      <c r="Z20" s="204"/>
      <c r="AA20" s="204"/>
      <c r="AB20" s="206"/>
      <c r="AC20" s="204"/>
      <c r="AD20" s="528"/>
      <c r="AE20" s="204"/>
      <c r="AF20" s="204"/>
      <c r="AG20" s="204"/>
      <c r="AH20" s="204"/>
      <c r="AI20" s="528"/>
      <c r="AJ20" s="204"/>
      <c r="AK20" s="204"/>
      <c r="AL20" s="204"/>
      <c r="AM20" s="204"/>
      <c r="AN20" s="528"/>
      <c r="AO20" s="204"/>
      <c r="AP20" s="204"/>
      <c r="AQ20" s="204"/>
      <c r="AR20" s="204"/>
      <c r="AS20" s="528"/>
      <c r="AT20" s="204"/>
      <c r="AU20" s="204"/>
      <c r="AV20" s="204"/>
      <c r="AW20" s="204"/>
      <c r="AX20" s="528"/>
    </row>
    <row r="21" spans="2:50" ht="13.5" x14ac:dyDescent="0.2">
      <c r="B21" s="517"/>
      <c r="C21" s="204">
        <v>15</v>
      </c>
      <c r="D21" s="208"/>
      <c r="E21" s="205"/>
      <c r="F21" s="205"/>
      <c r="G21" s="206"/>
      <c r="H21" s="520"/>
      <c r="I21" s="205"/>
      <c r="J21" s="205"/>
      <c r="K21" s="206"/>
      <c r="L21" s="520"/>
      <c r="M21" s="205"/>
      <c r="N21" s="516"/>
      <c r="O21" s="516"/>
      <c r="P21" s="391"/>
      <c r="Q21" s="391"/>
      <c r="R21" s="206"/>
      <c r="S21" s="204"/>
      <c r="T21" s="528"/>
      <c r="U21" s="204"/>
      <c r="V21" s="204"/>
      <c r="W21" s="206"/>
      <c r="X21" s="204"/>
      <c r="Y21" s="528"/>
      <c r="Z21" s="204"/>
      <c r="AA21" s="204"/>
      <c r="AB21" s="206"/>
      <c r="AC21" s="204"/>
      <c r="AD21" s="528"/>
      <c r="AE21" s="204"/>
      <c r="AF21" s="204"/>
      <c r="AG21" s="204"/>
      <c r="AH21" s="204"/>
      <c r="AI21" s="528"/>
      <c r="AJ21" s="204"/>
      <c r="AK21" s="204"/>
      <c r="AL21" s="204"/>
      <c r="AM21" s="204"/>
      <c r="AN21" s="528"/>
      <c r="AO21" s="204"/>
      <c r="AP21" s="204"/>
      <c r="AQ21" s="204"/>
      <c r="AR21" s="204"/>
      <c r="AS21" s="528"/>
      <c r="AT21" s="204"/>
      <c r="AU21" s="204"/>
      <c r="AV21" s="204"/>
      <c r="AW21" s="204"/>
      <c r="AX21" s="528"/>
    </row>
    <row r="22" spans="2:50" ht="15.75" x14ac:dyDescent="0.2">
      <c r="B22" s="530" t="s">
        <v>85</v>
      </c>
      <c r="C22" s="531"/>
      <c r="D22" s="531"/>
      <c r="E22" s="531"/>
      <c r="F22" s="531"/>
      <c r="G22" s="531"/>
      <c r="H22" s="531"/>
      <c r="I22" s="198"/>
      <c r="J22" s="198"/>
      <c r="K22" s="198"/>
      <c r="L22" s="198"/>
      <c r="M22" s="199"/>
      <c r="N22" s="514" t="s">
        <v>86</v>
      </c>
      <c r="O22" s="514" t="s">
        <v>45</v>
      </c>
      <c r="P22" s="524">
        <f>AT2+1</f>
        <v>46210</v>
      </c>
      <c r="Q22" s="517"/>
      <c r="R22" s="517"/>
      <c r="S22" s="517"/>
      <c r="T22" s="517"/>
      <c r="U22" s="524">
        <f>P22+1</f>
        <v>46211</v>
      </c>
      <c r="V22" s="517"/>
      <c r="W22" s="517"/>
      <c r="X22" s="517"/>
      <c r="Y22" s="517"/>
      <c r="Z22" s="524">
        <f>U22+1</f>
        <v>46212</v>
      </c>
      <c r="AA22" s="517"/>
      <c r="AB22" s="517"/>
      <c r="AC22" s="517"/>
      <c r="AD22" s="517"/>
      <c r="AE22" s="524">
        <f>Z22+1</f>
        <v>46213</v>
      </c>
      <c r="AF22" s="517"/>
      <c r="AG22" s="517"/>
      <c r="AH22" s="517"/>
      <c r="AI22" s="517"/>
      <c r="AJ22" s="524">
        <f>AE22+1</f>
        <v>46214</v>
      </c>
      <c r="AK22" s="517"/>
      <c r="AL22" s="517"/>
      <c r="AM22" s="517"/>
      <c r="AN22" s="517"/>
      <c r="AO22" s="524">
        <f>AJ22+1</f>
        <v>46215</v>
      </c>
      <c r="AP22" s="517"/>
      <c r="AQ22" s="517"/>
      <c r="AR22" s="517"/>
      <c r="AS22" s="517"/>
      <c r="AT22" s="524">
        <f>AO22+1</f>
        <v>46216</v>
      </c>
      <c r="AU22" s="517"/>
      <c r="AV22" s="517"/>
      <c r="AW22" s="517"/>
      <c r="AX22" s="517"/>
    </row>
    <row r="23" spans="2:50" ht="15.75" x14ac:dyDescent="0.2">
      <c r="B23" s="513"/>
      <c r="C23" s="513"/>
      <c r="D23" s="513"/>
      <c r="E23" s="513"/>
      <c r="F23" s="513"/>
      <c r="G23" s="513"/>
      <c r="H23" s="513"/>
      <c r="I23" s="200"/>
      <c r="J23" s="200"/>
      <c r="K23" s="200"/>
      <c r="L23" s="200"/>
      <c r="M23" s="201"/>
      <c r="N23" s="515"/>
      <c r="O23" s="515"/>
      <c r="P23" s="524" t="s">
        <v>61</v>
      </c>
      <c r="Q23" s="517"/>
      <c r="R23" s="517"/>
      <c r="S23" s="517"/>
      <c r="T23" s="517"/>
      <c r="U23" s="524" t="s">
        <v>56</v>
      </c>
      <c r="V23" s="517"/>
      <c r="W23" s="517"/>
      <c r="X23" s="517"/>
      <c r="Y23" s="517"/>
      <c r="Z23" s="524" t="s">
        <v>57</v>
      </c>
      <c r="AA23" s="517"/>
      <c r="AB23" s="517"/>
      <c r="AC23" s="517"/>
      <c r="AD23" s="517"/>
      <c r="AE23" s="524" t="s">
        <v>58</v>
      </c>
      <c r="AF23" s="517"/>
      <c r="AG23" s="517"/>
      <c r="AH23" s="517"/>
      <c r="AI23" s="517"/>
      <c r="AJ23" s="524" t="s">
        <v>59</v>
      </c>
      <c r="AK23" s="517"/>
      <c r="AL23" s="517"/>
      <c r="AM23" s="517"/>
      <c r="AN23" s="517"/>
      <c r="AO23" s="524" t="s">
        <v>52</v>
      </c>
      <c r="AP23" s="517"/>
      <c r="AQ23" s="517"/>
      <c r="AR23" s="517"/>
      <c r="AS23" s="517"/>
      <c r="AT23" s="524" t="s">
        <v>60</v>
      </c>
      <c r="AU23" s="517"/>
      <c r="AV23" s="517"/>
      <c r="AW23" s="517"/>
      <c r="AX23" s="517"/>
    </row>
    <row r="24" spans="2:50" x14ac:dyDescent="0.2">
      <c r="B24" s="516" t="s">
        <v>41</v>
      </c>
      <c r="C24" s="516" t="s">
        <v>87</v>
      </c>
      <c r="D24" s="516"/>
      <c r="E24" s="516" t="s">
        <v>88</v>
      </c>
      <c r="F24" s="516"/>
      <c r="G24" s="516"/>
      <c r="H24" s="521" t="s">
        <v>89</v>
      </c>
      <c r="I24" s="516" t="s">
        <v>90</v>
      </c>
      <c r="J24" s="516"/>
      <c r="K24" s="516"/>
      <c r="L24" s="521" t="s">
        <v>89</v>
      </c>
      <c r="M24" s="514" t="s">
        <v>91</v>
      </c>
      <c r="N24" s="516"/>
      <c r="O24" s="516" t="s">
        <v>92</v>
      </c>
      <c r="P24" s="525" t="s">
        <v>93</v>
      </c>
      <c r="Q24" s="526"/>
      <c r="R24" s="526"/>
      <c r="S24" s="527"/>
      <c r="T24" s="516" t="s">
        <v>89</v>
      </c>
      <c r="U24" s="525" t="s">
        <v>93</v>
      </c>
      <c r="V24" s="526"/>
      <c r="W24" s="526"/>
      <c r="X24" s="527"/>
      <c r="Y24" s="516" t="s">
        <v>89</v>
      </c>
      <c r="Z24" s="525" t="s">
        <v>93</v>
      </c>
      <c r="AA24" s="526"/>
      <c r="AB24" s="526"/>
      <c r="AC24" s="527"/>
      <c r="AD24" s="516" t="s">
        <v>89</v>
      </c>
      <c r="AE24" s="525" t="s">
        <v>93</v>
      </c>
      <c r="AF24" s="526"/>
      <c r="AG24" s="526"/>
      <c r="AH24" s="527"/>
      <c r="AI24" s="516" t="s">
        <v>89</v>
      </c>
      <c r="AJ24" s="525" t="s">
        <v>93</v>
      </c>
      <c r="AK24" s="526"/>
      <c r="AL24" s="526"/>
      <c r="AM24" s="527"/>
      <c r="AN24" s="516" t="s">
        <v>89</v>
      </c>
      <c r="AO24" s="525" t="s">
        <v>93</v>
      </c>
      <c r="AP24" s="526"/>
      <c r="AQ24" s="526"/>
      <c r="AR24" s="527"/>
      <c r="AS24" s="516" t="s">
        <v>89</v>
      </c>
      <c r="AT24" s="525" t="s">
        <v>93</v>
      </c>
      <c r="AU24" s="526"/>
      <c r="AV24" s="526"/>
      <c r="AW24" s="527"/>
      <c r="AX24" s="516" t="s">
        <v>89</v>
      </c>
    </row>
    <row r="25" spans="2:50" x14ac:dyDescent="0.2">
      <c r="B25" s="516"/>
      <c r="C25" s="516"/>
      <c r="D25" s="516"/>
      <c r="E25" s="516" t="s">
        <v>94</v>
      </c>
      <c r="F25" s="516"/>
      <c r="G25" s="516"/>
      <c r="H25" s="522"/>
      <c r="I25" s="516" t="s">
        <v>94</v>
      </c>
      <c r="J25" s="516"/>
      <c r="K25" s="516"/>
      <c r="L25" s="522"/>
      <c r="M25" s="529"/>
      <c r="N25" s="516"/>
      <c r="O25" s="516"/>
      <c r="P25" s="525" t="s">
        <v>95</v>
      </c>
      <c r="Q25" s="526"/>
      <c r="R25" s="526"/>
      <c r="S25" s="527"/>
      <c r="T25" s="516"/>
      <c r="U25" s="525" t="s">
        <v>95</v>
      </c>
      <c r="V25" s="526"/>
      <c r="W25" s="526"/>
      <c r="X25" s="527"/>
      <c r="Y25" s="516"/>
      <c r="Z25" s="525" t="s">
        <v>95</v>
      </c>
      <c r="AA25" s="526"/>
      <c r="AB25" s="526"/>
      <c r="AC25" s="527"/>
      <c r="AD25" s="516"/>
      <c r="AE25" s="525" t="s">
        <v>95</v>
      </c>
      <c r="AF25" s="526"/>
      <c r="AG25" s="526"/>
      <c r="AH25" s="527"/>
      <c r="AI25" s="516"/>
      <c r="AJ25" s="525" t="s">
        <v>95</v>
      </c>
      <c r="AK25" s="526"/>
      <c r="AL25" s="526"/>
      <c r="AM25" s="527"/>
      <c r="AN25" s="516"/>
      <c r="AO25" s="525" t="s">
        <v>95</v>
      </c>
      <c r="AP25" s="526"/>
      <c r="AQ25" s="526"/>
      <c r="AR25" s="527"/>
      <c r="AS25" s="516"/>
      <c r="AT25" s="525" t="s">
        <v>95</v>
      </c>
      <c r="AU25" s="526"/>
      <c r="AV25" s="526"/>
      <c r="AW25" s="527"/>
      <c r="AX25" s="516"/>
    </row>
    <row r="26" spans="2:50" x14ac:dyDescent="0.2">
      <c r="B26" s="516"/>
      <c r="C26" s="516"/>
      <c r="D26" s="516"/>
      <c r="E26" s="203" t="s">
        <v>96</v>
      </c>
      <c r="F26" s="203" t="s">
        <v>97</v>
      </c>
      <c r="G26" s="203" t="s">
        <v>98</v>
      </c>
      <c r="H26" s="523"/>
      <c r="I26" s="203" t="s">
        <v>96</v>
      </c>
      <c r="J26" s="203" t="s">
        <v>97</v>
      </c>
      <c r="K26" s="203" t="s">
        <v>98</v>
      </c>
      <c r="L26" s="523"/>
      <c r="M26" s="515"/>
      <c r="N26" s="516"/>
      <c r="O26" s="516"/>
      <c r="P26" s="203" t="s">
        <v>96</v>
      </c>
      <c r="Q26" s="203" t="s">
        <v>97</v>
      </c>
      <c r="R26" s="203" t="s">
        <v>98</v>
      </c>
      <c r="S26" s="203" t="s">
        <v>91</v>
      </c>
      <c r="T26" s="516"/>
      <c r="U26" s="203" t="s">
        <v>96</v>
      </c>
      <c r="V26" s="203" t="s">
        <v>97</v>
      </c>
      <c r="W26" s="203" t="s">
        <v>98</v>
      </c>
      <c r="X26" s="203" t="s">
        <v>91</v>
      </c>
      <c r="Y26" s="516"/>
      <c r="Z26" s="203" t="s">
        <v>96</v>
      </c>
      <c r="AA26" s="203" t="s">
        <v>97</v>
      </c>
      <c r="AB26" s="203" t="s">
        <v>98</v>
      </c>
      <c r="AC26" s="203" t="s">
        <v>91</v>
      </c>
      <c r="AD26" s="516"/>
      <c r="AE26" s="203" t="s">
        <v>96</v>
      </c>
      <c r="AF26" s="203" t="s">
        <v>97</v>
      </c>
      <c r="AG26" s="203" t="s">
        <v>98</v>
      </c>
      <c r="AH26" s="203" t="s">
        <v>91</v>
      </c>
      <c r="AI26" s="516"/>
      <c r="AJ26" s="203" t="s">
        <v>96</v>
      </c>
      <c r="AK26" s="203" t="s">
        <v>97</v>
      </c>
      <c r="AL26" s="203" t="s">
        <v>98</v>
      </c>
      <c r="AM26" s="203" t="s">
        <v>91</v>
      </c>
      <c r="AN26" s="516"/>
      <c r="AO26" s="203" t="s">
        <v>96</v>
      </c>
      <c r="AP26" s="203" t="s">
        <v>97</v>
      </c>
      <c r="AQ26" s="203" t="s">
        <v>98</v>
      </c>
      <c r="AR26" s="203" t="s">
        <v>91</v>
      </c>
      <c r="AS26" s="516"/>
      <c r="AT26" s="203" t="s">
        <v>96</v>
      </c>
      <c r="AU26" s="203" t="s">
        <v>97</v>
      </c>
      <c r="AV26" s="203" t="s">
        <v>98</v>
      </c>
      <c r="AW26" s="203" t="s">
        <v>91</v>
      </c>
      <c r="AX26" s="516"/>
    </row>
    <row r="27" spans="2:50" ht="13.5" x14ac:dyDescent="0.2">
      <c r="B27" s="516" t="s">
        <v>76</v>
      </c>
      <c r="C27" s="204">
        <v>1</v>
      </c>
      <c r="D27" s="208" t="s">
        <v>99</v>
      </c>
      <c r="E27" s="205">
        <f>VLOOKUP(D27,'07產線配置圖'!$A$26:$C$33,2,0)</f>
        <v>15</v>
      </c>
      <c r="F27" s="205">
        <f>VLOOKUP(D27,'07產線配置圖'!$A$26:$C$33,3,0)</f>
        <v>1636</v>
      </c>
      <c r="G27" s="206">
        <f>F27/E27</f>
        <v>109.06666666666666</v>
      </c>
      <c r="H27" s="518">
        <f>AVERAGE(G27:G41)</f>
        <v>138.81212121212121</v>
      </c>
      <c r="I27" s="205">
        <f>AVERAGE(P27,U27,Z27,AE27,AJ27,AO27,AT27)</f>
        <v>15.142857142857142</v>
      </c>
      <c r="J27" s="205">
        <f>AVERAGE(Q27,V27,AA27,AF27,AK27,AP27,AU27)</f>
        <v>1575.2857142857142</v>
      </c>
      <c r="K27" s="206">
        <f>AVERAGE(R27,W27,AB27,AG27,AL27,AQ27,AV27)</f>
        <v>104.01428571428571</v>
      </c>
      <c r="L27" s="518">
        <f>IFERROR(AVERAGE(K27:K41),"-")</f>
        <v>127.60773809523809</v>
      </c>
      <c r="M27" s="207">
        <f>RANK(K27, K$27:$K$41)</f>
        <v>4</v>
      </c>
      <c r="N27" s="516"/>
      <c r="O27" s="516"/>
      <c r="P27" s="205">
        <v>15</v>
      </c>
      <c r="Q27" s="205">
        <v>1508</v>
      </c>
      <c r="R27" s="206">
        <f>Q27/P27</f>
        <v>100.53333333333333</v>
      </c>
      <c r="S27" s="204">
        <f>RANK(R27, $R$27:$R$41)</f>
        <v>4</v>
      </c>
      <c r="T27" s="528">
        <f>AVERAGE(R27:R41)</f>
        <v>125.56515151515153</v>
      </c>
      <c r="U27" s="205">
        <v>15</v>
      </c>
      <c r="V27" s="205">
        <v>1542</v>
      </c>
      <c r="W27" s="206">
        <f>V27/U27</f>
        <v>102.8</v>
      </c>
      <c r="X27" s="204">
        <f>RANK(W27, $W$27:$W$41)</f>
        <v>4</v>
      </c>
      <c r="Y27" s="528">
        <f>AVERAGE(W27:W41)</f>
        <v>126.82121212121211</v>
      </c>
      <c r="Z27" s="205">
        <v>15</v>
      </c>
      <c r="AA27" s="205">
        <v>1572</v>
      </c>
      <c r="AB27" s="206">
        <f>AA27/Z27</f>
        <v>104.8</v>
      </c>
      <c r="AC27" s="204">
        <f>RANK(AB27,$AB$27:$AB$41)</f>
        <v>4</v>
      </c>
      <c r="AD27" s="528">
        <f>AVERAGE(AB27:AB41)</f>
        <v>127.40454545454546</v>
      </c>
      <c r="AE27" s="341">
        <v>16</v>
      </c>
      <c r="AF27" s="205">
        <v>1688</v>
      </c>
      <c r="AG27" s="346">
        <f>AF27/AE27</f>
        <v>105.5</v>
      </c>
      <c r="AH27" s="391">
        <f>RANK(AG27, $AG$27:$AG$41)</f>
        <v>4</v>
      </c>
      <c r="AI27" s="528">
        <f>AVERAGE(AG27:AG41)</f>
        <v>128.9375</v>
      </c>
      <c r="AJ27" s="205">
        <v>15</v>
      </c>
      <c r="AK27" s="205">
        <v>1586</v>
      </c>
      <c r="AL27" s="206">
        <f>AK27/AJ27</f>
        <v>105.73333333333333</v>
      </c>
      <c r="AM27" s="204">
        <f>RANK(AL27, $AL$27:$AL$41)</f>
        <v>4</v>
      </c>
      <c r="AN27" s="528">
        <f>AVERAGE(AL27:AL41)</f>
        <v>128.66060606060606</v>
      </c>
      <c r="AO27" s="205">
        <v>15</v>
      </c>
      <c r="AP27" s="205">
        <v>1555</v>
      </c>
      <c r="AQ27" s="206">
        <f>AP27/AO27</f>
        <v>103.66666666666667</v>
      </c>
      <c r="AR27" s="204">
        <f>RANK(AQ27, $AQ$27:$AQ$41)</f>
        <v>4</v>
      </c>
      <c r="AS27" s="528">
        <f>AVERAGE(AQ27:AQ41)</f>
        <v>128.25757575757575</v>
      </c>
      <c r="AT27" s="205">
        <v>15</v>
      </c>
      <c r="AU27" s="205">
        <v>1576</v>
      </c>
      <c r="AV27" s="206">
        <f>AU27/AT27</f>
        <v>105.06666666666666</v>
      </c>
      <c r="AW27" s="204">
        <f>RANK(AV27, $AV$27:$AV$41)</f>
        <v>4</v>
      </c>
      <c r="AX27" s="528">
        <f>AVERAGE(AV27:AV41)</f>
        <v>127.60757575757576</v>
      </c>
    </row>
    <row r="28" spans="2:50" ht="13.5" x14ac:dyDescent="0.2">
      <c r="B28" s="517"/>
      <c r="C28" s="204">
        <v>2</v>
      </c>
      <c r="D28" s="208" t="s">
        <v>100</v>
      </c>
      <c r="E28" s="205">
        <f>VLOOKUP(D28,'07產線配置圖'!$A$26:$C$33,2,0)</f>
        <v>11</v>
      </c>
      <c r="F28" s="205">
        <f>VLOOKUP(D28,'07產線配置圖'!$A$26:$C$33,3,0)</f>
        <v>1636</v>
      </c>
      <c r="G28" s="206">
        <f>F28/E28</f>
        <v>148.72727272727272</v>
      </c>
      <c r="H28" s="519"/>
      <c r="I28" s="205">
        <f t="shared" ref="I28:K28" si="19">AVERAGE(P28,U28,Z28,AE28,AJ28,AO28,AT28)</f>
        <v>11.142857142857142</v>
      </c>
      <c r="J28" s="205">
        <f t="shared" si="19"/>
        <v>1561.2857142857142</v>
      </c>
      <c r="K28" s="206">
        <f t="shared" si="19"/>
        <v>140.04545454545456</v>
      </c>
      <c r="L28" s="519"/>
      <c r="M28" s="207">
        <f>RANK(K28, K$27:$K$41)</f>
        <v>1</v>
      </c>
      <c r="N28" s="516"/>
      <c r="O28" s="516"/>
      <c r="P28" s="390">
        <v>11</v>
      </c>
      <c r="Q28" s="205">
        <v>1610</v>
      </c>
      <c r="R28" s="206">
        <f t="shared" ref="R28:R30" si="20">Q28/P28</f>
        <v>146.36363636363637</v>
      </c>
      <c r="S28" s="204">
        <f t="shared" ref="S28:S30" si="21">RANK(R28, $R$27:$R$41)</f>
        <v>1</v>
      </c>
      <c r="T28" s="528"/>
      <c r="U28" s="205">
        <v>11</v>
      </c>
      <c r="V28" s="205">
        <v>1465</v>
      </c>
      <c r="W28" s="206">
        <f t="shared" ref="W28:W29" si="22">V28/U28</f>
        <v>133.18181818181819</v>
      </c>
      <c r="X28" s="204">
        <f t="shared" ref="X28:X29" si="23">RANK(W28, $W$27:$W$41)</f>
        <v>2</v>
      </c>
      <c r="Y28" s="528"/>
      <c r="Z28" s="205">
        <v>11</v>
      </c>
      <c r="AA28" s="205">
        <v>1522</v>
      </c>
      <c r="AB28" s="206">
        <f t="shared" ref="AB28:AB30" si="24">AA28/Z28</f>
        <v>138.36363636363637</v>
      </c>
      <c r="AC28" s="204">
        <f t="shared" ref="AC28:AC30" si="25">RANK(AB28,$AB$27:$AB$41)</f>
        <v>2</v>
      </c>
      <c r="AD28" s="528"/>
      <c r="AE28" s="341">
        <v>12</v>
      </c>
      <c r="AF28" s="205">
        <v>1746</v>
      </c>
      <c r="AG28" s="346">
        <f>AF28/AE28</f>
        <v>145.5</v>
      </c>
      <c r="AH28" s="391">
        <f>RANK(AG28, $AG$27:$AG$41)</f>
        <v>1</v>
      </c>
      <c r="AI28" s="528"/>
      <c r="AJ28" s="205">
        <v>11</v>
      </c>
      <c r="AK28" s="205">
        <v>1517</v>
      </c>
      <c r="AL28" s="206">
        <f t="shared" ref="AL28:AL30" si="26">AK28/AJ28</f>
        <v>137.90909090909091</v>
      </c>
      <c r="AM28" s="204">
        <f t="shared" ref="AM28:AM30" si="27">RANK(AL28, $AL$27:$AL$41)</f>
        <v>2</v>
      </c>
      <c r="AN28" s="528"/>
      <c r="AO28" s="205">
        <v>11</v>
      </c>
      <c r="AP28" s="205">
        <v>1544</v>
      </c>
      <c r="AQ28" s="206">
        <f>AP28/AO28</f>
        <v>140.36363636363637</v>
      </c>
      <c r="AR28" s="204">
        <f>RANK(AQ28, $AQ$27:$AQ$41)</f>
        <v>2</v>
      </c>
      <c r="AS28" s="528"/>
      <c r="AT28" s="205">
        <v>11</v>
      </c>
      <c r="AU28" s="205">
        <v>1525</v>
      </c>
      <c r="AV28" s="206">
        <f t="shared" ref="AV28:AV30" si="28">AU28/AT28</f>
        <v>138.63636363636363</v>
      </c>
      <c r="AW28" s="204">
        <f t="shared" ref="AW28:AW30" si="29">RANK(AV28, $AV$27:$AV$41)</f>
        <v>2</v>
      </c>
      <c r="AX28" s="528"/>
    </row>
    <row r="29" spans="2:50" ht="13.5" x14ac:dyDescent="0.2">
      <c r="B29" s="517"/>
      <c r="C29" s="204">
        <v>3</v>
      </c>
      <c r="D29" s="208" t="s">
        <v>101</v>
      </c>
      <c r="E29" s="205">
        <f>VLOOKUP(D29,'07產線配置圖'!$A$26:$C$33,2,0)</f>
        <v>11</v>
      </c>
      <c r="F29" s="205">
        <f>VLOOKUP(D29,'07產線配置圖'!$A$26:$C$33,3,0)</f>
        <v>1636</v>
      </c>
      <c r="G29" s="206">
        <f>F29/E29</f>
        <v>148.72727272727272</v>
      </c>
      <c r="H29" s="519"/>
      <c r="I29" s="205">
        <f t="shared" ref="I29:K30" si="30">AVERAGE(P29,U29,Z29,AE29,AJ29,AO29,AT29)</f>
        <v>11.142857142857142</v>
      </c>
      <c r="J29" s="205">
        <f t="shared" si="30"/>
        <v>1506.7142857142858</v>
      </c>
      <c r="K29" s="206">
        <f t="shared" si="30"/>
        <v>135.35389610389612</v>
      </c>
      <c r="L29" s="519"/>
      <c r="M29" s="207">
        <f>RANK(K29, K$27:$K$41)</f>
        <v>2</v>
      </c>
      <c r="N29" s="516"/>
      <c r="O29" s="516"/>
      <c r="P29" s="205">
        <v>11</v>
      </c>
      <c r="Q29" s="205">
        <v>1410</v>
      </c>
      <c r="R29" s="206">
        <f t="shared" si="20"/>
        <v>128.18181818181819</v>
      </c>
      <c r="S29" s="204">
        <f t="shared" si="21"/>
        <v>2</v>
      </c>
      <c r="T29" s="528"/>
      <c r="U29" s="205">
        <v>11</v>
      </c>
      <c r="V29" s="205">
        <v>1404</v>
      </c>
      <c r="W29" s="206">
        <f t="shared" si="22"/>
        <v>127.63636363636364</v>
      </c>
      <c r="X29" s="204">
        <f t="shared" si="23"/>
        <v>3</v>
      </c>
      <c r="Y29" s="528"/>
      <c r="Z29" s="205">
        <v>11</v>
      </c>
      <c r="AA29" s="205">
        <v>1564</v>
      </c>
      <c r="AB29" s="206">
        <f t="shared" si="24"/>
        <v>142.18181818181819</v>
      </c>
      <c r="AC29" s="204">
        <f t="shared" si="25"/>
        <v>1</v>
      </c>
      <c r="AD29" s="528"/>
      <c r="AE29" s="341">
        <v>12</v>
      </c>
      <c r="AF29" s="205">
        <v>1497</v>
      </c>
      <c r="AG29" s="346">
        <f>AF29/AE29</f>
        <v>124.75</v>
      </c>
      <c r="AH29" s="391">
        <f>RANK(AG29, $AG$27:$AG$41)</f>
        <v>3</v>
      </c>
      <c r="AI29" s="528"/>
      <c r="AJ29" s="205">
        <v>11</v>
      </c>
      <c r="AK29" s="205">
        <v>1562</v>
      </c>
      <c r="AL29" s="206">
        <f t="shared" si="26"/>
        <v>142</v>
      </c>
      <c r="AM29" s="204">
        <f t="shared" si="27"/>
        <v>1</v>
      </c>
      <c r="AN29" s="528"/>
      <c r="AO29" s="205">
        <v>11</v>
      </c>
      <c r="AP29" s="205">
        <v>1570</v>
      </c>
      <c r="AQ29" s="206">
        <f>AP29/AO29</f>
        <v>142.72727272727272</v>
      </c>
      <c r="AR29" s="204">
        <f>RANK(AQ29, $AQ$27:$AQ$41)</f>
        <v>1</v>
      </c>
      <c r="AS29" s="528"/>
      <c r="AT29" s="205">
        <v>11</v>
      </c>
      <c r="AU29" s="205">
        <v>1540</v>
      </c>
      <c r="AV29" s="206">
        <f t="shared" si="28"/>
        <v>140</v>
      </c>
      <c r="AW29" s="204">
        <f t="shared" si="29"/>
        <v>1</v>
      </c>
      <c r="AX29" s="528"/>
    </row>
    <row r="30" spans="2:50" ht="13.5" x14ac:dyDescent="0.2">
      <c r="B30" s="517"/>
      <c r="C30" s="204">
        <v>4</v>
      </c>
      <c r="D30" s="208" t="s">
        <v>102</v>
      </c>
      <c r="E30" s="205">
        <f>VLOOKUP(D30,'07產線配置圖'!$A$26:$C$33,2,0)</f>
        <v>11</v>
      </c>
      <c r="F30" s="205">
        <f>VLOOKUP(D30,'07產線配置圖'!$A$26:$C$33,3,0)</f>
        <v>1636</v>
      </c>
      <c r="G30" s="206">
        <f>F30/E30</f>
        <v>148.72727272727272</v>
      </c>
      <c r="H30" s="519"/>
      <c r="I30" s="205">
        <f t="shared" si="30"/>
        <v>10.285714285714286</v>
      </c>
      <c r="J30" s="205">
        <f t="shared" si="30"/>
        <v>1341.7142857142858</v>
      </c>
      <c r="K30" s="206">
        <f t="shared" si="30"/>
        <v>131.01731601731601</v>
      </c>
      <c r="L30" s="519"/>
      <c r="M30" s="207">
        <f>RANK(K30, K$27:$K$41)</f>
        <v>3</v>
      </c>
      <c r="N30" s="516"/>
      <c r="O30" s="516"/>
      <c r="P30" s="205">
        <v>11</v>
      </c>
      <c r="Q30" s="205">
        <v>1399</v>
      </c>
      <c r="R30" s="206">
        <f t="shared" si="20"/>
        <v>127.18181818181819</v>
      </c>
      <c r="S30" s="204">
        <f t="shared" si="21"/>
        <v>3</v>
      </c>
      <c r="T30" s="528"/>
      <c r="U30" s="390">
        <v>9</v>
      </c>
      <c r="V30" s="205">
        <v>1293</v>
      </c>
      <c r="W30" s="206">
        <f>V30/U30</f>
        <v>143.66666666666666</v>
      </c>
      <c r="X30" s="204">
        <f>RANK(W30, $W$27:$W$41)</f>
        <v>1</v>
      </c>
      <c r="Y30" s="528"/>
      <c r="Z30" s="205">
        <v>11</v>
      </c>
      <c r="AA30" s="205">
        <v>1367</v>
      </c>
      <c r="AB30" s="206">
        <f t="shared" si="24"/>
        <v>124.27272727272727</v>
      </c>
      <c r="AC30" s="204">
        <f t="shared" si="25"/>
        <v>3</v>
      </c>
      <c r="AD30" s="528"/>
      <c r="AE30" s="390">
        <v>9</v>
      </c>
      <c r="AF30" s="205">
        <v>1260</v>
      </c>
      <c r="AG30" s="346">
        <f>AF30/AE30</f>
        <v>140</v>
      </c>
      <c r="AH30" s="391">
        <f>RANK(AG30, $AG$27:$AG$41)</f>
        <v>2</v>
      </c>
      <c r="AI30" s="528"/>
      <c r="AJ30" s="390">
        <v>10</v>
      </c>
      <c r="AK30" s="205">
        <v>1290</v>
      </c>
      <c r="AL30" s="206">
        <f t="shared" si="26"/>
        <v>129</v>
      </c>
      <c r="AM30" s="204">
        <f t="shared" si="27"/>
        <v>3</v>
      </c>
      <c r="AN30" s="528"/>
      <c r="AO30" s="205">
        <v>11</v>
      </c>
      <c r="AP30" s="205">
        <v>1389</v>
      </c>
      <c r="AQ30" s="206">
        <f>AP30/AO30</f>
        <v>126.27272727272727</v>
      </c>
      <c r="AR30" s="204">
        <f>RANK(AQ30, $AQ$27:$AQ$41)</f>
        <v>3</v>
      </c>
      <c r="AS30" s="528"/>
      <c r="AT30" s="205">
        <v>11</v>
      </c>
      <c r="AU30" s="205">
        <v>1394</v>
      </c>
      <c r="AV30" s="206">
        <f t="shared" si="28"/>
        <v>126.72727272727273</v>
      </c>
      <c r="AW30" s="204">
        <f t="shared" si="29"/>
        <v>3</v>
      </c>
      <c r="AX30" s="528"/>
    </row>
    <row r="31" spans="2:50" ht="13.5" x14ac:dyDescent="0.2">
      <c r="B31" s="517"/>
      <c r="C31" s="204">
        <v>5</v>
      </c>
      <c r="D31" s="208"/>
      <c r="E31" s="205"/>
      <c r="F31" s="205"/>
      <c r="G31" s="206"/>
      <c r="H31" s="519"/>
      <c r="I31" s="205"/>
      <c r="J31" s="205"/>
      <c r="K31" s="206"/>
      <c r="L31" s="519"/>
      <c r="M31" s="207"/>
      <c r="N31" s="516"/>
      <c r="O31" s="516"/>
      <c r="P31" s="205"/>
      <c r="Q31" s="205"/>
      <c r="R31" s="204"/>
      <c r="S31" s="204"/>
      <c r="T31" s="528"/>
      <c r="U31" s="205"/>
      <c r="V31" s="205"/>
      <c r="W31" s="204"/>
      <c r="X31" s="204"/>
      <c r="Y31" s="528"/>
      <c r="Z31" s="205"/>
      <c r="AA31" s="205"/>
      <c r="AB31" s="204"/>
      <c r="AC31" s="204"/>
      <c r="AD31" s="528"/>
      <c r="AE31" s="205"/>
      <c r="AF31" s="205"/>
      <c r="AG31" s="204"/>
      <c r="AH31" s="204"/>
      <c r="AI31" s="528"/>
      <c r="AJ31" s="205"/>
      <c r="AK31" s="205"/>
      <c r="AL31" s="204"/>
      <c r="AM31" s="204"/>
      <c r="AN31" s="528"/>
      <c r="AO31" s="205"/>
      <c r="AP31" s="205"/>
      <c r="AQ31" s="204"/>
      <c r="AR31" s="204"/>
      <c r="AS31" s="528"/>
      <c r="AT31" s="205"/>
      <c r="AU31" s="205"/>
      <c r="AV31" s="204"/>
      <c r="AW31" s="204"/>
      <c r="AX31" s="528"/>
    </row>
    <row r="32" spans="2:50" ht="13.5" x14ac:dyDescent="0.2">
      <c r="B32" s="517"/>
      <c r="C32" s="204">
        <v>6</v>
      </c>
      <c r="D32" s="208"/>
      <c r="E32" s="205"/>
      <c r="F32" s="205"/>
      <c r="G32" s="206"/>
      <c r="H32" s="519"/>
      <c r="I32" s="205"/>
      <c r="J32" s="205"/>
      <c r="K32" s="206"/>
      <c r="L32" s="519"/>
      <c r="M32" s="207"/>
      <c r="N32" s="516"/>
      <c r="O32" s="516"/>
      <c r="P32" s="205"/>
      <c r="Q32" s="205"/>
      <c r="R32" s="204"/>
      <c r="S32" s="204"/>
      <c r="T32" s="528"/>
      <c r="U32" s="205"/>
      <c r="V32" s="205"/>
      <c r="W32" s="204"/>
      <c r="X32" s="204"/>
      <c r="Y32" s="528"/>
      <c r="Z32" s="205"/>
      <c r="AA32" s="205"/>
      <c r="AB32" s="204"/>
      <c r="AC32" s="204"/>
      <c r="AD32" s="528"/>
      <c r="AE32" s="205"/>
      <c r="AF32" s="205"/>
      <c r="AG32" s="204"/>
      <c r="AH32" s="204"/>
      <c r="AI32" s="528"/>
      <c r="AJ32" s="205"/>
      <c r="AK32" s="205"/>
      <c r="AL32" s="204"/>
      <c r="AM32" s="204"/>
      <c r="AN32" s="528"/>
      <c r="AO32" s="205"/>
      <c r="AP32" s="205"/>
      <c r="AQ32" s="204"/>
      <c r="AR32" s="204"/>
      <c r="AS32" s="528"/>
      <c r="AT32" s="205"/>
      <c r="AU32" s="205"/>
      <c r="AV32" s="204"/>
      <c r="AW32" s="204"/>
      <c r="AX32" s="528"/>
    </row>
    <row r="33" spans="2:50" ht="13.5" x14ac:dyDescent="0.2">
      <c r="B33" s="517"/>
      <c r="C33" s="204">
        <v>7</v>
      </c>
      <c r="D33" s="208"/>
      <c r="E33" s="205"/>
      <c r="F33" s="205"/>
      <c r="G33" s="206"/>
      <c r="H33" s="519"/>
      <c r="I33" s="205"/>
      <c r="J33" s="205"/>
      <c r="K33" s="206"/>
      <c r="L33" s="519"/>
      <c r="M33" s="207"/>
      <c r="N33" s="516"/>
      <c r="O33" s="516"/>
      <c r="P33" s="205"/>
      <c r="Q33" s="205"/>
      <c r="R33" s="204"/>
      <c r="S33" s="204"/>
      <c r="T33" s="528"/>
      <c r="U33" s="205"/>
      <c r="V33" s="205"/>
      <c r="W33" s="204"/>
      <c r="X33" s="204"/>
      <c r="Y33" s="528"/>
      <c r="Z33" s="205"/>
      <c r="AA33" s="205"/>
      <c r="AB33" s="204"/>
      <c r="AC33" s="204"/>
      <c r="AD33" s="528"/>
      <c r="AE33" s="205"/>
      <c r="AF33" s="205"/>
      <c r="AG33" s="204"/>
      <c r="AH33" s="204"/>
      <c r="AI33" s="528"/>
      <c r="AJ33" s="205"/>
      <c r="AK33" s="205"/>
      <c r="AL33" s="204"/>
      <c r="AM33" s="204"/>
      <c r="AN33" s="528"/>
      <c r="AO33" s="205"/>
      <c r="AP33" s="205"/>
      <c r="AQ33" s="204"/>
      <c r="AR33" s="204"/>
      <c r="AS33" s="528"/>
      <c r="AT33" s="205"/>
      <c r="AU33" s="205"/>
      <c r="AV33" s="204"/>
      <c r="AW33" s="204"/>
      <c r="AX33" s="528"/>
    </row>
    <row r="34" spans="2:50" ht="13.5" x14ac:dyDescent="0.2">
      <c r="B34" s="517"/>
      <c r="C34" s="204">
        <v>8</v>
      </c>
      <c r="D34" s="208"/>
      <c r="E34" s="204"/>
      <c r="F34" s="204"/>
      <c r="G34" s="204"/>
      <c r="H34" s="519"/>
      <c r="I34" s="205"/>
      <c r="J34" s="205"/>
      <c r="K34" s="206"/>
      <c r="L34" s="519"/>
      <c r="M34" s="207"/>
      <c r="N34" s="516"/>
      <c r="O34" s="516"/>
      <c r="P34" s="205"/>
      <c r="Q34" s="205"/>
      <c r="R34" s="204"/>
      <c r="S34" s="204"/>
      <c r="T34" s="528"/>
      <c r="U34" s="205"/>
      <c r="V34" s="205"/>
      <c r="W34" s="204"/>
      <c r="X34" s="204"/>
      <c r="Y34" s="528"/>
      <c r="Z34" s="205"/>
      <c r="AA34" s="205"/>
      <c r="AB34" s="204"/>
      <c r="AC34" s="204"/>
      <c r="AD34" s="528"/>
      <c r="AE34" s="205"/>
      <c r="AF34" s="205"/>
      <c r="AG34" s="204"/>
      <c r="AH34" s="204"/>
      <c r="AI34" s="528"/>
      <c r="AJ34" s="205"/>
      <c r="AK34" s="205"/>
      <c r="AL34" s="204"/>
      <c r="AM34" s="204"/>
      <c r="AN34" s="528"/>
      <c r="AO34" s="205"/>
      <c r="AP34" s="205"/>
      <c r="AQ34" s="204"/>
      <c r="AR34" s="204"/>
      <c r="AS34" s="528"/>
      <c r="AT34" s="205"/>
      <c r="AU34" s="205"/>
      <c r="AV34" s="204"/>
      <c r="AW34" s="204"/>
      <c r="AX34" s="528"/>
    </row>
    <row r="35" spans="2:50" ht="13.5" x14ac:dyDescent="0.2">
      <c r="B35" s="517"/>
      <c r="C35" s="204">
        <v>9</v>
      </c>
      <c r="D35" s="208"/>
      <c r="E35" s="204"/>
      <c r="F35" s="204"/>
      <c r="G35" s="204"/>
      <c r="H35" s="519"/>
      <c r="I35" s="205"/>
      <c r="J35" s="205"/>
      <c r="K35" s="206"/>
      <c r="L35" s="519"/>
      <c r="M35" s="207"/>
      <c r="N35" s="516"/>
      <c r="O35" s="516"/>
      <c r="P35" s="205"/>
      <c r="Q35" s="205"/>
      <c r="R35" s="204"/>
      <c r="S35" s="204"/>
      <c r="T35" s="528"/>
      <c r="U35" s="205"/>
      <c r="V35" s="205"/>
      <c r="W35" s="204"/>
      <c r="X35" s="204"/>
      <c r="Y35" s="528"/>
      <c r="Z35" s="205"/>
      <c r="AA35" s="205"/>
      <c r="AB35" s="204"/>
      <c r="AC35" s="204"/>
      <c r="AD35" s="528"/>
      <c r="AE35" s="205"/>
      <c r="AF35" s="205"/>
      <c r="AG35" s="204"/>
      <c r="AH35" s="204"/>
      <c r="AI35" s="528"/>
      <c r="AJ35" s="205"/>
      <c r="AK35" s="205"/>
      <c r="AL35" s="204"/>
      <c r="AM35" s="204"/>
      <c r="AN35" s="528"/>
      <c r="AO35" s="205"/>
      <c r="AP35" s="205"/>
      <c r="AQ35" s="204"/>
      <c r="AR35" s="204"/>
      <c r="AS35" s="528"/>
      <c r="AT35" s="205"/>
      <c r="AU35" s="205"/>
      <c r="AV35" s="204"/>
      <c r="AW35" s="204"/>
      <c r="AX35" s="528"/>
    </row>
    <row r="36" spans="2:50" ht="13.5" x14ac:dyDescent="0.2">
      <c r="B36" s="517"/>
      <c r="C36" s="204">
        <v>10</v>
      </c>
      <c r="D36" s="208"/>
      <c r="E36" s="204"/>
      <c r="F36" s="204"/>
      <c r="G36" s="204"/>
      <c r="H36" s="519"/>
      <c r="I36" s="205"/>
      <c r="J36" s="205"/>
      <c r="K36" s="206"/>
      <c r="L36" s="519"/>
      <c r="M36" s="207"/>
      <c r="N36" s="516"/>
      <c r="O36" s="516"/>
      <c r="P36" s="205"/>
      <c r="Q36" s="205"/>
      <c r="R36" s="204"/>
      <c r="S36" s="204"/>
      <c r="T36" s="528"/>
      <c r="U36" s="205"/>
      <c r="V36" s="205"/>
      <c r="W36" s="204"/>
      <c r="X36" s="204"/>
      <c r="Y36" s="528"/>
      <c r="Z36" s="205"/>
      <c r="AA36" s="205"/>
      <c r="AB36" s="204"/>
      <c r="AC36" s="204"/>
      <c r="AD36" s="528"/>
      <c r="AE36" s="205"/>
      <c r="AF36" s="205"/>
      <c r="AG36" s="204"/>
      <c r="AH36" s="204"/>
      <c r="AI36" s="528"/>
      <c r="AJ36" s="205"/>
      <c r="AK36" s="205"/>
      <c r="AL36" s="204"/>
      <c r="AM36" s="204"/>
      <c r="AN36" s="528"/>
      <c r="AO36" s="205"/>
      <c r="AP36" s="205"/>
      <c r="AQ36" s="204"/>
      <c r="AR36" s="204"/>
      <c r="AS36" s="528"/>
      <c r="AT36" s="205"/>
      <c r="AU36" s="205"/>
      <c r="AV36" s="204"/>
      <c r="AW36" s="204"/>
      <c r="AX36" s="528"/>
    </row>
    <row r="37" spans="2:50" ht="13.5" x14ac:dyDescent="0.2">
      <c r="B37" s="517"/>
      <c r="C37" s="204">
        <v>11</v>
      </c>
      <c r="D37" s="208"/>
      <c r="E37" s="204"/>
      <c r="F37" s="204"/>
      <c r="G37" s="204"/>
      <c r="H37" s="519"/>
      <c r="I37" s="205"/>
      <c r="J37" s="205"/>
      <c r="K37" s="206"/>
      <c r="L37" s="519"/>
      <c r="M37" s="207"/>
      <c r="N37" s="516"/>
      <c r="O37" s="516"/>
      <c r="P37" s="204"/>
      <c r="Q37" s="204"/>
      <c r="R37" s="204"/>
      <c r="S37" s="204"/>
      <c r="T37" s="528"/>
      <c r="U37" s="204"/>
      <c r="V37" s="204"/>
      <c r="W37" s="204"/>
      <c r="X37" s="204"/>
      <c r="Y37" s="528"/>
      <c r="Z37" s="204"/>
      <c r="AA37" s="204"/>
      <c r="AB37" s="204"/>
      <c r="AC37" s="204"/>
      <c r="AD37" s="528"/>
      <c r="AE37" s="204"/>
      <c r="AF37" s="204"/>
      <c r="AG37" s="204"/>
      <c r="AH37" s="204"/>
      <c r="AI37" s="528"/>
      <c r="AJ37" s="204"/>
      <c r="AK37" s="204"/>
      <c r="AL37" s="204"/>
      <c r="AM37" s="204"/>
      <c r="AN37" s="528"/>
      <c r="AO37" s="204"/>
      <c r="AP37" s="204"/>
      <c r="AQ37" s="204"/>
      <c r="AR37" s="204"/>
      <c r="AS37" s="528"/>
      <c r="AT37" s="204"/>
      <c r="AU37" s="204"/>
      <c r="AV37" s="204"/>
      <c r="AW37" s="204"/>
      <c r="AX37" s="528"/>
    </row>
    <row r="38" spans="2:50" ht="13.5" x14ac:dyDescent="0.2">
      <c r="B38" s="517"/>
      <c r="C38" s="204">
        <v>12</v>
      </c>
      <c r="D38" s="208"/>
      <c r="E38" s="204"/>
      <c r="F38" s="204"/>
      <c r="G38" s="204"/>
      <c r="H38" s="519"/>
      <c r="I38" s="205"/>
      <c r="J38" s="205"/>
      <c r="K38" s="206"/>
      <c r="L38" s="519"/>
      <c r="M38" s="207"/>
      <c r="N38" s="516"/>
      <c r="O38" s="516"/>
      <c r="P38" s="204"/>
      <c r="Q38" s="204"/>
      <c r="R38" s="204"/>
      <c r="S38" s="204"/>
      <c r="T38" s="528"/>
      <c r="U38" s="204"/>
      <c r="V38" s="204"/>
      <c r="W38" s="204"/>
      <c r="X38" s="204"/>
      <c r="Y38" s="528"/>
      <c r="Z38" s="204"/>
      <c r="AA38" s="204"/>
      <c r="AB38" s="204"/>
      <c r="AC38" s="204"/>
      <c r="AD38" s="528"/>
      <c r="AE38" s="204"/>
      <c r="AF38" s="204"/>
      <c r="AG38" s="204"/>
      <c r="AH38" s="204"/>
      <c r="AI38" s="528"/>
      <c r="AJ38" s="204"/>
      <c r="AK38" s="204"/>
      <c r="AL38" s="204"/>
      <c r="AM38" s="204"/>
      <c r="AN38" s="528"/>
      <c r="AO38" s="204"/>
      <c r="AP38" s="204"/>
      <c r="AQ38" s="204"/>
      <c r="AR38" s="204"/>
      <c r="AS38" s="528"/>
      <c r="AT38" s="204"/>
      <c r="AU38" s="204"/>
      <c r="AV38" s="204"/>
      <c r="AW38" s="204"/>
      <c r="AX38" s="528"/>
    </row>
    <row r="39" spans="2:50" ht="13.5" x14ac:dyDescent="0.2">
      <c r="B39" s="517"/>
      <c r="C39" s="204">
        <v>13</v>
      </c>
      <c r="D39" s="208"/>
      <c r="E39" s="204"/>
      <c r="F39" s="204"/>
      <c r="G39" s="204"/>
      <c r="H39" s="519"/>
      <c r="I39" s="205"/>
      <c r="J39" s="205"/>
      <c r="K39" s="206"/>
      <c r="L39" s="519"/>
      <c r="M39" s="207"/>
      <c r="N39" s="516"/>
      <c r="O39" s="516"/>
      <c r="P39" s="204"/>
      <c r="Q39" s="204"/>
      <c r="R39" s="204"/>
      <c r="S39" s="204"/>
      <c r="T39" s="528"/>
      <c r="U39" s="204"/>
      <c r="V39" s="204"/>
      <c r="W39" s="204"/>
      <c r="X39" s="204"/>
      <c r="Y39" s="528"/>
      <c r="Z39" s="204"/>
      <c r="AA39" s="204"/>
      <c r="AB39" s="204"/>
      <c r="AC39" s="204"/>
      <c r="AD39" s="528"/>
      <c r="AE39" s="204"/>
      <c r="AF39" s="204"/>
      <c r="AG39" s="204"/>
      <c r="AH39" s="204"/>
      <c r="AI39" s="528"/>
      <c r="AJ39" s="204"/>
      <c r="AK39" s="204"/>
      <c r="AL39" s="204"/>
      <c r="AM39" s="204"/>
      <c r="AN39" s="528"/>
      <c r="AO39" s="204"/>
      <c r="AP39" s="204"/>
      <c r="AQ39" s="204"/>
      <c r="AR39" s="204"/>
      <c r="AS39" s="528"/>
      <c r="AT39" s="204"/>
      <c r="AU39" s="204"/>
      <c r="AV39" s="204"/>
      <c r="AW39" s="204"/>
      <c r="AX39" s="528"/>
    </row>
    <row r="40" spans="2:50" ht="13.5" x14ac:dyDescent="0.2">
      <c r="B40" s="517"/>
      <c r="C40" s="204">
        <v>14</v>
      </c>
      <c r="D40" s="208"/>
      <c r="E40" s="204"/>
      <c r="F40" s="204"/>
      <c r="G40" s="204"/>
      <c r="H40" s="519"/>
      <c r="I40" s="205"/>
      <c r="J40" s="205"/>
      <c r="K40" s="206"/>
      <c r="L40" s="519"/>
      <c r="M40" s="207"/>
      <c r="N40" s="516"/>
      <c r="O40" s="516"/>
      <c r="P40" s="204"/>
      <c r="Q40" s="204"/>
      <c r="R40" s="204"/>
      <c r="S40" s="204"/>
      <c r="T40" s="528"/>
      <c r="U40" s="204"/>
      <c r="V40" s="204"/>
      <c r="W40" s="204"/>
      <c r="X40" s="204"/>
      <c r="Y40" s="528"/>
      <c r="Z40" s="204"/>
      <c r="AA40" s="204"/>
      <c r="AB40" s="204"/>
      <c r="AC40" s="204"/>
      <c r="AD40" s="528"/>
      <c r="AE40" s="204"/>
      <c r="AF40" s="204"/>
      <c r="AG40" s="204"/>
      <c r="AH40" s="204"/>
      <c r="AI40" s="528"/>
      <c r="AJ40" s="204"/>
      <c r="AK40" s="204"/>
      <c r="AL40" s="204"/>
      <c r="AM40" s="204"/>
      <c r="AN40" s="528"/>
      <c r="AO40" s="204"/>
      <c r="AP40" s="204"/>
      <c r="AQ40" s="204"/>
      <c r="AR40" s="204"/>
      <c r="AS40" s="528"/>
      <c r="AT40" s="204"/>
      <c r="AU40" s="204"/>
      <c r="AV40" s="204"/>
      <c r="AW40" s="204"/>
      <c r="AX40" s="528"/>
    </row>
    <row r="41" spans="2:50" ht="13.5" x14ac:dyDescent="0.2">
      <c r="B41" s="517"/>
      <c r="C41" s="204">
        <v>15</v>
      </c>
      <c r="D41" s="208"/>
      <c r="E41" s="204"/>
      <c r="F41" s="204"/>
      <c r="G41" s="204"/>
      <c r="H41" s="520"/>
      <c r="I41" s="205"/>
      <c r="J41" s="205"/>
      <c r="K41" s="206"/>
      <c r="L41" s="520"/>
      <c r="M41" s="205"/>
      <c r="N41" s="516"/>
      <c r="O41" s="516"/>
      <c r="P41" s="204"/>
      <c r="Q41" s="204"/>
      <c r="R41" s="204"/>
      <c r="S41" s="204"/>
      <c r="T41" s="528"/>
      <c r="U41" s="204"/>
      <c r="V41" s="204"/>
      <c r="W41" s="204"/>
      <c r="X41" s="204"/>
      <c r="Y41" s="528"/>
      <c r="Z41" s="204"/>
      <c r="AA41" s="204"/>
      <c r="AB41" s="204"/>
      <c r="AC41" s="204"/>
      <c r="AD41" s="528"/>
      <c r="AE41" s="204"/>
      <c r="AF41" s="204"/>
      <c r="AG41" s="204"/>
      <c r="AH41" s="204"/>
      <c r="AI41" s="528"/>
      <c r="AJ41" s="204"/>
      <c r="AK41" s="204"/>
      <c r="AL41" s="204"/>
      <c r="AM41" s="204"/>
      <c r="AN41" s="528"/>
      <c r="AO41" s="204"/>
      <c r="AP41" s="204"/>
      <c r="AQ41" s="204"/>
      <c r="AR41" s="204"/>
      <c r="AS41" s="528"/>
      <c r="AT41" s="204"/>
      <c r="AU41" s="204"/>
      <c r="AV41" s="204"/>
      <c r="AW41" s="204"/>
      <c r="AX41" s="528"/>
    </row>
    <row r="42" spans="2:50" ht="15.75" x14ac:dyDescent="0.2">
      <c r="B42" s="530" t="s">
        <v>85</v>
      </c>
      <c r="C42" s="531"/>
      <c r="D42" s="531"/>
      <c r="E42" s="531"/>
      <c r="F42" s="531"/>
      <c r="G42" s="531"/>
      <c r="H42" s="531"/>
      <c r="I42" s="209"/>
      <c r="J42" s="198"/>
      <c r="K42" s="209"/>
      <c r="L42" s="209"/>
      <c r="M42" s="199"/>
      <c r="N42" s="514" t="s">
        <v>86</v>
      </c>
      <c r="O42" s="514" t="s">
        <v>45</v>
      </c>
      <c r="P42" s="524">
        <f>AT22+1</f>
        <v>46217</v>
      </c>
      <c r="Q42" s="517"/>
      <c r="R42" s="517"/>
      <c r="S42" s="517"/>
      <c r="T42" s="517"/>
      <c r="U42" s="524">
        <f>P42+1</f>
        <v>46218</v>
      </c>
      <c r="V42" s="517"/>
      <c r="W42" s="517"/>
      <c r="X42" s="517"/>
      <c r="Y42" s="517"/>
      <c r="Z42" s="524">
        <f>Z22+7</f>
        <v>46219</v>
      </c>
      <c r="AA42" s="517"/>
      <c r="AB42" s="517"/>
      <c r="AC42" s="517"/>
      <c r="AD42" s="517"/>
      <c r="AE42" s="524">
        <f>AE22+7</f>
        <v>46220</v>
      </c>
      <c r="AF42" s="517"/>
      <c r="AG42" s="517"/>
      <c r="AH42" s="517"/>
      <c r="AI42" s="517"/>
      <c r="AJ42" s="524">
        <f>AJ22+7</f>
        <v>46221</v>
      </c>
      <c r="AK42" s="517"/>
      <c r="AL42" s="517"/>
      <c r="AM42" s="517"/>
      <c r="AN42" s="517"/>
      <c r="AO42" s="524">
        <f>AO22+7</f>
        <v>46222</v>
      </c>
      <c r="AP42" s="517"/>
      <c r="AQ42" s="517"/>
      <c r="AR42" s="517"/>
      <c r="AS42" s="517"/>
      <c r="AT42" s="524">
        <f>AT22+7</f>
        <v>46223</v>
      </c>
      <c r="AU42" s="517"/>
      <c r="AV42" s="517"/>
      <c r="AW42" s="517"/>
      <c r="AX42" s="517"/>
    </row>
    <row r="43" spans="2:50" ht="15.75" x14ac:dyDescent="0.2">
      <c r="B43" s="513"/>
      <c r="C43" s="513"/>
      <c r="D43" s="513"/>
      <c r="E43" s="513"/>
      <c r="F43" s="513"/>
      <c r="G43" s="513"/>
      <c r="H43" s="513"/>
      <c r="I43" s="200"/>
      <c r="J43" s="200"/>
      <c r="K43" s="200"/>
      <c r="L43" s="200"/>
      <c r="M43" s="201"/>
      <c r="N43" s="515"/>
      <c r="O43" s="515"/>
      <c r="P43" s="524" t="s">
        <v>61</v>
      </c>
      <c r="Q43" s="517"/>
      <c r="R43" s="517"/>
      <c r="S43" s="517"/>
      <c r="T43" s="517"/>
      <c r="U43" s="524" t="s">
        <v>56</v>
      </c>
      <c r="V43" s="517"/>
      <c r="W43" s="517"/>
      <c r="X43" s="517"/>
      <c r="Y43" s="517"/>
      <c r="Z43" s="524" t="s">
        <v>57</v>
      </c>
      <c r="AA43" s="517"/>
      <c r="AB43" s="517"/>
      <c r="AC43" s="517"/>
      <c r="AD43" s="517"/>
      <c r="AE43" s="524" t="s">
        <v>58</v>
      </c>
      <c r="AF43" s="517"/>
      <c r="AG43" s="517"/>
      <c r="AH43" s="517"/>
      <c r="AI43" s="517"/>
      <c r="AJ43" s="524" t="s">
        <v>59</v>
      </c>
      <c r="AK43" s="517"/>
      <c r="AL43" s="517"/>
      <c r="AM43" s="517"/>
      <c r="AN43" s="517"/>
      <c r="AO43" s="524" t="s">
        <v>52</v>
      </c>
      <c r="AP43" s="517"/>
      <c r="AQ43" s="517"/>
      <c r="AR43" s="517"/>
      <c r="AS43" s="517"/>
      <c r="AT43" s="524" t="s">
        <v>60</v>
      </c>
      <c r="AU43" s="517"/>
      <c r="AV43" s="517"/>
      <c r="AW43" s="517"/>
      <c r="AX43" s="517"/>
    </row>
    <row r="44" spans="2:50" x14ac:dyDescent="0.2">
      <c r="B44" s="516" t="s">
        <v>41</v>
      </c>
      <c r="C44" s="516" t="s">
        <v>87</v>
      </c>
      <c r="D44" s="516"/>
      <c r="E44" s="516" t="s">
        <v>88</v>
      </c>
      <c r="F44" s="516"/>
      <c r="G44" s="516"/>
      <c r="H44" s="521" t="s">
        <v>89</v>
      </c>
      <c r="I44" s="516" t="s">
        <v>90</v>
      </c>
      <c r="J44" s="516"/>
      <c r="K44" s="516"/>
      <c r="L44" s="521" t="s">
        <v>89</v>
      </c>
      <c r="M44" s="514" t="s">
        <v>91</v>
      </c>
      <c r="N44" s="516"/>
      <c r="O44" s="516" t="s">
        <v>92</v>
      </c>
      <c r="P44" s="525" t="s">
        <v>93</v>
      </c>
      <c r="Q44" s="526"/>
      <c r="R44" s="526"/>
      <c r="S44" s="527"/>
      <c r="T44" s="516" t="s">
        <v>89</v>
      </c>
      <c r="U44" s="525" t="s">
        <v>93</v>
      </c>
      <c r="V44" s="526"/>
      <c r="W44" s="526"/>
      <c r="X44" s="527"/>
      <c r="Y44" s="516" t="s">
        <v>89</v>
      </c>
      <c r="Z44" s="525" t="s">
        <v>93</v>
      </c>
      <c r="AA44" s="526"/>
      <c r="AB44" s="526"/>
      <c r="AC44" s="527"/>
      <c r="AD44" s="516" t="s">
        <v>89</v>
      </c>
      <c r="AE44" s="525" t="s">
        <v>93</v>
      </c>
      <c r="AF44" s="526"/>
      <c r="AG44" s="526"/>
      <c r="AH44" s="527"/>
      <c r="AI44" s="516" t="s">
        <v>89</v>
      </c>
      <c r="AJ44" s="525" t="s">
        <v>93</v>
      </c>
      <c r="AK44" s="526"/>
      <c r="AL44" s="526"/>
      <c r="AM44" s="527"/>
      <c r="AN44" s="516" t="s">
        <v>89</v>
      </c>
      <c r="AO44" s="525" t="s">
        <v>93</v>
      </c>
      <c r="AP44" s="526"/>
      <c r="AQ44" s="526"/>
      <c r="AR44" s="527"/>
      <c r="AS44" s="516" t="s">
        <v>89</v>
      </c>
      <c r="AT44" s="525" t="s">
        <v>93</v>
      </c>
      <c r="AU44" s="526"/>
      <c r="AV44" s="526"/>
      <c r="AW44" s="527"/>
      <c r="AX44" s="516" t="s">
        <v>89</v>
      </c>
    </row>
    <row r="45" spans="2:50" x14ac:dyDescent="0.2">
      <c r="B45" s="516"/>
      <c r="C45" s="516"/>
      <c r="D45" s="516"/>
      <c r="E45" s="516" t="s">
        <v>94</v>
      </c>
      <c r="F45" s="516"/>
      <c r="G45" s="516"/>
      <c r="H45" s="522"/>
      <c r="I45" s="516" t="s">
        <v>94</v>
      </c>
      <c r="J45" s="516"/>
      <c r="K45" s="516"/>
      <c r="L45" s="522"/>
      <c r="M45" s="529"/>
      <c r="N45" s="516"/>
      <c r="O45" s="516"/>
      <c r="P45" s="525" t="s">
        <v>95</v>
      </c>
      <c r="Q45" s="526"/>
      <c r="R45" s="526"/>
      <c r="S45" s="527"/>
      <c r="T45" s="516"/>
      <c r="U45" s="525" t="s">
        <v>95</v>
      </c>
      <c r="V45" s="526"/>
      <c r="W45" s="526"/>
      <c r="X45" s="527"/>
      <c r="Y45" s="516"/>
      <c r="Z45" s="525" t="s">
        <v>95</v>
      </c>
      <c r="AA45" s="526"/>
      <c r="AB45" s="526"/>
      <c r="AC45" s="527"/>
      <c r="AD45" s="516"/>
      <c r="AE45" s="525" t="s">
        <v>95</v>
      </c>
      <c r="AF45" s="526"/>
      <c r="AG45" s="526"/>
      <c r="AH45" s="527"/>
      <c r="AI45" s="516"/>
      <c r="AJ45" s="525" t="s">
        <v>95</v>
      </c>
      <c r="AK45" s="526"/>
      <c r="AL45" s="526"/>
      <c r="AM45" s="527"/>
      <c r="AN45" s="516"/>
      <c r="AO45" s="525" t="s">
        <v>95</v>
      </c>
      <c r="AP45" s="526"/>
      <c r="AQ45" s="526"/>
      <c r="AR45" s="527"/>
      <c r="AS45" s="516"/>
      <c r="AT45" s="525" t="s">
        <v>95</v>
      </c>
      <c r="AU45" s="526"/>
      <c r="AV45" s="526"/>
      <c r="AW45" s="527"/>
      <c r="AX45" s="516"/>
    </row>
    <row r="46" spans="2:50" x14ac:dyDescent="0.2">
      <c r="B46" s="516"/>
      <c r="C46" s="516"/>
      <c r="D46" s="516"/>
      <c r="E46" s="203" t="s">
        <v>96</v>
      </c>
      <c r="F46" s="203" t="s">
        <v>97</v>
      </c>
      <c r="G46" s="203" t="s">
        <v>98</v>
      </c>
      <c r="H46" s="523"/>
      <c r="I46" s="203" t="s">
        <v>96</v>
      </c>
      <c r="J46" s="203" t="s">
        <v>97</v>
      </c>
      <c r="K46" s="203" t="s">
        <v>98</v>
      </c>
      <c r="L46" s="523"/>
      <c r="M46" s="515"/>
      <c r="N46" s="516"/>
      <c r="O46" s="516"/>
      <c r="P46" s="203" t="s">
        <v>96</v>
      </c>
      <c r="Q46" s="203" t="s">
        <v>97</v>
      </c>
      <c r="R46" s="203" t="s">
        <v>98</v>
      </c>
      <c r="S46" s="203" t="s">
        <v>91</v>
      </c>
      <c r="T46" s="516"/>
      <c r="U46" s="203" t="s">
        <v>96</v>
      </c>
      <c r="V46" s="203" t="s">
        <v>97</v>
      </c>
      <c r="W46" s="203" t="s">
        <v>98</v>
      </c>
      <c r="X46" s="203" t="s">
        <v>91</v>
      </c>
      <c r="Y46" s="516"/>
      <c r="Z46" s="203" t="s">
        <v>96</v>
      </c>
      <c r="AA46" s="203" t="s">
        <v>97</v>
      </c>
      <c r="AB46" s="203" t="s">
        <v>98</v>
      </c>
      <c r="AC46" s="203" t="s">
        <v>91</v>
      </c>
      <c r="AD46" s="516"/>
      <c r="AE46" s="203" t="s">
        <v>96</v>
      </c>
      <c r="AF46" s="203" t="s">
        <v>97</v>
      </c>
      <c r="AG46" s="203" t="s">
        <v>98</v>
      </c>
      <c r="AH46" s="203" t="s">
        <v>91</v>
      </c>
      <c r="AI46" s="516"/>
      <c r="AJ46" s="203" t="s">
        <v>96</v>
      </c>
      <c r="AK46" s="203" t="s">
        <v>97</v>
      </c>
      <c r="AL46" s="203" t="s">
        <v>98</v>
      </c>
      <c r="AM46" s="203" t="s">
        <v>91</v>
      </c>
      <c r="AN46" s="516"/>
      <c r="AO46" s="203" t="s">
        <v>96</v>
      </c>
      <c r="AP46" s="203" t="s">
        <v>97</v>
      </c>
      <c r="AQ46" s="203" t="s">
        <v>98</v>
      </c>
      <c r="AR46" s="203" t="s">
        <v>91</v>
      </c>
      <c r="AS46" s="516"/>
      <c r="AT46" s="203" t="s">
        <v>96</v>
      </c>
      <c r="AU46" s="203" t="s">
        <v>97</v>
      </c>
      <c r="AV46" s="203" t="s">
        <v>98</v>
      </c>
      <c r="AW46" s="203" t="s">
        <v>91</v>
      </c>
      <c r="AX46" s="516"/>
    </row>
    <row r="47" spans="2:50" ht="13.5" x14ac:dyDescent="0.2">
      <c r="B47" s="516" t="s">
        <v>76</v>
      </c>
      <c r="C47" s="204">
        <v>1</v>
      </c>
      <c r="D47" s="208" t="s">
        <v>99</v>
      </c>
      <c r="E47" s="205">
        <f>VLOOKUP(D47,'07產線配置圖'!$A$26:$C$33,2,0)</f>
        <v>15</v>
      </c>
      <c r="F47" s="205">
        <f>VLOOKUP(D47,'07產線配置圖'!$A$26:$C$33,3,0)</f>
        <v>1636</v>
      </c>
      <c r="G47" s="206">
        <f t="shared" ref="G47:G48" si="31">F47/E47</f>
        <v>109.06666666666666</v>
      </c>
      <c r="H47" s="518">
        <f>AVERAGE(G47:G61)</f>
        <v>138.81212121212121</v>
      </c>
      <c r="I47" s="205">
        <f>AVERAGE(P47,U47,Z47,AE47,AJ47,AO47,AT47)</f>
        <v>14.857142857142858</v>
      </c>
      <c r="J47" s="205">
        <f>AVERAGE(Q47,V47,AA47,AF47,AK47,AP47,AU47)</f>
        <v>1539.5714285714287</v>
      </c>
      <c r="K47" s="206">
        <f>AVERAGE(R47,W47,AB47,AG47,AL47,AQ47,AV47)</f>
        <v>103.64421768707484</v>
      </c>
      <c r="L47" s="518">
        <f>IFERROR(AVERAGE(K47:K61),"-")</f>
        <v>128.63789424860852</v>
      </c>
      <c r="M47" s="205">
        <f>RANK(K47, K$47:$K$61)</f>
        <v>4</v>
      </c>
      <c r="N47" s="516"/>
      <c r="O47" s="516"/>
      <c r="P47" s="205">
        <v>14</v>
      </c>
      <c r="Q47" s="205">
        <v>1479</v>
      </c>
      <c r="R47" s="206">
        <f>Q47/P47</f>
        <v>105.64285714285714</v>
      </c>
      <c r="S47" s="204">
        <f>RANK(R47,$R$47:$R$61)</f>
        <v>4</v>
      </c>
      <c r="T47" s="528">
        <f>AVERAGE(R47:R61)</f>
        <v>128.02435064935065</v>
      </c>
      <c r="U47" s="205">
        <v>15</v>
      </c>
      <c r="V47" s="205">
        <v>1564</v>
      </c>
      <c r="W47" s="206">
        <f>V47/U47</f>
        <v>104.26666666666667</v>
      </c>
      <c r="X47" s="204">
        <f>RANK(W47,$W$47:$W$61)</f>
        <v>4</v>
      </c>
      <c r="Y47" s="528">
        <f>AVERAGE(W47:W61)</f>
        <v>128.94848484848484</v>
      </c>
      <c r="Z47" s="205">
        <v>15</v>
      </c>
      <c r="AA47" s="205">
        <v>1577</v>
      </c>
      <c r="AB47" s="206">
        <f>AA47/Z47</f>
        <v>105.13333333333334</v>
      </c>
      <c r="AC47" s="204">
        <f>RANK(AB47,$AB$47:$AB$61)</f>
        <v>4</v>
      </c>
      <c r="AD47" s="528">
        <f>AVERAGE(AB47:AB61)</f>
        <v>125.2378787878788</v>
      </c>
      <c r="AE47" s="205">
        <v>15</v>
      </c>
      <c r="AF47" s="205">
        <v>1543</v>
      </c>
      <c r="AG47" s="206">
        <f>AF47/AE47</f>
        <v>102.86666666666666</v>
      </c>
      <c r="AH47" s="204">
        <f>RANK(AG47,$AG$47:$AG$61)</f>
        <v>4</v>
      </c>
      <c r="AI47" s="528">
        <f>AVERAGE(AG47:AG61)</f>
        <v>128.75833333333333</v>
      </c>
      <c r="AJ47" s="205">
        <v>15</v>
      </c>
      <c r="AK47" s="205">
        <v>1566</v>
      </c>
      <c r="AL47" s="206">
        <f>AK47/AJ47</f>
        <v>104.4</v>
      </c>
      <c r="AM47" s="204">
        <f>RANK(AL47, $AL$47:$AL$61)</f>
        <v>4</v>
      </c>
      <c r="AN47" s="528">
        <f>AVERAGE(AL47:AL61)</f>
        <v>132.01666666666665</v>
      </c>
      <c r="AO47" s="205">
        <v>15</v>
      </c>
      <c r="AP47" s="205">
        <v>1505</v>
      </c>
      <c r="AQ47" s="206">
        <f>AP47/AO47</f>
        <v>100.33333333333333</v>
      </c>
      <c r="AR47" s="204">
        <f>RANK(AQ47,$AQ$47:$AQ$61)</f>
        <v>4</v>
      </c>
      <c r="AS47" s="528">
        <f>AVERAGE(AQ47:AQ61)</f>
        <v>128.14924242424243</v>
      </c>
      <c r="AT47" s="205">
        <v>15</v>
      </c>
      <c r="AU47" s="205">
        <v>1543</v>
      </c>
      <c r="AV47" s="206">
        <f t="shared" ref="AV47" si="32">AU47/AT47</f>
        <v>102.86666666666666</v>
      </c>
      <c r="AW47" s="204">
        <f t="shared" ref="AW47" si="33">RANK(AV47,$AV$47:$AV$61)</f>
        <v>4</v>
      </c>
      <c r="AX47" s="528">
        <f>AVERAGE(AV47:AV61)</f>
        <v>129.33030303030301</v>
      </c>
    </row>
    <row r="48" spans="2:50" ht="13.5" x14ac:dyDescent="0.2">
      <c r="B48" s="517"/>
      <c r="C48" s="204">
        <v>2</v>
      </c>
      <c r="D48" s="208" t="s">
        <v>100</v>
      </c>
      <c r="E48" s="205">
        <f>VLOOKUP(D48,'07產線配置圖'!$A$26:$C$33,2,0)</f>
        <v>11</v>
      </c>
      <c r="F48" s="205">
        <f>VLOOKUP(D48,'07產線配置圖'!$A$26:$C$33,3,0)</f>
        <v>1636</v>
      </c>
      <c r="G48" s="206">
        <f t="shared" si="31"/>
        <v>148.72727272727272</v>
      </c>
      <c r="H48" s="519"/>
      <c r="I48" s="205">
        <f>AVERAGE(P48,U48,Z48,AE48,AJ48,AO48,AT48)</f>
        <v>11.142857142857142</v>
      </c>
      <c r="J48" s="205">
        <f t="shared" ref="J48:K50" si="34">AVERAGE(Q48,V48,AA48,AF48,AK48,AP48,AU48)</f>
        <v>1570.1428571428571</v>
      </c>
      <c r="K48" s="206">
        <f t="shared" si="34"/>
        <v>140.9069264069264</v>
      </c>
      <c r="L48" s="519"/>
      <c r="M48" s="205">
        <f>RANK(K48, K$47:$K$61)</f>
        <v>1</v>
      </c>
      <c r="N48" s="516"/>
      <c r="O48" s="516"/>
      <c r="P48" s="205">
        <v>11</v>
      </c>
      <c r="Q48" s="205">
        <v>1551</v>
      </c>
      <c r="R48" s="206">
        <f t="shared" ref="R48:R50" si="35">Q48/P48</f>
        <v>141</v>
      </c>
      <c r="S48" s="204">
        <f t="shared" ref="S48:S50" si="36">RANK(R48,$R$47:$R$61)</f>
        <v>1</v>
      </c>
      <c r="T48" s="528"/>
      <c r="U48" s="205">
        <v>11</v>
      </c>
      <c r="V48" s="205">
        <v>1528</v>
      </c>
      <c r="W48" s="206">
        <f>V48/U48</f>
        <v>138.90909090909091</v>
      </c>
      <c r="X48" s="204">
        <f>RANK(W48,$W$47:$W$61)</f>
        <v>2</v>
      </c>
      <c r="Y48" s="528"/>
      <c r="Z48" s="205">
        <v>11</v>
      </c>
      <c r="AA48" s="205">
        <v>1538</v>
      </c>
      <c r="AB48" s="206">
        <f t="shared" ref="AB48:AB49" si="37">AA48/Z48</f>
        <v>139.81818181818181</v>
      </c>
      <c r="AC48" s="204">
        <f t="shared" ref="AC48:AC49" si="38">RANK(AB48,$AB$47:$AB$61)</f>
        <v>1</v>
      </c>
      <c r="AD48" s="528"/>
      <c r="AE48" s="341">
        <v>12</v>
      </c>
      <c r="AF48" s="205">
        <v>1694</v>
      </c>
      <c r="AG48" s="206">
        <f t="shared" ref="AG48" si="39">AF48/AE48</f>
        <v>141.16666666666666</v>
      </c>
      <c r="AH48" s="204">
        <f t="shared" ref="AH48" si="40">RANK(AG48,$AG$47:$AG$61)</f>
        <v>1</v>
      </c>
      <c r="AI48" s="528"/>
      <c r="AJ48" s="205">
        <v>11</v>
      </c>
      <c r="AK48" s="205">
        <v>1566</v>
      </c>
      <c r="AL48" s="206">
        <f t="shared" ref="AL48:AL49" si="41">AK48/AJ48</f>
        <v>142.36363636363637</v>
      </c>
      <c r="AM48" s="204">
        <f t="shared" ref="AM48:AM49" si="42">RANK(AL48, $AL$47:$AL$61)</f>
        <v>1</v>
      </c>
      <c r="AN48" s="528"/>
      <c r="AO48" s="205">
        <v>11</v>
      </c>
      <c r="AP48" s="205">
        <v>1568</v>
      </c>
      <c r="AQ48" s="206">
        <f t="shared" ref="AQ48:AQ49" si="43">AP48/AO48</f>
        <v>142.54545454545453</v>
      </c>
      <c r="AR48" s="204">
        <f t="shared" ref="AR48:AR49" si="44">RANK(AQ48,$AQ$47:$AQ$61)</f>
        <v>1</v>
      </c>
      <c r="AS48" s="528"/>
      <c r="AT48" s="205">
        <v>11</v>
      </c>
      <c r="AU48" s="205">
        <v>1546</v>
      </c>
      <c r="AV48" s="206">
        <f t="shared" ref="AV48:AV49" si="45">AU48/AT48</f>
        <v>140.54545454545453</v>
      </c>
      <c r="AW48" s="204">
        <f t="shared" ref="AW48:AW49" si="46">RANK(AV48,$AV$47:$AV$61)</f>
        <v>1</v>
      </c>
      <c r="AX48" s="528"/>
    </row>
    <row r="49" spans="2:50" ht="13.5" x14ac:dyDescent="0.2">
      <c r="B49" s="517"/>
      <c r="C49" s="204">
        <v>3</v>
      </c>
      <c r="D49" s="208" t="s">
        <v>101</v>
      </c>
      <c r="E49" s="205">
        <f>VLOOKUP(D49,'07產線配置圖'!$A$26:$C$33,2,0)</f>
        <v>11</v>
      </c>
      <c r="F49" s="205">
        <f>VLOOKUP(D49,'07產線配置圖'!$A$26:$C$33,3,0)</f>
        <v>1636</v>
      </c>
      <c r="G49" s="206">
        <f>F49/E49</f>
        <v>148.72727272727272</v>
      </c>
      <c r="H49" s="519"/>
      <c r="I49" s="205">
        <f>AVERAGE(P49,U49,Z49,AE49,AJ49,AO49,AT49)</f>
        <v>11.142857142857142</v>
      </c>
      <c r="J49" s="205">
        <f t="shared" si="34"/>
        <v>1549.5714285714287</v>
      </c>
      <c r="K49" s="206">
        <f t="shared" si="34"/>
        <v>139.05194805194805</v>
      </c>
      <c r="L49" s="519"/>
      <c r="M49" s="205">
        <f>RANK(K49, K$47:$K$61)</f>
        <v>2</v>
      </c>
      <c r="N49" s="516"/>
      <c r="O49" s="516"/>
      <c r="P49" s="205">
        <v>11</v>
      </c>
      <c r="Q49" s="205">
        <v>1547</v>
      </c>
      <c r="R49" s="206">
        <f t="shared" si="35"/>
        <v>140.63636363636363</v>
      </c>
      <c r="S49" s="204">
        <f t="shared" si="36"/>
        <v>2</v>
      </c>
      <c r="T49" s="528"/>
      <c r="U49" s="205">
        <v>11</v>
      </c>
      <c r="V49" s="205">
        <v>1560</v>
      </c>
      <c r="W49" s="206">
        <f>V49/U49</f>
        <v>141.81818181818181</v>
      </c>
      <c r="X49" s="204">
        <f>RANK(W49,$W$47:$W$61)</f>
        <v>1</v>
      </c>
      <c r="Y49" s="528"/>
      <c r="Z49" s="205">
        <v>11</v>
      </c>
      <c r="AA49" s="205">
        <v>1429</v>
      </c>
      <c r="AB49" s="206">
        <f t="shared" si="37"/>
        <v>129.90909090909091</v>
      </c>
      <c r="AC49" s="204">
        <f t="shared" si="38"/>
        <v>2</v>
      </c>
      <c r="AD49" s="528"/>
      <c r="AE49" s="341">
        <v>12</v>
      </c>
      <c r="AF49" s="205">
        <v>1680</v>
      </c>
      <c r="AG49" s="206">
        <f t="shared" ref="AG49:AG50" si="47">AF49/AE49</f>
        <v>140</v>
      </c>
      <c r="AH49" s="204">
        <f t="shared" ref="AH49:AH50" si="48">RANK(AG49,$AG$47:$AG$61)</f>
        <v>2</v>
      </c>
      <c r="AI49" s="528"/>
      <c r="AJ49" s="205">
        <v>11</v>
      </c>
      <c r="AK49" s="205">
        <v>1547</v>
      </c>
      <c r="AL49" s="206">
        <f t="shared" si="41"/>
        <v>140.63636363636363</v>
      </c>
      <c r="AM49" s="204">
        <f t="shared" si="42"/>
        <v>3</v>
      </c>
      <c r="AN49" s="528"/>
      <c r="AO49" s="205">
        <v>11</v>
      </c>
      <c r="AP49" s="205">
        <v>1549</v>
      </c>
      <c r="AQ49" s="206">
        <f t="shared" si="43"/>
        <v>140.81818181818181</v>
      </c>
      <c r="AR49" s="204">
        <f t="shared" si="44"/>
        <v>2</v>
      </c>
      <c r="AS49" s="528"/>
      <c r="AT49" s="205">
        <v>11</v>
      </c>
      <c r="AU49" s="205">
        <v>1535</v>
      </c>
      <c r="AV49" s="206">
        <f t="shared" si="45"/>
        <v>139.54545454545453</v>
      </c>
      <c r="AW49" s="204">
        <f t="shared" si="46"/>
        <v>2</v>
      </c>
      <c r="AX49" s="528"/>
    </row>
    <row r="50" spans="2:50" ht="13.5" x14ac:dyDescent="0.2">
      <c r="B50" s="517"/>
      <c r="C50" s="204">
        <v>4</v>
      </c>
      <c r="D50" s="208" t="s">
        <v>102</v>
      </c>
      <c r="E50" s="205">
        <f>VLOOKUP(D50,'07產線配置圖'!$A$26:$C$33,2,0)</f>
        <v>11</v>
      </c>
      <c r="F50" s="205">
        <f>VLOOKUP(D50,'07產線配置圖'!$A$26:$C$33,3,0)</f>
        <v>1636</v>
      </c>
      <c r="G50" s="206">
        <f>F50/E50</f>
        <v>148.72727272727272</v>
      </c>
      <c r="H50" s="519"/>
      <c r="I50" s="205">
        <f>AVERAGE(P50,U50,Z50,AE50,AJ50,AO50,AT50)</f>
        <v>10.428571428571429</v>
      </c>
      <c r="J50" s="205">
        <f t="shared" si="34"/>
        <v>1363.1428571428571</v>
      </c>
      <c r="K50" s="206">
        <f t="shared" si="34"/>
        <v>130.94848484848484</v>
      </c>
      <c r="L50" s="519"/>
      <c r="M50" s="205">
        <f>RANK(K50, K$47:$K$61)</f>
        <v>3</v>
      </c>
      <c r="N50" s="516"/>
      <c r="O50" s="516"/>
      <c r="P50" s="205">
        <v>11</v>
      </c>
      <c r="Q50" s="205">
        <v>1373</v>
      </c>
      <c r="R50" s="206">
        <f t="shared" si="35"/>
        <v>124.81818181818181</v>
      </c>
      <c r="S50" s="204">
        <f t="shared" si="36"/>
        <v>3</v>
      </c>
      <c r="T50" s="528"/>
      <c r="U50" s="390">
        <v>10</v>
      </c>
      <c r="V50" s="205">
        <v>1308</v>
      </c>
      <c r="W50" s="206">
        <f>V50/U50</f>
        <v>130.80000000000001</v>
      </c>
      <c r="X50" s="204">
        <f>RANK(W50,$W$47:$W$61)</f>
        <v>3</v>
      </c>
      <c r="Y50" s="528"/>
      <c r="Z50" s="205">
        <v>11</v>
      </c>
      <c r="AA50" s="205">
        <v>1387</v>
      </c>
      <c r="AB50" s="206">
        <f>AA50/Z50</f>
        <v>126.09090909090909</v>
      </c>
      <c r="AC50" s="204">
        <f>RANK(AB50,$AB$47:$AB$61)</f>
        <v>3</v>
      </c>
      <c r="AD50" s="528"/>
      <c r="AE50" s="205">
        <v>11</v>
      </c>
      <c r="AF50" s="205">
        <v>1441</v>
      </c>
      <c r="AG50" s="206">
        <f t="shared" si="47"/>
        <v>131</v>
      </c>
      <c r="AH50" s="204">
        <f t="shared" si="48"/>
        <v>3</v>
      </c>
      <c r="AI50" s="528"/>
      <c r="AJ50" s="390">
        <v>9</v>
      </c>
      <c r="AK50" s="205">
        <v>1266</v>
      </c>
      <c r="AL50" s="206">
        <f>AK50/AJ50</f>
        <v>140.66666666666666</v>
      </c>
      <c r="AM50" s="204">
        <f>RANK(AL50, $AL$47:$AL$61)</f>
        <v>2</v>
      </c>
      <c r="AN50" s="528"/>
      <c r="AO50" s="390">
        <v>10</v>
      </c>
      <c r="AP50" s="205">
        <v>1289</v>
      </c>
      <c r="AQ50" s="206">
        <f>AP50/AO50</f>
        <v>128.9</v>
      </c>
      <c r="AR50" s="204">
        <f>RANK(AQ50,$AQ$47:$AQ$61)</f>
        <v>3</v>
      </c>
      <c r="AS50" s="528"/>
      <c r="AT50" s="205">
        <v>11</v>
      </c>
      <c r="AU50" s="205">
        <v>1478</v>
      </c>
      <c r="AV50" s="206">
        <f t="shared" ref="AV50" si="49">AU50/AT50</f>
        <v>134.36363636363637</v>
      </c>
      <c r="AW50" s="204">
        <f t="shared" ref="AW50" si="50">RANK(AV50,$AV$47:$AV$61)</f>
        <v>3</v>
      </c>
      <c r="AX50" s="528"/>
    </row>
    <row r="51" spans="2:50" ht="13.5" x14ac:dyDescent="0.2">
      <c r="B51" s="517"/>
      <c r="C51" s="204">
        <v>5</v>
      </c>
      <c r="D51" s="208"/>
      <c r="E51" s="205"/>
      <c r="F51" s="205"/>
      <c r="G51" s="206"/>
      <c r="H51" s="519"/>
      <c r="I51" s="205"/>
      <c r="J51" s="205"/>
      <c r="K51" s="206"/>
      <c r="L51" s="519"/>
      <c r="M51" s="205"/>
      <c r="N51" s="516"/>
      <c r="O51" s="516"/>
      <c r="P51" s="205"/>
      <c r="Q51" s="205"/>
      <c r="R51" s="204"/>
      <c r="S51" s="204"/>
      <c r="T51" s="528"/>
      <c r="U51" s="205"/>
      <c r="V51" s="205"/>
      <c r="W51" s="204"/>
      <c r="X51" s="204"/>
      <c r="Y51" s="528"/>
      <c r="Z51" s="205"/>
      <c r="AA51" s="205"/>
      <c r="AB51" s="204"/>
      <c r="AC51" s="204"/>
      <c r="AD51" s="528"/>
      <c r="AE51" s="205"/>
      <c r="AF51" s="205"/>
      <c r="AG51" s="204"/>
      <c r="AH51" s="204"/>
      <c r="AI51" s="528"/>
      <c r="AJ51" s="205"/>
      <c r="AK51" s="205"/>
      <c r="AL51" s="204"/>
      <c r="AM51" s="204"/>
      <c r="AN51" s="528"/>
      <c r="AO51" s="205"/>
      <c r="AP51" s="205"/>
      <c r="AQ51" s="204"/>
      <c r="AR51" s="204"/>
      <c r="AS51" s="528"/>
      <c r="AT51" s="205"/>
      <c r="AU51" s="205"/>
      <c r="AV51" s="204"/>
      <c r="AW51" s="204"/>
      <c r="AX51" s="528"/>
    </row>
    <row r="52" spans="2:50" ht="13.5" x14ac:dyDescent="0.2">
      <c r="B52" s="517"/>
      <c r="C52" s="204">
        <v>6</v>
      </c>
      <c r="D52" s="208"/>
      <c r="E52" s="205"/>
      <c r="F52" s="205"/>
      <c r="G52" s="206"/>
      <c r="H52" s="519"/>
      <c r="I52" s="205"/>
      <c r="J52" s="205"/>
      <c r="K52" s="206"/>
      <c r="L52" s="519"/>
      <c r="M52" s="205"/>
      <c r="N52" s="516"/>
      <c r="O52" s="516"/>
      <c r="P52" s="205"/>
      <c r="Q52" s="205"/>
      <c r="R52" s="204"/>
      <c r="S52" s="204"/>
      <c r="T52" s="528"/>
      <c r="U52" s="205"/>
      <c r="V52" s="205"/>
      <c r="W52" s="204"/>
      <c r="X52" s="204"/>
      <c r="Y52" s="528"/>
      <c r="Z52" s="205"/>
      <c r="AA52" s="205"/>
      <c r="AB52" s="204"/>
      <c r="AC52" s="204"/>
      <c r="AD52" s="528"/>
      <c r="AE52" s="205"/>
      <c r="AF52" s="205"/>
      <c r="AG52" s="204"/>
      <c r="AH52" s="204"/>
      <c r="AI52" s="528"/>
      <c r="AJ52" s="205"/>
      <c r="AK52" s="205"/>
      <c r="AL52" s="204"/>
      <c r="AM52" s="204"/>
      <c r="AN52" s="528"/>
      <c r="AO52" s="205"/>
      <c r="AP52" s="205"/>
      <c r="AQ52" s="204"/>
      <c r="AR52" s="204"/>
      <c r="AS52" s="528"/>
      <c r="AT52" s="205"/>
      <c r="AU52" s="205"/>
      <c r="AV52" s="204"/>
      <c r="AW52" s="204"/>
      <c r="AX52" s="528"/>
    </row>
    <row r="53" spans="2:50" ht="13.5" x14ac:dyDescent="0.2">
      <c r="B53" s="517"/>
      <c r="C53" s="204">
        <v>7</v>
      </c>
      <c r="D53" s="208"/>
      <c r="E53" s="205"/>
      <c r="F53" s="205"/>
      <c r="G53" s="206"/>
      <c r="H53" s="519"/>
      <c r="I53" s="205"/>
      <c r="J53" s="205"/>
      <c r="K53" s="206"/>
      <c r="L53" s="519"/>
      <c r="M53" s="205"/>
      <c r="N53" s="516"/>
      <c r="O53" s="516"/>
      <c r="P53" s="205"/>
      <c r="Q53" s="205"/>
      <c r="R53" s="204"/>
      <c r="S53" s="204"/>
      <c r="T53" s="528"/>
      <c r="U53" s="205"/>
      <c r="V53" s="205"/>
      <c r="W53" s="204"/>
      <c r="X53" s="204"/>
      <c r="Y53" s="528"/>
      <c r="Z53" s="205"/>
      <c r="AA53" s="205"/>
      <c r="AB53" s="204"/>
      <c r="AC53" s="204"/>
      <c r="AD53" s="528"/>
      <c r="AE53" s="205"/>
      <c r="AF53" s="205"/>
      <c r="AG53" s="204"/>
      <c r="AH53" s="204"/>
      <c r="AI53" s="528"/>
      <c r="AJ53" s="205"/>
      <c r="AK53" s="205"/>
      <c r="AL53" s="204"/>
      <c r="AM53" s="204"/>
      <c r="AN53" s="528"/>
      <c r="AO53" s="205"/>
      <c r="AP53" s="205"/>
      <c r="AQ53" s="204"/>
      <c r="AR53" s="204"/>
      <c r="AS53" s="528"/>
      <c r="AT53" s="205"/>
      <c r="AU53" s="205"/>
      <c r="AV53" s="204"/>
      <c r="AW53" s="204"/>
      <c r="AX53" s="528"/>
    </row>
    <row r="54" spans="2:50" ht="13.5" x14ac:dyDescent="0.2">
      <c r="B54" s="517"/>
      <c r="C54" s="204">
        <v>8</v>
      </c>
      <c r="D54" s="208"/>
      <c r="E54" s="204"/>
      <c r="F54" s="204"/>
      <c r="G54" s="204"/>
      <c r="H54" s="519"/>
      <c r="I54" s="205"/>
      <c r="J54" s="205"/>
      <c r="K54" s="206"/>
      <c r="L54" s="519"/>
      <c r="M54" s="205"/>
      <c r="N54" s="516"/>
      <c r="O54" s="516"/>
      <c r="P54" s="205"/>
      <c r="Q54" s="205"/>
      <c r="R54" s="204"/>
      <c r="S54" s="204"/>
      <c r="T54" s="528"/>
      <c r="U54" s="205"/>
      <c r="V54" s="205"/>
      <c r="W54" s="204"/>
      <c r="X54" s="204"/>
      <c r="Y54" s="528"/>
      <c r="Z54" s="205"/>
      <c r="AA54" s="205"/>
      <c r="AB54" s="204"/>
      <c r="AC54" s="204"/>
      <c r="AD54" s="528"/>
      <c r="AE54" s="205"/>
      <c r="AF54" s="205"/>
      <c r="AG54" s="204"/>
      <c r="AH54" s="204"/>
      <c r="AI54" s="528"/>
      <c r="AJ54" s="205"/>
      <c r="AK54" s="205"/>
      <c r="AL54" s="204"/>
      <c r="AM54" s="204"/>
      <c r="AN54" s="528"/>
      <c r="AO54" s="205"/>
      <c r="AP54" s="205"/>
      <c r="AQ54" s="204"/>
      <c r="AR54" s="204"/>
      <c r="AS54" s="528"/>
      <c r="AT54" s="205"/>
      <c r="AU54" s="205"/>
      <c r="AV54" s="204"/>
      <c r="AW54" s="204"/>
      <c r="AX54" s="528"/>
    </row>
    <row r="55" spans="2:50" ht="13.5" x14ac:dyDescent="0.2">
      <c r="B55" s="517"/>
      <c r="C55" s="204">
        <v>9</v>
      </c>
      <c r="D55" s="208"/>
      <c r="E55" s="204"/>
      <c r="F55" s="204"/>
      <c r="G55" s="204"/>
      <c r="H55" s="519"/>
      <c r="I55" s="205"/>
      <c r="J55" s="205"/>
      <c r="K55" s="206"/>
      <c r="L55" s="519"/>
      <c r="M55" s="205"/>
      <c r="N55" s="516"/>
      <c r="O55" s="516"/>
      <c r="P55" s="205"/>
      <c r="Q55" s="205"/>
      <c r="R55" s="204"/>
      <c r="S55" s="204"/>
      <c r="T55" s="528"/>
      <c r="U55" s="205"/>
      <c r="V55" s="205"/>
      <c r="W55" s="204"/>
      <c r="X55" s="204"/>
      <c r="Y55" s="528"/>
      <c r="Z55" s="205"/>
      <c r="AA55" s="205"/>
      <c r="AB55" s="204"/>
      <c r="AC55" s="204"/>
      <c r="AD55" s="528"/>
      <c r="AE55" s="205"/>
      <c r="AF55" s="205"/>
      <c r="AG55" s="204"/>
      <c r="AH55" s="204"/>
      <c r="AI55" s="528"/>
      <c r="AJ55" s="205"/>
      <c r="AK55" s="205"/>
      <c r="AL55" s="204"/>
      <c r="AM55" s="204"/>
      <c r="AN55" s="528"/>
      <c r="AO55" s="205"/>
      <c r="AP55" s="205"/>
      <c r="AQ55" s="204"/>
      <c r="AR55" s="204"/>
      <c r="AS55" s="528"/>
      <c r="AT55" s="205"/>
      <c r="AU55" s="205"/>
      <c r="AV55" s="204"/>
      <c r="AW55" s="204"/>
      <c r="AX55" s="528"/>
    </row>
    <row r="56" spans="2:50" ht="13.5" x14ac:dyDescent="0.2">
      <c r="B56" s="517"/>
      <c r="C56" s="204">
        <v>10</v>
      </c>
      <c r="D56" s="208"/>
      <c r="E56" s="204"/>
      <c r="F56" s="204"/>
      <c r="G56" s="204"/>
      <c r="H56" s="519"/>
      <c r="I56" s="205"/>
      <c r="J56" s="205"/>
      <c r="K56" s="206"/>
      <c r="L56" s="519"/>
      <c r="M56" s="205"/>
      <c r="N56" s="516"/>
      <c r="O56" s="516"/>
      <c r="P56" s="205"/>
      <c r="Q56" s="205"/>
      <c r="R56" s="204"/>
      <c r="S56" s="204"/>
      <c r="T56" s="528"/>
      <c r="U56" s="205"/>
      <c r="V56" s="205"/>
      <c r="W56" s="204"/>
      <c r="X56" s="204"/>
      <c r="Y56" s="528"/>
      <c r="Z56" s="205"/>
      <c r="AA56" s="205"/>
      <c r="AB56" s="204"/>
      <c r="AC56" s="204"/>
      <c r="AD56" s="528"/>
      <c r="AE56" s="205"/>
      <c r="AF56" s="205"/>
      <c r="AG56" s="204"/>
      <c r="AH56" s="204"/>
      <c r="AI56" s="528"/>
      <c r="AJ56" s="205"/>
      <c r="AK56" s="205"/>
      <c r="AL56" s="204"/>
      <c r="AM56" s="204"/>
      <c r="AN56" s="528"/>
      <c r="AO56" s="205"/>
      <c r="AP56" s="205"/>
      <c r="AQ56" s="204"/>
      <c r="AR56" s="204"/>
      <c r="AS56" s="528"/>
      <c r="AT56" s="205"/>
      <c r="AU56" s="205"/>
      <c r="AV56" s="204"/>
      <c r="AW56" s="204"/>
      <c r="AX56" s="528"/>
    </row>
    <row r="57" spans="2:50" ht="13.5" x14ac:dyDescent="0.2">
      <c r="B57" s="517"/>
      <c r="C57" s="204">
        <v>11</v>
      </c>
      <c r="D57" s="208"/>
      <c r="E57" s="204"/>
      <c r="F57" s="204"/>
      <c r="G57" s="204"/>
      <c r="H57" s="519"/>
      <c r="I57" s="205"/>
      <c r="J57" s="205"/>
      <c r="K57" s="206"/>
      <c r="L57" s="519"/>
      <c r="M57" s="205"/>
      <c r="N57" s="516"/>
      <c r="O57" s="516"/>
      <c r="P57" s="204"/>
      <c r="Q57" s="204"/>
      <c r="R57" s="204"/>
      <c r="S57" s="204"/>
      <c r="T57" s="528"/>
      <c r="U57" s="204"/>
      <c r="V57" s="204"/>
      <c r="W57" s="204"/>
      <c r="X57" s="204"/>
      <c r="Y57" s="528"/>
      <c r="Z57" s="204"/>
      <c r="AA57" s="204"/>
      <c r="AB57" s="204"/>
      <c r="AC57" s="204"/>
      <c r="AD57" s="528"/>
      <c r="AE57" s="204"/>
      <c r="AF57" s="204"/>
      <c r="AG57" s="204"/>
      <c r="AH57" s="204"/>
      <c r="AI57" s="528"/>
      <c r="AJ57" s="204"/>
      <c r="AK57" s="204"/>
      <c r="AL57" s="204"/>
      <c r="AM57" s="204"/>
      <c r="AN57" s="528"/>
      <c r="AO57" s="204"/>
      <c r="AP57" s="204"/>
      <c r="AQ57" s="204"/>
      <c r="AR57" s="204"/>
      <c r="AS57" s="528"/>
      <c r="AT57" s="204"/>
      <c r="AU57" s="204"/>
      <c r="AV57" s="204"/>
      <c r="AW57" s="204"/>
      <c r="AX57" s="528"/>
    </row>
    <row r="58" spans="2:50" ht="13.5" x14ac:dyDescent="0.2">
      <c r="B58" s="517"/>
      <c r="C58" s="204">
        <v>12</v>
      </c>
      <c r="D58" s="208"/>
      <c r="E58" s="204"/>
      <c r="F58" s="204"/>
      <c r="G58" s="204"/>
      <c r="H58" s="519"/>
      <c r="I58" s="205"/>
      <c r="J58" s="205"/>
      <c r="K58" s="206"/>
      <c r="L58" s="519"/>
      <c r="M58" s="205"/>
      <c r="N58" s="516"/>
      <c r="O58" s="516"/>
      <c r="P58" s="204"/>
      <c r="Q58" s="204"/>
      <c r="R58" s="204"/>
      <c r="S58" s="204"/>
      <c r="T58" s="528"/>
      <c r="U58" s="204"/>
      <c r="V58" s="204"/>
      <c r="W58" s="204"/>
      <c r="X58" s="204"/>
      <c r="Y58" s="528"/>
      <c r="Z58" s="204"/>
      <c r="AA58" s="204"/>
      <c r="AB58" s="204"/>
      <c r="AC58" s="204"/>
      <c r="AD58" s="528"/>
      <c r="AE58" s="204"/>
      <c r="AF58" s="204"/>
      <c r="AG58" s="204"/>
      <c r="AH58" s="204"/>
      <c r="AI58" s="528"/>
      <c r="AJ58" s="204"/>
      <c r="AK58" s="204"/>
      <c r="AL58" s="204"/>
      <c r="AM58" s="204"/>
      <c r="AN58" s="528"/>
      <c r="AO58" s="204"/>
      <c r="AP58" s="204"/>
      <c r="AQ58" s="204"/>
      <c r="AR58" s="204"/>
      <c r="AS58" s="528"/>
      <c r="AT58" s="204"/>
      <c r="AU58" s="204"/>
      <c r="AV58" s="204"/>
      <c r="AW58" s="204"/>
      <c r="AX58" s="528"/>
    </row>
    <row r="59" spans="2:50" ht="13.5" x14ac:dyDescent="0.2">
      <c r="B59" s="517"/>
      <c r="C59" s="204">
        <v>13</v>
      </c>
      <c r="D59" s="208"/>
      <c r="E59" s="204"/>
      <c r="F59" s="204"/>
      <c r="G59" s="204"/>
      <c r="H59" s="519"/>
      <c r="I59" s="205"/>
      <c r="J59" s="205"/>
      <c r="K59" s="206"/>
      <c r="L59" s="519"/>
      <c r="M59" s="205"/>
      <c r="N59" s="516"/>
      <c r="O59" s="516"/>
      <c r="P59" s="204"/>
      <c r="Q59" s="204"/>
      <c r="R59" s="204"/>
      <c r="S59" s="204"/>
      <c r="T59" s="528"/>
      <c r="U59" s="204"/>
      <c r="V59" s="204"/>
      <c r="W59" s="204"/>
      <c r="X59" s="204"/>
      <c r="Y59" s="528"/>
      <c r="Z59" s="204"/>
      <c r="AA59" s="204"/>
      <c r="AB59" s="204"/>
      <c r="AC59" s="204"/>
      <c r="AD59" s="528"/>
      <c r="AE59" s="204"/>
      <c r="AF59" s="204"/>
      <c r="AG59" s="204"/>
      <c r="AH59" s="204"/>
      <c r="AI59" s="528"/>
      <c r="AJ59" s="204"/>
      <c r="AK59" s="204"/>
      <c r="AL59" s="204"/>
      <c r="AM59" s="204"/>
      <c r="AN59" s="528"/>
      <c r="AO59" s="204"/>
      <c r="AP59" s="204"/>
      <c r="AQ59" s="204"/>
      <c r="AR59" s="204"/>
      <c r="AS59" s="528"/>
      <c r="AT59" s="204"/>
      <c r="AU59" s="204"/>
      <c r="AV59" s="204"/>
      <c r="AW59" s="204"/>
      <c r="AX59" s="528"/>
    </row>
    <row r="60" spans="2:50" ht="13.5" x14ac:dyDescent="0.2">
      <c r="B60" s="517"/>
      <c r="C60" s="204">
        <v>14</v>
      </c>
      <c r="D60" s="208"/>
      <c r="E60" s="204"/>
      <c r="F60" s="204"/>
      <c r="G60" s="204"/>
      <c r="H60" s="519"/>
      <c r="I60" s="205"/>
      <c r="J60" s="205"/>
      <c r="K60" s="206"/>
      <c r="L60" s="519"/>
      <c r="M60" s="205"/>
      <c r="N60" s="516"/>
      <c r="O60" s="516"/>
      <c r="P60" s="204"/>
      <c r="Q60" s="204"/>
      <c r="R60" s="204"/>
      <c r="S60" s="204"/>
      <c r="T60" s="528"/>
      <c r="U60" s="204"/>
      <c r="V60" s="204"/>
      <c r="W60" s="204"/>
      <c r="X60" s="204"/>
      <c r="Y60" s="528"/>
      <c r="Z60" s="204"/>
      <c r="AA60" s="204"/>
      <c r="AB60" s="204"/>
      <c r="AC60" s="204"/>
      <c r="AD60" s="528"/>
      <c r="AE60" s="204"/>
      <c r="AF60" s="204"/>
      <c r="AG60" s="204"/>
      <c r="AH60" s="204"/>
      <c r="AI60" s="528"/>
      <c r="AJ60" s="204"/>
      <c r="AK60" s="204"/>
      <c r="AL60" s="204"/>
      <c r="AM60" s="204"/>
      <c r="AN60" s="528"/>
      <c r="AO60" s="204"/>
      <c r="AP60" s="204"/>
      <c r="AQ60" s="204"/>
      <c r="AR60" s="204"/>
      <c r="AS60" s="528"/>
      <c r="AT60" s="204"/>
      <c r="AU60" s="204"/>
      <c r="AV60" s="204"/>
      <c r="AW60" s="204"/>
      <c r="AX60" s="528"/>
    </row>
    <row r="61" spans="2:50" ht="13.5" x14ac:dyDescent="0.2">
      <c r="B61" s="517"/>
      <c r="C61" s="204">
        <v>15</v>
      </c>
      <c r="D61" s="208"/>
      <c r="E61" s="204"/>
      <c r="F61" s="204"/>
      <c r="G61" s="204"/>
      <c r="H61" s="520"/>
      <c r="I61" s="205"/>
      <c r="J61" s="205"/>
      <c r="K61" s="206"/>
      <c r="L61" s="520"/>
      <c r="M61" s="205"/>
      <c r="N61" s="516"/>
      <c r="O61" s="516"/>
      <c r="P61" s="204"/>
      <c r="Q61" s="204"/>
      <c r="R61" s="204"/>
      <c r="S61" s="204"/>
      <c r="T61" s="528"/>
      <c r="U61" s="204"/>
      <c r="V61" s="204"/>
      <c r="W61" s="204"/>
      <c r="X61" s="204"/>
      <c r="Y61" s="528"/>
      <c r="Z61" s="204"/>
      <c r="AA61" s="204"/>
      <c r="AB61" s="204"/>
      <c r="AC61" s="204"/>
      <c r="AD61" s="528"/>
      <c r="AE61" s="204"/>
      <c r="AF61" s="204"/>
      <c r="AG61" s="204"/>
      <c r="AH61" s="204"/>
      <c r="AI61" s="528"/>
      <c r="AJ61" s="204"/>
      <c r="AK61" s="204"/>
      <c r="AL61" s="204"/>
      <c r="AM61" s="204"/>
      <c r="AN61" s="528"/>
      <c r="AO61" s="204"/>
      <c r="AP61" s="204"/>
      <c r="AQ61" s="204"/>
      <c r="AR61" s="204"/>
      <c r="AS61" s="528"/>
      <c r="AT61" s="204"/>
      <c r="AU61" s="204"/>
      <c r="AV61" s="204"/>
      <c r="AW61" s="204"/>
      <c r="AX61" s="528"/>
    </row>
    <row r="62" spans="2:50" ht="15.75" x14ac:dyDescent="0.2">
      <c r="B62" s="511" t="s">
        <v>85</v>
      </c>
      <c r="C62" s="512"/>
      <c r="D62" s="512"/>
      <c r="E62" s="512"/>
      <c r="F62" s="512"/>
      <c r="G62" s="512"/>
      <c r="H62" s="512"/>
      <c r="I62" s="209"/>
      <c r="J62" s="209"/>
      <c r="K62" s="209"/>
      <c r="L62" s="209"/>
      <c r="M62" s="210"/>
      <c r="N62" s="514" t="s">
        <v>86</v>
      </c>
      <c r="O62" s="514" t="s">
        <v>45</v>
      </c>
      <c r="P62" s="524">
        <f>AT42+1</f>
        <v>46224</v>
      </c>
      <c r="Q62" s="517"/>
      <c r="R62" s="517"/>
      <c r="S62" s="517"/>
      <c r="T62" s="517"/>
      <c r="U62" s="524">
        <f>P62+1</f>
        <v>46225</v>
      </c>
      <c r="V62" s="517"/>
      <c r="W62" s="517"/>
      <c r="X62" s="517"/>
      <c r="Y62" s="517"/>
      <c r="Z62" s="524">
        <f>Z42+7</f>
        <v>46226</v>
      </c>
      <c r="AA62" s="517"/>
      <c r="AB62" s="517"/>
      <c r="AC62" s="517"/>
      <c r="AD62" s="517"/>
      <c r="AE62" s="524">
        <f>AE42+7</f>
        <v>46227</v>
      </c>
      <c r="AF62" s="517"/>
      <c r="AG62" s="517"/>
      <c r="AH62" s="517"/>
      <c r="AI62" s="517"/>
      <c r="AJ62" s="524">
        <f>AJ42+7</f>
        <v>46228</v>
      </c>
      <c r="AK62" s="517"/>
      <c r="AL62" s="517"/>
      <c r="AM62" s="517"/>
      <c r="AN62" s="517"/>
      <c r="AO62" s="524">
        <f>AO42+7</f>
        <v>46229</v>
      </c>
      <c r="AP62" s="517"/>
      <c r="AQ62" s="517"/>
      <c r="AR62" s="517"/>
      <c r="AS62" s="517"/>
      <c r="AT62" s="524">
        <f>AT42+7</f>
        <v>46230</v>
      </c>
      <c r="AU62" s="517"/>
      <c r="AV62" s="517"/>
      <c r="AW62" s="517"/>
      <c r="AX62" s="517"/>
    </row>
    <row r="63" spans="2:50" ht="15.75" x14ac:dyDescent="0.2">
      <c r="B63" s="513"/>
      <c r="C63" s="513"/>
      <c r="D63" s="513"/>
      <c r="E63" s="513"/>
      <c r="F63" s="513"/>
      <c r="G63" s="513"/>
      <c r="H63" s="513"/>
      <c r="I63" s="200"/>
      <c r="J63" s="200"/>
      <c r="K63" s="200"/>
      <c r="L63" s="200"/>
      <c r="M63" s="201"/>
      <c r="N63" s="515"/>
      <c r="O63" s="515"/>
      <c r="P63" s="524" t="s">
        <v>61</v>
      </c>
      <c r="Q63" s="517"/>
      <c r="R63" s="517"/>
      <c r="S63" s="517"/>
      <c r="T63" s="517"/>
      <c r="U63" s="524" t="s">
        <v>56</v>
      </c>
      <c r="V63" s="517"/>
      <c r="W63" s="517"/>
      <c r="X63" s="517"/>
      <c r="Y63" s="517"/>
      <c r="Z63" s="524" t="s">
        <v>57</v>
      </c>
      <c r="AA63" s="517"/>
      <c r="AB63" s="517"/>
      <c r="AC63" s="517"/>
      <c r="AD63" s="517"/>
      <c r="AE63" s="524" t="s">
        <v>58</v>
      </c>
      <c r="AF63" s="517"/>
      <c r="AG63" s="517"/>
      <c r="AH63" s="517"/>
      <c r="AI63" s="517"/>
      <c r="AJ63" s="524" t="s">
        <v>59</v>
      </c>
      <c r="AK63" s="517"/>
      <c r="AL63" s="517"/>
      <c r="AM63" s="517"/>
      <c r="AN63" s="517"/>
      <c r="AO63" s="524" t="s">
        <v>52</v>
      </c>
      <c r="AP63" s="517"/>
      <c r="AQ63" s="517"/>
      <c r="AR63" s="517"/>
      <c r="AS63" s="517"/>
      <c r="AT63" s="524" t="s">
        <v>60</v>
      </c>
      <c r="AU63" s="517"/>
      <c r="AV63" s="517"/>
      <c r="AW63" s="517"/>
      <c r="AX63" s="517"/>
    </row>
    <row r="64" spans="2:50" x14ac:dyDescent="0.2">
      <c r="B64" s="516" t="s">
        <v>41</v>
      </c>
      <c r="C64" s="516" t="s">
        <v>87</v>
      </c>
      <c r="D64" s="516"/>
      <c r="E64" s="516" t="s">
        <v>88</v>
      </c>
      <c r="F64" s="516"/>
      <c r="G64" s="516"/>
      <c r="H64" s="521" t="s">
        <v>89</v>
      </c>
      <c r="I64" s="516" t="s">
        <v>90</v>
      </c>
      <c r="J64" s="516"/>
      <c r="K64" s="516"/>
      <c r="L64" s="521" t="s">
        <v>89</v>
      </c>
      <c r="M64" s="514" t="s">
        <v>91</v>
      </c>
      <c r="N64" s="516"/>
      <c r="O64" s="516" t="s">
        <v>92</v>
      </c>
      <c r="P64" s="525" t="s">
        <v>93</v>
      </c>
      <c r="Q64" s="526"/>
      <c r="R64" s="526"/>
      <c r="S64" s="527"/>
      <c r="T64" s="516" t="s">
        <v>89</v>
      </c>
      <c r="U64" s="525" t="s">
        <v>93</v>
      </c>
      <c r="V64" s="526"/>
      <c r="W64" s="526"/>
      <c r="X64" s="527"/>
      <c r="Y64" s="516" t="s">
        <v>89</v>
      </c>
      <c r="Z64" s="525" t="s">
        <v>93</v>
      </c>
      <c r="AA64" s="526"/>
      <c r="AB64" s="526"/>
      <c r="AC64" s="527"/>
      <c r="AD64" s="516" t="s">
        <v>89</v>
      </c>
      <c r="AE64" s="525" t="s">
        <v>93</v>
      </c>
      <c r="AF64" s="526"/>
      <c r="AG64" s="526"/>
      <c r="AH64" s="527"/>
      <c r="AI64" s="516" t="s">
        <v>89</v>
      </c>
      <c r="AJ64" s="525" t="s">
        <v>93</v>
      </c>
      <c r="AK64" s="526"/>
      <c r="AL64" s="526"/>
      <c r="AM64" s="527"/>
      <c r="AN64" s="516" t="s">
        <v>89</v>
      </c>
      <c r="AO64" s="525" t="s">
        <v>93</v>
      </c>
      <c r="AP64" s="526"/>
      <c r="AQ64" s="526"/>
      <c r="AR64" s="527"/>
      <c r="AS64" s="516" t="s">
        <v>89</v>
      </c>
      <c r="AT64" s="525" t="s">
        <v>93</v>
      </c>
      <c r="AU64" s="526"/>
      <c r="AV64" s="526"/>
      <c r="AW64" s="527"/>
      <c r="AX64" s="516" t="s">
        <v>89</v>
      </c>
    </row>
    <row r="65" spans="2:50" x14ac:dyDescent="0.2">
      <c r="B65" s="516"/>
      <c r="C65" s="516"/>
      <c r="D65" s="516"/>
      <c r="E65" s="516" t="s">
        <v>94</v>
      </c>
      <c r="F65" s="516"/>
      <c r="G65" s="516"/>
      <c r="H65" s="522"/>
      <c r="I65" s="516" t="s">
        <v>94</v>
      </c>
      <c r="J65" s="516"/>
      <c r="K65" s="516"/>
      <c r="L65" s="522"/>
      <c r="M65" s="529"/>
      <c r="N65" s="516"/>
      <c r="O65" s="516"/>
      <c r="P65" s="525" t="s">
        <v>95</v>
      </c>
      <c r="Q65" s="526"/>
      <c r="R65" s="526"/>
      <c r="S65" s="527"/>
      <c r="T65" s="516"/>
      <c r="U65" s="525" t="s">
        <v>95</v>
      </c>
      <c r="V65" s="526"/>
      <c r="W65" s="526"/>
      <c r="X65" s="527"/>
      <c r="Y65" s="516"/>
      <c r="Z65" s="525" t="s">
        <v>95</v>
      </c>
      <c r="AA65" s="526"/>
      <c r="AB65" s="526"/>
      <c r="AC65" s="527"/>
      <c r="AD65" s="516"/>
      <c r="AE65" s="525" t="s">
        <v>95</v>
      </c>
      <c r="AF65" s="526"/>
      <c r="AG65" s="526"/>
      <c r="AH65" s="527"/>
      <c r="AI65" s="516"/>
      <c r="AJ65" s="525" t="s">
        <v>95</v>
      </c>
      <c r="AK65" s="526"/>
      <c r="AL65" s="526"/>
      <c r="AM65" s="527"/>
      <c r="AN65" s="516"/>
      <c r="AO65" s="525" t="s">
        <v>95</v>
      </c>
      <c r="AP65" s="526"/>
      <c r="AQ65" s="526"/>
      <c r="AR65" s="527"/>
      <c r="AS65" s="516"/>
      <c r="AT65" s="525" t="s">
        <v>95</v>
      </c>
      <c r="AU65" s="526"/>
      <c r="AV65" s="526"/>
      <c r="AW65" s="527"/>
      <c r="AX65" s="516"/>
    </row>
    <row r="66" spans="2:50" x14ac:dyDescent="0.2">
      <c r="B66" s="516"/>
      <c r="C66" s="516"/>
      <c r="D66" s="516"/>
      <c r="E66" s="203" t="s">
        <v>96</v>
      </c>
      <c r="F66" s="203" t="s">
        <v>97</v>
      </c>
      <c r="G66" s="203" t="s">
        <v>98</v>
      </c>
      <c r="H66" s="523"/>
      <c r="I66" s="203" t="s">
        <v>96</v>
      </c>
      <c r="J66" s="203" t="s">
        <v>97</v>
      </c>
      <c r="K66" s="203" t="s">
        <v>98</v>
      </c>
      <c r="L66" s="523"/>
      <c r="M66" s="515"/>
      <c r="N66" s="516"/>
      <c r="O66" s="516"/>
      <c r="P66" s="203" t="s">
        <v>96</v>
      </c>
      <c r="Q66" s="203" t="s">
        <v>97</v>
      </c>
      <c r="R66" s="203" t="s">
        <v>98</v>
      </c>
      <c r="S66" s="203" t="s">
        <v>91</v>
      </c>
      <c r="T66" s="516"/>
      <c r="U66" s="203" t="s">
        <v>96</v>
      </c>
      <c r="V66" s="203" t="s">
        <v>97</v>
      </c>
      <c r="W66" s="203" t="s">
        <v>98</v>
      </c>
      <c r="X66" s="203" t="s">
        <v>91</v>
      </c>
      <c r="Y66" s="516"/>
      <c r="Z66" s="203" t="s">
        <v>96</v>
      </c>
      <c r="AA66" s="203" t="s">
        <v>97</v>
      </c>
      <c r="AB66" s="203" t="s">
        <v>98</v>
      </c>
      <c r="AC66" s="203" t="s">
        <v>91</v>
      </c>
      <c r="AD66" s="516"/>
      <c r="AE66" s="203" t="s">
        <v>96</v>
      </c>
      <c r="AF66" s="203" t="s">
        <v>97</v>
      </c>
      <c r="AG66" s="203" t="s">
        <v>98</v>
      </c>
      <c r="AH66" s="203" t="s">
        <v>91</v>
      </c>
      <c r="AI66" s="516"/>
      <c r="AJ66" s="203" t="s">
        <v>96</v>
      </c>
      <c r="AK66" s="203" t="s">
        <v>97</v>
      </c>
      <c r="AL66" s="203" t="s">
        <v>98</v>
      </c>
      <c r="AM66" s="203" t="s">
        <v>91</v>
      </c>
      <c r="AN66" s="516"/>
      <c r="AO66" s="203" t="s">
        <v>96</v>
      </c>
      <c r="AP66" s="203" t="s">
        <v>97</v>
      </c>
      <c r="AQ66" s="203" t="s">
        <v>98</v>
      </c>
      <c r="AR66" s="203" t="s">
        <v>91</v>
      </c>
      <c r="AS66" s="516"/>
      <c r="AT66" s="203" t="s">
        <v>96</v>
      </c>
      <c r="AU66" s="203" t="s">
        <v>97</v>
      </c>
      <c r="AV66" s="203" t="s">
        <v>98</v>
      </c>
      <c r="AW66" s="203" t="s">
        <v>91</v>
      </c>
      <c r="AX66" s="516"/>
    </row>
    <row r="67" spans="2:50" ht="13.5" x14ac:dyDescent="0.2">
      <c r="B67" s="516" t="s">
        <v>76</v>
      </c>
      <c r="C67" s="204">
        <v>1</v>
      </c>
      <c r="D67" s="208" t="s">
        <v>99</v>
      </c>
      <c r="E67" s="205">
        <f>VLOOKUP(D67,'07產線配置圖'!$A$26:$C$33,2,0)</f>
        <v>15</v>
      </c>
      <c r="F67" s="205">
        <f>VLOOKUP(D67,'07產線配置圖'!$A$26:$C$33,3,0)</f>
        <v>1636</v>
      </c>
      <c r="G67" s="206">
        <f t="shared" ref="G67:G68" si="51">F67/E67</f>
        <v>109.06666666666666</v>
      </c>
      <c r="H67" s="518">
        <f>AVERAGE(G67:G81)</f>
        <v>138.81212121212121</v>
      </c>
      <c r="I67" s="205" t="e">
        <f>AVERAGE(P67,U67,Z66,AE67,AJ67,AO67,AT67)</f>
        <v>#DIV/0!</v>
      </c>
      <c r="J67" s="205" t="e">
        <f t="shared" ref="J67:K68" si="52">AVERAGE(Q67,V67,AA67,AF67,AK67,AP67,AU67)</f>
        <v>#DIV/0!</v>
      </c>
      <c r="K67" s="206" t="e">
        <f t="shared" si="52"/>
        <v>#DIV/0!</v>
      </c>
      <c r="L67" s="518" t="str">
        <f>IFERROR(AVERAGE(K67:K81),"-")</f>
        <v>-</v>
      </c>
      <c r="M67" s="205" t="e">
        <f>RANK(K67, K$67:$K$81)</f>
        <v>#DIV/0!</v>
      </c>
      <c r="N67" s="516"/>
      <c r="O67" s="516"/>
      <c r="P67" s="205"/>
      <c r="Q67" s="205"/>
      <c r="R67" s="206" t="e">
        <f t="shared" ref="R67:R68" si="53">Q67/P67</f>
        <v>#DIV/0!</v>
      </c>
      <c r="S67" s="204" t="e">
        <f t="shared" ref="S67:S70" si="54">RANK(R67,$R$67:$R$81)</f>
        <v>#DIV/0!</v>
      </c>
      <c r="T67" s="528" t="e">
        <f>AVERAGE(R67:R81)</f>
        <v>#DIV/0!</v>
      </c>
      <c r="U67" s="205"/>
      <c r="V67" s="205"/>
      <c r="W67" s="340" t="e">
        <f>V67/U67</f>
        <v>#DIV/0!</v>
      </c>
      <c r="X67" s="204" t="e">
        <f>RANK(W67,$W$67:$W$81)</f>
        <v>#DIV/0!</v>
      </c>
      <c r="Y67" s="528" t="e">
        <f>AVERAGE(W67:W81)</f>
        <v>#DIV/0!</v>
      </c>
      <c r="Z67" s="205"/>
      <c r="AA67" s="205"/>
      <c r="AB67" s="206" t="e">
        <f>AA67/Z67</f>
        <v>#DIV/0!</v>
      </c>
      <c r="AC67" s="204" t="e">
        <f>RANK(AB67, $AB$67:$AB$81)</f>
        <v>#DIV/0!</v>
      </c>
      <c r="AD67" s="528" t="e">
        <f>AVERAGE(AB67:AB81)</f>
        <v>#DIV/0!</v>
      </c>
      <c r="AE67" s="205"/>
      <c r="AF67" s="205"/>
      <c r="AG67" s="340" t="e">
        <f>AF67/AE67</f>
        <v>#DIV/0!</v>
      </c>
      <c r="AH67" s="204" t="e">
        <f>RANK(AG67, $AG$67:$AG$81)</f>
        <v>#DIV/0!</v>
      </c>
      <c r="AI67" s="528" t="e">
        <f>AVERAGE(AG67:AG81)</f>
        <v>#DIV/0!</v>
      </c>
      <c r="AJ67" s="205"/>
      <c r="AK67" s="205"/>
      <c r="AL67" s="340" t="e">
        <f>AK67/AJ67</f>
        <v>#DIV/0!</v>
      </c>
      <c r="AM67" s="204" t="e">
        <f>RANK(AL67, $AL$67:$AL$81)</f>
        <v>#DIV/0!</v>
      </c>
      <c r="AN67" s="528" t="e">
        <f>AVERAGE(AL67:AL81)</f>
        <v>#DIV/0!</v>
      </c>
      <c r="AO67" s="205"/>
      <c r="AP67" s="205"/>
      <c r="AQ67" s="206" t="e">
        <f>AP67/AO67</f>
        <v>#DIV/0!</v>
      </c>
      <c r="AR67" s="204" t="e">
        <f>RANK(AQ67, $AQ$67:$AQ$81)</f>
        <v>#DIV/0!</v>
      </c>
      <c r="AS67" s="528" t="e">
        <f>AVERAGE(AQ67:AQ81)</f>
        <v>#DIV/0!</v>
      </c>
      <c r="AT67" s="205"/>
      <c r="AU67" s="205"/>
      <c r="AV67" s="342" t="e">
        <f>AU67/AT67</f>
        <v>#DIV/0!</v>
      </c>
      <c r="AW67" s="204" t="e">
        <f>RANK(AV67, $AV$67:$AV$81)</f>
        <v>#DIV/0!</v>
      </c>
      <c r="AX67" s="528" t="e">
        <f>AVERAGE(AV67:AV81)</f>
        <v>#DIV/0!</v>
      </c>
    </row>
    <row r="68" spans="2:50" ht="13.5" x14ac:dyDescent="0.2">
      <c r="B68" s="517"/>
      <c r="C68" s="204">
        <v>2</v>
      </c>
      <c r="D68" s="208" t="s">
        <v>100</v>
      </c>
      <c r="E68" s="205">
        <f>VLOOKUP(D68,'07產線配置圖'!$A$26:$C$33,2,0)</f>
        <v>11</v>
      </c>
      <c r="F68" s="205">
        <f>VLOOKUP(D68,'07產線配置圖'!$A$26:$C$33,3,0)</f>
        <v>1636</v>
      </c>
      <c r="G68" s="206">
        <f t="shared" si="51"/>
        <v>148.72727272727272</v>
      </c>
      <c r="H68" s="519"/>
      <c r="I68" s="205" t="e">
        <f>AVERAGE(P68,U68,Z67,AE68,AJ68,AO68,AT68)</f>
        <v>#DIV/0!</v>
      </c>
      <c r="J68" s="205" t="e">
        <f t="shared" si="52"/>
        <v>#DIV/0!</v>
      </c>
      <c r="K68" s="206" t="e">
        <f t="shared" si="52"/>
        <v>#DIV/0!</v>
      </c>
      <c r="L68" s="519"/>
      <c r="M68" s="205" t="e">
        <f>RANK(K68, K$67:$K$81)</f>
        <v>#DIV/0!</v>
      </c>
      <c r="N68" s="516"/>
      <c r="O68" s="516"/>
      <c r="P68" s="205"/>
      <c r="Q68" s="205"/>
      <c r="R68" s="206" t="e">
        <f t="shared" si="53"/>
        <v>#DIV/0!</v>
      </c>
      <c r="S68" s="204" t="e">
        <f t="shared" si="54"/>
        <v>#DIV/0!</v>
      </c>
      <c r="T68" s="528"/>
      <c r="U68" s="205"/>
      <c r="V68" s="205"/>
      <c r="W68" s="206" t="e">
        <f>V68/U68</f>
        <v>#DIV/0!</v>
      </c>
      <c r="X68" s="204" t="e">
        <f>RANK(W68,$W$67:$W$81)</f>
        <v>#DIV/0!</v>
      </c>
      <c r="Y68" s="528"/>
      <c r="Z68" s="205"/>
      <c r="AA68" s="205"/>
      <c r="AB68" s="206" t="e">
        <f>AA68/Z68</f>
        <v>#DIV/0!</v>
      </c>
      <c r="AC68" s="204" t="e">
        <f>RANK(AB68, $AB$67:$AB$81)</f>
        <v>#DIV/0!</v>
      </c>
      <c r="AD68" s="528"/>
      <c r="AE68" s="205"/>
      <c r="AF68" s="205"/>
      <c r="AG68" s="206" t="e">
        <f t="shared" ref="AG68:AG70" si="55">AF68/AE68</f>
        <v>#DIV/0!</v>
      </c>
      <c r="AH68" s="204" t="e">
        <f t="shared" ref="AH68:AH70" si="56">RANK(AG68, $AG$67:$AG$81)</f>
        <v>#DIV/0!</v>
      </c>
      <c r="AI68" s="528"/>
      <c r="AJ68" s="205"/>
      <c r="AK68" s="205"/>
      <c r="AL68" s="206" t="e">
        <f t="shared" ref="AL68:AL70" si="57">AK68/AJ68</f>
        <v>#DIV/0!</v>
      </c>
      <c r="AM68" s="204" t="e">
        <f t="shared" ref="AM68:AM70" si="58">RANK(AL68, $AL$67:$AL$81)</f>
        <v>#DIV/0!</v>
      </c>
      <c r="AN68" s="528"/>
      <c r="AO68" s="205"/>
      <c r="AP68" s="205"/>
      <c r="AQ68" s="206" t="e">
        <f t="shared" ref="AQ68:AQ70" si="59">AP68/AO68</f>
        <v>#DIV/0!</v>
      </c>
      <c r="AR68" s="204" t="e">
        <f t="shared" ref="AR68:AR70" si="60">RANK(AQ68, $AQ$67:$AQ$81)</f>
        <v>#DIV/0!</v>
      </c>
      <c r="AS68" s="528"/>
      <c r="AT68" s="205"/>
      <c r="AU68" s="205"/>
      <c r="AV68" s="342" t="e">
        <f t="shared" ref="AV68:AV70" si="61">AU68/AT68</f>
        <v>#DIV/0!</v>
      </c>
      <c r="AW68" s="204" t="e">
        <f t="shared" ref="AW68:AW70" si="62">RANK(AV68, $AV$67:$AV$81)</f>
        <v>#DIV/0!</v>
      </c>
      <c r="AX68" s="528"/>
    </row>
    <row r="69" spans="2:50" ht="13.5" x14ac:dyDescent="0.2">
      <c r="B69" s="517"/>
      <c r="C69" s="204">
        <v>3</v>
      </c>
      <c r="D69" s="208" t="s">
        <v>101</v>
      </c>
      <c r="E69" s="205">
        <f>VLOOKUP(D69,'07產線配置圖'!$A$26:$C$33,2,0)</f>
        <v>11</v>
      </c>
      <c r="F69" s="205">
        <f>VLOOKUP(D69,'07產線配置圖'!$A$26:$C$33,3,0)</f>
        <v>1636</v>
      </c>
      <c r="G69" s="206">
        <f>F69/E69</f>
        <v>148.72727272727272</v>
      </c>
      <c r="H69" s="519"/>
      <c r="I69" s="205" t="e">
        <f>AVERAGE(P69,U69,Z68,AE69,AJ69,AO69,AT69)</f>
        <v>#DIV/0!</v>
      </c>
      <c r="J69" s="205" t="e">
        <f>AVERAGE(Q69,V69,AA69,AF69,AK69,AP69,AU69)</f>
        <v>#DIV/0!</v>
      </c>
      <c r="K69" s="206" t="e">
        <f>AVERAGE(R69,W69,AB69,AG69,AL69,AQ69,AV69)</f>
        <v>#DIV/0!</v>
      </c>
      <c r="L69" s="519"/>
      <c r="M69" s="205" t="e">
        <f>RANK(K69, K$67:$K$81)</f>
        <v>#DIV/0!</v>
      </c>
      <c r="N69" s="516"/>
      <c r="O69" s="516"/>
      <c r="P69" s="205"/>
      <c r="Q69" s="205"/>
      <c r="R69" s="206" t="e">
        <f>Q69/P69</f>
        <v>#DIV/0!</v>
      </c>
      <c r="S69" s="204" t="e">
        <f>RANK(R69,$R$67:$R$81)</f>
        <v>#DIV/0!</v>
      </c>
      <c r="T69" s="528"/>
      <c r="U69" s="205"/>
      <c r="V69" s="205"/>
      <c r="W69" s="206" t="e">
        <f>V69/U69</f>
        <v>#DIV/0!</v>
      </c>
      <c r="X69" s="204" t="e">
        <f>RANK(W69,$W$67:$W$81)</f>
        <v>#DIV/0!</v>
      </c>
      <c r="Y69" s="528"/>
      <c r="Z69" s="205"/>
      <c r="AA69" s="205"/>
      <c r="AB69" s="206" t="e">
        <f t="shared" ref="AB69:AB70" si="63">AA69/Z69</f>
        <v>#DIV/0!</v>
      </c>
      <c r="AC69" s="204" t="e">
        <f t="shared" ref="AC69:AC70" si="64">RANK(AB69, $AB$67:$AB$81)</f>
        <v>#DIV/0!</v>
      </c>
      <c r="AD69" s="528"/>
      <c r="AE69" s="205"/>
      <c r="AF69" s="205"/>
      <c r="AG69" s="206" t="e">
        <f t="shared" si="55"/>
        <v>#DIV/0!</v>
      </c>
      <c r="AH69" s="204" t="e">
        <f t="shared" si="56"/>
        <v>#DIV/0!</v>
      </c>
      <c r="AI69" s="528"/>
      <c r="AJ69" s="205"/>
      <c r="AK69" s="205"/>
      <c r="AL69" s="206" t="e">
        <f t="shared" si="57"/>
        <v>#DIV/0!</v>
      </c>
      <c r="AM69" s="204" t="e">
        <f t="shared" si="58"/>
        <v>#DIV/0!</v>
      </c>
      <c r="AN69" s="528"/>
      <c r="AO69" s="205"/>
      <c r="AP69" s="205"/>
      <c r="AQ69" s="206" t="e">
        <f t="shared" si="59"/>
        <v>#DIV/0!</v>
      </c>
      <c r="AR69" s="204" t="e">
        <f t="shared" si="60"/>
        <v>#DIV/0!</v>
      </c>
      <c r="AS69" s="528"/>
      <c r="AT69" s="205"/>
      <c r="AU69" s="205"/>
      <c r="AV69" s="342" t="e">
        <f t="shared" si="61"/>
        <v>#DIV/0!</v>
      </c>
      <c r="AW69" s="204" t="e">
        <f t="shared" si="62"/>
        <v>#DIV/0!</v>
      </c>
      <c r="AX69" s="528"/>
    </row>
    <row r="70" spans="2:50" ht="13.5" x14ac:dyDescent="0.2">
      <c r="B70" s="517"/>
      <c r="C70" s="204">
        <v>4</v>
      </c>
      <c r="D70" s="208" t="s">
        <v>102</v>
      </c>
      <c r="E70" s="205">
        <f>VLOOKUP(D70,'07產線配置圖'!$A$26:$C$33,2,0)</f>
        <v>11</v>
      </c>
      <c r="F70" s="205">
        <f>VLOOKUP(D70,'07產線配置圖'!$A$26:$C$33,3,0)</f>
        <v>1636</v>
      </c>
      <c r="G70" s="206">
        <f>F70/E70</f>
        <v>148.72727272727272</v>
      </c>
      <c r="H70" s="519"/>
      <c r="I70" s="205" t="e">
        <f>AVERAGE(P70,U70,Z69,AE70,AJ70,AO70,AT70)</f>
        <v>#DIV/0!</v>
      </c>
      <c r="J70" s="205" t="e">
        <f>AVERAGE(Q70,V70,AA70,AF70,AK70,AP70,AU70)</f>
        <v>#DIV/0!</v>
      </c>
      <c r="K70" s="206" t="e">
        <f>AVERAGE(R70,W70,AB70,AG70,AL70,AQ70,AV70)</f>
        <v>#DIV/0!</v>
      </c>
      <c r="L70" s="519"/>
      <c r="M70" s="205" t="e">
        <f>RANK(K70, K$67:$K$81)</f>
        <v>#DIV/0!</v>
      </c>
      <c r="N70" s="516"/>
      <c r="O70" s="516"/>
      <c r="P70" s="205"/>
      <c r="Q70" s="205"/>
      <c r="R70" s="206" t="e">
        <f t="shared" ref="R70" si="65">Q70/P70</f>
        <v>#DIV/0!</v>
      </c>
      <c r="S70" s="204" t="e">
        <f t="shared" si="54"/>
        <v>#DIV/0!</v>
      </c>
      <c r="T70" s="528"/>
      <c r="U70" s="205"/>
      <c r="V70" s="205"/>
      <c r="W70" s="206" t="e">
        <f>V70/U70</f>
        <v>#DIV/0!</v>
      </c>
      <c r="X70" s="204" t="e">
        <f>RANK(W70,$W$67:$W$81)</f>
        <v>#DIV/0!</v>
      </c>
      <c r="Y70" s="528"/>
      <c r="Z70" s="205"/>
      <c r="AA70" s="205"/>
      <c r="AB70" s="206" t="e">
        <f t="shared" si="63"/>
        <v>#DIV/0!</v>
      </c>
      <c r="AC70" s="204" t="e">
        <f t="shared" si="64"/>
        <v>#DIV/0!</v>
      </c>
      <c r="AD70" s="528"/>
      <c r="AE70" s="205"/>
      <c r="AF70" s="205"/>
      <c r="AG70" s="206" t="e">
        <f t="shared" si="55"/>
        <v>#DIV/0!</v>
      </c>
      <c r="AH70" s="204" t="e">
        <f t="shared" si="56"/>
        <v>#DIV/0!</v>
      </c>
      <c r="AI70" s="528"/>
      <c r="AJ70" s="205"/>
      <c r="AK70" s="205"/>
      <c r="AL70" s="206" t="e">
        <f t="shared" si="57"/>
        <v>#DIV/0!</v>
      </c>
      <c r="AM70" s="204" t="e">
        <f t="shared" si="58"/>
        <v>#DIV/0!</v>
      </c>
      <c r="AN70" s="528"/>
      <c r="AO70" s="205"/>
      <c r="AP70" s="205"/>
      <c r="AQ70" s="206" t="e">
        <f t="shared" si="59"/>
        <v>#DIV/0!</v>
      </c>
      <c r="AR70" s="204" t="e">
        <f t="shared" si="60"/>
        <v>#DIV/0!</v>
      </c>
      <c r="AS70" s="528"/>
      <c r="AT70" s="205"/>
      <c r="AU70" s="205"/>
      <c r="AV70" s="342" t="e">
        <f t="shared" si="61"/>
        <v>#DIV/0!</v>
      </c>
      <c r="AW70" s="204" t="e">
        <f t="shared" si="62"/>
        <v>#DIV/0!</v>
      </c>
      <c r="AX70" s="528"/>
    </row>
    <row r="71" spans="2:50" ht="13.5" x14ac:dyDescent="0.2">
      <c r="B71" s="517"/>
      <c r="C71" s="204">
        <v>5</v>
      </c>
      <c r="D71" s="208"/>
      <c r="E71" s="205"/>
      <c r="F71" s="205"/>
      <c r="G71" s="206"/>
      <c r="H71" s="519"/>
      <c r="I71" s="205"/>
      <c r="J71" s="205"/>
      <c r="K71" s="206"/>
      <c r="L71" s="519"/>
      <c r="M71" s="205"/>
      <c r="N71" s="516"/>
      <c r="O71" s="516"/>
      <c r="P71" s="205"/>
      <c r="Q71" s="205"/>
      <c r="R71" s="206"/>
      <c r="S71" s="204"/>
      <c r="T71" s="528"/>
      <c r="U71" s="205"/>
      <c r="V71" s="205"/>
      <c r="W71" s="206"/>
      <c r="X71" s="204"/>
      <c r="Y71" s="528"/>
      <c r="Z71" s="205"/>
      <c r="AA71" s="205"/>
      <c r="AB71" s="346"/>
      <c r="AC71" s="204"/>
      <c r="AD71" s="528"/>
      <c r="AE71" s="205"/>
      <c r="AF71" s="205"/>
      <c r="AG71" s="206"/>
      <c r="AH71" s="204"/>
      <c r="AI71" s="528"/>
      <c r="AJ71" s="205"/>
      <c r="AK71" s="205"/>
      <c r="AL71" s="206"/>
      <c r="AM71" s="204"/>
      <c r="AN71" s="528"/>
      <c r="AO71" s="205"/>
      <c r="AP71" s="205"/>
      <c r="AQ71" s="206"/>
      <c r="AR71" s="204"/>
      <c r="AS71" s="528"/>
      <c r="AT71" s="205"/>
      <c r="AU71" s="205"/>
      <c r="AV71" s="206"/>
      <c r="AW71" s="204"/>
      <c r="AX71" s="528"/>
    </row>
    <row r="72" spans="2:50" ht="13.5" x14ac:dyDescent="0.2">
      <c r="B72" s="517"/>
      <c r="C72" s="204">
        <v>6</v>
      </c>
      <c r="D72" s="208"/>
      <c r="E72" s="205"/>
      <c r="F72" s="205"/>
      <c r="G72" s="206"/>
      <c r="H72" s="519"/>
      <c r="I72" s="205"/>
      <c r="J72" s="205"/>
      <c r="K72" s="206"/>
      <c r="L72" s="519"/>
      <c r="M72" s="205"/>
      <c r="N72" s="516"/>
      <c r="O72" s="516"/>
      <c r="P72" s="205"/>
      <c r="Q72" s="205"/>
      <c r="R72" s="204"/>
      <c r="S72" s="204"/>
      <c r="T72" s="528"/>
      <c r="U72" s="205"/>
      <c r="V72" s="205"/>
      <c r="W72" s="204"/>
      <c r="X72" s="204"/>
      <c r="Y72" s="528"/>
      <c r="Z72" s="205"/>
      <c r="AA72" s="205"/>
      <c r="AB72" s="204"/>
      <c r="AC72" s="204"/>
      <c r="AD72" s="528"/>
      <c r="AE72" s="205"/>
      <c r="AF72" s="205"/>
      <c r="AG72" s="204"/>
      <c r="AH72" s="204"/>
      <c r="AI72" s="528"/>
      <c r="AJ72" s="205"/>
      <c r="AK72" s="205"/>
      <c r="AL72" s="204"/>
      <c r="AM72" s="204"/>
      <c r="AN72" s="528"/>
      <c r="AO72" s="205"/>
      <c r="AP72" s="205"/>
      <c r="AQ72" s="204"/>
      <c r="AR72" s="204"/>
      <c r="AS72" s="528"/>
      <c r="AT72" s="205"/>
      <c r="AU72" s="205"/>
      <c r="AV72" s="204"/>
      <c r="AW72" s="204"/>
      <c r="AX72" s="528"/>
    </row>
    <row r="73" spans="2:50" ht="13.5" x14ac:dyDescent="0.2">
      <c r="B73" s="517"/>
      <c r="C73" s="204">
        <v>7</v>
      </c>
      <c r="D73" s="208"/>
      <c r="E73" s="205"/>
      <c r="F73" s="205"/>
      <c r="G73" s="206"/>
      <c r="H73" s="519"/>
      <c r="I73" s="205"/>
      <c r="J73" s="205"/>
      <c r="K73" s="206"/>
      <c r="L73" s="519"/>
      <c r="M73" s="205"/>
      <c r="N73" s="516"/>
      <c r="O73" s="516"/>
      <c r="P73" s="205"/>
      <c r="Q73" s="205"/>
      <c r="R73" s="204"/>
      <c r="S73" s="204"/>
      <c r="T73" s="528"/>
      <c r="U73" s="205"/>
      <c r="V73" s="205"/>
      <c r="W73" s="204"/>
      <c r="X73" s="204"/>
      <c r="Y73" s="528"/>
      <c r="Z73" s="205"/>
      <c r="AA73" s="205"/>
      <c r="AB73" s="204"/>
      <c r="AC73" s="204"/>
      <c r="AD73" s="528"/>
      <c r="AE73" s="205"/>
      <c r="AF73" s="205"/>
      <c r="AG73" s="204"/>
      <c r="AH73" s="204"/>
      <c r="AI73" s="528"/>
      <c r="AJ73" s="205"/>
      <c r="AK73" s="205"/>
      <c r="AL73" s="204"/>
      <c r="AM73" s="204"/>
      <c r="AN73" s="528"/>
      <c r="AO73" s="205"/>
      <c r="AP73" s="205"/>
      <c r="AQ73" s="204"/>
      <c r="AR73" s="204"/>
      <c r="AS73" s="528"/>
      <c r="AT73" s="205"/>
      <c r="AU73" s="205"/>
      <c r="AV73" s="204"/>
      <c r="AW73" s="204"/>
      <c r="AX73" s="528"/>
    </row>
    <row r="74" spans="2:50" ht="13.5" x14ac:dyDescent="0.2">
      <c r="B74" s="517"/>
      <c r="C74" s="204">
        <v>8</v>
      </c>
      <c r="D74" s="208"/>
      <c r="E74" s="204"/>
      <c r="F74" s="204"/>
      <c r="G74" s="204"/>
      <c r="H74" s="519"/>
      <c r="I74" s="205"/>
      <c r="J74" s="205"/>
      <c r="K74" s="206"/>
      <c r="L74" s="519"/>
      <c r="M74" s="205"/>
      <c r="N74" s="516"/>
      <c r="O74" s="516"/>
      <c r="P74" s="205"/>
      <c r="Q74" s="205"/>
      <c r="R74" s="204"/>
      <c r="S74" s="204"/>
      <c r="T74" s="528"/>
      <c r="U74" s="205"/>
      <c r="V74" s="205"/>
      <c r="W74" s="204"/>
      <c r="X74" s="204"/>
      <c r="Y74" s="528"/>
      <c r="Z74" s="205"/>
      <c r="AA74" s="205"/>
      <c r="AB74" s="204"/>
      <c r="AC74" s="204"/>
      <c r="AD74" s="528"/>
      <c r="AE74" s="205"/>
      <c r="AF74" s="205"/>
      <c r="AG74" s="204"/>
      <c r="AH74" s="204"/>
      <c r="AI74" s="528"/>
      <c r="AJ74" s="205"/>
      <c r="AK74" s="205"/>
      <c r="AL74" s="204"/>
      <c r="AM74" s="204"/>
      <c r="AN74" s="528"/>
      <c r="AO74" s="205"/>
      <c r="AP74" s="205"/>
      <c r="AQ74" s="204"/>
      <c r="AR74" s="204"/>
      <c r="AS74" s="528"/>
      <c r="AT74" s="205"/>
      <c r="AU74" s="205"/>
      <c r="AV74" s="204"/>
      <c r="AW74" s="204"/>
      <c r="AX74" s="528"/>
    </row>
    <row r="75" spans="2:50" ht="13.5" x14ac:dyDescent="0.2">
      <c r="B75" s="517"/>
      <c r="C75" s="204">
        <v>9</v>
      </c>
      <c r="D75" s="208"/>
      <c r="E75" s="204"/>
      <c r="F75" s="204"/>
      <c r="G75" s="204"/>
      <c r="H75" s="519"/>
      <c r="I75" s="205"/>
      <c r="J75" s="205"/>
      <c r="K75" s="206"/>
      <c r="L75" s="519"/>
      <c r="M75" s="205"/>
      <c r="N75" s="516"/>
      <c r="O75" s="516"/>
      <c r="P75" s="205"/>
      <c r="Q75" s="205"/>
      <c r="R75" s="204"/>
      <c r="S75" s="204"/>
      <c r="T75" s="528"/>
      <c r="U75" s="205"/>
      <c r="V75" s="205"/>
      <c r="W75" s="204"/>
      <c r="X75" s="204"/>
      <c r="Y75" s="528"/>
      <c r="Z75" s="205"/>
      <c r="AA75" s="205"/>
      <c r="AB75" s="204"/>
      <c r="AC75" s="204"/>
      <c r="AD75" s="528"/>
      <c r="AE75" s="205"/>
      <c r="AF75" s="205"/>
      <c r="AG75" s="204"/>
      <c r="AH75" s="204"/>
      <c r="AI75" s="528"/>
      <c r="AJ75" s="205"/>
      <c r="AK75" s="205"/>
      <c r="AL75" s="204"/>
      <c r="AM75" s="204"/>
      <c r="AN75" s="528"/>
      <c r="AO75" s="205"/>
      <c r="AP75" s="205"/>
      <c r="AQ75" s="204"/>
      <c r="AR75" s="204"/>
      <c r="AS75" s="528"/>
      <c r="AT75" s="205"/>
      <c r="AU75" s="205"/>
      <c r="AV75" s="204"/>
      <c r="AW75" s="204"/>
      <c r="AX75" s="528"/>
    </row>
    <row r="76" spans="2:50" ht="13.5" x14ac:dyDescent="0.2">
      <c r="B76" s="517"/>
      <c r="C76" s="204">
        <v>10</v>
      </c>
      <c r="D76" s="208"/>
      <c r="E76" s="204"/>
      <c r="F76" s="204"/>
      <c r="G76" s="204"/>
      <c r="H76" s="519"/>
      <c r="I76" s="205"/>
      <c r="J76" s="205"/>
      <c r="K76" s="206"/>
      <c r="L76" s="519"/>
      <c r="M76" s="205"/>
      <c r="N76" s="516"/>
      <c r="O76" s="516"/>
      <c r="P76" s="205"/>
      <c r="Q76" s="205"/>
      <c r="R76" s="204"/>
      <c r="S76" s="204"/>
      <c r="T76" s="528"/>
      <c r="U76" s="205"/>
      <c r="V76" s="205"/>
      <c r="W76" s="204"/>
      <c r="X76" s="204"/>
      <c r="Y76" s="528"/>
      <c r="Z76" s="205"/>
      <c r="AA76" s="205"/>
      <c r="AB76" s="204"/>
      <c r="AC76" s="204"/>
      <c r="AD76" s="528"/>
      <c r="AE76" s="205"/>
      <c r="AF76" s="205"/>
      <c r="AG76" s="204"/>
      <c r="AH76" s="204"/>
      <c r="AI76" s="528"/>
      <c r="AJ76" s="205"/>
      <c r="AK76" s="205"/>
      <c r="AL76" s="204"/>
      <c r="AM76" s="204"/>
      <c r="AN76" s="528"/>
      <c r="AO76" s="205"/>
      <c r="AP76" s="205"/>
      <c r="AQ76" s="204"/>
      <c r="AR76" s="204"/>
      <c r="AS76" s="528"/>
      <c r="AT76" s="205"/>
      <c r="AU76" s="205"/>
      <c r="AV76" s="204"/>
      <c r="AW76" s="204"/>
      <c r="AX76" s="528"/>
    </row>
    <row r="77" spans="2:50" ht="13.5" x14ac:dyDescent="0.2">
      <c r="B77" s="517"/>
      <c r="C77" s="204">
        <v>11</v>
      </c>
      <c r="D77" s="208"/>
      <c r="E77" s="204"/>
      <c r="F77" s="204"/>
      <c r="G77" s="204"/>
      <c r="H77" s="519"/>
      <c r="I77" s="205"/>
      <c r="J77" s="205"/>
      <c r="K77" s="206"/>
      <c r="L77" s="519"/>
      <c r="M77" s="205"/>
      <c r="N77" s="516"/>
      <c r="O77" s="516"/>
      <c r="P77" s="204"/>
      <c r="Q77" s="204"/>
      <c r="R77" s="204"/>
      <c r="S77" s="204"/>
      <c r="T77" s="528"/>
      <c r="U77" s="204"/>
      <c r="V77" s="204"/>
      <c r="W77" s="204"/>
      <c r="X77" s="204"/>
      <c r="Y77" s="528"/>
      <c r="Z77" s="204"/>
      <c r="AA77" s="204"/>
      <c r="AB77" s="204"/>
      <c r="AC77" s="204"/>
      <c r="AD77" s="528"/>
      <c r="AE77" s="204"/>
      <c r="AF77" s="204"/>
      <c r="AG77" s="204"/>
      <c r="AH77" s="204"/>
      <c r="AI77" s="528"/>
      <c r="AJ77" s="204"/>
      <c r="AK77" s="204"/>
      <c r="AL77" s="204"/>
      <c r="AM77" s="204"/>
      <c r="AN77" s="528"/>
      <c r="AO77" s="204"/>
      <c r="AP77" s="204"/>
      <c r="AQ77" s="204"/>
      <c r="AR77" s="204"/>
      <c r="AS77" s="528"/>
      <c r="AT77" s="204"/>
      <c r="AU77" s="204"/>
      <c r="AV77" s="204"/>
      <c r="AW77" s="204"/>
      <c r="AX77" s="528"/>
    </row>
    <row r="78" spans="2:50" ht="13.5" x14ac:dyDescent="0.2">
      <c r="B78" s="517"/>
      <c r="C78" s="204">
        <v>12</v>
      </c>
      <c r="D78" s="208"/>
      <c r="E78" s="204"/>
      <c r="F78" s="204"/>
      <c r="G78" s="204"/>
      <c r="H78" s="519"/>
      <c r="I78" s="205"/>
      <c r="J78" s="205"/>
      <c r="K78" s="206"/>
      <c r="L78" s="519"/>
      <c r="M78" s="205"/>
      <c r="N78" s="516"/>
      <c r="O78" s="516"/>
      <c r="P78" s="204"/>
      <c r="Q78" s="204"/>
      <c r="R78" s="204"/>
      <c r="S78" s="204"/>
      <c r="T78" s="528"/>
      <c r="U78" s="204"/>
      <c r="V78" s="204"/>
      <c r="W78" s="204"/>
      <c r="X78" s="204"/>
      <c r="Y78" s="528"/>
      <c r="Z78" s="204"/>
      <c r="AA78" s="204"/>
      <c r="AB78" s="204"/>
      <c r="AC78" s="204"/>
      <c r="AD78" s="528"/>
      <c r="AE78" s="204"/>
      <c r="AF78" s="204"/>
      <c r="AG78" s="204"/>
      <c r="AH78" s="204"/>
      <c r="AI78" s="528"/>
      <c r="AJ78" s="204"/>
      <c r="AK78" s="204"/>
      <c r="AL78" s="204"/>
      <c r="AM78" s="204"/>
      <c r="AN78" s="528"/>
      <c r="AO78" s="204"/>
      <c r="AP78" s="204"/>
      <c r="AQ78" s="204"/>
      <c r="AR78" s="204"/>
      <c r="AS78" s="528"/>
      <c r="AT78" s="204"/>
      <c r="AU78" s="204"/>
      <c r="AV78" s="204"/>
      <c r="AW78" s="204"/>
      <c r="AX78" s="528"/>
    </row>
    <row r="79" spans="2:50" ht="13.5" x14ac:dyDescent="0.2">
      <c r="B79" s="517"/>
      <c r="C79" s="204">
        <v>13</v>
      </c>
      <c r="D79" s="208"/>
      <c r="E79" s="204"/>
      <c r="F79" s="204"/>
      <c r="G79" s="204"/>
      <c r="H79" s="519"/>
      <c r="I79" s="205"/>
      <c r="J79" s="205"/>
      <c r="K79" s="206"/>
      <c r="L79" s="519"/>
      <c r="M79" s="205"/>
      <c r="N79" s="516"/>
      <c r="O79" s="516"/>
      <c r="P79" s="204"/>
      <c r="Q79" s="204"/>
      <c r="R79" s="204"/>
      <c r="S79" s="204"/>
      <c r="T79" s="528"/>
      <c r="U79" s="204"/>
      <c r="V79" s="204"/>
      <c r="W79" s="204"/>
      <c r="X79" s="204"/>
      <c r="Y79" s="528"/>
      <c r="Z79" s="204"/>
      <c r="AA79" s="204"/>
      <c r="AB79" s="204"/>
      <c r="AC79" s="204"/>
      <c r="AD79" s="528"/>
      <c r="AE79" s="204"/>
      <c r="AF79" s="204"/>
      <c r="AG79" s="204"/>
      <c r="AH79" s="204"/>
      <c r="AI79" s="528"/>
      <c r="AJ79" s="204"/>
      <c r="AK79" s="204"/>
      <c r="AL79" s="204"/>
      <c r="AM79" s="204"/>
      <c r="AN79" s="528"/>
      <c r="AO79" s="204"/>
      <c r="AP79" s="204"/>
      <c r="AQ79" s="204"/>
      <c r="AR79" s="204"/>
      <c r="AS79" s="528"/>
      <c r="AT79" s="204"/>
      <c r="AU79" s="204"/>
      <c r="AV79" s="204"/>
      <c r="AW79" s="204"/>
      <c r="AX79" s="528"/>
    </row>
    <row r="80" spans="2:50" ht="13.5" x14ac:dyDescent="0.2">
      <c r="B80" s="517"/>
      <c r="C80" s="204">
        <v>14</v>
      </c>
      <c r="D80" s="208"/>
      <c r="E80" s="204"/>
      <c r="F80" s="204"/>
      <c r="G80" s="204"/>
      <c r="H80" s="519"/>
      <c r="I80" s="205"/>
      <c r="J80" s="205"/>
      <c r="K80" s="206"/>
      <c r="L80" s="519"/>
      <c r="M80" s="205"/>
      <c r="N80" s="516"/>
      <c r="O80" s="516"/>
      <c r="P80" s="204"/>
      <c r="Q80" s="204"/>
      <c r="R80" s="204"/>
      <c r="S80" s="204"/>
      <c r="T80" s="528"/>
      <c r="U80" s="204"/>
      <c r="V80" s="204"/>
      <c r="W80" s="204"/>
      <c r="X80" s="204"/>
      <c r="Y80" s="528"/>
      <c r="Z80" s="204"/>
      <c r="AA80" s="204"/>
      <c r="AB80" s="204"/>
      <c r="AC80" s="204"/>
      <c r="AD80" s="528"/>
      <c r="AE80" s="204"/>
      <c r="AF80" s="204"/>
      <c r="AG80" s="204"/>
      <c r="AH80" s="204"/>
      <c r="AI80" s="528"/>
      <c r="AJ80" s="204"/>
      <c r="AK80" s="204"/>
      <c r="AL80" s="204"/>
      <c r="AM80" s="204"/>
      <c r="AN80" s="528"/>
      <c r="AO80" s="204"/>
      <c r="AP80" s="204"/>
      <c r="AQ80" s="204"/>
      <c r="AR80" s="204"/>
      <c r="AS80" s="528"/>
      <c r="AT80" s="204"/>
      <c r="AU80" s="204"/>
      <c r="AV80" s="204"/>
      <c r="AW80" s="204"/>
      <c r="AX80" s="528"/>
    </row>
    <row r="81" spans="2:50" ht="13.5" x14ac:dyDescent="0.2">
      <c r="B81" s="517"/>
      <c r="C81" s="204">
        <v>15</v>
      </c>
      <c r="D81" s="208"/>
      <c r="E81" s="204"/>
      <c r="F81" s="204"/>
      <c r="G81" s="204"/>
      <c r="H81" s="520"/>
      <c r="I81" s="205"/>
      <c r="J81" s="205"/>
      <c r="K81" s="206"/>
      <c r="L81" s="520"/>
      <c r="M81" s="205"/>
      <c r="N81" s="516"/>
      <c r="O81" s="516"/>
      <c r="P81" s="204"/>
      <c r="Q81" s="204"/>
      <c r="R81" s="204"/>
      <c r="S81" s="204"/>
      <c r="T81" s="528"/>
      <c r="U81" s="204"/>
      <c r="V81" s="204"/>
      <c r="W81" s="204"/>
      <c r="X81" s="204"/>
      <c r="Y81" s="528"/>
      <c r="Z81" s="204"/>
      <c r="AA81" s="204"/>
      <c r="AB81" s="204"/>
      <c r="AC81" s="204"/>
      <c r="AD81" s="528"/>
      <c r="AE81" s="204"/>
      <c r="AF81" s="204"/>
      <c r="AG81" s="204"/>
      <c r="AH81" s="204"/>
      <c r="AI81" s="528"/>
      <c r="AJ81" s="204"/>
      <c r="AK81" s="204"/>
      <c r="AL81" s="204"/>
      <c r="AM81" s="204"/>
      <c r="AN81" s="528"/>
      <c r="AO81" s="204"/>
      <c r="AP81" s="204"/>
      <c r="AQ81" s="204"/>
      <c r="AR81" s="204"/>
      <c r="AS81" s="528"/>
      <c r="AT81" s="204"/>
      <c r="AU81" s="204"/>
      <c r="AV81" s="204"/>
      <c r="AW81" s="204"/>
      <c r="AX81" s="528"/>
    </row>
    <row r="82" spans="2:50" ht="15.75" x14ac:dyDescent="0.2">
      <c r="B82" s="511" t="s">
        <v>85</v>
      </c>
      <c r="C82" s="512"/>
      <c r="D82" s="512"/>
      <c r="E82" s="512"/>
      <c r="F82" s="512"/>
      <c r="G82" s="512"/>
      <c r="H82" s="512"/>
      <c r="I82" s="209"/>
      <c r="J82" s="209"/>
      <c r="K82" s="209"/>
      <c r="L82" s="209"/>
      <c r="M82" s="210"/>
      <c r="N82" s="514" t="s">
        <v>86</v>
      </c>
      <c r="O82" s="514" t="s">
        <v>45</v>
      </c>
      <c r="P82" s="524">
        <f>AT62+1</f>
        <v>46231</v>
      </c>
      <c r="Q82" s="517"/>
      <c r="R82" s="517"/>
      <c r="S82" s="517"/>
      <c r="T82" s="517"/>
      <c r="U82" s="524">
        <f>P82+1</f>
        <v>46232</v>
      </c>
      <c r="V82" s="517"/>
      <c r="W82" s="517"/>
      <c r="X82" s="517"/>
      <c r="Y82" s="517"/>
      <c r="Z82" s="524">
        <f>Z62+7</f>
        <v>46233</v>
      </c>
      <c r="AA82" s="517"/>
      <c r="AB82" s="517"/>
      <c r="AC82" s="517"/>
      <c r="AD82" s="517"/>
      <c r="AE82" s="524">
        <f>AE62+7</f>
        <v>46234</v>
      </c>
      <c r="AF82" s="517"/>
      <c r="AG82" s="517"/>
      <c r="AH82" s="517"/>
      <c r="AI82" s="517"/>
      <c r="AJ82" s="524">
        <f>AJ62+7</f>
        <v>46235</v>
      </c>
      <c r="AK82" s="517"/>
      <c r="AL82" s="517"/>
      <c r="AM82" s="517"/>
      <c r="AN82" s="517"/>
      <c r="AO82" s="524">
        <f>AO62+7</f>
        <v>46236</v>
      </c>
      <c r="AP82" s="517"/>
      <c r="AQ82" s="517"/>
      <c r="AR82" s="517"/>
      <c r="AS82" s="517"/>
      <c r="AT82" s="524">
        <f>AT62+7</f>
        <v>46237</v>
      </c>
      <c r="AU82" s="517"/>
      <c r="AV82" s="517"/>
      <c r="AW82" s="517"/>
      <c r="AX82" s="517"/>
    </row>
    <row r="83" spans="2:50" ht="15.75" x14ac:dyDescent="0.2">
      <c r="B83" s="513"/>
      <c r="C83" s="513"/>
      <c r="D83" s="513"/>
      <c r="E83" s="513"/>
      <c r="F83" s="513"/>
      <c r="G83" s="513"/>
      <c r="H83" s="513"/>
      <c r="I83" s="200"/>
      <c r="J83" s="200"/>
      <c r="K83" s="200"/>
      <c r="L83" s="200"/>
      <c r="M83" s="201"/>
      <c r="N83" s="515"/>
      <c r="O83" s="515"/>
      <c r="P83" s="524" t="s">
        <v>61</v>
      </c>
      <c r="Q83" s="517"/>
      <c r="R83" s="517"/>
      <c r="S83" s="517"/>
      <c r="T83" s="517"/>
      <c r="U83" s="524" t="s">
        <v>56</v>
      </c>
      <c r="V83" s="517"/>
      <c r="W83" s="517"/>
      <c r="X83" s="517"/>
      <c r="Y83" s="517"/>
      <c r="Z83" s="524" t="s">
        <v>57</v>
      </c>
      <c r="AA83" s="517"/>
      <c r="AB83" s="517"/>
      <c r="AC83" s="517"/>
      <c r="AD83" s="517"/>
      <c r="AE83" s="524" t="s">
        <v>58</v>
      </c>
      <c r="AF83" s="517"/>
      <c r="AG83" s="517"/>
      <c r="AH83" s="517"/>
      <c r="AI83" s="517"/>
      <c r="AJ83" s="524" t="s">
        <v>59</v>
      </c>
      <c r="AK83" s="517"/>
      <c r="AL83" s="517"/>
      <c r="AM83" s="517"/>
      <c r="AN83" s="517"/>
      <c r="AO83" s="524" t="s">
        <v>52</v>
      </c>
      <c r="AP83" s="517"/>
      <c r="AQ83" s="517"/>
      <c r="AR83" s="517"/>
      <c r="AS83" s="517"/>
      <c r="AT83" s="524" t="s">
        <v>60</v>
      </c>
      <c r="AU83" s="517"/>
      <c r="AV83" s="517"/>
      <c r="AW83" s="517"/>
      <c r="AX83" s="517"/>
    </row>
    <row r="84" spans="2:50" x14ac:dyDescent="0.2">
      <c r="B84" s="516" t="s">
        <v>41</v>
      </c>
      <c r="C84" s="516" t="s">
        <v>87</v>
      </c>
      <c r="D84" s="516"/>
      <c r="E84" s="516" t="s">
        <v>88</v>
      </c>
      <c r="F84" s="516"/>
      <c r="G84" s="516"/>
      <c r="H84" s="521" t="s">
        <v>89</v>
      </c>
      <c r="I84" s="516" t="s">
        <v>90</v>
      </c>
      <c r="J84" s="516"/>
      <c r="K84" s="516"/>
      <c r="L84" s="521" t="s">
        <v>89</v>
      </c>
      <c r="M84" s="514" t="s">
        <v>91</v>
      </c>
      <c r="N84" s="516"/>
      <c r="O84" s="516" t="s">
        <v>92</v>
      </c>
      <c r="P84" s="525" t="s">
        <v>93</v>
      </c>
      <c r="Q84" s="526"/>
      <c r="R84" s="526"/>
      <c r="S84" s="527"/>
      <c r="T84" s="516" t="s">
        <v>89</v>
      </c>
      <c r="U84" s="525" t="s">
        <v>93</v>
      </c>
      <c r="V84" s="526"/>
      <c r="W84" s="526"/>
      <c r="X84" s="527"/>
      <c r="Y84" s="516" t="s">
        <v>89</v>
      </c>
      <c r="Z84" s="525" t="s">
        <v>93</v>
      </c>
      <c r="AA84" s="526"/>
      <c r="AB84" s="526"/>
      <c r="AC84" s="527"/>
      <c r="AD84" s="516" t="s">
        <v>89</v>
      </c>
      <c r="AE84" s="525" t="s">
        <v>93</v>
      </c>
      <c r="AF84" s="526"/>
      <c r="AG84" s="526"/>
      <c r="AH84" s="527"/>
      <c r="AI84" s="516" t="s">
        <v>89</v>
      </c>
      <c r="AJ84" s="525" t="s">
        <v>93</v>
      </c>
      <c r="AK84" s="526"/>
      <c r="AL84" s="526"/>
      <c r="AM84" s="527"/>
      <c r="AN84" s="516" t="s">
        <v>89</v>
      </c>
      <c r="AO84" s="525" t="s">
        <v>93</v>
      </c>
      <c r="AP84" s="526"/>
      <c r="AQ84" s="526"/>
      <c r="AR84" s="527"/>
      <c r="AS84" s="516" t="s">
        <v>89</v>
      </c>
      <c r="AT84" s="525" t="s">
        <v>93</v>
      </c>
      <c r="AU84" s="526"/>
      <c r="AV84" s="526"/>
      <c r="AW84" s="527"/>
      <c r="AX84" s="516" t="s">
        <v>89</v>
      </c>
    </row>
    <row r="85" spans="2:50" x14ac:dyDescent="0.2">
      <c r="B85" s="516"/>
      <c r="C85" s="516"/>
      <c r="D85" s="516"/>
      <c r="E85" s="516" t="s">
        <v>94</v>
      </c>
      <c r="F85" s="516"/>
      <c r="G85" s="516"/>
      <c r="H85" s="522"/>
      <c r="I85" s="516" t="s">
        <v>94</v>
      </c>
      <c r="J85" s="516"/>
      <c r="K85" s="516"/>
      <c r="L85" s="522"/>
      <c r="M85" s="529"/>
      <c r="N85" s="516"/>
      <c r="O85" s="516"/>
      <c r="P85" s="525" t="s">
        <v>95</v>
      </c>
      <c r="Q85" s="526"/>
      <c r="R85" s="526"/>
      <c r="S85" s="527"/>
      <c r="T85" s="516"/>
      <c r="U85" s="525" t="s">
        <v>95</v>
      </c>
      <c r="V85" s="526"/>
      <c r="W85" s="526"/>
      <c r="X85" s="527"/>
      <c r="Y85" s="516"/>
      <c r="Z85" s="525" t="s">
        <v>95</v>
      </c>
      <c r="AA85" s="526"/>
      <c r="AB85" s="526"/>
      <c r="AC85" s="527"/>
      <c r="AD85" s="516"/>
      <c r="AE85" s="525" t="s">
        <v>95</v>
      </c>
      <c r="AF85" s="526"/>
      <c r="AG85" s="526"/>
      <c r="AH85" s="527"/>
      <c r="AI85" s="516"/>
      <c r="AJ85" s="525" t="s">
        <v>95</v>
      </c>
      <c r="AK85" s="526"/>
      <c r="AL85" s="526"/>
      <c r="AM85" s="527"/>
      <c r="AN85" s="516"/>
      <c r="AO85" s="525" t="s">
        <v>95</v>
      </c>
      <c r="AP85" s="526"/>
      <c r="AQ85" s="526"/>
      <c r="AR85" s="527"/>
      <c r="AS85" s="516"/>
      <c r="AT85" s="525" t="s">
        <v>95</v>
      </c>
      <c r="AU85" s="526"/>
      <c r="AV85" s="526"/>
      <c r="AW85" s="527"/>
      <c r="AX85" s="516"/>
    </row>
    <row r="86" spans="2:50" x14ac:dyDescent="0.2">
      <c r="B86" s="516"/>
      <c r="C86" s="516"/>
      <c r="D86" s="516"/>
      <c r="E86" s="203" t="s">
        <v>96</v>
      </c>
      <c r="F86" s="203" t="s">
        <v>97</v>
      </c>
      <c r="G86" s="203" t="s">
        <v>98</v>
      </c>
      <c r="H86" s="523"/>
      <c r="I86" s="203" t="s">
        <v>96</v>
      </c>
      <c r="J86" s="203" t="s">
        <v>97</v>
      </c>
      <c r="K86" s="203" t="s">
        <v>98</v>
      </c>
      <c r="L86" s="523"/>
      <c r="M86" s="515"/>
      <c r="N86" s="516"/>
      <c r="O86" s="516"/>
      <c r="P86" s="203" t="s">
        <v>96</v>
      </c>
      <c r="Q86" s="203" t="s">
        <v>97</v>
      </c>
      <c r="R86" s="203" t="s">
        <v>98</v>
      </c>
      <c r="S86" s="203" t="s">
        <v>91</v>
      </c>
      <c r="T86" s="516"/>
      <c r="U86" s="203" t="s">
        <v>96</v>
      </c>
      <c r="V86" s="203" t="s">
        <v>97</v>
      </c>
      <c r="W86" s="203" t="s">
        <v>98</v>
      </c>
      <c r="X86" s="203" t="s">
        <v>91</v>
      </c>
      <c r="Y86" s="516"/>
      <c r="Z86" s="203" t="s">
        <v>96</v>
      </c>
      <c r="AA86" s="203" t="s">
        <v>97</v>
      </c>
      <c r="AB86" s="203" t="s">
        <v>98</v>
      </c>
      <c r="AC86" s="203" t="s">
        <v>91</v>
      </c>
      <c r="AD86" s="516"/>
      <c r="AE86" s="203" t="s">
        <v>96</v>
      </c>
      <c r="AF86" s="203" t="s">
        <v>97</v>
      </c>
      <c r="AG86" s="203" t="s">
        <v>98</v>
      </c>
      <c r="AH86" s="203" t="s">
        <v>91</v>
      </c>
      <c r="AI86" s="516"/>
      <c r="AJ86" s="203" t="s">
        <v>96</v>
      </c>
      <c r="AK86" s="203" t="s">
        <v>97</v>
      </c>
      <c r="AL86" s="203" t="s">
        <v>98</v>
      </c>
      <c r="AM86" s="203" t="s">
        <v>91</v>
      </c>
      <c r="AN86" s="516"/>
      <c r="AO86" s="203" t="s">
        <v>96</v>
      </c>
      <c r="AP86" s="203" t="s">
        <v>97</v>
      </c>
      <c r="AQ86" s="203" t="s">
        <v>98</v>
      </c>
      <c r="AR86" s="203" t="s">
        <v>91</v>
      </c>
      <c r="AS86" s="516"/>
      <c r="AT86" s="203" t="s">
        <v>96</v>
      </c>
      <c r="AU86" s="203" t="s">
        <v>97</v>
      </c>
      <c r="AV86" s="203" t="s">
        <v>98</v>
      </c>
      <c r="AW86" s="203" t="s">
        <v>91</v>
      </c>
      <c r="AX86" s="516"/>
    </row>
    <row r="87" spans="2:50" ht="13.5" x14ac:dyDescent="0.2">
      <c r="B87" s="516" t="s">
        <v>76</v>
      </c>
      <c r="C87" s="204">
        <v>1</v>
      </c>
      <c r="D87" s="208" t="s">
        <v>99</v>
      </c>
      <c r="E87" s="205">
        <f>VLOOKUP(D87,'07產線配置圖'!$A$26:$C$33,2,0)</f>
        <v>15</v>
      </c>
      <c r="F87" s="205">
        <f>VLOOKUP(D87,'07產線配置圖'!$A$26:$C$33,3,0)</f>
        <v>1636</v>
      </c>
      <c r="G87" s="206">
        <f t="shared" ref="G87:G88" si="66">F87/E87</f>
        <v>109.06666666666666</v>
      </c>
      <c r="H87" s="518">
        <f>AVERAGE(G87:G101)</f>
        <v>138.81212121212121</v>
      </c>
      <c r="I87" s="205" t="e">
        <f>AVERAGE(P87,U87,Z86,AE87,AJ87,AO87)</f>
        <v>#DIV/0!</v>
      </c>
      <c r="J87" s="205" t="e">
        <f>AVERAGE(Q87,V87,AA87,AF87,AK87,AP87)</f>
        <v>#DIV/0!</v>
      </c>
      <c r="K87" s="206" t="e">
        <f>AVERAGE(R87,W87,AB87,AG87,AL87,AQ87)</f>
        <v>#DIV/0!</v>
      </c>
      <c r="L87" s="518" t="str">
        <f>IFERROR(AVERAGE(K87:K101),"-")</f>
        <v>-</v>
      </c>
      <c r="M87" s="205" t="e">
        <f>RANK(K87,$K$87:$K$101)</f>
        <v>#DIV/0!</v>
      </c>
      <c r="N87" s="516"/>
      <c r="O87" s="516"/>
      <c r="P87" s="205"/>
      <c r="Q87" s="205"/>
      <c r="R87" s="342" t="e">
        <f>Q87/P87</f>
        <v>#DIV/0!</v>
      </c>
      <c r="S87" s="204" t="e">
        <f>RANK(R87,$R$87:$R$101)</f>
        <v>#DIV/0!</v>
      </c>
      <c r="T87" s="528" t="e">
        <f>AVERAGE(R87:R101)</f>
        <v>#DIV/0!</v>
      </c>
      <c r="U87" s="205"/>
      <c r="V87" s="205"/>
      <c r="W87" s="206" t="e">
        <f>V87/U87</f>
        <v>#DIV/0!</v>
      </c>
      <c r="X87" s="204" t="e">
        <f>RANK(W87,$W$87:$W$101)</f>
        <v>#DIV/0!</v>
      </c>
      <c r="Y87" s="528" t="e">
        <f>AVERAGE(W87:W101)</f>
        <v>#DIV/0!</v>
      </c>
      <c r="Z87" s="205"/>
      <c r="AA87" s="205"/>
      <c r="AB87" s="206" t="e">
        <f>AA87/Z87</f>
        <v>#DIV/0!</v>
      </c>
      <c r="AC87" s="204" t="e">
        <f>RANK(AB87,$AB$87:$AB$100)</f>
        <v>#DIV/0!</v>
      </c>
      <c r="AD87" s="528" t="e">
        <f>AVERAGE(AB87:AB101)</f>
        <v>#DIV/0!</v>
      </c>
      <c r="AE87" s="205"/>
      <c r="AF87" s="205"/>
      <c r="AG87" s="206" t="e">
        <f>AF87/AE87</f>
        <v>#DIV/0!</v>
      </c>
      <c r="AH87" s="204" t="e">
        <f>RANK(AG87,$AG$87:$AG$101)</f>
        <v>#DIV/0!</v>
      </c>
      <c r="AI87" s="528" t="e">
        <f>AVERAGE(AG87:AG101)</f>
        <v>#DIV/0!</v>
      </c>
      <c r="AJ87" s="205"/>
      <c r="AK87" s="205"/>
      <c r="AL87" s="342" t="e">
        <f>AK87/AJ87</f>
        <v>#DIV/0!</v>
      </c>
      <c r="AM87" s="204" t="e">
        <f>RANK(AL87,$AL$87:$AL$101)</f>
        <v>#DIV/0!</v>
      </c>
      <c r="AN87" s="528" t="e">
        <f>AVERAGE(AL87:AL101)</f>
        <v>#DIV/0!</v>
      </c>
      <c r="AO87" s="205"/>
      <c r="AP87" s="205"/>
      <c r="AQ87" s="206" t="e">
        <f>AP87/AO87</f>
        <v>#DIV/0!</v>
      </c>
      <c r="AR87" s="204" t="e">
        <f>RANK(AQ87,$AQ$87:$AQ$101)</f>
        <v>#DIV/0!</v>
      </c>
      <c r="AS87" s="528" t="e">
        <f>AVERAGE(AQ87:AQ101)</f>
        <v>#DIV/0!</v>
      </c>
      <c r="AT87" s="205"/>
      <c r="AU87" s="205"/>
      <c r="AV87" s="206" t="e">
        <f>AU87/AT87</f>
        <v>#DIV/0!</v>
      </c>
      <c r="AW87" s="204" t="e">
        <f>RANK(AV87,$AV$87:$AV$101)</f>
        <v>#DIV/0!</v>
      </c>
      <c r="AX87" s="528" t="e">
        <f>AVERAGE(AV87:AV101)</f>
        <v>#DIV/0!</v>
      </c>
    </row>
    <row r="88" spans="2:50" ht="13.5" x14ac:dyDescent="0.2">
      <c r="B88" s="517"/>
      <c r="C88" s="204">
        <v>2</v>
      </c>
      <c r="D88" s="208" t="s">
        <v>100</v>
      </c>
      <c r="E88" s="205">
        <f>VLOOKUP(D88,'07產線配置圖'!$A$26:$C$33,2,0)</f>
        <v>11</v>
      </c>
      <c r="F88" s="205">
        <f>VLOOKUP(D88,'07產線配置圖'!$A$26:$C$33,3,0)</f>
        <v>1636</v>
      </c>
      <c r="G88" s="206">
        <f t="shared" si="66"/>
        <v>148.72727272727272</v>
      </c>
      <c r="H88" s="519"/>
      <c r="I88" s="205" t="e">
        <f t="shared" ref="I88:I89" si="67">AVERAGE(P88,U88,Z87,AE88,AJ88,AO88)</f>
        <v>#DIV/0!</v>
      </c>
      <c r="J88" s="205" t="e">
        <f t="shared" ref="J88:J89" si="68">AVERAGE(Q88,V88,AA88,AF88,AK88,AP88)</f>
        <v>#DIV/0!</v>
      </c>
      <c r="K88" s="206" t="e">
        <f t="shared" ref="K88:K89" si="69">AVERAGE(R88,W88,AB88,AG88,AL88,AQ88)</f>
        <v>#DIV/0!</v>
      </c>
      <c r="L88" s="519"/>
      <c r="M88" s="205" t="e">
        <f t="shared" ref="M88:M90" si="70">RANK(K88,$K$87:$K$101)</f>
        <v>#DIV/0!</v>
      </c>
      <c r="N88" s="516"/>
      <c r="O88" s="516"/>
      <c r="P88" s="205"/>
      <c r="Q88" s="205"/>
      <c r="R88" s="206" t="e">
        <f>Q88/P88</f>
        <v>#DIV/0!</v>
      </c>
      <c r="S88" s="204" t="e">
        <f>RANK(R88,$R$87:$R$101)</f>
        <v>#DIV/0!</v>
      </c>
      <c r="T88" s="528"/>
      <c r="U88" s="205"/>
      <c r="V88" s="205"/>
      <c r="W88" s="206" t="e">
        <f>V88/U88</f>
        <v>#DIV/0!</v>
      </c>
      <c r="X88" s="204" t="e">
        <f>RANK(W88,$W$87:$W$101)</f>
        <v>#DIV/0!</v>
      </c>
      <c r="Y88" s="528"/>
      <c r="Z88" s="205"/>
      <c r="AA88" s="205"/>
      <c r="AB88" s="206" t="e">
        <f>AA88/Z88</f>
        <v>#DIV/0!</v>
      </c>
      <c r="AC88" s="204" t="e">
        <f>RANK(AB88,$AB$87:$AB$100)</f>
        <v>#DIV/0!</v>
      </c>
      <c r="AD88" s="528"/>
      <c r="AE88" s="205"/>
      <c r="AF88" s="205"/>
      <c r="AG88" s="206" t="e">
        <f>AF88/AE88</f>
        <v>#DIV/0!</v>
      </c>
      <c r="AH88" s="204" t="e">
        <f>RANK(AG88,$AG$87:$AG$101)</f>
        <v>#DIV/0!</v>
      </c>
      <c r="AI88" s="528"/>
      <c r="AJ88" s="205"/>
      <c r="AK88" s="205"/>
      <c r="AL88" s="342" t="e">
        <f t="shared" ref="AL88:AL90" si="71">AK88/AJ88</f>
        <v>#DIV/0!</v>
      </c>
      <c r="AM88" s="204" t="e">
        <f t="shared" ref="AM88:AM90" si="72">RANK(AL88,$AL$87:$AL$101)</f>
        <v>#DIV/0!</v>
      </c>
      <c r="AN88" s="528"/>
      <c r="AO88" s="205"/>
      <c r="AP88" s="205"/>
      <c r="AQ88" s="206" t="e">
        <f t="shared" ref="AQ88:AQ90" si="73">AP88/AO88</f>
        <v>#DIV/0!</v>
      </c>
      <c r="AR88" s="204" t="e">
        <f t="shared" ref="AR88:AR90" si="74">RANK(AQ88,$AQ$87:$AQ$101)</f>
        <v>#DIV/0!</v>
      </c>
      <c r="AS88" s="528"/>
      <c r="AT88" s="205"/>
      <c r="AU88" s="205"/>
      <c r="AV88" s="206" t="e">
        <f t="shared" ref="AV88:AV90" si="75">AU88/AT88</f>
        <v>#DIV/0!</v>
      </c>
      <c r="AW88" s="204" t="e">
        <f t="shared" ref="AW88:AW90" si="76">RANK(AV88,$AV$87:$AV$101)</f>
        <v>#DIV/0!</v>
      </c>
      <c r="AX88" s="528"/>
    </row>
    <row r="89" spans="2:50" ht="13.5" x14ac:dyDescent="0.2">
      <c r="B89" s="517"/>
      <c r="C89" s="204">
        <v>3</v>
      </c>
      <c r="D89" s="208" t="s">
        <v>101</v>
      </c>
      <c r="E89" s="205">
        <f>VLOOKUP(D89,'07產線配置圖'!$A$26:$C$33,2,0)</f>
        <v>11</v>
      </c>
      <c r="F89" s="205">
        <f>VLOOKUP(D89,'07產線配置圖'!$A$26:$C$33,3,0)</f>
        <v>1636</v>
      </c>
      <c r="G89" s="206">
        <f>F89/E89</f>
        <v>148.72727272727272</v>
      </c>
      <c r="H89" s="519"/>
      <c r="I89" s="205" t="e">
        <f t="shared" si="67"/>
        <v>#DIV/0!</v>
      </c>
      <c r="J89" s="205" t="e">
        <f t="shared" si="68"/>
        <v>#DIV/0!</v>
      </c>
      <c r="K89" s="206" t="e">
        <f t="shared" si="69"/>
        <v>#DIV/0!</v>
      </c>
      <c r="L89" s="519"/>
      <c r="M89" s="205" t="e">
        <f t="shared" si="70"/>
        <v>#DIV/0!</v>
      </c>
      <c r="N89" s="516"/>
      <c r="O89" s="516"/>
      <c r="P89" s="205"/>
      <c r="Q89" s="205"/>
      <c r="R89" s="206" t="e">
        <f>Q89/P89</f>
        <v>#DIV/0!</v>
      </c>
      <c r="S89" s="204" t="e">
        <f>RANK(R89,$R$87:$R$101)</f>
        <v>#DIV/0!</v>
      </c>
      <c r="T89" s="528"/>
      <c r="U89" s="205"/>
      <c r="V89" s="205"/>
      <c r="W89" s="340" t="e">
        <f>V89/U89</f>
        <v>#DIV/0!</v>
      </c>
      <c r="X89" s="204" t="e">
        <f>RANK(W89,$W$87:$W$101)</f>
        <v>#DIV/0!</v>
      </c>
      <c r="Y89" s="528"/>
      <c r="Z89" s="205"/>
      <c r="AA89" s="205"/>
      <c r="AB89" s="206" t="e">
        <f>AA89/Z89</f>
        <v>#DIV/0!</v>
      </c>
      <c r="AC89" s="204" t="e">
        <f>RANK(AB89,$AB$87:$AB$100)</f>
        <v>#DIV/0!</v>
      </c>
      <c r="AD89" s="528"/>
      <c r="AE89" s="205"/>
      <c r="AF89" s="205"/>
      <c r="AG89" s="206" t="e">
        <f>AF89/AE89</f>
        <v>#DIV/0!</v>
      </c>
      <c r="AH89" s="204" t="e">
        <f>RANK(AG89,$AG$87:$AG$101)</f>
        <v>#DIV/0!</v>
      </c>
      <c r="AI89" s="528"/>
      <c r="AJ89" s="205"/>
      <c r="AK89" s="205"/>
      <c r="AL89" s="342" t="e">
        <f t="shared" si="71"/>
        <v>#DIV/0!</v>
      </c>
      <c r="AM89" s="204" t="e">
        <f t="shared" si="72"/>
        <v>#DIV/0!</v>
      </c>
      <c r="AN89" s="528"/>
      <c r="AO89" s="205"/>
      <c r="AP89" s="205"/>
      <c r="AQ89" s="206" t="e">
        <f t="shared" si="73"/>
        <v>#DIV/0!</v>
      </c>
      <c r="AR89" s="204" t="e">
        <f t="shared" si="74"/>
        <v>#DIV/0!</v>
      </c>
      <c r="AS89" s="528"/>
      <c r="AT89" s="205"/>
      <c r="AU89" s="205"/>
      <c r="AV89" s="206" t="e">
        <f t="shared" si="75"/>
        <v>#DIV/0!</v>
      </c>
      <c r="AW89" s="204" t="e">
        <f t="shared" si="76"/>
        <v>#DIV/0!</v>
      </c>
      <c r="AX89" s="528"/>
    </row>
    <row r="90" spans="2:50" ht="13.5" x14ac:dyDescent="0.2">
      <c r="B90" s="517"/>
      <c r="C90" s="204">
        <v>4</v>
      </c>
      <c r="D90" s="208" t="s">
        <v>102</v>
      </c>
      <c r="E90" s="205">
        <f>VLOOKUP(D90,'07產線配置圖'!$A$26:$C$33,2,0)</f>
        <v>11</v>
      </c>
      <c r="F90" s="205">
        <f>VLOOKUP(D90,'07產線配置圖'!$A$26:$C$33,3,0)</f>
        <v>1636</v>
      </c>
      <c r="G90" s="206">
        <f>F90/E90</f>
        <v>148.72727272727272</v>
      </c>
      <c r="H90" s="519"/>
      <c r="I90" s="205" t="e">
        <f>AVERAGE(P90,U90,Z89,AE90,AJ90,AO90)</f>
        <v>#DIV/0!</v>
      </c>
      <c r="J90" s="205" t="e">
        <f>AVERAGE(Q90,V90,AA90,AF90,AK90,AP90)</f>
        <v>#DIV/0!</v>
      </c>
      <c r="K90" s="206" t="e">
        <f>AVERAGE(R90,W90,AB90,AG90,AL90,AQ90)</f>
        <v>#DIV/0!</v>
      </c>
      <c r="L90" s="519"/>
      <c r="M90" s="205" t="e">
        <f t="shared" si="70"/>
        <v>#DIV/0!</v>
      </c>
      <c r="N90" s="516"/>
      <c r="O90" s="516"/>
      <c r="P90" s="205"/>
      <c r="Q90" s="205"/>
      <c r="R90" s="206" t="e">
        <f>Q90/P90</f>
        <v>#DIV/0!</v>
      </c>
      <c r="S90" s="204" t="e">
        <f>RANK(R90,$R$87:$R$101)</f>
        <v>#DIV/0!</v>
      </c>
      <c r="T90" s="528"/>
      <c r="U90" s="205"/>
      <c r="V90" s="205"/>
      <c r="W90" s="206" t="e">
        <f>V90/U90</f>
        <v>#DIV/0!</v>
      </c>
      <c r="X90" s="204" t="e">
        <f>RANK(W90,$W$87:$W$101)</f>
        <v>#DIV/0!</v>
      </c>
      <c r="Y90" s="528"/>
      <c r="Z90" s="205"/>
      <c r="AA90" s="205"/>
      <c r="AB90" s="206" t="e">
        <f>AA90/Z90</f>
        <v>#DIV/0!</v>
      </c>
      <c r="AC90" s="204" t="e">
        <f>RANK(AB90,$AB$87:$AB$100)</f>
        <v>#DIV/0!</v>
      </c>
      <c r="AD90" s="528"/>
      <c r="AE90" s="205"/>
      <c r="AF90" s="205"/>
      <c r="AG90" s="206" t="e">
        <f>AF90/AE90</f>
        <v>#DIV/0!</v>
      </c>
      <c r="AH90" s="204" t="e">
        <f>RANK(AG90,$AG$87:$AG$101)</f>
        <v>#DIV/0!</v>
      </c>
      <c r="AI90" s="528"/>
      <c r="AJ90" s="205"/>
      <c r="AK90" s="205"/>
      <c r="AL90" s="342" t="e">
        <f t="shared" si="71"/>
        <v>#DIV/0!</v>
      </c>
      <c r="AM90" s="204" t="e">
        <f t="shared" si="72"/>
        <v>#DIV/0!</v>
      </c>
      <c r="AN90" s="528"/>
      <c r="AO90" s="205"/>
      <c r="AP90" s="205"/>
      <c r="AQ90" s="206" t="e">
        <f t="shared" si="73"/>
        <v>#DIV/0!</v>
      </c>
      <c r="AR90" s="204" t="e">
        <f t="shared" si="74"/>
        <v>#DIV/0!</v>
      </c>
      <c r="AS90" s="528"/>
      <c r="AT90" s="205"/>
      <c r="AU90" s="205"/>
      <c r="AV90" s="206" t="e">
        <f t="shared" si="75"/>
        <v>#DIV/0!</v>
      </c>
      <c r="AW90" s="204" t="e">
        <f t="shared" si="76"/>
        <v>#DIV/0!</v>
      </c>
      <c r="AX90" s="528"/>
    </row>
    <row r="91" spans="2:50" ht="13.5" x14ac:dyDescent="0.2">
      <c r="B91" s="517"/>
      <c r="C91" s="204">
        <v>5</v>
      </c>
      <c r="D91" s="208"/>
      <c r="E91" s="205"/>
      <c r="F91" s="205"/>
      <c r="G91" s="206"/>
      <c r="H91" s="519"/>
      <c r="I91" s="205"/>
      <c r="J91" s="205"/>
      <c r="K91" s="206"/>
      <c r="L91" s="519"/>
      <c r="M91" s="205"/>
      <c r="N91" s="516"/>
      <c r="O91" s="516"/>
      <c r="P91" s="205"/>
      <c r="Q91" s="205"/>
      <c r="R91" s="204"/>
      <c r="S91" s="204"/>
      <c r="T91" s="528"/>
      <c r="U91" s="205"/>
      <c r="V91" s="205"/>
      <c r="W91" s="204"/>
      <c r="X91" s="204"/>
      <c r="Y91" s="528"/>
      <c r="Z91" s="205"/>
      <c r="AA91" s="205"/>
      <c r="AB91" s="204"/>
      <c r="AC91" s="204"/>
      <c r="AD91" s="528"/>
      <c r="AE91" s="205"/>
      <c r="AF91" s="205"/>
      <c r="AG91" s="204"/>
      <c r="AH91" s="204"/>
      <c r="AI91" s="528"/>
      <c r="AJ91" s="205"/>
      <c r="AK91" s="205"/>
      <c r="AL91" s="204"/>
      <c r="AM91" s="204"/>
      <c r="AN91" s="528"/>
      <c r="AO91" s="205"/>
      <c r="AP91" s="205"/>
      <c r="AQ91" s="204"/>
      <c r="AR91" s="204"/>
      <c r="AS91" s="528"/>
      <c r="AT91" s="205"/>
      <c r="AU91" s="205"/>
      <c r="AV91" s="204"/>
      <c r="AW91" s="204"/>
      <c r="AX91" s="528"/>
    </row>
    <row r="92" spans="2:50" ht="13.5" x14ac:dyDescent="0.2">
      <c r="B92" s="517"/>
      <c r="C92" s="204">
        <v>6</v>
      </c>
      <c r="D92" s="208"/>
      <c r="E92" s="205"/>
      <c r="F92" s="205"/>
      <c r="G92" s="206"/>
      <c r="H92" s="519"/>
      <c r="I92" s="205"/>
      <c r="J92" s="205"/>
      <c r="K92" s="206"/>
      <c r="L92" s="519"/>
      <c r="M92" s="205"/>
      <c r="N92" s="516"/>
      <c r="O92" s="516"/>
      <c r="P92" s="205"/>
      <c r="Q92" s="205"/>
      <c r="R92" s="204"/>
      <c r="S92" s="204"/>
      <c r="T92" s="528"/>
      <c r="U92" s="205"/>
      <c r="V92" s="205"/>
      <c r="W92" s="204"/>
      <c r="X92" s="204"/>
      <c r="Y92" s="528"/>
      <c r="Z92" s="205"/>
      <c r="AA92" s="205"/>
      <c r="AB92" s="204"/>
      <c r="AC92" s="204"/>
      <c r="AD92" s="528"/>
      <c r="AE92" s="205"/>
      <c r="AF92" s="205"/>
      <c r="AG92" s="204"/>
      <c r="AH92" s="204"/>
      <c r="AI92" s="528"/>
      <c r="AJ92" s="205"/>
      <c r="AK92" s="205"/>
      <c r="AL92" s="204"/>
      <c r="AM92" s="204"/>
      <c r="AN92" s="528"/>
      <c r="AO92" s="205"/>
      <c r="AP92" s="205"/>
      <c r="AQ92" s="204"/>
      <c r="AR92" s="204"/>
      <c r="AS92" s="528"/>
      <c r="AT92" s="205"/>
      <c r="AU92" s="205"/>
      <c r="AV92" s="204"/>
      <c r="AW92" s="204"/>
      <c r="AX92" s="528"/>
    </row>
    <row r="93" spans="2:50" ht="13.5" x14ac:dyDescent="0.2">
      <c r="B93" s="517"/>
      <c r="C93" s="204">
        <v>7</v>
      </c>
      <c r="D93" s="208"/>
      <c r="E93" s="205"/>
      <c r="F93" s="205"/>
      <c r="G93" s="206"/>
      <c r="H93" s="519"/>
      <c r="I93" s="205"/>
      <c r="J93" s="205"/>
      <c r="K93" s="206"/>
      <c r="L93" s="519"/>
      <c r="M93" s="205"/>
      <c r="N93" s="516"/>
      <c r="O93" s="516"/>
      <c r="P93" s="205"/>
      <c r="Q93" s="205"/>
      <c r="R93" s="204"/>
      <c r="S93" s="204"/>
      <c r="T93" s="528"/>
      <c r="U93" s="205"/>
      <c r="V93" s="205"/>
      <c r="W93" s="204"/>
      <c r="X93" s="204"/>
      <c r="Y93" s="528"/>
      <c r="Z93" s="205"/>
      <c r="AA93" s="205"/>
      <c r="AB93" s="204"/>
      <c r="AC93" s="204"/>
      <c r="AD93" s="528"/>
      <c r="AE93" s="205"/>
      <c r="AF93" s="205"/>
      <c r="AG93" s="204"/>
      <c r="AH93" s="204"/>
      <c r="AI93" s="528"/>
      <c r="AJ93" s="205"/>
      <c r="AK93" s="205"/>
      <c r="AL93" s="204"/>
      <c r="AM93" s="204"/>
      <c r="AN93" s="528"/>
      <c r="AO93" s="205"/>
      <c r="AP93" s="205"/>
      <c r="AQ93" s="204"/>
      <c r="AR93" s="204"/>
      <c r="AS93" s="528"/>
      <c r="AT93" s="205"/>
      <c r="AU93" s="205"/>
      <c r="AV93" s="204"/>
      <c r="AW93" s="204"/>
      <c r="AX93" s="528"/>
    </row>
    <row r="94" spans="2:50" ht="13.5" x14ac:dyDescent="0.2">
      <c r="B94" s="517"/>
      <c r="C94" s="204">
        <v>8</v>
      </c>
      <c r="D94" s="208"/>
      <c r="E94" s="204"/>
      <c r="F94" s="204"/>
      <c r="G94" s="204"/>
      <c r="H94" s="519"/>
      <c r="I94" s="205"/>
      <c r="J94" s="205"/>
      <c r="K94" s="206"/>
      <c r="L94" s="519"/>
      <c r="M94" s="205"/>
      <c r="N94" s="516"/>
      <c r="O94" s="516"/>
      <c r="P94" s="205"/>
      <c r="Q94" s="205"/>
      <c r="R94" s="204"/>
      <c r="S94" s="204"/>
      <c r="T94" s="528"/>
      <c r="U94" s="205"/>
      <c r="V94" s="205"/>
      <c r="W94" s="204"/>
      <c r="X94" s="204"/>
      <c r="Y94" s="528"/>
      <c r="Z94" s="205"/>
      <c r="AA94" s="205"/>
      <c r="AB94" s="204"/>
      <c r="AC94" s="204"/>
      <c r="AD94" s="528"/>
      <c r="AE94" s="205"/>
      <c r="AF94" s="205"/>
      <c r="AG94" s="204"/>
      <c r="AH94" s="204"/>
      <c r="AI94" s="528"/>
      <c r="AJ94" s="205"/>
      <c r="AK94" s="205"/>
      <c r="AL94" s="204"/>
      <c r="AM94" s="204"/>
      <c r="AN94" s="528"/>
      <c r="AO94" s="205"/>
      <c r="AP94" s="205"/>
      <c r="AQ94" s="204"/>
      <c r="AR94" s="204"/>
      <c r="AS94" s="528"/>
      <c r="AT94" s="205"/>
      <c r="AU94" s="205"/>
      <c r="AV94" s="204"/>
      <c r="AW94" s="204"/>
      <c r="AX94" s="528"/>
    </row>
    <row r="95" spans="2:50" ht="13.5" x14ac:dyDescent="0.2">
      <c r="B95" s="517"/>
      <c r="C95" s="204">
        <v>9</v>
      </c>
      <c r="D95" s="208"/>
      <c r="E95" s="204"/>
      <c r="F95" s="204"/>
      <c r="G95" s="204"/>
      <c r="H95" s="519"/>
      <c r="I95" s="205"/>
      <c r="J95" s="205"/>
      <c r="K95" s="206"/>
      <c r="L95" s="519"/>
      <c r="M95" s="205"/>
      <c r="N95" s="516"/>
      <c r="O95" s="516"/>
      <c r="P95" s="205"/>
      <c r="Q95" s="205"/>
      <c r="R95" s="204"/>
      <c r="S95" s="204"/>
      <c r="T95" s="528"/>
      <c r="U95" s="205"/>
      <c r="V95" s="205"/>
      <c r="W95" s="204"/>
      <c r="X95" s="204"/>
      <c r="Y95" s="528"/>
      <c r="Z95" s="205"/>
      <c r="AA95" s="205"/>
      <c r="AB95" s="204"/>
      <c r="AC95" s="204"/>
      <c r="AD95" s="528"/>
      <c r="AE95" s="205"/>
      <c r="AF95" s="205"/>
      <c r="AG95" s="204"/>
      <c r="AH95" s="204"/>
      <c r="AI95" s="528"/>
      <c r="AJ95" s="205"/>
      <c r="AK95" s="205"/>
      <c r="AL95" s="204"/>
      <c r="AM95" s="204"/>
      <c r="AN95" s="528"/>
      <c r="AO95" s="205"/>
      <c r="AP95" s="205"/>
      <c r="AQ95" s="204"/>
      <c r="AR95" s="204"/>
      <c r="AS95" s="528"/>
      <c r="AT95" s="205"/>
      <c r="AU95" s="205"/>
      <c r="AV95" s="204"/>
      <c r="AW95" s="204"/>
      <c r="AX95" s="528"/>
    </row>
    <row r="96" spans="2:50" ht="13.5" x14ac:dyDescent="0.2">
      <c r="B96" s="517"/>
      <c r="C96" s="204">
        <v>10</v>
      </c>
      <c r="D96" s="208"/>
      <c r="E96" s="204"/>
      <c r="F96" s="204"/>
      <c r="G96" s="204"/>
      <c r="H96" s="519"/>
      <c r="I96" s="205"/>
      <c r="J96" s="205"/>
      <c r="K96" s="206"/>
      <c r="L96" s="519"/>
      <c r="M96" s="205"/>
      <c r="N96" s="516"/>
      <c r="O96" s="516"/>
      <c r="P96" s="205"/>
      <c r="Q96" s="205"/>
      <c r="R96" s="204"/>
      <c r="S96" s="204"/>
      <c r="T96" s="528"/>
      <c r="U96" s="205"/>
      <c r="V96" s="205"/>
      <c r="W96" s="204"/>
      <c r="X96" s="204"/>
      <c r="Y96" s="528"/>
      <c r="Z96" s="205"/>
      <c r="AA96" s="205"/>
      <c r="AB96" s="204"/>
      <c r="AC96" s="204"/>
      <c r="AD96" s="528"/>
      <c r="AE96" s="205"/>
      <c r="AF96" s="205"/>
      <c r="AG96" s="204"/>
      <c r="AH96" s="204"/>
      <c r="AI96" s="528"/>
      <c r="AJ96" s="205"/>
      <c r="AK96" s="205"/>
      <c r="AL96" s="204"/>
      <c r="AM96" s="204"/>
      <c r="AN96" s="528"/>
      <c r="AO96" s="205"/>
      <c r="AP96" s="205"/>
      <c r="AQ96" s="204"/>
      <c r="AR96" s="204"/>
      <c r="AS96" s="528"/>
      <c r="AT96" s="205"/>
      <c r="AU96" s="205"/>
      <c r="AV96" s="204"/>
      <c r="AW96" s="204"/>
      <c r="AX96" s="528"/>
    </row>
    <row r="97" spans="2:50" ht="13.5" x14ac:dyDescent="0.2">
      <c r="B97" s="517"/>
      <c r="C97" s="204">
        <v>11</v>
      </c>
      <c r="D97" s="208"/>
      <c r="E97" s="204"/>
      <c r="F97" s="204"/>
      <c r="G97" s="204"/>
      <c r="H97" s="519"/>
      <c r="I97" s="205"/>
      <c r="J97" s="205"/>
      <c r="K97" s="206"/>
      <c r="L97" s="519"/>
      <c r="M97" s="205"/>
      <c r="N97" s="516"/>
      <c r="O97" s="516"/>
      <c r="P97" s="204"/>
      <c r="Q97" s="204"/>
      <c r="R97" s="204"/>
      <c r="S97" s="204"/>
      <c r="T97" s="528"/>
      <c r="U97" s="204"/>
      <c r="V97" s="204"/>
      <c r="W97" s="204"/>
      <c r="X97" s="204"/>
      <c r="Y97" s="528"/>
      <c r="Z97" s="204"/>
      <c r="AA97" s="204"/>
      <c r="AB97" s="204"/>
      <c r="AC97" s="204"/>
      <c r="AD97" s="528"/>
      <c r="AE97" s="204"/>
      <c r="AF97" s="204"/>
      <c r="AG97" s="204"/>
      <c r="AH97" s="204"/>
      <c r="AI97" s="528"/>
      <c r="AJ97" s="204"/>
      <c r="AK97" s="204"/>
      <c r="AL97" s="204"/>
      <c r="AM97" s="204"/>
      <c r="AN97" s="528"/>
      <c r="AO97" s="204"/>
      <c r="AP97" s="204"/>
      <c r="AQ97" s="204"/>
      <c r="AR97" s="204"/>
      <c r="AS97" s="528"/>
      <c r="AT97" s="204"/>
      <c r="AU97" s="204"/>
      <c r="AV97" s="204"/>
      <c r="AW97" s="204"/>
      <c r="AX97" s="528"/>
    </row>
    <row r="98" spans="2:50" ht="13.5" x14ac:dyDescent="0.2">
      <c r="B98" s="517"/>
      <c r="C98" s="204">
        <v>12</v>
      </c>
      <c r="D98" s="208"/>
      <c r="E98" s="204"/>
      <c r="F98" s="204"/>
      <c r="G98" s="204"/>
      <c r="H98" s="519"/>
      <c r="I98" s="205"/>
      <c r="J98" s="205"/>
      <c r="K98" s="206"/>
      <c r="L98" s="519"/>
      <c r="M98" s="205"/>
      <c r="N98" s="516"/>
      <c r="O98" s="516"/>
      <c r="P98" s="204"/>
      <c r="Q98" s="204"/>
      <c r="R98" s="204"/>
      <c r="S98" s="204"/>
      <c r="T98" s="528"/>
      <c r="U98" s="204"/>
      <c r="V98" s="204"/>
      <c r="W98" s="204"/>
      <c r="X98" s="204"/>
      <c r="Y98" s="528"/>
      <c r="Z98" s="204"/>
      <c r="AA98" s="204"/>
      <c r="AB98" s="204"/>
      <c r="AC98" s="204"/>
      <c r="AD98" s="528"/>
      <c r="AE98" s="204"/>
      <c r="AF98" s="204"/>
      <c r="AG98" s="204"/>
      <c r="AH98" s="204"/>
      <c r="AI98" s="528"/>
      <c r="AJ98" s="204"/>
      <c r="AK98" s="204"/>
      <c r="AL98" s="204"/>
      <c r="AM98" s="204"/>
      <c r="AN98" s="528"/>
      <c r="AO98" s="204"/>
      <c r="AP98" s="204"/>
      <c r="AQ98" s="204"/>
      <c r="AR98" s="204"/>
      <c r="AS98" s="528"/>
      <c r="AT98" s="204"/>
      <c r="AU98" s="204"/>
      <c r="AV98" s="204"/>
      <c r="AW98" s="204"/>
      <c r="AX98" s="528"/>
    </row>
    <row r="99" spans="2:50" ht="13.5" x14ac:dyDescent="0.2">
      <c r="B99" s="517"/>
      <c r="C99" s="204">
        <v>13</v>
      </c>
      <c r="D99" s="208"/>
      <c r="E99" s="204"/>
      <c r="F99" s="204"/>
      <c r="G99" s="204"/>
      <c r="H99" s="519"/>
      <c r="I99" s="205"/>
      <c r="J99" s="205"/>
      <c r="K99" s="206"/>
      <c r="L99" s="519"/>
      <c r="M99" s="205"/>
      <c r="N99" s="516"/>
      <c r="O99" s="516"/>
      <c r="P99" s="204"/>
      <c r="Q99" s="204"/>
      <c r="R99" s="204"/>
      <c r="S99" s="204"/>
      <c r="T99" s="528"/>
      <c r="U99" s="204"/>
      <c r="V99" s="204"/>
      <c r="W99" s="204"/>
      <c r="X99" s="204"/>
      <c r="Y99" s="528"/>
      <c r="Z99" s="204"/>
      <c r="AA99" s="204"/>
      <c r="AB99" s="204"/>
      <c r="AC99" s="204"/>
      <c r="AD99" s="528"/>
      <c r="AE99" s="204"/>
      <c r="AF99" s="204"/>
      <c r="AG99" s="204"/>
      <c r="AH99" s="204"/>
      <c r="AI99" s="528"/>
      <c r="AJ99" s="204"/>
      <c r="AK99" s="204"/>
      <c r="AL99" s="204"/>
      <c r="AM99" s="204"/>
      <c r="AN99" s="528"/>
      <c r="AO99" s="204"/>
      <c r="AP99" s="204"/>
      <c r="AQ99" s="204"/>
      <c r="AR99" s="204"/>
      <c r="AS99" s="528"/>
      <c r="AT99" s="204"/>
      <c r="AU99" s="204"/>
      <c r="AV99" s="204"/>
      <c r="AW99" s="204"/>
      <c r="AX99" s="528"/>
    </row>
    <row r="100" spans="2:50" ht="13.5" x14ac:dyDescent="0.2">
      <c r="B100" s="517"/>
      <c r="C100" s="204">
        <v>14</v>
      </c>
      <c r="D100" s="208"/>
      <c r="E100" s="204"/>
      <c r="F100" s="204"/>
      <c r="G100" s="204"/>
      <c r="H100" s="519"/>
      <c r="I100" s="205"/>
      <c r="J100" s="205"/>
      <c r="K100" s="206"/>
      <c r="L100" s="519"/>
      <c r="M100" s="205"/>
      <c r="N100" s="516"/>
      <c r="O100" s="516"/>
      <c r="P100" s="204"/>
      <c r="Q100" s="204"/>
      <c r="R100" s="204"/>
      <c r="S100" s="204"/>
      <c r="T100" s="528"/>
      <c r="U100" s="204"/>
      <c r="V100" s="204"/>
      <c r="W100" s="204"/>
      <c r="X100" s="204"/>
      <c r="Y100" s="528"/>
      <c r="Z100" s="204"/>
      <c r="AA100" s="204"/>
      <c r="AB100" s="204"/>
      <c r="AC100" s="204"/>
      <c r="AD100" s="528"/>
      <c r="AE100" s="204"/>
      <c r="AF100" s="204"/>
      <c r="AG100" s="204"/>
      <c r="AH100" s="204"/>
      <c r="AI100" s="528"/>
      <c r="AJ100" s="204"/>
      <c r="AK100" s="204"/>
      <c r="AL100" s="204"/>
      <c r="AM100" s="204"/>
      <c r="AN100" s="528"/>
      <c r="AO100" s="204"/>
      <c r="AP100" s="204"/>
      <c r="AQ100" s="204"/>
      <c r="AR100" s="204"/>
      <c r="AS100" s="528"/>
      <c r="AT100" s="204"/>
      <c r="AU100" s="204"/>
      <c r="AV100" s="204"/>
      <c r="AW100" s="204"/>
      <c r="AX100" s="528"/>
    </row>
    <row r="101" spans="2:50" ht="13.5" x14ac:dyDescent="0.2">
      <c r="B101" s="517"/>
      <c r="C101" s="204">
        <v>15</v>
      </c>
      <c r="D101" s="208"/>
      <c r="E101" s="204"/>
      <c r="F101" s="204"/>
      <c r="G101" s="204"/>
      <c r="H101" s="520"/>
      <c r="I101" s="205"/>
      <c r="J101" s="205"/>
      <c r="K101" s="206"/>
      <c r="L101" s="520"/>
      <c r="M101" s="205"/>
      <c r="N101" s="516"/>
      <c r="O101" s="516"/>
      <c r="P101" s="204"/>
      <c r="Q101" s="204"/>
      <c r="R101" s="204"/>
      <c r="S101" s="204"/>
      <c r="T101" s="528"/>
      <c r="U101" s="204"/>
      <c r="V101" s="204"/>
      <c r="W101" s="204"/>
      <c r="X101" s="204"/>
      <c r="Y101" s="528"/>
      <c r="Z101" s="204"/>
      <c r="AA101" s="204"/>
      <c r="AB101" s="204"/>
      <c r="AC101" s="204"/>
      <c r="AD101" s="528"/>
      <c r="AE101" s="204"/>
      <c r="AF101" s="204"/>
      <c r="AG101" s="204"/>
      <c r="AH101" s="204"/>
      <c r="AI101" s="528"/>
      <c r="AJ101" s="204"/>
      <c r="AK101" s="204"/>
      <c r="AL101" s="204"/>
      <c r="AM101" s="204"/>
      <c r="AN101" s="528"/>
      <c r="AO101" s="204"/>
      <c r="AP101" s="204"/>
      <c r="AQ101" s="204"/>
      <c r="AR101" s="204"/>
      <c r="AS101" s="528"/>
      <c r="AT101" s="204"/>
      <c r="AU101" s="204"/>
      <c r="AV101" s="204"/>
      <c r="AW101" s="204"/>
      <c r="AX101" s="528"/>
    </row>
    <row r="102" spans="2:50" ht="15.75" x14ac:dyDescent="0.2">
      <c r="B102" s="511" t="s">
        <v>85</v>
      </c>
      <c r="C102" s="512"/>
      <c r="D102" s="512"/>
      <c r="E102" s="512"/>
      <c r="F102" s="512"/>
      <c r="G102" s="512"/>
      <c r="H102" s="512"/>
      <c r="I102" s="198"/>
      <c r="J102" s="198"/>
      <c r="K102" s="198"/>
      <c r="L102" s="198"/>
      <c r="M102" s="199"/>
      <c r="N102" s="514" t="s">
        <v>86</v>
      </c>
      <c r="O102" s="514" t="s">
        <v>45</v>
      </c>
      <c r="P102" s="524">
        <f>AT82+1</f>
        <v>46238</v>
      </c>
      <c r="Q102" s="517"/>
      <c r="R102" s="517"/>
      <c r="S102" s="517"/>
      <c r="T102" s="517"/>
      <c r="U102" s="524"/>
      <c r="V102" s="517"/>
      <c r="W102" s="517"/>
      <c r="X102" s="517"/>
      <c r="Y102" s="517"/>
      <c r="Z102" s="524"/>
      <c r="AA102" s="517"/>
      <c r="AB102" s="517"/>
      <c r="AC102" s="517"/>
      <c r="AD102" s="517"/>
      <c r="AE102" s="524"/>
      <c r="AF102" s="517"/>
      <c r="AG102" s="517"/>
      <c r="AH102" s="517"/>
      <c r="AI102" s="517"/>
      <c r="AJ102" s="524"/>
      <c r="AK102" s="517"/>
      <c r="AL102" s="517"/>
      <c r="AM102" s="517"/>
      <c r="AN102" s="517"/>
      <c r="AO102" s="524"/>
      <c r="AP102" s="517"/>
      <c r="AQ102" s="517"/>
      <c r="AR102" s="517"/>
      <c r="AS102" s="517"/>
      <c r="AT102" s="524"/>
      <c r="AU102" s="517"/>
      <c r="AV102" s="517"/>
      <c r="AW102" s="517"/>
      <c r="AX102" s="517"/>
    </row>
    <row r="103" spans="2:50" ht="15.75" x14ac:dyDescent="0.2">
      <c r="B103" s="513"/>
      <c r="C103" s="513"/>
      <c r="D103" s="513"/>
      <c r="E103" s="513"/>
      <c r="F103" s="513"/>
      <c r="G103" s="513"/>
      <c r="H103" s="513"/>
      <c r="I103" s="200"/>
      <c r="J103" s="200"/>
      <c r="K103" s="200"/>
      <c r="L103" s="200"/>
      <c r="M103" s="201"/>
      <c r="N103" s="515"/>
      <c r="O103" s="515"/>
      <c r="P103" s="524" t="s">
        <v>61</v>
      </c>
      <c r="Q103" s="517"/>
      <c r="R103" s="517"/>
      <c r="S103" s="517"/>
      <c r="T103" s="517"/>
      <c r="U103" s="524" t="s">
        <v>56</v>
      </c>
      <c r="V103" s="517"/>
      <c r="W103" s="517"/>
      <c r="X103" s="517"/>
      <c r="Y103" s="517"/>
      <c r="Z103" s="524" t="s">
        <v>57</v>
      </c>
      <c r="AA103" s="517"/>
      <c r="AB103" s="517"/>
      <c r="AC103" s="517"/>
      <c r="AD103" s="517"/>
      <c r="AE103" s="524" t="s">
        <v>58</v>
      </c>
      <c r="AF103" s="517"/>
      <c r="AG103" s="517"/>
      <c r="AH103" s="517"/>
      <c r="AI103" s="517"/>
      <c r="AJ103" s="524" t="s">
        <v>59</v>
      </c>
      <c r="AK103" s="517"/>
      <c r="AL103" s="517"/>
      <c r="AM103" s="517"/>
      <c r="AN103" s="517"/>
      <c r="AO103" s="524" t="s">
        <v>52</v>
      </c>
      <c r="AP103" s="517"/>
      <c r="AQ103" s="517"/>
      <c r="AR103" s="517"/>
      <c r="AS103" s="517"/>
      <c r="AT103" s="524" t="s">
        <v>60</v>
      </c>
      <c r="AU103" s="517"/>
      <c r="AV103" s="517"/>
      <c r="AW103" s="517"/>
      <c r="AX103" s="517"/>
    </row>
    <row r="104" spans="2:50" x14ac:dyDescent="0.2">
      <c r="B104" s="516" t="s">
        <v>41</v>
      </c>
      <c r="C104" s="516" t="s">
        <v>87</v>
      </c>
      <c r="D104" s="516"/>
      <c r="E104" s="516" t="s">
        <v>88</v>
      </c>
      <c r="F104" s="516"/>
      <c r="G104" s="516"/>
      <c r="H104" s="521" t="s">
        <v>89</v>
      </c>
      <c r="I104" s="516" t="s">
        <v>90</v>
      </c>
      <c r="J104" s="516"/>
      <c r="K104" s="516"/>
      <c r="L104" s="521" t="s">
        <v>89</v>
      </c>
      <c r="M104" s="514" t="s">
        <v>91</v>
      </c>
      <c r="N104" s="516"/>
      <c r="O104" s="516" t="s">
        <v>92</v>
      </c>
      <c r="P104" s="525" t="s">
        <v>93</v>
      </c>
      <c r="Q104" s="526"/>
      <c r="R104" s="526"/>
      <c r="S104" s="527"/>
      <c r="T104" s="516" t="s">
        <v>89</v>
      </c>
      <c r="U104" s="525" t="s">
        <v>93</v>
      </c>
      <c r="V104" s="526"/>
      <c r="W104" s="526"/>
      <c r="X104" s="527"/>
      <c r="Y104" s="516" t="s">
        <v>89</v>
      </c>
      <c r="Z104" s="525" t="s">
        <v>93</v>
      </c>
      <c r="AA104" s="526"/>
      <c r="AB104" s="526"/>
      <c r="AC104" s="527"/>
      <c r="AD104" s="516" t="s">
        <v>89</v>
      </c>
      <c r="AE104" s="525" t="s">
        <v>93</v>
      </c>
      <c r="AF104" s="526"/>
      <c r="AG104" s="526"/>
      <c r="AH104" s="527"/>
      <c r="AI104" s="516" t="s">
        <v>89</v>
      </c>
      <c r="AJ104" s="525" t="s">
        <v>93</v>
      </c>
      <c r="AK104" s="526"/>
      <c r="AL104" s="526"/>
      <c r="AM104" s="527"/>
      <c r="AN104" s="516" t="s">
        <v>89</v>
      </c>
      <c r="AO104" s="525" t="s">
        <v>93</v>
      </c>
      <c r="AP104" s="526"/>
      <c r="AQ104" s="526"/>
      <c r="AR104" s="527"/>
      <c r="AS104" s="516" t="s">
        <v>89</v>
      </c>
      <c r="AT104" s="525" t="s">
        <v>93</v>
      </c>
      <c r="AU104" s="526"/>
      <c r="AV104" s="526"/>
      <c r="AW104" s="527"/>
      <c r="AX104" s="516" t="s">
        <v>89</v>
      </c>
    </row>
    <row r="105" spans="2:50" x14ac:dyDescent="0.2">
      <c r="B105" s="516"/>
      <c r="C105" s="516"/>
      <c r="D105" s="516"/>
      <c r="E105" s="516" t="s">
        <v>94</v>
      </c>
      <c r="F105" s="516"/>
      <c r="G105" s="516"/>
      <c r="H105" s="522"/>
      <c r="I105" s="516" t="s">
        <v>94</v>
      </c>
      <c r="J105" s="516"/>
      <c r="K105" s="516"/>
      <c r="L105" s="522"/>
      <c r="M105" s="529"/>
      <c r="N105" s="516"/>
      <c r="O105" s="516"/>
      <c r="P105" s="525" t="s">
        <v>95</v>
      </c>
      <c r="Q105" s="526"/>
      <c r="R105" s="526"/>
      <c r="S105" s="527"/>
      <c r="T105" s="516"/>
      <c r="U105" s="525" t="s">
        <v>95</v>
      </c>
      <c r="V105" s="526"/>
      <c r="W105" s="526"/>
      <c r="X105" s="527"/>
      <c r="Y105" s="516"/>
      <c r="Z105" s="525" t="s">
        <v>95</v>
      </c>
      <c r="AA105" s="526"/>
      <c r="AB105" s="526"/>
      <c r="AC105" s="527"/>
      <c r="AD105" s="516"/>
      <c r="AE105" s="525" t="s">
        <v>95</v>
      </c>
      <c r="AF105" s="526"/>
      <c r="AG105" s="526"/>
      <c r="AH105" s="527"/>
      <c r="AI105" s="516"/>
      <c r="AJ105" s="525" t="s">
        <v>95</v>
      </c>
      <c r="AK105" s="526"/>
      <c r="AL105" s="526"/>
      <c r="AM105" s="527"/>
      <c r="AN105" s="516"/>
      <c r="AO105" s="525" t="s">
        <v>95</v>
      </c>
      <c r="AP105" s="526"/>
      <c r="AQ105" s="526"/>
      <c r="AR105" s="527"/>
      <c r="AS105" s="516"/>
      <c r="AT105" s="525" t="s">
        <v>95</v>
      </c>
      <c r="AU105" s="526"/>
      <c r="AV105" s="526"/>
      <c r="AW105" s="527"/>
      <c r="AX105" s="516"/>
    </row>
    <row r="106" spans="2:50" x14ac:dyDescent="0.2">
      <c r="B106" s="516"/>
      <c r="C106" s="516"/>
      <c r="D106" s="516"/>
      <c r="E106" s="203" t="s">
        <v>96</v>
      </c>
      <c r="F106" s="203" t="s">
        <v>97</v>
      </c>
      <c r="G106" s="203" t="s">
        <v>98</v>
      </c>
      <c r="H106" s="523"/>
      <c r="I106" s="203" t="s">
        <v>96</v>
      </c>
      <c r="J106" s="203" t="s">
        <v>97</v>
      </c>
      <c r="K106" s="203" t="s">
        <v>98</v>
      </c>
      <c r="L106" s="523"/>
      <c r="M106" s="515"/>
      <c r="N106" s="516"/>
      <c r="O106" s="516"/>
      <c r="P106" s="203" t="s">
        <v>96</v>
      </c>
      <c r="Q106" s="203" t="s">
        <v>97</v>
      </c>
      <c r="R106" s="203" t="s">
        <v>98</v>
      </c>
      <c r="S106" s="203" t="s">
        <v>91</v>
      </c>
      <c r="T106" s="516"/>
      <c r="U106" s="203" t="s">
        <v>96</v>
      </c>
      <c r="V106" s="203" t="s">
        <v>97</v>
      </c>
      <c r="W106" s="203" t="s">
        <v>98</v>
      </c>
      <c r="X106" s="203" t="s">
        <v>91</v>
      </c>
      <c r="Y106" s="516"/>
      <c r="Z106" s="203" t="s">
        <v>96</v>
      </c>
      <c r="AA106" s="203" t="s">
        <v>97</v>
      </c>
      <c r="AB106" s="203" t="s">
        <v>98</v>
      </c>
      <c r="AC106" s="203" t="s">
        <v>91</v>
      </c>
      <c r="AD106" s="516"/>
      <c r="AE106" s="203" t="s">
        <v>96</v>
      </c>
      <c r="AF106" s="203" t="s">
        <v>97</v>
      </c>
      <c r="AG106" s="203" t="s">
        <v>98</v>
      </c>
      <c r="AH106" s="203" t="s">
        <v>91</v>
      </c>
      <c r="AI106" s="516"/>
      <c r="AJ106" s="203" t="s">
        <v>96</v>
      </c>
      <c r="AK106" s="203" t="s">
        <v>97</v>
      </c>
      <c r="AL106" s="203" t="s">
        <v>98</v>
      </c>
      <c r="AM106" s="203" t="s">
        <v>91</v>
      </c>
      <c r="AN106" s="516"/>
      <c r="AO106" s="203" t="s">
        <v>96</v>
      </c>
      <c r="AP106" s="203" t="s">
        <v>97</v>
      </c>
      <c r="AQ106" s="203" t="s">
        <v>98</v>
      </c>
      <c r="AR106" s="203" t="s">
        <v>91</v>
      </c>
      <c r="AS106" s="516"/>
      <c r="AT106" s="203" t="s">
        <v>96</v>
      </c>
      <c r="AU106" s="203" t="s">
        <v>97</v>
      </c>
      <c r="AV106" s="203" t="s">
        <v>98</v>
      </c>
      <c r="AW106" s="203" t="s">
        <v>91</v>
      </c>
      <c r="AX106" s="516"/>
    </row>
    <row r="107" spans="2:50" ht="13.5" x14ac:dyDescent="0.2">
      <c r="B107" s="516" t="s">
        <v>76</v>
      </c>
      <c r="C107" s="204">
        <v>1</v>
      </c>
      <c r="D107" s="208" t="s">
        <v>99</v>
      </c>
      <c r="E107" s="205">
        <f>VLOOKUP(D107,'07產線配置圖'!$A$26:$C$33,2,0)</f>
        <v>15</v>
      </c>
      <c r="F107" s="205">
        <f>VLOOKUP(D107,'07產線配置圖'!$A$26:$C$33,3,0)</f>
        <v>1636</v>
      </c>
      <c r="G107" s="206">
        <f t="shared" ref="G107:G108" si="77">F107/E107</f>
        <v>109.06666666666666</v>
      </c>
      <c r="H107" s="518">
        <f>AVERAGE(G107:G121)</f>
        <v>138.81212121212121</v>
      </c>
      <c r="I107" s="205" t="e">
        <f t="shared" ref="I107:J107" si="78">AVERAGE(P107,U107,Z107,AE107,AJ107,AO107,AT107)</f>
        <v>#DIV/0!</v>
      </c>
      <c r="J107" s="205" t="e">
        <f t="shared" si="78"/>
        <v>#DIV/0!</v>
      </c>
      <c r="K107" s="206" t="e">
        <f>J107/I107</f>
        <v>#DIV/0!</v>
      </c>
      <c r="L107" s="518" t="str">
        <f>IFERROR(AVERAGE(K107:K121),"-")</f>
        <v>-</v>
      </c>
      <c r="M107" s="207" t="e">
        <f>RANK(K107,$K$107:$K$121)</f>
        <v>#DIV/0!</v>
      </c>
      <c r="N107" s="516"/>
      <c r="O107" s="516"/>
      <c r="P107" s="205"/>
      <c r="Q107" s="205"/>
      <c r="R107" s="206" t="e">
        <f t="shared" ref="R107:R110" si="79">Q107/P107</f>
        <v>#DIV/0!</v>
      </c>
      <c r="S107" s="204" t="e">
        <f>RANK(R107,$R$107:$R$121)</f>
        <v>#DIV/0!</v>
      </c>
      <c r="T107" s="528" t="e">
        <f>AVERAGE(R107:R121)</f>
        <v>#DIV/0!</v>
      </c>
      <c r="U107" s="205"/>
      <c r="V107" s="205"/>
      <c r="W107" s="206" t="e">
        <f>V107/U107</f>
        <v>#DIV/0!</v>
      </c>
      <c r="X107" s="204" t="e">
        <f>RANK(W107,W$107:W$109)</f>
        <v>#DIV/0!</v>
      </c>
      <c r="Y107" s="528" t="e">
        <f>AVERAGE(W107:W121)</f>
        <v>#DIV/0!</v>
      </c>
      <c r="Z107" s="205"/>
      <c r="AA107" s="205"/>
      <c r="AB107" s="206" t="e">
        <f>AA107/Z107</f>
        <v>#DIV/0!</v>
      </c>
      <c r="AC107" s="204" t="e">
        <f>RANK(AB107,AB$107:AB$109)</f>
        <v>#DIV/0!</v>
      </c>
      <c r="AD107" s="528" t="e">
        <f>AVERAGE(AB107:AB121)</f>
        <v>#DIV/0!</v>
      </c>
      <c r="AE107" s="205"/>
      <c r="AF107" s="205"/>
      <c r="AG107" s="206" t="e">
        <f>AF107/AE107</f>
        <v>#DIV/0!</v>
      </c>
      <c r="AH107" s="204" t="e">
        <f>RANK(AG107,AG$107:AG$109)</f>
        <v>#DIV/0!</v>
      </c>
      <c r="AI107" s="528" t="e">
        <f>AVERAGE(AG107:AG121)</f>
        <v>#DIV/0!</v>
      </c>
      <c r="AJ107" s="205"/>
      <c r="AK107" s="205"/>
      <c r="AL107" s="206" t="e">
        <f>AK107/AJ107</f>
        <v>#DIV/0!</v>
      </c>
      <c r="AM107" s="204" t="e">
        <f t="shared" ref="AM107:AM108" si="80">RANK(AL107,AL$107:AL$109)</f>
        <v>#DIV/0!</v>
      </c>
      <c r="AN107" s="528" t="e">
        <f>AVERAGE(AL107:AL121)</f>
        <v>#DIV/0!</v>
      </c>
      <c r="AO107" s="205"/>
      <c r="AP107" s="205"/>
      <c r="AQ107" s="206" t="e">
        <f>AP107/AO107</f>
        <v>#DIV/0!</v>
      </c>
      <c r="AR107" s="204" t="e">
        <f t="shared" ref="AR107:AR109" si="81">RANK(AQ107,AQ$107:AQ$109)</f>
        <v>#DIV/0!</v>
      </c>
      <c r="AS107" s="528" t="e">
        <f>AVERAGE(AQ107:AQ121)</f>
        <v>#DIV/0!</v>
      </c>
      <c r="AT107" s="205"/>
      <c r="AU107" s="205"/>
      <c r="AV107" s="206" t="e">
        <f>AU107/AT107</f>
        <v>#DIV/0!</v>
      </c>
      <c r="AW107" s="204" t="e">
        <f t="shared" ref="AW107:AW109" si="82">RANK(AV107,AV$107:AV$109)</f>
        <v>#DIV/0!</v>
      </c>
      <c r="AX107" s="528" t="e">
        <f>AVERAGE(AV107:AV121)</f>
        <v>#DIV/0!</v>
      </c>
    </row>
    <row r="108" spans="2:50" ht="13.5" x14ac:dyDescent="0.2">
      <c r="B108" s="517"/>
      <c r="C108" s="204">
        <v>2</v>
      </c>
      <c r="D108" s="208" t="s">
        <v>100</v>
      </c>
      <c r="E108" s="205">
        <f>VLOOKUP(D108,'07產線配置圖'!$A$26:$C$33,2,0)</f>
        <v>11</v>
      </c>
      <c r="F108" s="205">
        <f>VLOOKUP(D108,'07產線配置圖'!$A$26:$C$33,3,0)</f>
        <v>1636</v>
      </c>
      <c r="G108" s="206">
        <f t="shared" si="77"/>
        <v>148.72727272727272</v>
      </c>
      <c r="H108" s="519"/>
      <c r="I108" s="205" t="e">
        <f t="shared" ref="I108:I110" si="83">AVERAGE(P108,U108,Z108,AE108,AJ108,AO108,AT108)</f>
        <v>#DIV/0!</v>
      </c>
      <c r="J108" s="205" t="e">
        <f t="shared" ref="J108:J110" si="84">AVERAGE(Q108,V108,AA108,AF108,AK108,AP108,AU108)</f>
        <v>#DIV/0!</v>
      </c>
      <c r="K108" s="206" t="e">
        <f t="shared" ref="K108:K110" si="85">J108/I108</f>
        <v>#DIV/0!</v>
      </c>
      <c r="L108" s="519"/>
      <c r="M108" s="207" t="e">
        <f t="shared" ref="M108:M110" si="86">RANK(K108,$K$107:$K$121)</f>
        <v>#DIV/0!</v>
      </c>
      <c r="N108" s="516"/>
      <c r="O108" s="516"/>
      <c r="P108" s="205"/>
      <c r="Q108" s="205"/>
      <c r="R108" s="206" t="e">
        <f t="shared" si="79"/>
        <v>#DIV/0!</v>
      </c>
      <c r="S108" s="204" t="e">
        <f t="shared" ref="S108:S110" si="87">RANK(R108,$R$107:$R$121)</f>
        <v>#DIV/0!</v>
      </c>
      <c r="T108" s="528"/>
      <c r="U108" s="205"/>
      <c r="V108" s="205"/>
      <c r="W108" s="206" t="e">
        <f t="shared" ref="W108:W109" si="88">V108/U108</f>
        <v>#DIV/0!</v>
      </c>
      <c r="X108" s="204" t="e">
        <f t="shared" ref="X108:X109" si="89">RANK(W108,W$107:W$109)</f>
        <v>#DIV/0!</v>
      </c>
      <c r="Y108" s="528"/>
      <c r="Z108" s="205"/>
      <c r="AA108" s="205"/>
      <c r="AB108" s="206" t="e">
        <f t="shared" ref="AB108:AB109" si="90">AA108/Z108</f>
        <v>#DIV/0!</v>
      </c>
      <c r="AC108" s="204" t="e">
        <f t="shared" ref="AC108:AC109" si="91">RANK(AB108,AB$107:AB$109)</f>
        <v>#DIV/0!</v>
      </c>
      <c r="AD108" s="528"/>
      <c r="AE108" s="205"/>
      <c r="AF108" s="205"/>
      <c r="AG108" s="206" t="e">
        <f>AF108/AE108</f>
        <v>#DIV/0!</v>
      </c>
      <c r="AH108" s="204" t="e">
        <f t="shared" ref="AH108:AH109" si="92">RANK(AG108,AG$107:AG$109)</f>
        <v>#DIV/0!</v>
      </c>
      <c r="AI108" s="528"/>
      <c r="AJ108" s="205"/>
      <c r="AK108" s="205"/>
      <c r="AL108" s="206" t="e">
        <f>AK108/AJ108</f>
        <v>#DIV/0!</v>
      </c>
      <c r="AM108" s="204" t="e">
        <f t="shared" si="80"/>
        <v>#DIV/0!</v>
      </c>
      <c r="AN108" s="528"/>
      <c r="AO108" s="205"/>
      <c r="AP108" s="205"/>
      <c r="AQ108" s="206" t="e">
        <f>AP108/AO108</f>
        <v>#DIV/0!</v>
      </c>
      <c r="AR108" s="204" t="e">
        <f t="shared" si="81"/>
        <v>#DIV/0!</v>
      </c>
      <c r="AS108" s="528"/>
      <c r="AT108" s="205"/>
      <c r="AU108" s="205"/>
      <c r="AV108" s="206" t="e">
        <f>AU108/AT108</f>
        <v>#DIV/0!</v>
      </c>
      <c r="AW108" s="204" t="e">
        <f t="shared" si="82"/>
        <v>#DIV/0!</v>
      </c>
      <c r="AX108" s="528"/>
    </row>
    <row r="109" spans="2:50" ht="13.5" x14ac:dyDescent="0.2">
      <c r="B109" s="517"/>
      <c r="C109" s="204">
        <v>3</v>
      </c>
      <c r="D109" s="208" t="s">
        <v>101</v>
      </c>
      <c r="E109" s="205">
        <f>VLOOKUP(D109,'07產線配置圖'!$A$26:$C$33,2,0)</f>
        <v>11</v>
      </c>
      <c r="F109" s="205">
        <f>VLOOKUP(D109,'07產線配置圖'!$A$26:$C$33,3,0)</f>
        <v>1636</v>
      </c>
      <c r="G109" s="206">
        <f>F109/E109</f>
        <v>148.72727272727272</v>
      </c>
      <c r="H109" s="519"/>
      <c r="I109" s="205" t="e">
        <f t="shared" si="83"/>
        <v>#DIV/0!</v>
      </c>
      <c r="J109" s="205" t="e">
        <f t="shared" si="84"/>
        <v>#DIV/0!</v>
      </c>
      <c r="K109" s="206" t="e">
        <f t="shared" si="85"/>
        <v>#DIV/0!</v>
      </c>
      <c r="L109" s="519"/>
      <c r="M109" s="207" t="e">
        <f t="shared" si="86"/>
        <v>#DIV/0!</v>
      </c>
      <c r="N109" s="516"/>
      <c r="O109" s="516"/>
      <c r="P109" s="205"/>
      <c r="Q109" s="205"/>
      <c r="R109" s="206" t="e">
        <f t="shared" si="79"/>
        <v>#DIV/0!</v>
      </c>
      <c r="S109" s="204" t="e">
        <f t="shared" si="87"/>
        <v>#DIV/0!</v>
      </c>
      <c r="T109" s="528"/>
      <c r="U109" s="205"/>
      <c r="V109" s="205"/>
      <c r="W109" s="206" t="e">
        <f t="shared" si="88"/>
        <v>#DIV/0!</v>
      </c>
      <c r="X109" s="204" t="e">
        <f t="shared" si="89"/>
        <v>#DIV/0!</v>
      </c>
      <c r="Y109" s="528"/>
      <c r="Z109" s="205"/>
      <c r="AA109" s="205"/>
      <c r="AB109" s="206" t="e">
        <f t="shared" si="90"/>
        <v>#DIV/0!</v>
      </c>
      <c r="AC109" s="204" t="e">
        <f t="shared" si="91"/>
        <v>#DIV/0!</v>
      </c>
      <c r="AD109" s="528"/>
      <c r="AE109" s="205"/>
      <c r="AF109" s="205"/>
      <c r="AG109" s="206" t="e">
        <f>AF109/AE109</f>
        <v>#DIV/0!</v>
      </c>
      <c r="AH109" s="204" t="e">
        <f t="shared" si="92"/>
        <v>#DIV/0!</v>
      </c>
      <c r="AI109" s="528"/>
      <c r="AJ109" s="205"/>
      <c r="AK109" s="205"/>
      <c r="AL109" s="206"/>
      <c r="AM109" s="204"/>
      <c r="AN109" s="528"/>
      <c r="AO109" s="205"/>
      <c r="AP109" s="205"/>
      <c r="AQ109" s="206" t="e">
        <f>AP109/AO109</f>
        <v>#DIV/0!</v>
      </c>
      <c r="AR109" s="204" t="e">
        <f t="shared" si="81"/>
        <v>#DIV/0!</v>
      </c>
      <c r="AS109" s="528"/>
      <c r="AT109" s="205"/>
      <c r="AU109" s="205"/>
      <c r="AV109" s="206" t="e">
        <f>AU109/AT109</f>
        <v>#DIV/0!</v>
      </c>
      <c r="AW109" s="204" t="e">
        <f t="shared" si="82"/>
        <v>#DIV/0!</v>
      </c>
      <c r="AX109" s="528"/>
    </row>
    <row r="110" spans="2:50" ht="13.5" x14ac:dyDescent="0.2">
      <c r="B110" s="517"/>
      <c r="C110" s="204">
        <v>4</v>
      </c>
      <c r="D110" s="208" t="s">
        <v>102</v>
      </c>
      <c r="E110" s="205">
        <f>VLOOKUP(D110,'07產線配置圖'!$A$26:$C$33,2,0)</f>
        <v>11</v>
      </c>
      <c r="F110" s="205">
        <f>VLOOKUP(D110,'07產線配置圖'!$A$26:$C$33,3,0)</f>
        <v>1636</v>
      </c>
      <c r="G110" s="206">
        <f>F110/E110</f>
        <v>148.72727272727272</v>
      </c>
      <c r="H110" s="519"/>
      <c r="I110" s="205" t="e">
        <f t="shared" si="83"/>
        <v>#DIV/0!</v>
      </c>
      <c r="J110" s="205" t="e">
        <f t="shared" si="84"/>
        <v>#DIV/0!</v>
      </c>
      <c r="K110" s="206" t="e">
        <f t="shared" si="85"/>
        <v>#DIV/0!</v>
      </c>
      <c r="L110" s="519"/>
      <c r="M110" s="207" t="e">
        <f t="shared" si="86"/>
        <v>#DIV/0!</v>
      </c>
      <c r="N110" s="516"/>
      <c r="O110" s="516"/>
      <c r="P110" s="205"/>
      <c r="Q110" s="205"/>
      <c r="R110" s="206" t="e">
        <f t="shared" si="79"/>
        <v>#DIV/0!</v>
      </c>
      <c r="S110" s="204" t="e">
        <f t="shared" si="87"/>
        <v>#DIV/0!</v>
      </c>
      <c r="T110" s="528"/>
      <c r="U110" s="205"/>
      <c r="V110" s="205"/>
      <c r="W110" s="206"/>
      <c r="X110" s="204"/>
      <c r="Y110" s="528"/>
      <c r="Z110" s="204"/>
      <c r="AA110" s="205"/>
      <c r="AB110" s="206"/>
      <c r="AC110" s="204"/>
      <c r="AD110" s="528"/>
      <c r="AE110" s="205"/>
      <c r="AF110" s="205"/>
      <c r="AG110" s="206"/>
      <c r="AH110" s="204"/>
      <c r="AI110" s="528"/>
      <c r="AJ110" s="205"/>
      <c r="AK110" s="205"/>
      <c r="AL110" s="206"/>
      <c r="AM110" s="204"/>
      <c r="AN110" s="528"/>
      <c r="AO110" s="205"/>
      <c r="AP110" s="205"/>
      <c r="AQ110" s="206"/>
      <c r="AR110" s="204"/>
      <c r="AS110" s="528"/>
      <c r="AT110" s="205"/>
      <c r="AU110" s="205"/>
      <c r="AV110" s="206"/>
      <c r="AW110" s="204"/>
      <c r="AX110" s="528"/>
    </row>
    <row r="111" spans="2:50" x14ac:dyDescent="0.2">
      <c r="B111" s="517"/>
      <c r="C111" s="204">
        <v>5</v>
      </c>
      <c r="D111" s="204"/>
      <c r="E111" s="205"/>
      <c r="F111" s="205"/>
      <c r="G111" s="206"/>
      <c r="H111" s="519"/>
      <c r="I111" s="205"/>
      <c r="J111" s="205"/>
      <c r="K111" s="206"/>
      <c r="L111" s="519"/>
      <c r="M111" s="207"/>
      <c r="N111" s="516"/>
      <c r="O111" s="516"/>
      <c r="P111" s="205"/>
      <c r="Q111" s="205"/>
      <c r="R111" s="206"/>
      <c r="S111" s="204"/>
      <c r="T111" s="528"/>
      <c r="U111" s="205"/>
      <c r="V111" s="205"/>
      <c r="W111" s="206"/>
      <c r="X111" s="204"/>
      <c r="Y111" s="528"/>
      <c r="Z111" s="204"/>
      <c r="AA111" s="205"/>
      <c r="AB111" s="206"/>
      <c r="AC111" s="204"/>
      <c r="AD111" s="528"/>
      <c r="AE111" s="205"/>
      <c r="AF111" s="205"/>
      <c r="AG111" s="206"/>
      <c r="AH111" s="204"/>
      <c r="AI111" s="528"/>
      <c r="AJ111" s="205"/>
      <c r="AK111" s="205"/>
      <c r="AL111" s="206"/>
      <c r="AM111" s="204"/>
      <c r="AN111" s="528"/>
      <c r="AO111" s="205"/>
      <c r="AP111" s="205"/>
      <c r="AQ111" s="206"/>
      <c r="AR111" s="204"/>
      <c r="AS111" s="528"/>
      <c r="AT111" s="205"/>
      <c r="AU111" s="205"/>
      <c r="AV111" s="206"/>
      <c r="AW111" s="204"/>
      <c r="AX111" s="528"/>
    </row>
    <row r="112" spans="2:50" x14ac:dyDescent="0.2">
      <c r="B112" s="517"/>
      <c r="C112" s="204">
        <v>6</v>
      </c>
      <c r="D112" s="204"/>
      <c r="E112" s="205"/>
      <c r="F112" s="205"/>
      <c r="G112" s="206"/>
      <c r="H112" s="519"/>
      <c r="I112" s="205"/>
      <c r="J112" s="205"/>
      <c r="K112" s="206"/>
      <c r="L112" s="519"/>
      <c r="M112" s="207"/>
      <c r="N112" s="516"/>
      <c r="O112" s="516"/>
      <c r="P112" s="205"/>
      <c r="Q112" s="205"/>
      <c r="R112" s="206"/>
      <c r="S112" s="204"/>
      <c r="T112" s="528"/>
      <c r="U112" s="205"/>
      <c r="V112" s="205"/>
      <c r="W112" s="206"/>
      <c r="X112" s="204"/>
      <c r="Y112" s="528"/>
      <c r="Z112" s="204"/>
      <c r="AA112" s="205"/>
      <c r="AB112" s="206"/>
      <c r="AC112" s="204"/>
      <c r="AD112" s="528"/>
      <c r="AE112" s="205"/>
      <c r="AF112" s="205"/>
      <c r="AG112" s="206"/>
      <c r="AH112" s="204"/>
      <c r="AI112" s="528"/>
      <c r="AJ112" s="205"/>
      <c r="AK112" s="205"/>
      <c r="AL112" s="206"/>
      <c r="AM112" s="204"/>
      <c r="AN112" s="528"/>
      <c r="AO112" s="205"/>
      <c r="AP112" s="205"/>
      <c r="AQ112" s="206"/>
      <c r="AR112" s="204"/>
      <c r="AS112" s="528"/>
      <c r="AT112" s="205"/>
      <c r="AU112" s="205"/>
      <c r="AV112" s="206"/>
      <c r="AW112" s="204"/>
      <c r="AX112" s="528"/>
    </row>
    <row r="113" spans="2:50" x14ac:dyDescent="0.2">
      <c r="B113" s="517"/>
      <c r="C113" s="204">
        <v>7</v>
      </c>
      <c r="D113" s="204"/>
      <c r="E113" s="205"/>
      <c r="F113" s="205"/>
      <c r="G113" s="206"/>
      <c r="H113" s="519"/>
      <c r="I113" s="205"/>
      <c r="J113" s="205"/>
      <c r="K113" s="206"/>
      <c r="L113" s="519"/>
      <c r="M113" s="207"/>
      <c r="N113" s="516"/>
      <c r="O113" s="516"/>
      <c r="P113" s="205"/>
      <c r="Q113" s="205"/>
      <c r="R113" s="206"/>
      <c r="S113" s="204"/>
      <c r="T113" s="528"/>
      <c r="U113" s="205"/>
      <c r="V113" s="205"/>
      <c r="W113" s="206"/>
      <c r="X113" s="204"/>
      <c r="Y113" s="528"/>
      <c r="Z113" s="204"/>
      <c r="AA113" s="205"/>
      <c r="AB113" s="206"/>
      <c r="AC113" s="204"/>
      <c r="AD113" s="528"/>
      <c r="AE113" s="205"/>
      <c r="AF113" s="205"/>
      <c r="AG113" s="206"/>
      <c r="AH113" s="204"/>
      <c r="AI113" s="528"/>
      <c r="AJ113" s="205"/>
      <c r="AK113" s="205"/>
      <c r="AL113" s="206"/>
      <c r="AM113" s="204"/>
      <c r="AN113" s="528"/>
      <c r="AO113" s="205"/>
      <c r="AP113" s="205"/>
      <c r="AQ113" s="206"/>
      <c r="AR113" s="204"/>
      <c r="AS113" s="528"/>
      <c r="AT113" s="205"/>
      <c r="AU113" s="205"/>
      <c r="AV113" s="206"/>
      <c r="AW113" s="204"/>
      <c r="AX113" s="528"/>
    </row>
    <row r="114" spans="2:50" x14ac:dyDescent="0.2">
      <c r="B114" s="517"/>
      <c r="C114" s="204">
        <v>8</v>
      </c>
      <c r="D114" s="204"/>
      <c r="E114" s="205"/>
      <c r="F114" s="205"/>
      <c r="G114" s="206"/>
      <c r="H114" s="519"/>
      <c r="I114" s="205"/>
      <c r="J114" s="205"/>
      <c r="K114" s="206"/>
      <c r="L114" s="519"/>
      <c r="M114" s="207"/>
      <c r="N114" s="516"/>
      <c r="O114" s="516"/>
      <c r="P114" s="205"/>
      <c r="Q114" s="205"/>
      <c r="R114" s="206"/>
      <c r="S114" s="204"/>
      <c r="T114" s="528"/>
      <c r="U114" s="205"/>
      <c r="V114" s="205"/>
      <c r="W114" s="206"/>
      <c r="X114" s="204"/>
      <c r="Y114" s="528"/>
      <c r="Z114" s="204"/>
      <c r="AA114" s="205"/>
      <c r="AB114" s="206"/>
      <c r="AC114" s="204"/>
      <c r="AD114" s="528"/>
      <c r="AE114" s="205"/>
      <c r="AF114" s="205"/>
      <c r="AG114" s="206"/>
      <c r="AH114" s="204"/>
      <c r="AI114" s="528"/>
      <c r="AJ114" s="205"/>
      <c r="AK114" s="205"/>
      <c r="AL114" s="206"/>
      <c r="AM114" s="204"/>
      <c r="AN114" s="528"/>
      <c r="AO114" s="205"/>
      <c r="AP114" s="205"/>
      <c r="AQ114" s="206"/>
      <c r="AR114" s="204"/>
      <c r="AS114" s="528"/>
      <c r="AT114" s="205"/>
      <c r="AU114" s="205"/>
      <c r="AV114" s="206"/>
      <c r="AW114" s="204"/>
      <c r="AX114" s="528"/>
    </row>
    <row r="115" spans="2:50" x14ac:dyDescent="0.2">
      <c r="B115" s="517"/>
      <c r="C115" s="204">
        <v>9</v>
      </c>
      <c r="D115" s="204"/>
      <c r="E115" s="205"/>
      <c r="F115" s="205"/>
      <c r="G115" s="206"/>
      <c r="H115" s="519"/>
      <c r="I115" s="205"/>
      <c r="J115" s="205"/>
      <c r="K115" s="206"/>
      <c r="L115" s="519"/>
      <c r="M115" s="207"/>
      <c r="N115" s="516"/>
      <c r="O115" s="516"/>
      <c r="P115" s="205"/>
      <c r="Q115" s="205"/>
      <c r="R115" s="206"/>
      <c r="S115" s="204"/>
      <c r="T115" s="528"/>
      <c r="U115" s="205"/>
      <c r="V115" s="205"/>
      <c r="W115" s="206"/>
      <c r="X115" s="204"/>
      <c r="Y115" s="528"/>
      <c r="Z115" s="204"/>
      <c r="AA115" s="205"/>
      <c r="AB115" s="206"/>
      <c r="AC115" s="204"/>
      <c r="AD115" s="528"/>
      <c r="AE115" s="205"/>
      <c r="AF115" s="205"/>
      <c r="AG115" s="206"/>
      <c r="AH115" s="204"/>
      <c r="AI115" s="528"/>
      <c r="AJ115" s="205"/>
      <c r="AK115" s="205"/>
      <c r="AL115" s="206"/>
      <c r="AM115" s="204"/>
      <c r="AN115" s="528"/>
      <c r="AO115" s="205"/>
      <c r="AP115" s="205"/>
      <c r="AQ115" s="206"/>
      <c r="AR115" s="204"/>
      <c r="AS115" s="528"/>
      <c r="AT115" s="205"/>
      <c r="AU115" s="205"/>
      <c r="AV115" s="206"/>
      <c r="AW115" s="204"/>
      <c r="AX115" s="528"/>
    </row>
    <row r="116" spans="2:50" x14ac:dyDescent="0.2">
      <c r="B116" s="517"/>
      <c r="C116" s="204">
        <v>10</v>
      </c>
      <c r="D116" s="204"/>
      <c r="E116" s="205"/>
      <c r="F116" s="205"/>
      <c r="G116" s="206"/>
      <c r="H116" s="519"/>
      <c r="I116" s="205"/>
      <c r="J116" s="205"/>
      <c r="K116" s="206"/>
      <c r="L116" s="519"/>
      <c r="M116" s="207"/>
      <c r="N116" s="516"/>
      <c r="O116" s="516"/>
      <c r="P116" s="205"/>
      <c r="Q116" s="205"/>
      <c r="R116" s="206"/>
      <c r="S116" s="204"/>
      <c r="T116" s="528"/>
      <c r="U116" s="205"/>
      <c r="V116" s="205"/>
      <c r="W116" s="206"/>
      <c r="X116" s="204"/>
      <c r="Y116" s="528"/>
      <c r="Z116" s="204"/>
      <c r="AA116" s="205"/>
      <c r="AB116" s="206"/>
      <c r="AC116" s="204"/>
      <c r="AD116" s="528"/>
      <c r="AE116" s="205"/>
      <c r="AF116" s="205"/>
      <c r="AG116" s="206"/>
      <c r="AH116" s="204"/>
      <c r="AI116" s="528"/>
      <c r="AJ116" s="205"/>
      <c r="AK116" s="205"/>
      <c r="AL116" s="206"/>
      <c r="AM116" s="204"/>
      <c r="AN116" s="528"/>
      <c r="AO116" s="205"/>
      <c r="AP116" s="205"/>
      <c r="AQ116" s="206"/>
      <c r="AR116" s="204"/>
      <c r="AS116" s="528"/>
      <c r="AT116" s="205"/>
      <c r="AU116" s="205"/>
      <c r="AV116" s="206"/>
      <c r="AW116" s="204"/>
      <c r="AX116" s="528"/>
    </row>
    <row r="117" spans="2:50" x14ac:dyDescent="0.2">
      <c r="B117" s="517"/>
      <c r="C117" s="204">
        <v>11</v>
      </c>
      <c r="D117" s="204"/>
      <c r="E117" s="205"/>
      <c r="F117" s="205"/>
      <c r="G117" s="206"/>
      <c r="H117" s="519"/>
      <c r="I117" s="205"/>
      <c r="J117" s="205"/>
      <c r="K117" s="206"/>
      <c r="L117" s="519"/>
      <c r="M117" s="207"/>
      <c r="N117" s="516"/>
      <c r="O117" s="516"/>
      <c r="P117" s="204"/>
      <c r="Q117" s="204"/>
      <c r="R117" s="206"/>
      <c r="S117" s="204"/>
      <c r="T117" s="528"/>
      <c r="U117" s="204"/>
      <c r="V117" s="204"/>
      <c r="W117" s="206"/>
      <c r="X117" s="204"/>
      <c r="Y117" s="528"/>
      <c r="Z117" s="204"/>
      <c r="AA117" s="204"/>
      <c r="AB117" s="206"/>
      <c r="AC117" s="204"/>
      <c r="AD117" s="528"/>
      <c r="AE117" s="204"/>
      <c r="AF117" s="204"/>
      <c r="AG117" s="206"/>
      <c r="AH117" s="204"/>
      <c r="AI117" s="528"/>
      <c r="AJ117" s="204"/>
      <c r="AK117" s="204"/>
      <c r="AL117" s="204"/>
      <c r="AM117" s="204"/>
      <c r="AN117" s="528"/>
      <c r="AO117" s="204"/>
      <c r="AP117" s="204"/>
      <c r="AQ117" s="206"/>
      <c r="AR117" s="204"/>
      <c r="AS117" s="528"/>
      <c r="AT117" s="204"/>
      <c r="AU117" s="204"/>
      <c r="AV117" s="206"/>
      <c r="AW117" s="204"/>
      <c r="AX117" s="528"/>
    </row>
    <row r="118" spans="2:50" x14ac:dyDescent="0.2">
      <c r="B118" s="517"/>
      <c r="C118" s="204">
        <v>12</v>
      </c>
      <c r="D118" s="204"/>
      <c r="E118" s="205"/>
      <c r="F118" s="205"/>
      <c r="G118" s="206"/>
      <c r="H118" s="519"/>
      <c r="I118" s="205"/>
      <c r="J118" s="205"/>
      <c r="K118" s="206"/>
      <c r="L118" s="519"/>
      <c r="M118" s="207"/>
      <c r="N118" s="516"/>
      <c r="O118" s="516"/>
      <c r="P118" s="204"/>
      <c r="Q118" s="204"/>
      <c r="R118" s="206"/>
      <c r="S118" s="204"/>
      <c r="T118" s="528"/>
      <c r="U118" s="204"/>
      <c r="V118" s="204"/>
      <c r="W118" s="206"/>
      <c r="X118" s="204"/>
      <c r="Y118" s="528"/>
      <c r="Z118" s="204"/>
      <c r="AA118" s="204"/>
      <c r="AB118" s="206"/>
      <c r="AC118" s="204"/>
      <c r="AD118" s="528"/>
      <c r="AE118" s="204"/>
      <c r="AF118" s="204"/>
      <c r="AG118" s="206"/>
      <c r="AH118" s="204"/>
      <c r="AI118" s="528"/>
      <c r="AJ118" s="204"/>
      <c r="AK118" s="204"/>
      <c r="AL118" s="204"/>
      <c r="AM118" s="204"/>
      <c r="AN118" s="528"/>
      <c r="AO118" s="204"/>
      <c r="AP118" s="204"/>
      <c r="AQ118" s="206"/>
      <c r="AR118" s="204"/>
      <c r="AS118" s="528"/>
      <c r="AT118" s="204"/>
      <c r="AU118" s="204"/>
      <c r="AV118" s="206"/>
      <c r="AW118" s="204"/>
      <c r="AX118" s="528"/>
    </row>
    <row r="119" spans="2:50" x14ac:dyDescent="0.2">
      <c r="B119" s="517"/>
      <c r="C119" s="204">
        <v>13</v>
      </c>
      <c r="D119" s="204"/>
      <c r="E119" s="205"/>
      <c r="F119" s="205"/>
      <c r="G119" s="206"/>
      <c r="H119" s="519"/>
      <c r="I119" s="205"/>
      <c r="J119" s="205"/>
      <c r="K119" s="206"/>
      <c r="L119" s="519"/>
      <c r="M119" s="207"/>
      <c r="N119" s="516"/>
      <c r="O119" s="516"/>
      <c r="P119" s="204"/>
      <c r="Q119" s="204"/>
      <c r="R119" s="206"/>
      <c r="S119" s="204"/>
      <c r="T119" s="528"/>
      <c r="U119" s="204"/>
      <c r="V119" s="204"/>
      <c r="W119" s="206"/>
      <c r="X119" s="204"/>
      <c r="Y119" s="528"/>
      <c r="Z119" s="204"/>
      <c r="AA119" s="204"/>
      <c r="AB119" s="206"/>
      <c r="AC119" s="204"/>
      <c r="AD119" s="528"/>
      <c r="AE119" s="204"/>
      <c r="AF119" s="204"/>
      <c r="AG119" s="206"/>
      <c r="AH119" s="204"/>
      <c r="AI119" s="528"/>
      <c r="AJ119" s="204"/>
      <c r="AK119" s="204"/>
      <c r="AL119" s="204"/>
      <c r="AM119" s="204"/>
      <c r="AN119" s="528"/>
      <c r="AO119" s="204"/>
      <c r="AP119" s="204"/>
      <c r="AQ119" s="206"/>
      <c r="AR119" s="204"/>
      <c r="AS119" s="528"/>
      <c r="AT119" s="204"/>
      <c r="AU119" s="204"/>
      <c r="AV119" s="206"/>
      <c r="AW119" s="204"/>
      <c r="AX119" s="528"/>
    </row>
    <row r="120" spans="2:50" x14ac:dyDescent="0.2">
      <c r="B120" s="517"/>
      <c r="C120" s="204">
        <v>14</v>
      </c>
      <c r="D120" s="204"/>
      <c r="E120" s="205"/>
      <c r="F120" s="205"/>
      <c r="G120" s="206"/>
      <c r="H120" s="519"/>
      <c r="I120" s="205"/>
      <c r="J120" s="205"/>
      <c r="K120" s="206"/>
      <c r="L120" s="519"/>
      <c r="M120" s="207"/>
      <c r="N120" s="516"/>
      <c r="O120" s="516"/>
      <c r="P120" s="204"/>
      <c r="Q120" s="204"/>
      <c r="R120" s="206"/>
      <c r="S120" s="204"/>
      <c r="T120" s="528"/>
      <c r="U120" s="204"/>
      <c r="V120" s="204"/>
      <c r="W120" s="206"/>
      <c r="X120" s="204"/>
      <c r="Y120" s="528"/>
      <c r="Z120" s="204"/>
      <c r="AA120" s="204"/>
      <c r="AB120" s="206"/>
      <c r="AC120" s="204"/>
      <c r="AD120" s="528"/>
      <c r="AE120" s="204"/>
      <c r="AF120" s="204"/>
      <c r="AG120" s="206"/>
      <c r="AH120" s="204"/>
      <c r="AI120" s="528"/>
      <c r="AJ120" s="204"/>
      <c r="AK120" s="204"/>
      <c r="AL120" s="204"/>
      <c r="AM120" s="204"/>
      <c r="AN120" s="528"/>
      <c r="AO120" s="204"/>
      <c r="AP120" s="204"/>
      <c r="AQ120" s="206"/>
      <c r="AR120" s="204"/>
      <c r="AS120" s="528"/>
      <c r="AT120" s="204"/>
      <c r="AU120" s="204"/>
      <c r="AV120" s="206"/>
      <c r="AW120" s="204"/>
      <c r="AX120" s="528"/>
    </row>
    <row r="121" spans="2:50" x14ac:dyDescent="0.2">
      <c r="B121" s="517"/>
      <c r="C121" s="204">
        <v>15</v>
      </c>
      <c r="D121" s="204"/>
      <c r="E121" s="205"/>
      <c r="F121" s="205"/>
      <c r="G121" s="206"/>
      <c r="H121" s="520"/>
      <c r="I121" s="205"/>
      <c r="J121" s="205"/>
      <c r="K121" s="206"/>
      <c r="L121" s="520"/>
      <c r="M121" s="205"/>
      <c r="N121" s="516"/>
      <c r="O121" s="516"/>
      <c r="P121" s="204"/>
      <c r="Q121" s="204"/>
      <c r="R121" s="206"/>
      <c r="S121" s="204"/>
      <c r="T121" s="528"/>
      <c r="U121" s="204"/>
      <c r="V121" s="204"/>
      <c r="W121" s="206"/>
      <c r="X121" s="204"/>
      <c r="Y121" s="528"/>
      <c r="Z121" s="204"/>
      <c r="AA121" s="204"/>
      <c r="AB121" s="206"/>
      <c r="AC121" s="204"/>
      <c r="AD121" s="528"/>
      <c r="AE121" s="204"/>
      <c r="AF121" s="204"/>
      <c r="AG121" s="206"/>
      <c r="AH121" s="204"/>
      <c r="AI121" s="528"/>
      <c r="AJ121" s="204"/>
      <c r="AK121" s="204"/>
      <c r="AL121" s="204"/>
      <c r="AM121" s="204"/>
      <c r="AN121" s="528"/>
      <c r="AO121" s="204"/>
      <c r="AP121" s="204"/>
      <c r="AQ121" s="206"/>
      <c r="AR121" s="204"/>
      <c r="AS121" s="528"/>
      <c r="AT121" s="204"/>
      <c r="AU121" s="204"/>
      <c r="AV121" s="206"/>
      <c r="AW121" s="204"/>
      <c r="AX121" s="528"/>
    </row>
  </sheetData>
  <mergeCells count="354">
    <mergeCell ref="O104:O121"/>
    <mergeCell ref="Y104:Y106"/>
    <mergeCell ref="AD107:AD121"/>
    <mergeCell ref="Z105:AC105"/>
    <mergeCell ref="Z104:AC104"/>
    <mergeCell ref="AD104:AD106"/>
    <mergeCell ref="Y107:Y121"/>
    <mergeCell ref="U104:X104"/>
    <mergeCell ref="AX107:AX121"/>
    <mergeCell ref="AT105:AW105"/>
    <mergeCell ref="AT102:AX102"/>
    <mergeCell ref="AO102:AS102"/>
    <mergeCell ref="AJ102:AN102"/>
    <mergeCell ref="AJ105:AM105"/>
    <mergeCell ref="AT103:AX103"/>
    <mergeCell ref="AN104:AN106"/>
    <mergeCell ref="AJ104:AM104"/>
    <mergeCell ref="AO103:AS103"/>
    <mergeCell ref="AX104:AX106"/>
    <mergeCell ref="AJ103:AN103"/>
    <mergeCell ref="AO105:AR105"/>
    <mergeCell ref="AT104:AW104"/>
    <mergeCell ref="AO104:AR104"/>
    <mergeCell ref="AS104:AS106"/>
    <mergeCell ref="AN107:AN121"/>
    <mergeCell ref="L104:L106"/>
    <mergeCell ref="P103:T103"/>
    <mergeCell ref="N104:N121"/>
    <mergeCell ref="AS107:AS121"/>
    <mergeCell ref="B107:B121"/>
    <mergeCell ref="C104:D106"/>
    <mergeCell ref="E104:G104"/>
    <mergeCell ref="L107:L121"/>
    <mergeCell ref="U105:X105"/>
    <mergeCell ref="B104:B106"/>
    <mergeCell ref="H107:H121"/>
    <mergeCell ref="AI104:AI106"/>
    <mergeCell ref="AE105:AH105"/>
    <mergeCell ref="AE104:AH104"/>
    <mergeCell ref="E105:G105"/>
    <mergeCell ref="I105:K105"/>
    <mergeCell ref="H104:H106"/>
    <mergeCell ref="I104:K104"/>
    <mergeCell ref="M104:M106"/>
    <mergeCell ref="AI107:AI121"/>
    <mergeCell ref="T107:T121"/>
    <mergeCell ref="P105:S105"/>
    <mergeCell ref="T104:T106"/>
    <mergeCell ref="P104:S104"/>
    <mergeCell ref="H84:H86"/>
    <mergeCell ref="AE84:AH84"/>
    <mergeCell ref="AI84:AI86"/>
    <mergeCell ref="AE85:AH85"/>
    <mergeCell ref="AJ85:AM85"/>
    <mergeCell ref="U103:Y103"/>
    <mergeCell ref="AE102:AI102"/>
    <mergeCell ref="Z103:AD103"/>
    <mergeCell ref="B87:B101"/>
    <mergeCell ref="P85:S85"/>
    <mergeCell ref="T87:T101"/>
    <mergeCell ref="B102:H103"/>
    <mergeCell ref="E85:G85"/>
    <mergeCell ref="B84:B86"/>
    <mergeCell ref="C84:D86"/>
    <mergeCell ref="I84:K84"/>
    <mergeCell ref="L84:L86"/>
    <mergeCell ref="E84:G84"/>
    <mergeCell ref="I85:K85"/>
    <mergeCell ref="L87:L101"/>
    <mergeCell ref="H87:H101"/>
    <mergeCell ref="M84:M86"/>
    <mergeCell ref="N84:N101"/>
    <mergeCell ref="O84:O101"/>
    <mergeCell ref="AX87:AX101"/>
    <mergeCell ref="AT85:AW85"/>
    <mergeCell ref="N102:N103"/>
    <mergeCell ref="AS87:AS101"/>
    <mergeCell ref="Y87:Y101"/>
    <mergeCell ref="AD87:AD101"/>
    <mergeCell ref="U102:Y102"/>
    <mergeCell ref="Z102:AD102"/>
    <mergeCell ref="AE103:AI103"/>
    <mergeCell ref="O102:O103"/>
    <mergeCell ref="P102:T102"/>
    <mergeCell ref="AT84:AW84"/>
    <mergeCell ref="T84:T86"/>
    <mergeCell ref="P84:S84"/>
    <mergeCell ref="Z85:AC85"/>
    <mergeCell ref="U84:X84"/>
    <mergeCell ref="Y84:Y86"/>
    <mergeCell ref="U85:X85"/>
    <mergeCell ref="AD84:AD86"/>
    <mergeCell ref="AI87:AI101"/>
    <mergeCell ref="AS67:AS81"/>
    <mergeCell ref="AI67:AI81"/>
    <mergeCell ref="AE82:AI82"/>
    <mergeCell ref="AN67:AN81"/>
    <mergeCell ref="Z82:AD82"/>
    <mergeCell ref="Z83:AD83"/>
    <mergeCell ref="AJ82:AN82"/>
    <mergeCell ref="AJ83:AN83"/>
    <mergeCell ref="Z84:AC84"/>
    <mergeCell ref="AE83:AI83"/>
    <mergeCell ref="AN84:AN86"/>
    <mergeCell ref="AJ84:AM84"/>
    <mergeCell ref="AN87:AN101"/>
    <mergeCell ref="AT44:AW44"/>
    <mergeCell ref="AE64:AH64"/>
    <mergeCell ref="AI64:AI66"/>
    <mergeCell ref="AN64:AN66"/>
    <mergeCell ref="AO64:AR64"/>
    <mergeCell ref="AE65:AH65"/>
    <mergeCell ref="AJ65:AM65"/>
    <mergeCell ref="AJ64:AM64"/>
    <mergeCell ref="AT65:AW65"/>
    <mergeCell ref="AS64:AS66"/>
    <mergeCell ref="AO65:AR65"/>
    <mergeCell ref="AE63:AI63"/>
    <mergeCell ref="AE62:AI62"/>
    <mergeCell ref="AI47:AI61"/>
    <mergeCell ref="AT83:AX83"/>
    <mergeCell ref="AX84:AX86"/>
    <mergeCell ref="AO82:AS82"/>
    <mergeCell ref="AO83:AS83"/>
    <mergeCell ref="AO84:AR84"/>
    <mergeCell ref="AS84:AS86"/>
    <mergeCell ref="AO85:AR85"/>
    <mergeCell ref="AX67:AX81"/>
    <mergeCell ref="AT82:AX82"/>
    <mergeCell ref="AX64:AX66"/>
    <mergeCell ref="AT45:AW45"/>
    <mergeCell ref="AX47:AX61"/>
    <mergeCell ref="AT62:AX62"/>
    <mergeCell ref="AT64:AW64"/>
    <mergeCell ref="AT63:AX63"/>
    <mergeCell ref="AX44:AX46"/>
    <mergeCell ref="AJ45:AM45"/>
    <mergeCell ref="AJ44:AM44"/>
    <mergeCell ref="AS47:AS61"/>
    <mergeCell ref="AO45:AR45"/>
    <mergeCell ref="AO44:AR44"/>
    <mergeCell ref="AN44:AN46"/>
    <mergeCell ref="P2:T2"/>
    <mergeCell ref="U2:Y2"/>
    <mergeCell ref="Z2:AD2"/>
    <mergeCell ref="Z3:AD3"/>
    <mergeCell ref="Y4:Y6"/>
    <mergeCell ref="P3:T3"/>
    <mergeCell ref="U3:Y3"/>
    <mergeCell ref="P5:S5"/>
    <mergeCell ref="P4:S4"/>
    <mergeCell ref="T4:T6"/>
    <mergeCell ref="U4:X4"/>
    <mergeCell ref="Z4:AC4"/>
    <mergeCell ref="U5:X5"/>
    <mergeCell ref="AD4:AD6"/>
    <mergeCell ref="Z5:AC5"/>
    <mergeCell ref="AJ63:AN63"/>
    <mergeCell ref="AJ62:AN62"/>
    <mergeCell ref="AS44:AS46"/>
    <mergeCell ref="U24:X24"/>
    <mergeCell ref="AE43:AI43"/>
    <mergeCell ref="AJ43:AN43"/>
    <mergeCell ref="AJ42:AN42"/>
    <mergeCell ref="AI24:AI26"/>
    <mergeCell ref="AN47:AN61"/>
    <mergeCell ref="AE45:AH45"/>
    <mergeCell ref="AE44:AH44"/>
    <mergeCell ref="AI44:AI46"/>
    <mergeCell ref="AO24:AR24"/>
    <mergeCell ref="AD27:AD41"/>
    <mergeCell ref="AE42:AI42"/>
    <mergeCell ref="U42:Y42"/>
    <mergeCell ref="AO63:AS63"/>
    <mergeCell ref="AO62:AS62"/>
    <mergeCell ref="AT43:AX43"/>
    <mergeCell ref="AN27:AN41"/>
    <mergeCell ref="AS7:AS21"/>
    <mergeCell ref="AJ22:AN22"/>
    <mergeCell ref="Z43:AD43"/>
    <mergeCell ref="AD24:AD26"/>
    <mergeCell ref="AT42:AX42"/>
    <mergeCell ref="AX7:AX21"/>
    <mergeCell ref="AO42:AS42"/>
    <mergeCell ref="AO43:AS43"/>
    <mergeCell ref="AI27:AI41"/>
    <mergeCell ref="Z24:AC24"/>
    <mergeCell ref="AX27:AX41"/>
    <mergeCell ref="AT24:AW24"/>
    <mergeCell ref="AT23:AX23"/>
    <mergeCell ref="AS24:AS26"/>
    <mergeCell ref="AJ23:AN23"/>
    <mergeCell ref="AO23:AS23"/>
    <mergeCell ref="AO25:AR25"/>
    <mergeCell ref="AS27:AS41"/>
    <mergeCell ref="AX24:AX26"/>
    <mergeCell ref="AE24:AH24"/>
    <mergeCell ref="AJ24:AM24"/>
    <mergeCell ref="AJ25:AM25"/>
    <mergeCell ref="U22:Y22"/>
    <mergeCell ref="AT4:AW4"/>
    <mergeCell ref="AO4:AR4"/>
    <mergeCell ref="AE4:AH4"/>
    <mergeCell ref="AI4:AI6"/>
    <mergeCell ref="AN4:AN6"/>
    <mergeCell ref="AT5:AW5"/>
    <mergeCell ref="AE5:AH5"/>
    <mergeCell ref="AS4:AS6"/>
    <mergeCell ref="AJ4:AM4"/>
    <mergeCell ref="Y7:Y21"/>
    <mergeCell ref="AD7:AD21"/>
    <mergeCell ref="AO5:AR5"/>
    <mergeCell ref="AJ5:AM5"/>
    <mergeCell ref="AT2:AX2"/>
    <mergeCell ref="AT3:AX3"/>
    <mergeCell ref="AE3:AI3"/>
    <mergeCell ref="AJ3:AN3"/>
    <mergeCell ref="AO3:AS3"/>
    <mergeCell ref="AO2:AS2"/>
    <mergeCell ref="AE2:AI2"/>
    <mergeCell ref="AJ2:AN2"/>
    <mergeCell ref="Z22:AD22"/>
    <mergeCell ref="AT22:AX22"/>
    <mergeCell ref="AO22:AS22"/>
    <mergeCell ref="AE22:AI22"/>
    <mergeCell ref="AN7:AN21"/>
    <mergeCell ref="AI7:AI21"/>
    <mergeCell ref="AX4:AX6"/>
    <mergeCell ref="Z42:AD42"/>
    <mergeCell ref="P23:T23"/>
    <mergeCell ref="Y27:Y41"/>
    <mergeCell ref="AT25:AW25"/>
    <mergeCell ref="U23:Y23"/>
    <mergeCell ref="Z25:AC25"/>
    <mergeCell ref="Y24:Y26"/>
    <mergeCell ref="Z23:AD23"/>
    <mergeCell ref="T24:T26"/>
    <mergeCell ref="P42:T42"/>
    <mergeCell ref="U25:X25"/>
    <mergeCell ref="AE23:AI23"/>
    <mergeCell ref="AE25:AH25"/>
    <mergeCell ref="AN24:AN26"/>
    <mergeCell ref="O2:O3"/>
    <mergeCell ref="E5:G5"/>
    <mergeCell ref="I5:K5"/>
    <mergeCell ref="M4:M6"/>
    <mergeCell ref="N4:N21"/>
    <mergeCell ref="E4:G4"/>
    <mergeCell ref="H4:H6"/>
    <mergeCell ref="L7:L21"/>
    <mergeCell ref="H7:H21"/>
    <mergeCell ref="B2:H3"/>
    <mergeCell ref="N2:N3"/>
    <mergeCell ref="B4:B6"/>
    <mergeCell ref="C4:D6"/>
    <mergeCell ref="B7:B21"/>
    <mergeCell ref="I4:K4"/>
    <mergeCell ref="L4:L6"/>
    <mergeCell ref="T7:T21"/>
    <mergeCell ref="P22:T22"/>
    <mergeCell ref="I24:K24"/>
    <mergeCell ref="L24:L26"/>
    <mergeCell ref="M24:M26"/>
    <mergeCell ref="N22:N23"/>
    <mergeCell ref="N24:N41"/>
    <mergeCell ref="O24:O41"/>
    <mergeCell ref="P25:S25"/>
    <mergeCell ref="P24:S24"/>
    <mergeCell ref="O4:O21"/>
    <mergeCell ref="O22:O23"/>
    <mergeCell ref="L27:L41"/>
    <mergeCell ref="I25:K25"/>
    <mergeCell ref="B22:H23"/>
    <mergeCell ref="I44:K44"/>
    <mergeCell ref="B42:H43"/>
    <mergeCell ref="T27:T41"/>
    <mergeCell ref="O42:O43"/>
    <mergeCell ref="M44:M46"/>
    <mergeCell ref="N42:N43"/>
    <mergeCell ref="B62:H63"/>
    <mergeCell ref="B47:B61"/>
    <mergeCell ref="H47:H61"/>
    <mergeCell ref="B44:B46"/>
    <mergeCell ref="C44:D46"/>
    <mergeCell ref="E45:G45"/>
    <mergeCell ref="E44:G44"/>
    <mergeCell ref="I45:K45"/>
    <mergeCell ref="H44:H46"/>
    <mergeCell ref="H27:H41"/>
    <mergeCell ref="B24:B26"/>
    <mergeCell ref="B27:B41"/>
    <mergeCell ref="E24:G24"/>
    <mergeCell ref="C24:D26"/>
    <mergeCell ref="E25:G25"/>
    <mergeCell ref="H24:H26"/>
    <mergeCell ref="AD67:AD81"/>
    <mergeCell ref="Z44:AC44"/>
    <mergeCell ref="AD44:AD46"/>
    <mergeCell ref="U44:X44"/>
    <mergeCell ref="N62:N63"/>
    <mergeCell ref="O44:O61"/>
    <mergeCell ref="N44:N61"/>
    <mergeCell ref="U63:Y63"/>
    <mergeCell ref="O62:O63"/>
    <mergeCell ref="U62:Y62"/>
    <mergeCell ref="P62:T62"/>
    <mergeCell ref="P63:T63"/>
    <mergeCell ref="AD64:AD66"/>
    <mergeCell ref="Y44:Y46"/>
    <mergeCell ref="Z64:AC64"/>
    <mergeCell ref="Z65:AC65"/>
    <mergeCell ref="L47:L61"/>
    <mergeCell ref="P45:S45"/>
    <mergeCell ref="Z63:AD63"/>
    <mergeCell ref="AD47:AD61"/>
    <mergeCell ref="Z62:AD62"/>
    <mergeCell ref="Z45:AC45"/>
    <mergeCell ref="T44:T46"/>
    <mergeCell ref="Y47:Y61"/>
    <mergeCell ref="T47:T61"/>
    <mergeCell ref="U45:X45"/>
    <mergeCell ref="L44:L46"/>
    <mergeCell ref="P43:T43"/>
    <mergeCell ref="U43:Y43"/>
    <mergeCell ref="P44:S44"/>
    <mergeCell ref="O82:O83"/>
    <mergeCell ref="U83:Y83"/>
    <mergeCell ref="P83:T83"/>
    <mergeCell ref="Y64:Y66"/>
    <mergeCell ref="U64:X64"/>
    <mergeCell ref="U65:X65"/>
    <mergeCell ref="T67:T81"/>
    <mergeCell ref="P65:S65"/>
    <mergeCell ref="P64:S64"/>
    <mergeCell ref="T64:T66"/>
    <mergeCell ref="U82:Y82"/>
    <mergeCell ref="Y67:Y81"/>
    <mergeCell ref="O64:O81"/>
    <mergeCell ref="P82:T82"/>
    <mergeCell ref="B82:H83"/>
    <mergeCell ref="N82:N83"/>
    <mergeCell ref="B67:B81"/>
    <mergeCell ref="H67:H81"/>
    <mergeCell ref="L64:L66"/>
    <mergeCell ref="I64:K64"/>
    <mergeCell ref="H64:H66"/>
    <mergeCell ref="B64:B66"/>
    <mergeCell ref="C64:D66"/>
    <mergeCell ref="E65:G65"/>
    <mergeCell ref="E64:G64"/>
    <mergeCell ref="I65:K65"/>
    <mergeCell ref="N64:N81"/>
    <mergeCell ref="L67:L81"/>
    <mergeCell ref="M64:M66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 xr:uid="{1A252C58-7B3C-4683-80C0-46CFA527ED66}">
          <x14:formula1>
            <xm:f>'07產線配置圖'!$A$25:$A$31</xm:f>
          </x14:formula1>
          <xm:sqref>D7:D21 D27:D41 D47:D61 D67:D81 D87:D101 D107:D110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topLeftCell="A4" zoomScale="85" zoomScaleNormal="60" zoomScaleSheetLayoutView="85" workbookViewId="0">
      <selection activeCell="I23" sqref="I23"/>
    </sheetView>
  </sheetViews>
  <sheetFormatPr defaultColWidth="12.5703125" defaultRowHeight="15.75" customHeight="1" x14ac:dyDescent="0.25"/>
  <cols>
    <col min="1" max="1" width="6.42578125" style="150" customWidth="1"/>
    <col min="2" max="10" width="11.5703125" style="150" customWidth="1"/>
    <col min="11" max="12" width="12.85546875" style="150" customWidth="1"/>
    <col min="13" max="13" width="12.5703125" style="151" customWidth="1"/>
    <col min="14" max="52" width="12.5703125" style="150" customWidth="1"/>
    <col min="53" max="16384" width="12.5703125" style="150"/>
  </cols>
  <sheetData>
    <row r="1" spans="1:13" ht="15.75" customHeight="1" x14ac:dyDescent="0.25">
      <c r="A1" s="434" t="s">
        <v>103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150"/>
    </row>
    <row r="2" spans="1:13" s="151" customFormat="1" ht="15.75" customHeight="1" x14ac:dyDescent="0.25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</row>
    <row r="3" spans="1:13" ht="15.75" customHeight="1" x14ac:dyDescent="0.25">
      <c r="A3" s="553" t="s">
        <v>104</v>
      </c>
      <c r="B3" s="554"/>
      <c r="C3" s="554"/>
      <c r="D3" s="554"/>
      <c r="E3" s="554"/>
      <c r="F3" s="554"/>
      <c r="G3" s="554"/>
      <c r="H3" s="554"/>
      <c r="I3" s="554"/>
      <c r="J3" s="554"/>
      <c r="K3" s="554"/>
      <c r="L3" s="554"/>
      <c r="M3" s="150"/>
    </row>
    <row r="4" spans="1:13" s="151" customFormat="1" ht="15.75" customHeight="1" x14ac:dyDescent="0.25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</row>
    <row r="5" spans="1:13" s="170" customFormat="1" ht="16.350000000000001" customHeight="1" x14ac:dyDescent="0.2">
      <c r="A5" s="537" t="s">
        <v>41</v>
      </c>
      <c r="B5" s="168">
        <v>1</v>
      </c>
      <c r="C5" s="168">
        <v>2</v>
      </c>
      <c r="D5" s="168">
        <v>3</v>
      </c>
      <c r="E5" s="169"/>
      <c r="F5" s="169"/>
      <c r="G5" s="169"/>
    </row>
    <row r="6" spans="1:13" ht="16.350000000000001" customHeight="1" x14ac:dyDescent="0.25">
      <c r="A6" s="537"/>
      <c r="B6" s="171" t="s">
        <v>105</v>
      </c>
      <c r="C6" s="171" t="s">
        <v>106</v>
      </c>
      <c r="D6" s="171" t="s">
        <v>76</v>
      </c>
      <c r="E6" s="172"/>
      <c r="F6" s="172"/>
      <c r="G6" s="151"/>
      <c r="M6" s="150"/>
    </row>
    <row r="7" spans="1:13" s="170" customFormat="1" ht="15.75" customHeight="1" x14ac:dyDescent="0.2">
      <c r="A7" s="549" t="s">
        <v>41</v>
      </c>
      <c r="B7" s="549"/>
      <c r="C7" s="173" t="s">
        <v>91</v>
      </c>
      <c r="D7" s="549" t="s">
        <v>107</v>
      </c>
      <c r="E7" s="555"/>
      <c r="F7" s="555"/>
      <c r="G7" s="173" t="s">
        <v>96</v>
      </c>
      <c r="H7" s="173" t="s">
        <v>108</v>
      </c>
      <c r="I7" s="173" t="s">
        <v>109</v>
      </c>
      <c r="J7" s="174" t="s">
        <v>110</v>
      </c>
      <c r="K7" s="549" t="s">
        <v>111</v>
      </c>
      <c r="L7" s="555"/>
      <c r="M7" s="169"/>
    </row>
    <row r="8" spans="1:13" ht="15.75" customHeight="1" x14ac:dyDescent="0.25">
      <c r="A8" s="537">
        <v>1</v>
      </c>
      <c r="B8" s="549" t="s">
        <v>112</v>
      </c>
      <c r="C8" s="175">
        <v>1</v>
      </c>
      <c r="D8" s="550" t="s">
        <v>113</v>
      </c>
      <c r="E8" s="544"/>
      <c r="F8" s="545"/>
      <c r="G8" s="181">
        <v>12</v>
      </c>
      <c r="H8" s="181">
        <v>2044.4285714285713</v>
      </c>
      <c r="I8" s="182">
        <v>170.36904761904762</v>
      </c>
      <c r="J8" s="213">
        <v>1.095</v>
      </c>
      <c r="K8" s="552" t="s">
        <v>411</v>
      </c>
      <c r="L8" s="533"/>
    </row>
    <row r="9" spans="1:13" ht="15.75" customHeight="1" x14ac:dyDescent="0.25">
      <c r="A9" s="537"/>
      <c r="B9" s="549"/>
      <c r="C9" s="175">
        <v>2</v>
      </c>
      <c r="D9" s="551" t="s">
        <v>114</v>
      </c>
      <c r="E9" s="544"/>
      <c r="F9" s="545"/>
      <c r="G9" s="181">
        <v>13.142857142857142</v>
      </c>
      <c r="H9" s="181">
        <v>2066.7142857142858</v>
      </c>
      <c r="I9" s="182">
        <v>157.22605965463109</v>
      </c>
      <c r="J9" s="213">
        <v>1.08</v>
      </c>
      <c r="K9" s="552" t="s">
        <v>411</v>
      </c>
      <c r="L9" s="533"/>
    </row>
    <row r="10" spans="1:13" ht="15.75" customHeight="1" x14ac:dyDescent="0.25">
      <c r="A10" s="537"/>
      <c r="B10" s="549"/>
      <c r="C10" s="175">
        <v>3</v>
      </c>
      <c r="D10" s="551" t="s">
        <v>115</v>
      </c>
      <c r="E10" s="544"/>
      <c r="F10" s="545"/>
      <c r="G10" s="181">
        <v>14</v>
      </c>
      <c r="H10" s="181">
        <v>2125.7142857142858</v>
      </c>
      <c r="I10" s="182">
        <v>151.83673469387756</v>
      </c>
      <c r="J10" s="213">
        <v>1.111</v>
      </c>
      <c r="K10" s="552" t="s">
        <v>411</v>
      </c>
      <c r="L10" s="533"/>
    </row>
    <row r="11" spans="1:13" ht="15.75" customHeight="1" x14ac:dyDescent="0.25">
      <c r="A11" s="537"/>
      <c r="B11" s="549"/>
      <c r="C11" s="175">
        <v>4</v>
      </c>
      <c r="D11" s="551" t="s">
        <v>116</v>
      </c>
      <c r="E11" s="544"/>
      <c r="F11" s="545"/>
      <c r="G11" s="181">
        <v>14</v>
      </c>
      <c r="H11" s="181">
        <v>2099.1428571428573</v>
      </c>
      <c r="I11" s="182">
        <v>149.9387755102041</v>
      </c>
      <c r="J11" s="213">
        <v>1.0980000000000001</v>
      </c>
      <c r="K11" s="552" t="s">
        <v>411</v>
      </c>
      <c r="L11" s="533"/>
    </row>
    <row r="12" spans="1:13" ht="15.75" customHeight="1" x14ac:dyDescent="0.25">
      <c r="A12" s="537"/>
      <c r="B12" s="549"/>
      <c r="C12" s="175">
        <v>5</v>
      </c>
      <c r="D12" s="550" t="s">
        <v>412</v>
      </c>
      <c r="E12" s="544"/>
      <c r="F12" s="545"/>
      <c r="G12" s="181">
        <v>14.142857142857142</v>
      </c>
      <c r="H12" s="181">
        <v>2044.8571428571429</v>
      </c>
      <c r="I12" s="182">
        <v>144.62789115646257</v>
      </c>
      <c r="J12" s="213"/>
      <c r="K12" s="552"/>
      <c r="L12" s="533"/>
    </row>
    <row r="13" spans="1:13" ht="15.75" customHeight="1" x14ac:dyDescent="0.25">
      <c r="A13" s="537"/>
      <c r="B13" s="549"/>
      <c r="C13" s="177" t="s">
        <v>118</v>
      </c>
      <c r="D13" s="551" t="s">
        <v>413</v>
      </c>
      <c r="E13" s="544"/>
      <c r="F13" s="545"/>
      <c r="G13" s="181">
        <v>15.285714285714286</v>
      </c>
      <c r="H13" s="181">
        <v>1146.7142857142858</v>
      </c>
      <c r="I13" s="182">
        <v>74.877180872348944</v>
      </c>
      <c r="J13" s="213">
        <v>0.63360000000000005</v>
      </c>
      <c r="K13" s="552" t="s">
        <v>414</v>
      </c>
      <c r="L13" s="533"/>
    </row>
    <row r="14" spans="1:13" ht="15.75" customHeight="1" x14ac:dyDescent="0.25">
      <c r="A14" s="537"/>
      <c r="B14" s="549"/>
      <c r="C14" s="177" t="s">
        <v>120</v>
      </c>
      <c r="D14" s="550" t="s">
        <v>388</v>
      </c>
      <c r="E14" s="544"/>
      <c r="F14" s="545"/>
      <c r="G14" s="181">
        <v>17.142857142857142</v>
      </c>
      <c r="H14" s="181">
        <v>1373</v>
      </c>
      <c r="I14" s="182">
        <v>80.048611111111114</v>
      </c>
      <c r="J14" s="213">
        <v>0.99299999999999999</v>
      </c>
      <c r="K14" s="552"/>
      <c r="L14" s="533"/>
    </row>
    <row r="15" spans="1:13" ht="15.75" customHeight="1" x14ac:dyDescent="0.25">
      <c r="A15" s="537"/>
      <c r="B15" s="549"/>
      <c r="C15" s="177" t="s">
        <v>122</v>
      </c>
      <c r="D15" s="551" t="s">
        <v>407</v>
      </c>
      <c r="E15" s="544"/>
      <c r="F15" s="545"/>
      <c r="G15" s="181">
        <v>17.285714285714285</v>
      </c>
      <c r="H15" s="181">
        <v>1415.4285714285713</v>
      </c>
      <c r="I15" s="182">
        <v>82.007002801120436</v>
      </c>
      <c r="J15" s="213">
        <v>0.95299999999999996</v>
      </c>
      <c r="K15" s="552" t="s">
        <v>415</v>
      </c>
      <c r="L15" s="533"/>
    </row>
    <row r="16" spans="1:13" ht="15.75" customHeight="1" x14ac:dyDescent="0.25">
      <c r="A16" s="537"/>
      <c r="B16" s="549"/>
      <c r="C16" s="177" t="s">
        <v>124</v>
      </c>
      <c r="D16" s="551" t="s">
        <v>125</v>
      </c>
      <c r="E16" s="544"/>
      <c r="F16" s="545"/>
      <c r="G16" s="181">
        <v>17.285714285714285</v>
      </c>
      <c r="H16" s="181">
        <v>1466.7142857142858</v>
      </c>
      <c r="I16" s="182">
        <v>84.82259570494864</v>
      </c>
      <c r="J16" s="213">
        <v>1.0029999999999999</v>
      </c>
      <c r="K16" s="552"/>
      <c r="L16" s="533"/>
      <c r="M16" s="150"/>
    </row>
    <row r="17" spans="1:13" ht="15.75" customHeight="1" x14ac:dyDescent="0.25">
      <c r="A17" s="537"/>
      <c r="B17" s="549"/>
      <c r="C17" s="177" t="s">
        <v>126</v>
      </c>
      <c r="D17" s="550" t="s">
        <v>127</v>
      </c>
      <c r="E17" s="544"/>
      <c r="F17" s="545"/>
      <c r="G17" s="181">
        <v>16.857142857142858</v>
      </c>
      <c r="H17" s="181">
        <v>1437.7142857142858</v>
      </c>
      <c r="I17" s="182">
        <v>85.292016806722685</v>
      </c>
      <c r="J17" s="213">
        <v>0.98799999999999999</v>
      </c>
      <c r="K17" s="552"/>
      <c r="L17" s="533"/>
      <c r="M17" s="150"/>
    </row>
    <row r="18" spans="1:13" s="180" customFormat="1" ht="15.75" customHeight="1" x14ac:dyDescent="0.25">
      <c r="A18" s="535" t="s">
        <v>41</v>
      </c>
      <c r="B18" s="535"/>
      <c r="C18" s="178" t="s">
        <v>91</v>
      </c>
      <c r="D18" s="535" t="s">
        <v>107</v>
      </c>
      <c r="E18" s="536"/>
      <c r="F18" s="536"/>
      <c r="G18" s="178" t="s">
        <v>96</v>
      </c>
      <c r="H18" s="178" t="s">
        <v>108</v>
      </c>
      <c r="I18" s="178" t="s">
        <v>109</v>
      </c>
      <c r="J18" s="179" t="s">
        <v>110</v>
      </c>
      <c r="K18" s="535" t="s">
        <v>111</v>
      </c>
      <c r="L18" s="536"/>
      <c r="M18" s="172"/>
    </row>
    <row r="19" spans="1:13" ht="15.75" customHeight="1" x14ac:dyDescent="0.25">
      <c r="A19" s="537">
        <v>2</v>
      </c>
      <c r="B19" s="549" t="s">
        <v>128</v>
      </c>
      <c r="C19" s="175">
        <v>1</v>
      </c>
      <c r="D19" s="550"/>
      <c r="E19" s="544"/>
      <c r="F19" s="545"/>
      <c r="G19" s="181"/>
      <c r="H19" s="181"/>
      <c r="I19" s="182"/>
      <c r="J19" s="213"/>
      <c r="K19" s="534"/>
      <c r="L19" s="533"/>
      <c r="M19" s="150"/>
    </row>
    <row r="20" spans="1:13" ht="15.75" customHeight="1" x14ac:dyDescent="0.25">
      <c r="A20" s="537"/>
      <c r="B20" s="549"/>
      <c r="C20" s="175">
        <v>2</v>
      </c>
      <c r="D20" s="551"/>
      <c r="E20" s="544"/>
      <c r="F20" s="545"/>
      <c r="G20" s="181"/>
      <c r="H20" s="181"/>
      <c r="I20" s="182"/>
      <c r="J20" s="213"/>
      <c r="K20" s="532"/>
      <c r="L20" s="533"/>
      <c r="M20" s="150"/>
    </row>
    <row r="21" spans="1:13" ht="15.75" customHeight="1" x14ac:dyDescent="0.25">
      <c r="A21" s="537"/>
      <c r="B21" s="549"/>
      <c r="C21" s="175">
        <v>3</v>
      </c>
      <c r="D21" s="532"/>
      <c r="E21" s="533"/>
      <c r="F21" s="533"/>
      <c r="G21" s="176"/>
      <c r="H21" s="176"/>
      <c r="I21" s="176"/>
      <c r="J21" s="176"/>
      <c r="K21" s="532"/>
      <c r="L21" s="533"/>
      <c r="M21" s="150"/>
    </row>
    <row r="22" spans="1:13" ht="15.75" customHeight="1" x14ac:dyDescent="0.25">
      <c r="A22" s="537"/>
      <c r="B22" s="549"/>
      <c r="C22" s="175">
        <v>4</v>
      </c>
      <c r="D22" s="532"/>
      <c r="E22" s="533"/>
      <c r="F22" s="533"/>
      <c r="G22" s="176"/>
      <c r="H22" s="176"/>
      <c r="I22" s="176"/>
      <c r="J22" s="176"/>
      <c r="K22" s="532"/>
      <c r="L22" s="533"/>
      <c r="M22" s="150"/>
    </row>
    <row r="23" spans="1:13" ht="15.75" customHeight="1" x14ac:dyDescent="0.25">
      <c r="A23" s="537"/>
      <c r="B23" s="549"/>
      <c r="C23" s="175">
        <v>5</v>
      </c>
      <c r="D23" s="532"/>
      <c r="E23" s="533"/>
      <c r="F23" s="533"/>
      <c r="G23" s="176"/>
      <c r="H23" s="176"/>
      <c r="I23" s="176"/>
      <c r="J23" s="176"/>
      <c r="K23" s="532"/>
      <c r="L23" s="533"/>
      <c r="M23" s="150"/>
    </row>
    <row r="24" spans="1:13" ht="15.75" customHeight="1" x14ac:dyDescent="0.25">
      <c r="A24" s="537"/>
      <c r="B24" s="549"/>
      <c r="C24" s="177" t="s">
        <v>118</v>
      </c>
      <c r="D24" s="534"/>
      <c r="E24" s="533"/>
      <c r="F24" s="533"/>
      <c r="G24" s="176"/>
      <c r="H24" s="176"/>
      <c r="I24" s="176"/>
      <c r="J24" s="176"/>
      <c r="K24" s="534"/>
      <c r="L24" s="533"/>
      <c r="M24" s="150"/>
    </row>
    <row r="25" spans="1:13" ht="15.75" customHeight="1" x14ac:dyDescent="0.25">
      <c r="A25" s="537"/>
      <c r="B25" s="549"/>
      <c r="C25" s="177" t="s">
        <v>120</v>
      </c>
      <c r="D25" s="532"/>
      <c r="E25" s="533"/>
      <c r="F25" s="533"/>
      <c r="G25" s="176"/>
      <c r="H25" s="176"/>
      <c r="I25" s="176"/>
      <c r="J25" s="176"/>
      <c r="K25" s="532"/>
      <c r="L25" s="533"/>
      <c r="M25" s="150"/>
    </row>
    <row r="26" spans="1:13" ht="15.75" customHeight="1" x14ac:dyDescent="0.25">
      <c r="A26" s="537"/>
      <c r="B26" s="549"/>
      <c r="C26" s="177" t="s">
        <v>122</v>
      </c>
      <c r="D26" s="532"/>
      <c r="E26" s="533"/>
      <c r="F26" s="533"/>
      <c r="G26" s="176"/>
      <c r="H26" s="176"/>
      <c r="I26" s="176"/>
      <c r="J26" s="176"/>
      <c r="K26" s="532"/>
      <c r="L26" s="533"/>
      <c r="M26" s="150"/>
    </row>
    <row r="27" spans="1:13" ht="15.75" customHeight="1" x14ac:dyDescent="0.25">
      <c r="A27" s="537"/>
      <c r="B27" s="549"/>
      <c r="C27" s="177" t="s">
        <v>124</v>
      </c>
      <c r="D27" s="532"/>
      <c r="E27" s="533"/>
      <c r="F27" s="533"/>
      <c r="G27" s="176"/>
      <c r="H27" s="176"/>
      <c r="I27" s="176"/>
      <c r="J27" s="176"/>
      <c r="K27" s="532"/>
      <c r="L27" s="533"/>
      <c r="M27" s="150"/>
    </row>
    <row r="28" spans="1:13" ht="15.75" customHeight="1" x14ac:dyDescent="0.25">
      <c r="A28" s="537"/>
      <c r="B28" s="549"/>
      <c r="C28" s="177" t="s">
        <v>126</v>
      </c>
      <c r="D28" s="532"/>
      <c r="E28" s="533"/>
      <c r="F28" s="533"/>
      <c r="G28" s="176"/>
      <c r="H28" s="176"/>
      <c r="I28" s="176"/>
      <c r="J28" s="176"/>
      <c r="K28" s="532"/>
      <c r="L28" s="533"/>
      <c r="M28" s="150"/>
    </row>
    <row r="29" spans="1:13" ht="15.75" customHeight="1" x14ac:dyDescent="0.25">
      <c r="A29" s="535" t="s">
        <v>41</v>
      </c>
      <c r="B29" s="535"/>
      <c r="C29" s="178" t="s">
        <v>91</v>
      </c>
      <c r="D29" s="535" t="s">
        <v>107</v>
      </c>
      <c r="E29" s="536"/>
      <c r="F29" s="536"/>
      <c r="G29" s="178" t="s">
        <v>96</v>
      </c>
      <c r="H29" s="178" t="s">
        <v>108</v>
      </c>
      <c r="I29" s="178" t="s">
        <v>109</v>
      </c>
      <c r="J29" s="179" t="s">
        <v>110</v>
      </c>
      <c r="K29" s="535" t="s">
        <v>111</v>
      </c>
      <c r="L29" s="536"/>
    </row>
    <row r="30" spans="1:13" ht="15.75" customHeight="1" x14ac:dyDescent="0.25">
      <c r="A30" s="537">
        <v>3</v>
      </c>
      <c r="B30" s="538" t="s">
        <v>76</v>
      </c>
      <c r="C30" s="175">
        <v>1</v>
      </c>
      <c r="D30" s="539" t="s">
        <v>100</v>
      </c>
      <c r="E30" s="540"/>
      <c r="F30" s="541"/>
      <c r="G30" s="181">
        <v>11.142857142857142</v>
      </c>
      <c r="H30" s="181">
        <v>1570.1428571428571</v>
      </c>
      <c r="I30" s="182">
        <v>140.9069264069264</v>
      </c>
      <c r="J30" s="213">
        <v>1.129</v>
      </c>
      <c r="K30" s="542" t="s">
        <v>129</v>
      </c>
      <c r="L30" s="533"/>
    </row>
    <row r="31" spans="1:13" x14ac:dyDescent="0.25">
      <c r="A31" s="537"/>
      <c r="B31" s="538"/>
      <c r="C31" s="175">
        <v>2</v>
      </c>
      <c r="D31" s="543" t="s">
        <v>101</v>
      </c>
      <c r="E31" s="544"/>
      <c r="F31" s="545"/>
      <c r="G31" s="181">
        <v>11.142857142857142</v>
      </c>
      <c r="H31" s="181">
        <v>1549.5714285714287</v>
      </c>
      <c r="I31" s="182">
        <v>139.05194805194805</v>
      </c>
      <c r="J31" s="213">
        <v>1.095</v>
      </c>
      <c r="K31" s="542" t="s">
        <v>130</v>
      </c>
      <c r="L31" s="533"/>
    </row>
    <row r="32" spans="1:13" x14ac:dyDescent="0.25">
      <c r="A32" s="537"/>
      <c r="B32" s="538"/>
      <c r="C32" s="175">
        <v>3</v>
      </c>
      <c r="D32" s="539" t="s">
        <v>102</v>
      </c>
      <c r="E32" s="540"/>
      <c r="F32" s="541"/>
      <c r="G32" s="181">
        <v>10.428571428571429</v>
      </c>
      <c r="H32" s="181">
        <v>1363.1428571428571</v>
      </c>
      <c r="I32" s="182">
        <v>130.94848484848484</v>
      </c>
      <c r="J32" s="213">
        <v>0.97799999999999998</v>
      </c>
      <c r="K32" s="542" t="s">
        <v>131</v>
      </c>
      <c r="L32" s="533"/>
    </row>
    <row r="33" spans="1:12" x14ac:dyDescent="0.25">
      <c r="A33" s="537"/>
      <c r="B33" s="538"/>
      <c r="C33" s="175">
        <v>4</v>
      </c>
      <c r="D33" s="543" t="s">
        <v>99</v>
      </c>
      <c r="E33" s="544"/>
      <c r="F33" s="545"/>
      <c r="G33" s="181">
        <v>14.857142857142858</v>
      </c>
      <c r="H33" s="181">
        <v>1539.5714285714287</v>
      </c>
      <c r="I33" s="182">
        <v>103.64421768707484</v>
      </c>
      <c r="J33" s="213">
        <v>1.014</v>
      </c>
      <c r="K33" s="542"/>
      <c r="L33" s="533"/>
    </row>
    <row r="34" spans="1:12" x14ac:dyDescent="0.25">
      <c r="A34" s="537"/>
      <c r="B34" s="538"/>
      <c r="C34" s="175">
        <v>5</v>
      </c>
      <c r="D34" s="546"/>
      <c r="E34" s="547"/>
      <c r="F34" s="548"/>
      <c r="G34" s="176"/>
      <c r="H34" s="176"/>
      <c r="I34" s="176"/>
      <c r="J34" s="176"/>
      <c r="K34" s="532"/>
      <c r="L34" s="533"/>
    </row>
    <row r="35" spans="1:12" ht="15.75" customHeight="1" x14ac:dyDescent="0.25">
      <c r="A35" s="537"/>
      <c r="B35" s="538"/>
      <c r="C35" s="177" t="s">
        <v>118</v>
      </c>
      <c r="D35" s="534"/>
      <c r="E35" s="533"/>
      <c r="F35" s="533"/>
      <c r="G35" s="176"/>
      <c r="H35" s="176"/>
      <c r="I35" s="176"/>
      <c r="J35" s="176"/>
      <c r="K35" s="534"/>
      <c r="L35" s="533"/>
    </row>
    <row r="36" spans="1:12" ht="15.75" customHeight="1" x14ac:dyDescent="0.25">
      <c r="A36" s="537"/>
      <c r="B36" s="538"/>
      <c r="C36" s="177" t="s">
        <v>120</v>
      </c>
      <c r="D36" s="532"/>
      <c r="E36" s="533"/>
      <c r="F36" s="533"/>
      <c r="G36" s="176"/>
      <c r="H36" s="176"/>
      <c r="I36" s="176"/>
      <c r="J36" s="176"/>
      <c r="K36" s="532"/>
      <c r="L36" s="533"/>
    </row>
    <row r="37" spans="1:12" ht="15.75" customHeight="1" x14ac:dyDescent="0.25">
      <c r="A37" s="537"/>
      <c r="B37" s="538"/>
      <c r="C37" s="177" t="s">
        <v>122</v>
      </c>
      <c r="D37" s="532"/>
      <c r="E37" s="533"/>
      <c r="F37" s="533"/>
      <c r="G37" s="176"/>
      <c r="H37" s="176"/>
      <c r="I37" s="176"/>
      <c r="J37" s="176"/>
      <c r="K37" s="532"/>
      <c r="L37" s="533"/>
    </row>
    <row r="38" spans="1:12" ht="15.75" customHeight="1" x14ac:dyDescent="0.25">
      <c r="A38" s="537"/>
      <c r="B38" s="538"/>
      <c r="C38" s="177" t="s">
        <v>124</v>
      </c>
      <c r="D38" s="532"/>
      <c r="E38" s="533"/>
      <c r="F38" s="533"/>
      <c r="G38" s="176"/>
      <c r="H38" s="176"/>
      <c r="I38" s="176"/>
      <c r="J38" s="176"/>
      <c r="K38" s="532"/>
      <c r="L38" s="533"/>
    </row>
    <row r="39" spans="1:12" ht="15.75" customHeight="1" x14ac:dyDescent="0.25">
      <c r="A39" s="537"/>
      <c r="B39" s="538"/>
      <c r="C39" s="177" t="s">
        <v>126</v>
      </c>
      <c r="D39" s="532"/>
      <c r="E39" s="533"/>
      <c r="F39" s="533"/>
      <c r="G39" s="176"/>
      <c r="H39" s="176"/>
      <c r="I39" s="176"/>
      <c r="J39" s="176"/>
      <c r="K39" s="532"/>
      <c r="L39" s="533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B12" sqref="B12"/>
    </sheetView>
  </sheetViews>
  <sheetFormatPr defaultColWidth="12.5703125" defaultRowHeight="15.75" customHeight="1" x14ac:dyDescent="0.25"/>
  <cols>
    <col min="1" max="1" width="7.5703125" style="150" customWidth="1"/>
    <col min="2" max="2" width="14.85546875" style="150" customWidth="1"/>
    <col min="3" max="3" width="12.85546875" style="150" customWidth="1"/>
    <col min="4" max="4" width="2.5703125" style="150" customWidth="1"/>
    <col min="5" max="5" width="7.5703125" style="150" customWidth="1"/>
    <col min="6" max="6" width="12.85546875" style="150" customWidth="1"/>
    <col min="7" max="7" width="9.42578125" style="150" customWidth="1"/>
    <col min="8" max="8" width="12.85546875" style="150" customWidth="1"/>
    <col min="9" max="9" width="9.42578125" style="150" customWidth="1"/>
    <col min="10" max="10" width="12.85546875" style="150" customWidth="1"/>
    <col min="11" max="11" width="9.42578125" style="150" customWidth="1"/>
    <col min="12" max="12" width="12.85546875" style="150" customWidth="1"/>
    <col min="13" max="13" width="9.42578125" style="150" customWidth="1"/>
    <col min="14" max="52" width="12.5703125" style="150" customWidth="1"/>
    <col min="53" max="16384" width="12.5703125" style="150"/>
  </cols>
  <sheetData>
    <row r="1" spans="1:13" ht="15.75" customHeight="1" x14ac:dyDescent="0.25">
      <c r="A1" s="434" t="s">
        <v>103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</row>
    <row r="2" spans="1:13" s="151" customFormat="1" ht="15.75" customHeight="1" x14ac:dyDescent="0.25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</row>
    <row r="3" spans="1:13" ht="15.75" customHeight="1" x14ac:dyDescent="0.25">
      <c r="A3" s="553" t="s">
        <v>132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</row>
    <row r="4" spans="1:13" s="151" customFormat="1" ht="15.75" customHeight="1" x14ac:dyDescent="0.25">
      <c r="A4" s="553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</row>
    <row r="5" spans="1:13" ht="15.75" customHeight="1" x14ac:dyDescent="0.25">
      <c r="A5" s="315" t="s">
        <v>16</v>
      </c>
      <c r="B5" s="316">
        <f>'日別報廢率總表 '!M17</f>
        <v>20961817.93</v>
      </c>
      <c r="C5" s="317"/>
      <c r="D5" s="317"/>
      <c r="E5" s="561" t="s">
        <v>133</v>
      </c>
      <c r="F5" s="561"/>
      <c r="G5" s="561"/>
      <c r="H5" s="561"/>
      <c r="I5" s="561"/>
      <c r="J5" s="561"/>
      <c r="K5" s="561"/>
      <c r="L5" s="561"/>
      <c r="M5" s="562"/>
    </row>
    <row r="6" spans="1:13" ht="15.75" customHeight="1" x14ac:dyDescent="0.25">
      <c r="A6" s="563" t="s">
        <v>9</v>
      </c>
      <c r="B6" s="564" t="s">
        <v>134</v>
      </c>
      <c r="C6" s="564"/>
      <c r="D6" s="565"/>
      <c r="E6" s="568" t="s">
        <v>9</v>
      </c>
      <c r="F6" s="537">
        <v>1</v>
      </c>
      <c r="G6" s="537"/>
      <c r="H6" s="537">
        <v>2</v>
      </c>
      <c r="I6" s="537"/>
      <c r="J6" s="537">
        <v>3</v>
      </c>
      <c r="K6" s="537"/>
      <c r="L6" s="537">
        <v>4</v>
      </c>
      <c r="M6" s="569"/>
    </row>
    <row r="7" spans="1:13" ht="31.35" customHeight="1" x14ac:dyDescent="0.25">
      <c r="A7" s="563"/>
      <c r="B7" s="564"/>
      <c r="C7" s="564"/>
      <c r="D7" s="566"/>
      <c r="E7" s="568"/>
      <c r="F7" s="556" t="s">
        <v>135</v>
      </c>
      <c r="G7" s="556"/>
      <c r="H7" s="556" t="s">
        <v>136</v>
      </c>
      <c r="I7" s="556"/>
      <c r="J7" s="556" t="s">
        <v>137</v>
      </c>
      <c r="K7" s="556"/>
      <c r="L7" s="559" t="s">
        <v>138</v>
      </c>
      <c r="M7" s="560"/>
    </row>
    <row r="8" spans="1:13" ht="15.75" customHeight="1" x14ac:dyDescent="0.25">
      <c r="A8" s="563"/>
      <c r="B8" s="314" t="s">
        <v>139</v>
      </c>
      <c r="C8" s="314" t="s">
        <v>36</v>
      </c>
      <c r="D8" s="566"/>
      <c r="E8" s="568"/>
      <c r="F8" s="314" t="s">
        <v>139</v>
      </c>
      <c r="G8" s="314" t="s">
        <v>36</v>
      </c>
      <c r="H8" s="314" t="s">
        <v>139</v>
      </c>
      <c r="I8" s="314" t="s">
        <v>36</v>
      </c>
      <c r="J8" s="314" t="s">
        <v>139</v>
      </c>
      <c r="K8" s="314" t="s">
        <v>36</v>
      </c>
      <c r="L8" s="314" t="s">
        <v>139</v>
      </c>
      <c r="M8" s="318" t="s">
        <v>36</v>
      </c>
    </row>
    <row r="9" spans="1:13" ht="19.350000000000001" customHeight="1" x14ac:dyDescent="0.25">
      <c r="A9" s="319" t="s">
        <v>140</v>
      </c>
      <c r="B9" s="153">
        <f>'日別報廢率總表 '!N17</f>
        <v>59271.242500000008</v>
      </c>
      <c r="C9" s="154">
        <f>B9/$B$5</f>
        <v>2.8275812096990199E-3</v>
      </c>
      <c r="D9" s="566"/>
      <c r="E9" s="152" t="s">
        <v>140</v>
      </c>
      <c r="F9" s="155">
        <f>'報廢－原因別分析 (週)'!AD8</f>
        <v>24405.570000000003</v>
      </c>
      <c r="G9" s="156">
        <f>'報廢－原因別分析 (週)'!AD9</f>
        <v>0.65</v>
      </c>
      <c r="H9" s="155">
        <f>'報廢－原因別分析 (週)'!AE8</f>
        <v>0</v>
      </c>
      <c r="I9" s="156">
        <f>'報廢－原因別分析 (週)'!AE9</f>
        <v>0</v>
      </c>
      <c r="J9" s="155">
        <f>'報廢－原因別分析 (週)'!AF8</f>
        <v>0</v>
      </c>
      <c r="K9" s="156">
        <f>'報廢－原因別分析 (週)'!AF9</f>
        <v>0</v>
      </c>
      <c r="L9" s="155">
        <f>'報廢－原因別分析 (週)'!AG8</f>
        <v>8824.369999999999</v>
      </c>
      <c r="M9" s="320">
        <f>'報廢－原因別分析 (週)'!AG9</f>
        <v>0.2</v>
      </c>
    </row>
    <row r="10" spans="1:13" ht="19.350000000000001" customHeight="1" x14ac:dyDescent="0.25">
      <c r="A10" s="321" t="s">
        <v>141</v>
      </c>
      <c r="B10" s="158">
        <f>'日別報廢率總表 '!O17</f>
        <v>56734.603880000002</v>
      </c>
      <c r="C10" s="154">
        <f>B10/$B$5</f>
        <v>2.7065688705750534E-3</v>
      </c>
      <c r="D10" s="566"/>
      <c r="E10" s="157" t="s">
        <v>141</v>
      </c>
      <c r="F10" s="155">
        <f>'超用－原因別分析 (週) '!AD8</f>
        <v>34854.049999999967</v>
      </c>
      <c r="G10" s="156">
        <f>'超用－原因別分析 (週) '!AD9</f>
        <v>0.6</v>
      </c>
      <c r="H10" s="155">
        <f>'超用－原因別分析 (週) '!AE8</f>
        <v>0</v>
      </c>
      <c r="I10" s="156">
        <f>'超用－原因別分析 (週) '!AE9</f>
        <v>0</v>
      </c>
      <c r="J10" s="155">
        <f>'超用－原因別分析 (週) '!AF8</f>
        <v>0</v>
      </c>
      <c r="K10" s="156">
        <f>'超用－原因別分析 (週) '!AF9</f>
        <v>0</v>
      </c>
      <c r="L10" s="155">
        <f>'超用－原因別分析 (週) '!AG8</f>
        <v>5109.6600000000153</v>
      </c>
      <c r="M10" s="320">
        <f>'超用－原因別分析 (週) '!AG9</f>
        <v>0.25</v>
      </c>
    </row>
    <row r="11" spans="1:13" ht="15.75" customHeight="1" x14ac:dyDescent="0.25">
      <c r="A11" s="322"/>
      <c r="D11" s="566"/>
      <c r="E11" s="568" t="s">
        <v>9</v>
      </c>
      <c r="F11" s="537">
        <v>5</v>
      </c>
      <c r="G11" s="537"/>
      <c r="H11" s="537">
        <v>6</v>
      </c>
      <c r="I11" s="537"/>
      <c r="J11" s="537">
        <v>7</v>
      </c>
      <c r="K11" s="537"/>
      <c r="L11" s="570">
        <v>8</v>
      </c>
      <c r="M11" s="571"/>
    </row>
    <row r="12" spans="1:13" ht="31.35" customHeight="1" x14ac:dyDescent="0.25">
      <c r="A12" s="322"/>
      <c r="D12" s="566"/>
      <c r="E12" s="568"/>
      <c r="F12" s="556" t="s">
        <v>142</v>
      </c>
      <c r="G12" s="556"/>
      <c r="H12" s="556" t="s">
        <v>143</v>
      </c>
      <c r="I12" s="556"/>
      <c r="J12" s="556" t="s">
        <v>144</v>
      </c>
      <c r="K12" s="556"/>
      <c r="L12" s="557" t="s">
        <v>145</v>
      </c>
      <c r="M12" s="558"/>
    </row>
    <row r="13" spans="1:13" ht="15.75" customHeight="1" x14ac:dyDescent="0.25">
      <c r="A13" s="322"/>
      <c r="D13" s="566"/>
      <c r="E13" s="568"/>
      <c r="F13" s="314" t="s">
        <v>139</v>
      </c>
      <c r="G13" s="314" t="s">
        <v>36</v>
      </c>
      <c r="H13" s="314" t="s">
        <v>139</v>
      </c>
      <c r="I13" s="314" t="s">
        <v>36</v>
      </c>
      <c r="J13" s="314" t="s">
        <v>139</v>
      </c>
      <c r="K13" s="314" t="s">
        <v>36</v>
      </c>
      <c r="L13" s="314" t="s">
        <v>139</v>
      </c>
      <c r="M13" s="318" t="s">
        <v>36</v>
      </c>
    </row>
    <row r="14" spans="1:13" ht="19.350000000000001" customHeight="1" x14ac:dyDescent="0.25">
      <c r="A14" s="322"/>
      <c r="D14" s="566"/>
      <c r="E14" s="152" t="s">
        <v>140</v>
      </c>
      <c r="F14" s="155">
        <f>'報廢－原因別分析 (週)'!AH8</f>
        <v>2373</v>
      </c>
      <c r="G14" s="156">
        <f>'報廢－原因別分析 (週)'!AH9</f>
        <v>0.1</v>
      </c>
      <c r="H14" s="155">
        <f>'報廢－原因別分析 (週)'!AI8</f>
        <v>0</v>
      </c>
      <c r="I14" s="156">
        <f>'報廢－原因別分析 (週)'!AI9</f>
        <v>0</v>
      </c>
      <c r="J14" s="155">
        <f>'報廢－原因別分析 (週)'!AJ8</f>
        <v>6474</v>
      </c>
      <c r="K14" s="156">
        <f>'報廢－原因別分析 (週)'!AJ9</f>
        <v>0.05</v>
      </c>
      <c r="L14" s="155"/>
      <c r="M14" s="320"/>
    </row>
    <row r="15" spans="1:13" ht="19.350000000000001" customHeight="1" x14ac:dyDescent="0.25">
      <c r="A15" s="323"/>
      <c r="B15" s="324"/>
      <c r="C15" s="324"/>
      <c r="D15" s="567"/>
      <c r="E15" s="325" t="s">
        <v>141</v>
      </c>
      <c r="F15" s="326">
        <f>'超用－原因別分析 (週) '!AH8</f>
        <v>10804.25</v>
      </c>
      <c r="G15" s="327">
        <f>'超用－原因別分析 (週) '!AH9</f>
        <v>0.15</v>
      </c>
      <c r="H15" s="326">
        <f>'超用－原因別分析 (週) '!AI8</f>
        <v>0</v>
      </c>
      <c r="I15" s="327">
        <f>'超用－原因別分析 (週) '!AI9</f>
        <v>0</v>
      </c>
      <c r="J15" s="326">
        <f>'超用－原因別分析 (週) '!AJ8</f>
        <v>0</v>
      </c>
      <c r="K15" s="327">
        <f>'超用－原因別分析 (週) '!AJ9</f>
        <v>0</v>
      </c>
      <c r="L15" s="326"/>
      <c r="M15" s="328"/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topLeftCell="A2" zoomScale="70" zoomScaleNormal="70" workbookViewId="0">
      <selection activeCell="I17" sqref="I17:I23"/>
    </sheetView>
  </sheetViews>
  <sheetFormatPr defaultColWidth="8.28515625" defaultRowHeight="15" x14ac:dyDescent="0.2"/>
  <cols>
    <col min="1" max="1" width="18.42578125" style="227" customWidth="1"/>
    <col min="2" max="2" width="18.85546875" style="227" bestFit="1" customWidth="1"/>
    <col min="3" max="4" width="14.28515625" style="227" customWidth="1"/>
    <col min="5" max="5" width="17.140625" style="227" bestFit="1" customWidth="1"/>
    <col min="6" max="6" width="14.28515625" style="227" customWidth="1"/>
    <col min="7" max="10" width="18.42578125" style="227" customWidth="1"/>
    <col min="11" max="11" width="17.140625" style="227" bestFit="1" customWidth="1"/>
    <col min="12" max="12" width="16" style="227" customWidth="1"/>
    <col min="13" max="13" width="18.28515625" style="227" bestFit="1" customWidth="1"/>
    <col min="14" max="15" width="12.7109375" style="227" bestFit="1" customWidth="1"/>
    <col min="16" max="54" width="8.28515625" style="227" customWidth="1"/>
    <col min="55" max="16384" width="8.28515625" style="227"/>
  </cols>
  <sheetData>
    <row r="1" spans="1:18" ht="25.5" customHeight="1" x14ac:dyDescent="0.2">
      <c r="A1" s="578" t="s">
        <v>234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80"/>
    </row>
    <row r="2" spans="1:18" ht="16.5" customHeight="1" x14ac:dyDescent="0.2">
      <c r="A2" s="581" t="s">
        <v>45</v>
      </c>
      <c r="B2" s="583" t="s">
        <v>72</v>
      </c>
      <c r="C2" s="583" t="s">
        <v>235</v>
      </c>
      <c r="D2" s="583" t="s">
        <v>236</v>
      </c>
      <c r="E2" s="583" t="s">
        <v>237</v>
      </c>
      <c r="F2" s="583" t="s">
        <v>27</v>
      </c>
      <c r="G2" s="583" t="s">
        <v>238</v>
      </c>
      <c r="H2" s="583"/>
      <c r="I2" s="583" t="s">
        <v>239</v>
      </c>
      <c r="J2" s="583"/>
      <c r="K2" s="583" t="s">
        <v>240</v>
      </c>
      <c r="L2" s="583"/>
      <c r="M2" s="585" t="s">
        <v>53</v>
      </c>
      <c r="N2" s="586"/>
      <c r="O2" s="587"/>
    </row>
    <row r="3" spans="1:18" ht="37.5" customHeight="1" x14ac:dyDescent="0.2">
      <c r="A3" s="582"/>
      <c r="B3" s="584"/>
      <c r="C3" s="584"/>
      <c r="D3" s="584"/>
      <c r="E3" s="584"/>
      <c r="F3" s="584"/>
      <c r="G3" s="295" t="s">
        <v>241</v>
      </c>
      <c r="H3" s="295" t="s">
        <v>242</v>
      </c>
      <c r="I3" s="295" t="s">
        <v>241</v>
      </c>
      <c r="J3" s="295" t="s">
        <v>242</v>
      </c>
      <c r="K3" s="295" t="s">
        <v>241</v>
      </c>
      <c r="L3" s="295" t="s">
        <v>243</v>
      </c>
      <c r="M3" s="295" t="s">
        <v>72</v>
      </c>
      <c r="N3" s="296" t="s">
        <v>244</v>
      </c>
      <c r="O3" s="336" t="s">
        <v>245</v>
      </c>
    </row>
    <row r="4" spans="1:18" ht="18.75" x14ac:dyDescent="0.2">
      <c r="A4" s="253">
        <v>46204</v>
      </c>
      <c r="B4" s="228">
        <v>3008575.97</v>
      </c>
      <c r="C4" s="228">
        <v>6998.0619999999999</v>
      </c>
      <c r="D4" s="229">
        <f>C4/B4</f>
        <v>2.32603798932822E-3</v>
      </c>
      <c r="E4" s="230">
        <v>13457.258680000003</v>
      </c>
      <c r="F4" s="231">
        <f t="shared" ref="F4:F34" si="0">E4/B4</f>
        <v>4.472966218632665E-3</v>
      </c>
      <c r="G4" s="228">
        <v>6998.0619999999999</v>
      </c>
      <c r="H4" s="231">
        <f t="shared" ref="H4:H34" si="1">G4/C4</f>
        <v>1</v>
      </c>
      <c r="I4" s="232">
        <v>13457.258680000003</v>
      </c>
      <c r="J4" s="231">
        <f>I4/E4</f>
        <v>1</v>
      </c>
      <c r="K4" s="233">
        <v>0</v>
      </c>
      <c r="L4" s="234">
        <f>K4/C4</f>
        <v>0</v>
      </c>
      <c r="M4" s="572">
        <f>SUM(B4:B9)</f>
        <v>17922314.969999999</v>
      </c>
      <c r="N4" s="572">
        <f>SUM(C4:C9)</f>
        <v>40290.111199999999</v>
      </c>
      <c r="O4" s="575">
        <f>SUM(E4:E9)</f>
        <v>69771.460019999999</v>
      </c>
      <c r="Q4" s="432">
        <f>N4/M4</f>
        <v>2.2480416881101159E-3</v>
      </c>
    </row>
    <row r="5" spans="1:18" ht="18.75" x14ac:dyDescent="0.2">
      <c r="A5" s="243">
        <f>A4+1</f>
        <v>46205</v>
      </c>
      <c r="B5" s="235">
        <v>2877019.59</v>
      </c>
      <c r="C5" s="235">
        <v>6053.6334999999999</v>
      </c>
      <c r="D5" s="236">
        <f t="shared" ref="D5:D34" si="2">C5/B5</f>
        <v>2.1041335696987732E-3</v>
      </c>
      <c r="E5" s="237">
        <v>11056.424579999995</v>
      </c>
      <c r="F5" s="238">
        <f t="shared" si="0"/>
        <v>3.8430133108686951E-3</v>
      </c>
      <c r="G5" s="235">
        <v>6053.6334999999999</v>
      </c>
      <c r="H5" s="238">
        <f t="shared" si="1"/>
        <v>1</v>
      </c>
      <c r="I5" s="239">
        <v>11056.424579999995</v>
      </c>
      <c r="J5" s="238">
        <f t="shared" ref="J5:J34" si="3">I5/E5</f>
        <v>1</v>
      </c>
      <c r="K5" s="240">
        <v>0</v>
      </c>
      <c r="L5" s="241">
        <f t="shared" ref="L5:L34" si="4">K5/C5</f>
        <v>0</v>
      </c>
      <c r="M5" s="573"/>
      <c r="N5" s="573"/>
      <c r="O5" s="576"/>
    </row>
    <row r="6" spans="1:18" ht="18.75" x14ac:dyDescent="0.2">
      <c r="A6" s="331">
        <f t="shared" ref="A6:A33" si="5">A5+1</f>
        <v>46206</v>
      </c>
      <c r="B6" s="235">
        <v>2420688.25</v>
      </c>
      <c r="C6" s="235">
        <v>2900.2462</v>
      </c>
      <c r="D6" s="236">
        <f t="shared" si="2"/>
        <v>1.198108100041383E-3</v>
      </c>
      <c r="E6" s="237">
        <v>5390.1293199999982</v>
      </c>
      <c r="F6" s="238">
        <f t="shared" si="0"/>
        <v>2.2266928919905311E-3</v>
      </c>
      <c r="G6" s="235">
        <v>2900.2462</v>
      </c>
      <c r="H6" s="238">
        <f t="shared" si="1"/>
        <v>1</v>
      </c>
      <c r="I6" s="239">
        <v>5390.1293199999982</v>
      </c>
      <c r="J6" s="238">
        <f t="shared" si="3"/>
        <v>1</v>
      </c>
      <c r="K6" s="240">
        <v>0</v>
      </c>
      <c r="L6" s="241">
        <f t="shared" si="4"/>
        <v>0</v>
      </c>
      <c r="M6" s="573"/>
      <c r="N6" s="573"/>
      <c r="O6" s="576"/>
    </row>
    <row r="7" spans="1:18" ht="18.75" x14ac:dyDescent="0.2">
      <c r="A7" s="243">
        <f t="shared" si="5"/>
        <v>46207</v>
      </c>
      <c r="B7" s="235">
        <v>2867965.9000000004</v>
      </c>
      <c r="C7" s="235">
        <v>10536.266</v>
      </c>
      <c r="D7" s="236">
        <f t="shared" si="2"/>
        <v>3.6737765954609146E-3</v>
      </c>
      <c r="E7" s="237">
        <v>17069.630479999996</v>
      </c>
      <c r="F7" s="238">
        <f t="shared" si="0"/>
        <v>5.9518247689067686E-3</v>
      </c>
      <c r="G7" s="235">
        <v>10536.266</v>
      </c>
      <c r="H7" s="238">
        <f t="shared" si="1"/>
        <v>1</v>
      </c>
      <c r="I7" s="239">
        <v>17069.630479999996</v>
      </c>
      <c r="J7" s="238">
        <f t="shared" si="3"/>
        <v>1</v>
      </c>
      <c r="K7" s="240">
        <v>0</v>
      </c>
      <c r="L7" s="241">
        <f t="shared" si="4"/>
        <v>0</v>
      </c>
      <c r="M7" s="573"/>
      <c r="N7" s="573"/>
      <c r="O7" s="576"/>
    </row>
    <row r="8" spans="1:18" ht="18.75" x14ac:dyDescent="0.2">
      <c r="A8" s="243">
        <f t="shared" si="5"/>
        <v>46208</v>
      </c>
      <c r="B8" s="235">
        <v>3409988.45</v>
      </c>
      <c r="C8" s="235">
        <v>11740.367</v>
      </c>
      <c r="D8" s="236">
        <f t="shared" si="2"/>
        <v>3.4429345354527519E-3</v>
      </c>
      <c r="E8" s="237">
        <v>18108.564440000009</v>
      </c>
      <c r="F8" s="238">
        <f t="shared" si="0"/>
        <v>5.3104474415448556E-3</v>
      </c>
      <c r="G8" s="235">
        <v>11740.367</v>
      </c>
      <c r="H8" s="238">
        <f t="shared" si="1"/>
        <v>1</v>
      </c>
      <c r="I8" s="239">
        <v>18108.564440000009</v>
      </c>
      <c r="J8" s="238">
        <f t="shared" si="3"/>
        <v>1</v>
      </c>
      <c r="K8" s="240">
        <v>0</v>
      </c>
      <c r="L8" s="241">
        <f t="shared" si="4"/>
        <v>0</v>
      </c>
      <c r="M8" s="573"/>
      <c r="N8" s="573"/>
      <c r="O8" s="576"/>
      <c r="P8" s="242"/>
      <c r="Q8" s="242"/>
    </row>
    <row r="9" spans="1:18" ht="18.75" x14ac:dyDescent="0.2">
      <c r="A9" s="333">
        <f t="shared" si="5"/>
        <v>46209</v>
      </c>
      <c r="B9" s="244">
        <v>3338076.81</v>
      </c>
      <c r="C9" s="244">
        <v>2061.5365000000002</v>
      </c>
      <c r="D9" s="245">
        <f t="shared" si="2"/>
        <v>6.1758210410982133E-4</v>
      </c>
      <c r="E9" s="250">
        <v>4689.4525200000026</v>
      </c>
      <c r="F9" s="246">
        <f t="shared" si="0"/>
        <v>1.404836613091597E-3</v>
      </c>
      <c r="G9" s="244">
        <v>2061.5365000000002</v>
      </c>
      <c r="H9" s="246">
        <f t="shared" si="1"/>
        <v>1</v>
      </c>
      <c r="I9" s="251">
        <v>4689.4525200000026</v>
      </c>
      <c r="J9" s="246">
        <f t="shared" si="3"/>
        <v>1</v>
      </c>
      <c r="K9" s="252">
        <v>0</v>
      </c>
      <c r="L9" s="247">
        <f t="shared" si="4"/>
        <v>0</v>
      </c>
      <c r="M9" s="574"/>
      <c r="N9" s="574"/>
      <c r="O9" s="577"/>
    </row>
    <row r="10" spans="1:18" ht="18.75" x14ac:dyDescent="0.2">
      <c r="A10" s="253">
        <f t="shared" si="5"/>
        <v>46210</v>
      </c>
      <c r="B10" s="335">
        <v>2944276.67</v>
      </c>
      <c r="C10" s="228">
        <v>10267.742</v>
      </c>
      <c r="D10" s="229">
        <f t="shared" si="2"/>
        <v>3.4873563699433182E-3</v>
      </c>
      <c r="E10" s="230">
        <v>12712.678940000007</v>
      </c>
      <c r="F10" s="231">
        <f t="shared" si="0"/>
        <v>4.3177596282077688E-3</v>
      </c>
      <c r="G10" s="228">
        <v>10267.742</v>
      </c>
      <c r="H10" s="231">
        <f t="shared" si="1"/>
        <v>1</v>
      </c>
      <c r="I10" s="232">
        <v>12712.678940000007</v>
      </c>
      <c r="J10" s="231">
        <f t="shared" si="3"/>
        <v>1</v>
      </c>
      <c r="K10" s="233">
        <v>0</v>
      </c>
      <c r="L10" s="234">
        <f t="shared" si="4"/>
        <v>0</v>
      </c>
      <c r="M10" s="572">
        <f>SUM(B10:B16)</f>
        <v>21123700.18</v>
      </c>
      <c r="N10" s="572">
        <f>SUM(C10:C16)</f>
        <v>49009.582499999997</v>
      </c>
      <c r="O10" s="575">
        <f>SUM(E10:E16)</f>
        <v>68144.026400000002</v>
      </c>
    </row>
    <row r="11" spans="1:18" ht="18.75" x14ac:dyDescent="0.2">
      <c r="A11" s="243">
        <f t="shared" si="5"/>
        <v>46211</v>
      </c>
      <c r="B11" s="235">
        <v>3038869.3</v>
      </c>
      <c r="C11" s="235">
        <v>1336.15</v>
      </c>
      <c r="D11" s="236">
        <f t="shared" si="2"/>
        <v>4.3968656368340692E-4</v>
      </c>
      <c r="E11" s="235">
        <v>438.10699999999991</v>
      </c>
      <c r="F11" s="238">
        <f t="shared" si="0"/>
        <v>1.4416776660977157E-4</v>
      </c>
      <c r="G11" s="235">
        <v>1336.15</v>
      </c>
      <c r="H11" s="238">
        <f t="shared" si="1"/>
        <v>1</v>
      </c>
      <c r="I11" s="235">
        <v>438.10699999999991</v>
      </c>
      <c r="J11" s="238">
        <f t="shared" si="3"/>
        <v>1</v>
      </c>
      <c r="K11" s="235">
        <v>0</v>
      </c>
      <c r="L11" s="241">
        <f t="shared" si="4"/>
        <v>0</v>
      </c>
      <c r="M11" s="573"/>
      <c r="N11" s="573"/>
      <c r="O11" s="576"/>
    </row>
    <row r="12" spans="1:18" ht="18.75" x14ac:dyDescent="0.2">
      <c r="A12" s="243">
        <f t="shared" si="5"/>
        <v>46212</v>
      </c>
      <c r="B12" s="235">
        <v>3350396.61</v>
      </c>
      <c r="C12" s="405">
        <v>1572.9359999999999</v>
      </c>
      <c r="D12" s="236">
        <f t="shared" si="2"/>
        <v>4.6947755239043178E-4</v>
      </c>
      <c r="E12" s="237">
        <v>2561.665799999997</v>
      </c>
      <c r="F12" s="238">
        <f t="shared" si="0"/>
        <v>7.6458583809276156E-4</v>
      </c>
      <c r="G12" s="235">
        <v>1572.9359999999999</v>
      </c>
      <c r="H12" s="238">
        <f t="shared" si="1"/>
        <v>1</v>
      </c>
      <c r="I12" s="239">
        <v>2561.665799999997</v>
      </c>
      <c r="J12" s="238">
        <f t="shared" si="3"/>
        <v>1</v>
      </c>
      <c r="K12" s="240">
        <v>0</v>
      </c>
      <c r="L12" s="241">
        <f t="shared" si="4"/>
        <v>0</v>
      </c>
      <c r="M12" s="573"/>
      <c r="N12" s="573"/>
      <c r="O12" s="576"/>
    </row>
    <row r="13" spans="1:18" ht="18.75" x14ac:dyDescent="0.2">
      <c r="A13" s="331">
        <f t="shared" si="5"/>
        <v>46213</v>
      </c>
      <c r="B13" s="235">
        <v>2275501.0699999998</v>
      </c>
      <c r="C13" s="235">
        <v>5753.1140000000005</v>
      </c>
      <c r="D13" s="236">
        <f t="shared" si="2"/>
        <v>2.5282844626392555E-3</v>
      </c>
      <c r="E13" s="237">
        <v>9235.9585000000006</v>
      </c>
      <c r="F13" s="238">
        <f t="shared" si="0"/>
        <v>4.0588680101126037E-3</v>
      </c>
      <c r="G13" s="235">
        <v>5753.1140000000005</v>
      </c>
      <c r="H13" s="238">
        <f t="shared" si="1"/>
        <v>1</v>
      </c>
      <c r="I13" s="239">
        <v>9235.9585000000006</v>
      </c>
      <c r="J13" s="238">
        <f t="shared" si="3"/>
        <v>1</v>
      </c>
      <c r="K13" s="240">
        <v>0</v>
      </c>
      <c r="L13" s="241">
        <f t="shared" si="4"/>
        <v>0</v>
      </c>
      <c r="M13" s="573"/>
      <c r="N13" s="573"/>
      <c r="O13" s="576"/>
    </row>
    <row r="14" spans="1:18" ht="18.75" x14ac:dyDescent="0.2">
      <c r="A14" s="243">
        <f t="shared" si="5"/>
        <v>46214</v>
      </c>
      <c r="B14" s="235">
        <v>2731629.9899999998</v>
      </c>
      <c r="C14" s="235">
        <v>9047.4530000000013</v>
      </c>
      <c r="D14" s="236">
        <f t="shared" si="2"/>
        <v>3.3121078012472698E-3</v>
      </c>
      <c r="E14" s="237">
        <v>14822.60698</v>
      </c>
      <c r="F14" s="238">
        <f t="shared" si="0"/>
        <v>5.4262865154734961E-3</v>
      </c>
      <c r="G14" s="235">
        <v>9047.4530000000013</v>
      </c>
      <c r="H14" s="238">
        <f t="shared" si="1"/>
        <v>1</v>
      </c>
      <c r="I14" s="239">
        <v>14822.60698</v>
      </c>
      <c r="J14" s="238">
        <f t="shared" si="3"/>
        <v>1</v>
      </c>
      <c r="K14" s="240">
        <v>0</v>
      </c>
      <c r="L14" s="241">
        <f t="shared" si="4"/>
        <v>0</v>
      </c>
      <c r="M14" s="573"/>
      <c r="N14" s="573"/>
      <c r="O14" s="576"/>
    </row>
    <row r="15" spans="1:18" ht="18.75" x14ac:dyDescent="0.2">
      <c r="A15" s="243">
        <f t="shared" si="5"/>
        <v>46215</v>
      </c>
      <c r="B15" s="235">
        <v>3362568.3400000003</v>
      </c>
      <c r="C15" s="235">
        <v>19728.589499999998</v>
      </c>
      <c r="D15" s="236">
        <f t="shared" si="2"/>
        <v>5.867119268719456E-3</v>
      </c>
      <c r="E15" s="237">
        <v>28335.009180000001</v>
      </c>
      <c r="F15" s="238">
        <f t="shared" si="0"/>
        <v>8.4265972658268701E-3</v>
      </c>
      <c r="G15" s="235">
        <v>19728.589499999998</v>
      </c>
      <c r="H15" s="238">
        <f t="shared" si="1"/>
        <v>1</v>
      </c>
      <c r="I15" s="239">
        <v>28335.009180000001</v>
      </c>
      <c r="J15" s="238">
        <f t="shared" si="3"/>
        <v>1</v>
      </c>
      <c r="K15" s="240">
        <v>0</v>
      </c>
      <c r="L15" s="241">
        <f t="shared" si="4"/>
        <v>0</v>
      </c>
      <c r="M15" s="573"/>
      <c r="N15" s="573"/>
      <c r="O15" s="576"/>
      <c r="P15" s="242"/>
      <c r="Q15" s="248"/>
      <c r="R15" s="248"/>
    </row>
    <row r="16" spans="1:18" ht="18.75" x14ac:dyDescent="0.2">
      <c r="A16" s="333">
        <f t="shared" si="5"/>
        <v>46216</v>
      </c>
      <c r="B16" s="244">
        <v>3420458.1999999997</v>
      </c>
      <c r="C16" s="244">
        <v>1303.598</v>
      </c>
      <c r="D16" s="245">
        <f t="shared" si="2"/>
        <v>3.8111794495836849E-4</v>
      </c>
      <c r="E16" s="250">
        <v>38.000000000000256</v>
      </c>
      <c r="F16" s="246">
        <f t="shared" si="0"/>
        <v>1.1109622681546074E-5</v>
      </c>
      <c r="G16" s="244">
        <v>1303.598</v>
      </c>
      <c r="H16" s="246">
        <f t="shared" si="1"/>
        <v>1</v>
      </c>
      <c r="I16" s="251">
        <v>38.000000000000256</v>
      </c>
      <c r="J16" s="246">
        <f t="shared" si="3"/>
        <v>1</v>
      </c>
      <c r="K16" s="252">
        <v>0</v>
      </c>
      <c r="L16" s="247">
        <f t="shared" si="4"/>
        <v>0</v>
      </c>
      <c r="M16" s="574"/>
      <c r="N16" s="574"/>
      <c r="O16" s="577"/>
    </row>
    <row r="17" spans="1:17" ht="18.75" x14ac:dyDescent="0.2">
      <c r="A17" s="253">
        <f t="shared" si="5"/>
        <v>46217</v>
      </c>
      <c r="B17" s="228">
        <v>3528841.4</v>
      </c>
      <c r="C17" s="228">
        <v>9701.1125000000011</v>
      </c>
      <c r="D17" s="229">
        <f t="shared" si="2"/>
        <v>2.7490928042274731E-3</v>
      </c>
      <c r="E17" s="413">
        <v>11661.581700000008</v>
      </c>
      <c r="F17" s="231">
        <f t="shared" si="0"/>
        <v>3.3046488572708336E-3</v>
      </c>
      <c r="G17" s="228">
        <v>9701.1125000000011</v>
      </c>
      <c r="H17" s="231">
        <f t="shared" si="1"/>
        <v>1</v>
      </c>
      <c r="I17" s="232">
        <v>11661.581700000008</v>
      </c>
      <c r="J17" s="231">
        <f t="shared" si="3"/>
        <v>1</v>
      </c>
      <c r="K17" s="233">
        <v>0</v>
      </c>
      <c r="L17" s="234">
        <f t="shared" si="4"/>
        <v>0</v>
      </c>
      <c r="M17" s="407">
        <f>SUM(B17:B23)</f>
        <v>20961817.93</v>
      </c>
      <c r="N17" s="407">
        <f>SUM(C17:C23)</f>
        <v>59271.242500000008</v>
      </c>
      <c r="O17" s="412">
        <f>SUM(E17:E23)</f>
        <v>56734.603880000002</v>
      </c>
      <c r="Q17" s="249"/>
    </row>
    <row r="18" spans="1:17" ht="18.75" x14ac:dyDescent="0.2">
      <c r="A18" s="243">
        <f t="shared" si="5"/>
        <v>46218</v>
      </c>
      <c r="B18" s="235">
        <v>3157061.3400000003</v>
      </c>
      <c r="C18" s="235">
        <v>3548.5825000000004</v>
      </c>
      <c r="D18" s="236">
        <f t="shared" si="2"/>
        <v>1.12401442919066E-3</v>
      </c>
      <c r="E18" s="237">
        <v>2994.9891200000002</v>
      </c>
      <c r="F18" s="238">
        <f t="shared" si="0"/>
        <v>9.4866358219064561E-4</v>
      </c>
      <c r="G18" s="235">
        <v>3548.5825000000004</v>
      </c>
      <c r="H18" s="238">
        <f t="shared" si="1"/>
        <v>1</v>
      </c>
      <c r="I18" s="239">
        <v>2994.9891200000002</v>
      </c>
      <c r="J18" s="238">
        <f t="shared" si="3"/>
        <v>1</v>
      </c>
      <c r="K18" s="240">
        <v>0</v>
      </c>
      <c r="L18" s="241">
        <f t="shared" si="4"/>
        <v>0</v>
      </c>
      <c r="M18" s="408"/>
      <c r="N18" s="408"/>
      <c r="O18" s="409"/>
    </row>
    <row r="19" spans="1:17" ht="18.75" x14ac:dyDescent="0.2">
      <c r="A19" s="243">
        <f t="shared" si="5"/>
        <v>46219</v>
      </c>
      <c r="B19" s="235">
        <v>2922058.21</v>
      </c>
      <c r="C19" s="235">
        <v>6013.2835000000005</v>
      </c>
      <c r="D19" s="236">
        <f t="shared" si="2"/>
        <v>2.0578931245863168E-3</v>
      </c>
      <c r="E19" s="237">
        <v>5545.7036399999997</v>
      </c>
      <c r="F19" s="238">
        <f t="shared" si="0"/>
        <v>1.8978758263682911E-3</v>
      </c>
      <c r="G19" s="235">
        <v>6013.2835000000005</v>
      </c>
      <c r="H19" s="238">
        <f t="shared" si="1"/>
        <v>1</v>
      </c>
      <c r="I19" s="239">
        <v>5545.7036399999997</v>
      </c>
      <c r="J19" s="238">
        <f t="shared" si="3"/>
        <v>1</v>
      </c>
      <c r="K19" s="240">
        <v>0</v>
      </c>
      <c r="L19" s="241">
        <f t="shared" si="4"/>
        <v>0</v>
      </c>
      <c r="M19" s="408"/>
      <c r="N19" s="408"/>
      <c r="O19" s="409"/>
    </row>
    <row r="20" spans="1:17" ht="18.75" x14ac:dyDescent="0.2">
      <c r="A20" s="331">
        <f t="shared" si="5"/>
        <v>46220</v>
      </c>
      <c r="B20" s="235">
        <v>2282826.46</v>
      </c>
      <c r="C20" s="235">
        <v>8221.9399999999987</v>
      </c>
      <c r="D20" s="236">
        <f t="shared" si="2"/>
        <v>3.6016491590867574E-3</v>
      </c>
      <c r="E20" s="237">
        <v>8039.2099999999946</v>
      </c>
      <c r="F20" s="238">
        <f t="shared" si="0"/>
        <v>3.5216036526928966E-3</v>
      </c>
      <c r="G20" s="235">
        <v>8221.9399999999987</v>
      </c>
      <c r="H20" s="238">
        <f t="shared" si="1"/>
        <v>1</v>
      </c>
      <c r="I20" s="239">
        <v>8039.2099999999946</v>
      </c>
      <c r="J20" s="238">
        <f t="shared" si="3"/>
        <v>1</v>
      </c>
      <c r="K20" s="240">
        <v>0</v>
      </c>
      <c r="L20" s="241">
        <f t="shared" si="4"/>
        <v>0</v>
      </c>
      <c r="M20" s="408"/>
      <c r="N20" s="408"/>
      <c r="O20" s="409"/>
    </row>
    <row r="21" spans="1:17" ht="18.75" x14ac:dyDescent="0.2">
      <c r="A21" s="243">
        <f t="shared" si="5"/>
        <v>46221</v>
      </c>
      <c r="B21" s="235">
        <v>2534267.7399999998</v>
      </c>
      <c r="C21" s="235">
        <v>15668.298500000001</v>
      </c>
      <c r="D21" s="236">
        <f t="shared" si="2"/>
        <v>6.1825742610762992E-3</v>
      </c>
      <c r="E21" s="237">
        <v>15202.822819999996</v>
      </c>
      <c r="F21" s="238">
        <f t="shared" si="0"/>
        <v>5.9989016077677719E-3</v>
      </c>
      <c r="G21" s="235">
        <v>15668.298500000001</v>
      </c>
      <c r="H21" s="238">
        <f t="shared" si="1"/>
        <v>1</v>
      </c>
      <c r="I21" s="239">
        <v>15202.822819999996</v>
      </c>
      <c r="J21" s="238">
        <f t="shared" si="3"/>
        <v>1</v>
      </c>
      <c r="K21" s="240">
        <v>0</v>
      </c>
      <c r="L21" s="241">
        <f t="shared" si="4"/>
        <v>0</v>
      </c>
      <c r="M21" s="408"/>
      <c r="N21" s="408"/>
      <c r="O21" s="409"/>
    </row>
    <row r="22" spans="1:17" ht="18.75" x14ac:dyDescent="0.2">
      <c r="A22" s="243">
        <f t="shared" si="5"/>
        <v>46222</v>
      </c>
      <c r="B22" s="235">
        <v>3200427.39</v>
      </c>
      <c r="C22" s="235">
        <v>4597.6745000000001</v>
      </c>
      <c r="D22" s="236">
        <f t="shared" si="2"/>
        <v>1.4365814123344319E-3</v>
      </c>
      <c r="E22" s="237">
        <v>950.63080000000184</v>
      </c>
      <c r="F22" s="238">
        <f t="shared" si="0"/>
        <v>2.9703245353115222E-4</v>
      </c>
      <c r="G22" s="235">
        <v>4597.6745000000001</v>
      </c>
      <c r="H22" s="238">
        <f t="shared" si="1"/>
        <v>1</v>
      </c>
      <c r="I22" s="239">
        <v>950.63080000000184</v>
      </c>
      <c r="J22" s="238">
        <f t="shared" si="3"/>
        <v>1</v>
      </c>
      <c r="K22" s="240">
        <v>0</v>
      </c>
      <c r="L22" s="241">
        <f t="shared" si="4"/>
        <v>0</v>
      </c>
      <c r="M22" s="408"/>
      <c r="N22" s="408"/>
      <c r="O22" s="409"/>
      <c r="P22" s="242"/>
    </row>
    <row r="23" spans="1:17" ht="18.75" x14ac:dyDescent="0.2">
      <c r="A23" s="333">
        <f t="shared" si="5"/>
        <v>46223</v>
      </c>
      <c r="B23" s="244">
        <v>3336335.39</v>
      </c>
      <c r="C23" s="244">
        <v>11520.351000000001</v>
      </c>
      <c r="D23" s="245">
        <f t="shared" si="2"/>
        <v>3.452995473575575E-3</v>
      </c>
      <c r="E23" s="250">
        <v>12339.665800000002</v>
      </c>
      <c r="F23" s="246">
        <f t="shared" si="0"/>
        <v>3.6985687461115837E-3</v>
      </c>
      <c r="G23" s="244">
        <v>11520.351000000001</v>
      </c>
      <c r="H23" s="246">
        <f t="shared" si="1"/>
        <v>1</v>
      </c>
      <c r="I23" s="251">
        <v>12339.665800000002</v>
      </c>
      <c r="J23" s="246">
        <f t="shared" si="3"/>
        <v>1</v>
      </c>
      <c r="K23" s="252">
        <v>0</v>
      </c>
      <c r="L23" s="247">
        <f t="shared" si="4"/>
        <v>0</v>
      </c>
      <c r="M23" s="410"/>
      <c r="N23" s="410"/>
      <c r="O23" s="411"/>
    </row>
    <row r="24" spans="1:17" ht="18.75" x14ac:dyDescent="0.2">
      <c r="A24" s="253">
        <f t="shared" si="5"/>
        <v>46224</v>
      </c>
      <c r="B24" s="228"/>
      <c r="C24" s="228"/>
      <c r="D24" s="229" t="e">
        <f t="shared" si="2"/>
        <v>#DIV/0!</v>
      </c>
      <c r="E24" s="230"/>
      <c r="F24" s="231" t="e">
        <f t="shared" si="0"/>
        <v>#DIV/0!</v>
      </c>
      <c r="G24" s="228"/>
      <c r="H24" s="231" t="e">
        <f t="shared" si="1"/>
        <v>#DIV/0!</v>
      </c>
      <c r="I24" s="232"/>
      <c r="J24" s="231" t="e">
        <f t="shared" si="3"/>
        <v>#DIV/0!</v>
      </c>
      <c r="K24" s="233">
        <v>0</v>
      </c>
      <c r="L24" s="234" t="e">
        <f t="shared" si="4"/>
        <v>#DIV/0!</v>
      </c>
      <c r="M24" s="407">
        <f>SUM(B24:B30)</f>
        <v>0</v>
      </c>
      <c r="N24" s="407">
        <f>SUM(C24:C30)</f>
        <v>0</v>
      </c>
      <c r="O24" s="412">
        <f>SUM(E24:E30)</f>
        <v>0</v>
      </c>
    </row>
    <row r="25" spans="1:17" ht="18.75" x14ac:dyDescent="0.2">
      <c r="A25" s="243">
        <f t="shared" si="5"/>
        <v>46225</v>
      </c>
      <c r="B25" s="235"/>
      <c r="C25" s="235"/>
      <c r="D25" s="236" t="e">
        <f t="shared" si="2"/>
        <v>#DIV/0!</v>
      </c>
      <c r="E25" s="237"/>
      <c r="F25" s="238" t="e">
        <f t="shared" si="0"/>
        <v>#DIV/0!</v>
      </c>
      <c r="G25" s="235"/>
      <c r="H25" s="238" t="e">
        <f t="shared" si="1"/>
        <v>#DIV/0!</v>
      </c>
      <c r="I25" s="239"/>
      <c r="J25" s="238" t="e">
        <f t="shared" si="3"/>
        <v>#DIV/0!</v>
      </c>
      <c r="K25" s="240">
        <v>0</v>
      </c>
      <c r="L25" s="241" t="e">
        <f t="shared" si="4"/>
        <v>#DIV/0!</v>
      </c>
      <c r="M25" s="408"/>
      <c r="N25" s="408"/>
      <c r="O25" s="409"/>
    </row>
    <row r="26" spans="1:17" ht="18.75" x14ac:dyDescent="0.2">
      <c r="A26" s="243">
        <f t="shared" si="5"/>
        <v>46226</v>
      </c>
      <c r="B26" s="235"/>
      <c r="C26" s="235"/>
      <c r="D26" s="236" t="e">
        <f t="shared" si="2"/>
        <v>#DIV/0!</v>
      </c>
      <c r="E26" s="237"/>
      <c r="F26" s="238" t="e">
        <f t="shared" si="0"/>
        <v>#DIV/0!</v>
      </c>
      <c r="G26" s="235"/>
      <c r="H26" s="238" t="e">
        <f t="shared" si="1"/>
        <v>#DIV/0!</v>
      </c>
      <c r="I26" s="239"/>
      <c r="J26" s="238" t="e">
        <f t="shared" si="3"/>
        <v>#DIV/0!</v>
      </c>
      <c r="K26" s="240">
        <v>0</v>
      </c>
      <c r="L26" s="241" t="e">
        <f t="shared" si="4"/>
        <v>#DIV/0!</v>
      </c>
      <c r="M26" s="408"/>
      <c r="N26" s="408"/>
      <c r="O26" s="409"/>
    </row>
    <row r="27" spans="1:17" ht="18.75" x14ac:dyDescent="0.2">
      <c r="A27" s="331">
        <f t="shared" si="5"/>
        <v>46227</v>
      </c>
      <c r="B27" s="235"/>
      <c r="C27" s="235"/>
      <c r="D27" s="236" t="e">
        <f t="shared" si="2"/>
        <v>#DIV/0!</v>
      </c>
      <c r="E27" s="237"/>
      <c r="F27" s="238" t="e">
        <f t="shared" si="0"/>
        <v>#DIV/0!</v>
      </c>
      <c r="G27" s="235"/>
      <c r="H27" s="238" t="e">
        <f t="shared" si="1"/>
        <v>#DIV/0!</v>
      </c>
      <c r="I27" s="239"/>
      <c r="J27" s="238" t="e">
        <f t="shared" si="3"/>
        <v>#DIV/0!</v>
      </c>
      <c r="K27" s="240">
        <v>0</v>
      </c>
      <c r="L27" s="241" t="e">
        <f t="shared" si="4"/>
        <v>#DIV/0!</v>
      </c>
      <c r="M27" s="408"/>
      <c r="N27" s="408"/>
      <c r="O27" s="409"/>
    </row>
    <row r="28" spans="1:17" ht="18.75" x14ac:dyDescent="0.2">
      <c r="A28" s="243">
        <f t="shared" si="5"/>
        <v>46228</v>
      </c>
      <c r="B28" s="235"/>
      <c r="C28" s="235"/>
      <c r="D28" s="236" t="e">
        <f t="shared" si="2"/>
        <v>#DIV/0!</v>
      </c>
      <c r="E28" s="237"/>
      <c r="F28" s="238" t="e">
        <f t="shared" si="0"/>
        <v>#DIV/0!</v>
      </c>
      <c r="G28" s="235"/>
      <c r="H28" s="238" t="e">
        <f t="shared" si="1"/>
        <v>#DIV/0!</v>
      </c>
      <c r="I28" s="239"/>
      <c r="J28" s="238" t="e">
        <f t="shared" si="3"/>
        <v>#DIV/0!</v>
      </c>
      <c r="K28" s="240">
        <v>0</v>
      </c>
      <c r="L28" s="241" t="e">
        <f t="shared" si="4"/>
        <v>#DIV/0!</v>
      </c>
      <c r="M28" s="408"/>
      <c r="N28" s="408"/>
      <c r="O28" s="409"/>
    </row>
    <row r="29" spans="1:17" ht="18.75" x14ac:dyDescent="0.2">
      <c r="A29" s="243">
        <f t="shared" si="5"/>
        <v>46229</v>
      </c>
      <c r="B29" s="235"/>
      <c r="C29" s="235"/>
      <c r="D29" s="236" t="e">
        <f t="shared" si="2"/>
        <v>#DIV/0!</v>
      </c>
      <c r="E29" s="237"/>
      <c r="F29" s="238" t="e">
        <f t="shared" si="0"/>
        <v>#DIV/0!</v>
      </c>
      <c r="G29" s="235"/>
      <c r="H29" s="238" t="e">
        <f t="shared" si="1"/>
        <v>#DIV/0!</v>
      </c>
      <c r="I29" s="239"/>
      <c r="J29" s="238" t="e">
        <f t="shared" si="3"/>
        <v>#DIV/0!</v>
      </c>
      <c r="K29" s="240">
        <v>0</v>
      </c>
      <c r="L29" s="241" t="e">
        <f t="shared" si="4"/>
        <v>#DIV/0!</v>
      </c>
      <c r="M29" s="408"/>
      <c r="N29" s="408"/>
      <c r="O29" s="409"/>
      <c r="P29" s="242"/>
    </row>
    <row r="30" spans="1:17" ht="18.75" x14ac:dyDescent="0.2">
      <c r="A30" s="333">
        <f t="shared" si="5"/>
        <v>46230</v>
      </c>
      <c r="B30" s="244"/>
      <c r="C30" s="244"/>
      <c r="D30" s="245" t="e">
        <f t="shared" si="2"/>
        <v>#DIV/0!</v>
      </c>
      <c r="E30" s="250"/>
      <c r="F30" s="246" t="e">
        <f t="shared" si="0"/>
        <v>#DIV/0!</v>
      </c>
      <c r="G30" s="244"/>
      <c r="H30" s="246" t="e">
        <f t="shared" si="1"/>
        <v>#DIV/0!</v>
      </c>
      <c r="I30" s="251"/>
      <c r="J30" s="246" t="e">
        <f t="shared" si="3"/>
        <v>#DIV/0!</v>
      </c>
      <c r="K30" s="252">
        <v>0</v>
      </c>
      <c r="L30" s="247" t="e">
        <f t="shared" si="4"/>
        <v>#DIV/0!</v>
      </c>
      <c r="M30" s="410"/>
      <c r="N30" s="410"/>
      <c r="O30" s="411"/>
    </row>
    <row r="31" spans="1:17" ht="18.75" x14ac:dyDescent="0.2">
      <c r="A31" s="332">
        <f t="shared" si="5"/>
        <v>46231</v>
      </c>
      <c r="B31" s="254"/>
      <c r="C31" s="254"/>
      <c r="D31" s="255" t="e">
        <f t="shared" si="2"/>
        <v>#DIV/0!</v>
      </c>
      <c r="E31" s="256"/>
      <c r="F31" s="257" t="e">
        <f t="shared" si="0"/>
        <v>#DIV/0!</v>
      </c>
      <c r="G31" s="254"/>
      <c r="H31" s="257" t="e">
        <f t="shared" si="1"/>
        <v>#DIV/0!</v>
      </c>
      <c r="I31" s="258"/>
      <c r="J31" s="257" t="e">
        <f t="shared" si="3"/>
        <v>#DIV/0!</v>
      </c>
      <c r="K31" s="259">
        <v>0</v>
      </c>
      <c r="L31" s="260" t="e">
        <f t="shared" si="4"/>
        <v>#DIV/0!</v>
      </c>
      <c r="M31" s="421"/>
      <c r="N31" s="421"/>
      <c r="O31" s="422"/>
    </row>
    <row r="32" spans="1:17" ht="18.75" x14ac:dyDescent="0.2">
      <c r="A32" s="334">
        <f t="shared" si="5"/>
        <v>46232</v>
      </c>
      <c r="B32" s="307"/>
      <c r="C32" s="307"/>
      <c r="D32" s="308" t="e">
        <f t="shared" si="2"/>
        <v>#DIV/0!</v>
      </c>
      <c r="E32" s="309"/>
      <c r="F32" s="310" t="e">
        <f t="shared" si="0"/>
        <v>#DIV/0!</v>
      </c>
      <c r="G32" s="307"/>
      <c r="H32" s="310" t="e">
        <f t="shared" si="1"/>
        <v>#DIV/0!</v>
      </c>
      <c r="I32" s="311"/>
      <c r="J32" s="310" t="e">
        <f t="shared" si="3"/>
        <v>#DIV/0!</v>
      </c>
      <c r="K32" s="312">
        <v>0</v>
      </c>
      <c r="L32" s="313" t="e">
        <f t="shared" si="4"/>
        <v>#DIV/0!</v>
      </c>
      <c r="M32" s="408"/>
      <c r="N32" s="408"/>
      <c r="O32" s="409"/>
    </row>
    <row r="33" spans="1:15" ht="18.75" x14ac:dyDescent="0.2">
      <c r="A33" s="243">
        <f t="shared" si="5"/>
        <v>46233</v>
      </c>
      <c r="B33" s="235"/>
      <c r="C33" s="235"/>
      <c r="D33" s="236" t="e">
        <f t="shared" si="2"/>
        <v>#DIV/0!</v>
      </c>
      <c r="E33" s="237"/>
      <c r="F33" s="238" t="e">
        <f t="shared" si="0"/>
        <v>#DIV/0!</v>
      </c>
      <c r="G33" s="235"/>
      <c r="H33" s="238" t="e">
        <f t="shared" si="1"/>
        <v>#DIV/0!</v>
      </c>
      <c r="I33" s="239"/>
      <c r="J33" s="238" t="e">
        <f t="shared" si="3"/>
        <v>#DIV/0!</v>
      </c>
      <c r="K33" s="240">
        <v>0</v>
      </c>
      <c r="L33" s="241" t="e">
        <f t="shared" si="4"/>
        <v>#DIV/0!</v>
      </c>
      <c r="M33" s="408"/>
      <c r="N33" s="408"/>
      <c r="O33" s="409"/>
    </row>
    <row r="34" spans="1:15" ht="18.75" x14ac:dyDescent="0.2">
      <c r="A34" s="414"/>
      <c r="B34" s="415"/>
      <c r="C34" s="415"/>
      <c r="D34" s="416" t="e">
        <f t="shared" si="2"/>
        <v>#DIV/0!</v>
      </c>
      <c r="E34" s="417"/>
      <c r="F34" s="418" t="e">
        <f t="shared" si="0"/>
        <v>#DIV/0!</v>
      </c>
      <c r="G34" s="415"/>
      <c r="H34" s="418" t="e">
        <f t="shared" si="1"/>
        <v>#DIV/0!</v>
      </c>
      <c r="I34" s="419"/>
      <c r="J34" s="418" t="e">
        <f t="shared" si="3"/>
        <v>#DIV/0!</v>
      </c>
      <c r="K34" s="259">
        <v>0</v>
      </c>
      <c r="L34" s="420" t="e">
        <f t="shared" si="4"/>
        <v>#DIV/0!</v>
      </c>
      <c r="M34" s="330"/>
      <c r="N34" s="330"/>
      <c r="O34" s="337"/>
    </row>
    <row r="35" spans="1:15" ht="18.75" x14ac:dyDescent="0.2">
      <c r="A35" s="293" t="s">
        <v>246</v>
      </c>
      <c r="B35" s="254">
        <f>AVERAGE(B4:B34)</f>
        <v>3000391.6540000006</v>
      </c>
      <c r="C35" s="254">
        <f>AVERAGE(C4:C34)</f>
        <v>7428.5468099999998</v>
      </c>
      <c r="D35" s="255">
        <f>C35/B35</f>
        <v>2.475859043300751E-3</v>
      </c>
      <c r="E35" s="256">
        <f>AVERAGE(E4:E34)</f>
        <v>9732.5045150000024</v>
      </c>
      <c r="F35" s="294">
        <f>E35/B35</f>
        <v>3.2437446964715495E-3</v>
      </c>
      <c r="G35" s="254">
        <f>AVERAGE(G4:G34)</f>
        <v>7428.5468099999998</v>
      </c>
      <c r="H35" s="257">
        <f>G35/C35</f>
        <v>1</v>
      </c>
      <c r="I35" s="258">
        <f>AVERAGE(I4:I34)</f>
        <v>9732.5045150000024</v>
      </c>
      <c r="J35" s="257">
        <f>I35/E35</f>
        <v>1</v>
      </c>
      <c r="K35" s="259">
        <f>AVERAGE(K4:K34)</f>
        <v>0</v>
      </c>
      <c r="L35" s="260">
        <f>K35/C35</f>
        <v>0</v>
      </c>
      <c r="M35" s="261"/>
    </row>
    <row r="36" spans="1:15" ht="18.75" x14ac:dyDescent="0.2">
      <c r="A36" s="262" t="s">
        <v>134</v>
      </c>
      <c r="B36" s="235">
        <f>SUM(B4:B34)</f>
        <v>60007833.080000013</v>
      </c>
      <c r="C36" s="235">
        <f>SUM(C4:C34)</f>
        <v>148570.9362</v>
      </c>
      <c r="D36" s="236">
        <f>C36/B36</f>
        <v>2.475859043300751E-3</v>
      </c>
      <c r="E36" s="237">
        <f>SUM(E4:E34)</f>
        <v>194650.09030000004</v>
      </c>
      <c r="F36" s="263">
        <f>E36/B36</f>
        <v>3.2437446964715495E-3</v>
      </c>
      <c r="G36" s="235">
        <f>SUM(G4:G34)</f>
        <v>148570.9362</v>
      </c>
      <c r="H36" s="238">
        <f>G36/C36</f>
        <v>1</v>
      </c>
      <c r="I36" s="239">
        <f>SUM(I4:I34)</f>
        <v>194650.09030000004</v>
      </c>
      <c r="J36" s="238">
        <f>I36/E36</f>
        <v>1</v>
      </c>
      <c r="K36" s="240">
        <f>SUM(K4:K34)</f>
        <v>0</v>
      </c>
      <c r="L36" s="241">
        <f>K36/C36</f>
        <v>0</v>
      </c>
      <c r="M36" s="261"/>
    </row>
    <row r="37" spans="1:15" ht="27" x14ac:dyDescent="0.2">
      <c r="A37" s="588"/>
      <c r="B37" s="588"/>
      <c r="C37" s="588"/>
      <c r="D37" s="588"/>
      <c r="E37" s="588"/>
      <c r="F37" s="264"/>
      <c r="G37" s="264"/>
      <c r="H37" s="264"/>
      <c r="I37" s="264"/>
      <c r="J37" s="264"/>
      <c r="K37" s="264"/>
      <c r="L37" s="264"/>
      <c r="M37" s="264"/>
    </row>
    <row r="38" spans="1:15" ht="27" x14ac:dyDescent="0.2">
      <c r="A38" s="588"/>
      <c r="B38" s="588"/>
      <c r="C38" s="588"/>
      <c r="D38" s="588"/>
      <c r="E38" s="588"/>
      <c r="F38" s="264"/>
      <c r="G38" s="264"/>
      <c r="H38" s="264"/>
      <c r="I38" s="264"/>
      <c r="J38" s="264"/>
      <c r="K38" s="264"/>
      <c r="L38" s="264"/>
      <c r="M38" s="264"/>
    </row>
    <row r="39" spans="1:15" ht="18.75" x14ac:dyDescent="0.2">
      <c r="A39" s="334">
        <v>46203</v>
      </c>
      <c r="B39" s="427">
        <v>3076682.51</v>
      </c>
      <c r="C39" s="427">
        <v>3986.4195000000004</v>
      </c>
      <c r="D39" s="428">
        <v>1.4061429663823493E-3</v>
      </c>
      <c r="E39" s="429">
        <v>6685.0696800000014</v>
      </c>
      <c r="F39" s="310">
        <v>2.3580467911889112E-3</v>
      </c>
      <c r="G39" s="427">
        <v>3986.4195000000004</v>
      </c>
      <c r="H39" s="310">
        <v>1</v>
      </c>
      <c r="I39" s="311">
        <v>6685.0696800000014</v>
      </c>
      <c r="J39" s="310">
        <v>1</v>
      </c>
      <c r="K39" s="430">
        <v>0</v>
      </c>
      <c r="L39" s="431">
        <v>0</v>
      </c>
      <c r="M39" s="264"/>
    </row>
    <row r="40" spans="1:15" ht="18.75" x14ac:dyDescent="0.2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</row>
    <row r="41" spans="1:15" ht="18.75" x14ac:dyDescent="0.2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</row>
    <row r="42" spans="1:15" ht="18.75" x14ac:dyDescent="0.2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</row>
    <row r="43" spans="1:15" ht="18.75" x14ac:dyDescent="0.2">
      <c r="A43" s="264"/>
      <c r="B43" s="264"/>
      <c r="C43" s="264"/>
      <c r="D43" s="264"/>
      <c r="E43" s="265"/>
      <c r="F43" s="264"/>
      <c r="G43" s="264"/>
      <c r="H43" s="264"/>
      <c r="I43" s="264"/>
      <c r="J43" s="264"/>
      <c r="K43" s="264"/>
      <c r="L43" s="264"/>
      <c r="M43" s="264"/>
    </row>
    <row r="44" spans="1:15" ht="18.75" x14ac:dyDescent="0.2">
      <c r="A44" s="264"/>
      <c r="B44" s="264"/>
      <c r="C44" s="264"/>
      <c r="D44" s="264"/>
      <c r="E44" s="266"/>
      <c r="F44" s="264"/>
      <c r="G44" s="264"/>
      <c r="H44" s="264"/>
      <c r="I44" s="264"/>
      <c r="J44" s="264"/>
      <c r="K44" s="264"/>
      <c r="L44" s="264"/>
      <c r="M44" s="264"/>
    </row>
    <row r="45" spans="1:15" ht="18.75" x14ac:dyDescent="0.2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</row>
    <row r="46" spans="1:15" ht="18.75" x14ac:dyDescent="0.2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</row>
    <row r="47" spans="1:15" ht="18.75" x14ac:dyDescent="0.2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</row>
    <row r="48" spans="1:15" ht="18.75" x14ac:dyDescent="0.2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</row>
    <row r="49" spans="1:13" ht="18.75" x14ac:dyDescent="0.2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</row>
    <row r="50" spans="1:13" ht="18.75" x14ac:dyDescent="0.2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</row>
    <row r="51" spans="1:13" ht="18.75" x14ac:dyDescent="0.2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</row>
    <row r="52" spans="1:13" ht="18.75" x14ac:dyDescent="0.2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</row>
    <row r="53" spans="1:13" ht="18.75" x14ac:dyDescent="0.2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</row>
    <row r="54" spans="1:13" ht="18.75" x14ac:dyDescent="0.2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</row>
    <row r="55" spans="1:13" ht="18.75" x14ac:dyDescent="0.2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</row>
    <row r="56" spans="1:13" ht="18.75" x14ac:dyDescent="0.2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</row>
    <row r="57" spans="1:13" ht="18.75" x14ac:dyDescent="0.2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</row>
    <row r="58" spans="1:13" ht="18.75" x14ac:dyDescent="0.2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</row>
    <row r="59" spans="1:13" ht="18.75" x14ac:dyDescent="0.2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</row>
    <row r="60" spans="1:13" ht="18.75" x14ac:dyDescent="0.2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</row>
    <row r="61" spans="1:13" ht="18.75" x14ac:dyDescent="0.2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</row>
    <row r="62" spans="1:13" ht="18.75" x14ac:dyDescent="0.2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</row>
    <row r="63" spans="1:13" ht="18.75" x14ac:dyDescent="0.2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</row>
    <row r="64" spans="1:13" ht="18.75" x14ac:dyDescent="0.2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</row>
    <row r="65" spans="1:13" ht="18.75" x14ac:dyDescent="0.2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</row>
    <row r="66" spans="1:13" ht="18.75" x14ac:dyDescent="0.2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</row>
    <row r="67" spans="1:13" ht="18.75" x14ac:dyDescent="0.2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</row>
  </sheetData>
  <mergeCells count="19">
    <mergeCell ref="M10:M16"/>
    <mergeCell ref="N10:N16"/>
    <mergeCell ref="O10:O16"/>
    <mergeCell ref="A37:E37"/>
    <mergeCell ref="A38:E38"/>
    <mergeCell ref="M4:M9"/>
    <mergeCell ref="N4:N9"/>
    <mergeCell ref="O4:O9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23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O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D17" sqref="D17:L17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56" width="12.5703125" style="117" customWidth="1"/>
    <col min="57" max="16384" width="12.5703125" style="117"/>
  </cols>
  <sheetData>
    <row r="1" spans="1:17" ht="15.75" customHeight="1" x14ac:dyDescent="0.25">
      <c r="A1" s="609" t="s">
        <v>103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609"/>
      <c r="Q1" s="609"/>
    </row>
    <row r="2" spans="1:17" s="118" customFormat="1" ht="15.75" customHeight="1" x14ac:dyDescent="0.25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</row>
    <row r="3" spans="1:17" ht="15.75" customHeight="1" x14ac:dyDescent="0.25">
      <c r="A3" s="610" t="s">
        <v>146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</row>
    <row r="4" spans="1:17" s="118" customFormat="1" ht="15.75" customHeight="1" x14ac:dyDescent="0.25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</row>
    <row r="5" spans="1:17" ht="15.75" customHeight="1" x14ac:dyDescent="0.25">
      <c r="A5" s="462" t="s">
        <v>147</v>
      </c>
      <c r="B5" s="612">
        <v>1</v>
      </c>
      <c r="C5" s="612"/>
      <c r="D5" s="612">
        <v>2</v>
      </c>
      <c r="E5" s="612"/>
      <c r="F5" s="612">
        <v>3</v>
      </c>
      <c r="G5" s="612"/>
      <c r="H5" s="598">
        <v>4</v>
      </c>
      <c r="I5" s="598"/>
      <c r="J5" s="598">
        <v>5</v>
      </c>
      <c r="K5" s="598"/>
      <c r="L5" s="598">
        <v>6</v>
      </c>
      <c r="M5" s="598"/>
      <c r="N5" s="598">
        <v>7</v>
      </c>
      <c r="O5" s="598"/>
      <c r="P5" s="598">
        <v>8</v>
      </c>
      <c r="Q5" s="598"/>
    </row>
    <row r="6" spans="1:17" ht="15.75" customHeight="1" x14ac:dyDescent="0.25">
      <c r="A6" s="462"/>
      <c r="B6" s="613" t="s">
        <v>135</v>
      </c>
      <c r="C6" s="613"/>
      <c r="D6" s="613" t="s">
        <v>148</v>
      </c>
      <c r="E6" s="613"/>
      <c r="F6" s="613" t="s">
        <v>137</v>
      </c>
      <c r="G6" s="613"/>
      <c r="H6" s="606" t="s">
        <v>138</v>
      </c>
      <c r="I6" s="462"/>
      <c r="J6" s="462" t="s">
        <v>142</v>
      </c>
      <c r="K6" s="462"/>
      <c r="L6" s="462" t="s">
        <v>143</v>
      </c>
      <c r="M6" s="462"/>
      <c r="N6" s="462" t="s">
        <v>144</v>
      </c>
      <c r="O6" s="462"/>
      <c r="P6" s="606" t="s">
        <v>149</v>
      </c>
      <c r="Q6" s="462"/>
    </row>
    <row r="8" spans="1:17" s="119" customFormat="1" ht="15.75" customHeight="1" x14ac:dyDescent="0.2">
      <c r="A8" s="598" t="s">
        <v>147</v>
      </c>
      <c r="B8" s="598"/>
      <c r="C8" s="125" t="s">
        <v>91</v>
      </c>
      <c r="D8" s="601" t="s">
        <v>107</v>
      </c>
      <c r="E8" s="602"/>
      <c r="F8" s="603"/>
      <c r="G8" s="126" t="s">
        <v>150</v>
      </c>
      <c r="H8" s="127"/>
      <c r="I8" s="125"/>
      <c r="J8" s="128" t="s">
        <v>151</v>
      </c>
      <c r="K8" s="128" t="s">
        <v>24</v>
      </c>
      <c r="L8" s="128" t="s">
        <v>152</v>
      </c>
      <c r="M8" s="128" t="s">
        <v>139</v>
      </c>
      <c r="N8" s="128" t="s">
        <v>153</v>
      </c>
      <c r="O8" s="604" t="s">
        <v>111</v>
      </c>
      <c r="P8" s="605"/>
    </row>
    <row r="9" spans="1:17" ht="15.75" customHeight="1" x14ac:dyDescent="0.25">
      <c r="A9" s="598">
        <v>1</v>
      </c>
      <c r="B9" s="599" t="s">
        <v>154</v>
      </c>
      <c r="C9" s="129">
        <v>1</v>
      </c>
      <c r="D9" s="589" t="s">
        <v>114</v>
      </c>
      <c r="E9" s="596"/>
      <c r="F9" s="597"/>
      <c r="G9" s="589" t="s">
        <v>157</v>
      </c>
      <c r="H9" s="596"/>
      <c r="I9" s="597"/>
      <c r="J9" s="130">
        <v>153.80000000000001</v>
      </c>
      <c r="K9" s="131">
        <v>2.5999999999999999E-2</v>
      </c>
      <c r="L9" s="130">
        <v>61.8</v>
      </c>
      <c r="M9" s="183">
        <f>L9*J9</f>
        <v>9504.84</v>
      </c>
      <c r="N9" s="339">
        <v>1.609</v>
      </c>
      <c r="O9" s="607" t="s">
        <v>156</v>
      </c>
      <c r="P9" s="608"/>
    </row>
    <row r="10" spans="1:17" ht="15.75" customHeight="1" x14ac:dyDescent="0.25">
      <c r="A10" s="598"/>
      <c r="B10" s="599"/>
      <c r="C10" s="129">
        <v>2</v>
      </c>
      <c r="D10" s="589" t="s">
        <v>386</v>
      </c>
      <c r="E10" s="596"/>
      <c r="F10" s="597"/>
      <c r="G10" s="589" t="s">
        <v>385</v>
      </c>
      <c r="H10" s="596"/>
      <c r="I10" s="597"/>
      <c r="J10" s="130">
        <v>84.6</v>
      </c>
      <c r="K10" s="131">
        <v>2.1999999999999999E-2</v>
      </c>
      <c r="L10" s="130">
        <v>65.599999999999994</v>
      </c>
      <c r="M10" s="183">
        <f>L10*J10</f>
        <v>5549.7599999999993</v>
      </c>
      <c r="N10" s="339"/>
      <c r="O10" s="607" t="s">
        <v>156</v>
      </c>
      <c r="P10" s="608"/>
    </row>
    <row r="11" spans="1:17" ht="15.75" customHeight="1" x14ac:dyDescent="0.25">
      <c r="A11" s="598"/>
      <c r="B11" s="599"/>
      <c r="C11" s="129">
        <v>3</v>
      </c>
      <c r="D11" s="589" t="s">
        <v>115</v>
      </c>
      <c r="E11" s="596"/>
      <c r="F11" s="597"/>
      <c r="G11" s="600" t="s">
        <v>155</v>
      </c>
      <c r="H11" s="596"/>
      <c r="I11" s="597"/>
      <c r="J11" s="130">
        <v>140.6</v>
      </c>
      <c r="K11" s="131">
        <v>8.9999999999999993E-3</v>
      </c>
      <c r="L11" s="130">
        <v>13.7</v>
      </c>
      <c r="M11" s="183">
        <f>L11*J11</f>
        <v>1926.2199999999998</v>
      </c>
      <c r="N11" s="339">
        <v>0.28399999999999997</v>
      </c>
      <c r="O11" s="607" t="s">
        <v>156</v>
      </c>
      <c r="P11" s="608"/>
    </row>
    <row r="12" spans="1:17" ht="15.75" customHeight="1" x14ac:dyDescent="0.25">
      <c r="A12" s="598"/>
      <c r="B12" s="599"/>
      <c r="C12" s="129">
        <v>4</v>
      </c>
      <c r="D12" s="589" t="s">
        <v>116</v>
      </c>
      <c r="E12" s="596"/>
      <c r="F12" s="597"/>
      <c r="G12" s="589" t="s">
        <v>160</v>
      </c>
      <c r="H12" s="596"/>
      <c r="I12" s="597"/>
      <c r="J12" s="130">
        <v>95.5</v>
      </c>
      <c r="K12" s="131">
        <v>2.5999999999999999E-2</v>
      </c>
      <c r="L12" s="130">
        <v>19.899999999999999</v>
      </c>
      <c r="M12" s="183">
        <f>L12*J12</f>
        <v>1900.4499999999998</v>
      </c>
      <c r="N12" s="339">
        <v>0.53349999999999997</v>
      </c>
      <c r="O12" s="607" t="s">
        <v>156</v>
      </c>
      <c r="P12" s="608"/>
    </row>
    <row r="13" spans="1:17" ht="15.75" customHeight="1" x14ac:dyDescent="0.25">
      <c r="A13" s="598"/>
      <c r="B13" s="599"/>
      <c r="C13" s="135">
        <v>5</v>
      </c>
      <c r="D13" s="589" t="s">
        <v>388</v>
      </c>
      <c r="E13" s="596"/>
      <c r="F13" s="597"/>
      <c r="G13" s="589" t="s">
        <v>387</v>
      </c>
      <c r="H13" s="596"/>
      <c r="I13" s="597"/>
      <c r="J13" s="130">
        <v>296.8</v>
      </c>
      <c r="K13" s="137">
        <v>0.154</v>
      </c>
      <c r="L13" s="136">
        <v>5</v>
      </c>
      <c r="M13" s="184">
        <f>L13*J13</f>
        <v>1484</v>
      </c>
      <c r="N13" s="339"/>
      <c r="O13" s="607" t="s">
        <v>156</v>
      </c>
      <c r="P13" s="608"/>
    </row>
    <row r="14" spans="1:17" ht="15.75" customHeight="1" x14ac:dyDescent="0.25">
      <c r="A14" s="598"/>
      <c r="B14" s="599"/>
      <c r="C14" s="591"/>
      <c r="D14" s="591"/>
      <c r="E14" s="591"/>
      <c r="F14" s="591"/>
      <c r="G14" s="591"/>
      <c r="H14" s="591"/>
      <c r="I14" s="592"/>
      <c r="J14" s="141" t="s">
        <v>162</v>
      </c>
      <c r="K14" s="403">
        <f>M14/'生產管理報表 7-1(週)'!$B$9</f>
        <v>0.34359445054656984</v>
      </c>
      <c r="L14" s="141" t="s">
        <v>163</v>
      </c>
      <c r="M14" s="143">
        <f>SUM(M9:M13)</f>
        <v>20365.27</v>
      </c>
      <c r="N14" s="593"/>
      <c r="O14" s="594"/>
      <c r="P14" s="595"/>
    </row>
    <row r="16" spans="1:17" ht="15.75" customHeight="1" x14ac:dyDescent="0.25">
      <c r="A16" s="598" t="s">
        <v>147</v>
      </c>
      <c r="B16" s="598"/>
      <c r="C16" s="125" t="s">
        <v>91</v>
      </c>
      <c r="D16" s="601" t="s">
        <v>107</v>
      </c>
      <c r="E16" s="602"/>
      <c r="F16" s="603"/>
      <c r="G16" s="126" t="s">
        <v>150</v>
      </c>
      <c r="H16" s="127"/>
      <c r="I16" s="125"/>
      <c r="J16" s="128" t="s">
        <v>151</v>
      </c>
      <c r="K16" s="128" t="s">
        <v>24</v>
      </c>
      <c r="L16" s="128" t="s">
        <v>152</v>
      </c>
      <c r="M16" s="128" t="s">
        <v>139</v>
      </c>
      <c r="N16" s="128" t="s">
        <v>153</v>
      </c>
      <c r="O16" s="604" t="s">
        <v>111</v>
      </c>
      <c r="P16" s="605"/>
    </row>
    <row r="17" spans="1:16" ht="15.75" customHeight="1" x14ac:dyDescent="0.25">
      <c r="A17" s="598">
        <v>2</v>
      </c>
      <c r="B17" s="599" t="s">
        <v>164</v>
      </c>
      <c r="C17" s="129">
        <v>1</v>
      </c>
      <c r="D17" s="589"/>
      <c r="E17" s="596"/>
      <c r="F17" s="597"/>
      <c r="G17" s="589"/>
      <c r="H17" s="596"/>
      <c r="I17" s="597"/>
      <c r="J17" s="130"/>
      <c r="K17" s="131"/>
      <c r="L17" s="130"/>
      <c r="M17" s="183">
        <f>J17*L17</f>
        <v>0</v>
      </c>
      <c r="N17" s="215"/>
      <c r="O17" s="589" t="s">
        <v>166</v>
      </c>
      <c r="P17" s="590"/>
    </row>
    <row r="18" spans="1:16" ht="15.75" customHeight="1" x14ac:dyDescent="0.25">
      <c r="A18" s="598"/>
      <c r="B18" s="599"/>
      <c r="C18" s="129">
        <v>2</v>
      </c>
      <c r="D18" s="589"/>
      <c r="E18" s="596"/>
      <c r="F18" s="597"/>
      <c r="G18" s="589"/>
      <c r="H18" s="596"/>
      <c r="I18" s="597"/>
      <c r="J18" s="130"/>
      <c r="K18" s="131"/>
      <c r="L18" s="130"/>
      <c r="M18" s="183">
        <f t="shared" ref="M18:M21" si="0">J18*L18</f>
        <v>0</v>
      </c>
      <c r="N18" s="215"/>
      <c r="O18" s="589"/>
      <c r="P18" s="590"/>
    </row>
    <row r="19" spans="1:16" ht="15.75" customHeight="1" x14ac:dyDescent="0.25">
      <c r="A19" s="598"/>
      <c r="B19" s="599"/>
      <c r="C19" s="129">
        <v>3</v>
      </c>
      <c r="D19" s="589"/>
      <c r="E19" s="596"/>
      <c r="F19" s="597"/>
      <c r="G19" s="589"/>
      <c r="H19" s="596"/>
      <c r="I19" s="597"/>
      <c r="J19" s="130"/>
      <c r="K19" s="131"/>
      <c r="L19" s="130"/>
      <c r="M19" s="183">
        <f t="shared" si="0"/>
        <v>0</v>
      </c>
      <c r="N19" s="215"/>
      <c r="O19" s="589"/>
      <c r="P19" s="590"/>
    </row>
    <row r="20" spans="1:16" ht="15.75" customHeight="1" x14ac:dyDescent="0.25">
      <c r="A20" s="598"/>
      <c r="B20" s="599"/>
      <c r="C20" s="129">
        <v>4</v>
      </c>
      <c r="D20" s="589"/>
      <c r="E20" s="596"/>
      <c r="F20" s="597"/>
      <c r="G20" s="600"/>
      <c r="H20" s="596"/>
      <c r="I20" s="597"/>
      <c r="J20" s="130"/>
      <c r="K20" s="131"/>
      <c r="L20" s="130"/>
      <c r="M20" s="183">
        <f t="shared" si="0"/>
        <v>0</v>
      </c>
      <c r="N20" s="215"/>
      <c r="O20" s="589"/>
      <c r="P20" s="590"/>
    </row>
    <row r="21" spans="1:16" ht="15.75" customHeight="1" x14ac:dyDescent="0.25">
      <c r="A21" s="598"/>
      <c r="B21" s="599"/>
      <c r="C21" s="135">
        <v>5</v>
      </c>
      <c r="D21" s="589"/>
      <c r="E21" s="596"/>
      <c r="F21" s="597"/>
      <c r="G21" s="589"/>
      <c r="H21" s="596"/>
      <c r="I21" s="597"/>
      <c r="J21" s="130"/>
      <c r="K21" s="137"/>
      <c r="L21" s="136"/>
      <c r="M21" s="183">
        <f t="shared" si="0"/>
        <v>0</v>
      </c>
      <c r="N21" s="215"/>
      <c r="O21" s="589"/>
      <c r="P21" s="590"/>
    </row>
    <row r="22" spans="1:16" ht="15.75" customHeight="1" x14ac:dyDescent="0.25">
      <c r="A22" s="598"/>
      <c r="B22" s="599"/>
      <c r="C22" s="591"/>
      <c r="D22" s="591"/>
      <c r="E22" s="591"/>
      <c r="F22" s="591"/>
      <c r="G22" s="591"/>
      <c r="H22" s="591"/>
      <c r="I22" s="592"/>
      <c r="J22" s="141" t="s">
        <v>162</v>
      </c>
      <c r="K22" s="403">
        <f>M22/'生產管理報表 7-1(週)'!$B$9</f>
        <v>0</v>
      </c>
      <c r="L22" s="141" t="s">
        <v>163</v>
      </c>
      <c r="M22" s="214">
        <f>SUM(M17:M21)</f>
        <v>0</v>
      </c>
      <c r="N22" s="593"/>
      <c r="O22" s="594"/>
      <c r="P22" s="595"/>
    </row>
    <row r="24" spans="1:16" ht="15.75" customHeight="1" x14ac:dyDescent="0.25">
      <c r="A24" s="598" t="s">
        <v>147</v>
      </c>
      <c r="B24" s="598"/>
      <c r="C24" s="125" t="s">
        <v>91</v>
      </c>
      <c r="D24" s="601" t="s">
        <v>107</v>
      </c>
      <c r="E24" s="602"/>
      <c r="F24" s="603"/>
      <c r="G24" s="126" t="s">
        <v>150</v>
      </c>
      <c r="H24" s="127"/>
      <c r="I24" s="125"/>
      <c r="J24" s="128" t="s">
        <v>151</v>
      </c>
      <c r="K24" s="128" t="s">
        <v>24</v>
      </c>
      <c r="L24" s="128" t="s">
        <v>152</v>
      </c>
      <c r="M24" s="128" t="s">
        <v>139</v>
      </c>
      <c r="N24" s="128" t="s">
        <v>110</v>
      </c>
      <c r="O24" s="604" t="s">
        <v>111</v>
      </c>
      <c r="P24" s="605"/>
    </row>
    <row r="25" spans="1:16" ht="15.75" customHeight="1" x14ac:dyDescent="0.25">
      <c r="A25" s="598">
        <v>3</v>
      </c>
      <c r="B25" s="599" t="s">
        <v>137</v>
      </c>
      <c r="C25" s="129">
        <v>1</v>
      </c>
      <c r="D25" s="589"/>
      <c r="E25" s="596"/>
      <c r="F25" s="597"/>
      <c r="G25" s="600"/>
      <c r="H25" s="596"/>
      <c r="I25" s="597"/>
      <c r="J25" s="130"/>
      <c r="K25" s="131"/>
      <c r="L25" s="130"/>
      <c r="M25" s="132">
        <f>L25*J25</f>
        <v>0</v>
      </c>
      <c r="N25" s="130"/>
      <c r="O25" s="589"/>
      <c r="P25" s="590"/>
    </row>
    <row r="26" spans="1:16" ht="15.75" customHeight="1" x14ac:dyDescent="0.25">
      <c r="A26" s="598"/>
      <c r="B26" s="599"/>
      <c r="C26" s="129">
        <v>2</v>
      </c>
      <c r="D26" s="589"/>
      <c r="E26" s="596"/>
      <c r="F26" s="597"/>
      <c r="G26" s="589"/>
      <c r="H26" s="596"/>
      <c r="I26" s="597"/>
      <c r="J26" s="130"/>
      <c r="K26" s="131"/>
      <c r="L26" s="130"/>
      <c r="M26" s="132">
        <f>L26*J26</f>
        <v>0</v>
      </c>
      <c r="N26" s="130"/>
      <c r="O26" s="133"/>
      <c r="P26" s="134"/>
    </row>
    <row r="27" spans="1:16" ht="15.75" customHeight="1" x14ac:dyDescent="0.25">
      <c r="A27" s="598"/>
      <c r="B27" s="599"/>
      <c r="C27" s="129">
        <v>3</v>
      </c>
      <c r="D27" s="589"/>
      <c r="E27" s="596"/>
      <c r="F27" s="597"/>
      <c r="G27" s="600"/>
      <c r="H27" s="596"/>
      <c r="I27" s="597"/>
      <c r="J27" s="130"/>
      <c r="K27" s="131"/>
      <c r="L27" s="130"/>
      <c r="M27" s="132">
        <f>L27*J27</f>
        <v>0</v>
      </c>
      <c r="N27" s="130"/>
      <c r="O27" s="133"/>
      <c r="P27" s="134"/>
    </row>
    <row r="28" spans="1:16" ht="15.75" customHeight="1" x14ac:dyDescent="0.25">
      <c r="A28" s="598"/>
      <c r="B28" s="599"/>
      <c r="C28" s="129">
        <v>4</v>
      </c>
      <c r="D28" s="589"/>
      <c r="E28" s="596"/>
      <c r="F28" s="597"/>
      <c r="G28" s="589"/>
      <c r="H28" s="596"/>
      <c r="I28" s="597"/>
      <c r="J28" s="130"/>
      <c r="K28" s="131"/>
      <c r="L28" s="130"/>
      <c r="M28" s="132">
        <f>L28*J28</f>
        <v>0</v>
      </c>
      <c r="N28" s="130"/>
      <c r="O28" s="133"/>
      <c r="P28" s="134"/>
    </row>
    <row r="29" spans="1:16" ht="15.75" customHeight="1" x14ac:dyDescent="0.25">
      <c r="A29" s="598"/>
      <c r="B29" s="599"/>
      <c r="C29" s="135">
        <v>5</v>
      </c>
      <c r="D29" s="589"/>
      <c r="E29" s="596"/>
      <c r="F29" s="597"/>
      <c r="G29" s="589"/>
      <c r="H29" s="596"/>
      <c r="I29" s="597"/>
      <c r="J29" s="130"/>
      <c r="K29" s="137"/>
      <c r="L29" s="136"/>
      <c r="M29" s="138">
        <f>L29*J29</f>
        <v>0</v>
      </c>
      <c r="N29" s="130"/>
      <c r="O29" s="139"/>
      <c r="P29" s="140"/>
    </row>
    <row r="30" spans="1:16" ht="15.75" customHeight="1" x14ac:dyDescent="0.25">
      <c r="A30" s="598"/>
      <c r="B30" s="599"/>
      <c r="C30" s="591"/>
      <c r="D30" s="591"/>
      <c r="E30" s="591"/>
      <c r="F30" s="591"/>
      <c r="G30" s="591"/>
      <c r="H30" s="591"/>
      <c r="I30" s="592"/>
      <c r="J30" s="141" t="s">
        <v>162</v>
      </c>
      <c r="K30" s="403">
        <f>M30/'生產管理報表 7-1(週)'!$B$9</f>
        <v>0</v>
      </c>
      <c r="L30" s="141" t="s">
        <v>163</v>
      </c>
      <c r="M30" s="143">
        <f>SUM(M25:M29)</f>
        <v>0</v>
      </c>
      <c r="N30" s="593"/>
      <c r="O30" s="594"/>
      <c r="P30" s="595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K21" sqref="K21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56" width="12.5703125" style="2" customWidth="1"/>
    <col min="57" max="16384" width="12.5703125" style="2"/>
  </cols>
  <sheetData>
    <row r="1" spans="1:17" s="117" customFormat="1" ht="15.75" customHeight="1" x14ac:dyDescent="0.25">
      <c r="A1" s="609" t="s">
        <v>103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609"/>
      <c r="Q1" s="609"/>
    </row>
    <row r="2" spans="1:17" s="118" customFormat="1" ht="15.75" customHeight="1" x14ac:dyDescent="0.25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</row>
    <row r="3" spans="1:17" s="117" customFormat="1" ht="15.75" customHeight="1" x14ac:dyDescent="0.25">
      <c r="A3" s="610" t="s">
        <v>146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</row>
    <row r="4" spans="1:17" s="118" customFormat="1" ht="15.75" customHeight="1" x14ac:dyDescent="0.25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</row>
    <row r="5" spans="1:17" s="117" customFormat="1" ht="15.75" customHeight="1" x14ac:dyDescent="0.25">
      <c r="A5" s="462" t="s">
        <v>147</v>
      </c>
      <c r="B5" s="598">
        <v>1</v>
      </c>
      <c r="C5" s="598"/>
      <c r="D5" s="598">
        <v>2</v>
      </c>
      <c r="E5" s="598"/>
      <c r="F5" s="598">
        <v>3</v>
      </c>
      <c r="G5" s="598"/>
      <c r="H5" s="612">
        <v>4</v>
      </c>
      <c r="I5" s="612"/>
      <c r="J5" s="612">
        <v>5</v>
      </c>
      <c r="K5" s="612"/>
      <c r="L5" s="612">
        <v>6</v>
      </c>
      <c r="M5" s="612"/>
      <c r="N5" s="612">
        <v>7</v>
      </c>
      <c r="O5" s="612"/>
      <c r="P5" s="598">
        <v>8</v>
      </c>
      <c r="Q5" s="598"/>
    </row>
    <row r="6" spans="1:17" s="117" customFormat="1" ht="15.75" customHeight="1" x14ac:dyDescent="0.25">
      <c r="A6" s="462"/>
      <c r="B6" s="462" t="s">
        <v>135</v>
      </c>
      <c r="C6" s="462"/>
      <c r="D6" s="462" t="s">
        <v>148</v>
      </c>
      <c r="E6" s="462"/>
      <c r="F6" s="462" t="s">
        <v>137</v>
      </c>
      <c r="G6" s="462"/>
      <c r="H6" s="638" t="s">
        <v>138</v>
      </c>
      <c r="I6" s="613"/>
      <c r="J6" s="613" t="s">
        <v>142</v>
      </c>
      <c r="K6" s="613"/>
      <c r="L6" s="613" t="s">
        <v>143</v>
      </c>
      <c r="M6" s="613"/>
      <c r="N6" s="613" t="s">
        <v>144</v>
      </c>
      <c r="O6" s="613"/>
      <c r="P6" s="606" t="s">
        <v>149</v>
      </c>
      <c r="Q6" s="462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621" t="s">
        <v>147</v>
      </c>
      <c r="B8" s="622"/>
      <c r="C8" s="114" t="s">
        <v>91</v>
      </c>
      <c r="D8" s="623" t="s">
        <v>107</v>
      </c>
      <c r="E8" s="624"/>
      <c r="F8" s="625"/>
      <c r="G8" s="112" t="s">
        <v>150</v>
      </c>
      <c r="H8" s="113"/>
      <c r="I8" s="114"/>
      <c r="J8" s="111" t="s">
        <v>151</v>
      </c>
      <c r="K8" s="111" t="s">
        <v>24</v>
      </c>
      <c r="L8" s="111" t="s">
        <v>152</v>
      </c>
      <c r="M8" s="115" t="s">
        <v>139</v>
      </c>
      <c r="N8" s="115" t="s">
        <v>153</v>
      </c>
      <c r="O8" s="626" t="s">
        <v>111</v>
      </c>
      <c r="P8" s="627"/>
    </row>
    <row r="9" spans="1:17" ht="15.75" customHeight="1" x14ac:dyDescent="0.25">
      <c r="A9" s="622">
        <v>4</v>
      </c>
      <c r="B9" s="633" t="s">
        <v>138</v>
      </c>
      <c r="C9" s="109">
        <v>1</v>
      </c>
      <c r="D9" s="632" t="s">
        <v>390</v>
      </c>
      <c r="E9" s="630"/>
      <c r="F9" s="631"/>
      <c r="G9" s="589" t="s">
        <v>389</v>
      </c>
      <c r="H9" s="630"/>
      <c r="I9" s="631"/>
      <c r="J9" s="4">
        <v>100.1</v>
      </c>
      <c r="K9" s="14">
        <v>1.4E-2</v>
      </c>
      <c r="L9" s="4">
        <v>4.5999999999999996</v>
      </c>
      <c r="M9" s="186">
        <f>L9*J9</f>
        <v>460.45999999999992</v>
      </c>
      <c r="N9" s="212"/>
      <c r="O9" s="614" t="s">
        <v>169</v>
      </c>
      <c r="P9" s="615"/>
    </row>
    <row r="10" spans="1:17" ht="15.75" customHeight="1" x14ac:dyDescent="0.25">
      <c r="A10" s="622"/>
      <c r="B10" s="634"/>
      <c r="C10" s="109">
        <v>2</v>
      </c>
      <c r="D10" s="632" t="s">
        <v>392</v>
      </c>
      <c r="E10" s="630"/>
      <c r="F10" s="631"/>
      <c r="G10" s="589" t="s">
        <v>391</v>
      </c>
      <c r="H10" s="630"/>
      <c r="I10" s="631"/>
      <c r="J10" s="4">
        <v>850.9</v>
      </c>
      <c r="K10" s="14">
        <v>5.0000000000000001E-3</v>
      </c>
      <c r="L10" s="4">
        <v>0.3</v>
      </c>
      <c r="M10" s="186">
        <f>L10*J10</f>
        <v>255.26999999999998</v>
      </c>
      <c r="N10" s="212"/>
      <c r="O10" s="614" t="s">
        <v>169</v>
      </c>
      <c r="P10" s="615"/>
    </row>
    <row r="11" spans="1:17" ht="15.75" customHeight="1" x14ac:dyDescent="0.25">
      <c r="A11" s="622"/>
      <c r="B11" s="634"/>
      <c r="C11" s="109">
        <v>3</v>
      </c>
      <c r="D11" s="632" t="s">
        <v>121</v>
      </c>
      <c r="E11" s="630"/>
      <c r="F11" s="631"/>
      <c r="G11" s="589" t="s">
        <v>171</v>
      </c>
      <c r="H11" s="630"/>
      <c r="I11" s="631"/>
      <c r="J11" s="4">
        <v>125.6</v>
      </c>
      <c r="K11" s="14">
        <v>1E-3</v>
      </c>
      <c r="L11" s="4">
        <v>1.8</v>
      </c>
      <c r="M11" s="186">
        <f>L11*J11</f>
        <v>226.07999999999998</v>
      </c>
      <c r="N11" s="212">
        <v>0.16070000000000001</v>
      </c>
      <c r="O11" s="614" t="s">
        <v>169</v>
      </c>
      <c r="P11" s="615"/>
    </row>
    <row r="12" spans="1:17" ht="15.75" customHeight="1" x14ac:dyDescent="0.25">
      <c r="A12" s="622"/>
      <c r="B12" s="634"/>
      <c r="C12" s="109">
        <v>4</v>
      </c>
      <c r="D12" s="632"/>
      <c r="E12" s="630"/>
      <c r="F12" s="631"/>
      <c r="G12" s="589"/>
      <c r="H12" s="630"/>
      <c r="I12" s="631"/>
      <c r="J12" s="4"/>
      <c r="K12" s="14"/>
      <c r="L12" s="4"/>
      <c r="M12" s="186">
        <f>L12*J12</f>
        <v>0</v>
      </c>
      <c r="N12" s="212"/>
      <c r="O12" s="614" t="s">
        <v>169</v>
      </c>
      <c r="P12" s="615"/>
    </row>
    <row r="13" spans="1:17" ht="15.75" customHeight="1" x14ac:dyDescent="0.25">
      <c r="A13" s="622"/>
      <c r="B13" s="634"/>
      <c r="C13" s="110">
        <v>5</v>
      </c>
      <c r="D13" s="632"/>
      <c r="E13" s="630"/>
      <c r="F13" s="631"/>
      <c r="G13" s="589"/>
      <c r="H13" s="630"/>
      <c r="I13" s="631"/>
      <c r="J13" s="4"/>
      <c r="K13" s="30"/>
      <c r="L13" s="27"/>
      <c r="M13" s="186">
        <f>L13*J13</f>
        <v>0</v>
      </c>
      <c r="N13" s="212"/>
      <c r="O13" s="614" t="s">
        <v>172</v>
      </c>
      <c r="P13" s="615"/>
    </row>
    <row r="14" spans="1:17" ht="15.75" customHeight="1" x14ac:dyDescent="0.25">
      <c r="A14" s="622"/>
      <c r="B14" s="634"/>
      <c r="C14" s="628"/>
      <c r="D14" s="628"/>
      <c r="E14" s="628"/>
      <c r="F14" s="628"/>
      <c r="G14" s="628"/>
      <c r="H14" s="628"/>
      <c r="I14" s="629"/>
      <c r="J14" s="116" t="s">
        <v>162</v>
      </c>
      <c r="K14" s="403">
        <f>M14/'生產管理報表 7-1(週)'!$B$9</f>
        <v>1.5889830553155685E-2</v>
      </c>
      <c r="L14" s="116" t="s">
        <v>163</v>
      </c>
      <c r="M14" s="402">
        <f>SUM(M9:M13)</f>
        <v>941.81</v>
      </c>
      <c r="N14" s="616"/>
      <c r="O14" s="617"/>
      <c r="P14" s="618"/>
    </row>
    <row r="16" spans="1:17" ht="15.75" customHeight="1" x14ac:dyDescent="0.2">
      <c r="A16" s="621" t="s">
        <v>147</v>
      </c>
      <c r="B16" s="622"/>
      <c r="C16" s="114" t="s">
        <v>91</v>
      </c>
      <c r="D16" s="623" t="s">
        <v>107</v>
      </c>
      <c r="E16" s="624"/>
      <c r="F16" s="625"/>
      <c r="G16" s="112" t="s">
        <v>150</v>
      </c>
      <c r="H16" s="113"/>
      <c r="I16" s="114"/>
      <c r="J16" s="111" t="s">
        <v>151</v>
      </c>
      <c r="K16" s="111" t="s">
        <v>24</v>
      </c>
      <c r="L16" s="111" t="s">
        <v>152</v>
      </c>
      <c r="M16" s="115" t="s">
        <v>139</v>
      </c>
      <c r="N16" s="115" t="s">
        <v>153</v>
      </c>
      <c r="O16" s="626" t="s">
        <v>111</v>
      </c>
      <c r="P16" s="627"/>
    </row>
    <row r="17" spans="1:16" x14ac:dyDescent="0.25">
      <c r="A17" s="622">
        <v>5</v>
      </c>
      <c r="B17" s="633" t="s">
        <v>142</v>
      </c>
      <c r="C17" s="109">
        <v>1</v>
      </c>
      <c r="D17" s="632" t="s">
        <v>386</v>
      </c>
      <c r="E17" s="630"/>
      <c r="F17" s="631"/>
      <c r="G17" s="589" t="s">
        <v>393</v>
      </c>
      <c r="H17" s="630"/>
      <c r="I17" s="631"/>
      <c r="J17" s="4">
        <v>6.5</v>
      </c>
      <c r="K17" s="14">
        <v>1.4999999999999999E-2</v>
      </c>
      <c r="L17" s="4">
        <v>996</v>
      </c>
      <c r="M17" s="186">
        <f>L17*J17</f>
        <v>6474</v>
      </c>
      <c r="N17" s="212"/>
      <c r="O17" s="614"/>
      <c r="P17" s="615"/>
    </row>
    <row r="18" spans="1:16" ht="15.75" customHeight="1" x14ac:dyDescent="0.25">
      <c r="A18" s="622"/>
      <c r="B18" s="634"/>
      <c r="C18" s="109">
        <v>2</v>
      </c>
      <c r="D18" s="632" t="s">
        <v>396</v>
      </c>
      <c r="E18" s="630"/>
      <c r="F18" s="631"/>
      <c r="G18" s="589" t="s">
        <v>394</v>
      </c>
      <c r="H18" s="630"/>
      <c r="I18" s="631"/>
      <c r="J18" s="4">
        <v>19.5</v>
      </c>
      <c r="K18" s="14">
        <v>7.0000000000000001E-3</v>
      </c>
      <c r="L18" s="4">
        <v>94</v>
      </c>
      <c r="M18" s="186">
        <f>L18*J18</f>
        <v>1833</v>
      </c>
      <c r="N18" s="4"/>
      <c r="O18" s="614"/>
      <c r="P18" s="615"/>
    </row>
    <row r="19" spans="1:16" ht="15.75" customHeight="1" x14ac:dyDescent="0.25">
      <c r="A19" s="622"/>
      <c r="B19" s="634"/>
      <c r="C19" s="109">
        <v>3</v>
      </c>
      <c r="D19" s="632" t="s">
        <v>397</v>
      </c>
      <c r="E19" s="630"/>
      <c r="F19" s="631"/>
      <c r="G19" s="632" t="s">
        <v>395</v>
      </c>
      <c r="H19" s="630"/>
      <c r="I19" s="631"/>
      <c r="J19" s="4">
        <v>90</v>
      </c>
      <c r="K19" s="14">
        <v>1.4999999999999999E-2</v>
      </c>
      <c r="L19" s="4">
        <v>6</v>
      </c>
      <c r="M19" s="186">
        <f>L19*J19</f>
        <v>540</v>
      </c>
      <c r="N19" s="4"/>
      <c r="O19" s="614"/>
      <c r="P19" s="615"/>
    </row>
    <row r="20" spans="1:16" ht="15.75" customHeight="1" x14ac:dyDescent="0.25">
      <c r="A20" s="622"/>
      <c r="B20" s="634"/>
      <c r="C20" s="109">
        <v>4</v>
      </c>
      <c r="D20" s="632"/>
      <c r="E20" s="630"/>
      <c r="F20" s="631"/>
      <c r="G20" s="589"/>
      <c r="H20" s="630"/>
      <c r="I20" s="631"/>
      <c r="J20" s="4"/>
      <c r="K20" s="14"/>
      <c r="L20" s="4"/>
      <c r="M20" s="186">
        <f>L20*J20</f>
        <v>0</v>
      </c>
      <c r="N20" s="4"/>
      <c r="O20" s="76"/>
      <c r="P20" s="74"/>
    </row>
    <row r="21" spans="1:16" ht="15.75" customHeight="1" x14ac:dyDescent="0.25">
      <c r="A21" s="622"/>
      <c r="B21" s="634"/>
      <c r="C21" s="110">
        <v>5</v>
      </c>
      <c r="D21" s="632"/>
      <c r="E21" s="630"/>
      <c r="F21" s="631"/>
      <c r="G21" s="589"/>
      <c r="H21" s="630"/>
      <c r="I21" s="631"/>
      <c r="J21" s="4"/>
      <c r="K21" s="30"/>
      <c r="L21" s="27"/>
      <c r="M21" s="185">
        <f>L21*J21</f>
        <v>0</v>
      </c>
      <c r="N21" s="4"/>
      <c r="O21" s="77"/>
      <c r="P21" s="75"/>
    </row>
    <row r="22" spans="1:16" ht="15.75" customHeight="1" x14ac:dyDescent="0.25">
      <c r="A22" s="622"/>
      <c r="B22" s="634"/>
      <c r="C22" s="628"/>
      <c r="D22" s="628"/>
      <c r="E22" s="628"/>
      <c r="F22" s="628"/>
      <c r="G22" s="628"/>
      <c r="H22" s="628"/>
      <c r="I22" s="629"/>
      <c r="J22" s="116" t="s">
        <v>162</v>
      </c>
      <c r="K22" s="403">
        <f>M22/'生產管理報表 7-1(週)'!$B$9</f>
        <v>0.14926294146777838</v>
      </c>
      <c r="L22" s="116" t="s">
        <v>163</v>
      </c>
      <c r="M22" s="402">
        <f>SUM(M17:M21)</f>
        <v>8847</v>
      </c>
      <c r="N22" s="616"/>
      <c r="O22" s="617"/>
      <c r="P22" s="618"/>
    </row>
    <row r="24" spans="1:16" ht="15.75" customHeight="1" x14ac:dyDescent="0.2">
      <c r="A24" s="621" t="s">
        <v>147</v>
      </c>
      <c r="B24" s="622"/>
      <c r="C24" s="114" t="s">
        <v>91</v>
      </c>
      <c r="D24" s="623" t="s">
        <v>107</v>
      </c>
      <c r="E24" s="624"/>
      <c r="F24" s="625"/>
      <c r="G24" s="112" t="s">
        <v>150</v>
      </c>
      <c r="H24" s="113"/>
      <c r="I24" s="114"/>
      <c r="J24" s="111" t="s">
        <v>151</v>
      </c>
      <c r="K24" s="111" t="s">
        <v>24</v>
      </c>
      <c r="L24" s="111" t="s">
        <v>152</v>
      </c>
      <c r="M24" s="115" t="s">
        <v>139</v>
      </c>
      <c r="N24" s="115" t="s">
        <v>110</v>
      </c>
      <c r="O24" s="626" t="s">
        <v>111</v>
      </c>
      <c r="P24" s="627"/>
    </row>
    <row r="25" spans="1:16" ht="15.75" customHeight="1" x14ac:dyDescent="0.25">
      <c r="A25" s="622">
        <v>6</v>
      </c>
      <c r="B25" s="633" t="s">
        <v>143</v>
      </c>
      <c r="C25" s="109">
        <v>1</v>
      </c>
      <c r="D25" s="632"/>
      <c r="E25" s="630"/>
      <c r="F25" s="631"/>
      <c r="G25" s="589"/>
      <c r="H25" s="630"/>
      <c r="I25" s="631"/>
      <c r="J25" s="4"/>
      <c r="K25" s="14"/>
      <c r="L25" s="4"/>
      <c r="M25" s="186">
        <f>L25*J25</f>
        <v>0</v>
      </c>
      <c r="N25" s="212"/>
      <c r="O25" s="589"/>
      <c r="P25" s="590"/>
    </row>
    <row r="26" spans="1:16" ht="15.75" customHeight="1" x14ac:dyDescent="0.25">
      <c r="A26" s="622"/>
      <c r="B26" s="634"/>
      <c r="C26" s="109">
        <v>2</v>
      </c>
      <c r="D26" s="632"/>
      <c r="E26" s="630"/>
      <c r="F26" s="631"/>
      <c r="G26" s="632"/>
      <c r="H26" s="630"/>
      <c r="I26" s="631"/>
      <c r="J26" s="4"/>
      <c r="K26" s="14"/>
      <c r="L26" s="4"/>
      <c r="M26" s="186">
        <f>L26*J26</f>
        <v>0</v>
      </c>
      <c r="N26" s="212"/>
      <c r="O26" s="589"/>
      <c r="P26" s="590"/>
    </row>
    <row r="27" spans="1:16" ht="15.75" customHeight="1" x14ac:dyDescent="0.25">
      <c r="A27" s="622"/>
      <c r="B27" s="634"/>
      <c r="C27" s="109">
        <v>3</v>
      </c>
      <c r="D27" s="632"/>
      <c r="E27" s="630"/>
      <c r="F27" s="631"/>
      <c r="G27" s="632"/>
      <c r="H27" s="630"/>
      <c r="I27" s="631"/>
      <c r="J27" s="4"/>
      <c r="K27" s="14"/>
      <c r="L27" s="4"/>
      <c r="M27" s="183"/>
      <c r="N27" s="212"/>
      <c r="O27" s="589"/>
      <c r="P27" s="590"/>
    </row>
    <row r="28" spans="1:16" ht="15.75" customHeight="1" x14ac:dyDescent="0.25">
      <c r="A28" s="622"/>
      <c r="B28" s="634"/>
      <c r="C28" s="109">
        <v>4</v>
      </c>
      <c r="D28" s="632"/>
      <c r="E28" s="630"/>
      <c r="F28" s="631"/>
      <c r="G28" s="589"/>
      <c r="H28" s="630"/>
      <c r="I28" s="631"/>
      <c r="J28" s="4"/>
      <c r="K28" s="14"/>
      <c r="L28" s="4"/>
      <c r="M28" s="185"/>
      <c r="N28" s="212"/>
      <c r="O28" s="614"/>
      <c r="P28" s="619"/>
    </row>
    <row r="29" spans="1:16" ht="15.75" customHeight="1" x14ac:dyDescent="0.25">
      <c r="A29" s="622"/>
      <c r="B29" s="634"/>
      <c r="C29" s="110">
        <v>5</v>
      </c>
      <c r="D29" s="635"/>
      <c r="E29" s="636"/>
      <c r="F29" s="637"/>
      <c r="G29" s="635"/>
      <c r="H29" s="636"/>
      <c r="I29" s="637"/>
      <c r="J29" s="27"/>
      <c r="K29" s="30"/>
      <c r="L29" s="27"/>
      <c r="M29" s="186"/>
      <c r="N29" s="212"/>
      <c r="O29" s="620"/>
      <c r="P29" s="615"/>
    </row>
    <row r="30" spans="1:16" ht="15.75" customHeight="1" x14ac:dyDescent="0.25">
      <c r="A30" s="622"/>
      <c r="B30" s="634"/>
      <c r="C30" s="628"/>
      <c r="D30" s="628"/>
      <c r="E30" s="628"/>
      <c r="F30" s="628"/>
      <c r="G30" s="628"/>
      <c r="H30" s="628"/>
      <c r="I30" s="629"/>
      <c r="J30" s="116" t="s">
        <v>162</v>
      </c>
      <c r="K30" s="403">
        <f>M30/'生產管理報表 7-1(週)'!$B$9</f>
        <v>0</v>
      </c>
      <c r="L30" s="116" t="s">
        <v>163</v>
      </c>
      <c r="M30" s="402">
        <f>SUM(M25:M29)</f>
        <v>0</v>
      </c>
      <c r="N30" s="616"/>
      <c r="O30" s="617"/>
      <c r="P30" s="618"/>
    </row>
    <row r="32" spans="1:16" ht="15.75" customHeight="1" x14ac:dyDescent="0.2">
      <c r="A32" s="621" t="s">
        <v>147</v>
      </c>
      <c r="B32" s="622"/>
      <c r="C32" s="114" t="s">
        <v>91</v>
      </c>
      <c r="D32" s="623" t="s">
        <v>107</v>
      </c>
      <c r="E32" s="624"/>
      <c r="F32" s="625"/>
      <c r="G32" s="112" t="s">
        <v>150</v>
      </c>
      <c r="H32" s="113"/>
      <c r="I32" s="114"/>
      <c r="J32" s="111" t="s">
        <v>151</v>
      </c>
      <c r="K32" s="111" t="s">
        <v>24</v>
      </c>
      <c r="L32" s="111" t="s">
        <v>152</v>
      </c>
      <c r="M32" s="115" t="s">
        <v>139</v>
      </c>
      <c r="N32" s="115" t="s">
        <v>110</v>
      </c>
      <c r="O32" s="626" t="s">
        <v>111</v>
      </c>
      <c r="P32" s="627"/>
    </row>
    <row r="33" spans="1:16" ht="15.75" customHeight="1" x14ac:dyDescent="0.25">
      <c r="A33" s="622">
        <v>7</v>
      </c>
      <c r="B33" s="633" t="s">
        <v>137</v>
      </c>
      <c r="C33" s="109">
        <v>1</v>
      </c>
      <c r="D33" s="632"/>
      <c r="E33" s="630"/>
      <c r="F33" s="631"/>
      <c r="G33" s="589"/>
      <c r="H33" s="630"/>
      <c r="I33" s="631"/>
      <c r="J33" s="4"/>
      <c r="K33" s="14"/>
      <c r="L33" s="4"/>
      <c r="M33" s="16">
        <v>0</v>
      </c>
      <c r="N33" s="4"/>
      <c r="O33" s="76"/>
      <c r="P33" s="74"/>
    </row>
    <row r="34" spans="1:16" ht="15.75" customHeight="1" x14ac:dyDescent="0.25">
      <c r="A34" s="622"/>
      <c r="B34" s="634"/>
      <c r="C34" s="109">
        <v>2</v>
      </c>
      <c r="D34" s="632"/>
      <c r="E34" s="630"/>
      <c r="F34" s="631"/>
      <c r="G34" s="589"/>
      <c r="H34" s="630"/>
      <c r="I34" s="631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5">
      <c r="A35" s="622"/>
      <c r="B35" s="634"/>
      <c r="C35" s="109">
        <v>3</v>
      </c>
      <c r="D35" s="632"/>
      <c r="E35" s="630"/>
      <c r="F35" s="631"/>
      <c r="G35" s="632"/>
      <c r="H35" s="630"/>
      <c r="I35" s="631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5">
      <c r="A36" s="622"/>
      <c r="B36" s="634"/>
      <c r="C36" s="109">
        <v>4</v>
      </c>
      <c r="D36" s="632"/>
      <c r="E36" s="630"/>
      <c r="F36" s="631"/>
      <c r="G36" s="589"/>
      <c r="H36" s="630"/>
      <c r="I36" s="631"/>
      <c r="J36" s="4"/>
      <c r="K36" s="14"/>
      <c r="L36" s="4"/>
      <c r="M36" s="16">
        <v>0</v>
      </c>
      <c r="N36" s="4"/>
      <c r="O36" s="76"/>
      <c r="P36" s="74"/>
    </row>
    <row r="37" spans="1:16" ht="15.75" customHeight="1" x14ac:dyDescent="0.25">
      <c r="A37" s="622"/>
      <c r="B37" s="634"/>
      <c r="C37" s="110">
        <v>5</v>
      </c>
      <c r="D37" s="632"/>
      <c r="E37" s="630"/>
      <c r="F37" s="631"/>
      <c r="G37" s="589"/>
      <c r="H37" s="630"/>
      <c r="I37" s="631"/>
      <c r="J37" s="4"/>
      <c r="K37" s="30"/>
      <c r="L37" s="27"/>
      <c r="M37" s="31">
        <v>0</v>
      </c>
      <c r="N37" s="4"/>
      <c r="O37" s="77"/>
      <c r="P37" s="75"/>
    </row>
    <row r="38" spans="1:16" ht="15.75" customHeight="1" x14ac:dyDescent="0.25">
      <c r="A38" s="622"/>
      <c r="B38" s="634"/>
      <c r="C38" s="628"/>
      <c r="D38" s="628"/>
      <c r="E38" s="628"/>
      <c r="F38" s="628"/>
      <c r="G38" s="628"/>
      <c r="H38" s="628"/>
      <c r="I38" s="629"/>
      <c r="J38" s="116" t="s">
        <v>162</v>
      </c>
      <c r="K38" s="403">
        <f>M38/'生產管理報表 7-1(週)'!$B$9</f>
        <v>0</v>
      </c>
      <c r="L38" s="116" t="s">
        <v>163</v>
      </c>
      <c r="M38" s="34">
        <v>0</v>
      </c>
      <c r="N38" s="616"/>
      <c r="O38" s="617"/>
      <c r="P38" s="618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="85" zoomScaleNormal="60" zoomScaleSheetLayoutView="85" workbookViewId="0">
      <selection activeCell="D20" sqref="D20:F20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56" width="12.5703125" style="117" customWidth="1"/>
    <col min="57" max="16384" width="12.5703125" style="117"/>
  </cols>
  <sheetData>
    <row r="1" spans="1:17" ht="15.75" customHeight="1" x14ac:dyDescent="0.25">
      <c r="A1" s="609" t="s">
        <v>103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609"/>
      <c r="Q1" s="609"/>
    </row>
    <row r="2" spans="1:17" s="118" customFormat="1" ht="15.75" customHeight="1" x14ac:dyDescent="0.25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</row>
    <row r="3" spans="1:17" ht="15.75" customHeight="1" x14ac:dyDescent="0.25">
      <c r="A3" s="610" t="s">
        <v>173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</row>
    <row r="4" spans="1:17" s="118" customFormat="1" ht="15.75" customHeight="1" x14ac:dyDescent="0.25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</row>
    <row r="5" spans="1:17" ht="15.75" customHeight="1" x14ac:dyDescent="0.25">
      <c r="A5" s="462" t="s">
        <v>147</v>
      </c>
      <c r="B5" s="612">
        <v>1</v>
      </c>
      <c r="C5" s="612"/>
      <c r="D5" s="612">
        <v>2</v>
      </c>
      <c r="E5" s="612"/>
      <c r="F5" s="612">
        <v>3</v>
      </c>
      <c r="G5" s="612"/>
      <c r="H5" s="598">
        <v>4</v>
      </c>
      <c r="I5" s="598"/>
      <c r="J5" s="598">
        <v>5</v>
      </c>
      <c r="K5" s="598"/>
      <c r="L5" s="598">
        <v>6</v>
      </c>
      <c r="M5" s="598"/>
      <c r="N5" s="598">
        <v>7</v>
      </c>
      <c r="O5" s="598"/>
      <c r="P5" s="598">
        <v>8</v>
      </c>
      <c r="Q5" s="598"/>
    </row>
    <row r="6" spans="1:17" ht="15.75" customHeight="1" x14ac:dyDescent="0.25">
      <c r="A6" s="462"/>
      <c r="B6" s="613" t="s">
        <v>135</v>
      </c>
      <c r="C6" s="613"/>
      <c r="D6" s="613" t="s">
        <v>148</v>
      </c>
      <c r="E6" s="613"/>
      <c r="F6" s="613" t="s">
        <v>137</v>
      </c>
      <c r="G6" s="613"/>
      <c r="H6" s="606" t="s">
        <v>138</v>
      </c>
      <c r="I6" s="606"/>
      <c r="J6" s="462" t="s">
        <v>142</v>
      </c>
      <c r="K6" s="462"/>
      <c r="L6" s="462" t="s">
        <v>143</v>
      </c>
      <c r="M6" s="462"/>
      <c r="N6" s="462" t="s">
        <v>144</v>
      </c>
      <c r="O6" s="462"/>
      <c r="P6" s="606" t="s">
        <v>149</v>
      </c>
      <c r="Q6" s="462"/>
    </row>
    <row r="8" spans="1:17" s="119" customFormat="1" ht="15.75" customHeight="1" x14ac:dyDescent="0.2">
      <c r="A8" s="598" t="s">
        <v>147</v>
      </c>
      <c r="B8" s="598"/>
      <c r="C8" s="125" t="s">
        <v>91</v>
      </c>
      <c r="D8" s="601" t="s">
        <v>107</v>
      </c>
      <c r="E8" s="602"/>
      <c r="F8" s="603"/>
      <c r="G8" s="126" t="s">
        <v>150</v>
      </c>
      <c r="H8" s="127"/>
      <c r="I8" s="125"/>
      <c r="J8" s="128" t="s">
        <v>151</v>
      </c>
      <c r="K8" s="297" t="s">
        <v>27</v>
      </c>
      <c r="L8" s="128" t="s">
        <v>152</v>
      </c>
      <c r="M8" s="128" t="s">
        <v>139</v>
      </c>
      <c r="N8" s="128" t="s">
        <v>153</v>
      </c>
      <c r="O8" s="604" t="s">
        <v>111</v>
      </c>
      <c r="P8" s="605"/>
    </row>
    <row r="9" spans="1:17" ht="15.75" customHeight="1" x14ac:dyDescent="0.25">
      <c r="A9" s="598">
        <v>1</v>
      </c>
      <c r="B9" s="599" t="s">
        <v>154</v>
      </c>
      <c r="C9" s="129">
        <v>1</v>
      </c>
      <c r="D9" s="589" t="s">
        <v>114</v>
      </c>
      <c r="E9" s="596"/>
      <c r="F9" s="597"/>
      <c r="G9" s="600" t="s">
        <v>157</v>
      </c>
      <c r="H9" s="596"/>
      <c r="I9" s="597"/>
      <c r="J9" s="130">
        <v>153.80000000000001</v>
      </c>
      <c r="K9" s="131">
        <v>2.5000000000000001E-2</v>
      </c>
      <c r="L9" s="130">
        <v>61.8</v>
      </c>
      <c r="M9" s="183">
        <f>L9*J9</f>
        <v>9504.84</v>
      </c>
      <c r="N9" s="406">
        <v>1.0282</v>
      </c>
      <c r="O9" s="589" t="s">
        <v>156</v>
      </c>
      <c r="P9" s="590"/>
    </row>
    <row r="10" spans="1:17" ht="15.75" customHeight="1" x14ac:dyDescent="0.25">
      <c r="A10" s="598"/>
      <c r="B10" s="599"/>
      <c r="C10" s="129">
        <v>2</v>
      </c>
      <c r="D10" s="589" t="s">
        <v>158</v>
      </c>
      <c r="E10" s="596"/>
      <c r="F10" s="597"/>
      <c r="G10" s="600" t="s">
        <v>159</v>
      </c>
      <c r="H10" s="596"/>
      <c r="I10" s="597"/>
      <c r="J10" s="130">
        <v>193.2</v>
      </c>
      <c r="K10" s="131">
        <v>0.03</v>
      </c>
      <c r="L10" s="130">
        <v>37.5</v>
      </c>
      <c r="M10" s="183">
        <f>L10*J10</f>
        <v>7245</v>
      </c>
      <c r="N10" s="131">
        <v>0.98899999999999999</v>
      </c>
      <c r="O10" s="589" t="s">
        <v>156</v>
      </c>
      <c r="P10" s="590"/>
    </row>
    <row r="11" spans="1:17" ht="15.75" customHeight="1" x14ac:dyDescent="0.25">
      <c r="A11" s="598"/>
      <c r="B11" s="599"/>
      <c r="C11" s="129">
        <v>3</v>
      </c>
      <c r="D11" s="589" t="s">
        <v>386</v>
      </c>
      <c r="E11" s="596"/>
      <c r="F11" s="597"/>
      <c r="G11" s="600" t="s">
        <v>385</v>
      </c>
      <c r="H11" s="596"/>
      <c r="I11" s="597"/>
      <c r="J11" s="130">
        <v>84.6</v>
      </c>
      <c r="K11" s="131">
        <v>2.1000000000000001E-2</v>
      </c>
      <c r="L11" s="130">
        <v>60.6</v>
      </c>
      <c r="M11" s="183">
        <f>L11*J11</f>
        <v>5126.76</v>
      </c>
      <c r="N11" s="130"/>
      <c r="O11" s="589" t="s">
        <v>156</v>
      </c>
      <c r="P11" s="590"/>
    </row>
    <row r="12" spans="1:17" ht="15.75" customHeight="1" x14ac:dyDescent="0.25">
      <c r="A12" s="598"/>
      <c r="B12" s="599"/>
      <c r="C12" s="129">
        <v>4</v>
      </c>
      <c r="D12" s="589" t="s">
        <v>396</v>
      </c>
      <c r="E12" s="596"/>
      <c r="F12" s="597"/>
      <c r="G12" s="589" t="s">
        <v>401</v>
      </c>
      <c r="H12" s="596"/>
      <c r="I12" s="597"/>
      <c r="J12" s="130">
        <v>95.5</v>
      </c>
      <c r="K12" s="131">
        <v>3.3000000000000002E-2</v>
      </c>
      <c r="L12" s="130">
        <v>25.7</v>
      </c>
      <c r="M12" s="183">
        <f>L12*J12</f>
        <v>2454.35</v>
      </c>
      <c r="N12" s="130"/>
      <c r="O12" s="589" t="s">
        <v>156</v>
      </c>
      <c r="P12" s="590"/>
    </row>
    <row r="13" spans="1:17" ht="15.75" customHeight="1" x14ac:dyDescent="0.25">
      <c r="A13" s="598"/>
      <c r="B13" s="599"/>
      <c r="C13" s="135">
        <v>5</v>
      </c>
      <c r="D13" s="589" t="s">
        <v>397</v>
      </c>
      <c r="E13" s="596"/>
      <c r="F13" s="597"/>
      <c r="G13" s="641" t="s">
        <v>402</v>
      </c>
      <c r="H13" s="642"/>
      <c r="I13" s="643"/>
      <c r="J13" s="136">
        <v>85</v>
      </c>
      <c r="K13" s="137">
        <v>0.01</v>
      </c>
      <c r="L13" s="136">
        <v>23.4</v>
      </c>
      <c r="M13" s="184">
        <f>L13*J13</f>
        <v>1988.9999999999998</v>
      </c>
      <c r="N13" s="131"/>
      <c r="O13" s="589" t="s">
        <v>156</v>
      </c>
      <c r="P13" s="590"/>
    </row>
    <row r="14" spans="1:17" ht="15.75" customHeight="1" x14ac:dyDescent="0.25">
      <c r="A14" s="598"/>
      <c r="B14" s="599"/>
      <c r="C14" s="591"/>
      <c r="D14" s="591"/>
      <c r="E14" s="591"/>
      <c r="F14" s="591"/>
      <c r="G14" s="591"/>
      <c r="H14" s="591"/>
      <c r="I14" s="592"/>
      <c r="J14" s="141" t="s">
        <v>162</v>
      </c>
      <c r="K14" s="142">
        <f>M14/'生產管理報表 7-1(週)'!$B$10</f>
        <v>0.46391352367013294</v>
      </c>
      <c r="L14" s="141" t="s">
        <v>163</v>
      </c>
      <c r="M14" s="143">
        <f>SUM(M9:M13)</f>
        <v>26319.949999999997</v>
      </c>
      <c r="N14" s="593"/>
      <c r="O14" s="594"/>
      <c r="P14" s="595"/>
    </row>
    <row r="16" spans="1:17" ht="15.75" customHeight="1" x14ac:dyDescent="0.25">
      <c r="A16" s="598" t="s">
        <v>147</v>
      </c>
      <c r="B16" s="598"/>
      <c r="C16" s="125" t="s">
        <v>91</v>
      </c>
      <c r="D16" s="601" t="s">
        <v>107</v>
      </c>
      <c r="E16" s="602"/>
      <c r="F16" s="603"/>
      <c r="G16" s="126" t="s">
        <v>150</v>
      </c>
      <c r="H16" s="127"/>
      <c r="I16" s="125"/>
      <c r="J16" s="128" t="s">
        <v>151</v>
      </c>
      <c r="K16" s="297" t="s">
        <v>27</v>
      </c>
      <c r="L16" s="128" t="s">
        <v>152</v>
      </c>
      <c r="M16" s="128" t="s">
        <v>139</v>
      </c>
      <c r="N16" s="128" t="s">
        <v>153</v>
      </c>
      <c r="O16" s="604" t="s">
        <v>111</v>
      </c>
      <c r="P16" s="605"/>
    </row>
    <row r="17" spans="1:16" ht="15.75" customHeight="1" x14ac:dyDescent="0.25">
      <c r="A17" s="598">
        <v>2</v>
      </c>
      <c r="B17" s="599" t="s">
        <v>164</v>
      </c>
      <c r="C17" s="129">
        <v>1</v>
      </c>
      <c r="D17" s="589"/>
      <c r="E17" s="596"/>
      <c r="F17" s="597"/>
      <c r="G17" s="600"/>
      <c r="H17" s="596"/>
      <c r="I17" s="597"/>
      <c r="J17" s="130"/>
      <c r="K17" s="131"/>
      <c r="L17" s="130"/>
      <c r="M17" s="183">
        <f>L17*J17</f>
        <v>0</v>
      </c>
      <c r="N17" s="215"/>
      <c r="O17" s="639"/>
      <c r="P17" s="640"/>
    </row>
    <row r="18" spans="1:16" ht="15.75" customHeight="1" x14ac:dyDescent="0.25">
      <c r="A18" s="598"/>
      <c r="B18" s="599"/>
      <c r="C18" s="129">
        <v>2</v>
      </c>
      <c r="D18" s="600"/>
      <c r="E18" s="596"/>
      <c r="F18" s="597"/>
      <c r="G18" s="600"/>
      <c r="H18" s="596"/>
      <c r="I18" s="597"/>
      <c r="J18" s="130"/>
      <c r="K18" s="131"/>
      <c r="L18" s="130"/>
      <c r="M18" s="183">
        <f>L18*J18</f>
        <v>0</v>
      </c>
      <c r="N18" s="215"/>
      <c r="O18" s="639"/>
      <c r="P18" s="640"/>
    </row>
    <row r="19" spans="1:16" ht="15.75" customHeight="1" x14ac:dyDescent="0.25">
      <c r="A19" s="598"/>
      <c r="B19" s="599"/>
      <c r="C19" s="129">
        <v>3</v>
      </c>
      <c r="D19" s="589"/>
      <c r="E19" s="596"/>
      <c r="F19" s="597"/>
      <c r="G19" s="600"/>
      <c r="H19" s="596"/>
      <c r="I19" s="597"/>
      <c r="J19" s="130"/>
      <c r="K19" s="131"/>
      <c r="L19" s="130"/>
      <c r="M19" s="183">
        <f>L19*J19</f>
        <v>0</v>
      </c>
      <c r="N19" s="215"/>
      <c r="O19" s="639"/>
      <c r="P19" s="640"/>
    </row>
    <row r="20" spans="1:16" ht="15.75" customHeight="1" x14ac:dyDescent="0.25">
      <c r="A20" s="598"/>
      <c r="B20" s="599"/>
      <c r="C20" s="129">
        <v>4</v>
      </c>
      <c r="D20" s="600"/>
      <c r="E20" s="596"/>
      <c r="F20" s="597"/>
      <c r="G20" s="600"/>
      <c r="H20" s="596"/>
      <c r="I20" s="597"/>
      <c r="J20" s="130"/>
      <c r="K20" s="131"/>
      <c r="L20" s="130"/>
      <c r="M20" s="183">
        <f t="shared" ref="M20:M21" si="0">L20*J20</f>
        <v>0</v>
      </c>
      <c r="N20" s="215"/>
      <c r="O20" s="639"/>
      <c r="P20" s="640"/>
    </row>
    <row r="21" spans="1:16" ht="15.75" customHeight="1" x14ac:dyDescent="0.25">
      <c r="A21" s="598"/>
      <c r="B21" s="599"/>
      <c r="C21" s="135">
        <v>5</v>
      </c>
      <c r="D21" s="641"/>
      <c r="E21" s="642"/>
      <c r="F21" s="643"/>
      <c r="G21" s="641"/>
      <c r="H21" s="642"/>
      <c r="I21" s="643"/>
      <c r="J21" s="136"/>
      <c r="K21" s="137"/>
      <c r="L21" s="136"/>
      <c r="M21" s="183">
        <f t="shared" si="0"/>
        <v>0</v>
      </c>
      <c r="N21" s="215"/>
      <c r="O21" s="639"/>
      <c r="P21" s="640"/>
    </row>
    <row r="22" spans="1:16" ht="15.75" customHeight="1" x14ac:dyDescent="0.25">
      <c r="A22" s="598"/>
      <c r="B22" s="599"/>
      <c r="C22" s="591"/>
      <c r="D22" s="591"/>
      <c r="E22" s="591"/>
      <c r="F22" s="591"/>
      <c r="G22" s="591"/>
      <c r="H22" s="591"/>
      <c r="I22" s="592"/>
      <c r="J22" s="141" t="s">
        <v>162</v>
      </c>
      <c r="K22" s="142">
        <f>M22/'生產管理報表 7-1(週)'!$B$10</f>
        <v>0</v>
      </c>
      <c r="L22" s="141" t="s">
        <v>163</v>
      </c>
      <c r="M22" s="214">
        <f>SUM(M17:M21)</f>
        <v>0</v>
      </c>
      <c r="N22" s="593"/>
      <c r="O22" s="594"/>
      <c r="P22" s="595"/>
    </row>
    <row r="24" spans="1:16" ht="15.75" customHeight="1" x14ac:dyDescent="0.25">
      <c r="A24" s="598" t="s">
        <v>147</v>
      </c>
      <c r="B24" s="598"/>
      <c r="C24" s="125" t="s">
        <v>91</v>
      </c>
      <c r="D24" s="601" t="s">
        <v>107</v>
      </c>
      <c r="E24" s="602"/>
      <c r="F24" s="603"/>
      <c r="G24" s="126" t="s">
        <v>150</v>
      </c>
      <c r="H24" s="127"/>
      <c r="I24" s="125"/>
      <c r="J24" s="128" t="s">
        <v>151</v>
      </c>
      <c r="K24" s="297" t="s">
        <v>27</v>
      </c>
      <c r="L24" s="128" t="s">
        <v>152</v>
      </c>
      <c r="M24" s="128" t="s">
        <v>139</v>
      </c>
      <c r="N24" s="128" t="s">
        <v>110</v>
      </c>
      <c r="O24" s="604" t="s">
        <v>111</v>
      </c>
      <c r="P24" s="605"/>
    </row>
    <row r="25" spans="1:16" ht="15.75" customHeight="1" x14ac:dyDescent="0.25">
      <c r="A25" s="598">
        <v>3</v>
      </c>
      <c r="B25" s="599" t="s">
        <v>137</v>
      </c>
      <c r="C25" s="129">
        <v>1</v>
      </c>
      <c r="D25" s="589"/>
      <c r="E25" s="596"/>
      <c r="F25" s="597"/>
      <c r="G25" s="600"/>
      <c r="H25" s="596"/>
      <c r="I25" s="597"/>
      <c r="J25" s="130"/>
      <c r="K25" s="131"/>
      <c r="L25" s="130"/>
      <c r="M25" s="132">
        <f>L25*J25</f>
        <v>0</v>
      </c>
      <c r="N25" s="130"/>
      <c r="O25" s="639"/>
      <c r="P25" s="640"/>
    </row>
    <row r="26" spans="1:16" ht="15.75" customHeight="1" x14ac:dyDescent="0.25">
      <c r="A26" s="598"/>
      <c r="B26" s="599"/>
      <c r="C26" s="129">
        <v>2</v>
      </c>
      <c r="D26" s="589"/>
      <c r="E26" s="596"/>
      <c r="F26" s="597"/>
      <c r="G26" s="600"/>
      <c r="H26" s="596"/>
      <c r="I26" s="597"/>
      <c r="J26" s="130"/>
      <c r="K26" s="131"/>
      <c r="L26" s="130"/>
      <c r="M26" s="132">
        <f>L26*J26</f>
        <v>0</v>
      </c>
      <c r="N26" s="130"/>
      <c r="O26" s="639"/>
      <c r="P26" s="640"/>
    </row>
    <row r="27" spans="1:16" ht="15.75" customHeight="1" x14ac:dyDescent="0.25">
      <c r="A27" s="598"/>
      <c r="B27" s="599"/>
      <c r="C27" s="129">
        <v>3</v>
      </c>
      <c r="D27" s="589"/>
      <c r="E27" s="596"/>
      <c r="F27" s="597"/>
      <c r="G27" s="600"/>
      <c r="H27" s="596"/>
      <c r="I27" s="597"/>
      <c r="J27" s="130"/>
      <c r="K27" s="131"/>
      <c r="L27" s="130"/>
      <c r="M27" s="132">
        <f>L27*J27</f>
        <v>0</v>
      </c>
      <c r="N27" s="130"/>
      <c r="O27" s="639"/>
      <c r="P27" s="640"/>
    </row>
    <row r="28" spans="1:16" ht="15.75" customHeight="1" x14ac:dyDescent="0.25">
      <c r="A28" s="598"/>
      <c r="B28" s="599"/>
      <c r="C28" s="129">
        <v>4</v>
      </c>
      <c r="D28" s="589"/>
      <c r="E28" s="596"/>
      <c r="F28" s="597"/>
      <c r="G28" s="589"/>
      <c r="H28" s="596"/>
      <c r="I28" s="597"/>
      <c r="J28" s="130"/>
      <c r="K28" s="131"/>
      <c r="L28" s="130"/>
      <c r="M28" s="132">
        <f>L28*J28</f>
        <v>0</v>
      </c>
      <c r="N28" s="130"/>
      <c r="O28" s="639"/>
      <c r="P28" s="640"/>
    </row>
    <row r="29" spans="1:16" ht="15.75" customHeight="1" x14ac:dyDescent="0.25">
      <c r="A29" s="598"/>
      <c r="B29" s="599"/>
      <c r="C29" s="135">
        <v>5</v>
      </c>
      <c r="D29" s="589"/>
      <c r="E29" s="596"/>
      <c r="F29" s="597"/>
      <c r="G29" s="641"/>
      <c r="H29" s="642"/>
      <c r="I29" s="643"/>
      <c r="J29" s="136"/>
      <c r="K29" s="137"/>
      <c r="L29" s="136"/>
      <c r="M29" s="138">
        <f>L29*J29</f>
        <v>0</v>
      </c>
      <c r="N29" s="130"/>
      <c r="O29" s="639"/>
      <c r="P29" s="640"/>
    </row>
    <row r="30" spans="1:16" ht="15.75" customHeight="1" x14ac:dyDescent="0.25">
      <c r="A30" s="598"/>
      <c r="B30" s="599"/>
      <c r="C30" s="591"/>
      <c r="D30" s="591"/>
      <c r="E30" s="591"/>
      <c r="F30" s="591"/>
      <c r="G30" s="591"/>
      <c r="H30" s="591"/>
      <c r="I30" s="592"/>
      <c r="J30" s="141" t="s">
        <v>162</v>
      </c>
      <c r="K30" s="142">
        <f>M30/'生產管理報表 7-1(週)'!$B$10</f>
        <v>0</v>
      </c>
      <c r="L30" s="141" t="s">
        <v>163</v>
      </c>
      <c r="M30" s="143">
        <f>SUM(M25:M29)</f>
        <v>0</v>
      </c>
      <c r="N30" s="593"/>
      <c r="O30" s="594"/>
      <c r="P30" s="595"/>
    </row>
  </sheetData>
  <mergeCells count="85"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  <mergeCell ref="D20:F20"/>
    <mergeCell ref="G20:I20"/>
    <mergeCell ref="O20:P20"/>
    <mergeCell ref="D21:F21"/>
    <mergeCell ref="G21:I21"/>
    <mergeCell ref="G17:I17"/>
    <mergeCell ref="O17:P17"/>
    <mergeCell ref="D18:F18"/>
    <mergeCell ref="G18:I18"/>
    <mergeCell ref="O18:P18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2:I12"/>
    <mergeCell ref="D13:F13"/>
    <mergeCell ref="G13:I13"/>
    <mergeCell ref="C14:I14"/>
    <mergeCell ref="A16:B16"/>
    <mergeCell ref="D16:F1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F6:G6"/>
    <mergeCell ref="H6:I6"/>
    <mergeCell ref="J6:K6"/>
    <mergeCell ref="L6:M6"/>
    <mergeCell ref="N6:O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L27" sqref="L27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56" width="12.5703125" style="2" customWidth="1"/>
    <col min="57" max="16384" width="12.5703125" style="2"/>
  </cols>
  <sheetData>
    <row r="1" spans="1:17" s="117" customFormat="1" ht="15.75" customHeight="1" x14ac:dyDescent="0.25">
      <c r="A1" s="609" t="s">
        <v>103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609"/>
      <c r="Q1" s="609"/>
    </row>
    <row r="2" spans="1:17" s="118" customFormat="1" ht="15.75" customHeight="1" x14ac:dyDescent="0.25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</row>
    <row r="3" spans="1:17" s="117" customFormat="1" ht="15.75" customHeight="1" x14ac:dyDescent="0.25">
      <c r="A3" s="610" t="s">
        <v>174</v>
      </c>
      <c r="B3" s="610"/>
      <c r="C3" s="610"/>
      <c r="D3" s="610"/>
      <c r="E3" s="610"/>
      <c r="F3" s="610"/>
      <c r="G3" s="610"/>
      <c r="H3" s="610"/>
      <c r="I3" s="610"/>
      <c r="J3" s="610"/>
      <c r="K3" s="610"/>
      <c r="L3" s="610"/>
      <c r="M3" s="610"/>
    </row>
    <row r="4" spans="1:17" s="118" customFormat="1" ht="15.75" customHeight="1" x14ac:dyDescent="0.25">
      <c r="A4" s="610"/>
      <c r="B4" s="610"/>
      <c r="C4" s="610"/>
      <c r="D4" s="610"/>
      <c r="E4" s="610"/>
      <c r="F4" s="610"/>
      <c r="G4" s="610"/>
      <c r="H4" s="610"/>
      <c r="I4" s="610"/>
      <c r="J4" s="610"/>
      <c r="K4" s="610"/>
      <c r="L4" s="610"/>
      <c r="M4" s="610"/>
    </row>
    <row r="5" spans="1:17" s="117" customFormat="1" ht="15.75" customHeight="1" x14ac:dyDescent="0.25">
      <c r="A5" s="462" t="s">
        <v>147</v>
      </c>
      <c r="B5" s="598">
        <v>1</v>
      </c>
      <c r="C5" s="598"/>
      <c r="D5" s="598">
        <v>2</v>
      </c>
      <c r="E5" s="598"/>
      <c r="F5" s="598">
        <v>3</v>
      </c>
      <c r="G5" s="598"/>
      <c r="H5" s="612">
        <v>4</v>
      </c>
      <c r="I5" s="612"/>
      <c r="J5" s="612">
        <v>5</v>
      </c>
      <c r="K5" s="612"/>
      <c r="L5" s="612">
        <v>6</v>
      </c>
      <c r="M5" s="612"/>
      <c r="N5" s="612">
        <v>7</v>
      </c>
      <c r="O5" s="612"/>
      <c r="P5" s="598">
        <v>8</v>
      </c>
      <c r="Q5" s="598"/>
    </row>
    <row r="6" spans="1:17" s="117" customFormat="1" ht="15.75" customHeight="1" x14ac:dyDescent="0.25">
      <c r="A6" s="462"/>
      <c r="B6" s="462" t="s">
        <v>135</v>
      </c>
      <c r="C6" s="462"/>
      <c r="D6" s="462" t="s">
        <v>148</v>
      </c>
      <c r="E6" s="462"/>
      <c r="F6" s="462" t="s">
        <v>137</v>
      </c>
      <c r="G6" s="462"/>
      <c r="H6" s="613" t="s">
        <v>138</v>
      </c>
      <c r="I6" s="613"/>
      <c r="J6" s="613" t="s">
        <v>142</v>
      </c>
      <c r="K6" s="613"/>
      <c r="L6" s="613" t="s">
        <v>143</v>
      </c>
      <c r="M6" s="613"/>
      <c r="N6" s="613" t="s">
        <v>144</v>
      </c>
      <c r="O6" s="613"/>
      <c r="P6" s="606" t="s">
        <v>149</v>
      </c>
      <c r="Q6" s="462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621" t="s">
        <v>147</v>
      </c>
      <c r="B8" s="622"/>
      <c r="C8" s="114" t="s">
        <v>91</v>
      </c>
      <c r="D8" s="623" t="s">
        <v>107</v>
      </c>
      <c r="E8" s="624"/>
      <c r="F8" s="625"/>
      <c r="G8" s="112" t="s">
        <v>150</v>
      </c>
      <c r="H8" s="113"/>
      <c r="I8" s="114"/>
      <c r="J8" s="111" t="s">
        <v>151</v>
      </c>
      <c r="K8" s="111" t="s">
        <v>27</v>
      </c>
      <c r="L8" s="111" t="s">
        <v>152</v>
      </c>
      <c r="M8" s="115" t="s">
        <v>139</v>
      </c>
      <c r="N8" s="115" t="s">
        <v>153</v>
      </c>
      <c r="O8" s="626" t="s">
        <v>111</v>
      </c>
      <c r="P8" s="627"/>
    </row>
    <row r="9" spans="1:17" ht="15.75" customHeight="1" x14ac:dyDescent="0.25">
      <c r="A9" s="622">
        <v>4</v>
      </c>
      <c r="B9" s="633" t="s">
        <v>138</v>
      </c>
      <c r="C9" s="109">
        <v>1</v>
      </c>
      <c r="D9" s="589" t="s">
        <v>390</v>
      </c>
      <c r="E9" s="596"/>
      <c r="F9" s="597"/>
      <c r="G9" s="600" t="s">
        <v>389</v>
      </c>
      <c r="H9" s="596"/>
      <c r="I9" s="597"/>
      <c r="J9" s="4">
        <v>100.1</v>
      </c>
      <c r="K9" s="131">
        <v>3.6999999999999998E-2</v>
      </c>
      <c r="L9" s="130">
        <v>12.6</v>
      </c>
      <c r="M9" s="186">
        <f>L9*J9</f>
        <v>1261.26</v>
      </c>
      <c r="N9" s="212"/>
      <c r="O9" s="614" t="s">
        <v>176</v>
      </c>
      <c r="P9" s="615"/>
    </row>
    <row r="10" spans="1:17" ht="15.75" customHeight="1" x14ac:dyDescent="0.25">
      <c r="A10" s="622"/>
      <c r="B10" s="634"/>
      <c r="C10" s="109">
        <v>2</v>
      </c>
      <c r="D10" s="600" t="s">
        <v>404</v>
      </c>
      <c r="E10" s="596"/>
      <c r="F10" s="597"/>
      <c r="G10" s="600" t="s">
        <v>403</v>
      </c>
      <c r="H10" s="596"/>
      <c r="I10" s="597"/>
      <c r="J10" s="4">
        <v>621.6</v>
      </c>
      <c r="K10" s="14">
        <v>7.0000000000000001E-3</v>
      </c>
      <c r="L10" s="4">
        <v>1.8</v>
      </c>
      <c r="M10" s="186">
        <f>L10*J10</f>
        <v>1118.8800000000001</v>
      </c>
      <c r="N10" s="212"/>
      <c r="O10" s="614" t="s">
        <v>176</v>
      </c>
      <c r="P10" s="615"/>
    </row>
    <row r="11" spans="1:17" ht="15.75" customHeight="1" x14ac:dyDescent="0.25">
      <c r="A11" s="622"/>
      <c r="B11" s="634"/>
      <c r="C11" s="109">
        <v>3</v>
      </c>
      <c r="D11" s="600" t="s">
        <v>407</v>
      </c>
      <c r="E11" s="596"/>
      <c r="F11" s="597"/>
      <c r="G11" s="644" t="s">
        <v>405</v>
      </c>
      <c r="H11" s="596"/>
      <c r="I11" s="597"/>
      <c r="J11" s="4">
        <v>125.6</v>
      </c>
      <c r="K11" s="14">
        <v>3.0000000000000001E-3</v>
      </c>
      <c r="L11" s="4">
        <v>8.5</v>
      </c>
      <c r="M11" s="186">
        <f>L11*J11</f>
        <v>1067.5999999999999</v>
      </c>
      <c r="N11" s="212"/>
      <c r="O11" s="614" t="s">
        <v>176</v>
      </c>
      <c r="P11" s="615"/>
    </row>
    <row r="12" spans="1:17" ht="15.75" customHeight="1" x14ac:dyDescent="0.25">
      <c r="A12" s="622"/>
      <c r="B12" s="634"/>
      <c r="C12" s="109">
        <v>4</v>
      </c>
      <c r="D12" s="644" t="s">
        <v>407</v>
      </c>
      <c r="E12" s="596"/>
      <c r="F12" s="597"/>
      <c r="G12" s="589" t="s">
        <v>406</v>
      </c>
      <c r="H12" s="630"/>
      <c r="I12" s="631"/>
      <c r="J12" s="4">
        <v>36.4</v>
      </c>
      <c r="K12" s="14">
        <v>3.0000000000000001E-3</v>
      </c>
      <c r="L12" s="302">
        <v>25.6</v>
      </c>
      <c r="M12" s="186">
        <f>L12*J12</f>
        <v>931.84</v>
      </c>
      <c r="N12" s="212"/>
      <c r="O12" s="614"/>
      <c r="P12" s="615"/>
    </row>
    <row r="13" spans="1:17" ht="15.75" customHeight="1" x14ac:dyDescent="0.25">
      <c r="A13" s="622"/>
      <c r="B13" s="634"/>
      <c r="C13" s="110">
        <v>5</v>
      </c>
      <c r="D13" s="644" t="s">
        <v>407</v>
      </c>
      <c r="E13" s="596"/>
      <c r="F13" s="597"/>
      <c r="G13" s="589" t="s">
        <v>408</v>
      </c>
      <c r="H13" s="630"/>
      <c r="I13" s="631"/>
      <c r="J13" s="4">
        <v>140.4</v>
      </c>
      <c r="K13" s="14">
        <v>1.4999999999999999E-2</v>
      </c>
      <c r="L13" s="302">
        <v>5.2</v>
      </c>
      <c r="M13" s="186">
        <f>L13*J13</f>
        <v>730.08</v>
      </c>
      <c r="N13" s="212"/>
      <c r="O13" s="614"/>
      <c r="P13" s="615"/>
    </row>
    <row r="14" spans="1:17" ht="15.75" customHeight="1" x14ac:dyDescent="0.25">
      <c r="A14" s="622"/>
      <c r="B14" s="634"/>
      <c r="C14" s="628"/>
      <c r="D14" s="628"/>
      <c r="E14" s="628"/>
      <c r="F14" s="628"/>
      <c r="G14" s="628"/>
      <c r="H14" s="628"/>
      <c r="I14" s="629"/>
      <c r="J14" s="116" t="s">
        <v>162</v>
      </c>
      <c r="K14" s="142">
        <f>M14/'生產管理報表 7-1(週)'!$B$10</f>
        <v>9.0062495383020552E-2</v>
      </c>
      <c r="L14" s="116" t="s">
        <v>163</v>
      </c>
      <c r="M14" s="402">
        <f>SUM(M9:M13)</f>
        <v>5109.66</v>
      </c>
      <c r="N14" s="616"/>
      <c r="O14" s="617"/>
      <c r="P14" s="618"/>
    </row>
    <row r="16" spans="1:17" ht="15.75" customHeight="1" x14ac:dyDescent="0.2">
      <c r="A16" s="621" t="s">
        <v>147</v>
      </c>
      <c r="B16" s="622"/>
      <c r="C16" s="114" t="s">
        <v>91</v>
      </c>
      <c r="D16" s="623" t="s">
        <v>107</v>
      </c>
      <c r="E16" s="624"/>
      <c r="F16" s="625"/>
      <c r="G16" s="112" t="s">
        <v>150</v>
      </c>
      <c r="H16" s="113"/>
      <c r="I16" s="114"/>
      <c r="J16" s="111" t="s">
        <v>151</v>
      </c>
      <c r="K16" s="111" t="s">
        <v>27</v>
      </c>
      <c r="L16" s="111" t="s">
        <v>152</v>
      </c>
      <c r="M16" s="115" t="s">
        <v>139</v>
      </c>
      <c r="N16" s="115" t="s">
        <v>153</v>
      </c>
      <c r="O16" s="626" t="s">
        <v>111</v>
      </c>
      <c r="P16" s="627"/>
    </row>
    <row r="17" spans="1:16" ht="15.75" customHeight="1" x14ac:dyDescent="0.25">
      <c r="A17" s="622">
        <v>5</v>
      </c>
      <c r="B17" s="633" t="s">
        <v>142</v>
      </c>
      <c r="C17" s="109">
        <v>1</v>
      </c>
      <c r="D17" s="600" t="s">
        <v>396</v>
      </c>
      <c r="E17" s="596"/>
      <c r="F17" s="597"/>
      <c r="G17" s="600" t="s">
        <v>394</v>
      </c>
      <c r="H17" s="596"/>
      <c r="I17" s="597"/>
      <c r="J17" s="4">
        <v>19.5</v>
      </c>
      <c r="K17" s="131">
        <v>7.0000000000000001E-3</v>
      </c>
      <c r="L17" s="130">
        <v>96</v>
      </c>
      <c r="M17" s="185">
        <f>L17*J17</f>
        <v>1872</v>
      </c>
      <c r="N17" s="212"/>
      <c r="O17" s="614" t="s">
        <v>410</v>
      </c>
      <c r="P17" s="615"/>
    </row>
    <row r="18" spans="1:16" ht="15.75" customHeight="1" x14ac:dyDescent="0.25">
      <c r="A18" s="622"/>
      <c r="B18" s="634"/>
      <c r="C18" s="109">
        <v>2</v>
      </c>
      <c r="D18" s="589" t="s">
        <v>397</v>
      </c>
      <c r="E18" s="596"/>
      <c r="F18" s="597"/>
      <c r="G18" s="600" t="s">
        <v>395</v>
      </c>
      <c r="H18" s="596"/>
      <c r="I18" s="597"/>
      <c r="J18" s="4">
        <v>90</v>
      </c>
      <c r="K18" s="14">
        <v>3.4000000000000002E-2</v>
      </c>
      <c r="L18" s="4">
        <v>13.7</v>
      </c>
      <c r="M18" s="185">
        <f>L18*J18</f>
        <v>1233</v>
      </c>
      <c r="N18" s="4"/>
      <c r="O18" s="614" t="s">
        <v>409</v>
      </c>
      <c r="P18" s="615"/>
    </row>
    <row r="19" spans="1:16" ht="15.75" customHeight="1" x14ac:dyDescent="0.25">
      <c r="A19" s="622"/>
      <c r="B19" s="634"/>
      <c r="C19" s="109">
        <v>3</v>
      </c>
      <c r="D19" s="600"/>
      <c r="E19" s="596"/>
      <c r="F19" s="597"/>
      <c r="G19" s="600"/>
      <c r="H19" s="596"/>
      <c r="I19" s="597"/>
      <c r="J19" s="4"/>
      <c r="K19" s="14"/>
      <c r="L19" s="4"/>
      <c r="M19" s="185">
        <f>L19*J19</f>
        <v>0</v>
      </c>
      <c r="N19" s="4"/>
      <c r="O19" s="614"/>
      <c r="P19" s="615"/>
    </row>
    <row r="20" spans="1:16" ht="15.75" customHeight="1" x14ac:dyDescent="0.25">
      <c r="A20" s="622"/>
      <c r="B20" s="634"/>
      <c r="C20" s="109">
        <v>4</v>
      </c>
      <c r="D20" s="600"/>
      <c r="E20" s="596"/>
      <c r="F20" s="597"/>
      <c r="G20" s="589"/>
      <c r="H20" s="630"/>
      <c r="I20" s="631"/>
      <c r="J20" s="4"/>
      <c r="K20" s="14"/>
      <c r="L20" s="302"/>
      <c r="M20" s="185">
        <f>L20*J20</f>
        <v>0</v>
      </c>
      <c r="N20" s="4"/>
      <c r="O20" s="614"/>
      <c r="P20" s="615"/>
    </row>
    <row r="21" spans="1:16" ht="15.75" customHeight="1" x14ac:dyDescent="0.25">
      <c r="A21" s="622"/>
      <c r="B21" s="634"/>
      <c r="C21" s="110">
        <v>5</v>
      </c>
      <c r="D21" s="632"/>
      <c r="E21" s="630"/>
      <c r="F21" s="631"/>
      <c r="G21" s="589"/>
      <c r="H21" s="630"/>
      <c r="I21" s="631"/>
      <c r="J21" s="4"/>
      <c r="K21" s="14"/>
      <c r="L21" s="302"/>
      <c r="M21" s="185">
        <f>L21*J21</f>
        <v>0</v>
      </c>
      <c r="N21" s="4"/>
      <c r="O21" s="614"/>
      <c r="P21" s="615"/>
    </row>
    <row r="22" spans="1:16" ht="15.75" customHeight="1" x14ac:dyDescent="0.25">
      <c r="A22" s="622"/>
      <c r="B22" s="634"/>
      <c r="C22" s="628"/>
      <c r="D22" s="628"/>
      <c r="E22" s="628"/>
      <c r="F22" s="628"/>
      <c r="G22" s="628"/>
      <c r="H22" s="628"/>
      <c r="I22" s="629"/>
      <c r="J22" s="116" t="s">
        <v>162</v>
      </c>
      <c r="K22" s="142">
        <f>M22/'生產管理報表 7-1(週)'!$B$10</f>
        <v>5.4728504081343728E-2</v>
      </c>
      <c r="L22" s="116" t="s">
        <v>163</v>
      </c>
      <c r="M22" s="402">
        <f>SUM(M17:M21)</f>
        <v>3105</v>
      </c>
      <c r="N22" s="616"/>
      <c r="O22" s="617"/>
      <c r="P22" s="618"/>
    </row>
    <row r="24" spans="1:16" ht="15.75" customHeight="1" x14ac:dyDescent="0.2">
      <c r="A24" s="621" t="s">
        <v>147</v>
      </c>
      <c r="B24" s="622"/>
      <c r="C24" s="114" t="s">
        <v>91</v>
      </c>
      <c r="D24" s="623" t="s">
        <v>107</v>
      </c>
      <c r="E24" s="624"/>
      <c r="F24" s="625"/>
      <c r="G24" s="112" t="s">
        <v>150</v>
      </c>
      <c r="H24" s="113"/>
      <c r="I24" s="114"/>
      <c r="J24" s="111" t="s">
        <v>151</v>
      </c>
      <c r="K24" s="111" t="s">
        <v>27</v>
      </c>
      <c r="L24" s="111" t="s">
        <v>152</v>
      </c>
      <c r="M24" s="115" t="s">
        <v>139</v>
      </c>
      <c r="N24" s="115" t="s">
        <v>110</v>
      </c>
      <c r="O24" s="626" t="s">
        <v>111</v>
      </c>
      <c r="P24" s="627"/>
    </row>
    <row r="25" spans="1:16" ht="15.75" customHeight="1" x14ac:dyDescent="0.25">
      <c r="A25" s="622">
        <v>6</v>
      </c>
      <c r="B25" s="633" t="s">
        <v>143</v>
      </c>
      <c r="C25" s="109">
        <v>1</v>
      </c>
      <c r="D25" s="600"/>
      <c r="E25" s="596"/>
      <c r="F25" s="597"/>
      <c r="G25" s="600"/>
      <c r="H25" s="596"/>
      <c r="I25" s="597"/>
      <c r="J25" s="4"/>
      <c r="K25" s="131"/>
      <c r="L25" s="130"/>
      <c r="M25" s="185">
        <f>L25*J25</f>
        <v>0</v>
      </c>
      <c r="N25" s="212"/>
      <c r="O25" s="589"/>
      <c r="P25" s="590"/>
    </row>
    <row r="26" spans="1:16" ht="15.75" customHeight="1" x14ac:dyDescent="0.25">
      <c r="A26" s="622"/>
      <c r="B26" s="634"/>
      <c r="C26" s="109">
        <v>2</v>
      </c>
      <c r="D26" s="589"/>
      <c r="E26" s="596"/>
      <c r="F26" s="597"/>
      <c r="G26" s="600"/>
      <c r="H26" s="596"/>
      <c r="I26" s="597"/>
      <c r="J26" s="4"/>
      <c r="K26" s="14"/>
      <c r="L26" s="4"/>
      <c r="M26" s="185">
        <f>L26*J26</f>
        <v>0</v>
      </c>
      <c r="N26" s="212"/>
      <c r="O26" s="589"/>
      <c r="P26" s="590"/>
    </row>
    <row r="27" spans="1:16" ht="15.75" customHeight="1" x14ac:dyDescent="0.25">
      <c r="A27" s="622"/>
      <c r="B27" s="634"/>
      <c r="C27" s="109">
        <v>3</v>
      </c>
      <c r="D27" s="644"/>
      <c r="E27" s="596"/>
      <c r="F27" s="597"/>
      <c r="G27" s="644"/>
      <c r="H27" s="596"/>
      <c r="I27" s="597"/>
      <c r="J27" s="4"/>
      <c r="K27" s="14"/>
      <c r="L27" s="4"/>
      <c r="M27" s="183"/>
      <c r="N27" s="212"/>
      <c r="O27" s="589"/>
      <c r="P27" s="590"/>
    </row>
    <row r="28" spans="1:16" ht="15.75" customHeight="1" x14ac:dyDescent="0.25">
      <c r="A28" s="622"/>
      <c r="B28" s="634"/>
      <c r="C28" s="109">
        <v>4</v>
      </c>
      <c r="D28" s="644"/>
      <c r="E28" s="596"/>
      <c r="F28" s="597"/>
      <c r="G28" s="589"/>
      <c r="H28" s="630"/>
      <c r="I28" s="631"/>
      <c r="J28" s="4"/>
      <c r="K28" s="14"/>
      <c r="L28" s="302"/>
      <c r="M28" s="185"/>
      <c r="N28" s="212"/>
      <c r="O28" s="614"/>
      <c r="P28" s="619"/>
    </row>
    <row r="29" spans="1:16" ht="15.75" customHeight="1" x14ac:dyDescent="0.25">
      <c r="A29" s="622"/>
      <c r="B29" s="634"/>
      <c r="C29" s="110">
        <v>5</v>
      </c>
      <c r="D29" s="644"/>
      <c r="E29" s="596"/>
      <c r="F29" s="597"/>
      <c r="G29" s="589"/>
      <c r="H29" s="630"/>
      <c r="I29" s="631"/>
      <c r="J29" s="4"/>
      <c r="K29" s="14"/>
      <c r="L29" s="302"/>
      <c r="M29" s="186"/>
      <c r="N29" s="212"/>
      <c r="O29" s="620"/>
      <c r="P29" s="615"/>
    </row>
    <row r="30" spans="1:16" ht="15.75" customHeight="1" x14ac:dyDescent="0.25">
      <c r="A30" s="622"/>
      <c r="B30" s="634"/>
      <c r="C30" s="628"/>
      <c r="D30" s="628"/>
      <c r="E30" s="628"/>
      <c r="F30" s="628"/>
      <c r="G30" s="628"/>
      <c r="H30" s="628"/>
      <c r="I30" s="629"/>
      <c r="J30" s="116" t="s">
        <v>162</v>
      </c>
      <c r="K30" s="142">
        <f>M30/'生產管理報表 7-1(週)'!$B$10</f>
        <v>0</v>
      </c>
      <c r="L30" s="116" t="s">
        <v>163</v>
      </c>
      <c r="M30" s="402">
        <f>SUM(M25:M29)</f>
        <v>0</v>
      </c>
      <c r="N30" s="616"/>
      <c r="O30" s="617"/>
      <c r="P30" s="618"/>
    </row>
    <row r="32" spans="1:16" ht="15.75" customHeight="1" x14ac:dyDescent="0.2">
      <c r="A32" s="621" t="s">
        <v>147</v>
      </c>
      <c r="B32" s="622"/>
      <c r="C32" s="114" t="s">
        <v>91</v>
      </c>
      <c r="D32" s="623" t="s">
        <v>107</v>
      </c>
      <c r="E32" s="624"/>
      <c r="F32" s="625"/>
      <c r="G32" s="112" t="s">
        <v>150</v>
      </c>
      <c r="H32" s="113"/>
      <c r="I32" s="114"/>
      <c r="J32" s="111" t="s">
        <v>151</v>
      </c>
      <c r="K32" s="111" t="s">
        <v>27</v>
      </c>
      <c r="L32" s="111" t="s">
        <v>152</v>
      </c>
      <c r="M32" s="115" t="s">
        <v>139</v>
      </c>
      <c r="N32" s="115" t="s">
        <v>110</v>
      </c>
      <c r="O32" s="626" t="s">
        <v>111</v>
      </c>
      <c r="P32" s="627"/>
    </row>
    <row r="33" spans="1:16" ht="15.75" customHeight="1" x14ac:dyDescent="0.25">
      <c r="A33" s="622">
        <v>7</v>
      </c>
      <c r="B33" s="633" t="s">
        <v>137</v>
      </c>
      <c r="C33" s="109">
        <v>1</v>
      </c>
      <c r="D33" s="589"/>
      <c r="E33" s="596"/>
      <c r="F33" s="597"/>
      <c r="G33" s="600"/>
      <c r="H33" s="596"/>
      <c r="I33" s="597"/>
      <c r="J33" s="4"/>
      <c r="K33" s="131"/>
      <c r="L33" s="130"/>
      <c r="M33" s="16">
        <v>0</v>
      </c>
      <c r="N33" s="4"/>
      <c r="O33" s="76"/>
      <c r="P33" s="74"/>
    </row>
    <row r="34" spans="1:16" ht="15.75" customHeight="1" x14ac:dyDescent="0.25">
      <c r="A34" s="622"/>
      <c r="B34" s="634"/>
      <c r="C34" s="109">
        <v>2</v>
      </c>
      <c r="D34" s="600"/>
      <c r="E34" s="596"/>
      <c r="F34" s="597"/>
      <c r="G34" s="600"/>
      <c r="H34" s="596"/>
      <c r="I34" s="597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5">
      <c r="A35" s="622"/>
      <c r="B35" s="634"/>
      <c r="C35" s="109">
        <v>3</v>
      </c>
      <c r="D35" s="644"/>
      <c r="E35" s="596"/>
      <c r="F35" s="597"/>
      <c r="G35" s="644"/>
      <c r="H35" s="596"/>
      <c r="I35" s="597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5">
      <c r="A36" s="622"/>
      <c r="B36" s="634"/>
      <c r="C36" s="109">
        <v>4</v>
      </c>
      <c r="D36" s="644"/>
      <c r="E36" s="596"/>
      <c r="F36" s="597"/>
      <c r="G36" s="589"/>
      <c r="H36" s="630"/>
      <c r="I36" s="631"/>
      <c r="J36" s="4"/>
      <c r="K36" s="14"/>
      <c r="L36" s="302"/>
      <c r="M36" s="16">
        <v>0</v>
      </c>
      <c r="N36" s="4"/>
      <c r="O36" s="76"/>
      <c r="P36" s="74"/>
    </row>
    <row r="37" spans="1:16" ht="15.75" customHeight="1" x14ac:dyDescent="0.25">
      <c r="A37" s="622"/>
      <c r="B37" s="634"/>
      <c r="C37" s="110">
        <v>5</v>
      </c>
      <c r="D37" s="644"/>
      <c r="E37" s="596"/>
      <c r="F37" s="597"/>
      <c r="G37" s="589"/>
      <c r="H37" s="630"/>
      <c r="I37" s="631"/>
      <c r="J37" s="4"/>
      <c r="K37" s="14"/>
      <c r="L37" s="302"/>
      <c r="M37" s="31">
        <v>0</v>
      </c>
      <c r="N37" s="4"/>
      <c r="O37" s="77"/>
      <c r="P37" s="75"/>
    </row>
    <row r="38" spans="1:16" ht="15.75" customHeight="1" x14ac:dyDescent="0.25">
      <c r="A38" s="622"/>
      <c r="B38" s="634"/>
      <c r="C38" s="628"/>
      <c r="D38" s="628"/>
      <c r="E38" s="628"/>
      <c r="F38" s="628"/>
      <c r="G38" s="628"/>
      <c r="H38" s="628"/>
      <c r="I38" s="629"/>
      <c r="J38" s="116" t="s">
        <v>162</v>
      </c>
      <c r="K38" s="142">
        <f>M38/'生產管理報表 7-1(週)'!$B$10</f>
        <v>0</v>
      </c>
      <c r="L38" s="116" t="s">
        <v>163</v>
      </c>
      <c r="M38" s="402">
        <f>SUM(M33:M37)</f>
        <v>0</v>
      </c>
      <c r="N38" s="616"/>
      <c r="O38" s="617"/>
      <c r="P38" s="618"/>
    </row>
  </sheetData>
  <mergeCells count="102">
    <mergeCell ref="N14:P14"/>
    <mergeCell ref="G20:I20"/>
    <mergeCell ref="O19:P19"/>
    <mergeCell ref="D9:F9"/>
    <mergeCell ref="O20:P20"/>
    <mergeCell ref="D19:F19"/>
    <mergeCell ref="O26:P26"/>
    <mergeCell ref="G25:I25"/>
    <mergeCell ref="G26:I26"/>
    <mergeCell ref="G28:I28"/>
    <mergeCell ref="D20:F20"/>
    <mergeCell ref="O17:P17"/>
    <mergeCell ref="N38:P38"/>
    <mergeCell ref="G27:I27"/>
    <mergeCell ref="G21:I21"/>
    <mergeCell ref="G29:I29"/>
    <mergeCell ref="C30:I30"/>
    <mergeCell ref="D24:F24"/>
    <mergeCell ref="D26:F26"/>
    <mergeCell ref="D32:F32"/>
    <mergeCell ref="O32:P32"/>
    <mergeCell ref="N30:P30"/>
    <mergeCell ref="D28:F28"/>
    <mergeCell ref="D27:F27"/>
    <mergeCell ref="O28:P28"/>
    <mergeCell ref="D21:F21"/>
    <mergeCell ref="G34:I34"/>
    <mergeCell ref="D35:F35"/>
    <mergeCell ref="G19:I19"/>
    <mergeCell ref="G17:I17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O9:P9"/>
    <mergeCell ref="D10:F10"/>
    <mergeCell ref="O10:P10"/>
    <mergeCell ref="O12:P12"/>
    <mergeCell ref="O11:P11"/>
    <mergeCell ref="G12:I12"/>
    <mergeCell ref="P6:Q6"/>
    <mergeCell ref="F6:G6"/>
    <mergeCell ref="J6:K6"/>
    <mergeCell ref="L6:M6"/>
    <mergeCell ref="H6:I6"/>
    <mergeCell ref="G10:I10"/>
    <mergeCell ref="O8:P8"/>
    <mergeCell ref="G9:I9"/>
    <mergeCell ref="G11:I11"/>
    <mergeCell ref="O13:P13"/>
    <mergeCell ref="D18:F18"/>
    <mergeCell ref="O18:P18"/>
    <mergeCell ref="A33:A38"/>
    <mergeCell ref="B33:B38"/>
    <mergeCell ref="D33:F33"/>
    <mergeCell ref="D34:F34"/>
    <mergeCell ref="A24:B24"/>
    <mergeCell ref="A25:A30"/>
    <mergeCell ref="A32:B32"/>
    <mergeCell ref="B25:B30"/>
    <mergeCell ref="D25:F25"/>
    <mergeCell ref="D29:F29"/>
    <mergeCell ref="G37:I37"/>
    <mergeCell ref="C38:I38"/>
    <mergeCell ref="D37:F37"/>
    <mergeCell ref="O16:P16"/>
    <mergeCell ref="O29:P29"/>
    <mergeCell ref="C22:I22"/>
    <mergeCell ref="N22:P22"/>
    <mergeCell ref="O21:P21"/>
    <mergeCell ref="O27:P27"/>
    <mergeCell ref="O24:P24"/>
    <mergeCell ref="O25:P25"/>
    <mergeCell ref="G33:I33"/>
    <mergeCell ref="G35:I35"/>
    <mergeCell ref="D36:F36"/>
    <mergeCell ref="G36:I36"/>
    <mergeCell ref="A8:B8"/>
    <mergeCell ref="D8:F8"/>
    <mergeCell ref="A17:A22"/>
    <mergeCell ref="B17:B22"/>
    <mergeCell ref="D17:F17"/>
    <mergeCell ref="A9:A14"/>
    <mergeCell ref="B9:B14"/>
    <mergeCell ref="A16:B16"/>
    <mergeCell ref="D16:F16"/>
    <mergeCell ref="D11:F11"/>
    <mergeCell ref="D13:F13"/>
    <mergeCell ref="D12:F12"/>
    <mergeCell ref="G18:I18"/>
    <mergeCell ref="G13:I13"/>
    <mergeCell ref="C14:I14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 x14ac:dyDescent="0.25"/>
  <cols>
    <col min="1" max="1" width="5.42578125" style="117" customWidth="1"/>
    <col min="2" max="2" width="7.85546875" style="145" customWidth="1"/>
    <col min="3" max="3" width="4" style="123" customWidth="1"/>
    <col min="4" max="17" width="8.5703125" style="117" customWidth="1"/>
    <col min="18" max="56" width="12.5703125" style="117" customWidth="1"/>
    <col min="57" max="16384" width="12.5703125" style="117"/>
  </cols>
  <sheetData>
    <row r="1" spans="1:17" ht="15.75" customHeight="1" x14ac:dyDescent="0.25">
      <c r="A1" s="609" t="s">
        <v>103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609"/>
      <c r="Q1" s="609"/>
    </row>
    <row r="2" spans="1:17" s="118" customFormat="1" ht="15.75" customHeight="1" x14ac:dyDescent="0.25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</row>
    <row r="3" spans="1:17" ht="15.75" customHeight="1" x14ac:dyDescent="0.25">
      <c r="A3" s="610" t="s">
        <v>179</v>
      </c>
      <c r="B3" s="610"/>
      <c r="C3" s="610"/>
      <c r="D3" s="610"/>
      <c r="E3" s="610"/>
      <c r="F3" s="610"/>
      <c r="G3" s="610"/>
      <c r="H3" s="610"/>
      <c r="I3" s="610"/>
      <c r="J3" s="610"/>
      <c r="K3" s="610"/>
      <c r="L3" s="610"/>
      <c r="M3" s="610"/>
      <c r="N3" s="610"/>
      <c r="O3" s="610"/>
      <c r="P3" s="610"/>
      <c r="Q3" s="610"/>
    </row>
    <row r="4" spans="1:17" s="118" customFormat="1" ht="15.75" customHeight="1" x14ac:dyDescent="0.25">
      <c r="A4" s="652"/>
      <c r="B4" s="652"/>
      <c r="C4" s="652"/>
      <c r="D4" s="652"/>
      <c r="E4" s="652"/>
      <c r="F4" s="652"/>
      <c r="G4" s="652"/>
      <c r="H4" s="652"/>
      <c r="I4" s="652"/>
      <c r="J4" s="652"/>
      <c r="K4" s="652"/>
      <c r="L4" s="652"/>
      <c r="M4" s="652"/>
      <c r="N4" s="652"/>
      <c r="O4" s="652"/>
      <c r="P4" s="652"/>
      <c r="Q4" s="652"/>
    </row>
    <row r="5" spans="1:17" ht="15.75" customHeight="1" x14ac:dyDescent="0.25">
      <c r="A5" s="462" t="s">
        <v>147</v>
      </c>
      <c r="B5" s="598">
        <v>1</v>
      </c>
      <c r="C5" s="598"/>
      <c r="D5" s="598">
        <v>2</v>
      </c>
      <c r="E5" s="598"/>
      <c r="F5" s="598">
        <v>3</v>
      </c>
      <c r="G5" s="598"/>
      <c r="H5" s="598">
        <v>4</v>
      </c>
      <c r="I5" s="598"/>
      <c r="J5" s="598">
        <v>5</v>
      </c>
      <c r="K5" s="598"/>
      <c r="L5" s="598">
        <v>6</v>
      </c>
      <c r="M5" s="598"/>
      <c r="N5" s="598">
        <v>7</v>
      </c>
      <c r="O5" s="598"/>
      <c r="P5" s="612">
        <v>8</v>
      </c>
      <c r="Q5" s="612"/>
    </row>
    <row r="6" spans="1:17" ht="15.75" customHeight="1" x14ac:dyDescent="0.25">
      <c r="A6" s="462"/>
      <c r="B6" s="462" t="s">
        <v>135</v>
      </c>
      <c r="C6" s="462"/>
      <c r="D6" s="462" t="s">
        <v>148</v>
      </c>
      <c r="E6" s="462"/>
      <c r="F6" s="462" t="s">
        <v>137</v>
      </c>
      <c r="G6" s="462"/>
      <c r="H6" s="606" t="s">
        <v>138</v>
      </c>
      <c r="I6" s="606"/>
      <c r="J6" s="462" t="s">
        <v>142</v>
      </c>
      <c r="K6" s="462"/>
      <c r="L6" s="462" t="s">
        <v>143</v>
      </c>
      <c r="M6" s="462"/>
      <c r="N6" s="462" t="s">
        <v>144</v>
      </c>
      <c r="O6" s="462"/>
      <c r="P6" s="613" t="s">
        <v>149</v>
      </c>
      <c r="Q6" s="613"/>
    </row>
    <row r="8" spans="1:17" s="119" customFormat="1" ht="15.75" customHeight="1" x14ac:dyDescent="0.2">
      <c r="A8" s="124" t="s">
        <v>147</v>
      </c>
      <c r="B8" s="148" t="s">
        <v>180</v>
      </c>
      <c r="C8" s="650" t="s">
        <v>107</v>
      </c>
      <c r="D8" s="650"/>
      <c r="E8" s="650"/>
      <c r="F8" s="650" t="s">
        <v>150</v>
      </c>
      <c r="G8" s="650"/>
      <c r="H8" s="650"/>
      <c r="I8" s="148" t="s">
        <v>151</v>
      </c>
      <c r="J8" s="149" t="s">
        <v>181</v>
      </c>
      <c r="K8" s="148" t="s">
        <v>90</v>
      </c>
      <c r="L8" s="148" t="s">
        <v>12</v>
      </c>
      <c r="M8" s="653" t="s">
        <v>111</v>
      </c>
      <c r="N8" s="591"/>
      <c r="O8" s="591"/>
      <c r="P8" s="591"/>
      <c r="Q8" s="591"/>
    </row>
    <row r="9" spans="1:17" ht="15.75" customHeight="1" x14ac:dyDescent="0.25">
      <c r="A9" s="650" t="s">
        <v>182</v>
      </c>
      <c r="B9" s="122">
        <v>1</v>
      </c>
      <c r="C9" s="645"/>
      <c r="D9" s="646"/>
      <c r="E9" s="646"/>
      <c r="F9" s="645"/>
      <c r="G9" s="646"/>
      <c r="H9" s="646"/>
      <c r="I9" s="120"/>
      <c r="J9" s="121"/>
      <c r="K9" s="121"/>
      <c r="L9" s="147">
        <f>K9-J9</f>
        <v>0</v>
      </c>
      <c r="M9" s="645"/>
      <c r="N9" s="645"/>
      <c r="O9" s="645"/>
      <c r="P9" s="645"/>
      <c r="Q9" s="645"/>
    </row>
    <row r="10" spans="1:17" ht="15.75" customHeight="1" x14ac:dyDescent="0.25">
      <c r="A10" s="651"/>
      <c r="B10" s="122">
        <v>2</v>
      </c>
      <c r="C10" s="645"/>
      <c r="D10" s="646"/>
      <c r="E10" s="646"/>
      <c r="F10" s="645"/>
      <c r="G10" s="646"/>
      <c r="H10" s="646"/>
      <c r="I10" s="120"/>
      <c r="J10" s="121"/>
      <c r="K10" s="121"/>
      <c r="L10" s="147">
        <f>K10-J10</f>
        <v>0</v>
      </c>
      <c r="M10" s="645"/>
      <c r="N10" s="645"/>
      <c r="O10" s="645"/>
      <c r="P10" s="645"/>
      <c r="Q10" s="645"/>
    </row>
    <row r="11" spans="1:17" ht="15.75" customHeight="1" x14ac:dyDescent="0.25">
      <c r="A11" s="651"/>
      <c r="B11" s="122">
        <v>3</v>
      </c>
      <c r="C11" s="645"/>
      <c r="D11" s="646"/>
      <c r="E11" s="646"/>
      <c r="F11" s="645"/>
      <c r="G11" s="646"/>
      <c r="H11" s="646"/>
      <c r="I11" s="120"/>
      <c r="J11" s="121"/>
      <c r="K11" s="121"/>
      <c r="L11" s="147">
        <f>K11-J11</f>
        <v>0</v>
      </c>
      <c r="M11" s="645"/>
      <c r="N11" s="645"/>
      <c r="O11" s="645"/>
      <c r="P11" s="645"/>
      <c r="Q11" s="645"/>
    </row>
    <row r="12" spans="1:17" ht="15.75" customHeight="1" x14ac:dyDescent="0.25">
      <c r="A12" s="651"/>
      <c r="B12" s="122">
        <v>4</v>
      </c>
      <c r="C12" s="645"/>
      <c r="D12" s="646"/>
      <c r="E12" s="646"/>
      <c r="F12" s="645"/>
      <c r="G12" s="646"/>
      <c r="H12" s="646"/>
      <c r="I12" s="120"/>
      <c r="J12" s="121"/>
      <c r="K12" s="121"/>
      <c r="L12" s="147">
        <f>K12-J12</f>
        <v>0</v>
      </c>
      <c r="M12" s="645"/>
      <c r="N12" s="645"/>
      <c r="O12" s="645"/>
      <c r="P12" s="645"/>
      <c r="Q12" s="645"/>
    </row>
    <row r="13" spans="1:17" ht="15.75" customHeight="1" x14ac:dyDescent="0.25">
      <c r="A13" s="651"/>
      <c r="B13" s="122">
        <v>5</v>
      </c>
      <c r="C13" s="645"/>
      <c r="D13" s="646"/>
      <c r="E13" s="646"/>
      <c r="F13" s="645"/>
      <c r="G13" s="646"/>
      <c r="H13" s="646"/>
      <c r="I13" s="120"/>
      <c r="J13" s="121"/>
      <c r="K13" s="121"/>
      <c r="L13" s="147">
        <f>K13-J13</f>
        <v>0</v>
      </c>
      <c r="M13" s="645"/>
      <c r="N13" s="645"/>
      <c r="O13" s="645"/>
      <c r="P13" s="645"/>
      <c r="Q13" s="645"/>
    </row>
    <row r="14" spans="1:17" ht="15.75" customHeight="1" x14ac:dyDescent="0.25">
      <c r="A14" s="648"/>
      <c r="B14" s="648"/>
      <c r="C14" s="648"/>
      <c r="D14" s="648"/>
      <c r="E14" s="648"/>
      <c r="F14" s="648"/>
      <c r="G14" s="648"/>
      <c r="H14" s="648"/>
      <c r="I14" s="648"/>
      <c r="J14" s="648"/>
      <c r="K14" s="648"/>
      <c r="L14" s="648"/>
      <c r="M14" s="648"/>
      <c r="N14" s="648"/>
      <c r="O14" s="649"/>
    </row>
    <row r="15" spans="1:17" s="119" customFormat="1" ht="15.75" customHeight="1" x14ac:dyDescent="0.2">
      <c r="A15" s="124" t="s">
        <v>147</v>
      </c>
      <c r="B15" s="124" t="s">
        <v>180</v>
      </c>
      <c r="C15" s="647" t="s">
        <v>107</v>
      </c>
      <c r="D15" s="647"/>
      <c r="E15" s="647"/>
      <c r="F15" s="647" t="s">
        <v>150</v>
      </c>
      <c r="G15" s="647"/>
      <c r="H15" s="647"/>
      <c r="I15" s="124" t="s">
        <v>151</v>
      </c>
      <c r="J15" s="146" t="s">
        <v>181</v>
      </c>
      <c r="K15" s="124" t="s">
        <v>90</v>
      </c>
      <c r="L15" s="124" t="s">
        <v>12</v>
      </c>
      <c r="M15" s="647" t="s">
        <v>111</v>
      </c>
      <c r="N15" s="647"/>
      <c r="O15" s="647"/>
      <c r="P15" s="647"/>
      <c r="Q15" s="647"/>
    </row>
    <row r="16" spans="1:17" ht="15.75" customHeight="1" x14ac:dyDescent="0.25">
      <c r="A16" s="647" t="s">
        <v>183</v>
      </c>
      <c r="B16" s="122">
        <v>1</v>
      </c>
      <c r="C16" s="645"/>
      <c r="D16" s="646"/>
      <c r="E16" s="646"/>
      <c r="F16" s="645"/>
      <c r="G16" s="646"/>
      <c r="H16" s="646"/>
      <c r="I16" s="120"/>
      <c r="J16" s="121"/>
      <c r="K16" s="121"/>
      <c r="L16" s="147">
        <f>K16-J16</f>
        <v>0</v>
      </c>
      <c r="M16" s="645"/>
      <c r="N16" s="645"/>
      <c r="O16" s="645"/>
      <c r="P16" s="645"/>
      <c r="Q16" s="645"/>
    </row>
    <row r="17" spans="1:17" ht="15.75" customHeight="1" x14ac:dyDescent="0.25">
      <c r="A17" s="647"/>
      <c r="B17" s="122">
        <v>2</v>
      </c>
      <c r="C17" s="645"/>
      <c r="D17" s="646"/>
      <c r="E17" s="646"/>
      <c r="F17" s="645"/>
      <c r="G17" s="646"/>
      <c r="H17" s="646"/>
      <c r="I17" s="120"/>
      <c r="J17" s="121"/>
      <c r="K17" s="121"/>
      <c r="L17" s="147">
        <f>K17-J17</f>
        <v>0</v>
      </c>
      <c r="M17" s="645"/>
      <c r="N17" s="645"/>
      <c r="O17" s="645"/>
      <c r="P17" s="645"/>
      <c r="Q17" s="645"/>
    </row>
    <row r="18" spans="1:17" ht="15.75" customHeight="1" x14ac:dyDescent="0.25">
      <c r="A18" s="647"/>
      <c r="B18" s="122">
        <v>3</v>
      </c>
      <c r="C18" s="645"/>
      <c r="D18" s="646"/>
      <c r="E18" s="646"/>
      <c r="F18" s="645"/>
      <c r="G18" s="646"/>
      <c r="H18" s="646"/>
      <c r="I18" s="120"/>
      <c r="J18" s="121"/>
      <c r="K18" s="121"/>
      <c r="L18" s="147">
        <f>K18-J18</f>
        <v>0</v>
      </c>
      <c r="M18" s="645"/>
      <c r="N18" s="645"/>
      <c r="O18" s="645"/>
      <c r="P18" s="645"/>
      <c r="Q18" s="645"/>
    </row>
    <row r="19" spans="1:17" ht="15.75" customHeight="1" x14ac:dyDescent="0.25">
      <c r="A19" s="647"/>
      <c r="B19" s="122">
        <v>4</v>
      </c>
      <c r="C19" s="645"/>
      <c r="D19" s="646"/>
      <c r="E19" s="646"/>
      <c r="F19" s="645"/>
      <c r="G19" s="646"/>
      <c r="H19" s="646"/>
      <c r="I19" s="120"/>
      <c r="J19" s="121"/>
      <c r="K19" s="121"/>
      <c r="L19" s="147">
        <f>K19-J19</f>
        <v>0</v>
      </c>
      <c r="M19" s="645"/>
      <c r="N19" s="645"/>
      <c r="O19" s="645"/>
      <c r="P19" s="645"/>
      <c r="Q19" s="645"/>
    </row>
    <row r="20" spans="1:17" ht="15.75" customHeight="1" x14ac:dyDescent="0.25">
      <c r="A20" s="647"/>
      <c r="B20" s="122">
        <v>5</v>
      </c>
      <c r="C20" s="645"/>
      <c r="D20" s="646"/>
      <c r="E20" s="646"/>
      <c r="F20" s="645"/>
      <c r="G20" s="646"/>
      <c r="H20" s="646"/>
      <c r="I20" s="120"/>
      <c r="J20" s="121"/>
      <c r="K20" s="121"/>
      <c r="L20" s="147">
        <f>K20-J20</f>
        <v>0</v>
      </c>
      <c r="M20" s="645"/>
      <c r="N20" s="645"/>
      <c r="O20" s="645"/>
      <c r="P20" s="645"/>
      <c r="Q20" s="645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J297"/>
  <sheetViews>
    <sheetView zoomScale="70" zoomScaleNormal="70" workbookViewId="0">
      <pane xSplit="5" ySplit="4" topLeftCell="H5" activePane="bottomRight" state="frozen"/>
      <selection pane="topRight" activeCell="F1" sqref="F1"/>
      <selection pane="bottomLeft" activeCell="A5" sqref="A5"/>
      <selection pane="bottomRight" activeCell="X7" sqref="X7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1.7109375" style="159" bestFit="1" customWidth="1"/>
    <col min="6" max="6" width="11.85546875" style="159" bestFit="1" customWidth="1"/>
    <col min="7" max="7" width="14.5703125" style="159" bestFit="1" customWidth="1"/>
    <col min="8" max="9" width="12.42578125" style="159" bestFit="1" customWidth="1"/>
    <col min="10" max="10" width="11.7109375" style="159" bestFit="1" customWidth="1"/>
    <col min="11" max="11" width="12.42578125" style="159" bestFit="1" customWidth="1"/>
    <col min="12" max="12" width="11.7109375" style="159" bestFit="1" customWidth="1"/>
    <col min="13" max="13" width="8.42578125" style="159" bestFit="1" customWidth="1"/>
    <col min="14" max="14" width="8.5703125" style="159" bestFit="1" customWidth="1"/>
    <col min="15" max="15" width="16.140625" style="159" bestFit="1" customWidth="1"/>
    <col min="16" max="16" width="11.7109375" style="159" bestFit="1" customWidth="1"/>
    <col min="17" max="17" width="9.28515625" style="159" bestFit="1" customWidth="1"/>
    <col min="18" max="18" width="10" style="159" bestFit="1" customWidth="1"/>
    <col min="19" max="19" width="13.85546875" style="159" bestFit="1" customWidth="1"/>
    <col min="20" max="20" width="10" style="159" bestFit="1" customWidth="1"/>
    <col min="21" max="21" width="11.7109375" style="159" bestFit="1" customWidth="1"/>
    <col min="22" max="22" width="11.85546875" style="159" bestFit="1" customWidth="1"/>
    <col min="23" max="23" width="22.7109375" style="159" bestFit="1" customWidth="1"/>
    <col min="24" max="24" width="38.28515625" style="159" bestFit="1" customWidth="1"/>
    <col min="25" max="25" width="70.7109375" style="159" bestFit="1" customWidth="1"/>
    <col min="26" max="26" width="7.42578125" style="159" bestFit="1" customWidth="1"/>
    <col min="27" max="27" width="35.285156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50" width="8.85546875" style="159" customWidth="1"/>
    <col min="51" max="16384" width="8.85546875" style="159"/>
  </cols>
  <sheetData>
    <row r="2" spans="2:36" ht="41.1" customHeight="1" x14ac:dyDescent="0.25">
      <c r="B2" s="654" t="s">
        <v>184</v>
      </c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655"/>
      <c r="O2" s="655"/>
      <c r="P2" s="655"/>
      <c r="Q2" s="655"/>
      <c r="R2" s="655"/>
      <c r="S2" s="655"/>
      <c r="T2" s="655"/>
      <c r="U2" s="655"/>
      <c r="V2" s="655"/>
      <c r="W2" s="655"/>
      <c r="X2" s="655"/>
      <c r="Y2" s="655"/>
      <c r="Z2" s="655"/>
      <c r="AA2" s="655"/>
      <c r="AC2" s="160"/>
      <c r="AD2" s="160"/>
    </row>
    <row r="3" spans="2:36" ht="17.100000000000001" customHeight="1" x14ac:dyDescent="0.25">
      <c r="B3" s="682" t="s">
        <v>1</v>
      </c>
      <c r="C3" s="683"/>
      <c r="D3" s="686" t="s">
        <v>185</v>
      </c>
      <c r="E3" s="687" t="s">
        <v>186</v>
      </c>
      <c r="F3" s="656" t="s">
        <v>187</v>
      </c>
      <c r="G3" s="657" t="s">
        <v>188</v>
      </c>
      <c r="H3" s="659" t="s">
        <v>189</v>
      </c>
      <c r="I3" s="660" t="s">
        <v>190</v>
      </c>
      <c r="J3" s="661"/>
      <c r="K3" s="660" t="s">
        <v>191</v>
      </c>
      <c r="L3" s="661"/>
      <c r="M3" s="660" t="s">
        <v>192</v>
      </c>
      <c r="N3" s="661"/>
      <c r="O3" s="660" t="s">
        <v>193</v>
      </c>
      <c r="P3" s="661"/>
      <c r="Q3" s="660" t="s">
        <v>140</v>
      </c>
      <c r="R3" s="661"/>
      <c r="S3" s="671" t="s">
        <v>141</v>
      </c>
      <c r="T3" s="672"/>
      <c r="U3" s="673"/>
      <c r="V3" s="674" t="s">
        <v>194</v>
      </c>
      <c r="W3" s="674" t="s">
        <v>195</v>
      </c>
      <c r="X3" s="674" t="s">
        <v>196</v>
      </c>
      <c r="Y3" s="674" t="s">
        <v>197</v>
      </c>
      <c r="Z3" s="674" t="s">
        <v>198</v>
      </c>
      <c r="AA3" s="657" t="s">
        <v>199</v>
      </c>
      <c r="AC3" s="662" t="s">
        <v>200</v>
      </c>
      <c r="AD3" s="663"/>
      <c r="AE3" s="663"/>
      <c r="AF3" s="663"/>
      <c r="AG3" s="663"/>
      <c r="AH3" s="663"/>
      <c r="AI3" s="663"/>
      <c r="AJ3" s="664"/>
    </row>
    <row r="4" spans="2:36" x14ac:dyDescent="0.25">
      <c r="B4" s="684"/>
      <c r="C4" s="685"/>
      <c r="D4" s="686"/>
      <c r="E4" s="686"/>
      <c r="F4" s="656"/>
      <c r="G4" s="658"/>
      <c r="H4" s="658"/>
      <c r="I4" s="378" t="s">
        <v>201</v>
      </c>
      <c r="J4" s="377" t="s">
        <v>202</v>
      </c>
      <c r="K4" s="378" t="s">
        <v>201</v>
      </c>
      <c r="L4" s="377" t="s">
        <v>202</v>
      </c>
      <c r="M4" s="378" t="s">
        <v>201</v>
      </c>
      <c r="N4" s="377" t="s">
        <v>202</v>
      </c>
      <c r="O4" s="378" t="s">
        <v>201</v>
      </c>
      <c r="P4" s="377" t="s">
        <v>202</v>
      </c>
      <c r="Q4" s="378" t="s">
        <v>201</v>
      </c>
      <c r="R4" s="377" t="s">
        <v>202</v>
      </c>
      <c r="S4" s="378" t="s">
        <v>201</v>
      </c>
      <c r="T4" s="377" t="s">
        <v>202</v>
      </c>
      <c r="U4" s="377" t="s">
        <v>203</v>
      </c>
      <c r="V4" s="675"/>
      <c r="W4" s="675"/>
      <c r="X4" s="675"/>
      <c r="Y4" s="675"/>
      <c r="Z4" s="675"/>
      <c r="AA4" s="658"/>
      <c r="AC4" s="665"/>
      <c r="AD4" s="666"/>
      <c r="AE4" s="666"/>
      <c r="AF4" s="666"/>
      <c r="AG4" s="666"/>
      <c r="AH4" s="666"/>
      <c r="AI4" s="666"/>
      <c r="AJ4" s="667"/>
    </row>
    <row r="5" spans="2:36" s="219" customFormat="1" ht="27" customHeight="1" x14ac:dyDescent="0.2">
      <c r="B5" s="676" t="s">
        <v>204</v>
      </c>
      <c r="C5" s="677"/>
      <c r="D5" s="217">
        <v>1</v>
      </c>
      <c r="E5" s="379" t="s">
        <v>157</v>
      </c>
      <c r="F5" s="380">
        <f>IFERROR(Q5*G5,"-")</f>
        <v>9504.84</v>
      </c>
      <c r="G5" s="376">
        <v>153.80000000000001</v>
      </c>
      <c r="H5" s="376">
        <v>2361</v>
      </c>
      <c r="I5" s="375">
        <v>2160</v>
      </c>
      <c r="J5" s="381">
        <f>IFERROR(I5/H5,"-")</f>
        <v>0.91486658195679793</v>
      </c>
      <c r="K5" s="375">
        <v>2420.6</v>
      </c>
      <c r="L5" s="381">
        <f>IFERROR(K5/H5,"-")</f>
        <v>1.0252435408725116</v>
      </c>
      <c r="M5" s="375">
        <v>0</v>
      </c>
      <c r="N5" s="381">
        <f>IFERROR(M5/H5,"-")</f>
        <v>0</v>
      </c>
      <c r="O5" s="382">
        <f>IFERROR(K5+M5,"-")</f>
        <v>2420.6</v>
      </c>
      <c r="P5" s="381">
        <f>IFERROR(O5/H5,"-")</f>
        <v>1.0252435408725116</v>
      </c>
      <c r="Q5" s="376">
        <v>61.8</v>
      </c>
      <c r="R5" s="381">
        <f>IFERROR(Q5/H5,"-")</f>
        <v>2.6175349428208386E-2</v>
      </c>
      <c r="S5" s="382">
        <f>IFERROR(O5-H5,"-")</f>
        <v>59.599999999999909</v>
      </c>
      <c r="T5" s="381">
        <f>IFERROR(S5/H5,"-")</f>
        <v>2.524354087251161E-2</v>
      </c>
      <c r="U5" s="383">
        <f>IFERROR(S5*G5,"-")</f>
        <v>9166.4799999999868</v>
      </c>
      <c r="V5" s="221" t="s">
        <v>205</v>
      </c>
      <c r="W5" s="221" t="s">
        <v>154</v>
      </c>
      <c r="X5" s="221" t="s">
        <v>206</v>
      </c>
      <c r="Y5" s="221" t="s">
        <v>156</v>
      </c>
      <c r="Z5" s="221">
        <v>1</v>
      </c>
      <c r="AA5" s="223" t="s">
        <v>114</v>
      </c>
      <c r="AC5" s="668"/>
      <c r="AD5" s="669"/>
      <c r="AE5" s="669"/>
      <c r="AF5" s="669"/>
      <c r="AG5" s="669"/>
      <c r="AH5" s="669"/>
      <c r="AI5" s="669"/>
      <c r="AJ5" s="670"/>
    </row>
    <row r="6" spans="2:36" s="219" customFormat="1" ht="27" customHeight="1" x14ac:dyDescent="0.2">
      <c r="B6" s="678"/>
      <c r="C6" s="679"/>
      <c r="D6" s="217">
        <v>2</v>
      </c>
      <c r="E6" s="379" t="s">
        <v>159</v>
      </c>
      <c r="F6" s="380">
        <f t="shared" ref="F6:F24" si="0">IFERROR(Q6*G6,"-")</f>
        <v>7882.5599999999986</v>
      </c>
      <c r="G6" s="376">
        <v>193.2</v>
      </c>
      <c r="H6" s="376">
        <v>1234.0999999999999</v>
      </c>
      <c r="I6" s="375">
        <v>1230</v>
      </c>
      <c r="J6" s="381">
        <f t="shared" ref="J6:J24" si="1">IFERROR(I6/H6,"-")</f>
        <v>0.99667774086378746</v>
      </c>
      <c r="K6" s="375">
        <v>1259</v>
      </c>
      <c r="L6" s="381">
        <f t="shared" ref="L6:L24" si="2">IFERROR(K6/H6,"-")</f>
        <v>1.0201766469491937</v>
      </c>
      <c r="M6" s="375">
        <v>12.6</v>
      </c>
      <c r="N6" s="381">
        <f t="shared" ref="N6:N24" si="3">IFERROR(M6/H6,"-")</f>
        <v>1.0209869540555871E-2</v>
      </c>
      <c r="O6" s="382">
        <f t="shared" ref="O6:O24" si="4">IFERROR(K6+M6,"-")</f>
        <v>1271.5999999999999</v>
      </c>
      <c r="P6" s="381">
        <f t="shared" ref="P6:P24" si="5">IFERROR(O6/H6,"-")</f>
        <v>1.0303865164897497</v>
      </c>
      <c r="Q6" s="376">
        <v>40.799999999999997</v>
      </c>
      <c r="R6" s="381">
        <f t="shared" ref="R6:R24" si="6">IFERROR(Q6/H6,"-")</f>
        <v>3.3060529940847579E-2</v>
      </c>
      <c r="S6" s="382">
        <f t="shared" ref="S6:S24" si="7">IFERROR(O6-H6,"-")</f>
        <v>37.5</v>
      </c>
      <c r="T6" s="381">
        <f t="shared" ref="T6:T24" si="8">IFERROR(S6/H6,"-")</f>
        <v>3.0386516489749618E-2</v>
      </c>
      <c r="U6" s="383">
        <f t="shared" ref="U6:U24" si="9">IFERROR(S6*G6,"-")</f>
        <v>7245</v>
      </c>
      <c r="V6" s="221" t="s">
        <v>212</v>
      </c>
      <c r="W6" s="221" t="s">
        <v>138</v>
      </c>
      <c r="X6" s="220" t="s">
        <v>141</v>
      </c>
      <c r="Y6" s="221" t="s">
        <v>213</v>
      </c>
      <c r="Z6" s="221">
        <v>1</v>
      </c>
      <c r="AA6" s="223" t="s">
        <v>158</v>
      </c>
      <c r="AC6" s="167" t="s">
        <v>207</v>
      </c>
      <c r="AD6" s="167" t="s">
        <v>154</v>
      </c>
      <c r="AE6" s="218" t="s">
        <v>208</v>
      </c>
      <c r="AF6" s="218" t="s">
        <v>137</v>
      </c>
      <c r="AG6" s="218" t="s">
        <v>138</v>
      </c>
      <c r="AH6" s="218" t="s">
        <v>142</v>
      </c>
      <c r="AI6" s="218" t="s">
        <v>143</v>
      </c>
      <c r="AJ6" s="218" t="s">
        <v>144</v>
      </c>
    </row>
    <row r="7" spans="2:36" s="219" customFormat="1" ht="27" customHeight="1" x14ac:dyDescent="0.2">
      <c r="B7" s="678"/>
      <c r="C7" s="679"/>
      <c r="D7" s="217">
        <v>3</v>
      </c>
      <c r="E7" s="379" t="s">
        <v>209</v>
      </c>
      <c r="F7" s="380">
        <f t="shared" si="0"/>
        <v>6474</v>
      </c>
      <c r="G7" s="376">
        <v>6.5</v>
      </c>
      <c r="H7" s="376">
        <v>64964</v>
      </c>
      <c r="I7" s="375">
        <v>63400</v>
      </c>
      <c r="J7" s="381">
        <f t="shared" si="1"/>
        <v>0.97592512776306872</v>
      </c>
      <c r="K7" s="375">
        <v>65926.5</v>
      </c>
      <c r="L7" s="381">
        <f t="shared" si="2"/>
        <v>1.0148158980358353</v>
      </c>
      <c r="M7" s="375">
        <v>222</v>
      </c>
      <c r="N7" s="381">
        <f t="shared" si="3"/>
        <v>3.4172772612523859E-3</v>
      </c>
      <c r="O7" s="382">
        <f t="shared" si="4"/>
        <v>66148.5</v>
      </c>
      <c r="P7" s="381">
        <f t="shared" si="5"/>
        <v>1.0182331752970877</v>
      </c>
      <c r="Q7" s="376">
        <v>996</v>
      </c>
      <c r="R7" s="381">
        <f t="shared" si="6"/>
        <v>1.533156825318638E-2</v>
      </c>
      <c r="S7" s="382">
        <f t="shared" si="7"/>
        <v>1184.5</v>
      </c>
      <c r="T7" s="381">
        <f t="shared" si="8"/>
        <v>1.8233175297087619E-2</v>
      </c>
      <c r="U7" s="383">
        <f t="shared" si="9"/>
        <v>7699.25</v>
      </c>
      <c r="V7" s="221" t="s">
        <v>220</v>
      </c>
      <c r="W7" s="221" t="s">
        <v>144</v>
      </c>
      <c r="X7" s="221" t="s">
        <v>400</v>
      </c>
      <c r="Y7" s="221"/>
      <c r="Z7" s="221">
        <v>1</v>
      </c>
      <c r="AA7" s="223" t="s">
        <v>210</v>
      </c>
      <c r="AC7" s="384">
        <f>SUM(Z5:Z24)</f>
        <v>20</v>
      </c>
      <c r="AD7" s="222">
        <f>SUMIF($W$5:$W$24,TRIM(AD6),$Z$5:$Z$24)</f>
        <v>13</v>
      </c>
      <c r="AE7" s="222">
        <f>SUMIF($W$5:$W$24,TRIM(AE6),$Z$5:$Z$24)</f>
        <v>0</v>
      </c>
      <c r="AF7" s="222">
        <f>SUMIF($W$5:$W$24,TRIM(AF6),$Z$5:$Z$24)</f>
        <v>0</v>
      </c>
      <c r="AG7" s="222">
        <f>SUMIF($W$5:$W$24,TRIM(AG6),$Z$5:$Z$24)</f>
        <v>4</v>
      </c>
      <c r="AH7" s="222">
        <f t="shared" ref="AH7:AI7" si="10">SUMIF($W$5:$W$24,TRIM(AH6),$Z$5:$Z$24)</f>
        <v>2</v>
      </c>
      <c r="AI7" s="222">
        <f t="shared" si="10"/>
        <v>0</v>
      </c>
      <c r="AJ7" s="222">
        <f>SUMIF($W$5:$W$24,TRIM(AJ6),$Z$5:$Z$24)</f>
        <v>1</v>
      </c>
    </row>
    <row r="8" spans="2:36" s="219" customFormat="1" ht="27" customHeight="1" x14ac:dyDescent="0.2">
      <c r="B8" s="678"/>
      <c r="C8" s="679"/>
      <c r="D8" s="217">
        <v>4</v>
      </c>
      <c r="E8" s="379" t="s">
        <v>211</v>
      </c>
      <c r="F8" s="380">
        <f t="shared" si="0"/>
        <v>5549.7599999999993</v>
      </c>
      <c r="G8" s="376">
        <v>84.6</v>
      </c>
      <c r="H8" s="376">
        <v>2923.4</v>
      </c>
      <c r="I8" s="375">
        <v>2853</v>
      </c>
      <c r="J8" s="381">
        <f t="shared" si="1"/>
        <v>0.97591845111856057</v>
      </c>
      <c r="K8" s="375">
        <v>2984</v>
      </c>
      <c r="L8" s="381">
        <f t="shared" si="2"/>
        <v>1.0207292878155572</v>
      </c>
      <c r="M8" s="375">
        <v>0</v>
      </c>
      <c r="N8" s="381">
        <f t="shared" si="3"/>
        <v>0</v>
      </c>
      <c r="O8" s="382">
        <f t="shared" si="4"/>
        <v>2984</v>
      </c>
      <c r="P8" s="381">
        <f t="shared" si="5"/>
        <v>1.0207292878155572</v>
      </c>
      <c r="Q8" s="376">
        <v>65.599999999999994</v>
      </c>
      <c r="R8" s="381">
        <f t="shared" si="6"/>
        <v>2.2439625094068549E-2</v>
      </c>
      <c r="S8" s="382">
        <f t="shared" si="7"/>
        <v>60.599999999999909</v>
      </c>
      <c r="T8" s="381">
        <f t="shared" si="8"/>
        <v>2.0729287815557197E-2</v>
      </c>
      <c r="U8" s="383">
        <f t="shared" si="9"/>
        <v>5126.759999999992</v>
      </c>
      <c r="V8" s="221" t="s">
        <v>205</v>
      </c>
      <c r="W8" s="221" t="s">
        <v>154</v>
      </c>
      <c r="X8" s="221" t="s">
        <v>206</v>
      </c>
      <c r="Y8" s="221" t="s">
        <v>156</v>
      </c>
      <c r="Z8" s="221">
        <v>1</v>
      </c>
      <c r="AA8" s="223" t="s">
        <v>210</v>
      </c>
      <c r="AC8" s="385" t="s">
        <v>139</v>
      </c>
      <c r="AD8" s="386">
        <f>SUMIF($W5:$W$24,TRIM(AD6),$F$5:$F$24)</f>
        <v>24405.570000000003</v>
      </c>
      <c r="AE8" s="386">
        <f>SUMIF($W5:$W$24,TRIM(AE6),$F$5:$F$24)</f>
        <v>0</v>
      </c>
      <c r="AF8" s="386">
        <f>SUMIF($W5:$W$24,TRIM(AF6),$F$5:$F$24)</f>
        <v>0</v>
      </c>
      <c r="AG8" s="386">
        <f>SUMIF($W5:$W$24,TRIM(AG6),$F$5:$F$24)</f>
        <v>8824.369999999999</v>
      </c>
      <c r="AH8" s="386">
        <f>SUMIF($W5:$W$24,TRIM(AH6),$F$5:$F$24)</f>
        <v>2373</v>
      </c>
      <c r="AI8" s="386">
        <f>SUMIF($W5:$W$24,TRIM(AI6),$F$5:$F$24)</f>
        <v>0</v>
      </c>
      <c r="AJ8" s="386">
        <f>SUMIF($W5:$W$24,TRIM(AJ6),$F$5:$F$24)</f>
        <v>6474</v>
      </c>
    </row>
    <row r="9" spans="2:36" s="219" customFormat="1" ht="27" customHeight="1" x14ac:dyDescent="0.2">
      <c r="B9" s="678"/>
      <c r="C9" s="679"/>
      <c r="D9" s="217">
        <v>5</v>
      </c>
      <c r="E9" s="379" t="s">
        <v>155</v>
      </c>
      <c r="F9" s="380">
        <f t="shared" si="0"/>
        <v>1926.2199999999998</v>
      </c>
      <c r="G9" s="376">
        <v>140.6</v>
      </c>
      <c r="H9" s="376">
        <v>1444.9</v>
      </c>
      <c r="I9" s="375">
        <v>1387.5</v>
      </c>
      <c r="J9" s="381">
        <f t="shared" si="1"/>
        <v>0.96027406740950927</v>
      </c>
      <c r="K9" s="375">
        <v>1458.5</v>
      </c>
      <c r="L9" s="381">
        <f t="shared" si="2"/>
        <v>1.009412416084158</v>
      </c>
      <c r="M9" s="375">
        <v>0</v>
      </c>
      <c r="N9" s="381">
        <f t="shared" si="3"/>
        <v>0</v>
      </c>
      <c r="O9" s="382">
        <f t="shared" si="4"/>
        <v>1458.5</v>
      </c>
      <c r="P9" s="381">
        <f t="shared" si="5"/>
        <v>1.009412416084158</v>
      </c>
      <c r="Q9" s="376">
        <v>13.7</v>
      </c>
      <c r="R9" s="381">
        <f t="shared" si="6"/>
        <v>9.4816250259533528E-3</v>
      </c>
      <c r="S9" s="382">
        <f t="shared" si="7"/>
        <v>13.599999999999909</v>
      </c>
      <c r="T9" s="381">
        <f t="shared" si="8"/>
        <v>9.4124160841580103E-3</v>
      </c>
      <c r="U9" s="383">
        <f t="shared" si="9"/>
        <v>1912.1599999999871</v>
      </c>
      <c r="V9" s="221" t="s">
        <v>205</v>
      </c>
      <c r="W9" s="221" t="s">
        <v>154</v>
      </c>
      <c r="X9" s="221" t="s">
        <v>206</v>
      </c>
      <c r="Y9" s="221" t="s">
        <v>156</v>
      </c>
      <c r="Z9" s="221">
        <v>1</v>
      </c>
      <c r="AA9" s="223" t="s">
        <v>115</v>
      </c>
      <c r="AC9" s="217" t="s">
        <v>214</v>
      </c>
      <c r="AD9" s="387">
        <f t="shared" ref="AD9:AJ9" si="11">AD7/$AC7</f>
        <v>0.65</v>
      </c>
      <c r="AE9" s="387">
        <f t="shared" si="11"/>
        <v>0</v>
      </c>
      <c r="AF9" s="387">
        <f t="shared" si="11"/>
        <v>0</v>
      </c>
      <c r="AG9" s="387">
        <f t="shared" si="11"/>
        <v>0.2</v>
      </c>
      <c r="AH9" s="387">
        <f t="shared" si="11"/>
        <v>0.1</v>
      </c>
      <c r="AI9" s="387">
        <f t="shared" si="11"/>
        <v>0</v>
      </c>
      <c r="AJ9" s="387">
        <f t="shared" si="11"/>
        <v>0.05</v>
      </c>
    </row>
    <row r="10" spans="2:36" s="219" customFormat="1" ht="27" customHeight="1" x14ac:dyDescent="0.2">
      <c r="B10" s="678"/>
      <c r="C10" s="679"/>
      <c r="D10" s="217">
        <v>6</v>
      </c>
      <c r="E10" s="379" t="s">
        <v>160</v>
      </c>
      <c r="F10" s="380">
        <f t="shared" si="0"/>
        <v>1900.4499999999998</v>
      </c>
      <c r="G10" s="376">
        <v>95.5</v>
      </c>
      <c r="H10" s="376">
        <v>771.7</v>
      </c>
      <c r="I10" s="375">
        <v>781</v>
      </c>
      <c r="J10" s="381">
        <f t="shared" si="1"/>
        <v>1.0120513152779578</v>
      </c>
      <c r="K10" s="375">
        <v>797.4</v>
      </c>
      <c r="L10" s="381">
        <f t="shared" si="2"/>
        <v>1.0333030970584423</v>
      </c>
      <c r="M10" s="375">
        <v>0</v>
      </c>
      <c r="N10" s="381">
        <f t="shared" si="3"/>
        <v>0</v>
      </c>
      <c r="O10" s="382">
        <f t="shared" si="4"/>
        <v>797.4</v>
      </c>
      <c r="P10" s="381">
        <f t="shared" si="5"/>
        <v>1.0333030970584423</v>
      </c>
      <c r="Q10" s="376">
        <v>19.899999999999999</v>
      </c>
      <c r="R10" s="381">
        <f t="shared" si="6"/>
        <v>2.5787223014124658E-2</v>
      </c>
      <c r="S10" s="382">
        <f t="shared" si="7"/>
        <v>25.699999999999932</v>
      </c>
      <c r="T10" s="381">
        <f t="shared" si="8"/>
        <v>3.330309705844231E-2</v>
      </c>
      <c r="U10" s="383">
        <f t="shared" si="9"/>
        <v>2454.3499999999935</v>
      </c>
      <c r="V10" s="221" t="s">
        <v>205</v>
      </c>
      <c r="W10" s="221" t="s">
        <v>154</v>
      </c>
      <c r="X10" s="221" t="s">
        <v>206</v>
      </c>
      <c r="Y10" s="221" t="s">
        <v>156</v>
      </c>
      <c r="Z10" s="221">
        <v>1</v>
      </c>
      <c r="AA10" s="223" t="s">
        <v>117</v>
      </c>
    </row>
    <row r="11" spans="2:36" s="219" customFormat="1" ht="27" customHeight="1" x14ac:dyDescent="0.2">
      <c r="B11" s="678"/>
      <c r="C11" s="679"/>
      <c r="D11" s="217">
        <v>7</v>
      </c>
      <c r="E11" s="379" t="s">
        <v>215</v>
      </c>
      <c r="F11" s="380">
        <f t="shared" si="0"/>
        <v>1833</v>
      </c>
      <c r="G11" s="376">
        <v>19.5</v>
      </c>
      <c r="H11" s="376">
        <v>14031</v>
      </c>
      <c r="I11" s="375">
        <v>14200</v>
      </c>
      <c r="J11" s="381">
        <f t="shared" si="1"/>
        <v>1.0120447580357779</v>
      </c>
      <c r="K11" s="375">
        <v>13944</v>
      </c>
      <c r="L11" s="381">
        <f t="shared" si="2"/>
        <v>0.99379944408809062</v>
      </c>
      <c r="M11" s="375">
        <v>183</v>
      </c>
      <c r="N11" s="381">
        <f t="shared" si="3"/>
        <v>1.3042548642292068E-2</v>
      </c>
      <c r="O11" s="382">
        <f t="shared" si="4"/>
        <v>14127</v>
      </c>
      <c r="P11" s="381">
        <f t="shared" si="5"/>
        <v>1.0068419927303827</v>
      </c>
      <c r="Q11" s="376">
        <v>94</v>
      </c>
      <c r="R11" s="381">
        <f t="shared" si="6"/>
        <v>6.6994512151664172E-3</v>
      </c>
      <c r="S11" s="382">
        <f t="shared" si="7"/>
        <v>96</v>
      </c>
      <c r="T11" s="381">
        <f t="shared" si="8"/>
        <v>6.8419927303827238E-3</v>
      </c>
      <c r="U11" s="383">
        <f t="shared" si="9"/>
        <v>1872</v>
      </c>
      <c r="V11" s="221" t="s">
        <v>220</v>
      </c>
      <c r="W11" s="221" t="s">
        <v>142</v>
      </c>
      <c r="X11" s="220" t="s">
        <v>384</v>
      </c>
      <c r="Y11" s="221"/>
      <c r="Z11" s="221">
        <v>1</v>
      </c>
      <c r="AA11" s="223" t="s">
        <v>117</v>
      </c>
      <c r="AD11" s="392" t="s">
        <v>216</v>
      </c>
    </row>
    <row r="12" spans="2:36" s="219" customFormat="1" ht="27" customHeight="1" x14ac:dyDescent="0.2">
      <c r="B12" s="678"/>
      <c r="C12" s="679"/>
      <c r="D12" s="217">
        <v>8</v>
      </c>
      <c r="E12" s="379" t="s">
        <v>168</v>
      </c>
      <c r="F12" s="380">
        <f t="shared" si="0"/>
        <v>1484</v>
      </c>
      <c r="G12" s="376">
        <v>296.8</v>
      </c>
      <c r="H12" s="376">
        <v>32.4</v>
      </c>
      <c r="I12" s="375">
        <v>36</v>
      </c>
      <c r="J12" s="381">
        <f t="shared" si="1"/>
        <v>1.1111111111111112</v>
      </c>
      <c r="K12" s="375">
        <v>38.5</v>
      </c>
      <c r="L12" s="381">
        <f t="shared" si="2"/>
        <v>1.1882716049382716</v>
      </c>
      <c r="M12" s="375">
        <v>0</v>
      </c>
      <c r="N12" s="381">
        <f t="shared" si="3"/>
        <v>0</v>
      </c>
      <c r="O12" s="382">
        <f t="shared" si="4"/>
        <v>38.5</v>
      </c>
      <c r="P12" s="381">
        <f t="shared" si="5"/>
        <v>1.1882716049382716</v>
      </c>
      <c r="Q12" s="376">
        <v>5</v>
      </c>
      <c r="R12" s="381">
        <f t="shared" si="6"/>
        <v>0.15432098765432101</v>
      </c>
      <c r="S12" s="382">
        <f t="shared" si="7"/>
        <v>6.1000000000000014</v>
      </c>
      <c r="T12" s="381">
        <f t="shared" si="8"/>
        <v>0.18827160493827166</v>
      </c>
      <c r="U12" s="383">
        <f t="shared" si="9"/>
        <v>1810.4800000000005</v>
      </c>
      <c r="V12" s="221" t="s">
        <v>205</v>
      </c>
      <c r="W12" s="221" t="s">
        <v>154</v>
      </c>
      <c r="X12" s="221" t="s">
        <v>206</v>
      </c>
      <c r="Y12" s="221" t="s">
        <v>156</v>
      </c>
      <c r="Z12" s="221">
        <v>1</v>
      </c>
      <c r="AA12" s="223" t="s">
        <v>123</v>
      </c>
      <c r="AD12" s="392" t="s">
        <v>212</v>
      </c>
    </row>
    <row r="13" spans="2:36" s="219" customFormat="1" ht="27" customHeight="1" x14ac:dyDescent="0.2">
      <c r="B13" s="678"/>
      <c r="C13" s="679"/>
      <c r="D13" s="217">
        <v>9</v>
      </c>
      <c r="E13" s="379" t="s">
        <v>177</v>
      </c>
      <c r="F13" s="380">
        <f t="shared" si="0"/>
        <v>802.90000000000009</v>
      </c>
      <c r="G13" s="376">
        <v>108.5</v>
      </c>
      <c r="H13" s="376">
        <v>364.1</v>
      </c>
      <c r="I13" s="375">
        <v>405</v>
      </c>
      <c r="J13" s="381">
        <f t="shared" si="1"/>
        <v>1.1123317769843448</v>
      </c>
      <c r="K13" s="375">
        <v>378.2</v>
      </c>
      <c r="L13" s="381">
        <f t="shared" si="2"/>
        <v>1.0387256248283439</v>
      </c>
      <c r="M13" s="375">
        <v>0</v>
      </c>
      <c r="N13" s="381">
        <f t="shared" si="3"/>
        <v>0</v>
      </c>
      <c r="O13" s="382">
        <f t="shared" si="4"/>
        <v>378.2</v>
      </c>
      <c r="P13" s="381">
        <f t="shared" si="5"/>
        <v>1.0387256248283439</v>
      </c>
      <c r="Q13" s="376">
        <v>7.4</v>
      </c>
      <c r="R13" s="381">
        <f t="shared" si="6"/>
        <v>2.0324086789343585E-2</v>
      </c>
      <c r="S13" s="382">
        <f t="shared" si="7"/>
        <v>14.099999999999966</v>
      </c>
      <c r="T13" s="381">
        <f t="shared" si="8"/>
        <v>3.8725624828343769E-2</v>
      </c>
      <c r="U13" s="383">
        <f t="shared" si="9"/>
        <v>1529.8499999999963</v>
      </c>
      <c r="V13" s="221" t="s">
        <v>205</v>
      </c>
      <c r="W13" s="221" t="s">
        <v>154</v>
      </c>
      <c r="X13" s="221" t="s">
        <v>206</v>
      </c>
      <c r="Y13" s="221" t="s">
        <v>156</v>
      </c>
      <c r="Z13" s="221">
        <v>1</v>
      </c>
      <c r="AA13" s="224" t="s">
        <v>123</v>
      </c>
      <c r="AD13" s="392" t="s">
        <v>217</v>
      </c>
    </row>
    <row r="14" spans="2:36" s="219" customFormat="1" ht="27" customHeight="1" x14ac:dyDescent="0.2">
      <c r="B14" s="678"/>
      <c r="C14" s="679"/>
      <c r="D14" s="217">
        <v>10</v>
      </c>
      <c r="E14" s="379" t="s">
        <v>218</v>
      </c>
      <c r="F14" s="380">
        <f t="shared" si="0"/>
        <v>719.34</v>
      </c>
      <c r="G14" s="376">
        <v>63.1</v>
      </c>
      <c r="H14" s="376">
        <v>1009.4</v>
      </c>
      <c r="I14" s="375">
        <v>928</v>
      </c>
      <c r="J14" s="381">
        <f t="shared" si="1"/>
        <v>0.91935803447592634</v>
      </c>
      <c r="K14" s="375">
        <v>1022.2</v>
      </c>
      <c r="L14" s="381">
        <f t="shared" si="2"/>
        <v>1.0126808004755301</v>
      </c>
      <c r="M14" s="375">
        <v>0</v>
      </c>
      <c r="N14" s="381">
        <f t="shared" si="3"/>
        <v>0</v>
      </c>
      <c r="O14" s="382">
        <f t="shared" si="4"/>
        <v>1022.2</v>
      </c>
      <c r="P14" s="381">
        <f t="shared" si="5"/>
        <v>1.0126808004755301</v>
      </c>
      <c r="Q14" s="376">
        <v>11.4</v>
      </c>
      <c r="R14" s="381">
        <f t="shared" si="6"/>
        <v>1.1293837923518922E-2</v>
      </c>
      <c r="S14" s="382">
        <f t="shared" si="7"/>
        <v>12.800000000000068</v>
      </c>
      <c r="T14" s="381">
        <f t="shared" si="8"/>
        <v>1.2680800475530087E-2</v>
      </c>
      <c r="U14" s="383">
        <f t="shared" si="9"/>
        <v>807.68000000000427</v>
      </c>
      <c r="V14" s="221" t="s">
        <v>205</v>
      </c>
      <c r="W14" s="221" t="s">
        <v>154</v>
      </c>
      <c r="X14" s="221" t="s">
        <v>206</v>
      </c>
      <c r="Y14" s="221" t="s">
        <v>156</v>
      </c>
      <c r="Z14" s="221">
        <v>1</v>
      </c>
      <c r="AA14" s="223" t="s">
        <v>125</v>
      </c>
      <c r="AD14" s="392" t="s">
        <v>205</v>
      </c>
    </row>
    <row r="15" spans="2:36" s="219" customFormat="1" ht="27" customHeight="1" x14ac:dyDescent="0.2">
      <c r="B15" s="678"/>
      <c r="C15" s="679"/>
      <c r="D15" s="217">
        <v>11</v>
      </c>
      <c r="E15" s="379" t="s">
        <v>219</v>
      </c>
      <c r="F15" s="380">
        <f t="shared" si="0"/>
        <v>529.38</v>
      </c>
      <c r="G15" s="376">
        <v>155.69999999999999</v>
      </c>
      <c r="H15" s="376">
        <v>218.3</v>
      </c>
      <c r="I15" s="375">
        <v>220.5</v>
      </c>
      <c r="J15" s="381">
        <f t="shared" si="1"/>
        <v>1.0100778744846541</v>
      </c>
      <c r="K15" s="375">
        <v>224.5</v>
      </c>
      <c r="L15" s="381">
        <f t="shared" si="2"/>
        <v>1.0284012826385707</v>
      </c>
      <c r="M15" s="375">
        <v>0</v>
      </c>
      <c r="N15" s="381">
        <f t="shared" si="3"/>
        <v>0</v>
      </c>
      <c r="O15" s="382">
        <f t="shared" si="4"/>
        <v>224.5</v>
      </c>
      <c r="P15" s="381">
        <f t="shared" si="5"/>
        <v>1.0284012826385707</v>
      </c>
      <c r="Q15" s="376">
        <v>3.4</v>
      </c>
      <c r="R15" s="381">
        <f t="shared" si="6"/>
        <v>1.5574896930829134E-2</v>
      </c>
      <c r="S15" s="382">
        <f t="shared" si="7"/>
        <v>6.1999999999999886</v>
      </c>
      <c r="T15" s="381">
        <f t="shared" si="8"/>
        <v>2.8401282638570721E-2</v>
      </c>
      <c r="U15" s="383">
        <f t="shared" si="9"/>
        <v>965.33999999999821</v>
      </c>
      <c r="V15" s="221" t="s">
        <v>205</v>
      </c>
      <c r="W15" s="221" t="s">
        <v>154</v>
      </c>
      <c r="X15" s="221" t="s">
        <v>206</v>
      </c>
      <c r="Y15" s="221" t="s">
        <v>156</v>
      </c>
      <c r="Z15" s="221">
        <v>1</v>
      </c>
      <c r="AA15" s="223" t="s">
        <v>158</v>
      </c>
      <c r="AD15" s="392" t="s">
        <v>220</v>
      </c>
      <c r="AE15" s="225"/>
    </row>
    <row r="16" spans="2:36" s="219" customFormat="1" ht="27" customHeight="1" x14ac:dyDescent="0.2">
      <c r="B16" s="678"/>
      <c r="C16" s="679"/>
      <c r="D16" s="217">
        <v>12</v>
      </c>
      <c r="E16" s="379" t="s">
        <v>221</v>
      </c>
      <c r="F16" s="380">
        <f t="shared" si="0"/>
        <v>540</v>
      </c>
      <c r="G16" s="376">
        <v>90</v>
      </c>
      <c r="H16" s="376">
        <v>402.9</v>
      </c>
      <c r="I16" s="375">
        <v>382.4</v>
      </c>
      <c r="J16" s="381">
        <f t="shared" si="1"/>
        <v>0.94911888806155376</v>
      </c>
      <c r="K16" s="375">
        <v>404.2</v>
      </c>
      <c r="L16" s="381">
        <f t="shared" si="2"/>
        <v>1.0032266070985356</v>
      </c>
      <c r="M16" s="375">
        <v>12.4</v>
      </c>
      <c r="N16" s="381">
        <f t="shared" si="3"/>
        <v>3.0776867709108962E-2</v>
      </c>
      <c r="O16" s="382">
        <f t="shared" si="4"/>
        <v>416.59999999999997</v>
      </c>
      <c r="P16" s="381">
        <f t="shared" si="5"/>
        <v>1.0340034748076445</v>
      </c>
      <c r="Q16" s="376">
        <v>6</v>
      </c>
      <c r="R16" s="381">
        <f t="shared" si="6"/>
        <v>1.4892032762472078E-2</v>
      </c>
      <c r="S16" s="382">
        <f t="shared" si="7"/>
        <v>13.699999999999989</v>
      </c>
      <c r="T16" s="381">
        <f t="shared" si="8"/>
        <v>3.4003474807644547E-2</v>
      </c>
      <c r="U16" s="383">
        <f t="shared" si="9"/>
        <v>1232.9999999999991</v>
      </c>
      <c r="V16" s="221" t="s">
        <v>220</v>
      </c>
      <c r="W16" s="221" t="s">
        <v>142</v>
      </c>
      <c r="X16" s="220" t="s">
        <v>399</v>
      </c>
      <c r="Y16" s="221"/>
      <c r="Z16" s="221">
        <v>1</v>
      </c>
      <c r="AA16" s="223" t="s">
        <v>99</v>
      </c>
    </row>
    <row r="17" spans="2:27" s="219" customFormat="1" ht="27" customHeight="1" x14ac:dyDescent="0.2">
      <c r="B17" s="678"/>
      <c r="C17" s="679"/>
      <c r="D17" s="217">
        <v>13</v>
      </c>
      <c r="E17" s="379" t="s">
        <v>222</v>
      </c>
      <c r="F17" s="380">
        <f t="shared" si="0"/>
        <v>529.91999999999996</v>
      </c>
      <c r="G17" s="376">
        <v>82.8</v>
      </c>
      <c r="H17" s="376">
        <v>699.6</v>
      </c>
      <c r="I17" s="375">
        <v>625.79999999999995</v>
      </c>
      <c r="J17" s="381">
        <f t="shared" si="1"/>
        <v>0.89451114922813024</v>
      </c>
      <c r="K17" s="375">
        <v>710.6</v>
      </c>
      <c r="L17" s="381">
        <f t="shared" si="2"/>
        <v>1.0157232704402517</v>
      </c>
      <c r="M17" s="375">
        <v>0</v>
      </c>
      <c r="N17" s="381">
        <f t="shared" si="3"/>
        <v>0</v>
      </c>
      <c r="O17" s="382">
        <f t="shared" si="4"/>
        <v>710.6</v>
      </c>
      <c r="P17" s="381">
        <f t="shared" si="5"/>
        <v>1.0157232704402517</v>
      </c>
      <c r="Q17" s="376">
        <v>6.4</v>
      </c>
      <c r="R17" s="381">
        <f t="shared" si="6"/>
        <v>9.1480846197827329E-3</v>
      </c>
      <c r="S17" s="382">
        <f t="shared" si="7"/>
        <v>11</v>
      </c>
      <c r="T17" s="381">
        <f t="shared" si="8"/>
        <v>1.5723270440251572E-2</v>
      </c>
      <c r="U17" s="383">
        <f t="shared" si="9"/>
        <v>910.8</v>
      </c>
      <c r="V17" s="221" t="s">
        <v>205</v>
      </c>
      <c r="W17" s="221" t="s">
        <v>154</v>
      </c>
      <c r="X17" s="221" t="s">
        <v>206</v>
      </c>
      <c r="Y17" s="221" t="s">
        <v>156</v>
      </c>
      <c r="Z17" s="221">
        <v>1</v>
      </c>
      <c r="AA17" s="223" t="s">
        <v>223</v>
      </c>
    </row>
    <row r="18" spans="2:27" s="219" customFormat="1" ht="27" customHeight="1" x14ac:dyDescent="0.2">
      <c r="B18" s="678"/>
      <c r="C18" s="679"/>
      <c r="D18" s="217">
        <v>14</v>
      </c>
      <c r="E18" s="379" t="s">
        <v>224</v>
      </c>
      <c r="F18" s="380">
        <f t="shared" si="0"/>
        <v>460.45999999999992</v>
      </c>
      <c r="G18" s="376">
        <v>100.1</v>
      </c>
      <c r="H18" s="376">
        <v>339.3</v>
      </c>
      <c r="I18" s="375">
        <v>309.60000000000002</v>
      </c>
      <c r="J18" s="381">
        <f t="shared" si="1"/>
        <v>0.91246684350132634</v>
      </c>
      <c r="K18" s="375">
        <v>344.9</v>
      </c>
      <c r="L18" s="381">
        <f t="shared" si="2"/>
        <v>1.0165045682287062</v>
      </c>
      <c r="M18" s="375">
        <v>7</v>
      </c>
      <c r="N18" s="381">
        <f t="shared" si="3"/>
        <v>2.0630710285882699E-2</v>
      </c>
      <c r="O18" s="382">
        <f t="shared" si="4"/>
        <v>351.9</v>
      </c>
      <c r="P18" s="381">
        <f t="shared" si="5"/>
        <v>1.0371352785145889</v>
      </c>
      <c r="Q18" s="376">
        <v>4.5999999999999996</v>
      </c>
      <c r="R18" s="381">
        <f t="shared" si="6"/>
        <v>1.3557323902151487E-2</v>
      </c>
      <c r="S18" s="382">
        <f t="shared" si="7"/>
        <v>12.599999999999966</v>
      </c>
      <c r="T18" s="381">
        <f t="shared" si="8"/>
        <v>3.7135278514588754E-2</v>
      </c>
      <c r="U18" s="383">
        <f t="shared" si="9"/>
        <v>1261.2599999999966</v>
      </c>
      <c r="V18" s="221" t="s">
        <v>212</v>
      </c>
      <c r="W18" s="221" t="s">
        <v>138</v>
      </c>
      <c r="X18" s="221" t="s">
        <v>141</v>
      </c>
      <c r="Y18" s="221" t="s">
        <v>213</v>
      </c>
      <c r="Z18" s="221">
        <v>1</v>
      </c>
      <c r="AA18" s="223" t="s">
        <v>223</v>
      </c>
    </row>
    <row r="19" spans="2:27" s="219" customFormat="1" ht="27" customHeight="1" x14ac:dyDescent="0.2">
      <c r="B19" s="678"/>
      <c r="C19" s="679"/>
      <c r="D19" s="217">
        <v>15</v>
      </c>
      <c r="E19" s="379" t="s">
        <v>225</v>
      </c>
      <c r="F19" s="380">
        <f t="shared" si="0"/>
        <v>411.59999999999997</v>
      </c>
      <c r="G19" s="376">
        <v>147</v>
      </c>
      <c r="H19" s="376">
        <v>503.6</v>
      </c>
      <c r="I19" s="375">
        <v>478</v>
      </c>
      <c r="J19" s="381">
        <f t="shared" si="1"/>
        <v>0.94916600476568702</v>
      </c>
      <c r="K19" s="375">
        <v>508.1</v>
      </c>
      <c r="L19" s="381">
        <f t="shared" si="2"/>
        <v>1.0089356632247817</v>
      </c>
      <c r="M19" s="375">
        <v>0</v>
      </c>
      <c r="N19" s="381">
        <f t="shared" si="3"/>
        <v>0</v>
      </c>
      <c r="O19" s="382">
        <f t="shared" si="4"/>
        <v>508.1</v>
      </c>
      <c r="P19" s="381">
        <f t="shared" si="5"/>
        <v>1.0089356632247817</v>
      </c>
      <c r="Q19" s="376">
        <v>2.8</v>
      </c>
      <c r="R19" s="381">
        <f t="shared" si="6"/>
        <v>5.5599682287529777E-3</v>
      </c>
      <c r="S19" s="382">
        <f t="shared" si="7"/>
        <v>4.5</v>
      </c>
      <c r="T19" s="381">
        <f t="shared" si="8"/>
        <v>8.9356632247815718E-3</v>
      </c>
      <c r="U19" s="383">
        <f t="shared" si="9"/>
        <v>661.5</v>
      </c>
      <c r="V19" s="221" t="s">
        <v>205</v>
      </c>
      <c r="W19" s="221" t="s">
        <v>154</v>
      </c>
      <c r="X19" s="221" t="s">
        <v>206</v>
      </c>
      <c r="Y19" s="221" t="s">
        <v>156</v>
      </c>
      <c r="Z19" s="221">
        <v>1</v>
      </c>
      <c r="AA19" s="223" t="s">
        <v>99</v>
      </c>
    </row>
    <row r="20" spans="2:27" s="219" customFormat="1" ht="27" customHeight="1" x14ac:dyDescent="0.2">
      <c r="B20" s="678"/>
      <c r="C20" s="679"/>
      <c r="D20" s="217">
        <v>16</v>
      </c>
      <c r="E20" s="379" t="s">
        <v>161</v>
      </c>
      <c r="F20" s="380">
        <f t="shared" si="0"/>
        <v>402.9</v>
      </c>
      <c r="G20" s="376">
        <v>118.5</v>
      </c>
      <c r="H20" s="376">
        <v>788.7</v>
      </c>
      <c r="I20" s="375">
        <v>686</v>
      </c>
      <c r="J20" s="381">
        <f t="shared" si="1"/>
        <v>0.86978572334220861</v>
      </c>
      <c r="K20" s="375">
        <v>796.6</v>
      </c>
      <c r="L20" s="381">
        <f t="shared" si="2"/>
        <v>1.0100164828198301</v>
      </c>
      <c r="M20" s="375">
        <v>0</v>
      </c>
      <c r="N20" s="381">
        <f t="shared" si="3"/>
        <v>0</v>
      </c>
      <c r="O20" s="382">
        <f t="shared" si="4"/>
        <v>796.6</v>
      </c>
      <c r="P20" s="381">
        <f t="shared" si="5"/>
        <v>1.0100164828198301</v>
      </c>
      <c r="Q20" s="376">
        <v>3.4</v>
      </c>
      <c r="R20" s="381">
        <f t="shared" si="6"/>
        <v>4.3108913401800428E-3</v>
      </c>
      <c r="S20" s="382">
        <f t="shared" si="7"/>
        <v>7.8999999999999773</v>
      </c>
      <c r="T20" s="381">
        <f t="shared" si="8"/>
        <v>1.001648281983007E-2</v>
      </c>
      <c r="U20" s="383">
        <f t="shared" si="9"/>
        <v>936.14999999999736</v>
      </c>
      <c r="V20" s="221" t="s">
        <v>205</v>
      </c>
      <c r="W20" s="221" t="s">
        <v>154</v>
      </c>
      <c r="X20" s="221" t="s">
        <v>206</v>
      </c>
      <c r="Y20" s="221" t="s">
        <v>156</v>
      </c>
      <c r="Z20" s="221">
        <v>1</v>
      </c>
      <c r="AA20" s="223" t="s">
        <v>119</v>
      </c>
    </row>
    <row r="21" spans="2:27" s="219" customFormat="1" ht="27" customHeight="1" x14ac:dyDescent="0.2">
      <c r="B21" s="678"/>
      <c r="C21" s="679"/>
      <c r="D21" s="217">
        <v>17</v>
      </c>
      <c r="E21" s="379" t="s">
        <v>226</v>
      </c>
      <c r="F21" s="380">
        <f t="shared" si="0"/>
        <v>405.7</v>
      </c>
      <c r="G21" s="376">
        <v>405.7</v>
      </c>
      <c r="H21" s="376">
        <v>41.1</v>
      </c>
      <c r="I21" s="375">
        <v>41</v>
      </c>
      <c r="J21" s="381">
        <f t="shared" si="1"/>
        <v>0.9975669099756691</v>
      </c>
      <c r="K21" s="375">
        <v>42</v>
      </c>
      <c r="L21" s="381">
        <f t="shared" si="2"/>
        <v>1.021897810218978</v>
      </c>
      <c r="M21" s="375">
        <v>0</v>
      </c>
      <c r="N21" s="381">
        <f t="shared" si="3"/>
        <v>0</v>
      </c>
      <c r="O21" s="382">
        <f t="shared" si="4"/>
        <v>42</v>
      </c>
      <c r="P21" s="381">
        <f t="shared" si="5"/>
        <v>1.021897810218978</v>
      </c>
      <c r="Q21" s="376">
        <v>1</v>
      </c>
      <c r="R21" s="381">
        <f t="shared" si="6"/>
        <v>2.4330900243309E-2</v>
      </c>
      <c r="S21" s="382">
        <f t="shared" si="7"/>
        <v>0.89999999999999858</v>
      </c>
      <c r="T21" s="381">
        <f t="shared" si="8"/>
        <v>2.1897810218978069E-2</v>
      </c>
      <c r="U21" s="383">
        <f t="shared" si="9"/>
        <v>365.12999999999943</v>
      </c>
      <c r="V21" s="221" t="s">
        <v>205</v>
      </c>
      <c r="W21" s="221" t="s">
        <v>154</v>
      </c>
      <c r="X21" s="221" t="s">
        <v>206</v>
      </c>
      <c r="Y21" s="221" t="s">
        <v>156</v>
      </c>
      <c r="Z21" s="221">
        <v>1</v>
      </c>
      <c r="AA21" s="223" t="s">
        <v>158</v>
      </c>
    </row>
    <row r="22" spans="2:27" s="219" customFormat="1" ht="27" customHeight="1" x14ac:dyDescent="0.2">
      <c r="B22" s="678"/>
      <c r="C22" s="679"/>
      <c r="D22" s="217">
        <v>18</v>
      </c>
      <c r="E22" s="379" t="s">
        <v>227</v>
      </c>
      <c r="F22" s="380">
        <f t="shared" si="0"/>
        <v>255.26999999999998</v>
      </c>
      <c r="G22" s="376">
        <v>850.9</v>
      </c>
      <c r="H22" s="376">
        <v>56.3</v>
      </c>
      <c r="I22" s="375">
        <v>49</v>
      </c>
      <c r="J22" s="381">
        <f t="shared" si="1"/>
        <v>0.87033747779751336</v>
      </c>
      <c r="K22" s="375">
        <v>56.9</v>
      </c>
      <c r="L22" s="381">
        <f t="shared" si="2"/>
        <v>1.0106571936056838</v>
      </c>
      <c r="M22" s="375">
        <v>0</v>
      </c>
      <c r="N22" s="381">
        <f t="shared" si="3"/>
        <v>0</v>
      </c>
      <c r="O22" s="382">
        <f t="shared" si="4"/>
        <v>56.9</v>
      </c>
      <c r="P22" s="381">
        <f t="shared" si="5"/>
        <v>1.0106571936056838</v>
      </c>
      <c r="Q22" s="376">
        <v>0.3</v>
      </c>
      <c r="R22" s="381">
        <f t="shared" si="6"/>
        <v>5.3285968028419185E-3</v>
      </c>
      <c r="S22" s="382">
        <f t="shared" si="7"/>
        <v>0.60000000000000142</v>
      </c>
      <c r="T22" s="381">
        <f t="shared" si="8"/>
        <v>1.0657193605683863E-2</v>
      </c>
      <c r="U22" s="383">
        <f t="shared" si="9"/>
        <v>510.54000000000121</v>
      </c>
      <c r="V22" s="221" t="s">
        <v>212</v>
      </c>
      <c r="W22" s="221" t="s">
        <v>138</v>
      </c>
      <c r="X22" s="220" t="s">
        <v>141</v>
      </c>
      <c r="Y22" s="221" t="s">
        <v>213</v>
      </c>
      <c r="Z22" s="221">
        <v>1</v>
      </c>
      <c r="AA22" s="223" t="s">
        <v>119</v>
      </c>
    </row>
    <row r="23" spans="2:27" s="219" customFormat="1" ht="27" customHeight="1" x14ac:dyDescent="0.2">
      <c r="B23" s="678"/>
      <c r="C23" s="679"/>
      <c r="D23" s="217">
        <v>19</v>
      </c>
      <c r="E23" s="379" t="s">
        <v>228</v>
      </c>
      <c r="F23" s="380">
        <f t="shared" si="0"/>
        <v>238.56</v>
      </c>
      <c r="G23" s="376">
        <v>85.2</v>
      </c>
      <c r="H23" s="376">
        <v>140.30000000000001</v>
      </c>
      <c r="I23" s="375">
        <v>142</v>
      </c>
      <c r="J23" s="381">
        <f t="shared" si="1"/>
        <v>1.0121168923734853</v>
      </c>
      <c r="K23" s="375">
        <v>145</v>
      </c>
      <c r="L23" s="381">
        <f t="shared" si="2"/>
        <v>1.0334996436208124</v>
      </c>
      <c r="M23" s="375">
        <v>0</v>
      </c>
      <c r="N23" s="381">
        <f t="shared" si="3"/>
        <v>0</v>
      </c>
      <c r="O23" s="382">
        <f t="shared" si="4"/>
        <v>145</v>
      </c>
      <c r="P23" s="381">
        <f t="shared" si="5"/>
        <v>1.0334996436208124</v>
      </c>
      <c r="Q23" s="376">
        <v>2.8</v>
      </c>
      <c r="R23" s="381">
        <f t="shared" si="6"/>
        <v>1.9957234497505343E-2</v>
      </c>
      <c r="S23" s="382">
        <f t="shared" si="7"/>
        <v>4.6999999999999886</v>
      </c>
      <c r="T23" s="381">
        <f t="shared" si="8"/>
        <v>3.349964362081246E-2</v>
      </c>
      <c r="U23" s="383">
        <f t="shared" si="9"/>
        <v>400.43999999999903</v>
      </c>
      <c r="V23" s="221" t="s">
        <v>205</v>
      </c>
      <c r="W23" s="221" t="s">
        <v>154</v>
      </c>
      <c r="X23" s="221" t="s">
        <v>206</v>
      </c>
      <c r="Y23" s="221" t="s">
        <v>156</v>
      </c>
      <c r="Z23" s="221">
        <v>1</v>
      </c>
      <c r="AA23" s="223" t="s">
        <v>117</v>
      </c>
    </row>
    <row r="24" spans="2:27" s="219" customFormat="1" ht="27" customHeight="1" x14ac:dyDescent="0.2">
      <c r="B24" s="680"/>
      <c r="C24" s="681"/>
      <c r="D24" s="217">
        <v>20</v>
      </c>
      <c r="E24" s="379" t="s">
        <v>171</v>
      </c>
      <c r="F24" s="380">
        <f t="shared" si="0"/>
        <v>226.07999999999998</v>
      </c>
      <c r="G24" s="376">
        <v>125.6</v>
      </c>
      <c r="H24" s="376">
        <v>2497.4</v>
      </c>
      <c r="I24" s="375">
        <v>2331</v>
      </c>
      <c r="J24" s="381">
        <f t="shared" si="1"/>
        <v>0.93337070553375512</v>
      </c>
      <c r="K24" s="375">
        <v>2497.9</v>
      </c>
      <c r="L24" s="381">
        <f t="shared" si="2"/>
        <v>1.0002002082165453</v>
      </c>
      <c r="M24" s="375">
        <v>8</v>
      </c>
      <c r="N24" s="381">
        <f t="shared" si="3"/>
        <v>3.2033314647233121E-3</v>
      </c>
      <c r="O24" s="382">
        <f t="shared" si="4"/>
        <v>2505.9</v>
      </c>
      <c r="P24" s="381">
        <f t="shared" si="5"/>
        <v>1.0034035396812686</v>
      </c>
      <c r="Q24" s="376">
        <v>1.8</v>
      </c>
      <c r="R24" s="381">
        <f t="shared" si="6"/>
        <v>7.2074957956274526E-4</v>
      </c>
      <c r="S24" s="382">
        <f t="shared" si="7"/>
        <v>8.5</v>
      </c>
      <c r="T24" s="381">
        <f t="shared" si="8"/>
        <v>3.4035396812685192E-3</v>
      </c>
      <c r="U24" s="383">
        <f t="shared" si="9"/>
        <v>1067.5999999999999</v>
      </c>
      <c r="V24" s="221" t="s">
        <v>212</v>
      </c>
      <c r="W24" s="221" t="s">
        <v>138</v>
      </c>
      <c r="X24" s="220" t="s">
        <v>141</v>
      </c>
      <c r="Y24" s="221" t="s">
        <v>213</v>
      </c>
      <c r="Z24" s="221">
        <v>1</v>
      </c>
      <c r="AA24" s="223" t="s">
        <v>121</v>
      </c>
    </row>
    <row r="25" spans="2:27" ht="14.1" customHeight="1" x14ac:dyDescent="0.25"/>
    <row r="35" s="159" customFormat="1" ht="14.1" customHeight="1" x14ac:dyDescent="0.25"/>
    <row r="67" s="159" customFormat="1" x14ac:dyDescent="0.25"/>
    <row r="77" s="159" customFormat="1" x14ac:dyDescent="0.25"/>
    <row r="87" s="159" customFormat="1" x14ac:dyDescent="0.25"/>
    <row r="137" s="159" customFormat="1" x14ac:dyDescent="0.25"/>
    <row r="147" s="159" customFormat="1" x14ac:dyDescent="0.25"/>
    <row r="167" s="159" customFormat="1" x14ac:dyDescent="0.25"/>
    <row r="187" s="159" customFormat="1" x14ac:dyDescent="0.25"/>
    <row r="197" s="159" customFormat="1" x14ac:dyDescent="0.25"/>
    <row r="207" s="159" customFormat="1" x14ac:dyDescent="0.25"/>
    <row r="217" s="159" customFormat="1" x14ac:dyDescent="0.25"/>
    <row r="227" s="159" customFormat="1" x14ac:dyDescent="0.25"/>
    <row r="237" s="159" customFormat="1" x14ac:dyDescent="0.25"/>
    <row r="247" s="159" customFormat="1" x14ac:dyDescent="0.25"/>
    <row r="257" s="159" customFormat="1" x14ac:dyDescent="0.25"/>
    <row r="267" s="159" customFormat="1" x14ac:dyDescent="0.25"/>
    <row r="277" s="159" customFormat="1" x14ac:dyDescent="0.25"/>
    <row r="287" s="159" customFormat="1" x14ac:dyDescent="0.25"/>
    <row r="297" s="159" customFormat="1" x14ac:dyDescent="0.25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AC3:AJ5"/>
    <mergeCell ref="O3:P3"/>
    <mergeCell ref="Q3:R3"/>
    <mergeCell ref="S3:U3"/>
    <mergeCell ref="V3:V4"/>
    <mergeCell ref="W3:W4"/>
    <mergeCell ref="B2:AA2"/>
    <mergeCell ref="F3:F4"/>
    <mergeCell ref="G3:G4"/>
    <mergeCell ref="H3:H4"/>
    <mergeCell ref="I3:J3"/>
    <mergeCell ref="K3:L3"/>
    <mergeCell ref="M3:N3"/>
  </mergeCells>
  <phoneticPr fontId="23" type="noConversion"/>
  <dataValidations count="3">
    <dataValidation type="list" allowBlank="1" showInputMessage="1" showErrorMessage="1" sqref="V1:W3 V25:W1048576" xr:uid="{6A18F42B-519B-4EB0-9824-2580C2EFB133}">
      <formula1>#REF!</formula1>
    </dataValidation>
    <dataValidation type="list" allowBlank="1" showInputMessage="1" showErrorMessage="1" sqref="V5:V24" xr:uid="{52C9256C-9863-49F6-9D01-F038ACC1AFD9}">
      <formula1>$AD$11:$AD$15</formula1>
    </dataValidation>
    <dataValidation type="list" allowBlank="1" showInputMessage="1" showErrorMessage="1" sqref="W5:W24" xr:uid="{82147FA1-04BD-473C-84F9-C692B0D64E66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J297"/>
  <sheetViews>
    <sheetView zoomScale="70" zoomScaleNormal="70" workbookViewId="0">
      <pane xSplit="5" ySplit="4" topLeftCell="K5" activePane="bottomRight" state="frozen"/>
      <selection pane="topRight" activeCell="F1" sqref="F1"/>
      <selection pane="bottomLeft" activeCell="A5" sqref="A5"/>
      <selection pane="bottomRight" activeCell="Y6" sqref="Y6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9.28515625" style="159" bestFit="1" customWidth="1"/>
    <col min="6" max="18" width="15.7109375" style="159" customWidth="1"/>
    <col min="19" max="19" width="10" style="159" bestFit="1" customWidth="1"/>
    <col min="20" max="20" width="13.85546875" style="159" bestFit="1" customWidth="1"/>
    <col min="21" max="21" width="8.5703125" style="159" bestFit="1" customWidth="1"/>
    <col min="22" max="22" width="12.42578125" style="159" bestFit="1" customWidth="1"/>
    <col min="23" max="24" width="22.7109375" style="159" bestFit="1" customWidth="1"/>
    <col min="25" max="25" width="72.85546875" style="159" bestFit="1" customWidth="1"/>
    <col min="26" max="26" width="7.42578125" style="159" bestFit="1" customWidth="1"/>
    <col min="27" max="27" width="69.57031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50" width="8.85546875" style="159" customWidth="1"/>
    <col min="51" max="16384" width="8.85546875" style="159"/>
  </cols>
  <sheetData>
    <row r="2" spans="2:36" ht="41.1" customHeight="1" x14ac:dyDescent="0.25">
      <c r="B2" s="654" t="s">
        <v>229</v>
      </c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655"/>
      <c r="O2" s="655"/>
      <c r="P2" s="655"/>
      <c r="Q2" s="655"/>
      <c r="R2" s="655"/>
      <c r="S2" s="655"/>
      <c r="T2" s="655"/>
      <c r="U2" s="655"/>
      <c r="V2" s="655"/>
      <c r="W2" s="655"/>
      <c r="X2" s="655"/>
      <c r="Y2" s="655"/>
      <c r="Z2" s="655"/>
      <c r="AA2" s="655"/>
      <c r="AC2" s="160"/>
      <c r="AD2" s="160"/>
    </row>
    <row r="3" spans="2:36" ht="17.100000000000001" customHeight="1" x14ac:dyDescent="0.25">
      <c r="B3" s="682" t="s">
        <v>1</v>
      </c>
      <c r="C3" s="683"/>
      <c r="D3" s="686" t="s">
        <v>185</v>
      </c>
      <c r="E3" s="687" t="s">
        <v>186</v>
      </c>
      <c r="F3" s="689" t="s">
        <v>230</v>
      </c>
      <c r="G3" s="657" t="s">
        <v>188</v>
      </c>
      <c r="H3" s="659" t="s">
        <v>189</v>
      </c>
      <c r="I3" s="660" t="s">
        <v>190</v>
      </c>
      <c r="J3" s="661"/>
      <c r="K3" s="660" t="s">
        <v>191</v>
      </c>
      <c r="L3" s="661"/>
      <c r="M3" s="660" t="s">
        <v>192</v>
      </c>
      <c r="N3" s="661"/>
      <c r="O3" s="660" t="s">
        <v>193</v>
      </c>
      <c r="P3" s="661"/>
      <c r="Q3" s="660" t="s">
        <v>140</v>
      </c>
      <c r="R3" s="688"/>
      <c r="S3" s="661"/>
      <c r="T3" s="671" t="s">
        <v>141</v>
      </c>
      <c r="U3" s="672"/>
      <c r="V3" s="674" t="s">
        <v>194</v>
      </c>
      <c r="W3" s="674" t="s">
        <v>195</v>
      </c>
      <c r="X3" s="674" t="s">
        <v>196</v>
      </c>
      <c r="Y3" s="674" t="s">
        <v>197</v>
      </c>
      <c r="Z3" s="674" t="s">
        <v>198</v>
      </c>
      <c r="AA3" s="657" t="s">
        <v>199</v>
      </c>
      <c r="AC3" s="662" t="s">
        <v>200</v>
      </c>
      <c r="AD3" s="663"/>
      <c r="AE3" s="663"/>
      <c r="AF3" s="663"/>
      <c r="AG3" s="663"/>
      <c r="AH3" s="663"/>
      <c r="AI3" s="663"/>
      <c r="AJ3" s="664"/>
    </row>
    <row r="4" spans="2:36" x14ac:dyDescent="0.25">
      <c r="B4" s="684"/>
      <c r="C4" s="685"/>
      <c r="D4" s="686"/>
      <c r="E4" s="686"/>
      <c r="F4" s="656"/>
      <c r="G4" s="658"/>
      <c r="H4" s="658"/>
      <c r="I4" s="378" t="s">
        <v>201</v>
      </c>
      <c r="J4" s="377" t="s">
        <v>202</v>
      </c>
      <c r="K4" s="378" t="s">
        <v>201</v>
      </c>
      <c r="L4" s="377" t="s">
        <v>202</v>
      </c>
      <c r="M4" s="378" t="s">
        <v>201</v>
      </c>
      <c r="N4" s="377" t="s">
        <v>202</v>
      </c>
      <c r="O4" s="378" t="s">
        <v>201</v>
      </c>
      <c r="P4" s="377" t="s">
        <v>202</v>
      </c>
      <c r="Q4" s="378" t="s">
        <v>201</v>
      </c>
      <c r="R4" s="377" t="s">
        <v>202</v>
      </c>
      <c r="S4" s="377" t="s">
        <v>203</v>
      </c>
      <c r="T4" s="378" t="s">
        <v>201</v>
      </c>
      <c r="U4" s="377" t="s">
        <v>202</v>
      </c>
      <c r="V4" s="675"/>
      <c r="W4" s="675"/>
      <c r="X4" s="675"/>
      <c r="Y4" s="675"/>
      <c r="Z4" s="675"/>
      <c r="AA4" s="658"/>
      <c r="AC4" s="665"/>
      <c r="AD4" s="666"/>
      <c r="AE4" s="666"/>
      <c r="AF4" s="666"/>
      <c r="AG4" s="666"/>
      <c r="AH4" s="666"/>
      <c r="AI4" s="666"/>
      <c r="AJ4" s="667"/>
    </row>
    <row r="5" spans="2:36" s="219" customFormat="1" ht="27" customHeight="1" x14ac:dyDescent="0.2">
      <c r="B5" s="676" t="s">
        <v>231</v>
      </c>
      <c r="C5" s="677"/>
      <c r="D5" s="217">
        <v>1</v>
      </c>
      <c r="E5" s="379" t="s">
        <v>157</v>
      </c>
      <c r="F5" s="383">
        <f>IFERROR(T5*G5,"-")</f>
        <v>9166.4799999999868</v>
      </c>
      <c r="G5" s="376">
        <v>153.80000000000001</v>
      </c>
      <c r="H5" s="376">
        <v>2361</v>
      </c>
      <c r="I5" s="375">
        <v>2160</v>
      </c>
      <c r="J5" s="381">
        <f>IFERROR(I5/H5,"-")</f>
        <v>0.91486658195679793</v>
      </c>
      <c r="K5" s="375">
        <v>2420.6</v>
      </c>
      <c r="L5" s="381">
        <f>IFERROR(K5/H5,"-")</f>
        <v>1.0252435408725116</v>
      </c>
      <c r="M5" s="375">
        <v>0</v>
      </c>
      <c r="N5" s="381">
        <f>IFERROR(M5/H5,"-")</f>
        <v>0</v>
      </c>
      <c r="O5" s="382">
        <f>IFERROR(K5+M5,"-")</f>
        <v>2420.6</v>
      </c>
      <c r="P5" s="381">
        <f>IFERROR(O5/H5,"-")</f>
        <v>1.0252435408725116</v>
      </c>
      <c r="Q5" s="376">
        <v>61.8</v>
      </c>
      <c r="R5" s="381">
        <f>IFERROR(Q5/H5,"-")</f>
        <v>2.6175349428208386E-2</v>
      </c>
      <c r="S5" s="388">
        <f>IFERROR(Q5*G5,"-")</f>
        <v>9504.84</v>
      </c>
      <c r="T5" s="382">
        <f>IFERROR(O5-H5,"-")</f>
        <v>59.599999999999909</v>
      </c>
      <c r="U5" s="381">
        <f>IFERROR(T5/H5,"-")</f>
        <v>2.524354087251161E-2</v>
      </c>
      <c r="V5" s="221" t="s">
        <v>205</v>
      </c>
      <c r="W5" s="221" t="s">
        <v>154</v>
      </c>
      <c r="X5" s="221" t="s">
        <v>154</v>
      </c>
      <c r="Y5" s="221" t="s">
        <v>156</v>
      </c>
      <c r="Z5" s="221">
        <v>1</v>
      </c>
      <c r="AA5" s="223" t="s">
        <v>114</v>
      </c>
      <c r="AC5" s="668"/>
      <c r="AD5" s="669"/>
      <c r="AE5" s="669"/>
      <c r="AF5" s="669"/>
      <c r="AG5" s="669"/>
      <c r="AH5" s="669"/>
      <c r="AI5" s="669"/>
      <c r="AJ5" s="670"/>
    </row>
    <row r="6" spans="2:36" s="219" customFormat="1" ht="27" customHeight="1" x14ac:dyDescent="0.2">
      <c r="B6" s="678"/>
      <c r="C6" s="679"/>
      <c r="D6" s="217">
        <v>2</v>
      </c>
      <c r="E6" s="379" t="s">
        <v>209</v>
      </c>
      <c r="F6" s="383">
        <f t="shared" ref="F6:F24" si="0">IFERROR(T6*G6,"-")</f>
        <v>7699.25</v>
      </c>
      <c r="G6" s="376">
        <v>6.5</v>
      </c>
      <c r="H6" s="376">
        <v>64964</v>
      </c>
      <c r="I6" s="375">
        <v>63400</v>
      </c>
      <c r="J6" s="381">
        <f t="shared" ref="J6:J24" si="1">IFERROR(I6/H6,"-")</f>
        <v>0.97592512776306872</v>
      </c>
      <c r="K6" s="375">
        <v>65926.5</v>
      </c>
      <c r="L6" s="381">
        <f t="shared" ref="L6:L24" si="2">IFERROR(K6/H6,"-")</f>
        <v>1.0148158980358353</v>
      </c>
      <c r="M6" s="375">
        <v>222</v>
      </c>
      <c r="N6" s="381">
        <f t="shared" ref="N6:N24" si="3">IFERROR(M6/H6,"-")</f>
        <v>3.4172772612523859E-3</v>
      </c>
      <c r="O6" s="382">
        <f t="shared" ref="O6:O24" si="4">IFERROR(K6+M6,"-")</f>
        <v>66148.5</v>
      </c>
      <c r="P6" s="381">
        <f t="shared" ref="P6:P24" si="5">IFERROR(O6/H6,"-")</f>
        <v>1.0182331752970877</v>
      </c>
      <c r="Q6" s="376">
        <v>996</v>
      </c>
      <c r="R6" s="381">
        <f t="shared" ref="R6:R24" si="6">IFERROR(Q6/H6,"-")</f>
        <v>1.533156825318638E-2</v>
      </c>
      <c r="S6" s="388">
        <f t="shared" ref="S6:S24" si="7">IFERROR(Q6*G6,"-")</f>
        <v>6474</v>
      </c>
      <c r="T6" s="382">
        <f t="shared" ref="T6:T24" si="8">IFERROR(O6-H6,"-")</f>
        <v>1184.5</v>
      </c>
      <c r="U6" s="381">
        <f t="shared" ref="U6:U24" si="9">IFERROR(T6/H6,"-")</f>
        <v>1.8233175297087619E-2</v>
      </c>
      <c r="V6" s="221" t="s">
        <v>220</v>
      </c>
      <c r="W6" s="221" t="s">
        <v>142</v>
      </c>
      <c r="X6" s="221" t="s">
        <v>400</v>
      </c>
      <c r="Y6" s="221"/>
      <c r="Z6" s="221">
        <v>1</v>
      </c>
      <c r="AA6" s="223" t="s">
        <v>210</v>
      </c>
      <c r="AC6" s="167" t="s">
        <v>207</v>
      </c>
      <c r="AD6" s="167" t="s">
        <v>154</v>
      </c>
      <c r="AE6" s="218" t="s">
        <v>208</v>
      </c>
      <c r="AF6" s="218" t="s">
        <v>137</v>
      </c>
      <c r="AG6" s="218" t="s">
        <v>138</v>
      </c>
      <c r="AH6" s="218" t="s">
        <v>142</v>
      </c>
      <c r="AI6" s="218" t="s">
        <v>143</v>
      </c>
      <c r="AJ6" s="218" t="s">
        <v>144</v>
      </c>
    </row>
    <row r="7" spans="2:36" s="219" customFormat="1" ht="27" customHeight="1" x14ac:dyDescent="0.2">
      <c r="B7" s="678"/>
      <c r="C7" s="679"/>
      <c r="D7" s="217">
        <v>3</v>
      </c>
      <c r="E7" s="379" t="s">
        <v>159</v>
      </c>
      <c r="F7" s="383">
        <f t="shared" si="0"/>
        <v>7245</v>
      </c>
      <c r="G7" s="376">
        <v>193.2</v>
      </c>
      <c r="H7" s="376">
        <v>1234.0999999999999</v>
      </c>
      <c r="I7" s="375">
        <v>1230</v>
      </c>
      <c r="J7" s="381">
        <f t="shared" si="1"/>
        <v>0.99667774086378746</v>
      </c>
      <c r="K7" s="375">
        <v>1259</v>
      </c>
      <c r="L7" s="381">
        <f t="shared" si="2"/>
        <v>1.0201766469491937</v>
      </c>
      <c r="M7" s="375">
        <v>12.6</v>
      </c>
      <c r="N7" s="381">
        <f t="shared" si="3"/>
        <v>1.0209869540555871E-2</v>
      </c>
      <c r="O7" s="382">
        <f t="shared" si="4"/>
        <v>1271.5999999999999</v>
      </c>
      <c r="P7" s="381">
        <f t="shared" si="5"/>
        <v>1.0303865164897497</v>
      </c>
      <c r="Q7" s="376">
        <v>40.799999999999997</v>
      </c>
      <c r="R7" s="381">
        <f t="shared" si="6"/>
        <v>3.3060529940847579E-2</v>
      </c>
      <c r="S7" s="388">
        <f t="shared" si="7"/>
        <v>7882.5599999999986</v>
      </c>
      <c r="T7" s="382">
        <f t="shared" si="8"/>
        <v>37.5</v>
      </c>
      <c r="U7" s="381">
        <f t="shared" si="9"/>
        <v>3.0386516489749618E-2</v>
      </c>
      <c r="V7" s="221" t="s">
        <v>205</v>
      </c>
      <c r="W7" s="221" t="s">
        <v>154</v>
      </c>
      <c r="X7" s="221" t="s">
        <v>154</v>
      </c>
      <c r="Y7" s="221" t="s">
        <v>156</v>
      </c>
      <c r="Z7" s="221">
        <v>1</v>
      </c>
      <c r="AA7" s="223" t="s">
        <v>158</v>
      </c>
      <c r="AC7" s="384">
        <f>SUM(Z5:Z24)</f>
        <v>20</v>
      </c>
      <c r="AD7" s="222">
        <f>SUMIF($W$5:$W$24,TRIM(AD6),$Z$5:$Z$24)</f>
        <v>12</v>
      </c>
      <c r="AE7" s="222">
        <f t="shared" ref="AE7:AI7" si="10">SUMIF($W$5:$W$24,TRIM(AE6),$Z$5:$Z$24)</f>
        <v>0</v>
      </c>
      <c r="AF7" s="222">
        <f>SUMIF($W$5:$W$24,TRIM(AF6),$Z$5:$Z$24)</f>
        <v>0</v>
      </c>
      <c r="AG7" s="222">
        <f>SUMIF($W$5:$W$24,TRIM(AG6),$Z$5:$Z$24)</f>
        <v>5</v>
      </c>
      <c r="AH7" s="222">
        <f t="shared" si="10"/>
        <v>3</v>
      </c>
      <c r="AI7" s="222">
        <f t="shared" si="10"/>
        <v>0</v>
      </c>
      <c r="AJ7" s="222">
        <f>SUMIF($W$5:$W$24,TRIM(AJ6),$Z$5:$Z$24)</f>
        <v>0</v>
      </c>
    </row>
    <row r="8" spans="2:36" s="219" customFormat="1" ht="27" customHeight="1" x14ac:dyDescent="0.2">
      <c r="B8" s="678"/>
      <c r="C8" s="679"/>
      <c r="D8" s="217">
        <v>4</v>
      </c>
      <c r="E8" s="379" t="s">
        <v>211</v>
      </c>
      <c r="F8" s="383">
        <f t="shared" si="0"/>
        <v>5126.759999999992</v>
      </c>
      <c r="G8" s="376">
        <v>84.6</v>
      </c>
      <c r="H8" s="376">
        <v>2923.4</v>
      </c>
      <c r="I8" s="375">
        <v>2853</v>
      </c>
      <c r="J8" s="381">
        <f t="shared" si="1"/>
        <v>0.97591845111856057</v>
      </c>
      <c r="K8" s="375">
        <v>2984</v>
      </c>
      <c r="L8" s="381">
        <f t="shared" si="2"/>
        <v>1.0207292878155572</v>
      </c>
      <c r="M8" s="375">
        <v>0</v>
      </c>
      <c r="N8" s="381">
        <f t="shared" si="3"/>
        <v>0</v>
      </c>
      <c r="O8" s="382">
        <f t="shared" si="4"/>
        <v>2984</v>
      </c>
      <c r="P8" s="381">
        <f t="shared" si="5"/>
        <v>1.0207292878155572</v>
      </c>
      <c r="Q8" s="376">
        <v>65.599999999999994</v>
      </c>
      <c r="R8" s="381">
        <f t="shared" si="6"/>
        <v>2.2439625094068549E-2</v>
      </c>
      <c r="S8" s="388">
        <f t="shared" si="7"/>
        <v>5549.7599999999993</v>
      </c>
      <c r="T8" s="382">
        <f t="shared" si="8"/>
        <v>60.599999999999909</v>
      </c>
      <c r="U8" s="381">
        <f t="shared" si="9"/>
        <v>2.0729287815557197E-2</v>
      </c>
      <c r="V8" s="221" t="s">
        <v>205</v>
      </c>
      <c r="W8" s="221" t="s">
        <v>154</v>
      </c>
      <c r="X8" s="221" t="s">
        <v>154</v>
      </c>
      <c r="Y8" s="221" t="s">
        <v>156</v>
      </c>
      <c r="Z8" s="221">
        <v>1</v>
      </c>
      <c r="AA8" s="223" t="s">
        <v>210</v>
      </c>
      <c r="AC8" s="385" t="s">
        <v>139</v>
      </c>
      <c r="AD8" s="386">
        <f>SUMIF($W5:$W$24,TRIM(AD6),$F$5:$F$24)</f>
        <v>34854.049999999967</v>
      </c>
      <c r="AE8" s="386">
        <f>SUMIF($W5:$W$24,TRIM(AE6),$F$5:$F$24)</f>
        <v>0</v>
      </c>
      <c r="AF8" s="386">
        <f>SUMIF($W5:$W$24,TRIM(AF6),$F$5:$F$24)</f>
        <v>0</v>
      </c>
      <c r="AG8" s="386">
        <f>SUMIF($W5:$W$24,TRIM(AG6),$F$5:$F$24)</f>
        <v>5109.6600000000153</v>
      </c>
      <c r="AH8" s="386">
        <f>SUMIF($W5:$W$24,TRIM(AH6),$F$5:$F$24)</f>
        <v>10804.25</v>
      </c>
      <c r="AI8" s="386">
        <f>SUMIF($W5:$W$24,TRIM(AI6),$F$5:$F$24)</f>
        <v>0</v>
      </c>
      <c r="AJ8" s="386">
        <f>SUMIF($W5:$W$24,TRIM(AJ6),$F$5:$F$24)</f>
        <v>0</v>
      </c>
    </row>
    <row r="9" spans="2:36" s="219" customFormat="1" ht="27" customHeight="1" x14ac:dyDescent="0.2">
      <c r="B9" s="678"/>
      <c r="C9" s="679"/>
      <c r="D9" s="217">
        <v>5</v>
      </c>
      <c r="E9" s="379" t="s">
        <v>160</v>
      </c>
      <c r="F9" s="383">
        <f t="shared" si="0"/>
        <v>2454.3499999999935</v>
      </c>
      <c r="G9" s="376">
        <v>95.5</v>
      </c>
      <c r="H9" s="376">
        <v>771.7</v>
      </c>
      <c r="I9" s="375">
        <v>781</v>
      </c>
      <c r="J9" s="381">
        <f t="shared" si="1"/>
        <v>1.0120513152779578</v>
      </c>
      <c r="K9" s="375">
        <v>797.4</v>
      </c>
      <c r="L9" s="381">
        <f t="shared" si="2"/>
        <v>1.0333030970584423</v>
      </c>
      <c r="M9" s="375">
        <v>0</v>
      </c>
      <c r="N9" s="381">
        <f t="shared" si="3"/>
        <v>0</v>
      </c>
      <c r="O9" s="382">
        <f t="shared" si="4"/>
        <v>797.4</v>
      </c>
      <c r="P9" s="381">
        <f t="shared" si="5"/>
        <v>1.0333030970584423</v>
      </c>
      <c r="Q9" s="376">
        <v>19.899999999999999</v>
      </c>
      <c r="R9" s="381">
        <f t="shared" si="6"/>
        <v>2.5787223014124658E-2</v>
      </c>
      <c r="S9" s="388">
        <f t="shared" si="7"/>
        <v>1900.4499999999998</v>
      </c>
      <c r="T9" s="382">
        <f t="shared" si="8"/>
        <v>25.699999999999932</v>
      </c>
      <c r="U9" s="381">
        <f t="shared" si="9"/>
        <v>3.330309705844231E-2</v>
      </c>
      <c r="V9" s="221" t="s">
        <v>205</v>
      </c>
      <c r="W9" s="221" t="s">
        <v>154</v>
      </c>
      <c r="X9" s="221" t="s">
        <v>154</v>
      </c>
      <c r="Y9" s="221" t="s">
        <v>156</v>
      </c>
      <c r="Z9" s="221">
        <v>1</v>
      </c>
      <c r="AA9" s="223" t="s">
        <v>117</v>
      </c>
      <c r="AC9" s="217" t="s">
        <v>214</v>
      </c>
      <c r="AD9" s="387">
        <f t="shared" ref="AD9:AJ9" si="11">AD7/$AC7</f>
        <v>0.6</v>
      </c>
      <c r="AE9" s="387">
        <f t="shared" si="11"/>
        <v>0</v>
      </c>
      <c r="AF9" s="387">
        <f t="shared" si="11"/>
        <v>0</v>
      </c>
      <c r="AG9" s="387">
        <f t="shared" si="11"/>
        <v>0.25</v>
      </c>
      <c r="AH9" s="387">
        <f t="shared" si="11"/>
        <v>0.15</v>
      </c>
      <c r="AI9" s="387">
        <f t="shared" si="11"/>
        <v>0</v>
      </c>
      <c r="AJ9" s="387">
        <f t="shared" si="11"/>
        <v>0</v>
      </c>
    </row>
    <row r="10" spans="2:36" s="219" customFormat="1" ht="27" customHeight="1" x14ac:dyDescent="0.2">
      <c r="B10" s="678"/>
      <c r="C10" s="679"/>
      <c r="D10" s="217">
        <v>6</v>
      </c>
      <c r="E10" s="379" t="s">
        <v>232</v>
      </c>
      <c r="F10" s="383">
        <f t="shared" si="0"/>
        <v>1989.0000000000077</v>
      </c>
      <c r="G10" s="376">
        <v>85</v>
      </c>
      <c r="H10" s="376">
        <v>2266.1999999999998</v>
      </c>
      <c r="I10" s="375">
        <v>2151</v>
      </c>
      <c r="J10" s="381">
        <f t="shared" si="1"/>
        <v>0.94916600476568713</v>
      </c>
      <c r="K10" s="375">
        <v>2289.6</v>
      </c>
      <c r="L10" s="381">
        <f t="shared" si="2"/>
        <v>1.0103256552819699</v>
      </c>
      <c r="M10" s="375">
        <v>0</v>
      </c>
      <c r="N10" s="381">
        <f t="shared" si="3"/>
        <v>0</v>
      </c>
      <c r="O10" s="382">
        <f t="shared" si="4"/>
        <v>2289.6</v>
      </c>
      <c r="P10" s="381">
        <f t="shared" si="5"/>
        <v>1.0103256552819699</v>
      </c>
      <c r="Q10" s="376">
        <v>1.4</v>
      </c>
      <c r="R10" s="381">
        <f t="shared" si="6"/>
        <v>6.1777424763921986E-4</v>
      </c>
      <c r="S10" s="388">
        <f t="shared" si="7"/>
        <v>118.99999999999999</v>
      </c>
      <c r="T10" s="382">
        <f t="shared" si="8"/>
        <v>23.400000000000091</v>
      </c>
      <c r="U10" s="381">
        <f t="shared" si="9"/>
        <v>1.0325655281969858E-2</v>
      </c>
      <c r="V10" s="221" t="s">
        <v>205</v>
      </c>
      <c r="W10" s="221" t="s">
        <v>154</v>
      </c>
      <c r="X10" s="221" t="s">
        <v>154</v>
      </c>
      <c r="Y10" s="221" t="s">
        <v>156</v>
      </c>
      <c r="Z10" s="221">
        <v>1</v>
      </c>
      <c r="AA10" s="223" t="s">
        <v>99</v>
      </c>
    </row>
    <row r="11" spans="2:36" s="219" customFormat="1" ht="27" customHeight="1" x14ac:dyDescent="0.2">
      <c r="B11" s="678"/>
      <c r="C11" s="679"/>
      <c r="D11" s="217">
        <v>7</v>
      </c>
      <c r="E11" s="379" t="s">
        <v>155</v>
      </c>
      <c r="F11" s="383">
        <f t="shared" si="0"/>
        <v>1912.1599999999871</v>
      </c>
      <c r="G11" s="376">
        <v>140.6</v>
      </c>
      <c r="H11" s="376">
        <v>1444.9</v>
      </c>
      <c r="I11" s="375">
        <v>1387.5</v>
      </c>
      <c r="J11" s="381">
        <f t="shared" si="1"/>
        <v>0.96027406740950927</v>
      </c>
      <c r="K11" s="375">
        <v>1458.5</v>
      </c>
      <c r="L11" s="381">
        <f t="shared" si="2"/>
        <v>1.009412416084158</v>
      </c>
      <c r="M11" s="375">
        <v>0</v>
      </c>
      <c r="N11" s="381">
        <f t="shared" si="3"/>
        <v>0</v>
      </c>
      <c r="O11" s="382">
        <f t="shared" si="4"/>
        <v>1458.5</v>
      </c>
      <c r="P11" s="381">
        <f t="shared" si="5"/>
        <v>1.009412416084158</v>
      </c>
      <c r="Q11" s="376">
        <v>13.7</v>
      </c>
      <c r="R11" s="381">
        <f t="shared" si="6"/>
        <v>9.4816250259533528E-3</v>
      </c>
      <c r="S11" s="388">
        <f t="shared" si="7"/>
        <v>1926.2199999999998</v>
      </c>
      <c r="T11" s="382">
        <f t="shared" si="8"/>
        <v>13.599999999999909</v>
      </c>
      <c r="U11" s="381">
        <f t="shared" si="9"/>
        <v>9.4124160841580103E-3</v>
      </c>
      <c r="V11" s="221" t="s">
        <v>205</v>
      </c>
      <c r="W11" s="221" t="s">
        <v>154</v>
      </c>
      <c r="X11" s="221" t="s">
        <v>154</v>
      </c>
      <c r="Y11" s="221" t="s">
        <v>156</v>
      </c>
      <c r="Z11" s="221">
        <v>1</v>
      </c>
      <c r="AA11" s="223" t="s">
        <v>115</v>
      </c>
    </row>
    <row r="12" spans="2:36" s="219" customFormat="1" ht="27" customHeight="1" x14ac:dyDescent="0.2">
      <c r="B12" s="678"/>
      <c r="C12" s="679"/>
      <c r="D12" s="217">
        <v>8</v>
      </c>
      <c r="E12" s="379" t="s">
        <v>215</v>
      </c>
      <c r="F12" s="383">
        <f t="shared" si="0"/>
        <v>1872</v>
      </c>
      <c r="G12" s="376">
        <v>19.5</v>
      </c>
      <c r="H12" s="376">
        <v>14031</v>
      </c>
      <c r="I12" s="375">
        <v>14200</v>
      </c>
      <c r="J12" s="381">
        <f t="shared" si="1"/>
        <v>1.0120447580357779</v>
      </c>
      <c r="K12" s="375">
        <v>13944</v>
      </c>
      <c r="L12" s="381">
        <f t="shared" si="2"/>
        <v>0.99379944408809062</v>
      </c>
      <c r="M12" s="375">
        <v>183</v>
      </c>
      <c r="N12" s="381">
        <f t="shared" si="3"/>
        <v>1.3042548642292068E-2</v>
      </c>
      <c r="O12" s="382">
        <f t="shared" si="4"/>
        <v>14127</v>
      </c>
      <c r="P12" s="381">
        <f t="shared" si="5"/>
        <v>1.0068419927303827</v>
      </c>
      <c r="Q12" s="376">
        <v>94</v>
      </c>
      <c r="R12" s="381">
        <f t="shared" si="6"/>
        <v>6.6994512151664172E-3</v>
      </c>
      <c r="S12" s="388">
        <f t="shared" si="7"/>
        <v>1833</v>
      </c>
      <c r="T12" s="382">
        <f t="shared" si="8"/>
        <v>96</v>
      </c>
      <c r="U12" s="381">
        <f t="shared" si="9"/>
        <v>6.8419927303827238E-3</v>
      </c>
      <c r="V12" s="221" t="s">
        <v>220</v>
      </c>
      <c r="W12" s="221" t="s">
        <v>142</v>
      </c>
      <c r="X12" s="220" t="s">
        <v>384</v>
      </c>
      <c r="Y12" s="221"/>
      <c r="Z12" s="221">
        <v>1</v>
      </c>
      <c r="AA12" s="223" t="s">
        <v>117</v>
      </c>
      <c r="AD12" s="392" t="s">
        <v>216</v>
      </c>
    </row>
    <row r="13" spans="2:36" s="219" customFormat="1" ht="27" customHeight="1" x14ac:dyDescent="0.2">
      <c r="B13" s="678"/>
      <c r="C13" s="679"/>
      <c r="D13" s="217">
        <v>9</v>
      </c>
      <c r="E13" s="379" t="s">
        <v>168</v>
      </c>
      <c r="F13" s="383">
        <f t="shared" si="0"/>
        <v>1810.4800000000005</v>
      </c>
      <c r="G13" s="376">
        <v>296.8</v>
      </c>
      <c r="H13" s="376">
        <v>32.4</v>
      </c>
      <c r="I13" s="375">
        <v>36</v>
      </c>
      <c r="J13" s="381">
        <f t="shared" si="1"/>
        <v>1.1111111111111112</v>
      </c>
      <c r="K13" s="375">
        <v>38.5</v>
      </c>
      <c r="L13" s="381">
        <f t="shared" si="2"/>
        <v>1.1882716049382716</v>
      </c>
      <c r="M13" s="375">
        <v>0</v>
      </c>
      <c r="N13" s="381">
        <f t="shared" si="3"/>
        <v>0</v>
      </c>
      <c r="O13" s="382">
        <f t="shared" si="4"/>
        <v>38.5</v>
      </c>
      <c r="P13" s="381">
        <f t="shared" si="5"/>
        <v>1.1882716049382716</v>
      </c>
      <c r="Q13" s="376">
        <v>5</v>
      </c>
      <c r="R13" s="381">
        <f t="shared" si="6"/>
        <v>0.15432098765432101</v>
      </c>
      <c r="S13" s="388">
        <f t="shared" si="7"/>
        <v>1484</v>
      </c>
      <c r="T13" s="382">
        <f t="shared" si="8"/>
        <v>6.1000000000000014</v>
      </c>
      <c r="U13" s="381">
        <f t="shared" si="9"/>
        <v>0.18827160493827166</v>
      </c>
      <c r="V13" s="221" t="s">
        <v>205</v>
      </c>
      <c r="W13" s="221" t="s">
        <v>154</v>
      </c>
      <c r="X13" s="221" t="s">
        <v>154</v>
      </c>
      <c r="Y13" s="221" t="s">
        <v>156</v>
      </c>
      <c r="Z13" s="221">
        <v>1</v>
      </c>
      <c r="AA13" s="223" t="s">
        <v>123</v>
      </c>
      <c r="AD13" s="392" t="s">
        <v>212</v>
      </c>
    </row>
    <row r="14" spans="2:36" s="219" customFormat="1" ht="27" customHeight="1" x14ac:dyDescent="0.2">
      <c r="B14" s="678"/>
      <c r="C14" s="679"/>
      <c r="D14" s="217">
        <v>10</v>
      </c>
      <c r="E14" s="379" t="s">
        <v>177</v>
      </c>
      <c r="F14" s="383">
        <f t="shared" si="0"/>
        <v>1529.8499999999963</v>
      </c>
      <c r="G14" s="376">
        <v>108.5</v>
      </c>
      <c r="H14" s="376">
        <v>364.1</v>
      </c>
      <c r="I14" s="375">
        <v>405</v>
      </c>
      <c r="J14" s="381">
        <f t="shared" si="1"/>
        <v>1.1123317769843448</v>
      </c>
      <c r="K14" s="375">
        <v>378.2</v>
      </c>
      <c r="L14" s="381">
        <f t="shared" si="2"/>
        <v>1.0387256248283439</v>
      </c>
      <c r="M14" s="375">
        <v>0</v>
      </c>
      <c r="N14" s="381">
        <f t="shared" si="3"/>
        <v>0</v>
      </c>
      <c r="O14" s="382">
        <f t="shared" si="4"/>
        <v>378.2</v>
      </c>
      <c r="P14" s="381">
        <f t="shared" si="5"/>
        <v>1.0387256248283439</v>
      </c>
      <c r="Q14" s="376">
        <v>7.4</v>
      </c>
      <c r="R14" s="381">
        <f t="shared" si="6"/>
        <v>2.0324086789343585E-2</v>
      </c>
      <c r="S14" s="388">
        <f t="shared" si="7"/>
        <v>802.90000000000009</v>
      </c>
      <c r="T14" s="382">
        <f t="shared" si="8"/>
        <v>14.099999999999966</v>
      </c>
      <c r="U14" s="381">
        <f t="shared" si="9"/>
        <v>3.8725624828343769E-2</v>
      </c>
      <c r="V14" s="221" t="s">
        <v>205</v>
      </c>
      <c r="W14" s="221" t="s">
        <v>154</v>
      </c>
      <c r="X14" s="221" t="s">
        <v>154</v>
      </c>
      <c r="Y14" s="221" t="s">
        <v>156</v>
      </c>
      <c r="Z14" s="221">
        <v>1</v>
      </c>
      <c r="AA14" s="223" t="s">
        <v>123</v>
      </c>
      <c r="AD14" s="392" t="s">
        <v>217</v>
      </c>
    </row>
    <row r="15" spans="2:36" s="219" customFormat="1" ht="27" customHeight="1" x14ac:dyDescent="0.2">
      <c r="B15" s="678"/>
      <c r="C15" s="679"/>
      <c r="D15" s="217">
        <v>11</v>
      </c>
      <c r="E15" s="379" t="s">
        <v>224</v>
      </c>
      <c r="F15" s="383">
        <f t="shared" si="0"/>
        <v>1261.2599999999966</v>
      </c>
      <c r="G15" s="376">
        <v>100.1</v>
      </c>
      <c r="H15" s="376">
        <v>339.3</v>
      </c>
      <c r="I15" s="375">
        <v>309.60000000000002</v>
      </c>
      <c r="J15" s="381">
        <f t="shared" si="1"/>
        <v>0.91246684350132634</v>
      </c>
      <c r="K15" s="375">
        <v>344.9</v>
      </c>
      <c r="L15" s="381">
        <f t="shared" si="2"/>
        <v>1.0165045682287062</v>
      </c>
      <c r="M15" s="375">
        <v>7</v>
      </c>
      <c r="N15" s="381">
        <f t="shared" si="3"/>
        <v>2.0630710285882699E-2</v>
      </c>
      <c r="O15" s="382">
        <f t="shared" si="4"/>
        <v>351.9</v>
      </c>
      <c r="P15" s="381">
        <f t="shared" si="5"/>
        <v>1.0371352785145889</v>
      </c>
      <c r="Q15" s="376">
        <v>4.5999999999999996</v>
      </c>
      <c r="R15" s="381">
        <f t="shared" si="6"/>
        <v>1.3557323902151487E-2</v>
      </c>
      <c r="S15" s="388">
        <f t="shared" si="7"/>
        <v>460.45999999999992</v>
      </c>
      <c r="T15" s="382">
        <f t="shared" si="8"/>
        <v>12.599999999999966</v>
      </c>
      <c r="U15" s="381">
        <f t="shared" si="9"/>
        <v>3.7135278514588754E-2</v>
      </c>
      <c r="V15" s="221" t="s">
        <v>212</v>
      </c>
      <c r="W15" s="221" t="s">
        <v>138</v>
      </c>
      <c r="X15" s="220" t="s">
        <v>141</v>
      </c>
      <c r="Y15" s="221" t="s">
        <v>213</v>
      </c>
      <c r="Z15" s="221">
        <v>1</v>
      </c>
      <c r="AA15" s="223" t="s">
        <v>223</v>
      </c>
      <c r="AD15" s="392" t="s">
        <v>205</v>
      </c>
      <c r="AE15" s="225"/>
    </row>
    <row r="16" spans="2:36" s="219" customFormat="1" ht="27" customHeight="1" x14ac:dyDescent="0.2">
      <c r="B16" s="678"/>
      <c r="C16" s="679"/>
      <c r="D16" s="217">
        <v>12</v>
      </c>
      <c r="E16" s="379" t="s">
        <v>221</v>
      </c>
      <c r="F16" s="383">
        <f t="shared" si="0"/>
        <v>1232.9999999999991</v>
      </c>
      <c r="G16" s="376">
        <v>90</v>
      </c>
      <c r="H16" s="376">
        <v>402.9</v>
      </c>
      <c r="I16" s="375">
        <v>382.4</v>
      </c>
      <c r="J16" s="381">
        <f t="shared" si="1"/>
        <v>0.94911888806155376</v>
      </c>
      <c r="K16" s="375">
        <v>404.2</v>
      </c>
      <c r="L16" s="381">
        <f t="shared" si="2"/>
        <v>1.0032266070985356</v>
      </c>
      <c r="M16" s="375">
        <v>12.4</v>
      </c>
      <c r="N16" s="381">
        <f t="shared" si="3"/>
        <v>3.0776867709108962E-2</v>
      </c>
      <c r="O16" s="382">
        <f t="shared" si="4"/>
        <v>416.59999999999997</v>
      </c>
      <c r="P16" s="381">
        <f t="shared" si="5"/>
        <v>1.0340034748076445</v>
      </c>
      <c r="Q16" s="376">
        <v>6</v>
      </c>
      <c r="R16" s="381">
        <f t="shared" si="6"/>
        <v>1.4892032762472078E-2</v>
      </c>
      <c r="S16" s="388">
        <f t="shared" si="7"/>
        <v>540</v>
      </c>
      <c r="T16" s="382">
        <f t="shared" si="8"/>
        <v>13.699999999999989</v>
      </c>
      <c r="U16" s="381">
        <f t="shared" si="9"/>
        <v>3.4003474807644547E-2</v>
      </c>
      <c r="V16" s="221" t="s">
        <v>220</v>
      </c>
      <c r="W16" s="221" t="s">
        <v>142</v>
      </c>
      <c r="X16" s="220" t="s">
        <v>398</v>
      </c>
      <c r="Y16" s="221"/>
      <c r="Z16" s="221">
        <v>1</v>
      </c>
      <c r="AA16" s="223" t="s">
        <v>99</v>
      </c>
      <c r="AD16" s="392" t="s">
        <v>220</v>
      </c>
    </row>
    <row r="17" spans="2:27" s="219" customFormat="1" ht="27" customHeight="1" x14ac:dyDescent="0.2">
      <c r="B17" s="678"/>
      <c r="C17" s="679"/>
      <c r="D17" s="217">
        <v>13</v>
      </c>
      <c r="E17" s="379" t="s">
        <v>233</v>
      </c>
      <c r="F17" s="383">
        <f t="shared" si="0"/>
        <v>1118.8800000000072</v>
      </c>
      <c r="G17" s="376">
        <v>621.6</v>
      </c>
      <c r="H17" s="376">
        <v>272.39999999999998</v>
      </c>
      <c r="I17" s="375">
        <v>265.2</v>
      </c>
      <c r="J17" s="381">
        <f t="shared" si="1"/>
        <v>0.97356828193832601</v>
      </c>
      <c r="K17" s="375">
        <v>273</v>
      </c>
      <c r="L17" s="381">
        <f t="shared" si="2"/>
        <v>1.0022026431718063</v>
      </c>
      <c r="M17" s="375">
        <v>1.2</v>
      </c>
      <c r="N17" s="381">
        <f t="shared" si="3"/>
        <v>4.4052863436123352E-3</v>
      </c>
      <c r="O17" s="382">
        <f t="shared" si="4"/>
        <v>274.2</v>
      </c>
      <c r="P17" s="381">
        <f t="shared" si="5"/>
        <v>1.0066079295154184</v>
      </c>
      <c r="Q17" s="376">
        <v>0</v>
      </c>
      <c r="R17" s="381">
        <f t="shared" si="6"/>
        <v>0</v>
      </c>
      <c r="S17" s="388">
        <f t="shared" si="7"/>
        <v>0</v>
      </c>
      <c r="T17" s="382">
        <f t="shared" si="8"/>
        <v>1.8000000000000114</v>
      </c>
      <c r="U17" s="381">
        <f t="shared" si="9"/>
        <v>6.6079295154185449E-3</v>
      </c>
      <c r="V17" s="221" t="s">
        <v>212</v>
      </c>
      <c r="W17" s="221" t="s">
        <v>138</v>
      </c>
      <c r="X17" s="220" t="s">
        <v>141</v>
      </c>
      <c r="Y17" s="221" t="s">
        <v>213</v>
      </c>
      <c r="Z17" s="221">
        <v>1</v>
      </c>
      <c r="AA17" s="223" t="s">
        <v>167</v>
      </c>
    </row>
    <row r="18" spans="2:27" s="219" customFormat="1" ht="27" customHeight="1" x14ac:dyDescent="0.2">
      <c r="B18" s="678"/>
      <c r="C18" s="679"/>
      <c r="D18" s="217">
        <v>14</v>
      </c>
      <c r="E18" s="379" t="s">
        <v>171</v>
      </c>
      <c r="F18" s="383">
        <f t="shared" si="0"/>
        <v>1067.5999999999999</v>
      </c>
      <c r="G18" s="376">
        <v>125.6</v>
      </c>
      <c r="H18" s="376">
        <v>2497.4</v>
      </c>
      <c r="I18" s="375">
        <v>2331</v>
      </c>
      <c r="J18" s="381">
        <f t="shared" si="1"/>
        <v>0.93337070553375512</v>
      </c>
      <c r="K18" s="375">
        <v>2497.9</v>
      </c>
      <c r="L18" s="381">
        <f t="shared" si="2"/>
        <v>1.0002002082165453</v>
      </c>
      <c r="M18" s="375">
        <v>8</v>
      </c>
      <c r="N18" s="381">
        <f t="shared" si="3"/>
        <v>3.2033314647233121E-3</v>
      </c>
      <c r="O18" s="382">
        <f t="shared" si="4"/>
        <v>2505.9</v>
      </c>
      <c r="P18" s="381">
        <f t="shared" si="5"/>
        <v>1.0034035396812686</v>
      </c>
      <c r="Q18" s="376">
        <v>1.8</v>
      </c>
      <c r="R18" s="381">
        <f t="shared" si="6"/>
        <v>7.2074957956274526E-4</v>
      </c>
      <c r="S18" s="388">
        <f t="shared" si="7"/>
        <v>226.07999999999998</v>
      </c>
      <c r="T18" s="382">
        <f t="shared" si="8"/>
        <v>8.5</v>
      </c>
      <c r="U18" s="381">
        <f t="shared" si="9"/>
        <v>3.4035396812685192E-3</v>
      </c>
      <c r="V18" s="221" t="s">
        <v>212</v>
      </c>
      <c r="W18" s="221" t="s">
        <v>138</v>
      </c>
      <c r="X18" s="220" t="s">
        <v>141</v>
      </c>
      <c r="Y18" s="221" t="s">
        <v>213</v>
      </c>
      <c r="Z18" s="221">
        <v>1</v>
      </c>
      <c r="AA18" s="223" t="s">
        <v>121</v>
      </c>
    </row>
    <row r="19" spans="2:27" s="219" customFormat="1" ht="27" customHeight="1" x14ac:dyDescent="0.2">
      <c r="B19" s="678"/>
      <c r="C19" s="679"/>
      <c r="D19" s="217">
        <v>15</v>
      </c>
      <c r="E19" s="379" t="s">
        <v>219</v>
      </c>
      <c r="F19" s="383">
        <f t="shared" si="0"/>
        <v>965.33999999999821</v>
      </c>
      <c r="G19" s="376">
        <v>155.69999999999999</v>
      </c>
      <c r="H19" s="376">
        <v>218.3</v>
      </c>
      <c r="I19" s="375">
        <v>220.5</v>
      </c>
      <c r="J19" s="381">
        <f t="shared" si="1"/>
        <v>1.0100778744846541</v>
      </c>
      <c r="K19" s="375">
        <v>224.5</v>
      </c>
      <c r="L19" s="381">
        <f t="shared" si="2"/>
        <v>1.0284012826385707</v>
      </c>
      <c r="M19" s="375">
        <v>0</v>
      </c>
      <c r="N19" s="381">
        <f t="shared" si="3"/>
        <v>0</v>
      </c>
      <c r="O19" s="382">
        <f t="shared" si="4"/>
        <v>224.5</v>
      </c>
      <c r="P19" s="381">
        <f t="shared" si="5"/>
        <v>1.0284012826385707</v>
      </c>
      <c r="Q19" s="376">
        <v>3.4</v>
      </c>
      <c r="R19" s="381">
        <f t="shared" si="6"/>
        <v>1.5574896930829134E-2</v>
      </c>
      <c r="S19" s="388">
        <f t="shared" si="7"/>
        <v>529.38</v>
      </c>
      <c r="T19" s="382">
        <f t="shared" si="8"/>
        <v>6.1999999999999886</v>
      </c>
      <c r="U19" s="381">
        <f t="shared" si="9"/>
        <v>2.8401282638570721E-2</v>
      </c>
      <c r="V19" s="221" t="s">
        <v>205</v>
      </c>
      <c r="W19" s="221" t="s">
        <v>154</v>
      </c>
      <c r="X19" s="221" t="s">
        <v>154</v>
      </c>
      <c r="Y19" s="221" t="s">
        <v>156</v>
      </c>
      <c r="Z19" s="221">
        <v>1</v>
      </c>
      <c r="AA19" s="223" t="s">
        <v>158</v>
      </c>
    </row>
    <row r="20" spans="2:27" s="219" customFormat="1" ht="27" customHeight="1" x14ac:dyDescent="0.2">
      <c r="B20" s="678"/>
      <c r="C20" s="679"/>
      <c r="D20" s="217">
        <v>16</v>
      </c>
      <c r="E20" s="379" t="s">
        <v>161</v>
      </c>
      <c r="F20" s="383">
        <f t="shared" si="0"/>
        <v>936.14999999999736</v>
      </c>
      <c r="G20" s="376">
        <v>118.5</v>
      </c>
      <c r="H20" s="376">
        <v>788.7</v>
      </c>
      <c r="I20" s="375">
        <v>686</v>
      </c>
      <c r="J20" s="381">
        <f t="shared" si="1"/>
        <v>0.86978572334220861</v>
      </c>
      <c r="K20" s="375">
        <v>796.6</v>
      </c>
      <c r="L20" s="381">
        <f t="shared" si="2"/>
        <v>1.0100164828198301</v>
      </c>
      <c r="M20" s="375">
        <v>0</v>
      </c>
      <c r="N20" s="381">
        <f t="shared" si="3"/>
        <v>0</v>
      </c>
      <c r="O20" s="382">
        <f t="shared" si="4"/>
        <v>796.6</v>
      </c>
      <c r="P20" s="381">
        <f t="shared" si="5"/>
        <v>1.0100164828198301</v>
      </c>
      <c r="Q20" s="376">
        <v>3.4</v>
      </c>
      <c r="R20" s="381">
        <f t="shared" si="6"/>
        <v>4.3108913401800428E-3</v>
      </c>
      <c r="S20" s="388">
        <f t="shared" si="7"/>
        <v>402.9</v>
      </c>
      <c r="T20" s="382">
        <f t="shared" si="8"/>
        <v>7.8999999999999773</v>
      </c>
      <c r="U20" s="381">
        <f t="shared" si="9"/>
        <v>1.001648281983007E-2</v>
      </c>
      <c r="V20" s="221" t="s">
        <v>205</v>
      </c>
      <c r="W20" s="221" t="s">
        <v>154</v>
      </c>
      <c r="X20" s="221" t="s">
        <v>154</v>
      </c>
      <c r="Y20" s="221" t="s">
        <v>156</v>
      </c>
      <c r="Z20" s="221">
        <v>1</v>
      </c>
      <c r="AA20" s="223" t="s">
        <v>119</v>
      </c>
    </row>
    <row r="21" spans="2:27" s="219" customFormat="1" ht="27" customHeight="1" x14ac:dyDescent="0.2">
      <c r="B21" s="678"/>
      <c r="C21" s="679"/>
      <c r="D21" s="217">
        <v>17</v>
      </c>
      <c r="E21" s="379" t="s">
        <v>178</v>
      </c>
      <c r="F21" s="383">
        <f t="shared" si="0"/>
        <v>931.84000000001322</v>
      </c>
      <c r="G21" s="376">
        <v>36.4</v>
      </c>
      <c r="H21" s="376">
        <v>8205.7000000000007</v>
      </c>
      <c r="I21" s="375">
        <v>7659</v>
      </c>
      <c r="J21" s="381">
        <f t="shared" si="1"/>
        <v>0.93337558038924151</v>
      </c>
      <c r="K21" s="375">
        <v>8219.7000000000007</v>
      </c>
      <c r="L21" s="381">
        <f t="shared" si="2"/>
        <v>1.0017061311039888</v>
      </c>
      <c r="M21" s="375">
        <v>11.6</v>
      </c>
      <c r="N21" s="381">
        <f t="shared" si="3"/>
        <v>1.413651486162058E-3</v>
      </c>
      <c r="O21" s="382">
        <f t="shared" si="4"/>
        <v>8231.3000000000011</v>
      </c>
      <c r="P21" s="381">
        <f t="shared" si="5"/>
        <v>1.0031197825901508</v>
      </c>
      <c r="Q21" s="376">
        <v>0</v>
      </c>
      <c r="R21" s="381">
        <f t="shared" si="6"/>
        <v>0</v>
      </c>
      <c r="S21" s="388">
        <f t="shared" si="7"/>
        <v>0</v>
      </c>
      <c r="T21" s="382">
        <f t="shared" si="8"/>
        <v>25.600000000000364</v>
      </c>
      <c r="U21" s="381">
        <f t="shared" si="9"/>
        <v>3.119782590150793E-3</v>
      </c>
      <c r="V21" s="221" t="s">
        <v>212</v>
      </c>
      <c r="W21" s="221" t="s">
        <v>138</v>
      </c>
      <c r="X21" s="220" t="s">
        <v>141</v>
      </c>
      <c r="Y21" s="221" t="s">
        <v>213</v>
      </c>
      <c r="Z21" s="221">
        <v>1</v>
      </c>
      <c r="AA21" s="223" t="s">
        <v>121</v>
      </c>
    </row>
    <row r="22" spans="2:27" s="219" customFormat="1" ht="27" customHeight="1" x14ac:dyDescent="0.2">
      <c r="B22" s="678"/>
      <c r="C22" s="679"/>
      <c r="D22" s="217">
        <v>18</v>
      </c>
      <c r="E22" s="379" t="s">
        <v>222</v>
      </c>
      <c r="F22" s="383">
        <f t="shared" si="0"/>
        <v>910.8</v>
      </c>
      <c r="G22" s="376">
        <v>82.8</v>
      </c>
      <c r="H22" s="376">
        <v>699.6</v>
      </c>
      <c r="I22" s="375">
        <v>625.79999999999995</v>
      </c>
      <c r="J22" s="381">
        <f t="shared" si="1"/>
        <v>0.89451114922813024</v>
      </c>
      <c r="K22" s="375">
        <v>710.6</v>
      </c>
      <c r="L22" s="381">
        <f t="shared" si="2"/>
        <v>1.0157232704402517</v>
      </c>
      <c r="M22" s="375">
        <v>0</v>
      </c>
      <c r="N22" s="381">
        <f t="shared" si="3"/>
        <v>0</v>
      </c>
      <c r="O22" s="382">
        <f t="shared" si="4"/>
        <v>710.6</v>
      </c>
      <c r="P22" s="381">
        <f t="shared" si="5"/>
        <v>1.0157232704402517</v>
      </c>
      <c r="Q22" s="376">
        <v>6.4</v>
      </c>
      <c r="R22" s="381">
        <f t="shared" si="6"/>
        <v>9.1480846197827329E-3</v>
      </c>
      <c r="S22" s="388">
        <f t="shared" si="7"/>
        <v>529.91999999999996</v>
      </c>
      <c r="T22" s="382">
        <f t="shared" si="8"/>
        <v>11</v>
      </c>
      <c r="U22" s="381">
        <f t="shared" si="9"/>
        <v>1.5723270440251572E-2</v>
      </c>
      <c r="V22" s="221" t="s">
        <v>205</v>
      </c>
      <c r="W22" s="221" t="s">
        <v>154</v>
      </c>
      <c r="X22" s="221" t="s">
        <v>154</v>
      </c>
      <c r="Y22" s="221" t="s">
        <v>156</v>
      </c>
      <c r="Z22" s="221">
        <v>1</v>
      </c>
      <c r="AA22" s="223" t="s">
        <v>223</v>
      </c>
    </row>
    <row r="23" spans="2:27" s="219" customFormat="1" ht="27" customHeight="1" x14ac:dyDescent="0.2">
      <c r="B23" s="678"/>
      <c r="C23" s="679"/>
      <c r="D23" s="217">
        <v>19</v>
      </c>
      <c r="E23" s="379" t="s">
        <v>218</v>
      </c>
      <c r="F23" s="383">
        <f t="shared" si="0"/>
        <v>807.68000000000427</v>
      </c>
      <c r="G23" s="376">
        <v>63.1</v>
      </c>
      <c r="H23" s="376">
        <v>1009.4</v>
      </c>
      <c r="I23" s="375">
        <v>928</v>
      </c>
      <c r="J23" s="381">
        <f t="shared" si="1"/>
        <v>0.91935803447592634</v>
      </c>
      <c r="K23" s="375">
        <v>1022.2</v>
      </c>
      <c r="L23" s="381">
        <f t="shared" si="2"/>
        <v>1.0126808004755301</v>
      </c>
      <c r="M23" s="375">
        <v>0</v>
      </c>
      <c r="N23" s="381">
        <f t="shared" si="3"/>
        <v>0</v>
      </c>
      <c r="O23" s="382">
        <f t="shared" si="4"/>
        <v>1022.2</v>
      </c>
      <c r="P23" s="381">
        <f t="shared" si="5"/>
        <v>1.0126808004755301</v>
      </c>
      <c r="Q23" s="376">
        <v>11.4</v>
      </c>
      <c r="R23" s="381">
        <f t="shared" si="6"/>
        <v>1.1293837923518922E-2</v>
      </c>
      <c r="S23" s="388">
        <f t="shared" si="7"/>
        <v>719.34</v>
      </c>
      <c r="T23" s="382">
        <f t="shared" si="8"/>
        <v>12.800000000000068</v>
      </c>
      <c r="U23" s="381">
        <f t="shared" si="9"/>
        <v>1.2680800475530087E-2</v>
      </c>
      <c r="V23" s="221" t="s">
        <v>205</v>
      </c>
      <c r="W23" s="221" t="s">
        <v>154</v>
      </c>
      <c r="X23" s="221" t="s">
        <v>154</v>
      </c>
      <c r="Y23" s="221" t="s">
        <v>156</v>
      </c>
      <c r="Z23" s="221">
        <v>1</v>
      </c>
      <c r="AA23" s="223" t="s">
        <v>125</v>
      </c>
    </row>
    <row r="24" spans="2:27" s="219" customFormat="1" ht="27" customHeight="1" x14ac:dyDescent="0.2">
      <c r="B24" s="680"/>
      <c r="C24" s="681"/>
      <c r="D24" s="217">
        <v>20</v>
      </c>
      <c r="E24" s="379" t="s">
        <v>219</v>
      </c>
      <c r="F24" s="383">
        <f t="shared" si="0"/>
        <v>730.07999999999845</v>
      </c>
      <c r="G24" s="376">
        <v>140.4</v>
      </c>
      <c r="H24" s="376">
        <v>356.8</v>
      </c>
      <c r="I24" s="375">
        <v>333</v>
      </c>
      <c r="J24" s="381">
        <f t="shared" si="1"/>
        <v>0.93329596412556048</v>
      </c>
      <c r="K24" s="375">
        <v>357.4</v>
      </c>
      <c r="L24" s="381">
        <f t="shared" si="2"/>
        <v>1.0016816143497758</v>
      </c>
      <c r="M24" s="375">
        <v>4.5999999999999996</v>
      </c>
      <c r="N24" s="381">
        <f t="shared" si="3"/>
        <v>1.2892376681614349E-2</v>
      </c>
      <c r="O24" s="382">
        <f t="shared" si="4"/>
        <v>362</v>
      </c>
      <c r="P24" s="381">
        <f t="shared" si="5"/>
        <v>1.01457399103139</v>
      </c>
      <c r="Q24" s="376">
        <v>0</v>
      </c>
      <c r="R24" s="381">
        <f t="shared" si="6"/>
        <v>0</v>
      </c>
      <c r="S24" s="388">
        <f t="shared" si="7"/>
        <v>0</v>
      </c>
      <c r="T24" s="382">
        <f t="shared" si="8"/>
        <v>5.1999999999999886</v>
      </c>
      <c r="U24" s="381">
        <f t="shared" si="9"/>
        <v>1.4573991031390102E-2</v>
      </c>
      <c r="V24" s="221" t="s">
        <v>212</v>
      </c>
      <c r="W24" s="221" t="s">
        <v>138</v>
      </c>
      <c r="X24" s="220" t="s">
        <v>141</v>
      </c>
      <c r="Y24" s="221" t="s">
        <v>213</v>
      </c>
      <c r="Z24" s="221">
        <v>1</v>
      </c>
      <c r="AA24" s="223" t="s">
        <v>121</v>
      </c>
    </row>
    <row r="25" spans="2:27" ht="14.1" customHeight="1" x14ac:dyDescent="0.25"/>
    <row r="35" s="159" customFormat="1" ht="14.1" customHeight="1" x14ac:dyDescent="0.25"/>
    <row r="67" s="159" customFormat="1" x14ac:dyDescent="0.25"/>
    <row r="77" s="159" customFormat="1" x14ac:dyDescent="0.25"/>
    <row r="87" s="159" customFormat="1" x14ac:dyDescent="0.25"/>
    <row r="137" s="159" customFormat="1" x14ac:dyDescent="0.25"/>
    <row r="147" s="159" customFormat="1" x14ac:dyDescent="0.25"/>
    <row r="167" s="159" customFormat="1" x14ac:dyDescent="0.25"/>
    <row r="187" s="159" customFormat="1" x14ac:dyDescent="0.25"/>
    <row r="197" s="159" customFormat="1" x14ac:dyDescent="0.25"/>
    <row r="207" s="159" customFormat="1" x14ac:dyDescent="0.25"/>
    <row r="217" s="159" customFormat="1" x14ac:dyDescent="0.25"/>
    <row r="227" s="159" customFormat="1" x14ac:dyDescent="0.25"/>
    <row r="237" s="159" customFormat="1" x14ac:dyDescent="0.25"/>
    <row r="247" s="159" customFormat="1" x14ac:dyDescent="0.25"/>
    <row r="257" s="159" customFormat="1" x14ac:dyDescent="0.25"/>
    <row r="267" s="159" customFormat="1" x14ac:dyDescent="0.25"/>
    <row r="277" s="159" customFormat="1" x14ac:dyDescent="0.25"/>
    <row r="287" s="159" customFormat="1" x14ac:dyDescent="0.25"/>
    <row r="297" s="159" customFormat="1" x14ac:dyDescent="0.25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F3:F4"/>
    <mergeCell ref="AC3:AJ5"/>
    <mergeCell ref="O3:P3"/>
    <mergeCell ref="Q3:S3"/>
    <mergeCell ref="T3:U3"/>
    <mergeCell ref="V3:V4"/>
    <mergeCell ref="W3:W4"/>
    <mergeCell ref="B2:AA2"/>
    <mergeCell ref="G3:G4"/>
    <mergeCell ref="H3:H4"/>
    <mergeCell ref="I3:J3"/>
    <mergeCell ref="K3:L3"/>
    <mergeCell ref="M3:N3"/>
  </mergeCells>
  <phoneticPr fontId="23" type="noConversion"/>
  <dataValidations count="3">
    <dataValidation type="list" allowBlank="1" showInputMessage="1" showErrorMessage="1" sqref="V1:W3 V25:W1048576" xr:uid="{CF2A7D8E-F056-4BD7-88F1-D20DECDD6FF9}">
      <formula1>#REF!</formula1>
    </dataValidation>
    <dataValidation type="list" allowBlank="1" showInputMessage="1" showErrorMessage="1" sqref="V5:V24" xr:uid="{0D2F2A11-C1A8-4F53-80F4-9BDFFCC5FE25}">
      <formula1>$AD$12:$AD$16</formula1>
    </dataValidation>
    <dataValidation type="list" allowBlank="1" showInputMessage="1" showErrorMessage="1" sqref="W5:W24" xr:uid="{EE3C3632-6AAD-4869-A2D5-23E172D8A928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 x14ac:dyDescent="0.2"/>
  <cols>
    <col min="1" max="41" width="12.5703125" style="2" customWidth="1"/>
    <col min="42" max="16384" width="12.5703125" style="2"/>
  </cols>
  <sheetData>
    <row r="1" spans="1:23" ht="15.75" customHeight="1" x14ac:dyDescent="0.2">
      <c r="A1" s="1"/>
      <c r="G1" s="1"/>
      <c r="M1" s="1"/>
      <c r="S1" s="1"/>
    </row>
    <row r="2" spans="1:23" ht="15.75" customHeight="1" x14ac:dyDescent="0.2">
      <c r="A2" s="3">
        <v>7</v>
      </c>
      <c r="B2" s="48" t="s">
        <v>1</v>
      </c>
      <c r="C2" s="47" t="s">
        <v>247</v>
      </c>
      <c r="D2" s="5" t="s">
        <v>248</v>
      </c>
      <c r="E2" s="6"/>
      <c r="G2" s="1"/>
      <c r="M2" s="1"/>
      <c r="S2" s="1"/>
    </row>
    <row r="3" spans="1:23" ht="15.75" customHeight="1" x14ac:dyDescent="0.2">
      <c r="A3" s="1"/>
      <c r="G3" s="1"/>
      <c r="M3" s="1"/>
      <c r="S3" s="1"/>
    </row>
    <row r="4" spans="1:23" ht="15.75" customHeight="1" x14ac:dyDescent="0.2">
      <c r="A4" s="60" t="s">
        <v>249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 x14ac:dyDescent="0.2">
      <c r="A5" s="7"/>
      <c r="B5" s="49" t="s">
        <v>250</v>
      </c>
      <c r="C5" s="7" t="s">
        <v>251</v>
      </c>
      <c r="D5" s="7" t="s">
        <v>12</v>
      </c>
      <c r="E5" s="7" t="s">
        <v>13</v>
      </c>
      <c r="G5" s="7"/>
      <c r="H5" s="49" t="s">
        <v>14</v>
      </c>
      <c r="I5" s="49" t="s">
        <v>250</v>
      </c>
      <c r="J5" s="49" t="s">
        <v>251</v>
      </c>
      <c r="K5" s="7" t="s">
        <v>13</v>
      </c>
      <c r="L5" s="62" t="s">
        <v>15</v>
      </c>
      <c r="M5" s="7"/>
      <c r="N5" s="49" t="s">
        <v>250</v>
      </c>
      <c r="O5" s="49" t="s">
        <v>36</v>
      </c>
      <c r="P5" s="49" t="s">
        <v>251</v>
      </c>
      <c r="Q5" s="49" t="s">
        <v>12</v>
      </c>
      <c r="R5" s="67"/>
      <c r="S5" s="7"/>
      <c r="T5" s="49" t="s">
        <v>250</v>
      </c>
      <c r="U5" s="49" t="s">
        <v>36</v>
      </c>
      <c r="V5" s="49" t="s">
        <v>251</v>
      </c>
      <c r="W5" s="49" t="s">
        <v>12</v>
      </c>
    </row>
    <row r="6" spans="1:23" ht="15.75" customHeight="1" x14ac:dyDescent="0.2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252</v>
      </c>
      <c r="H6" s="11">
        <v>110</v>
      </c>
      <c r="I6" s="11">
        <v>100</v>
      </c>
      <c r="J6" s="11">
        <v>90</v>
      </c>
      <c r="K6" s="12"/>
      <c r="L6" s="62" t="s">
        <v>253</v>
      </c>
      <c r="M6" s="49" t="s">
        <v>254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254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 x14ac:dyDescent="0.2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255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256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256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 x14ac:dyDescent="0.2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258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258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 x14ac:dyDescent="0.2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259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260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260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 x14ac:dyDescent="0.2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261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262</v>
      </c>
      <c r="N10" s="9" t="s">
        <v>263</v>
      </c>
      <c r="O10" s="13" t="str">
        <f t="shared" si="1"/>
        <v/>
      </c>
      <c r="P10" s="4" t="s">
        <v>264</v>
      </c>
      <c r="Q10" s="13" t="str">
        <f t="shared" si="2"/>
        <v/>
      </c>
      <c r="S10" s="49" t="s">
        <v>262</v>
      </c>
      <c r="T10" s="9" t="s">
        <v>263</v>
      </c>
      <c r="U10" s="13" t="str">
        <f t="shared" si="3"/>
        <v/>
      </c>
      <c r="V10" s="4" t="s">
        <v>264</v>
      </c>
      <c r="W10" s="13" t="str">
        <f t="shared" si="4"/>
        <v/>
      </c>
    </row>
    <row r="11" spans="1:23" ht="15.75" customHeight="1" x14ac:dyDescent="0.2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265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266</v>
      </c>
      <c r="N11" s="9" t="s">
        <v>263</v>
      </c>
      <c r="O11" s="13" t="str">
        <f t="shared" si="1"/>
        <v/>
      </c>
      <c r="P11" s="4" t="s">
        <v>264</v>
      </c>
      <c r="Q11" s="13" t="str">
        <f t="shared" si="2"/>
        <v/>
      </c>
      <c r="S11" s="49" t="s">
        <v>266</v>
      </c>
      <c r="T11" s="9" t="s">
        <v>263</v>
      </c>
      <c r="U11" s="13" t="str">
        <f t="shared" si="3"/>
        <v/>
      </c>
      <c r="V11" s="4" t="s">
        <v>264</v>
      </c>
      <c r="W11" s="13" t="str">
        <f t="shared" si="4"/>
        <v/>
      </c>
    </row>
    <row r="12" spans="1:23" ht="15.75" customHeight="1" x14ac:dyDescent="0.2">
      <c r="M12" s="49" t="s">
        <v>267</v>
      </c>
      <c r="N12" s="9" t="s">
        <v>263</v>
      </c>
      <c r="O12" s="13" t="str">
        <f t="shared" si="1"/>
        <v/>
      </c>
      <c r="P12" s="4" t="s">
        <v>264</v>
      </c>
      <c r="Q12" s="13" t="str">
        <f t="shared" si="2"/>
        <v/>
      </c>
      <c r="S12" s="49" t="s">
        <v>267</v>
      </c>
      <c r="T12" s="9" t="s">
        <v>263</v>
      </c>
      <c r="U12" s="13" t="str">
        <f t="shared" si="3"/>
        <v/>
      </c>
      <c r="V12" s="4" t="s">
        <v>264</v>
      </c>
      <c r="W12" s="13" t="str">
        <f t="shared" si="4"/>
        <v/>
      </c>
    </row>
    <row r="13" spans="1:23" ht="15.75" customHeight="1" x14ac:dyDescent="0.2">
      <c r="A13" s="60" t="s">
        <v>268</v>
      </c>
      <c r="B13" s="67"/>
      <c r="C13" s="67"/>
      <c r="D13" s="67"/>
      <c r="E13" s="67"/>
      <c r="F13" s="67"/>
      <c r="M13" s="49" t="s">
        <v>269</v>
      </c>
      <c r="N13" s="9" t="s">
        <v>263</v>
      </c>
      <c r="O13" s="13" t="str">
        <f t="shared" si="1"/>
        <v/>
      </c>
      <c r="P13" s="4" t="s">
        <v>264</v>
      </c>
      <c r="Q13" s="13" t="str">
        <f t="shared" si="2"/>
        <v/>
      </c>
      <c r="S13" s="49" t="s">
        <v>269</v>
      </c>
      <c r="T13" s="9" t="s">
        <v>263</v>
      </c>
      <c r="U13" s="13" t="str">
        <f t="shared" si="3"/>
        <v/>
      </c>
      <c r="V13" s="4" t="s">
        <v>264</v>
      </c>
      <c r="W13" s="13" t="str">
        <f t="shared" si="4"/>
        <v/>
      </c>
    </row>
    <row r="14" spans="1:23" ht="12.75" x14ac:dyDescent="0.2">
      <c r="A14" s="7"/>
      <c r="B14" s="49" t="s">
        <v>250</v>
      </c>
      <c r="C14" s="7" t="s">
        <v>251</v>
      </c>
      <c r="D14" s="7" t="s">
        <v>12</v>
      </c>
      <c r="E14" s="7" t="s">
        <v>13</v>
      </c>
      <c r="F14" s="67"/>
      <c r="G14" s="7"/>
      <c r="H14" s="49" t="s">
        <v>250</v>
      </c>
      <c r="I14" s="7" t="s">
        <v>251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 x14ac:dyDescent="0.2">
      <c r="A15" s="49" t="s">
        <v>254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262</v>
      </c>
      <c r="H15" s="4"/>
      <c r="I15" s="4"/>
      <c r="J15" s="16">
        <f>H15-I15</f>
        <v>0</v>
      </c>
      <c r="K15" s="17"/>
      <c r="M15" s="60" t="s">
        <v>270</v>
      </c>
      <c r="N15" s="67"/>
      <c r="O15" s="67"/>
      <c r="P15" s="67"/>
      <c r="Q15" s="67"/>
      <c r="R15" s="67"/>
      <c r="S15" s="67"/>
    </row>
    <row r="16" spans="1:23" ht="15.75" customHeight="1" x14ac:dyDescent="0.2">
      <c r="A16" s="49" t="s">
        <v>256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266</v>
      </c>
      <c r="H16" s="4"/>
      <c r="I16" s="4"/>
      <c r="J16" s="16">
        <f>H16-I16</f>
        <v>0</v>
      </c>
      <c r="K16" s="17"/>
      <c r="M16" s="18"/>
      <c r="N16" s="46" t="s">
        <v>134</v>
      </c>
      <c r="O16" s="19"/>
      <c r="P16" s="58" t="s">
        <v>182</v>
      </c>
      <c r="Q16" s="19"/>
      <c r="R16" s="51" t="s">
        <v>271</v>
      </c>
      <c r="S16" s="19"/>
    </row>
    <row r="17" spans="1:27" ht="15.75" customHeight="1" x14ac:dyDescent="0.2">
      <c r="A17" s="49" t="s">
        <v>258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267</v>
      </c>
      <c r="H17" s="4"/>
      <c r="I17" s="4"/>
      <c r="J17" s="16">
        <f>H17-I17</f>
        <v>0</v>
      </c>
      <c r="K17" s="17"/>
      <c r="M17" s="20"/>
      <c r="N17" s="21" t="s">
        <v>139</v>
      </c>
      <c r="O17" s="50" t="s">
        <v>36</v>
      </c>
      <c r="P17" s="8" t="s">
        <v>139</v>
      </c>
      <c r="Q17" s="50" t="s">
        <v>36</v>
      </c>
      <c r="R17" s="8" t="s">
        <v>139</v>
      </c>
      <c r="S17" s="50" t="s">
        <v>36</v>
      </c>
    </row>
    <row r="18" spans="1:27" ht="15.75" customHeight="1" x14ac:dyDescent="0.2">
      <c r="A18" s="49" t="s">
        <v>260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269</v>
      </c>
      <c r="H18" s="4"/>
      <c r="I18" s="4"/>
      <c r="J18" s="16">
        <f>H18-I18</f>
        <v>0</v>
      </c>
      <c r="K18" s="17"/>
      <c r="M18" s="49" t="s">
        <v>257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 x14ac:dyDescent="0.2">
      <c r="M19" s="49" t="s">
        <v>259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 x14ac:dyDescent="0.2">
      <c r="A20" s="60" t="s">
        <v>272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 x14ac:dyDescent="0.2">
      <c r="A21" s="18"/>
      <c r="B21" s="49" t="s">
        <v>91</v>
      </c>
      <c r="C21" s="711" t="s">
        <v>107</v>
      </c>
      <c r="D21" s="694"/>
      <c r="E21" s="695"/>
      <c r="F21" s="49" t="s">
        <v>96</v>
      </c>
      <c r="G21" s="49" t="s">
        <v>273</v>
      </c>
      <c r="H21" s="49" t="s">
        <v>274</v>
      </c>
      <c r="I21" s="8" t="s">
        <v>110</v>
      </c>
      <c r="J21" s="709" t="s">
        <v>111</v>
      </c>
      <c r="K21" s="695"/>
      <c r="M21" s="60" t="s">
        <v>146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 x14ac:dyDescent="0.2">
      <c r="A22" s="52" t="s">
        <v>254</v>
      </c>
      <c r="B22" s="6">
        <v>1</v>
      </c>
      <c r="C22" s="702" t="s">
        <v>275</v>
      </c>
      <c r="D22" s="694"/>
      <c r="E22" s="695"/>
      <c r="F22" s="4">
        <v>3</v>
      </c>
      <c r="G22" s="4">
        <v>3000</v>
      </c>
      <c r="H22" s="4">
        <v>1000</v>
      </c>
      <c r="I22" s="4">
        <v>10</v>
      </c>
      <c r="J22" s="693" t="s">
        <v>276</v>
      </c>
      <c r="K22" s="695"/>
      <c r="M22" s="52" t="s">
        <v>257</v>
      </c>
      <c r="N22" s="57" t="s">
        <v>91</v>
      </c>
      <c r="O22" s="690" t="s">
        <v>107</v>
      </c>
      <c r="P22" s="694"/>
      <c r="Q22" s="695"/>
      <c r="R22" s="696" t="s">
        <v>150</v>
      </c>
      <c r="S22" s="694"/>
      <c r="T22" s="695"/>
      <c r="U22" s="57" t="s">
        <v>151</v>
      </c>
      <c r="V22" s="57" t="s">
        <v>24</v>
      </c>
      <c r="W22" s="57" t="s">
        <v>152</v>
      </c>
      <c r="X22" s="8" t="s">
        <v>139</v>
      </c>
      <c r="Y22" s="8" t="s">
        <v>110</v>
      </c>
      <c r="Z22" s="709" t="s">
        <v>111</v>
      </c>
      <c r="AA22" s="695"/>
    </row>
    <row r="23" spans="1:27" ht="15.75" customHeight="1" x14ac:dyDescent="0.2">
      <c r="A23" s="23"/>
      <c r="B23" s="6">
        <v>2</v>
      </c>
      <c r="C23" s="710"/>
      <c r="D23" s="694"/>
      <c r="E23" s="695"/>
      <c r="F23" s="4"/>
      <c r="G23" s="4"/>
      <c r="H23" s="4"/>
      <c r="I23" s="4"/>
      <c r="J23" s="710"/>
      <c r="K23" s="695"/>
      <c r="M23" s="56" t="s">
        <v>182</v>
      </c>
      <c r="N23" s="24">
        <v>1</v>
      </c>
      <c r="O23" s="693" t="s">
        <v>277</v>
      </c>
      <c r="P23" s="694"/>
      <c r="Q23" s="695"/>
      <c r="R23" s="693" t="s">
        <v>278</v>
      </c>
      <c r="S23" s="694"/>
      <c r="T23" s="695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93" t="s">
        <v>279</v>
      </c>
      <c r="AA23" s="695"/>
    </row>
    <row r="24" spans="1:27" ht="15.75" customHeight="1" x14ac:dyDescent="0.2">
      <c r="A24" s="23"/>
      <c r="B24" s="6">
        <v>3</v>
      </c>
      <c r="C24" s="710"/>
      <c r="D24" s="694"/>
      <c r="E24" s="695"/>
      <c r="F24" s="4"/>
      <c r="G24" s="4"/>
      <c r="H24" s="4"/>
      <c r="I24" s="4"/>
      <c r="J24" s="710"/>
      <c r="K24" s="695"/>
      <c r="M24" s="25"/>
      <c r="N24" s="24">
        <v>2</v>
      </c>
      <c r="O24" s="702"/>
      <c r="P24" s="694"/>
      <c r="Q24" s="695"/>
      <c r="R24" s="702"/>
      <c r="S24" s="694"/>
      <c r="T24" s="695"/>
      <c r="U24" s="4"/>
      <c r="V24" s="14"/>
      <c r="W24" s="4"/>
      <c r="X24" s="16">
        <f>W24*U24</f>
        <v>0</v>
      </c>
      <c r="Y24" s="4"/>
      <c r="Z24" s="702"/>
      <c r="AA24" s="695"/>
    </row>
    <row r="25" spans="1:27" ht="15.75" customHeight="1" x14ac:dyDescent="0.2">
      <c r="A25" s="23"/>
      <c r="B25" s="6">
        <v>4</v>
      </c>
      <c r="C25" s="710"/>
      <c r="D25" s="694"/>
      <c r="E25" s="695"/>
      <c r="F25" s="4"/>
      <c r="G25" s="4"/>
      <c r="H25" s="4"/>
      <c r="I25" s="4"/>
      <c r="J25" s="710"/>
      <c r="K25" s="695"/>
      <c r="M25" s="25"/>
      <c r="N25" s="24">
        <v>3</v>
      </c>
      <c r="O25" s="702"/>
      <c r="P25" s="694"/>
      <c r="Q25" s="695"/>
      <c r="R25" s="702"/>
      <c r="S25" s="694"/>
      <c r="T25" s="695"/>
      <c r="U25" s="4"/>
      <c r="V25" s="14"/>
      <c r="W25" s="4"/>
      <c r="X25" s="16">
        <f>W25*U25</f>
        <v>0</v>
      </c>
      <c r="Y25" s="4"/>
      <c r="Z25" s="702"/>
      <c r="AA25" s="695"/>
    </row>
    <row r="26" spans="1:27" ht="15.75" customHeight="1" x14ac:dyDescent="0.2">
      <c r="A26" s="23"/>
      <c r="B26" s="26">
        <v>5</v>
      </c>
      <c r="C26" s="712"/>
      <c r="D26" s="704"/>
      <c r="E26" s="705"/>
      <c r="F26" s="27"/>
      <c r="G26" s="27"/>
      <c r="H26" s="27"/>
      <c r="I26" s="27"/>
      <c r="J26" s="712"/>
      <c r="K26" s="705"/>
      <c r="M26" s="25"/>
      <c r="N26" s="24">
        <v>4</v>
      </c>
      <c r="O26" s="702"/>
      <c r="P26" s="694"/>
      <c r="Q26" s="695"/>
      <c r="R26" s="702"/>
      <c r="S26" s="694"/>
      <c r="T26" s="695"/>
      <c r="U26" s="4"/>
      <c r="V26" s="14"/>
      <c r="W26" s="4"/>
      <c r="X26" s="16">
        <f>W26*U26</f>
        <v>0</v>
      </c>
      <c r="Y26" s="4"/>
      <c r="Z26" s="702"/>
      <c r="AA26" s="695"/>
    </row>
    <row r="27" spans="1:27" ht="15.75" customHeight="1" x14ac:dyDescent="0.2">
      <c r="A27" s="23"/>
      <c r="B27" s="69" t="s">
        <v>280</v>
      </c>
      <c r="C27" s="706" t="s">
        <v>281</v>
      </c>
      <c r="D27" s="707"/>
      <c r="E27" s="708"/>
      <c r="F27" s="28">
        <v>4</v>
      </c>
      <c r="G27" s="28">
        <v>2800</v>
      </c>
      <c r="H27" s="28">
        <v>700</v>
      </c>
      <c r="I27" s="28" t="s">
        <v>282</v>
      </c>
      <c r="J27" s="706" t="s">
        <v>283</v>
      </c>
      <c r="K27" s="708"/>
      <c r="M27" s="25"/>
      <c r="N27" s="29">
        <v>5</v>
      </c>
      <c r="O27" s="703"/>
      <c r="P27" s="704"/>
      <c r="Q27" s="705"/>
      <c r="R27" s="703"/>
      <c r="S27" s="704"/>
      <c r="T27" s="705"/>
      <c r="U27" s="27"/>
      <c r="V27" s="30"/>
      <c r="W27" s="27"/>
      <c r="X27" s="31">
        <f>W27*U27</f>
        <v>0</v>
      </c>
      <c r="Y27" s="4"/>
      <c r="Z27" s="703"/>
      <c r="AA27" s="705"/>
    </row>
    <row r="28" spans="1:27" ht="15.75" customHeight="1" x14ac:dyDescent="0.2">
      <c r="A28" s="23"/>
      <c r="B28" s="70" t="s">
        <v>284</v>
      </c>
      <c r="C28" s="710"/>
      <c r="D28" s="694"/>
      <c r="E28" s="695"/>
      <c r="F28" s="4"/>
      <c r="G28" s="4"/>
      <c r="H28" s="4"/>
      <c r="I28" s="4"/>
      <c r="J28" s="710"/>
      <c r="K28" s="695"/>
      <c r="M28" s="32"/>
      <c r="N28" s="55"/>
      <c r="O28" s="691"/>
      <c r="P28" s="694"/>
      <c r="Q28" s="694"/>
      <c r="R28" s="691"/>
      <c r="S28" s="694"/>
      <c r="T28" s="694"/>
      <c r="U28" s="59" t="s">
        <v>162</v>
      </c>
      <c r="V28" s="33">
        <f>X28/N18</f>
        <v>8.3333333333333329E-2</v>
      </c>
      <c r="W28" s="59" t="s">
        <v>163</v>
      </c>
      <c r="X28" s="34">
        <f>SUM(X23:X27)</f>
        <v>100</v>
      </c>
      <c r="Y28" s="45"/>
      <c r="Z28" s="691"/>
      <c r="AA28" s="695"/>
    </row>
    <row r="29" spans="1:27" ht="15.75" customHeight="1" x14ac:dyDescent="0.2">
      <c r="A29" s="23"/>
      <c r="B29" s="70" t="s">
        <v>285</v>
      </c>
      <c r="C29" s="710"/>
      <c r="D29" s="694"/>
      <c r="E29" s="695"/>
      <c r="F29" s="4"/>
      <c r="G29" s="4"/>
      <c r="H29" s="4"/>
      <c r="I29" s="4"/>
      <c r="J29" s="710"/>
      <c r="K29" s="695"/>
      <c r="M29" s="56" t="s">
        <v>271</v>
      </c>
      <c r="N29" s="24">
        <v>1</v>
      </c>
      <c r="O29" s="716" t="s">
        <v>286</v>
      </c>
      <c r="P29" s="700"/>
      <c r="Q29" s="701"/>
      <c r="R29" s="699" t="s">
        <v>287</v>
      </c>
      <c r="S29" s="700"/>
      <c r="T29" s="701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99" t="s">
        <v>288</v>
      </c>
      <c r="AA29" s="701"/>
    </row>
    <row r="30" spans="1:27" ht="15.75" customHeight="1" x14ac:dyDescent="0.2">
      <c r="A30" s="23"/>
      <c r="B30" s="70" t="s">
        <v>289</v>
      </c>
      <c r="C30" s="710"/>
      <c r="D30" s="694"/>
      <c r="E30" s="695"/>
      <c r="F30" s="4"/>
      <c r="G30" s="4"/>
      <c r="H30" s="4"/>
      <c r="I30" s="4"/>
      <c r="J30" s="710"/>
      <c r="K30" s="695"/>
      <c r="M30" s="25"/>
      <c r="N30" s="24">
        <v>2</v>
      </c>
      <c r="O30" s="702"/>
      <c r="P30" s="694"/>
      <c r="Q30" s="695"/>
      <c r="R30" s="702"/>
      <c r="S30" s="694"/>
      <c r="T30" s="695"/>
      <c r="U30" s="4"/>
      <c r="V30" s="14"/>
      <c r="W30" s="4"/>
      <c r="X30" s="16">
        <f>W30*U30</f>
        <v>0</v>
      </c>
      <c r="Y30" s="4"/>
      <c r="Z30" s="702"/>
      <c r="AA30" s="695"/>
    </row>
    <row r="31" spans="1:27" ht="15.75" customHeight="1" x14ac:dyDescent="0.2">
      <c r="A31" s="20"/>
      <c r="B31" s="70" t="s">
        <v>290</v>
      </c>
      <c r="C31" s="710"/>
      <c r="D31" s="694"/>
      <c r="E31" s="695"/>
      <c r="F31" s="4"/>
      <c r="G31" s="4"/>
      <c r="H31" s="4"/>
      <c r="I31" s="4"/>
      <c r="J31" s="710"/>
      <c r="K31" s="695"/>
      <c r="M31" s="25"/>
      <c r="N31" s="24">
        <v>3</v>
      </c>
      <c r="O31" s="702"/>
      <c r="P31" s="694"/>
      <c r="Q31" s="695"/>
      <c r="R31" s="702"/>
      <c r="S31" s="694"/>
      <c r="T31" s="695"/>
      <c r="U31" s="4"/>
      <c r="V31" s="14"/>
      <c r="W31" s="4"/>
      <c r="X31" s="16">
        <f>W31*U31</f>
        <v>0</v>
      </c>
      <c r="Y31" s="4"/>
      <c r="Z31" s="702"/>
      <c r="AA31" s="695"/>
    </row>
    <row r="32" spans="1:27" ht="15.75" customHeight="1" x14ac:dyDescent="0.2">
      <c r="A32" s="67"/>
      <c r="M32" s="25"/>
      <c r="N32" s="24">
        <v>4</v>
      </c>
      <c r="O32" s="702"/>
      <c r="P32" s="694"/>
      <c r="Q32" s="695"/>
      <c r="R32" s="702"/>
      <c r="S32" s="694"/>
      <c r="T32" s="695"/>
      <c r="U32" s="4"/>
      <c r="V32" s="14"/>
      <c r="W32" s="4"/>
      <c r="X32" s="16">
        <f>W32*U32</f>
        <v>0</v>
      </c>
      <c r="Y32" s="4"/>
      <c r="Z32" s="702"/>
      <c r="AA32" s="695"/>
    </row>
    <row r="33" spans="1:27" ht="15.75" customHeight="1" x14ac:dyDescent="0.2">
      <c r="A33" s="18"/>
      <c r="B33" s="49" t="s">
        <v>91</v>
      </c>
      <c r="C33" s="711" t="s">
        <v>107</v>
      </c>
      <c r="D33" s="694"/>
      <c r="E33" s="695"/>
      <c r="F33" s="49" t="s">
        <v>96</v>
      </c>
      <c r="G33" s="49" t="s">
        <v>273</v>
      </c>
      <c r="H33" s="49" t="s">
        <v>274</v>
      </c>
      <c r="I33" s="8" t="s">
        <v>110</v>
      </c>
      <c r="J33" s="709" t="s">
        <v>111</v>
      </c>
      <c r="K33" s="695"/>
      <c r="M33" s="25"/>
      <c r="N33" s="29">
        <v>5</v>
      </c>
      <c r="O33" s="702"/>
      <c r="P33" s="694"/>
      <c r="Q33" s="695"/>
      <c r="R33" s="702"/>
      <c r="S33" s="694"/>
      <c r="T33" s="695"/>
      <c r="U33" s="27"/>
      <c r="V33" s="30"/>
      <c r="W33" s="27"/>
      <c r="X33" s="31">
        <f>W33*U33</f>
        <v>0</v>
      </c>
      <c r="Y33" s="4"/>
      <c r="Z33" s="702"/>
      <c r="AA33" s="695"/>
    </row>
    <row r="34" spans="1:27" ht="15.75" customHeight="1" x14ac:dyDescent="0.2">
      <c r="A34" s="52" t="s">
        <v>256</v>
      </c>
      <c r="B34" s="6">
        <v>1</v>
      </c>
      <c r="C34" s="693" t="s">
        <v>291</v>
      </c>
      <c r="D34" s="694"/>
      <c r="E34" s="695"/>
      <c r="F34" s="4">
        <v>3</v>
      </c>
      <c r="G34" s="4">
        <v>2500</v>
      </c>
      <c r="H34" s="4">
        <v>833.33</v>
      </c>
      <c r="I34" s="4">
        <v>20</v>
      </c>
      <c r="J34" s="693" t="s">
        <v>292</v>
      </c>
      <c r="K34" s="695"/>
      <c r="M34" s="68"/>
      <c r="N34" s="45"/>
      <c r="O34" s="691"/>
      <c r="P34" s="694"/>
      <c r="Q34" s="694"/>
      <c r="R34" s="691"/>
      <c r="S34" s="694"/>
      <c r="T34" s="694"/>
      <c r="U34" s="59" t="s">
        <v>162</v>
      </c>
      <c r="V34" s="33">
        <f>X34/N18</f>
        <v>0.23125000000000001</v>
      </c>
      <c r="W34" s="59" t="s">
        <v>163</v>
      </c>
      <c r="X34" s="34">
        <f>SUM(X29:X33)</f>
        <v>277.5</v>
      </c>
      <c r="Y34" s="45"/>
      <c r="Z34" s="691"/>
      <c r="AA34" s="695"/>
    </row>
    <row r="35" spans="1:27" ht="15.75" customHeight="1" x14ac:dyDescent="0.2">
      <c r="A35" s="23"/>
      <c r="B35" s="6">
        <v>2</v>
      </c>
      <c r="C35" s="702"/>
      <c r="D35" s="694"/>
      <c r="E35" s="695"/>
      <c r="F35" s="4"/>
      <c r="G35" s="4"/>
      <c r="H35" s="4"/>
      <c r="I35" s="4"/>
      <c r="J35" s="702"/>
      <c r="K35" s="695"/>
      <c r="M35" s="1"/>
      <c r="N35" s="1"/>
      <c r="O35" s="713"/>
      <c r="P35" s="714"/>
      <c r="Q35" s="714"/>
      <c r="R35" s="713"/>
      <c r="S35" s="714"/>
      <c r="T35" s="714"/>
      <c r="U35" s="1"/>
      <c r="V35" s="38"/>
      <c r="W35" s="1"/>
      <c r="X35" s="1"/>
      <c r="Y35" s="713"/>
      <c r="Z35" s="714"/>
      <c r="AA35" s="714"/>
    </row>
    <row r="36" spans="1:27" ht="15.75" customHeight="1" x14ac:dyDescent="0.2">
      <c r="A36" s="23"/>
      <c r="B36" s="6">
        <v>3</v>
      </c>
      <c r="C36" s="702"/>
      <c r="D36" s="694"/>
      <c r="E36" s="695"/>
      <c r="F36" s="4"/>
      <c r="G36" s="4"/>
      <c r="H36" s="4"/>
      <c r="I36" s="4"/>
      <c r="J36" s="702"/>
      <c r="K36" s="695"/>
      <c r="M36" s="52" t="s">
        <v>259</v>
      </c>
      <c r="N36" s="57" t="s">
        <v>91</v>
      </c>
      <c r="O36" s="690" t="s">
        <v>107</v>
      </c>
      <c r="P36" s="691"/>
      <c r="Q36" s="692"/>
      <c r="R36" s="696" t="s">
        <v>150</v>
      </c>
      <c r="S36" s="697"/>
      <c r="T36" s="698"/>
      <c r="U36" s="57" t="s">
        <v>151</v>
      </c>
      <c r="V36" s="57" t="s">
        <v>24</v>
      </c>
      <c r="W36" s="57" t="s">
        <v>152</v>
      </c>
      <c r="X36" s="8" t="s">
        <v>139</v>
      </c>
      <c r="Y36" s="8" t="s">
        <v>110</v>
      </c>
      <c r="Z36" s="709" t="s">
        <v>111</v>
      </c>
      <c r="AA36" s="715"/>
    </row>
    <row r="37" spans="1:27" ht="15.75" customHeight="1" x14ac:dyDescent="0.2">
      <c r="A37" s="23"/>
      <c r="B37" s="6">
        <v>4</v>
      </c>
      <c r="C37" s="702"/>
      <c r="D37" s="694"/>
      <c r="E37" s="695"/>
      <c r="F37" s="4"/>
      <c r="G37" s="4"/>
      <c r="H37" s="4"/>
      <c r="I37" s="4"/>
      <c r="J37" s="702"/>
      <c r="K37" s="695"/>
      <c r="M37" s="56" t="s">
        <v>182</v>
      </c>
      <c r="N37" s="24">
        <v>1</v>
      </c>
      <c r="O37" s="693" t="s">
        <v>293</v>
      </c>
      <c r="P37" s="694"/>
      <c r="Q37" s="695"/>
      <c r="R37" s="693" t="s">
        <v>294</v>
      </c>
      <c r="S37" s="694"/>
      <c r="T37" s="695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93" t="s">
        <v>295</v>
      </c>
      <c r="AA37" s="695"/>
    </row>
    <row r="38" spans="1:27" ht="15.75" customHeight="1" x14ac:dyDescent="0.2">
      <c r="A38" s="23"/>
      <c r="B38" s="26">
        <v>5</v>
      </c>
      <c r="C38" s="703"/>
      <c r="D38" s="704"/>
      <c r="E38" s="705"/>
      <c r="F38" s="27"/>
      <c r="G38" s="27"/>
      <c r="H38" s="27"/>
      <c r="I38" s="27"/>
      <c r="J38" s="703"/>
      <c r="K38" s="705"/>
      <c r="M38" s="25"/>
      <c r="N38" s="24">
        <v>2</v>
      </c>
      <c r="O38" s="702"/>
      <c r="P38" s="694"/>
      <c r="Q38" s="695"/>
      <c r="R38" s="702"/>
      <c r="S38" s="694"/>
      <c r="T38" s="695"/>
      <c r="U38" s="4"/>
      <c r="V38" s="14"/>
      <c r="W38" s="4"/>
      <c r="X38" s="16">
        <f>W38*U38</f>
        <v>0</v>
      </c>
      <c r="Y38" s="4"/>
      <c r="Z38" s="702"/>
      <c r="AA38" s="695"/>
    </row>
    <row r="39" spans="1:27" ht="14.25" x14ac:dyDescent="0.2">
      <c r="A39" s="23"/>
      <c r="B39" s="69" t="s">
        <v>280</v>
      </c>
      <c r="C39" s="706" t="s">
        <v>296</v>
      </c>
      <c r="D39" s="707"/>
      <c r="E39" s="708"/>
      <c r="F39" s="28">
        <v>7</v>
      </c>
      <c r="G39" s="28">
        <v>2200</v>
      </c>
      <c r="H39" s="28">
        <v>314.29000000000002</v>
      </c>
      <c r="I39" s="28">
        <v>-15</v>
      </c>
      <c r="J39" s="706" t="s">
        <v>297</v>
      </c>
      <c r="K39" s="708"/>
      <c r="M39" s="25"/>
      <c r="N39" s="24">
        <v>3</v>
      </c>
      <c r="O39" s="702"/>
      <c r="P39" s="694"/>
      <c r="Q39" s="695"/>
      <c r="R39" s="702"/>
      <c r="S39" s="694"/>
      <c r="T39" s="695"/>
      <c r="U39" s="4"/>
      <c r="V39" s="14"/>
      <c r="W39" s="4"/>
      <c r="X39" s="16">
        <f>W39*U39</f>
        <v>0</v>
      </c>
      <c r="Y39" s="4"/>
      <c r="Z39" s="702"/>
      <c r="AA39" s="695"/>
    </row>
    <row r="40" spans="1:27" ht="14.25" x14ac:dyDescent="0.2">
      <c r="A40" s="23"/>
      <c r="B40" s="70" t="s">
        <v>284</v>
      </c>
      <c r="C40" s="702"/>
      <c r="D40" s="694"/>
      <c r="E40" s="695"/>
      <c r="F40" s="4"/>
      <c r="G40" s="4"/>
      <c r="H40" s="4"/>
      <c r="I40" s="4"/>
      <c r="J40" s="702"/>
      <c r="K40" s="695"/>
      <c r="M40" s="25"/>
      <c r="N40" s="24">
        <v>4</v>
      </c>
      <c r="O40" s="702"/>
      <c r="P40" s="694"/>
      <c r="Q40" s="695"/>
      <c r="R40" s="702"/>
      <c r="S40" s="694"/>
      <c r="T40" s="695"/>
      <c r="U40" s="4"/>
      <c r="V40" s="14"/>
      <c r="W40" s="4"/>
      <c r="X40" s="16">
        <f>W40*U40</f>
        <v>0</v>
      </c>
      <c r="Y40" s="4"/>
      <c r="Z40" s="702"/>
      <c r="AA40" s="695"/>
    </row>
    <row r="41" spans="1:27" ht="14.25" x14ac:dyDescent="0.2">
      <c r="A41" s="23"/>
      <c r="B41" s="70" t="s">
        <v>285</v>
      </c>
      <c r="C41" s="702"/>
      <c r="D41" s="694"/>
      <c r="E41" s="695"/>
      <c r="F41" s="4"/>
      <c r="G41" s="4"/>
      <c r="H41" s="4"/>
      <c r="I41" s="4"/>
      <c r="J41" s="702"/>
      <c r="K41" s="695"/>
      <c r="M41" s="25"/>
      <c r="N41" s="29">
        <v>5</v>
      </c>
      <c r="O41" s="703"/>
      <c r="P41" s="704"/>
      <c r="Q41" s="705"/>
      <c r="R41" s="703"/>
      <c r="S41" s="704"/>
      <c r="T41" s="705"/>
      <c r="U41" s="27"/>
      <c r="V41" s="30"/>
      <c r="W41" s="27"/>
      <c r="X41" s="31">
        <f>W41*U41</f>
        <v>0</v>
      </c>
      <c r="Y41" s="4"/>
      <c r="Z41" s="702"/>
      <c r="AA41" s="695"/>
    </row>
    <row r="42" spans="1:27" ht="14.25" x14ac:dyDescent="0.2">
      <c r="A42" s="23"/>
      <c r="B42" s="70" t="s">
        <v>289</v>
      </c>
      <c r="C42" s="702"/>
      <c r="D42" s="694"/>
      <c r="E42" s="695"/>
      <c r="F42" s="4"/>
      <c r="G42" s="4"/>
      <c r="H42" s="4"/>
      <c r="I42" s="4"/>
      <c r="J42" s="702"/>
      <c r="K42" s="695"/>
      <c r="M42" s="32"/>
      <c r="N42" s="54"/>
      <c r="O42" s="691"/>
      <c r="P42" s="694"/>
      <c r="Q42" s="694"/>
      <c r="R42" s="691"/>
      <c r="S42" s="694"/>
      <c r="T42" s="694"/>
      <c r="U42" s="59" t="s">
        <v>162</v>
      </c>
      <c r="V42" s="33">
        <f>X42/N19</f>
        <v>5.5555555555555552E-2</v>
      </c>
      <c r="W42" s="59" t="s">
        <v>163</v>
      </c>
      <c r="X42" s="34">
        <f>SUM(X37:X41)</f>
        <v>250</v>
      </c>
      <c r="Y42" s="45"/>
      <c r="Z42" s="691"/>
      <c r="AA42" s="695"/>
    </row>
    <row r="43" spans="1:27" ht="14.25" x14ac:dyDescent="0.2">
      <c r="A43" s="20"/>
      <c r="B43" s="70" t="s">
        <v>290</v>
      </c>
      <c r="C43" s="702"/>
      <c r="D43" s="694"/>
      <c r="E43" s="695"/>
      <c r="F43" s="4"/>
      <c r="G43" s="4"/>
      <c r="H43" s="4"/>
      <c r="I43" s="4"/>
      <c r="J43" s="702"/>
      <c r="K43" s="695"/>
      <c r="M43" s="56" t="s">
        <v>271</v>
      </c>
      <c r="N43" s="24">
        <v>1</v>
      </c>
      <c r="O43" s="693" t="s">
        <v>293</v>
      </c>
      <c r="P43" s="694"/>
      <c r="Q43" s="695"/>
      <c r="R43" s="699" t="s">
        <v>298</v>
      </c>
      <c r="S43" s="700"/>
      <c r="T43" s="701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93" t="s">
        <v>299</v>
      </c>
      <c r="AA43" s="695"/>
    </row>
    <row r="44" spans="1:27" ht="14.25" x14ac:dyDescent="0.2">
      <c r="A44" s="67"/>
      <c r="M44" s="25"/>
      <c r="N44" s="24">
        <v>2</v>
      </c>
      <c r="O44" s="702"/>
      <c r="P44" s="694"/>
      <c r="Q44" s="695"/>
      <c r="R44" s="702"/>
      <c r="S44" s="694"/>
      <c r="T44" s="695"/>
      <c r="U44" s="4"/>
      <c r="V44" s="14"/>
      <c r="W44" s="4"/>
      <c r="X44" s="37">
        <f>W44*U44</f>
        <v>0</v>
      </c>
      <c r="Y44" s="4"/>
      <c r="Z44" s="702"/>
      <c r="AA44" s="695"/>
    </row>
    <row r="45" spans="1:27" ht="14.25" x14ac:dyDescent="0.2">
      <c r="A45" s="18"/>
      <c r="B45" s="49" t="s">
        <v>91</v>
      </c>
      <c r="C45" s="711" t="s">
        <v>107</v>
      </c>
      <c r="D45" s="694"/>
      <c r="E45" s="695"/>
      <c r="F45" s="49" t="s">
        <v>96</v>
      </c>
      <c r="G45" s="49" t="s">
        <v>273</v>
      </c>
      <c r="H45" s="49" t="s">
        <v>274</v>
      </c>
      <c r="I45" s="8" t="s">
        <v>110</v>
      </c>
      <c r="J45" s="709" t="s">
        <v>111</v>
      </c>
      <c r="K45" s="695"/>
      <c r="M45" s="25"/>
      <c r="N45" s="24">
        <v>3</v>
      </c>
      <c r="O45" s="702"/>
      <c r="P45" s="694"/>
      <c r="Q45" s="695"/>
      <c r="R45" s="702"/>
      <c r="S45" s="694"/>
      <c r="T45" s="695"/>
      <c r="U45" s="4"/>
      <c r="V45" s="14"/>
      <c r="W45" s="4"/>
      <c r="X45" s="37">
        <f>W45*U45</f>
        <v>0</v>
      </c>
      <c r="Y45" s="4"/>
      <c r="Z45" s="702"/>
      <c r="AA45" s="695"/>
    </row>
    <row r="46" spans="1:27" ht="14.25" x14ac:dyDescent="0.2">
      <c r="A46" s="52" t="s">
        <v>258</v>
      </c>
      <c r="B46" s="6">
        <v>1</v>
      </c>
      <c r="C46" s="693" t="s">
        <v>277</v>
      </c>
      <c r="D46" s="694"/>
      <c r="E46" s="695"/>
      <c r="F46" s="4">
        <v>15</v>
      </c>
      <c r="G46" s="4">
        <v>1200</v>
      </c>
      <c r="H46" s="4">
        <v>80</v>
      </c>
      <c r="I46" s="4">
        <v>5</v>
      </c>
      <c r="J46" s="693" t="s">
        <v>300</v>
      </c>
      <c r="K46" s="695"/>
      <c r="M46" s="25"/>
      <c r="N46" s="24">
        <v>4</v>
      </c>
      <c r="O46" s="702"/>
      <c r="P46" s="694"/>
      <c r="Q46" s="695"/>
      <c r="R46" s="702"/>
      <c r="S46" s="694"/>
      <c r="T46" s="695"/>
      <c r="U46" s="4"/>
      <c r="V46" s="14"/>
      <c r="W46" s="4"/>
      <c r="X46" s="37">
        <f>W46*U46</f>
        <v>0</v>
      </c>
      <c r="Y46" s="4"/>
      <c r="Z46" s="702"/>
      <c r="AA46" s="695"/>
    </row>
    <row r="47" spans="1:27" ht="14.25" x14ac:dyDescent="0.2">
      <c r="A47" s="23"/>
      <c r="B47" s="6">
        <v>2</v>
      </c>
      <c r="C47" s="702"/>
      <c r="D47" s="694"/>
      <c r="E47" s="695"/>
      <c r="F47" s="4"/>
      <c r="G47" s="4"/>
      <c r="H47" s="4"/>
      <c r="I47" s="4"/>
      <c r="J47" s="702"/>
      <c r="K47" s="695"/>
      <c r="M47" s="25"/>
      <c r="N47" s="29">
        <v>5</v>
      </c>
      <c r="O47" s="702"/>
      <c r="P47" s="694"/>
      <c r="Q47" s="695"/>
      <c r="R47" s="702"/>
      <c r="S47" s="694"/>
      <c r="T47" s="695"/>
      <c r="U47" s="27"/>
      <c r="V47" s="30"/>
      <c r="W47" s="27"/>
      <c r="X47" s="40">
        <f>W47*U47</f>
        <v>0</v>
      </c>
      <c r="Y47" s="4"/>
      <c r="Z47" s="702"/>
      <c r="AA47" s="695"/>
    </row>
    <row r="48" spans="1:27" ht="14.25" x14ac:dyDescent="0.2">
      <c r="A48" s="23"/>
      <c r="B48" s="6">
        <v>3</v>
      </c>
      <c r="C48" s="702"/>
      <c r="D48" s="694"/>
      <c r="E48" s="695"/>
      <c r="F48" s="4"/>
      <c r="G48" s="4"/>
      <c r="H48" s="4"/>
      <c r="I48" s="4"/>
      <c r="J48" s="702"/>
      <c r="K48" s="695"/>
      <c r="M48" s="68"/>
      <c r="N48" s="45"/>
      <c r="O48" s="691"/>
      <c r="P48" s="694"/>
      <c r="Q48" s="694"/>
      <c r="R48" s="691"/>
      <c r="S48" s="694"/>
      <c r="T48" s="694"/>
      <c r="U48" s="59" t="s">
        <v>162</v>
      </c>
      <c r="V48" s="33">
        <f>X48/N19</f>
        <v>0.13333333333333333</v>
      </c>
      <c r="W48" s="59" t="s">
        <v>163</v>
      </c>
      <c r="X48" s="34">
        <f>SUM(X43:X47)</f>
        <v>600</v>
      </c>
      <c r="Y48" s="45"/>
      <c r="Z48" s="691"/>
      <c r="AA48" s="695"/>
    </row>
    <row r="49" spans="1:27" ht="14.25" x14ac:dyDescent="0.2">
      <c r="A49" s="23"/>
      <c r="B49" s="6">
        <v>4</v>
      </c>
      <c r="C49" s="702"/>
      <c r="D49" s="694"/>
      <c r="E49" s="695"/>
      <c r="F49" s="4"/>
      <c r="G49" s="4"/>
      <c r="H49" s="4"/>
      <c r="I49" s="4"/>
      <c r="J49" s="702"/>
      <c r="K49" s="69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 x14ac:dyDescent="0.2">
      <c r="A50" s="23"/>
      <c r="B50" s="26">
        <v>5</v>
      </c>
      <c r="C50" s="703"/>
      <c r="D50" s="704"/>
      <c r="E50" s="705"/>
      <c r="F50" s="27"/>
      <c r="G50" s="27"/>
      <c r="H50" s="27"/>
      <c r="I50" s="27"/>
      <c r="J50" s="703"/>
      <c r="K50" s="705"/>
      <c r="M50" s="64" t="s">
        <v>301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 x14ac:dyDescent="0.2">
      <c r="A51" s="23"/>
      <c r="B51" s="69" t="s">
        <v>280</v>
      </c>
      <c r="C51" s="706" t="s">
        <v>293</v>
      </c>
      <c r="D51" s="707"/>
      <c r="E51" s="708"/>
      <c r="F51" s="28">
        <v>18</v>
      </c>
      <c r="G51" s="28">
        <v>800</v>
      </c>
      <c r="H51" s="28">
        <v>44.44</v>
      </c>
      <c r="I51" s="28">
        <v>-15</v>
      </c>
      <c r="J51" s="706" t="s">
        <v>302</v>
      </c>
      <c r="K51" s="708"/>
      <c r="M51" s="8"/>
      <c r="N51" s="8" t="s">
        <v>180</v>
      </c>
      <c r="O51" s="690" t="s">
        <v>107</v>
      </c>
      <c r="P51" s="691"/>
      <c r="Q51" s="692"/>
      <c r="R51" s="696" t="s">
        <v>150</v>
      </c>
      <c r="S51" s="697"/>
      <c r="T51" s="698"/>
      <c r="U51" s="57" t="s">
        <v>151</v>
      </c>
      <c r="V51" s="39" t="s">
        <v>181</v>
      </c>
      <c r="W51" s="57" t="s">
        <v>90</v>
      </c>
      <c r="X51" s="8" t="s">
        <v>12</v>
      </c>
      <c r="Y51" s="690" t="s">
        <v>111</v>
      </c>
      <c r="Z51" s="691"/>
      <c r="AA51" s="692"/>
    </row>
    <row r="52" spans="1:27" ht="14.25" x14ac:dyDescent="0.2">
      <c r="A52" s="23"/>
      <c r="B52" s="70" t="s">
        <v>284</v>
      </c>
      <c r="C52" s="702"/>
      <c r="D52" s="694"/>
      <c r="E52" s="695"/>
      <c r="F52" s="4"/>
      <c r="G52" s="4"/>
      <c r="H52" s="4"/>
      <c r="I52" s="4"/>
      <c r="J52" s="702"/>
      <c r="K52" s="695"/>
      <c r="M52" s="56" t="s">
        <v>182</v>
      </c>
      <c r="N52" s="24">
        <v>1</v>
      </c>
      <c r="O52" s="693" t="s">
        <v>293</v>
      </c>
      <c r="P52" s="694"/>
      <c r="Q52" s="695"/>
      <c r="R52" s="699" t="s">
        <v>298</v>
      </c>
      <c r="S52" s="700"/>
      <c r="T52" s="701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93" t="s">
        <v>303</v>
      </c>
      <c r="Z52" s="694"/>
      <c r="AA52" s="695"/>
    </row>
    <row r="53" spans="1:27" ht="14.25" x14ac:dyDescent="0.2">
      <c r="A53" s="23"/>
      <c r="B53" s="70" t="s">
        <v>285</v>
      </c>
      <c r="C53" s="702"/>
      <c r="D53" s="694"/>
      <c r="E53" s="695"/>
      <c r="F53" s="4"/>
      <c r="G53" s="4"/>
      <c r="H53" s="4"/>
      <c r="I53" s="4"/>
      <c r="J53" s="702"/>
      <c r="K53" s="695"/>
      <c r="M53" s="25"/>
      <c r="N53" s="29">
        <v>2</v>
      </c>
      <c r="O53" s="703"/>
      <c r="P53" s="704"/>
      <c r="Q53" s="705"/>
      <c r="R53" s="703"/>
      <c r="S53" s="704"/>
      <c r="T53" s="705"/>
      <c r="U53" s="27"/>
      <c r="V53" s="30"/>
      <c r="W53" s="30"/>
      <c r="X53" s="41">
        <f>W53-V53</f>
        <v>0</v>
      </c>
      <c r="Y53" s="703"/>
      <c r="Z53" s="704"/>
      <c r="AA53" s="705"/>
    </row>
    <row r="54" spans="1:27" ht="14.25" x14ac:dyDescent="0.2">
      <c r="A54" s="23"/>
      <c r="B54" s="70" t="s">
        <v>289</v>
      </c>
      <c r="C54" s="702"/>
      <c r="D54" s="694"/>
      <c r="E54" s="695"/>
      <c r="F54" s="4"/>
      <c r="G54" s="4"/>
      <c r="H54" s="4"/>
      <c r="I54" s="4"/>
      <c r="J54" s="702"/>
      <c r="K54" s="695"/>
      <c r="M54" s="56" t="s">
        <v>271</v>
      </c>
      <c r="N54" s="42">
        <v>1</v>
      </c>
      <c r="O54" s="706" t="s">
        <v>304</v>
      </c>
      <c r="P54" s="707"/>
      <c r="Q54" s="708"/>
      <c r="R54" s="706" t="s">
        <v>305</v>
      </c>
      <c r="S54" s="707"/>
      <c r="T54" s="708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706" t="s">
        <v>306</v>
      </c>
      <c r="Z54" s="707"/>
      <c r="AA54" s="708"/>
    </row>
    <row r="55" spans="1:27" ht="14.25" x14ac:dyDescent="0.2">
      <c r="A55" s="20"/>
      <c r="B55" s="70" t="s">
        <v>290</v>
      </c>
      <c r="C55" s="702"/>
      <c r="D55" s="694"/>
      <c r="E55" s="695"/>
      <c r="F55" s="4"/>
      <c r="G55" s="4"/>
      <c r="H55" s="4"/>
      <c r="I55" s="4"/>
      <c r="J55" s="702"/>
      <c r="K55" s="695"/>
      <c r="M55" s="22"/>
      <c r="N55" s="24">
        <v>2</v>
      </c>
      <c r="O55" s="702"/>
      <c r="P55" s="694"/>
      <c r="Q55" s="695"/>
      <c r="R55" s="702"/>
      <c r="S55" s="694"/>
      <c r="T55" s="695"/>
      <c r="U55" s="4"/>
      <c r="V55" s="14"/>
      <c r="W55" s="14"/>
      <c r="X55" s="13">
        <f>W55-V55</f>
        <v>0</v>
      </c>
      <c r="Y55" s="702"/>
      <c r="Z55" s="694"/>
      <c r="AA55" s="695"/>
    </row>
  </sheetData>
  <mergeCells count="162">
    <mergeCell ref="O25:Q25"/>
    <mergeCell ref="O22:Q22"/>
    <mergeCell ref="R22:T22"/>
    <mergeCell ref="O29:Q29"/>
    <mergeCell ref="O30:Q30"/>
    <mergeCell ref="R29:T29"/>
    <mergeCell ref="O28:Q28"/>
    <mergeCell ref="Z23:AA23"/>
    <mergeCell ref="R26:T26"/>
    <mergeCell ref="O26:Q26"/>
    <mergeCell ref="Z22:AA22"/>
    <mergeCell ref="R24:T24"/>
    <mergeCell ref="Z27:AA27"/>
    <mergeCell ref="R27:T27"/>
    <mergeCell ref="O27:Q27"/>
    <mergeCell ref="Z26:AA26"/>
    <mergeCell ref="Z24:AA24"/>
    <mergeCell ref="O24:Q24"/>
    <mergeCell ref="Z25:AA25"/>
    <mergeCell ref="R25:T25"/>
    <mergeCell ref="O23:Q23"/>
    <mergeCell ref="R23:T23"/>
    <mergeCell ref="C27:E27"/>
    <mergeCell ref="C35:E35"/>
    <mergeCell ref="C33:E33"/>
    <mergeCell ref="Z31:AA31"/>
    <mergeCell ref="J27:K27"/>
    <mergeCell ref="J28:K28"/>
    <mergeCell ref="R30:T30"/>
    <mergeCell ref="Z30:AA30"/>
    <mergeCell ref="O35:Q35"/>
    <mergeCell ref="O34:Q34"/>
    <mergeCell ref="O32:Q32"/>
    <mergeCell ref="R31:T31"/>
    <mergeCell ref="Z28:AA28"/>
    <mergeCell ref="Z29:AA29"/>
    <mergeCell ref="J30:K30"/>
    <mergeCell ref="J31:K31"/>
    <mergeCell ref="R32:T32"/>
    <mergeCell ref="R33:T33"/>
    <mergeCell ref="R35:T35"/>
    <mergeCell ref="R34:T34"/>
    <mergeCell ref="J35:K35"/>
    <mergeCell ref="J33:K33"/>
    <mergeCell ref="J34:K34"/>
    <mergeCell ref="O33:Q33"/>
    <mergeCell ref="J29:K29"/>
    <mergeCell ref="R28:T28"/>
    <mergeCell ref="Z34:AA34"/>
    <mergeCell ref="Z32:AA32"/>
    <mergeCell ref="Y35:AA35"/>
    <mergeCell ref="Z33:AA33"/>
    <mergeCell ref="O31:Q31"/>
    <mergeCell ref="Z36:AA36"/>
    <mergeCell ref="Z37:AA37"/>
    <mergeCell ref="R44:T44"/>
    <mergeCell ref="O42:Q42"/>
    <mergeCell ref="O46:Q46"/>
    <mergeCell ref="O44:Q44"/>
    <mergeCell ref="R43:T43"/>
    <mergeCell ref="Z44:AA44"/>
    <mergeCell ref="Z43:AA43"/>
    <mergeCell ref="O43:Q43"/>
    <mergeCell ref="C28:E28"/>
    <mergeCell ref="O37:Q37"/>
    <mergeCell ref="R37:T37"/>
    <mergeCell ref="R36:T36"/>
    <mergeCell ref="C41:E41"/>
    <mergeCell ref="J39:K39"/>
    <mergeCell ref="R40:T40"/>
    <mergeCell ref="R38:T38"/>
    <mergeCell ref="O38:Q38"/>
    <mergeCell ref="O40:Q40"/>
    <mergeCell ref="O39:Q39"/>
    <mergeCell ref="C39:E39"/>
    <mergeCell ref="O36:Q36"/>
    <mergeCell ref="J36:K36"/>
    <mergeCell ref="C29:E29"/>
    <mergeCell ref="C30:E30"/>
    <mergeCell ref="Z38:AA38"/>
    <mergeCell ref="Z40:AA40"/>
    <mergeCell ref="Z39:AA39"/>
    <mergeCell ref="R39:T39"/>
    <mergeCell ref="R42:T42"/>
    <mergeCell ref="Z42:AA42"/>
    <mergeCell ref="Z41:AA41"/>
    <mergeCell ref="R41:T41"/>
    <mergeCell ref="O41:Q41"/>
    <mergeCell ref="C43:E43"/>
    <mergeCell ref="C42:E42"/>
    <mergeCell ref="J41:K41"/>
    <mergeCell ref="J46:K46"/>
    <mergeCell ref="J43:K43"/>
    <mergeCell ref="J42:K42"/>
    <mergeCell ref="C45:E45"/>
    <mergeCell ref="C46:E46"/>
    <mergeCell ref="C55:E55"/>
    <mergeCell ref="C48:E48"/>
    <mergeCell ref="C49:E49"/>
    <mergeCell ref="C50:E50"/>
    <mergeCell ref="C52:E52"/>
    <mergeCell ref="C53:E53"/>
    <mergeCell ref="C54:E54"/>
    <mergeCell ref="C51:E51"/>
    <mergeCell ref="C21:E21"/>
    <mergeCell ref="J21:K21"/>
    <mergeCell ref="C22:E22"/>
    <mergeCell ref="C26:E26"/>
    <mergeCell ref="C25:E25"/>
    <mergeCell ref="C24:E24"/>
    <mergeCell ref="J24:K24"/>
    <mergeCell ref="J25:K25"/>
    <mergeCell ref="J26:K26"/>
    <mergeCell ref="C23:E23"/>
    <mergeCell ref="J22:K22"/>
    <mergeCell ref="J23:K23"/>
    <mergeCell ref="C31:E31"/>
    <mergeCell ref="C34:E34"/>
    <mergeCell ref="J55:K55"/>
    <mergeCell ref="O48:Q48"/>
    <mergeCell ref="O51:Q51"/>
    <mergeCell ref="J54:K54"/>
    <mergeCell ref="J52:K52"/>
    <mergeCell ref="J53:K53"/>
    <mergeCell ref="J51:K51"/>
    <mergeCell ref="O55:Q55"/>
    <mergeCell ref="O52:Q52"/>
    <mergeCell ref="O54:Q54"/>
    <mergeCell ref="O53:Q53"/>
    <mergeCell ref="J49:K49"/>
    <mergeCell ref="J48:K48"/>
    <mergeCell ref="J50:K50"/>
    <mergeCell ref="C47:E47"/>
    <mergeCell ref="C36:E36"/>
    <mergeCell ref="J37:K37"/>
    <mergeCell ref="J38:K38"/>
    <mergeCell ref="J40:K40"/>
    <mergeCell ref="C38:E38"/>
    <mergeCell ref="C40:E40"/>
    <mergeCell ref="C37:E37"/>
    <mergeCell ref="J45:K45"/>
    <mergeCell ref="Z48:AA48"/>
    <mergeCell ref="R48:T48"/>
    <mergeCell ref="Z47:AA47"/>
    <mergeCell ref="R47:T47"/>
    <mergeCell ref="J47:K47"/>
    <mergeCell ref="O47:Q47"/>
    <mergeCell ref="Z46:AA46"/>
    <mergeCell ref="Z45:AA45"/>
    <mergeCell ref="R45:T45"/>
    <mergeCell ref="R46:T46"/>
    <mergeCell ref="O45:Q45"/>
    <mergeCell ref="Y51:AA51"/>
    <mergeCell ref="Y52:AA52"/>
    <mergeCell ref="R51:T51"/>
    <mergeCell ref="R52:T52"/>
    <mergeCell ref="R55:T55"/>
    <mergeCell ref="R53:T53"/>
    <mergeCell ref="Y54:AA54"/>
    <mergeCell ref="Y55:AA55"/>
    <mergeCell ref="R54:T54"/>
    <mergeCell ref="Y53:AA53"/>
  </mergeCells>
  <phoneticPr fontId="20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 x14ac:dyDescent="0.2"/>
  <cols>
    <col min="1" max="2" width="8.7109375" style="161" customWidth="1"/>
    <col min="3" max="3" width="14" style="161" bestFit="1" customWidth="1"/>
    <col min="4" max="4" width="0.28515625" style="161" customWidth="1"/>
    <col min="5" max="5" width="8.7109375" style="161" customWidth="1"/>
    <col min="6" max="6" width="16.28515625" style="161" bestFit="1" customWidth="1"/>
    <col min="7" max="45" width="8.7109375" style="161" customWidth="1"/>
    <col min="46" max="16384" width="8.7109375" style="161"/>
  </cols>
  <sheetData>
    <row r="2" spans="2:7" ht="15.75" x14ac:dyDescent="0.25">
      <c r="B2" s="717" t="s">
        <v>307</v>
      </c>
      <c r="C2" s="717"/>
      <c r="D2" s="717"/>
      <c r="E2" s="717"/>
      <c r="F2" s="717"/>
    </row>
    <row r="3" spans="2:7" ht="15" x14ac:dyDescent="0.25">
      <c r="B3" s="162" t="s">
        <v>308</v>
      </c>
      <c r="C3" s="162" t="s">
        <v>254</v>
      </c>
      <c r="D3" s="163"/>
      <c r="E3" s="162" t="s">
        <v>309</v>
      </c>
      <c r="F3" s="162" t="s">
        <v>310</v>
      </c>
      <c r="G3" s="163"/>
    </row>
    <row r="4" spans="2:7" ht="15" x14ac:dyDescent="0.25">
      <c r="B4" s="164" t="s">
        <v>311</v>
      </c>
      <c r="C4" s="164" t="s">
        <v>312</v>
      </c>
      <c r="D4" s="163"/>
      <c r="E4" s="164" t="s">
        <v>313</v>
      </c>
      <c r="F4" s="164" t="s">
        <v>314</v>
      </c>
      <c r="G4" s="163"/>
    </row>
    <row r="5" spans="2:7" ht="15" x14ac:dyDescent="0.25">
      <c r="B5" s="164" t="s">
        <v>315</v>
      </c>
      <c r="C5" s="164" t="s">
        <v>316</v>
      </c>
      <c r="D5" s="163"/>
      <c r="E5" s="164" t="s">
        <v>317</v>
      </c>
      <c r="F5" s="164" t="s">
        <v>318</v>
      </c>
      <c r="G5" s="163"/>
    </row>
    <row r="6" spans="2:7" ht="15" x14ac:dyDescent="0.25">
      <c r="B6" s="164" t="s">
        <v>319</v>
      </c>
      <c r="C6" s="164" t="s">
        <v>320</v>
      </c>
      <c r="D6" s="163"/>
      <c r="E6" s="165" t="s">
        <v>321</v>
      </c>
      <c r="F6" s="165" t="s">
        <v>322</v>
      </c>
      <c r="G6" s="163"/>
    </row>
    <row r="7" spans="2:7" ht="15" x14ac:dyDescent="0.25">
      <c r="B7" s="165" t="s">
        <v>323</v>
      </c>
      <c r="C7" s="165" t="s">
        <v>324</v>
      </c>
      <c r="D7" s="163"/>
      <c r="E7" s="164" t="s">
        <v>325</v>
      </c>
      <c r="F7" s="164" t="s">
        <v>326</v>
      </c>
      <c r="G7" s="163"/>
    </row>
    <row r="8" spans="2:7" ht="15" x14ac:dyDescent="0.25">
      <c r="B8" s="164" t="s">
        <v>327</v>
      </c>
      <c r="C8" s="164" t="s">
        <v>328</v>
      </c>
      <c r="D8" s="163"/>
      <c r="E8" s="164" t="s">
        <v>329</v>
      </c>
      <c r="F8" s="164" t="s">
        <v>330</v>
      </c>
      <c r="G8" s="163"/>
    </row>
    <row r="9" spans="2:7" ht="15" x14ac:dyDescent="0.25">
      <c r="B9" s="164" t="s">
        <v>331</v>
      </c>
      <c r="C9" s="164" t="s">
        <v>332</v>
      </c>
      <c r="D9" s="163"/>
      <c r="E9" s="165" t="s">
        <v>333</v>
      </c>
      <c r="F9" s="165" t="s">
        <v>334</v>
      </c>
      <c r="G9" s="163"/>
    </row>
    <row r="10" spans="2:7" ht="15" x14ac:dyDescent="0.25">
      <c r="B10" s="164" t="s">
        <v>335</v>
      </c>
      <c r="C10" s="164" t="s">
        <v>336</v>
      </c>
      <c r="D10" s="163"/>
      <c r="E10" s="164" t="s">
        <v>337</v>
      </c>
      <c r="F10" s="164" t="s">
        <v>338</v>
      </c>
      <c r="G10" s="163"/>
    </row>
    <row r="11" spans="2:7" ht="15" x14ac:dyDescent="0.25">
      <c r="B11" s="164" t="s">
        <v>339</v>
      </c>
      <c r="C11" s="164" t="s">
        <v>340</v>
      </c>
      <c r="D11" s="163"/>
      <c r="E11" s="164" t="s">
        <v>341</v>
      </c>
      <c r="F11" s="164" t="s">
        <v>330</v>
      </c>
      <c r="G11" s="163"/>
    </row>
    <row r="12" spans="2:7" ht="15" x14ac:dyDescent="0.25">
      <c r="B12" s="164" t="s">
        <v>342</v>
      </c>
      <c r="C12" s="164" t="s">
        <v>343</v>
      </c>
      <c r="D12" s="163"/>
      <c r="E12" s="164" t="s">
        <v>344</v>
      </c>
      <c r="F12" s="164" t="s">
        <v>267</v>
      </c>
      <c r="G12" s="163"/>
    </row>
    <row r="13" spans="2:7" ht="15" x14ac:dyDescent="0.25">
      <c r="B13" s="165" t="s">
        <v>345</v>
      </c>
      <c r="C13" s="165" t="s">
        <v>258</v>
      </c>
      <c r="D13" s="163"/>
      <c r="E13" s="164" t="s">
        <v>346</v>
      </c>
      <c r="F13" s="164" t="s">
        <v>347</v>
      </c>
      <c r="G13" s="163"/>
    </row>
    <row r="14" spans="2:7" ht="15" x14ac:dyDescent="0.25">
      <c r="B14" s="164" t="s">
        <v>348</v>
      </c>
      <c r="C14" s="164" t="s">
        <v>349</v>
      </c>
      <c r="D14" s="163"/>
      <c r="E14" s="165" t="s">
        <v>350</v>
      </c>
      <c r="F14" s="165" t="s">
        <v>351</v>
      </c>
      <c r="G14" s="163"/>
    </row>
    <row r="15" spans="2:7" ht="15" x14ac:dyDescent="0.25">
      <c r="B15" s="165" t="s">
        <v>352</v>
      </c>
      <c r="C15" s="165" t="s">
        <v>353</v>
      </c>
      <c r="D15" s="163"/>
      <c r="E15" s="164" t="s">
        <v>354</v>
      </c>
      <c r="F15" s="164" t="s">
        <v>351</v>
      </c>
      <c r="G15" s="163"/>
    </row>
    <row r="16" spans="2:7" ht="15" x14ac:dyDescent="0.25">
      <c r="B16" s="164" t="s">
        <v>355</v>
      </c>
      <c r="C16" s="164" t="s">
        <v>356</v>
      </c>
      <c r="D16" s="163"/>
      <c r="E16" s="165" t="s">
        <v>357</v>
      </c>
      <c r="F16" s="165" t="s">
        <v>358</v>
      </c>
      <c r="G16" s="163"/>
    </row>
    <row r="17" spans="2:7" ht="15" x14ac:dyDescent="0.25">
      <c r="B17" s="164" t="s">
        <v>359</v>
      </c>
      <c r="C17" s="164" t="s">
        <v>360</v>
      </c>
      <c r="D17" s="163"/>
      <c r="E17" s="164" t="s">
        <v>361</v>
      </c>
      <c r="F17" s="164" t="s">
        <v>362</v>
      </c>
      <c r="G17" s="163"/>
    </row>
    <row r="18" spans="2:7" ht="15" x14ac:dyDescent="0.25">
      <c r="B18" s="164" t="s">
        <v>363</v>
      </c>
      <c r="C18" s="164" t="s">
        <v>364</v>
      </c>
      <c r="D18" s="163"/>
      <c r="E18" s="164" t="s">
        <v>365</v>
      </c>
      <c r="F18" s="164" t="s">
        <v>366</v>
      </c>
      <c r="G18" s="163"/>
    </row>
    <row r="19" spans="2:7" ht="15" x14ac:dyDescent="0.25">
      <c r="B19" s="164" t="s">
        <v>367</v>
      </c>
      <c r="C19" s="164" t="s">
        <v>368</v>
      </c>
      <c r="D19" s="163"/>
      <c r="E19" s="164" t="s">
        <v>369</v>
      </c>
      <c r="F19" s="164" t="s">
        <v>370</v>
      </c>
      <c r="G19" s="163"/>
    </row>
    <row r="20" spans="2:7" ht="15" x14ac:dyDescent="0.25">
      <c r="B20" s="164" t="s">
        <v>371</v>
      </c>
      <c r="C20" s="164" t="s">
        <v>372</v>
      </c>
      <c r="D20" s="163"/>
      <c r="G20" s="163"/>
    </row>
    <row r="21" spans="2:7" ht="15" x14ac:dyDescent="0.25">
      <c r="D21" s="163"/>
      <c r="G21" s="163"/>
    </row>
    <row r="22" spans="2:7" ht="15" x14ac:dyDescent="0.25">
      <c r="D22" s="163"/>
      <c r="G22" s="163"/>
    </row>
    <row r="23" spans="2:7" ht="15" x14ac:dyDescent="0.25">
      <c r="D23" s="163"/>
      <c r="G23" s="163"/>
    </row>
  </sheetData>
  <mergeCells count="1">
    <mergeCell ref="B2:F2"/>
  </mergeCells>
  <phoneticPr fontId="23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3"/>
  <sheetViews>
    <sheetView workbookViewId="0">
      <selection activeCell="A11" sqref="A11:C11"/>
    </sheetView>
  </sheetViews>
  <sheetFormatPr defaultColWidth="9.140625" defaultRowHeight="15" x14ac:dyDescent="0.2"/>
  <cols>
    <col min="1" max="1" width="31.5703125" style="188" customWidth="1"/>
    <col min="2" max="6" width="9.140625" style="188" customWidth="1"/>
    <col min="7" max="7" width="26" style="188" bestFit="1" customWidth="1"/>
    <col min="8" max="46" width="9.140625" style="188" customWidth="1"/>
    <col min="47" max="16384" width="9.140625" style="188"/>
  </cols>
  <sheetData>
    <row r="1" spans="1:7" ht="15.75" x14ac:dyDescent="0.2">
      <c r="A1" s="343" t="s">
        <v>373</v>
      </c>
      <c r="B1" s="343" t="s">
        <v>96</v>
      </c>
      <c r="C1" s="343" t="s">
        <v>273</v>
      </c>
      <c r="D1" s="187"/>
    </row>
    <row r="2" spans="1:7" ht="15.75" x14ac:dyDescent="0.2">
      <c r="A2" s="343" t="s">
        <v>267</v>
      </c>
      <c r="B2" s="343"/>
      <c r="C2" s="343"/>
      <c r="D2" s="189" t="s">
        <v>374</v>
      </c>
    </row>
    <row r="3" spans="1:7" ht="15.75" x14ac:dyDescent="0.2">
      <c r="A3" s="343" t="s">
        <v>115</v>
      </c>
      <c r="B3" s="343">
        <v>15</v>
      </c>
      <c r="C3" s="343">
        <v>2250</v>
      </c>
      <c r="D3" s="189" t="s">
        <v>375</v>
      </c>
      <c r="G3" s="188">
        <f t="shared" ref="G3:G5" si="0">C3/B3</f>
        <v>150</v>
      </c>
    </row>
    <row r="4" spans="1:7" ht="15.75" x14ac:dyDescent="0.2">
      <c r="A4" s="343" t="s">
        <v>376</v>
      </c>
      <c r="B4" s="343">
        <v>15</v>
      </c>
      <c r="C4" s="343">
        <v>1716</v>
      </c>
      <c r="D4" s="187"/>
    </row>
    <row r="5" spans="1:7" ht="15.75" x14ac:dyDescent="0.2">
      <c r="A5" s="343" t="s">
        <v>114</v>
      </c>
      <c r="B5" s="343">
        <v>14</v>
      </c>
      <c r="C5" s="343">
        <v>2250</v>
      </c>
      <c r="D5" s="187"/>
      <c r="G5" s="188">
        <f t="shared" si="0"/>
        <v>160.71428571428572</v>
      </c>
    </row>
    <row r="6" spans="1:7" ht="15.75" x14ac:dyDescent="0.2">
      <c r="A6" s="343" t="s">
        <v>377</v>
      </c>
      <c r="B6" s="343">
        <v>16</v>
      </c>
      <c r="C6" s="343">
        <v>1714</v>
      </c>
      <c r="D6" s="187"/>
    </row>
    <row r="7" spans="1:7" ht="15.75" x14ac:dyDescent="0.2">
      <c r="A7" s="343" t="s">
        <v>113</v>
      </c>
      <c r="B7" s="343">
        <v>13</v>
      </c>
      <c r="C7" s="343">
        <v>2250</v>
      </c>
      <c r="D7" s="187"/>
      <c r="G7" s="188">
        <f t="shared" ref="G7:G29" si="1">C7/B7</f>
        <v>173.07692307692307</v>
      </c>
    </row>
    <row r="8" spans="1:7" ht="15.75" x14ac:dyDescent="0.2">
      <c r="A8" s="343" t="s">
        <v>116</v>
      </c>
      <c r="B8" s="343">
        <v>15</v>
      </c>
      <c r="C8" s="343">
        <v>2250</v>
      </c>
      <c r="D8" s="187"/>
      <c r="G8" s="188">
        <f t="shared" si="1"/>
        <v>150</v>
      </c>
    </row>
    <row r="9" spans="1:7" ht="15.75" x14ac:dyDescent="0.2">
      <c r="A9" s="343" t="s">
        <v>119</v>
      </c>
      <c r="B9" s="343">
        <v>17</v>
      </c>
      <c r="C9" s="343">
        <v>2250</v>
      </c>
      <c r="D9" s="187"/>
    </row>
    <row r="10" spans="1:7" ht="15.75" x14ac:dyDescent="0.2">
      <c r="A10" s="343" t="s">
        <v>378</v>
      </c>
      <c r="B10" s="343">
        <v>17</v>
      </c>
      <c r="C10" s="343">
        <v>1716</v>
      </c>
      <c r="D10" s="187"/>
      <c r="G10" s="188">
        <f t="shared" si="1"/>
        <v>100.94117647058823</v>
      </c>
    </row>
    <row r="11" spans="1:7" ht="15.75" x14ac:dyDescent="0.25">
      <c r="A11" s="353" t="s">
        <v>379</v>
      </c>
      <c r="B11" s="343">
        <v>17</v>
      </c>
      <c r="C11" s="343">
        <v>1636</v>
      </c>
      <c r="D11" s="187"/>
      <c r="G11" s="188">
        <f t="shared" si="1"/>
        <v>96.235294117647058</v>
      </c>
    </row>
    <row r="12" spans="1:7" ht="15.75" x14ac:dyDescent="0.2">
      <c r="A12" s="343" t="s">
        <v>117</v>
      </c>
      <c r="B12" s="343">
        <v>15</v>
      </c>
      <c r="C12" s="343">
        <v>2250</v>
      </c>
      <c r="D12" s="187"/>
    </row>
    <row r="13" spans="1:7" ht="15.75" x14ac:dyDescent="0.2">
      <c r="A13" s="343" t="s">
        <v>127</v>
      </c>
      <c r="B13" s="343">
        <v>17</v>
      </c>
      <c r="C13" s="343">
        <v>1636</v>
      </c>
      <c r="D13" s="187"/>
    </row>
    <row r="14" spans="1:7" ht="15.75" x14ac:dyDescent="0.2">
      <c r="A14" s="343" t="s">
        <v>158</v>
      </c>
      <c r="B14" s="343">
        <v>15</v>
      </c>
      <c r="C14" s="343">
        <v>1714</v>
      </c>
      <c r="D14" s="187"/>
      <c r="G14" s="188">
        <f t="shared" si="1"/>
        <v>114.26666666666667</v>
      </c>
    </row>
    <row r="15" spans="1:7" ht="15.75" x14ac:dyDescent="0.2">
      <c r="A15" s="343" t="s">
        <v>165</v>
      </c>
      <c r="B15" s="343">
        <v>16</v>
      </c>
      <c r="C15" s="343">
        <v>1800</v>
      </c>
      <c r="D15" s="187"/>
    </row>
    <row r="16" spans="1:7" ht="15.75" x14ac:dyDescent="0.2">
      <c r="A16" s="343" t="s">
        <v>223</v>
      </c>
      <c r="B16" s="343">
        <v>17</v>
      </c>
      <c r="C16" s="343">
        <v>1800</v>
      </c>
      <c r="D16" s="187"/>
      <c r="G16" s="188">
        <f t="shared" si="1"/>
        <v>105.88235294117646</v>
      </c>
    </row>
    <row r="17" spans="1:7" ht="15.75" x14ac:dyDescent="0.2">
      <c r="A17" s="343" t="s">
        <v>121</v>
      </c>
      <c r="B17" s="343">
        <v>18</v>
      </c>
      <c r="C17" s="343">
        <v>1636</v>
      </c>
      <c r="D17" s="187"/>
      <c r="G17" s="188">
        <f t="shared" si="1"/>
        <v>90.888888888888886</v>
      </c>
    </row>
    <row r="18" spans="1:7" ht="15.75" x14ac:dyDescent="0.25">
      <c r="A18" s="353" t="s">
        <v>380</v>
      </c>
      <c r="B18" s="343">
        <v>10</v>
      </c>
      <c r="C18" s="343">
        <v>1125</v>
      </c>
      <c r="D18" s="187"/>
      <c r="G18" s="188">
        <f t="shared" si="1"/>
        <v>112.5</v>
      </c>
    </row>
    <row r="19" spans="1:7" ht="15.75" x14ac:dyDescent="0.25">
      <c r="A19" s="353" t="s">
        <v>381</v>
      </c>
      <c r="B19" s="343">
        <v>13</v>
      </c>
      <c r="C19" s="343">
        <v>1440</v>
      </c>
      <c r="D19" s="187"/>
      <c r="G19" s="188">
        <f t="shared" si="1"/>
        <v>110.76923076923077</v>
      </c>
    </row>
    <row r="20" spans="1:7" ht="15.75" x14ac:dyDescent="0.25">
      <c r="A20" s="353" t="s">
        <v>175</v>
      </c>
      <c r="B20" s="343">
        <v>16</v>
      </c>
      <c r="C20" s="343">
        <v>2250</v>
      </c>
      <c r="D20" s="187"/>
      <c r="G20" s="188">
        <f t="shared" si="1"/>
        <v>140.625</v>
      </c>
    </row>
    <row r="21" spans="1:7" ht="15.75" x14ac:dyDescent="0.2">
      <c r="A21" s="343" t="s">
        <v>125</v>
      </c>
      <c r="B21" s="343">
        <v>18</v>
      </c>
      <c r="C21" s="343">
        <v>1636</v>
      </c>
      <c r="D21" s="187"/>
      <c r="G21" s="188">
        <f t="shared" si="1"/>
        <v>90.888888888888886</v>
      </c>
    </row>
    <row r="22" spans="1:7" ht="15.75" x14ac:dyDescent="0.2">
      <c r="A22" s="343" t="s">
        <v>123</v>
      </c>
      <c r="B22" s="343">
        <v>18</v>
      </c>
      <c r="C22" s="343">
        <v>1565</v>
      </c>
      <c r="G22" s="188">
        <f t="shared" si="1"/>
        <v>86.944444444444443</v>
      </c>
    </row>
    <row r="23" spans="1:7" ht="15.75" x14ac:dyDescent="0.25">
      <c r="A23" s="353" t="s">
        <v>170</v>
      </c>
      <c r="B23" s="343">
        <v>17</v>
      </c>
      <c r="C23" s="343">
        <v>1500</v>
      </c>
      <c r="E23" s="303"/>
      <c r="G23" s="188">
        <f t="shared" si="1"/>
        <v>88.235294117647058</v>
      </c>
    </row>
    <row r="24" spans="1:7" ht="15.75" x14ac:dyDescent="0.25">
      <c r="A24" s="353" t="s">
        <v>167</v>
      </c>
      <c r="B24" s="343">
        <v>16</v>
      </c>
      <c r="C24" s="343">
        <v>1500</v>
      </c>
      <c r="G24" s="188">
        <f t="shared" si="1"/>
        <v>93.75</v>
      </c>
    </row>
    <row r="25" spans="1:7" ht="15.75" x14ac:dyDescent="0.25">
      <c r="A25" s="353"/>
      <c r="B25" s="343"/>
      <c r="C25" s="343"/>
    </row>
    <row r="26" spans="1:7" ht="15.75" x14ac:dyDescent="0.2">
      <c r="A26" s="343" t="s">
        <v>269</v>
      </c>
      <c r="B26" s="343"/>
      <c r="C26" s="343"/>
    </row>
    <row r="27" spans="1:7" ht="15.75" x14ac:dyDescent="0.2">
      <c r="A27" s="343" t="s">
        <v>99</v>
      </c>
      <c r="B27" s="343">
        <v>15</v>
      </c>
      <c r="C27" s="343">
        <v>1636</v>
      </c>
      <c r="G27" s="188">
        <f t="shared" si="1"/>
        <v>109.06666666666666</v>
      </c>
    </row>
    <row r="28" spans="1:7" ht="15.75" x14ac:dyDescent="0.2">
      <c r="A28" s="343" t="s">
        <v>100</v>
      </c>
      <c r="B28" s="343">
        <v>11</v>
      </c>
      <c r="C28" s="343">
        <v>1636</v>
      </c>
      <c r="G28" s="188">
        <f t="shared" si="1"/>
        <v>148.72727272727272</v>
      </c>
    </row>
    <row r="29" spans="1:7" ht="15.75" x14ac:dyDescent="0.2">
      <c r="A29" s="343" t="s">
        <v>102</v>
      </c>
      <c r="B29" s="343">
        <v>11</v>
      </c>
      <c r="C29" s="343">
        <v>1636</v>
      </c>
      <c r="G29" s="188">
        <f t="shared" si="1"/>
        <v>148.72727272727272</v>
      </c>
    </row>
    <row r="30" spans="1:7" ht="15.75" x14ac:dyDescent="0.2">
      <c r="A30" s="343" t="s">
        <v>101</v>
      </c>
      <c r="B30" s="343">
        <v>11</v>
      </c>
      <c r="C30" s="343">
        <v>1636</v>
      </c>
    </row>
    <row r="31" spans="1:7" ht="15.75" x14ac:dyDescent="0.2">
      <c r="A31" s="343"/>
      <c r="B31" s="343"/>
      <c r="C31" s="343"/>
    </row>
    <row r="32" spans="1:7" ht="15.75" x14ac:dyDescent="0.2">
      <c r="A32" s="343"/>
      <c r="B32" s="343"/>
      <c r="C32" s="343"/>
    </row>
    <row r="33" spans="1:3" ht="15.75" x14ac:dyDescent="0.2">
      <c r="A33" s="343"/>
      <c r="B33" s="343"/>
      <c r="C33" s="343"/>
    </row>
  </sheetData>
  <phoneticPr fontId="2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日別報廢率總表 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填寫舉例</vt:lpstr>
      <vt:lpstr>鮮食品群番</vt:lpstr>
      <vt:lpstr>07產線配置圖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2026-07-22T07:36:54Z</dcterms:modified>
</cp:coreProperties>
</file>