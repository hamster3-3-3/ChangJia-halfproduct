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長家\"/>
    </mc:Choice>
  </mc:AlternateContent>
  <bookViews>
    <workbookView xWindow="-120" yWindow="-120" windowWidth="29040" windowHeight="15720" tabRatio="780" firstSheet="2" activeTab="8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07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0" l="1"/>
  <c r="B9" i="40" l="1"/>
  <c r="B5" i="40"/>
  <c r="G30" i="47"/>
  <c r="G29" i="47"/>
  <c r="G28" i="47"/>
  <c r="G24" i="47"/>
  <c r="G23" i="47"/>
  <c r="G22" i="47"/>
  <c r="G21" i="47"/>
  <c r="G20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8" i="1"/>
  <c r="V48" i="1" s="1"/>
  <c r="X47" i="1"/>
  <c r="X46" i="1"/>
  <c r="X45" i="1"/>
  <c r="X44" i="1"/>
  <c r="X43" i="1"/>
  <c r="X41" i="1"/>
  <c r="X40" i="1"/>
  <c r="X39" i="1"/>
  <c r="X38" i="1"/>
  <c r="X37" i="1"/>
  <c r="X34" i="1"/>
  <c r="V34" i="1" s="1"/>
  <c r="X33" i="1"/>
  <c r="X32" i="1"/>
  <c r="X31" i="1"/>
  <c r="X30" i="1"/>
  <c r="X29" i="1"/>
  <c r="V28" i="1"/>
  <c r="X27" i="1"/>
  <c r="X26" i="1"/>
  <c r="X25" i="1"/>
  <c r="X24" i="1"/>
  <c r="X28" i="1" s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W13" i="1"/>
  <c r="U13" i="1"/>
  <c r="O13" i="1"/>
  <c r="Q13" i="1" s="1"/>
  <c r="W12" i="1"/>
  <c r="U12" i="1"/>
  <c r="O12" i="1"/>
  <c r="Q12" i="1" s="1"/>
  <c r="W11" i="1"/>
  <c r="U11" i="1"/>
  <c r="Q11" i="1"/>
  <c r="O11" i="1"/>
  <c r="E11" i="1"/>
  <c r="C11" i="1"/>
  <c r="B11" i="1"/>
  <c r="D11" i="1" s="1"/>
  <c r="W10" i="1"/>
  <c r="U10" i="1"/>
  <c r="O10" i="1"/>
  <c r="Q10" i="1" s="1"/>
  <c r="E10" i="1"/>
  <c r="D10" i="1"/>
  <c r="W9" i="1"/>
  <c r="U9" i="1"/>
  <c r="Q9" i="1"/>
  <c r="O9" i="1"/>
  <c r="D9" i="1"/>
  <c r="C9" i="1"/>
  <c r="B9" i="1"/>
  <c r="E9" i="1" s="1"/>
  <c r="W8" i="1"/>
  <c r="U8" i="1"/>
  <c r="O8" i="1"/>
  <c r="Q8" i="1" s="1"/>
  <c r="E8" i="1"/>
  <c r="D8" i="1"/>
  <c r="W7" i="1"/>
  <c r="U7" i="1"/>
  <c r="O7" i="1"/>
  <c r="Q7" i="1" s="1"/>
  <c r="E7" i="1"/>
  <c r="D7" i="1"/>
  <c r="U6" i="1"/>
  <c r="O6" i="1"/>
  <c r="E6" i="1"/>
  <c r="D6" i="1"/>
  <c r="J41" i="56"/>
  <c r="H41" i="56"/>
  <c r="F41" i="56"/>
  <c r="D41" i="56"/>
  <c r="J40" i="56"/>
  <c r="H40" i="56"/>
  <c r="F40" i="56"/>
  <c r="D40" i="56"/>
  <c r="J39" i="56"/>
  <c r="H39" i="56"/>
  <c r="F39" i="56"/>
  <c r="D39" i="56"/>
  <c r="L36" i="56"/>
  <c r="K36" i="56"/>
  <c r="I36" i="56"/>
  <c r="J36" i="56" s="1"/>
  <c r="H36" i="56"/>
  <c r="G36" i="56"/>
  <c r="E36" i="56"/>
  <c r="F36" i="56" s="1"/>
  <c r="D36" i="56"/>
  <c r="C36" i="56"/>
  <c r="B36" i="56"/>
  <c r="K35" i="56"/>
  <c r="L35" i="56" s="1"/>
  <c r="I35" i="56"/>
  <c r="H35" i="56"/>
  <c r="G35" i="56"/>
  <c r="E35" i="56"/>
  <c r="F35" i="56" s="1"/>
  <c r="D35" i="56"/>
  <c r="C35" i="56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O28" i="56"/>
  <c r="N28" i="56"/>
  <c r="M28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O21" i="56"/>
  <c r="N21" i="56"/>
  <c r="M21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O14" i="56"/>
  <c r="N14" i="56"/>
  <c r="M14" i="56"/>
  <c r="C9" i="40" s="1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A9" i="56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L8" i="56"/>
  <c r="J8" i="56"/>
  <c r="H8" i="56"/>
  <c r="F8" i="56"/>
  <c r="D8" i="56"/>
  <c r="O7" i="56"/>
  <c r="N7" i="56"/>
  <c r="M7" i="56"/>
  <c r="L7" i="56"/>
  <c r="J7" i="56"/>
  <c r="H7" i="56"/>
  <c r="F7" i="56"/>
  <c r="D7" i="56"/>
  <c r="A7" i="56"/>
  <c r="A8" i="56" s="1"/>
  <c r="L6" i="56"/>
  <c r="J6" i="56"/>
  <c r="H6" i="56"/>
  <c r="F6" i="56"/>
  <c r="D6" i="56"/>
  <c r="L5" i="56"/>
  <c r="J5" i="56"/>
  <c r="H5" i="56"/>
  <c r="F5" i="56"/>
  <c r="D5" i="56"/>
  <c r="O4" i="56"/>
  <c r="N4" i="56"/>
  <c r="Q4" i="56" s="1"/>
  <c r="M4" i="56"/>
  <c r="L4" i="56"/>
  <c r="J4" i="56"/>
  <c r="H4" i="56"/>
  <c r="F4" i="56"/>
  <c r="D4" i="56"/>
  <c r="S24" i="52"/>
  <c r="R24" i="52"/>
  <c r="P24" i="52"/>
  <c r="O24" i="52"/>
  <c r="N24" i="52"/>
  <c r="L24" i="52"/>
  <c r="J24" i="52"/>
  <c r="F24" i="52"/>
  <c r="R23" i="52"/>
  <c r="O23" i="52"/>
  <c r="N23" i="52"/>
  <c r="L23" i="52"/>
  <c r="J23" i="52"/>
  <c r="F23" i="52"/>
  <c r="S22" i="52"/>
  <c r="R22" i="52"/>
  <c r="O22" i="52"/>
  <c r="P22" i="52" s="1"/>
  <c r="N22" i="52"/>
  <c r="L22" i="52"/>
  <c r="J22" i="52"/>
  <c r="F22" i="52"/>
  <c r="T21" i="52"/>
  <c r="R21" i="52"/>
  <c r="P21" i="52"/>
  <c r="O21" i="52"/>
  <c r="S21" i="52" s="1"/>
  <c r="U21" i="52" s="1"/>
  <c r="N21" i="52"/>
  <c r="L21" i="52"/>
  <c r="J21" i="52"/>
  <c r="F21" i="52"/>
  <c r="U20" i="52"/>
  <c r="T20" i="52"/>
  <c r="S20" i="52"/>
  <c r="R20" i="52"/>
  <c r="O20" i="52"/>
  <c r="P20" i="52" s="1"/>
  <c r="N20" i="52"/>
  <c r="L20" i="52"/>
  <c r="J20" i="52"/>
  <c r="F20" i="52"/>
  <c r="R19" i="52"/>
  <c r="O19" i="52"/>
  <c r="P19" i="52" s="1"/>
  <c r="N19" i="52"/>
  <c r="L19" i="52"/>
  <c r="J19" i="52"/>
  <c r="F19" i="52"/>
  <c r="AI8" i="52" s="1"/>
  <c r="H14" i="40" s="1"/>
  <c r="T18" i="52"/>
  <c r="S18" i="52"/>
  <c r="U18" i="52" s="1"/>
  <c r="R18" i="52"/>
  <c r="P18" i="52"/>
  <c r="O18" i="52"/>
  <c r="N18" i="52"/>
  <c r="L18" i="52"/>
  <c r="J18" i="52"/>
  <c r="F18" i="52"/>
  <c r="U17" i="52"/>
  <c r="T17" i="52"/>
  <c r="R17" i="52"/>
  <c r="P17" i="52"/>
  <c r="O17" i="52"/>
  <c r="S17" i="52" s="1"/>
  <c r="N17" i="52"/>
  <c r="L17" i="52"/>
  <c r="J17" i="52"/>
  <c r="F17" i="52"/>
  <c r="R16" i="52"/>
  <c r="O16" i="52"/>
  <c r="N16" i="52"/>
  <c r="L16" i="52"/>
  <c r="J16" i="52"/>
  <c r="F16" i="52"/>
  <c r="T15" i="52"/>
  <c r="R15" i="52"/>
  <c r="P15" i="52"/>
  <c r="O15" i="52"/>
  <c r="S15" i="52" s="1"/>
  <c r="U15" i="52" s="1"/>
  <c r="N15" i="52"/>
  <c r="L15" i="52"/>
  <c r="J15" i="52"/>
  <c r="F15" i="52"/>
  <c r="U14" i="52"/>
  <c r="T14" i="52"/>
  <c r="S14" i="52"/>
  <c r="R14" i="52"/>
  <c r="O14" i="52"/>
  <c r="P14" i="52" s="1"/>
  <c r="N14" i="52"/>
  <c r="L14" i="52"/>
  <c r="J14" i="52"/>
  <c r="F14" i="52"/>
  <c r="S13" i="52"/>
  <c r="R13" i="52"/>
  <c r="O13" i="52"/>
  <c r="P13" i="52" s="1"/>
  <c r="N13" i="52"/>
  <c r="L13" i="52"/>
  <c r="J13" i="52"/>
  <c r="F13" i="52"/>
  <c r="R12" i="52"/>
  <c r="P12" i="52"/>
  <c r="O12" i="52"/>
  <c r="S12" i="52" s="1"/>
  <c r="N12" i="52"/>
  <c r="L12" i="52"/>
  <c r="J12" i="52"/>
  <c r="F12" i="52"/>
  <c r="U11" i="52"/>
  <c r="T11" i="52"/>
  <c r="R11" i="52"/>
  <c r="P11" i="52"/>
  <c r="O11" i="52"/>
  <c r="S11" i="52" s="1"/>
  <c r="N11" i="52"/>
  <c r="L11" i="52"/>
  <c r="J11" i="52"/>
  <c r="F11" i="52"/>
  <c r="R10" i="52"/>
  <c r="O10" i="52"/>
  <c r="N10" i="52"/>
  <c r="L10" i="52"/>
  <c r="J10" i="52"/>
  <c r="F10" i="52"/>
  <c r="AE9" i="52"/>
  <c r="I9" i="40" s="1"/>
  <c r="T9" i="52"/>
  <c r="S9" i="52"/>
  <c r="U9" i="52" s="1"/>
  <c r="R9" i="52"/>
  <c r="P9" i="52"/>
  <c r="O9" i="52"/>
  <c r="N9" i="52"/>
  <c r="L9" i="52"/>
  <c r="J9" i="52"/>
  <c r="F9" i="52"/>
  <c r="AJ8" i="52"/>
  <c r="J14" i="40" s="1"/>
  <c r="AH8" i="52"/>
  <c r="F14" i="40" s="1"/>
  <c r="AF8" i="52"/>
  <c r="J9" i="40" s="1"/>
  <c r="AE8" i="52"/>
  <c r="R8" i="52"/>
  <c r="O8" i="52"/>
  <c r="N8" i="52"/>
  <c r="L8" i="52"/>
  <c r="J8" i="52"/>
  <c r="F8" i="52"/>
  <c r="AG8" i="52" s="1"/>
  <c r="L9" i="40" s="1"/>
  <c r="AJ7" i="52"/>
  <c r="AI7" i="52"/>
  <c r="AI9" i="52" s="1"/>
  <c r="I14" i="40" s="1"/>
  <c r="AH7" i="52"/>
  <c r="AG7" i="52"/>
  <c r="AG9" i="52" s="1"/>
  <c r="M9" i="40" s="1"/>
  <c r="AF7" i="52"/>
  <c r="AE7" i="52"/>
  <c r="AD7" i="52"/>
  <c r="AC7" i="52"/>
  <c r="AF9" i="52" s="1"/>
  <c r="K9" i="40" s="1"/>
  <c r="T7" i="52"/>
  <c r="R7" i="52"/>
  <c r="P7" i="52"/>
  <c r="O7" i="52"/>
  <c r="S7" i="52" s="1"/>
  <c r="U7" i="52" s="1"/>
  <c r="N7" i="52"/>
  <c r="L7" i="52"/>
  <c r="J7" i="52"/>
  <c r="F7" i="52"/>
  <c r="U6" i="52"/>
  <c r="T6" i="52"/>
  <c r="R6" i="52"/>
  <c r="P6" i="52"/>
  <c r="O6" i="52"/>
  <c r="S6" i="52" s="1"/>
  <c r="N6" i="52"/>
  <c r="L6" i="52"/>
  <c r="J6" i="52"/>
  <c r="F6" i="52"/>
  <c r="AD8" i="52" s="1"/>
  <c r="F9" i="40" s="1"/>
  <c r="S5" i="52"/>
  <c r="R5" i="52"/>
  <c r="O5" i="52"/>
  <c r="P5" i="52" s="1"/>
  <c r="N5" i="52"/>
  <c r="L5" i="52"/>
  <c r="J5" i="52"/>
  <c r="F5" i="52"/>
  <c r="L20" i="21"/>
  <c r="L19" i="21"/>
  <c r="L18" i="21"/>
  <c r="L17" i="21"/>
  <c r="L16" i="21"/>
  <c r="L13" i="21"/>
  <c r="L12" i="21"/>
  <c r="L11" i="21"/>
  <c r="L10" i="21"/>
  <c r="L9" i="21"/>
  <c r="M38" i="51"/>
  <c r="K38" i="51" s="1"/>
  <c r="M26" i="51"/>
  <c r="M25" i="51"/>
  <c r="M30" i="51" s="1"/>
  <c r="K30" i="51" s="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13" i="50"/>
  <c r="M12" i="50"/>
  <c r="M11" i="50"/>
  <c r="M10" i="50"/>
  <c r="M9" i="50"/>
  <c r="M14" i="50" s="1"/>
  <c r="K14" i="50" s="1"/>
  <c r="K38" i="20"/>
  <c r="K30" i="20"/>
  <c r="M26" i="20"/>
  <c r="M25" i="20"/>
  <c r="M30" i="20" s="1"/>
  <c r="M21" i="20"/>
  <c r="M20" i="20"/>
  <c r="M19" i="20"/>
  <c r="M22" i="20" s="1"/>
  <c r="K22" i="20" s="1"/>
  <c r="M18" i="20"/>
  <c r="M17" i="20"/>
  <c r="M13" i="20"/>
  <c r="M14" i="20" s="1"/>
  <c r="K14" i="20" s="1"/>
  <c r="M12" i="20"/>
  <c r="M11" i="20"/>
  <c r="M10" i="20"/>
  <c r="M9" i="20"/>
  <c r="K30" i="19"/>
  <c r="M29" i="19"/>
  <c r="M28" i="19"/>
  <c r="M27" i="19"/>
  <c r="M26" i="19"/>
  <c r="M30" i="19" s="1"/>
  <c r="M25" i="19"/>
  <c r="M22" i="19"/>
  <c r="K22" i="19" s="1"/>
  <c r="M21" i="19"/>
  <c r="M20" i="19"/>
  <c r="M19" i="19"/>
  <c r="M18" i="19"/>
  <c r="M17" i="19"/>
  <c r="M14" i="19"/>
  <c r="K14" i="19" s="1"/>
  <c r="M13" i="19"/>
  <c r="M12" i="19"/>
  <c r="M11" i="19"/>
  <c r="M10" i="19"/>
  <c r="M9" i="19"/>
  <c r="C10" i="40"/>
  <c r="H9" i="40"/>
  <c r="S110" i="49"/>
  <c r="R110" i="49"/>
  <c r="J110" i="49"/>
  <c r="K110" i="49" s="1"/>
  <c r="M110" i="49" s="1"/>
  <c r="I110" i="49"/>
  <c r="F110" i="49"/>
  <c r="G110" i="49" s="1"/>
  <c r="E110" i="49"/>
  <c r="AW109" i="49"/>
  <c r="AV109" i="49"/>
  <c r="AQ109" i="49"/>
  <c r="AR109" i="49" s="1"/>
  <c r="AH109" i="49"/>
  <c r="AG109" i="49"/>
  <c r="AB109" i="49"/>
  <c r="AC109" i="49" s="1"/>
  <c r="X109" i="49"/>
  <c r="W109" i="49"/>
  <c r="S109" i="49"/>
  <c r="R109" i="49"/>
  <c r="J109" i="49"/>
  <c r="K109" i="49" s="1"/>
  <c r="M109" i="49" s="1"/>
  <c r="I109" i="49"/>
  <c r="F109" i="49"/>
  <c r="E109" i="49"/>
  <c r="G109" i="49" s="1"/>
  <c r="AV108" i="49"/>
  <c r="AW108" i="49" s="1"/>
  <c r="AR108" i="49"/>
  <c r="AQ108" i="49"/>
  <c r="AM108" i="49"/>
  <c r="AL108" i="49"/>
  <c r="AG108" i="49"/>
  <c r="AH108" i="49" s="1"/>
  <c r="AC108" i="49"/>
  <c r="AB108" i="49"/>
  <c r="W108" i="49"/>
  <c r="X108" i="49" s="1"/>
  <c r="S108" i="49"/>
  <c r="R108" i="49"/>
  <c r="J108" i="49"/>
  <c r="K108" i="49" s="1"/>
  <c r="M108" i="49" s="1"/>
  <c r="I108" i="49"/>
  <c r="F108" i="49"/>
  <c r="G108" i="49" s="1"/>
  <c r="E108" i="49"/>
  <c r="AX107" i="49"/>
  <c r="AV107" i="49"/>
  <c r="AW107" i="49" s="1"/>
  <c r="AQ107" i="49"/>
  <c r="AN107" i="49"/>
  <c r="AL107" i="49"/>
  <c r="AM107" i="49" s="1"/>
  <c r="AH107" i="49"/>
  <c r="AG107" i="49"/>
  <c r="AI107" i="49" s="1"/>
  <c r="AD107" i="49"/>
  <c r="AB107" i="49"/>
  <c r="AC107" i="49" s="1"/>
  <c r="Y107" i="49"/>
  <c r="X107" i="49"/>
  <c r="W107" i="49"/>
  <c r="S107" i="49"/>
  <c r="R107" i="49"/>
  <c r="T107" i="49" s="1"/>
  <c r="J107" i="49"/>
  <c r="K107" i="49" s="1"/>
  <c r="I107" i="49"/>
  <c r="F107" i="49"/>
  <c r="G107" i="49" s="1"/>
  <c r="H107" i="49" s="1"/>
  <c r="E107" i="49"/>
  <c r="AV90" i="49"/>
  <c r="AW90" i="49" s="1"/>
  <c r="AQ90" i="49"/>
  <c r="AR90" i="49" s="1"/>
  <c r="AL90" i="49"/>
  <c r="AM90" i="49" s="1"/>
  <c r="AG90" i="49"/>
  <c r="AH90" i="49" s="1"/>
  <c r="AB90" i="49"/>
  <c r="AC90" i="49" s="1"/>
  <c r="W90" i="49"/>
  <c r="X90" i="49" s="1"/>
  <c r="S90" i="49"/>
  <c r="R90" i="49"/>
  <c r="K90" i="49"/>
  <c r="M90" i="49" s="1"/>
  <c r="J90" i="49"/>
  <c r="I90" i="49"/>
  <c r="F90" i="49"/>
  <c r="E90" i="49"/>
  <c r="AW89" i="49"/>
  <c r="AV89" i="49"/>
  <c r="AR89" i="49"/>
  <c r="AQ89" i="49"/>
  <c r="AM89" i="49"/>
  <c r="AL89" i="49"/>
  <c r="AG89" i="49"/>
  <c r="AH89" i="49" s="1"/>
  <c r="AC89" i="49"/>
  <c r="AB89" i="49"/>
  <c r="W89" i="49"/>
  <c r="X89" i="49" s="1"/>
  <c r="S89" i="49"/>
  <c r="R89" i="49"/>
  <c r="M89" i="49"/>
  <c r="K89" i="49"/>
  <c r="J89" i="49"/>
  <c r="I89" i="49"/>
  <c r="F89" i="49"/>
  <c r="G89" i="49" s="1"/>
  <c r="E89" i="49"/>
  <c r="AV88" i="49"/>
  <c r="AW88" i="49" s="1"/>
  <c r="AQ88" i="49"/>
  <c r="AR88" i="49" s="1"/>
  <c r="AM88" i="49"/>
  <c r="AL88" i="49"/>
  <c r="AH88" i="49"/>
  <c r="AG88" i="49"/>
  <c r="AB88" i="49"/>
  <c r="AC88" i="49" s="1"/>
  <c r="X88" i="49"/>
  <c r="W88" i="49"/>
  <c r="R88" i="49"/>
  <c r="S88" i="49" s="1"/>
  <c r="M88" i="49"/>
  <c r="K88" i="49"/>
  <c r="J88" i="49"/>
  <c r="I88" i="49"/>
  <c r="G88" i="49"/>
  <c r="F88" i="49"/>
  <c r="E88" i="49"/>
  <c r="AV87" i="49"/>
  <c r="AQ87" i="49"/>
  <c r="AS87" i="49" s="1"/>
  <c r="AN87" i="49"/>
  <c r="AM87" i="49"/>
  <c r="AL87" i="49"/>
  <c r="AI87" i="49"/>
  <c r="AH87" i="49"/>
  <c r="AG87" i="49"/>
  <c r="AB87" i="49"/>
  <c r="AC87" i="49" s="1"/>
  <c r="X87" i="49"/>
  <c r="W87" i="49"/>
  <c r="Y87" i="49" s="1"/>
  <c r="R87" i="49"/>
  <c r="J87" i="49"/>
  <c r="I87" i="49"/>
  <c r="F87" i="49"/>
  <c r="E87" i="49"/>
  <c r="AV70" i="49"/>
  <c r="AW70" i="49" s="1"/>
  <c r="AQ70" i="49"/>
  <c r="AM70" i="49"/>
  <c r="AL70" i="49"/>
  <c r="AG70" i="49"/>
  <c r="AB70" i="49"/>
  <c r="W70" i="49"/>
  <c r="S70" i="49"/>
  <c r="R70" i="49"/>
  <c r="J70" i="49"/>
  <c r="I70" i="49"/>
  <c r="F70" i="49"/>
  <c r="E70" i="49"/>
  <c r="G70" i="49" s="1"/>
  <c r="AW69" i="49"/>
  <c r="AV69" i="49"/>
  <c r="AQ69" i="49"/>
  <c r="AL69" i="49"/>
  <c r="AG69" i="49"/>
  <c r="AB69" i="49"/>
  <c r="W69" i="49"/>
  <c r="S69" i="49"/>
  <c r="R69" i="49"/>
  <c r="J69" i="49"/>
  <c r="I69" i="49"/>
  <c r="F69" i="49"/>
  <c r="G69" i="49" s="1"/>
  <c r="E69" i="49"/>
  <c r="AV68" i="49"/>
  <c r="AR68" i="49"/>
  <c r="AQ68" i="49"/>
  <c r="AL68" i="49"/>
  <c r="AG68" i="49"/>
  <c r="AI67" i="49" s="1"/>
  <c r="AB68" i="49"/>
  <c r="W68" i="49"/>
  <c r="S68" i="49"/>
  <c r="R68" i="49"/>
  <c r="J68" i="49"/>
  <c r="I68" i="49"/>
  <c r="F68" i="49"/>
  <c r="G68" i="49" s="1"/>
  <c r="E68" i="49"/>
  <c r="AV67" i="49"/>
  <c r="AW67" i="49" s="1"/>
  <c r="AS67" i="49"/>
  <c r="AQ67" i="49"/>
  <c r="AR67" i="49" s="1"/>
  <c r="AL67" i="49"/>
  <c r="AG67" i="49"/>
  <c r="AD67" i="49"/>
  <c r="AB67" i="49"/>
  <c r="W67" i="49"/>
  <c r="Y67" i="49" s="1"/>
  <c r="T67" i="49"/>
  <c r="R67" i="49"/>
  <c r="J67" i="49"/>
  <c r="I67" i="49"/>
  <c r="H67" i="49"/>
  <c r="G67" i="49"/>
  <c r="F67" i="49"/>
  <c r="E67" i="49"/>
  <c r="AW50" i="49"/>
  <c r="AV50" i="49"/>
  <c r="AQ50" i="49"/>
  <c r="AL50" i="49"/>
  <c r="AG50" i="49"/>
  <c r="AB50" i="49"/>
  <c r="W50" i="49"/>
  <c r="R50" i="49"/>
  <c r="J50" i="49"/>
  <c r="I50" i="49"/>
  <c r="F50" i="49"/>
  <c r="G50" i="49" s="1"/>
  <c r="E50" i="49"/>
  <c r="AV49" i="49"/>
  <c r="AQ49" i="49"/>
  <c r="AL49" i="49"/>
  <c r="AM49" i="49" s="1"/>
  <c r="AH49" i="49"/>
  <c r="AG49" i="49"/>
  <c r="AB49" i="49"/>
  <c r="W49" i="49"/>
  <c r="R49" i="49"/>
  <c r="J49" i="49"/>
  <c r="I49" i="49"/>
  <c r="G49" i="49"/>
  <c r="F49" i="49"/>
  <c r="E49" i="49"/>
  <c r="AV48" i="49"/>
  <c r="AW48" i="49" s="1"/>
  <c r="AQ48" i="49"/>
  <c r="AL48" i="49"/>
  <c r="AH48" i="49"/>
  <c r="AG48" i="49"/>
  <c r="AC48" i="49"/>
  <c r="AB48" i="49"/>
  <c r="X48" i="49"/>
  <c r="W48" i="49"/>
  <c r="R48" i="49"/>
  <c r="K48" i="49"/>
  <c r="J48" i="49"/>
  <c r="I48" i="49"/>
  <c r="F48" i="49"/>
  <c r="G48" i="49" s="1"/>
  <c r="E48" i="49"/>
  <c r="AX47" i="49"/>
  <c r="AV47" i="49"/>
  <c r="AR47" i="49"/>
  <c r="AQ47" i="49"/>
  <c r="AL47" i="49"/>
  <c r="AM50" i="49" s="1"/>
  <c r="AI47" i="49"/>
  <c r="AG47" i="49"/>
  <c r="AH47" i="49" s="1"/>
  <c r="AD47" i="49"/>
  <c r="AB47" i="49"/>
  <c r="W47" i="49"/>
  <c r="X49" i="49" s="1"/>
  <c r="T47" i="49"/>
  <c r="R47" i="49"/>
  <c r="J47" i="49"/>
  <c r="I47" i="49"/>
  <c r="F47" i="49"/>
  <c r="E47" i="49"/>
  <c r="AW30" i="49"/>
  <c r="AV30" i="49"/>
  <c r="AQ30" i="49"/>
  <c r="AL30" i="49"/>
  <c r="AG30" i="49"/>
  <c r="AB30" i="49"/>
  <c r="W30" i="49"/>
  <c r="R30" i="49"/>
  <c r="J30" i="49"/>
  <c r="I30" i="49"/>
  <c r="F30" i="49"/>
  <c r="G30" i="49" s="1"/>
  <c r="E30" i="49"/>
  <c r="AW29" i="49"/>
  <c r="AV29" i="49"/>
  <c r="AQ29" i="49"/>
  <c r="AL29" i="49"/>
  <c r="AH29" i="49"/>
  <c r="AG29" i="49"/>
  <c r="AB29" i="49"/>
  <c r="W29" i="49"/>
  <c r="R29" i="49"/>
  <c r="K29" i="49"/>
  <c r="J29" i="49"/>
  <c r="I29" i="49"/>
  <c r="F29" i="49"/>
  <c r="G29" i="49" s="1"/>
  <c r="H27" i="49" s="1"/>
  <c r="E29" i="49"/>
  <c r="AV28" i="49"/>
  <c r="AQ28" i="49"/>
  <c r="AL28" i="49"/>
  <c r="AG28" i="49"/>
  <c r="AB28" i="49"/>
  <c r="W28" i="49"/>
  <c r="X28" i="49" s="1"/>
  <c r="R28" i="49"/>
  <c r="J28" i="49"/>
  <c r="I28" i="49"/>
  <c r="G28" i="49"/>
  <c r="F28" i="49"/>
  <c r="E28" i="49"/>
  <c r="AX27" i="49"/>
  <c r="AV27" i="49"/>
  <c r="AW27" i="49" s="1"/>
  <c r="AQ27" i="49"/>
  <c r="AL27" i="49"/>
  <c r="AG27" i="49"/>
  <c r="AD27" i="49"/>
  <c r="AC27" i="49"/>
  <c r="AB27" i="49"/>
  <c r="W27" i="49"/>
  <c r="R27" i="49"/>
  <c r="J27" i="49"/>
  <c r="I27" i="49"/>
  <c r="F27" i="49"/>
  <c r="G27" i="49" s="1"/>
  <c r="E27" i="49"/>
  <c r="P22" i="49"/>
  <c r="U22" i="49" s="1"/>
  <c r="Z22" i="49" s="1"/>
  <c r="AV10" i="49"/>
  <c r="AQ10" i="49"/>
  <c r="AL10" i="49"/>
  <c r="AG10" i="49"/>
  <c r="AH10" i="49" s="1"/>
  <c r="AB10" i="49"/>
  <c r="AC10" i="49" s="1"/>
  <c r="W10" i="49"/>
  <c r="X10" i="49" s="1"/>
  <c r="R10" i="49"/>
  <c r="S10" i="49" s="1"/>
  <c r="J10" i="49"/>
  <c r="K10" i="49" s="1"/>
  <c r="I10" i="49"/>
  <c r="G10" i="49"/>
  <c r="F10" i="49"/>
  <c r="E10" i="49"/>
  <c r="AV9" i="49"/>
  <c r="AR9" i="49"/>
  <c r="AQ9" i="49"/>
  <c r="AL9" i="49"/>
  <c r="AG9" i="49"/>
  <c r="AH9" i="49" s="1"/>
  <c r="AB9" i="49"/>
  <c r="AC9" i="49" s="1"/>
  <c r="X9" i="49"/>
  <c r="W9" i="49"/>
  <c r="S9" i="49"/>
  <c r="R9" i="49"/>
  <c r="K9" i="49"/>
  <c r="J9" i="49"/>
  <c r="I9" i="49"/>
  <c r="F9" i="49"/>
  <c r="G9" i="49" s="1"/>
  <c r="E9" i="49"/>
  <c r="AW8" i="49"/>
  <c r="AV8" i="49"/>
  <c r="AW9" i="49" s="1"/>
  <c r="AQ8" i="49"/>
  <c r="AL8" i="49"/>
  <c r="AH8" i="49"/>
  <c r="AG8" i="49"/>
  <c r="AB8" i="49"/>
  <c r="AC8" i="49" s="1"/>
  <c r="X8" i="49"/>
  <c r="W8" i="49"/>
  <c r="S8" i="49"/>
  <c r="R8" i="49"/>
  <c r="K8" i="49"/>
  <c r="J8" i="49"/>
  <c r="I8" i="49"/>
  <c r="G8" i="49"/>
  <c r="F8" i="49"/>
  <c r="E8" i="49"/>
  <c r="AV7" i="49"/>
  <c r="AQ7" i="49"/>
  <c r="AL7" i="49"/>
  <c r="AI7" i="49"/>
  <c r="AH7" i="49"/>
  <c r="AG7" i="49"/>
  <c r="AB7" i="49"/>
  <c r="X7" i="49"/>
  <c r="W7" i="49"/>
  <c r="Y7" i="49" s="1"/>
  <c r="R7" i="49"/>
  <c r="S7" i="49" s="1"/>
  <c r="J7" i="49"/>
  <c r="I7" i="49"/>
  <c r="F7" i="49"/>
  <c r="G7" i="49" s="1"/>
  <c r="E7" i="49"/>
  <c r="AE2" i="49"/>
  <c r="U2" i="49"/>
  <c r="Z2" i="49" s="1"/>
  <c r="S139" i="48"/>
  <c r="R139" i="48"/>
  <c r="K139" i="48"/>
  <c r="M139" i="48" s="1"/>
  <c r="J139" i="48"/>
  <c r="I139" i="48"/>
  <c r="F139" i="48"/>
  <c r="G139" i="48" s="1"/>
  <c r="E139" i="48"/>
  <c r="R138" i="48"/>
  <c r="S138" i="48" s="1"/>
  <c r="K138" i="48"/>
  <c r="M138" i="48" s="1"/>
  <c r="J138" i="48"/>
  <c r="I138" i="48"/>
  <c r="F138" i="48"/>
  <c r="E138" i="48"/>
  <c r="AW137" i="48"/>
  <c r="AV137" i="48"/>
  <c r="AR137" i="48"/>
  <c r="AQ137" i="48"/>
  <c r="AM137" i="48"/>
  <c r="AL137" i="48"/>
  <c r="AH137" i="48"/>
  <c r="AG137" i="48"/>
  <c r="AB137" i="48"/>
  <c r="AC137" i="48" s="1"/>
  <c r="X137" i="48"/>
  <c r="W137" i="48"/>
  <c r="S137" i="48"/>
  <c r="R137" i="48"/>
  <c r="J137" i="48"/>
  <c r="I137" i="48"/>
  <c r="F137" i="48"/>
  <c r="E137" i="48"/>
  <c r="G137" i="48" s="1"/>
  <c r="AV136" i="48"/>
  <c r="AW136" i="48" s="1"/>
  <c r="AQ136" i="48"/>
  <c r="AR136" i="48" s="1"/>
  <c r="AM136" i="48"/>
  <c r="AL136" i="48"/>
  <c r="AG136" i="48"/>
  <c r="AH136" i="48" s="1"/>
  <c r="AB136" i="48"/>
  <c r="AC136" i="48" s="1"/>
  <c r="W136" i="48"/>
  <c r="X136" i="48" s="1"/>
  <c r="R136" i="48"/>
  <c r="S136" i="48" s="1"/>
  <c r="J136" i="48"/>
  <c r="I136" i="48"/>
  <c r="F136" i="48"/>
  <c r="G136" i="48" s="1"/>
  <c r="E136" i="48"/>
  <c r="AW135" i="48"/>
  <c r="AV135" i="48"/>
  <c r="AR135" i="48"/>
  <c r="AQ135" i="48"/>
  <c r="AM135" i="48"/>
  <c r="AL135" i="48"/>
  <c r="AG135" i="48"/>
  <c r="AH135" i="48" s="1"/>
  <c r="AC135" i="48"/>
  <c r="AB135" i="48"/>
  <c r="X135" i="48"/>
  <c r="W135" i="48"/>
  <c r="K135" i="48"/>
  <c r="J135" i="48"/>
  <c r="I135" i="48"/>
  <c r="F135" i="48"/>
  <c r="E135" i="48"/>
  <c r="AV134" i="48"/>
  <c r="AW134" i="48" s="1"/>
  <c r="AR134" i="48"/>
  <c r="AQ134" i="48"/>
  <c r="AM134" i="48"/>
  <c r="AL134" i="48"/>
  <c r="AH134" i="48"/>
  <c r="AG134" i="48"/>
  <c r="AC134" i="48"/>
  <c r="AB134" i="48"/>
  <c r="X134" i="48"/>
  <c r="W134" i="48"/>
  <c r="R134" i="48"/>
  <c r="S134" i="48" s="1"/>
  <c r="M134" i="48"/>
  <c r="J134" i="48"/>
  <c r="K134" i="48" s="1"/>
  <c r="I134" i="48"/>
  <c r="F134" i="48"/>
  <c r="E134" i="48"/>
  <c r="G134" i="48" s="1"/>
  <c r="AW133" i="48"/>
  <c r="AV133" i="48"/>
  <c r="AQ133" i="48"/>
  <c r="AR133" i="48" s="1"/>
  <c r="AL133" i="48"/>
  <c r="AM133" i="48" s="1"/>
  <c r="AG133" i="48"/>
  <c r="AH133" i="48" s="1"/>
  <c r="AC133" i="48"/>
  <c r="AB133" i="48"/>
  <c r="W133" i="48"/>
  <c r="X133" i="48" s="1"/>
  <c r="S133" i="48"/>
  <c r="R133" i="48"/>
  <c r="J133" i="48"/>
  <c r="K133" i="48" s="1"/>
  <c r="M133" i="48" s="1"/>
  <c r="I133" i="48"/>
  <c r="F133" i="48"/>
  <c r="E133" i="48"/>
  <c r="AW132" i="48"/>
  <c r="AV132" i="48"/>
  <c r="AR132" i="48"/>
  <c r="AQ132" i="48"/>
  <c r="AM132" i="48"/>
  <c r="AL132" i="48"/>
  <c r="AH132" i="48"/>
  <c r="AG132" i="48"/>
  <c r="AC132" i="48"/>
  <c r="AB132" i="48"/>
  <c r="W132" i="48"/>
  <c r="X132" i="48" s="1"/>
  <c r="S132" i="48"/>
  <c r="R132" i="48"/>
  <c r="J132" i="48"/>
  <c r="K132" i="48" s="1"/>
  <c r="M132" i="48" s="1"/>
  <c r="I132" i="48"/>
  <c r="G132" i="48"/>
  <c r="F132" i="48"/>
  <c r="E132" i="48"/>
  <c r="AV131" i="48"/>
  <c r="AW131" i="48" s="1"/>
  <c r="AQ131" i="48"/>
  <c r="AR131" i="48" s="1"/>
  <c r="AL131" i="48"/>
  <c r="AM131" i="48" s="1"/>
  <c r="AH131" i="48"/>
  <c r="AG131" i="48"/>
  <c r="AB131" i="48"/>
  <c r="AC131" i="48" s="1"/>
  <c r="W131" i="48"/>
  <c r="X131" i="48" s="1"/>
  <c r="R131" i="48"/>
  <c r="S131" i="48" s="1"/>
  <c r="K131" i="48"/>
  <c r="M131" i="48" s="1"/>
  <c r="J131" i="48"/>
  <c r="I131" i="48"/>
  <c r="G131" i="48"/>
  <c r="F131" i="48"/>
  <c r="E131" i="48"/>
  <c r="AV130" i="48"/>
  <c r="AW130" i="48" s="1"/>
  <c r="AR130" i="48"/>
  <c r="AQ130" i="48"/>
  <c r="AM130" i="48"/>
  <c r="AL130" i="48"/>
  <c r="AH130" i="48"/>
  <c r="AG130" i="48"/>
  <c r="AB130" i="48"/>
  <c r="AC130" i="48" s="1"/>
  <c r="X130" i="48"/>
  <c r="W130" i="48"/>
  <c r="R130" i="48"/>
  <c r="S130" i="48" s="1"/>
  <c r="J130" i="48"/>
  <c r="K130" i="48" s="1"/>
  <c r="M130" i="48" s="1"/>
  <c r="I130" i="48"/>
  <c r="G130" i="48"/>
  <c r="F130" i="48"/>
  <c r="E130" i="48"/>
  <c r="AV129" i="48"/>
  <c r="AW129" i="48" s="1"/>
  <c r="AR129" i="48"/>
  <c r="AQ129" i="48"/>
  <c r="AL129" i="48"/>
  <c r="AM129" i="48" s="1"/>
  <c r="AG129" i="48"/>
  <c r="AH129" i="48" s="1"/>
  <c r="AC129" i="48"/>
  <c r="AB129" i="48"/>
  <c r="W129" i="48"/>
  <c r="X129" i="48" s="1"/>
  <c r="S129" i="48"/>
  <c r="R129" i="48"/>
  <c r="K129" i="48"/>
  <c r="M129" i="48" s="1"/>
  <c r="J129" i="48"/>
  <c r="I129" i="48"/>
  <c r="F129" i="48"/>
  <c r="E129" i="48"/>
  <c r="AW128" i="48"/>
  <c r="AV128" i="48"/>
  <c r="AR128" i="48"/>
  <c r="AQ128" i="48"/>
  <c r="AM128" i="48"/>
  <c r="AL128" i="48"/>
  <c r="AG128" i="48"/>
  <c r="AH128" i="48" s="1"/>
  <c r="AC128" i="48"/>
  <c r="AB128" i="48"/>
  <c r="W128" i="48"/>
  <c r="X128" i="48" s="1"/>
  <c r="S128" i="48"/>
  <c r="R128" i="48"/>
  <c r="M128" i="48"/>
  <c r="K128" i="48"/>
  <c r="J128" i="48"/>
  <c r="I128" i="48"/>
  <c r="F128" i="48"/>
  <c r="G128" i="48" s="1"/>
  <c r="E128" i="48"/>
  <c r="AV127" i="48"/>
  <c r="AW127" i="48" s="1"/>
  <c r="AQ127" i="48"/>
  <c r="AR127" i="48" s="1"/>
  <c r="AL127" i="48"/>
  <c r="AM127" i="48" s="1"/>
  <c r="AG127" i="48"/>
  <c r="AH127" i="48" s="1"/>
  <c r="AC127" i="48"/>
  <c r="AB127" i="48"/>
  <c r="W127" i="48"/>
  <c r="X127" i="48" s="1"/>
  <c r="R127" i="48"/>
  <c r="S127" i="48" s="1"/>
  <c r="J127" i="48"/>
  <c r="I127" i="48"/>
  <c r="K127" i="48" s="1"/>
  <c r="M127" i="48" s="1"/>
  <c r="F127" i="48"/>
  <c r="E127" i="48"/>
  <c r="AW126" i="48"/>
  <c r="AV126" i="48"/>
  <c r="AR126" i="48"/>
  <c r="AQ126" i="48"/>
  <c r="AM126" i="48"/>
  <c r="AL126" i="48"/>
  <c r="AH126" i="48"/>
  <c r="AG126" i="48"/>
  <c r="AC126" i="48"/>
  <c r="AB126" i="48"/>
  <c r="W126" i="48"/>
  <c r="X126" i="48" s="1"/>
  <c r="S126" i="48"/>
  <c r="R126" i="48"/>
  <c r="J126" i="48"/>
  <c r="I126" i="48"/>
  <c r="G126" i="48"/>
  <c r="F126" i="48"/>
  <c r="E126" i="48"/>
  <c r="AW125" i="48"/>
  <c r="AV125" i="48"/>
  <c r="AQ125" i="48"/>
  <c r="AR125" i="48" s="1"/>
  <c r="AM125" i="48"/>
  <c r="AL125" i="48"/>
  <c r="AG125" i="48"/>
  <c r="AH125" i="48" s="1"/>
  <c r="AB125" i="48"/>
  <c r="AC125" i="48" s="1"/>
  <c r="W125" i="48"/>
  <c r="X125" i="48" s="1"/>
  <c r="R125" i="48"/>
  <c r="S125" i="48" s="1"/>
  <c r="M125" i="48"/>
  <c r="J125" i="48"/>
  <c r="K125" i="48" s="1"/>
  <c r="I125" i="48"/>
  <c r="F125" i="48"/>
  <c r="G125" i="48" s="1"/>
  <c r="E125" i="48"/>
  <c r="AW124" i="48"/>
  <c r="AV124" i="48"/>
  <c r="AR124" i="48"/>
  <c r="AQ124" i="48"/>
  <c r="AL124" i="48"/>
  <c r="AM124" i="48" s="1"/>
  <c r="AH124" i="48"/>
  <c r="AG124" i="48"/>
  <c r="AC124" i="48"/>
  <c r="AB124" i="48"/>
  <c r="W124" i="48"/>
  <c r="X124" i="48" s="1"/>
  <c r="S124" i="48"/>
  <c r="R124" i="48"/>
  <c r="M124" i="48"/>
  <c r="K124" i="48"/>
  <c r="J124" i="48"/>
  <c r="I124" i="48"/>
  <c r="G124" i="48"/>
  <c r="F124" i="48"/>
  <c r="E124" i="48"/>
  <c r="AV123" i="48"/>
  <c r="AW123" i="48" s="1"/>
  <c r="AQ123" i="48"/>
  <c r="AR123" i="48" s="1"/>
  <c r="AL123" i="48"/>
  <c r="AM123" i="48" s="1"/>
  <c r="AG123" i="48"/>
  <c r="AH123" i="48" s="1"/>
  <c r="AC123" i="48"/>
  <c r="AB123" i="48"/>
  <c r="W123" i="48"/>
  <c r="X123" i="48" s="1"/>
  <c r="R123" i="48"/>
  <c r="S123" i="48" s="1"/>
  <c r="M123" i="48"/>
  <c r="K123" i="48"/>
  <c r="J123" i="48"/>
  <c r="I123" i="48"/>
  <c r="F123" i="48"/>
  <c r="E123" i="48"/>
  <c r="AX122" i="48"/>
  <c r="AV122" i="48"/>
  <c r="AW122" i="48" s="1"/>
  <c r="AR122" i="48"/>
  <c r="AQ122" i="48"/>
  <c r="AS122" i="48" s="1"/>
  <c r="AL122" i="48"/>
  <c r="AI122" i="48"/>
  <c r="AH122" i="48"/>
  <c r="AG122" i="48"/>
  <c r="AC122" i="48"/>
  <c r="AB122" i="48"/>
  <c r="AD122" i="48" s="1"/>
  <c r="W122" i="48"/>
  <c r="Y122" i="48" s="1"/>
  <c r="T122" i="48"/>
  <c r="R122" i="48"/>
  <c r="S122" i="48" s="1"/>
  <c r="J122" i="48"/>
  <c r="K122" i="48" s="1"/>
  <c r="L122" i="48" s="1"/>
  <c r="I122" i="48"/>
  <c r="F122" i="48"/>
  <c r="G122" i="48" s="1"/>
  <c r="E122" i="48"/>
  <c r="AW115" i="48"/>
  <c r="AV115" i="48"/>
  <c r="AR115" i="48"/>
  <c r="AQ115" i="48"/>
  <c r="AL115" i="48"/>
  <c r="AM115" i="48" s="1"/>
  <c r="AH115" i="48"/>
  <c r="AG115" i="48"/>
  <c r="AC115" i="48"/>
  <c r="AB115" i="48"/>
  <c r="X115" i="48"/>
  <c r="W115" i="48"/>
  <c r="S115" i="48"/>
  <c r="R115" i="48"/>
  <c r="M115" i="48"/>
  <c r="K115" i="48"/>
  <c r="J115" i="48"/>
  <c r="I115" i="48"/>
  <c r="G115" i="48"/>
  <c r="F115" i="48"/>
  <c r="E115" i="48"/>
  <c r="AV114" i="48"/>
  <c r="AW114" i="48" s="1"/>
  <c r="AR114" i="48"/>
  <c r="AQ114" i="48"/>
  <c r="AL114" i="48"/>
  <c r="AM114" i="48" s="1"/>
  <c r="AG114" i="48"/>
  <c r="AH114" i="48" s="1"/>
  <c r="AB114" i="48"/>
  <c r="AC114" i="48" s="1"/>
  <c r="W114" i="48"/>
  <c r="X114" i="48" s="1"/>
  <c r="R114" i="48"/>
  <c r="J114" i="48"/>
  <c r="I114" i="48"/>
  <c r="F114" i="48"/>
  <c r="E114" i="48"/>
  <c r="G114" i="48" s="1"/>
  <c r="AV113" i="48"/>
  <c r="AW113" i="48" s="1"/>
  <c r="AR113" i="48"/>
  <c r="AQ113" i="48"/>
  <c r="AM113" i="48"/>
  <c r="AL113" i="48"/>
  <c r="AH113" i="48"/>
  <c r="AG113" i="48"/>
  <c r="AC113" i="48"/>
  <c r="AB113" i="48"/>
  <c r="W113" i="48"/>
  <c r="X113" i="48" s="1"/>
  <c r="R113" i="48"/>
  <c r="J113" i="48"/>
  <c r="I113" i="48"/>
  <c r="F113" i="48"/>
  <c r="E113" i="48"/>
  <c r="G113" i="48" s="1"/>
  <c r="AW112" i="48"/>
  <c r="AV112" i="48"/>
  <c r="AQ112" i="48"/>
  <c r="AR112" i="48" s="1"/>
  <c r="AL112" i="48"/>
  <c r="AM112" i="48" s="1"/>
  <c r="AG112" i="48"/>
  <c r="AH112" i="48" s="1"/>
  <c r="AB112" i="48"/>
  <c r="AC112" i="48" s="1"/>
  <c r="W112" i="48"/>
  <c r="X112" i="48" s="1"/>
  <c r="R112" i="48"/>
  <c r="J112" i="48"/>
  <c r="I112" i="48"/>
  <c r="F112" i="48"/>
  <c r="E112" i="48"/>
  <c r="AW111" i="48"/>
  <c r="AV111" i="48"/>
  <c r="AR111" i="48"/>
  <c r="AQ111" i="48"/>
  <c r="AL111" i="48"/>
  <c r="AM111" i="48" s="1"/>
  <c r="AH111" i="48"/>
  <c r="AG111" i="48"/>
  <c r="AC111" i="48"/>
  <c r="AB111" i="48"/>
  <c r="W111" i="48"/>
  <c r="X111" i="48" s="1"/>
  <c r="S111" i="48"/>
  <c r="R111" i="48"/>
  <c r="M111" i="48"/>
  <c r="K111" i="48"/>
  <c r="J111" i="48"/>
  <c r="I111" i="48"/>
  <c r="G111" i="48"/>
  <c r="F111" i="48"/>
  <c r="AW110" i="48"/>
  <c r="AV110" i="48"/>
  <c r="AQ110" i="48"/>
  <c r="AR110" i="48" s="1"/>
  <c r="AM110" i="48"/>
  <c r="AL110" i="48"/>
  <c r="AH110" i="48"/>
  <c r="AG110" i="48"/>
  <c r="AB110" i="48"/>
  <c r="AC110" i="48" s="1"/>
  <c r="X110" i="48"/>
  <c r="W110" i="48"/>
  <c r="S110" i="48"/>
  <c r="R110" i="48"/>
  <c r="K110" i="48"/>
  <c r="M110" i="48" s="1"/>
  <c r="J110" i="48"/>
  <c r="I110" i="48"/>
  <c r="G110" i="48"/>
  <c r="F110" i="48"/>
  <c r="E110" i="48"/>
  <c r="AV109" i="48"/>
  <c r="AW109" i="48" s="1"/>
  <c r="AR109" i="48"/>
  <c r="AQ109" i="48"/>
  <c r="AL109" i="48"/>
  <c r="AM109" i="48" s="1"/>
  <c r="AG109" i="48"/>
  <c r="AH109" i="48" s="1"/>
  <c r="AB109" i="48"/>
  <c r="AC109" i="48" s="1"/>
  <c r="X109" i="48"/>
  <c r="W109" i="48"/>
  <c r="R109" i="48"/>
  <c r="S109" i="48" s="1"/>
  <c r="M109" i="48"/>
  <c r="K109" i="48"/>
  <c r="J109" i="48"/>
  <c r="I109" i="48"/>
  <c r="G109" i="48"/>
  <c r="F109" i="48"/>
  <c r="E109" i="48"/>
  <c r="AW108" i="48"/>
  <c r="AV108" i="48"/>
  <c r="AR108" i="48"/>
  <c r="AQ108" i="48"/>
  <c r="AL108" i="48"/>
  <c r="AM108" i="48" s="1"/>
  <c r="AH108" i="48"/>
  <c r="AG108" i="48"/>
  <c r="AB108" i="48"/>
  <c r="AC108" i="48" s="1"/>
  <c r="X108" i="48"/>
  <c r="W108" i="48"/>
  <c r="R108" i="48"/>
  <c r="J108" i="48"/>
  <c r="I108" i="48"/>
  <c r="G108" i="48"/>
  <c r="F108" i="48"/>
  <c r="E108" i="48"/>
  <c r="AV107" i="48"/>
  <c r="AQ107" i="48"/>
  <c r="AL107" i="48"/>
  <c r="AG107" i="48"/>
  <c r="AB107" i="48"/>
  <c r="X107" i="48"/>
  <c r="W107" i="48"/>
  <c r="R107" i="48"/>
  <c r="J107" i="48"/>
  <c r="I107" i="48"/>
  <c r="F107" i="48"/>
  <c r="E107" i="48"/>
  <c r="G107" i="48" s="1"/>
  <c r="AW106" i="48"/>
  <c r="AV106" i="48"/>
  <c r="AR106" i="48"/>
  <c r="AQ106" i="48"/>
  <c r="AL106" i="48"/>
  <c r="AM106" i="48" s="1"/>
  <c r="AG106" i="48"/>
  <c r="AH106" i="48" s="1"/>
  <c r="AB106" i="48"/>
  <c r="AC106" i="48" s="1"/>
  <c r="W106" i="48"/>
  <c r="X106" i="48" s="1"/>
  <c r="R106" i="48"/>
  <c r="S106" i="48" s="1"/>
  <c r="M106" i="48"/>
  <c r="K106" i="48"/>
  <c r="J106" i="48"/>
  <c r="I106" i="48"/>
  <c r="F106" i="48"/>
  <c r="E106" i="48"/>
  <c r="AW105" i="48"/>
  <c r="AV105" i="48"/>
  <c r="AQ105" i="48"/>
  <c r="AR105" i="48" s="1"/>
  <c r="AL105" i="48"/>
  <c r="AM105" i="48" s="1"/>
  <c r="AH105" i="48"/>
  <c r="AG105" i="48"/>
  <c r="AC105" i="48"/>
  <c r="AB105" i="48"/>
  <c r="W105" i="48"/>
  <c r="X105" i="48" s="1"/>
  <c r="S105" i="48"/>
  <c r="R105" i="48"/>
  <c r="K105" i="48"/>
  <c r="M105" i="48" s="1"/>
  <c r="J105" i="48"/>
  <c r="I105" i="48"/>
  <c r="G105" i="48"/>
  <c r="E105" i="48"/>
  <c r="AW104" i="48"/>
  <c r="AV104" i="48"/>
  <c r="AQ104" i="48"/>
  <c r="AR104" i="48" s="1"/>
  <c r="AM104" i="48"/>
  <c r="AL104" i="48"/>
  <c r="AG104" i="48"/>
  <c r="AH104" i="48" s="1"/>
  <c r="AB104" i="48"/>
  <c r="AC104" i="48" s="1"/>
  <c r="W104" i="48"/>
  <c r="X104" i="48" s="1"/>
  <c r="S104" i="48"/>
  <c r="R104" i="48"/>
  <c r="K104" i="48"/>
  <c r="M104" i="48" s="1"/>
  <c r="J104" i="48"/>
  <c r="I104" i="48"/>
  <c r="F104" i="48"/>
  <c r="G104" i="48" s="1"/>
  <c r="E104" i="48"/>
  <c r="AV103" i="48"/>
  <c r="AW103" i="48" s="1"/>
  <c r="AR103" i="48"/>
  <c r="AQ103" i="48"/>
  <c r="AL103" i="48"/>
  <c r="AM103" i="48" s="1"/>
  <c r="AG103" i="48"/>
  <c r="AH103" i="48" s="1"/>
  <c r="AB103" i="48"/>
  <c r="AC103" i="48" s="1"/>
  <c r="W103" i="48"/>
  <c r="X103" i="48" s="1"/>
  <c r="S103" i="48"/>
  <c r="R103" i="48"/>
  <c r="M103" i="48"/>
  <c r="K103" i="48"/>
  <c r="J103" i="48"/>
  <c r="I103" i="48"/>
  <c r="F103" i="48"/>
  <c r="G103" i="48" s="1"/>
  <c r="AV102" i="48"/>
  <c r="AW102" i="48" s="1"/>
  <c r="AR102" i="48"/>
  <c r="AQ102" i="48"/>
  <c r="AL102" i="48"/>
  <c r="AM102" i="48" s="1"/>
  <c r="AG102" i="48"/>
  <c r="AH102" i="48" s="1"/>
  <c r="AB102" i="48"/>
  <c r="AC102" i="48" s="1"/>
  <c r="W102" i="48"/>
  <c r="X102" i="48" s="1"/>
  <c r="R102" i="48"/>
  <c r="S102" i="48" s="1"/>
  <c r="K102" i="48"/>
  <c r="M102" i="48" s="1"/>
  <c r="J102" i="48"/>
  <c r="I102" i="48"/>
  <c r="F102" i="48"/>
  <c r="G102" i="48" s="1"/>
  <c r="E102" i="48"/>
  <c r="AW101" i="48"/>
  <c r="AV101" i="48"/>
  <c r="AR101" i="48"/>
  <c r="AQ101" i="48"/>
  <c r="AL101" i="48"/>
  <c r="AM101" i="48" s="1"/>
  <c r="AH101" i="48"/>
  <c r="AG101" i="48"/>
  <c r="AB101" i="48"/>
  <c r="AC101" i="48" s="1"/>
  <c r="X101" i="48"/>
  <c r="W101" i="48"/>
  <c r="R101" i="48"/>
  <c r="J101" i="48"/>
  <c r="I101" i="48"/>
  <c r="F101" i="48"/>
  <c r="G101" i="48" s="1"/>
  <c r="E101" i="48"/>
  <c r="AV100" i="48"/>
  <c r="AW100" i="48" s="1"/>
  <c r="AQ100" i="48"/>
  <c r="AR100" i="48" s="1"/>
  <c r="AL100" i="48"/>
  <c r="AM100" i="48" s="1"/>
  <c r="AG100" i="48"/>
  <c r="AH100" i="48" s="1"/>
  <c r="AC100" i="48"/>
  <c r="AB100" i="48"/>
  <c r="W100" i="48"/>
  <c r="X100" i="48" s="1"/>
  <c r="S100" i="48"/>
  <c r="R100" i="48"/>
  <c r="K100" i="48" s="1"/>
  <c r="M100" i="48" s="1"/>
  <c r="J100" i="48"/>
  <c r="I100" i="48"/>
  <c r="F100" i="48"/>
  <c r="E100" i="48"/>
  <c r="AV99" i="48"/>
  <c r="AX99" i="48" s="1"/>
  <c r="AS99" i="48"/>
  <c r="AR99" i="48"/>
  <c r="AQ99" i="48"/>
  <c r="AN99" i="48"/>
  <c r="AL99" i="48"/>
  <c r="AM99" i="48" s="1"/>
  <c r="AH99" i="48"/>
  <c r="AG99" i="48"/>
  <c r="AI99" i="48" s="1"/>
  <c r="AC99" i="48"/>
  <c r="AB99" i="48"/>
  <c r="AD99" i="48" s="1"/>
  <c r="Y99" i="48"/>
  <c r="X99" i="48"/>
  <c r="W99" i="48"/>
  <c r="T99" i="48"/>
  <c r="S99" i="48"/>
  <c r="R99" i="48"/>
  <c r="K99" i="48"/>
  <c r="J99" i="48"/>
  <c r="I99" i="48"/>
  <c r="G99" i="48"/>
  <c r="F99" i="48"/>
  <c r="AV91" i="48"/>
  <c r="AQ91" i="48"/>
  <c r="AL91" i="48"/>
  <c r="AG91" i="48"/>
  <c r="AB91" i="48"/>
  <c r="W91" i="48"/>
  <c r="R91" i="48"/>
  <c r="K91" i="48"/>
  <c r="J91" i="48"/>
  <c r="I91" i="48"/>
  <c r="G91" i="48"/>
  <c r="F91" i="48"/>
  <c r="E91" i="48"/>
  <c r="AV90" i="48"/>
  <c r="AQ90" i="48"/>
  <c r="AL90" i="48"/>
  <c r="AG90" i="48"/>
  <c r="AB90" i="48"/>
  <c r="W90" i="48"/>
  <c r="X90" i="48" s="1"/>
  <c r="R90" i="48"/>
  <c r="J90" i="48"/>
  <c r="I90" i="48"/>
  <c r="F90" i="48"/>
  <c r="G90" i="48" s="1"/>
  <c r="E90" i="48"/>
  <c r="AV89" i="48"/>
  <c r="AQ89" i="48"/>
  <c r="AL89" i="48"/>
  <c r="AG89" i="48"/>
  <c r="AB89" i="48"/>
  <c r="X89" i="48"/>
  <c r="W89" i="48"/>
  <c r="J89" i="48"/>
  <c r="I89" i="48"/>
  <c r="F89" i="48"/>
  <c r="G89" i="48" s="1"/>
  <c r="E89" i="48"/>
  <c r="AV88" i="48"/>
  <c r="AQ88" i="48"/>
  <c r="AL88" i="48"/>
  <c r="AG88" i="48"/>
  <c r="AB88" i="48"/>
  <c r="W88" i="48"/>
  <c r="K88" i="48"/>
  <c r="J88" i="48"/>
  <c r="I88" i="48"/>
  <c r="G88" i="48"/>
  <c r="F88" i="48"/>
  <c r="E88" i="48"/>
  <c r="AV87" i="48"/>
  <c r="AQ87" i="48"/>
  <c r="AL87" i="48"/>
  <c r="AG87" i="48"/>
  <c r="AB87" i="48"/>
  <c r="W87" i="48"/>
  <c r="K87" i="48"/>
  <c r="J87" i="48"/>
  <c r="I87" i="48"/>
  <c r="F87" i="48"/>
  <c r="G87" i="48" s="1"/>
  <c r="E87" i="48"/>
  <c r="AV86" i="48"/>
  <c r="AQ86" i="48"/>
  <c r="AL86" i="48"/>
  <c r="AG86" i="48"/>
  <c r="AB86" i="48"/>
  <c r="W86" i="48"/>
  <c r="J86" i="48"/>
  <c r="I86" i="48"/>
  <c r="F86" i="48"/>
  <c r="E86" i="48"/>
  <c r="G86" i="48" s="1"/>
  <c r="AV85" i="48"/>
  <c r="AQ85" i="48"/>
  <c r="AL85" i="48"/>
  <c r="AG85" i="48"/>
  <c r="AB85" i="48"/>
  <c r="W85" i="48"/>
  <c r="K85" i="48" s="1"/>
  <c r="J85" i="48"/>
  <c r="I85" i="48"/>
  <c r="G85" i="48"/>
  <c r="F85" i="48"/>
  <c r="E85" i="48"/>
  <c r="AV84" i="48"/>
  <c r="AQ84" i="48"/>
  <c r="AL84" i="48"/>
  <c r="AG84" i="48"/>
  <c r="AB84" i="48"/>
  <c r="AC84" i="48" s="1"/>
  <c r="W84" i="48"/>
  <c r="J84" i="48"/>
  <c r="I84" i="48"/>
  <c r="F84" i="48"/>
  <c r="G84" i="48" s="1"/>
  <c r="E84" i="48"/>
  <c r="AV83" i="48"/>
  <c r="AQ83" i="48"/>
  <c r="AR88" i="48" s="1"/>
  <c r="AL83" i="48"/>
  <c r="AG83" i="48"/>
  <c r="AB83" i="48"/>
  <c r="W83" i="48"/>
  <c r="R83" i="48"/>
  <c r="J83" i="48"/>
  <c r="I83" i="48"/>
  <c r="G83" i="48"/>
  <c r="F83" i="48"/>
  <c r="E83" i="48"/>
  <c r="AV82" i="48"/>
  <c r="AQ82" i="48"/>
  <c r="AL82" i="48"/>
  <c r="AG82" i="48"/>
  <c r="AB82" i="48"/>
  <c r="X82" i="48"/>
  <c r="W82" i="48"/>
  <c r="R82" i="48"/>
  <c r="J82" i="48"/>
  <c r="I82" i="48"/>
  <c r="G82" i="48"/>
  <c r="F82" i="48"/>
  <c r="E82" i="48"/>
  <c r="AV81" i="48"/>
  <c r="AQ81" i="48"/>
  <c r="AL81" i="48"/>
  <c r="AG81" i="48"/>
  <c r="AB81" i="48"/>
  <c r="W81" i="48"/>
  <c r="X84" i="48" s="1"/>
  <c r="R81" i="48"/>
  <c r="S80" i="48" s="1"/>
  <c r="J81" i="48"/>
  <c r="I81" i="48"/>
  <c r="F81" i="48"/>
  <c r="G81" i="48" s="1"/>
  <c r="E81" i="48"/>
  <c r="AV80" i="48"/>
  <c r="AQ80" i="48"/>
  <c r="AL80" i="48"/>
  <c r="AG80" i="48"/>
  <c r="AB80" i="48"/>
  <c r="W80" i="48"/>
  <c r="X86" i="48" s="1"/>
  <c r="R80" i="48"/>
  <c r="J80" i="48"/>
  <c r="I80" i="48"/>
  <c r="F80" i="48"/>
  <c r="G80" i="48" s="1"/>
  <c r="E80" i="48"/>
  <c r="AV79" i="48"/>
  <c r="AW79" i="48" s="1"/>
  <c r="AQ79" i="48"/>
  <c r="AL79" i="48"/>
  <c r="AG79" i="48"/>
  <c r="AB79" i="48"/>
  <c r="W79" i="48"/>
  <c r="R79" i="48"/>
  <c r="K79" i="48"/>
  <c r="J79" i="48"/>
  <c r="I79" i="48"/>
  <c r="G79" i="48"/>
  <c r="F79" i="48"/>
  <c r="E79" i="48"/>
  <c r="AV78" i="48"/>
  <c r="AQ78" i="48"/>
  <c r="AL78" i="48"/>
  <c r="AM82" i="48" s="1"/>
  <c r="AG78" i="48"/>
  <c r="AB78" i="48"/>
  <c r="W78" i="48"/>
  <c r="R78" i="48"/>
  <c r="S79" i="48" s="1"/>
  <c r="J78" i="48"/>
  <c r="I78" i="48"/>
  <c r="F78" i="48"/>
  <c r="E78" i="48"/>
  <c r="G78" i="48" s="1"/>
  <c r="AV77" i="48"/>
  <c r="AW83" i="48" s="1"/>
  <c r="AQ77" i="48"/>
  <c r="AL77" i="48"/>
  <c r="AG77" i="48"/>
  <c r="AB77" i="48"/>
  <c r="W77" i="48"/>
  <c r="R77" i="48"/>
  <c r="J77" i="48"/>
  <c r="I77" i="48"/>
  <c r="F77" i="48"/>
  <c r="E77" i="48"/>
  <c r="G77" i="48" s="1"/>
  <c r="AV76" i="48"/>
  <c r="AQ76" i="48"/>
  <c r="AL76" i="48"/>
  <c r="AG76" i="48"/>
  <c r="AB76" i="48"/>
  <c r="AC78" i="48" s="1"/>
  <c r="W76" i="48"/>
  <c r="R76" i="48"/>
  <c r="J76" i="48"/>
  <c r="I76" i="48"/>
  <c r="F76" i="48"/>
  <c r="G76" i="48" s="1"/>
  <c r="E76" i="48"/>
  <c r="AV69" i="48"/>
  <c r="AQ69" i="48"/>
  <c r="AL69" i="48"/>
  <c r="AG69" i="48"/>
  <c r="AC69" i="48"/>
  <c r="AB69" i="48"/>
  <c r="W69" i="48"/>
  <c r="R69" i="48"/>
  <c r="K69" i="48" s="1"/>
  <c r="J69" i="48"/>
  <c r="I69" i="48"/>
  <c r="F69" i="48"/>
  <c r="E69" i="48"/>
  <c r="G69" i="48" s="1"/>
  <c r="AV68" i="48"/>
  <c r="AQ68" i="48"/>
  <c r="AL68" i="48"/>
  <c r="AG68" i="48"/>
  <c r="AB68" i="48"/>
  <c r="W68" i="48"/>
  <c r="R68" i="48"/>
  <c r="K68" i="48" s="1"/>
  <c r="J68" i="48"/>
  <c r="I68" i="48"/>
  <c r="G68" i="48"/>
  <c r="F68" i="48"/>
  <c r="E68" i="48"/>
  <c r="AQ67" i="48"/>
  <c r="AL67" i="48"/>
  <c r="AG67" i="48"/>
  <c r="AB67" i="48"/>
  <c r="W67" i="48"/>
  <c r="R67" i="48"/>
  <c r="J67" i="48"/>
  <c r="I67" i="48"/>
  <c r="G67" i="48"/>
  <c r="F67" i="48"/>
  <c r="E67" i="48"/>
  <c r="AV66" i="48"/>
  <c r="AW66" i="48" s="1"/>
  <c r="AQ66" i="48"/>
  <c r="AL66" i="48"/>
  <c r="AG66" i="48"/>
  <c r="AB66" i="48"/>
  <c r="X66" i="48"/>
  <c r="W66" i="48"/>
  <c r="R66" i="48"/>
  <c r="J66" i="48"/>
  <c r="I66" i="48"/>
  <c r="F66" i="48"/>
  <c r="G66" i="48" s="1"/>
  <c r="E66" i="48"/>
  <c r="AV65" i="48"/>
  <c r="AW65" i="48" s="1"/>
  <c r="AQ65" i="48"/>
  <c r="AL65" i="48"/>
  <c r="AM65" i="48" s="1"/>
  <c r="AG65" i="48"/>
  <c r="AB65" i="48"/>
  <c r="W65" i="48"/>
  <c r="X65" i="48" s="1"/>
  <c r="R65" i="48"/>
  <c r="J65" i="48"/>
  <c r="I65" i="48"/>
  <c r="F65" i="48"/>
  <c r="E65" i="48"/>
  <c r="G65" i="48" s="1"/>
  <c r="AV64" i="48"/>
  <c r="AQ64" i="48"/>
  <c r="AL64" i="48"/>
  <c r="AG64" i="48"/>
  <c r="AB64" i="48"/>
  <c r="W64" i="48"/>
  <c r="R64" i="48"/>
  <c r="J64" i="48"/>
  <c r="I64" i="48"/>
  <c r="G64" i="48"/>
  <c r="F64" i="48"/>
  <c r="E64" i="48"/>
  <c r="AV63" i="48"/>
  <c r="AQ63" i="48"/>
  <c r="AL63" i="48"/>
  <c r="AG63" i="48"/>
  <c r="AB63" i="48"/>
  <c r="X63" i="48"/>
  <c r="W63" i="48"/>
  <c r="R63" i="48"/>
  <c r="K63" i="48" s="1"/>
  <c r="J63" i="48"/>
  <c r="I63" i="48"/>
  <c r="G63" i="48"/>
  <c r="F63" i="48"/>
  <c r="E63" i="48"/>
  <c r="AV62" i="48"/>
  <c r="AQ62" i="48"/>
  <c r="AL62" i="48"/>
  <c r="AG62" i="48"/>
  <c r="AB62" i="48"/>
  <c r="W62" i="48"/>
  <c r="R62" i="48"/>
  <c r="J62" i="48"/>
  <c r="I62" i="48"/>
  <c r="F62" i="48"/>
  <c r="G62" i="48" s="1"/>
  <c r="E62" i="48"/>
  <c r="AV61" i="48"/>
  <c r="AQ61" i="48"/>
  <c r="AL61" i="48"/>
  <c r="AG61" i="48"/>
  <c r="AB61" i="48"/>
  <c r="W61" i="48"/>
  <c r="X61" i="48" s="1"/>
  <c r="R61" i="48"/>
  <c r="K61" i="48" s="1"/>
  <c r="J61" i="48"/>
  <c r="I61" i="48"/>
  <c r="F61" i="48"/>
  <c r="E61" i="48"/>
  <c r="G61" i="48" s="1"/>
  <c r="AV60" i="48"/>
  <c r="AQ60" i="48"/>
  <c r="AL60" i="48"/>
  <c r="AG60" i="48"/>
  <c r="AB60" i="48"/>
  <c r="W60" i="48"/>
  <c r="R60" i="48"/>
  <c r="S61" i="48" s="1"/>
  <c r="J60" i="48"/>
  <c r="I60" i="48"/>
  <c r="F60" i="48"/>
  <c r="G60" i="48" s="1"/>
  <c r="E60" i="48"/>
  <c r="AV59" i="48"/>
  <c r="AR59" i="48"/>
  <c r="AQ59" i="48"/>
  <c r="AL59" i="48"/>
  <c r="AM59" i="48" s="1"/>
  <c r="AG59" i="48"/>
  <c r="AB59" i="48"/>
  <c r="W59" i="48"/>
  <c r="X59" i="48" s="1"/>
  <c r="R59" i="48"/>
  <c r="J59" i="48"/>
  <c r="I59" i="48"/>
  <c r="F59" i="48"/>
  <c r="G59" i="48" s="1"/>
  <c r="E59" i="48"/>
  <c r="AV58" i="48"/>
  <c r="AQ58" i="48"/>
  <c r="AR53" i="48" s="1"/>
  <c r="AL58" i="48"/>
  <c r="AG58" i="48"/>
  <c r="AB58" i="48"/>
  <c r="AC58" i="48" s="1"/>
  <c r="W58" i="48"/>
  <c r="R58" i="48"/>
  <c r="J58" i="48"/>
  <c r="I58" i="48"/>
  <c r="F58" i="48"/>
  <c r="G58" i="48" s="1"/>
  <c r="E58" i="48"/>
  <c r="AV57" i="48"/>
  <c r="AQ57" i="48"/>
  <c r="AL57" i="48"/>
  <c r="AM57" i="48" s="1"/>
  <c r="AG57" i="48"/>
  <c r="AC57" i="48"/>
  <c r="AB57" i="48"/>
  <c r="W57" i="48"/>
  <c r="K57" i="48" s="1"/>
  <c r="R57" i="48"/>
  <c r="J57" i="48"/>
  <c r="I57" i="48"/>
  <c r="F57" i="48"/>
  <c r="E57" i="48"/>
  <c r="G57" i="48" s="1"/>
  <c r="AV56" i="48"/>
  <c r="AQ56" i="48"/>
  <c r="AL56" i="48"/>
  <c r="AG56" i="48"/>
  <c r="AB56" i="48"/>
  <c r="W56" i="48"/>
  <c r="R56" i="48"/>
  <c r="J56" i="48"/>
  <c r="I56" i="48"/>
  <c r="F56" i="48"/>
  <c r="E56" i="48"/>
  <c r="G56" i="48" s="1"/>
  <c r="AV55" i="48"/>
  <c r="AR55" i="48"/>
  <c r="AQ55" i="48"/>
  <c r="AL55" i="48"/>
  <c r="AG55" i="48"/>
  <c r="AH67" i="48" s="1"/>
  <c r="AB55" i="48"/>
  <c r="W55" i="48"/>
  <c r="R55" i="48"/>
  <c r="J55" i="48"/>
  <c r="I55" i="48"/>
  <c r="F55" i="48"/>
  <c r="G55" i="48" s="1"/>
  <c r="E55" i="48"/>
  <c r="AV54" i="48"/>
  <c r="AQ54" i="48"/>
  <c r="AL54" i="48"/>
  <c r="AM54" i="48" s="1"/>
  <c r="AG54" i="48"/>
  <c r="AH68" i="48" s="1"/>
  <c r="AB54" i="48"/>
  <c r="X54" i="48"/>
  <c r="W54" i="48"/>
  <c r="R54" i="48"/>
  <c r="J54" i="48"/>
  <c r="I54" i="48"/>
  <c r="F54" i="48"/>
  <c r="E54" i="48"/>
  <c r="AV53" i="48"/>
  <c r="AS53" i="48"/>
  <c r="AQ53" i="48"/>
  <c r="AL53" i="48"/>
  <c r="AM61" i="48" s="1"/>
  <c r="AG53" i="48"/>
  <c r="AD53" i="48"/>
  <c r="AB53" i="48"/>
  <c r="X53" i="48"/>
  <c r="W53" i="48"/>
  <c r="R53" i="48"/>
  <c r="J53" i="48"/>
  <c r="I53" i="48"/>
  <c r="F53" i="48"/>
  <c r="E53" i="48"/>
  <c r="AV46" i="48"/>
  <c r="AQ46" i="48"/>
  <c r="AL46" i="48"/>
  <c r="AM46" i="48" s="1"/>
  <c r="AG46" i="48"/>
  <c r="AB46" i="48"/>
  <c r="W46" i="48"/>
  <c r="R46" i="48"/>
  <c r="K46" i="48"/>
  <c r="J46" i="48"/>
  <c r="I46" i="48"/>
  <c r="G46" i="48"/>
  <c r="F46" i="48"/>
  <c r="E46" i="48"/>
  <c r="AV45" i="48"/>
  <c r="AQ45" i="48"/>
  <c r="AR45" i="48" s="1"/>
  <c r="AL45" i="48"/>
  <c r="AG45" i="48"/>
  <c r="AH45" i="48" s="1"/>
  <c r="AB45" i="48"/>
  <c r="W45" i="48"/>
  <c r="R45" i="48"/>
  <c r="K45" i="48"/>
  <c r="J45" i="48"/>
  <c r="I45" i="48"/>
  <c r="F45" i="48"/>
  <c r="E45" i="48"/>
  <c r="G45" i="48" s="1"/>
  <c r="AV44" i="48"/>
  <c r="AQ44" i="48"/>
  <c r="AL44" i="48"/>
  <c r="AG44" i="48"/>
  <c r="AB44" i="48"/>
  <c r="W44" i="48"/>
  <c r="R44" i="48"/>
  <c r="J44" i="48"/>
  <c r="I44" i="48"/>
  <c r="K44" i="48" s="1"/>
  <c r="G44" i="48"/>
  <c r="F44" i="48"/>
  <c r="E44" i="48"/>
  <c r="AV43" i="48"/>
  <c r="AW43" i="48" s="1"/>
  <c r="AQ43" i="48"/>
  <c r="AL43" i="48"/>
  <c r="AG43" i="48"/>
  <c r="AB43" i="48"/>
  <c r="AC43" i="48" s="1"/>
  <c r="W43" i="48"/>
  <c r="S43" i="48"/>
  <c r="R43" i="48"/>
  <c r="K43" i="48"/>
  <c r="J43" i="48"/>
  <c r="I43" i="48"/>
  <c r="G43" i="48"/>
  <c r="F43" i="48"/>
  <c r="E43" i="48"/>
  <c r="AV42" i="48"/>
  <c r="AQ42" i="48"/>
  <c r="AL42" i="48"/>
  <c r="AG42" i="48"/>
  <c r="AB42" i="48"/>
  <c r="W42" i="48"/>
  <c r="X42" i="48" s="1"/>
  <c r="R42" i="48"/>
  <c r="S42" i="48" s="1"/>
  <c r="J42" i="48"/>
  <c r="I42" i="48"/>
  <c r="K42" i="48" s="1"/>
  <c r="G42" i="48"/>
  <c r="F42" i="48"/>
  <c r="E42" i="48"/>
  <c r="AV41" i="48"/>
  <c r="AQ41" i="48"/>
  <c r="AS30" i="48" s="1"/>
  <c r="AL41" i="48"/>
  <c r="AG41" i="48"/>
  <c r="AB41" i="48"/>
  <c r="W41" i="48"/>
  <c r="R41" i="48"/>
  <c r="J41" i="48"/>
  <c r="K41" i="48" s="1"/>
  <c r="I41" i="48"/>
  <c r="F41" i="48"/>
  <c r="G41" i="48" s="1"/>
  <c r="E41" i="48"/>
  <c r="AV40" i="48"/>
  <c r="AQ40" i="48"/>
  <c r="AL40" i="48"/>
  <c r="AH40" i="48"/>
  <c r="AG40" i="48"/>
  <c r="AB40" i="48"/>
  <c r="W40" i="48"/>
  <c r="Y30" i="48" s="1"/>
  <c r="R40" i="48"/>
  <c r="K40" i="48"/>
  <c r="J40" i="48"/>
  <c r="I40" i="48"/>
  <c r="G40" i="48"/>
  <c r="F40" i="48"/>
  <c r="E40" i="48"/>
  <c r="AW39" i="48"/>
  <c r="AV39" i="48"/>
  <c r="AQ39" i="48"/>
  <c r="AL39" i="48"/>
  <c r="AG39" i="48"/>
  <c r="AB39" i="48"/>
  <c r="W39" i="48"/>
  <c r="R39" i="48"/>
  <c r="S41" i="48" s="1"/>
  <c r="K39" i="48"/>
  <c r="J39" i="48"/>
  <c r="I39" i="48"/>
  <c r="F39" i="48"/>
  <c r="E39" i="48"/>
  <c r="G39" i="48" s="1"/>
  <c r="AV38" i="48"/>
  <c r="AW38" i="48" s="1"/>
  <c r="AQ38" i="48"/>
  <c r="AL38" i="48"/>
  <c r="AM42" i="48" s="1"/>
  <c r="AG38" i="48"/>
  <c r="AB38" i="48"/>
  <c r="W38" i="48"/>
  <c r="R38" i="48"/>
  <c r="J38" i="48"/>
  <c r="K38" i="48" s="1"/>
  <c r="I38" i="48"/>
  <c r="G38" i="48"/>
  <c r="F38" i="48"/>
  <c r="E38" i="48"/>
  <c r="AW37" i="48"/>
  <c r="AV37" i="48"/>
  <c r="AQ37" i="48"/>
  <c r="AR37" i="48" s="1"/>
  <c r="AL37" i="48"/>
  <c r="AG37" i="48"/>
  <c r="AH37" i="48" s="1"/>
  <c r="AB37" i="48"/>
  <c r="W37" i="48"/>
  <c r="R37" i="48"/>
  <c r="J37" i="48"/>
  <c r="K37" i="48" s="1"/>
  <c r="I37" i="48"/>
  <c r="F37" i="48"/>
  <c r="G37" i="48" s="1"/>
  <c r="E37" i="48"/>
  <c r="AV36" i="48"/>
  <c r="AQ36" i="48"/>
  <c r="AL36" i="48"/>
  <c r="AG36" i="48"/>
  <c r="AH41" i="48" s="1"/>
  <c r="AB36" i="48"/>
  <c r="W36" i="48"/>
  <c r="X36" i="48" s="1"/>
  <c r="R36" i="48"/>
  <c r="J36" i="48"/>
  <c r="I36" i="48"/>
  <c r="K36" i="48" s="1"/>
  <c r="F36" i="48"/>
  <c r="G36" i="48" s="1"/>
  <c r="E36" i="48"/>
  <c r="AV35" i="48"/>
  <c r="AW34" i="48" s="1"/>
  <c r="AQ35" i="48"/>
  <c r="AL35" i="48"/>
  <c r="AG35" i="48"/>
  <c r="AB35" i="48"/>
  <c r="AC35" i="48" s="1"/>
  <c r="W35" i="48"/>
  <c r="R35" i="48"/>
  <c r="K35" i="48"/>
  <c r="J35" i="48"/>
  <c r="I35" i="48"/>
  <c r="G35" i="48"/>
  <c r="F35" i="48"/>
  <c r="E35" i="48"/>
  <c r="AV34" i="48"/>
  <c r="AQ34" i="48"/>
  <c r="AR30" i="48" s="1"/>
  <c r="AL34" i="48"/>
  <c r="AG34" i="48"/>
  <c r="AB34" i="48"/>
  <c r="W34" i="48"/>
  <c r="R34" i="48"/>
  <c r="S46" i="48" s="1"/>
  <c r="J34" i="48"/>
  <c r="K34" i="48" s="1"/>
  <c r="I34" i="48"/>
  <c r="G34" i="48"/>
  <c r="F34" i="48"/>
  <c r="E34" i="48"/>
  <c r="AV33" i="48"/>
  <c r="AQ33" i="48"/>
  <c r="AR33" i="48" s="1"/>
  <c r="AL33" i="48"/>
  <c r="AG33" i="48"/>
  <c r="AH33" i="48" s="1"/>
  <c r="AB33" i="48"/>
  <c r="W33" i="48"/>
  <c r="R33" i="48"/>
  <c r="J33" i="48"/>
  <c r="K33" i="48" s="1"/>
  <c r="M33" i="48" s="1"/>
  <c r="I33" i="48"/>
  <c r="G33" i="48"/>
  <c r="F33" i="48"/>
  <c r="E33" i="48"/>
  <c r="AV32" i="48"/>
  <c r="AQ32" i="48"/>
  <c r="AL32" i="48"/>
  <c r="AM34" i="48" s="1"/>
  <c r="AG32" i="48"/>
  <c r="AH39" i="48" s="1"/>
  <c r="AB32" i="48"/>
  <c r="AC32" i="48" s="1"/>
  <c r="W32" i="48"/>
  <c r="X32" i="48" s="1"/>
  <c r="R32" i="48"/>
  <c r="K32" i="48"/>
  <c r="J32" i="48"/>
  <c r="I32" i="48"/>
  <c r="F32" i="48"/>
  <c r="E32" i="48"/>
  <c r="G32" i="48" s="1"/>
  <c r="AV31" i="48"/>
  <c r="AX30" i="48" s="1"/>
  <c r="AR31" i="48"/>
  <c r="AQ31" i="48"/>
  <c r="AL31" i="48"/>
  <c r="AG31" i="48"/>
  <c r="AB31" i="48"/>
  <c r="AC31" i="48" s="1"/>
  <c r="W31" i="48"/>
  <c r="R31" i="48"/>
  <c r="S37" i="48" s="1"/>
  <c r="K31" i="48"/>
  <c r="J31" i="48"/>
  <c r="I31" i="48"/>
  <c r="F31" i="48"/>
  <c r="E31" i="48"/>
  <c r="G31" i="48" s="1"/>
  <c r="AV30" i="48"/>
  <c r="AW41" i="48" s="1"/>
  <c r="AQ30" i="48"/>
  <c r="AR35" i="48" s="1"/>
  <c r="AL30" i="48"/>
  <c r="AG30" i="48"/>
  <c r="AB30" i="48"/>
  <c r="AC37" i="48" s="1"/>
  <c r="W30" i="48"/>
  <c r="R30" i="48"/>
  <c r="J30" i="48"/>
  <c r="K30" i="48" s="1"/>
  <c r="I30" i="48"/>
  <c r="F30" i="48"/>
  <c r="G30" i="48" s="1"/>
  <c r="E30" i="48"/>
  <c r="U25" i="48"/>
  <c r="Z25" i="48" s="1"/>
  <c r="AE25" i="48" s="1"/>
  <c r="P25" i="48"/>
  <c r="AV23" i="48"/>
  <c r="AQ23" i="48"/>
  <c r="AL23" i="48"/>
  <c r="AH23" i="48"/>
  <c r="AG23" i="48"/>
  <c r="AC23" i="48"/>
  <c r="AB23" i="48"/>
  <c r="X23" i="48"/>
  <c r="W23" i="48"/>
  <c r="S23" i="48"/>
  <c r="R23" i="48"/>
  <c r="K23" i="48"/>
  <c r="J23" i="48"/>
  <c r="I23" i="48"/>
  <c r="F23" i="48"/>
  <c r="E23" i="48"/>
  <c r="G23" i="48" s="1"/>
  <c r="AV22" i="48"/>
  <c r="AQ22" i="48"/>
  <c r="AR22" i="48" s="1"/>
  <c r="AL22" i="48"/>
  <c r="AM22" i="48" s="1"/>
  <c r="AH22" i="48"/>
  <c r="AG22" i="48"/>
  <c r="AC22" i="48"/>
  <c r="AB22" i="48"/>
  <c r="W22" i="48"/>
  <c r="X22" i="48" s="1"/>
  <c r="R22" i="48"/>
  <c r="S22" i="48" s="1"/>
  <c r="J22" i="48"/>
  <c r="K22" i="48" s="1"/>
  <c r="I22" i="48"/>
  <c r="F22" i="48"/>
  <c r="G22" i="48" s="1"/>
  <c r="E22" i="48"/>
  <c r="AV21" i="48"/>
  <c r="AQ21" i="48"/>
  <c r="AL21" i="48"/>
  <c r="AM21" i="48" s="1"/>
  <c r="AH21" i="48"/>
  <c r="AG21" i="48"/>
  <c r="AB21" i="48"/>
  <c r="AC21" i="48" s="1"/>
  <c r="W21" i="48"/>
  <c r="X21" i="48" s="1"/>
  <c r="S21" i="48"/>
  <c r="R21" i="48"/>
  <c r="J21" i="48"/>
  <c r="I21" i="48"/>
  <c r="F21" i="48"/>
  <c r="G21" i="48" s="1"/>
  <c r="E21" i="48"/>
  <c r="AV20" i="48"/>
  <c r="AW20" i="48" s="1"/>
  <c r="AQ20" i="48"/>
  <c r="AL20" i="48"/>
  <c r="AG20" i="48"/>
  <c r="AH20" i="48" s="1"/>
  <c r="AC20" i="48"/>
  <c r="AB20" i="48"/>
  <c r="W20" i="48"/>
  <c r="X20" i="48" s="1"/>
  <c r="S20" i="48"/>
  <c r="R20" i="48"/>
  <c r="J20" i="48"/>
  <c r="I20" i="48"/>
  <c r="K20" i="48" s="1"/>
  <c r="F20" i="48"/>
  <c r="G20" i="48" s="1"/>
  <c r="E20" i="48"/>
  <c r="AV19" i="48"/>
  <c r="AW19" i="48" s="1"/>
  <c r="AQ19" i="48"/>
  <c r="AL19" i="48"/>
  <c r="AM19" i="48" s="1"/>
  <c r="AH19" i="48"/>
  <c r="AG19" i="48"/>
  <c r="AC19" i="48"/>
  <c r="AB19" i="48"/>
  <c r="X19" i="48"/>
  <c r="W19" i="48"/>
  <c r="R19" i="48"/>
  <c r="S19" i="48" s="1"/>
  <c r="J19" i="48"/>
  <c r="K19" i="48" s="1"/>
  <c r="I19" i="48"/>
  <c r="F19" i="48"/>
  <c r="E19" i="48"/>
  <c r="G19" i="48" s="1"/>
  <c r="AV18" i="48"/>
  <c r="AQ18" i="48"/>
  <c r="AL18" i="48"/>
  <c r="AH18" i="48"/>
  <c r="AG18" i="48"/>
  <c r="AC18" i="48"/>
  <c r="AB18" i="48"/>
  <c r="W18" i="48"/>
  <c r="X18" i="48" s="1"/>
  <c r="R18" i="48"/>
  <c r="S18" i="48" s="1"/>
  <c r="J18" i="48"/>
  <c r="I18" i="48"/>
  <c r="K18" i="48" s="1"/>
  <c r="F18" i="48"/>
  <c r="E18" i="48"/>
  <c r="G18" i="48" s="1"/>
  <c r="AV17" i="48"/>
  <c r="AQ17" i="48"/>
  <c r="AL17" i="48"/>
  <c r="AG17" i="48"/>
  <c r="AH17" i="48" s="1"/>
  <c r="AB17" i="48"/>
  <c r="AC17" i="48" s="1"/>
  <c r="X17" i="48"/>
  <c r="W17" i="48"/>
  <c r="S17" i="48"/>
  <c r="R17" i="48"/>
  <c r="J17" i="48"/>
  <c r="I17" i="48"/>
  <c r="AV16" i="48"/>
  <c r="AW16" i="48" s="1"/>
  <c r="AQ16" i="48"/>
  <c r="AL16" i="48"/>
  <c r="AH16" i="48"/>
  <c r="AG16" i="48"/>
  <c r="AC16" i="48"/>
  <c r="AB16" i="48"/>
  <c r="W16" i="48"/>
  <c r="X16" i="48" s="1"/>
  <c r="R16" i="48"/>
  <c r="S16" i="48" s="1"/>
  <c r="J16" i="48"/>
  <c r="K16" i="48" s="1"/>
  <c r="I16" i="48"/>
  <c r="F16" i="48"/>
  <c r="E16" i="48"/>
  <c r="G16" i="48" s="1"/>
  <c r="AG15" i="48"/>
  <c r="AH15" i="48" s="1"/>
  <c r="AB15" i="48"/>
  <c r="AC15" i="48" s="1"/>
  <c r="X15" i="48"/>
  <c r="W15" i="48"/>
  <c r="R15" i="48"/>
  <c r="S15" i="48" s="1"/>
  <c r="G15" i="48"/>
  <c r="F15" i="48"/>
  <c r="E15" i="48"/>
  <c r="AV14" i="48"/>
  <c r="AQ14" i="48"/>
  <c r="AL14" i="48"/>
  <c r="AM16" i="48" s="1"/>
  <c r="AG14" i="48"/>
  <c r="AH14" i="48" s="1"/>
  <c r="AC14" i="48"/>
  <c r="AB14" i="48"/>
  <c r="X14" i="48"/>
  <c r="W14" i="48"/>
  <c r="S14" i="48"/>
  <c r="R14" i="48"/>
  <c r="J14" i="48"/>
  <c r="K14" i="48" s="1"/>
  <c r="I14" i="48"/>
  <c r="F14" i="48"/>
  <c r="G14" i="48" s="1"/>
  <c r="E14" i="48"/>
  <c r="AV13" i="48"/>
  <c r="AQ13" i="48"/>
  <c r="AL13" i="48"/>
  <c r="AH13" i="48"/>
  <c r="AG13" i="48"/>
  <c r="AB13" i="48"/>
  <c r="AC13" i="48" s="1"/>
  <c r="X13" i="48"/>
  <c r="W13" i="48"/>
  <c r="S13" i="48"/>
  <c r="R13" i="48"/>
  <c r="J13" i="48"/>
  <c r="I13" i="48"/>
  <c r="K13" i="48" s="1"/>
  <c r="F13" i="48"/>
  <c r="G13" i="48" s="1"/>
  <c r="E13" i="48"/>
  <c r="AV12" i="48"/>
  <c r="AW12" i="48" s="1"/>
  <c r="AQ12" i="48"/>
  <c r="AL12" i="48"/>
  <c r="AH12" i="48"/>
  <c r="AG12" i="48"/>
  <c r="AC12" i="48"/>
  <c r="AB12" i="48"/>
  <c r="W12" i="48"/>
  <c r="X12" i="48" s="1"/>
  <c r="R12" i="48"/>
  <c r="S12" i="48" s="1"/>
  <c r="K12" i="48"/>
  <c r="J12" i="48"/>
  <c r="I12" i="48"/>
  <c r="F12" i="48"/>
  <c r="E12" i="48"/>
  <c r="G12" i="48" s="1"/>
  <c r="AV11" i="48"/>
  <c r="AR11" i="48"/>
  <c r="AQ11" i="48"/>
  <c r="AL11" i="48"/>
  <c r="AM11" i="48" s="1"/>
  <c r="AH11" i="48"/>
  <c r="AG11" i="48"/>
  <c r="AB11" i="48"/>
  <c r="AC11" i="48" s="1"/>
  <c r="W11" i="48"/>
  <c r="X11" i="48" s="1"/>
  <c r="R11" i="48"/>
  <c r="S11" i="48" s="1"/>
  <c r="J11" i="48"/>
  <c r="K11" i="48" s="1"/>
  <c r="I11" i="48"/>
  <c r="G11" i="48"/>
  <c r="F11" i="48"/>
  <c r="E11" i="48"/>
  <c r="AV10" i="48"/>
  <c r="AQ10" i="48"/>
  <c r="AL10" i="48"/>
  <c r="AM18" i="48" s="1"/>
  <c r="AG10" i="48"/>
  <c r="AH10" i="48" s="1"/>
  <c r="AB10" i="48"/>
  <c r="AC10" i="48" s="1"/>
  <c r="X10" i="48"/>
  <c r="W10" i="48"/>
  <c r="S10" i="48"/>
  <c r="R10" i="48"/>
  <c r="J10" i="48"/>
  <c r="K10" i="48" s="1"/>
  <c r="I10" i="48"/>
  <c r="F10" i="48"/>
  <c r="G10" i="48" s="1"/>
  <c r="E10" i="48"/>
  <c r="AV9" i="48"/>
  <c r="AQ9" i="48"/>
  <c r="AL9" i="48"/>
  <c r="AM23" i="48" s="1"/>
  <c r="AG9" i="48"/>
  <c r="AH9" i="48" s="1"/>
  <c r="AB9" i="48"/>
  <c r="AC9" i="48" s="1"/>
  <c r="X9" i="48"/>
  <c r="W9" i="48"/>
  <c r="S9" i="48"/>
  <c r="R9" i="48"/>
  <c r="J9" i="48"/>
  <c r="I9" i="48"/>
  <c r="K9" i="48" s="1"/>
  <c r="F9" i="48"/>
  <c r="G9" i="48" s="1"/>
  <c r="E9" i="48"/>
  <c r="AV8" i="48"/>
  <c r="AW8" i="48" s="1"/>
  <c r="AQ8" i="48"/>
  <c r="AM8" i="48"/>
  <c r="AL8" i="48"/>
  <c r="AH8" i="48"/>
  <c r="AG8" i="48"/>
  <c r="AC8" i="48"/>
  <c r="AB8" i="48"/>
  <c r="W8" i="48"/>
  <c r="X8" i="48" s="1"/>
  <c r="R8" i="48"/>
  <c r="S8" i="48" s="1"/>
  <c r="J8" i="48"/>
  <c r="K8" i="48" s="1"/>
  <c r="I8" i="48"/>
  <c r="F8" i="48"/>
  <c r="E8" i="48"/>
  <c r="G8" i="48" s="1"/>
  <c r="AV7" i="48"/>
  <c r="AW13" i="48" s="1"/>
  <c r="AQ7" i="48"/>
  <c r="AM7" i="48"/>
  <c r="AL7" i="48"/>
  <c r="AG7" i="48"/>
  <c r="AH7" i="48" s="1"/>
  <c r="AD7" i="48"/>
  <c r="AB7" i="48"/>
  <c r="AC7" i="48" s="1"/>
  <c r="W7" i="48"/>
  <c r="Y7" i="48" s="1"/>
  <c r="T7" i="48"/>
  <c r="S7" i="48"/>
  <c r="R7" i="48"/>
  <c r="J7" i="48"/>
  <c r="K7" i="48" s="1"/>
  <c r="I7" i="48"/>
  <c r="F7" i="48"/>
  <c r="G7" i="48" s="1"/>
  <c r="E7" i="48"/>
  <c r="N37" i="6"/>
  <c r="F37" i="6"/>
  <c r="J37" i="6" s="1"/>
  <c r="L36" i="6"/>
  <c r="F36" i="6"/>
  <c r="N36" i="6" s="1"/>
  <c r="L35" i="6"/>
  <c r="F35" i="6"/>
  <c r="J35" i="6" s="1"/>
  <c r="N34" i="6"/>
  <c r="F34" i="6"/>
  <c r="J34" i="6" s="1"/>
  <c r="F33" i="6"/>
  <c r="F32" i="6"/>
  <c r="N31" i="6"/>
  <c r="L31" i="6"/>
  <c r="F31" i="6"/>
  <c r="J31" i="6" s="1"/>
  <c r="F30" i="6"/>
  <c r="F29" i="6"/>
  <c r="G24" i="6" s="1"/>
  <c r="N28" i="6"/>
  <c r="J28" i="6"/>
  <c r="F28" i="6"/>
  <c r="L28" i="6" s="1"/>
  <c r="L27" i="6"/>
  <c r="J27" i="6"/>
  <c r="F27" i="6"/>
  <c r="N27" i="6" s="1"/>
  <c r="N26" i="6"/>
  <c r="F26" i="6"/>
  <c r="L26" i="6" s="1"/>
  <c r="N25" i="6"/>
  <c r="J25" i="6"/>
  <c r="F25" i="6"/>
  <c r="L25" i="6" s="1"/>
  <c r="N24" i="6"/>
  <c r="J24" i="6"/>
  <c r="F24" i="6"/>
  <c r="L24" i="6" s="1"/>
  <c r="N23" i="6"/>
  <c r="F23" i="6"/>
  <c r="L23" i="6" s="1"/>
  <c r="L22" i="6"/>
  <c r="F22" i="6"/>
  <c r="L21" i="6"/>
  <c r="F21" i="6"/>
  <c r="N21" i="6" s="1"/>
  <c r="N20" i="6"/>
  <c r="L20" i="6"/>
  <c r="J20" i="6"/>
  <c r="F20" i="6"/>
  <c r="F19" i="6"/>
  <c r="N18" i="6"/>
  <c r="F18" i="6"/>
  <c r="L18" i="6" s="1"/>
  <c r="N17" i="6"/>
  <c r="L17" i="6"/>
  <c r="J17" i="6"/>
  <c r="F17" i="6"/>
  <c r="F16" i="6"/>
  <c r="L16" i="6" s="1"/>
  <c r="N15" i="6"/>
  <c r="F15" i="6"/>
  <c r="L15" i="6" s="1"/>
  <c r="N14" i="6"/>
  <c r="L14" i="6"/>
  <c r="J14" i="6"/>
  <c r="F14" i="6"/>
  <c r="N13" i="6"/>
  <c r="F13" i="6"/>
  <c r="L13" i="6" s="1"/>
  <c r="L12" i="6"/>
  <c r="F12" i="6"/>
  <c r="J12" i="6" s="1"/>
  <c r="N11" i="6"/>
  <c r="L11" i="6"/>
  <c r="J11" i="6"/>
  <c r="F11" i="6"/>
  <c r="N10" i="6"/>
  <c r="L10" i="6"/>
  <c r="F10" i="6"/>
  <c r="J10" i="6" s="1"/>
  <c r="N9" i="6"/>
  <c r="F9" i="6"/>
  <c r="L9" i="6" s="1"/>
  <c r="L8" i="6"/>
  <c r="F8" i="6"/>
  <c r="J8" i="6" s="1"/>
  <c r="L7" i="6"/>
  <c r="F7" i="6"/>
  <c r="N7" i="6" s="1"/>
  <c r="F44" i="7"/>
  <c r="N44" i="7" s="1"/>
  <c r="F43" i="7"/>
  <c r="J43" i="7" s="1"/>
  <c r="F42" i="7"/>
  <c r="F40" i="7"/>
  <c r="N40" i="7" s="1"/>
  <c r="N37" i="7"/>
  <c r="F37" i="7"/>
  <c r="L37" i="7" s="1"/>
  <c r="J36" i="7"/>
  <c r="F36" i="7"/>
  <c r="N36" i="7" s="1"/>
  <c r="N35" i="7"/>
  <c r="L35" i="7"/>
  <c r="F35" i="7"/>
  <c r="J35" i="7" s="1"/>
  <c r="L34" i="7"/>
  <c r="F34" i="7"/>
  <c r="J34" i="7" s="1"/>
  <c r="L33" i="7"/>
  <c r="F33" i="7"/>
  <c r="N33" i="7" s="1"/>
  <c r="N32" i="7"/>
  <c r="L32" i="7"/>
  <c r="J32" i="7"/>
  <c r="F32" i="7"/>
  <c r="J31" i="7"/>
  <c r="F31" i="7"/>
  <c r="G31" i="7" s="1"/>
  <c r="N30" i="7"/>
  <c r="J30" i="7"/>
  <c r="F30" i="7"/>
  <c r="L30" i="7" s="1"/>
  <c r="N29" i="7"/>
  <c r="L29" i="7"/>
  <c r="F29" i="7"/>
  <c r="J29" i="7" s="1"/>
  <c r="L28" i="7"/>
  <c r="F28" i="7"/>
  <c r="J28" i="7" s="1"/>
  <c r="N27" i="7"/>
  <c r="J27" i="7"/>
  <c r="F27" i="7"/>
  <c r="L27" i="7" s="1"/>
  <c r="N26" i="7"/>
  <c r="L26" i="7"/>
  <c r="F26" i="7"/>
  <c r="J26" i="7" s="1"/>
  <c r="L25" i="7"/>
  <c r="F25" i="7"/>
  <c r="J25" i="7" s="1"/>
  <c r="N24" i="7"/>
  <c r="J24" i="7"/>
  <c r="G24" i="7"/>
  <c r="F24" i="7"/>
  <c r="L24" i="7" s="1"/>
  <c r="N23" i="7"/>
  <c r="F23" i="7"/>
  <c r="L23" i="7" s="1"/>
  <c r="N22" i="7"/>
  <c r="F22" i="7"/>
  <c r="L22" i="7" s="1"/>
  <c r="L21" i="7"/>
  <c r="J21" i="7"/>
  <c r="F21" i="7"/>
  <c r="N21" i="7" s="1"/>
  <c r="N20" i="7"/>
  <c r="F20" i="7"/>
  <c r="L20" i="7" s="1"/>
  <c r="N19" i="7"/>
  <c r="F19" i="7"/>
  <c r="L19" i="7" s="1"/>
  <c r="L18" i="7"/>
  <c r="J18" i="7"/>
  <c r="F18" i="7"/>
  <c r="N18" i="7" s="1"/>
  <c r="N17" i="7"/>
  <c r="F17" i="7"/>
  <c r="L17" i="7" s="1"/>
  <c r="N16" i="7"/>
  <c r="L16" i="7"/>
  <c r="J16" i="7"/>
  <c r="F16" i="7"/>
  <c r="F15" i="7"/>
  <c r="F14" i="7"/>
  <c r="N14" i="7" s="1"/>
  <c r="N13" i="7"/>
  <c r="L13" i="7"/>
  <c r="J13" i="7"/>
  <c r="F13" i="7"/>
  <c r="F12" i="7"/>
  <c r="F11" i="7"/>
  <c r="J10" i="7"/>
  <c r="F10" i="7"/>
  <c r="N10" i="7" s="1"/>
  <c r="N9" i="7"/>
  <c r="L9" i="7"/>
  <c r="J9" i="7"/>
  <c r="F9" i="7"/>
  <c r="J8" i="7"/>
  <c r="F8" i="7"/>
  <c r="N8" i="7" s="1"/>
  <c r="L7" i="7"/>
  <c r="G7" i="7"/>
  <c r="F7" i="7"/>
  <c r="N7" i="7" s="1"/>
  <c r="L39" i="5"/>
  <c r="I39" i="5"/>
  <c r="L38" i="5"/>
  <c r="I38" i="5"/>
  <c r="L37" i="5"/>
  <c r="I37" i="5"/>
  <c r="O35" i="5"/>
  <c r="L35" i="5"/>
  <c r="I35" i="5"/>
  <c r="O34" i="5"/>
  <c r="L34" i="5"/>
  <c r="I34" i="5"/>
  <c r="O33" i="5"/>
  <c r="L33" i="5"/>
  <c r="I33" i="5"/>
  <c r="O32" i="5"/>
  <c r="L32" i="5"/>
  <c r="I32" i="5"/>
  <c r="O31" i="5"/>
  <c r="L31" i="5"/>
  <c r="I31" i="5"/>
  <c r="O30" i="5"/>
  <c r="L30" i="5"/>
  <c r="I30" i="5"/>
  <c r="V29" i="5"/>
  <c r="S29" i="5"/>
  <c r="P29" i="5"/>
  <c r="O29" i="5"/>
  <c r="M29" i="5"/>
  <c r="L29" i="5"/>
  <c r="I29" i="5"/>
  <c r="J29" i="5" s="1"/>
  <c r="G29" i="5"/>
  <c r="L28" i="5"/>
  <c r="I28" i="5"/>
  <c r="L27" i="5"/>
  <c r="I27" i="5"/>
  <c r="L26" i="5"/>
  <c r="I26" i="5"/>
  <c r="L25" i="5"/>
  <c r="I25" i="5"/>
  <c r="L24" i="5"/>
  <c r="I24" i="5"/>
  <c r="L23" i="5"/>
  <c r="I23" i="5"/>
  <c r="V22" i="5"/>
  <c r="S22" i="5"/>
  <c r="I10" i="57" s="1"/>
  <c r="P22" i="5"/>
  <c r="I9" i="57" s="1"/>
  <c r="M22" i="5"/>
  <c r="L22" i="5"/>
  <c r="J22" i="5"/>
  <c r="I22" i="5"/>
  <c r="G22" i="5"/>
  <c r="O21" i="5"/>
  <c r="L21" i="5"/>
  <c r="I21" i="5"/>
  <c r="O20" i="5"/>
  <c r="L20" i="5"/>
  <c r="I20" i="5"/>
  <c r="O19" i="5"/>
  <c r="L19" i="5"/>
  <c r="I19" i="5"/>
  <c r="O18" i="5"/>
  <c r="L18" i="5"/>
  <c r="I18" i="5"/>
  <c r="O17" i="5"/>
  <c r="L17" i="5"/>
  <c r="I17" i="5"/>
  <c r="O16" i="5"/>
  <c r="L16" i="5"/>
  <c r="I16" i="5"/>
  <c r="V15" i="5"/>
  <c r="S15" i="5"/>
  <c r="P15" i="5"/>
  <c r="O15" i="5"/>
  <c r="M15" i="5"/>
  <c r="L15" i="5"/>
  <c r="J15" i="5"/>
  <c r="I15" i="5"/>
  <c r="G15" i="5"/>
  <c r="O14" i="5"/>
  <c r="L14" i="5"/>
  <c r="I14" i="5"/>
  <c r="O13" i="5"/>
  <c r="L13" i="5"/>
  <c r="I13" i="5"/>
  <c r="O12" i="5"/>
  <c r="L12" i="5"/>
  <c r="I12" i="5"/>
  <c r="O11" i="5"/>
  <c r="L11" i="5"/>
  <c r="I11" i="5"/>
  <c r="O10" i="5"/>
  <c r="L10" i="5"/>
  <c r="I10" i="5"/>
  <c r="O9" i="5"/>
  <c r="L9" i="5"/>
  <c r="I9" i="5"/>
  <c r="V8" i="5"/>
  <c r="S8" i="5"/>
  <c r="P8" i="5"/>
  <c r="O8" i="5"/>
  <c r="M8" i="5"/>
  <c r="L8" i="5"/>
  <c r="I8" i="5"/>
  <c r="J8" i="5" s="1"/>
  <c r="G8" i="5"/>
  <c r="O7" i="5"/>
  <c r="L7" i="5"/>
  <c r="I7" i="5"/>
  <c r="O6" i="5"/>
  <c r="L6" i="5"/>
  <c r="I6" i="5"/>
  <c r="W5" i="5"/>
  <c r="K11" i="57" s="1"/>
  <c r="V5" i="5"/>
  <c r="T5" i="5"/>
  <c r="S5" i="5"/>
  <c r="Q5" i="5"/>
  <c r="P5" i="5"/>
  <c r="O5" i="5"/>
  <c r="N5" i="5"/>
  <c r="M5" i="5"/>
  <c r="L5" i="5"/>
  <c r="K5" i="5"/>
  <c r="I5" i="5"/>
  <c r="J5" i="5" s="1"/>
  <c r="H5" i="5"/>
  <c r="G5" i="5"/>
  <c r="U35" i="3"/>
  <c r="O35" i="3"/>
  <c r="U34" i="3"/>
  <c r="O34" i="3"/>
  <c r="U33" i="3"/>
  <c r="O33" i="3"/>
  <c r="U32" i="3"/>
  <c r="O32" i="3"/>
  <c r="U31" i="3"/>
  <c r="O31" i="3"/>
  <c r="U30" i="3"/>
  <c r="O30" i="3"/>
  <c r="U29" i="3"/>
  <c r="P29" i="3"/>
  <c r="O29" i="3"/>
  <c r="M29" i="3"/>
  <c r="J29" i="3"/>
  <c r="G29" i="3"/>
  <c r="U28" i="3"/>
  <c r="O28" i="3"/>
  <c r="V27" i="3"/>
  <c r="U27" i="3"/>
  <c r="S27" i="3"/>
  <c r="O27" i="3"/>
  <c r="U26" i="3"/>
  <c r="O26" i="3"/>
  <c r="U25" i="3"/>
  <c r="O25" i="3"/>
  <c r="U24" i="3"/>
  <c r="O24" i="3"/>
  <c r="U23" i="3"/>
  <c r="O23" i="3"/>
  <c r="U22" i="3"/>
  <c r="P22" i="3"/>
  <c r="O22" i="3"/>
  <c r="M22" i="3"/>
  <c r="J22" i="3"/>
  <c r="G22" i="3"/>
  <c r="B6" i="57" s="1"/>
  <c r="U21" i="3"/>
  <c r="O21" i="3"/>
  <c r="V20" i="3"/>
  <c r="U20" i="3"/>
  <c r="S20" i="3"/>
  <c r="O20" i="3"/>
  <c r="U19" i="3"/>
  <c r="O19" i="3"/>
  <c r="U18" i="3"/>
  <c r="O18" i="3"/>
  <c r="U17" i="3"/>
  <c r="O17" i="3"/>
  <c r="U16" i="3"/>
  <c r="O16" i="3"/>
  <c r="U15" i="3"/>
  <c r="O15" i="3"/>
  <c r="M15" i="3"/>
  <c r="P15" i="3" s="1"/>
  <c r="J15" i="3"/>
  <c r="G15" i="3"/>
  <c r="U14" i="3"/>
  <c r="O14" i="3"/>
  <c r="U13" i="3"/>
  <c r="S13" i="3"/>
  <c r="V13" i="3" s="1"/>
  <c r="O13" i="3"/>
  <c r="U12" i="3"/>
  <c r="O12" i="3"/>
  <c r="U11" i="3"/>
  <c r="O11" i="3"/>
  <c r="U10" i="3"/>
  <c r="O10" i="3"/>
  <c r="U9" i="3"/>
  <c r="O9" i="3"/>
  <c r="U8" i="3"/>
  <c r="P8" i="3"/>
  <c r="O8" i="3"/>
  <c r="M8" i="3"/>
  <c r="J8" i="3"/>
  <c r="G8" i="3"/>
  <c r="U7" i="3"/>
  <c r="O7" i="3"/>
  <c r="V6" i="3"/>
  <c r="U6" i="3"/>
  <c r="S6" i="3"/>
  <c r="O6" i="3"/>
  <c r="U5" i="3"/>
  <c r="T5" i="3"/>
  <c r="W5" i="3" s="1"/>
  <c r="S5" i="3"/>
  <c r="O5" i="3"/>
  <c r="N5" i="3"/>
  <c r="Q5" i="3" s="1"/>
  <c r="M5" i="3"/>
  <c r="K5" i="3"/>
  <c r="J5" i="3"/>
  <c r="H5" i="3"/>
  <c r="E6" i="57" s="1"/>
  <c r="G5" i="3"/>
  <c r="D24" i="57"/>
  <c r="D23" i="57"/>
  <c r="D22" i="57"/>
  <c r="J18" i="57"/>
  <c r="D18" i="57"/>
  <c r="H17" i="57"/>
  <c r="I17" i="57" s="1"/>
  <c r="K17" i="57" s="1"/>
  <c r="B17" i="57"/>
  <c r="C17" i="57" s="1"/>
  <c r="E17" i="57" s="1"/>
  <c r="K15" i="57"/>
  <c r="H15" i="57"/>
  <c r="I15" i="57" s="1"/>
  <c r="B15" i="57"/>
  <c r="I11" i="57"/>
  <c r="D11" i="57"/>
  <c r="K10" i="57"/>
  <c r="D10" i="57"/>
  <c r="K9" i="57"/>
  <c r="C9" i="57"/>
  <c r="K8" i="57"/>
  <c r="I8" i="57"/>
  <c r="D8" i="57"/>
  <c r="B8" i="57"/>
  <c r="J7" i="57"/>
  <c r="E7" i="57"/>
  <c r="B7" i="57"/>
  <c r="I16" i="57" s="1"/>
  <c r="K16" i="57" s="1"/>
  <c r="K6" i="57"/>
  <c r="I6" i="57"/>
  <c r="I7" i="57" s="1"/>
  <c r="H6" i="57"/>
  <c r="K7" i="57" s="1"/>
  <c r="T24" i="55"/>
  <c r="S24" i="55"/>
  <c r="R24" i="55"/>
  <c r="O24" i="55"/>
  <c r="P24" i="55" s="1"/>
  <c r="N24" i="55"/>
  <c r="L24" i="55"/>
  <c r="J24" i="55"/>
  <c r="U23" i="55"/>
  <c r="T23" i="55"/>
  <c r="F23" i="55" s="1"/>
  <c r="S23" i="55"/>
  <c r="R23" i="55"/>
  <c r="O23" i="55"/>
  <c r="P23" i="55" s="1"/>
  <c r="N23" i="55"/>
  <c r="L23" i="55"/>
  <c r="J23" i="55"/>
  <c r="S22" i="55"/>
  <c r="R22" i="55"/>
  <c r="O22" i="55"/>
  <c r="N22" i="55"/>
  <c r="L22" i="55"/>
  <c r="J22" i="55"/>
  <c r="S21" i="55"/>
  <c r="R21" i="55"/>
  <c r="P21" i="55"/>
  <c r="O21" i="55"/>
  <c r="T21" i="55" s="1"/>
  <c r="N21" i="55"/>
  <c r="L21" i="55"/>
  <c r="J21" i="55"/>
  <c r="T20" i="55"/>
  <c r="U20" i="55" s="1"/>
  <c r="S20" i="55"/>
  <c r="R20" i="55"/>
  <c r="P20" i="55"/>
  <c r="O20" i="55"/>
  <c r="N20" i="55"/>
  <c r="L20" i="55"/>
  <c r="J20" i="55"/>
  <c r="F20" i="55"/>
  <c r="S19" i="55"/>
  <c r="R19" i="55"/>
  <c r="O19" i="55"/>
  <c r="P19" i="55" s="1"/>
  <c r="N19" i="55"/>
  <c r="L19" i="55"/>
  <c r="J19" i="55"/>
  <c r="T18" i="55"/>
  <c r="S18" i="55"/>
  <c r="R18" i="55"/>
  <c r="O18" i="55"/>
  <c r="P18" i="55" s="1"/>
  <c r="N18" i="55"/>
  <c r="L18" i="55"/>
  <c r="J18" i="55"/>
  <c r="U17" i="55"/>
  <c r="T17" i="55"/>
  <c r="F17" i="55" s="1"/>
  <c r="S17" i="55"/>
  <c r="R17" i="55"/>
  <c r="O17" i="55"/>
  <c r="P17" i="55" s="1"/>
  <c r="N17" i="55"/>
  <c r="L17" i="55"/>
  <c r="J17" i="55"/>
  <c r="S16" i="55"/>
  <c r="R16" i="55"/>
  <c r="O16" i="55"/>
  <c r="N16" i="55"/>
  <c r="L16" i="55"/>
  <c r="J16" i="55"/>
  <c r="S15" i="55"/>
  <c r="R15" i="55"/>
  <c r="P15" i="55"/>
  <c r="O15" i="55"/>
  <c r="T15" i="55" s="1"/>
  <c r="N15" i="55"/>
  <c r="L15" i="55"/>
  <c r="J15" i="55"/>
  <c r="T14" i="55"/>
  <c r="U14" i="55" s="1"/>
  <c r="S14" i="55"/>
  <c r="R14" i="55"/>
  <c r="P14" i="55"/>
  <c r="O14" i="55"/>
  <c r="N14" i="55"/>
  <c r="L14" i="55"/>
  <c r="J14" i="55"/>
  <c r="F14" i="55"/>
  <c r="S13" i="55"/>
  <c r="R13" i="55"/>
  <c r="O13" i="55"/>
  <c r="P13" i="55" s="1"/>
  <c r="N13" i="55"/>
  <c r="L13" i="55"/>
  <c r="J13" i="55"/>
  <c r="T12" i="55"/>
  <c r="S12" i="55"/>
  <c r="R12" i="55"/>
  <c r="O12" i="55"/>
  <c r="P12" i="55" s="1"/>
  <c r="N12" i="55"/>
  <c r="L12" i="55"/>
  <c r="J12" i="55"/>
  <c r="U11" i="55"/>
  <c r="T11" i="55"/>
  <c r="F11" i="55" s="1"/>
  <c r="S11" i="55"/>
  <c r="R11" i="55"/>
  <c r="O11" i="55"/>
  <c r="P11" i="55" s="1"/>
  <c r="N11" i="55"/>
  <c r="L11" i="55"/>
  <c r="J11" i="55"/>
  <c r="S10" i="55"/>
  <c r="R10" i="55"/>
  <c r="O10" i="55"/>
  <c r="N10" i="55"/>
  <c r="L10" i="55"/>
  <c r="J10" i="55"/>
  <c r="S9" i="55"/>
  <c r="R9" i="55"/>
  <c r="P9" i="55"/>
  <c r="O9" i="55"/>
  <c r="T9" i="55" s="1"/>
  <c r="F9" i="55" s="1"/>
  <c r="N9" i="55"/>
  <c r="L9" i="55"/>
  <c r="J9" i="55"/>
  <c r="AJ8" i="55"/>
  <c r="J15" i="40" s="1"/>
  <c r="AH8" i="55"/>
  <c r="F15" i="40" s="1"/>
  <c r="AF8" i="55"/>
  <c r="J10" i="40" s="1"/>
  <c r="S8" i="55"/>
  <c r="R8" i="55"/>
  <c r="O8" i="55"/>
  <c r="T8" i="55" s="1"/>
  <c r="N8" i="55"/>
  <c r="L8" i="55"/>
  <c r="J8" i="55"/>
  <c r="AJ7" i="55"/>
  <c r="AI7" i="55"/>
  <c r="AI9" i="55" s="1"/>
  <c r="I15" i="40" s="1"/>
  <c r="AH7" i="55"/>
  <c r="AG7" i="55"/>
  <c r="AG9" i="55" s="1"/>
  <c r="M10" i="40" s="1"/>
  <c r="AF7" i="55"/>
  <c r="AF9" i="55" s="1"/>
  <c r="K10" i="40" s="1"/>
  <c r="AE7" i="55"/>
  <c r="AD7" i="55"/>
  <c r="AD9" i="55" s="1"/>
  <c r="G10" i="40" s="1"/>
  <c r="AC7" i="55"/>
  <c r="AJ9" i="55" s="1"/>
  <c r="K15" i="40" s="1"/>
  <c r="T7" i="55"/>
  <c r="S7" i="55"/>
  <c r="R7" i="55"/>
  <c r="O7" i="55"/>
  <c r="P7" i="55" s="1"/>
  <c r="N7" i="55"/>
  <c r="L7" i="55"/>
  <c r="J7" i="55"/>
  <c r="T6" i="55"/>
  <c r="F6" i="55" s="1"/>
  <c r="S6" i="55"/>
  <c r="R6" i="55"/>
  <c r="O6" i="55"/>
  <c r="P6" i="55" s="1"/>
  <c r="N6" i="55"/>
  <c r="L6" i="55"/>
  <c r="J6" i="55"/>
  <c r="S5" i="55"/>
  <c r="R5" i="55"/>
  <c r="O5" i="55"/>
  <c r="N5" i="55"/>
  <c r="L5" i="55"/>
  <c r="J5" i="55"/>
  <c r="M14" i="51" l="1"/>
  <c r="K14" i="51" s="1"/>
  <c r="F18" i="55"/>
  <c r="U18" i="55"/>
  <c r="AR19" i="48"/>
  <c r="H30" i="48"/>
  <c r="N42" i="7"/>
  <c r="J42" i="7"/>
  <c r="M11" i="48"/>
  <c r="T10" i="55"/>
  <c r="P10" i="55"/>
  <c r="U15" i="55"/>
  <c r="F15" i="55"/>
  <c r="N15" i="7"/>
  <c r="L15" i="7"/>
  <c r="J15" i="7"/>
  <c r="I18" i="57"/>
  <c r="H7" i="48"/>
  <c r="AR20" i="48"/>
  <c r="M13" i="48"/>
  <c r="AR14" i="48"/>
  <c r="H76" i="48"/>
  <c r="T22" i="55"/>
  <c r="P22" i="55"/>
  <c r="B9" i="57"/>
  <c r="D9" i="57" s="1"/>
  <c r="P5" i="3"/>
  <c r="V5" i="3"/>
  <c r="G31" i="6"/>
  <c r="L30" i="48"/>
  <c r="M35" i="48"/>
  <c r="M30" i="48"/>
  <c r="M31" i="48"/>
  <c r="M39" i="48"/>
  <c r="M43" i="48"/>
  <c r="M36" i="48"/>
  <c r="M37" i="48"/>
  <c r="M107" i="49"/>
  <c r="L107" i="49"/>
  <c r="N33" i="6"/>
  <c r="L33" i="6"/>
  <c r="J33" i="6"/>
  <c r="M42" i="48"/>
  <c r="M34" i="48"/>
  <c r="M38" i="48"/>
  <c r="D6" i="57"/>
  <c r="C16" i="57"/>
  <c r="E16" i="57" s="1"/>
  <c r="C15" i="57"/>
  <c r="M14" i="48"/>
  <c r="F12" i="55"/>
  <c r="AE8" i="55" s="1"/>
  <c r="H10" i="40" s="1"/>
  <c r="U12" i="55"/>
  <c r="H7" i="7"/>
  <c r="M41" i="48"/>
  <c r="N12" i="7"/>
  <c r="L12" i="7"/>
  <c r="J12" i="7"/>
  <c r="M44" i="48"/>
  <c r="U8" i="55"/>
  <c r="F8" i="55"/>
  <c r="T16" i="55"/>
  <c r="P16" i="55"/>
  <c r="F24" i="55"/>
  <c r="U24" i="55"/>
  <c r="AR21" i="48"/>
  <c r="AR23" i="48"/>
  <c r="M45" i="48"/>
  <c r="T5" i="55"/>
  <c r="P5" i="55"/>
  <c r="F7" i="55"/>
  <c r="U7" i="55"/>
  <c r="U21" i="55"/>
  <c r="F21" i="55"/>
  <c r="U9" i="55"/>
  <c r="N30" i="6"/>
  <c r="L30" i="6"/>
  <c r="J30" i="6"/>
  <c r="AR18" i="48"/>
  <c r="AE48" i="48"/>
  <c r="AE71" i="48" s="1"/>
  <c r="AE94" i="48" s="1"/>
  <c r="AJ25" i="48"/>
  <c r="AC30" i="48"/>
  <c r="AM37" i="48"/>
  <c r="X44" i="48"/>
  <c r="AM76" i="48"/>
  <c r="AH91" i="48"/>
  <c r="AH83" i="48"/>
  <c r="AW86" i="48"/>
  <c r="AH90" i="48"/>
  <c r="K101" i="48"/>
  <c r="M101" i="48" s="1"/>
  <c r="S101" i="48"/>
  <c r="L8" i="7"/>
  <c r="J11" i="7"/>
  <c r="J14" i="7"/>
  <c r="G17" i="7"/>
  <c r="N25" i="7"/>
  <c r="N28" i="7"/>
  <c r="L31" i="7"/>
  <c r="N34" i="7"/>
  <c r="G7" i="6"/>
  <c r="N12" i="6"/>
  <c r="N19" i="6"/>
  <c r="J19" i="6"/>
  <c r="J29" i="6"/>
  <c r="J32" i="6"/>
  <c r="N35" i="6"/>
  <c r="AM14" i="48"/>
  <c r="K17" i="48"/>
  <c r="AD30" i="48"/>
  <c r="AH31" i="48"/>
  <c r="AM33" i="48"/>
  <c r="S34" i="48"/>
  <c r="X38" i="48"/>
  <c r="X40" i="48"/>
  <c r="AR41" i="48"/>
  <c r="AC42" i="48"/>
  <c r="AR43" i="48"/>
  <c r="AC44" i="48"/>
  <c r="AW45" i="48"/>
  <c r="AW63" i="48"/>
  <c r="AW61" i="48"/>
  <c r="AW54" i="48"/>
  <c r="AW59" i="48"/>
  <c r="AW55" i="48"/>
  <c r="AX53" i="48"/>
  <c r="AW53" i="48"/>
  <c r="AR54" i="48"/>
  <c r="AH55" i="48"/>
  <c r="AR58" i="48"/>
  <c r="AM64" i="48"/>
  <c r="K76" i="48"/>
  <c r="AH77" i="48"/>
  <c r="AM81" i="48"/>
  <c r="AH30" i="49"/>
  <c r="P10" i="52"/>
  <c r="S10" i="52"/>
  <c r="T13" i="52"/>
  <c r="U13" i="52"/>
  <c r="U22" i="52"/>
  <c r="T22" i="52"/>
  <c r="M32" i="48"/>
  <c r="S38" i="48"/>
  <c r="AW57" i="48"/>
  <c r="S60" i="48"/>
  <c r="K60" i="48"/>
  <c r="AM68" i="48"/>
  <c r="T13" i="55"/>
  <c r="T19" i="55"/>
  <c r="L11" i="7"/>
  <c r="L14" i="7"/>
  <c r="J17" i="7"/>
  <c r="J20" i="7"/>
  <c r="J23" i="7"/>
  <c r="N31" i="7"/>
  <c r="J40" i="7"/>
  <c r="H7" i="6"/>
  <c r="G10" i="6"/>
  <c r="J16" i="6"/>
  <c r="L19" i="6"/>
  <c r="J23" i="6"/>
  <c r="J26" i="6"/>
  <c r="L29" i="6"/>
  <c r="L32" i="6"/>
  <c r="AI7" i="48"/>
  <c r="AW9" i="48"/>
  <c r="AR17" i="48"/>
  <c r="AH46" i="48"/>
  <c r="AH42" i="48"/>
  <c r="AH38" i="48"/>
  <c r="AH34" i="48"/>
  <c r="AH30" i="48"/>
  <c r="X34" i="48"/>
  <c r="AC38" i="48"/>
  <c r="AR39" i="48"/>
  <c r="AC40" i="48"/>
  <c r="AM55" i="48"/>
  <c r="AC61" i="48"/>
  <c r="AC54" i="48"/>
  <c r="AC53" i="48"/>
  <c r="AW58" i="48"/>
  <c r="AC60" i="48"/>
  <c r="AR64" i="48"/>
  <c r="AC66" i="48"/>
  <c r="AH69" i="48"/>
  <c r="AW85" i="48"/>
  <c r="AW76" i="48"/>
  <c r="AW80" i="48"/>
  <c r="S83" i="48"/>
  <c r="K83" i="48"/>
  <c r="K84" i="48"/>
  <c r="AW89" i="48"/>
  <c r="AM122" i="48"/>
  <c r="AN122" i="48"/>
  <c r="G127" i="48"/>
  <c r="AR9" i="48"/>
  <c r="AR12" i="48"/>
  <c r="AM17" i="48"/>
  <c r="AH35" i="48"/>
  <c r="AM89" i="48"/>
  <c r="AM8" i="49"/>
  <c r="AM9" i="49"/>
  <c r="AN7" i="49"/>
  <c r="AS27" i="49"/>
  <c r="AR28" i="49"/>
  <c r="AR27" i="49"/>
  <c r="D7" i="57"/>
  <c r="N11" i="7"/>
  <c r="J7" i="6"/>
  <c r="J13" i="6"/>
  <c r="N16" i="6"/>
  <c r="N29" i="6"/>
  <c r="N32" i="6"/>
  <c r="J36" i="6"/>
  <c r="K21" i="48"/>
  <c r="M21" i="48" s="1"/>
  <c r="AI30" i="48"/>
  <c r="AC34" i="48"/>
  <c r="AC36" i="48"/>
  <c r="AH44" i="48"/>
  <c r="S45" i="48"/>
  <c r="AR46" i="48"/>
  <c r="X67" i="48"/>
  <c r="X69" i="48"/>
  <c r="X62" i="48"/>
  <c r="X58" i="48"/>
  <c r="K53" i="48"/>
  <c r="M61" i="48" s="1"/>
  <c r="G54" i="48"/>
  <c r="AC56" i="48"/>
  <c r="AW68" i="48"/>
  <c r="AX76" i="48"/>
  <c r="AH82" i="48"/>
  <c r="AM91" i="48"/>
  <c r="AD7" i="49"/>
  <c r="AC7" i="49"/>
  <c r="AR29" i="49"/>
  <c r="AR49" i="49"/>
  <c r="AR48" i="49"/>
  <c r="AD87" i="49"/>
  <c r="U12" i="52"/>
  <c r="T12" i="52"/>
  <c r="G17" i="6"/>
  <c r="AN7" i="48"/>
  <c r="AM13" i="48"/>
  <c r="AW14" i="48"/>
  <c r="AW33" i="48"/>
  <c r="AW35" i="48"/>
  <c r="AH36" i="48"/>
  <c r="AM38" i="48"/>
  <c r="S39" i="48"/>
  <c r="AM40" i="48"/>
  <c r="AR42" i="48"/>
  <c r="AR44" i="48"/>
  <c r="AW46" i="48"/>
  <c r="Y53" i="48"/>
  <c r="AH56" i="48"/>
  <c r="X57" i="48"/>
  <c r="K58" i="48"/>
  <c r="AM60" i="48"/>
  <c r="AC67" i="48"/>
  <c r="AR69" i="48"/>
  <c r="X76" i="48"/>
  <c r="AW77" i="48"/>
  <c r="AR89" i="48"/>
  <c r="X85" i="48"/>
  <c r="AW99" i="48"/>
  <c r="K113" i="48"/>
  <c r="M113" i="48" s="1"/>
  <c r="S113" i="48"/>
  <c r="M122" i="48"/>
  <c r="AM10" i="49"/>
  <c r="AS107" i="49"/>
  <c r="AR107" i="49"/>
  <c r="AE9" i="55"/>
  <c r="I10" i="40" s="1"/>
  <c r="AR8" i="48"/>
  <c r="AW11" i="48"/>
  <c r="AR13" i="48"/>
  <c r="AM20" i="48"/>
  <c r="S44" i="48"/>
  <c r="S40" i="48"/>
  <c r="S36" i="48"/>
  <c r="S32" i="48"/>
  <c r="T30" i="48"/>
  <c r="S30" i="48"/>
  <c r="AW31" i="48"/>
  <c r="AH32" i="48"/>
  <c r="S33" i="48"/>
  <c r="S35" i="48"/>
  <c r="AM36" i="48"/>
  <c r="AR38" i="48"/>
  <c r="AR40" i="48"/>
  <c r="X43" i="48"/>
  <c r="AC45" i="48"/>
  <c r="AC62" i="48"/>
  <c r="S65" i="48"/>
  <c r="T53" i="48"/>
  <c r="AR60" i="48"/>
  <c r="AH61" i="48"/>
  <c r="AR66" i="48"/>
  <c r="S68" i="48"/>
  <c r="AW69" i="48"/>
  <c r="Y76" i="48"/>
  <c r="AM83" i="48"/>
  <c r="AH84" i="48"/>
  <c r="AC85" i="48"/>
  <c r="S23" i="52"/>
  <c r="P23" i="52"/>
  <c r="U14" i="1"/>
  <c r="W6" i="1"/>
  <c r="AM88" i="48"/>
  <c r="AM85" i="48"/>
  <c r="AM78" i="48"/>
  <c r="AM77" i="48"/>
  <c r="AW81" i="48"/>
  <c r="U6" i="55"/>
  <c r="P8" i="55"/>
  <c r="AR7" i="48"/>
  <c r="AW23" i="48"/>
  <c r="S31" i="48"/>
  <c r="X39" i="48"/>
  <c r="AH79" i="48"/>
  <c r="K81" i="48"/>
  <c r="S81" i="48"/>
  <c r="K86" i="48"/>
  <c r="K90" i="48"/>
  <c r="S62" i="48"/>
  <c r="K62" i="48"/>
  <c r="AM10" i="48"/>
  <c r="AN30" i="48"/>
  <c r="AM43" i="48"/>
  <c r="AM39" i="48"/>
  <c r="AM35" i="48"/>
  <c r="AM31" i="48"/>
  <c r="AM30" i="48"/>
  <c r="AM32" i="48"/>
  <c r="AM45" i="48"/>
  <c r="AR34" i="48"/>
  <c r="AR36" i="48"/>
  <c r="AC41" i="48"/>
  <c r="AW42" i="48"/>
  <c r="M46" i="48"/>
  <c r="Z48" i="48"/>
  <c r="Z71" i="48" s="1"/>
  <c r="Z94" i="48" s="1"/>
  <c r="S54" i="48"/>
  <c r="S58" i="48"/>
  <c r="AH62" i="48"/>
  <c r="AC86" i="48"/>
  <c r="AC83" i="48"/>
  <c r="AC79" i="48"/>
  <c r="AC76" i="48"/>
  <c r="AC91" i="48"/>
  <c r="AC77" i="48"/>
  <c r="AC81" i="48"/>
  <c r="AC82" i="48"/>
  <c r="AD76" i="48"/>
  <c r="AR85" i="48"/>
  <c r="AR79" i="48"/>
  <c r="AR83" i="48"/>
  <c r="E8" i="57"/>
  <c r="E9" i="57" s="1"/>
  <c r="J7" i="7"/>
  <c r="G10" i="7"/>
  <c r="J33" i="7"/>
  <c r="L36" i="7"/>
  <c r="N43" i="7"/>
  <c r="N8" i="6"/>
  <c r="J21" i="6"/>
  <c r="L34" i="6"/>
  <c r="X7" i="48"/>
  <c r="AS7" i="48"/>
  <c r="X45" i="48"/>
  <c r="X41" i="48"/>
  <c r="X37" i="48"/>
  <c r="X33" i="48"/>
  <c r="AW44" i="48"/>
  <c r="AW40" i="48"/>
  <c r="AW36" i="48"/>
  <c r="AW32" i="48"/>
  <c r="AR32" i="48"/>
  <c r="X35" i="48"/>
  <c r="AH65" i="48"/>
  <c r="AI53" i="48"/>
  <c r="AH64" i="48"/>
  <c r="AH60" i="48"/>
  <c r="AH53" i="48"/>
  <c r="AH59" i="48"/>
  <c r="AH57" i="48"/>
  <c r="AR56" i="48"/>
  <c r="AM62" i="48"/>
  <c r="S64" i="48"/>
  <c r="K64" i="48"/>
  <c r="K65" i="48"/>
  <c r="AH88" i="48"/>
  <c r="AM79" i="48"/>
  <c r="AC80" i="48"/>
  <c r="X81" i="48"/>
  <c r="X80" i="48"/>
  <c r="X78" i="48"/>
  <c r="AH85" i="48"/>
  <c r="AH86" i="48"/>
  <c r="X88" i="48"/>
  <c r="K108" i="48"/>
  <c r="M108" i="48" s="1"/>
  <c r="S108" i="48"/>
  <c r="S114" i="48"/>
  <c r="K114" i="48"/>
  <c r="M114" i="48" s="1"/>
  <c r="AR7" i="49"/>
  <c r="AS7" i="49"/>
  <c r="K49" i="49"/>
  <c r="X69" i="49"/>
  <c r="X67" i="49"/>
  <c r="K69" i="49"/>
  <c r="AW21" i="48"/>
  <c r="AW17" i="48"/>
  <c r="AR10" i="48"/>
  <c r="AR16" i="48"/>
  <c r="AW18" i="48"/>
  <c r="X30" i="48"/>
  <c r="AW30" i="48"/>
  <c r="X31" i="48"/>
  <c r="AC33" i="48"/>
  <c r="AC39" i="48"/>
  <c r="AM69" i="48"/>
  <c r="AM56" i="48"/>
  <c r="AN53" i="48"/>
  <c r="AM53" i="48"/>
  <c r="AM67" i="48"/>
  <c r="K55" i="48"/>
  <c r="AW56" i="48"/>
  <c r="AR62" i="48"/>
  <c r="S69" i="48"/>
  <c r="AH76" i="48"/>
  <c r="S77" i="48"/>
  <c r="AS76" i="48"/>
  <c r="AH80" i="48"/>
  <c r="AR84" i="48"/>
  <c r="AC87" i="48"/>
  <c r="AC88" i="48"/>
  <c r="AH67" i="49"/>
  <c r="AH68" i="49"/>
  <c r="AH70" i="49"/>
  <c r="AH9" i="55"/>
  <c r="G15" i="40" s="1"/>
  <c r="L10" i="7"/>
  <c r="J19" i="7"/>
  <c r="J22" i="7"/>
  <c r="J37" i="7"/>
  <c r="J44" i="7"/>
  <c r="J9" i="6"/>
  <c r="J15" i="6"/>
  <c r="J18" i="6"/>
  <c r="AW7" i="48"/>
  <c r="M40" i="48"/>
  <c r="AH43" i="48"/>
  <c r="X46" i="48"/>
  <c r="G53" i="48"/>
  <c r="AR68" i="48"/>
  <c r="X55" i="48"/>
  <c r="K56" i="48"/>
  <c r="AH63" i="48"/>
  <c r="AR67" i="48"/>
  <c r="AI76" i="48"/>
  <c r="K78" i="48"/>
  <c r="S82" i="48"/>
  <c r="K82" i="48"/>
  <c r="AC89" i="48"/>
  <c r="S30" i="49"/>
  <c r="K30" i="49"/>
  <c r="AH69" i="49"/>
  <c r="K87" i="49"/>
  <c r="T87" i="49"/>
  <c r="AM44" i="48"/>
  <c r="N22" i="6"/>
  <c r="J22" i="6"/>
  <c r="AX7" i="48"/>
  <c r="AM12" i="48"/>
  <c r="AM9" i="48"/>
  <c r="AW10" i="48"/>
  <c r="AW22" i="48"/>
  <c r="AM41" i="48"/>
  <c r="AC46" i="48"/>
  <c r="AH54" i="48"/>
  <c r="AC59" i="48"/>
  <c r="AW62" i="48"/>
  <c r="AM63" i="48"/>
  <c r="S78" i="48"/>
  <c r="S89" i="48"/>
  <c r="S76" i="48"/>
  <c r="AM80" i="48"/>
  <c r="AH81" i="48"/>
  <c r="AR86" i="48"/>
  <c r="K89" i="48"/>
  <c r="M10" i="49"/>
  <c r="AN27" i="49"/>
  <c r="AM27" i="49"/>
  <c r="AM29" i="49"/>
  <c r="AM28" i="49"/>
  <c r="AM30" i="49"/>
  <c r="AI27" i="49"/>
  <c r="AH28" i="49"/>
  <c r="AH27" i="49"/>
  <c r="S87" i="49"/>
  <c r="AX87" i="49"/>
  <c r="AW87" i="49"/>
  <c r="U5" i="52"/>
  <c r="T5" i="52"/>
  <c r="P16" i="52"/>
  <c r="S16" i="52"/>
  <c r="S56" i="48"/>
  <c r="AC63" i="48"/>
  <c r="AC65" i="48"/>
  <c r="K66" i="48"/>
  <c r="X68" i="48"/>
  <c r="AM86" i="48"/>
  <c r="X87" i="48"/>
  <c r="AW88" i="48"/>
  <c r="AR91" i="48"/>
  <c r="G135" i="48"/>
  <c r="G138" i="48"/>
  <c r="AR8" i="49"/>
  <c r="S28" i="49"/>
  <c r="S27" i="49"/>
  <c r="K28" i="49"/>
  <c r="X30" i="49"/>
  <c r="AM67" i="49"/>
  <c r="AN67" i="49"/>
  <c r="X68" i="49"/>
  <c r="X42" i="1"/>
  <c r="V42" i="1" s="1"/>
  <c r="X56" i="48"/>
  <c r="AW60" i="48"/>
  <c r="AW64" i="48"/>
  <c r="S66" i="48"/>
  <c r="AC68" i="48"/>
  <c r="AH89" i="48"/>
  <c r="AW91" i="48"/>
  <c r="AC29" i="49"/>
  <c r="AC30" i="49"/>
  <c r="AM47" i="49"/>
  <c r="AN47" i="49"/>
  <c r="AR50" i="49"/>
  <c r="AC68" i="49"/>
  <c r="K68" i="49"/>
  <c r="M68" i="49" s="1"/>
  <c r="S55" i="48"/>
  <c r="AR57" i="48"/>
  <c r="X60" i="48"/>
  <c r="X64" i="48"/>
  <c r="AR65" i="48"/>
  <c r="AM87" i="48"/>
  <c r="K77" i="48"/>
  <c r="M77" i="48" s="1"/>
  <c r="AH78" i="48"/>
  <c r="AH87" i="48"/>
  <c r="AC90" i="48"/>
  <c r="S91" i="48"/>
  <c r="H7" i="49"/>
  <c r="K47" i="49"/>
  <c r="AW49" i="49"/>
  <c r="AW47" i="49"/>
  <c r="AX67" i="49"/>
  <c r="AC69" i="49"/>
  <c r="M22" i="50"/>
  <c r="K22" i="50" s="1"/>
  <c r="S8" i="52"/>
  <c r="P8" i="52"/>
  <c r="S67" i="48"/>
  <c r="S63" i="48"/>
  <c r="K54" i="48"/>
  <c r="AR61" i="48"/>
  <c r="AR63" i="48"/>
  <c r="AC64" i="48"/>
  <c r="AH66" i="48"/>
  <c r="S88" i="48"/>
  <c r="AR81" i="48"/>
  <c r="X77" i="48"/>
  <c r="AR82" i="48"/>
  <c r="X83" i="48"/>
  <c r="AW84" i="48"/>
  <c r="S86" i="48"/>
  <c r="AM90" i="48"/>
  <c r="X91" i="48"/>
  <c r="G123" i="48"/>
  <c r="K136" i="48"/>
  <c r="M136" i="48" s="1"/>
  <c r="K7" i="49"/>
  <c r="S29" i="49"/>
  <c r="S49" i="49"/>
  <c r="S50" i="49"/>
  <c r="K50" i="49"/>
  <c r="M50" i="49" s="1"/>
  <c r="X70" i="49"/>
  <c r="K70" i="49"/>
  <c r="S53" i="48"/>
  <c r="S57" i="48"/>
  <c r="AH58" i="48"/>
  <c r="K59" i="48"/>
  <c r="AM66" i="48"/>
  <c r="K67" i="48"/>
  <c r="AR76" i="48"/>
  <c r="AR78" i="48"/>
  <c r="X79" i="48"/>
  <c r="AR80" i="48"/>
  <c r="AW82" i="48"/>
  <c r="AR87" i="48"/>
  <c r="AX7" i="49"/>
  <c r="T27" i="49"/>
  <c r="X50" i="49"/>
  <c r="AW68" i="49"/>
  <c r="AM69" i="49"/>
  <c r="AC70" i="49"/>
  <c r="AC55" i="48"/>
  <c r="AM58" i="48"/>
  <c r="S59" i="48"/>
  <c r="AW78" i="48"/>
  <c r="K80" i="48"/>
  <c r="AW87" i="48"/>
  <c r="AR90" i="48"/>
  <c r="T7" i="49"/>
  <c r="AW7" i="49"/>
  <c r="AW10" i="49"/>
  <c r="Y27" i="49"/>
  <c r="X27" i="49"/>
  <c r="X29" i="49"/>
  <c r="Y47" i="49"/>
  <c r="X47" i="49"/>
  <c r="AC67" i="49"/>
  <c r="AR69" i="49"/>
  <c r="M22" i="51"/>
  <c r="K22" i="51" s="1"/>
  <c r="U24" i="52"/>
  <c r="T24" i="52"/>
  <c r="AW90" i="48"/>
  <c r="M99" i="48"/>
  <c r="L99" i="48"/>
  <c r="K107" i="48"/>
  <c r="M107" i="48" s="1"/>
  <c r="S107" i="48"/>
  <c r="K112" i="48"/>
  <c r="M112" i="48" s="1"/>
  <c r="S112" i="48"/>
  <c r="H122" i="48"/>
  <c r="AE22" i="49"/>
  <c r="Z42" i="49"/>
  <c r="Z62" i="49" s="1"/>
  <c r="Z82" i="49" s="1"/>
  <c r="AC47" i="49"/>
  <c r="AC49" i="49"/>
  <c r="AC50" i="49"/>
  <c r="G106" i="48"/>
  <c r="K126" i="48"/>
  <c r="M126" i="48" s="1"/>
  <c r="AD9" i="52"/>
  <c r="G9" i="40" s="1"/>
  <c r="S84" i="48"/>
  <c r="S87" i="48"/>
  <c r="S90" i="48"/>
  <c r="G133" i="48"/>
  <c r="AM7" i="49"/>
  <c r="AC28" i="49"/>
  <c r="S47" i="49"/>
  <c r="AS47" i="49"/>
  <c r="S48" i="49"/>
  <c r="AM68" i="49"/>
  <c r="AR87" i="49"/>
  <c r="AR10" i="49"/>
  <c r="S67" i="49"/>
  <c r="K67" i="49"/>
  <c r="G87" i="49"/>
  <c r="H87" i="49" s="1"/>
  <c r="AH9" i="52"/>
  <c r="G14" i="40" s="1"/>
  <c r="G100" i="48"/>
  <c r="H99" i="48" s="1"/>
  <c r="G112" i="48"/>
  <c r="K137" i="48"/>
  <c r="M137" i="48" s="1"/>
  <c r="G47" i="49"/>
  <c r="H47" i="49" s="1"/>
  <c r="AR70" i="49"/>
  <c r="AJ9" i="52"/>
  <c r="K14" i="40" s="1"/>
  <c r="J35" i="56"/>
  <c r="T76" i="48"/>
  <c r="AN76" i="48"/>
  <c r="G129" i="48"/>
  <c r="K27" i="49"/>
  <c r="AW28" i="49"/>
  <c r="AR30" i="49"/>
  <c r="AM48" i="49"/>
  <c r="AH50" i="49"/>
  <c r="S19" i="52"/>
  <c r="O14" i="1"/>
  <c r="AR77" i="48"/>
  <c r="AM84" i="48"/>
  <c r="S85" i="48"/>
  <c r="X122" i="48"/>
  <c r="G90" i="49"/>
  <c r="M30" i="50"/>
  <c r="K30" i="50" s="1"/>
  <c r="Q6" i="1"/>
  <c r="M89" i="48" l="1"/>
  <c r="M30" i="49"/>
  <c r="H53" i="48"/>
  <c r="M49" i="49"/>
  <c r="M86" i="48"/>
  <c r="M17" i="48"/>
  <c r="M10" i="48"/>
  <c r="M20" i="48"/>
  <c r="U22" i="55"/>
  <c r="F22" i="55"/>
  <c r="M53" i="48"/>
  <c r="M68" i="48"/>
  <c r="L53" i="48"/>
  <c r="M90" i="48"/>
  <c r="M70" i="49"/>
  <c r="L76" i="48"/>
  <c r="M87" i="48"/>
  <c r="M76" i="48"/>
  <c r="M8" i="48"/>
  <c r="M22" i="48"/>
  <c r="L7" i="48"/>
  <c r="C1" i="48" s="1"/>
  <c r="E22" i="57" s="1"/>
  <c r="M66" i="48"/>
  <c r="M48" i="49"/>
  <c r="T19" i="52"/>
  <c r="U19" i="52"/>
  <c r="AE42" i="49"/>
  <c r="AE62" i="49" s="1"/>
  <c r="AE82" i="49" s="1"/>
  <c r="AJ22" i="49"/>
  <c r="M80" i="48"/>
  <c r="M81" i="48"/>
  <c r="M84" i="48"/>
  <c r="M69" i="48"/>
  <c r="M18" i="48"/>
  <c r="M9" i="48"/>
  <c r="U10" i="55"/>
  <c r="F10" i="55"/>
  <c r="AD8" i="55" s="1"/>
  <c r="F10" i="40" s="1"/>
  <c r="U8" i="52"/>
  <c r="T8" i="52"/>
  <c r="M82" i="48"/>
  <c r="M65" i="48"/>
  <c r="M28" i="49"/>
  <c r="M78" i="48"/>
  <c r="M55" i="48"/>
  <c r="M64" i="48"/>
  <c r="AJ48" i="48"/>
  <c r="AJ71" i="48" s="1"/>
  <c r="AJ94" i="48" s="1"/>
  <c r="AO25" i="48"/>
  <c r="U16" i="55"/>
  <c r="F16" i="55"/>
  <c r="C18" i="57"/>
  <c r="E15" i="57"/>
  <c r="M12" i="48"/>
  <c r="M83" i="48"/>
  <c r="L27" i="49"/>
  <c r="M27" i="49"/>
  <c r="M91" i="48"/>
  <c r="M63" i="48"/>
  <c r="M16" i="48"/>
  <c r="M62" i="48"/>
  <c r="L67" i="49"/>
  <c r="M67" i="49"/>
  <c r="M67" i="48"/>
  <c r="M7" i="49"/>
  <c r="L7" i="49"/>
  <c r="M9" i="49"/>
  <c r="M8" i="49"/>
  <c r="U16" i="52"/>
  <c r="T16" i="52"/>
  <c r="T23" i="52"/>
  <c r="U23" i="52"/>
  <c r="M58" i="48"/>
  <c r="F19" i="55"/>
  <c r="U19" i="55"/>
  <c r="U10" i="52"/>
  <c r="T10" i="52"/>
  <c r="M57" i="48"/>
  <c r="M59" i="48"/>
  <c r="M47" i="49"/>
  <c r="L47" i="49"/>
  <c r="M56" i="48"/>
  <c r="M69" i="49"/>
  <c r="M29" i="49"/>
  <c r="F13" i="55"/>
  <c r="AI8" i="55" s="1"/>
  <c r="H15" i="40" s="1"/>
  <c r="U13" i="55"/>
  <c r="U5" i="55"/>
  <c r="F5" i="55"/>
  <c r="AG8" i="55" s="1"/>
  <c r="L10" i="40" s="1"/>
  <c r="M79" i="48"/>
  <c r="M19" i="48"/>
  <c r="M87" i="49"/>
  <c r="L87" i="49"/>
  <c r="M54" i="48"/>
  <c r="M88" i="48"/>
  <c r="M85" i="48"/>
  <c r="M60" i="48"/>
  <c r="M23" i="48"/>
  <c r="M7" i="48"/>
  <c r="AO22" i="49" l="1"/>
  <c r="AJ42" i="49"/>
  <c r="AJ62" i="49" s="1"/>
  <c r="AJ82" i="49" s="1"/>
  <c r="AO48" i="48"/>
  <c r="AO71" i="48" s="1"/>
  <c r="AO94" i="48" s="1"/>
  <c r="AT25" i="48"/>
  <c r="C1" i="49"/>
  <c r="E24" i="57" s="1"/>
  <c r="AT48" i="48" l="1"/>
  <c r="P48" i="48"/>
  <c r="U48" i="48" s="1"/>
  <c r="AO42" i="49"/>
  <c r="AO62" i="49" s="1"/>
  <c r="AO82" i="49" s="1"/>
  <c r="AT22" i="49"/>
  <c r="AT71" i="48" l="1"/>
  <c r="P71" i="48"/>
  <c r="U71" i="48" s="1"/>
  <c r="AT42" i="49"/>
  <c r="P42" i="49"/>
  <c r="U42" i="49" s="1"/>
  <c r="AT62" i="49" l="1"/>
  <c r="P62" i="49"/>
  <c r="U62" i="49" s="1"/>
  <c r="AT94" i="48"/>
  <c r="P94" i="48"/>
  <c r="U94" i="48" s="1"/>
  <c r="P82" i="49" l="1"/>
  <c r="U82" i="49" s="1"/>
  <c r="AT82" i="49"/>
  <c r="P102" i="49" s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<sst xmlns="http://schemas.openxmlformats.org/spreadsheetml/2006/main" count="2459" uniqueCount="405">
  <si>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</si>
  <si>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</si>
  <si>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</si>
  <si>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W3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</si>
  <si>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</si>
  <si>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</si>
  <si>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</si>
  <si>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</si>
  <si>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</si>
  <si>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</si>
  <si>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</si>
  <si>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</si>
  <si>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</si>
  <si>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</si>
  <si>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</si>
  <si>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</si>
  <si>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</si>
  <si>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</si>
  <si>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</si>
  <si>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</si>
  <si>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</si>
  <si>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</si>
  <si>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</si>
  <si>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</si>
  <si>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</si>
  <si>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</si>
  <si>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</si>
  <si>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</si>
  <si>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</si>
  <si>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</si>
  <si>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</si>
  <si>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</si>
  <si>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</si>
  <si>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</si>
  <si>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</si>
  <si>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</si>
  <si>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</si>
  <si>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</si>
  <si>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</si>
  <si>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</si>
  <si>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</si>
  <si>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</si>
  <si>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</si>
  <si>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</si>
  <si>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</si>
  <si>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</si>
  <si>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</si>
  <si>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</si>
  <si>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</si>
  <si>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</si>
  <si>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</si>
  <si>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</si>
  <si>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</si>
  <si>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</si>
  <si>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</si>
  <si>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八</t>
  </si>
  <si>
    <t>六</t>
  </si>
  <si>
    <t>一</t>
  </si>
  <si>
    <t>二</t>
  </si>
  <si>
    <t>三</t>
  </si>
  <si>
    <t>四</t>
  </si>
  <si>
    <t>五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</si>
  <si>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</si>
  <si>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</si>
  <si>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</si>
  <si>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</si>
  <si>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</si>
  <si>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</si>
  <si>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</si>
  <si>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</si>
  <si>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</si>
  <si>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</si>
  <si>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</si>
  <si>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</si>
  <si>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</si>
  <si>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</si>
  <si>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</si>
  <si>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</si>
  <si>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</si>
  <si>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</si>
  <si>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</si>
  <si>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</si>
  <si>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</si>
  <si>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</si>
  <si>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</si>
  <si>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</si>
  <si>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</si>
  <si>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</si>
  <si>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</si>
  <si>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</si>
  <si>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</si>
  <si>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</si>
  <si>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</si>
  <si>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</si>
  <si>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</si>
  <si>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</si>
  <si>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</si>
  <si>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</si>
  <si>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</si>
  <si>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</si>
  <si>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</si>
  <si>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韓式炒冬粉</t>
  </si>
  <si>
    <t>麻辣雞心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</si>
  <si>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</si>
  <si>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</si>
  <si>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</si>
  <si>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</si>
  <si>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</si>
  <si>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</si>
  <si>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</si>
  <si>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</si>
  <si>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</si>
  <si>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</si>
  <si>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</si>
  <si>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青醬蛤蜊義大利麵</t>
  </si>
  <si>
    <t>香煎魚排佐檸檬奶油義大利麵</t>
  </si>
  <si>
    <t>奶油培根義大利麵</t>
  </si>
  <si>
    <t>白酒清炒鮮蛤義大利麵</t>
  </si>
  <si>
    <t>改1.4mm麵，分兩條線製作，生產量少</t>
  </si>
  <si>
    <t>▼1</t>
  </si>
  <si>
    <t>府城鹽水意麵</t>
  </si>
  <si>
    <t>▼2</t>
  </si>
  <si>
    <t>奶油鮮蝦明太子細扁麵</t>
  </si>
  <si>
    <t>設備故障</t>
  </si>
  <si>
    <t>▼3</t>
  </si>
  <si>
    <t>義式蛋蛋青醬鮪魚冷義大利麵</t>
  </si>
  <si>
    <t>▼4</t>
  </si>
  <si>
    <t>黑松露野菇義大利麵</t>
  </si>
  <si>
    <t>▼5</t>
  </si>
  <si>
    <t>金沙豆腐義大利麵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</si>
  <si>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</si>
  <si>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新人訓練+1人</t>
  </si>
  <si>
    <t>量&lt;1000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</si>
  <si>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</si>
  <si>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</si>
  <si>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</si>
  <si>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</si>
  <si>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</si>
  <si>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</si>
  <si>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</si>
  <si>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</si>
  <si>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</si>
  <si>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</si>
  <si>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</si>
  <si>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</si>
  <si>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</si>
  <si>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</si>
  <si>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</si>
  <si>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</si>
  <si>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</si>
  <si>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</si>
  <si>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</si>
  <si>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</si>
  <si>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</si>
  <si>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</si>
  <si>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</si>
  <si>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煮意麵肉燥</t>
  </si>
  <si>
    <t>除中式麵外，A級3i依預估90%配料，其餘品項拉低預估量</t>
  </si>
  <si>
    <t>青花椒麻雞肉拌麵</t>
  </si>
  <si>
    <t>煮青花椒湯凍(114年)</t>
  </si>
  <si>
    <t>蒸鹹蛋黃碎</t>
  </si>
  <si>
    <t>(奶)黑松露野菇義大利麵</t>
  </si>
  <si>
    <t>(V)炒切片杏鮑菇(115年)</t>
  </si>
  <si>
    <t>蕃茄蘑菇義大利麵</t>
  </si>
  <si>
    <t>義麵-蘑菇洋蔥肉醬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</si>
  <si>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</si>
  <si>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</si>
  <si>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</si>
  <si>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奶香白醬</t>
  </si>
  <si>
    <t>每日追踪製成率，長期異常調整出料率</t>
  </si>
  <si>
    <t>川燙油菜</t>
  </si>
  <si>
    <t>包裝超用超補→加強教育訓練</t>
  </si>
  <si>
    <t>蕃茄莎莎海鮮冷義大利麵</t>
  </si>
  <si>
    <t>川燙-切紅黃甜椒絲</t>
  </si>
  <si>
    <t>沙茶豬肉炒麵</t>
  </si>
  <si>
    <t>炒高麗菜紅蘿蔔絲</t>
  </si>
  <si>
    <t>蒸-花蛤肉</t>
  </si>
  <si>
    <t>解凍-辛子明太子醬</t>
  </si>
  <si>
    <t>新品/包裝超用超補→加強教育訓練</t>
  </si>
  <si>
    <t>蒸4切濾黃金豆腐</t>
  </si>
  <si>
    <t>1盒4切尾數報廢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</si>
  <si>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</si>
  <si>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(V)義麵-金沙奶醬(115年)</t>
  </si>
  <si>
    <t>（８）超用原因別前幾名品項</t>
  </si>
  <si>
    <t>焗烤起司雙饗筆尖麵</t>
  </si>
  <si>
    <t>加強稽核及教育訓練</t>
  </si>
  <si>
    <t>切蒸前腿肉</t>
  </si>
  <si>
    <t>研發設定，2片8G以上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</si>
  <si>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</si>
  <si>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</si>
  <si>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</si>
  <si>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</si>
  <si>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</si>
  <si>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</si>
  <si>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</si>
  <si>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</si>
  <si>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</si>
  <si>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</si>
  <si>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</si>
  <si>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</si>
  <si>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</si>
  <si>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</si>
  <si>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</si>
  <si>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</si>
  <si>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</si>
  <si>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</si>
  <si>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</si>
  <si>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</si>
  <si>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</si>
  <si>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</si>
  <si>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</si>
  <si>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</si>
  <si>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</si>
  <si>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r>
      <t>081</t>
    </r>
    <r>
      <rPr>
        <sz val="12"/>
        <color rgb="FF000000"/>
        <rFont val="微軟正黑體"/>
        <family val="2"/>
        <charset val="136"/>
      </rPr>
      <t>8</t>
    </r>
    <r>
      <rPr>
        <sz val="12"/>
        <color rgb="FF000000"/>
        <rFont val="Meiryo UI"/>
        <family val="2"/>
      </rPr>
      <t>-08</t>
    </r>
    <r>
      <rPr>
        <sz val="12"/>
        <color rgb="FF000000"/>
        <rFont val="微軟正黑體"/>
        <family val="2"/>
        <charset val="136"/>
      </rPr>
      <t>24</t>
    </r>
  </si>
  <si>
    <t>生管預估</t>
  </si>
  <si>
    <t>預估量大於訂單量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</si>
  <si>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</si>
  <si>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</si>
  <si>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包裝</t>
  </si>
  <si>
    <t>加強教育訓練，抓樣範圍95%~100%</t>
  </si>
  <si>
    <t>調理</t>
  </si>
  <si>
    <t>調理多產</t>
  </si>
  <si>
    <t>正常製成率範圍</t>
  </si>
  <si>
    <t>百分比</t>
  </si>
  <si>
    <t>(V)義麵-松露野菇白醬</t>
  </si>
  <si>
    <t>(V)炒洋菇片</t>
  </si>
  <si>
    <t>研發</t>
  </si>
  <si>
    <t>義麵-培根起司奶醬</t>
  </si>
  <si>
    <t>羅馬黑胡椒起司義大利麵</t>
  </si>
  <si>
    <t>原物料</t>
  </si>
  <si>
    <t>(V)炒-切香菇片</t>
  </si>
  <si>
    <t>川燙紅甜椒丁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</si>
  <si>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</si>
  <si>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</si>
  <si>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2片/8G以上</t>
  </si>
  <si>
    <t>煙燻原味乾酪絲</t>
  </si>
  <si>
    <t>113年煮沙茶炒麵湯凍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</si>
  <si>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</si>
  <si>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</si>
  <si>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</si>
  <si>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</si>
  <si>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</si>
  <si>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</si>
  <si>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</si>
  <si>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</si>
  <si>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</si>
  <si>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</si>
  <si>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</si>
  <si>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</si>
  <si>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</si>
  <si>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</si>
  <si>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</si>
  <si>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</si>
  <si>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</si>
  <si>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</si>
  <si>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</si>
  <si>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</si>
  <si>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</si>
  <si>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</si>
  <si>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</si>
  <si>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</si>
  <si>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</si>
  <si>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</si>
  <si>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</si>
  <si>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</si>
  <si>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</si>
  <si>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</si>
  <si>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</si>
  <si>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</si>
  <si>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</si>
  <si>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</si>
  <si>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</si>
  <si>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</si>
  <si>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</si>
  <si>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</si>
  <si>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</si>
  <si>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</si>
  <si>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</si>
  <si>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</si>
  <si>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</si>
  <si>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</si>
  <si>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</si>
  <si>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</si>
  <si>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</si>
  <si>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</si>
  <si>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</si>
  <si>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</si>
  <si>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</si>
  <si>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</si>
  <si>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</si>
  <si>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</si>
  <si>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</si>
  <si>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</si>
  <si>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</si>
  <si>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</si>
  <si>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</si>
  <si>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</si>
  <si>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</si>
  <si>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</si>
  <si>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</si>
  <si>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</si>
  <si>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</si>
  <si>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</si>
  <si>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</si>
  <si>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</si>
  <si>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</si>
  <si>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</si>
  <si>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</si>
  <si>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</si>
  <si>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</si>
  <si>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</si>
  <si>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</si>
  <si>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</si>
  <si>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</si>
  <si>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</si>
  <si>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</si>
  <si>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</si>
  <si>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</si>
  <si>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</si>
  <si>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</si>
  <si>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</si>
  <si>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</si>
  <si>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</si>
  <si>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</si>
  <si>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</si>
  <si>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</si>
  <si>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</si>
  <si>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</si>
  <si>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</si>
  <si>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</si>
  <si>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</si>
  <si>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</si>
  <si>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</si>
  <si>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</si>
  <si>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</si>
  <si>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</si>
  <si>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</si>
  <si>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</si>
  <si>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</si>
  <si>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</si>
  <si>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</si>
  <si>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</si>
  <si>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</si>
  <si>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</si>
  <si>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</si>
  <si>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</si>
  <si>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</si>
  <si>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</si>
  <si>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</si>
  <si>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</si>
  <si>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</si>
  <si>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</si>
  <si>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</si>
  <si>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</si>
  <si>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</si>
  <si>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</si>
  <si>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</si>
  <si>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</si>
  <si>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</si>
  <si>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</si>
  <si>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</si>
  <si>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</si>
  <si>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</si>
  <si>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</si>
  <si>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</si>
  <si>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</si>
  <si>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</si>
  <si>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</si>
  <si>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</si>
  <si>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</si>
  <si>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</si>
  <si>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</si>
  <si>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</si>
  <si>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</si>
  <si>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</si>
  <si>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</si>
  <si>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</si>
  <si>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</si>
  <si>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</si>
  <si>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</si>
  <si>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</si>
  <si>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蒜香奶油蝦蝦義大利麵</t>
  </si>
  <si>
    <t>蒜香奶油蝦蝦義大利麵-手</t>
  </si>
  <si>
    <t>鱈魚粉紅青醬筆尖麵</t>
  </si>
  <si>
    <t>焗烤起司肉醬筆尖麵-降</t>
  </si>
  <si>
    <t>焗烤起司肉醬筆尖麵</t>
  </si>
  <si>
    <t>焦糖拿鐵烤雞細扁麵</t>
  </si>
  <si>
    <t>番茄蘑菇義大利麵</t>
  </si>
  <si>
    <t>義式辣味嫩烤雞腿排義大利麵</t>
  </si>
  <si>
    <t>整條德式香腸義大利麵</t>
  </si>
  <si>
    <t>煮意麵肉燥</t>
    <phoneticPr fontId="23" type="noConversion"/>
  </si>
  <si>
    <t>府城鹽水意麵</t>
    <phoneticPr fontId="23" type="noConversion"/>
  </si>
  <si>
    <t>奶香白醬</t>
    <phoneticPr fontId="23" type="noConversion"/>
  </si>
  <si>
    <t>奶油培根義大利麵</t>
    <phoneticPr fontId="23" type="noConversion"/>
  </si>
  <si>
    <t>川燙油菜</t>
    <phoneticPr fontId="23" type="noConversion"/>
  </si>
  <si>
    <t>青花椒麻雞肉拌麵</t>
    <phoneticPr fontId="23" type="noConversion"/>
  </si>
  <si>
    <t>香煎魚排佐檸檬奶油義大利麵</t>
    <phoneticPr fontId="23" type="noConversion"/>
  </si>
  <si>
    <t>川燙-切紅黃甜椒絲</t>
    <phoneticPr fontId="23" type="noConversion"/>
  </si>
  <si>
    <t>蕃茄莎莎海鮮冷義大利麵</t>
    <phoneticPr fontId="23" type="noConversion"/>
  </si>
  <si>
    <t>炒高麗菜紅蘿蔔絲</t>
    <phoneticPr fontId="23" type="noConversion"/>
  </si>
  <si>
    <t>沙茶豬肉炒麵</t>
    <phoneticPr fontId="23" type="noConversion"/>
  </si>
  <si>
    <t>蒸-花蛤肉</t>
    <phoneticPr fontId="23" type="noConversion"/>
  </si>
  <si>
    <t>青醬蛤蜊義大利麵</t>
    <phoneticPr fontId="23" type="noConversion"/>
  </si>
  <si>
    <t>解凍-辛子明太子醬</t>
    <phoneticPr fontId="23" type="noConversion"/>
  </si>
  <si>
    <t>奶油鮮蝦明太子細扁麵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</si>
</sst>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1"/>
      <color theme="1"/>
      <name val="Meiryo UI"/>
      <family val="2"/>
      <charset val="1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00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D9E7FD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775">
    <xf numFmtId="0" fontId="0" fillId="0" borderId="0"/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9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2" fillId="0" borderId="0">
      <alignment vertical="center"/>
    </xf>
    <xf numFmtId="0" fontId="4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8" fillId="0" borderId="0"/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7" fillId="0" borderId="0"/>
    <xf numFmtId="0" fontId="14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58">
    <xf numFmtId="0" fontId="0" fillId="0" borderId="0" xfId="0"/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1" xfId="0" applyFont="1" applyBorder="1" applyAlignment="1">
      <alignment horizontal="right" shrinkToFit="1"/>
    </xf>
    <xf numFmtId="0" fontId="17" fillId="0" borderId="1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8" fillId="0" borderId="3" xfId="0" applyFont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3" fontId="17" fillId="0" borderId="1" xfId="0" applyNumberFormat="1" applyFont="1" applyBorder="1" applyAlignment="1">
      <alignment shrinkToFit="1"/>
    </xf>
    <xf numFmtId="3" fontId="17" fillId="3" borderId="1" xfId="0" applyNumberFormat="1" applyFont="1" applyFill="1" applyBorder="1" applyAlignment="1">
      <alignment shrinkToFit="1"/>
    </xf>
    <xf numFmtId="4" fontId="17" fillId="0" borderId="1" xfId="0" applyNumberFormat="1" applyFont="1" applyBorder="1" applyAlignment="1">
      <alignment horizontal="right" shrinkToFit="1"/>
    </xf>
    <xf numFmtId="10" fontId="17" fillId="2" borderId="1" xfId="0" applyNumberFormat="1" applyFont="1" applyFill="1" applyBorder="1" applyAlignment="1">
      <alignment horizontal="right" shrinkToFit="1"/>
    </xf>
    <xf numFmtId="10" fontId="17" fillId="3" borderId="1" xfId="0" applyNumberFormat="1" applyFont="1" applyFill="1" applyBorder="1" applyAlignment="1">
      <alignment shrinkToFit="1"/>
    </xf>
    <xf numFmtId="10" fontId="17" fillId="0" borderId="1" xfId="0" applyNumberFormat="1" applyFont="1" applyBorder="1" applyAlignment="1">
      <alignment shrinkToFit="1"/>
    </xf>
    <xf numFmtId="10" fontId="18" fillId="0" borderId="0" xfId="0" applyNumberFormat="1" applyFont="1" applyAlignment="1">
      <alignment shrinkToFit="1"/>
    </xf>
    <xf numFmtId="0" fontId="17" fillId="3" borderId="1" xfId="0" applyFont="1" applyFill="1" applyBorder="1" applyAlignment="1">
      <alignment shrinkToFit="1"/>
    </xf>
    <xf numFmtId="4" fontId="17" fillId="0" borderId="1" xfId="0" applyNumberFormat="1" applyFont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8" fillId="2" borderId="7" xfId="0" applyFont="1" applyFill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7" xfId="0" applyFont="1" applyFill="1" applyBorder="1" applyAlignment="1">
      <alignment shrinkToFit="1"/>
    </xf>
    <xf numFmtId="0" fontId="18" fillId="0" borderId="8" xfId="0" applyFont="1" applyBorder="1" applyAlignment="1">
      <alignment shrinkToFit="1"/>
    </xf>
    <xf numFmtId="0" fontId="17" fillId="0" borderId="5" xfId="0" applyFont="1" applyBorder="1" applyAlignment="1">
      <alignment shrinkToFit="1"/>
    </xf>
    <xf numFmtId="0" fontId="17" fillId="0" borderId="14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10" fontId="17" fillId="0" borderId="5" xfId="0" applyNumberFormat="1" applyFont="1" applyBorder="1" applyAlignment="1">
      <alignment shrinkToFit="1"/>
    </xf>
    <xf numFmtId="0" fontId="17" fillId="3" borderId="5" xfId="0" applyFont="1" applyFill="1" applyBorder="1" applyAlignment="1">
      <alignment shrinkToFit="1"/>
    </xf>
    <xf numFmtId="0" fontId="17" fillId="2" borderId="15" xfId="0" applyFont="1" applyFill="1" applyBorder="1" applyAlignment="1">
      <alignment shrinkToFit="1"/>
    </xf>
    <xf numFmtId="10" fontId="17" fillId="3" borderId="17" xfId="0" applyNumberFormat="1" applyFont="1" applyFill="1" applyBorder="1" applyAlignment="1">
      <alignment shrinkToFit="1"/>
    </xf>
    <xf numFmtId="0" fontId="17" fillId="3" borderId="18" xfId="0" applyFont="1" applyFill="1" applyBorder="1" applyAlignment="1">
      <alignment shrinkToFit="1"/>
    </xf>
    <xf numFmtId="0" fontId="17" fillId="0" borderId="6" xfId="0" applyFont="1" applyBorder="1" applyAlignment="1">
      <alignment shrinkToFit="1"/>
    </xf>
    <xf numFmtId="10" fontId="17" fillId="0" borderId="6" xfId="0" applyNumberFormat="1" applyFont="1" applyBorder="1" applyAlignment="1">
      <alignment shrinkToFit="1"/>
    </xf>
    <xf numFmtId="0" fontId="17" fillId="3" borderId="6" xfId="0" applyFont="1" applyFill="1" applyBorder="1" applyAlignment="1">
      <alignment shrinkToFit="1"/>
    </xf>
    <xf numFmtId="10" fontId="17" fillId="0" borderId="0" xfId="0" applyNumberFormat="1" applyFont="1" applyAlignment="1">
      <alignment shrinkToFit="1"/>
    </xf>
    <xf numFmtId="10" fontId="17" fillId="2" borderId="1" xfId="0" applyNumberFormat="1" applyFont="1" applyFill="1" applyBorder="1" applyAlignment="1">
      <alignment shrinkToFit="1"/>
    </xf>
    <xf numFmtId="0" fontId="17" fillId="3" borderId="7" xfId="0" applyFont="1" applyFill="1" applyBorder="1" applyAlignment="1">
      <alignment shrinkToFit="1"/>
    </xf>
    <xf numFmtId="10" fontId="17" fillId="3" borderId="5" xfId="0" applyNumberFormat="1" applyFont="1" applyFill="1" applyBorder="1" applyAlignment="1">
      <alignment shrinkToFit="1"/>
    </xf>
    <xf numFmtId="0" fontId="17" fillId="0" borderId="11" xfId="0" applyFont="1" applyBorder="1" applyAlignment="1">
      <alignment shrinkToFit="1"/>
    </xf>
    <xf numFmtId="10" fontId="17" fillId="0" borderId="14" xfId="0" applyNumberFormat="1" applyFont="1" applyBorder="1" applyAlignment="1">
      <alignment shrinkToFit="1"/>
    </xf>
    <xf numFmtId="10" fontId="17" fillId="3" borderId="14" xfId="0" applyNumberFormat="1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0" borderId="1" xfId="0" applyFont="1" applyBorder="1" applyAlignment="1">
      <alignment shrinkToFit="1"/>
    </xf>
    <xf numFmtId="0" fontId="20" fillId="2" borderId="1" xfId="0" applyFont="1" applyFill="1" applyBorder="1" applyAlignment="1">
      <alignment horizontal="left" shrinkToFit="1"/>
    </xf>
    <xf numFmtId="0" fontId="21" fillId="2" borderId="1" xfId="0" applyFont="1" applyFill="1" applyBorder="1" applyAlignment="1">
      <alignment shrinkToFit="1"/>
    </xf>
    <xf numFmtId="0" fontId="20" fillId="2" borderId="6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1" fillId="2" borderId="5" xfId="0" applyFont="1" applyFill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23" xfId="0" applyFont="1" applyFill="1" applyBorder="1" applyAlignment="1">
      <alignment shrinkToFit="1"/>
    </xf>
    <xf numFmtId="0" fontId="20" fillId="2" borderId="22" xfId="0" applyFont="1" applyFill="1" applyBorder="1" applyAlignment="1">
      <alignment shrinkToFit="1"/>
    </xf>
    <xf numFmtId="0" fontId="20" fillId="2" borderId="1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16" xfId="0" applyFont="1" applyFill="1" applyBorder="1" applyAlignment="1">
      <alignment shrinkToFit="1"/>
    </xf>
    <xf numFmtId="0" fontId="20" fillId="4" borderId="0" xfId="0" applyFont="1" applyFill="1"/>
    <xf numFmtId="0" fontId="21" fillId="4" borderId="0" xfId="0" applyFont="1" applyFill="1" applyAlignment="1">
      <alignment shrinkToFit="1"/>
    </xf>
    <xf numFmtId="0" fontId="20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7" fillId="4" borderId="0" xfId="0" applyFont="1" applyFill="1"/>
    <xf numFmtId="10" fontId="17" fillId="4" borderId="0" xfId="0" applyNumberFormat="1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7" fillId="2" borderId="24" xfId="0" applyFont="1" applyFill="1" applyBorder="1" applyAlignment="1">
      <alignment shrinkToFit="1"/>
    </xf>
    <xf numFmtId="0" fontId="21" fillId="0" borderId="11" xfId="0" applyFont="1" applyBorder="1" applyAlignment="1">
      <alignment horizontal="right" shrinkToFit="1"/>
    </xf>
    <xf numFmtId="0" fontId="21" fillId="0" borderId="3" xfId="0" applyFont="1" applyBorder="1" applyAlignment="1">
      <alignment horizontal="right" shrinkToFit="1"/>
    </xf>
    <xf numFmtId="0" fontId="22" fillId="0" borderId="0" xfId="0" applyFont="1" applyAlignment="1">
      <alignment horizontal="center"/>
    </xf>
    <xf numFmtId="10" fontId="22" fillId="0" borderId="0" xfId="0" applyNumberFormat="1" applyFont="1"/>
    <xf numFmtId="0" fontId="22" fillId="0" borderId="0" xfId="0" applyFont="1"/>
    <xf numFmtId="0" fontId="19" fillId="0" borderId="3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25" fillId="0" borderId="0" xfId="0" applyFont="1" applyAlignment="1">
      <alignment horizontal="left"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80" fontId="30" fillId="0" borderId="0" xfId="0" applyNumberFormat="1" applyFont="1"/>
    <xf numFmtId="180" fontId="22" fillId="0" borderId="0" xfId="0" applyNumberFormat="1" applyFont="1"/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4" fillId="0" borderId="0" xfId="0" applyFont="1"/>
    <xf numFmtId="177" fontId="30" fillId="0" borderId="0" xfId="0" applyNumberFormat="1" applyFont="1" applyAlignment="1">
      <alignment horizontal="center"/>
    </xf>
    <xf numFmtId="177" fontId="30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7" fillId="0" borderId="3" xfId="0" applyFont="1" applyBorder="1" applyAlignment="1">
      <alignment vertical="center" shrinkToFit="1"/>
    </xf>
    <xf numFmtId="0" fontId="17" fillId="0" borderId="8" xfId="0" applyFont="1" applyBorder="1" applyAlignment="1">
      <alignment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2" xfId="0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20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0" fillId="0" borderId="0" xfId="0" applyFont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53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53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30" fillId="0" borderId="0" xfId="253" applyFont="1" applyAlignment="1">
      <alignment shrinkToFit="1"/>
    </xf>
    <xf numFmtId="0" fontId="30" fillId="4" borderId="0" xfId="253" applyFont="1" applyFill="1" applyAlignment="1">
      <alignment shrinkToFit="1"/>
    </xf>
    <xf numFmtId="0" fontId="45" fillId="0" borderId="6" xfId="253" applyFont="1" applyBorder="1" applyAlignment="1">
      <alignment horizontal="center" shrinkToFit="1"/>
    </xf>
    <xf numFmtId="3" fontId="40" fillId="0" borderId="6" xfId="253" applyNumberFormat="1" applyFont="1" applyBorder="1" applyAlignment="1">
      <alignment shrinkToFit="1"/>
    </xf>
    <xf numFmtId="10" fontId="40" fillId="0" borderId="6" xfId="253" applyNumberFormat="1" applyFont="1" applyBorder="1" applyAlignment="1">
      <alignment shrinkToFit="1"/>
    </xf>
    <xf numFmtId="3" fontId="32" fillId="0" borderId="22" xfId="253" applyNumberFormat="1" applyFont="1" applyBorder="1" applyAlignment="1">
      <alignment shrinkToFit="1"/>
    </xf>
    <xf numFmtId="10" fontId="32" fillId="0" borderId="22" xfId="253" applyNumberFormat="1" applyFont="1" applyBorder="1" applyAlignment="1">
      <alignment shrinkToFit="1"/>
    </xf>
    <xf numFmtId="0" fontId="45" fillId="0" borderId="1" xfId="253" applyFont="1" applyBorder="1" applyAlignment="1">
      <alignment horizontal="center" shrinkToFit="1"/>
    </xf>
    <xf numFmtId="3" fontId="40" fillId="0" borderId="1" xfId="253" applyNumberFormat="1" applyFont="1" applyBorder="1" applyAlignment="1">
      <alignment shrinkToFit="1"/>
    </xf>
    <xf numFmtId="0" fontId="34" fillId="0" borderId="0" xfId="253" applyFont="1"/>
    <xf numFmtId="0" fontId="34" fillId="0" borderId="0" xfId="253" applyFont="1" applyAlignment="1">
      <alignment vertical="center"/>
    </xf>
    <xf numFmtId="0" fontId="17" fillId="0" borderId="0" xfId="286"/>
    <xf numFmtId="0" fontId="59" fillId="9" borderId="30" xfId="286" applyFont="1" applyFill="1" applyBorder="1"/>
    <xf numFmtId="0" fontId="59" fillId="0" borderId="0" xfId="286" applyFont="1"/>
    <xf numFmtId="0" fontId="59" fillId="0" borderId="22" xfId="286" applyFont="1" applyBorder="1"/>
    <xf numFmtId="0" fontId="59" fillId="9" borderId="22" xfId="286" applyFont="1" applyFill="1" applyBorder="1"/>
    <xf numFmtId="185" fontId="30" fillId="0" borderId="0" xfId="0" applyNumberFormat="1" applyFont="1"/>
    <xf numFmtId="0" fontId="34" fillId="5" borderId="23" xfId="253" applyFont="1" applyFill="1" applyBorder="1" applyAlignment="1">
      <alignment horizontal="center" vertical="center"/>
    </xf>
    <xf numFmtId="0" fontId="32" fillId="5" borderId="22" xfId="253" applyFont="1" applyFill="1" applyBorder="1" applyAlignment="1">
      <alignment horizontal="center" vertical="center" shrinkToFit="1"/>
    </xf>
    <xf numFmtId="0" fontId="30" fillId="4" borderId="0" xfId="253" applyFont="1" applyFill="1" applyAlignment="1">
      <alignment horizontal="center" vertical="center" shrinkToFit="1"/>
    </xf>
    <xf numFmtId="0" fontId="30" fillId="0" borderId="0" xfId="253" applyFont="1" applyAlignment="1">
      <alignment horizontal="center" vertical="center" shrinkToFit="1"/>
    </xf>
    <xf numFmtId="0" fontId="32" fillId="5" borderId="22" xfId="253" applyFont="1" applyFill="1" applyBorder="1" applyAlignment="1">
      <alignment horizontal="center" shrinkToFit="1"/>
    </xf>
    <xf numFmtId="0" fontId="30" fillId="4" borderId="0" xfId="253" applyFont="1" applyFill="1" applyAlignment="1">
      <alignment horizontal="center" shrinkToFit="1"/>
    </xf>
    <xf numFmtId="0" fontId="45" fillId="2" borderId="22" xfId="253" applyFont="1" applyFill="1" applyBorder="1" applyAlignment="1">
      <alignment horizontal="center" vertical="center" shrinkToFit="1"/>
    </xf>
    <xf numFmtId="0" fontId="32" fillId="2" borderId="22" xfId="253" applyFont="1" applyFill="1" applyBorder="1" applyAlignment="1">
      <alignment horizontal="center" vertical="center" shrinkToFit="1"/>
    </xf>
    <xf numFmtId="0" fontId="45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0" borderId="22" xfId="253" applyFont="1" applyBorder="1" applyAlignment="1">
      <alignment horizontal="right" shrinkToFit="1"/>
    </xf>
    <xf numFmtId="0" fontId="45" fillId="2" borderId="22" xfId="253" applyFont="1" applyFill="1" applyBorder="1" applyAlignment="1">
      <alignment horizontal="center" shrinkToFit="1"/>
    </xf>
    <xf numFmtId="0" fontId="32" fillId="2" borderId="22" xfId="253" applyFont="1" applyFill="1" applyBorder="1" applyAlignment="1">
      <alignment horizontal="center" shrinkToFit="1"/>
    </xf>
    <xf numFmtId="0" fontId="30" fillId="0" borderId="0" xfId="253" applyFont="1" applyAlignment="1">
      <alignment horizontal="center" shrinkToFit="1"/>
    </xf>
    <xf numFmtId="1" fontId="32" fillId="0" borderId="22" xfId="253" applyNumberFormat="1" applyFont="1" applyBorder="1" applyAlignment="1">
      <alignment shrinkToFit="1"/>
    </xf>
    <xf numFmtId="183" fontId="32" fillId="0" borderId="22" xfId="253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7" fillId="3" borderId="1" xfId="0" applyNumberFormat="1" applyFont="1" applyFill="1" applyBorder="1" applyAlignment="1">
      <alignment shrinkToFit="1"/>
    </xf>
    <xf numFmtId="183" fontId="17" fillId="3" borderId="5" xfId="0" applyNumberFormat="1" applyFont="1" applyFill="1" applyBorder="1" applyAlignment="1">
      <alignment shrinkToFit="1"/>
    </xf>
    <xf numFmtId="0" fontId="41" fillId="0" borderId="0" xfId="351" applyFont="1" applyAlignment="1">
      <alignment horizontal="center" vertical="center"/>
    </xf>
    <xf numFmtId="0" fontId="10" fillId="0" borderId="0" xfId="351">
      <alignment vertical="center"/>
    </xf>
    <xf numFmtId="0" fontId="63" fillId="0" borderId="0" xfId="351" applyFont="1" applyAlignment="1">
      <alignment horizontal="center" vertical="center"/>
    </xf>
    <xf numFmtId="186" fontId="30" fillId="0" borderId="0" xfId="0" applyNumberFormat="1" applyFont="1"/>
    <xf numFmtId="0" fontId="26" fillId="0" borderId="0" xfId="0" applyFont="1" applyAlignment="1">
      <alignment vertical="center"/>
    </xf>
    <xf numFmtId="0" fontId="25" fillId="0" borderId="0" xfId="253" applyFont="1" applyAlignment="1">
      <alignment horizontal="left" vertical="center"/>
    </xf>
    <xf numFmtId="0" fontId="60" fillId="0" borderId="0" xfId="253" applyFont="1" applyAlignment="1">
      <alignment vertical="center"/>
    </xf>
    <xf numFmtId="183" fontId="28" fillId="0" borderId="0" xfId="253" applyNumberFormat="1" applyAlignment="1">
      <alignment horizontal="center" vertical="center"/>
    </xf>
    <xf numFmtId="0" fontId="28" fillId="0" borderId="0" xfId="253" applyAlignment="1">
      <alignment horizontal="center" vertical="center"/>
    </xf>
    <xf numFmtId="0" fontId="28" fillId="0" borderId="0" xfId="253" applyAlignment="1">
      <alignment vertical="center"/>
    </xf>
    <xf numFmtId="0" fontId="30" fillId="0" borderId="0" xfId="253" applyFont="1" applyAlignment="1">
      <alignment vertical="center"/>
    </xf>
    <xf numFmtId="0" fontId="39" fillId="0" borderId="0" xfId="253" applyFont="1" applyAlignment="1">
      <alignment horizontal="left" vertical="center"/>
    </xf>
    <xf numFmtId="0" fontId="39" fillId="0" borderId="34" xfId="253" applyFont="1" applyBorder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9" fillId="0" borderId="36" xfId="253" applyFont="1" applyBorder="1" applyAlignment="1">
      <alignment horizontal="left" vertical="center"/>
    </xf>
    <xf numFmtId="0" fontId="30" fillId="0" borderId="0" xfId="253" applyFont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" fontId="28" fillId="0" borderId="22" xfId="253" applyNumberForma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1" fontId="28" fillId="0" borderId="31" xfId="253" applyNumberFormat="1" applyBorder="1" applyAlignment="1">
      <alignment horizontal="center" vertical="center"/>
    </xf>
    <xf numFmtId="0" fontId="62" fillId="0" borderId="22" xfId="253" applyFont="1" applyBorder="1" applyAlignment="1">
      <alignment horizontal="center" vertical="center"/>
    </xf>
    <xf numFmtId="0" fontId="39" fillId="0" borderId="37" xfId="253" applyFont="1" applyBorder="1" applyAlignment="1">
      <alignment horizontal="left" vertical="center"/>
    </xf>
    <xf numFmtId="0" fontId="39" fillId="0" borderId="32" xfId="253" applyFont="1" applyBorder="1" applyAlignment="1">
      <alignment horizontal="left" vertical="center"/>
    </xf>
    <xf numFmtId="179" fontId="69" fillId="0" borderId="0" xfId="0" applyNumberFormat="1" applyFont="1" applyAlignment="1">
      <alignment horizontal="center"/>
    </xf>
    <xf numFmtId="185" fontId="17" fillId="0" borderId="1" xfId="697" applyNumberFormat="1" applyFont="1" applyBorder="1" applyAlignment="1">
      <alignment shrinkToFit="1"/>
    </xf>
    <xf numFmtId="185" fontId="32" fillId="0" borderId="22" xfId="697" applyNumberFormat="1" applyFont="1" applyBorder="1" applyAlignment="1">
      <alignment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85" fontId="30" fillId="0" borderId="0" xfId="0" applyNumberFormat="1" applyFont="1" applyAlignment="1">
      <alignment vertical="center"/>
    </xf>
    <xf numFmtId="0" fontId="34" fillId="0" borderId="22" xfId="253" applyFont="1" applyBorder="1" applyAlignment="1">
      <alignment horizontal="center" vertical="center"/>
    </xf>
    <xf numFmtId="0" fontId="40" fillId="5" borderId="23" xfId="286" applyFont="1" applyFill="1" applyBorder="1" applyAlignment="1">
      <alignment horizontal="center" vertical="center"/>
    </xf>
    <xf numFmtId="0" fontId="34" fillId="0" borderId="0" xfId="253" applyFont="1" applyAlignment="1">
      <alignment horizontal="center" vertical="center"/>
    </xf>
    <xf numFmtId="0" fontId="65" fillId="0" borderId="22" xfId="253" applyFont="1" applyBorder="1" applyAlignment="1">
      <alignment horizontal="center" vertical="center"/>
    </xf>
    <xf numFmtId="0" fontId="40" fillId="0" borderId="22" xfId="253" applyFont="1" applyBorder="1" applyAlignment="1">
      <alignment horizontal="center" vertical="center"/>
    </xf>
    <xf numFmtId="0" fontId="34" fillId="0" borderId="41" xfId="253" applyFont="1" applyBorder="1" applyAlignment="1">
      <alignment horizontal="center" vertical="center"/>
    </xf>
    <xf numFmtId="0" fontId="40" fillId="0" borderId="22" xfId="253" applyFont="1" applyBorder="1" applyAlignment="1">
      <alignment horizontal="left" vertical="center"/>
    </xf>
    <xf numFmtId="0" fontId="65" fillId="0" borderId="22" xfId="253" applyFont="1" applyBorder="1" applyAlignment="1">
      <alignment horizontal="left" vertical="center"/>
    </xf>
    <xf numFmtId="0" fontId="34" fillId="0" borderId="0" xfId="253" applyFont="1" applyAlignment="1">
      <alignment horizontal="left" vertical="center"/>
    </xf>
    <xf numFmtId="186" fontId="30" fillId="0" borderId="22" xfId="0" applyNumberFormat="1" applyFont="1" applyBorder="1"/>
    <xf numFmtId="0" fontId="7" fillId="0" borderId="0" xfId="43">
      <alignment vertical="center"/>
    </xf>
    <xf numFmtId="189" fontId="75" fillId="9" borderId="43" xfId="43" applyNumberFormat="1" applyFont="1" applyFill="1" applyBorder="1" applyAlignment="1">
      <alignment horizontal="center" vertical="center"/>
    </xf>
    <xf numFmtId="190" fontId="75" fillId="0" borderId="43" xfId="43" applyNumberFormat="1" applyFont="1" applyBorder="1" applyAlignment="1">
      <alignment horizontal="center" vertical="center"/>
    </xf>
    <xf numFmtId="189" fontId="75" fillId="9" borderId="43" xfId="158" applyNumberFormat="1" applyFont="1" applyFill="1" applyBorder="1" applyAlignment="1">
      <alignment horizontal="center" vertical="center"/>
    </xf>
    <xf numFmtId="10" fontId="75" fillId="0" borderId="43" xfId="705" applyNumberFormat="1" applyFont="1" applyBorder="1" applyAlignment="1">
      <alignment horizontal="center" vertical="center"/>
    </xf>
    <xf numFmtId="189" fontId="75" fillId="9" borderId="43" xfId="705" applyNumberFormat="1" applyFont="1" applyFill="1" applyBorder="1" applyAlignment="1">
      <alignment horizontal="center" vertical="center"/>
    </xf>
    <xf numFmtId="191" fontId="75" fillId="9" borderId="43" xfId="43" applyNumberFormat="1" applyFont="1" applyFill="1" applyBorder="1" applyAlignment="1">
      <alignment horizontal="center" vertical="center"/>
    </xf>
    <xf numFmtId="10" fontId="75" fillId="0" borderId="43" xfId="43" applyNumberFormat="1" applyFont="1" applyBorder="1" applyAlignment="1">
      <alignment horizontal="center" vertical="center"/>
    </xf>
    <xf numFmtId="189" fontId="75" fillId="9" borderId="22" xfId="43" applyNumberFormat="1" applyFont="1" applyFill="1" applyBorder="1" applyAlignment="1">
      <alignment horizontal="center" vertical="center"/>
    </xf>
    <xf numFmtId="190" fontId="75" fillId="0" borderId="22" xfId="43" applyNumberFormat="1" applyFont="1" applyBorder="1" applyAlignment="1">
      <alignment horizontal="center" vertical="center"/>
    </xf>
    <xf numFmtId="189" fontId="75" fillId="9" borderId="22" xfId="158" applyNumberFormat="1" applyFont="1" applyFill="1" applyBorder="1" applyAlignment="1">
      <alignment horizontal="center" vertical="center"/>
    </xf>
    <xf numFmtId="10" fontId="75" fillId="0" borderId="22" xfId="705" applyNumberFormat="1" applyFont="1" applyBorder="1" applyAlignment="1">
      <alignment horizontal="center" vertical="center"/>
    </xf>
    <xf numFmtId="189" fontId="75" fillId="9" borderId="22" xfId="705" applyNumberFormat="1" applyFont="1" applyFill="1" applyBorder="1" applyAlignment="1">
      <alignment horizontal="center" vertical="center"/>
    </xf>
    <xf numFmtId="191" fontId="75" fillId="9" borderId="22" xfId="43" applyNumberFormat="1" applyFont="1" applyFill="1" applyBorder="1" applyAlignment="1">
      <alignment horizontal="center" vertical="center"/>
    </xf>
    <xf numFmtId="10" fontId="75" fillId="0" borderId="22" xfId="43" applyNumberFormat="1" applyFont="1" applyBorder="1" applyAlignment="1">
      <alignment horizontal="center" vertical="center"/>
    </xf>
    <xf numFmtId="1" fontId="7" fillId="0" borderId="0" xfId="43" applyNumberFormat="1">
      <alignment vertical="center"/>
    </xf>
    <xf numFmtId="188" fontId="75" fillId="0" borderId="44" xfId="286" applyNumberFormat="1" applyFont="1" applyBorder="1" applyAlignment="1">
      <alignment horizontal="center" vertical="center"/>
    </xf>
    <xf numFmtId="189" fontId="75" fillId="9" borderId="46" xfId="43" applyNumberFormat="1" applyFont="1" applyFill="1" applyBorder="1" applyAlignment="1">
      <alignment horizontal="center" vertical="center"/>
    </xf>
    <xf numFmtId="190" fontId="75" fillId="0" borderId="46" xfId="43" applyNumberFormat="1" applyFont="1" applyBorder="1" applyAlignment="1">
      <alignment horizontal="center" vertical="center"/>
    </xf>
    <xf numFmtId="10" fontId="75" fillId="0" borderId="46" xfId="705" applyNumberFormat="1" applyFont="1" applyBorder="1" applyAlignment="1">
      <alignment horizontal="center" vertical="center"/>
    </xf>
    <xf numFmtId="10" fontId="75" fillId="0" borderId="46" xfId="43" applyNumberFormat="1" applyFont="1" applyBorder="1" applyAlignment="1">
      <alignment horizontal="center" vertical="center"/>
    </xf>
    <xf numFmtId="3" fontId="7" fillId="0" borderId="0" xfId="43" applyNumberFormat="1">
      <alignment vertical="center"/>
    </xf>
    <xf numFmtId="190" fontId="7" fillId="0" borderId="0" xfId="705" applyNumberFormat="1" applyFont="1" applyAlignment="1">
      <alignment vertical="center"/>
    </xf>
    <xf numFmtId="189" fontId="75" fillId="9" borderId="46" xfId="158" applyNumberFormat="1" applyFont="1" applyFill="1" applyBorder="1" applyAlignment="1">
      <alignment horizontal="center" vertical="center"/>
    </xf>
    <xf numFmtId="189" fontId="75" fillId="9" borderId="46" xfId="705" applyNumberFormat="1" applyFont="1" applyFill="1" applyBorder="1" applyAlignment="1">
      <alignment horizontal="center" vertical="center"/>
    </xf>
    <xf numFmtId="191" fontId="75" fillId="9" borderId="46" xfId="43" applyNumberFormat="1" applyFont="1" applyFill="1" applyBorder="1" applyAlignment="1">
      <alignment horizontal="center" vertical="center"/>
    </xf>
    <xf numFmtId="188" fontId="75" fillId="0" borderId="42" xfId="286" applyNumberFormat="1" applyFont="1" applyBorder="1" applyAlignment="1">
      <alignment horizontal="center" vertical="center"/>
    </xf>
    <xf numFmtId="189" fontId="75" fillId="9" borderId="30" xfId="43" applyNumberFormat="1" applyFont="1" applyFill="1" applyBorder="1" applyAlignment="1">
      <alignment horizontal="center" vertical="center"/>
    </xf>
    <xf numFmtId="190" fontId="75" fillId="0" borderId="30" xfId="43" applyNumberFormat="1" applyFont="1" applyBorder="1" applyAlignment="1">
      <alignment horizontal="center" vertical="center"/>
    </xf>
    <xf numFmtId="189" fontId="75" fillId="9" borderId="30" xfId="158" applyNumberFormat="1" applyFont="1" applyFill="1" applyBorder="1" applyAlignment="1">
      <alignment horizontal="center" vertical="center"/>
    </xf>
    <xf numFmtId="10" fontId="75" fillId="0" borderId="30" xfId="705" applyNumberFormat="1" applyFont="1" applyBorder="1" applyAlignment="1">
      <alignment horizontal="center" vertical="center"/>
    </xf>
    <xf numFmtId="189" fontId="75" fillId="9" borderId="30" xfId="705" applyNumberFormat="1" applyFont="1" applyFill="1" applyBorder="1" applyAlignment="1">
      <alignment horizontal="center" vertical="center"/>
    </xf>
    <xf numFmtId="191" fontId="75" fillId="9" borderId="30" xfId="43" applyNumberFormat="1" applyFont="1" applyFill="1" applyBorder="1" applyAlignment="1">
      <alignment horizontal="center" vertical="center"/>
    </xf>
    <xf numFmtId="10" fontId="75" fillId="0" borderId="30" xfId="43" applyNumberFormat="1" applyFont="1" applyBorder="1" applyAlignment="1">
      <alignment horizontal="center" vertical="center"/>
    </xf>
    <xf numFmtId="10" fontId="75" fillId="0" borderId="0" xfId="43" applyNumberFormat="1" applyFont="1" applyAlignment="1">
      <alignment horizontal="center" vertical="center"/>
    </xf>
    <xf numFmtId="188" fontId="76" fillId="0" borderId="22" xfId="286" applyNumberFormat="1" applyFont="1" applyBorder="1" applyAlignment="1">
      <alignment horizontal="center" vertical="center"/>
    </xf>
    <xf numFmtId="10" fontId="74" fillId="0" borderId="22" xfId="705" applyNumberFormat="1" applyFont="1" applyBorder="1" applyAlignment="1">
      <alignment horizontal="center" vertical="center"/>
    </xf>
    <xf numFmtId="0" fontId="75" fillId="0" borderId="0" xfId="43" applyFont="1">
      <alignment vertical="center"/>
    </xf>
    <xf numFmtId="1" fontId="75" fillId="0" borderId="0" xfId="43" applyNumberFormat="1" applyFont="1">
      <alignment vertical="center"/>
    </xf>
    <xf numFmtId="189" fontId="75" fillId="0" borderId="0" xfId="43" applyNumberFormat="1" applyFont="1">
      <alignment vertical="center"/>
    </xf>
    <xf numFmtId="0" fontId="49" fillId="0" borderId="22" xfId="253" applyFont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0" fontId="78" fillId="0" borderId="22" xfId="253" applyFont="1" applyBorder="1" applyAlignment="1">
      <alignment horizontal="center" vertical="center" shrinkToFit="1"/>
    </xf>
    <xf numFmtId="0" fontId="79" fillId="9" borderId="22" xfId="253" applyFont="1" applyFill="1" applyBorder="1" applyAlignment="1">
      <alignment horizontal="center" vertical="center" shrinkToFit="1"/>
    </xf>
    <xf numFmtId="0" fontId="32" fillId="4" borderId="0" xfId="253" applyFont="1" applyFill="1" applyAlignment="1">
      <alignment shrinkToFit="1"/>
    </xf>
    <xf numFmtId="0" fontId="47" fillId="0" borderId="0" xfId="253" applyFont="1"/>
    <xf numFmtId="0" fontId="45" fillId="0" borderId="0" xfId="253" applyFont="1" applyAlignment="1">
      <alignment shrinkToFit="1"/>
    </xf>
    <xf numFmtId="0" fontId="48" fillId="0" borderId="0" xfId="253" applyFont="1"/>
    <xf numFmtId="0" fontId="50" fillId="0" borderId="22" xfId="253" applyFont="1" applyBorder="1" applyAlignment="1">
      <alignment horizontal="center" shrinkToFit="1"/>
    </xf>
    <xf numFmtId="0" fontId="45" fillId="0" borderId="22" xfId="253" applyFont="1" applyBorder="1" applyAlignment="1">
      <alignment horizontal="center" shrinkToFit="1"/>
    </xf>
    <xf numFmtId="0" fontId="32" fillId="0" borderId="0" xfId="253" applyFont="1" applyAlignment="1">
      <alignment horizontal="center" shrinkToFit="1"/>
    </xf>
    <xf numFmtId="4" fontId="32" fillId="0" borderId="22" xfId="253" applyNumberFormat="1" applyFont="1" applyBorder="1" applyAlignment="1">
      <alignment horizontal="right" shrinkToFit="1"/>
    </xf>
    <xf numFmtId="0" fontId="32" fillId="0" borderId="0" xfId="253" applyFont="1" applyAlignment="1">
      <alignment shrinkToFit="1"/>
    </xf>
    <xf numFmtId="0" fontId="45" fillId="0" borderId="22" xfId="253" applyFont="1" applyBorder="1" applyAlignment="1">
      <alignment horizontal="center" vertical="center" shrinkToFit="1"/>
    </xf>
    <xf numFmtId="0" fontId="50" fillId="0" borderId="22" xfId="253" applyFont="1" applyBorder="1" applyAlignment="1">
      <alignment horizontal="center" vertical="center" shrinkToFit="1"/>
    </xf>
    <xf numFmtId="10" fontId="45" fillId="0" borderId="0" xfId="253" applyNumberFormat="1" applyFont="1" applyAlignment="1">
      <alignment shrinkToFit="1"/>
    </xf>
    <xf numFmtId="0" fontId="46" fillId="0" borderId="0" xfId="253" applyFont="1"/>
    <xf numFmtId="0" fontId="50" fillId="0" borderId="22" xfId="253" applyFont="1" applyBorder="1" applyAlignment="1">
      <alignment shrinkToFit="1"/>
    </xf>
    <xf numFmtId="0" fontId="17" fillId="0" borderId="0" xfId="253" applyFont="1" applyAlignment="1">
      <alignment horizontal="center" vertical="center" shrinkToFit="1"/>
    </xf>
    <xf numFmtId="0" fontId="28" fillId="4" borderId="0" xfId="253" applyFill="1" applyAlignment="1">
      <alignment horizontal="center" vertical="center" shrinkToFit="1"/>
    </xf>
    <xf numFmtId="0" fontId="17" fillId="0" borderId="0" xfId="253" applyFont="1" applyAlignment="1">
      <alignment horizontal="right" shrinkToFit="1"/>
    </xf>
    <xf numFmtId="0" fontId="20" fillId="0" borderId="0" xfId="253" applyFont="1" applyAlignment="1">
      <alignment shrinkToFit="1"/>
    </xf>
    <xf numFmtId="0" fontId="17" fillId="0" borderId="0" xfId="253" applyFont="1" applyAlignment="1">
      <alignment shrinkToFit="1"/>
    </xf>
    <xf numFmtId="0" fontId="18" fillId="0" borderId="0" xfId="253" applyFont="1" applyAlignment="1">
      <alignment shrinkToFit="1"/>
    </xf>
    <xf numFmtId="0" fontId="28" fillId="4" borderId="0" xfId="253" applyFill="1" applyAlignment="1">
      <alignment shrinkToFit="1"/>
    </xf>
    <xf numFmtId="0" fontId="17" fillId="4" borderId="0" xfId="253" applyFont="1" applyFill="1" applyAlignment="1">
      <alignment shrinkToFit="1"/>
    </xf>
    <xf numFmtId="188" fontId="76" fillId="0" borderId="30" xfId="286" applyNumberFormat="1" applyFont="1" applyBorder="1" applyAlignment="1">
      <alignment horizontal="center" vertical="center"/>
    </xf>
    <xf numFmtId="10" fontId="74" fillId="0" borderId="30" xfId="705" applyNumberFormat="1" applyFont="1" applyBorder="1" applyAlignment="1">
      <alignment horizontal="center" vertical="center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3" xfId="43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 shrinkToFit="1"/>
    </xf>
    <xf numFmtId="186" fontId="30" fillId="0" borderId="0" xfId="0" applyNumberFormat="1" applyFont="1" applyAlignment="1">
      <alignment vertical="center"/>
    </xf>
    <xf numFmtId="10" fontId="30" fillId="0" borderId="0" xfId="0" applyNumberFormat="1" applyFont="1" applyAlignment="1">
      <alignment vertical="center"/>
    </xf>
    <xf numFmtId="179" fontId="30" fillId="0" borderId="0" xfId="253" applyNumberFormat="1" applyFont="1" applyAlignment="1">
      <alignment horizontal="center"/>
    </xf>
    <xf numFmtId="179" fontId="69" fillId="0" borderId="0" xfId="253" applyNumberFormat="1" applyFont="1" applyAlignment="1">
      <alignment horizontal="center"/>
    </xf>
    <xf numFmtId="183" fontId="17" fillId="0" borderId="1" xfId="0" applyNumberFormat="1" applyFont="1" applyBorder="1" applyAlignment="1">
      <alignment shrinkToFit="1"/>
    </xf>
    <xf numFmtId="0" fontId="80" fillId="0" borderId="0" xfId="351" applyFont="1">
      <alignment vertical="center"/>
    </xf>
    <xf numFmtId="179" fontId="30" fillId="0" borderId="0" xfId="253" applyNumberFormat="1" applyFont="1" applyAlignment="1">
      <alignment vertical="center"/>
    </xf>
    <xf numFmtId="187" fontId="30" fillId="0" borderId="0" xfId="253" applyNumberFormat="1" applyFont="1" applyAlignment="1">
      <alignment vertical="center"/>
    </xf>
    <xf numFmtId="189" fontId="75" fillId="9" borderId="23" xfId="43" applyNumberFormat="1" applyFont="1" applyFill="1" applyBorder="1" applyAlignment="1">
      <alignment horizontal="center" vertical="center"/>
    </xf>
    <xf numFmtId="190" fontId="75" fillId="0" borderId="23" xfId="43" applyNumberFormat="1" applyFont="1" applyBorder="1" applyAlignment="1">
      <alignment horizontal="center" vertical="center"/>
    </xf>
    <xf numFmtId="189" fontId="75" fillId="9" borderId="23" xfId="158" applyNumberFormat="1" applyFont="1" applyFill="1" applyBorder="1" applyAlignment="1">
      <alignment horizontal="center" vertical="center"/>
    </xf>
    <xf numFmtId="10" fontId="75" fillId="0" borderId="23" xfId="705" applyNumberFormat="1" applyFont="1" applyBorder="1" applyAlignment="1">
      <alignment horizontal="center" vertical="center"/>
    </xf>
    <xf numFmtId="189" fontId="75" fillId="9" borderId="23" xfId="705" applyNumberFormat="1" applyFont="1" applyFill="1" applyBorder="1" applyAlignment="1">
      <alignment horizontal="center" vertical="center"/>
    </xf>
    <xf numFmtId="191" fontId="75" fillId="9" borderId="23" xfId="43" applyNumberFormat="1" applyFont="1" applyFill="1" applyBorder="1" applyAlignment="1">
      <alignment horizontal="center" vertical="center"/>
    </xf>
    <xf numFmtId="10" fontId="75" fillId="0" borderId="23" xfId="43" applyNumberFormat="1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46" fillId="0" borderId="49" xfId="253" applyFont="1" applyBorder="1" applyAlignment="1">
      <alignment shrinkToFit="1"/>
    </xf>
    <xf numFmtId="184" fontId="56" fillId="0" borderId="50" xfId="253" applyNumberFormat="1" applyFont="1" applyBorder="1" applyAlignment="1">
      <alignment shrinkToFit="1"/>
    </xf>
    <xf numFmtId="0" fontId="30" fillId="0" borderId="50" xfId="253" applyFont="1" applyBorder="1" applyAlignment="1">
      <alignment shrinkToFit="1"/>
    </xf>
    <xf numFmtId="0" fontId="32" fillId="0" borderId="51" xfId="253" applyFont="1" applyBorder="1" applyAlignment="1">
      <alignment horizontal="center" vertical="center" shrinkToFit="1"/>
    </xf>
    <xf numFmtId="0" fontId="45" fillId="0" borderId="52" xfId="253" applyFont="1" applyBorder="1" applyAlignment="1">
      <alignment horizontal="center" shrinkToFit="1"/>
    </xf>
    <xf numFmtId="10" fontId="32" fillId="0" borderId="51" xfId="253" applyNumberFormat="1" applyFont="1" applyBorder="1" applyAlignment="1">
      <alignment shrinkToFit="1"/>
    </xf>
    <xf numFmtId="0" fontId="45" fillId="0" borderId="53" xfId="253" applyFont="1" applyBorder="1" applyAlignment="1">
      <alignment horizontal="center" shrinkToFit="1"/>
    </xf>
    <xf numFmtId="0" fontId="30" fillId="0" borderId="54" xfId="253" applyFont="1" applyBorder="1" applyAlignment="1">
      <alignment shrinkToFit="1"/>
    </xf>
    <xf numFmtId="0" fontId="30" fillId="0" borderId="55" xfId="253" applyFont="1" applyBorder="1" applyAlignment="1">
      <alignment shrinkToFit="1"/>
    </xf>
    <xf numFmtId="0" fontId="30" fillId="0" borderId="56" xfId="253" applyFont="1" applyBorder="1" applyAlignment="1">
      <alignment shrinkToFit="1"/>
    </xf>
    <xf numFmtId="0" fontId="45" fillId="0" borderId="57" xfId="253" applyFont="1" applyBorder="1" applyAlignment="1">
      <alignment horizontal="center" shrinkToFit="1"/>
    </xf>
    <xf numFmtId="3" fontId="32" fillId="0" borderId="46" xfId="253" applyNumberFormat="1" applyFont="1" applyBorder="1" applyAlignment="1">
      <alignment shrinkToFit="1"/>
    </xf>
    <xf numFmtId="10" fontId="32" fillId="0" borderId="46" xfId="253" applyNumberFormat="1" applyFont="1" applyBorder="1" applyAlignment="1">
      <alignment shrinkToFit="1"/>
    </xf>
    <xf numFmtId="10" fontId="32" fillId="0" borderId="58" xfId="253" applyNumberFormat="1" applyFont="1" applyBorder="1" applyAlignment="1">
      <alignment shrinkToFit="1"/>
    </xf>
    <xf numFmtId="10" fontId="30" fillId="0" borderId="0" xfId="0" applyNumberFormat="1" applyFont="1" applyAlignment="1">
      <alignment horizontal="right" vertical="center"/>
    </xf>
    <xf numFmtId="188" fontId="75" fillId="0" borderId="59" xfId="286" applyNumberFormat="1" applyFont="1" applyBorder="1" applyAlignment="1">
      <alignment horizontal="center" vertical="center"/>
    </xf>
    <xf numFmtId="188" fontId="75" fillId="0" borderId="45" xfId="286" applyNumberFormat="1" applyFont="1" applyBorder="1" applyAlignment="1">
      <alignment horizontal="center" vertical="center"/>
    </xf>
    <xf numFmtId="188" fontId="75" fillId="0" borderId="60" xfId="286" applyNumberFormat="1" applyFont="1" applyBorder="1" applyAlignment="1">
      <alignment horizontal="center" vertical="center"/>
    </xf>
    <xf numFmtId="0" fontId="73" fillId="10" borderId="62" xfId="43" applyFont="1" applyFill="1" applyBorder="1" applyAlignment="1">
      <alignment horizontal="center" vertical="center"/>
    </xf>
    <xf numFmtId="180" fontId="30" fillId="0" borderId="0" xfId="0" applyNumberFormat="1" applyFont="1" applyAlignment="1">
      <alignment vertical="center"/>
    </xf>
    <xf numFmtId="185" fontId="32" fillId="0" borderId="1" xfId="697" applyNumberFormat="1" applyFont="1" applyBorder="1" applyAlignment="1">
      <alignment shrinkToFit="1"/>
    </xf>
    <xf numFmtId="183" fontId="81" fillId="0" borderId="22" xfId="253" applyNumberFormat="1" applyFont="1" applyBorder="1" applyAlignment="1">
      <alignment horizontal="center" vertical="center"/>
    </xf>
    <xf numFmtId="1" fontId="81" fillId="0" borderId="22" xfId="253" applyNumberFormat="1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41" fillId="0" borderId="22" xfId="20" applyFont="1" applyBorder="1" applyAlignment="1">
      <alignment horizontal="center" vertical="center"/>
    </xf>
    <xf numFmtId="3" fontId="59" fillId="0" borderId="22" xfId="253" applyNumberFormat="1" applyFont="1" applyBorder="1" applyAlignment="1">
      <alignment shrinkToFit="1"/>
    </xf>
    <xf numFmtId="187" fontId="30" fillId="0" borderId="0" xfId="0" applyNumberFormat="1" applyFont="1" applyAlignment="1">
      <alignment vertical="center"/>
    </xf>
    <xf numFmtId="183" fontId="82" fillId="0" borderId="22" xfId="253" applyNumberFormat="1" applyFont="1" applyBorder="1" applyAlignment="1">
      <alignment horizontal="center" vertical="center"/>
    </xf>
    <xf numFmtId="180" fontId="69" fillId="0" borderId="0" xfId="0" applyNumberFormat="1" applyFont="1"/>
    <xf numFmtId="0" fontId="18" fillId="0" borderId="22" xfId="253" applyFont="1" applyBorder="1" applyAlignment="1">
      <alignment horizontal="center" vertical="center"/>
    </xf>
    <xf numFmtId="1" fontId="18" fillId="0" borderId="22" xfId="253" applyNumberFormat="1" applyFont="1" applyBorder="1" applyAlignment="1">
      <alignment horizontal="center" vertical="center"/>
    </xf>
    <xf numFmtId="10" fontId="22" fillId="0" borderId="0" xfId="697" applyNumberFormat="1" applyFont="1" applyAlignment="1"/>
    <xf numFmtId="193" fontId="32" fillId="0" borderId="22" xfId="253" applyNumberFormat="1" applyFont="1" applyBorder="1" applyAlignment="1">
      <alignment horizontal="right" shrinkToFit="1"/>
    </xf>
    <xf numFmtId="0" fontId="18" fillId="12" borderId="22" xfId="253" applyFont="1" applyFill="1" applyBorder="1" applyAlignment="1">
      <alignment horizontal="center" vertical="center"/>
    </xf>
    <xf numFmtId="0" fontId="41" fillId="0" borderId="22" xfId="210" applyFont="1" applyBorder="1" applyAlignment="1">
      <alignment horizontal="center"/>
    </xf>
    <xf numFmtId="0" fontId="83" fillId="0" borderId="0" xfId="253" applyFont="1" applyAlignment="1">
      <alignment horizontal="left" vertical="center"/>
    </xf>
    <xf numFmtId="0" fontId="21" fillId="0" borderId="0" xfId="253" applyFont="1" applyAlignment="1">
      <alignment vertical="center"/>
    </xf>
    <xf numFmtId="183" fontId="18" fillId="0" borderId="0" xfId="253" applyNumberFormat="1" applyFont="1" applyAlignment="1">
      <alignment horizontal="center" vertical="center"/>
    </xf>
    <xf numFmtId="0" fontId="18" fillId="0" borderId="0" xfId="253" applyFont="1" applyAlignment="1">
      <alignment horizontal="center" vertical="center"/>
    </xf>
    <xf numFmtId="0" fontId="18" fillId="0" borderId="0" xfId="253" applyFont="1" applyAlignment="1">
      <alignment vertical="center"/>
    </xf>
    <xf numFmtId="0" fontId="45" fillId="0" borderId="0" xfId="253" applyFont="1" applyAlignment="1">
      <alignment vertical="center"/>
    </xf>
    <xf numFmtId="0" fontId="85" fillId="0" borderId="0" xfId="253" applyFont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85" fillId="0" borderId="32" xfId="253" applyFont="1" applyBorder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85" fillId="0" borderId="36" xfId="253" applyFont="1" applyBorder="1" applyAlignment="1">
      <alignment horizontal="left" vertical="center"/>
    </xf>
    <xf numFmtId="0" fontId="21" fillId="0" borderId="22" xfId="253" applyFont="1" applyBorder="1" applyAlignment="1">
      <alignment horizontal="center" vertical="center"/>
    </xf>
    <xf numFmtId="0" fontId="45" fillId="0" borderId="0" xfId="253" applyFont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0" fontId="85" fillId="0" borderId="34" xfId="253" applyFont="1" applyBorder="1" applyAlignment="1">
      <alignment horizontal="left" vertical="center"/>
    </xf>
    <xf numFmtId="1" fontId="18" fillId="0" borderId="31" xfId="253" applyNumberFormat="1" applyFont="1" applyBorder="1" applyAlignment="1">
      <alignment horizontal="center" vertical="center"/>
    </xf>
    <xf numFmtId="183" fontId="18" fillId="0" borderId="22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0" fontId="30" fillId="0" borderId="0" xfId="253" applyNumberFormat="1" applyFont="1" applyAlignment="1">
      <alignment vertical="center"/>
    </xf>
    <xf numFmtId="176" fontId="30" fillId="0" borderId="0" xfId="0" applyNumberFormat="1" applyFont="1" applyAlignment="1">
      <alignment vertical="center"/>
    </xf>
    <xf numFmtId="183" fontId="40" fillId="9" borderId="22" xfId="709" applyNumberFormat="1" applyFont="1" applyFill="1" applyBorder="1" applyAlignment="1">
      <alignment horizontal="center" vertical="center"/>
    </xf>
    <xf numFmtId="183" fontId="40" fillId="9" borderId="22" xfId="253" applyNumberFormat="1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87" fillId="5" borderId="22" xfId="45" applyFont="1" applyFill="1" applyBorder="1" applyAlignment="1">
      <alignment horizontal="center" vertical="center" wrapText="1"/>
    </xf>
    <xf numFmtId="0" fontId="34" fillId="9" borderId="22" xfId="253" applyFont="1" applyFill="1" applyBorder="1" applyAlignment="1">
      <alignment horizontal="left" vertical="center"/>
    </xf>
    <xf numFmtId="192" fontId="40" fillId="4" borderId="22" xfId="253" applyNumberFormat="1" applyFont="1" applyFill="1" applyBorder="1" applyAlignment="1">
      <alignment horizontal="center" vertical="center"/>
    </xf>
    <xf numFmtId="185" fontId="40" fillId="0" borderId="22" xfId="709" applyNumberFormat="1" applyFont="1" applyFill="1" applyBorder="1" applyAlignment="1">
      <alignment horizontal="center" vertical="center"/>
    </xf>
    <xf numFmtId="194" fontId="40" fillId="0" borderId="22" xfId="253" applyNumberFormat="1" applyFont="1" applyBorder="1" applyAlignment="1">
      <alignment horizontal="center" vertical="center"/>
    </xf>
    <xf numFmtId="192" fontId="40" fillId="0" borderId="22" xfId="253" applyNumberFormat="1" applyFont="1" applyBorder="1" applyAlignment="1">
      <alignment horizontal="center" vertical="center"/>
    </xf>
    <xf numFmtId="1" fontId="34" fillId="0" borderId="63" xfId="253" applyNumberFormat="1" applyFont="1" applyBorder="1" applyAlignment="1">
      <alignment horizontal="center" vertical="center"/>
    </xf>
    <xf numFmtId="1" fontId="34" fillId="0" borderId="22" xfId="253" applyNumberFormat="1" applyFont="1" applyBorder="1" applyAlignment="1">
      <alignment horizontal="center" vertical="center"/>
    </xf>
    <xf numFmtId="1" fontId="57" fillId="0" borderId="64" xfId="253" applyNumberFormat="1" applyFont="1" applyBorder="1" applyAlignment="1">
      <alignment horizontal="center" vertical="center"/>
    </xf>
    <xf numFmtId="9" fontId="34" fillId="0" borderId="64" xfId="709" applyFont="1" applyBorder="1" applyAlignment="1">
      <alignment horizontal="center" vertical="center"/>
    </xf>
    <xf numFmtId="192" fontId="40" fillId="0" borderId="22" xfId="709" applyNumberFormat="1" applyFont="1" applyFill="1" applyBorder="1" applyAlignment="1">
      <alignment horizontal="center" vertical="center"/>
    </xf>
    <xf numFmtId="193" fontId="32" fillId="0" borderId="22" xfId="253" applyNumberFormat="1" applyFont="1" applyBorder="1" applyAlignment="1">
      <alignment shrinkToFit="1"/>
    </xf>
    <xf numFmtId="0" fontId="82" fillId="0" borderId="22" xfId="253" applyFont="1" applyBorder="1" applyAlignment="1">
      <alignment horizontal="center" vertical="center"/>
    </xf>
    <xf numFmtId="0" fontId="88" fillId="0" borderId="0" xfId="253" applyFont="1" applyAlignment="1">
      <alignment horizontal="left" vertical="center"/>
    </xf>
    <xf numFmtId="1" fontId="82" fillId="0" borderId="22" xfId="253" applyNumberFormat="1" applyFont="1" applyBorder="1" applyAlignment="1">
      <alignment horizontal="center" vertical="center"/>
    </xf>
    <xf numFmtId="0" fontId="69" fillId="0" borderId="0" xfId="0" applyFont="1" applyAlignment="1">
      <alignment vertical="center"/>
    </xf>
    <xf numFmtId="0" fontId="81" fillId="0" borderId="22" xfId="253" applyFont="1" applyBorder="1" applyAlignment="1">
      <alignment horizontal="center" vertical="center"/>
    </xf>
    <xf numFmtId="183" fontId="17" fillId="3" borderId="18" xfId="0" applyNumberFormat="1" applyFont="1" applyFill="1" applyBorder="1" applyAlignment="1">
      <alignment shrinkToFit="1"/>
    </xf>
    <xf numFmtId="10" fontId="89" fillId="13" borderId="65" xfId="0" applyNumberFormat="1" applyFont="1" applyFill="1" applyBorder="1" applyAlignment="1">
      <alignment horizontal="center" shrinkToFit="1"/>
    </xf>
    <xf numFmtId="189" fontId="74" fillId="9" borderId="22" xfId="43" applyNumberFormat="1" applyFont="1" applyFill="1" applyBorder="1" applyAlignment="1">
      <alignment horizontal="center" vertical="center"/>
    </xf>
    <xf numFmtId="9" fontId="32" fillId="0" borderId="1" xfId="697" applyFont="1" applyBorder="1" applyAlignment="1">
      <alignment shrinkToFit="1"/>
    </xf>
    <xf numFmtId="192" fontId="75" fillId="0" borderId="22" xfId="43" applyNumberFormat="1" applyFont="1" applyBorder="1">
      <alignment vertical="center"/>
    </xf>
    <xf numFmtId="192" fontId="75" fillId="0" borderId="51" xfId="43" applyNumberFormat="1" applyFont="1" applyBorder="1">
      <alignment vertical="center"/>
    </xf>
    <xf numFmtId="190" fontId="75" fillId="0" borderId="47" xfId="43" applyNumberFormat="1" applyFont="1" applyBorder="1" applyAlignment="1">
      <alignment horizontal="center" vertical="center"/>
    </xf>
    <xf numFmtId="1" fontId="18" fillId="12" borderId="22" xfId="253" applyNumberFormat="1" applyFont="1" applyFill="1" applyBorder="1" applyAlignment="1">
      <alignment horizontal="center" vertical="center"/>
    </xf>
    <xf numFmtId="189" fontId="75" fillId="9" borderId="23" xfId="49" applyNumberFormat="1" applyFont="1" applyFill="1" applyBorder="1" applyAlignment="1">
      <alignment horizontal="center" vertical="center"/>
    </xf>
    <xf numFmtId="189" fontId="75" fillId="9" borderId="23" xfId="162" applyNumberFormat="1" applyFont="1" applyFill="1" applyBorder="1" applyAlignment="1">
      <alignment horizontal="center" vertical="center"/>
    </xf>
    <xf numFmtId="191" fontId="75" fillId="9" borderId="23" xfId="49" applyNumberFormat="1" applyFont="1" applyFill="1" applyBorder="1" applyAlignment="1">
      <alignment horizontal="center" vertical="center"/>
    </xf>
    <xf numFmtId="10" fontId="75" fillId="0" borderId="23" xfId="49" applyNumberFormat="1" applyFont="1" applyBorder="1" applyAlignment="1">
      <alignment horizontal="center" vertical="center"/>
    </xf>
    <xf numFmtId="10" fontId="7" fillId="0" borderId="0" xfId="697" applyNumberFormat="1" applyFont="1" applyAlignment="1">
      <alignment vertical="center"/>
    </xf>
    <xf numFmtId="182" fontId="69" fillId="0" borderId="0" xfId="0" applyNumberFormat="1" applyFont="1"/>
    <xf numFmtId="177" fontId="24" fillId="0" borderId="23" xfId="0" applyNumberFormat="1" applyFont="1" applyBorder="1" applyAlignment="1">
      <alignment horizontal="center" vertical="center"/>
    </xf>
    <xf numFmtId="10" fontId="31" fillId="0" borderId="23" xfId="0" applyNumberFormat="1" applyFont="1" applyBorder="1" applyAlignment="1">
      <alignment horizontal="center" vertical="center"/>
    </xf>
    <xf numFmtId="179" fontId="30" fillId="0" borderId="22" xfId="253" applyNumberFormat="1" applyFont="1" applyBorder="1" applyAlignment="1">
      <alignment vertical="center"/>
    </xf>
    <xf numFmtId="179" fontId="30" fillId="0" borderId="22" xfId="0" applyNumberFormat="1" applyFont="1" applyBorder="1" applyAlignment="1">
      <alignment horizontal="center"/>
    </xf>
    <xf numFmtId="179" fontId="69" fillId="0" borderId="22" xfId="253" applyNumberFormat="1" applyFont="1" applyBorder="1" applyAlignment="1">
      <alignment horizontal="center"/>
    </xf>
    <xf numFmtId="186" fontId="30" fillId="0" borderId="22" xfId="0" applyNumberFormat="1" applyFont="1" applyBorder="1" applyAlignment="1">
      <alignment vertical="center"/>
    </xf>
    <xf numFmtId="179" fontId="30" fillId="0" borderId="22" xfId="253" applyNumberFormat="1" applyFont="1" applyBorder="1" applyAlignment="1">
      <alignment horizontal="center"/>
    </xf>
    <xf numFmtId="0" fontId="69" fillId="0" borderId="22" xfId="0" applyFont="1" applyBorder="1" applyAlignment="1">
      <alignment vertical="center"/>
    </xf>
    <xf numFmtId="179" fontId="30" fillId="0" borderId="23" xfId="0" applyNumberFormat="1" applyFont="1" applyBorder="1" applyAlignment="1">
      <alignment horizontal="center"/>
    </xf>
    <xf numFmtId="179" fontId="69" fillId="0" borderId="23" xfId="253" applyNumberFormat="1" applyFont="1" applyBorder="1" applyAlignment="1">
      <alignment horizontal="center"/>
    </xf>
    <xf numFmtId="186" fontId="30" fillId="0" borderId="23" xfId="0" applyNumberFormat="1" applyFont="1" applyBorder="1"/>
    <xf numFmtId="179" fontId="30" fillId="0" borderId="30" xfId="0" applyNumberFormat="1" applyFont="1" applyBorder="1" applyAlignment="1">
      <alignment horizontal="center"/>
    </xf>
    <xf numFmtId="179" fontId="69" fillId="0" borderId="30" xfId="253" applyNumberFormat="1" applyFont="1" applyBorder="1" applyAlignment="1">
      <alignment horizontal="center"/>
    </xf>
    <xf numFmtId="186" fontId="30" fillId="0" borderId="30" xfId="0" applyNumberFormat="1" applyFont="1" applyBorder="1"/>
    <xf numFmtId="186" fontId="30" fillId="0" borderId="30" xfId="0" applyNumberFormat="1" applyFont="1" applyBorder="1" applyAlignment="1">
      <alignment vertical="center"/>
    </xf>
    <xf numFmtId="179" fontId="30" fillId="0" borderId="42" xfId="0" applyNumberFormat="1" applyFont="1" applyBorder="1" applyAlignment="1">
      <alignment horizontal="center"/>
    </xf>
    <xf numFmtId="179" fontId="69" fillId="0" borderId="43" xfId="253" applyNumberFormat="1" applyFont="1" applyBorder="1" applyAlignment="1">
      <alignment horizontal="center"/>
    </xf>
    <xf numFmtId="186" fontId="30" fillId="0" borderId="43" xfId="0" applyNumberFormat="1" applyFont="1" applyBorder="1"/>
    <xf numFmtId="186" fontId="30" fillId="0" borderId="48" xfId="0" applyNumberFormat="1" applyFont="1" applyBorder="1" applyAlignment="1">
      <alignment vertical="center"/>
    </xf>
    <xf numFmtId="179" fontId="30" fillId="0" borderId="44" xfId="0" applyNumberFormat="1" applyFont="1" applyBorder="1" applyAlignment="1">
      <alignment horizontal="center"/>
    </xf>
    <xf numFmtId="186" fontId="30" fillId="0" borderId="51" xfId="0" applyNumberFormat="1" applyFont="1" applyBorder="1" applyAlignment="1">
      <alignment vertical="center"/>
    </xf>
    <xf numFmtId="179" fontId="30" fillId="0" borderId="45" xfId="0" applyNumberFormat="1" applyFont="1" applyBorder="1" applyAlignment="1">
      <alignment horizontal="center"/>
    </xf>
    <xf numFmtId="179" fontId="69" fillId="0" borderId="46" xfId="253" applyNumberFormat="1" applyFont="1" applyBorder="1" applyAlignment="1">
      <alignment horizontal="center"/>
    </xf>
    <xf numFmtId="186" fontId="30" fillId="0" borderId="46" xfId="0" applyNumberFormat="1" applyFont="1" applyBorder="1"/>
    <xf numFmtId="186" fontId="30" fillId="0" borderId="58" xfId="0" applyNumberFormat="1" applyFont="1" applyBorder="1" applyAlignment="1">
      <alignment vertical="center"/>
    </xf>
    <xf numFmtId="177" fontId="30" fillId="0" borderId="23" xfId="0" applyNumberFormat="1" applyFont="1" applyBorder="1"/>
    <xf numFmtId="10" fontId="30" fillId="0" borderId="23" xfId="0" applyNumberFormat="1" applyFont="1" applyBorder="1"/>
    <xf numFmtId="10" fontId="30" fillId="0" borderId="30" xfId="0" applyNumberFormat="1" applyFont="1" applyBorder="1"/>
    <xf numFmtId="177" fontId="30" fillId="0" borderId="30" xfId="0" applyNumberFormat="1" applyFont="1" applyBorder="1"/>
    <xf numFmtId="186" fontId="30" fillId="0" borderId="42" xfId="0" applyNumberFormat="1" applyFont="1" applyBorder="1"/>
    <xf numFmtId="10" fontId="30" fillId="0" borderId="43" xfId="0" applyNumberFormat="1" applyFont="1" applyBorder="1"/>
    <xf numFmtId="177" fontId="30" fillId="0" borderId="43" xfId="0" applyNumberFormat="1" applyFont="1" applyBorder="1"/>
    <xf numFmtId="10" fontId="30" fillId="0" borderId="48" xfId="0" applyNumberFormat="1" applyFont="1" applyBorder="1"/>
    <xf numFmtId="186" fontId="30" fillId="0" borderId="44" xfId="0" applyNumberFormat="1" applyFont="1" applyBorder="1"/>
    <xf numFmtId="10" fontId="30" fillId="0" borderId="51" xfId="0" applyNumberFormat="1" applyFont="1" applyBorder="1"/>
    <xf numFmtId="186" fontId="30" fillId="0" borderId="45" xfId="0" applyNumberFormat="1" applyFont="1" applyBorder="1"/>
    <xf numFmtId="10" fontId="30" fillId="0" borderId="46" xfId="0" applyNumberFormat="1" applyFont="1" applyBorder="1"/>
    <xf numFmtId="177" fontId="30" fillId="0" borderId="46" xfId="0" applyNumberFormat="1" applyFont="1" applyBorder="1"/>
    <xf numFmtId="10" fontId="30" fillId="0" borderId="58" xfId="0" applyNumberFormat="1" applyFont="1" applyBorder="1"/>
    <xf numFmtId="187" fontId="30" fillId="0" borderId="22" xfId="253" applyNumberFormat="1" applyFont="1" applyBorder="1" applyAlignment="1">
      <alignment horizontal="center" vertical="center"/>
    </xf>
    <xf numFmtId="187" fontId="30" fillId="0" borderId="22" xfId="253" applyNumberFormat="1" applyFont="1" applyBorder="1" applyAlignment="1">
      <alignment vertical="center"/>
    </xf>
    <xf numFmtId="179" fontId="30" fillId="0" borderId="32" xfId="253" applyNumberFormat="1" applyFont="1" applyBorder="1" applyAlignment="1">
      <alignment vertical="center"/>
    </xf>
    <xf numFmtId="0" fontId="69" fillId="0" borderId="23" xfId="0" applyFont="1" applyBorder="1" applyAlignment="1">
      <alignment vertical="center"/>
    </xf>
    <xf numFmtId="179" fontId="30" fillId="0" borderId="23" xfId="253" applyNumberFormat="1" applyFont="1" applyBorder="1" applyAlignment="1">
      <alignment horizontal="center"/>
    </xf>
    <xf numFmtId="182" fontId="30" fillId="0" borderId="23" xfId="0" applyNumberFormat="1" applyFont="1" applyBorder="1"/>
    <xf numFmtId="187" fontId="30" fillId="0" borderId="23" xfId="253" applyNumberFormat="1" applyFont="1" applyBorder="1" applyAlignment="1">
      <alignment vertical="center"/>
    </xf>
    <xf numFmtId="182" fontId="30" fillId="0" borderId="23" xfId="0" applyNumberFormat="1" applyFont="1" applyBorder="1" applyAlignment="1">
      <alignment vertical="center"/>
    </xf>
    <xf numFmtId="182" fontId="30" fillId="0" borderId="30" xfId="0" applyNumberFormat="1" applyFont="1" applyBorder="1"/>
    <xf numFmtId="187" fontId="30" fillId="0" borderId="30" xfId="253" applyNumberFormat="1" applyFont="1" applyBorder="1" applyAlignment="1">
      <alignment vertical="center"/>
    </xf>
    <xf numFmtId="182" fontId="30" fillId="0" borderId="43" xfId="0" applyNumberFormat="1" applyFont="1" applyBorder="1"/>
    <xf numFmtId="182" fontId="30" fillId="0" borderId="46" xfId="0" applyNumberFormat="1" applyFont="1" applyBorder="1"/>
    <xf numFmtId="0" fontId="22" fillId="0" borderId="22" xfId="0" applyFont="1" applyBorder="1"/>
    <xf numFmtId="176" fontId="31" fillId="0" borderId="22" xfId="0" applyNumberFormat="1" applyFont="1" applyBorder="1" applyAlignment="1">
      <alignment horizontal="center" vertical="center"/>
    </xf>
    <xf numFmtId="180" fontId="24" fillId="0" borderId="22" xfId="0" applyNumberFormat="1" applyFont="1" applyBorder="1" applyAlignment="1">
      <alignment horizontal="center" vertical="center"/>
    </xf>
    <xf numFmtId="176" fontId="24" fillId="0" borderId="22" xfId="0" applyNumberFormat="1" applyFont="1" applyBorder="1" applyAlignment="1">
      <alignment horizontal="center" vertical="center"/>
    </xf>
    <xf numFmtId="180" fontId="30" fillId="0" borderId="22" xfId="0" applyNumberFormat="1" applyFont="1" applyBorder="1"/>
    <xf numFmtId="10" fontId="22" fillId="0" borderId="22" xfId="697" applyNumberFormat="1" applyFont="1" applyBorder="1" applyAlignment="1"/>
    <xf numFmtId="185" fontId="30" fillId="0" borderId="22" xfId="0" applyNumberFormat="1" applyFont="1" applyBorder="1"/>
    <xf numFmtId="180" fontId="30" fillId="0" borderId="22" xfId="0" applyNumberFormat="1" applyFont="1" applyBorder="1" applyAlignment="1">
      <alignment vertical="center"/>
    </xf>
    <xf numFmtId="180" fontId="22" fillId="0" borderId="22" xfId="0" applyNumberFormat="1" applyFont="1" applyBorder="1"/>
    <xf numFmtId="185" fontId="30" fillId="0" borderId="22" xfId="0" applyNumberFormat="1" applyFont="1" applyBorder="1" applyAlignment="1">
      <alignment vertical="center"/>
    </xf>
    <xf numFmtId="180" fontId="30" fillId="0" borderId="23" xfId="0" applyNumberFormat="1" applyFont="1" applyBorder="1"/>
    <xf numFmtId="180" fontId="30" fillId="0" borderId="30" xfId="0" applyNumberFormat="1" applyFont="1" applyBorder="1"/>
    <xf numFmtId="180" fontId="30" fillId="0" borderId="30" xfId="0" applyNumberFormat="1" applyFont="1" applyBorder="1" applyAlignment="1">
      <alignment vertical="center"/>
    </xf>
    <xf numFmtId="180" fontId="30" fillId="0" borderId="43" xfId="0" applyNumberFormat="1" applyFont="1" applyBorder="1"/>
    <xf numFmtId="180" fontId="30" fillId="0" borderId="46" xfId="0" applyNumberFormat="1" applyFont="1" applyBorder="1"/>
    <xf numFmtId="10" fontId="22" fillId="0" borderId="23" xfId="697" applyNumberFormat="1" applyFont="1" applyBorder="1" applyAlignment="1"/>
    <xf numFmtId="10" fontId="22" fillId="0" borderId="30" xfId="697" applyNumberFormat="1" applyFont="1" applyBorder="1" applyAlignment="1"/>
    <xf numFmtId="10" fontId="22" fillId="0" borderId="42" xfId="697" applyNumberFormat="1" applyFont="1" applyBorder="1" applyAlignment="1"/>
    <xf numFmtId="10" fontId="22" fillId="0" borderId="44" xfId="697" applyNumberFormat="1" applyFont="1" applyBorder="1" applyAlignment="1"/>
    <xf numFmtId="10" fontId="22" fillId="0" borderId="45" xfId="697" applyNumberFormat="1" applyFont="1" applyBorder="1" applyAlignment="1"/>
    <xf numFmtId="10" fontId="30" fillId="0" borderId="22" xfId="0" applyNumberFormat="1" applyFont="1" applyBorder="1" applyAlignment="1">
      <alignment vertical="center"/>
    </xf>
    <xf numFmtId="189" fontId="75" fillId="9" borderId="22" xfId="49" applyNumberFormat="1" applyFont="1" applyFill="1" applyBorder="1" applyAlignment="1">
      <alignment horizontal="center" vertical="center"/>
    </xf>
    <xf numFmtId="189" fontId="75" fillId="9" borderId="22" xfId="162" applyNumberFormat="1" applyFont="1" applyFill="1" applyBorder="1" applyAlignment="1">
      <alignment horizontal="center" vertical="center"/>
    </xf>
    <xf numFmtId="189" fontId="74" fillId="9" borderId="22" xfId="158" applyNumberFormat="1" applyFont="1" applyFill="1" applyBorder="1" applyAlignment="1">
      <alignment horizontal="center" vertical="center"/>
    </xf>
    <xf numFmtId="192" fontId="75" fillId="0" borderId="46" xfId="43" applyNumberFormat="1" applyFont="1" applyBorder="1">
      <alignment vertical="center"/>
    </xf>
    <xf numFmtId="192" fontId="75" fillId="0" borderId="58" xfId="43" applyNumberFormat="1" applyFont="1" applyBorder="1">
      <alignment vertical="center"/>
    </xf>
    <xf numFmtId="10" fontId="74" fillId="0" borderId="23" xfId="705" applyNumberFormat="1" applyFont="1" applyBorder="1" applyAlignment="1">
      <alignment horizontal="center" vertical="center"/>
    </xf>
    <xf numFmtId="192" fontId="75" fillId="0" borderId="30" xfId="43" applyNumberFormat="1" applyFont="1" applyBorder="1">
      <alignment vertical="center"/>
    </xf>
    <xf numFmtId="192" fontId="75" fillId="0" borderId="66" xfId="43" applyNumberFormat="1" applyFont="1" applyBorder="1">
      <alignment vertical="center"/>
    </xf>
    <xf numFmtId="188" fontId="74" fillId="0" borderId="45" xfId="286" applyNumberFormat="1" applyFont="1" applyBorder="1" applyAlignment="1">
      <alignment horizontal="center" vertical="center"/>
    </xf>
    <xf numFmtId="188" fontId="74" fillId="0" borderId="60" xfId="286" applyNumberFormat="1" applyFont="1" applyBorder="1" applyAlignment="1">
      <alignment horizontal="center" vertical="center"/>
    </xf>
    <xf numFmtId="10" fontId="30" fillId="0" borderId="66" xfId="0" applyNumberFormat="1" applyFont="1" applyBorder="1" applyAlignment="1">
      <alignment vertical="center"/>
    </xf>
    <xf numFmtId="10" fontId="30" fillId="0" borderId="42" xfId="0" applyNumberFormat="1" applyFont="1" applyBorder="1"/>
    <xf numFmtId="10" fontId="30" fillId="0" borderId="44" xfId="0" applyNumberFormat="1" applyFont="1" applyBorder="1"/>
    <xf numFmtId="10" fontId="30" fillId="0" borderId="45" xfId="0" applyNumberFormat="1" applyFont="1" applyBorder="1"/>
    <xf numFmtId="176" fontId="31" fillId="5" borderId="22" xfId="0" applyNumberFormat="1" applyFont="1" applyFill="1" applyBorder="1" applyAlignment="1">
      <alignment horizontal="center" vertical="center"/>
    </xf>
    <xf numFmtId="176" fontId="31" fillId="8" borderId="22" xfId="0" applyNumberFormat="1" applyFont="1" applyFill="1" applyBorder="1" applyAlignment="1">
      <alignment horizontal="center" vertical="center"/>
    </xf>
    <xf numFmtId="176" fontId="31" fillId="6" borderId="22" xfId="0" applyNumberFormat="1" applyFont="1" applyFill="1" applyBorder="1" applyAlignment="1">
      <alignment horizontal="center" vertical="center"/>
    </xf>
    <xf numFmtId="176" fontId="30" fillId="0" borderId="22" xfId="0" applyNumberFormat="1" applyFont="1" applyBorder="1"/>
    <xf numFmtId="187" fontId="30" fillId="0" borderId="22" xfId="0" applyNumberFormat="1" applyFont="1" applyBorder="1" applyAlignment="1">
      <alignment vertical="center"/>
    </xf>
    <xf numFmtId="10" fontId="30" fillId="0" borderId="22" xfId="0" applyNumberFormat="1" applyFont="1" applyBorder="1" applyAlignment="1">
      <alignment horizontal="right" vertical="center"/>
    </xf>
    <xf numFmtId="10" fontId="30" fillId="0" borderId="22" xfId="253" applyNumberFormat="1" applyFont="1" applyBorder="1" applyAlignment="1">
      <alignment vertical="center"/>
    </xf>
    <xf numFmtId="178" fontId="30" fillId="0" borderId="22" xfId="0" applyNumberFormat="1" applyFont="1" applyBorder="1"/>
    <xf numFmtId="10" fontId="30" fillId="0" borderId="22" xfId="253" applyNumberFormat="1" applyFont="1" applyBorder="1" applyAlignment="1">
      <alignment horizontal="center" vertical="center"/>
    </xf>
    <xf numFmtId="186" fontId="30" fillId="0" borderId="22" xfId="0" applyNumberFormat="1" applyFont="1" applyBorder="1" applyAlignment="1">
      <alignment horizontal="right"/>
    </xf>
    <xf numFmtId="178" fontId="30" fillId="0" borderId="25" xfId="0" applyNumberFormat="1" applyFont="1" applyBorder="1"/>
    <xf numFmtId="176" fontId="30" fillId="0" borderId="23" xfId="0" applyNumberFormat="1" applyFont="1" applyBorder="1"/>
    <xf numFmtId="10" fontId="30" fillId="0" borderId="23" xfId="0" applyNumberFormat="1" applyFont="1" applyBorder="1" applyAlignment="1">
      <alignment horizontal="right" vertical="center"/>
    </xf>
    <xf numFmtId="176" fontId="30" fillId="0" borderId="30" xfId="0" applyNumberFormat="1" applyFont="1" applyBorder="1"/>
    <xf numFmtId="10" fontId="30" fillId="0" borderId="30" xfId="0" applyNumberFormat="1" applyFont="1" applyBorder="1" applyAlignment="1">
      <alignment horizontal="right" vertical="center"/>
    </xf>
    <xf numFmtId="10" fontId="30" fillId="0" borderId="30" xfId="253" applyNumberFormat="1" applyFont="1" applyBorder="1" applyAlignment="1">
      <alignment vertical="center"/>
    </xf>
    <xf numFmtId="176" fontId="30" fillId="0" borderId="43" xfId="0" applyNumberFormat="1" applyFont="1" applyBorder="1"/>
    <xf numFmtId="186" fontId="30" fillId="0" borderId="43" xfId="0" applyNumberFormat="1" applyFont="1" applyBorder="1" applyAlignment="1">
      <alignment horizontal="right"/>
    </xf>
    <xf numFmtId="10" fontId="30" fillId="0" borderId="43" xfId="0" applyNumberFormat="1" applyFont="1" applyBorder="1" applyAlignment="1">
      <alignment horizontal="right" vertical="center"/>
    </xf>
    <xf numFmtId="176" fontId="30" fillId="0" borderId="46" xfId="0" applyNumberFormat="1" applyFont="1" applyBorder="1"/>
    <xf numFmtId="186" fontId="30" fillId="0" borderId="46" xfId="0" applyNumberFormat="1" applyFont="1" applyBorder="1" applyAlignment="1">
      <alignment vertical="center"/>
    </xf>
    <xf numFmtId="10" fontId="30" fillId="0" borderId="46" xfId="0" applyNumberFormat="1" applyFont="1" applyBorder="1" applyAlignment="1">
      <alignment horizontal="right" vertical="center"/>
    </xf>
    <xf numFmtId="186" fontId="30" fillId="0" borderId="23" xfId="0" applyNumberFormat="1" applyFont="1" applyBorder="1" applyAlignment="1">
      <alignment horizontal="right"/>
    </xf>
    <xf numFmtId="178" fontId="30" fillId="0" borderId="23" xfId="0" applyNumberFormat="1" applyFont="1" applyBorder="1"/>
    <xf numFmtId="186" fontId="30" fillId="0" borderId="30" xfId="0" applyNumberFormat="1" applyFont="1" applyBorder="1" applyAlignment="1">
      <alignment horizontal="right"/>
    </xf>
    <xf numFmtId="178" fontId="30" fillId="0" borderId="30" xfId="0" applyNumberFormat="1" applyFont="1" applyBorder="1"/>
    <xf numFmtId="178" fontId="30" fillId="0" borderId="48" xfId="0" applyNumberFormat="1" applyFont="1" applyBorder="1"/>
    <xf numFmtId="178" fontId="30" fillId="0" borderId="51" xfId="0" applyNumberFormat="1" applyFont="1" applyBorder="1"/>
    <xf numFmtId="186" fontId="30" fillId="0" borderId="46" xfId="0" applyNumberFormat="1" applyFont="1" applyBorder="1" applyAlignment="1">
      <alignment horizontal="right"/>
    </xf>
    <xf numFmtId="178" fontId="30" fillId="0" borderId="58" xfId="0" applyNumberFormat="1" applyFont="1" applyBorder="1"/>
    <xf numFmtId="183" fontId="18" fillId="12" borderId="22" xfId="253" applyNumberFormat="1" applyFont="1" applyFill="1" applyBorder="1" applyAlignment="1">
      <alignment horizontal="center" vertical="center"/>
    </xf>
    <xf numFmtId="10" fontId="59" fillId="0" borderId="1" xfId="0" applyNumberFormat="1" applyFont="1" applyBorder="1" applyAlignment="1">
      <alignment shrinkToFit="1"/>
    </xf>
    <xf numFmtId="0" fontId="41" fillId="0" borderId="22" xfId="253" applyFont="1" applyBorder="1" applyAlignment="1">
      <alignment horizontal="center" vertical="center"/>
    </xf>
    <xf numFmtId="1" fontId="28" fillId="12" borderId="22" xfId="253" applyNumberFormat="1" applyFill="1" applyBorder="1" applyAlignment="1">
      <alignment horizontal="center" vertical="center"/>
    </xf>
    <xf numFmtId="0" fontId="44" fillId="0" borderId="0" xfId="253" applyFont="1" applyAlignment="1">
      <alignment horizontal="center" vertical="center" shrinkToFit="1"/>
    </xf>
    <xf numFmtId="0" fontId="78" fillId="9" borderId="22" xfId="253" applyFont="1" applyFill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10" fontId="30" fillId="0" borderId="31" xfId="0" applyNumberFormat="1" applyFont="1" applyBorder="1" applyAlignment="1">
      <alignment horizontal="center" vertical="center"/>
    </xf>
    <xf numFmtId="10" fontId="30" fillId="0" borderId="33" xfId="0" applyNumberFormat="1" applyFont="1" applyBorder="1" applyAlignment="1">
      <alignment horizontal="center" vertical="center"/>
    </xf>
    <xf numFmtId="10" fontId="30" fillId="0" borderId="35" xfId="0" applyNumberFormat="1" applyFont="1" applyBorder="1" applyAlignment="1">
      <alignment horizontal="center" vertical="center"/>
    </xf>
    <xf numFmtId="187" fontId="30" fillId="0" borderId="23" xfId="253" applyNumberFormat="1" applyFont="1" applyBorder="1" applyAlignment="1">
      <alignment horizontal="center" vertical="center"/>
    </xf>
    <xf numFmtId="187" fontId="30" fillId="0" borderId="29" xfId="253" applyNumberFormat="1" applyFont="1" applyBorder="1" applyAlignment="1">
      <alignment horizontal="center" vertical="center"/>
    </xf>
    <xf numFmtId="187" fontId="30" fillId="0" borderId="47" xfId="253" applyNumberFormat="1" applyFont="1" applyBorder="1" applyAlignment="1">
      <alignment horizontal="center" vertical="center"/>
    </xf>
    <xf numFmtId="187" fontId="30" fillId="0" borderId="67" xfId="253" applyNumberFormat="1" applyFont="1" applyBorder="1" applyAlignment="1">
      <alignment horizontal="center" vertical="center"/>
    </xf>
    <xf numFmtId="187" fontId="30" fillId="0" borderId="23" xfId="0" applyNumberFormat="1" applyFont="1" applyBorder="1" applyAlignment="1">
      <alignment horizontal="center" vertical="center"/>
    </xf>
    <xf numFmtId="187" fontId="30" fillId="0" borderId="29" xfId="0" applyNumberFormat="1" applyFont="1" applyBorder="1" applyAlignment="1">
      <alignment horizontal="center" vertical="center"/>
    </xf>
    <xf numFmtId="187" fontId="30" fillId="0" borderId="30" xfId="0" applyNumberFormat="1" applyFont="1" applyBorder="1" applyAlignment="1">
      <alignment horizontal="center" vertical="center"/>
    </xf>
    <xf numFmtId="10" fontId="30" fillId="0" borderId="23" xfId="253" applyNumberFormat="1" applyFont="1" applyBorder="1" applyAlignment="1">
      <alignment horizontal="center" vertical="center"/>
    </xf>
    <xf numFmtId="10" fontId="30" fillId="0" borderId="29" xfId="253" applyNumberFormat="1" applyFont="1" applyBorder="1" applyAlignment="1">
      <alignment horizontal="center" vertical="center"/>
    </xf>
    <xf numFmtId="10" fontId="30" fillId="0" borderId="47" xfId="253" applyNumberFormat="1" applyFont="1" applyBorder="1" applyAlignment="1">
      <alignment horizontal="center" vertical="center"/>
    </xf>
    <xf numFmtId="10" fontId="30" fillId="0" borderId="67" xfId="253" applyNumberFormat="1" applyFont="1" applyBorder="1" applyAlignment="1">
      <alignment horizontal="center" vertical="center"/>
    </xf>
    <xf numFmtId="186" fontId="30" fillId="0" borderId="23" xfId="0" applyNumberFormat="1" applyFont="1" applyBorder="1" applyAlignment="1">
      <alignment horizontal="center" vertical="center"/>
    </xf>
    <xf numFmtId="186" fontId="30" fillId="0" borderId="29" xfId="0" applyNumberFormat="1" applyFont="1" applyBorder="1" applyAlignment="1">
      <alignment horizontal="center" vertical="center"/>
    </xf>
    <xf numFmtId="186" fontId="30" fillId="0" borderId="47" xfId="0" applyNumberFormat="1" applyFont="1" applyBorder="1" applyAlignment="1">
      <alignment horizontal="center" vertical="center"/>
    </xf>
    <xf numFmtId="186" fontId="30" fillId="0" borderId="67" xfId="0" applyNumberFormat="1" applyFont="1" applyBorder="1" applyAlignment="1">
      <alignment horizontal="center" vertical="center"/>
    </xf>
    <xf numFmtId="186" fontId="30" fillId="0" borderId="30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7" fontId="31" fillId="8" borderId="22" xfId="0" applyNumberFormat="1" applyFont="1" applyFill="1" applyBorder="1" applyAlignment="1">
      <alignment horizontal="center" vertical="center"/>
    </xf>
    <xf numFmtId="178" fontId="31" fillId="6" borderId="22" xfId="0" applyNumberFormat="1" applyFont="1" applyFill="1" applyBorder="1" applyAlignment="1">
      <alignment horizontal="center" vertical="center"/>
    </xf>
    <xf numFmtId="176" fontId="31" fillId="5" borderId="22" xfId="0" applyNumberFormat="1" applyFont="1" applyFill="1" applyBorder="1" applyAlignment="1">
      <alignment horizontal="center" vertical="center"/>
    </xf>
    <xf numFmtId="0" fontId="33" fillId="7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78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79" fontId="30" fillId="0" borderId="22" xfId="253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7" fontId="30" fillId="0" borderId="22" xfId="253" applyNumberFormat="1" applyFont="1" applyBorder="1" applyAlignment="1">
      <alignment horizontal="center" vertical="center"/>
    </xf>
    <xf numFmtId="0" fontId="69" fillId="0" borderId="22" xfId="0" applyFont="1" applyBorder="1" applyAlignment="1">
      <alignment horizontal="center" vertical="center"/>
    </xf>
    <xf numFmtId="0" fontId="69" fillId="0" borderId="27" xfId="0" applyFont="1" applyBorder="1" applyAlignment="1">
      <alignment horizontal="center" vertical="center"/>
    </xf>
    <xf numFmtId="10" fontId="30" fillId="0" borderId="22" xfId="253" applyNumberFormat="1" applyFont="1" applyBorder="1" applyAlignment="1">
      <alignment horizontal="center" vertical="center"/>
    </xf>
    <xf numFmtId="187" fontId="30" fillId="0" borderId="22" xfId="0" applyNumberFormat="1" applyFont="1" applyBorder="1" applyAlignment="1">
      <alignment horizontal="center" vertical="center"/>
    </xf>
    <xf numFmtId="187" fontId="30" fillId="0" borderId="25" xfId="253" applyNumberFormat="1" applyFont="1" applyBorder="1" applyAlignment="1">
      <alignment horizontal="center" vertical="center"/>
    </xf>
    <xf numFmtId="185" fontId="30" fillId="0" borderId="68" xfId="0" applyNumberFormat="1" applyFont="1" applyBorder="1" applyAlignment="1">
      <alignment horizontal="center" vertical="center"/>
    </xf>
    <xf numFmtId="185" fontId="30" fillId="0" borderId="69" xfId="0" applyNumberFormat="1" applyFont="1" applyBorder="1" applyAlignment="1">
      <alignment horizontal="center" vertical="center"/>
    </xf>
    <xf numFmtId="185" fontId="30" fillId="0" borderId="70" xfId="0" applyNumberFormat="1" applyFont="1" applyBorder="1" applyAlignment="1">
      <alignment horizontal="center" vertical="center"/>
    </xf>
    <xf numFmtId="10" fontId="30" fillId="0" borderId="68" xfId="0" applyNumberFormat="1" applyFont="1" applyBorder="1" applyAlignment="1">
      <alignment horizontal="center" vertical="center"/>
    </xf>
    <xf numFmtId="10" fontId="30" fillId="0" borderId="69" xfId="0" applyNumberFormat="1" applyFont="1" applyBorder="1" applyAlignment="1">
      <alignment horizontal="center" vertical="center"/>
    </xf>
    <xf numFmtId="10" fontId="30" fillId="0" borderId="70" xfId="0" applyNumberFormat="1" applyFont="1" applyBorder="1" applyAlignment="1">
      <alignment horizontal="center" vertical="center"/>
    </xf>
    <xf numFmtId="185" fontId="30" fillId="0" borderId="23" xfId="0" applyNumberFormat="1" applyFont="1" applyBorder="1" applyAlignment="1">
      <alignment horizontal="center" vertical="center"/>
    </xf>
    <xf numFmtId="185" fontId="30" fillId="0" borderId="29" xfId="0" applyNumberFormat="1" applyFont="1" applyBorder="1" applyAlignment="1">
      <alignment horizontal="center" vertical="center"/>
    </xf>
    <xf numFmtId="185" fontId="30" fillId="0" borderId="47" xfId="0" applyNumberFormat="1" applyFont="1" applyBorder="1" applyAlignment="1">
      <alignment horizontal="center" vertical="center"/>
    </xf>
    <xf numFmtId="185" fontId="30" fillId="0" borderId="67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181" fontId="23" fillId="0" borderId="22" xfId="0" applyNumberFormat="1" applyFont="1" applyBorder="1" applyAlignment="1">
      <alignment horizontal="center" vertical="center"/>
    </xf>
    <xf numFmtId="10" fontId="23" fillId="5" borderId="22" xfId="0" applyNumberFormat="1" applyFont="1" applyFill="1" applyBorder="1" applyAlignment="1">
      <alignment horizontal="center" vertical="center"/>
    </xf>
    <xf numFmtId="10" fontId="23" fillId="0" borderId="22" xfId="0" applyNumberFormat="1" applyFont="1" applyBorder="1" applyAlignment="1">
      <alignment horizontal="center" vertical="center"/>
    </xf>
    <xf numFmtId="180" fontId="30" fillId="0" borderId="22" xfId="0" applyNumberFormat="1" applyFont="1" applyBorder="1" applyAlignment="1">
      <alignment horizontal="center" vertical="center"/>
    </xf>
    <xf numFmtId="180" fontId="30" fillId="0" borderId="23" xfId="0" applyNumberFormat="1" applyFont="1" applyBorder="1" applyAlignment="1">
      <alignment horizontal="center" vertical="center"/>
    </xf>
    <xf numFmtId="185" fontId="30" fillId="0" borderId="32" xfId="0" applyNumberFormat="1" applyFont="1" applyBorder="1" applyAlignment="1">
      <alignment horizontal="center" vertical="center"/>
    </xf>
    <xf numFmtId="185" fontId="30" fillId="0" borderId="34" xfId="0" applyNumberFormat="1" applyFont="1" applyBorder="1" applyAlignment="1">
      <alignment horizontal="center" vertical="center"/>
    </xf>
    <xf numFmtId="185" fontId="30" fillId="0" borderId="36" xfId="0" applyNumberFormat="1" applyFont="1" applyBorder="1" applyAlignment="1">
      <alignment horizontal="center" vertical="center"/>
    </xf>
    <xf numFmtId="10" fontId="30" fillId="0" borderId="23" xfId="0" applyNumberFormat="1" applyFont="1" applyBorder="1" applyAlignment="1">
      <alignment horizontal="center" vertical="center"/>
    </xf>
    <xf numFmtId="10" fontId="30" fillId="0" borderId="29" xfId="0" applyNumberFormat="1" applyFont="1" applyBorder="1" applyAlignment="1">
      <alignment horizontal="center" vertical="center"/>
    </xf>
    <xf numFmtId="10" fontId="30" fillId="0" borderId="47" xfId="0" applyNumberFormat="1" applyFont="1" applyBorder="1" applyAlignment="1">
      <alignment horizontal="center" vertical="center"/>
    </xf>
    <xf numFmtId="180" fontId="30" fillId="0" borderId="28" xfId="0" applyNumberFormat="1" applyFont="1" applyBorder="1" applyAlignment="1">
      <alignment horizontal="center" vertical="center"/>
    </xf>
    <xf numFmtId="180" fontId="30" fillId="0" borderId="25" xfId="0" applyNumberFormat="1" applyFont="1" applyBorder="1" applyAlignment="1">
      <alignment horizontal="center" vertical="center"/>
    </xf>
    <xf numFmtId="10" fontId="30" fillId="0" borderId="27" xfId="0" applyNumberFormat="1" applyFont="1" applyBorder="1" applyAlignment="1">
      <alignment horizontal="center" vertical="center"/>
    </xf>
    <xf numFmtId="180" fontId="30" fillId="0" borderId="68" xfId="0" applyNumberFormat="1" applyFont="1" applyBorder="1" applyAlignment="1">
      <alignment horizontal="center" vertical="center"/>
    </xf>
    <xf numFmtId="180" fontId="30" fillId="0" borderId="69" xfId="0" applyNumberFormat="1" applyFont="1" applyBorder="1" applyAlignment="1">
      <alignment horizontal="center" vertical="center"/>
    </xf>
    <xf numFmtId="180" fontId="30" fillId="0" borderId="70" xfId="0" applyNumberFormat="1" applyFont="1" applyBorder="1" applyAlignment="1">
      <alignment horizontal="center" vertical="center"/>
    </xf>
    <xf numFmtId="180" fontId="30" fillId="0" borderId="67" xfId="0" applyNumberFormat="1" applyFont="1" applyBorder="1" applyAlignment="1">
      <alignment horizontal="center" vertical="center"/>
    </xf>
    <xf numFmtId="180" fontId="30" fillId="0" borderId="29" xfId="0" applyNumberFormat="1" applyFont="1" applyBorder="1" applyAlignment="1">
      <alignment horizontal="center" vertical="center"/>
    </xf>
    <xf numFmtId="180" fontId="30" fillId="0" borderId="47" xfId="0" applyNumberFormat="1" applyFont="1" applyBorder="1" applyAlignment="1">
      <alignment horizontal="center" vertical="center"/>
    </xf>
    <xf numFmtId="10" fontId="30" fillId="0" borderId="67" xfId="0" applyNumberFormat="1" applyFont="1" applyBorder="1" applyAlignment="1">
      <alignment horizontal="center" vertical="center"/>
    </xf>
    <xf numFmtId="10" fontId="30" fillId="0" borderId="71" xfId="0" applyNumberFormat="1" applyFont="1" applyBorder="1" applyAlignment="1">
      <alignment horizontal="center" vertical="center"/>
    </xf>
    <xf numFmtId="10" fontId="30" fillId="0" borderId="72" xfId="0" applyNumberFormat="1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3" fillId="7" borderId="36" xfId="0" applyFont="1" applyFill="1" applyBorder="1" applyAlignment="1">
      <alignment horizontal="center" vertical="center"/>
    </xf>
    <xf numFmtId="0" fontId="33" fillId="7" borderId="25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32" fillId="0" borderId="22" xfId="0" applyNumberFormat="1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82" fontId="30" fillId="0" borderId="23" xfId="0" applyNumberFormat="1" applyFont="1" applyBorder="1" applyAlignment="1">
      <alignment horizontal="center" vertical="center"/>
    </xf>
    <xf numFmtId="182" fontId="30" fillId="0" borderId="29" xfId="0" applyNumberFormat="1" applyFont="1" applyBorder="1" applyAlignment="1">
      <alignment horizontal="center" vertical="center"/>
    </xf>
    <xf numFmtId="182" fontId="30" fillId="0" borderId="30" xfId="0" applyNumberFormat="1" applyFont="1" applyBorder="1" applyAlignment="1">
      <alignment horizontal="center" vertical="center"/>
    </xf>
    <xf numFmtId="177" fontId="25" fillId="0" borderId="27" xfId="0" applyNumberFormat="1" applyFont="1" applyBorder="1" applyAlignment="1">
      <alignment horizontal="center" vertical="center"/>
    </xf>
    <xf numFmtId="177" fontId="25" fillId="0" borderId="28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0" fontId="33" fillId="7" borderId="34" xfId="0" applyFont="1" applyFill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31" fillId="0" borderId="23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0" fontId="32" fillId="0" borderId="23" xfId="0" applyFont="1" applyBorder="1" applyAlignment="1">
      <alignment horizontal="center" vertical="center" shrinkToFit="1"/>
    </xf>
    <xf numFmtId="0" fontId="34" fillId="0" borderId="23" xfId="0" applyFont="1" applyBorder="1" applyAlignment="1">
      <alignment horizontal="center" vertical="center"/>
    </xf>
    <xf numFmtId="186" fontId="30" fillId="0" borderId="22" xfId="0" applyNumberFormat="1" applyFont="1" applyBorder="1" applyAlignment="1">
      <alignment horizontal="center" vertical="center"/>
    </xf>
    <xf numFmtId="186" fontId="30" fillId="0" borderId="28" xfId="0" applyNumberFormat="1" applyFont="1" applyBorder="1" applyAlignment="1">
      <alignment horizontal="center" vertical="center"/>
    </xf>
    <xf numFmtId="186" fontId="30" fillId="0" borderId="27" xfId="0" applyNumberFormat="1" applyFont="1" applyBorder="1" applyAlignment="1">
      <alignment horizontal="center" vertical="center"/>
    </xf>
    <xf numFmtId="186" fontId="30" fillId="0" borderId="68" xfId="0" applyNumberFormat="1" applyFont="1" applyBorder="1" applyAlignment="1">
      <alignment horizontal="center" vertical="center"/>
    </xf>
    <xf numFmtId="186" fontId="30" fillId="0" borderId="69" xfId="0" applyNumberFormat="1" applyFont="1" applyBorder="1" applyAlignment="1">
      <alignment horizontal="center" vertical="center"/>
    </xf>
    <xf numFmtId="186" fontId="30" fillId="0" borderId="70" xfId="0" applyNumberFormat="1" applyFont="1" applyBorder="1" applyAlignment="1">
      <alignment horizontal="center" vertical="center"/>
    </xf>
    <xf numFmtId="179" fontId="21" fillId="0" borderId="22" xfId="253" applyNumberFormat="1" applyFont="1" applyBorder="1" applyAlignment="1">
      <alignment horizontal="center" vertical="center"/>
    </xf>
    <xf numFmtId="0" fontId="18" fillId="0" borderId="22" xfId="253" applyFont="1" applyBorder="1" applyAlignment="1">
      <alignment horizontal="center" vertical="center"/>
    </xf>
    <xf numFmtId="0" fontId="21" fillId="0" borderId="23" xfId="253" applyFont="1" applyBorder="1" applyAlignment="1">
      <alignment horizontal="center" vertical="center"/>
    </xf>
    <xf numFmtId="0" fontId="21" fillId="0" borderId="30" xfId="253" applyFont="1" applyBorder="1" applyAlignment="1">
      <alignment horizontal="center" vertical="center"/>
    </xf>
    <xf numFmtId="0" fontId="21" fillId="0" borderId="27" xfId="253" applyFont="1" applyBorder="1" applyAlignment="1">
      <alignment horizontal="center" vertical="center"/>
    </xf>
    <xf numFmtId="0" fontId="21" fillId="0" borderId="28" xfId="253" applyFont="1" applyBorder="1" applyAlignment="1">
      <alignment horizontal="center" vertical="center"/>
    </xf>
    <xf numFmtId="0" fontId="21" fillId="0" borderId="25" xfId="253" applyFont="1" applyBorder="1" applyAlignment="1">
      <alignment horizontal="center" vertical="center"/>
    </xf>
    <xf numFmtId="0" fontId="21" fillId="0" borderId="22" xfId="253" applyFont="1" applyBorder="1" applyAlignment="1">
      <alignment horizontal="center" vertical="center"/>
    </xf>
    <xf numFmtId="0" fontId="84" fillId="0" borderId="0" xfId="253" applyFont="1" applyAlignment="1">
      <alignment horizontal="left" vertical="center"/>
    </xf>
    <xf numFmtId="0" fontId="85" fillId="0" borderId="0" xfId="253" applyFont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86" fillId="0" borderId="22" xfId="253" applyFont="1" applyBorder="1" applyAlignment="1">
      <alignment horizontal="center" vertical="center"/>
    </xf>
    <xf numFmtId="0" fontId="18" fillId="0" borderId="32" xfId="253" applyFont="1" applyBorder="1" applyAlignment="1">
      <alignment horizontal="center" vertical="center"/>
    </xf>
    <xf numFmtId="0" fontId="18" fillId="0" borderId="34" xfId="253" applyFont="1" applyBorder="1" applyAlignment="1">
      <alignment horizontal="center" vertical="center"/>
    </xf>
    <xf numFmtId="183" fontId="18" fillId="0" borderId="23" xfId="253" applyNumberFormat="1" applyFont="1" applyBorder="1" applyAlignment="1">
      <alignment horizontal="center" vertical="center"/>
    </xf>
    <xf numFmtId="183" fontId="18" fillId="0" borderId="29" xfId="253" applyNumberFormat="1" applyFont="1" applyBorder="1" applyAlignment="1">
      <alignment horizontal="center" vertical="center"/>
    </xf>
    <xf numFmtId="183" fontId="18" fillId="0" borderId="30" xfId="253" applyNumberFormat="1" applyFont="1" applyBorder="1" applyAlignment="1">
      <alignment horizontal="center" vertical="center"/>
    </xf>
    <xf numFmtId="0" fontId="21" fillId="0" borderId="31" xfId="253" applyFont="1" applyBorder="1" applyAlignment="1">
      <alignment horizontal="center" vertical="center"/>
    </xf>
    <xf numFmtId="0" fontId="21" fillId="0" borderId="33" xfId="253" applyFont="1" applyBorder="1" applyAlignment="1">
      <alignment horizontal="center" vertical="center"/>
    </xf>
    <xf numFmtId="0" fontId="21" fillId="0" borderId="35" xfId="253" applyFont="1" applyBorder="1" applyAlignment="1">
      <alignment horizontal="center" vertical="center"/>
    </xf>
    <xf numFmtId="0" fontId="21" fillId="0" borderId="29" xfId="253" applyFont="1" applyBorder="1" applyAlignment="1">
      <alignment horizontal="center" vertical="center"/>
    </xf>
    <xf numFmtId="0" fontId="84" fillId="0" borderId="37" xfId="253" applyFont="1" applyBorder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183" fontId="18" fillId="0" borderId="22" xfId="253" applyNumberFormat="1" applyFont="1" applyBorder="1" applyAlignment="1">
      <alignment horizontal="center" vertical="center"/>
    </xf>
    <xf numFmtId="183" fontId="18" fillId="0" borderId="31" xfId="253" applyNumberFormat="1" applyFont="1" applyBorder="1" applyAlignment="1">
      <alignment horizontal="center" vertical="center"/>
    </xf>
    <xf numFmtId="183" fontId="18" fillId="0" borderId="33" xfId="253" applyNumberFormat="1" applyFont="1" applyBorder="1" applyAlignment="1">
      <alignment horizontal="center" vertical="center"/>
    </xf>
    <xf numFmtId="183" fontId="18" fillId="0" borderId="35" xfId="253" applyNumberFormat="1" applyFont="1" applyBorder="1" applyAlignment="1">
      <alignment horizontal="center" vertical="center"/>
    </xf>
    <xf numFmtId="0" fontId="18" fillId="0" borderId="23" xfId="253" applyFont="1" applyBorder="1" applyAlignment="1">
      <alignment horizontal="center" vertical="center"/>
    </xf>
    <xf numFmtId="0" fontId="18" fillId="0" borderId="29" xfId="253" applyFont="1" applyBorder="1" applyAlignment="1">
      <alignment horizontal="center" vertical="center"/>
    </xf>
    <xf numFmtId="0" fontId="18" fillId="0" borderId="30" xfId="253" applyFont="1" applyBorder="1" applyAlignment="1">
      <alignment horizontal="center" vertical="center"/>
    </xf>
    <xf numFmtId="0" fontId="86" fillId="0" borderId="23" xfId="253" applyFont="1" applyBorder="1" applyAlignment="1">
      <alignment horizontal="center" vertical="center"/>
    </xf>
    <xf numFmtId="0" fontId="86" fillId="0" borderId="27" xfId="253" applyFont="1" applyBorder="1" applyAlignment="1">
      <alignment horizontal="center" vertical="center"/>
    </xf>
    <xf numFmtId="0" fontId="73" fillId="0" borderId="0" xfId="253" applyFont="1" applyAlignment="1">
      <alignment horizontal="left" vertical="center"/>
    </xf>
    <xf numFmtId="0" fontId="38" fillId="0" borderId="0" xfId="253" applyFont="1" applyAlignment="1">
      <alignment horizontal="left" vertical="center"/>
    </xf>
    <xf numFmtId="0" fontId="39" fillId="0" borderId="0" xfId="253" applyFont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7" fillId="0" borderId="23" xfId="253" applyFont="1" applyBorder="1" applyAlignment="1">
      <alignment horizontal="center" vertical="center"/>
    </xf>
    <xf numFmtId="0" fontId="37" fillId="0" borderId="30" xfId="253" applyFont="1" applyBorder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83" fontId="28" fillId="0" borderId="31" xfId="253" applyNumberFormat="1" applyBorder="1" applyAlignment="1">
      <alignment horizontal="center" vertical="center"/>
    </xf>
    <xf numFmtId="183" fontId="28" fillId="0" borderId="33" xfId="253" applyNumberFormat="1" applyBorder="1" applyAlignment="1">
      <alignment horizontal="center" vertical="center"/>
    </xf>
    <xf numFmtId="183" fontId="28" fillId="0" borderId="35" xfId="253" applyNumberFormat="1" applyBorder="1" applyAlignment="1">
      <alignment horizontal="center" vertical="center"/>
    </xf>
    <xf numFmtId="0" fontId="37" fillId="0" borderId="31" xfId="253" applyFont="1" applyBorder="1" applyAlignment="1">
      <alignment horizontal="center" vertical="center"/>
    </xf>
    <xf numFmtId="0" fontId="37" fillId="0" borderId="33" xfId="253" applyFont="1" applyBorder="1" applyAlignment="1">
      <alignment horizontal="center" vertical="center"/>
    </xf>
    <xf numFmtId="0" fontId="37" fillId="0" borderId="35" xfId="253" applyFont="1" applyBorder="1" applyAlignment="1">
      <alignment horizontal="center" vertical="center"/>
    </xf>
    <xf numFmtId="0" fontId="37" fillId="0" borderId="29" xfId="253" applyFont="1" applyBorder="1" applyAlignment="1">
      <alignment horizontal="center" vertical="center"/>
    </xf>
    <xf numFmtId="179" fontId="37" fillId="0" borderId="22" xfId="253" applyNumberFormat="1" applyFont="1" applyBorder="1" applyAlignment="1">
      <alignment horizontal="center" vertical="center"/>
    </xf>
    <xf numFmtId="0" fontId="37" fillId="0" borderId="27" xfId="253" applyFont="1" applyBorder="1" applyAlignment="1">
      <alignment horizontal="center" vertical="center"/>
    </xf>
    <xf numFmtId="0" fontId="37" fillId="0" borderId="28" xfId="253" applyFont="1" applyBorder="1" applyAlignment="1">
      <alignment horizontal="center" vertical="center"/>
    </xf>
    <xf numFmtId="0" fontId="37" fillId="0" borderId="25" xfId="253" applyFon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0" fontId="38" fillId="0" borderId="37" xfId="253" applyFont="1" applyBorder="1" applyAlignment="1">
      <alignment horizontal="left" vertical="center"/>
    </xf>
    <xf numFmtId="0" fontId="39" fillId="0" borderId="37" xfId="253" applyFont="1" applyBorder="1" applyAlignment="1">
      <alignment horizontal="left" vertical="center"/>
    </xf>
    <xf numFmtId="0" fontId="45" fillId="0" borderId="22" xfId="253" applyFont="1" applyBorder="1" applyAlignment="1">
      <alignment shrinkToFit="1"/>
    </xf>
    <xf numFmtId="0" fontId="53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2" borderId="22" xfId="253" applyFont="1" applyFill="1" applyBorder="1" applyAlignment="1">
      <alignment horizontal="center" shrinkToFit="1"/>
    </xf>
    <xf numFmtId="0" fontId="53" fillId="0" borderId="22" xfId="253" applyFont="1" applyBorder="1" applyAlignment="1">
      <alignment horizontal="center" shrinkToFit="1"/>
    </xf>
    <xf numFmtId="0" fontId="30" fillId="0" borderId="22" xfId="253" applyFont="1" applyBorder="1" applyAlignment="1">
      <alignment horizontal="center" vertical="center" shrinkToFit="1"/>
    </xf>
    <xf numFmtId="0" fontId="61" fillId="2" borderId="22" xfId="253" applyFont="1" applyFill="1" applyBorder="1" applyAlignment="1">
      <alignment horizontal="center" vertical="center" shrinkToFit="1"/>
    </xf>
    <xf numFmtId="0" fontId="32" fillId="0" borderId="27" xfId="253" applyFont="1" applyBorder="1" applyAlignment="1">
      <alignment horizontal="left" shrinkToFit="1"/>
    </xf>
    <xf numFmtId="0" fontId="32" fillId="0" borderId="28" xfId="253" applyFont="1" applyBorder="1" applyAlignment="1">
      <alignment horizontal="left" shrinkToFit="1"/>
    </xf>
    <xf numFmtId="0" fontId="32" fillId="0" borderId="25" xfId="253" applyFont="1" applyBorder="1" applyAlignment="1">
      <alignment horizontal="left" shrinkToFit="1"/>
    </xf>
    <xf numFmtId="0" fontId="66" fillId="0" borderId="22" xfId="253" applyFont="1" applyBorder="1" applyAlignment="1">
      <alignment shrinkToFit="1"/>
    </xf>
    <xf numFmtId="0" fontId="32" fillId="0" borderId="27" xfId="253" applyFont="1" applyBorder="1" applyAlignment="1">
      <alignment shrinkToFit="1"/>
    </xf>
    <xf numFmtId="0" fontId="32" fillId="0" borderId="28" xfId="253" applyFont="1" applyBorder="1" applyAlignment="1">
      <alignment shrinkToFit="1"/>
    </xf>
    <xf numFmtId="0" fontId="32" fillId="0" borderId="25" xfId="253" applyFont="1" applyBorder="1" applyAlignment="1">
      <alignment shrinkToFit="1"/>
    </xf>
    <xf numFmtId="0" fontId="45" fillId="0" borderId="27" xfId="253" applyFont="1" applyBorder="1" applyAlignment="1">
      <alignment shrinkToFit="1"/>
    </xf>
    <xf numFmtId="0" fontId="45" fillId="0" borderId="28" xfId="253" applyFont="1" applyBorder="1" applyAlignment="1">
      <alignment shrinkToFit="1"/>
    </xf>
    <xf numFmtId="0" fontId="45" fillId="0" borderId="25" xfId="253" applyFont="1" applyBorder="1" applyAlignment="1">
      <alignment shrinkToFit="1"/>
    </xf>
    <xf numFmtId="0" fontId="45" fillId="2" borderId="22" xfId="253" applyFont="1" applyFill="1" applyBorder="1" applyAlignment="1">
      <alignment horizontal="center" vertical="center" shrinkToFit="1"/>
    </xf>
    <xf numFmtId="0" fontId="66" fillId="0" borderId="27" xfId="253" applyFont="1" applyBorder="1" applyAlignment="1">
      <alignment shrinkToFit="1"/>
    </xf>
    <xf numFmtId="0" fontId="67" fillId="0" borderId="27" xfId="253" applyFont="1" applyBorder="1" applyAlignment="1">
      <alignment shrinkToFit="1"/>
    </xf>
    <xf numFmtId="0" fontId="68" fillId="0" borderId="22" xfId="253" applyFont="1" applyBorder="1" applyAlignment="1">
      <alignment shrinkToFit="1"/>
    </xf>
    <xf numFmtId="0" fontId="51" fillId="0" borderId="0" xfId="253" applyFont="1" applyAlignment="1">
      <alignment horizontal="left" vertical="center" shrinkToFit="1"/>
    </xf>
    <xf numFmtId="0" fontId="52" fillId="0" borderId="0" xfId="253" applyFont="1" applyAlignment="1">
      <alignment horizontal="left" vertical="center" shrinkToFit="1"/>
    </xf>
    <xf numFmtId="0" fontId="53" fillId="0" borderId="22" xfId="253" applyFont="1" applyBorder="1" applyAlignment="1">
      <alignment horizontal="center" vertical="center" shrinkToFit="1"/>
    </xf>
    <xf numFmtId="0" fontId="54" fillId="0" borderId="22" xfId="253" applyFont="1" applyBorder="1" applyAlignment="1">
      <alignment horizontal="center" vertical="center" shrinkToFit="1"/>
    </xf>
    <xf numFmtId="0" fontId="35" fillId="0" borderId="22" xfId="253" applyFont="1" applyBorder="1" applyAlignment="1">
      <alignment horizontal="center" vertical="center" shrinkToFit="1"/>
    </xf>
    <xf numFmtId="0" fontId="35" fillId="0" borderId="51" xfId="253" applyFont="1" applyBorder="1" applyAlignment="1">
      <alignment horizontal="center" vertical="center" shrinkToFit="1"/>
    </xf>
    <xf numFmtId="0" fontId="70" fillId="0" borderId="22" xfId="253" applyFont="1" applyBorder="1" applyAlignment="1">
      <alignment horizontal="center" vertical="center" shrinkToFit="1"/>
    </xf>
    <xf numFmtId="0" fontId="54" fillId="0" borderId="51" xfId="253" applyFont="1" applyBorder="1" applyAlignment="1">
      <alignment horizontal="center" vertical="center" shrinkToFit="1"/>
    </xf>
    <xf numFmtId="0" fontId="22" fillId="11" borderId="43" xfId="253" applyFont="1" applyFill="1" applyBorder="1" applyAlignment="1">
      <alignment horizontal="center" vertical="center" shrinkToFit="1"/>
    </xf>
    <xf numFmtId="0" fontId="22" fillId="11" borderId="48" xfId="253" applyFont="1" applyFill="1" applyBorder="1" applyAlignment="1">
      <alignment horizontal="center" vertical="center" shrinkToFit="1"/>
    </xf>
    <xf numFmtId="0" fontId="46" fillId="0" borderId="44" xfId="253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32" fillId="0" borderId="37" xfId="253" applyFont="1" applyBorder="1" applyAlignment="1">
      <alignment horizontal="center" vertical="center" shrinkToFit="1"/>
    </xf>
    <xf numFmtId="0" fontId="32" fillId="0" borderId="0" xfId="253" applyFont="1" applyAlignment="1">
      <alignment horizontal="center" vertical="center" shrinkToFit="1"/>
    </xf>
    <xf numFmtId="0" fontId="32" fillId="0" borderId="56" xfId="253" applyFont="1" applyBorder="1" applyAlignment="1">
      <alignment horizontal="center" vertical="center" shrinkToFit="1"/>
    </xf>
    <xf numFmtId="0" fontId="46" fillId="0" borderId="22" xfId="253" applyFont="1" applyBorder="1" applyAlignment="1">
      <alignment horizontal="center" vertical="center"/>
    </xf>
    <xf numFmtId="0" fontId="30" fillId="0" borderId="51" xfId="253" applyFont="1" applyBorder="1" applyAlignment="1">
      <alignment horizontal="center" vertical="center" shrinkToFit="1"/>
    </xf>
    <xf numFmtId="0" fontId="30" fillId="0" borderId="22" xfId="253" applyFont="1" applyBorder="1" applyAlignment="1">
      <alignment horizontal="center" shrinkToFit="1"/>
    </xf>
    <xf numFmtId="0" fontId="30" fillId="0" borderId="51" xfId="253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30" fillId="0" borderId="22" xfId="0" applyFont="1" applyBorder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45" fillId="2" borderId="4" xfId="0" applyFont="1" applyFill="1" applyBorder="1" applyAlignment="1">
      <alignment horizontal="center" vertical="center" shrinkToFit="1"/>
    </xf>
    <xf numFmtId="0" fontId="45" fillId="2" borderId="3" xfId="0" applyFont="1" applyFill="1" applyBorder="1" applyAlignment="1">
      <alignment horizontal="center" vertical="center" shrinkToFit="1"/>
    </xf>
    <xf numFmtId="0" fontId="32" fillId="0" borderId="4" xfId="0" applyFont="1" applyBorder="1" applyAlignment="1">
      <alignment shrinkToFit="1"/>
    </xf>
    <xf numFmtId="0" fontId="55" fillId="0" borderId="22" xfId="0" applyFont="1" applyBorder="1" applyAlignment="1">
      <alignment horizontal="center" vertical="center" shrinkToFit="1"/>
    </xf>
    <xf numFmtId="0" fontId="66" fillId="0" borderId="4" xfId="0" applyFont="1" applyBorder="1" applyAlignment="1">
      <alignment horizontal="left" shrinkToFit="1"/>
    </xf>
    <xf numFmtId="0" fontId="66" fillId="0" borderId="3" xfId="0" applyFont="1" applyBorder="1" applyAlignment="1">
      <alignment horizontal="left" shrinkToFit="1"/>
    </xf>
    <xf numFmtId="0" fontId="44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52" fillId="0" borderId="0" xfId="0" applyFont="1" applyAlignment="1">
      <alignment horizontal="left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67" fillId="0" borderId="4" xfId="0" applyFont="1" applyBorder="1" applyAlignment="1">
      <alignment horizontal="center" shrinkToFit="1"/>
    </xf>
    <xf numFmtId="0" fontId="17" fillId="0" borderId="3" xfId="0" applyFont="1" applyBorder="1" applyAlignment="1">
      <alignment horizontal="center" shrinkToFit="1"/>
    </xf>
    <xf numFmtId="0" fontId="17" fillId="2" borderId="39" xfId="0" applyFont="1" applyFill="1" applyBorder="1" applyAlignment="1">
      <alignment horizontal="center" shrinkToFit="1"/>
    </xf>
    <xf numFmtId="0" fontId="17" fillId="2" borderId="2" xfId="0" applyFont="1" applyFill="1" applyBorder="1" applyAlignment="1">
      <alignment horizontal="center" shrinkToFit="1"/>
    </xf>
    <xf numFmtId="0" fontId="17" fillId="2" borderId="3" xfId="0" applyFont="1" applyFill="1" applyBorder="1" applyAlignment="1">
      <alignment horizontal="center" shrinkToFit="1"/>
    </xf>
    <xf numFmtId="0" fontId="67" fillId="0" borderId="3" xfId="0" applyFont="1" applyBorder="1" applyAlignment="1">
      <alignment horizontal="center" shrinkToFit="1"/>
    </xf>
    <xf numFmtId="0" fontId="17" fillId="0" borderId="4" xfId="0" applyFont="1" applyBorder="1" applyAlignment="1">
      <alignment horizontal="center" shrinkToFit="1"/>
    </xf>
    <xf numFmtId="0" fontId="37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21" fillId="2" borderId="4" xfId="0" applyFont="1" applyFill="1" applyBorder="1" applyAlignment="1">
      <alignment horizontal="center" vertical="center" shrinkToFit="1"/>
    </xf>
    <xf numFmtId="0" fontId="21" fillId="2" borderId="3" xfId="0" applyFont="1" applyFill="1" applyBorder="1" applyAlignment="1">
      <alignment horizontal="center" vertical="center" shrinkToFit="1"/>
    </xf>
    <xf numFmtId="0" fontId="17" fillId="2" borderId="0" xfId="0" applyFont="1" applyFill="1" applyAlignment="1">
      <alignment horizontal="center" vertical="center" shrinkToFit="1"/>
    </xf>
    <xf numFmtId="0" fontId="17" fillId="2" borderId="40" xfId="0" applyFont="1" applyFill="1" applyBorder="1" applyAlignment="1">
      <alignment horizontal="center" vertical="center" shrinkToFit="1"/>
    </xf>
    <xf numFmtId="0" fontId="17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59" fillId="0" borderId="4" xfId="0" applyFont="1" applyBorder="1" applyAlignment="1">
      <alignment shrinkToFit="1"/>
    </xf>
    <xf numFmtId="0" fontId="37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6" fillId="0" borderId="9" xfId="0" applyFont="1" applyBorder="1" applyAlignment="1">
      <alignment shrinkToFit="1"/>
    </xf>
    <xf numFmtId="0" fontId="17" fillId="0" borderId="10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55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66" fillId="0" borderId="3" xfId="0" applyFont="1" applyBorder="1" applyAlignment="1">
      <alignment shrinkToFit="1"/>
    </xf>
    <xf numFmtId="0" fontId="67" fillId="0" borderId="4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32" fillId="2" borderId="33" xfId="0" applyFont="1" applyFill="1" applyBorder="1" applyAlignment="1">
      <alignment horizontal="center" vertical="center" shrinkToFit="1"/>
    </xf>
    <xf numFmtId="0" fontId="43" fillId="0" borderId="26" xfId="253" applyFont="1" applyBorder="1" applyAlignment="1">
      <alignment horizontal="center" vertical="center"/>
    </xf>
    <xf numFmtId="0" fontId="36" fillId="0" borderId="26" xfId="253" applyFont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40" fillId="5" borderId="23" xfId="45" applyFont="1" applyFill="1" applyBorder="1" applyAlignment="1">
      <alignment horizontal="center" vertical="center" wrapText="1"/>
    </xf>
    <xf numFmtId="0" fontId="40" fillId="5" borderId="30" xfId="45" applyFont="1" applyFill="1" applyBorder="1" applyAlignment="1">
      <alignment horizontal="center" vertical="center" wrapText="1"/>
    </xf>
    <xf numFmtId="0" fontId="87" fillId="5" borderId="23" xfId="45" applyFont="1" applyFill="1" applyBorder="1" applyAlignment="1">
      <alignment horizontal="center" vertical="center" wrapText="1"/>
    </xf>
    <xf numFmtId="0" fontId="42" fillId="5" borderId="27" xfId="45" applyFont="1" applyFill="1" applyBorder="1" applyAlignment="1">
      <alignment horizontal="center" vertical="center"/>
    </xf>
    <xf numFmtId="0" fontId="42" fillId="5" borderId="25" xfId="45" applyFont="1" applyFill="1" applyBorder="1" applyAlignment="1">
      <alignment horizontal="center" vertical="center"/>
    </xf>
    <xf numFmtId="0" fontId="49" fillId="5" borderId="31" xfId="286" applyFont="1" applyFill="1" applyBorder="1" applyAlignment="1">
      <alignment horizontal="center" vertical="center"/>
    </xf>
    <xf numFmtId="0" fontId="49" fillId="5" borderId="37" xfId="286" applyFont="1" applyFill="1" applyBorder="1" applyAlignment="1">
      <alignment horizontal="center" vertical="center"/>
    </xf>
    <xf numFmtId="0" fontId="49" fillId="5" borderId="32" xfId="286" applyFont="1" applyFill="1" applyBorder="1" applyAlignment="1">
      <alignment horizontal="center" vertical="center"/>
    </xf>
    <xf numFmtId="0" fontId="49" fillId="5" borderId="33" xfId="286" applyFont="1" applyFill="1" applyBorder="1" applyAlignment="1">
      <alignment horizontal="center" vertical="center"/>
    </xf>
    <xf numFmtId="0" fontId="49" fillId="5" borderId="0" xfId="286" applyFont="1" applyFill="1" applyAlignment="1">
      <alignment horizontal="center" vertical="center"/>
    </xf>
    <xf numFmtId="0" fontId="49" fillId="5" borderId="34" xfId="286" applyFont="1" applyFill="1" applyBorder="1" applyAlignment="1">
      <alignment horizontal="center" vertical="center"/>
    </xf>
    <xf numFmtId="0" fontId="49" fillId="5" borderId="35" xfId="286" applyFont="1" applyFill="1" applyBorder="1" applyAlignment="1">
      <alignment horizontal="center" vertical="center"/>
    </xf>
    <xf numFmtId="0" fontId="49" fillId="5" borderId="26" xfId="286" applyFont="1" applyFill="1" applyBorder="1" applyAlignment="1">
      <alignment horizontal="center" vertical="center"/>
    </xf>
    <xf numFmtId="0" fontId="49" fillId="5" borderId="36" xfId="286" applyFont="1" applyFill="1" applyBorder="1" applyAlignment="1">
      <alignment horizontal="center" vertical="center"/>
    </xf>
    <xf numFmtId="0" fontId="42" fillId="5" borderId="27" xfId="45" applyFont="1" applyFill="1" applyBorder="1" applyAlignment="1">
      <alignment horizontal="center" vertical="center" wrapText="1"/>
    </xf>
    <xf numFmtId="0" fontId="42" fillId="5" borderId="28" xfId="45" applyFont="1" applyFill="1" applyBorder="1" applyAlignment="1">
      <alignment horizontal="center" vertical="center" wrapText="1"/>
    </xf>
    <xf numFmtId="0" fontId="42" fillId="5" borderId="25" xfId="45" applyFont="1" applyFill="1" applyBorder="1" applyAlignment="1">
      <alignment horizontal="center" vertical="center" wrapText="1"/>
    </xf>
    <xf numFmtId="0" fontId="40" fillId="5" borderId="23" xfId="286" applyFont="1" applyFill="1" applyBorder="1" applyAlignment="1">
      <alignment horizontal="center" vertical="center"/>
    </xf>
    <xf numFmtId="0" fontId="40" fillId="5" borderId="30" xfId="286" applyFont="1" applyFill="1" applyBorder="1" applyAlignment="1">
      <alignment horizontal="center" vertical="center"/>
    </xf>
    <xf numFmtId="0" fontId="34" fillId="0" borderId="31" xfId="253" applyFont="1" applyBorder="1" applyAlignment="1">
      <alignment horizontal="center" vertical="center"/>
    </xf>
    <xf numFmtId="0" fontId="34" fillId="0" borderId="32" xfId="253" applyFont="1" applyBorder="1" applyAlignment="1">
      <alignment horizontal="center" vertical="center"/>
    </xf>
    <xf numFmtId="0" fontId="34" fillId="0" borderId="33" xfId="253" applyFont="1" applyBorder="1" applyAlignment="1">
      <alignment horizontal="center" vertical="center"/>
    </xf>
    <xf numFmtId="0" fontId="34" fillId="0" borderId="34" xfId="253" applyFont="1" applyBorder="1" applyAlignment="1">
      <alignment horizontal="center" vertical="center"/>
    </xf>
    <xf numFmtId="0" fontId="34" fillId="0" borderId="35" xfId="253" applyFont="1" applyBorder="1" applyAlignment="1">
      <alignment horizontal="center" vertical="center"/>
    </xf>
    <xf numFmtId="0" fontId="34" fillId="0" borderId="36" xfId="253" applyFont="1" applyBorder="1" applyAlignment="1">
      <alignment horizontal="center" vertical="center"/>
    </xf>
    <xf numFmtId="0" fontId="34" fillId="5" borderId="33" xfId="253" applyFont="1" applyFill="1" applyBorder="1" applyAlignment="1">
      <alignment horizontal="center" vertical="center"/>
    </xf>
    <xf numFmtId="0" fontId="34" fillId="5" borderId="34" xfId="253" applyFont="1" applyFill="1" applyBorder="1" applyAlignment="1">
      <alignment horizontal="center" vertical="center"/>
    </xf>
    <xf numFmtId="0" fontId="34" fillId="5" borderId="35" xfId="253" applyFont="1" applyFill="1" applyBorder="1" applyAlignment="1">
      <alignment horizontal="center" vertical="center"/>
    </xf>
    <xf numFmtId="0" fontId="34" fillId="5" borderId="36" xfId="253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/>
    </xf>
    <xf numFmtId="0" fontId="87" fillId="5" borderId="22" xfId="45" applyFont="1" applyFill="1" applyBorder="1" applyAlignment="1">
      <alignment horizontal="center" vertical="center"/>
    </xf>
    <xf numFmtId="0" fontId="42" fillId="5" borderId="28" xfId="45" applyFont="1" applyFill="1" applyBorder="1" applyAlignment="1">
      <alignment horizontal="center" vertical="center"/>
    </xf>
    <xf numFmtId="0" fontId="87" fillId="5" borderId="22" xfId="45" applyFont="1" applyFill="1" applyBorder="1" applyAlignment="1">
      <alignment horizontal="center" vertical="center" wrapText="1"/>
    </xf>
    <xf numFmtId="192" fontId="75" fillId="0" borderId="67" xfId="43" applyNumberFormat="1" applyFont="1" applyBorder="1" applyAlignment="1">
      <alignment horizontal="center" vertical="center"/>
    </xf>
    <xf numFmtId="192" fontId="75" fillId="0" borderId="29" xfId="43" applyNumberFormat="1" applyFont="1" applyBorder="1" applyAlignment="1">
      <alignment horizontal="center" vertical="center"/>
    </xf>
    <xf numFmtId="192" fontId="75" fillId="0" borderId="47" xfId="43" applyNumberFormat="1" applyFont="1" applyBorder="1" applyAlignment="1">
      <alignment horizontal="center" vertical="center"/>
    </xf>
    <xf numFmtId="192" fontId="75" fillId="0" borderId="68" xfId="43" applyNumberFormat="1" applyFont="1" applyBorder="1" applyAlignment="1">
      <alignment horizontal="center" vertical="center"/>
    </xf>
    <xf numFmtId="192" fontId="75" fillId="0" borderId="69" xfId="43" applyNumberFormat="1" applyFont="1" applyBorder="1" applyAlignment="1">
      <alignment horizontal="center" vertical="center"/>
    </xf>
    <xf numFmtId="192" fontId="75" fillId="0" borderId="70" xfId="43" applyNumberFormat="1" applyFont="1" applyBorder="1" applyAlignment="1">
      <alignment horizontal="center" vertical="center"/>
    </xf>
    <xf numFmtId="0" fontId="77" fillId="0" borderId="0" xfId="286" applyFont="1" applyAlignment="1">
      <alignment horizontal="left" vertical="center"/>
    </xf>
    <xf numFmtId="0" fontId="71" fillId="5" borderId="42" xfId="43" applyFont="1" applyFill="1" applyBorder="1" applyAlignment="1">
      <alignment horizontal="center" vertical="center"/>
    </xf>
    <xf numFmtId="0" fontId="71" fillId="5" borderId="43" xfId="43" applyFont="1" applyFill="1" applyBorder="1" applyAlignment="1">
      <alignment horizontal="center" vertical="center"/>
    </xf>
    <xf numFmtId="0" fontId="71" fillId="5" borderId="48" xfId="43" applyFont="1" applyFill="1" applyBorder="1" applyAlignment="1">
      <alignment horizontal="center" vertical="center"/>
    </xf>
    <xf numFmtId="0" fontId="72" fillId="10" borderId="44" xfId="43" applyFont="1" applyFill="1" applyBorder="1" applyAlignment="1">
      <alignment horizontal="center" vertical="center" wrapText="1"/>
    </xf>
    <xf numFmtId="0" fontId="72" fillId="10" borderId="60" xfId="43" applyFont="1" applyFill="1" applyBorder="1" applyAlignment="1">
      <alignment horizontal="center" vertical="center" wrapText="1"/>
    </xf>
    <xf numFmtId="0" fontId="72" fillId="10" borderId="22" xfId="43" applyFont="1" applyFill="1" applyBorder="1" applyAlignment="1">
      <alignment horizontal="center" vertical="center" wrapText="1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7" xfId="43" applyFont="1" applyFill="1" applyBorder="1" applyAlignment="1">
      <alignment horizontal="center" vertical="center"/>
    </xf>
    <xf numFmtId="0" fontId="73" fillId="10" borderId="28" xfId="43" applyFont="1" applyFill="1" applyBorder="1" applyAlignment="1">
      <alignment horizontal="center" vertical="center"/>
    </xf>
    <xf numFmtId="0" fontId="73" fillId="10" borderId="61" xfId="43" applyFont="1" applyFill="1" applyBorder="1" applyAlignment="1">
      <alignment horizontal="center" vertical="center"/>
    </xf>
    <xf numFmtId="0" fontId="17" fillId="0" borderId="4" xfId="0" applyFont="1" applyBorder="1" applyAlignment="1">
      <alignment shrinkToFit="1"/>
    </xf>
    <xf numFmtId="0" fontId="19" fillId="0" borderId="2" xfId="0" applyFont="1" applyBorder="1" applyAlignment="1">
      <alignment shrinkToFit="1"/>
    </xf>
    <xf numFmtId="0" fontId="19" fillId="0" borderId="3" xfId="0" applyFont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20" fillId="0" borderId="19" xfId="0" applyFont="1" applyBorder="1" applyAlignment="1">
      <alignment shrinkToFit="1"/>
    </xf>
    <xf numFmtId="0" fontId="19" fillId="0" borderId="20" xfId="0" applyFont="1" applyBorder="1" applyAlignment="1">
      <alignment shrinkToFit="1"/>
    </xf>
    <xf numFmtId="0" fontId="19" fillId="0" borderId="21" xfId="0" applyFont="1" applyBorder="1" applyAlignment="1">
      <alignment shrinkToFit="1"/>
    </xf>
    <xf numFmtId="0" fontId="20" fillId="0" borderId="4" xfId="0" applyFont="1" applyBorder="1" applyAlignment="1">
      <alignment shrinkToFit="1"/>
    </xf>
    <xf numFmtId="0" fontId="20" fillId="0" borderId="12" xfId="0" applyFont="1" applyBorder="1" applyAlignment="1">
      <alignment shrinkToFit="1"/>
    </xf>
    <xf numFmtId="0" fontId="19" fillId="0" borderId="11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0" borderId="4" xfId="0" applyFont="1" applyBorder="1" applyAlignment="1">
      <alignment shrinkToFit="1"/>
    </xf>
    <xf numFmtId="0" fontId="19" fillId="0" borderId="13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19" fillId="0" borderId="10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0" fillId="2" borderId="3" xfId="0" applyFont="1" applyFill="1" applyBorder="1" applyAlignment="1">
      <alignment shrinkToFit="1"/>
    </xf>
    <xf numFmtId="0" fontId="18" fillId="0" borderId="9" xfId="0" applyFont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21" fillId="2" borderId="3" xfId="0" applyFont="1" applyFill="1" applyBorder="1" applyAlignment="1">
      <alignment shrinkToFit="1"/>
    </xf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19" xfId="0" applyFont="1" applyBorder="1" applyAlignment="1">
      <alignment shrinkToFit="1"/>
    </xf>
    <xf numFmtId="0" fontId="41" fillId="5" borderId="22" xfId="286" applyFont="1" applyFill="1" applyBorder="1" applyAlignment="1">
      <alignment horizontal="center"/>
    </xf>
  </cellXfs>
  <cellStyles count="775">
    <cellStyle name="一般" xfId="0" builtinId="0"/>
    <cellStyle name="一般 10" xfId="1"/>
    <cellStyle name="一般 10 2" xfId="2"/>
    <cellStyle name="一般 10 2 2" xfId="3"/>
    <cellStyle name="一般 10 2 3" xfId="4"/>
    <cellStyle name="一般 10 3" xfId="5"/>
    <cellStyle name="一般 10 3 2" xfId="6"/>
    <cellStyle name="一般 10 4" xfId="7"/>
    <cellStyle name="一般 10 5" xfId="8"/>
    <cellStyle name="一般 11" xfId="9"/>
    <cellStyle name="一般 11 2" xfId="10"/>
    <cellStyle name="一般 11 2 2" xfId="11"/>
    <cellStyle name="一般 11 2 3" xfId="12"/>
    <cellStyle name="一般 11 3" xfId="13"/>
    <cellStyle name="一般 11 3 2" xfId="14"/>
    <cellStyle name="一般 11 4" xfId="15"/>
    <cellStyle name="一般 11 5" xfId="16"/>
    <cellStyle name="一般 12" xfId="17"/>
    <cellStyle name="一般 12 2" xfId="18"/>
    <cellStyle name="一般 12 3" xfId="19"/>
    <cellStyle name="一般 2" xfId="20"/>
    <cellStyle name="一般 2 17 2" xfId="21"/>
    <cellStyle name="一般 2 17 2 2" xfId="22"/>
    <cellStyle name="一般 2 17 2 3" xfId="23"/>
    <cellStyle name="一般 2 17 2 4" xfId="24"/>
    <cellStyle name="一般 2 18" xfId="25"/>
    <cellStyle name="一般 2 18 2" xfId="26"/>
    <cellStyle name="一般 2 18 3" xfId="27"/>
    <cellStyle name="一般 2 18 4" xfId="28"/>
    <cellStyle name="一般 2 2" xfId="29"/>
    <cellStyle name="一般 2 2 10" xfId="30"/>
    <cellStyle name="一般 2 2 10 2" xfId="31"/>
    <cellStyle name="一般 2 2 2" xfId="32"/>
    <cellStyle name="一般 2 2 2 2" xfId="33"/>
    <cellStyle name="一般 2 2 2 2 2" xfId="34"/>
    <cellStyle name="一般 2 2 2 2 3" xfId="35"/>
    <cellStyle name="一般 2 2 2 2 4" xfId="36"/>
    <cellStyle name="一般 2 2 3" xfId="37"/>
    <cellStyle name="一般 2 2 3 2" xfId="38"/>
    <cellStyle name="一般 2 2 30 2 2 30 2" xfId="39"/>
    <cellStyle name="一般 2 2 30 2 2 30 2 10" xfId="40"/>
    <cellStyle name="一般 2 2 30 2 2 30 2 11" xfId="41"/>
    <cellStyle name="一般 2 2 30 2 2 30 2 2" xfId="42"/>
    <cellStyle name="一般 2 2 30 2 2 30 2 2 2" xfId="43"/>
    <cellStyle name="一般 2 2 30 2 2 30 2 2 2 2" xfId="44"/>
    <cellStyle name="一般 2 2 30 2 2 30 2 2 2 2 2" xfId="45"/>
    <cellStyle name="一般 2 2 30 2 2 30 2 2 2 2 2 2" xfId="46"/>
    <cellStyle name="一般 2 2 30 2 2 30 2 2 2 2 3" xfId="47"/>
    <cellStyle name="一般 2 2 30 2 2 30 2 2 2 3" xfId="48"/>
    <cellStyle name="一般 2 2 30 2 2 30 2 2 2 4" xfId="49"/>
    <cellStyle name="一般 2 2 30 2 2 30 2 2 3" xfId="50"/>
    <cellStyle name="一般 2 2 30 2 2 30 2 2 3 2" xfId="51"/>
    <cellStyle name="一般 2 2 30 2 2 30 2 2 3 3" xfId="52"/>
    <cellStyle name="一般 2 2 30 2 2 30 2 2 4" xfId="53"/>
    <cellStyle name="一般 2 2 30 2 2 30 2 2 4 2" xfId="54"/>
    <cellStyle name="一般 2 2 30 2 2 30 2 2 5" xfId="55"/>
    <cellStyle name="一般 2 2 30 2 2 30 2 3" xfId="56"/>
    <cellStyle name="一般 2 2 30 2 2 30 2 3 2" xfId="57"/>
    <cellStyle name="一般 2 2 30 2 2 30 2 3 2 2" xfId="58"/>
    <cellStyle name="一般 2 2 30 2 2 30 2 3 2 3" xfId="59"/>
    <cellStyle name="一般 2 2 30 2 2 30 2 3 3" xfId="60"/>
    <cellStyle name="一般 2 2 30 2 2 30 2 3 3 2" xfId="61"/>
    <cellStyle name="一般 2 2 30 2 2 30 2 3 4" xfId="62"/>
    <cellStyle name="一般 2 2 30 2 2 30 2 3 5" xfId="63"/>
    <cellStyle name="一般 2 2 30 2 2 30 2 4" xfId="64"/>
    <cellStyle name="一般 2 2 30 2 2 30 2 4 2" xfId="65"/>
    <cellStyle name="一般 2 2 30 2 2 30 2 4 2 2" xfId="66"/>
    <cellStyle name="一般 2 2 30 2 2 30 2 4 2 2 2" xfId="67"/>
    <cellStyle name="一般 2 2 30 2 2 30 2 4 2 2 3" xfId="68"/>
    <cellStyle name="一般 2 2 30 2 2 30 2 4 2 3" xfId="69"/>
    <cellStyle name="一般 2 2 30 2 2 30 2 4 2 3 2" xfId="70"/>
    <cellStyle name="一般 2 2 30 2 2 30 2 4 2 4" xfId="71"/>
    <cellStyle name="一般 2 2 30 2 2 30 2 4 2 5" xfId="72"/>
    <cellStyle name="一般 2 2 30 2 2 30 2 4 3" xfId="73"/>
    <cellStyle name="一般 2 2 30 2 2 30 2 4 3 2" xfId="74"/>
    <cellStyle name="一般 2 2 30 2 2 30 2 4 3 2 2" xfId="75"/>
    <cellStyle name="一般 2 2 30 2 2 30 2 4 3 2 2 2" xfId="76"/>
    <cellStyle name="一般 2 2 30 2 2 30 2 4 3 2 2 3" xfId="77"/>
    <cellStyle name="一般 2 2 30 2 2 30 2 4 3 2 3" xfId="78"/>
    <cellStyle name="一般 2 2 30 2 2 30 2 4 3 2 3 2" xfId="79"/>
    <cellStyle name="一般 2 2 30 2 2 30 2 4 3 2 4" xfId="80"/>
    <cellStyle name="一般 2 2 30 2 2 30 2 4 3 2 5" xfId="81"/>
    <cellStyle name="一般 2 2 30 2 2 30 2 4 3 3" xfId="82"/>
    <cellStyle name="一般 2 2 30 2 2 30 2 4 3 3 2" xfId="83"/>
    <cellStyle name="一般 2 2 30 2 2 30 2 4 3 3 2 2" xfId="84"/>
    <cellStyle name="一般 2 2 30 2 2 30 2 4 3 3 2 3" xfId="85"/>
    <cellStyle name="一般 2 2 30 2 2 30 2 4 3 3 3" xfId="86"/>
    <cellStyle name="一般 2 2 30 2 2 30 2 4 3 3 3 2" xfId="87"/>
    <cellStyle name="一般 2 2 30 2 2 30 2 4 3 3 4" xfId="88"/>
    <cellStyle name="一般 2 2 30 2 2 30 2 4 3 3 5" xfId="89"/>
    <cellStyle name="一般 2 2 30 2 2 30 2 4 3 4" xfId="90"/>
    <cellStyle name="一般 2 2 30 2 2 30 2 4 3 4 2" xfId="91"/>
    <cellStyle name="一般 2 2 30 2 2 30 2 4 3 4 2 2" xfId="92"/>
    <cellStyle name="一般 2 2 30 2 2 30 2 4 3 4 2 3" xfId="93"/>
    <cellStyle name="一般 2 2 30 2 2 30 2 4 3 4 3" xfId="94"/>
    <cellStyle name="一般 2 2 30 2 2 30 2 4 3 4 3 2" xfId="95"/>
    <cellStyle name="一般 2 2 30 2 2 30 2 4 3 4 4" xfId="96"/>
    <cellStyle name="一般 2 2 30 2 2 30 2 4 3 4 5" xfId="97"/>
    <cellStyle name="一般 2 2 30 2 2 30 2 4 3 5" xfId="98"/>
    <cellStyle name="一般 2 2 30 2 2 30 2 4 3 5 2" xfId="99"/>
    <cellStyle name="一般 2 2 30 2 2 30 2 4 3 5 3" xfId="100"/>
    <cellStyle name="一般 2 2 30 2 2 30 2 4 3 6" xfId="101"/>
    <cellStyle name="一般 2 2 30 2 2 30 2 4 3 6 2" xfId="102"/>
    <cellStyle name="一般 2 2 30 2 2 30 2 4 3 7" xfId="103"/>
    <cellStyle name="一般 2 2 30 2 2 30 2 4 3 8" xfId="104"/>
    <cellStyle name="一般 2 2 30 2 2 30 2 4 4" xfId="105"/>
    <cellStyle name="一般 2 2 30 2 2 30 2 4 4 2" xfId="106"/>
    <cellStyle name="一般 2 2 30 2 2 30 2 4 4 2 2" xfId="107"/>
    <cellStyle name="一般 2 2 30 2 2 30 2 4 4 2 3" xfId="108"/>
    <cellStyle name="一般 2 2 30 2 2 30 2 4 4 3" xfId="109"/>
    <cellStyle name="一般 2 2 30 2 2 30 2 4 4 3 2" xfId="110"/>
    <cellStyle name="一般 2 2 30 2 2 30 2 4 4 4" xfId="111"/>
    <cellStyle name="一般 2 2 30 2 2 30 2 4 4 5" xfId="112"/>
    <cellStyle name="一般 2 2 30 2 2 30 2 4 5" xfId="113"/>
    <cellStyle name="一般 2 2 30 2 2 30 2 4 5 2" xfId="114"/>
    <cellStyle name="一般 2 2 30 2 2 30 2 4 5 2 2" xfId="115"/>
    <cellStyle name="一般 2 2 30 2 2 30 2 4 5 2 3" xfId="116"/>
    <cellStyle name="一般 2 2 30 2 2 30 2 4 5 3" xfId="117"/>
    <cellStyle name="一般 2 2 30 2 2 30 2 4 5 3 2" xfId="118"/>
    <cellStyle name="一般 2 2 30 2 2 30 2 4 5 4" xfId="119"/>
    <cellStyle name="一般 2 2 30 2 2 30 2 4 5 5" xfId="120"/>
    <cellStyle name="一般 2 2 30 2 2 30 2 4 6" xfId="121"/>
    <cellStyle name="一般 2 2 30 2 2 30 2 4 6 2" xfId="122"/>
    <cellStyle name="一般 2 2 30 2 2 30 2 4 6 3" xfId="123"/>
    <cellStyle name="一般 2 2 30 2 2 30 2 4 7" xfId="124"/>
    <cellStyle name="一般 2 2 30 2 2 30 2 4 7 2" xfId="125"/>
    <cellStyle name="一般 2 2 30 2 2 30 2 4 8" xfId="126"/>
    <cellStyle name="一般 2 2 30 2 2 30 2 4 9" xfId="127"/>
    <cellStyle name="一般 2 2 30 2 2 30 2 5" xfId="128"/>
    <cellStyle name="一般 2 2 30 2 2 30 2 5 2" xfId="129"/>
    <cellStyle name="一般 2 2 30 2 2 30 2 5 2 2" xfId="130"/>
    <cellStyle name="一般 2 2 30 2 2 30 2 5 2 3" xfId="131"/>
    <cellStyle name="一般 2 2 30 2 2 30 2 5 3" xfId="132"/>
    <cellStyle name="一般 2 2 30 2 2 30 2 5 3 2" xfId="133"/>
    <cellStyle name="一般 2 2 30 2 2 30 2 5 4" xfId="134"/>
    <cellStyle name="一般 2 2 30 2 2 30 2 5 5" xfId="135"/>
    <cellStyle name="一般 2 2 30 2 2 30 2 6" xfId="136"/>
    <cellStyle name="一般 2 2 30 2 2 30 2 6 2" xfId="137"/>
    <cellStyle name="一般 2 2 30 2 2 30 2 6 2 2" xfId="138"/>
    <cellStyle name="一般 2 2 30 2 2 30 2 6 2 3" xfId="139"/>
    <cellStyle name="一般 2 2 30 2 2 30 2 6 3" xfId="140"/>
    <cellStyle name="一般 2 2 30 2 2 30 2 6 3 2" xfId="141"/>
    <cellStyle name="一般 2 2 30 2 2 30 2 6 4" xfId="142"/>
    <cellStyle name="一般 2 2 30 2 2 30 2 6 5" xfId="143"/>
    <cellStyle name="一般 2 2 30 2 2 30 2 7" xfId="144"/>
    <cellStyle name="一般 2 2 30 2 2 30 2 7 2" xfId="145"/>
    <cellStyle name="一般 2 2 30 2 2 30 2 7 2 2" xfId="146"/>
    <cellStyle name="一般 2 2 30 2 2 30 2 7 2 3" xfId="147"/>
    <cellStyle name="一般 2 2 30 2 2 30 2 7 3" xfId="148"/>
    <cellStyle name="一般 2 2 30 2 2 30 2 7 3 2" xfId="149"/>
    <cellStyle name="一般 2 2 30 2 2 30 2 7 4" xfId="150"/>
    <cellStyle name="一般 2 2 30 2 2 30 2 7 5" xfId="151"/>
    <cellStyle name="一般 2 2 30 2 2 30 2 8" xfId="152"/>
    <cellStyle name="一般 2 2 30 2 2 30 2 8 2" xfId="153"/>
    <cellStyle name="一般 2 2 30 2 2 30 2 8 3" xfId="154"/>
    <cellStyle name="一般 2 2 30 2 2 30 2 9" xfId="155"/>
    <cellStyle name="一般 2 2 30 2 2 30 2 9 2" xfId="156"/>
    <cellStyle name="一般 2 2 30 2 3 2" xfId="157"/>
    <cellStyle name="一般 2 2 30 2 3 2 2" xfId="158"/>
    <cellStyle name="一般 2 2 30 2 3 2 2 2" xfId="159"/>
    <cellStyle name="一般 2 2 30 2 3 2 2 2 2" xfId="160"/>
    <cellStyle name="一般 2 2 30 2 3 2 2 3" xfId="161"/>
    <cellStyle name="一般 2 2 30 2 3 2 2 4" xfId="162"/>
    <cellStyle name="一般 2 2 30 2 3 2 3" xfId="163"/>
    <cellStyle name="一般 2 2 30 2 3 2 3 2" xfId="164"/>
    <cellStyle name="一般 2 2 30 2 3 2 3 3" xfId="165"/>
    <cellStyle name="一般 2 2 30 2 3 2 4" xfId="166"/>
    <cellStyle name="一般 2 2 30 2 3 2 4 2" xfId="167"/>
    <cellStyle name="一般 2 2 30 2 3 2 5" xfId="168"/>
    <cellStyle name="一般 2 2 30 3 30" xfId="169"/>
    <cellStyle name="一般 2 2 30 3 30 2" xfId="170"/>
    <cellStyle name="一般 2 2 30 3 30 2 2" xfId="171"/>
    <cellStyle name="一般 2 2 30 3 30 2 3" xfId="172"/>
    <cellStyle name="一般 2 2 30 3 30 3" xfId="173"/>
    <cellStyle name="一般 2 2 30 3 30 3 2" xfId="174"/>
    <cellStyle name="一般 2 2 30 3 30 4" xfId="175"/>
    <cellStyle name="一般 2 2 30 3 30 4 2" xfId="176"/>
    <cellStyle name="一般 2 2 30 3 30 4 2 2" xfId="177"/>
    <cellStyle name="一般 2 2 30 3 30 4 2 2 2" xfId="178"/>
    <cellStyle name="一般 2 2 30 3 30 4 2 2 3" xfId="179"/>
    <cellStyle name="一般 2 2 30 3 30 4 2 3" xfId="180"/>
    <cellStyle name="一般 2 2 30 3 30 4 2 3 2" xfId="181"/>
    <cellStyle name="一般 2 2 30 3 30 4 2 4" xfId="182"/>
    <cellStyle name="一般 2 2 30 3 30 4 2 5" xfId="183"/>
    <cellStyle name="一般 2 2 30 3 30 4 3" xfId="184"/>
    <cellStyle name="一般 2 2 30 3 30 4 3 2" xfId="185"/>
    <cellStyle name="一般 2 2 30 3 30 4 3 2 2" xfId="186"/>
    <cellStyle name="一般 2 2 30 3 30 4 3 2 3" xfId="187"/>
    <cellStyle name="一般 2 2 30 3 30 4 3 3" xfId="188"/>
    <cellStyle name="一般 2 2 30 3 30 4 3 3 2" xfId="189"/>
    <cellStyle name="一般 2 2 30 3 30 4 3 4" xfId="190"/>
    <cellStyle name="一般 2 2 30 3 30 4 3 5" xfId="191"/>
    <cellStyle name="一般 2 2 30 3 30 4 4" xfId="192"/>
    <cellStyle name="一般 2 2 30 3 30 4 4 2" xfId="193"/>
    <cellStyle name="一般 2 2 30 3 30 4 4 2 2" xfId="194"/>
    <cellStyle name="一般 2 2 30 3 30 4 4 2 3" xfId="195"/>
    <cellStyle name="一般 2 2 30 3 30 4 4 3" xfId="196"/>
    <cellStyle name="一般 2 2 30 3 30 4 4 3 2" xfId="197"/>
    <cellStyle name="一般 2 2 30 3 30 4 4 4" xfId="198"/>
    <cellStyle name="一般 2 2 30 3 30 4 4 5" xfId="199"/>
    <cellStyle name="一般 2 2 30 3 30 4 5" xfId="200"/>
    <cellStyle name="一般 2 2 30 3 30 4 5 2" xfId="201"/>
    <cellStyle name="一般 2 2 30 3 30 4 5 3" xfId="202"/>
    <cellStyle name="一般 2 2 30 3 30 4 6" xfId="203"/>
    <cellStyle name="一般 2 2 30 3 30 4 6 2" xfId="204"/>
    <cellStyle name="一般 2 2 30 3 30 4 7" xfId="205"/>
    <cellStyle name="一般 2 2 30 3 30 4 8" xfId="206"/>
    <cellStyle name="一般 2 2 30 3 30 5" xfId="207"/>
    <cellStyle name="一般 2 2 30 3 30 6" xfId="208"/>
    <cellStyle name="一般 2 2 4" xfId="209"/>
    <cellStyle name="一般 2 2 4 2" xfId="210"/>
    <cellStyle name="一般 2 2 4 2 2" xfId="211"/>
    <cellStyle name="一般 2 2 4 2 2 2" xfId="212"/>
    <cellStyle name="一般 2 2 4 2 2 2 2" xfId="213"/>
    <cellStyle name="一般 2 2 4 2 2 3" xfId="214"/>
    <cellStyle name="一般 2 2 4 2 3" xfId="215"/>
    <cellStyle name="一般 2 2 4 2 3 2" xfId="216"/>
    <cellStyle name="一般 2 2 4 2 3 3" xfId="217"/>
    <cellStyle name="一般 2 2 4 2 4" xfId="218"/>
    <cellStyle name="一般 2 2 4 2 5" xfId="219"/>
    <cellStyle name="一般 2 2 4 3" xfId="220"/>
    <cellStyle name="一般 2 2 4 3 2" xfId="221"/>
    <cellStyle name="一般 2 2 4 3 2 2" xfId="222"/>
    <cellStyle name="一般 2 2 4 3 2 3" xfId="223"/>
    <cellStyle name="一般 2 2 4 3 3" xfId="224"/>
    <cellStyle name="一般 2 2 4 3 3 2" xfId="225"/>
    <cellStyle name="一般 2 2 4 3 3 3" xfId="226"/>
    <cellStyle name="一般 2 2 4 3 4" xfId="227"/>
    <cellStyle name="一般 2 2 4 3 5" xfId="228"/>
    <cellStyle name="一般 2 2 4 4" xfId="229"/>
    <cellStyle name="一般 2 2 4 4 2" xfId="230"/>
    <cellStyle name="一般 2 2 4 4 3" xfId="231"/>
    <cellStyle name="一般 2 2 4 5" xfId="232"/>
    <cellStyle name="一般 2 2 4 5 2" xfId="233"/>
    <cellStyle name="一般 2 2 4 5 3" xfId="234"/>
    <cellStyle name="一般 2 2 4 6" xfId="235"/>
    <cellStyle name="一般 2 2 4 6 2" xfId="236"/>
    <cellStyle name="一般 2 2 4 7" xfId="237"/>
    <cellStyle name="一般 2 2 4 8" xfId="238"/>
    <cellStyle name="一般 2 2 5" xfId="239"/>
    <cellStyle name="一般 2 3" xfId="240"/>
    <cellStyle name="一般 2 3 2" xfId="241"/>
    <cellStyle name="一般 2 4" xfId="242"/>
    <cellStyle name="一般 2 4 2" xfId="243"/>
    <cellStyle name="一般 2 4 3" xfId="244"/>
    <cellStyle name="一般 2 5" xfId="245"/>
    <cellStyle name="一般 2 6" xfId="246"/>
    <cellStyle name="一般 2 8" xfId="247"/>
    <cellStyle name="一般 2 8 2" xfId="248"/>
    <cellStyle name="一般 2 8 23" xfId="249"/>
    <cellStyle name="一般 2 8 23 2" xfId="250"/>
    <cellStyle name="一般 2 8 3" xfId="251"/>
    <cellStyle name="一般 2 8 4" xfId="252"/>
    <cellStyle name="一般 3" xfId="253"/>
    <cellStyle name="一般 3 3 3 2" xfId="254"/>
    <cellStyle name="一般 3 3 3 2 2" xfId="255"/>
    <cellStyle name="一般 3 3 3 2 2 2" xfId="256"/>
    <cellStyle name="一般 3 3 3 2 2 2 2" xfId="257"/>
    <cellStyle name="一般 3 3 3 2 2 2 3" xfId="258"/>
    <cellStyle name="一般 3 3 3 2 2 3" xfId="259"/>
    <cellStyle name="一般 3 3 3 2 2 3 2" xfId="260"/>
    <cellStyle name="一般 3 3 3 2 2 4" xfId="261"/>
    <cellStyle name="一般 3 3 3 2 2 5" xfId="262"/>
    <cellStyle name="一般 3 3 3 2 3" xfId="263"/>
    <cellStyle name="一般 3 3 3 2 3 2" xfId="264"/>
    <cellStyle name="一般 3 3 3 2 3 2 2" xfId="265"/>
    <cellStyle name="一般 3 3 3 2 3 2 3" xfId="266"/>
    <cellStyle name="一般 3 3 3 2 3 3" xfId="267"/>
    <cellStyle name="一般 3 3 3 2 3 3 2" xfId="268"/>
    <cellStyle name="一般 3 3 3 2 3 4" xfId="269"/>
    <cellStyle name="一般 3 3 3 2 3 5" xfId="270"/>
    <cellStyle name="一般 3 3 3 2 4" xfId="271"/>
    <cellStyle name="一般 3 3 3 2 4 2" xfId="272"/>
    <cellStyle name="一般 3 3 3 2 4 2 2" xfId="273"/>
    <cellStyle name="一般 3 3 3 2 4 2 3" xfId="274"/>
    <cellStyle name="一般 3 3 3 2 4 3" xfId="275"/>
    <cellStyle name="一般 3 3 3 2 4 3 2" xfId="276"/>
    <cellStyle name="一般 3 3 3 2 4 4" xfId="277"/>
    <cellStyle name="一般 3 3 3 2 4 5" xfId="278"/>
    <cellStyle name="一般 3 3 3 2 5" xfId="279"/>
    <cellStyle name="一般 3 3 3 2 5 2" xfId="280"/>
    <cellStyle name="一般 3 3 3 2 5 3" xfId="281"/>
    <cellStyle name="一般 3 3 3 2 6" xfId="282"/>
    <cellStyle name="一般 3 3 3 2 6 2" xfId="283"/>
    <cellStyle name="一般 3 3 3 2 7" xfId="284"/>
    <cellStyle name="一般 3 3 3 2 8" xfId="285"/>
    <cellStyle name="一般 4" xfId="286"/>
    <cellStyle name="一般 5" xfId="287"/>
    <cellStyle name="一般 5 2" xfId="288"/>
    <cellStyle name="一般 5 2 2" xfId="289"/>
    <cellStyle name="一般 5 2 2 2" xfId="290"/>
    <cellStyle name="一般 5 2 2 3" xfId="291"/>
    <cellStyle name="一般 5 2 3" xfId="292"/>
    <cellStyle name="一般 5 2 3 2" xfId="293"/>
    <cellStyle name="一般 5 2 4" xfId="294"/>
    <cellStyle name="一般 5 2 5" xfId="295"/>
    <cellStyle name="一般 5 3" xfId="296"/>
    <cellStyle name="一般 5 3 2" xfId="297"/>
    <cellStyle name="一般 5 3 2 2" xfId="298"/>
    <cellStyle name="一般 5 3 2 3" xfId="299"/>
    <cellStyle name="一般 5 3 3" xfId="300"/>
    <cellStyle name="一般 5 3 3 2" xfId="301"/>
    <cellStyle name="一般 5 3 4" xfId="302"/>
    <cellStyle name="一般 5 3 5" xfId="303"/>
    <cellStyle name="一般 5 4" xfId="304"/>
    <cellStyle name="一般 5 4 2" xfId="305"/>
    <cellStyle name="一般 5 4 2 2" xfId="306"/>
    <cellStyle name="一般 5 4 2 3" xfId="307"/>
    <cellStyle name="一般 5 4 3" xfId="308"/>
    <cellStyle name="一般 5 4 3 2" xfId="309"/>
    <cellStyle name="一般 5 4 4" xfId="310"/>
    <cellStyle name="一般 5 4 5" xfId="311"/>
    <cellStyle name="一般 5 5" xfId="312"/>
    <cellStyle name="一般 5 5 2" xfId="313"/>
    <cellStyle name="一般 5 5 2 2" xfId="314"/>
    <cellStyle name="一般 5 5 2 3" xfId="315"/>
    <cellStyle name="一般 5 5 3" xfId="316"/>
    <cellStyle name="一般 5 5 3 2" xfId="317"/>
    <cellStyle name="一般 5 5 4" xfId="318"/>
    <cellStyle name="一般 5 5 5" xfId="319"/>
    <cellStyle name="一般 5 6" xfId="320"/>
    <cellStyle name="一般 5 6 2" xfId="321"/>
    <cellStyle name="一般 5 6 3" xfId="322"/>
    <cellStyle name="一般 5 7" xfId="323"/>
    <cellStyle name="一般 5 7 2" xfId="324"/>
    <cellStyle name="一般 5 8" xfId="325"/>
    <cellStyle name="一般 5 9" xfId="326"/>
    <cellStyle name="一般 6" xfId="327"/>
    <cellStyle name="一般 6 2" xfId="328"/>
    <cellStyle name="一般 6 2 2" xfId="329"/>
    <cellStyle name="一般 6 2 3" xfId="330"/>
    <cellStyle name="一般 6 3" xfId="331"/>
    <cellStyle name="一般 6 3 2" xfId="332"/>
    <cellStyle name="一般 6 4" xfId="333"/>
    <cellStyle name="一般 6 5" xfId="334"/>
    <cellStyle name="一般 7" xfId="335"/>
    <cellStyle name="一般 7 2" xfId="336"/>
    <cellStyle name="一般 7 2 2" xfId="337"/>
    <cellStyle name="一般 7 2 3" xfId="338"/>
    <cellStyle name="一般 7 3" xfId="339"/>
    <cellStyle name="一般 7 3 2" xfId="340"/>
    <cellStyle name="一般 7 4" xfId="341"/>
    <cellStyle name="一般 7 5" xfId="342"/>
    <cellStyle name="一般 8" xfId="343"/>
    <cellStyle name="一般 8 2" xfId="344"/>
    <cellStyle name="一般 8 2 2" xfId="345"/>
    <cellStyle name="一般 8 2 3" xfId="346"/>
    <cellStyle name="一般 8 3" xfId="347"/>
    <cellStyle name="一般 8 3 2" xfId="348"/>
    <cellStyle name="一般 8 4" xfId="349"/>
    <cellStyle name="一般 8 5" xfId="350"/>
    <cellStyle name="一般 9" xfId="351"/>
    <cellStyle name="一般 9 2" xfId="352"/>
    <cellStyle name="一般 9 2 2" xfId="353"/>
    <cellStyle name="一般 9 2 2 2" xfId="354"/>
    <cellStyle name="一般 9 2 3" xfId="355"/>
    <cellStyle name="一般 9 3" xfId="356"/>
    <cellStyle name="一般 9 3 2" xfId="357"/>
    <cellStyle name="一般 9 4" xfId="358"/>
    <cellStyle name="一般 9 5" xfId="359"/>
    <cellStyle name="千分位 2" xfId="360"/>
    <cellStyle name="千分位 2 10" xfId="361"/>
    <cellStyle name="千分位 2 10 2" xfId="362"/>
    <cellStyle name="千分位 2 10 2 2" xfId="363"/>
    <cellStyle name="千分位 2 10 2 2 2" xfId="364"/>
    <cellStyle name="千分位 2 10 2 2 2 2" xfId="365"/>
    <cellStyle name="千分位 2 10 2 2 2 2 2" xfId="366"/>
    <cellStyle name="千分位 2 10 2 2 2 2 2 2" xfId="367"/>
    <cellStyle name="千分位 2 10 2 2 2 2 3" xfId="368"/>
    <cellStyle name="千分位 2 10 2 2 2 3" xfId="369"/>
    <cellStyle name="千分位 2 10 2 2 2 3 2" xfId="370"/>
    <cellStyle name="千分位 2 10 2 2 2 4" xfId="371"/>
    <cellStyle name="千分位 2 10 2 2 3" xfId="372"/>
    <cellStyle name="千分位 2 10 2 2 3 2" xfId="373"/>
    <cellStyle name="千分位 2 10 2 2 3 2 2" xfId="374"/>
    <cellStyle name="千分位 2 10 2 2 3 3" xfId="375"/>
    <cellStyle name="千分位 2 10 2 2 4" xfId="376"/>
    <cellStyle name="千分位 2 10 2 2 4 2" xfId="377"/>
    <cellStyle name="千分位 2 10 2 2 5" xfId="378"/>
    <cellStyle name="千分位 2 10 2 3" xfId="379"/>
    <cellStyle name="千分位 2 10 2 3 2" xfId="380"/>
    <cellStyle name="千分位 2 10 2 3 2 2" xfId="381"/>
    <cellStyle name="千分位 2 10 2 3 2 2 2" xfId="382"/>
    <cellStyle name="千分位 2 10 2 3 2 3" xfId="383"/>
    <cellStyle name="千分位 2 10 2 3 3" xfId="384"/>
    <cellStyle name="千分位 2 10 2 3 3 2" xfId="385"/>
    <cellStyle name="千分位 2 10 2 3 4" xfId="386"/>
    <cellStyle name="千分位 2 10 2 4" xfId="387"/>
    <cellStyle name="千分位 2 10 2 4 2" xfId="388"/>
    <cellStyle name="千分位 2 10 2 4 2 2" xfId="389"/>
    <cellStyle name="千分位 2 10 2 4 3" xfId="390"/>
    <cellStyle name="千分位 2 10 2 5" xfId="391"/>
    <cellStyle name="千分位 2 10 2 5 2" xfId="392"/>
    <cellStyle name="千分位 2 10 2 6" xfId="393"/>
    <cellStyle name="千分位 2 10 3" xfId="394"/>
    <cellStyle name="千分位 2 10 3 2" xfId="395"/>
    <cellStyle name="千分位 2 10 3 2 2" xfId="396"/>
    <cellStyle name="千分位 2 10 3 2 2 2" xfId="397"/>
    <cellStyle name="千分位 2 10 3 2 2 2 2" xfId="398"/>
    <cellStyle name="千分位 2 10 3 2 2 3" xfId="399"/>
    <cellStyle name="千分位 2 10 3 2 3" xfId="400"/>
    <cellStyle name="千分位 2 10 3 2 3 2" xfId="401"/>
    <cellStyle name="千分位 2 10 3 2 4" xfId="402"/>
    <cellStyle name="千分位 2 10 3 3" xfId="403"/>
    <cellStyle name="千分位 2 10 3 3 2" xfId="404"/>
    <cellStyle name="千分位 2 10 3 3 2 2" xfId="405"/>
    <cellStyle name="千分位 2 10 3 3 3" xfId="406"/>
    <cellStyle name="千分位 2 10 3 4" xfId="407"/>
    <cellStyle name="千分位 2 10 3 4 2" xfId="408"/>
    <cellStyle name="千分位 2 10 3 5" xfId="409"/>
    <cellStyle name="千分位 2 10 4" xfId="410"/>
    <cellStyle name="千分位 2 10 4 2" xfId="411"/>
    <cellStyle name="千分位 2 10 4 2 2" xfId="412"/>
    <cellStyle name="千分位 2 10 4 2 2 2" xfId="413"/>
    <cellStyle name="千分位 2 10 4 2 3" xfId="414"/>
    <cellStyle name="千分位 2 10 4 3" xfId="415"/>
    <cellStyle name="千分位 2 10 4 3 2" xfId="416"/>
    <cellStyle name="千分位 2 10 4 4" xfId="417"/>
    <cellStyle name="千分位 2 10 5" xfId="418"/>
    <cellStyle name="千分位 2 10 5 2" xfId="419"/>
    <cellStyle name="千分位 2 10 5 2 2" xfId="420"/>
    <cellStyle name="千分位 2 10 5 3" xfId="421"/>
    <cellStyle name="千分位 2 10 6" xfId="422"/>
    <cellStyle name="千分位 2 10 6 2" xfId="423"/>
    <cellStyle name="千分位 2 10 7" xfId="424"/>
    <cellStyle name="千分位 2 11" xfId="425"/>
    <cellStyle name="千分位 2 11 2" xfId="426"/>
    <cellStyle name="千分位 2 12" xfId="427"/>
    <cellStyle name="千分位 2 2" xfId="428"/>
    <cellStyle name="千分位 2 2 2" xfId="429"/>
    <cellStyle name="千分位 2 2 2 2" xfId="430"/>
    <cellStyle name="千分位 2 2 2 2 2" xfId="431"/>
    <cellStyle name="千分位 2 2 2 2 2 2" xfId="432"/>
    <cellStyle name="千分位 2 2 2 2 2 2 2" xfId="433"/>
    <cellStyle name="千分位 2 2 2 2 2 3" xfId="434"/>
    <cellStyle name="千分位 2 2 2 2 3" xfId="435"/>
    <cellStyle name="千分位 2 2 2 2 3 2" xfId="436"/>
    <cellStyle name="千分位 2 2 2 2 4" xfId="437"/>
    <cellStyle name="千分位 2 2 2 3" xfId="438"/>
    <cellStyle name="千分位 2 2 2 3 2" xfId="439"/>
    <cellStyle name="千分位 2 2 2 3 2 2" xfId="440"/>
    <cellStyle name="千分位 2 2 2 3 3" xfId="441"/>
    <cellStyle name="千分位 2 2 2 4" xfId="442"/>
    <cellStyle name="千分位 2 2 2 4 2" xfId="443"/>
    <cellStyle name="千分位 2 2 2 5" xfId="444"/>
    <cellStyle name="千分位 2 2 2 5 2" xfId="445"/>
    <cellStyle name="千分位 2 2 2 6" xfId="446"/>
    <cellStyle name="千分位 2 2 2 7" xfId="447"/>
    <cellStyle name="千分位 2 2 3" xfId="448"/>
    <cellStyle name="千分位 2 2 3 2" xfId="449"/>
    <cellStyle name="千分位 2 2 3 2 2" xfId="450"/>
    <cellStyle name="千分位 2 2 3 2 2 2" xfId="451"/>
    <cellStyle name="千分位 2 2 3 2 3" xfId="452"/>
    <cellStyle name="千分位 2 2 3 3" xfId="453"/>
    <cellStyle name="千分位 2 2 3 3 2" xfId="454"/>
    <cellStyle name="千分位 2 2 3 4" xfId="455"/>
    <cellStyle name="千分位 2 2 3 5" xfId="456"/>
    <cellStyle name="千分位 2 2 4" xfId="457"/>
    <cellStyle name="千分位 2 2 4 2" xfId="458"/>
    <cellStyle name="千分位 2 2 4 2 2" xfId="459"/>
    <cellStyle name="千分位 2 2 4 3" xfId="460"/>
    <cellStyle name="千分位 2 2 5" xfId="461"/>
    <cellStyle name="千分位 2 2 5 2" xfId="462"/>
    <cellStyle name="千分位 2 2 6" xfId="463"/>
    <cellStyle name="千分位 2 2 6 2" xfId="464"/>
    <cellStyle name="千分位 2 2 7" xfId="465"/>
    <cellStyle name="千分位 2 2 7 2" xfId="466"/>
    <cellStyle name="千分位 2 2 8" xfId="467"/>
    <cellStyle name="千分位 2 3" xfId="468"/>
    <cellStyle name="千分位 2 3 2" xfId="469"/>
    <cellStyle name="千分位 2 3 2 2" xfId="470"/>
    <cellStyle name="千分位 2 3 2 2 2" xfId="471"/>
    <cellStyle name="千分位 2 3 2 2 2 2" xfId="472"/>
    <cellStyle name="千分位 2 3 2 2 2 2 2" xfId="473"/>
    <cellStyle name="千分位 2 3 2 2 2 3" xfId="474"/>
    <cellStyle name="千分位 2 3 2 2 3" xfId="475"/>
    <cellStyle name="千分位 2 3 2 2 3 2" xfId="476"/>
    <cellStyle name="千分位 2 3 2 2 4" xfId="477"/>
    <cellStyle name="千分位 2 3 2 3" xfId="478"/>
    <cellStyle name="千分位 2 3 2 3 2" xfId="479"/>
    <cellStyle name="千分位 2 3 2 3 2 2" xfId="480"/>
    <cellStyle name="千分位 2 3 2 3 3" xfId="481"/>
    <cellStyle name="千分位 2 3 2 4" xfId="482"/>
    <cellStyle name="千分位 2 3 2 4 2" xfId="483"/>
    <cellStyle name="千分位 2 3 2 5" xfId="484"/>
    <cellStyle name="千分位 2 3 2 5 2" xfId="485"/>
    <cellStyle name="千分位 2 3 2 6" xfId="486"/>
    <cellStyle name="千分位 2 3 2 7" xfId="487"/>
    <cellStyle name="千分位 2 3 3" xfId="488"/>
    <cellStyle name="千分位 2 3 3 2" xfId="489"/>
    <cellStyle name="千分位 2 3 3 2 2" xfId="490"/>
    <cellStyle name="千分位 2 3 3 2 2 2" xfId="491"/>
    <cellStyle name="千分位 2 3 3 2 3" xfId="492"/>
    <cellStyle name="千分位 2 3 3 3" xfId="493"/>
    <cellStyle name="千分位 2 3 3 3 2" xfId="494"/>
    <cellStyle name="千分位 2 3 3 4" xfId="495"/>
    <cellStyle name="千分位 2 3 3 5" xfId="496"/>
    <cellStyle name="千分位 2 3 4" xfId="497"/>
    <cellStyle name="千分位 2 3 4 2" xfId="498"/>
    <cellStyle name="千分位 2 3 4 2 2" xfId="499"/>
    <cellStyle name="千分位 2 3 4 3" xfId="500"/>
    <cellStyle name="千分位 2 3 5" xfId="501"/>
    <cellStyle name="千分位 2 3 5 2" xfId="502"/>
    <cellStyle name="千分位 2 3 6" xfId="503"/>
    <cellStyle name="千分位 2 3 6 2" xfId="504"/>
    <cellStyle name="千分位 2 3 7" xfId="505"/>
    <cellStyle name="千分位 2 3 7 2" xfId="506"/>
    <cellStyle name="千分位 2 3 8" xfId="507"/>
    <cellStyle name="千分位 2 4" xfId="508"/>
    <cellStyle name="千分位 2 4 2" xfId="509"/>
    <cellStyle name="千分位 2 4 2 2" xfId="510"/>
    <cellStyle name="千分位 2 4 2 2 2" xfId="511"/>
    <cellStyle name="千分位 2 4 2 2 2 2" xfId="512"/>
    <cellStyle name="千分位 2 4 2 2 3" xfId="513"/>
    <cellStyle name="千分位 2 4 2 3" xfId="514"/>
    <cellStyle name="千分位 2 4 2 3 2" xfId="515"/>
    <cellStyle name="千分位 2 4 2 4" xfId="516"/>
    <cellStyle name="千分位 2 4 2 4 2" xfId="517"/>
    <cellStyle name="千分位 2 4 2 5" xfId="518"/>
    <cellStyle name="千分位 2 4 2 6" xfId="519"/>
    <cellStyle name="千分位 2 4 3" xfId="520"/>
    <cellStyle name="千分位 2 4 3 2" xfId="521"/>
    <cellStyle name="千分位 2 4 3 2 2" xfId="522"/>
    <cellStyle name="千分位 2 4 3 3" xfId="523"/>
    <cellStyle name="千分位 2 4 3 4" xfId="524"/>
    <cellStyle name="千分位 2 4 4" xfId="525"/>
    <cellStyle name="千分位 2 4 4 2" xfId="526"/>
    <cellStyle name="千分位 2 4 5" xfId="527"/>
    <cellStyle name="千分位 2 4 5 2" xfId="528"/>
    <cellStyle name="千分位 2 4 6" xfId="529"/>
    <cellStyle name="千分位 2 4 6 2" xfId="530"/>
    <cellStyle name="千分位 2 4 7" xfId="531"/>
    <cellStyle name="千分位 2 5" xfId="532"/>
    <cellStyle name="千分位 2 5 2" xfId="533"/>
    <cellStyle name="千分位 2 5 2 2" xfId="534"/>
    <cellStyle name="千分位 2 5 2 2 2" xfId="535"/>
    <cellStyle name="千分位 2 5 2 3" xfId="536"/>
    <cellStyle name="千分位 2 5 2 3 2" xfId="537"/>
    <cellStyle name="千分位 2 5 2 4" xfId="538"/>
    <cellStyle name="千分位 2 5 2 5" xfId="539"/>
    <cellStyle name="千分位 2 5 3" xfId="540"/>
    <cellStyle name="千分位 2 5 3 2" xfId="541"/>
    <cellStyle name="千分位 2 5 3 3" xfId="542"/>
    <cellStyle name="千分位 2 5 4" xfId="543"/>
    <cellStyle name="千分位 2 5 4 2" xfId="544"/>
    <cellStyle name="千分位 2 5 5" xfId="545"/>
    <cellStyle name="千分位 2 5 5 2" xfId="546"/>
    <cellStyle name="千分位 2 5 6" xfId="547"/>
    <cellStyle name="千分位 2 6" xfId="548"/>
    <cellStyle name="千分位 2 6 2" xfId="549"/>
    <cellStyle name="千分位 2 6 2 2" xfId="550"/>
    <cellStyle name="千分位 2 6 3" xfId="551"/>
    <cellStyle name="千分位 2 6 3 2" xfId="552"/>
    <cellStyle name="千分位 2 6 4" xfId="553"/>
    <cellStyle name="千分位 2 6 5" xfId="554"/>
    <cellStyle name="千分位 2 7" xfId="555"/>
    <cellStyle name="千分位 2 7 2" xfId="556"/>
    <cellStyle name="千分位 2 7 3" xfId="557"/>
    <cellStyle name="千分位 2 8" xfId="558"/>
    <cellStyle name="千分位 2 8 2" xfId="559"/>
    <cellStyle name="千分位 2 8 2 2" xfId="560"/>
    <cellStyle name="千分位 2 8 2 2 2" xfId="561"/>
    <cellStyle name="千分位 2 8 2 2 2 2" xfId="562"/>
    <cellStyle name="千分位 2 8 2 2 2 2 2" xfId="563"/>
    <cellStyle name="千分位 2 8 2 2 2 2 2 2" xfId="564"/>
    <cellStyle name="千分位 2 8 2 2 2 2 3" xfId="565"/>
    <cellStyle name="千分位 2 8 2 2 2 3" xfId="566"/>
    <cellStyle name="千分位 2 8 2 2 2 3 2" xfId="567"/>
    <cellStyle name="千分位 2 8 2 2 2 4" xfId="568"/>
    <cellStyle name="千分位 2 8 2 2 3" xfId="569"/>
    <cellStyle name="千分位 2 8 2 2 3 2" xfId="570"/>
    <cellStyle name="千分位 2 8 2 2 3 2 2" xfId="571"/>
    <cellStyle name="千分位 2 8 2 2 3 3" xfId="572"/>
    <cellStyle name="千分位 2 8 2 2 4" xfId="573"/>
    <cellStyle name="千分位 2 8 2 2 4 2" xfId="574"/>
    <cellStyle name="千分位 2 8 2 2 5" xfId="575"/>
    <cellStyle name="千分位 2 8 2 3" xfId="576"/>
    <cellStyle name="千分位 2 8 2 3 2" xfId="577"/>
    <cellStyle name="千分位 2 8 2 3 2 2" xfId="578"/>
    <cellStyle name="千分位 2 8 2 3 2 2 2" xfId="579"/>
    <cellStyle name="千分位 2 8 2 3 2 3" xfId="580"/>
    <cellStyle name="千分位 2 8 2 3 3" xfId="581"/>
    <cellStyle name="千分位 2 8 2 3 3 2" xfId="582"/>
    <cellStyle name="千分位 2 8 2 3 4" xfId="583"/>
    <cellStyle name="千分位 2 8 2 4" xfId="584"/>
    <cellStyle name="千分位 2 8 2 4 2" xfId="585"/>
    <cellStyle name="千分位 2 8 2 4 2 2" xfId="586"/>
    <cellStyle name="千分位 2 8 2 4 3" xfId="587"/>
    <cellStyle name="千分位 2 8 2 5" xfId="588"/>
    <cellStyle name="千分位 2 8 2 5 2" xfId="589"/>
    <cellStyle name="千分位 2 8 2 6" xfId="590"/>
    <cellStyle name="千分位 2 8 2 7" xfId="591"/>
    <cellStyle name="千分位 2 8 3" xfId="592"/>
    <cellStyle name="千分位 2 8 3 2" xfId="593"/>
    <cellStyle name="千分位 2 8 3 2 2" xfId="594"/>
    <cellStyle name="千分位 2 8 3 2 2 2" xfId="595"/>
    <cellStyle name="千分位 2 8 3 2 2 2 2" xfId="596"/>
    <cellStyle name="千分位 2 8 3 2 2 3" xfId="597"/>
    <cellStyle name="千分位 2 8 3 2 3" xfId="598"/>
    <cellStyle name="千分位 2 8 3 2 3 2" xfId="599"/>
    <cellStyle name="千分位 2 8 3 2 4" xfId="600"/>
    <cellStyle name="千分位 2 8 3 3" xfId="601"/>
    <cellStyle name="千分位 2 8 3 3 2" xfId="602"/>
    <cellStyle name="千分位 2 8 3 3 2 2" xfId="603"/>
    <cellStyle name="千分位 2 8 3 3 3" xfId="604"/>
    <cellStyle name="千分位 2 8 3 4" xfId="605"/>
    <cellStyle name="千分位 2 8 3 4 2" xfId="606"/>
    <cellStyle name="千分位 2 8 3 5" xfId="607"/>
    <cellStyle name="千分位 2 8 4" xfId="608"/>
    <cellStyle name="千分位 2 8 4 2" xfId="609"/>
    <cellStyle name="千分位 2 8 4 2 2" xfId="610"/>
    <cellStyle name="千分位 2 8 4 2 2 2" xfId="611"/>
    <cellStyle name="千分位 2 8 4 2 3" xfId="612"/>
    <cellStyle name="千分位 2 8 4 3" xfId="613"/>
    <cellStyle name="千分位 2 8 4 3 2" xfId="614"/>
    <cellStyle name="千分位 2 8 4 4" xfId="615"/>
    <cellStyle name="千分位 2 8 5" xfId="616"/>
    <cellStyle name="千分位 2 8 5 2" xfId="617"/>
    <cellStyle name="千分位 2 8 5 2 2" xfId="618"/>
    <cellStyle name="千分位 2 8 5 3" xfId="619"/>
    <cellStyle name="千分位 2 8 6" xfId="620"/>
    <cellStyle name="千分位 2 8 6 2" xfId="621"/>
    <cellStyle name="千分位 2 8 7" xfId="622"/>
    <cellStyle name="千分位 2 8 8" xfId="623"/>
    <cellStyle name="千分位 2 9" xfId="624"/>
    <cellStyle name="千分位 2 9 2" xfId="625"/>
    <cellStyle name="千分位 3" xfId="626"/>
    <cellStyle name="千分位 3 2" xfId="627"/>
    <cellStyle name="千分位 3 3" xfId="628"/>
    <cellStyle name="千分位 4" xfId="629"/>
    <cellStyle name="千分位 4 2" xfId="630"/>
    <cellStyle name="千分位 5" xfId="631"/>
    <cellStyle name="千分位 9" xfId="632"/>
    <cellStyle name="千分位 9 2" xfId="633"/>
    <cellStyle name="千分位 9 2 2" xfId="634"/>
    <cellStyle name="千分位 9 2 2 2" xfId="635"/>
    <cellStyle name="千分位 9 2 2 2 2" xfId="636"/>
    <cellStyle name="千分位 9 2 2 2 2 2" xfId="637"/>
    <cellStyle name="千分位 9 2 2 2 2 2 2" xfId="638"/>
    <cellStyle name="千分位 9 2 2 2 2 3" xfId="639"/>
    <cellStyle name="千分位 9 2 2 2 3" xfId="640"/>
    <cellStyle name="千分位 9 2 2 2 3 2" xfId="641"/>
    <cellStyle name="千分位 9 2 2 2 4" xfId="642"/>
    <cellStyle name="千分位 9 2 2 3" xfId="643"/>
    <cellStyle name="千分位 9 2 2 3 2" xfId="644"/>
    <cellStyle name="千分位 9 2 2 3 2 2" xfId="645"/>
    <cellStyle name="千分位 9 2 2 3 3" xfId="646"/>
    <cellStyle name="千分位 9 2 2 4" xfId="647"/>
    <cellStyle name="千分位 9 2 2 4 2" xfId="648"/>
    <cellStyle name="千分位 9 2 2 5" xfId="649"/>
    <cellStyle name="千分位 9 2 3" xfId="650"/>
    <cellStyle name="千分位 9 2 3 2" xfId="651"/>
    <cellStyle name="千分位 9 2 3 2 2" xfId="652"/>
    <cellStyle name="千分位 9 2 3 2 2 2" xfId="653"/>
    <cellStyle name="千分位 9 2 3 2 3" xfId="654"/>
    <cellStyle name="千分位 9 2 3 3" xfId="655"/>
    <cellStyle name="千分位 9 2 3 3 2" xfId="656"/>
    <cellStyle name="千分位 9 2 3 4" xfId="657"/>
    <cellStyle name="千分位 9 2 4" xfId="658"/>
    <cellStyle name="千分位 9 2 4 2" xfId="659"/>
    <cellStyle name="千分位 9 2 4 2 2" xfId="660"/>
    <cellStyle name="千分位 9 2 4 3" xfId="661"/>
    <cellStyle name="千分位 9 2 5" xfId="662"/>
    <cellStyle name="千分位 9 2 5 2" xfId="663"/>
    <cellStyle name="千分位 9 2 6" xfId="664"/>
    <cellStyle name="千分位 9 3" xfId="665"/>
    <cellStyle name="千分位 9 3 2" xfId="666"/>
    <cellStyle name="千分位 9 3 2 2" xfId="667"/>
    <cellStyle name="千分位 9 3 2 2 2" xfId="668"/>
    <cellStyle name="千分位 9 3 2 2 2 2" xfId="669"/>
    <cellStyle name="千分位 9 3 2 2 3" xfId="670"/>
    <cellStyle name="千分位 9 3 2 3" xfId="671"/>
    <cellStyle name="千分位 9 3 2 3 2" xfId="672"/>
    <cellStyle name="千分位 9 3 2 4" xfId="673"/>
    <cellStyle name="千分位 9 3 3" xfId="674"/>
    <cellStyle name="千分位 9 3 3 2" xfId="675"/>
    <cellStyle name="千分位 9 3 3 2 2" xfId="676"/>
    <cellStyle name="千分位 9 3 3 3" xfId="677"/>
    <cellStyle name="千分位 9 3 4" xfId="678"/>
    <cellStyle name="千分位 9 3 4 2" xfId="679"/>
    <cellStyle name="千分位 9 3 5" xfId="680"/>
    <cellStyle name="千分位 9 4" xfId="681"/>
    <cellStyle name="千分位 9 4 2" xfId="682"/>
    <cellStyle name="千分位 9 4 2 2" xfId="683"/>
    <cellStyle name="千分位 9 4 2 2 2" xfId="684"/>
    <cellStyle name="千分位 9 4 2 3" xfId="685"/>
    <cellStyle name="千分位 9 4 3" xfId="686"/>
    <cellStyle name="千分位 9 4 3 2" xfId="687"/>
    <cellStyle name="千分位 9 4 4" xfId="688"/>
    <cellStyle name="千分位 9 5" xfId="689"/>
    <cellStyle name="千分位 9 5 2" xfId="690"/>
    <cellStyle name="千分位 9 5 2 2" xfId="691"/>
    <cellStyle name="千分位 9 5 3" xfId="692"/>
    <cellStyle name="千分位 9 5 4" xfId="693"/>
    <cellStyle name="千分位 9 6" xfId="694"/>
    <cellStyle name="千分位 9 6 2" xfId="695"/>
    <cellStyle name="千分位 9 7" xfId="696"/>
    <cellStyle name="百分比" xfId="697" builtinId="5"/>
    <cellStyle name="百分比 2" xfId="698"/>
    <cellStyle name="百分比 2 2" xfId="699"/>
    <cellStyle name="百分比 2 2 2" xfId="700"/>
    <cellStyle name="百分比 2 2 2 2" xfId="701"/>
    <cellStyle name="百分比 2 2 2 2 2" xfId="702"/>
    <cellStyle name="百分比 2 2 2 2 3" xfId="703"/>
    <cellStyle name="百分比 2 2 2 2 4" xfId="704"/>
    <cellStyle name="百分比 2 3" xfId="705"/>
    <cellStyle name="百分比 2 4" xfId="706"/>
    <cellStyle name="百分比 2 5" xfId="707"/>
    <cellStyle name="百分比 3" xfId="708"/>
    <cellStyle name="百分比 4" xfId="709"/>
    <cellStyle name="百分比 5" xfId="710"/>
    <cellStyle name="百分比 5 2" xfId="711"/>
    <cellStyle name="百分比 5 2 2" xfId="712"/>
    <cellStyle name="百分比 5 2 3" xfId="713"/>
    <cellStyle name="百分比 5 3" xfId="714"/>
    <cellStyle name="百分比 5 3 2" xfId="715"/>
    <cellStyle name="百分比 5 4" xfId="716"/>
    <cellStyle name="百分比 5 5" xfId="717"/>
    <cellStyle name="百分比 6" xfId="718"/>
    <cellStyle name="百分比 6 2" xfId="719"/>
    <cellStyle name="百分比 6 2 2" xfId="720"/>
    <cellStyle name="百分比 6 2 3" xfId="721"/>
    <cellStyle name="百分比 6 3" xfId="722"/>
    <cellStyle name="百分比 6 3 2" xfId="723"/>
    <cellStyle name="百分比 6 4" xfId="724"/>
    <cellStyle name="百分比 6 4 2" xfId="725"/>
    <cellStyle name="百分比 6 4 2 2" xfId="726"/>
    <cellStyle name="百分比 6 4 2 2 2" xfId="727"/>
    <cellStyle name="百分比 6 4 2 2 3" xfId="728"/>
    <cellStyle name="百分比 6 4 2 3" xfId="729"/>
    <cellStyle name="百分比 6 4 2 3 2" xfId="730"/>
    <cellStyle name="百分比 6 4 2 4" xfId="731"/>
    <cellStyle name="百分比 6 4 2 5" xfId="732"/>
    <cellStyle name="百分比 6 4 3" xfId="733"/>
    <cellStyle name="百分比 6 4 3 2" xfId="734"/>
    <cellStyle name="百分比 6 4 3 2 2" xfId="735"/>
    <cellStyle name="百分比 6 4 3 2 3" xfId="736"/>
    <cellStyle name="百分比 6 4 3 3" xfId="737"/>
    <cellStyle name="百分比 6 4 3 3 2" xfId="738"/>
    <cellStyle name="百分比 6 4 3 4" xfId="739"/>
    <cellStyle name="百分比 6 4 3 5" xfId="740"/>
    <cellStyle name="百分比 6 4 4" xfId="741"/>
    <cellStyle name="百分比 6 4 4 2" xfId="742"/>
    <cellStyle name="百分比 6 4 4 2 2" xfId="743"/>
    <cellStyle name="百分比 6 4 4 2 3" xfId="744"/>
    <cellStyle name="百分比 6 4 4 3" xfId="745"/>
    <cellStyle name="百分比 6 4 4 3 2" xfId="746"/>
    <cellStyle name="百分比 6 4 4 4" xfId="747"/>
    <cellStyle name="百分比 6 4 4 5" xfId="748"/>
    <cellStyle name="百分比 6 4 5" xfId="749"/>
    <cellStyle name="百分比 6 4 5 2" xfId="750"/>
    <cellStyle name="百分比 6 4 5 3" xfId="751"/>
    <cellStyle name="百分比 6 4 6" xfId="752"/>
    <cellStyle name="百分比 6 4 6 2" xfId="753"/>
    <cellStyle name="百分比 6 4 7" xfId="754"/>
    <cellStyle name="百分比 6 4 8" xfId="755"/>
    <cellStyle name="百分比 6 5" xfId="756"/>
    <cellStyle name="百分比 6 6" xfId="757"/>
    <cellStyle name="百分比 7" xfId="758"/>
    <cellStyle name="百分比 7 2" xfId="759"/>
    <cellStyle name="百分比 7 2 2" xfId="760"/>
    <cellStyle name="百分比 7 2 3" xfId="761"/>
    <cellStyle name="百分比 7 3" xfId="762"/>
    <cellStyle name="百分比 7 3 2" xfId="763"/>
    <cellStyle name="百分比 7 4" xfId="764"/>
    <cellStyle name="百分比 7 4 2" xfId="765"/>
    <cellStyle name="百分比 7 5" xfId="766"/>
    <cellStyle name="百分比 8" xfId="767"/>
    <cellStyle name="百分比 8 2" xfId="768"/>
    <cellStyle name="百分比 8 2 2" xfId="769"/>
    <cellStyle name="百分比 8 2 3" xfId="770"/>
    <cellStyle name="百分比 8 3" xfId="771"/>
    <cellStyle name="百分比 8 3 2" xfId="772"/>
    <cellStyle name="百分比 8 4" xfId="773"/>
    <cellStyle name="百分比 8 5" xfId="774"/>
  </cellStyles>
  <dxfs count="8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view="pageBreakPreview" topLeftCell="A5" zoomScaleNormal="60" zoomScaleSheetLayoutView="100" workbookViewId="0">
      <selection activeCell="E32" sqref="E32"/>
    </sheetView>
  </sheetViews>
  <sheetFormatPr defaultColWidth="12.5703125" defaultRowHeight="15.75" customHeight="1"/>
  <cols>
    <col min="1" max="1" width="27.42578125" style="143" bestFit="1" customWidth="1"/>
    <col min="2" max="4" width="12.5703125" style="143" customWidth="1"/>
    <col min="5" max="5" width="16.42578125" style="143" customWidth="1"/>
    <col min="6" max="6" width="2.42578125" style="143" customWidth="1"/>
    <col min="7" max="7" width="24.85546875" style="143" bestFit="1" customWidth="1"/>
    <col min="8" max="10" width="12.5703125" style="143" customWidth="1"/>
    <col min="11" max="11" width="16.42578125" style="143" customWidth="1"/>
    <col min="12" max="12" width="12.5703125" style="144" customWidth="1"/>
    <col min="13" max="57" width="12.5703125" style="143" customWidth="1"/>
    <col min="58" max="16384" width="12.5703125" style="143"/>
  </cols>
  <sheetData>
    <row r="1" spans="1:14" ht="15.75" customHeight="1">
      <c r="A1" s="516" t="s">
        <v>0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143"/>
    </row>
    <row r="2" spans="1:14" s="144" customFormat="1" ht="15.75" customHeight="1">
      <c r="A2" s="516"/>
      <c r="B2" s="516"/>
      <c r="C2" s="516"/>
      <c r="D2" s="516"/>
      <c r="E2" s="516"/>
      <c r="F2" s="516"/>
      <c r="G2" s="516"/>
      <c r="H2" s="516"/>
      <c r="I2" s="516"/>
      <c r="J2" s="516"/>
      <c r="K2" s="516"/>
    </row>
    <row r="3" spans="1:14" ht="21.6" customHeight="1">
      <c r="A3" s="260" t="s">
        <v>1</v>
      </c>
      <c r="B3" s="261">
        <v>8</v>
      </c>
      <c r="C3" s="262" t="s">
        <v>2</v>
      </c>
      <c r="D3" s="263" t="s">
        <v>3</v>
      </c>
      <c r="E3" s="260" t="s">
        <v>4</v>
      </c>
      <c r="F3" s="517" t="s">
        <v>5</v>
      </c>
      <c r="G3" s="518"/>
      <c r="H3" s="144"/>
      <c r="I3" s="264"/>
      <c r="J3" s="144"/>
      <c r="K3" s="144"/>
      <c r="M3" s="144"/>
      <c r="N3" s="144"/>
    </row>
    <row r="4" spans="1:14" ht="15.75" customHeight="1">
      <c r="A4" s="265" t="s">
        <v>6</v>
      </c>
      <c r="E4" s="266" t="s">
        <v>7</v>
      </c>
      <c r="G4" s="267" t="s">
        <v>8</v>
      </c>
      <c r="L4" s="143"/>
    </row>
    <row r="5" spans="1:14" s="173" customFormat="1" ht="15.75" customHeight="1">
      <c r="A5" s="268" t="s">
        <v>9</v>
      </c>
      <c r="B5" s="268" t="s">
        <v>10</v>
      </c>
      <c r="C5" s="268" t="s">
        <v>11</v>
      </c>
      <c r="D5" s="269" t="s">
        <v>12</v>
      </c>
      <c r="E5" s="269" t="s">
        <v>13</v>
      </c>
      <c r="G5" s="268" t="s">
        <v>9</v>
      </c>
      <c r="H5" s="269" t="s">
        <v>14</v>
      </c>
      <c r="I5" s="269" t="s">
        <v>10</v>
      </c>
      <c r="J5" s="269" t="s">
        <v>11</v>
      </c>
      <c r="K5" s="269" t="s">
        <v>13</v>
      </c>
      <c r="L5" s="270" t="s">
        <v>15</v>
      </c>
    </row>
    <row r="6" spans="1:14" ht="18" customHeight="1">
      <c r="A6" s="168" t="s">
        <v>16</v>
      </c>
      <c r="B6" s="148">
        <f>'（１）收支狀況'!G22/1000</f>
        <v>17043.773939999999</v>
      </c>
      <c r="C6" s="148">
        <v>17686.446459999999</v>
      </c>
      <c r="D6" s="148">
        <f t="shared" ref="D6:D11" si="0">B6-C6</f>
        <v>-642.67252000000008</v>
      </c>
      <c r="E6" s="148">
        <f>'（１）收支狀況'!H5/1000</f>
        <v>61106.541980000002</v>
      </c>
      <c r="G6" s="168" t="s">
        <v>17</v>
      </c>
      <c r="H6" s="271">
        <f>'（２）ＫＰＩ達成進度'!C1</f>
        <v>126.6</v>
      </c>
      <c r="I6" s="271">
        <f>'（２）ＫＰＩ達成進度'!G22</f>
        <v>114.21428571428571</v>
      </c>
      <c r="J6" s="271">
        <v>113.62857142857142</v>
      </c>
      <c r="K6" s="339">
        <f>'（２）ＫＰＩ達成進度'!H5</f>
        <v>114.13749999999999</v>
      </c>
      <c r="L6" s="272" t="s">
        <v>18</v>
      </c>
    </row>
    <row r="7" spans="1:14" ht="18" customHeight="1">
      <c r="A7" s="168" t="s">
        <v>19</v>
      </c>
      <c r="B7" s="148">
        <f>'（１）收支狀況'!J22</f>
        <v>368210</v>
      </c>
      <c r="C7" s="148">
        <v>382077</v>
      </c>
      <c r="D7" s="148">
        <f>B7-C7</f>
        <v>-13867</v>
      </c>
      <c r="E7" s="332">
        <f>'（１）收支狀況'!K5</f>
        <v>1320645</v>
      </c>
      <c r="G7" s="168" t="s">
        <v>20</v>
      </c>
      <c r="H7" s="149">
        <v>0.8</v>
      </c>
      <c r="I7" s="149">
        <f>I6/H6</f>
        <v>0.90216655382532163</v>
      </c>
      <c r="J7" s="149">
        <f>J6/H6</f>
        <v>0.89754005867749942</v>
      </c>
      <c r="K7" s="149">
        <f>K6/H6</f>
        <v>0.90156003159557652</v>
      </c>
      <c r="L7" s="272" t="s">
        <v>21</v>
      </c>
    </row>
    <row r="8" spans="1:14" ht="18" customHeight="1">
      <c r="A8" s="168" t="s">
        <v>22</v>
      </c>
      <c r="B8" s="148">
        <f>'（１）收支狀況'!M22/1000</f>
        <v>10756.807582199999</v>
      </c>
      <c r="C8" s="148">
        <v>11162.5612698</v>
      </c>
      <c r="D8" s="148">
        <f>B8-C8</f>
        <v>-405.75368760000129</v>
      </c>
      <c r="E8" s="148">
        <f>'（１）收支狀況'!N5/1000</f>
        <v>38561.051447400001</v>
      </c>
      <c r="G8" s="168" t="s">
        <v>23</v>
      </c>
      <c r="H8" s="149">
        <v>2.5000000000000001E-3</v>
      </c>
      <c r="I8" s="149">
        <f>'（２）ＫＰＩ達成進度'!M22</f>
        <v>2.6055313897222466E-3</v>
      </c>
      <c r="J8" s="149">
        <v>2.4047489367205661E-3</v>
      </c>
      <c r="K8" s="149">
        <f>'日別報廢率總表 '!C36/'日別報廢率總表 '!B36</f>
        <v>2.9544993033346597E-3</v>
      </c>
      <c r="L8" s="272" t="s">
        <v>24</v>
      </c>
    </row>
    <row r="9" spans="1:14" ht="18" customHeight="1">
      <c r="A9" s="168" t="s">
        <v>25</v>
      </c>
      <c r="B9" s="149">
        <f>B8/B6</f>
        <v>0.63112827124248982</v>
      </c>
      <c r="C9" s="149">
        <f>C8/C6</f>
        <v>0.63113646345213892</v>
      </c>
      <c r="D9" s="149">
        <f t="shared" si="0"/>
        <v>-8.1922096490938401E-6</v>
      </c>
      <c r="E9" s="149">
        <f>E8/E6</f>
        <v>0.63104620549500123</v>
      </c>
      <c r="G9" s="168" t="s">
        <v>26</v>
      </c>
      <c r="H9" s="149">
        <v>2.5000000000000001E-3</v>
      </c>
      <c r="I9" s="149">
        <f>'（２）ＫＰＩ達成進度'!P22</f>
        <v>3.2068890864437273E-3</v>
      </c>
      <c r="J9" s="149">
        <v>3.1849042321992339E-3</v>
      </c>
      <c r="K9" s="149">
        <f>'日別報廢率總表 '!E36/'日別報廢率總表 '!B36</f>
        <v>4.135363075783844E-3</v>
      </c>
      <c r="L9" s="272" t="s">
        <v>27</v>
      </c>
    </row>
    <row r="10" spans="1:14" ht="18" customHeight="1">
      <c r="A10" s="168" t="s">
        <v>28</v>
      </c>
      <c r="B10" s="148"/>
      <c r="C10" s="148"/>
      <c r="D10" s="148">
        <f t="shared" si="0"/>
        <v>0</v>
      </c>
      <c r="E10" s="169"/>
      <c r="G10" s="168" t="s">
        <v>29</v>
      </c>
      <c r="H10" s="149">
        <v>1</v>
      </c>
      <c r="I10" s="149">
        <f>'（２）ＫＰＩ達成進度'!S22</f>
        <v>0.28599999999999998</v>
      </c>
      <c r="J10" s="149">
        <v>0.28599999999999998</v>
      </c>
      <c r="K10" s="149">
        <f>'（２）ＫＰＩ達成進度'!T5</f>
        <v>0.28599999999999981</v>
      </c>
      <c r="L10" s="272" t="s">
        <v>30</v>
      </c>
    </row>
    <row r="11" spans="1:14" ht="18" customHeight="1">
      <c r="A11" s="168" t="s">
        <v>31</v>
      </c>
      <c r="B11" s="149"/>
      <c r="C11" s="149"/>
      <c r="D11" s="149">
        <f t="shared" si="0"/>
        <v>0</v>
      </c>
      <c r="E11" s="149"/>
      <c r="G11" s="168" t="s">
        <v>32</v>
      </c>
      <c r="H11" s="149">
        <v>1</v>
      </c>
      <c r="I11" s="149">
        <f>'（２）ＫＰＩ達成進度'!V22</f>
        <v>0.93714285714285717</v>
      </c>
      <c r="J11" s="149">
        <v>0.92</v>
      </c>
      <c r="K11" s="149">
        <f>'（２）ＫＰＩ達成進度'!W5</f>
        <v>0.90500000000000014</v>
      </c>
      <c r="L11" s="272" t="s">
        <v>33</v>
      </c>
    </row>
    <row r="12" spans="1:14" ht="9.6" customHeight="1">
      <c r="L12" s="143"/>
    </row>
    <row r="13" spans="1:14" ht="15.75" customHeight="1">
      <c r="A13" s="265" t="s">
        <v>34</v>
      </c>
      <c r="G13" s="265" t="s">
        <v>35</v>
      </c>
      <c r="L13" s="143"/>
    </row>
    <row r="14" spans="1:14" s="163" customFormat="1" ht="14.25">
      <c r="A14" s="273"/>
      <c r="B14" s="274" t="s">
        <v>10</v>
      </c>
      <c r="C14" s="273" t="s">
        <v>36</v>
      </c>
      <c r="D14" s="274" t="s">
        <v>11</v>
      </c>
      <c r="E14" s="273" t="s">
        <v>12</v>
      </c>
      <c r="G14" s="273"/>
      <c r="H14" s="274" t="s">
        <v>10</v>
      </c>
      <c r="I14" s="273" t="s">
        <v>36</v>
      </c>
      <c r="J14" s="274" t="s">
        <v>11</v>
      </c>
      <c r="K14" s="273" t="s">
        <v>12</v>
      </c>
    </row>
    <row r="15" spans="1:14" ht="18" customHeight="1">
      <c r="A15" s="168" t="s">
        <v>37</v>
      </c>
      <c r="B15" s="148">
        <f>SUM('（３）業績構成比'!I24:I30)/1000</f>
        <v>15400.169420000002</v>
      </c>
      <c r="C15" s="149">
        <f>B15/B6</f>
        <v>0.90356569350273852</v>
      </c>
      <c r="D15" s="149">
        <v>0.90272693534617487</v>
      </c>
      <c r="E15" s="149">
        <f>C15-D15</f>
        <v>8.3875815656364594E-4</v>
      </c>
      <c r="G15" s="168" t="s">
        <v>37</v>
      </c>
      <c r="H15" s="148">
        <f>SUM('（４）訂單數量構成比'!I24:I30)</f>
        <v>308741</v>
      </c>
      <c r="I15" s="149">
        <f>IFERROR(H15/$B$7,"")</f>
        <v>0.83849162162896174</v>
      </c>
      <c r="J15" s="149">
        <v>0.83709042941606016</v>
      </c>
      <c r="K15" s="149">
        <f>IFERROR(I15-J15,"")</f>
        <v>1.4011922129015808E-3</v>
      </c>
      <c r="L15" s="143"/>
    </row>
    <row r="16" spans="1:14" ht="18" customHeight="1">
      <c r="A16" s="168" t="s">
        <v>38</v>
      </c>
      <c r="B16" s="148"/>
      <c r="C16" s="149">
        <f>IFERROR(B16/$B$6,"")</f>
        <v>0</v>
      </c>
      <c r="D16" s="149">
        <v>0</v>
      </c>
      <c r="E16" s="149">
        <f>IFERROR(C16-D16,"")</f>
        <v>0</v>
      </c>
      <c r="G16" s="168" t="s">
        <v>38</v>
      </c>
      <c r="H16" s="148"/>
      <c r="I16" s="149">
        <f>IFERROR(H16/$B$7,"")</f>
        <v>0</v>
      </c>
      <c r="J16" s="149">
        <v>0</v>
      </c>
      <c r="K16" s="149">
        <f>IFERROR(I16-J16,"")</f>
        <v>0</v>
      </c>
      <c r="L16" s="143"/>
    </row>
    <row r="17" spans="1:17" ht="18" customHeight="1">
      <c r="A17" s="168" t="s">
        <v>39</v>
      </c>
      <c r="B17" s="148">
        <f>SUM('（３）業績構成比'!M24:M30)/1000</f>
        <v>1643.6045199999999</v>
      </c>
      <c r="C17" s="149">
        <f>B17/B6</f>
        <v>9.6434306497261604E-2</v>
      </c>
      <c r="D17" s="149">
        <v>9.727306465382532E-2</v>
      </c>
      <c r="E17" s="149">
        <f>C17-D17</f>
        <v>-8.3875815656371533E-4</v>
      </c>
      <c r="G17" s="168" t="s">
        <v>39</v>
      </c>
      <c r="H17" s="148">
        <f>SUM('（４）訂單數量構成比'!M24:M30)</f>
        <v>59469</v>
      </c>
      <c r="I17" s="149">
        <f>IFERROR(H17/$B$7,"")</f>
        <v>0.16150837837103826</v>
      </c>
      <c r="J17" s="149">
        <v>0.1629095705839399</v>
      </c>
      <c r="K17" s="149">
        <f>IFERROR(I17-J17,"")</f>
        <v>-1.4011922129016363E-3</v>
      </c>
      <c r="L17" s="143"/>
    </row>
    <row r="18" spans="1:17" ht="15.75" customHeight="1">
      <c r="C18" s="275">
        <f>SUM(C15:C17)</f>
        <v>1.0000000000000002</v>
      </c>
      <c r="D18" s="275">
        <f>SUM(D15:D17)</f>
        <v>1.0000000000000002</v>
      </c>
      <c r="I18" s="275">
        <f>SUM(I15:I17)</f>
        <v>1</v>
      </c>
      <c r="J18" s="275">
        <f>SUM(J15:J17)</f>
        <v>1</v>
      </c>
      <c r="L18" s="143"/>
    </row>
    <row r="19" spans="1:17" ht="9.6" customHeight="1">
      <c r="A19" s="276"/>
      <c r="L19" s="143"/>
    </row>
    <row r="20" spans="1:17" ht="15.75" customHeight="1">
      <c r="A20" s="265" t="s">
        <v>40</v>
      </c>
      <c r="L20" s="143"/>
    </row>
    <row r="21" spans="1:17" ht="15.75" customHeight="1">
      <c r="A21" s="168" t="s">
        <v>41</v>
      </c>
      <c r="B21" s="277" t="s">
        <v>10</v>
      </c>
      <c r="C21" s="277" t="s">
        <v>11</v>
      </c>
      <c r="D21" s="168" t="s">
        <v>12</v>
      </c>
      <c r="E21" s="168" t="s">
        <v>13</v>
      </c>
      <c r="L21" s="143"/>
    </row>
    <row r="22" spans="1:17" ht="18" customHeight="1">
      <c r="A22" s="168" t="s">
        <v>37</v>
      </c>
      <c r="B22" s="169">
        <v>112.5</v>
      </c>
      <c r="C22" s="169">
        <v>110.5</v>
      </c>
      <c r="D22" s="169">
        <f>B22-C22</f>
        <v>2</v>
      </c>
      <c r="E22" s="376">
        <f>'（５-1）品群別人時生產性（熱食義麵）'!C1</f>
        <v>111.26855564232834</v>
      </c>
      <c r="G22" s="278"/>
      <c r="H22" s="278"/>
      <c r="I22" s="278"/>
      <c r="J22" s="278"/>
      <c r="K22" s="278"/>
      <c r="L22" s="278"/>
      <c r="M22" s="278"/>
      <c r="N22" s="278"/>
      <c r="O22" s="278"/>
      <c r="P22" s="279"/>
      <c r="Q22" s="279"/>
    </row>
    <row r="23" spans="1:17" ht="18" customHeight="1">
      <c r="A23" s="168" t="s">
        <v>38</v>
      </c>
      <c r="B23" s="169"/>
      <c r="C23" s="169"/>
      <c r="D23" s="169">
        <f>B23-C23</f>
        <v>0</v>
      </c>
      <c r="E23" s="376"/>
      <c r="G23" s="280"/>
      <c r="H23" s="280"/>
      <c r="I23" s="281"/>
      <c r="J23" s="282"/>
      <c r="K23" s="283"/>
      <c r="L23" s="284"/>
      <c r="M23" s="285"/>
      <c r="N23" s="284"/>
      <c r="O23" s="284"/>
      <c r="P23" s="284"/>
      <c r="Q23" s="284"/>
    </row>
    <row r="24" spans="1:17" ht="18" customHeight="1">
      <c r="A24" s="168" t="s">
        <v>39</v>
      </c>
      <c r="B24" s="175">
        <v>121.9</v>
      </c>
      <c r="C24" s="175">
        <v>125.4</v>
      </c>
      <c r="D24" s="169">
        <f>B24-C24</f>
        <v>-3.5</v>
      </c>
      <c r="E24" s="376">
        <f>'（５-3）品群別人時生產性(微波小吃)'!C1</f>
        <v>125.66178149802823</v>
      </c>
      <c r="L24" s="143"/>
    </row>
    <row r="25" spans="1:17" ht="15.75" customHeight="1">
      <c r="L25" s="143"/>
    </row>
    <row r="26" spans="1:17" ht="15.75" customHeight="1">
      <c r="L26" s="143"/>
    </row>
  </sheetData>
  <mergeCells count="2">
    <mergeCell ref="A1:K2"/>
    <mergeCell ref="F3:G3"/>
  </mergeCells>
  <phoneticPr fontId="2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3"/>
  <sheetViews>
    <sheetView zoomScale="85" zoomScaleNormal="85" workbookViewId="0">
      <selection activeCell="M22" sqref="M22:M28"/>
    </sheetView>
  </sheetViews>
  <sheetFormatPr defaultColWidth="8.85546875" defaultRowHeight="12"/>
  <cols>
    <col min="1" max="1" width="8.85546875" style="79" customWidth="1"/>
    <col min="2" max="2" width="12.5703125" style="82" customWidth="1"/>
    <col min="3" max="3" width="8.85546875" style="79" customWidth="1"/>
    <col min="4" max="4" width="17.42578125" style="80" customWidth="1"/>
    <col min="5" max="5" width="4.42578125" style="80" customWidth="1"/>
    <col min="6" max="8" width="19.5703125" style="84" customWidth="1"/>
    <col min="9" max="13" width="19.5703125" style="85" customWidth="1"/>
    <col min="14" max="14" width="19.5703125" style="86" customWidth="1"/>
    <col min="15" max="17" width="19.5703125" style="87" customWidth="1"/>
    <col min="18" max="20" width="19.5703125" style="86" customWidth="1"/>
    <col min="21" max="21" width="19.5703125" style="87" customWidth="1"/>
    <col min="22" max="23" width="19.5703125" style="79" customWidth="1"/>
    <col min="24" max="68" width="8.85546875" style="79" customWidth="1"/>
    <col min="69" max="16384" width="8.85546875" style="79"/>
  </cols>
  <sheetData>
    <row r="2" spans="2:23" ht="38.1" customHeight="1">
      <c r="B2" s="538" t="s">
        <v>42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</row>
    <row r="3" spans="2:23" s="80" customFormat="1" ht="23.45" customHeight="1">
      <c r="B3" s="542" t="s">
        <v>43</v>
      </c>
      <c r="C3" s="543" t="s">
        <v>44</v>
      </c>
      <c r="D3" s="544" t="s">
        <v>45</v>
      </c>
      <c r="E3" s="544"/>
      <c r="F3" s="541" t="s">
        <v>46</v>
      </c>
      <c r="G3" s="541"/>
      <c r="H3" s="541"/>
      <c r="I3" s="539" t="s">
        <v>47</v>
      </c>
      <c r="J3" s="539"/>
      <c r="K3" s="539"/>
      <c r="L3" s="540" t="s">
        <v>48</v>
      </c>
      <c r="M3" s="540"/>
      <c r="N3" s="540"/>
      <c r="O3" s="546" t="s">
        <v>49</v>
      </c>
      <c r="P3" s="546"/>
      <c r="Q3" s="546"/>
      <c r="R3" s="545" t="s">
        <v>50</v>
      </c>
      <c r="S3" s="545"/>
      <c r="T3" s="545"/>
      <c r="U3" s="546" t="s">
        <v>51</v>
      </c>
      <c r="V3" s="546"/>
      <c r="W3" s="546"/>
    </row>
    <row r="4" spans="2:23" s="80" customFormat="1" ht="23.45" customHeight="1">
      <c r="B4" s="542"/>
      <c r="C4" s="543"/>
      <c r="D4" s="544"/>
      <c r="E4" s="544"/>
      <c r="F4" s="482" t="s">
        <v>52</v>
      </c>
      <c r="G4" s="482" t="s">
        <v>53</v>
      </c>
      <c r="H4" s="482" t="s">
        <v>54</v>
      </c>
      <c r="I4" s="483" t="s">
        <v>52</v>
      </c>
      <c r="J4" s="483" t="s">
        <v>53</v>
      </c>
      <c r="K4" s="483" t="s">
        <v>54</v>
      </c>
      <c r="L4" s="484" t="s">
        <v>52</v>
      </c>
      <c r="M4" s="484" t="s">
        <v>53</v>
      </c>
      <c r="N4" s="484" t="s">
        <v>54</v>
      </c>
      <c r="O4" s="448" t="s">
        <v>52</v>
      </c>
      <c r="P4" s="448" t="s">
        <v>53</v>
      </c>
      <c r="Q4" s="448" t="s">
        <v>54</v>
      </c>
      <c r="R4" s="448" t="s">
        <v>52</v>
      </c>
      <c r="S4" s="448" t="s">
        <v>53</v>
      </c>
      <c r="T4" s="448" t="s">
        <v>54</v>
      </c>
      <c r="U4" s="448" t="s">
        <v>52</v>
      </c>
      <c r="V4" s="448" t="s">
        <v>53</v>
      </c>
      <c r="W4" s="448" t="s">
        <v>54</v>
      </c>
    </row>
    <row r="5" spans="2:23" ht="14.25">
      <c r="B5" s="398"/>
      <c r="C5" s="550" t="s">
        <v>55</v>
      </c>
      <c r="D5" s="399">
        <v>46235</v>
      </c>
      <c r="E5" s="400" t="s">
        <v>56</v>
      </c>
      <c r="F5" s="485">
        <v>2319312.75</v>
      </c>
      <c r="G5" s="522">
        <f>SUM(F5:F7)</f>
        <v>8367993.96</v>
      </c>
      <c r="H5" s="526">
        <f>SUM(F5:F35)</f>
        <v>61106541.980000004</v>
      </c>
      <c r="I5" s="219">
        <v>50157</v>
      </c>
      <c r="J5" s="533">
        <f>SUM(I5:I7)</f>
        <v>180848</v>
      </c>
      <c r="K5" s="533">
        <f>SUM(I5:I35)</f>
        <v>1320645</v>
      </c>
      <c r="L5" s="485">
        <v>1463267.0325</v>
      </c>
      <c r="M5" s="522">
        <f>SUM(L5:L7)</f>
        <v>5279336.1948000006</v>
      </c>
      <c r="N5" s="526">
        <f>SUM(L5:L35)</f>
        <v>38561051.447400004</v>
      </c>
      <c r="O5" s="487">
        <f>L5/F5</f>
        <v>0.63090544063106624</v>
      </c>
      <c r="P5" s="529">
        <f>M5/G5</f>
        <v>0.63089627215744315</v>
      </c>
      <c r="Q5" s="519">
        <f>N5/H5</f>
        <v>0.63104620549500123</v>
      </c>
      <c r="R5" s="489"/>
      <c r="S5" s="435">
        <f>SUM(R5)</f>
        <v>0</v>
      </c>
      <c r="T5" s="553">
        <f>SUM(R5:R36)</f>
        <v>0</v>
      </c>
      <c r="U5" s="94">
        <f>R5/F5</f>
        <v>0</v>
      </c>
      <c r="V5" s="490">
        <f>S5/M5</f>
        <v>0</v>
      </c>
      <c r="W5" s="548">
        <f>T5/N5</f>
        <v>0</v>
      </c>
    </row>
    <row r="6" spans="2:23" ht="14.25">
      <c r="B6" s="398"/>
      <c r="C6" s="550"/>
      <c r="D6" s="399">
        <v>46236</v>
      </c>
      <c r="E6" s="400" t="s">
        <v>52</v>
      </c>
      <c r="F6" s="485">
        <v>3023076.54</v>
      </c>
      <c r="G6" s="523"/>
      <c r="H6" s="527"/>
      <c r="I6" s="219">
        <v>65177</v>
      </c>
      <c r="J6" s="534"/>
      <c r="K6" s="534"/>
      <c r="L6" s="485">
        <v>1907538.2202000001</v>
      </c>
      <c r="M6" s="523"/>
      <c r="N6" s="527"/>
      <c r="O6" s="487">
        <f>L6/F6</f>
        <v>0.63099236653796398</v>
      </c>
      <c r="P6" s="530"/>
      <c r="Q6" s="520"/>
      <c r="R6" s="489"/>
      <c r="S6" s="549">
        <f>SUM(R6:R12)</f>
        <v>0</v>
      </c>
      <c r="T6" s="553"/>
      <c r="U6" s="94">
        <f t="shared" ref="U6:U35" si="0">R6/F6</f>
        <v>0</v>
      </c>
      <c r="V6" s="552" t="e">
        <f>S6/M6</f>
        <v>#DIV/0!</v>
      </c>
      <c r="W6" s="548"/>
    </row>
    <row r="7" spans="2:23" ht="14.25">
      <c r="B7" s="398"/>
      <c r="C7" s="550"/>
      <c r="D7" s="404">
        <v>46237</v>
      </c>
      <c r="E7" s="405" t="s">
        <v>57</v>
      </c>
      <c r="F7" s="493">
        <v>3025604.67</v>
      </c>
      <c r="G7" s="524"/>
      <c r="H7" s="527"/>
      <c r="I7" s="406">
        <v>65514</v>
      </c>
      <c r="J7" s="535"/>
      <c r="K7" s="534"/>
      <c r="L7" s="493">
        <v>1908530.9421000001</v>
      </c>
      <c r="M7" s="524"/>
      <c r="N7" s="527"/>
      <c r="O7" s="494">
        <f t="shared" ref="O7:O35" si="1">L7/F7</f>
        <v>0.63079322987031217</v>
      </c>
      <c r="P7" s="531"/>
      <c r="Q7" s="520"/>
      <c r="R7" s="489"/>
      <c r="S7" s="549"/>
      <c r="T7" s="553"/>
      <c r="U7" s="94">
        <f t="shared" si="0"/>
        <v>0</v>
      </c>
      <c r="V7" s="552"/>
      <c r="W7" s="548"/>
    </row>
    <row r="8" spans="2:23" ht="14.25">
      <c r="B8" s="547">
        <v>46246</v>
      </c>
      <c r="C8" s="551"/>
      <c r="D8" s="411">
        <v>46238</v>
      </c>
      <c r="E8" s="412" t="s">
        <v>58</v>
      </c>
      <c r="F8" s="498">
        <v>2744836.55</v>
      </c>
      <c r="G8" s="525">
        <f>SUM(F8:F14)</f>
        <v>18008327.620000001</v>
      </c>
      <c r="H8" s="527"/>
      <c r="I8" s="499">
        <v>60136</v>
      </c>
      <c r="J8" s="536">
        <f>SUM(I8:I14)</f>
        <v>389510</v>
      </c>
      <c r="K8" s="534"/>
      <c r="L8" s="498">
        <v>1732247.0264999999</v>
      </c>
      <c r="M8" s="525">
        <f>SUM(L8:L14)</f>
        <v>11362346.400600001</v>
      </c>
      <c r="N8" s="527"/>
      <c r="O8" s="500">
        <f t="shared" si="1"/>
        <v>0.63109296125483316</v>
      </c>
      <c r="P8" s="532">
        <f>M8/G8</f>
        <v>0.6309495606899671</v>
      </c>
      <c r="Q8" s="520"/>
      <c r="R8" s="492"/>
      <c r="S8" s="549"/>
      <c r="T8" s="553"/>
      <c r="U8" s="94">
        <f t="shared" si="0"/>
        <v>0</v>
      </c>
      <c r="V8" s="552"/>
      <c r="W8" s="548"/>
    </row>
    <row r="9" spans="2:23">
      <c r="B9" s="547"/>
      <c r="C9" s="551"/>
      <c r="D9" s="415">
        <v>46239</v>
      </c>
      <c r="E9" s="402" t="s">
        <v>59</v>
      </c>
      <c r="F9" s="485">
        <v>2568942.66</v>
      </c>
      <c r="G9" s="523"/>
      <c r="H9" s="527"/>
      <c r="I9" s="401">
        <v>55976</v>
      </c>
      <c r="J9" s="534"/>
      <c r="K9" s="534"/>
      <c r="L9" s="485">
        <v>1620433.8758</v>
      </c>
      <c r="M9" s="523"/>
      <c r="N9" s="527"/>
      <c r="O9" s="487">
        <f t="shared" si="1"/>
        <v>0.63077853041686804</v>
      </c>
      <c r="P9" s="530"/>
      <c r="Q9" s="520"/>
      <c r="R9" s="492"/>
      <c r="S9" s="549"/>
      <c r="T9" s="553"/>
      <c r="U9" s="94">
        <f t="shared" si="0"/>
        <v>0</v>
      </c>
      <c r="V9" s="552"/>
      <c r="W9" s="548"/>
    </row>
    <row r="10" spans="2:23" ht="14.25">
      <c r="B10" s="547"/>
      <c r="C10" s="551"/>
      <c r="D10" s="415">
        <v>46240</v>
      </c>
      <c r="E10" s="400" t="s">
        <v>60</v>
      </c>
      <c r="F10" s="485">
        <v>2531185.4</v>
      </c>
      <c r="G10" s="523"/>
      <c r="H10" s="527"/>
      <c r="I10" s="401">
        <v>54231</v>
      </c>
      <c r="J10" s="534"/>
      <c r="K10" s="534"/>
      <c r="L10" s="485">
        <v>1596646.8019999999</v>
      </c>
      <c r="M10" s="523"/>
      <c r="N10" s="527"/>
      <c r="O10" s="487">
        <f t="shared" si="1"/>
        <v>0.63079014362203578</v>
      </c>
      <c r="P10" s="530"/>
      <c r="Q10" s="520"/>
      <c r="R10" s="492"/>
      <c r="S10" s="549"/>
      <c r="T10" s="553"/>
      <c r="U10" s="94">
        <f t="shared" si="0"/>
        <v>0</v>
      </c>
      <c r="V10" s="552"/>
      <c r="W10" s="548"/>
    </row>
    <row r="11" spans="2:23" ht="14.25">
      <c r="B11" s="547"/>
      <c r="C11" s="551"/>
      <c r="D11" s="415">
        <v>46241</v>
      </c>
      <c r="E11" s="400" t="s">
        <v>61</v>
      </c>
      <c r="F11" s="485">
        <v>1978394.42</v>
      </c>
      <c r="G11" s="523"/>
      <c r="H11" s="527"/>
      <c r="I11" s="401">
        <v>43046</v>
      </c>
      <c r="J11" s="534"/>
      <c r="K11" s="534"/>
      <c r="L11" s="485">
        <v>1248388.4846000001</v>
      </c>
      <c r="M11" s="523"/>
      <c r="N11" s="527"/>
      <c r="O11" s="487">
        <f t="shared" si="1"/>
        <v>0.63101092076472809</v>
      </c>
      <c r="P11" s="530"/>
      <c r="Q11" s="520"/>
      <c r="R11" s="492"/>
      <c r="S11" s="549"/>
      <c r="T11" s="553"/>
      <c r="U11" s="94">
        <f t="shared" si="0"/>
        <v>0</v>
      </c>
      <c r="V11" s="552"/>
      <c r="W11" s="548"/>
    </row>
    <row r="12" spans="2:23" ht="14.25">
      <c r="B12" s="547"/>
      <c r="C12" s="551"/>
      <c r="D12" s="415">
        <v>46242</v>
      </c>
      <c r="E12" s="400" t="s">
        <v>56</v>
      </c>
      <c r="F12" s="485">
        <v>2143592.4300000002</v>
      </c>
      <c r="G12" s="523"/>
      <c r="H12" s="527"/>
      <c r="I12" s="401">
        <v>46671</v>
      </c>
      <c r="J12" s="534"/>
      <c r="K12" s="534"/>
      <c r="L12" s="485">
        <v>1352463.2309000001</v>
      </c>
      <c r="M12" s="523"/>
      <c r="N12" s="527"/>
      <c r="O12" s="487">
        <f t="shared" si="1"/>
        <v>0.63093301318478723</v>
      </c>
      <c r="P12" s="530"/>
      <c r="Q12" s="520"/>
      <c r="R12" s="492"/>
      <c r="S12" s="549"/>
      <c r="T12" s="553"/>
      <c r="U12" s="94">
        <f t="shared" si="0"/>
        <v>0</v>
      </c>
      <c r="V12" s="552"/>
      <c r="W12" s="548"/>
    </row>
    <row r="13" spans="2:23" ht="14.25">
      <c r="B13" s="547"/>
      <c r="C13" s="551"/>
      <c r="D13" s="415">
        <v>46243</v>
      </c>
      <c r="E13" s="400" t="s">
        <v>52</v>
      </c>
      <c r="F13" s="485">
        <v>3005927.64</v>
      </c>
      <c r="G13" s="523"/>
      <c r="H13" s="527"/>
      <c r="I13" s="401">
        <v>64248</v>
      </c>
      <c r="J13" s="534"/>
      <c r="K13" s="534"/>
      <c r="L13" s="485">
        <v>1896834.4132000001</v>
      </c>
      <c r="M13" s="523"/>
      <c r="N13" s="527"/>
      <c r="O13" s="487">
        <f t="shared" si="1"/>
        <v>0.63103129561694971</v>
      </c>
      <c r="P13" s="530"/>
      <c r="Q13" s="520"/>
      <c r="R13" s="492"/>
      <c r="S13" s="549">
        <f>SUM(R13:R19)</f>
        <v>0</v>
      </c>
      <c r="T13" s="553"/>
      <c r="U13" s="94">
        <f t="shared" si="0"/>
        <v>0</v>
      </c>
      <c r="V13" s="552" t="e">
        <f>S13/M13</f>
        <v>#DIV/0!</v>
      </c>
      <c r="W13" s="548"/>
    </row>
    <row r="14" spans="2:23" ht="14.25">
      <c r="B14" s="547"/>
      <c r="C14" s="551"/>
      <c r="D14" s="417">
        <v>46244</v>
      </c>
      <c r="E14" s="418" t="s">
        <v>57</v>
      </c>
      <c r="F14" s="501">
        <v>3035448.52</v>
      </c>
      <c r="G14" s="524"/>
      <c r="H14" s="527"/>
      <c r="I14" s="502">
        <v>65202</v>
      </c>
      <c r="J14" s="535"/>
      <c r="K14" s="534"/>
      <c r="L14" s="501">
        <v>1915332.5676</v>
      </c>
      <c r="M14" s="524"/>
      <c r="N14" s="527"/>
      <c r="O14" s="503">
        <f t="shared" si="1"/>
        <v>0.63098832181808828</v>
      </c>
      <c r="P14" s="531"/>
      <c r="Q14" s="520"/>
      <c r="R14" s="492"/>
      <c r="S14" s="549"/>
      <c r="T14" s="553"/>
      <c r="U14" s="94">
        <f t="shared" si="0"/>
        <v>0</v>
      </c>
      <c r="V14" s="552"/>
      <c r="W14" s="548"/>
    </row>
    <row r="15" spans="2:23" ht="14.25">
      <c r="B15" s="547">
        <v>46253</v>
      </c>
      <c r="C15" s="550"/>
      <c r="D15" s="407">
        <v>46245</v>
      </c>
      <c r="E15" s="408" t="s">
        <v>58</v>
      </c>
      <c r="F15" s="495">
        <v>2592646.7599999998</v>
      </c>
      <c r="G15" s="525">
        <f>SUM(F15:F21)</f>
        <v>17686446.460000001</v>
      </c>
      <c r="H15" s="527"/>
      <c r="I15" s="410">
        <v>56162</v>
      </c>
      <c r="J15" s="536">
        <f>SUM(I15:I21)</f>
        <v>382077</v>
      </c>
      <c r="K15" s="534"/>
      <c r="L15" s="495">
        <v>1636367.4587999999</v>
      </c>
      <c r="M15" s="525">
        <f>SUM(L15:L21)</f>
        <v>11162561.2698</v>
      </c>
      <c r="N15" s="527"/>
      <c r="O15" s="496">
        <f t="shared" si="1"/>
        <v>0.63115711868129698</v>
      </c>
      <c r="P15" s="532">
        <f>M15/G15</f>
        <v>0.63113646345213881</v>
      </c>
      <c r="Q15" s="520"/>
      <c r="R15" s="489"/>
      <c r="S15" s="549"/>
      <c r="T15" s="553"/>
      <c r="U15" s="94">
        <f t="shared" si="0"/>
        <v>0</v>
      </c>
      <c r="V15" s="552"/>
      <c r="W15" s="548"/>
    </row>
    <row r="16" spans="2:23">
      <c r="B16" s="547"/>
      <c r="C16" s="550"/>
      <c r="D16" s="399">
        <v>46246</v>
      </c>
      <c r="E16" s="402" t="s">
        <v>59</v>
      </c>
      <c r="F16" s="485">
        <v>2595086.92</v>
      </c>
      <c r="G16" s="523"/>
      <c r="H16" s="527"/>
      <c r="I16" s="491">
        <v>55867</v>
      </c>
      <c r="J16" s="534"/>
      <c r="K16" s="534"/>
      <c r="L16" s="485">
        <v>1637904.7596</v>
      </c>
      <c r="M16" s="523"/>
      <c r="N16" s="527"/>
      <c r="O16" s="487">
        <f t="shared" si="1"/>
        <v>0.63115603064270387</v>
      </c>
      <c r="P16" s="530"/>
      <c r="Q16" s="520"/>
      <c r="R16" s="489"/>
      <c r="S16" s="549"/>
      <c r="T16" s="553"/>
      <c r="U16" s="94">
        <f t="shared" si="0"/>
        <v>0</v>
      </c>
      <c r="V16" s="552"/>
      <c r="W16" s="548"/>
    </row>
    <row r="17" spans="2:23" ht="14.25">
      <c r="B17" s="547"/>
      <c r="C17" s="550"/>
      <c r="D17" s="399">
        <v>46247</v>
      </c>
      <c r="E17" s="400" t="s">
        <v>60</v>
      </c>
      <c r="F17" s="485">
        <v>2476905.9500000002</v>
      </c>
      <c r="G17" s="523"/>
      <c r="H17" s="527"/>
      <c r="I17" s="491">
        <v>53441</v>
      </c>
      <c r="J17" s="534"/>
      <c r="K17" s="534"/>
      <c r="L17" s="485">
        <v>1563050.7485</v>
      </c>
      <c r="M17" s="523"/>
      <c r="N17" s="527"/>
      <c r="O17" s="487">
        <f t="shared" si="1"/>
        <v>0.63104969669922262</v>
      </c>
      <c r="P17" s="530"/>
      <c r="Q17" s="520"/>
      <c r="R17" s="489"/>
      <c r="S17" s="549"/>
      <c r="T17" s="553"/>
      <c r="U17" s="94">
        <f t="shared" si="0"/>
        <v>0</v>
      </c>
      <c r="V17" s="552"/>
      <c r="W17" s="548"/>
    </row>
    <row r="18" spans="2:23" ht="14.25">
      <c r="B18" s="547"/>
      <c r="C18" s="550"/>
      <c r="D18" s="399">
        <v>46248</v>
      </c>
      <c r="E18" s="400" t="s">
        <v>61</v>
      </c>
      <c r="F18" s="485">
        <v>2004758.57</v>
      </c>
      <c r="G18" s="523"/>
      <c r="H18" s="527"/>
      <c r="I18" s="491">
        <v>43480</v>
      </c>
      <c r="J18" s="534"/>
      <c r="K18" s="534"/>
      <c r="L18" s="485">
        <v>1265097.8991</v>
      </c>
      <c r="M18" s="523"/>
      <c r="N18" s="527"/>
      <c r="O18" s="487">
        <f t="shared" si="1"/>
        <v>0.63104750768068796</v>
      </c>
      <c r="P18" s="530"/>
      <c r="Q18" s="520"/>
      <c r="R18" s="489"/>
      <c r="S18" s="549"/>
      <c r="T18" s="553"/>
      <c r="U18" s="94">
        <f t="shared" si="0"/>
        <v>0</v>
      </c>
      <c r="V18" s="552"/>
      <c r="W18" s="548"/>
    </row>
    <row r="19" spans="2:23" ht="14.25">
      <c r="B19" s="547"/>
      <c r="C19" s="550"/>
      <c r="D19" s="399">
        <v>46249</v>
      </c>
      <c r="E19" s="400" t="s">
        <v>56</v>
      </c>
      <c r="F19" s="485">
        <v>2180067.1800000002</v>
      </c>
      <c r="G19" s="523"/>
      <c r="H19" s="527"/>
      <c r="I19" s="491">
        <v>47216</v>
      </c>
      <c r="J19" s="534"/>
      <c r="K19" s="534"/>
      <c r="L19" s="485">
        <v>1375942.3234000001</v>
      </c>
      <c r="M19" s="523"/>
      <c r="N19" s="527"/>
      <c r="O19" s="487">
        <f t="shared" si="1"/>
        <v>0.631146753651876</v>
      </c>
      <c r="P19" s="530"/>
      <c r="Q19" s="520"/>
      <c r="R19" s="489"/>
      <c r="S19" s="549"/>
      <c r="T19" s="553"/>
      <c r="U19" s="94">
        <f t="shared" si="0"/>
        <v>0</v>
      </c>
      <c r="V19" s="552"/>
      <c r="W19" s="548"/>
    </row>
    <row r="20" spans="2:23" ht="14.25">
      <c r="B20" s="547"/>
      <c r="C20" s="550"/>
      <c r="D20" s="399">
        <v>46250</v>
      </c>
      <c r="E20" s="400" t="s">
        <v>52</v>
      </c>
      <c r="F20" s="485">
        <v>2865626.42</v>
      </c>
      <c r="G20" s="523"/>
      <c r="H20" s="527"/>
      <c r="I20" s="491">
        <v>61768</v>
      </c>
      <c r="J20" s="534"/>
      <c r="K20" s="534"/>
      <c r="L20" s="485">
        <v>1808344.6446</v>
      </c>
      <c r="M20" s="523"/>
      <c r="N20" s="527"/>
      <c r="O20" s="487">
        <f t="shared" si="1"/>
        <v>0.63104689152049342</v>
      </c>
      <c r="P20" s="530"/>
      <c r="Q20" s="520"/>
      <c r="R20" s="489"/>
      <c r="S20" s="549">
        <f>SUM(R20:R26)</f>
        <v>0</v>
      </c>
      <c r="T20" s="553"/>
      <c r="U20" s="94">
        <f t="shared" si="0"/>
        <v>0</v>
      </c>
      <c r="V20" s="552" t="e">
        <f>S20/M20</f>
        <v>#DIV/0!</v>
      </c>
      <c r="W20" s="548"/>
    </row>
    <row r="21" spans="2:23" ht="14.25">
      <c r="B21" s="547"/>
      <c r="C21" s="550"/>
      <c r="D21" s="404">
        <v>46251</v>
      </c>
      <c r="E21" s="405" t="s">
        <v>57</v>
      </c>
      <c r="F21" s="493">
        <v>2971354.66</v>
      </c>
      <c r="G21" s="524"/>
      <c r="H21" s="527"/>
      <c r="I21" s="504">
        <v>64143</v>
      </c>
      <c r="J21" s="535"/>
      <c r="K21" s="534"/>
      <c r="L21" s="493">
        <v>1875853.4358000001</v>
      </c>
      <c r="M21" s="524"/>
      <c r="N21" s="527"/>
      <c r="O21" s="494">
        <f t="shared" si="1"/>
        <v>0.63131253264798759</v>
      </c>
      <c r="P21" s="531"/>
      <c r="Q21" s="520"/>
      <c r="R21" s="505"/>
      <c r="S21" s="549"/>
      <c r="T21" s="553"/>
      <c r="U21" s="94">
        <f t="shared" si="0"/>
        <v>0</v>
      </c>
      <c r="V21" s="552"/>
      <c r="W21" s="548"/>
    </row>
    <row r="22" spans="2:23" ht="14.25">
      <c r="B22" s="547">
        <v>46260</v>
      </c>
      <c r="C22" s="551"/>
      <c r="D22" s="411">
        <v>46252</v>
      </c>
      <c r="E22" s="412" t="s">
        <v>58</v>
      </c>
      <c r="F22" s="498">
        <v>2636829.3600000003</v>
      </c>
      <c r="G22" s="525">
        <f>SUM(F22:F28)</f>
        <v>17043773.939999998</v>
      </c>
      <c r="H22" s="527"/>
      <c r="I22" s="499">
        <v>56950</v>
      </c>
      <c r="J22" s="536">
        <f>SUM(I22:I28)</f>
        <v>368210</v>
      </c>
      <c r="K22" s="534"/>
      <c r="L22" s="498">
        <v>1664202.4968000001</v>
      </c>
      <c r="M22" s="525">
        <f>SUM(L22:L28)</f>
        <v>10756807.5822</v>
      </c>
      <c r="N22" s="527"/>
      <c r="O22" s="500">
        <f t="shared" si="1"/>
        <v>0.63113773005015383</v>
      </c>
      <c r="P22" s="532">
        <f>M22/G22</f>
        <v>0.63112827124248994</v>
      </c>
      <c r="Q22" s="520"/>
      <c r="R22" s="508"/>
      <c r="S22" s="554"/>
      <c r="T22" s="553"/>
      <c r="U22" s="94">
        <f t="shared" si="0"/>
        <v>0</v>
      </c>
      <c r="V22" s="552"/>
      <c r="W22" s="548"/>
    </row>
    <row r="23" spans="2:23">
      <c r="B23" s="547"/>
      <c r="C23" s="551"/>
      <c r="D23" s="415">
        <v>46253</v>
      </c>
      <c r="E23" s="402" t="s">
        <v>59</v>
      </c>
      <c r="F23" s="485">
        <v>2408538.2600000002</v>
      </c>
      <c r="G23" s="523"/>
      <c r="H23" s="527"/>
      <c r="I23" s="491">
        <v>51994</v>
      </c>
      <c r="J23" s="534"/>
      <c r="K23" s="534"/>
      <c r="L23" s="485">
        <v>1520379.1037999999</v>
      </c>
      <c r="M23" s="523"/>
      <c r="N23" s="527"/>
      <c r="O23" s="487">
        <f t="shared" si="1"/>
        <v>0.63124556875422011</v>
      </c>
      <c r="P23" s="530"/>
      <c r="Q23" s="520"/>
      <c r="R23" s="509"/>
      <c r="S23" s="554"/>
      <c r="T23" s="553"/>
      <c r="U23" s="94">
        <f t="shared" si="0"/>
        <v>0</v>
      </c>
      <c r="V23" s="552"/>
      <c r="W23" s="548"/>
    </row>
    <row r="24" spans="2:23" ht="14.25">
      <c r="B24" s="547"/>
      <c r="C24" s="551"/>
      <c r="D24" s="415">
        <v>46254</v>
      </c>
      <c r="E24" s="400" t="s">
        <v>60</v>
      </c>
      <c r="F24" s="485">
        <v>2319925.44</v>
      </c>
      <c r="G24" s="523"/>
      <c r="H24" s="527"/>
      <c r="I24" s="491">
        <v>50258</v>
      </c>
      <c r="J24" s="534"/>
      <c r="K24" s="534"/>
      <c r="L24" s="485">
        <v>1464553.0271999999</v>
      </c>
      <c r="M24" s="523"/>
      <c r="N24" s="527"/>
      <c r="O24" s="487">
        <f t="shared" si="1"/>
        <v>0.63129314500728084</v>
      </c>
      <c r="P24" s="530"/>
      <c r="Q24" s="520"/>
      <c r="R24" s="509"/>
      <c r="S24" s="554"/>
      <c r="T24" s="553"/>
      <c r="U24" s="94">
        <f t="shared" si="0"/>
        <v>0</v>
      </c>
      <c r="V24" s="552"/>
      <c r="W24" s="548"/>
    </row>
    <row r="25" spans="2:23" ht="14.25">
      <c r="B25" s="547"/>
      <c r="C25" s="551"/>
      <c r="D25" s="415">
        <v>46255</v>
      </c>
      <c r="E25" s="400" t="s">
        <v>61</v>
      </c>
      <c r="F25" s="485">
        <v>1831621.66</v>
      </c>
      <c r="G25" s="523"/>
      <c r="H25" s="527"/>
      <c r="I25" s="491">
        <v>39573</v>
      </c>
      <c r="J25" s="534"/>
      <c r="K25" s="534"/>
      <c r="L25" s="485">
        <v>1155921.6458000001</v>
      </c>
      <c r="M25" s="523"/>
      <c r="N25" s="527"/>
      <c r="O25" s="487">
        <f t="shared" si="1"/>
        <v>0.63109192855908902</v>
      </c>
      <c r="P25" s="530"/>
      <c r="Q25" s="520"/>
      <c r="R25" s="509"/>
      <c r="S25" s="554"/>
      <c r="T25" s="553"/>
      <c r="U25" s="94">
        <f t="shared" si="0"/>
        <v>0</v>
      </c>
      <c r="V25" s="552"/>
      <c r="W25" s="548"/>
    </row>
    <row r="26" spans="2:23" ht="14.25">
      <c r="B26" s="547"/>
      <c r="C26" s="551"/>
      <c r="D26" s="415">
        <v>46256</v>
      </c>
      <c r="E26" s="400" t="s">
        <v>56</v>
      </c>
      <c r="F26" s="485">
        <v>2037135.95</v>
      </c>
      <c r="G26" s="523"/>
      <c r="H26" s="527"/>
      <c r="I26" s="491">
        <v>44045</v>
      </c>
      <c r="J26" s="534"/>
      <c r="K26" s="534"/>
      <c r="L26" s="485">
        <v>1285695.6484999999</v>
      </c>
      <c r="M26" s="523"/>
      <c r="N26" s="527"/>
      <c r="O26" s="487">
        <f t="shared" si="1"/>
        <v>0.63112903608617776</v>
      </c>
      <c r="P26" s="530"/>
      <c r="Q26" s="520"/>
      <c r="R26" s="509"/>
      <c r="S26" s="554"/>
      <c r="T26" s="553"/>
      <c r="U26" s="94">
        <f t="shared" si="0"/>
        <v>0</v>
      </c>
      <c r="V26" s="552"/>
      <c r="W26" s="548"/>
    </row>
    <row r="27" spans="2:23" ht="14.25">
      <c r="B27" s="547"/>
      <c r="C27" s="551"/>
      <c r="D27" s="415">
        <v>46257</v>
      </c>
      <c r="E27" s="400" t="s">
        <v>52</v>
      </c>
      <c r="F27" s="485">
        <v>2878649.46</v>
      </c>
      <c r="G27" s="523"/>
      <c r="H27" s="527"/>
      <c r="I27" s="491">
        <v>62066</v>
      </c>
      <c r="J27" s="534"/>
      <c r="K27" s="534"/>
      <c r="L27" s="485">
        <v>1816049.1598</v>
      </c>
      <c r="M27" s="523"/>
      <c r="N27" s="527"/>
      <c r="O27" s="487">
        <f t="shared" si="1"/>
        <v>0.63086846281033471</v>
      </c>
      <c r="P27" s="530"/>
      <c r="Q27" s="520"/>
      <c r="R27" s="509"/>
      <c r="S27" s="554">
        <f>SUM(R27:R33)</f>
        <v>0</v>
      </c>
      <c r="T27" s="553"/>
      <c r="U27" s="94">
        <f t="shared" si="0"/>
        <v>0</v>
      </c>
      <c r="V27" s="552" t="e">
        <f>S27/M27</f>
        <v>#DIV/0!</v>
      </c>
      <c r="W27" s="548"/>
    </row>
    <row r="28" spans="2:23" ht="14.25">
      <c r="B28" s="547"/>
      <c r="C28" s="551"/>
      <c r="D28" s="417">
        <v>46258</v>
      </c>
      <c r="E28" s="418" t="s">
        <v>57</v>
      </c>
      <c r="F28" s="501">
        <v>2931073.8099999996</v>
      </c>
      <c r="G28" s="524"/>
      <c r="H28" s="527"/>
      <c r="I28" s="510">
        <v>63324</v>
      </c>
      <c r="J28" s="535"/>
      <c r="K28" s="534"/>
      <c r="L28" s="501">
        <v>1850006.5003</v>
      </c>
      <c r="M28" s="524"/>
      <c r="N28" s="527"/>
      <c r="O28" s="503">
        <f t="shared" si="1"/>
        <v>0.63117021959266195</v>
      </c>
      <c r="P28" s="531"/>
      <c r="Q28" s="520"/>
      <c r="R28" s="511"/>
      <c r="S28" s="554"/>
      <c r="T28" s="553"/>
      <c r="U28" s="94">
        <f t="shared" si="0"/>
        <v>0</v>
      </c>
      <c r="V28" s="552"/>
      <c r="W28" s="548"/>
    </row>
    <row r="29" spans="2:23" ht="14.25">
      <c r="B29" s="547">
        <v>46267</v>
      </c>
      <c r="C29" s="550"/>
      <c r="D29" s="407">
        <v>46259</v>
      </c>
      <c r="E29" s="408" t="s">
        <v>58</v>
      </c>
      <c r="F29" s="495"/>
      <c r="G29" s="444">
        <f>SUM(F29:F35)</f>
        <v>0</v>
      </c>
      <c r="H29" s="527"/>
      <c r="I29" s="506"/>
      <c r="J29" s="410">
        <f>SUM(I29:I35)</f>
        <v>0</v>
      </c>
      <c r="K29" s="534"/>
      <c r="L29" s="495"/>
      <c r="M29" s="444">
        <f>SUM(L29:L35)</f>
        <v>0</v>
      </c>
      <c r="N29" s="527"/>
      <c r="O29" s="496" t="e">
        <f t="shared" si="1"/>
        <v>#DIV/0!</v>
      </c>
      <c r="P29" s="497" t="e">
        <f>M29/G29</f>
        <v>#DIV/0!</v>
      </c>
      <c r="Q29" s="520"/>
      <c r="R29" s="507"/>
      <c r="S29" s="549"/>
      <c r="T29" s="553"/>
      <c r="U29" s="94" t="e">
        <f t="shared" si="0"/>
        <v>#DIV/0!</v>
      </c>
      <c r="V29" s="552"/>
      <c r="W29" s="548"/>
    </row>
    <row r="30" spans="2:23">
      <c r="B30" s="547"/>
      <c r="C30" s="550"/>
      <c r="D30" s="399">
        <v>46260</v>
      </c>
      <c r="E30" s="402" t="s">
        <v>59</v>
      </c>
      <c r="F30" s="485"/>
      <c r="G30" s="436"/>
      <c r="H30" s="527"/>
      <c r="I30" s="491"/>
      <c r="J30" s="401"/>
      <c r="K30" s="534"/>
      <c r="L30" s="485"/>
      <c r="M30" s="436"/>
      <c r="N30" s="527"/>
      <c r="O30" s="487" t="e">
        <f t="shared" si="1"/>
        <v>#DIV/0!</v>
      </c>
      <c r="P30" s="488"/>
      <c r="Q30" s="520"/>
      <c r="R30" s="489"/>
      <c r="S30" s="549"/>
      <c r="T30" s="553"/>
      <c r="U30" s="94" t="e">
        <f t="shared" si="0"/>
        <v>#DIV/0!</v>
      </c>
      <c r="V30" s="552"/>
      <c r="W30" s="548"/>
    </row>
    <row r="31" spans="2:23" ht="14.25">
      <c r="B31" s="547"/>
      <c r="C31" s="550"/>
      <c r="D31" s="399">
        <v>46261</v>
      </c>
      <c r="E31" s="400" t="s">
        <v>60</v>
      </c>
      <c r="F31" s="485"/>
      <c r="G31" s="436"/>
      <c r="H31" s="527"/>
      <c r="I31" s="491"/>
      <c r="J31" s="401"/>
      <c r="K31" s="534"/>
      <c r="L31" s="485"/>
      <c r="M31" s="436"/>
      <c r="N31" s="527"/>
      <c r="O31" s="487" t="e">
        <f t="shared" si="1"/>
        <v>#DIV/0!</v>
      </c>
      <c r="P31" s="488"/>
      <c r="Q31" s="520"/>
      <c r="R31" s="489"/>
      <c r="S31" s="549"/>
      <c r="T31" s="553"/>
      <c r="U31" s="94" t="e">
        <f t="shared" si="0"/>
        <v>#DIV/0!</v>
      </c>
      <c r="V31" s="552"/>
      <c r="W31" s="548"/>
    </row>
    <row r="32" spans="2:23" ht="14.25">
      <c r="B32" s="547"/>
      <c r="C32" s="550"/>
      <c r="D32" s="399">
        <v>46262</v>
      </c>
      <c r="E32" s="400" t="s">
        <v>61</v>
      </c>
      <c r="F32" s="485"/>
      <c r="G32" s="436"/>
      <c r="H32" s="527"/>
      <c r="I32" s="491"/>
      <c r="J32" s="401"/>
      <c r="K32" s="534"/>
      <c r="L32" s="485"/>
      <c r="M32" s="436"/>
      <c r="N32" s="527"/>
      <c r="O32" s="487" t="e">
        <f t="shared" si="1"/>
        <v>#DIV/0!</v>
      </c>
      <c r="P32" s="488"/>
      <c r="Q32" s="520"/>
      <c r="R32" s="489"/>
      <c r="S32" s="549"/>
      <c r="T32" s="553"/>
      <c r="U32" s="94" t="e">
        <f t="shared" si="0"/>
        <v>#DIV/0!</v>
      </c>
      <c r="V32" s="552"/>
      <c r="W32" s="548"/>
    </row>
    <row r="33" spans="2:23" ht="14.25">
      <c r="B33" s="547"/>
      <c r="C33" s="550"/>
      <c r="D33" s="399">
        <v>46263</v>
      </c>
      <c r="E33" s="400" t="s">
        <v>56</v>
      </c>
      <c r="F33" s="485"/>
      <c r="G33" s="436"/>
      <c r="H33" s="527"/>
      <c r="I33" s="491"/>
      <c r="J33" s="401"/>
      <c r="K33" s="534"/>
      <c r="L33" s="485"/>
      <c r="M33" s="436"/>
      <c r="N33" s="527"/>
      <c r="O33" s="487" t="e">
        <f t="shared" si="1"/>
        <v>#DIV/0!</v>
      </c>
      <c r="P33" s="488"/>
      <c r="Q33" s="520"/>
      <c r="R33" s="489"/>
      <c r="S33" s="549"/>
      <c r="T33" s="553"/>
      <c r="U33" s="94" t="e">
        <f t="shared" si="0"/>
        <v>#DIV/0!</v>
      </c>
      <c r="V33" s="552"/>
      <c r="W33" s="548"/>
    </row>
    <row r="34" spans="2:23" ht="14.25">
      <c r="B34" s="547"/>
      <c r="C34" s="550"/>
      <c r="D34" s="399">
        <v>46264</v>
      </c>
      <c r="E34" s="400" t="s">
        <v>52</v>
      </c>
      <c r="F34" s="485"/>
      <c r="G34" s="436"/>
      <c r="H34" s="527"/>
      <c r="I34" s="98"/>
      <c r="J34" s="401"/>
      <c r="K34" s="534"/>
      <c r="L34" s="485"/>
      <c r="M34" s="436"/>
      <c r="N34" s="527"/>
      <c r="O34" s="487" t="e">
        <f t="shared" si="1"/>
        <v>#DIV/0!</v>
      </c>
      <c r="P34" s="488"/>
      <c r="Q34" s="520"/>
      <c r="R34" s="489"/>
      <c r="S34" s="436"/>
      <c r="T34" s="553"/>
      <c r="U34" s="94" t="e">
        <f t="shared" si="0"/>
        <v>#DIV/0!</v>
      </c>
      <c r="V34" s="436"/>
      <c r="W34" s="548"/>
    </row>
    <row r="35" spans="2:23" ht="14.25">
      <c r="B35" s="547"/>
      <c r="C35" s="550"/>
      <c r="D35" s="399">
        <v>46265</v>
      </c>
      <c r="E35" s="400" t="s">
        <v>57</v>
      </c>
      <c r="F35" s="485"/>
      <c r="G35" s="436"/>
      <c r="H35" s="528"/>
      <c r="I35" s="491"/>
      <c r="J35" s="401"/>
      <c r="K35" s="537"/>
      <c r="L35" s="485"/>
      <c r="M35" s="436"/>
      <c r="N35" s="528"/>
      <c r="O35" s="487" t="e">
        <f t="shared" si="1"/>
        <v>#DIV/0!</v>
      </c>
      <c r="P35" s="488"/>
      <c r="Q35" s="521"/>
      <c r="R35" s="489"/>
      <c r="S35" s="436"/>
      <c r="T35" s="486"/>
      <c r="U35" s="94" t="e">
        <f t="shared" si="0"/>
        <v>#DIV/0!</v>
      </c>
      <c r="V35" s="436"/>
      <c r="W35" s="486"/>
    </row>
    <row r="36" spans="2:23" ht="14.25">
      <c r="B36" s="297"/>
      <c r="C36" s="380"/>
      <c r="D36" s="293"/>
      <c r="E36" s="294"/>
      <c r="G36" s="298"/>
      <c r="H36" s="333"/>
      <c r="I36" s="183"/>
      <c r="J36" s="291"/>
      <c r="K36" s="183"/>
      <c r="L36" s="84"/>
      <c r="M36" s="298"/>
      <c r="N36" s="333"/>
      <c r="O36" s="321"/>
      <c r="P36" s="360"/>
      <c r="Q36" s="292"/>
      <c r="S36" s="298"/>
      <c r="T36" s="333"/>
      <c r="V36" s="298"/>
      <c r="W36" s="333"/>
    </row>
    <row r="37" spans="2:23" ht="14.25">
      <c r="B37" s="297"/>
      <c r="D37" s="293"/>
      <c r="E37" s="294"/>
      <c r="G37" s="298"/>
      <c r="H37" s="333"/>
      <c r="I37" s="183"/>
      <c r="J37" s="291"/>
      <c r="K37" s="183"/>
      <c r="L37" s="84"/>
      <c r="M37" s="298"/>
      <c r="N37" s="333"/>
      <c r="O37" s="321"/>
      <c r="P37" s="360"/>
      <c r="Q37" s="292"/>
      <c r="S37" s="298"/>
      <c r="T37" s="361"/>
      <c r="V37" s="84"/>
      <c r="W37" s="84"/>
    </row>
    <row r="38" spans="2:23" ht="14.25">
      <c r="B38" s="297"/>
      <c r="D38" s="293"/>
      <c r="E38" s="294"/>
      <c r="G38" s="298"/>
      <c r="I38" s="183"/>
      <c r="J38" s="291"/>
      <c r="K38" s="183"/>
      <c r="L38" s="84"/>
      <c r="M38" s="298"/>
      <c r="N38" s="84"/>
      <c r="O38" s="321"/>
      <c r="P38" s="360"/>
      <c r="Q38" s="84"/>
      <c r="S38" s="298"/>
      <c r="T38" s="84"/>
      <c r="V38" s="84"/>
      <c r="W38" s="84"/>
    </row>
    <row r="39" spans="2:23">
      <c r="B39" s="81"/>
      <c r="D39" s="83"/>
      <c r="E39" s="83"/>
      <c r="I39" s="183"/>
      <c r="J39" s="291"/>
      <c r="K39" s="183"/>
      <c r="L39" s="84"/>
      <c r="M39" s="84"/>
      <c r="N39" s="84"/>
      <c r="P39" s="84"/>
      <c r="Q39" s="84"/>
      <c r="S39" s="84"/>
      <c r="T39" s="84"/>
      <c r="V39" s="84"/>
      <c r="W39" s="84"/>
    </row>
    <row r="40" spans="2:23">
      <c r="J40" s="291"/>
    </row>
    <row r="41" spans="2:23">
      <c r="J41" s="291"/>
    </row>
    <row r="42" spans="2:23">
      <c r="J42" s="291"/>
    </row>
    <row r="43" spans="2:23">
      <c r="J43" s="291"/>
    </row>
  </sheetData>
  <mergeCells count="45">
    <mergeCell ref="B29:B35"/>
    <mergeCell ref="W5:W34"/>
    <mergeCell ref="S13:S19"/>
    <mergeCell ref="C5:C35"/>
    <mergeCell ref="S6:S12"/>
    <mergeCell ref="V27:V33"/>
    <mergeCell ref="T5:T34"/>
    <mergeCell ref="V6:V12"/>
    <mergeCell ref="V13:V19"/>
    <mergeCell ref="V20:V26"/>
    <mergeCell ref="S20:S26"/>
    <mergeCell ref="S27:S33"/>
    <mergeCell ref="B8:B14"/>
    <mergeCell ref="B15:B21"/>
    <mergeCell ref="B22:B28"/>
    <mergeCell ref="G5:G7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H5:H35"/>
    <mergeCell ref="G8:G14"/>
    <mergeCell ref="J5:J7"/>
    <mergeCell ref="J8:J14"/>
    <mergeCell ref="K5:K35"/>
    <mergeCell ref="G15:G21"/>
    <mergeCell ref="J15:J21"/>
    <mergeCell ref="G22:G28"/>
    <mergeCell ref="J22:J28"/>
    <mergeCell ref="Q5:Q35"/>
    <mergeCell ref="M5:M7"/>
    <mergeCell ref="M8:M14"/>
    <mergeCell ref="N5:N35"/>
    <mergeCell ref="P5:P7"/>
    <mergeCell ref="P8:P14"/>
    <mergeCell ref="M15:M21"/>
    <mergeCell ref="P15:P21"/>
    <mergeCell ref="P22:P28"/>
    <mergeCell ref="M22:M28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1"/>
  <sheetViews>
    <sheetView topLeftCell="H1" zoomScale="85" zoomScaleNormal="85" workbookViewId="0">
      <selection activeCell="P22" sqref="P22:P28"/>
    </sheetView>
  </sheetViews>
  <sheetFormatPr defaultColWidth="8.85546875" defaultRowHeight="12"/>
  <cols>
    <col min="1" max="1" width="4.42578125" style="73" customWidth="1"/>
    <col min="2" max="2" width="12.5703125" style="82" customWidth="1"/>
    <col min="3" max="3" width="8.85546875" style="79" customWidth="1"/>
    <col min="4" max="4" width="17.42578125" style="80" customWidth="1"/>
    <col min="5" max="5" width="4.42578125" style="80" customWidth="1"/>
    <col min="6" max="8" width="25.5703125" style="89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68" width="8.85546875" style="73" customWidth="1"/>
    <col min="69" max="16384" width="8.85546875" style="73"/>
  </cols>
  <sheetData>
    <row r="1" spans="2:23" ht="14.25">
      <c r="C1" s="79">
        <v>126.6</v>
      </c>
      <c r="F1" s="335"/>
    </row>
    <row r="2" spans="2:23" ht="38.1" customHeight="1">
      <c r="B2" s="565" t="s">
        <v>8</v>
      </c>
      <c r="C2" s="566"/>
      <c r="D2" s="566"/>
      <c r="E2" s="566"/>
      <c r="F2" s="566"/>
      <c r="G2" s="566"/>
      <c r="H2" s="566"/>
      <c r="I2" s="566"/>
      <c r="J2" s="566"/>
      <c r="K2" s="566"/>
      <c r="L2" s="566"/>
      <c r="M2" s="566"/>
      <c r="N2" s="566"/>
      <c r="O2" s="566"/>
      <c r="P2" s="566"/>
      <c r="Q2" s="566"/>
      <c r="R2" s="566"/>
      <c r="S2" s="566"/>
      <c r="T2" s="566"/>
      <c r="U2" s="566"/>
      <c r="V2" s="447"/>
      <c r="W2" s="447"/>
    </row>
    <row r="3" spans="2:23" s="71" customFormat="1" ht="23.45" customHeight="1">
      <c r="B3" s="542" t="s">
        <v>43</v>
      </c>
      <c r="C3" s="543" t="s">
        <v>44</v>
      </c>
      <c r="D3" s="544" t="s">
        <v>45</v>
      </c>
      <c r="E3" s="544"/>
      <c r="F3" s="567" t="s">
        <v>62</v>
      </c>
      <c r="G3" s="567"/>
      <c r="H3" s="567"/>
      <c r="I3" s="569" t="s">
        <v>63</v>
      </c>
      <c r="J3" s="569"/>
      <c r="K3" s="569"/>
      <c r="L3" s="568" t="s">
        <v>64</v>
      </c>
      <c r="M3" s="568"/>
      <c r="N3" s="568"/>
      <c r="O3" s="568" t="s">
        <v>65</v>
      </c>
      <c r="P3" s="568"/>
      <c r="Q3" s="568"/>
      <c r="R3" s="568" t="s">
        <v>66</v>
      </c>
      <c r="S3" s="568"/>
      <c r="T3" s="568"/>
      <c r="U3" s="568" t="s">
        <v>67</v>
      </c>
      <c r="V3" s="568"/>
      <c r="W3" s="568"/>
    </row>
    <row r="4" spans="2:23" ht="15.75">
      <c r="B4" s="542"/>
      <c r="C4" s="543"/>
      <c r="D4" s="544"/>
      <c r="E4" s="544"/>
      <c r="F4" s="448" t="s">
        <v>52</v>
      </c>
      <c r="G4" s="449" t="s">
        <v>68</v>
      </c>
      <c r="H4" s="449" t="s">
        <v>69</v>
      </c>
      <c r="I4" s="448" t="s">
        <v>52</v>
      </c>
      <c r="J4" s="450" t="s">
        <v>68</v>
      </c>
      <c r="K4" s="450" t="s">
        <v>69</v>
      </c>
      <c r="L4" s="448" t="s">
        <v>52</v>
      </c>
      <c r="M4" s="450" t="s">
        <v>68</v>
      </c>
      <c r="N4" s="450" t="s">
        <v>69</v>
      </c>
      <c r="O4" s="448" t="s">
        <v>52</v>
      </c>
      <c r="P4" s="450" t="s">
        <v>68</v>
      </c>
      <c r="Q4" s="450" t="s">
        <v>69</v>
      </c>
      <c r="R4" s="448" t="s">
        <v>52</v>
      </c>
      <c r="S4" s="450" t="s">
        <v>68</v>
      </c>
      <c r="T4" s="450" t="s">
        <v>69</v>
      </c>
      <c r="U4" s="448" t="s">
        <v>52</v>
      </c>
      <c r="V4" s="450" t="s">
        <v>68</v>
      </c>
      <c r="W4" s="450" t="s">
        <v>69</v>
      </c>
    </row>
    <row r="5" spans="2:23" ht="14.45" customHeight="1">
      <c r="B5" s="398"/>
      <c r="C5" s="550" t="s">
        <v>55</v>
      </c>
      <c r="D5" s="399">
        <v>46235</v>
      </c>
      <c r="E5" s="400" t="s">
        <v>56</v>
      </c>
      <c r="F5" s="451">
        <v>112.8</v>
      </c>
      <c r="G5" s="570">
        <f>AVERAGE(F5:F7)</f>
        <v>114.03333333333335</v>
      </c>
      <c r="H5" s="570">
        <f>AVERAGE(F5:F35)</f>
        <v>114.13749999999999</v>
      </c>
      <c r="I5" s="452">
        <f>F5/$C$1</f>
        <v>0.89099526066350709</v>
      </c>
      <c r="J5" s="561">
        <f>AVERAGE(I5:I7)</f>
        <v>0.90073723012111628</v>
      </c>
      <c r="K5" s="572">
        <f>H5/C1</f>
        <v>0.90156003159557652</v>
      </c>
      <c r="L5" s="94">
        <f>'日別報廢率總表 '!C4/'日別報廢率總表 '!B4</f>
        <v>2.4457272957258565E-3</v>
      </c>
      <c r="M5" s="575">
        <f>'日別報廢率總表 '!N4/'日別報廢率總表 '!M4</f>
        <v>3.4201656498327585E-3</v>
      </c>
      <c r="N5" s="548">
        <f>'日別報廢率總表 '!C36/'日別報廢率總表 '!B36</f>
        <v>2.9544993033346597E-3</v>
      </c>
      <c r="O5" s="94">
        <f>'日別報廢率總表 '!E4/'日別報廢率總表 '!B4</f>
        <v>4.8455830460984598E-3</v>
      </c>
      <c r="P5" s="575">
        <f>'日別報廢率總表 '!O4/'日別報廢率總表 '!M4</f>
        <v>5.6793173820598704E-3</v>
      </c>
      <c r="Q5" s="548">
        <f>'日別報廢率總表 '!E36/'日別報廢率總表 '!B36</f>
        <v>4.135363075783844E-3</v>
      </c>
      <c r="R5" s="452">
        <v>0.28599999999999998</v>
      </c>
      <c r="S5" s="561">
        <f>AVERAGE(R5:R7)</f>
        <v>0.28599999999999998</v>
      </c>
      <c r="T5" s="548">
        <f>AVERAGE(R5:R35)</f>
        <v>0.28599999999999981</v>
      </c>
      <c r="U5" s="453">
        <v>0.85</v>
      </c>
      <c r="V5" s="561">
        <f>AVERAGE(U5:U7)</f>
        <v>0.85</v>
      </c>
      <c r="W5" s="548">
        <f>AVERAGE(U5:U35)</f>
        <v>0.90500000000000014</v>
      </c>
    </row>
    <row r="6" spans="2:23" ht="14.45" customHeight="1">
      <c r="B6" s="398"/>
      <c r="C6" s="550"/>
      <c r="D6" s="399">
        <v>46236</v>
      </c>
      <c r="E6" s="400" t="s">
        <v>52</v>
      </c>
      <c r="F6" s="451">
        <v>115.2</v>
      </c>
      <c r="G6" s="570"/>
      <c r="H6" s="570"/>
      <c r="I6" s="452">
        <f t="shared" ref="I6:I35" si="0">F6/$C$1</f>
        <v>0.90995260663507116</v>
      </c>
      <c r="J6" s="562"/>
      <c r="K6" s="573"/>
      <c r="L6" s="94">
        <f>'日別報廢率總表 '!C5/'日別報廢率總表 '!B5</f>
        <v>3.6772843336609668E-3</v>
      </c>
      <c r="M6" s="576"/>
      <c r="N6" s="548"/>
      <c r="O6" s="94">
        <f>'日別報廢率總表 '!E5/'日別報廢率總表 '!B5</f>
        <v>5.6682989773060811E-3</v>
      </c>
      <c r="P6" s="576"/>
      <c r="Q6" s="548"/>
      <c r="R6" s="452">
        <v>0.28599999999999998</v>
      </c>
      <c r="S6" s="562"/>
      <c r="T6" s="548"/>
      <c r="U6" s="453">
        <v>0.85</v>
      </c>
      <c r="V6" s="562"/>
      <c r="W6" s="548"/>
    </row>
    <row r="7" spans="2:23" ht="14.45" customHeight="1">
      <c r="B7" s="398"/>
      <c r="C7" s="550"/>
      <c r="D7" s="404">
        <v>46237</v>
      </c>
      <c r="E7" s="405" t="s">
        <v>57</v>
      </c>
      <c r="F7" s="457">
        <v>114.1</v>
      </c>
      <c r="G7" s="571"/>
      <c r="H7" s="570"/>
      <c r="I7" s="462">
        <f t="shared" si="0"/>
        <v>0.90126382306477093</v>
      </c>
      <c r="J7" s="563"/>
      <c r="K7" s="573"/>
      <c r="L7" s="422">
        <f>'日別報廢率總表 '!C6/'日別報廢率總表 '!B6</f>
        <v>3.9102289592909704E-3</v>
      </c>
      <c r="M7" s="577"/>
      <c r="N7" s="548"/>
      <c r="O7" s="422">
        <f>'日別報廢率總表 '!E6/'日別報廢率總表 '!B6</f>
        <v>6.3294354149711187E-3</v>
      </c>
      <c r="P7" s="576"/>
      <c r="Q7" s="548"/>
      <c r="R7" s="462">
        <v>0.28599999999999998</v>
      </c>
      <c r="S7" s="563"/>
      <c r="T7" s="548"/>
      <c r="U7" s="453">
        <v>0.85</v>
      </c>
      <c r="V7" s="563"/>
      <c r="W7" s="548"/>
    </row>
    <row r="8" spans="2:23" ht="14.45" customHeight="1">
      <c r="B8" s="547">
        <v>46246</v>
      </c>
      <c r="C8" s="551"/>
      <c r="D8" s="411">
        <v>46238</v>
      </c>
      <c r="E8" s="412" t="s">
        <v>58</v>
      </c>
      <c r="F8" s="460">
        <v>114.8</v>
      </c>
      <c r="G8" s="581">
        <f>AVERAGE(F8:F14)</f>
        <v>114.61428571428573</v>
      </c>
      <c r="H8" s="578"/>
      <c r="I8" s="464">
        <f t="shared" si="0"/>
        <v>0.90679304897314372</v>
      </c>
      <c r="J8" s="555">
        <f>AVERAGE(I8:I14)</f>
        <v>0.90532611148724906</v>
      </c>
      <c r="K8" s="573"/>
      <c r="L8" s="426">
        <f>'日別報廢率總表 '!C7/'日別報廢率總表 '!B7</f>
        <v>2.3069377300444362E-3</v>
      </c>
      <c r="M8" s="558">
        <f>'日別報廢率總表 '!N7/'日別報廢率總表 '!M7</f>
        <v>3.6083172391773708E-3</v>
      </c>
      <c r="N8" s="580"/>
      <c r="O8" s="479">
        <f>'日別報廢率總表 '!E7/'日別報廢率總表 '!B7</f>
        <v>3.6897636983156583E-3</v>
      </c>
      <c r="P8" s="558">
        <f>'日別報廢率總表 '!O7/'日別報廢率總表 '!M7</f>
        <v>5.2301421429826241E-3</v>
      </c>
      <c r="Q8" s="548"/>
      <c r="R8" s="464">
        <v>0.28599999999999998</v>
      </c>
      <c r="S8" s="555">
        <f>AVERAGE(R8:R14)</f>
        <v>0.28599999999999998</v>
      </c>
      <c r="T8" s="548"/>
      <c r="U8" s="464">
        <v>0.85</v>
      </c>
      <c r="V8" s="555">
        <f>AVERAGE(U8:U14)</f>
        <v>0.88142857142857145</v>
      </c>
      <c r="W8" s="548"/>
    </row>
    <row r="9" spans="2:23" ht="14.45" customHeight="1">
      <c r="B9" s="547"/>
      <c r="C9" s="551"/>
      <c r="D9" s="415">
        <v>46239</v>
      </c>
      <c r="E9" s="402" t="s">
        <v>59</v>
      </c>
      <c r="F9" s="451">
        <v>116.2</v>
      </c>
      <c r="G9" s="582"/>
      <c r="H9" s="578"/>
      <c r="I9" s="465">
        <f t="shared" si="0"/>
        <v>0.91785150078988953</v>
      </c>
      <c r="J9" s="556"/>
      <c r="K9" s="573"/>
      <c r="L9" s="94">
        <f>'日別報廢率總表 '!C8/'日別報廢率總表 '!B8</f>
        <v>3.9454187350370833E-3</v>
      </c>
      <c r="M9" s="559"/>
      <c r="N9" s="580"/>
      <c r="O9" s="480">
        <f>'日別報廢率總表 '!E8/'日別報廢率總表 '!B8</f>
        <v>5.3887510980879559E-3</v>
      </c>
      <c r="P9" s="559"/>
      <c r="Q9" s="548"/>
      <c r="R9" s="465">
        <v>0.28599999999999998</v>
      </c>
      <c r="S9" s="556"/>
      <c r="T9" s="548"/>
      <c r="U9" s="465">
        <v>0.85</v>
      </c>
      <c r="V9" s="556"/>
      <c r="W9" s="548"/>
    </row>
    <row r="10" spans="2:23" ht="14.45" customHeight="1">
      <c r="B10" s="547"/>
      <c r="C10" s="551"/>
      <c r="D10" s="415">
        <v>46240</v>
      </c>
      <c r="E10" s="400" t="s">
        <v>60</v>
      </c>
      <c r="F10" s="451">
        <v>113.4</v>
      </c>
      <c r="G10" s="582"/>
      <c r="H10" s="578"/>
      <c r="I10" s="465">
        <f t="shared" si="0"/>
        <v>0.89573459715639814</v>
      </c>
      <c r="J10" s="556"/>
      <c r="K10" s="573"/>
      <c r="L10" s="94">
        <f>'日別報廢率總表 '!C9/'日別報廢率總表 '!B9</f>
        <v>6.2224003820502433E-3</v>
      </c>
      <c r="M10" s="559"/>
      <c r="N10" s="580"/>
      <c r="O10" s="480">
        <f>'日別報廢率總表 '!E9/'日別報廢率總表 '!B9</f>
        <v>1.1409878300499044E-2</v>
      </c>
      <c r="P10" s="559"/>
      <c r="Q10" s="548"/>
      <c r="R10" s="465">
        <v>0.28599999999999998</v>
      </c>
      <c r="S10" s="556"/>
      <c r="T10" s="548"/>
      <c r="U10" s="465">
        <v>0.85</v>
      </c>
      <c r="V10" s="556"/>
      <c r="W10" s="548"/>
    </row>
    <row r="11" spans="2:23" ht="14.45" customHeight="1">
      <c r="B11" s="547"/>
      <c r="C11" s="551"/>
      <c r="D11" s="415">
        <v>46241</v>
      </c>
      <c r="E11" s="400" t="s">
        <v>61</v>
      </c>
      <c r="F11" s="451">
        <v>111.8</v>
      </c>
      <c r="G11" s="582"/>
      <c r="H11" s="578"/>
      <c r="I11" s="465">
        <f t="shared" si="0"/>
        <v>0.88309636650868883</v>
      </c>
      <c r="J11" s="556"/>
      <c r="K11" s="573"/>
      <c r="L11" s="94">
        <f>'日別報廢率總表 '!C10/'日別報廢率總表 '!B10</f>
        <v>4.6409957019591672E-3</v>
      </c>
      <c r="M11" s="559"/>
      <c r="N11" s="580"/>
      <c r="O11" s="480">
        <f>'日別報廢率總表 '!E10/'日別報廢率總表 '!B10</f>
        <v>5.2043755764333366E-3</v>
      </c>
      <c r="P11" s="559"/>
      <c r="Q11" s="548"/>
      <c r="R11" s="465">
        <v>0.28599999999999998</v>
      </c>
      <c r="S11" s="556"/>
      <c r="T11" s="548"/>
      <c r="U11" s="465">
        <v>0.88</v>
      </c>
      <c r="V11" s="556"/>
      <c r="W11" s="548"/>
    </row>
    <row r="12" spans="2:23" ht="14.45" customHeight="1">
      <c r="B12" s="547"/>
      <c r="C12" s="551"/>
      <c r="D12" s="415">
        <v>46242</v>
      </c>
      <c r="E12" s="400" t="s">
        <v>56</v>
      </c>
      <c r="F12" s="451">
        <v>115.8</v>
      </c>
      <c r="G12" s="582"/>
      <c r="H12" s="578"/>
      <c r="I12" s="465">
        <f t="shared" si="0"/>
        <v>0.91469194312796209</v>
      </c>
      <c r="J12" s="556"/>
      <c r="K12" s="573"/>
      <c r="L12" s="94">
        <f>'日別報廢率總表 '!C11/'日別報廢率總表 '!B11</f>
        <v>4.0597185725273349E-3</v>
      </c>
      <c r="M12" s="559"/>
      <c r="N12" s="580"/>
      <c r="O12" s="480">
        <f>'日別報廢率總表 '!E11/'日別報廢率總表 '!B11</f>
        <v>4.2259318391043204E-3</v>
      </c>
      <c r="P12" s="559"/>
      <c r="Q12" s="548"/>
      <c r="R12" s="465">
        <v>0.28599999999999998</v>
      </c>
      <c r="S12" s="556"/>
      <c r="T12" s="548"/>
      <c r="U12" s="465">
        <v>0.9</v>
      </c>
      <c r="V12" s="556"/>
      <c r="W12" s="548"/>
    </row>
    <row r="13" spans="2:23" ht="14.45" customHeight="1">
      <c r="B13" s="547"/>
      <c r="C13" s="551"/>
      <c r="D13" s="415">
        <v>46243</v>
      </c>
      <c r="E13" s="400" t="s">
        <v>52</v>
      </c>
      <c r="F13" s="451">
        <v>114.1</v>
      </c>
      <c r="G13" s="582"/>
      <c r="H13" s="578"/>
      <c r="I13" s="465">
        <f t="shared" si="0"/>
        <v>0.90126382306477093</v>
      </c>
      <c r="J13" s="556"/>
      <c r="K13" s="573"/>
      <c r="L13" s="94">
        <f>'日別報廢率總表 '!C12/'日別報廢率總表 '!B12</f>
        <v>2.6895234909912868E-3</v>
      </c>
      <c r="M13" s="559"/>
      <c r="N13" s="580"/>
      <c r="O13" s="480">
        <f>'日別報廢率總表 '!E12/'日別報廢率總表 '!B12</f>
        <v>4.2315068835123417E-3</v>
      </c>
      <c r="P13" s="559"/>
      <c r="Q13" s="548"/>
      <c r="R13" s="465">
        <v>0.28599999999999998</v>
      </c>
      <c r="S13" s="556"/>
      <c r="T13" s="548"/>
      <c r="U13" s="465">
        <v>0.92</v>
      </c>
      <c r="V13" s="556"/>
      <c r="W13" s="548"/>
    </row>
    <row r="14" spans="2:23" ht="14.45" customHeight="1">
      <c r="B14" s="547"/>
      <c r="C14" s="551"/>
      <c r="D14" s="417">
        <v>46244</v>
      </c>
      <c r="E14" s="418" t="s">
        <v>57</v>
      </c>
      <c r="F14" s="461">
        <v>116.2</v>
      </c>
      <c r="G14" s="583"/>
      <c r="H14" s="578"/>
      <c r="I14" s="466">
        <f t="shared" si="0"/>
        <v>0.91785150078988953</v>
      </c>
      <c r="J14" s="557"/>
      <c r="K14" s="573"/>
      <c r="L14" s="432">
        <f>'日別報廢率總表 '!C13/'日別報廢率總表 '!B13</f>
        <v>2.2380130828244128E-3</v>
      </c>
      <c r="M14" s="560"/>
      <c r="N14" s="580"/>
      <c r="O14" s="481">
        <f>'日別報廢率總表 '!E13/'日別報廢率總表 '!B13</f>
        <v>3.0505601854186599E-3</v>
      </c>
      <c r="P14" s="560"/>
      <c r="Q14" s="548"/>
      <c r="R14" s="466">
        <v>0.28599999999999998</v>
      </c>
      <c r="S14" s="557"/>
      <c r="T14" s="548"/>
      <c r="U14" s="466">
        <v>0.92</v>
      </c>
      <c r="V14" s="557"/>
      <c r="W14" s="548"/>
    </row>
    <row r="15" spans="2:23" ht="14.45" customHeight="1">
      <c r="B15" s="547">
        <v>46253</v>
      </c>
      <c r="C15" s="550"/>
      <c r="D15" s="407">
        <v>46245</v>
      </c>
      <c r="E15" s="408" t="s">
        <v>58</v>
      </c>
      <c r="F15" s="458">
        <v>113.7</v>
      </c>
      <c r="G15" s="584">
        <f>AVERAGE(F15:F21)</f>
        <v>113.62857142857142</v>
      </c>
      <c r="H15" s="570"/>
      <c r="I15" s="463">
        <f t="shared" si="0"/>
        <v>0.89810426540284372</v>
      </c>
      <c r="J15" s="564">
        <f>AVERAGE(I15:I21)</f>
        <v>0.89754005867749953</v>
      </c>
      <c r="K15" s="573"/>
      <c r="L15" s="423">
        <f>'日別報廢率總表 '!C14/'日別報廢率總表 '!B14</f>
        <v>2.2929870514574492E-3</v>
      </c>
      <c r="M15" s="587">
        <f>'日別報廢率總表 '!N14/'日別報廢率總表 '!M14</f>
        <v>2.4047489367205661E-3</v>
      </c>
      <c r="N15" s="548"/>
      <c r="O15" s="423">
        <f>'日別報廢率總表 '!E14/'日別報廢率總表 '!B14</f>
        <v>3.8707885338806233E-3</v>
      </c>
      <c r="P15" s="588">
        <f>'日別報廢率總表 '!O14/'日別報廢率總表 '!M14</f>
        <v>3.1849042321992339E-3</v>
      </c>
      <c r="Q15" s="548"/>
      <c r="R15" s="463">
        <v>0.28599999999999998</v>
      </c>
      <c r="S15" s="564">
        <f>AVERAGE(R15:R21)</f>
        <v>0.28599999999999998</v>
      </c>
      <c r="T15" s="548"/>
      <c r="U15" s="463">
        <v>0.92</v>
      </c>
      <c r="V15" s="564">
        <f>AVERAGE(U15:U21)</f>
        <v>0.92</v>
      </c>
      <c r="W15" s="548"/>
    </row>
    <row r="16" spans="2:23" ht="14.45" customHeight="1">
      <c r="B16" s="547"/>
      <c r="C16" s="550"/>
      <c r="D16" s="399">
        <v>46246</v>
      </c>
      <c r="E16" s="402" t="s">
        <v>59</v>
      </c>
      <c r="F16" s="451">
        <v>115.2</v>
      </c>
      <c r="G16" s="585"/>
      <c r="H16" s="570"/>
      <c r="I16" s="452">
        <f t="shared" si="0"/>
        <v>0.90995260663507116</v>
      </c>
      <c r="J16" s="562"/>
      <c r="K16" s="573"/>
      <c r="L16" s="94">
        <f>'日別報廢率總表 '!C15/'日別報廢率總表 '!B15</f>
        <v>2.4455274524514976E-3</v>
      </c>
      <c r="M16" s="576"/>
      <c r="N16" s="548"/>
      <c r="O16" s="94">
        <f>'日別報廢率總表 '!E15/'日別報廢率總表 '!B15</f>
        <v>2.7042683463020696E-3</v>
      </c>
      <c r="P16" s="520"/>
      <c r="Q16" s="548"/>
      <c r="R16" s="452">
        <v>0.28599999999999998</v>
      </c>
      <c r="S16" s="562"/>
      <c r="T16" s="548"/>
      <c r="U16" s="452">
        <v>0.92</v>
      </c>
      <c r="V16" s="562"/>
      <c r="W16" s="548"/>
    </row>
    <row r="17" spans="2:23" ht="14.45" customHeight="1">
      <c r="B17" s="547"/>
      <c r="C17" s="550"/>
      <c r="D17" s="399">
        <v>46247</v>
      </c>
      <c r="E17" s="400" t="s">
        <v>60</v>
      </c>
      <c r="F17" s="451">
        <v>112.8</v>
      </c>
      <c r="G17" s="585"/>
      <c r="H17" s="570"/>
      <c r="I17" s="452">
        <f t="shared" si="0"/>
        <v>0.89099526066350709</v>
      </c>
      <c r="J17" s="562"/>
      <c r="K17" s="573"/>
      <c r="L17" s="94">
        <f>'日別報廢率總表 '!C16/'日別報廢率總表 '!B16</f>
        <v>3.5963397480566484E-3</v>
      </c>
      <c r="M17" s="576"/>
      <c r="N17" s="548"/>
      <c r="O17" s="94">
        <f>'日別報廢率總表 '!E16/'日別報廢率總表 '!B16</f>
        <v>3.9967379262676904E-3</v>
      </c>
      <c r="P17" s="520"/>
      <c r="Q17" s="548"/>
      <c r="R17" s="452">
        <v>0.28599999999999998</v>
      </c>
      <c r="S17" s="562"/>
      <c r="T17" s="548"/>
      <c r="U17" s="452">
        <v>0.92</v>
      </c>
      <c r="V17" s="562"/>
      <c r="W17" s="548"/>
    </row>
    <row r="18" spans="2:23" ht="14.45" customHeight="1">
      <c r="B18" s="547"/>
      <c r="C18" s="550"/>
      <c r="D18" s="399">
        <v>46248</v>
      </c>
      <c r="E18" s="400" t="s">
        <v>61</v>
      </c>
      <c r="F18" s="451">
        <v>110.5</v>
      </c>
      <c r="G18" s="585"/>
      <c r="H18" s="570"/>
      <c r="I18" s="452">
        <f t="shared" si="0"/>
        <v>0.872827804107425</v>
      </c>
      <c r="J18" s="562"/>
      <c r="K18" s="573"/>
      <c r="L18" s="94">
        <f>'日別報廢率總表 '!C17/'日別報廢率總表 '!B17</f>
        <v>2.7878767472798473E-3</v>
      </c>
      <c r="M18" s="576"/>
      <c r="N18" s="548"/>
      <c r="O18" s="94">
        <f>'日別報廢率總表 '!E17/'日別報廢率總表 '!B17</f>
        <v>4.8857570361325216E-3</v>
      </c>
      <c r="P18" s="520"/>
      <c r="Q18" s="548"/>
      <c r="R18" s="452">
        <v>0.28599999999999998</v>
      </c>
      <c r="S18" s="562"/>
      <c r="T18" s="548"/>
      <c r="U18" s="452">
        <v>0.92</v>
      </c>
      <c r="V18" s="562"/>
      <c r="W18" s="548"/>
    </row>
    <row r="19" spans="2:23" ht="14.45" customHeight="1">
      <c r="B19" s="547"/>
      <c r="C19" s="550"/>
      <c r="D19" s="399">
        <v>46249</v>
      </c>
      <c r="E19" s="400" t="s">
        <v>56</v>
      </c>
      <c r="F19" s="451">
        <v>112.6</v>
      </c>
      <c r="G19" s="585"/>
      <c r="H19" s="570"/>
      <c r="I19" s="452">
        <f t="shared" si="0"/>
        <v>0.88941548183254349</v>
      </c>
      <c r="J19" s="562"/>
      <c r="K19" s="573"/>
      <c r="L19" s="94">
        <f>'日別報廢率總表 '!C18/'日別報廢率總表 '!B18</f>
        <v>1.4516317617761288E-3</v>
      </c>
      <c r="M19" s="576"/>
      <c r="N19" s="548"/>
      <c r="O19" s="94">
        <f>'日別報廢率總表 '!E18/'日別報廢率總表 '!B18</f>
        <v>2.2652008126355771E-3</v>
      </c>
      <c r="P19" s="520"/>
      <c r="Q19" s="548"/>
      <c r="R19" s="452">
        <v>0.28599999999999998</v>
      </c>
      <c r="S19" s="562"/>
      <c r="T19" s="548"/>
      <c r="U19" s="452">
        <v>0.92</v>
      </c>
      <c r="V19" s="562"/>
      <c r="W19" s="548"/>
    </row>
    <row r="20" spans="2:23" ht="14.45" customHeight="1">
      <c r="B20" s="547"/>
      <c r="C20" s="550"/>
      <c r="D20" s="399">
        <v>46250</v>
      </c>
      <c r="E20" s="400" t="s">
        <v>52</v>
      </c>
      <c r="F20" s="451">
        <v>111</v>
      </c>
      <c r="G20" s="585"/>
      <c r="H20" s="570"/>
      <c r="I20" s="452">
        <f t="shared" si="0"/>
        <v>0.87677725118483418</v>
      </c>
      <c r="J20" s="562"/>
      <c r="K20" s="573"/>
      <c r="L20" s="94">
        <f>'日別報廢率總表 '!C19/'日別報廢率總表 '!B19</f>
        <v>2.3108628969725985E-3</v>
      </c>
      <c r="M20" s="576"/>
      <c r="N20" s="548"/>
      <c r="O20" s="94">
        <f>'日別報廢率總表 '!E19/'日別報廢率總表 '!B19</f>
        <v>1.5088538525264645E-3</v>
      </c>
      <c r="P20" s="520"/>
      <c r="Q20" s="548"/>
      <c r="R20" s="452">
        <v>0.28599999999999998</v>
      </c>
      <c r="S20" s="562"/>
      <c r="T20" s="548"/>
      <c r="U20" s="452">
        <v>0.92</v>
      </c>
      <c r="V20" s="562"/>
      <c r="W20" s="548"/>
    </row>
    <row r="21" spans="2:23" ht="14.45" customHeight="1">
      <c r="B21" s="547"/>
      <c r="C21" s="550"/>
      <c r="D21" s="404">
        <v>46251</v>
      </c>
      <c r="E21" s="405" t="s">
        <v>57</v>
      </c>
      <c r="F21" s="457">
        <v>119.6</v>
      </c>
      <c r="G21" s="586"/>
      <c r="H21" s="570"/>
      <c r="I21" s="452">
        <f t="shared" si="0"/>
        <v>0.94470774091627174</v>
      </c>
      <c r="J21" s="563"/>
      <c r="K21" s="573"/>
      <c r="L21" s="422">
        <f>'日別報廢率總表 '!C20/'日別報廢率總表 '!B20</f>
        <v>2.0046955619898972E-3</v>
      </c>
      <c r="M21" s="577"/>
      <c r="N21" s="548"/>
      <c r="O21" s="422">
        <f>'日別報廢率總表 '!E20/'日別報廢率總表 '!B20</f>
        <v>3.473105765166384E-3</v>
      </c>
      <c r="P21" s="589"/>
      <c r="Q21" s="548"/>
      <c r="R21" s="452">
        <v>0.28599999999999998</v>
      </c>
      <c r="S21" s="563"/>
      <c r="T21" s="548"/>
      <c r="U21" s="452">
        <v>0.92</v>
      </c>
      <c r="V21" s="563"/>
      <c r="W21" s="548"/>
    </row>
    <row r="22" spans="2:23" ht="14.45" customHeight="1">
      <c r="B22" s="547">
        <v>46260</v>
      </c>
      <c r="C22" s="551"/>
      <c r="D22" s="411">
        <v>46252</v>
      </c>
      <c r="E22" s="412" t="s">
        <v>58</v>
      </c>
      <c r="F22" s="460">
        <v>115.4</v>
      </c>
      <c r="G22" s="581">
        <f>AVERAGE(F22:F28)</f>
        <v>114.21428571428571</v>
      </c>
      <c r="H22" s="579"/>
      <c r="I22" s="464">
        <f t="shared" si="0"/>
        <v>0.91153238546603488</v>
      </c>
      <c r="J22" s="555">
        <f>AVERAGE(I22:I28)</f>
        <v>0.90216655382532174</v>
      </c>
      <c r="K22" s="573"/>
      <c r="L22" s="426">
        <f>'日別報廢率總表 '!C21/'日別報廢率總表 '!B21</f>
        <v>1.8189986325091584E-3</v>
      </c>
      <c r="M22" s="558">
        <f>'日別報廢率總表 '!N21/'日別報廢率總表 '!M21</f>
        <v>2.6055313897222466E-3</v>
      </c>
      <c r="N22" s="580"/>
      <c r="O22" s="479">
        <v>2.1968366128932966E-3</v>
      </c>
      <c r="P22" s="558">
        <f>'日別報廢率總表 '!O21/'日別報廢率總表 '!M21</f>
        <v>3.2068890864437273E-3</v>
      </c>
      <c r="Q22" s="548"/>
      <c r="R22" s="464">
        <v>0.28599999999999998</v>
      </c>
      <c r="S22" s="555">
        <f>AVERAGE(R22:R28)</f>
        <v>0.28599999999999998</v>
      </c>
      <c r="T22" s="548"/>
      <c r="U22" s="464">
        <v>0.92</v>
      </c>
      <c r="V22" s="555">
        <f>AVERAGE(U22:U28)</f>
        <v>0.93714285714285717</v>
      </c>
      <c r="W22" s="548"/>
    </row>
    <row r="23" spans="2:23" ht="14.45" customHeight="1">
      <c r="B23" s="547"/>
      <c r="C23" s="551"/>
      <c r="D23" s="415">
        <v>46253</v>
      </c>
      <c r="E23" s="402" t="s">
        <v>59</v>
      </c>
      <c r="F23" s="451">
        <v>113.1</v>
      </c>
      <c r="G23" s="582"/>
      <c r="H23" s="579"/>
      <c r="I23" s="465">
        <f t="shared" si="0"/>
        <v>0.89336492890995256</v>
      </c>
      <c r="J23" s="556"/>
      <c r="K23" s="573"/>
      <c r="L23" s="94">
        <f>'日別報廢率總表 '!C22/'日別報廢率總表 '!B22</f>
        <v>3.9910895997143092E-3</v>
      </c>
      <c r="M23" s="559"/>
      <c r="N23" s="580"/>
      <c r="O23" s="480">
        <v>4.5338152527417165E-3</v>
      </c>
      <c r="P23" s="559"/>
      <c r="Q23" s="548"/>
      <c r="R23" s="465">
        <v>0.28599999999999998</v>
      </c>
      <c r="S23" s="556"/>
      <c r="T23" s="548"/>
      <c r="U23" s="465">
        <v>0.92</v>
      </c>
      <c r="V23" s="556"/>
      <c r="W23" s="548"/>
    </row>
    <row r="24" spans="2:23" ht="14.45" customHeight="1">
      <c r="B24" s="547"/>
      <c r="C24" s="551"/>
      <c r="D24" s="415">
        <v>46254</v>
      </c>
      <c r="E24" s="400" t="s">
        <v>60</v>
      </c>
      <c r="F24" s="451">
        <v>111.6</v>
      </c>
      <c r="G24" s="582"/>
      <c r="H24" s="579"/>
      <c r="I24" s="465">
        <f t="shared" si="0"/>
        <v>0.88151658767772512</v>
      </c>
      <c r="J24" s="556"/>
      <c r="K24" s="573"/>
      <c r="L24" s="94">
        <f>'日別報廢率總表 '!C23/'日別報廢率總表 '!B23</f>
        <v>3.6775503009269135E-3</v>
      </c>
      <c r="M24" s="559"/>
      <c r="N24" s="580"/>
      <c r="O24" s="480">
        <v>4.7135269054164068E-3</v>
      </c>
      <c r="P24" s="559"/>
      <c r="Q24" s="548"/>
      <c r="R24" s="465">
        <v>0.28599999999999998</v>
      </c>
      <c r="S24" s="556"/>
      <c r="T24" s="548"/>
      <c r="U24" s="465">
        <v>0.92</v>
      </c>
      <c r="V24" s="556"/>
      <c r="W24" s="548"/>
    </row>
    <row r="25" spans="2:23" ht="14.45" customHeight="1">
      <c r="B25" s="547"/>
      <c r="C25" s="551"/>
      <c r="D25" s="415">
        <v>46255</v>
      </c>
      <c r="E25" s="400" t="s">
        <v>61</v>
      </c>
      <c r="F25" s="451">
        <v>113.3</v>
      </c>
      <c r="G25" s="582"/>
      <c r="H25" s="579"/>
      <c r="I25" s="465">
        <f t="shared" si="0"/>
        <v>0.89494470774091628</v>
      </c>
      <c r="J25" s="556"/>
      <c r="K25" s="573"/>
      <c r="L25" s="94">
        <f>'日別報廢率總表 '!C24/'日別報廢率總表 '!B24</f>
        <v>2.8317136192853279E-3</v>
      </c>
      <c r="M25" s="559"/>
      <c r="N25" s="580"/>
      <c r="O25" s="480">
        <v>3.4401698984057646E-3</v>
      </c>
      <c r="P25" s="559"/>
      <c r="Q25" s="548"/>
      <c r="R25" s="465">
        <v>0.28599999999999998</v>
      </c>
      <c r="S25" s="556"/>
      <c r="T25" s="548"/>
      <c r="U25" s="465">
        <v>0.95</v>
      </c>
      <c r="V25" s="556"/>
      <c r="W25" s="548"/>
    </row>
    <row r="26" spans="2:23" ht="14.45" customHeight="1">
      <c r="B26" s="547"/>
      <c r="C26" s="551"/>
      <c r="D26" s="415">
        <v>46256</v>
      </c>
      <c r="E26" s="400" t="s">
        <v>56</v>
      </c>
      <c r="F26" s="451">
        <v>113.6</v>
      </c>
      <c r="G26" s="582"/>
      <c r="H26" s="579"/>
      <c r="I26" s="465">
        <f t="shared" si="0"/>
        <v>0.89731437598736175</v>
      </c>
      <c r="J26" s="556"/>
      <c r="K26" s="573"/>
      <c r="L26" s="94">
        <f>'日別報廢率總表 '!C25/'日別報廢率總表 '!B25</f>
        <v>1.2580161868921906E-3</v>
      </c>
      <c r="M26" s="559"/>
      <c r="N26" s="580"/>
      <c r="O26" s="480">
        <v>1.8664540773530589E-3</v>
      </c>
      <c r="P26" s="559"/>
      <c r="Q26" s="548"/>
      <c r="R26" s="465">
        <v>0.28599999999999998</v>
      </c>
      <c r="S26" s="556"/>
      <c r="T26" s="548"/>
      <c r="U26" s="465">
        <v>0.95</v>
      </c>
      <c r="V26" s="556"/>
      <c r="W26" s="548"/>
    </row>
    <row r="27" spans="2:23" ht="14.45" customHeight="1">
      <c r="B27" s="547"/>
      <c r="C27" s="551"/>
      <c r="D27" s="415">
        <v>46257</v>
      </c>
      <c r="E27" s="400" t="s">
        <v>52</v>
      </c>
      <c r="F27" s="451">
        <v>115.4</v>
      </c>
      <c r="G27" s="582"/>
      <c r="H27" s="579"/>
      <c r="I27" s="465">
        <f t="shared" si="0"/>
        <v>0.91153238546603488</v>
      </c>
      <c r="J27" s="556"/>
      <c r="K27" s="573"/>
      <c r="L27" s="94">
        <f>'日別報廢率總表 '!C26/'日別報廢率總表 '!B26</f>
        <v>2.2477335604453902E-3</v>
      </c>
      <c r="M27" s="559"/>
      <c r="N27" s="580"/>
      <c r="O27" s="480">
        <v>2.9283277582536917E-3</v>
      </c>
      <c r="P27" s="559"/>
      <c r="Q27" s="548"/>
      <c r="R27" s="465">
        <v>0.28599999999999998</v>
      </c>
      <c r="S27" s="556"/>
      <c r="T27" s="548"/>
      <c r="U27" s="465">
        <v>0.95</v>
      </c>
      <c r="V27" s="556"/>
      <c r="W27" s="548"/>
    </row>
    <row r="28" spans="2:23" ht="14.45" customHeight="1">
      <c r="B28" s="547"/>
      <c r="C28" s="551"/>
      <c r="D28" s="417">
        <v>46258</v>
      </c>
      <c r="E28" s="418" t="s">
        <v>57</v>
      </c>
      <c r="F28" s="461">
        <v>117.1</v>
      </c>
      <c r="G28" s="583"/>
      <c r="H28" s="579"/>
      <c r="I28" s="466">
        <f t="shared" si="0"/>
        <v>0.92496050552922593</v>
      </c>
      <c r="J28" s="557"/>
      <c r="K28" s="573"/>
      <c r="L28" s="432">
        <f>'日別報廢率總表 '!C27/'日別報廢率總表 '!B27</f>
        <v>2.4726601818328151E-3</v>
      </c>
      <c r="M28" s="560"/>
      <c r="N28" s="580"/>
      <c r="O28" s="481">
        <v>2.8921043649869768E-3</v>
      </c>
      <c r="P28" s="560"/>
      <c r="Q28" s="548"/>
      <c r="R28" s="466">
        <v>0.28599999999999998</v>
      </c>
      <c r="S28" s="557"/>
      <c r="T28" s="548"/>
      <c r="U28" s="466">
        <v>0.95</v>
      </c>
      <c r="V28" s="557"/>
      <c r="W28" s="548"/>
    </row>
    <row r="29" spans="2:23" ht="14.45" customHeight="1">
      <c r="B29" s="547">
        <v>46267</v>
      </c>
      <c r="C29" s="550"/>
      <c r="D29" s="407">
        <v>46259</v>
      </c>
      <c r="E29" s="408" t="s">
        <v>58</v>
      </c>
      <c r="F29" s="458"/>
      <c r="G29" s="459" t="e">
        <f>AVERAGE(F29:F35)</f>
        <v>#DIV/0!</v>
      </c>
      <c r="H29" s="570"/>
      <c r="I29" s="452">
        <f t="shared" si="0"/>
        <v>0</v>
      </c>
      <c r="J29" s="456">
        <f>AVERAGE(I29:I35)</f>
        <v>0</v>
      </c>
      <c r="K29" s="573"/>
      <c r="L29" s="423" t="e">
        <f>'日別報廢率總表 '!C28/'日別報廢率總表 '!B28</f>
        <v>#DIV/0!</v>
      </c>
      <c r="M29" s="467" t="e">
        <f>'日別報廢率總表 '!N28/'日別報廢率總表 '!M28</f>
        <v>#DIV/0!</v>
      </c>
      <c r="N29" s="548"/>
      <c r="O29" s="423" t="e">
        <f>'日別報廢率總表 '!E28/'日別報廢率總表 '!B28</f>
        <v>#DIV/0!</v>
      </c>
      <c r="P29" s="478" t="e">
        <f>'日別報廢率總表 '!O28/'日別報廢率總表 '!M28</f>
        <v>#DIV/0!</v>
      </c>
      <c r="Q29" s="548"/>
      <c r="R29" s="452"/>
      <c r="S29" s="456" t="e">
        <f>AVERAGE(R29:R35)</f>
        <v>#DIV/0!</v>
      </c>
      <c r="T29" s="548"/>
      <c r="U29" s="452"/>
      <c r="V29" s="456" t="e">
        <f>AVERAGE(U29:U35)</f>
        <v>#DIV/0!</v>
      </c>
      <c r="W29" s="548"/>
    </row>
    <row r="30" spans="2:23" ht="14.45" customHeight="1">
      <c r="B30" s="547"/>
      <c r="C30" s="550"/>
      <c r="D30" s="399">
        <v>46260</v>
      </c>
      <c r="E30" s="402" t="s">
        <v>59</v>
      </c>
      <c r="F30" s="451"/>
      <c r="G30" s="454"/>
      <c r="H30" s="570"/>
      <c r="I30" s="452">
        <f t="shared" si="0"/>
        <v>0</v>
      </c>
      <c r="J30" s="456"/>
      <c r="K30" s="573"/>
      <c r="L30" s="94" t="e">
        <f>'日別報廢率總表 '!C29/'日別報廢率總表 '!B29</f>
        <v>#DIV/0!</v>
      </c>
      <c r="M30" s="467"/>
      <c r="N30" s="548"/>
      <c r="O30" s="94" t="e">
        <f>'日別報廢率總表 '!E29/'日別報廢率總表 '!B29</f>
        <v>#DIV/0!</v>
      </c>
      <c r="P30" s="467"/>
      <c r="Q30" s="548"/>
      <c r="R30" s="452"/>
      <c r="S30" s="456"/>
      <c r="T30" s="548"/>
      <c r="U30" s="452"/>
      <c r="V30" s="456"/>
      <c r="W30" s="548"/>
    </row>
    <row r="31" spans="2:23" ht="14.45" customHeight="1">
      <c r="B31" s="547"/>
      <c r="C31" s="550"/>
      <c r="D31" s="399">
        <v>46261</v>
      </c>
      <c r="E31" s="400" t="s">
        <v>60</v>
      </c>
      <c r="F31" s="451"/>
      <c r="G31" s="454"/>
      <c r="H31" s="570"/>
      <c r="I31" s="452">
        <f t="shared" si="0"/>
        <v>0</v>
      </c>
      <c r="J31" s="456"/>
      <c r="K31" s="573"/>
      <c r="L31" s="94" t="e">
        <f>'日別報廢率總表 '!C30/'日別報廢率總表 '!B30</f>
        <v>#DIV/0!</v>
      </c>
      <c r="M31" s="467"/>
      <c r="N31" s="548"/>
      <c r="O31" s="94" t="e">
        <f>'日別報廢率總表 '!E30/'日別報廢率總表 '!B30</f>
        <v>#DIV/0!</v>
      </c>
      <c r="P31" s="467"/>
      <c r="Q31" s="548"/>
      <c r="R31" s="452"/>
      <c r="S31" s="456"/>
      <c r="T31" s="548"/>
      <c r="U31" s="452"/>
      <c r="V31" s="456"/>
      <c r="W31" s="548"/>
    </row>
    <row r="32" spans="2:23" ht="14.45" customHeight="1">
      <c r="B32" s="547"/>
      <c r="C32" s="550"/>
      <c r="D32" s="399">
        <v>46262</v>
      </c>
      <c r="E32" s="400" t="s">
        <v>61</v>
      </c>
      <c r="F32" s="451"/>
      <c r="G32" s="454"/>
      <c r="H32" s="570"/>
      <c r="I32" s="452">
        <f t="shared" si="0"/>
        <v>0</v>
      </c>
      <c r="J32" s="456"/>
      <c r="K32" s="573"/>
      <c r="L32" s="94" t="e">
        <f>'日別報廢率總表 '!C31/'日別報廢率總表 '!B31</f>
        <v>#DIV/0!</v>
      </c>
      <c r="M32" s="467"/>
      <c r="N32" s="548"/>
      <c r="O32" s="94" t="e">
        <f>'日別報廢率總表 '!E31/'日別報廢率總表 '!B31</f>
        <v>#DIV/0!</v>
      </c>
      <c r="P32" s="467"/>
      <c r="Q32" s="548"/>
      <c r="R32" s="452"/>
      <c r="S32" s="456"/>
      <c r="T32" s="548"/>
      <c r="U32" s="452"/>
      <c r="V32" s="456"/>
      <c r="W32" s="548"/>
    </row>
    <row r="33" spans="2:23" ht="14.45" customHeight="1">
      <c r="B33" s="547"/>
      <c r="C33" s="550"/>
      <c r="D33" s="399">
        <v>46263</v>
      </c>
      <c r="E33" s="400" t="s">
        <v>56</v>
      </c>
      <c r="F33" s="451"/>
      <c r="G33" s="454"/>
      <c r="H33" s="570"/>
      <c r="I33" s="452">
        <f t="shared" si="0"/>
        <v>0</v>
      </c>
      <c r="J33" s="456"/>
      <c r="K33" s="573"/>
      <c r="L33" s="94" t="e">
        <f>'日別報廢率總表 '!C32/'日別報廢率總表 '!B32</f>
        <v>#DIV/0!</v>
      </c>
      <c r="M33" s="467"/>
      <c r="N33" s="548"/>
      <c r="O33" s="94" t="e">
        <f>'日別報廢率總表 '!E32/'日別報廢率總表 '!B32</f>
        <v>#DIV/0!</v>
      </c>
      <c r="P33" s="467"/>
      <c r="Q33" s="548"/>
      <c r="R33" s="452"/>
      <c r="S33" s="456"/>
      <c r="T33" s="548"/>
      <c r="U33" s="452"/>
      <c r="V33" s="456"/>
      <c r="W33" s="548"/>
    </row>
    <row r="34" spans="2:23" ht="14.45" customHeight="1">
      <c r="B34" s="547"/>
      <c r="C34" s="550"/>
      <c r="D34" s="399">
        <v>46264</v>
      </c>
      <c r="E34" s="400" t="s">
        <v>52</v>
      </c>
      <c r="F34" s="455"/>
      <c r="G34" s="454"/>
      <c r="H34" s="570"/>
      <c r="I34" s="452">
        <f t="shared" si="0"/>
        <v>0</v>
      </c>
      <c r="J34" s="456"/>
      <c r="K34" s="573"/>
      <c r="L34" s="94" t="e">
        <f>'日別報廢率總表 '!C33/'日別報廢率總表 '!B33</f>
        <v>#DIV/0!</v>
      </c>
      <c r="M34" s="467"/>
      <c r="N34" s="548"/>
      <c r="O34" s="94" t="e">
        <f>'日別報廢率總表 '!E33/'日別報廢率總表 '!B33</f>
        <v>#DIV/0!</v>
      </c>
      <c r="P34" s="467"/>
      <c r="Q34" s="548"/>
      <c r="R34" s="452"/>
      <c r="S34" s="456"/>
      <c r="T34" s="548"/>
      <c r="U34" s="452"/>
      <c r="V34" s="456"/>
      <c r="W34" s="548"/>
    </row>
    <row r="35" spans="2:23" ht="14.25">
      <c r="B35" s="547"/>
      <c r="C35" s="550"/>
      <c r="D35" s="399">
        <v>46265</v>
      </c>
      <c r="E35" s="400" t="s">
        <v>57</v>
      </c>
      <c r="F35" s="451"/>
      <c r="G35" s="454"/>
      <c r="H35" s="570"/>
      <c r="I35" s="452">
        <f t="shared" si="0"/>
        <v>0</v>
      </c>
      <c r="J35" s="456"/>
      <c r="K35" s="574"/>
      <c r="L35" s="94" t="e">
        <f>'日別報廢率總表 '!C34/'日別報廢率總表 '!B34</f>
        <v>#DIV/0!</v>
      </c>
      <c r="M35" s="467"/>
      <c r="N35" s="548"/>
      <c r="O35" s="94" t="e">
        <f>'日別報廢率總表 '!E34/'日別報廢率總表 '!B34</f>
        <v>#DIV/0!</v>
      </c>
      <c r="P35" s="467"/>
      <c r="Q35" s="548"/>
      <c r="R35" s="452"/>
      <c r="S35" s="456"/>
      <c r="T35" s="548"/>
      <c r="U35" s="452"/>
      <c r="V35" s="456"/>
      <c r="W35" s="548"/>
    </row>
    <row r="36" spans="2:23" ht="14.25">
      <c r="B36" s="297"/>
      <c r="C36" s="380"/>
      <c r="D36" s="293"/>
      <c r="E36" s="294"/>
      <c r="F36" s="88"/>
      <c r="G36" s="326"/>
      <c r="H36" s="88"/>
      <c r="I36" s="338"/>
      <c r="J36" s="209"/>
      <c r="K36" s="84"/>
      <c r="L36" s="87"/>
      <c r="M36" s="292"/>
      <c r="N36" s="87"/>
      <c r="O36" s="87"/>
      <c r="P36" s="292"/>
      <c r="Q36" s="87"/>
      <c r="R36" s="159"/>
      <c r="S36" s="292"/>
      <c r="T36" s="87"/>
      <c r="U36" s="159"/>
      <c r="V36" s="292"/>
      <c r="W36" s="87"/>
    </row>
    <row r="37" spans="2:23" ht="14.25">
      <c r="B37" s="297"/>
      <c r="D37" s="83">
        <v>46235</v>
      </c>
      <c r="E37" s="294" t="s">
        <v>56</v>
      </c>
      <c r="F37" s="89">
        <v>112.8</v>
      </c>
      <c r="G37" s="326"/>
      <c r="I37" s="338">
        <f>F37/$C$1</f>
        <v>0.89099526066350709</v>
      </c>
      <c r="J37" s="209"/>
      <c r="L37" s="87">
        <f>'日別報廢率總表 '!C39/'日別報廢率總表 '!B39</f>
        <v>2.4457272957258565E-3</v>
      </c>
      <c r="M37" s="292"/>
      <c r="O37" s="72">
        <v>4.8455830460984598E-3</v>
      </c>
      <c r="P37" s="292"/>
      <c r="R37" s="159">
        <v>0.28570000000000001</v>
      </c>
      <c r="S37" s="209"/>
      <c r="U37" s="159">
        <v>0.85</v>
      </c>
      <c r="V37" s="209"/>
    </row>
    <row r="38" spans="2:23" ht="14.25">
      <c r="B38" s="297"/>
      <c r="D38" s="83">
        <v>46236</v>
      </c>
      <c r="E38" s="294" t="s">
        <v>52</v>
      </c>
      <c r="F38" s="88">
        <v>115.2</v>
      </c>
      <c r="G38" s="326"/>
      <c r="I38" s="338">
        <f>F38/$C$1</f>
        <v>0.90995260663507116</v>
      </c>
      <c r="J38" s="209"/>
      <c r="L38" s="87">
        <f>'日別報廢率總表 '!C40/'日別報廢率總表 '!B40</f>
        <v>3.6772843336609668E-3</v>
      </c>
      <c r="M38" s="292"/>
      <c r="O38" s="87">
        <v>5.6682989773060811E-3</v>
      </c>
      <c r="P38" s="292"/>
      <c r="R38" s="159">
        <v>0.28570000000000001</v>
      </c>
      <c r="S38" s="209"/>
      <c r="U38" s="159">
        <v>0.85</v>
      </c>
      <c r="V38" s="209"/>
    </row>
    <row r="39" spans="2:23" ht="14.25">
      <c r="B39" s="297"/>
      <c r="D39" s="83">
        <v>46237</v>
      </c>
      <c r="E39" s="294" t="s">
        <v>57</v>
      </c>
      <c r="F39" s="89">
        <v>114.1</v>
      </c>
      <c r="G39" s="326"/>
      <c r="I39" s="338">
        <f>F39/$C$1</f>
        <v>0.90126382306477093</v>
      </c>
      <c r="J39" s="209"/>
      <c r="L39" s="87">
        <f>'日別報廢率總表 '!C41/'日別報廢率總表 '!B41</f>
        <v>3.9102289592909704E-3</v>
      </c>
      <c r="M39" s="292"/>
      <c r="O39" s="72">
        <v>6.3294354149711187E-3</v>
      </c>
      <c r="P39" s="292"/>
      <c r="R39" s="159">
        <v>0.28570000000000001</v>
      </c>
      <c r="S39" s="209"/>
      <c r="U39" s="159">
        <v>0.85</v>
      </c>
      <c r="V39" s="209"/>
    </row>
    <row r="40" spans="2:23">
      <c r="B40" s="297"/>
      <c r="D40" s="293"/>
      <c r="E40" s="293"/>
      <c r="G40" s="326"/>
      <c r="I40" s="87"/>
      <c r="J40" s="209"/>
      <c r="M40" s="292"/>
      <c r="P40" s="292"/>
      <c r="R40" s="159"/>
      <c r="S40" s="209"/>
      <c r="U40" s="159"/>
      <c r="V40" s="209"/>
    </row>
    <row r="45" spans="2:23">
      <c r="H45" s="338">
        <v>0.91568163908589439</v>
      </c>
    </row>
    <row r="46" spans="2:23">
      <c r="H46" s="338">
        <v>0.90622537431048067</v>
      </c>
    </row>
    <row r="47" spans="2:23">
      <c r="H47" s="338">
        <v>0.88967691095350665</v>
      </c>
    </row>
    <row r="48" spans="2:23">
      <c r="H48" s="338">
        <v>0.8699763593380615</v>
      </c>
    </row>
    <row r="49" spans="8:8">
      <c r="H49" s="338">
        <v>0.91883372734436553</v>
      </c>
    </row>
    <row r="50" spans="8:8">
      <c r="H50" s="338">
        <v>0.88337273443656417</v>
      </c>
    </row>
    <row r="51" spans="8:8">
      <c r="H51" s="338">
        <v>0.92277383766745458</v>
      </c>
    </row>
  </sheetData>
  <mergeCells count="45">
    <mergeCell ref="G5:G7"/>
    <mergeCell ref="K5:K35"/>
    <mergeCell ref="J5:J7"/>
    <mergeCell ref="M5:M7"/>
    <mergeCell ref="P5:P7"/>
    <mergeCell ref="H5:H35"/>
    <mergeCell ref="N5:N35"/>
    <mergeCell ref="G8:G14"/>
    <mergeCell ref="J8:J14"/>
    <mergeCell ref="M8:M14"/>
    <mergeCell ref="P8:P14"/>
    <mergeCell ref="G15:G21"/>
    <mergeCell ref="J15:J21"/>
    <mergeCell ref="M15:M21"/>
    <mergeCell ref="P15:P21"/>
    <mergeCell ref="G22:G28"/>
    <mergeCell ref="C5:C35"/>
    <mergeCell ref="B8:B14"/>
    <mergeCell ref="B15:B21"/>
    <mergeCell ref="B22:B28"/>
    <mergeCell ref="B29:B35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V8:V14"/>
    <mergeCell ref="W5:W35"/>
    <mergeCell ref="Q5:Q35"/>
    <mergeCell ref="T5:T35"/>
    <mergeCell ref="S5:S7"/>
    <mergeCell ref="V5:V7"/>
    <mergeCell ref="S8:S14"/>
    <mergeCell ref="S15:S21"/>
    <mergeCell ref="V15:V21"/>
    <mergeCell ref="J22:J28"/>
    <mergeCell ref="M22:M28"/>
    <mergeCell ref="P22:P28"/>
    <mergeCell ref="S22:S28"/>
    <mergeCell ref="V22:V28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98"/>
  <sheetViews>
    <sheetView topLeftCell="A2" zoomScale="85" zoomScaleNormal="85" workbookViewId="0">
      <selection activeCell="M24" sqref="M24:M30"/>
    </sheetView>
  </sheetViews>
  <sheetFormatPr defaultColWidth="8.85546875" defaultRowHeight="14.25"/>
  <cols>
    <col min="1" max="1" width="8.85546875" style="79" customWidth="1"/>
    <col min="2" max="2" width="13.140625" style="79" customWidth="1"/>
    <col min="3" max="3" width="8.85546875" style="96" customWidth="1"/>
    <col min="4" max="4" width="17" style="96" customWidth="1"/>
    <col min="5" max="5" width="8.5703125" style="80" customWidth="1"/>
    <col min="6" max="6" width="20.28515625" style="95" bestFit="1" customWidth="1"/>
    <col min="7" max="8" width="21.7109375" style="95" bestFit="1" customWidth="1"/>
    <col min="9" max="9" width="21.7109375" style="90" bestFit="1" customWidth="1"/>
    <col min="10" max="10" width="10.42578125" style="87" customWidth="1"/>
    <col min="11" max="11" width="10.42578125" style="90" customWidth="1"/>
    <col min="12" max="12" width="10.42578125" style="87" customWidth="1"/>
    <col min="13" max="13" width="18.28515625" style="90" bestFit="1" customWidth="1"/>
    <col min="14" max="14" width="10.42578125" style="87" customWidth="1"/>
    <col min="15" max="15" width="8.85546875" style="79" customWidth="1"/>
    <col min="16" max="16" width="18.140625" style="79" bestFit="1" customWidth="1"/>
    <col min="17" max="59" width="8.85546875" style="79" customWidth="1"/>
    <col min="60" max="16384" width="8.85546875" style="79"/>
  </cols>
  <sheetData>
    <row r="2" spans="1:16" ht="38.1" customHeight="1">
      <c r="A2" s="78"/>
      <c r="B2" s="538" t="s">
        <v>70</v>
      </c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</row>
    <row r="3" spans="1:16" ht="25.35" customHeight="1">
      <c r="B3" s="591" t="s">
        <v>43</v>
      </c>
      <c r="C3" s="593" t="s">
        <v>71</v>
      </c>
      <c r="D3" s="544" t="s">
        <v>45</v>
      </c>
      <c r="E3" s="544"/>
      <c r="F3" s="594" t="s">
        <v>72</v>
      </c>
      <c r="G3" s="594"/>
      <c r="H3" s="594"/>
      <c r="I3" s="596" t="s">
        <v>73</v>
      </c>
      <c r="J3" s="596"/>
      <c r="K3" s="596"/>
      <c r="L3" s="596"/>
      <c r="M3" s="596"/>
      <c r="N3" s="596"/>
    </row>
    <row r="4" spans="1:16" ht="25.35" customHeight="1">
      <c r="B4" s="592"/>
      <c r="C4" s="593"/>
      <c r="D4" s="544"/>
      <c r="E4" s="544"/>
      <c r="F4" s="594"/>
      <c r="G4" s="594"/>
      <c r="H4" s="594"/>
      <c r="I4" s="590" t="s">
        <v>74</v>
      </c>
      <c r="J4" s="590"/>
      <c r="K4" s="590" t="s">
        <v>75</v>
      </c>
      <c r="L4" s="590"/>
      <c r="M4" s="590" t="s">
        <v>76</v>
      </c>
      <c r="N4" s="590"/>
    </row>
    <row r="5" spans="1:16" ht="25.35" customHeight="1">
      <c r="B5" s="592"/>
      <c r="C5" s="593"/>
      <c r="D5" s="544"/>
      <c r="E5" s="544"/>
      <c r="F5" s="595" t="s">
        <v>52</v>
      </c>
      <c r="G5" s="595" t="s">
        <v>53</v>
      </c>
      <c r="H5" s="595" t="s">
        <v>54</v>
      </c>
      <c r="I5" s="590" t="s">
        <v>77</v>
      </c>
      <c r="J5" s="590"/>
      <c r="K5" s="590" t="s">
        <v>77</v>
      </c>
      <c r="L5" s="590"/>
      <c r="M5" s="590" t="s">
        <v>77</v>
      </c>
      <c r="N5" s="590"/>
    </row>
    <row r="6" spans="1:16" s="80" customFormat="1" ht="23.45" customHeight="1">
      <c r="B6" s="592"/>
      <c r="C6" s="593"/>
      <c r="D6" s="544"/>
      <c r="E6" s="544"/>
      <c r="F6" s="595"/>
      <c r="G6" s="595"/>
      <c r="H6" s="595"/>
      <c r="I6" s="91" t="s">
        <v>78</v>
      </c>
      <c r="J6" s="92" t="s">
        <v>79</v>
      </c>
      <c r="K6" s="91" t="s">
        <v>78</v>
      </c>
      <c r="L6" s="92" t="s">
        <v>79</v>
      </c>
      <c r="M6" s="91" t="s">
        <v>78</v>
      </c>
      <c r="N6" s="92" t="s">
        <v>79</v>
      </c>
    </row>
    <row r="7" spans="1:16">
      <c r="B7" s="398"/>
      <c r="C7" s="550" t="s">
        <v>55</v>
      </c>
      <c r="D7" s="399">
        <v>46235</v>
      </c>
      <c r="E7" s="400" t="s">
        <v>56</v>
      </c>
      <c r="F7" s="93">
        <f t="shared" ref="F7:F37" si="0">I7+M7</f>
        <v>2319312.75</v>
      </c>
      <c r="G7" s="522">
        <f>SUM(F7:F9)</f>
        <v>8367993.96</v>
      </c>
      <c r="H7" s="597">
        <f>SUM(F7:F37)</f>
        <v>61106541.980000004</v>
      </c>
      <c r="I7" s="93">
        <v>2091826.23</v>
      </c>
      <c r="J7" s="94">
        <f t="shared" ref="J7:J37" si="1">I7/F7</f>
        <v>0.90191641036768322</v>
      </c>
      <c r="K7" s="93"/>
      <c r="L7" s="94">
        <f t="shared" ref="L7:L37" si="2">K7/F7</f>
        <v>0</v>
      </c>
      <c r="M7" s="93">
        <v>227486.52</v>
      </c>
      <c r="N7" s="94">
        <f t="shared" ref="N7:N37" si="3">M7/F7</f>
        <v>9.8083589632316726E-2</v>
      </c>
      <c r="P7" s="84"/>
    </row>
    <row r="8" spans="1:16">
      <c r="B8" s="398"/>
      <c r="C8" s="550"/>
      <c r="D8" s="399">
        <v>46236</v>
      </c>
      <c r="E8" s="400" t="s">
        <v>52</v>
      </c>
      <c r="F8" s="93">
        <f t="shared" si="0"/>
        <v>3023076.54</v>
      </c>
      <c r="G8" s="523"/>
      <c r="H8" s="598"/>
      <c r="I8" s="93">
        <v>2735272.33</v>
      </c>
      <c r="J8" s="94">
        <f t="shared" si="1"/>
        <v>0.90479757750361156</v>
      </c>
      <c r="K8" s="93"/>
      <c r="L8" s="94">
        <f t="shared" si="2"/>
        <v>0</v>
      </c>
      <c r="M8" s="93">
        <v>287804.21000000002</v>
      </c>
      <c r="N8" s="94">
        <f t="shared" si="3"/>
        <v>9.5202422496388397E-2</v>
      </c>
      <c r="P8" s="84"/>
    </row>
    <row r="9" spans="1:16">
      <c r="B9" s="398"/>
      <c r="C9" s="550"/>
      <c r="D9" s="404">
        <v>46237</v>
      </c>
      <c r="E9" s="405" t="s">
        <v>57</v>
      </c>
      <c r="F9" s="440">
        <f t="shared" si="0"/>
        <v>3025604.67</v>
      </c>
      <c r="G9" s="524"/>
      <c r="H9" s="598"/>
      <c r="I9" s="440">
        <v>2714410.73</v>
      </c>
      <c r="J9" s="422">
        <f t="shared" si="1"/>
        <v>0.89714652972161102</v>
      </c>
      <c r="K9" s="440"/>
      <c r="L9" s="422">
        <f t="shared" si="2"/>
        <v>0</v>
      </c>
      <c r="M9" s="440">
        <v>311193.94</v>
      </c>
      <c r="N9" s="422">
        <f t="shared" si="3"/>
        <v>0.10285347027838902</v>
      </c>
      <c r="P9" s="84"/>
    </row>
    <row r="10" spans="1:16">
      <c r="B10" s="547">
        <v>46246</v>
      </c>
      <c r="C10" s="551"/>
      <c r="D10" s="411">
        <v>46238</v>
      </c>
      <c r="E10" s="412" t="s">
        <v>58</v>
      </c>
      <c r="F10" s="445">
        <f t="shared" si="0"/>
        <v>2744836.55</v>
      </c>
      <c r="G10" s="525">
        <f>SUM(F10:F16)</f>
        <v>18008327.620000001</v>
      </c>
      <c r="H10" s="598"/>
      <c r="I10" s="445">
        <v>2463511.71</v>
      </c>
      <c r="J10" s="426">
        <f t="shared" si="1"/>
        <v>0.89750761661928469</v>
      </c>
      <c r="K10" s="445"/>
      <c r="L10" s="426">
        <f t="shared" si="2"/>
        <v>0</v>
      </c>
      <c r="M10" s="445">
        <v>281324.84000000003</v>
      </c>
      <c r="N10" s="428">
        <f t="shared" si="3"/>
        <v>0.10249238338071534</v>
      </c>
      <c r="P10" s="84"/>
    </row>
    <row r="11" spans="1:16" ht="12">
      <c r="B11" s="547"/>
      <c r="C11" s="551"/>
      <c r="D11" s="415">
        <v>46239</v>
      </c>
      <c r="E11" s="402" t="s">
        <v>59</v>
      </c>
      <c r="F11" s="93">
        <f t="shared" si="0"/>
        <v>2568942.66</v>
      </c>
      <c r="G11" s="523"/>
      <c r="H11" s="598"/>
      <c r="I11" s="93">
        <v>2307967.27</v>
      </c>
      <c r="J11" s="94">
        <f t="shared" si="1"/>
        <v>0.89841136041549474</v>
      </c>
      <c r="K11" s="93"/>
      <c r="L11" s="94">
        <f t="shared" si="2"/>
        <v>0</v>
      </c>
      <c r="M11" s="93">
        <v>260975.39</v>
      </c>
      <c r="N11" s="430">
        <f t="shared" si="3"/>
        <v>0.10158863958450516</v>
      </c>
      <c r="P11" s="84"/>
    </row>
    <row r="12" spans="1:16">
      <c r="B12" s="547"/>
      <c r="C12" s="551"/>
      <c r="D12" s="415">
        <v>46240</v>
      </c>
      <c r="E12" s="400" t="s">
        <v>60</v>
      </c>
      <c r="F12" s="93">
        <f t="shared" si="0"/>
        <v>2531185.4</v>
      </c>
      <c r="G12" s="523"/>
      <c r="H12" s="598"/>
      <c r="I12" s="93">
        <v>2284902.31</v>
      </c>
      <c r="J12" s="94">
        <f t="shared" si="1"/>
        <v>0.90270049361062221</v>
      </c>
      <c r="K12" s="93"/>
      <c r="L12" s="94">
        <f t="shared" si="2"/>
        <v>0</v>
      </c>
      <c r="M12" s="93">
        <v>246283.09</v>
      </c>
      <c r="N12" s="430">
        <f t="shared" si="3"/>
        <v>9.7299506389377885E-2</v>
      </c>
      <c r="P12" s="84"/>
    </row>
    <row r="13" spans="1:16">
      <c r="B13" s="547"/>
      <c r="C13" s="551"/>
      <c r="D13" s="415">
        <v>46241</v>
      </c>
      <c r="E13" s="400" t="s">
        <v>61</v>
      </c>
      <c r="F13" s="93">
        <f t="shared" si="0"/>
        <v>1978394.42</v>
      </c>
      <c r="G13" s="523"/>
      <c r="H13" s="598"/>
      <c r="I13" s="93">
        <v>1773495.18</v>
      </c>
      <c r="J13" s="94">
        <f t="shared" si="1"/>
        <v>0.89643155180350742</v>
      </c>
      <c r="K13" s="93"/>
      <c r="L13" s="94">
        <f t="shared" si="2"/>
        <v>0</v>
      </c>
      <c r="M13" s="93">
        <v>204899.24</v>
      </c>
      <c r="N13" s="430">
        <f t="shared" si="3"/>
        <v>0.10356844819649259</v>
      </c>
    </row>
    <row r="14" spans="1:16">
      <c r="B14" s="547"/>
      <c r="C14" s="551"/>
      <c r="D14" s="415">
        <v>46242</v>
      </c>
      <c r="E14" s="400" t="s">
        <v>56</v>
      </c>
      <c r="F14" s="93">
        <f t="shared" si="0"/>
        <v>2143592.4300000002</v>
      </c>
      <c r="G14" s="523"/>
      <c r="H14" s="598"/>
      <c r="I14" s="93">
        <v>1929960.85</v>
      </c>
      <c r="J14" s="94">
        <f t="shared" si="1"/>
        <v>0.90033945958654082</v>
      </c>
      <c r="K14" s="93"/>
      <c r="L14" s="94">
        <f t="shared" si="2"/>
        <v>0</v>
      </c>
      <c r="M14" s="93">
        <v>213631.58</v>
      </c>
      <c r="N14" s="430">
        <f t="shared" si="3"/>
        <v>9.9660540413459092E-2</v>
      </c>
    </row>
    <row r="15" spans="1:16">
      <c r="B15" s="547"/>
      <c r="C15" s="551"/>
      <c r="D15" s="415">
        <v>46243</v>
      </c>
      <c r="E15" s="400" t="s">
        <v>52</v>
      </c>
      <c r="F15" s="93">
        <f t="shared" si="0"/>
        <v>3005927.64</v>
      </c>
      <c r="G15" s="523"/>
      <c r="H15" s="598"/>
      <c r="I15" s="93">
        <v>2737188.72</v>
      </c>
      <c r="J15" s="94">
        <f t="shared" si="1"/>
        <v>0.91059700958070966</v>
      </c>
      <c r="K15" s="93"/>
      <c r="L15" s="94">
        <f t="shared" si="2"/>
        <v>0</v>
      </c>
      <c r="M15" s="93">
        <v>268738.92</v>
      </c>
      <c r="N15" s="430">
        <f t="shared" si="3"/>
        <v>8.9402990419290326E-2</v>
      </c>
    </row>
    <row r="16" spans="1:16">
      <c r="B16" s="547"/>
      <c r="C16" s="551"/>
      <c r="D16" s="417">
        <v>46244</v>
      </c>
      <c r="E16" s="418" t="s">
        <v>57</v>
      </c>
      <c r="F16" s="446">
        <f t="shared" si="0"/>
        <v>3035448.52</v>
      </c>
      <c r="G16" s="524"/>
      <c r="H16" s="598"/>
      <c r="I16" s="446">
        <v>2742937.94</v>
      </c>
      <c r="J16" s="432">
        <f t="shared" si="1"/>
        <v>0.90363513725477373</v>
      </c>
      <c r="K16" s="446"/>
      <c r="L16" s="432">
        <f t="shared" si="2"/>
        <v>0</v>
      </c>
      <c r="M16" s="446">
        <v>292510.58</v>
      </c>
      <c r="N16" s="434">
        <f t="shared" si="3"/>
        <v>9.636486274522621E-2</v>
      </c>
    </row>
    <row r="17" spans="2:14">
      <c r="B17" s="547">
        <v>46253</v>
      </c>
      <c r="C17" s="550"/>
      <c r="D17" s="407">
        <v>46245</v>
      </c>
      <c r="E17" s="408" t="s">
        <v>58</v>
      </c>
      <c r="F17" s="443">
        <f t="shared" si="0"/>
        <v>2592646.7599999998</v>
      </c>
      <c r="G17" s="525">
        <f>SUM(F17:F23)</f>
        <v>17686446.460000001</v>
      </c>
      <c r="H17" s="598"/>
      <c r="I17" s="443">
        <v>2329329.9</v>
      </c>
      <c r="J17" s="423">
        <f t="shared" si="1"/>
        <v>0.89843704739784913</v>
      </c>
      <c r="K17" s="443"/>
      <c r="L17" s="423">
        <f t="shared" si="2"/>
        <v>0</v>
      </c>
      <c r="M17" s="443">
        <v>263316.86</v>
      </c>
      <c r="N17" s="423">
        <f t="shared" si="3"/>
        <v>0.10156295260215087</v>
      </c>
    </row>
    <row r="18" spans="2:14" ht="12">
      <c r="B18" s="547"/>
      <c r="C18" s="550"/>
      <c r="D18" s="399">
        <v>46246</v>
      </c>
      <c r="E18" s="402" t="s">
        <v>59</v>
      </c>
      <c r="F18" s="93">
        <f t="shared" si="0"/>
        <v>2595086.92</v>
      </c>
      <c r="G18" s="523"/>
      <c r="H18" s="598"/>
      <c r="I18" s="93">
        <v>2353355.0699999998</v>
      </c>
      <c r="J18" s="94">
        <f t="shared" si="1"/>
        <v>0.906850191360835</v>
      </c>
      <c r="K18" s="93"/>
      <c r="L18" s="94">
        <f t="shared" si="2"/>
        <v>0</v>
      </c>
      <c r="M18" s="93">
        <v>241731.85</v>
      </c>
      <c r="N18" s="94">
        <f t="shared" si="3"/>
        <v>9.3149808639164972E-2</v>
      </c>
    </row>
    <row r="19" spans="2:14">
      <c r="B19" s="547"/>
      <c r="C19" s="550"/>
      <c r="D19" s="399">
        <v>46247</v>
      </c>
      <c r="E19" s="400" t="s">
        <v>60</v>
      </c>
      <c r="F19" s="93">
        <f t="shared" si="0"/>
        <v>2476905.9500000002</v>
      </c>
      <c r="G19" s="523"/>
      <c r="H19" s="598"/>
      <c r="I19" s="93">
        <v>2237648.62</v>
      </c>
      <c r="J19" s="94">
        <f t="shared" si="1"/>
        <v>0.90340475785929619</v>
      </c>
      <c r="K19" s="93"/>
      <c r="L19" s="94">
        <f t="shared" si="2"/>
        <v>0</v>
      </c>
      <c r="M19" s="93">
        <v>239257.33</v>
      </c>
      <c r="N19" s="94">
        <f t="shared" si="3"/>
        <v>9.6595242140703794E-2</v>
      </c>
    </row>
    <row r="20" spans="2:14">
      <c r="B20" s="547"/>
      <c r="C20" s="550"/>
      <c r="D20" s="399">
        <v>46248</v>
      </c>
      <c r="E20" s="400" t="s">
        <v>61</v>
      </c>
      <c r="F20" s="93">
        <f t="shared" si="0"/>
        <v>2004758.57</v>
      </c>
      <c r="G20" s="523"/>
      <c r="H20" s="598"/>
      <c r="I20" s="93">
        <v>1800007.81</v>
      </c>
      <c r="J20" s="94">
        <f t="shared" si="1"/>
        <v>0.89786762203490667</v>
      </c>
      <c r="K20" s="93"/>
      <c r="L20" s="94">
        <f t="shared" si="2"/>
        <v>0</v>
      </c>
      <c r="M20" s="93">
        <v>204750.76</v>
      </c>
      <c r="N20" s="94">
        <f t="shared" si="3"/>
        <v>0.10213237796509332</v>
      </c>
    </row>
    <row r="21" spans="2:14">
      <c r="B21" s="547"/>
      <c r="C21" s="550"/>
      <c r="D21" s="399">
        <v>46249</v>
      </c>
      <c r="E21" s="400" t="s">
        <v>56</v>
      </c>
      <c r="F21" s="93">
        <f t="shared" si="0"/>
        <v>2180067.1800000002</v>
      </c>
      <c r="G21" s="523"/>
      <c r="H21" s="598"/>
      <c r="I21" s="93">
        <v>1966830.51</v>
      </c>
      <c r="J21" s="94">
        <f t="shared" si="1"/>
        <v>0.90218802798544939</v>
      </c>
      <c r="K21" s="93"/>
      <c r="L21" s="94">
        <f t="shared" si="2"/>
        <v>0</v>
      </c>
      <c r="M21" s="93">
        <v>213236.67</v>
      </c>
      <c r="N21" s="94">
        <f t="shared" si="3"/>
        <v>9.7811972014550483E-2</v>
      </c>
    </row>
    <row r="22" spans="2:14">
      <c r="B22" s="547"/>
      <c r="C22" s="550"/>
      <c r="D22" s="399">
        <v>46250</v>
      </c>
      <c r="E22" s="400" t="s">
        <v>52</v>
      </c>
      <c r="F22" s="93">
        <f t="shared" si="0"/>
        <v>2865626.42</v>
      </c>
      <c r="G22" s="523"/>
      <c r="H22" s="598"/>
      <c r="I22" s="93">
        <v>2600705.23</v>
      </c>
      <c r="J22" s="94">
        <f t="shared" si="1"/>
        <v>0.90755208419665534</v>
      </c>
      <c r="K22" s="93"/>
      <c r="L22" s="94">
        <f t="shared" si="2"/>
        <v>0</v>
      </c>
      <c r="M22" s="93">
        <v>264921.19</v>
      </c>
      <c r="N22" s="94">
        <f t="shared" si="3"/>
        <v>9.2447915803344674E-2</v>
      </c>
    </row>
    <row r="23" spans="2:14">
      <c r="B23" s="547"/>
      <c r="C23" s="550"/>
      <c r="D23" s="404">
        <v>46251</v>
      </c>
      <c r="E23" s="405" t="s">
        <v>57</v>
      </c>
      <c r="F23" s="440">
        <f t="shared" si="0"/>
        <v>2971354.66</v>
      </c>
      <c r="G23" s="524"/>
      <c r="H23" s="598"/>
      <c r="I23" s="440">
        <v>2678154.4700000002</v>
      </c>
      <c r="J23" s="422">
        <f t="shared" si="1"/>
        <v>0.90132440467406205</v>
      </c>
      <c r="K23" s="440"/>
      <c r="L23" s="422">
        <f t="shared" si="2"/>
        <v>0</v>
      </c>
      <c r="M23" s="440">
        <v>293200.19</v>
      </c>
      <c r="N23" s="422">
        <f t="shared" si="3"/>
        <v>9.8675595325937962E-2</v>
      </c>
    </row>
    <row r="24" spans="2:14">
      <c r="B24" s="547">
        <v>46260</v>
      </c>
      <c r="C24" s="551"/>
      <c r="D24" s="411">
        <v>46252</v>
      </c>
      <c r="E24" s="412" t="s">
        <v>58</v>
      </c>
      <c r="F24" s="445">
        <f t="shared" si="0"/>
        <v>2636829.3600000003</v>
      </c>
      <c r="G24" s="525">
        <f>SUM(F24:F30)</f>
        <v>17043773.939999998</v>
      </c>
      <c r="H24" s="598"/>
      <c r="I24" s="445">
        <v>2379314.7400000002</v>
      </c>
      <c r="J24" s="426">
        <f t="shared" si="1"/>
        <v>0.90233929282401493</v>
      </c>
      <c r="K24" s="445"/>
      <c r="L24" s="426">
        <f t="shared" si="2"/>
        <v>0</v>
      </c>
      <c r="M24" s="445">
        <v>257514.62</v>
      </c>
      <c r="N24" s="428">
        <f t="shared" si="3"/>
        <v>9.7660707175985004E-2</v>
      </c>
    </row>
    <row r="25" spans="2:14" ht="12">
      <c r="B25" s="547"/>
      <c r="C25" s="551"/>
      <c r="D25" s="415">
        <v>46253</v>
      </c>
      <c r="E25" s="402" t="s">
        <v>59</v>
      </c>
      <c r="F25" s="93">
        <f t="shared" si="0"/>
        <v>2408538.2600000002</v>
      </c>
      <c r="G25" s="523"/>
      <c r="H25" s="598"/>
      <c r="I25" s="93">
        <v>2174896.7200000002</v>
      </c>
      <c r="J25" s="94">
        <f t="shared" si="1"/>
        <v>0.90299446602936673</v>
      </c>
      <c r="K25" s="93"/>
      <c r="L25" s="94">
        <f t="shared" si="2"/>
        <v>0</v>
      </c>
      <c r="M25" s="93">
        <v>233641.54</v>
      </c>
      <c r="N25" s="430">
        <f t="shared" si="3"/>
        <v>9.7005533970633287E-2</v>
      </c>
    </row>
    <row r="26" spans="2:14">
      <c r="B26" s="547"/>
      <c r="C26" s="551"/>
      <c r="D26" s="415">
        <v>46254</v>
      </c>
      <c r="E26" s="400" t="s">
        <v>60</v>
      </c>
      <c r="F26" s="93">
        <f t="shared" si="0"/>
        <v>2319925.44</v>
      </c>
      <c r="G26" s="523"/>
      <c r="H26" s="598"/>
      <c r="I26" s="93">
        <v>2090343.48</v>
      </c>
      <c r="J26" s="94">
        <f t="shared" si="1"/>
        <v>0.90103907822141049</v>
      </c>
      <c r="K26" s="93"/>
      <c r="L26" s="94">
        <f t="shared" si="2"/>
        <v>0</v>
      </c>
      <c r="M26" s="93">
        <v>229581.96</v>
      </c>
      <c r="N26" s="430">
        <f t="shared" si="3"/>
        <v>9.8960921778589575E-2</v>
      </c>
    </row>
    <row r="27" spans="2:14">
      <c r="B27" s="547"/>
      <c r="C27" s="551"/>
      <c r="D27" s="415">
        <v>46255</v>
      </c>
      <c r="E27" s="400" t="s">
        <v>61</v>
      </c>
      <c r="F27" s="93">
        <f t="shared" si="0"/>
        <v>1831621.66</v>
      </c>
      <c r="G27" s="523"/>
      <c r="H27" s="598"/>
      <c r="I27" s="93">
        <v>1648415.94</v>
      </c>
      <c r="J27" s="94">
        <f t="shared" si="1"/>
        <v>0.89997622107176878</v>
      </c>
      <c r="K27" s="93"/>
      <c r="L27" s="94">
        <f t="shared" si="2"/>
        <v>0</v>
      </c>
      <c r="M27" s="93">
        <v>183205.72</v>
      </c>
      <c r="N27" s="430">
        <f t="shared" si="3"/>
        <v>0.10002377892823129</v>
      </c>
    </row>
    <row r="28" spans="2:14">
      <c r="B28" s="547"/>
      <c r="C28" s="551"/>
      <c r="D28" s="415">
        <v>46256</v>
      </c>
      <c r="E28" s="400" t="s">
        <v>56</v>
      </c>
      <c r="F28" s="93">
        <f t="shared" si="0"/>
        <v>2037135.95</v>
      </c>
      <c r="G28" s="523"/>
      <c r="H28" s="598"/>
      <c r="I28" s="93">
        <v>1840339.65</v>
      </c>
      <c r="J28" s="94">
        <f t="shared" si="1"/>
        <v>0.90339559811901604</v>
      </c>
      <c r="K28" s="93"/>
      <c r="L28" s="94">
        <f t="shared" si="2"/>
        <v>0</v>
      </c>
      <c r="M28" s="93">
        <v>196796.3</v>
      </c>
      <c r="N28" s="430">
        <f t="shared" si="3"/>
        <v>9.6604401880983931E-2</v>
      </c>
    </row>
    <row r="29" spans="2:14">
      <c r="B29" s="547"/>
      <c r="C29" s="551"/>
      <c r="D29" s="415">
        <v>46257</v>
      </c>
      <c r="E29" s="400" t="s">
        <v>52</v>
      </c>
      <c r="F29" s="93">
        <f t="shared" si="0"/>
        <v>2878649.46</v>
      </c>
      <c r="G29" s="523"/>
      <c r="H29" s="598"/>
      <c r="I29" s="93">
        <v>2623445.34</v>
      </c>
      <c r="J29" s="94">
        <f t="shared" si="1"/>
        <v>0.91134588509432468</v>
      </c>
      <c r="K29" s="93"/>
      <c r="L29" s="94">
        <f t="shared" si="2"/>
        <v>0</v>
      </c>
      <c r="M29" s="93">
        <v>255204.12</v>
      </c>
      <c r="N29" s="430">
        <f t="shared" si="3"/>
        <v>8.8654114905675249E-2</v>
      </c>
    </row>
    <row r="30" spans="2:14">
      <c r="B30" s="547"/>
      <c r="C30" s="551"/>
      <c r="D30" s="417">
        <v>46258</v>
      </c>
      <c r="E30" s="418" t="s">
        <v>57</v>
      </c>
      <c r="F30" s="446">
        <f t="shared" si="0"/>
        <v>2931073.8099999996</v>
      </c>
      <c r="G30" s="524"/>
      <c r="H30" s="598"/>
      <c r="I30" s="446">
        <v>2643413.5499999998</v>
      </c>
      <c r="J30" s="432">
        <f t="shared" si="1"/>
        <v>0.90185840458244892</v>
      </c>
      <c r="K30" s="446"/>
      <c r="L30" s="432">
        <f t="shared" si="2"/>
        <v>0</v>
      </c>
      <c r="M30" s="446">
        <v>287660.26</v>
      </c>
      <c r="N30" s="434">
        <f t="shared" si="3"/>
        <v>9.8141595417551103E-2</v>
      </c>
    </row>
    <row r="31" spans="2:14">
      <c r="B31" s="547">
        <v>46267</v>
      </c>
      <c r="C31" s="550"/>
      <c r="D31" s="407">
        <v>46259</v>
      </c>
      <c r="E31" s="408" t="s">
        <v>58</v>
      </c>
      <c r="F31" s="443">
        <f t="shared" si="0"/>
        <v>0</v>
      </c>
      <c r="G31" s="444">
        <f>SUM(F31:F37)</f>
        <v>0</v>
      </c>
      <c r="H31" s="598"/>
      <c r="I31" s="443"/>
      <c r="J31" s="423" t="e">
        <f t="shared" si="1"/>
        <v>#DIV/0!</v>
      </c>
      <c r="K31" s="443"/>
      <c r="L31" s="423" t="e">
        <f t="shared" si="2"/>
        <v>#DIV/0!</v>
      </c>
      <c r="M31" s="443"/>
      <c r="N31" s="423" t="e">
        <f t="shared" si="3"/>
        <v>#DIV/0!</v>
      </c>
    </row>
    <row r="32" spans="2:14" ht="12">
      <c r="B32" s="547"/>
      <c r="C32" s="550"/>
      <c r="D32" s="399">
        <v>46260</v>
      </c>
      <c r="E32" s="402" t="s">
        <v>59</v>
      </c>
      <c r="F32" s="93">
        <f t="shared" si="0"/>
        <v>0</v>
      </c>
      <c r="G32" s="436"/>
      <c r="H32" s="598"/>
      <c r="I32" s="93"/>
      <c r="J32" s="94" t="e">
        <f t="shared" si="1"/>
        <v>#DIV/0!</v>
      </c>
      <c r="K32" s="93"/>
      <c r="L32" s="94" t="e">
        <f t="shared" si="2"/>
        <v>#DIV/0!</v>
      </c>
      <c r="M32" s="93"/>
      <c r="N32" s="94" t="e">
        <f t="shared" si="3"/>
        <v>#DIV/0!</v>
      </c>
    </row>
    <row r="33" spans="1:22">
      <c r="B33" s="547"/>
      <c r="C33" s="550"/>
      <c r="D33" s="399">
        <v>46261</v>
      </c>
      <c r="E33" s="400" t="s">
        <v>60</v>
      </c>
      <c r="F33" s="93">
        <f t="shared" si="0"/>
        <v>0</v>
      </c>
      <c r="G33" s="436"/>
      <c r="H33" s="598"/>
      <c r="I33" s="93"/>
      <c r="J33" s="94" t="e">
        <f t="shared" si="1"/>
        <v>#DIV/0!</v>
      </c>
      <c r="K33" s="93"/>
      <c r="L33" s="94" t="e">
        <f t="shared" si="2"/>
        <v>#DIV/0!</v>
      </c>
      <c r="M33" s="93"/>
      <c r="N33" s="94" t="e">
        <f t="shared" si="3"/>
        <v>#DIV/0!</v>
      </c>
    </row>
    <row r="34" spans="1:22">
      <c r="B34" s="547"/>
      <c r="C34" s="550"/>
      <c r="D34" s="399">
        <v>46262</v>
      </c>
      <c r="E34" s="400" t="s">
        <v>61</v>
      </c>
      <c r="F34" s="93">
        <f t="shared" si="0"/>
        <v>0</v>
      </c>
      <c r="G34" s="436"/>
      <c r="H34" s="598"/>
      <c r="I34" s="93"/>
      <c r="J34" s="94" t="e">
        <f t="shared" si="1"/>
        <v>#DIV/0!</v>
      </c>
      <c r="K34" s="93"/>
      <c r="L34" s="94" t="e">
        <f t="shared" si="2"/>
        <v>#DIV/0!</v>
      </c>
      <c r="M34" s="93"/>
      <c r="N34" s="94" t="e">
        <f t="shared" si="3"/>
        <v>#DIV/0!</v>
      </c>
    </row>
    <row r="35" spans="1:22">
      <c r="B35" s="547"/>
      <c r="C35" s="550"/>
      <c r="D35" s="399">
        <v>46263</v>
      </c>
      <c r="E35" s="400" t="s">
        <v>56</v>
      </c>
      <c r="F35" s="93">
        <f t="shared" si="0"/>
        <v>0</v>
      </c>
      <c r="G35" s="436"/>
      <c r="H35" s="598"/>
      <c r="I35" s="93"/>
      <c r="J35" s="94" t="e">
        <f t="shared" si="1"/>
        <v>#DIV/0!</v>
      </c>
      <c r="K35" s="93"/>
      <c r="L35" s="94" t="e">
        <f t="shared" si="2"/>
        <v>#DIV/0!</v>
      </c>
      <c r="M35" s="93"/>
      <c r="N35" s="94" t="e">
        <f t="shared" si="3"/>
        <v>#DIV/0!</v>
      </c>
    </row>
    <row r="36" spans="1:22">
      <c r="B36" s="547"/>
      <c r="C36" s="550"/>
      <c r="D36" s="399">
        <v>46264</v>
      </c>
      <c r="E36" s="400" t="s">
        <v>52</v>
      </c>
      <c r="F36" s="93">
        <f t="shared" si="0"/>
        <v>0</v>
      </c>
      <c r="G36" s="436"/>
      <c r="H36" s="598"/>
      <c r="I36" s="93"/>
      <c r="J36" s="94" t="e">
        <f t="shared" si="1"/>
        <v>#DIV/0!</v>
      </c>
      <c r="K36" s="93"/>
      <c r="L36" s="94" t="e">
        <f t="shared" si="2"/>
        <v>#DIV/0!</v>
      </c>
      <c r="M36" s="93"/>
      <c r="N36" s="94" t="e">
        <f t="shared" si="3"/>
        <v>#DIV/0!</v>
      </c>
    </row>
    <row r="37" spans="1:22">
      <c r="B37" s="547"/>
      <c r="C37" s="550"/>
      <c r="D37" s="399">
        <v>46265</v>
      </c>
      <c r="E37" s="400" t="s">
        <v>57</v>
      </c>
      <c r="F37" s="93">
        <f t="shared" si="0"/>
        <v>0</v>
      </c>
      <c r="G37" s="436"/>
      <c r="H37" s="599"/>
      <c r="I37" s="93"/>
      <c r="J37" s="94" t="e">
        <f t="shared" si="1"/>
        <v>#DIV/0!</v>
      </c>
      <c r="K37" s="93"/>
      <c r="L37" s="94" t="e">
        <f t="shared" si="2"/>
        <v>#DIV/0!</v>
      </c>
      <c r="M37" s="93"/>
      <c r="N37" s="94" t="e">
        <f t="shared" si="3"/>
        <v>#DIV/0!</v>
      </c>
    </row>
    <row r="38" spans="1:22">
      <c r="B38" s="437"/>
      <c r="C38" s="438"/>
      <c r="D38" s="439"/>
      <c r="E38" s="405"/>
      <c r="F38" s="440"/>
      <c r="G38" s="441"/>
      <c r="H38" s="442"/>
      <c r="I38" s="440"/>
      <c r="J38" s="94"/>
      <c r="K38" s="440"/>
      <c r="L38" s="422"/>
      <c r="M38" s="440"/>
      <c r="N38" s="94"/>
    </row>
    <row r="39" spans="1:22" ht="12">
      <c r="B39" s="81"/>
      <c r="C39" s="79"/>
      <c r="D39" s="83"/>
      <c r="E39" s="83"/>
      <c r="F39" s="90"/>
      <c r="G39" s="90"/>
      <c r="H39" s="90"/>
    </row>
    <row r="40" spans="1:22" ht="12">
      <c r="B40" s="81"/>
      <c r="C40" s="79"/>
      <c r="D40" s="83"/>
      <c r="E40" s="83"/>
      <c r="F40" s="90">
        <f>I40+M40</f>
        <v>3411506.44</v>
      </c>
      <c r="G40" s="90"/>
      <c r="H40" s="90"/>
      <c r="I40" s="93">
        <v>3076682.51</v>
      </c>
      <c r="J40" s="94">
        <f>I40/F40</f>
        <v>0.90185452207441819</v>
      </c>
      <c r="M40" s="93">
        <v>334823.93</v>
      </c>
      <c r="N40" s="94">
        <f>M40/F40</f>
        <v>9.8145477925581759E-2</v>
      </c>
    </row>
    <row r="41" spans="1:22" ht="12">
      <c r="B41" s="81"/>
      <c r="C41" s="79"/>
      <c r="D41" s="83"/>
      <c r="E41" s="83"/>
      <c r="F41" s="90"/>
      <c r="G41" s="90"/>
      <c r="H41" s="90"/>
    </row>
    <row r="42" spans="1:22">
      <c r="B42" s="81"/>
      <c r="C42" s="79"/>
      <c r="D42" s="83">
        <v>46235</v>
      </c>
      <c r="E42" s="294" t="s">
        <v>56</v>
      </c>
      <c r="F42" s="90">
        <f t="shared" ref="F42:F44" si="4">I42+M42</f>
        <v>2319312.75</v>
      </c>
      <c r="G42" s="90"/>
      <c r="H42" s="90"/>
      <c r="I42" s="90">
        <v>2091826.23</v>
      </c>
      <c r="J42" s="94">
        <f t="shared" ref="J42:J44" si="5">I42/F42</f>
        <v>0.90191641036768322</v>
      </c>
      <c r="M42" s="90">
        <v>227486.52</v>
      </c>
      <c r="N42" s="94">
        <f t="shared" ref="N42:N44" si="6">M42/F42</f>
        <v>9.8083589632316726E-2</v>
      </c>
    </row>
    <row r="43" spans="1:22">
      <c r="B43" s="81"/>
      <c r="C43" s="79"/>
      <c r="D43" s="83">
        <v>46236</v>
      </c>
      <c r="E43" s="294" t="s">
        <v>52</v>
      </c>
      <c r="F43" s="90">
        <f t="shared" si="4"/>
        <v>3023076.54</v>
      </c>
      <c r="G43" s="90"/>
      <c r="H43" s="90"/>
      <c r="I43" s="395">
        <v>2735272.33</v>
      </c>
      <c r="J43" s="94">
        <f t="shared" si="5"/>
        <v>0.90479757750361156</v>
      </c>
      <c r="M43" s="90">
        <v>287804.21000000002</v>
      </c>
      <c r="N43" s="94">
        <f t="shared" si="6"/>
        <v>9.5202422496388397E-2</v>
      </c>
    </row>
    <row r="44" spans="1:22">
      <c r="B44" s="81"/>
      <c r="C44" s="79"/>
      <c r="D44" s="83">
        <v>46237</v>
      </c>
      <c r="E44" s="294" t="s">
        <v>57</v>
      </c>
      <c r="F44" s="90">
        <f t="shared" si="4"/>
        <v>3025604.67</v>
      </c>
      <c r="G44" s="90"/>
      <c r="H44" s="90"/>
      <c r="I44" s="90">
        <v>2714410.73</v>
      </c>
      <c r="J44" s="94">
        <f t="shared" si="5"/>
        <v>0.89714652972161102</v>
      </c>
      <c r="M44" s="90">
        <v>311193.94</v>
      </c>
      <c r="N44" s="94">
        <f t="shared" si="6"/>
        <v>0.10285347027838902</v>
      </c>
    </row>
    <row r="45" spans="1:22" ht="12">
      <c r="B45" s="81"/>
      <c r="C45" s="79"/>
      <c r="D45" s="80"/>
      <c r="F45" s="90"/>
      <c r="G45" s="90"/>
      <c r="H45" s="90"/>
    </row>
    <row r="46" spans="1:22" s="80" customFormat="1" ht="12">
      <c r="A46" s="79"/>
      <c r="B46" s="81"/>
      <c r="C46" s="79"/>
      <c r="F46" s="95"/>
      <c r="G46" s="95"/>
      <c r="H46" s="95"/>
      <c r="I46" s="90"/>
      <c r="J46" s="87"/>
      <c r="K46" s="90"/>
      <c r="L46" s="87"/>
      <c r="M46" s="90"/>
      <c r="N46" s="87"/>
      <c r="O46" s="79"/>
      <c r="P46" s="79"/>
      <c r="Q46" s="79"/>
      <c r="R46" s="79"/>
      <c r="S46" s="79"/>
      <c r="T46" s="79"/>
      <c r="U46" s="79"/>
      <c r="V46" s="79"/>
    </row>
    <row r="47" spans="1:22" s="80" customFormat="1" ht="12">
      <c r="A47" s="79"/>
      <c r="B47" s="81"/>
      <c r="C47" s="79"/>
      <c r="F47" s="95"/>
      <c r="G47" s="95"/>
      <c r="H47" s="95"/>
      <c r="I47" s="90"/>
      <c r="J47" s="87"/>
      <c r="K47" s="90"/>
      <c r="L47" s="87"/>
      <c r="M47" s="90"/>
      <c r="N47" s="87"/>
      <c r="O47" s="79"/>
      <c r="P47" s="79"/>
      <c r="Q47" s="79"/>
      <c r="R47" s="79"/>
      <c r="S47" s="79"/>
      <c r="T47" s="79"/>
      <c r="U47" s="79"/>
      <c r="V47" s="79"/>
    </row>
    <row r="48" spans="1:22" s="80" customFormat="1" ht="12">
      <c r="A48" s="79"/>
      <c r="B48" s="81"/>
      <c r="C48" s="79"/>
      <c r="F48" s="95"/>
      <c r="G48" s="95"/>
      <c r="H48" s="95"/>
      <c r="I48" s="90"/>
      <c r="J48" s="87"/>
      <c r="K48" s="90"/>
      <c r="L48" s="87"/>
      <c r="M48" s="90"/>
      <c r="N48" s="87"/>
      <c r="O48" s="79"/>
      <c r="P48" s="79"/>
      <c r="Q48" s="79"/>
      <c r="R48" s="79"/>
      <c r="S48" s="79"/>
      <c r="T48" s="79"/>
      <c r="U48" s="79"/>
      <c r="V48" s="79"/>
    </row>
    <row r="49" spans="1:22" s="80" customFormat="1" ht="12">
      <c r="A49" s="79"/>
      <c r="B49" s="81"/>
      <c r="C49" s="79"/>
      <c r="F49" s="95"/>
      <c r="G49" s="95"/>
      <c r="H49" s="95"/>
      <c r="I49" s="90"/>
      <c r="J49" s="87"/>
      <c r="K49" s="90"/>
      <c r="L49" s="87"/>
      <c r="M49" s="90"/>
      <c r="N49" s="87"/>
      <c r="O49" s="79"/>
      <c r="P49" s="79"/>
      <c r="Q49" s="79"/>
      <c r="R49" s="79"/>
      <c r="S49" s="79"/>
      <c r="T49" s="79"/>
      <c r="U49" s="79"/>
      <c r="V49" s="79"/>
    </row>
    <row r="50" spans="1:22" s="80" customFormat="1" ht="12">
      <c r="A50" s="79"/>
      <c r="B50" s="81"/>
      <c r="C50" s="79"/>
      <c r="F50" s="95"/>
      <c r="G50" s="95"/>
      <c r="H50" s="95"/>
      <c r="I50" s="90"/>
      <c r="J50" s="87"/>
      <c r="K50" s="90"/>
      <c r="L50" s="87"/>
      <c r="M50" s="90"/>
      <c r="N50" s="87"/>
      <c r="O50" s="79"/>
      <c r="P50" s="79"/>
      <c r="Q50" s="79"/>
      <c r="R50" s="79"/>
      <c r="S50" s="79"/>
      <c r="T50" s="79"/>
      <c r="U50" s="79"/>
      <c r="V50" s="79"/>
    </row>
    <row r="51" spans="1:22" s="80" customFormat="1" ht="12">
      <c r="A51" s="79"/>
      <c r="B51" s="81"/>
      <c r="C51" s="79"/>
      <c r="F51" s="95"/>
      <c r="G51" s="95"/>
      <c r="H51" s="95"/>
      <c r="I51" s="90"/>
      <c r="J51" s="87"/>
      <c r="K51" s="90"/>
      <c r="L51" s="87"/>
      <c r="M51" s="90"/>
      <c r="N51" s="87"/>
      <c r="O51" s="79"/>
      <c r="P51" s="79"/>
      <c r="Q51" s="79"/>
      <c r="R51" s="79"/>
      <c r="S51" s="79"/>
      <c r="T51" s="79"/>
      <c r="U51" s="79"/>
      <c r="V51" s="79"/>
    </row>
    <row r="52" spans="1:22" s="80" customFormat="1" ht="12">
      <c r="A52" s="79"/>
      <c r="B52" s="81"/>
      <c r="C52" s="79"/>
      <c r="F52" s="95"/>
      <c r="G52" s="95"/>
      <c r="H52" s="95"/>
      <c r="I52" s="90"/>
      <c r="J52" s="87"/>
      <c r="K52" s="90"/>
      <c r="L52" s="87"/>
      <c r="M52" s="90"/>
      <c r="N52" s="87"/>
      <c r="O52" s="79"/>
      <c r="P52" s="79"/>
      <c r="Q52" s="79"/>
      <c r="R52" s="79"/>
      <c r="S52" s="79"/>
      <c r="T52" s="79"/>
      <c r="U52" s="79"/>
      <c r="V52" s="79"/>
    </row>
    <row r="53" spans="1:22" s="80" customFormat="1" ht="12">
      <c r="A53" s="79"/>
      <c r="B53" s="81"/>
      <c r="C53" s="79"/>
      <c r="F53" s="95"/>
      <c r="G53" s="95"/>
      <c r="H53" s="95"/>
      <c r="I53" s="90"/>
      <c r="J53" s="87"/>
      <c r="K53" s="90"/>
      <c r="L53" s="87"/>
      <c r="M53" s="90"/>
      <c r="N53" s="87"/>
      <c r="O53" s="79"/>
      <c r="P53" s="79"/>
      <c r="Q53" s="79"/>
      <c r="R53" s="79"/>
      <c r="S53" s="79"/>
      <c r="T53" s="79"/>
      <c r="U53" s="79"/>
      <c r="V53" s="79"/>
    </row>
    <row r="54" spans="1:22" s="80" customFormat="1" ht="12">
      <c r="A54" s="79"/>
      <c r="B54" s="81"/>
      <c r="C54" s="79"/>
      <c r="F54" s="95"/>
      <c r="G54" s="95"/>
      <c r="H54" s="95"/>
      <c r="I54" s="90"/>
      <c r="J54" s="87"/>
      <c r="K54" s="90"/>
      <c r="L54" s="87"/>
      <c r="M54" s="90"/>
      <c r="N54" s="87"/>
      <c r="O54" s="79"/>
      <c r="P54" s="79"/>
      <c r="Q54" s="79"/>
      <c r="R54" s="79"/>
      <c r="S54" s="79"/>
      <c r="T54" s="79"/>
      <c r="U54" s="79"/>
      <c r="V54" s="79"/>
    </row>
    <row r="55" spans="1:22" s="80" customFormat="1" ht="12">
      <c r="A55" s="79"/>
      <c r="B55" s="81"/>
      <c r="C55" s="79"/>
      <c r="F55" s="95"/>
      <c r="G55" s="95"/>
      <c r="H55" s="95"/>
      <c r="I55" s="90"/>
      <c r="J55" s="87"/>
      <c r="K55" s="90"/>
      <c r="L55" s="87"/>
      <c r="M55" s="90"/>
      <c r="N55" s="87"/>
      <c r="O55" s="79"/>
      <c r="P55" s="79"/>
      <c r="Q55" s="79"/>
      <c r="R55" s="79"/>
      <c r="S55" s="79"/>
      <c r="T55" s="79"/>
      <c r="U55" s="79"/>
      <c r="V55" s="79"/>
    </row>
    <row r="56" spans="1:22" s="80" customFormat="1" ht="12">
      <c r="A56" s="79"/>
      <c r="B56" s="81"/>
      <c r="C56" s="79"/>
      <c r="F56" s="95"/>
      <c r="G56" s="95"/>
      <c r="H56" s="95"/>
      <c r="I56" s="90"/>
      <c r="J56" s="87"/>
      <c r="K56" s="90"/>
      <c r="L56" s="87"/>
      <c r="M56" s="90"/>
      <c r="N56" s="87"/>
      <c r="O56" s="79"/>
      <c r="P56" s="79"/>
      <c r="Q56" s="79"/>
      <c r="R56" s="79"/>
      <c r="S56" s="79"/>
      <c r="T56" s="79"/>
      <c r="U56" s="79"/>
      <c r="V56" s="79"/>
    </row>
    <row r="57" spans="1:22" s="80" customFormat="1" ht="12">
      <c r="A57" s="79"/>
      <c r="B57" s="81"/>
      <c r="C57" s="79"/>
      <c r="F57" s="95"/>
      <c r="G57" s="95"/>
      <c r="H57" s="95"/>
      <c r="I57" s="90"/>
      <c r="J57" s="87"/>
      <c r="K57" s="90"/>
      <c r="L57" s="87"/>
      <c r="M57" s="90"/>
      <c r="N57" s="87"/>
      <c r="O57" s="79"/>
      <c r="P57" s="79"/>
      <c r="Q57" s="79"/>
      <c r="R57" s="79"/>
      <c r="S57" s="79"/>
      <c r="T57" s="79"/>
      <c r="U57" s="79"/>
      <c r="V57" s="79"/>
    </row>
    <row r="58" spans="1:22" s="80" customFormat="1" ht="12">
      <c r="A58" s="79"/>
      <c r="B58" s="81"/>
      <c r="C58" s="79"/>
      <c r="F58" s="95"/>
      <c r="G58" s="95"/>
      <c r="H58" s="95"/>
      <c r="I58" s="90"/>
      <c r="J58" s="87"/>
      <c r="K58" s="90"/>
      <c r="L58" s="87"/>
      <c r="M58" s="90"/>
      <c r="N58" s="87"/>
      <c r="O58" s="79"/>
      <c r="P58" s="79"/>
      <c r="Q58" s="79"/>
      <c r="R58" s="79"/>
      <c r="S58" s="79"/>
      <c r="T58" s="79"/>
      <c r="U58" s="79"/>
      <c r="V58" s="79"/>
    </row>
    <row r="59" spans="1:22" s="80" customFormat="1" ht="12">
      <c r="A59" s="79"/>
      <c r="B59" s="81"/>
      <c r="C59" s="79"/>
      <c r="F59" s="95"/>
      <c r="G59" s="95"/>
      <c r="H59" s="95"/>
      <c r="I59" s="90"/>
      <c r="J59" s="87"/>
      <c r="K59" s="90"/>
      <c r="L59" s="87"/>
      <c r="M59" s="90"/>
      <c r="N59" s="87"/>
      <c r="O59" s="79"/>
      <c r="P59" s="79"/>
      <c r="Q59" s="79"/>
      <c r="R59" s="79"/>
      <c r="S59" s="79"/>
      <c r="T59" s="79"/>
      <c r="U59" s="79"/>
      <c r="V59" s="79"/>
    </row>
    <row r="60" spans="1:22" s="80" customFormat="1" ht="12">
      <c r="A60" s="79"/>
      <c r="B60" s="81"/>
      <c r="C60" s="79"/>
      <c r="F60" s="95"/>
      <c r="G60" s="95"/>
      <c r="H60" s="95"/>
      <c r="I60" s="90"/>
      <c r="J60" s="87"/>
      <c r="K60" s="90"/>
      <c r="L60" s="87"/>
      <c r="M60" s="90"/>
      <c r="N60" s="87"/>
      <c r="O60" s="79"/>
      <c r="P60" s="79"/>
      <c r="Q60" s="79"/>
      <c r="R60" s="79"/>
      <c r="S60" s="79"/>
      <c r="T60" s="79"/>
      <c r="U60" s="79"/>
      <c r="V60" s="79"/>
    </row>
    <row r="61" spans="1:22" s="80" customFormat="1" ht="12">
      <c r="A61" s="79"/>
      <c r="B61" s="81"/>
      <c r="C61" s="79"/>
      <c r="F61" s="95"/>
      <c r="G61" s="95"/>
      <c r="H61" s="95"/>
      <c r="I61" s="90"/>
      <c r="J61" s="87"/>
      <c r="K61" s="90"/>
      <c r="L61" s="87"/>
      <c r="M61" s="90"/>
      <c r="N61" s="87"/>
      <c r="O61" s="79"/>
      <c r="P61" s="79"/>
      <c r="Q61" s="79"/>
      <c r="R61" s="79"/>
      <c r="S61" s="79"/>
      <c r="T61" s="79"/>
      <c r="U61" s="79"/>
      <c r="V61" s="79"/>
    </row>
    <row r="62" spans="1:22" s="80" customFormat="1" ht="12">
      <c r="A62" s="79"/>
      <c r="B62" s="81"/>
      <c r="C62" s="79"/>
      <c r="F62" s="95"/>
      <c r="G62" s="95"/>
      <c r="H62" s="95"/>
      <c r="I62" s="90"/>
      <c r="J62" s="87"/>
      <c r="K62" s="90"/>
      <c r="L62" s="87"/>
      <c r="M62" s="90"/>
      <c r="N62" s="87"/>
      <c r="O62" s="79"/>
      <c r="P62" s="79"/>
      <c r="Q62" s="79"/>
      <c r="R62" s="79"/>
      <c r="S62" s="79"/>
      <c r="T62" s="79"/>
      <c r="U62" s="79"/>
      <c r="V62" s="79"/>
    </row>
    <row r="63" spans="1:22" s="80" customFormat="1" ht="12">
      <c r="A63" s="79"/>
      <c r="B63" s="81"/>
      <c r="C63" s="79"/>
      <c r="F63" s="95"/>
      <c r="G63" s="95"/>
      <c r="H63" s="95"/>
      <c r="I63" s="90"/>
      <c r="J63" s="87"/>
      <c r="K63" s="90"/>
      <c r="L63" s="87"/>
      <c r="M63" s="90"/>
      <c r="N63" s="87"/>
      <c r="O63" s="79"/>
      <c r="P63" s="79"/>
      <c r="Q63" s="79"/>
      <c r="R63" s="79"/>
      <c r="S63" s="79"/>
      <c r="T63" s="79"/>
      <c r="U63" s="79"/>
      <c r="V63" s="79"/>
    </row>
    <row r="64" spans="1:22" s="80" customFormat="1" ht="12">
      <c r="A64" s="79"/>
      <c r="B64" s="81"/>
      <c r="C64" s="79"/>
      <c r="F64" s="95"/>
      <c r="G64" s="95"/>
      <c r="H64" s="95"/>
      <c r="I64" s="90"/>
      <c r="J64" s="87"/>
      <c r="K64" s="90"/>
      <c r="L64" s="87"/>
      <c r="M64" s="90"/>
      <c r="N64" s="87"/>
      <c r="O64" s="79"/>
      <c r="P64" s="79"/>
      <c r="Q64" s="79"/>
      <c r="R64" s="79"/>
      <c r="S64" s="79"/>
      <c r="T64" s="79"/>
      <c r="U64" s="79"/>
      <c r="V64" s="79"/>
    </row>
    <row r="65" spans="1:22" s="80" customFormat="1" ht="12">
      <c r="A65" s="79"/>
      <c r="B65" s="81"/>
      <c r="C65" s="79"/>
      <c r="F65" s="95"/>
      <c r="G65" s="95"/>
      <c r="H65" s="95"/>
      <c r="I65" s="90"/>
      <c r="J65" s="87"/>
      <c r="K65" s="90"/>
      <c r="L65" s="87"/>
      <c r="M65" s="90"/>
      <c r="N65" s="87"/>
      <c r="O65" s="79"/>
      <c r="P65" s="79"/>
      <c r="Q65" s="79"/>
      <c r="R65" s="79"/>
      <c r="S65" s="79"/>
      <c r="T65" s="79"/>
      <c r="U65" s="79"/>
      <c r="V65" s="79"/>
    </row>
    <row r="66" spans="1:22" s="80" customFormat="1" ht="12">
      <c r="A66" s="79"/>
      <c r="B66" s="81"/>
      <c r="C66" s="79"/>
      <c r="F66" s="95"/>
      <c r="G66" s="95"/>
      <c r="H66" s="95"/>
      <c r="I66" s="90"/>
      <c r="J66" s="87"/>
      <c r="K66" s="90"/>
      <c r="L66" s="87"/>
      <c r="M66" s="90"/>
      <c r="N66" s="87"/>
      <c r="O66" s="79"/>
      <c r="P66" s="79"/>
      <c r="Q66" s="79"/>
      <c r="R66" s="79"/>
      <c r="S66" s="79"/>
      <c r="T66" s="79"/>
      <c r="U66" s="79"/>
      <c r="V66" s="79"/>
    </row>
    <row r="67" spans="1:22" s="80" customFormat="1" ht="12">
      <c r="A67" s="79"/>
      <c r="B67" s="81"/>
      <c r="C67" s="79"/>
      <c r="F67" s="95"/>
      <c r="G67" s="95"/>
      <c r="H67" s="95"/>
      <c r="I67" s="90"/>
      <c r="J67" s="87"/>
      <c r="K67" s="90"/>
      <c r="L67" s="87"/>
      <c r="M67" s="90"/>
      <c r="N67" s="87"/>
      <c r="O67" s="79"/>
      <c r="P67" s="79"/>
      <c r="Q67" s="79"/>
      <c r="R67" s="79"/>
      <c r="S67" s="79"/>
      <c r="T67" s="79"/>
      <c r="U67" s="79"/>
      <c r="V67" s="79"/>
    </row>
    <row r="68" spans="1:22" s="80" customFormat="1" ht="12">
      <c r="A68" s="79"/>
      <c r="B68" s="81"/>
      <c r="C68" s="79"/>
      <c r="F68" s="95"/>
      <c r="G68" s="95"/>
      <c r="H68" s="95"/>
      <c r="I68" s="90"/>
      <c r="J68" s="87"/>
      <c r="K68" s="90"/>
      <c r="L68" s="87"/>
      <c r="M68" s="90"/>
      <c r="N68" s="87"/>
      <c r="O68" s="79"/>
      <c r="P68" s="79"/>
      <c r="Q68" s="79"/>
      <c r="R68" s="79"/>
      <c r="S68" s="79"/>
      <c r="T68" s="79"/>
      <c r="U68" s="79"/>
      <c r="V68" s="79"/>
    </row>
    <row r="69" spans="1:22" s="80" customFormat="1" ht="12">
      <c r="A69" s="79"/>
      <c r="B69" s="81"/>
      <c r="C69" s="79"/>
      <c r="F69" s="95"/>
      <c r="G69" s="95"/>
      <c r="H69" s="95"/>
      <c r="I69" s="90"/>
      <c r="J69" s="87"/>
      <c r="K69" s="90"/>
      <c r="L69" s="87"/>
      <c r="M69" s="90"/>
      <c r="N69" s="87"/>
      <c r="O69" s="79"/>
      <c r="P69" s="79"/>
      <c r="Q69" s="79"/>
      <c r="R69" s="79"/>
      <c r="S69" s="79"/>
      <c r="T69" s="79"/>
      <c r="U69" s="79"/>
      <c r="V69" s="79"/>
    </row>
    <row r="70" spans="1:22" s="80" customFormat="1" ht="12">
      <c r="A70" s="79"/>
      <c r="B70" s="81"/>
      <c r="C70" s="79"/>
      <c r="F70" s="95"/>
      <c r="G70" s="95"/>
      <c r="H70" s="95"/>
      <c r="I70" s="90"/>
      <c r="J70" s="87"/>
      <c r="K70" s="90"/>
      <c r="L70" s="87"/>
      <c r="M70" s="90"/>
      <c r="N70" s="87"/>
      <c r="O70" s="79"/>
      <c r="P70" s="79"/>
      <c r="Q70" s="79"/>
      <c r="R70" s="79"/>
      <c r="S70" s="79"/>
      <c r="T70" s="79"/>
      <c r="U70" s="79"/>
      <c r="V70" s="79"/>
    </row>
    <row r="71" spans="1:22" s="80" customFormat="1" ht="12">
      <c r="A71" s="79"/>
      <c r="B71" s="81"/>
      <c r="C71" s="79"/>
      <c r="F71" s="95"/>
      <c r="G71" s="95"/>
      <c r="H71" s="95"/>
      <c r="I71" s="90"/>
      <c r="J71" s="87"/>
      <c r="K71" s="90"/>
      <c r="L71" s="87"/>
      <c r="M71" s="90"/>
      <c r="N71" s="87"/>
      <c r="O71" s="79"/>
      <c r="P71" s="79"/>
      <c r="Q71" s="79"/>
      <c r="R71" s="79"/>
      <c r="S71" s="79"/>
      <c r="T71" s="79"/>
      <c r="U71" s="79"/>
      <c r="V71" s="79"/>
    </row>
    <row r="72" spans="1:22" s="80" customFormat="1" ht="12">
      <c r="A72" s="79"/>
      <c r="B72" s="81"/>
      <c r="C72" s="79"/>
      <c r="F72" s="95"/>
      <c r="G72" s="95"/>
      <c r="H72" s="95"/>
      <c r="I72" s="90"/>
      <c r="J72" s="87"/>
      <c r="K72" s="90"/>
      <c r="L72" s="87"/>
      <c r="M72" s="90"/>
      <c r="N72" s="87"/>
      <c r="O72" s="79"/>
      <c r="P72" s="79"/>
      <c r="Q72" s="79"/>
      <c r="R72" s="79"/>
      <c r="S72" s="79"/>
      <c r="T72" s="79"/>
      <c r="U72" s="79"/>
      <c r="V72" s="79"/>
    </row>
    <row r="73" spans="1:22" s="80" customFormat="1" ht="12">
      <c r="A73" s="79"/>
      <c r="B73" s="81"/>
      <c r="C73" s="79"/>
      <c r="F73" s="95"/>
      <c r="G73" s="95"/>
      <c r="H73" s="95"/>
      <c r="I73" s="90"/>
      <c r="J73" s="87"/>
      <c r="K73" s="90"/>
      <c r="L73" s="87"/>
      <c r="M73" s="90"/>
      <c r="N73" s="87"/>
      <c r="O73" s="79"/>
      <c r="P73" s="79"/>
      <c r="Q73" s="79"/>
      <c r="R73" s="79"/>
      <c r="S73" s="79"/>
      <c r="T73" s="79"/>
      <c r="U73" s="79"/>
      <c r="V73" s="79"/>
    </row>
    <row r="74" spans="1:22" s="80" customFormat="1" ht="12">
      <c r="A74" s="79"/>
      <c r="B74" s="81"/>
      <c r="C74" s="79"/>
      <c r="F74" s="95"/>
      <c r="G74" s="95"/>
      <c r="H74" s="95"/>
      <c r="I74" s="90"/>
      <c r="J74" s="87"/>
      <c r="K74" s="90"/>
      <c r="L74" s="87"/>
      <c r="M74" s="90"/>
      <c r="N74" s="87"/>
      <c r="O74" s="79"/>
      <c r="P74" s="79"/>
      <c r="Q74" s="79"/>
      <c r="R74" s="79"/>
      <c r="S74" s="79"/>
      <c r="T74" s="79"/>
      <c r="U74" s="79"/>
      <c r="V74" s="79"/>
    </row>
    <row r="75" spans="1:22" s="80" customFormat="1" ht="12">
      <c r="A75" s="79"/>
      <c r="B75" s="81"/>
      <c r="C75" s="79"/>
      <c r="F75" s="95"/>
      <c r="G75" s="95"/>
      <c r="H75" s="95"/>
      <c r="I75" s="90"/>
      <c r="J75" s="87"/>
      <c r="K75" s="90"/>
      <c r="L75" s="87"/>
      <c r="M75" s="90"/>
      <c r="N75" s="87"/>
      <c r="O75" s="79"/>
      <c r="P75" s="79"/>
      <c r="Q75" s="79"/>
      <c r="R75" s="79"/>
      <c r="S75" s="79"/>
      <c r="T75" s="79"/>
      <c r="U75" s="79"/>
      <c r="V75" s="79"/>
    </row>
    <row r="76" spans="1:22" s="80" customFormat="1" ht="12">
      <c r="A76" s="79"/>
      <c r="B76" s="81"/>
      <c r="C76" s="79"/>
      <c r="F76" s="95"/>
      <c r="G76" s="95"/>
      <c r="H76" s="95"/>
      <c r="I76" s="90"/>
      <c r="J76" s="87"/>
      <c r="K76" s="90"/>
      <c r="L76" s="87"/>
      <c r="M76" s="90"/>
      <c r="N76" s="87"/>
      <c r="O76" s="79"/>
      <c r="P76" s="79"/>
      <c r="Q76" s="79"/>
      <c r="R76" s="79"/>
      <c r="S76" s="79"/>
      <c r="T76" s="79"/>
      <c r="U76" s="79"/>
      <c r="V76" s="79"/>
    </row>
    <row r="77" spans="1:22" s="80" customFormat="1" ht="12">
      <c r="A77" s="79"/>
      <c r="B77" s="81"/>
      <c r="C77" s="79"/>
      <c r="F77" s="95"/>
      <c r="G77" s="95"/>
      <c r="H77" s="95"/>
      <c r="I77" s="90"/>
      <c r="J77" s="87"/>
      <c r="K77" s="90"/>
      <c r="L77" s="87"/>
      <c r="M77" s="90"/>
      <c r="N77" s="87"/>
      <c r="O77" s="79"/>
      <c r="P77" s="79"/>
      <c r="Q77" s="79"/>
      <c r="R77" s="79"/>
      <c r="S77" s="79"/>
      <c r="T77" s="79"/>
      <c r="U77" s="79"/>
      <c r="V77" s="79"/>
    </row>
    <row r="78" spans="1:22" s="80" customFormat="1" ht="12">
      <c r="A78" s="79"/>
      <c r="B78" s="81"/>
      <c r="C78" s="79"/>
      <c r="F78" s="95"/>
      <c r="G78" s="95"/>
      <c r="H78" s="95"/>
      <c r="I78" s="90"/>
      <c r="J78" s="87"/>
      <c r="K78" s="90"/>
      <c r="L78" s="87"/>
      <c r="M78" s="90"/>
      <c r="N78" s="87"/>
      <c r="O78" s="79"/>
      <c r="P78" s="79"/>
      <c r="Q78" s="79"/>
      <c r="R78" s="79"/>
      <c r="S78" s="79"/>
      <c r="T78" s="79"/>
      <c r="U78" s="79"/>
      <c r="V78" s="79"/>
    </row>
    <row r="79" spans="1:22" s="80" customFormat="1" ht="12">
      <c r="A79" s="79"/>
      <c r="B79" s="81"/>
      <c r="C79" s="79"/>
      <c r="F79" s="95"/>
      <c r="G79" s="95"/>
      <c r="H79" s="95"/>
      <c r="I79" s="90"/>
      <c r="J79" s="87"/>
      <c r="K79" s="90"/>
      <c r="L79" s="87"/>
      <c r="M79" s="90"/>
      <c r="N79" s="87"/>
      <c r="O79" s="79"/>
      <c r="P79" s="79"/>
      <c r="Q79" s="79"/>
      <c r="R79" s="79"/>
      <c r="S79" s="79"/>
      <c r="T79" s="79"/>
      <c r="U79" s="79"/>
      <c r="V79" s="79"/>
    </row>
    <row r="80" spans="1:22" s="80" customFormat="1" ht="12">
      <c r="A80" s="79"/>
      <c r="B80" s="81"/>
      <c r="C80" s="79"/>
      <c r="F80" s="95"/>
      <c r="G80" s="95"/>
      <c r="H80" s="95"/>
      <c r="I80" s="90"/>
      <c r="J80" s="87"/>
      <c r="K80" s="90"/>
      <c r="L80" s="87"/>
      <c r="M80" s="90"/>
      <c r="N80" s="87"/>
      <c r="O80" s="79"/>
      <c r="P80" s="79"/>
      <c r="Q80" s="79"/>
      <c r="R80" s="79"/>
      <c r="S80" s="79"/>
      <c r="T80" s="79"/>
      <c r="U80" s="79"/>
      <c r="V80" s="79"/>
    </row>
    <row r="81" spans="1:22" s="80" customFormat="1" ht="12">
      <c r="A81" s="79"/>
      <c r="B81" s="81"/>
      <c r="C81" s="79"/>
      <c r="F81" s="95"/>
      <c r="G81" s="95"/>
      <c r="H81" s="95"/>
      <c r="I81" s="90"/>
      <c r="J81" s="87"/>
      <c r="K81" s="90"/>
      <c r="L81" s="87"/>
      <c r="M81" s="90"/>
      <c r="N81" s="87"/>
      <c r="O81" s="79"/>
      <c r="P81" s="79"/>
      <c r="Q81" s="79"/>
      <c r="R81" s="79"/>
      <c r="S81" s="79"/>
      <c r="T81" s="79"/>
      <c r="U81" s="79"/>
      <c r="V81" s="79"/>
    </row>
    <row r="82" spans="1:22" s="80" customFormat="1" ht="12">
      <c r="A82" s="79"/>
      <c r="B82" s="81"/>
      <c r="C82" s="79"/>
      <c r="F82" s="95"/>
      <c r="G82" s="95"/>
      <c r="H82" s="95"/>
      <c r="I82" s="90"/>
      <c r="J82" s="87"/>
      <c r="K82" s="90"/>
      <c r="L82" s="87"/>
      <c r="M82" s="90"/>
      <c r="N82" s="87"/>
      <c r="O82" s="79"/>
      <c r="P82" s="79"/>
      <c r="Q82" s="79"/>
      <c r="R82" s="79"/>
      <c r="S82" s="79"/>
      <c r="T82" s="79"/>
      <c r="U82" s="79"/>
      <c r="V82" s="79"/>
    </row>
    <row r="83" spans="1:22" s="80" customFormat="1" ht="12">
      <c r="A83" s="79"/>
      <c r="B83" s="81"/>
      <c r="C83" s="79"/>
      <c r="F83" s="95"/>
      <c r="G83" s="95"/>
      <c r="H83" s="95"/>
      <c r="I83" s="90"/>
      <c r="J83" s="87"/>
      <c r="K83" s="90"/>
      <c r="L83" s="87"/>
      <c r="M83" s="90"/>
      <c r="N83" s="87"/>
      <c r="O83" s="79"/>
      <c r="P83" s="79"/>
      <c r="Q83" s="79"/>
      <c r="R83" s="79"/>
      <c r="S83" s="79"/>
      <c r="T83" s="79"/>
      <c r="U83" s="79"/>
      <c r="V83" s="79"/>
    </row>
    <row r="84" spans="1:22" s="80" customFormat="1" ht="12">
      <c r="A84" s="79"/>
      <c r="B84" s="81"/>
      <c r="C84" s="79"/>
      <c r="F84" s="95"/>
      <c r="G84" s="95"/>
      <c r="H84" s="95"/>
      <c r="I84" s="90"/>
      <c r="J84" s="87"/>
      <c r="K84" s="90"/>
      <c r="L84" s="87"/>
      <c r="M84" s="90"/>
      <c r="N84" s="87"/>
      <c r="O84" s="79"/>
      <c r="P84" s="79"/>
      <c r="Q84" s="79"/>
      <c r="R84" s="79"/>
      <c r="S84" s="79"/>
      <c r="T84" s="79"/>
      <c r="U84" s="79"/>
      <c r="V84" s="79"/>
    </row>
    <row r="85" spans="1:22" s="80" customFormat="1" ht="12">
      <c r="A85" s="79"/>
      <c r="B85" s="81"/>
      <c r="C85" s="79"/>
      <c r="F85" s="95"/>
      <c r="G85" s="95"/>
      <c r="H85" s="95"/>
      <c r="I85" s="90"/>
      <c r="J85" s="87"/>
      <c r="K85" s="90"/>
      <c r="L85" s="87"/>
      <c r="M85" s="90"/>
      <c r="N85" s="87"/>
      <c r="O85" s="79"/>
      <c r="P85" s="79"/>
      <c r="Q85" s="79"/>
      <c r="R85" s="79"/>
      <c r="S85" s="79"/>
      <c r="T85" s="79"/>
      <c r="U85" s="79"/>
      <c r="V85" s="79"/>
    </row>
    <row r="86" spans="1:22" s="80" customFormat="1" ht="12">
      <c r="A86" s="79"/>
      <c r="B86" s="81"/>
      <c r="C86" s="79"/>
      <c r="F86" s="95"/>
      <c r="G86" s="95"/>
      <c r="H86" s="95"/>
      <c r="I86" s="90"/>
      <c r="J86" s="87"/>
      <c r="K86" s="90"/>
      <c r="L86" s="87"/>
      <c r="M86" s="90"/>
      <c r="N86" s="87"/>
      <c r="O86" s="79"/>
      <c r="P86" s="79"/>
      <c r="Q86" s="79"/>
      <c r="R86" s="79"/>
      <c r="S86" s="79"/>
      <c r="T86" s="79"/>
      <c r="U86" s="79"/>
      <c r="V86" s="79"/>
    </row>
    <row r="87" spans="1:22" s="80" customFormat="1" ht="12">
      <c r="A87" s="79"/>
      <c r="B87" s="81"/>
      <c r="C87" s="79"/>
      <c r="F87" s="95"/>
      <c r="G87" s="95"/>
      <c r="H87" s="95"/>
      <c r="I87" s="90"/>
      <c r="J87" s="87"/>
      <c r="K87" s="90"/>
      <c r="L87" s="87"/>
      <c r="M87" s="90"/>
      <c r="N87" s="87"/>
      <c r="O87" s="79"/>
      <c r="P87" s="79"/>
      <c r="Q87" s="79"/>
      <c r="R87" s="79"/>
      <c r="S87" s="79"/>
      <c r="T87" s="79"/>
      <c r="U87" s="79"/>
      <c r="V87" s="79"/>
    </row>
    <row r="88" spans="1:22" s="80" customFormat="1" ht="12">
      <c r="A88" s="79"/>
      <c r="B88" s="81"/>
      <c r="C88" s="79"/>
      <c r="F88" s="95"/>
      <c r="G88" s="95"/>
      <c r="H88" s="95"/>
      <c r="I88" s="90"/>
      <c r="J88" s="87"/>
      <c r="K88" s="90"/>
      <c r="L88" s="87"/>
      <c r="M88" s="90"/>
      <c r="N88" s="87"/>
      <c r="O88" s="79"/>
      <c r="P88" s="79"/>
      <c r="Q88" s="79"/>
      <c r="R88" s="79"/>
      <c r="S88" s="79"/>
      <c r="T88" s="79"/>
      <c r="U88" s="79"/>
      <c r="V88" s="79"/>
    </row>
    <row r="89" spans="1:22" s="80" customFormat="1" ht="12">
      <c r="A89" s="79"/>
      <c r="B89" s="81"/>
      <c r="C89" s="79"/>
      <c r="F89" s="95"/>
      <c r="G89" s="95"/>
      <c r="H89" s="95"/>
      <c r="I89" s="90"/>
      <c r="J89" s="87"/>
      <c r="K89" s="90"/>
      <c r="L89" s="87"/>
      <c r="M89" s="90"/>
      <c r="N89" s="87"/>
      <c r="O89" s="79"/>
      <c r="P89" s="79"/>
      <c r="Q89" s="79"/>
      <c r="R89" s="79"/>
      <c r="S89" s="79"/>
      <c r="T89" s="79"/>
      <c r="U89" s="79"/>
      <c r="V89" s="79"/>
    </row>
    <row r="90" spans="1:22" s="80" customFormat="1" ht="12">
      <c r="A90" s="79"/>
      <c r="B90" s="81"/>
      <c r="C90" s="79"/>
      <c r="F90" s="95"/>
      <c r="G90" s="95"/>
      <c r="H90" s="95"/>
      <c r="I90" s="90"/>
      <c r="J90" s="87"/>
      <c r="K90" s="90"/>
      <c r="L90" s="87"/>
      <c r="M90" s="90"/>
      <c r="N90" s="87"/>
      <c r="O90" s="79"/>
      <c r="P90" s="79"/>
      <c r="Q90" s="79"/>
      <c r="R90" s="79"/>
      <c r="S90" s="79"/>
      <c r="T90" s="79"/>
      <c r="U90" s="79"/>
      <c r="V90" s="79"/>
    </row>
    <row r="91" spans="1:22" s="80" customFormat="1" ht="12">
      <c r="A91" s="79"/>
      <c r="B91" s="81"/>
      <c r="C91" s="79"/>
      <c r="F91" s="95"/>
      <c r="G91" s="95"/>
      <c r="H91" s="95"/>
      <c r="I91" s="90"/>
      <c r="J91" s="87"/>
      <c r="K91" s="90"/>
      <c r="L91" s="87"/>
      <c r="M91" s="90"/>
      <c r="N91" s="87"/>
      <c r="O91" s="79"/>
      <c r="P91" s="79"/>
      <c r="Q91" s="79"/>
      <c r="R91" s="79"/>
      <c r="S91" s="79"/>
      <c r="T91" s="79"/>
      <c r="U91" s="79"/>
      <c r="V91" s="79"/>
    </row>
    <row r="92" spans="1:22" s="80" customFormat="1" ht="12">
      <c r="A92" s="79"/>
      <c r="B92" s="81"/>
      <c r="C92" s="79"/>
      <c r="F92" s="95"/>
      <c r="G92" s="95"/>
      <c r="H92" s="95"/>
      <c r="I92" s="90"/>
      <c r="J92" s="87"/>
      <c r="K92" s="90"/>
      <c r="L92" s="87"/>
      <c r="M92" s="90"/>
      <c r="N92" s="87"/>
      <c r="O92" s="79"/>
      <c r="P92" s="79"/>
      <c r="Q92" s="79"/>
      <c r="R92" s="79"/>
      <c r="S92" s="79"/>
      <c r="T92" s="79"/>
      <c r="U92" s="79"/>
      <c r="V92" s="79"/>
    </row>
    <row r="93" spans="1:22" s="80" customFormat="1" ht="12">
      <c r="A93" s="79"/>
      <c r="B93" s="81"/>
      <c r="C93" s="79"/>
      <c r="F93" s="95"/>
      <c r="G93" s="95"/>
      <c r="H93" s="95"/>
      <c r="I93" s="90"/>
      <c r="J93" s="87"/>
      <c r="K93" s="90"/>
      <c r="L93" s="87"/>
      <c r="M93" s="90"/>
      <c r="N93" s="87"/>
      <c r="O93" s="79"/>
      <c r="P93" s="79"/>
      <c r="Q93" s="79"/>
      <c r="R93" s="79"/>
      <c r="S93" s="79"/>
      <c r="T93" s="79"/>
      <c r="U93" s="79"/>
      <c r="V93" s="79"/>
    </row>
    <row r="94" spans="1:22" s="80" customFormat="1" ht="12">
      <c r="A94" s="79"/>
      <c r="B94" s="81"/>
      <c r="C94" s="79"/>
      <c r="F94" s="95"/>
      <c r="G94" s="95"/>
      <c r="H94" s="95"/>
      <c r="I94" s="90"/>
      <c r="J94" s="87"/>
      <c r="K94" s="90"/>
      <c r="L94" s="87"/>
      <c r="M94" s="90"/>
      <c r="N94" s="87"/>
      <c r="O94" s="79"/>
      <c r="P94" s="79"/>
      <c r="Q94" s="79"/>
      <c r="R94" s="79"/>
      <c r="S94" s="79"/>
      <c r="T94" s="79"/>
      <c r="U94" s="79"/>
      <c r="V94" s="79"/>
    </row>
    <row r="95" spans="1:22" s="80" customFormat="1" ht="12">
      <c r="A95" s="79"/>
      <c r="B95" s="81"/>
      <c r="C95" s="79"/>
      <c r="F95" s="95"/>
      <c r="G95" s="95"/>
      <c r="H95" s="95"/>
      <c r="I95" s="90"/>
      <c r="J95" s="87"/>
      <c r="K95" s="90"/>
      <c r="L95" s="87"/>
      <c r="M95" s="90"/>
      <c r="N95" s="87"/>
      <c r="O95" s="79"/>
      <c r="P95" s="79"/>
      <c r="Q95" s="79"/>
      <c r="R95" s="79"/>
      <c r="S95" s="79"/>
      <c r="T95" s="79"/>
      <c r="U95" s="79"/>
      <c r="V95" s="79"/>
    </row>
    <row r="96" spans="1:22" s="80" customFormat="1" ht="12">
      <c r="A96" s="79"/>
      <c r="B96" s="81"/>
      <c r="C96" s="79"/>
      <c r="F96" s="95"/>
      <c r="G96" s="95"/>
      <c r="H96" s="95"/>
      <c r="I96" s="90"/>
      <c r="J96" s="87"/>
      <c r="K96" s="90"/>
      <c r="L96" s="87"/>
      <c r="M96" s="90"/>
      <c r="N96" s="87"/>
      <c r="O96" s="79"/>
      <c r="P96" s="79"/>
      <c r="Q96" s="79"/>
      <c r="R96" s="79"/>
      <c r="S96" s="79"/>
      <c r="T96" s="79"/>
      <c r="U96" s="79"/>
      <c r="V96" s="79"/>
    </row>
    <row r="97" spans="1:22" s="80" customFormat="1" ht="12">
      <c r="A97" s="79"/>
      <c r="B97" s="81"/>
      <c r="C97" s="79"/>
      <c r="F97" s="95"/>
      <c r="G97" s="95"/>
      <c r="H97" s="95"/>
      <c r="I97" s="90"/>
      <c r="J97" s="87"/>
      <c r="K97" s="90"/>
      <c r="L97" s="87"/>
      <c r="M97" s="90"/>
      <c r="N97" s="87"/>
      <c r="O97" s="79"/>
      <c r="P97" s="79"/>
      <c r="Q97" s="79"/>
      <c r="R97" s="79"/>
      <c r="S97" s="79"/>
      <c r="T97" s="79"/>
      <c r="U97" s="79"/>
      <c r="V97" s="79"/>
    </row>
    <row r="98" spans="1:22" s="80" customFormat="1" ht="12">
      <c r="A98" s="79"/>
      <c r="B98" s="81"/>
      <c r="C98" s="79"/>
      <c r="F98" s="95"/>
      <c r="G98" s="95"/>
      <c r="H98" s="95"/>
      <c r="I98" s="90"/>
      <c r="J98" s="87"/>
      <c r="K98" s="90"/>
      <c r="L98" s="87"/>
      <c r="M98" s="90"/>
      <c r="N98" s="87"/>
      <c r="O98" s="79"/>
      <c r="P98" s="79"/>
      <c r="Q98" s="79"/>
      <c r="R98" s="79"/>
      <c r="S98" s="79"/>
      <c r="T98" s="79"/>
      <c r="U98" s="79"/>
      <c r="V98" s="79"/>
    </row>
  </sheetData>
  <mergeCells count="25">
    <mergeCell ref="G10:G16"/>
    <mergeCell ref="H7:H37"/>
    <mergeCell ref="G7:G9"/>
    <mergeCell ref="C7:C37"/>
    <mergeCell ref="B10:B16"/>
    <mergeCell ref="B17:B23"/>
    <mergeCell ref="B24:B30"/>
    <mergeCell ref="B31:B37"/>
    <mergeCell ref="G17:G23"/>
    <mergeCell ref="G24:G30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92"/>
  <sheetViews>
    <sheetView topLeftCell="A2" zoomScale="85" zoomScaleNormal="85" workbookViewId="0">
      <selection activeCell="M24" sqref="M24:M30"/>
    </sheetView>
  </sheetViews>
  <sheetFormatPr defaultColWidth="8.85546875" defaultRowHeight="14.25"/>
  <cols>
    <col min="1" max="1" width="8.85546875" style="79" customWidth="1"/>
    <col min="2" max="2" width="13.140625" style="79" customWidth="1"/>
    <col min="3" max="3" width="8.85546875" style="96" customWidth="1"/>
    <col min="4" max="4" width="17" style="96" customWidth="1"/>
    <col min="5" max="5" width="8.5703125" style="80" customWidth="1"/>
    <col min="6" max="8" width="17.42578125" style="97" customWidth="1"/>
    <col min="9" max="9" width="10.42578125" style="85" customWidth="1"/>
    <col min="10" max="10" width="10.42578125" style="87" customWidth="1"/>
    <col min="11" max="11" width="10.42578125" style="85" customWidth="1"/>
    <col min="12" max="12" width="10.42578125" style="87" customWidth="1"/>
    <col min="13" max="13" width="10.42578125" style="85" customWidth="1"/>
    <col min="14" max="14" width="10.42578125" style="87" customWidth="1"/>
    <col min="15" max="59" width="8.85546875" style="79" customWidth="1"/>
    <col min="60" max="16384" width="8.85546875" style="79"/>
  </cols>
  <sheetData>
    <row r="2" spans="1:14" ht="38.1" customHeight="1">
      <c r="A2" s="78"/>
      <c r="B2" s="184" t="s">
        <v>80</v>
      </c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</row>
    <row r="3" spans="1:14" ht="25.35" customHeight="1">
      <c r="B3" s="604" t="s">
        <v>43</v>
      </c>
      <c r="C3" s="593" t="s">
        <v>71</v>
      </c>
      <c r="D3" s="544" t="s">
        <v>45</v>
      </c>
      <c r="E3" s="544"/>
      <c r="F3" s="607" t="s">
        <v>81</v>
      </c>
      <c r="G3" s="608"/>
      <c r="H3" s="608"/>
      <c r="I3" s="600" t="s">
        <v>82</v>
      </c>
      <c r="J3" s="601"/>
      <c r="K3" s="601"/>
      <c r="L3" s="601"/>
      <c r="M3" s="601"/>
      <c r="N3" s="602"/>
    </row>
    <row r="4" spans="1:14" ht="25.35" customHeight="1">
      <c r="B4" s="604"/>
      <c r="C4" s="593"/>
      <c r="D4" s="544"/>
      <c r="E4" s="544"/>
      <c r="F4" s="608"/>
      <c r="G4" s="608"/>
      <c r="H4" s="608"/>
      <c r="I4" s="603" t="s">
        <v>74</v>
      </c>
      <c r="J4" s="603"/>
      <c r="K4" s="603" t="s">
        <v>75</v>
      </c>
      <c r="L4" s="603"/>
      <c r="M4" s="603" t="s">
        <v>76</v>
      </c>
      <c r="N4" s="603"/>
    </row>
    <row r="5" spans="1:14" ht="25.35" customHeight="1">
      <c r="B5" s="604"/>
      <c r="C5" s="593"/>
      <c r="D5" s="544"/>
      <c r="E5" s="544"/>
      <c r="F5" s="605" t="s">
        <v>52</v>
      </c>
      <c r="G5" s="605" t="s">
        <v>53</v>
      </c>
      <c r="H5" s="605" t="s">
        <v>54</v>
      </c>
      <c r="I5" s="603" t="s">
        <v>77</v>
      </c>
      <c r="J5" s="603"/>
      <c r="K5" s="603" t="s">
        <v>77</v>
      </c>
      <c r="L5" s="603"/>
      <c r="M5" s="603" t="s">
        <v>77</v>
      </c>
      <c r="N5" s="603"/>
    </row>
    <row r="6" spans="1:14" s="80" customFormat="1" ht="23.45" customHeight="1">
      <c r="B6" s="604"/>
      <c r="C6" s="610"/>
      <c r="D6" s="609"/>
      <c r="E6" s="609"/>
      <c r="F6" s="606"/>
      <c r="G6" s="606"/>
      <c r="H6" s="606"/>
      <c r="I6" s="396" t="s">
        <v>83</v>
      </c>
      <c r="J6" s="397" t="s">
        <v>79</v>
      </c>
      <c r="K6" s="396" t="s">
        <v>83</v>
      </c>
      <c r="L6" s="397" t="s">
        <v>79</v>
      </c>
      <c r="M6" s="396" t="s">
        <v>83</v>
      </c>
      <c r="N6" s="397" t="s">
        <v>79</v>
      </c>
    </row>
    <row r="7" spans="1:14">
      <c r="B7" s="398"/>
      <c r="C7" s="550" t="s">
        <v>55</v>
      </c>
      <c r="D7" s="399">
        <v>46235</v>
      </c>
      <c r="E7" s="400" t="s">
        <v>56</v>
      </c>
      <c r="F7" s="219">
        <f t="shared" ref="F7:F37" si="0">SUM(I7,K7,M7)</f>
        <v>50157</v>
      </c>
      <c r="G7" s="611">
        <f>SUM(F7:F12)</f>
        <v>351191</v>
      </c>
      <c r="H7" s="611">
        <f>SUM(F7:F36)</f>
        <v>1320645</v>
      </c>
      <c r="I7" s="98">
        <v>41924</v>
      </c>
      <c r="J7" s="94">
        <f t="shared" ref="J7:J37" si="1">I7/F7</f>
        <v>0.83585541400003982</v>
      </c>
      <c r="K7" s="98"/>
      <c r="L7" s="94">
        <f t="shared" ref="L7:L36" si="2">K7/F7</f>
        <v>0</v>
      </c>
      <c r="M7" s="98">
        <v>8233</v>
      </c>
      <c r="N7" s="94">
        <f t="shared" ref="N7:N37" si="3">M7/F7</f>
        <v>0.16414458599996012</v>
      </c>
    </row>
    <row r="8" spans="1:14">
      <c r="B8" s="398"/>
      <c r="C8" s="550"/>
      <c r="D8" s="399">
        <v>46236</v>
      </c>
      <c r="E8" s="400" t="s">
        <v>52</v>
      </c>
      <c r="F8" s="219">
        <f t="shared" si="0"/>
        <v>65177</v>
      </c>
      <c r="G8" s="611"/>
      <c r="H8" s="611"/>
      <c r="I8" s="98">
        <v>54753</v>
      </c>
      <c r="J8" s="94">
        <f t="shared" si="1"/>
        <v>0.84006628105006365</v>
      </c>
      <c r="K8" s="98"/>
      <c r="L8" s="94">
        <f t="shared" si="2"/>
        <v>0</v>
      </c>
      <c r="M8" s="98">
        <v>10424</v>
      </c>
      <c r="N8" s="94">
        <f t="shared" si="3"/>
        <v>0.15993371894993633</v>
      </c>
    </row>
    <row r="9" spans="1:14">
      <c r="B9" s="398"/>
      <c r="C9" s="550"/>
      <c r="D9" s="404">
        <v>46237</v>
      </c>
      <c r="E9" s="405" t="s">
        <v>57</v>
      </c>
      <c r="F9" s="406">
        <f t="shared" si="0"/>
        <v>65514</v>
      </c>
      <c r="G9" s="533"/>
      <c r="H9" s="611"/>
      <c r="I9" s="421">
        <v>54248</v>
      </c>
      <c r="J9" s="422">
        <f t="shared" si="1"/>
        <v>0.82803675550264066</v>
      </c>
      <c r="K9" s="421"/>
      <c r="L9" s="422">
        <f t="shared" si="2"/>
        <v>0</v>
      </c>
      <c r="M9" s="421">
        <v>11266</v>
      </c>
      <c r="N9" s="422">
        <f t="shared" si="3"/>
        <v>0.17196324449735934</v>
      </c>
    </row>
    <row r="10" spans="1:14">
      <c r="B10" s="547">
        <v>46246</v>
      </c>
      <c r="C10" s="551"/>
      <c r="D10" s="411">
        <v>46238</v>
      </c>
      <c r="E10" s="412" t="s">
        <v>58</v>
      </c>
      <c r="F10" s="413">
        <f t="shared" si="0"/>
        <v>60136</v>
      </c>
      <c r="G10" s="614">
        <f>SUM(F10:F16)</f>
        <v>389510</v>
      </c>
      <c r="H10" s="612"/>
      <c r="I10" s="425">
        <v>49950</v>
      </c>
      <c r="J10" s="426">
        <f t="shared" si="1"/>
        <v>0.83061726752693898</v>
      </c>
      <c r="K10" s="427"/>
      <c r="L10" s="426">
        <f t="shared" si="2"/>
        <v>0</v>
      </c>
      <c r="M10" s="413">
        <v>10186</v>
      </c>
      <c r="N10" s="428">
        <f t="shared" si="3"/>
        <v>0.16938273247306107</v>
      </c>
    </row>
    <row r="11" spans="1:14" ht="12">
      <c r="B11" s="547"/>
      <c r="C11" s="551"/>
      <c r="D11" s="415">
        <v>46239</v>
      </c>
      <c r="E11" s="402" t="s">
        <v>59</v>
      </c>
      <c r="F11" s="219">
        <f t="shared" si="0"/>
        <v>55976</v>
      </c>
      <c r="G11" s="615"/>
      <c r="H11" s="612"/>
      <c r="I11" s="429">
        <v>46533</v>
      </c>
      <c r="J11" s="94">
        <f t="shared" si="1"/>
        <v>0.83130270115763893</v>
      </c>
      <c r="K11" s="98"/>
      <c r="L11" s="94">
        <f t="shared" si="2"/>
        <v>0</v>
      </c>
      <c r="M11" s="219">
        <v>9443</v>
      </c>
      <c r="N11" s="430">
        <f t="shared" si="3"/>
        <v>0.16869729884236101</v>
      </c>
    </row>
    <row r="12" spans="1:14">
      <c r="B12" s="547"/>
      <c r="C12" s="551"/>
      <c r="D12" s="415">
        <v>46240</v>
      </c>
      <c r="E12" s="400" t="s">
        <v>60</v>
      </c>
      <c r="F12" s="219">
        <f t="shared" si="0"/>
        <v>54231</v>
      </c>
      <c r="G12" s="615"/>
      <c r="H12" s="612"/>
      <c r="I12" s="429">
        <v>45319</v>
      </c>
      <c r="J12" s="94">
        <f t="shared" si="1"/>
        <v>0.83566594752079071</v>
      </c>
      <c r="K12" s="98"/>
      <c r="L12" s="94">
        <f t="shared" si="2"/>
        <v>0</v>
      </c>
      <c r="M12" s="219">
        <v>8912</v>
      </c>
      <c r="N12" s="430">
        <f t="shared" si="3"/>
        <v>0.16433405247920932</v>
      </c>
    </row>
    <row r="13" spans="1:14">
      <c r="B13" s="547"/>
      <c r="C13" s="551"/>
      <c r="D13" s="415">
        <v>46241</v>
      </c>
      <c r="E13" s="400" t="s">
        <v>61</v>
      </c>
      <c r="F13" s="219">
        <f t="shared" si="0"/>
        <v>43046</v>
      </c>
      <c r="G13" s="615"/>
      <c r="H13" s="612"/>
      <c r="I13" s="429">
        <v>35639</v>
      </c>
      <c r="J13" s="94">
        <f t="shared" si="1"/>
        <v>0.82792826278864473</v>
      </c>
      <c r="K13" s="98"/>
      <c r="L13" s="94">
        <f t="shared" si="2"/>
        <v>0</v>
      </c>
      <c r="M13" s="219">
        <v>7407</v>
      </c>
      <c r="N13" s="430">
        <f t="shared" si="3"/>
        <v>0.1720717372113553</v>
      </c>
    </row>
    <row r="14" spans="1:14">
      <c r="B14" s="547"/>
      <c r="C14" s="551"/>
      <c r="D14" s="415">
        <v>46242</v>
      </c>
      <c r="E14" s="400" t="s">
        <v>56</v>
      </c>
      <c r="F14" s="219">
        <f t="shared" si="0"/>
        <v>46671</v>
      </c>
      <c r="G14" s="615"/>
      <c r="H14" s="612"/>
      <c r="I14" s="429">
        <v>38941</v>
      </c>
      <c r="J14" s="94">
        <f t="shared" si="1"/>
        <v>0.83437252255147731</v>
      </c>
      <c r="K14" s="98"/>
      <c r="L14" s="94">
        <f t="shared" si="2"/>
        <v>0</v>
      </c>
      <c r="M14" s="219">
        <v>7730</v>
      </c>
      <c r="N14" s="430">
        <f t="shared" si="3"/>
        <v>0.16562747744852263</v>
      </c>
    </row>
    <row r="15" spans="1:14">
      <c r="B15" s="547"/>
      <c r="C15" s="551"/>
      <c r="D15" s="415">
        <v>46243</v>
      </c>
      <c r="E15" s="400" t="s">
        <v>52</v>
      </c>
      <c r="F15" s="219">
        <f t="shared" si="0"/>
        <v>64248</v>
      </c>
      <c r="G15" s="615"/>
      <c r="H15" s="612"/>
      <c r="I15" s="429">
        <v>54516</v>
      </c>
      <c r="J15" s="94">
        <f t="shared" si="1"/>
        <v>0.84852446768771017</v>
      </c>
      <c r="K15" s="98"/>
      <c r="L15" s="94">
        <f t="shared" si="2"/>
        <v>0</v>
      </c>
      <c r="M15" s="219">
        <v>9732</v>
      </c>
      <c r="N15" s="430">
        <f t="shared" si="3"/>
        <v>0.15147553231228988</v>
      </c>
    </row>
    <row r="16" spans="1:14">
      <c r="B16" s="547"/>
      <c r="C16" s="551"/>
      <c r="D16" s="417">
        <v>46244</v>
      </c>
      <c r="E16" s="418" t="s">
        <v>57</v>
      </c>
      <c r="F16" s="419">
        <f t="shared" si="0"/>
        <v>65202</v>
      </c>
      <c r="G16" s="616"/>
      <c r="H16" s="612"/>
      <c r="I16" s="431">
        <v>54614</v>
      </c>
      <c r="J16" s="432">
        <f t="shared" si="1"/>
        <v>0.83761234317965705</v>
      </c>
      <c r="K16" s="433"/>
      <c r="L16" s="432">
        <f t="shared" si="2"/>
        <v>0</v>
      </c>
      <c r="M16" s="419">
        <v>10588</v>
      </c>
      <c r="N16" s="434">
        <f t="shared" si="3"/>
        <v>0.16238765682034292</v>
      </c>
    </row>
    <row r="17" spans="2:14">
      <c r="B17" s="547">
        <v>46253</v>
      </c>
      <c r="C17" s="550"/>
      <c r="D17" s="407">
        <v>46245</v>
      </c>
      <c r="E17" s="408" t="s">
        <v>58</v>
      </c>
      <c r="F17" s="409">
        <f t="shared" si="0"/>
        <v>56162</v>
      </c>
      <c r="G17" s="536">
        <f>SUM(F17:F23)</f>
        <v>382077</v>
      </c>
      <c r="H17" s="611"/>
      <c r="I17" s="409">
        <v>46631</v>
      </c>
      <c r="J17" s="423">
        <f t="shared" si="1"/>
        <v>0.83029450518143944</v>
      </c>
      <c r="K17" s="424"/>
      <c r="L17" s="423">
        <f t="shared" si="2"/>
        <v>0</v>
      </c>
      <c r="M17" s="409">
        <v>9531</v>
      </c>
      <c r="N17" s="423">
        <f t="shared" si="3"/>
        <v>0.16970549481856059</v>
      </c>
    </row>
    <row r="18" spans="2:14" ht="12">
      <c r="B18" s="547"/>
      <c r="C18" s="550"/>
      <c r="D18" s="399">
        <v>46246</v>
      </c>
      <c r="E18" s="402" t="s">
        <v>59</v>
      </c>
      <c r="F18" s="219">
        <f t="shared" si="0"/>
        <v>55867</v>
      </c>
      <c r="G18" s="534"/>
      <c r="H18" s="611"/>
      <c r="I18" s="219">
        <v>47121</v>
      </c>
      <c r="J18" s="94">
        <f t="shared" si="1"/>
        <v>0.84344962142230651</v>
      </c>
      <c r="K18" s="98"/>
      <c r="L18" s="94">
        <f t="shared" si="2"/>
        <v>0</v>
      </c>
      <c r="M18" s="219">
        <v>8746</v>
      </c>
      <c r="N18" s="94">
        <f t="shared" si="3"/>
        <v>0.15655037857769344</v>
      </c>
    </row>
    <row r="19" spans="2:14">
      <c r="B19" s="547"/>
      <c r="C19" s="550"/>
      <c r="D19" s="399">
        <v>46247</v>
      </c>
      <c r="E19" s="400" t="s">
        <v>60</v>
      </c>
      <c r="F19" s="219">
        <f t="shared" si="0"/>
        <v>53441</v>
      </c>
      <c r="G19" s="534"/>
      <c r="H19" s="611"/>
      <c r="I19" s="219">
        <v>44789</v>
      </c>
      <c r="J19" s="94">
        <f t="shared" si="1"/>
        <v>0.83810183192679777</v>
      </c>
      <c r="K19" s="98"/>
      <c r="L19" s="94">
        <f t="shared" si="2"/>
        <v>0</v>
      </c>
      <c r="M19" s="219">
        <v>8652</v>
      </c>
      <c r="N19" s="94">
        <f t="shared" si="3"/>
        <v>0.16189816807320223</v>
      </c>
    </row>
    <row r="20" spans="2:14">
      <c r="B20" s="547"/>
      <c r="C20" s="550"/>
      <c r="D20" s="399">
        <v>46248</v>
      </c>
      <c r="E20" s="400" t="s">
        <v>61</v>
      </c>
      <c r="F20" s="219">
        <f t="shared" si="0"/>
        <v>43480</v>
      </c>
      <c r="G20" s="534"/>
      <c r="H20" s="611"/>
      <c r="I20" s="219">
        <v>36076</v>
      </c>
      <c r="J20" s="94">
        <f t="shared" si="1"/>
        <v>0.82971481140754366</v>
      </c>
      <c r="K20" s="98"/>
      <c r="L20" s="94">
        <f t="shared" si="2"/>
        <v>0</v>
      </c>
      <c r="M20" s="219">
        <v>7404</v>
      </c>
      <c r="N20" s="94">
        <f t="shared" si="3"/>
        <v>0.17028518859245631</v>
      </c>
    </row>
    <row r="21" spans="2:14">
      <c r="B21" s="547"/>
      <c r="C21" s="550"/>
      <c r="D21" s="399">
        <v>46249</v>
      </c>
      <c r="E21" s="400" t="s">
        <v>56</v>
      </c>
      <c r="F21" s="219">
        <f t="shared" si="0"/>
        <v>47216</v>
      </c>
      <c r="G21" s="534"/>
      <c r="H21" s="611"/>
      <c r="I21" s="219">
        <v>39504</v>
      </c>
      <c r="J21" s="94">
        <f t="shared" si="1"/>
        <v>0.83666553710606573</v>
      </c>
      <c r="K21" s="98"/>
      <c r="L21" s="94">
        <f t="shared" si="2"/>
        <v>0</v>
      </c>
      <c r="M21" s="219">
        <v>7712</v>
      </c>
      <c r="N21" s="94">
        <f t="shared" si="3"/>
        <v>0.16333446289393425</v>
      </c>
    </row>
    <row r="22" spans="2:14">
      <c r="B22" s="547"/>
      <c r="C22" s="550"/>
      <c r="D22" s="399">
        <v>46250</v>
      </c>
      <c r="E22" s="400" t="s">
        <v>52</v>
      </c>
      <c r="F22" s="219">
        <f t="shared" si="0"/>
        <v>61768</v>
      </c>
      <c r="G22" s="534"/>
      <c r="H22" s="611"/>
      <c r="I22" s="219">
        <v>52177</v>
      </c>
      <c r="J22" s="94">
        <f t="shared" si="1"/>
        <v>0.8447254241678539</v>
      </c>
      <c r="K22" s="98"/>
      <c r="L22" s="94">
        <f t="shared" si="2"/>
        <v>0</v>
      </c>
      <c r="M22" s="219">
        <v>9591</v>
      </c>
      <c r="N22" s="94">
        <f t="shared" si="3"/>
        <v>0.1552745758321461</v>
      </c>
    </row>
    <row r="23" spans="2:14">
      <c r="B23" s="547"/>
      <c r="C23" s="550"/>
      <c r="D23" s="399">
        <v>46251</v>
      </c>
      <c r="E23" s="400" t="s">
        <v>57</v>
      </c>
      <c r="F23" s="219">
        <f t="shared" si="0"/>
        <v>64143</v>
      </c>
      <c r="G23" s="535"/>
      <c r="H23" s="611"/>
      <c r="I23" s="406">
        <v>53535</v>
      </c>
      <c r="J23" s="422">
        <f t="shared" si="1"/>
        <v>0.83461952200551892</v>
      </c>
      <c r="K23" s="421"/>
      <c r="L23" s="422">
        <f t="shared" si="2"/>
        <v>0</v>
      </c>
      <c r="M23" s="406">
        <v>10608</v>
      </c>
      <c r="N23" s="422">
        <f t="shared" si="3"/>
        <v>0.16538047799448108</v>
      </c>
    </row>
    <row r="24" spans="2:14">
      <c r="B24" s="547">
        <v>46260</v>
      </c>
      <c r="C24" s="550"/>
      <c r="D24" s="411">
        <v>46252</v>
      </c>
      <c r="E24" s="412" t="s">
        <v>58</v>
      </c>
      <c r="F24" s="413">
        <f t="shared" si="0"/>
        <v>56950</v>
      </c>
      <c r="G24" s="414">
        <f>SUM(F24:F30)</f>
        <v>368210</v>
      </c>
      <c r="H24" s="613"/>
      <c r="I24" s="425">
        <v>47634</v>
      </c>
      <c r="J24" s="426">
        <f t="shared" si="1"/>
        <v>0.83641791044776115</v>
      </c>
      <c r="K24" s="427"/>
      <c r="L24" s="426">
        <f t="shared" si="2"/>
        <v>0</v>
      </c>
      <c r="M24" s="413">
        <v>9316</v>
      </c>
      <c r="N24" s="428">
        <f t="shared" si="3"/>
        <v>0.1635820895522388</v>
      </c>
    </row>
    <row r="25" spans="2:14" ht="12">
      <c r="B25" s="547"/>
      <c r="C25" s="550"/>
      <c r="D25" s="415">
        <v>46253</v>
      </c>
      <c r="E25" s="402" t="s">
        <v>59</v>
      </c>
      <c r="F25" s="219">
        <f t="shared" si="0"/>
        <v>51994</v>
      </c>
      <c r="G25" s="416"/>
      <c r="H25" s="613"/>
      <c r="I25" s="429">
        <v>43540</v>
      </c>
      <c r="J25" s="94">
        <f t="shared" si="1"/>
        <v>0.83740431588260189</v>
      </c>
      <c r="K25" s="98"/>
      <c r="L25" s="94">
        <f t="shared" si="2"/>
        <v>0</v>
      </c>
      <c r="M25" s="219">
        <v>8454</v>
      </c>
      <c r="N25" s="430">
        <f t="shared" si="3"/>
        <v>0.16259568411739816</v>
      </c>
    </row>
    <row r="26" spans="2:14">
      <c r="B26" s="547"/>
      <c r="C26" s="550"/>
      <c r="D26" s="415">
        <v>46254</v>
      </c>
      <c r="E26" s="400" t="s">
        <v>60</v>
      </c>
      <c r="F26" s="219">
        <f t="shared" si="0"/>
        <v>50258</v>
      </c>
      <c r="G26" s="416"/>
      <c r="H26" s="613"/>
      <c r="I26" s="429">
        <v>41952</v>
      </c>
      <c r="J26" s="94">
        <f t="shared" si="1"/>
        <v>0.83473277886107689</v>
      </c>
      <c r="K26" s="98"/>
      <c r="L26" s="94">
        <f t="shared" si="2"/>
        <v>0</v>
      </c>
      <c r="M26" s="219">
        <v>8306</v>
      </c>
      <c r="N26" s="430">
        <f t="shared" si="3"/>
        <v>0.16526722113892314</v>
      </c>
    </row>
    <row r="27" spans="2:14">
      <c r="B27" s="547"/>
      <c r="C27" s="550"/>
      <c r="D27" s="415">
        <v>46255</v>
      </c>
      <c r="E27" s="400" t="s">
        <v>61</v>
      </c>
      <c r="F27" s="219">
        <f t="shared" si="0"/>
        <v>39573</v>
      </c>
      <c r="G27" s="416"/>
      <c r="H27" s="613"/>
      <c r="I27" s="429">
        <v>32951</v>
      </c>
      <c r="J27" s="94">
        <f t="shared" si="1"/>
        <v>0.83266368483562025</v>
      </c>
      <c r="K27" s="98"/>
      <c r="L27" s="94">
        <f t="shared" si="2"/>
        <v>0</v>
      </c>
      <c r="M27" s="219">
        <v>6622</v>
      </c>
      <c r="N27" s="430">
        <f t="shared" si="3"/>
        <v>0.16733631516437975</v>
      </c>
    </row>
    <row r="28" spans="2:14">
      <c r="B28" s="547"/>
      <c r="C28" s="550"/>
      <c r="D28" s="415">
        <v>46256</v>
      </c>
      <c r="E28" s="400" t="s">
        <v>56</v>
      </c>
      <c r="F28" s="219">
        <f t="shared" si="0"/>
        <v>44045</v>
      </c>
      <c r="G28" s="416"/>
      <c r="H28" s="613"/>
      <c r="I28" s="429">
        <v>36927</v>
      </c>
      <c r="J28" s="94">
        <f t="shared" si="1"/>
        <v>0.83839255307072313</v>
      </c>
      <c r="K28" s="98"/>
      <c r="L28" s="94">
        <f t="shared" si="2"/>
        <v>0</v>
      </c>
      <c r="M28" s="219">
        <v>7118</v>
      </c>
      <c r="N28" s="430">
        <f t="shared" si="3"/>
        <v>0.16160744692927687</v>
      </c>
    </row>
    <row r="29" spans="2:14">
      <c r="B29" s="547"/>
      <c r="C29" s="550"/>
      <c r="D29" s="415">
        <v>46257</v>
      </c>
      <c r="E29" s="400" t="s">
        <v>52</v>
      </c>
      <c r="F29" s="219">
        <f t="shared" si="0"/>
        <v>62066</v>
      </c>
      <c r="G29" s="416"/>
      <c r="H29" s="613"/>
      <c r="I29" s="429">
        <v>52821</v>
      </c>
      <c r="J29" s="94">
        <f t="shared" si="1"/>
        <v>0.85104566107047341</v>
      </c>
      <c r="K29" s="98"/>
      <c r="L29" s="94">
        <f t="shared" si="2"/>
        <v>0</v>
      </c>
      <c r="M29" s="219">
        <v>9245</v>
      </c>
      <c r="N29" s="430">
        <f t="shared" si="3"/>
        <v>0.14895433892952664</v>
      </c>
    </row>
    <row r="30" spans="2:14">
      <c r="B30" s="547"/>
      <c r="C30" s="550"/>
      <c r="D30" s="417">
        <v>46258</v>
      </c>
      <c r="E30" s="418" t="s">
        <v>57</v>
      </c>
      <c r="F30" s="419">
        <f t="shared" si="0"/>
        <v>63324</v>
      </c>
      <c r="G30" s="420"/>
      <c r="H30" s="613"/>
      <c r="I30" s="431">
        <v>52916</v>
      </c>
      <c r="J30" s="432">
        <f t="shared" si="1"/>
        <v>0.83563893626429153</v>
      </c>
      <c r="K30" s="433"/>
      <c r="L30" s="432">
        <f t="shared" si="2"/>
        <v>0</v>
      </c>
      <c r="M30" s="419">
        <v>10408</v>
      </c>
      <c r="N30" s="434">
        <f t="shared" si="3"/>
        <v>0.16436106373570841</v>
      </c>
    </row>
    <row r="31" spans="2:14">
      <c r="B31" s="547">
        <v>46267</v>
      </c>
      <c r="C31" s="550"/>
      <c r="D31" s="399">
        <v>46259</v>
      </c>
      <c r="E31" s="400" t="s">
        <v>58</v>
      </c>
      <c r="F31" s="219">
        <f t="shared" si="0"/>
        <v>0</v>
      </c>
      <c r="G31" s="401">
        <f>SUM(F31:F37)</f>
        <v>0</v>
      </c>
      <c r="H31" s="611"/>
      <c r="I31" s="409"/>
      <c r="J31" s="423" t="e">
        <f t="shared" si="1"/>
        <v>#DIV/0!</v>
      </c>
      <c r="K31" s="424"/>
      <c r="L31" s="423" t="e">
        <f t="shared" si="2"/>
        <v>#DIV/0!</v>
      </c>
      <c r="M31" s="409"/>
      <c r="N31" s="423" t="e">
        <f t="shared" si="3"/>
        <v>#DIV/0!</v>
      </c>
    </row>
    <row r="32" spans="2:14" ht="12">
      <c r="B32" s="547"/>
      <c r="C32" s="550"/>
      <c r="D32" s="399">
        <v>46260</v>
      </c>
      <c r="E32" s="402" t="s">
        <v>59</v>
      </c>
      <c r="F32" s="219">
        <f t="shared" si="0"/>
        <v>0</v>
      </c>
      <c r="G32" s="401"/>
      <c r="H32" s="611"/>
      <c r="I32" s="219"/>
      <c r="J32" s="94" t="e">
        <f t="shared" si="1"/>
        <v>#DIV/0!</v>
      </c>
      <c r="K32" s="98"/>
      <c r="L32" s="94" t="e">
        <f t="shared" si="2"/>
        <v>#DIV/0!</v>
      </c>
      <c r="M32" s="219"/>
      <c r="N32" s="94" t="e">
        <f t="shared" si="3"/>
        <v>#DIV/0!</v>
      </c>
    </row>
    <row r="33" spans="2:14">
      <c r="B33" s="547"/>
      <c r="C33" s="550"/>
      <c r="D33" s="399">
        <v>46261</v>
      </c>
      <c r="E33" s="400" t="s">
        <v>60</v>
      </c>
      <c r="F33" s="219">
        <f t="shared" si="0"/>
        <v>0</v>
      </c>
      <c r="G33" s="401"/>
      <c r="H33" s="611"/>
      <c r="I33" s="219"/>
      <c r="J33" s="94" t="e">
        <f t="shared" si="1"/>
        <v>#DIV/0!</v>
      </c>
      <c r="K33" s="98"/>
      <c r="L33" s="94" t="e">
        <f t="shared" si="2"/>
        <v>#DIV/0!</v>
      </c>
      <c r="M33" s="219"/>
      <c r="N33" s="94" t="e">
        <f t="shared" si="3"/>
        <v>#DIV/0!</v>
      </c>
    </row>
    <row r="34" spans="2:14">
      <c r="B34" s="547"/>
      <c r="C34" s="550"/>
      <c r="D34" s="399">
        <v>46262</v>
      </c>
      <c r="E34" s="400" t="s">
        <v>61</v>
      </c>
      <c r="F34" s="219">
        <f t="shared" si="0"/>
        <v>0</v>
      </c>
      <c r="G34" s="401"/>
      <c r="H34" s="611"/>
      <c r="I34" s="219"/>
      <c r="J34" s="94" t="e">
        <f t="shared" si="1"/>
        <v>#DIV/0!</v>
      </c>
      <c r="K34" s="98"/>
      <c r="L34" s="94" t="e">
        <f t="shared" si="2"/>
        <v>#DIV/0!</v>
      </c>
      <c r="M34" s="219"/>
      <c r="N34" s="94" t="e">
        <f t="shared" si="3"/>
        <v>#DIV/0!</v>
      </c>
    </row>
    <row r="35" spans="2:14">
      <c r="B35" s="547"/>
      <c r="C35" s="550"/>
      <c r="D35" s="399">
        <v>46263</v>
      </c>
      <c r="E35" s="400" t="s">
        <v>56</v>
      </c>
      <c r="F35" s="219">
        <f t="shared" si="0"/>
        <v>0</v>
      </c>
      <c r="G35" s="401"/>
      <c r="H35" s="611"/>
      <c r="I35" s="219"/>
      <c r="J35" s="94" t="e">
        <f t="shared" si="1"/>
        <v>#DIV/0!</v>
      </c>
      <c r="K35" s="98"/>
      <c r="L35" s="94" t="e">
        <f t="shared" si="2"/>
        <v>#DIV/0!</v>
      </c>
      <c r="M35" s="219"/>
      <c r="N35" s="94" t="e">
        <f t="shared" si="3"/>
        <v>#DIV/0!</v>
      </c>
    </row>
    <row r="36" spans="2:14">
      <c r="B36" s="547"/>
      <c r="C36" s="550"/>
      <c r="D36" s="399">
        <v>46264</v>
      </c>
      <c r="E36" s="400" t="s">
        <v>52</v>
      </c>
      <c r="F36" s="219">
        <f t="shared" si="0"/>
        <v>0</v>
      </c>
      <c r="G36" s="401"/>
      <c r="H36" s="611"/>
      <c r="I36" s="219"/>
      <c r="J36" s="94" t="e">
        <f t="shared" si="1"/>
        <v>#DIV/0!</v>
      </c>
      <c r="K36" s="98"/>
      <c r="L36" s="94" t="e">
        <f t="shared" si="2"/>
        <v>#DIV/0!</v>
      </c>
      <c r="M36" s="219"/>
      <c r="N36" s="94" t="e">
        <f t="shared" si="3"/>
        <v>#DIV/0!</v>
      </c>
    </row>
    <row r="37" spans="2:14">
      <c r="B37" s="547"/>
      <c r="C37" s="550"/>
      <c r="D37" s="399">
        <v>46265</v>
      </c>
      <c r="E37" s="400" t="s">
        <v>57</v>
      </c>
      <c r="F37" s="219">
        <f t="shared" si="0"/>
        <v>0</v>
      </c>
      <c r="G37" s="401"/>
      <c r="H37" s="611"/>
      <c r="I37" s="219"/>
      <c r="J37" s="94" t="e">
        <f t="shared" si="1"/>
        <v>#DIV/0!</v>
      </c>
      <c r="K37" s="98"/>
      <c r="L37" s="94"/>
      <c r="M37" s="219"/>
      <c r="N37" s="94" t="e">
        <f t="shared" si="3"/>
        <v>#DIV/0!</v>
      </c>
    </row>
    <row r="38" spans="2:14">
      <c r="B38" s="398"/>
      <c r="C38" s="403"/>
      <c r="D38" s="402"/>
      <c r="E38" s="400"/>
      <c r="F38" s="219"/>
      <c r="G38" s="401"/>
      <c r="H38" s="611"/>
      <c r="I38" s="219"/>
      <c r="J38" s="94"/>
      <c r="K38" s="98"/>
      <c r="L38" s="94"/>
      <c r="M38" s="219"/>
      <c r="N38" s="94"/>
    </row>
    <row r="39" spans="2:14">
      <c r="B39" s="81"/>
      <c r="C39" s="79"/>
      <c r="D39" s="83"/>
      <c r="E39" s="204"/>
      <c r="F39" s="183"/>
      <c r="G39" s="183"/>
      <c r="H39" s="183"/>
    </row>
    <row r="40" spans="2:14" ht="12">
      <c r="B40" s="81"/>
      <c r="C40" s="79"/>
      <c r="D40" s="80"/>
      <c r="F40" s="85"/>
      <c r="G40" s="85"/>
      <c r="H40" s="85"/>
    </row>
    <row r="41" spans="2:14" ht="12">
      <c r="B41" s="81"/>
      <c r="C41" s="79"/>
      <c r="D41" s="80"/>
    </row>
    <row r="42" spans="2:14" ht="12">
      <c r="B42" s="81"/>
      <c r="C42" s="79"/>
      <c r="D42" s="80"/>
    </row>
    <row r="43" spans="2:14" ht="12">
      <c r="B43" s="81"/>
      <c r="C43" s="79"/>
      <c r="D43" s="80"/>
    </row>
    <row r="44" spans="2:14" ht="12">
      <c r="B44" s="81"/>
      <c r="C44" s="79"/>
      <c r="D44" s="80"/>
    </row>
    <row r="45" spans="2:14" ht="12">
      <c r="B45" s="81"/>
      <c r="C45" s="79"/>
      <c r="D45" s="80"/>
    </row>
    <row r="46" spans="2:14" ht="12">
      <c r="B46" s="81"/>
      <c r="C46" s="79"/>
      <c r="D46" s="80"/>
    </row>
    <row r="47" spans="2:14" ht="12">
      <c r="B47" s="81"/>
      <c r="C47" s="79"/>
      <c r="D47" s="80"/>
    </row>
    <row r="48" spans="2:14" ht="12">
      <c r="B48" s="81"/>
      <c r="C48" s="79"/>
      <c r="D48" s="80"/>
    </row>
    <row r="49" spans="2:4" ht="12">
      <c r="B49" s="81"/>
      <c r="C49" s="79"/>
      <c r="D49" s="80"/>
    </row>
    <row r="50" spans="2:4" ht="12">
      <c r="B50" s="81"/>
      <c r="C50" s="79"/>
      <c r="D50" s="80"/>
    </row>
    <row r="51" spans="2:4" ht="12">
      <c r="B51" s="81"/>
      <c r="C51" s="79"/>
      <c r="D51" s="80"/>
    </row>
    <row r="52" spans="2:4" ht="12">
      <c r="B52" s="81"/>
      <c r="C52" s="79"/>
      <c r="D52" s="80"/>
    </row>
    <row r="53" spans="2:4" ht="12">
      <c r="B53" s="81"/>
      <c r="C53" s="79"/>
      <c r="D53" s="80"/>
    </row>
    <row r="54" spans="2:4" ht="12">
      <c r="B54" s="81"/>
      <c r="C54" s="79"/>
      <c r="D54" s="80"/>
    </row>
    <row r="55" spans="2:4" ht="12">
      <c r="B55" s="81"/>
      <c r="C55" s="79"/>
      <c r="D55" s="80"/>
    </row>
    <row r="56" spans="2:4" ht="12">
      <c r="B56" s="81"/>
      <c r="C56" s="79"/>
      <c r="D56" s="80"/>
    </row>
    <row r="57" spans="2:4" ht="12">
      <c r="B57" s="81"/>
      <c r="C57" s="79"/>
      <c r="D57" s="80"/>
    </row>
    <row r="58" spans="2:4" ht="12">
      <c r="B58" s="81"/>
      <c r="C58" s="79"/>
      <c r="D58" s="80"/>
    </row>
    <row r="59" spans="2:4" ht="12">
      <c r="B59" s="81"/>
      <c r="C59" s="79"/>
      <c r="D59" s="80"/>
    </row>
    <row r="60" spans="2:4" ht="12">
      <c r="B60" s="81"/>
      <c r="C60" s="79"/>
      <c r="D60" s="80"/>
    </row>
    <row r="61" spans="2:4" ht="12">
      <c r="B61" s="81"/>
      <c r="C61" s="79"/>
      <c r="D61" s="80"/>
    </row>
    <row r="62" spans="2:4" ht="12">
      <c r="B62" s="81"/>
      <c r="C62" s="79"/>
      <c r="D62" s="80"/>
    </row>
    <row r="63" spans="2:4" ht="12">
      <c r="B63" s="81"/>
      <c r="C63" s="79"/>
      <c r="D63" s="80"/>
    </row>
    <row r="64" spans="2:4" ht="12">
      <c r="B64" s="81"/>
      <c r="C64" s="79"/>
      <c r="D64" s="80"/>
    </row>
    <row r="65" spans="2:4" ht="12">
      <c r="B65" s="81"/>
      <c r="C65" s="79"/>
      <c r="D65" s="80"/>
    </row>
    <row r="66" spans="2:4" ht="12">
      <c r="B66" s="81"/>
      <c r="C66" s="79"/>
      <c r="D66" s="80"/>
    </row>
    <row r="67" spans="2:4" ht="12">
      <c r="B67" s="81"/>
      <c r="C67" s="79"/>
      <c r="D67" s="80"/>
    </row>
    <row r="68" spans="2:4" ht="12">
      <c r="B68" s="81"/>
      <c r="C68" s="79"/>
      <c r="D68" s="80"/>
    </row>
    <row r="69" spans="2:4" ht="12">
      <c r="B69" s="81"/>
      <c r="C69" s="79"/>
      <c r="D69" s="80"/>
    </row>
    <row r="70" spans="2:4" ht="12">
      <c r="B70" s="81"/>
      <c r="C70" s="79"/>
      <c r="D70" s="80"/>
    </row>
    <row r="71" spans="2:4" ht="12">
      <c r="B71" s="81"/>
      <c r="C71" s="79"/>
      <c r="D71" s="80"/>
    </row>
    <row r="72" spans="2:4" ht="12">
      <c r="B72" s="81"/>
      <c r="C72" s="79"/>
      <c r="D72" s="80"/>
    </row>
    <row r="73" spans="2:4" ht="12">
      <c r="B73" s="81"/>
      <c r="C73" s="79"/>
      <c r="D73" s="80"/>
    </row>
    <row r="74" spans="2:4" ht="12">
      <c r="B74" s="81"/>
      <c r="C74" s="79"/>
      <c r="D74" s="80"/>
    </row>
    <row r="75" spans="2:4" ht="12">
      <c r="B75" s="81"/>
      <c r="C75" s="79"/>
      <c r="D75" s="80"/>
    </row>
    <row r="76" spans="2:4" ht="12">
      <c r="B76" s="81"/>
      <c r="C76" s="79"/>
      <c r="D76" s="80"/>
    </row>
    <row r="77" spans="2:4" ht="12">
      <c r="B77" s="81"/>
      <c r="C77" s="79"/>
      <c r="D77" s="80"/>
    </row>
    <row r="78" spans="2:4" ht="12">
      <c r="B78" s="81"/>
      <c r="C78" s="79"/>
      <c r="D78" s="80"/>
    </row>
    <row r="79" spans="2:4" ht="12">
      <c r="B79" s="81"/>
      <c r="C79" s="79"/>
      <c r="D79" s="80"/>
    </row>
    <row r="80" spans="2:4" ht="12">
      <c r="B80" s="81"/>
      <c r="C80" s="79"/>
      <c r="D80" s="80"/>
    </row>
    <row r="81" spans="2:4" ht="12">
      <c r="B81" s="81"/>
      <c r="C81" s="79"/>
      <c r="D81" s="80"/>
    </row>
    <row r="82" spans="2:4" ht="12">
      <c r="B82" s="81"/>
      <c r="C82" s="79"/>
      <c r="D82" s="80"/>
    </row>
    <row r="83" spans="2:4" ht="12">
      <c r="B83" s="81"/>
      <c r="C83" s="79"/>
      <c r="D83" s="80"/>
    </row>
    <row r="84" spans="2:4" ht="12">
      <c r="B84" s="81"/>
      <c r="C84" s="79"/>
      <c r="D84" s="80"/>
    </row>
    <row r="85" spans="2:4" ht="12">
      <c r="B85" s="81"/>
      <c r="C85" s="79"/>
      <c r="D85" s="80"/>
    </row>
    <row r="86" spans="2:4" ht="12">
      <c r="B86" s="81"/>
      <c r="C86" s="79"/>
      <c r="D86" s="80"/>
    </row>
    <row r="87" spans="2:4" ht="12">
      <c r="B87" s="81"/>
      <c r="C87" s="79"/>
      <c r="D87" s="80"/>
    </row>
    <row r="88" spans="2:4" ht="12">
      <c r="B88" s="81"/>
      <c r="C88" s="79"/>
      <c r="D88" s="80"/>
    </row>
    <row r="89" spans="2:4" ht="12">
      <c r="B89" s="81"/>
      <c r="C89" s="79"/>
      <c r="D89" s="80"/>
    </row>
    <row r="90" spans="2:4" ht="12">
      <c r="B90" s="81"/>
      <c r="C90" s="79"/>
      <c r="D90" s="80"/>
    </row>
    <row r="91" spans="2:4" ht="12">
      <c r="B91" s="81"/>
      <c r="C91" s="79"/>
      <c r="D91" s="80"/>
    </row>
    <row r="92" spans="2:4" ht="12">
      <c r="B92" s="81"/>
      <c r="C92" s="79"/>
      <c r="D92" s="80"/>
    </row>
  </sheetData>
  <mergeCells count="23">
    <mergeCell ref="B10:B16"/>
    <mergeCell ref="B17:B23"/>
    <mergeCell ref="B24:B30"/>
    <mergeCell ref="B31:B37"/>
    <mergeCell ref="H7:H38"/>
    <mergeCell ref="C7:C37"/>
    <mergeCell ref="G7:G9"/>
    <mergeCell ref="G10:G16"/>
    <mergeCell ref="G17:G23"/>
    <mergeCell ref="B3:B6"/>
    <mergeCell ref="G5:G6"/>
    <mergeCell ref="H5:H6"/>
    <mergeCell ref="F3:H4"/>
    <mergeCell ref="D3:E6"/>
    <mergeCell ref="F5:F6"/>
    <mergeCell ref="C3:C6"/>
    <mergeCell ref="I3:N3"/>
    <mergeCell ref="K4:L4"/>
    <mergeCell ref="K5:L5"/>
    <mergeCell ref="M5:N5"/>
    <mergeCell ref="I5:J5"/>
    <mergeCell ref="I4:J4"/>
    <mergeCell ref="M4:N4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9"/>
  <sheetViews>
    <sheetView zoomScaleNormal="100" workbookViewId="0">
      <pane xSplit="8" ySplit="6" topLeftCell="I71" activePane="bottomRight" state="frozen"/>
      <selection pane="topRight" activeCell="I1" sqref="I1"/>
      <selection pane="bottomLeft" activeCell="A7" sqref="A7"/>
      <selection pane="bottomRight" activeCell="L76" sqref="L76:L93"/>
    </sheetView>
  </sheetViews>
  <sheetFormatPr defaultColWidth="8.85546875" defaultRowHeight="12.75"/>
  <cols>
    <col min="1" max="1" width="5.5703125" style="346" customWidth="1"/>
    <col min="2" max="2" width="12.42578125" style="346" customWidth="1"/>
    <col min="3" max="3" width="8.85546875" style="345" customWidth="1"/>
    <col min="4" max="4" width="26.42578125" style="345" customWidth="1"/>
    <col min="5" max="7" width="8.42578125" style="345" customWidth="1"/>
    <col min="8" max="8" width="11.140625" style="345" bestFit="1" customWidth="1"/>
    <col min="9" max="12" width="11.140625" style="345" customWidth="1"/>
    <col min="13" max="13" width="13.5703125" style="345" customWidth="1"/>
    <col min="14" max="14" width="9.85546875" style="345" customWidth="1"/>
    <col min="15" max="15" width="7.140625" style="345" customWidth="1"/>
    <col min="16" max="18" width="12.85546875" style="345" customWidth="1"/>
    <col min="19" max="19" width="5.42578125" style="345" customWidth="1"/>
    <col min="20" max="20" width="12.85546875" style="345" customWidth="1"/>
    <col min="21" max="23" width="12.85546875" style="346" customWidth="1"/>
    <col min="24" max="24" width="5.42578125" style="345" customWidth="1"/>
    <col min="25" max="28" width="12.85546875" style="346" customWidth="1"/>
    <col min="29" max="29" width="7.7109375" style="345" bestFit="1" customWidth="1"/>
    <col min="30" max="30" width="12.85546875" style="346" customWidth="1"/>
    <col min="31" max="33" width="12.5703125" style="346" customWidth="1"/>
    <col min="34" max="34" width="7.7109375" style="345" bestFit="1" customWidth="1"/>
    <col min="35" max="35" width="13" style="346" customWidth="1"/>
    <col min="36" max="38" width="12.5703125" style="346" customWidth="1"/>
    <col min="39" max="39" width="5.42578125" style="345" customWidth="1"/>
    <col min="40" max="40" width="13" style="346" customWidth="1"/>
    <col min="41" max="43" width="13.140625" style="346" customWidth="1"/>
    <col min="44" max="44" width="5.42578125" style="346" customWidth="1"/>
    <col min="45" max="48" width="13.140625" style="346" customWidth="1"/>
    <col min="49" max="49" width="5.42578125" style="346" customWidth="1"/>
    <col min="50" max="50" width="13.140625" style="346" customWidth="1"/>
    <col min="51" max="95" width="8.85546875" style="346" customWidth="1"/>
    <col min="96" max="16384" width="8.85546875" style="346"/>
  </cols>
  <sheetData>
    <row r="1" spans="1:50" ht="21">
      <c r="A1" s="342"/>
      <c r="B1" s="343" t="s">
        <v>84</v>
      </c>
      <c r="C1" s="344">
        <f>AVERAGE(L7,L30,L53,L76,L99,L122)</f>
        <v>111.26855564232834</v>
      </c>
    </row>
    <row r="2" spans="1:50" ht="15.75" customHeight="1">
      <c r="A2" s="347"/>
      <c r="B2" s="625" t="s">
        <v>85</v>
      </c>
      <c r="C2" s="626"/>
      <c r="D2" s="626"/>
      <c r="E2" s="626"/>
      <c r="F2" s="626"/>
      <c r="G2" s="626"/>
      <c r="H2" s="626"/>
      <c r="I2" s="349"/>
      <c r="J2" s="349"/>
      <c r="K2" s="349"/>
      <c r="L2" s="349"/>
      <c r="M2" s="350"/>
      <c r="N2" s="619" t="s">
        <v>86</v>
      </c>
      <c r="O2" s="619" t="s">
        <v>45</v>
      </c>
      <c r="P2" s="617"/>
      <c r="Q2" s="618"/>
      <c r="R2" s="618"/>
      <c r="S2" s="618"/>
      <c r="T2" s="618"/>
      <c r="U2" s="617"/>
      <c r="V2" s="618"/>
      <c r="W2" s="618"/>
      <c r="X2" s="618"/>
      <c r="Y2" s="618"/>
      <c r="Z2" s="617"/>
      <c r="AA2" s="618"/>
      <c r="AB2" s="618"/>
      <c r="AC2" s="618"/>
      <c r="AD2" s="618"/>
      <c r="AE2" s="617"/>
      <c r="AF2" s="618"/>
      <c r="AG2" s="618"/>
      <c r="AH2" s="618"/>
      <c r="AI2" s="618"/>
      <c r="AJ2" s="617">
        <v>46235</v>
      </c>
      <c r="AK2" s="618"/>
      <c r="AL2" s="618"/>
      <c r="AM2" s="618"/>
      <c r="AN2" s="618"/>
      <c r="AO2" s="617">
        <v>46236</v>
      </c>
      <c r="AP2" s="618"/>
      <c r="AQ2" s="618"/>
      <c r="AR2" s="618"/>
      <c r="AS2" s="618"/>
      <c r="AT2" s="617">
        <v>46237</v>
      </c>
      <c r="AU2" s="618"/>
      <c r="AV2" s="618"/>
      <c r="AW2" s="618"/>
      <c r="AX2" s="618"/>
    </row>
    <row r="3" spans="1:50" ht="15.75">
      <c r="A3" s="347"/>
      <c r="B3" s="627"/>
      <c r="C3" s="627"/>
      <c r="D3" s="627"/>
      <c r="E3" s="627"/>
      <c r="F3" s="627"/>
      <c r="G3" s="627"/>
      <c r="H3" s="627"/>
      <c r="I3" s="351"/>
      <c r="J3" s="351"/>
      <c r="K3" s="351"/>
      <c r="L3" s="351"/>
      <c r="M3" s="352"/>
      <c r="N3" s="620"/>
      <c r="O3" s="620"/>
      <c r="P3" s="617" t="s">
        <v>58</v>
      </c>
      <c r="Q3" s="618"/>
      <c r="R3" s="618"/>
      <c r="S3" s="618"/>
      <c r="T3" s="618"/>
      <c r="U3" s="617" t="s">
        <v>59</v>
      </c>
      <c r="V3" s="618"/>
      <c r="W3" s="618"/>
      <c r="X3" s="618"/>
      <c r="Y3" s="618"/>
      <c r="Z3" s="617" t="s">
        <v>60</v>
      </c>
      <c r="AA3" s="618"/>
      <c r="AB3" s="618"/>
      <c r="AC3" s="618"/>
      <c r="AD3" s="618"/>
      <c r="AE3" s="617" t="s">
        <v>61</v>
      </c>
      <c r="AF3" s="618"/>
      <c r="AG3" s="618"/>
      <c r="AH3" s="618"/>
      <c r="AI3" s="618"/>
      <c r="AJ3" s="617" t="s">
        <v>56</v>
      </c>
      <c r="AK3" s="618"/>
      <c r="AL3" s="618"/>
      <c r="AM3" s="618"/>
      <c r="AN3" s="618"/>
      <c r="AO3" s="617" t="s">
        <v>52</v>
      </c>
      <c r="AP3" s="618"/>
      <c r="AQ3" s="618"/>
      <c r="AR3" s="618"/>
      <c r="AS3" s="618"/>
      <c r="AT3" s="617" t="s">
        <v>57</v>
      </c>
      <c r="AU3" s="618"/>
      <c r="AV3" s="618"/>
      <c r="AW3" s="618"/>
      <c r="AX3" s="618"/>
    </row>
    <row r="4" spans="1:50">
      <c r="A4" s="347"/>
      <c r="B4" s="624" t="s">
        <v>41</v>
      </c>
      <c r="C4" s="624" t="s">
        <v>87</v>
      </c>
      <c r="D4" s="624"/>
      <c r="E4" s="624" t="s">
        <v>88</v>
      </c>
      <c r="F4" s="624"/>
      <c r="G4" s="624"/>
      <c r="H4" s="634" t="s">
        <v>89</v>
      </c>
      <c r="I4" s="624" t="s">
        <v>90</v>
      </c>
      <c r="J4" s="624"/>
      <c r="K4" s="624"/>
      <c r="L4" s="634" t="s">
        <v>89</v>
      </c>
      <c r="M4" s="619" t="s">
        <v>91</v>
      </c>
      <c r="N4" s="619"/>
      <c r="O4" s="619" t="s">
        <v>92</v>
      </c>
      <c r="P4" s="621" t="s">
        <v>93</v>
      </c>
      <c r="Q4" s="622"/>
      <c r="R4" s="622"/>
      <c r="S4" s="623"/>
      <c r="T4" s="624" t="s">
        <v>89</v>
      </c>
      <c r="U4" s="621" t="s">
        <v>93</v>
      </c>
      <c r="V4" s="622"/>
      <c r="W4" s="622"/>
      <c r="X4" s="623"/>
      <c r="Y4" s="624" t="s">
        <v>89</v>
      </c>
      <c r="Z4" s="621" t="s">
        <v>93</v>
      </c>
      <c r="AA4" s="622"/>
      <c r="AB4" s="622"/>
      <c r="AC4" s="623"/>
      <c r="AD4" s="624" t="s">
        <v>89</v>
      </c>
      <c r="AE4" s="621" t="s">
        <v>93</v>
      </c>
      <c r="AF4" s="622"/>
      <c r="AG4" s="622"/>
      <c r="AH4" s="623"/>
      <c r="AI4" s="624" t="s">
        <v>89</v>
      </c>
      <c r="AJ4" s="621" t="s">
        <v>93</v>
      </c>
      <c r="AK4" s="622"/>
      <c r="AL4" s="622"/>
      <c r="AM4" s="623"/>
      <c r="AN4" s="624" t="s">
        <v>89</v>
      </c>
      <c r="AO4" s="621" t="s">
        <v>93</v>
      </c>
      <c r="AP4" s="622"/>
      <c r="AQ4" s="622"/>
      <c r="AR4" s="623"/>
      <c r="AS4" s="624" t="s">
        <v>89</v>
      </c>
      <c r="AT4" s="621" t="s">
        <v>93</v>
      </c>
      <c r="AU4" s="622"/>
      <c r="AV4" s="622"/>
      <c r="AW4" s="623"/>
      <c r="AX4" s="624" t="s">
        <v>89</v>
      </c>
    </row>
    <row r="5" spans="1:50">
      <c r="A5" s="347"/>
      <c r="B5" s="624"/>
      <c r="C5" s="624"/>
      <c r="D5" s="624"/>
      <c r="E5" s="624" t="s">
        <v>94</v>
      </c>
      <c r="F5" s="624"/>
      <c r="G5" s="624"/>
      <c r="H5" s="635"/>
      <c r="I5" s="624" t="s">
        <v>94</v>
      </c>
      <c r="J5" s="624"/>
      <c r="K5" s="624"/>
      <c r="L5" s="635"/>
      <c r="M5" s="637"/>
      <c r="N5" s="637"/>
      <c r="O5" s="637"/>
      <c r="P5" s="621" t="s">
        <v>95</v>
      </c>
      <c r="Q5" s="622"/>
      <c r="R5" s="622"/>
      <c r="S5" s="623"/>
      <c r="T5" s="624"/>
      <c r="U5" s="621" t="s">
        <v>95</v>
      </c>
      <c r="V5" s="622"/>
      <c r="W5" s="622"/>
      <c r="X5" s="623"/>
      <c r="Y5" s="624"/>
      <c r="Z5" s="621" t="s">
        <v>95</v>
      </c>
      <c r="AA5" s="622"/>
      <c r="AB5" s="622"/>
      <c r="AC5" s="623"/>
      <c r="AD5" s="624"/>
      <c r="AE5" s="621" t="s">
        <v>95</v>
      </c>
      <c r="AF5" s="622"/>
      <c r="AG5" s="622"/>
      <c r="AH5" s="623"/>
      <c r="AI5" s="624"/>
      <c r="AJ5" s="621" t="s">
        <v>95</v>
      </c>
      <c r="AK5" s="622"/>
      <c r="AL5" s="622"/>
      <c r="AM5" s="623"/>
      <c r="AN5" s="624"/>
      <c r="AO5" s="621" t="s">
        <v>95</v>
      </c>
      <c r="AP5" s="622"/>
      <c r="AQ5" s="622"/>
      <c r="AR5" s="623"/>
      <c r="AS5" s="624"/>
      <c r="AT5" s="621" t="s">
        <v>95</v>
      </c>
      <c r="AU5" s="622"/>
      <c r="AV5" s="622"/>
      <c r="AW5" s="623"/>
      <c r="AX5" s="624"/>
    </row>
    <row r="6" spans="1:50">
      <c r="A6" s="354"/>
      <c r="B6" s="624"/>
      <c r="C6" s="624"/>
      <c r="D6" s="624"/>
      <c r="E6" s="353" t="s">
        <v>96</v>
      </c>
      <c r="F6" s="353" t="s">
        <v>97</v>
      </c>
      <c r="G6" s="353" t="s">
        <v>98</v>
      </c>
      <c r="H6" s="636"/>
      <c r="I6" s="353" t="s">
        <v>96</v>
      </c>
      <c r="J6" s="353" t="s">
        <v>97</v>
      </c>
      <c r="K6" s="353" t="s">
        <v>98</v>
      </c>
      <c r="L6" s="636"/>
      <c r="M6" s="620"/>
      <c r="N6" s="637"/>
      <c r="O6" s="637"/>
      <c r="P6" s="353" t="s">
        <v>96</v>
      </c>
      <c r="Q6" s="353" t="s">
        <v>97</v>
      </c>
      <c r="R6" s="353" t="s">
        <v>98</v>
      </c>
      <c r="S6" s="353" t="s">
        <v>91</v>
      </c>
      <c r="T6" s="624"/>
      <c r="U6" s="353" t="s">
        <v>96</v>
      </c>
      <c r="V6" s="353" t="s">
        <v>97</v>
      </c>
      <c r="W6" s="353" t="s">
        <v>98</v>
      </c>
      <c r="X6" s="353" t="s">
        <v>91</v>
      </c>
      <c r="Y6" s="624"/>
      <c r="Z6" s="353" t="s">
        <v>96</v>
      </c>
      <c r="AA6" s="353" t="s">
        <v>97</v>
      </c>
      <c r="AB6" s="353" t="s">
        <v>98</v>
      </c>
      <c r="AC6" s="353" t="s">
        <v>91</v>
      </c>
      <c r="AD6" s="624"/>
      <c r="AE6" s="353" t="s">
        <v>96</v>
      </c>
      <c r="AF6" s="353" t="s">
        <v>97</v>
      </c>
      <c r="AG6" s="353" t="s">
        <v>98</v>
      </c>
      <c r="AH6" s="353" t="s">
        <v>91</v>
      </c>
      <c r="AI6" s="624"/>
      <c r="AJ6" s="353" t="s">
        <v>96</v>
      </c>
      <c r="AK6" s="353" t="s">
        <v>97</v>
      </c>
      <c r="AL6" s="353" t="s">
        <v>98</v>
      </c>
      <c r="AM6" s="353" t="s">
        <v>91</v>
      </c>
      <c r="AN6" s="624"/>
      <c r="AO6" s="353" t="s">
        <v>96</v>
      </c>
      <c r="AP6" s="353" t="s">
        <v>97</v>
      </c>
      <c r="AQ6" s="353" t="s">
        <v>98</v>
      </c>
      <c r="AR6" s="353" t="s">
        <v>91</v>
      </c>
      <c r="AS6" s="624"/>
      <c r="AT6" s="353" t="s">
        <v>96</v>
      </c>
      <c r="AU6" s="353" t="s">
        <v>97</v>
      </c>
      <c r="AV6" s="353" t="s">
        <v>98</v>
      </c>
      <c r="AW6" s="353" t="s">
        <v>91</v>
      </c>
      <c r="AX6" s="624"/>
    </row>
    <row r="7" spans="1:50" ht="13.5">
      <c r="A7" s="347"/>
      <c r="B7" s="629" t="s">
        <v>337</v>
      </c>
      <c r="C7" s="336">
        <v>1</v>
      </c>
      <c r="D7" s="355" t="s">
        <v>113</v>
      </c>
      <c r="E7" s="337">
        <f>VLOOKUP(D7,'07產線配置圖'!$A$2:$C$25,2,0)</f>
        <v>12</v>
      </c>
      <c r="F7" s="337">
        <f>VLOOKUP(D7,'07產線配置圖'!$A$2:$C$25,3,0)</f>
        <v>2250</v>
      </c>
      <c r="G7" s="330">
        <f>F7/E7</f>
        <v>187.5</v>
      </c>
      <c r="H7" s="631">
        <f>AVERAGE(G7:G24)</f>
        <v>125.0231171654182</v>
      </c>
      <c r="I7" s="337">
        <f>AVERAGE(P7,U7,Z7,AE7,AJ7,AO7,AT7)</f>
        <v>12</v>
      </c>
      <c r="J7" s="337">
        <f>AVERAGE(Q7,V7,AA7,AF7,AK7,AP7,AU7)</f>
        <v>2091</v>
      </c>
      <c r="K7" s="330">
        <f>J7/I7</f>
        <v>174.25</v>
      </c>
      <c r="L7" s="631">
        <f>IFERROR(AVERAGE(K7:K24),"-")</f>
        <v>110.95106773979657</v>
      </c>
      <c r="M7" s="337">
        <f>RANK(K7,$K$7:$K$24)</f>
        <v>1</v>
      </c>
      <c r="N7" s="637"/>
      <c r="O7" s="637"/>
      <c r="P7" s="337"/>
      <c r="Q7" s="337"/>
      <c r="R7" s="330" t="e">
        <f t="shared" ref="R7:R23" si="0">Q7/P7</f>
        <v>#DIV/0!</v>
      </c>
      <c r="S7" s="336" t="e">
        <f>RANK(R7,$R$7:$R$24)</f>
        <v>#DIV/0!</v>
      </c>
      <c r="T7" s="631" t="e">
        <f>AVERAGE(R7:R24)</f>
        <v>#DIV/0!</v>
      </c>
      <c r="U7" s="337"/>
      <c r="V7" s="337"/>
      <c r="W7" s="330" t="e">
        <f t="shared" ref="W7:W23" si="1">V7/U7</f>
        <v>#DIV/0!</v>
      </c>
      <c r="X7" s="336" t="e">
        <f>RANK(W7,$W$7:$W$24)</f>
        <v>#DIV/0!</v>
      </c>
      <c r="Y7" s="631" t="e">
        <f>AVERAGE(W7:W24)</f>
        <v>#DIV/0!</v>
      </c>
      <c r="Z7" s="337"/>
      <c r="AA7" s="337"/>
      <c r="AB7" s="330" t="e">
        <f t="shared" ref="AB7:AB23" si="2">AA7/Z7</f>
        <v>#DIV/0!</v>
      </c>
      <c r="AC7" s="336" t="e">
        <f>RANK(AB7,$AB$7:$AB$24)</f>
        <v>#DIV/0!</v>
      </c>
      <c r="AD7" s="631" t="e">
        <f>AVERAGE(AB7:AB24)</f>
        <v>#DIV/0!</v>
      </c>
      <c r="AE7" s="337"/>
      <c r="AF7" s="337"/>
      <c r="AG7" s="330" t="e">
        <f t="shared" ref="AG7:AG23" si="3">AF7/AE7</f>
        <v>#DIV/0!</v>
      </c>
      <c r="AH7" s="336" t="e">
        <f>RANK(AG7,$AG$7:$AG$24)</f>
        <v>#DIV/0!</v>
      </c>
      <c r="AI7" s="631" t="e">
        <f>AVERAGE(AG7:AG24)</f>
        <v>#DIV/0!</v>
      </c>
      <c r="AJ7" s="337">
        <v>12</v>
      </c>
      <c r="AK7" s="337">
        <v>2065</v>
      </c>
      <c r="AL7" s="330">
        <f>AK7/AJ7</f>
        <v>172.08333333333334</v>
      </c>
      <c r="AM7" s="336">
        <f>RANK(AL7,$AL$7:$AL$24)</f>
        <v>1</v>
      </c>
      <c r="AN7" s="631">
        <f>AVERAGE(AL7:AL24)</f>
        <v>109.4063395550528</v>
      </c>
      <c r="AO7" s="337">
        <v>12</v>
      </c>
      <c r="AP7" s="337">
        <v>2150</v>
      </c>
      <c r="AQ7" s="330">
        <f>AP7/AO7</f>
        <v>179.16666666666666</v>
      </c>
      <c r="AR7" s="336">
        <f>RANK(AQ7,$AQ$7:$AQ$24)</f>
        <v>1</v>
      </c>
      <c r="AS7" s="631">
        <f>AVERAGE(AQ7:AQ24)</f>
        <v>112.42244728821015</v>
      </c>
      <c r="AT7" s="389">
        <v>12</v>
      </c>
      <c r="AU7" s="337">
        <v>2058</v>
      </c>
      <c r="AV7" s="330">
        <f>AU7/AT7</f>
        <v>171.5</v>
      </c>
      <c r="AW7" s="336">
        <f>RANK(AV7,$AV$7:$AV$24)</f>
        <v>1</v>
      </c>
      <c r="AX7" s="631">
        <f>AVERAGE(AV7:AV24)</f>
        <v>111.02450580465288</v>
      </c>
    </row>
    <row r="8" spans="1:50" ht="15" customHeight="1">
      <c r="A8" s="347"/>
      <c r="B8" s="630"/>
      <c r="C8" s="336">
        <v>2</v>
      </c>
      <c r="D8" s="336" t="s">
        <v>116</v>
      </c>
      <c r="E8" s="337">
        <f>VLOOKUP(D8,'07產線配置圖'!$A$2:$C$25,2,0)</f>
        <v>15</v>
      </c>
      <c r="F8" s="337">
        <f>VLOOKUP(D8,'07產線配置圖'!$A$2:$C$25,3,0)</f>
        <v>2250</v>
      </c>
      <c r="G8" s="330">
        <f t="shared" ref="G8:G12" si="4">F8/E8</f>
        <v>150</v>
      </c>
      <c r="H8" s="632"/>
      <c r="I8" s="337">
        <f t="shared" ref="I8:I23" si="5">AVERAGE(P8,U8,Z8,AE8,AJ8,AO8,AT8)</f>
        <v>15</v>
      </c>
      <c r="J8" s="337">
        <f t="shared" ref="J8:J23" si="6">AVERAGE(Q8,V8,AA8,AF8,AK8,AP8,AU8)</f>
        <v>2107.6666666666665</v>
      </c>
      <c r="K8" s="330">
        <f t="shared" ref="K8:K23" si="7">J8/I8</f>
        <v>140.51111111111109</v>
      </c>
      <c r="L8" s="632"/>
      <c r="M8" s="337">
        <f t="shared" ref="M8:M23" si="8">RANK(K8,$K$7:$K$24)</f>
        <v>4</v>
      </c>
      <c r="N8" s="637"/>
      <c r="O8" s="637"/>
      <c r="P8" s="337"/>
      <c r="Q8" s="337"/>
      <c r="R8" s="330" t="e">
        <f t="shared" si="0"/>
        <v>#DIV/0!</v>
      </c>
      <c r="S8" s="336" t="e">
        <f t="shared" ref="S8:S23" si="9">RANK(R8,$R$7:$R$24)</f>
        <v>#DIV/0!</v>
      </c>
      <c r="T8" s="632"/>
      <c r="U8" s="337"/>
      <c r="V8" s="337"/>
      <c r="W8" s="330" t="e">
        <f t="shared" si="1"/>
        <v>#DIV/0!</v>
      </c>
      <c r="X8" s="336" t="e">
        <f t="shared" ref="X8:X23" si="10">RANK(W8,$W$7:$W$24)</f>
        <v>#DIV/0!</v>
      </c>
      <c r="Y8" s="632"/>
      <c r="Z8" s="337"/>
      <c r="AA8" s="337"/>
      <c r="AB8" s="330" t="e">
        <f t="shared" si="2"/>
        <v>#DIV/0!</v>
      </c>
      <c r="AC8" s="336" t="e">
        <f t="shared" ref="AC8:AC23" si="11">RANK(AB8,$AB$7:$AB$24)</f>
        <v>#DIV/0!</v>
      </c>
      <c r="AD8" s="632"/>
      <c r="AE8" s="337"/>
      <c r="AF8" s="337"/>
      <c r="AG8" s="330" t="e">
        <f t="shared" si="3"/>
        <v>#DIV/0!</v>
      </c>
      <c r="AH8" s="336" t="e">
        <f t="shared" ref="AH8:AH23" si="12">RANK(AG8,$AG$7:$AG$24)</f>
        <v>#DIV/0!</v>
      </c>
      <c r="AI8" s="632"/>
      <c r="AJ8" s="337">
        <v>15</v>
      </c>
      <c r="AK8" s="337">
        <v>2072</v>
      </c>
      <c r="AL8" s="330">
        <f t="shared" ref="AL8:AL14" si="13">AK8/AJ8</f>
        <v>138.13333333333333</v>
      </c>
      <c r="AM8" s="336">
        <f t="shared" ref="AM8:AM23" si="14">RANK(AL8,$AL$7:$AL$24)</f>
        <v>4</v>
      </c>
      <c r="AN8" s="632"/>
      <c r="AO8" s="337">
        <v>15</v>
      </c>
      <c r="AP8" s="337">
        <v>2120</v>
      </c>
      <c r="AQ8" s="330">
        <f t="shared" ref="AQ8:AQ14" si="15">AP8/AO8</f>
        <v>141.33333333333334</v>
      </c>
      <c r="AR8" s="336">
        <f t="shared" ref="AR8:AR23" si="16">RANK(AQ8,$AQ$7:$AQ$24)</f>
        <v>4</v>
      </c>
      <c r="AS8" s="632"/>
      <c r="AT8" s="329">
        <v>15</v>
      </c>
      <c r="AU8" s="337">
        <v>2131</v>
      </c>
      <c r="AV8" s="330">
        <f t="shared" ref="AV8:AV14" si="17">AU8/AT8</f>
        <v>142.06666666666666</v>
      </c>
      <c r="AW8" s="336">
        <f t="shared" ref="AW8:AW23" si="18">RANK(AV8,$AV$7:$AV$24)</f>
        <v>5</v>
      </c>
      <c r="AX8" s="632"/>
    </row>
    <row r="9" spans="1:50">
      <c r="A9" s="347"/>
      <c r="B9" s="630"/>
      <c r="C9" s="336">
        <v>3</v>
      </c>
      <c r="D9" s="336" t="s">
        <v>117</v>
      </c>
      <c r="E9" s="337">
        <f>VLOOKUP(D9,'07產線配置圖'!$A$2:$C$25,2,0)</f>
        <v>15</v>
      </c>
      <c r="F9" s="337">
        <f>VLOOKUP(D9,'07產線配置圖'!$A$2:$C$25,3,0)</f>
        <v>2250</v>
      </c>
      <c r="G9" s="330">
        <f t="shared" si="4"/>
        <v>150</v>
      </c>
      <c r="H9" s="632"/>
      <c r="I9" s="337">
        <f t="shared" si="5"/>
        <v>15</v>
      </c>
      <c r="J9" s="337">
        <f t="shared" si="6"/>
        <v>2107.6666666666665</v>
      </c>
      <c r="K9" s="330">
        <f t="shared" si="7"/>
        <v>140.51111111111109</v>
      </c>
      <c r="L9" s="632"/>
      <c r="M9" s="337">
        <f t="shared" si="8"/>
        <v>4</v>
      </c>
      <c r="N9" s="637"/>
      <c r="O9" s="637"/>
      <c r="P9" s="337"/>
      <c r="Q9" s="337"/>
      <c r="R9" s="330" t="e">
        <f t="shared" si="0"/>
        <v>#DIV/0!</v>
      </c>
      <c r="S9" s="336" t="e">
        <f t="shared" si="9"/>
        <v>#DIV/0!</v>
      </c>
      <c r="T9" s="632"/>
      <c r="U9" s="337"/>
      <c r="V9" s="337"/>
      <c r="W9" s="330" t="e">
        <f t="shared" si="1"/>
        <v>#DIV/0!</v>
      </c>
      <c r="X9" s="336" t="e">
        <f t="shared" si="10"/>
        <v>#DIV/0!</v>
      </c>
      <c r="Y9" s="632"/>
      <c r="Z9" s="337"/>
      <c r="AA9" s="337"/>
      <c r="AB9" s="330" t="e">
        <f t="shared" si="2"/>
        <v>#DIV/0!</v>
      </c>
      <c r="AC9" s="336" t="e">
        <f t="shared" si="11"/>
        <v>#DIV/0!</v>
      </c>
      <c r="AD9" s="632"/>
      <c r="AE9" s="337"/>
      <c r="AF9" s="337"/>
      <c r="AG9" s="330" t="e">
        <f t="shared" si="3"/>
        <v>#DIV/0!</v>
      </c>
      <c r="AH9" s="336" t="e">
        <f t="shared" si="12"/>
        <v>#DIV/0!</v>
      </c>
      <c r="AI9" s="632"/>
      <c r="AJ9" s="337">
        <v>15</v>
      </c>
      <c r="AK9" s="337">
        <v>2044</v>
      </c>
      <c r="AL9" s="330">
        <f t="shared" si="13"/>
        <v>136.26666666666668</v>
      </c>
      <c r="AM9" s="336">
        <f t="shared" si="14"/>
        <v>5</v>
      </c>
      <c r="AN9" s="632"/>
      <c r="AO9" s="337">
        <v>15</v>
      </c>
      <c r="AP9" s="337">
        <v>2109</v>
      </c>
      <c r="AQ9" s="330">
        <f t="shared" si="15"/>
        <v>140.6</v>
      </c>
      <c r="AR9" s="336">
        <f t="shared" si="16"/>
        <v>5</v>
      </c>
      <c r="AS9" s="632"/>
      <c r="AT9" s="329">
        <v>15</v>
      </c>
      <c r="AU9" s="337">
        <v>2170</v>
      </c>
      <c r="AV9" s="330">
        <f t="shared" si="17"/>
        <v>144.66666666666666</v>
      </c>
      <c r="AW9" s="336">
        <f t="shared" si="18"/>
        <v>4</v>
      </c>
      <c r="AX9" s="632"/>
    </row>
    <row r="10" spans="1:50">
      <c r="A10" s="347"/>
      <c r="B10" s="630"/>
      <c r="C10" s="336">
        <v>4</v>
      </c>
      <c r="D10" s="336" t="s">
        <v>184</v>
      </c>
      <c r="E10" s="337">
        <f>VLOOKUP(D10,'07產線配置圖'!$A$2:$C$25,2,0)</f>
        <v>16</v>
      </c>
      <c r="F10" s="337">
        <f>VLOOKUP(D10,'07產線配置圖'!$A$2:$C$25,3,0)</f>
        <v>1800</v>
      </c>
      <c r="G10" s="330">
        <f t="shared" si="4"/>
        <v>112.5</v>
      </c>
      <c r="H10" s="632"/>
      <c r="I10" s="337">
        <f t="shared" si="5"/>
        <v>16</v>
      </c>
      <c r="J10" s="337">
        <f t="shared" si="6"/>
        <v>1556</v>
      </c>
      <c r="K10" s="330">
        <f t="shared" si="7"/>
        <v>97.25</v>
      </c>
      <c r="L10" s="632"/>
      <c r="M10" s="337">
        <f t="shared" si="8"/>
        <v>7</v>
      </c>
      <c r="N10" s="637"/>
      <c r="O10" s="637"/>
      <c r="P10" s="337"/>
      <c r="Q10" s="337"/>
      <c r="R10" s="330" t="e">
        <f t="shared" si="0"/>
        <v>#DIV/0!</v>
      </c>
      <c r="S10" s="336" t="e">
        <f t="shared" si="9"/>
        <v>#DIV/0!</v>
      </c>
      <c r="T10" s="632"/>
      <c r="U10" s="337"/>
      <c r="V10" s="337"/>
      <c r="W10" s="330" t="e">
        <f t="shared" si="1"/>
        <v>#DIV/0!</v>
      </c>
      <c r="X10" s="336" t="e">
        <f t="shared" si="10"/>
        <v>#DIV/0!</v>
      </c>
      <c r="Y10" s="632"/>
      <c r="Z10" s="337"/>
      <c r="AA10" s="337"/>
      <c r="AB10" s="330" t="e">
        <f t="shared" si="2"/>
        <v>#DIV/0!</v>
      </c>
      <c r="AC10" s="336" t="e">
        <f t="shared" si="11"/>
        <v>#DIV/0!</v>
      </c>
      <c r="AD10" s="632"/>
      <c r="AE10" s="337"/>
      <c r="AF10" s="337"/>
      <c r="AG10" s="330" t="e">
        <f t="shared" si="3"/>
        <v>#DIV/0!</v>
      </c>
      <c r="AH10" s="336" t="e">
        <f t="shared" si="12"/>
        <v>#DIV/0!</v>
      </c>
      <c r="AI10" s="632"/>
      <c r="AJ10" s="337">
        <v>16</v>
      </c>
      <c r="AK10" s="337">
        <v>1565</v>
      </c>
      <c r="AL10" s="330">
        <f t="shared" si="13"/>
        <v>97.8125</v>
      </c>
      <c r="AM10" s="336">
        <f t="shared" si="14"/>
        <v>7</v>
      </c>
      <c r="AN10" s="632"/>
      <c r="AO10" s="337">
        <v>16</v>
      </c>
      <c r="AP10" s="337">
        <v>1543</v>
      </c>
      <c r="AQ10" s="330">
        <f t="shared" si="15"/>
        <v>96.4375</v>
      </c>
      <c r="AR10" s="336">
        <f t="shared" si="16"/>
        <v>7</v>
      </c>
      <c r="AS10" s="632"/>
      <c r="AT10" s="337">
        <v>16</v>
      </c>
      <c r="AU10" s="337">
        <v>1560</v>
      </c>
      <c r="AV10" s="330">
        <f t="shared" si="17"/>
        <v>97.5</v>
      </c>
      <c r="AW10" s="336">
        <f t="shared" si="18"/>
        <v>8</v>
      </c>
      <c r="AX10" s="632"/>
    </row>
    <row r="11" spans="1:50" ht="13.5">
      <c r="A11" s="347"/>
      <c r="B11" s="630"/>
      <c r="C11" s="336">
        <v>5</v>
      </c>
      <c r="D11" s="355" t="s">
        <v>114</v>
      </c>
      <c r="E11" s="337">
        <f>VLOOKUP(D11,'07產線配置圖'!$A$2:$C$25,2,0)</f>
        <v>13</v>
      </c>
      <c r="F11" s="337">
        <f>VLOOKUP(D11,'07產線配置圖'!$A$2:$C$25,3,0)</f>
        <v>2250</v>
      </c>
      <c r="G11" s="330">
        <f t="shared" si="4"/>
        <v>173.07692307692307</v>
      </c>
      <c r="H11" s="632"/>
      <c r="I11" s="337">
        <f t="shared" si="5"/>
        <v>13</v>
      </c>
      <c r="J11" s="337">
        <f t="shared" si="6"/>
        <v>2154.6666666666665</v>
      </c>
      <c r="K11" s="330">
        <f t="shared" si="7"/>
        <v>165.74358974358972</v>
      </c>
      <c r="L11" s="632"/>
      <c r="M11" s="337">
        <f t="shared" si="8"/>
        <v>2</v>
      </c>
      <c r="N11" s="637"/>
      <c r="O11" s="637"/>
      <c r="P11" s="337"/>
      <c r="Q11" s="337"/>
      <c r="R11" s="330" t="e">
        <f t="shared" si="0"/>
        <v>#DIV/0!</v>
      </c>
      <c r="S11" s="336" t="e">
        <f t="shared" si="9"/>
        <v>#DIV/0!</v>
      </c>
      <c r="T11" s="632"/>
      <c r="U11" s="337"/>
      <c r="V11" s="337"/>
      <c r="W11" s="330" t="e">
        <f t="shared" si="1"/>
        <v>#DIV/0!</v>
      </c>
      <c r="X11" s="336" t="e">
        <f t="shared" si="10"/>
        <v>#DIV/0!</v>
      </c>
      <c r="Y11" s="632"/>
      <c r="Z11" s="337"/>
      <c r="AA11" s="337"/>
      <c r="AB11" s="330" t="e">
        <f t="shared" si="2"/>
        <v>#DIV/0!</v>
      </c>
      <c r="AC11" s="336" t="e">
        <f t="shared" si="11"/>
        <v>#DIV/0!</v>
      </c>
      <c r="AD11" s="632"/>
      <c r="AE11" s="337"/>
      <c r="AF11" s="337"/>
      <c r="AG11" s="330" t="e">
        <f t="shared" si="3"/>
        <v>#DIV/0!</v>
      </c>
      <c r="AH11" s="336" t="e">
        <f t="shared" si="12"/>
        <v>#DIV/0!</v>
      </c>
      <c r="AI11" s="632"/>
      <c r="AJ11" s="337">
        <v>13</v>
      </c>
      <c r="AK11" s="337">
        <v>2109</v>
      </c>
      <c r="AL11" s="330">
        <f t="shared" si="13"/>
        <v>162.23076923076923</v>
      </c>
      <c r="AM11" s="336">
        <f t="shared" si="14"/>
        <v>2</v>
      </c>
      <c r="AN11" s="632"/>
      <c r="AO11" s="337">
        <v>13</v>
      </c>
      <c r="AP11" s="337">
        <v>2202</v>
      </c>
      <c r="AQ11" s="330">
        <f t="shared" si="15"/>
        <v>169.38461538461539</v>
      </c>
      <c r="AR11" s="336">
        <f t="shared" si="16"/>
        <v>2</v>
      </c>
      <c r="AS11" s="632"/>
      <c r="AT11" s="389">
        <v>13</v>
      </c>
      <c r="AU11" s="337">
        <v>2153</v>
      </c>
      <c r="AV11" s="330">
        <f t="shared" si="17"/>
        <v>165.61538461538461</v>
      </c>
      <c r="AW11" s="336">
        <f t="shared" si="18"/>
        <v>2</v>
      </c>
      <c r="AX11" s="632"/>
    </row>
    <row r="12" spans="1:50">
      <c r="A12" s="347"/>
      <c r="B12" s="630"/>
      <c r="C12" s="336">
        <v>6</v>
      </c>
      <c r="D12" s="336" t="s">
        <v>158</v>
      </c>
      <c r="E12" s="337">
        <f>VLOOKUP(D12,'07產線配置圖'!$A$2:$C$25,2,0)</f>
        <v>16</v>
      </c>
      <c r="F12" s="337">
        <f>VLOOKUP(D12,'07產線配置圖'!$A$2:$C$25,3,0)</f>
        <v>1714</v>
      </c>
      <c r="G12" s="330">
        <f t="shared" si="4"/>
        <v>107.125</v>
      </c>
      <c r="H12" s="632"/>
      <c r="I12" s="337">
        <f t="shared" si="5"/>
        <v>16</v>
      </c>
      <c r="J12" s="337">
        <f t="shared" si="6"/>
        <v>1546.3333333333333</v>
      </c>
      <c r="K12" s="330">
        <f t="shared" si="7"/>
        <v>96.645833333333329</v>
      </c>
      <c r="L12" s="632"/>
      <c r="M12" s="337">
        <f t="shared" si="8"/>
        <v>8</v>
      </c>
      <c r="N12" s="637"/>
      <c r="O12" s="637"/>
      <c r="P12" s="337"/>
      <c r="Q12" s="337"/>
      <c r="R12" s="330" t="e">
        <f t="shared" si="0"/>
        <v>#DIV/0!</v>
      </c>
      <c r="S12" s="336" t="e">
        <f t="shared" si="9"/>
        <v>#DIV/0!</v>
      </c>
      <c r="T12" s="632"/>
      <c r="U12" s="337"/>
      <c r="V12" s="337"/>
      <c r="W12" s="330" t="e">
        <f t="shared" si="1"/>
        <v>#DIV/0!</v>
      </c>
      <c r="X12" s="336" t="e">
        <f t="shared" si="10"/>
        <v>#DIV/0!</v>
      </c>
      <c r="Y12" s="632"/>
      <c r="Z12" s="337"/>
      <c r="AA12" s="337"/>
      <c r="AB12" s="330" t="e">
        <f t="shared" si="2"/>
        <v>#DIV/0!</v>
      </c>
      <c r="AC12" s="336" t="e">
        <f t="shared" si="11"/>
        <v>#DIV/0!</v>
      </c>
      <c r="AD12" s="632"/>
      <c r="AE12" s="337"/>
      <c r="AF12" s="337"/>
      <c r="AG12" s="330" t="e">
        <f t="shared" si="3"/>
        <v>#DIV/0!</v>
      </c>
      <c r="AH12" s="336" t="e">
        <f t="shared" si="12"/>
        <v>#DIV/0!</v>
      </c>
      <c r="AI12" s="632"/>
      <c r="AJ12" s="329">
        <v>16</v>
      </c>
      <c r="AK12" s="337">
        <v>1551</v>
      </c>
      <c r="AL12" s="330">
        <f t="shared" si="13"/>
        <v>96.9375</v>
      </c>
      <c r="AM12" s="336">
        <f t="shared" si="14"/>
        <v>8</v>
      </c>
      <c r="AN12" s="632"/>
      <c r="AO12" s="337">
        <v>16</v>
      </c>
      <c r="AP12" s="337">
        <v>1487</v>
      </c>
      <c r="AQ12" s="330">
        <f t="shared" si="15"/>
        <v>92.9375</v>
      </c>
      <c r="AR12" s="336">
        <f t="shared" si="16"/>
        <v>10</v>
      </c>
      <c r="AS12" s="632"/>
      <c r="AT12" s="329">
        <v>16</v>
      </c>
      <c r="AU12" s="337">
        <v>1601</v>
      </c>
      <c r="AV12" s="330">
        <f t="shared" si="17"/>
        <v>100.0625</v>
      </c>
      <c r="AW12" s="336">
        <f t="shared" si="18"/>
        <v>7</v>
      </c>
      <c r="AX12" s="632"/>
    </row>
    <row r="13" spans="1:50">
      <c r="A13" s="347"/>
      <c r="B13" s="630"/>
      <c r="C13" s="336">
        <v>7</v>
      </c>
      <c r="D13" s="336" t="s">
        <v>174</v>
      </c>
      <c r="E13" s="337">
        <f>VLOOKUP(D13,'07產線配置圖'!$A$2:$C$25,2,0)</f>
        <v>17</v>
      </c>
      <c r="F13" s="337">
        <f>VLOOKUP(D13,'07產線配置圖'!$A$2:$C$25,3,0)</f>
        <v>1800</v>
      </c>
      <c r="G13" s="330">
        <f t="shared" ref="G13:G21" si="19">F13/E13</f>
        <v>105.88235294117646</v>
      </c>
      <c r="H13" s="632"/>
      <c r="I13" s="337">
        <f t="shared" si="5"/>
        <v>17</v>
      </c>
      <c r="J13" s="337">
        <f t="shared" si="6"/>
        <v>1607.3333333333333</v>
      </c>
      <c r="K13" s="330">
        <f t="shared" si="7"/>
        <v>94.549019607843135</v>
      </c>
      <c r="L13" s="632"/>
      <c r="M13" s="337">
        <f t="shared" si="8"/>
        <v>9</v>
      </c>
      <c r="N13" s="637"/>
      <c r="O13" s="637"/>
      <c r="P13" s="337"/>
      <c r="Q13" s="337"/>
      <c r="R13" s="330" t="e">
        <f t="shared" si="0"/>
        <v>#DIV/0!</v>
      </c>
      <c r="S13" s="336" t="e">
        <f t="shared" si="9"/>
        <v>#DIV/0!</v>
      </c>
      <c r="T13" s="632"/>
      <c r="U13" s="337"/>
      <c r="V13" s="337"/>
      <c r="W13" s="330" t="e">
        <f t="shared" si="1"/>
        <v>#DIV/0!</v>
      </c>
      <c r="X13" s="336" t="e">
        <f t="shared" si="10"/>
        <v>#DIV/0!</v>
      </c>
      <c r="Y13" s="632"/>
      <c r="Z13" s="337"/>
      <c r="AA13" s="337"/>
      <c r="AB13" s="330" t="e">
        <f t="shared" si="2"/>
        <v>#DIV/0!</v>
      </c>
      <c r="AC13" s="336" t="e">
        <f t="shared" si="11"/>
        <v>#DIV/0!</v>
      </c>
      <c r="AD13" s="632"/>
      <c r="AE13" s="337"/>
      <c r="AF13" s="337"/>
      <c r="AG13" s="330" t="e">
        <f t="shared" si="3"/>
        <v>#DIV/0!</v>
      </c>
      <c r="AH13" s="336" t="e">
        <f t="shared" si="12"/>
        <v>#DIV/0!</v>
      </c>
      <c r="AI13" s="632"/>
      <c r="AJ13" s="337">
        <v>17</v>
      </c>
      <c r="AK13" s="337">
        <v>1637</v>
      </c>
      <c r="AL13" s="330">
        <f t="shared" si="13"/>
        <v>96.294117647058826</v>
      </c>
      <c r="AM13" s="336">
        <f t="shared" si="14"/>
        <v>9</v>
      </c>
      <c r="AN13" s="632"/>
      <c r="AO13" s="337">
        <v>17</v>
      </c>
      <c r="AP13" s="337">
        <v>1637</v>
      </c>
      <c r="AQ13" s="330">
        <f t="shared" si="15"/>
        <v>96.294117647058826</v>
      </c>
      <c r="AR13" s="336">
        <f t="shared" si="16"/>
        <v>8</v>
      </c>
      <c r="AS13" s="632"/>
      <c r="AT13" s="337">
        <v>17</v>
      </c>
      <c r="AU13" s="337">
        <v>1548</v>
      </c>
      <c r="AV13" s="330">
        <f t="shared" si="17"/>
        <v>91.058823529411768</v>
      </c>
      <c r="AW13" s="336">
        <f t="shared" si="18"/>
        <v>10</v>
      </c>
      <c r="AX13" s="632"/>
    </row>
    <row r="14" spans="1:50">
      <c r="A14" s="347"/>
      <c r="B14" s="630"/>
      <c r="C14" s="336">
        <v>8</v>
      </c>
      <c r="D14" s="336" t="s">
        <v>120</v>
      </c>
      <c r="E14" s="337">
        <f>VLOOKUP(D14,'07產線配置圖'!$A$2:$C$25,2,0)</f>
        <v>18</v>
      </c>
      <c r="F14" s="337">
        <f>VLOOKUP(D14,'07產線配置圖'!$A$2:$C$25,3,0)</f>
        <v>1636</v>
      </c>
      <c r="G14" s="330">
        <f t="shared" si="19"/>
        <v>90.888888888888886</v>
      </c>
      <c r="H14" s="632"/>
      <c r="I14" s="337">
        <f t="shared" si="5"/>
        <v>17.333333333333332</v>
      </c>
      <c r="J14" s="337">
        <f t="shared" si="6"/>
        <v>1377</v>
      </c>
      <c r="K14" s="330">
        <f t="shared" si="7"/>
        <v>79.442307692307693</v>
      </c>
      <c r="L14" s="632"/>
      <c r="M14" s="337">
        <f t="shared" si="8"/>
        <v>16</v>
      </c>
      <c r="N14" s="637"/>
      <c r="O14" s="637"/>
      <c r="P14" s="336"/>
      <c r="Q14" s="337"/>
      <c r="R14" s="330" t="e">
        <f t="shared" si="0"/>
        <v>#DIV/0!</v>
      </c>
      <c r="S14" s="336" t="e">
        <f t="shared" si="9"/>
        <v>#DIV/0!</v>
      </c>
      <c r="T14" s="632"/>
      <c r="U14" s="336"/>
      <c r="V14" s="337"/>
      <c r="W14" s="330" t="e">
        <f t="shared" si="1"/>
        <v>#DIV/0!</v>
      </c>
      <c r="X14" s="336" t="e">
        <f t="shared" si="10"/>
        <v>#DIV/0!</v>
      </c>
      <c r="Y14" s="632"/>
      <c r="Z14" s="336"/>
      <c r="AA14" s="337"/>
      <c r="AB14" s="330" t="e">
        <f t="shared" si="2"/>
        <v>#DIV/0!</v>
      </c>
      <c r="AC14" s="336" t="e">
        <f t="shared" si="11"/>
        <v>#DIV/0!</v>
      </c>
      <c r="AD14" s="632"/>
      <c r="AE14" s="336"/>
      <c r="AF14" s="337"/>
      <c r="AG14" s="330" t="e">
        <f t="shared" si="3"/>
        <v>#DIV/0!</v>
      </c>
      <c r="AH14" s="336" t="e">
        <f t="shared" si="12"/>
        <v>#DIV/0!</v>
      </c>
      <c r="AI14" s="632"/>
      <c r="AJ14" s="336">
        <v>18</v>
      </c>
      <c r="AK14" s="337">
        <v>1272</v>
      </c>
      <c r="AL14" s="328">
        <f t="shared" si="13"/>
        <v>70.666666666666671</v>
      </c>
      <c r="AM14" s="336">
        <f t="shared" si="14"/>
        <v>16</v>
      </c>
      <c r="AN14" s="632"/>
      <c r="AO14" s="336">
        <v>18</v>
      </c>
      <c r="AP14" s="337">
        <v>1498</v>
      </c>
      <c r="AQ14" s="328">
        <f t="shared" si="15"/>
        <v>83.222222222222229</v>
      </c>
      <c r="AR14" s="336">
        <f t="shared" si="16"/>
        <v>13</v>
      </c>
      <c r="AS14" s="632"/>
      <c r="AT14" s="340">
        <v>16</v>
      </c>
      <c r="AU14" s="337">
        <v>1361</v>
      </c>
      <c r="AV14" s="328">
        <f t="shared" si="17"/>
        <v>85.0625</v>
      </c>
      <c r="AW14" s="336">
        <f t="shared" si="18"/>
        <v>13</v>
      </c>
      <c r="AX14" s="632"/>
    </row>
    <row r="15" spans="1:50">
      <c r="A15" s="347"/>
      <c r="B15" s="630"/>
      <c r="C15" s="336">
        <v>9</v>
      </c>
      <c r="D15" s="336" t="s">
        <v>382</v>
      </c>
      <c r="E15" s="337">
        <f>VLOOKUP(D15,'07產線配置圖'!$A$2:$C$25,2,0)</f>
        <v>17</v>
      </c>
      <c r="F15" s="337">
        <f>VLOOKUP(D15,'07產線配置圖'!$A$2:$C$25,3,0)</f>
        <v>1716</v>
      </c>
      <c r="G15" s="330">
        <f t="shared" si="19"/>
        <v>100.94117647058823</v>
      </c>
      <c r="H15" s="632"/>
      <c r="I15" s="337"/>
      <c r="J15" s="337"/>
      <c r="K15" s="330"/>
      <c r="L15" s="632"/>
      <c r="M15" s="337"/>
      <c r="N15" s="637"/>
      <c r="O15" s="637"/>
      <c r="P15" s="336"/>
      <c r="Q15" s="337"/>
      <c r="R15" s="330" t="e">
        <f t="shared" si="0"/>
        <v>#DIV/0!</v>
      </c>
      <c r="S15" s="336" t="e">
        <f t="shared" si="9"/>
        <v>#DIV/0!</v>
      </c>
      <c r="T15" s="632"/>
      <c r="U15" s="336"/>
      <c r="V15" s="337"/>
      <c r="W15" s="330" t="e">
        <f t="shared" si="1"/>
        <v>#DIV/0!</v>
      </c>
      <c r="X15" s="336" t="e">
        <f t="shared" si="10"/>
        <v>#DIV/0!</v>
      </c>
      <c r="Y15" s="632"/>
      <c r="Z15" s="336"/>
      <c r="AA15" s="337"/>
      <c r="AB15" s="330" t="e">
        <f t="shared" si="2"/>
        <v>#DIV/0!</v>
      </c>
      <c r="AC15" s="336" t="e">
        <f t="shared" si="11"/>
        <v>#DIV/0!</v>
      </c>
      <c r="AD15" s="632"/>
      <c r="AE15" s="336"/>
      <c r="AF15" s="337"/>
      <c r="AG15" s="330" t="e">
        <f t="shared" si="3"/>
        <v>#DIV/0!</v>
      </c>
      <c r="AH15" s="336" t="e">
        <f t="shared" si="12"/>
        <v>#DIV/0!</v>
      </c>
      <c r="AI15" s="632"/>
      <c r="AJ15" s="336"/>
      <c r="AK15" s="337"/>
      <c r="AL15" s="330"/>
      <c r="AM15" s="336"/>
      <c r="AN15" s="632"/>
      <c r="AO15" s="336"/>
      <c r="AP15" s="337"/>
      <c r="AQ15" s="330"/>
      <c r="AR15" s="336"/>
      <c r="AS15" s="632"/>
      <c r="AT15" s="336"/>
      <c r="AU15" s="337"/>
      <c r="AV15" s="330"/>
      <c r="AW15" s="336"/>
      <c r="AX15" s="632"/>
    </row>
    <row r="16" spans="1:50">
      <c r="A16" s="347"/>
      <c r="B16" s="630"/>
      <c r="C16" s="336">
        <v>10</v>
      </c>
      <c r="D16" s="336" t="s">
        <v>115</v>
      </c>
      <c r="E16" s="337">
        <f>VLOOKUP(D16,'07產線配置圖'!$A$2:$C$25,2,0)</f>
        <v>13</v>
      </c>
      <c r="F16" s="337">
        <f>VLOOKUP(D16,'07產線配置圖'!$A$2:$C$25,3,0)</f>
        <v>2250</v>
      </c>
      <c r="G16" s="330">
        <f t="shared" si="19"/>
        <v>173.07692307692307</v>
      </c>
      <c r="H16" s="632"/>
      <c r="I16" s="337">
        <f t="shared" si="5"/>
        <v>13</v>
      </c>
      <c r="J16" s="337">
        <f t="shared" si="6"/>
        <v>2013.3333333333333</v>
      </c>
      <c r="K16" s="330">
        <f t="shared" si="7"/>
        <v>154.87179487179486</v>
      </c>
      <c r="L16" s="632"/>
      <c r="M16" s="337">
        <f t="shared" si="8"/>
        <v>3</v>
      </c>
      <c r="N16" s="637"/>
      <c r="O16" s="637"/>
      <c r="P16" s="336"/>
      <c r="Q16" s="337"/>
      <c r="R16" s="330" t="e">
        <f t="shared" si="0"/>
        <v>#DIV/0!</v>
      </c>
      <c r="S16" s="336" t="e">
        <f t="shared" si="9"/>
        <v>#DIV/0!</v>
      </c>
      <c r="T16" s="632"/>
      <c r="U16" s="336"/>
      <c r="V16" s="337"/>
      <c r="W16" s="330" t="e">
        <f t="shared" si="1"/>
        <v>#DIV/0!</v>
      </c>
      <c r="X16" s="336" t="e">
        <f t="shared" si="10"/>
        <v>#DIV/0!</v>
      </c>
      <c r="Y16" s="632"/>
      <c r="Z16" s="336"/>
      <c r="AA16" s="337"/>
      <c r="AB16" s="330" t="e">
        <f t="shared" si="2"/>
        <v>#DIV/0!</v>
      </c>
      <c r="AC16" s="336" t="e">
        <f t="shared" si="11"/>
        <v>#DIV/0!</v>
      </c>
      <c r="AD16" s="632"/>
      <c r="AE16" s="336"/>
      <c r="AF16" s="337"/>
      <c r="AG16" s="330" t="e">
        <f t="shared" si="3"/>
        <v>#DIV/0!</v>
      </c>
      <c r="AH16" s="336" t="e">
        <f t="shared" si="12"/>
        <v>#DIV/0!</v>
      </c>
      <c r="AI16" s="632"/>
      <c r="AJ16" s="336">
        <v>13</v>
      </c>
      <c r="AK16" s="337">
        <v>1922</v>
      </c>
      <c r="AL16" s="330">
        <f t="shared" ref="AL16:AL23" si="20">AK16/AJ16</f>
        <v>147.84615384615384</v>
      </c>
      <c r="AM16" s="336">
        <f t="shared" si="14"/>
        <v>3</v>
      </c>
      <c r="AN16" s="632"/>
      <c r="AO16" s="336">
        <v>13</v>
      </c>
      <c r="AP16" s="337">
        <v>2155</v>
      </c>
      <c r="AQ16" s="330">
        <f t="shared" ref="AQ16:AQ23" si="21">AP16/AO16</f>
        <v>165.76923076923077</v>
      </c>
      <c r="AR16" s="336">
        <f t="shared" si="16"/>
        <v>3</v>
      </c>
      <c r="AS16" s="632"/>
      <c r="AT16" s="381">
        <v>13</v>
      </c>
      <c r="AU16" s="337">
        <v>1963</v>
      </c>
      <c r="AV16" s="330">
        <f t="shared" ref="AV16:AV23" si="22">AU16/AT16</f>
        <v>151</v>
      </c>
      <c r="AW16" s="336">
        <f t="shared" si="18"/>
        <v>3</v>
      </c>
      <c r="AX16" s="632"/>
    </row>
    <row r="17" spans="2:50">
      <c r="B17" s="630"/>
      <c r="C17" s="336">
        <v>11</v>
      </c>
      <c r="D17" s="336" t="s">
        <v>127</v>
      </c>
      <c r="E17" s="337">
        <v>15</v>
      </c>
      <c r="F17" s="337">
        <v>2250</v>
      </c>
      <c r="G17" s="330">
        <v>150</v>
      </c>
      <c r="H17" s="632"/>
      <c r="I17" s="337">
        <f t="shared" si="5"/>
        <v>16.666666666666668</v>
      </c>
      <c r="J17" s="337">
        <f t="shared" si="6"/>
        <v>1420.6666666666667</v>
      </c>
      <c r="K17" s="330">
        <f t="shared" si="7"/>
        <v>85.24</v>
      </c>
      <c r="L17" s="632"/>
      <c r="M17" s="337">
        <f t="shared" si="8"/>
        <v>12</v>
      </c>
      <c r="N17" s="637"/>
      <c r="O17" s="637"/>
      <c r="P17" s="336"/>
      <c r="Q17" s="336"/>
      <c r="R17" s="330" t="e">
        <f t="shared" si="0"/>
        <v>#DIV/0!</v>
      </c>
      <c r="S17" s="336" t="e">
        <f t="shared" si="9"/>
        <v>#DIV/0!</v>
      </c>
      <c r="T17" s="632"/>
      <c r="U17" s="336"/>
      <c r="V17" s="336"/>
      <c r="W17" s="330" t="e">
        <f t="shared" si="1"/>
        <v>#DIV/0!</v>
      </c>
      <c r="X17" s="336" t="e">
        <f t="shared" si="10"/>
        <v>#DIV/0!</v>
      </c>
      <c r="Y17" s="632"/>
      <c r="Z17" s="336"/>
      <c r="AA17" s="336"/>
      <c r="AB17" s="330" t="e">
        <f t="shared" si="2"/>
        <v>#DIV/0!</v>
      </c>
      <c r="AC17" s="336" t="e">
        <f t="shared" si="11"/>
        <v>#DIV/0!</v>
      </c>
      <c r="AD17" s="632"/>
      <c r="AE17" s="336"/>
      <c r="AF17" s="336"/>
      <c r="AG17" s="330" t="e">
        <f t="shared" si="3"/>
        <v>#DIV/0!</v>
      </c>
      <c r="AH17" s="336" t="e">
        <f t="shared" si="12"/>
        <v>#DIV/0!</v>
      </c>
      <c r="AI17" s="632"/>
      <c r="AJ17" s="340">
        <v>16</v>
      </c>
      <c r="AK17" s="336">
        <v>1380</v>
      </c>
      <c r="AL17" s="328">
        <f t="shared" si="20"/>
        <v>86.25</v>
      </c>
      <c r="AM17" s="336">
        <f t="shared" si="14"/>
        <v>13</v>
      </c>
      <c r="AN17" s="632"/>
      <c r="AO17" s="336">
        <v>17</v>
      </c>
      <c r="AP17" s="336">
        <v>1411</v>
      </c>
      <c r="AQ17" s="328">
        <f t="shared" si="21"/>
        <v>83</v>
      </c>
      <c r="AR17" s="336">
        <f t="shared" si="16"/>
        <v>14</v>
      </c>
      <c r="AS17" s="632"/>
      <c r="AT17" s="336">
        <v>17</v>
      </c>
      <c r="AU17" s="336">
        <v>1471</v>
      </c>
      <c r="AV17" s="328">
        <f t="shared" si="22"/>
        <v>86.529411764705884</v>
      </c>
      <c r="AW17" s="336">
        <f t="shared" si="18"/>
        <v>11</v>
      </c>
      <c r="AX17" s="632"/>
    </row>
    <row r="18" spans="2:50">
      <c r="B18" s="630"/>
      <c r="C18" s="336">
        <v>12</v>
      </c>
      <c r="D18" s="336" t="s">
        <v>122</v>
      </c>
      <c r="E18" s="337">
        <f>VLOOKUP(D18,'07產線配置圖'!$A$2:$C$25,2,0)</f>
        <v>18</v>
      </c>
      <c r="F18" s="337">
        <f>VLOOKUP(D18,'07產線配置圖'!$A$2:$C$25,3,0)</f>
        <v>1636</v>
      </c>
      <c r="G18" s="330">
        <f t="shared" si="19"/>
        <v>90.888888888888886</v>
      </c>
      <c r="H18" s="632"/>
      <c r="I18" s="337">
        <f t="shared" si="5"/>
        <v>17.666666666666668</v>
      </c>
      <c r="J18" s="337">
        <f t="shared" si="6"/>
        <v>1441.6666666666667</v>
      </c>
      <c r="K18" s="330">
        <f t="shared" si="7"/>
        <v>81.603773584905653</v>
      </c>
      <c r="L18" s="632"/>
      <c r="M18" s="337">
        <f t="shared" si="8"/>
        <v>14</v>
      </c>
      <c r="N18" s="637"/>
      <c r="O18" s="637"/>
      <c r="P18" s="336"/>
      <c r="Q18" s="336"/>
      <c r="R18" s="330" t="e">
        <f t="shared" si="0"/>
        <v>#DIV/0!</v>
      </c>
      <c r="S18" s="336" t="e">
        <f t="shared" si="9"/>
        <v>#DIV/0!</v>
      </c>
      <c r="T18" s="632"/>
      <c r="U18" s="336"/>
      <c r="V18" s="336"/>
      <c r="W18" s="330" t="e">
        <f t="shared" si="1"/>
        <v>#DIV/0!</v>
      </c>
      <c r="X18" s="336" t="e">
        <f t="shared" si="10"/>
        <v>#DIV/0!</v>
      </c>
      <c r="Y18" s="632"/>
      <c r="Z18" s="336"/>
      <c r="AA18" s="336"/>
      <c r="AB18" s="330" t="e">
        <f t="shared" si="2"/>
        <v>#DIV/0!</v>
      </c>
      <c r="AC18" s="336" t="e">
        <f t="shared" si="11"/>
        <v>#DIV/0!</v>
      </c>
      <c r="AD18" s="632"/>
      <c r="AE18" s="336"/>
      <c r="AF18" s="336"/>
      <c r="AG18" s="330" t="e">
        <f t="shared" si="3"/>
        <v>#DIV/0!</v>
      </c>
      <c r="AH18" s="336" t="e">
        <f t="shared" si="12"/>
        <v>#DIV/0!</v>
      </c>
      <c r="AI18" s="632"/>
      <c r="AJ18" s="336">
        <v>18</v>
      </c>
      <c r="AK18" s="336">
        <v>1419</v>
      </c>
      <c r="AL18" s="328">
        <f t="shared" si="20"/>
        <v>78.833333333333329</v>
      </c>
      <c r="AM18" s="336">
        <f t="shared" si="14"/>
        <v>15</v>
      </c>
      <c r="AN18" s="632"/>
      <c r="AO18" s="336">
        <v>17</v>
      </c>
      <c r="AP18" s="336">
        <v>1443</v>
      </c>
      <c r="AQ18" s="328">
        <f t="shared" si="21"/>
        <v>84.882352941176464</v>
      </c>
      <c r="AR18" s="336">
        <f t="shared" si="16"/>
        <v>12</v>
      </c>
      <c r="AS18" s="632"/>
      <c r="AT18" s="336">
        <v>18</v>
      </c>
      <c r="AU18" s="336">
        <v>1463</v>
      </c>
      <c r="AV18" s="328">
        <f t="shared" si="22"/>
        <v>81.277777777777771</v>
      </c>
      <c r="AW18" s="336">
        <f t="shared" si="18"/>
        <v>15</v>
      </c>
      <c r="AX18" s="632"/>
    </row>
    <row r="19" spans="2:50">
      <c r="B19" s="630"/>
      <c r="C19" s="336">
        <v>13</v>
      </c>
      <c r="D19" s="336" t="s">
        <v>125</v>
      </c>
      <c r="E19" s="337">
        <f>VLOOKUP(D19,'07產線配置圖'!$A$2:$C$25,2,0)</f>
        <v>17</v>
      </c>
      <c r="F19" s="337">
        <f>VLOOKUP(D19,'07產線配置圖'!$A$2:$C$25,3,0)</f>
        <v>1636</v>
      </c>
      <c r="G19" s="330">
        <f t="shared" si="19"/>
        <v>96.235294117647058</v>
      </c>
      <c r="H19" s="632"/>
      <c r="I19" s="337">
        <f t="shared" si="5"/>
        <v>16.666666666666668</v>
      </c>
      <c r="J19" s="337">
        <f t="shared" si="6"/>
        <v>1467</v>
      </c>
      <c r="K19" s="330">
        <f t="shared" si="7"/>
        <v>88.02</v>
      </c>
      <c r="L19" s="632"/>
      <c r="M19" s="337">
        <f t="shared" si="8"/>
        <v>11</v>
      </c>
      <c r="N19" s="637"/>
      <c r="O19" s="637"/>
      <c r="P19" s="336"/>
      <c r="Q19" s="336"/>
      <c r="R19" s="330" t="e">
        <f t="shared" si="0"/>
        <v>#DIV/0!</v>
      </c>
      <c r="S19" s="336" t="e">
        <f t="shared" si="9"/>
        <v>#DIV/0!</v>
      </c>
      <c r="T19" s="632"/>
      <c r="U19" s="336"/>
      <c r="V19" s="336"/>
      <c r="W19" s="330" t="e">
        <f t="shared" si="1"/>
        <v>#DIV/0!</v>
      </c>
      <c r="X19" s="336" t="e">
        <f t="shared" si="10"/>
        <v>#DIV/0!</v>
      </c>
      <c r="Y19" s="632"/>
      <c r="Z19" s="336"/>
      <c r="AA19" s="336"/>
      <c r="AB19" s="330" t="e">
        <f t="shared" si="2"/>
        <v>#DIV/0!</v>
      </c>
      <c r="AC19" s="336" t="e">
        <f t="shared" si="11"/>
        <v>#DIV/0!</v>
      </c>
      <c r="AD19" s="632"/>
      <c r="AE19" s="336"/>
      <c r="AF19" s="336"/>
      <c r="AG19" s="330" t="e">
        <f t="shared" si="3"/>
        <v>#DIV/0!</v>
      </c>
      <c r="AH19" s="336" t="e">
        <f t="shared" si="12"/>
        <v>#DIV/0!</v>
      </c>
      <c r="AI19" s="632"/>
      <c r="AJ19" s="340">
        <v>17</v>
      </c>
      <c r="AK19" s="336">
        <v>1547</v>
      </c>
      <c r="AL19" s="330">
        <f t="shared" si="20"/>
        <v>91</v>
      </c>
      <c r="AM19" s="336">
        <f t="shared" si="14"/>
        <v>10</v>
      </c>
      <c r="AN19" s="632"/>
      <c r="AO19" s="336">
        <v>17</v>
      </c>
      <c r="AP19" s="336">
        <v>1516</v>
      </c>
      <c r="AQ19" s="328">
        <f t="shared" si="21"/>
        <v>89.17647058823529</v>
      </c>
      <c r="AR19" s="336">
        <f t="shared" si="16"/>
        <v>11</v>
      </c>
      <c r="AS19" s="632"/>
      <c r="AT19" s="340">
        <v>16</v>
      </c>
      <c r="AU19" s="336">
        <v>1338</v>
      </c>
      <c r="AV19" s="328">
        <f t="shared" si="22"/>
        <v>83.625</v>
      </c>
      <c r="AW19" s="336">
        <f t="shared" si="18"/>
        <v>14</v>
      </c>
      <c r="AX19" s="632"/>
    </row>
    <row r="20" spans="2:50">
      <c r="B20" s="630"/>
      <c r="C20" s="336">
        <v>14</v>
      </c>
      <c r="D20" s="336" t="s">
        <v>172</v>
      </c>
      <c r="E20" s="337">
        <f>VLOOKUP(D20,'07產線配置圖'!$A$2:$C$25,2,0)</f>
        <v>16</v>
      </c>
      <c r="F20" s="337">
        <f>VLOOKUP(D20,'07產線配置圖'!$A$2:$C$25,3,0)</f>
        <v>1636</v>
      </c>
      <c r="G20" s="330">
        <f t="shared" si="19"/>
        <v>102.25</v>
      </c>
      <c r="H20" s="632"/>
      <c r="I20" s="337">
        <f t="shared" si="5"/>
        <v>16</v>
      </c>
      <c r="J20" s="337">
        <f t="shared" si="6"/>
        <v>1358.3333333333333</v>
      </c>
      <c r="K20" s="330">
        <f t="shared" si="7"/>
        <v>84.895833333333329</v>
      </c>
      <c r="L20" s="632"/>
      <c r="M20" s="337">
        <f t="shared" si="8"/>
        <v>13</v>
      </c>
      <c r="N20" s="637"/>
      <c r="O20" s="637"/>
      <c r="P20" s="336"/>
      <c r="Q20" s="336"/>
      <c r="R20" s="330" t="e">
        <f t="shared" si="0"/>
        <v>#DIV/0!</v>
      </c>
      <c r="S20" s="336" t="e">
        <f t="shared" si="9"/>
        <v>#DIV/0!</v>
      </c>
      <c r="T20" s="632"/>
      <c r="U20" s="336"/>
      <c r="V20" s="336"/>
      <c r="W20" s="330" t="e">
        <f t="shared" si="1"/>
        <v>#DIV/0!</v>
      </c>
      <c r="X20" s="336" t="e">
        <f t="shared" si="10"/>
        <v>#DIV/0!</v>
      </c>
      <c r="Y20" s="632"/>
      <c r="Z20" s="336"/>
      <c r="AA20" s="336"/>
      <c r="AB20" s="330" t="e">
        <f t="shared" si="2"/>
        <v>#DIV/0!</v>
      </c>
      <c r="AC20" s="336" t="e">
        <f t="shared" si="11"/>
        <v>#DIV/0!</v>
      </c>
      <c r="AD20" s="632"/>
      <c r="AE20" s="336"/>
      <c r="AF20" s="336"/>
      <c r="AG20" s="330" t="e">
        <f t="shared" si="3"/>
        <v>#DIV/0!</v>
      </c>
      <c r="AH20" s="336" t="e">
        <f t="shared" si="12"/>
        <v>#DIV/0!</v>
      </c>
      <c r="AI20" s="632"/>
      <c r="AJ20" s="336">
        <v>16</v>
      </c>
      <c r="AK20" s="336">
        <v>1384</v>
      </c>
      <c r="AL20" s="328">
        <f t="shared" si="20"/>
        <v>86.5</v>
      </c>
      <c r="AM20" s="336">
        <f t="shared" si="14"/>
        <v>12</v>
      </c>
      <c r="AN20" s="632"/>
      <c r="AO20" s="336">
        <v>16</v>
      </c>
      <c r="AP20" s="336">
        <v>1311</v>
      </c>
      <c r="AQ20" s="328">
        <f t="shared" si="21"/>
        <v>81.9375</v>
      </c>
      <c r="AR20" s="336">
        <f t="shared" si="16"/>
        <v>16</v>
      </c>
      <c r="AS20" s="632"/>
      <c r="AT20" s="336">
        <v>16</v>
      </c>
      <c r="AU20" s="336">
        <v>1380</v>
      </c>
      <c r="AV20" s="328">
        <f t="shared" si="22"/>
        <v>86.25</v>
      </c>
      <c r="AW20" s="336">
        <f t="shared" si="18"/>
        <v>12</v>
      </c>
      <c r="AX20" s="632"/>
    </row>
    <row r="21" spans="2:50">
      <c r="B21" s="630"/>
      <c r="C21" s="336">
        <v>15</v>
      </c>
      <c r="D21" s="336" t="s">
        <v>228</v>
      </c>
      <c r="E21" s="337">
        <f>VLOOKUP(D21,'07產線配置圖'!$A$2:$C$25,2,0)</f>
        <v>17</v>
      </c>
      <c r="F21" s="337">
        <f>VLOOKUP(D21,'07產線配置圖'!$A$2:$C$25,3,0)</f>
        <v>2250</v>
      </c>
      <c r="G21" s="330">
        <f t="shared" si="19"/>
        <v>132.35294117647058</v>
      </c>
      <c r="H21" s="632"/>
      <c r="I21" s="337">
        <f t="shared" si="5"/>
        <v>17</v>
      </c>
      <c r="J21" s="337">
        <f t="shared" si="6"/>
        <v>2025.3333333333333</v>
      </c>
      <c r="K21" s="330">
        <f t="shared" si="7"/>
        <v>119.13725490196077</v>
      </c>
      <c r="L21" s="632"/>
      <c r="M21" s="337">
        <f t="shared" si="8"/>
        <v>6</v>
      </c>
      <c r="N21" s="637"/>
      <c r="O21" s="637"/>
      <c r="P21" s="336"/>
      <c r="Q21" s="336"/>
      <c r="R21" s="330" t="e">
        <f t="shared" si="0"/>
        <v>#DIV/0!</v>
      </c>
      <c r="S21" s="336" t="e">
        <f t="shared" si="9"/>
        <v>#DIV/0!</v>
      </c>
      <c r="T21" s="632"/>
      <c r="U21" s="336"/>
      <c r="V21" s="336"/>
      <c r="W21" s="330" t="e">
        <f t="shared" si="1"/>
        <v>#DIV/0!</v>
      </c>
      <c r="X21" s="336" t="e">
        <f t="shared" si="10"/>
        <v>#DIV/0!</v>
      </c>
      <c r="Y21" s="632"/>
      <c r="Z21" s="336"/>
      <c r="AA21" s="336"/>
      <c r="AB21" s="330" t="e">
        <f t="shared" si="2"/>
        <v>#DIV/0!</v>
      </c>
      <c r="AC21" s="336" t="e">
        <f t="shared" si="11"/>
        <v>#DIV/0!</v>
      </c>
      <c r="AD21" s="632"/>
      <c r="AE21" s="336"/>
      <c r="AF21" s="336"/>
      <c r="AG21" s="330" t="e">
        <f t="shared" si="3"/>
        <v>#DIV/0!</v>
      </c>
      <c r="AH21" s="336" t="e">
        <f t="shared" si="12"/>
        <v>#DIV/0!</v>
      </c>
      <c r="AI21" s="632"/>
      <c r="AJ21" s="381">
        <v>17</v>
      </c>
      <c r="AK21" s="336">
        <v>2000</v>
      </c>
      <c r="AL21" s="330">
        <f t="shared" si="20"/>
        <v>117.64705882352941</v>
      </c>
      <c r="AM21" s="336">
        <f t="shared" si="14"/>
        <v>6</v>
      </c>
      <c r="AN21" s="632"/>
      <c r="AO21" s="381">
        <v>17</v>
      </c>
      <c r="AP21" s="336">
        <v>2025</v>
      </c>
      <c r="AQ21" s="330">
        <f t="shared" si="21"/>
        <v>119.11764705882354</v>
      </c>
      <c r="AR21" s="336">
        <f t="shared" si="16"/>
        <v>6</v>
      </c>
      <c r="AS21" s="632"/>
      <c r="AT21" s="381">
        <v>17</v>
      </c>
      <c r="AU21" s="336">
        <v>2051</v>
      </c>
      <c r="AV21" s="330">
        <f t="shared" si="22"/>
        <v>120.64705882352941</v>
      </c>
      <c r="AW21" s="336">
        <f t="shared" si="18"/>
        <v>6</v>
      </c>
      <c r="AX21" s="632"/>
    </row>
    <row r="22" spans="2:50">
      <c r="B22" s="630"/>
      <c r="C22" s="336">
        <v>16</v>
      </c>
      <c r="D22" s="336" t="s">
        <v>383</v>
      </c>
      <c r="E22" s="337">
        <f>VLOOKUP(D22,'07產線配置圖'!$A$2:$C$25,2,0)</f>
        <v>14</v>
      </c>
      <c r="F22" s="337">
        <f>VLOOKUP(D22,'07產線配置圖'!$A$2:$C$25,3,0)</f>
        <v>1565</v>
      </c>
      <c r="G22" s="330">
        <f t="shared" ref="G22:G23" si="23">F22/E22</f>
        <v>111.78571428571429</v>
      </c>
      <c r="H22" s="632"/>
      <c r="I22" s="337">
        <f t="shared" si="5"/>
        <v>11</v>
      </c>
      <c r="J22" s="337">
        <f t="shared" si="6"/>
        <v>1018</v>
      </c>
      <c r="K22" s="330">
        <f t="shared" si="7"/>
        <v>92.545454545454547</v>
      </c>
      <c r="L22" s="632"/>
      <c r="M22" s="337">
        <f t="shared" si="8"/>
        <v>10</v>
      </c>
      <c r="N22" s="637"/>
      <c r="O22" s="637"/>
      <c r="P22" s="336"/>
      <c r="Q22" s="336"/>
      <c r="R22" s="330" t="e">
        <f t="shared" si="0"/>
        <v>#DIV/0!</v>
      </c>
      <c r="S22" s="336" t="e">
        <f t="shared" si="9"/>
        <v>#DIV/0!</v>
      </c>
      <c r="T22" s="632"/>
      <c r="U22" s="336"/>
      <c r="V22" s="336"/>
      <c r="W22" s="330" t="e">
        <f t="shared" si="1"/>
        <v>#DIV/0!</v>
      </c>
      <c r="X22" s="336" t="e">
        <f t="shared" si="10"/>
        <v>#DIV/0!</v>
      </c>
      <c r="Y22" s="632"/>
      <c r="Z22" s="336"/>
      <c r="AA22" s="336"/>
      <c r="AB22" s="330" t="e">
        <f t="shared" si="2"/>
        <v>#DIV/0!</v>
      </c>
      <c r="AC22" s="336" t="e">
        <f t="shared" si="11"/>
        <v>#DIV/0!</v>
      </c>
      <c r="AD22" s="632"/>
      <c r="AE22" s="336"/>
      <c r="AF22" s="336"/>
      <c r="AG22" s="330" t="e">
        <f t="shared" si="3"/>
        <v>#DIV/0!</v>
      </c>
      <c r="AH22" s="336" t="e">
        <f t="shared" si="12"/>
        <v>#DIV/0!</v>
      </c>
      <c r="AI22" s="632"/>
      <c r="AJ22" s="340">
        <v>9</v>
      </c>
      <c r="AK22" s="336">
        <v>807</v>
      </c>
      <c r="AL22" s="330">
        <f t="shared" si="20"/>
        <v>89.666666666666671</v>
      </c>
      <c r="AM22" s="336">
        <f t="shared" si="14"/>
        <v>11</v>
      </c>
      <c r="AN22" s="632"/>
      <c r="AO22" s="340">
        <v>13</v>
      </c>
      <c r="AP22" s="336">
        <v>1209</v>
      </c>
      <c r="AQ22" s="330">
        <f t="shared" si="21"/>
        <v>93</v>
      </c>
      <c r="AR22" s="336">
        <f t="shared" si="16"/>
        <v>9</v>
      </c>
      <c r="AS22" s="632"/>
      <c r="AT22" s="340">
        <v>11</v>
      </c>
      <c r="AU22" s="336">
        <v>1038</v>
      </c>
      <c r="AV22" s="330">
        <f t="shared" si="22"/>
        <v>94.36363636363636</v>
      </c>
      <c r="AW22" s="336">
        <f t="shared" si="18"/>
        <v>9</v>
      </c>
      <c r="AX22" s="632"/>
    </row>
    <row r="23" spans="2:50" ht="13.5">
      <c r="B23" s="630"/>
      <c r="C23" s="336">
        <v>17</v>
      </c>
      <c r="D23" s="355" t="s">
        <v>129</v>
      </c>
      <c r="E23" s="337">
        <f>VLOOKUP(D23,'07產線配置圖'!$A$2:$C$25,2,0)</f>
        <v>18</v>
      </c>
      <c r="F23" s="337">
        <f>VLOOKUP(D23,'07產線配置圖'!$A$2:$C$25,3,0)</f>
        <v>1636</v>
      </c>
      <c r="G23" s="330">
        <f t="shared" si="23"/>
        <v>90.888888888888886</v>
      </c>
      <c r="H23" s="632"/>
      <c r="I23" s="337">
        <f t="shared" si="5"/>
        <v>18</v>
      </c>
      <c r="J23" s="337">
        <f t="shared" si="6"/>
        <v>1440</v>
      </c>
      <c r="K23" s="330">
        <f t="shared" si="7"/>
        <v>80</v>
      </c>
      <c r="L23" s="632"/>
      <c r="M23" s="337">
        <f t="shared" si="8"/>
        <v>15</v>
      </c>
      <c r="N23" s="637"/>
      <c r="O23" s="637"/>
      <c r="P23" s="336"/>
      <c r="Q23" s="336"/>
      <c r="R23" s="330" t="e">
        <f t="shared" si="0"/>
        <v>#DIV/0!</v>
      </c>
      <c r="S23" s="336" t="e">
        <f t="shared" si="9"/>
        <v>#DIV/0!</v>
      </c>
      <c r="T23" s="632"/>
      <c r="U23" s="336"/>
      <c r="V23" s="336"/>
      <c r="W23" s="330" t="e">
        <f t="shared" si="1"/>
        <v>#DIV/0!</v>
      </c>
      <c r="X23" s="336" t="e">
        <f t="shared" si="10"/>
        <v>#DIV/0!</v>
      </c>
      <c r="Y23" s="632"/>
      <c r="Z23" s="336"/>
      <c r="AA23" s="336"/>
      <c r="AB23" s="330" t="e">
        <f t="shared" si="2"/>
        <v>#DIV/0!</v>
      </c>
      <c r="AC23" s="336" t="e">
        <f t="shared" si="11"/>
        <v>#DIV/0!</v>
      </c>
      <c r="AD23" s="632"/>
      <c r="AE23" s="336"/>
      <c r="AF23" s="336"/>
      <c r="AG23" s="330" t="e">
        <f t="shared" si="3"/>
        <v>#DIV/0!</v>
      </c>
      <c r="AH23" s="336" t="e">
        <f t="shared" si="12"/>
        <v>#DIV/0!</v>
      </c>
      <c r="AI23" s="632"/>
      <c r="AJ23" s="336">
        <v>18</v>
      </c>
      <c r="AK23" s="336">
        <v>1482</v>
      </c>
      <c r="AL23" s="330">
        <f t="shared" si="20"/>
        <v>82.333333333333329</v>
      </c>
      <c r="AM23" s="336">
        <f t="shared" si="14"/>
        <v>14</v>
      </c>
      <c r="AN23" s="632"/>
      <c r="AO23" s="336">
        <v>18</v>
      </c>
      <c r="AP23" s="336">
        <v>1485</v>
      </c>
      <c r="AQ23" s="330">
        <f t="shared" si="21"/>
        <v>82.5</v>
      </c>
      <c r="AR23" s="336">
        <f t="shared" si="16"/>
        <v>15</v>
      </c>
      <c r="AS23" s="632"/>
      <c r="AT23" s="336">
        <v>18</v>
      </c>
      <c r="AU23" s="336">
        <v>1353</v>
      </c>
      <c r="AV23" s="328">
        <f t="shared" si="22"/>
        <v>75.166666666666671</v>
      </c>
      <c r="AW23" s="336">
        <f t="shared" si="18"/>
        <v>16</v>
      </c>
      <c r="AX23" s="632"/>
    </row>
    <row r="24" spans="2:50">
      <c r="B24" s="630"/>
      <c r="C24" s="336">
        <v>18</v>
      </c>
      <c r="D24" s="336"/>
      <c r="E24" s="336"/>
      <c r="F24" s="336"/>
      <c r="G24" s="336"/>
      <c r="H24" s="632"/>
      <c r="I24" s="337"/>
      <c r="J24" s="337"/>
      <c r="K24" s="330"/>
      <c r="L24" s="633"/>
      <c r="M24" s="337"/>
      <c r="N24" s="620"/>
      <c r="O24" s="620"/>
      <c r="P24" s="336"/>
      <c r="Q24" s="336"/>
      <c r="R24" s="336"/>
      <c r="S24" s="336"/>
      <c r="T24" s="633"/>
      <c r="U24" s="336"/>
      <c r="V24" s="336"/>
      <c r="W24" s="330"/>
      <c r="X24" s="336"/>
      <c r="Y24" s="633"/>
      <c r="Z24" s="336"/>
      <c r="AA24" s="336"/>
      <c r="AB24" s="330"/>
      <c r="AC24" s="336"/>
      <c r="AD24" s="633"/>
      <c r="AE24" s="336"/>
      <c r="AF24" s="336"/>
      <c r="AG24" s="330"/>
      <c r="AH24" s="336"/>
      <c r="AI24" s="633"/>
      <c r="AJ24" s="336"/>
      <c r="AK24" s="336"/>
      <c r="AL24" s="330"/>
      <c r="AM24" s="336"/>
      <c r="AN24" s="633"/>
      <c r="AO24" s="336"/>
      <c r="AP24" s="336"/>
      <c r="AQ24" s="330"/>
      <c r="AR24" s="336"/>
      <c r="AS24" s="633"/>
      <c r="AT24" s="336"/>
      <c r="AU24" s="336"/>
      <c r="AV24" s="330"/>
      <c r="AW24" s="336"/>
      <c r="AX24" s="633"/>
    </row>
    <row r="25" spans="2:50" ht="15.75">
      <c r="B25" s="638" t="s">
        <v>85</v>
      </c>
      <c r="C25" s="639"/>
      <c r="D25" s="639"/>
      <c r="E25" s="639"/>
      <c r="F25" s="639"/>
      <c r="G25" s="639"/>
      <c r="H25" s="639"/>
      <c r="I25" s="348"/>
      <c r="J25" s="348"/>
      <c r="K25" s="348"/>
      <c r="L25" s="348"/>
      <c r="M25" s="356"/>
      <c r="N25" s="619" t="s">
        <v>86</v>
      </c>
      <c r="O25" s="619" t="s">
        <v>45</v>
      </c>
      <c r="P25" s="617">
        <f>AT2+1</f>
        <v>46238</v>
      </c>
      <c r="Q25" s="618"/>
      <c r="R25" s="618"/>
      <c r="S25" s="618"/>
      <c r="T25" s="618"/>
      <c r="U25" s="617">
        <f>P25+1</f>
        <v>46239</v>
      </c>
      <c r="V25" s="618"/>
      <c r="W25" s="618"/>
      <c r="X25" s="618"/>
      <c r="Y25" s="618"/>
      <c r="Z25" s="617">
        <f>U25+1</f>
        <v>46240</v>
      </c>
      <c r="AA25" s="618"/>
      <c r="AB25" s="618"/>
      <c r="AC25" s="618"/>
      <c r="AD25" s="618"/>
      <c r="AE25" s="617">
        <f>Z25+1</f>
        <v>46241</v>
      </c>
      <c r="AF25" s="618"/>
      <c r="AG25" s="618"/>
      <c r="AH25" s="618"/>
      <c r="AI25" s="618"/>
      <c r="AJ25" s="617">
        <f>AE25+1</f>
        <v>46242</v>
      </c>
      <c r="AK25" s="618"/>
      <c r="AL25" s="618"/>
      <c r="AM25" s="618"/>
      <c r="AN25" s="618"/>
      <c r="AO25" s="617">
        <f>AJ25+1</f>
        <v>46243</v>
      </c>
      <c r="AP25" s="618"/>
      <c r="AQ25" s="618"/>
      <c r="AR25" s="618"/>
      <c r="AS25" s="618"/>
      <c r="AT25" s="617">
        <f>AO25+1</f>
        <v>46244</v>
      </c>
      <c r="AU25" s="618"/>
      <c r="AV25" s="618"/>
      <c r="AW25" s="618"/>
      <c r="AX25" s="618"/>
    </row>
    <row r="26" spans="2:50" ht="15.75">
      <c r="B26" s="627"/>
      <c r="C26" s="627"/>
      <c r="D26" s="627"/>
      <c r="E26" s="627"/>
      <c r="F26" s="627"/>
      <c r="G26" s="627"/>
      <c r="H26" s="627"/>
      <c r="I26" s="351"/>
      <c r="J26" s="351"/>
      <c r="K26" s="351"/>
      <c r="L26" s="351"/>
      <c r="M26" s="352"/>
      <c r="N26" s="620"/>
      <c r="O26" s="620"/>
      <c r="P26" s="617" t="s">
        <v>58</v>
      </c>
      <c r="Q26" s="618"/>
      <c r="R26" s="618"/>
      <c r="S26" s="618"/>
      <c r="T26" s="618"/>
      <c r="U26" s="617" t="s">
        <v>59</v>
      </c>
      <c r="V26" s="618"/>
      <c r="W26" s="618"/>
      <c r="X26" s="618"/>
      <c r="Y26" s="618"/>
      <c r="Z26" s="617" t="s">
        <v>60</v>
      </c>
      <c r="AA26" s="618"/>
      <c r="AB26" s="618"/>
      <c r="AC26" s="618"/>
      <c r="AD26" s="618"/>
      <c r="AE26" s="617" t="s">
        <v>61</v>
      </c>
      <c r="AF26" s="618"/>
      <c r="AG26" s="618"/>
      <c r="AH26" s="618"/>
      <c r="AI26" s="618"/>
      <c r="AJ26" s="617" t="s">
        <v>56</v>
      </c>
      <c r="AK26" s="618"/>
      <c r="AL26" s="618"/>
      <c r="AM26" s="618"/>
      <c r="AN26" s="618"/>
      <c r="AO26" s="617" t="s">
        <v>52</v>
      </c>
      <c r="AP26" s="618"/>
      <c r="AQ26" s="618"/>
      <c r="AR26" s="618"/>
      <c r="AS26" s="618"/>
      <c r="AT26" s="617" t="s">
        <v>57</v>
      </c>
      <c r="AU26" s="618"/>
      <c r="AV26" s="618"/>
      <c r="AW26" s="618"/>
      <c r="AX26" s="618"/>
    </row>
    <row r="27" spans="2:50">
      <c r="B27" s="624" t="s">
        <v>41</v>
      </c>
      <c r="C27" s="628" t="s">
        <v>87</v>
      </c>
      <c r="D27" s="624"/>
      <c r="E27" s="624" t="s">
        <v>88</v>
      </c>
      <c r="F27" s="624"/>
      <c r="G27" s="624"/>
      <c r="H27" s="634" t="s">
        <v>89</v>
      </c>
      <c r="I27" s="624" t="s">
        <v>90</v>
      </c>
      <c r="J27" s="624"/>
      <c r="K27" s="624"/>
      <c r="L27" s="634" t="s">
        <v>89</v>
      </c>
      <c r="M27" s="619" t="s">
        <v>91</v>
      </c>
      <c r="N27" s="624"/>
      <c r="O27" s="624" t="s">
        <v>92</v>
      </c>
      <c r="P27" s="621" t="s">
        <v>93</v>
      </c>
      <c r="Q27" s="622"/>
      <c r="R27" s="622"/>
      <c r="S27" s="623"/>
      <c r="T27" s="624" t="s">
        <v>89</v>
      </c>
      <c r="U27" s="621" t="s">
        <v>93</v>
      </c>
      <c r="V27" s="622"/>
      <c r="W27" s="622"/>
      <c r="X27" s="623"/>
      <c r="Y27" s="624" t="s">
        <v>89</v>
      </c>
      <c r="Z27" s="621" t="s">
        <v>93</v>
      </c>
      <c r="AA27" s="622"/>
      <c r="AB27" s="622"/>
      <c r="AC27" s="623"/>
      <c r="AD27" s="624" t="s">
        <v>89</v>
      </c>
      <c r="AE27" s="621" t="s">
        <v>93</v>
      </c>
      <c r="AF27" s="622"/>
      <c r="AG27" s="622"/>
      <c r="AH27" s="623"/>
      <c r="AI27" s="624" t="s">
        <v>89</v>
      </c>
      <c r="AJ27" s="621" t="s">
        <v>93</v>
      </c>
      <c r="AK27" s="622"/>
      <c r="AL27" s="622"/>
      <c r="AM27" s="623"/>
      <c r="AN27" s="624" t="s">
        <v>89</v>
      </c>
      <c r="AO27" s="621" t="s">
        <v>93</v>
      </c>
      <c r="AP27" s="622"/>
      <c r="AQ27" s="622"/>
      <c r="AR27" s="623"/>
      <c r="AS27" s="624" t="s">
        <v>89</v>
      </c>
      <c r="AT27" s="621" t="s">
        <v>93</v>
      </c>
      <c r="AU27" s="622"/>
      <c r="AV27" s="622"/>
      <c r="AW27" s="623"/>
      <c r="AX27" s="624" t="s">
        <v>89</v>
      </c>
    </row>
    <row r="28" spans="2:50">
      <c r="B28" s="624"/>
      <c r="C28" s="624"/>
      <c r="D28" s="624"/>
      <c r="E28" s="624" t="s">
        <v>94</v>
      </c>
      <c r="F28" s="624"/>
      <c r="G28" s="624"/>
      <c r="H28" s="635"/>
      <c r="I28" s="624" t="s">
        <v>94</v>
      </c>
      <c r="J28" s="624"/>
      <c r="K28" s="624"/>
      <c r="L28" s="635"/>
      <c r="M28" s="637"/>
      <c r="N28" s="624"/>
      <c r="O28" s="624"/>
      <c r="P28" s="621" t="s">
        <v>95</v>
      </c>
      <c r="Q28" s="622"/>
      <c r="R28" s="622"/>
      <c r="S28" s="623"/>
      <c r="T28" s="624"/>
      <c r="U28" s="621" t="s">
        <v>95</v>
      </c>
      <c r="V28" s="622"/>
      <c r="W28" s="622"/>
      <c r="X28" s="623"/>
      <c r="Y28" s="624"/>
      <c r="Z28" s="621" t="s">
        <v>95</v>
      </c>
      <c r="AA28" s="622"/>
      <c r="AB28" s="622"/>
      <c r="AC28" s="623"/>
      <c r="AD28" s="624"/>
      <c r="AE28" s="621" t="s">
        <v>95</v>
      </c>
      <c r="AF28" s="622"/>
      <c r="AG28" s="622"/>
      <c r="AH28" s="623"/>
      <c r="AI28" s="624"/>
      <c r="AJ28" s="621" t="s">
        <v>95</v>
      </c>
      <c r="AK28" s="622"/>
      <c r="AL28" s="622"/>
      <c r="AM28" s="623"/>
      <c r="AN28" s="624"/>
      <c r="AO28" s="621" t="s">
        <v>95</v>
      </c>
      <c r="AP28" s="622"/>
      <c r="AQ28" s="622"/>
      <c r="AR28" s="623"/>
      <c r="AS28" s="624"/>
      <c r="AT28" s="621" t="s">
        <v>95</v>
      </c>
      <c r="AU28" s="622"/>
      <c r="AV28" s="622"/>
      <c r="AW28" s="623"/>
      <c r="AX28" s="624"/>
    </row>
    <row r="29" spans="2:50">
      <c r="B29" s="624"/>
      <c r="C29" s="624"/>
      <c r="D29" s="624"/>
      <c r="E29" s="353" t="s">
        <v>96</v>
      </c>
      <c r="F29" s="353" t="s">
        <v>97</v>
      </c>
      <c r="G29" s="353" t="s">
        <v>98</v>
      </c>
      <c r="H29" s="636"/>
      <c r="I29" s="353" t="s">
        <v>96</v>
      </c>
      <c r="J29" s="353" t="s">
        <v>97</v>
      </c>
      <c r="K29" s="353" t="s">
        <v>98</v>
      </c>
      <c r="L29" s="636"/>
      <c r="M29" s="620"/>
      <c r="N29" s="624"/>
      <c r="O29" s="624"/>
      <c r="P29" s="353" t="s">
        <v>96</v>
      </c>
      <c r="Q29" s="353" t="s">
        <v>97</v>
      </c>
      <c r="R29" s="353" t="s">
        <v>98</v>
      </c>
      <c r="S29" s="353" t="s">
        <v>91</v>
      </c>
      <c r="T29" s="624"/>
      <c r="U29" s="353" t="s">
        <v>96</v>
      </c>
      <c r="V29" s="353" t="s">
        <v>97</v>
      </c>
      <c r="W29" s="353" t="s">
        <v>98</v>
      </c>
      <c r="X29" s="353" t="s">
        <v>91</v>
      </c>
      <c r="Y29" s="624"/>
      <c r="Z29" s="353" t="s">
        <v>96</v>
      </c>
      <c r="AA29" s="353" t="s">
        <v>97</v>
      </c>
      <c r="AB29" s="353" t="s">
        <v>98</v>
      </c>
      <c r="AC29" s="353" t="s">
        <v>91</v>
      </c>
      <c r="AD29" s="624"/>
      <c r="AE29" s="353" t="s">
        <v>96</v>
      </c>
      <c r="AF29" s="353" t="s">
        <v>97</v>
      </c>
      <c r="AG29" s="353" t="s">
        <v>98</v>
      </c>
      <c r="AH29" s="353" t="s">
        <v>91</v>
      </c>
      <c r="AI29" s="624"/>
      <c r="AJ29" s="353" t="s">
        <v>96</v>
      </c>
      <c r="AK29" s="353" t="s">
        <v>97</v>
      </c>
      <c r="AL29" s="353" t="s">
        <v>98</v>
      </c>
      <c r="AM29" s="353" t="s">
        <v>91</v>
      </c>
      <c r="AN29" s="624"/>
      <c r="AO29" s="353" t="s">
        <v>96</v>
      </c>
      <c r="AP29" s="353" t="s">
        <v>97</v>
      </c>
      <c r="AQ29" s="353" t="s">
        <v>98</v>
      </c>
      <c r="AR29" s="353" t="s">
        <v>91</v>
      </c>
      <c r="AS29" s="624"/>
      <c r="AT29" s="353" t="s">
        <v>96</v>
      </c>
      <c r="AU29" s="353" t="s">
        <v>97</v>
      </c>
      <c r="AV29" s="353" t="s">
        <v>98</v>
      </c>
      <c r="AW29" s="353" t="s">
        <v>91</v>
      </c>
      <c r="AX29" s="624"/>
    </row>
    <row r="30" spans="2:50" ht="13.5">
      <c r="B30" s="618" t="s">
        <v>337</v>
      </c>
      <c r="C30" s="336">
        <v>1</v>
      </c>
      <c r="D30" s="355" t="s">
        <v>113</v>
      </c>
      <c r="E30" s="337">
        <f>VLOOKUP(D30,'07產線配置圖'!$A$2:$C$25,2,0)</f>
        <v>12</v>
      </c>
      <c r="F30" s="337">
        <f>VLOOKUP(D30,'07產線配置圖'!$A$2:$C$25,3,0)</f>
        <v>2250</v>
      </c>
      <c r="G30" s="330">
        <f t="shared" ref="G30:G38" si="24">F30/E30</f>
        <v>187.5</v>
      </c>
      <c r="H30" s="641">
        <f>AVERAGE(G30:G47)</f>
        <v>123.00421910845786</v>
      </c>
      <c r="I30" s="337">
        <f>AVERAGE(P30,U30,Z30,AE30,AJ30,AO30,AT30)</f>
        <v>12</v>
      </c>
      <c r="J30" s="337">
        <f>AVERAGE(Q30,V30,AA30,AF30,AK30,AP30,AU30)</f>
        <v>2052</v>
      </c>
      <c r="K30" s="330">
        <f t="shared" ref="K30:K45" si="25">J30/I30</f>
        <v>171</v>
      </c>
      <c r="L30" s="641">
        <f>IFERROR(AVERAGE(K30:K47),"-")</f>
        <v>111.12012977391916</v>
      </c>
      <c r="M30" s="357">
        <f>RANK(K30, K$30:$K$47)</f>
        <v>1</v>
      </c>
      <c r="N30" s="624"/>
      <c r="O30" s="624"/>
      <c r="P30" s="389">
        <v>12</v>
      </c>
      <c r="Q30" s="337">
        <v>1933</v>
      </c>
      <c r="R30" s="330">
        <f t="shared" ref="R30:R45" si="26">Q30/P30</f>
        <v>161.08333333333334</v>
      </c>
      <c r="S30" s="336">
        <f>RANK(R30,$R$30:$R$47)</f>
        <v>3</v>
      </c>
      <c r="T30" s="640">
        <f>AVERAGE(R30:R47)</f>
        <v>111.55871389467562</v>
      </c>
      <c r="U30" s="337">
        <v>12</v>
      </c>
      <c r="V30" s="337">
        <v>2033</v>
      </c>
      <c r="W30" s="330">
        <f t="shared" ref="W30:W46" si="27">V30/U30</f>
        <v>169.41666666666666</v>
      </c>
      <c r="X30" s="336">
        <f t="shared" ref="X30:X31" si="28">RANK(W30, $W$30:$W$47)</f>
        <v>1</v>
      </c>
      <c r="Y30" s="640">
        <f>AVERAGE(W30:W47)</f>
        <v>111.72832451573801</v>
      </c>
      <c r="Z30" s="337">
        <v>12</v>
      </c>
      <c r="AA30" s="337">
        <v>1970</v>
      </c>
      <c r="AB30" s="330">
        <f t="shared" ref="AB30:AB46" si="29">AA30/Z30</f>
        <v>164.16666666666666</v>
      </c>
      <c r="AC30" s="336">
        <f t="shared" ref="AC30:AC31" si="30">RANK(AB30, $AB$30:$AB$47)</f>
        <v>2</v>
      </c>
      <c r="AD30" s="640">
        <f>AVERAGE(AB30:AB47)</f>
        <v>111.05650051121503</v>
      </c>
      <c r="AE30" s="337">
        <v>12</v>
      </c>
      <c r="AF30" s="337">
        <v>2171</v>
      </c>
      <c r="AG30" s="330">
        <f t="shared" ref="AG30:AG46" si="31">AF30/AE30</f>
        <v>180.91666666666666</v>
      </c>
      <c r="AH30" s="336">
        <f>RANK(AG30, $AG$30:$AG$47)</f>
        <v>1</v>
      </c>
      <c r="AI30" s="640">
        <f>AVERAGE(AG30:AG47)</f>
        <v>109.45991526255366</v>
      </c>
      <c r="AJ30" s="337">
        <v>12</v>
      </c>
      <c r="AK30" s="337">
        <v>2204</v>
      </c>
      <c r="AL30" s="330">
        <f t="shared" ref="AL30:AL46" si="32">AK30/AJ30</f>
        <v>183.66666666666666</v>
      </c>
      <c r="AM30" s="336">
        <f>RANK(AL30, $AL$30:$AL$47)</f>
        <v>1</v>
      </c>
      <c r="AN30" s="640">
        <f>AVERAGE(AL30:AL47)</f>
        <v>111.99957412829384</v>
      </c>
      <c r="AO30" s="337">
        <v>12</v>
      </c>
      <c r="AP30" s="337">
        <v>2015</v>
      </c>
      <c r="AQ30" s="330">
        <f t="shared" ref="AQ30:AQ46" si="33">AP30/AO30</f>
        <v>167.91666666666666</v>
      </c>
      <c r="AR30" s="336">
        <f>RANK(AQ30,$AQ$30:$AQ$47)</f>
        <v>2</v>
      </c>
      <c r="AS30" s="640">
        <f>AVERAGE(AQ30:AQ47)</f>
        <v>109.11035770265873</v>
      </c>
      <c r="AT30" s="337">
        <v>12</v>
      </c>
      <c r="AU30" s="337">
        <v>2038</v>
      </c>
      <c r="AV30" s="330">
        <f t="shared" ref="AV30:AV46" si="34">AU30/AT30</f>
        <v>169.83333333333334</v>
      </c>
      <c r="AW30" s="336">
        <f>RANK(AV30, $AV$30:$AV$47)</f>
        <v>1</v>
      </c>
      <c r="AX30" s="640">
        <f>AVERAGE(AV30:AV47)</f>
        <v>112.9782629999758</v>
      </c>
    </row>
    <row r="31" spans="2:50">
      <c r="B31" s="618"/>
      <c r="C31" s="336">
        <v>2</v>
      </c>
      <c r="D31" s="336" t="s">
        <v>116</v>
      </c>
      <c r="E31" s="337">
        <f>VLOOKUP(D31,'07產線配置圖'!$A$3:$C$26,2,0)</f>
        <v>15</v>
      </c>
      <c r="F31" s="337">
        <f>VLOOKUP(D31,'07產線配置圖'!$A$3:$C$26,3,0)</f>
        <v>2250</v>
      </c>
      <c r="G31" s="330">
        <f t="shared" si="24"/>
        <v>150</v>
      </c>
      <c r="H31" s="642"/>
      <c r="I31" s="337">
        <f t="shared" ref="I31:J41" si="35">AVERAGE(P31,U31,Z31,AE31,AJ31,AO31,AT31)</f>
        <v>14.857142857142858</v>
      </c>
      <c r="J31" s="337">
        <f t="shared" si="35"/>
        <v>2089</v>
      </c>
      <c r="K31" s="330">
        <f t="shared" si="25"/>
        <v>140.60576923076923</v>
      </c>
      <c r="L31" s="642"/>
      <c r="M31" s="357">
        <f>RANK(K31, K$30:$K$47)</f>
        <v>4</v>
      </c>
      <c r="N31" s="624"/>
      <c r="O31" s="624"/>
      <c r="P31" s="337">
        <v>15</v>
      </c>
      <c r="Q31" s="337">
        <v>2079</v>
      </c>
      <c r="R31" s="330">
        <f t="shared" si="26"/>
        <v>138.6</v>
      </c>
      <c r="S31" s="336">
        <f t="shared" ref="S31:S44" si="36">RANK(R31,$R$30:$R$47)</f>
        <v>5</v>
      </c>
      <c r="T31" s="640"/>
      <c r="U31" s="389">
        <v>14</v>
      </c>
      <c r="V31" s="337">
        <v>1997</v>
      </c>
      <c r="W31" s="330">
        <f t="shared" si="27"/>
        <v>142.64285714285714</v>
      </c>
      <c r="X31" s="336">
        <f t="shared" si="28"/>
        <v>5</v>
      </c>
      <c r="Y31" s="640"/>
      <c r="Z31" s="337">
        <v>15</v>
      </c>
      <c r="AA31" s="337">
        <v>2087</v>
      </c>
      <c r="AB31" s="330">
        <f t="shared" si="29"/>
        <v>139.13333333333333</v>
      </c>
      <c r="AC31" s="336">
        <f t="shared" si="30"/>
        <v>4</v>
      </c>
      <c r="AD31" s="640"/>
      <c r="AE31" s="337">
        <v>15</v>
      </c>
      <c r="AF31" s="337">
        <v>2212</v>
      </c>
      <c r="AG31" s="330">
        <f t="shared" si="31"/>
        <v>147.46666666666667</v>
      </c>
      <c r="AH31" s="336">
        <f t="shared" ref="AH31:AH46" si="37">RANK(AG31, $AG$30:$AG$47)</f>
        <v>4</v>
      </c>
      <c r="AI31" s="640"/>
      <c r="AJ31" s="337">
        <v>15</v>
      </c>
      <c r="AK31" s="337">
        <v>2204</v>
      </c>
      <c r="AL31" s="330">
        <f t="shared" si="32"/>
        <v>146.93333333333334</v>
      </c>
      <c r="AM31" s="336">
        <f t="shared" ref="AM31:AM46" si="38">RANK(AL31, $AL$30:$AL$47)</f>
        <v>4</v>
      </c>
      <c r="AN31" s="640"/>
      <c r="AO31" s="337">
        <v>15</v>
      </c>
      <c r="AP31" s="337">
        <v>1908</v>
      </c>
      <c r="AQ31" s="330">
        <f t="shared" si="33"/>
        <v>127.2</v>
      </c>
      <c r="AR31" s="336">
        <f t="shared" ref="AR31:AR46" si="39">RANK(AQ31,$AQ$30:$AQ$47)</f>
        <v>5</v>
      </c>
      <c r="AS31" s="640"/>
      <c r="AT31" s="337">
        <v>15</v>
      </c>
      <c r="AU31" s="337">
        <v>2136</v>
      </c>
      <c r="AV31" s="330">
        <f t="shared" si="34"/>
        <v>142.4</v>
      </c>
      <c r="AW31" s="336">
        <f t="shared" ref="AW31:AW46" si="40">RANK(AV31, $AV$30:$AV$47)</f>
        <v>4</v>
      </c>
      <c r="AX31" s="640"/>
    </row>
    <row r="32" spans="2:50">
      <c r="B32" s="618"/>
      <c r="C32" s="336">
        <v>3</v>
      </c>
      <c r="D32" s="336" t="s">
        <v>117</v>
      </c>
      <c r="E32" s="337">
        <f>VLOOKUP(D32,'07產線配置圖'!$A$3:$C$26,2,0)</f>
        <v>15</v>
      </c>
      <c r="F32" s="337">
        <f>VLOOKUP(D32,'07產線配置圖'!$A$3:$C$26,3,0)</f>
        <v>2250</v>
      </c>
      <c r="G32" s="330">
        <f t="shared" si="24"/>
        <v>150</v>
      </c>
      <c r="H32" s="642"/>
      <c r="I32" s="337">
        <f t="shared" si="35"/>
        <v>14.714285714285714</v>
      </c>
      <c r="J32" s="337">
        <f t="shared" si="35"/>
        <v>2024.1428571428571</v>
      </c>
      <c r="K32" s="330">
        <f t="shared" si="25"/>
        <v>137.5631067961165</v>
      </c>
      <c r="L32" s="642"/>
      <c r="M32" s="357">
        <f>RANK(K32, K$30:$K$47)</f>
        <v>5</v>
      </c>
      <c r="N32" s="624"/>
      <c r="O32" s="624"/>
      <c r="P32" s="337">
        <v>14</v>
      </c>
      <c r="Q32" s="337">
        <v>1994</v>
      </c>
      <c r="R32" s="330">
        <f t="shared" si="26"/>
        <v>142.42857142857142</v>
      </c>
      <c r="S32" s="336">
        <f t="shared" si="36"/>
        <v>4</v>
      </c>
      <c r="T32" s="640"/>
      <c r="U32" s="337">
        <v>14</v>
      </c>
      <c r="V32" s="337">
        <v>2016</v>
      </c>
      <c r="W32" s="330">
        <f t="shared" si="27"/>
        <v>144</v>
      </c>
      <c r="X32" s="336">
        <f t="shared" ref="X32:X34" si="41">RANK(W32, $W$30:$W$47)</f>
        <v>4</v>
      </c>
      <c r="Y32" s="640"/>
      <c r="Z32" s="337">
        <v>15</v>
      </c>
      <c r="AA32" s="337">
        <v>2039</v>
      </c>
      <c r="AB32" s="330">
        <f t="shared" si="29"/>
        <v>135.93333333333334</v>
      </c>
      <c r="AC32" s="336">
        <f t="shared" ref="AC32:AC34" si="42">RANK(AB32, $AB$30:$AB$47)</f>
        <v>5</v>
      </c>
      <c r="AD32" s="640"/>
      <c r="AE32" s="337">
        <v>15</v>
      </c>
      <c r="AF32" s="337">
        <v>2020</v>
      </c>
      <c r="AG32" s="330">
        <f t="shared" si="31"/>
        <v>134.66666666666666</v>
      </c>
      <c r="AH32" s="336">
        <f t="shared" si="37"/>
        <v>5</v>
      </c>
      <c r="AI32" s="640"/>
      <c r="AJ32" s="337">
        <v>15</v>
      </c>
      <c r="AK32" s="337">
        <v>2076</v>
      </c>
      <c r="AL32" s="330">
        <f t="shared" si="32"/>
        <v>138.4</v>
      </c>
      <c r="AM32" s="336">
        <f t="shared" si="38"/>
        <v>5</v>
      </c>
      <c r="AN32" s="640"/>
      <c r="AO32" s="337">
        <v>15</v>
      </c>
      <c r="AP32" s="337">
        <v>2003</v>
      </c>
      <c r="AQ32" s="330">
        <f t="shared" si="33"/>
        <v>133.53333333333333</v>
      </c>
      <c r="AR32" s="336">
        <f t="shared" si="39"/>
        <v>4</v>
      </c>
      <c r="AS32" s="640"/>
      <c r="AT32" s="337">
        <v>15</v>
      </c>
      <c r="AU32" s="337">
        <v>2021</v>
      </c>
      <c r="AV32" s="330">
        <f t="shared" si="34"/>
        <v>134.73333333333332</v>
      </c>
      <c r="AW32" s="336">
        <f t="shared" si="40"/>
        <v>5</v>
      </c>
      <c r="AX32" s="640"/>
    </row>
    <row r="33" spans="2:50">
      <c r="B33" s="618"/>
      <c r="C33" s="336">
        <v>4</v>
      </c>
      <c r="D33" s="336" t="s">
        <v>184</v>
      </c>
      <c r="E33" s="337">
        <f>VLOOKUP(D33,'07產線配置圖'!$A$3:$C$26,2,0)</f>
        <v>16</v>
      </c>
      <c r="F33" s="337">
        <f>VLOOKUP(D33,'07產線配置圖'!$A$3:$C$26,3,0)</f>
        <v>1800</v>
      </c>
      <c r="G33" s="330">
        <f t="shared" si="24"/>
        <v>112.5</v>
      </c>
      <c r="H33" s="642"/>
      <c r="I33" s="337">
        <f t="shared" si="35"/>
        <v>15.857142857142858</v>
      </c>
      <c r="J33" s="337">
        <f t="shared" si="35"/>
        <v>1556.4285714285713</v>
      </c>
      <c r="K33" s="330">
        <f t="shared" si="25"/>
        <v>98.153153153153141</v>
      </c>
      <c r="L33" s="642"/>
      <c r="M33" s="357">
        <f>RANK(K33, K$30:$K$47)</f>
        <v>9</v>
      </c>
      <c r="N33" s="624"/>
      <c r="O33" s="624"/>
      <c r="P33" s="337">
        <v>15</v>
      </c>
      <c r="Q33" s="337">
        <v>1560</v>
      </c>
      <c r="R33" s="330">
        <f t="shared" si="26"/>
        <v>104</v>
      </c>
      <c r="S33" s="336">
        <f t="shared" si="36"/>
        <v>7</v>
      </c>
      <c r="T33" s="640"/>
      <c r="U33" s="337">
        <v>16</v>
      </c>
      <c r="V33" s="337">
        <v>1525</v>
      </c>
      <c r="W33" s="330">
        <f t="shared" si="27"/>
        <v>95.3125</v>
      </c>
      <c r="X33" s="336">
        <f t="shared" si="41"/>
        <v>11</v>
      </c>
      <c r="Y33" s="640"/>
      <c r="Z33" s="337">
        <v>16</v>
      </c>
      <c r="AA33" s="337">
        <v>1625</v>
      </c>
      <c r="AB33" s="330">
        <f t="shared" si="29"/>
        <v>101.5625</v>
      </c>
      <c r="AC33" s="336">
        <f t="shared" si="42"/>
        <v>9</v>
      </c>
      <c r="AD33" s="640"/>
      <c r="AE33" s="337">
        <v>16</v>
      </c>
      <c r="AF33" s="337">
        <v>1540</v>
      </c>
      <c r="AG33" s="330">
        <f t="shared" si="31"/>
        <v>96.25</v>
      </c>
      <c r="AH33" s="336">
        <f t="shared" si="37"/>
        <v>10</v>
      </c>
      <c r="AI33" s="640"/>
      <c r="AJ33" s="337">
        <v>16</v>
      </c>
      <c r="AK33" s="337">
        <v>1643</v>
      </c>
      <c r="AL33" s="330">
        <f t="shared" si="32"/>
        <v>102.6875</v>
      </c>
      <c r="AM33" s="336">
        <f t="shared" si="38"/>
        <v>9</v>
      </c>
      <c r="AN33" s="640"/>
      <c r="AO33" s="337">
        <v>16</v>
      </c>
      <c r="AP33" s="337">
        <v>1566</v>
      </c>
      <c r="AQ33" s="330">
        <f t="shared" si="33"/>
        <v>97.875</v>
      </c>
      <c r="AR33" s="336">
        <f t="shared" si="39"/>
        <v>9</v>
      </c>
      <c r="AS33" s="640"/>
      <c r="AT33" s="337">
        <v>16</v>
      </c>
      <c r="AU33" s="337">
        <v>1436</v>
      </c>
      <c r="AV33" s="328">
        <f t="shared" si="34"/>
        <v>89.75</v>
      </c>
      <c r="AW33" s="336">
        <f t="shared" si="40"/>
        <v>13</v>
      </c>
      <c r="AX33" s="640"/>
    </row>
    <row r="34" spans="2:50" ht="13.5">
      <c r="B34" s="618"/>
      <c r="C34" s="336">
        <v>5</v>
      </c>
      <c r="D34" s="355" t="s">
        <v>114</v>
      </c>
      <c r="E34" s="337">
        <f>VLOOKUP(D34,'07產線配置圖'!$A$3:$C$26,2,0)</f>
        <v>13</v>
      </c>
      <c r="F34" s="337">
        <f>VLOOKUP(D34,'07產線配置圖'!$A$3:$C$26,3,0)</f>
        <v>2250</v>
      </c>
      <c r="G34" s="330">
        <f t="shared" si="24"/>
        <v>173.07692307692307</v>
      </c>
      <c r="H34" s="642"/>
      <c r="I34" s="337">
        <f t="shared" si="35"/>
        <v>13</v>
      </c>
      <c r="J34" s="337">
        <f t="shared" si="35"/>
        <v>2078.8571428571427</v>
      </c>
      <c r="K34" s="330">
        <f t="shared" si="25"/>
        <v>159.91208791208788</v>
      </c>
      <c r="L34" s="642"/>
      <c r="M34" s="357">
        <f>RANK(K34, K$30:$K$47)</f>
        <v>2</v>
      </c>
      <c r="N34" s="624"/>
      <c r="O34" s="624"/>
      <c r="P34" s="389">
        <v>13</v>
      </c>
      <c r="Q34" s="337">
        <v>2123</v>
      </c>
      <c r="R34" s="330">
        <f t="shared" si="26"/>
        <v>163.30769230769232</v>
      </c>
      <c r="S34" s="336">
        <f t="shared" si="36"/>
        <v>2</v>
      </c>
      <c r="T34" s="640"/>
      <c r="U34" s="337">
        <v>13</v>
      </c>
      <c r="V34" s="337">
        <v>2080</v>
      </c>
      <c r="W34" s="330">
        <f t="shared" si="27"/>
        <v>160</v>
      </c>
      <c r="X34" s="336">
        <f t="shared" si="41"/>
        <v>2</v>
      </c>
      <c r="Y34" s="640"/>
      <c r="Z34" s="337">
        <v>13</v>
      </c>
      <c r="AA34" s="337">
        <v>1991</v>
      </c>
      <c r="AB34" s="330">
        <f t="shared" si="29"/>
        <v>153.15384615384616</v>
      </c>
      <c r="AC34" s="336">
        <f t="shared" si="42"/>
        <v>3</v>
      </c>
      <c r="AD34" s="640"/>
      <c r="AE34" s="337">
        <v>13</v>
      </c>
      <c r="AF34" s="337">
        <v>2015</v>
      </c>
      <c r="AG34" s="330">
        <f t="shared" si="31"/>
        <v>155</v>
      </c>
      <c r="AH34" s="336">
        <f t="shared" si="37"/>
        <v>2</v>
      </c>
      <c r="AI34" s="640"/>
      <c r="AJ34" s="337">
        <v>13</v>
      </c>
      <c r="AK34" s="337">
        <v>2100</v>
      </c>
      <c r="AL34" s="330">
        <f t="shared" si="32"/>
        <v>161.53846153846155</v>
      </c>
      <c r="AM34" s="336">
        <f t="shared" si="38"/>
        <v>2</v>
      </c>
      <c r="AN34" s="640"/>
      <c r="AO34" s="337">
        <v>13</v>
      </c>
      <c r="AP34" s="337">
        <v>2192</v>
      </c>
      <c r="AQ34" s="330">
        <f t="shared" si="33"/>
        <v>168.61538461538461</v>
      </c>
      <c r="AR34" s="336">
        <f t="shared" si="39"/>
        <v>1</v>
      </c>
      <c r="AS34" s="640"/>
      <c r="AT34" s="337">
        <v>13</v>
      </c>
      <c r="AU34" s="337">
        <v>2051</v>
      </c>
      <c r="AV34" s="330">
        <f t="shared" si="34"/>
        <v>157.76923076923077</v>
      </c>
      <c r="AW34" s="336">
        <f t="shared" si="40"/>
        <v>2</v>
      </c>
      <c r="AX34" s="640"/>
    </row>
    <row r="35" spans="2:50" ht="14.25" customHeight="1">
      <c r="B35" s="618"/>
      <c r="C35" s="336">
        <v>6</v>
      </c>
      <c r="D35" s="336" t="s">
        <v>158</v>
      </c>
      <c r="E35" s="337">
        <f>VLOOKUP(D35,'07產線配置圖'!$A$3:$C$26,2,0)</f>
        <v>16</v>
      </c>
      <c r="F35" s="337">
        <f>VLOOKUP(D35,'07產線配置圖'!$A$3:$C$26,3,0)</f>
        <v>1714</v>
      </c>
      <c r="G35" s="330">
        <f t="shared" si="24"/>
        <v>107.125</v>
      </c>
      <c r="H35" s="642"/>
      <c r="I35" s="337">
        <f t="shared" si="35"/>
        <v>15.857142857142858</v>
      </c>
      <c r="J35" s="337">
        <f t="shared" si="35"/>
        <v>1600.5714285714287</v>
      </c>
      <c r="K35" s="330">
        <f t="shared" si="25"/>
        <v>100.93693693693695</v>
      </c>
      <c r="L35" s="642"/>
      <c r="M35" s="357">
        <f>RANK(K35, K$30:$K$47)</f>
        <v>8</v>
      </c>
      <c r="N35" s="624"/>
      <c r="O35" s="624"/>
      <c r="P35" s="336">
        <v>16</v>
      </c>
      <c r="Q35" s="337">
        <v>1432</v>
      </c>
      <c r="R35" s="330">
        <f t="shared" si="26"/>
        <v>89.5</v>
      </c>
      <c r="S35" s="336">
        <f t="shared" si="36"/>
        <v>14</v>
      </c>
      <c r="T35" s="640"/>
      <c r="U35" s="389">
        <v>15</v>
      </c>
      <c r="V35" s="337">
        <v>1519</v>
      </c>
      <c r="W35" s="330">
        <f t="shared" si="27"/>
        <v>101.26666666666667</v>
      </c>
      <c r="X35" s="336">
        <f t="shared" ref="X35:X46" si="43">RANK(W35, $W$30:$W$47)</f>
        <v>8</v>
      </c>
      <c r="Y35" s="640"/>
      <c r="Z35" s="337">
        <v>16</v>
      </c>
      <c r="AA35" s="337">
        <v>1631</v>
      </c>
      <c r="AB35" s="330">
        <f t="shared" si="29"/>
        <v>101.9375</v>
      </c>
      <c r="AC35" s="336">
        <f t="shared" ref="AC35:AC46" si="44">RANK(AB35, $AB$30:$AB$47)</f>
        <v>8</v>
      </c>
      <c r="AD35" s="640"/>
      <c r="AE35" s="337">
        <v>16</v>
      </c>
      <c r="AF35" s="337">
        <v>1605</v>
      </c>
      <c r="AG35" s="330">
        <f t="shared" si="31"/>
        <v>100.3125</v>
      </c>
      <c r="AH35" s="336">
        <f t="shared" si="37"/>
        <v>8</v>
      </c>
      <c r="AI35" s="640"/>
      <c r="AJ35" s="337">
        <v>16</v>
      </c>
      <c r="AK35" s="337">
        <v>1682</v>
      </c>
      <c r="AL35" s="330">
        <f t="shared" si="32"/>
        <v>105.125</v>
      </c>
      <c r="AM35" s="336">
        <f t="shared" si="38"/>
        <v>8</v>
      </c>
      <c r="AN35" s="640"/>
      <c r="AO35" s="337">
        <v>16</v>
      </c>
      <c r="AP35" s="337">
        <v>1693</v>
      </c>
      <c r="AQ35" s="330">
        <f t="shared" si="33"/>
        <v>105.8125</v>
      </c>
      <c r="AR35" s="336">
        <f t="shared" si="39"/>
        <v>8</v>
      </c>
      <c r="AS35" s="640"/>
      <c r="AT35" s="337">
        <v>16</v>
      </c>
      <c r="AU35" s="337">
        <v>1642</v>
      </c>
      <c r="AV35" s="330">
        <f t="shared" si="34"/>
        <v>102.625</v>
      </c>
      <c r="AW35" s="336">
        <f t="shared" si="40"/>
        <v>8</v>
      </c>
      <c r="AX35" s="640"/>
    </row>
    <row r="36" spans="2:50">
      <c r="B36" s="618"/>
      <c r="C36" s="336">
        <v>7</v>
      </c>
      <c r="D36" s="336" t="s">
        <v>174</v>
      </c>
      <c r="E36" s="337">
        <f>VLOOKUP(D36,'07產線配置圖'!$A$3:$C$26,2,0)</f>
        <v>17</v>
      </c>
      <c r="F36" s="337">
        <f>VLOOKUP(D36,'07產線配置圖'!$A$3:$C$26,3,0)</f>
        <v>1800</v>
      </c>
      <c r="G36" s="330">
        <f t="shared" si="24"/>
        <v>105.88235294117646</v>
      </c>
      <c r="H36" s="642"/>
      <c r="I36" s="337">
        <f t="shared" si="35"/>
        <v>17</v>
      </c>
      <c r="J36" s="337">
        <f t="shared" si="35"/>
        <v>1635.1428571428571</v>
      </c>
      <c r="K36" s="330">
        <f t="shared" si="25"/>
        <v>96.184873949579824</v>
      </c>
      <c r="L36" s="642"/>
      <c r="M36" s="357">
        <f>RANK(K36, K$30:$K$47)</f>
        <v>10</v>
      </c>
      <c r="N36" s="624"/>
      <c r="O36" s="624"/>
      <c r="P36" s="337">
        <v>17</v>
      </c>
      <c r="Q36" s="337">
        <v>1684</v>
      </c>
      <c r="R36" s="330">
        <f t="shared" si="26"/>
        <v>99.058823529411768</v>
      </c>
      <c r="S36" s="336">
        <f t="shared" si="36"/>
        <v>9</v>
      </c>
      <c r="T36" s="640"/>
      <c r="U36" s="337">
        <v>17</v>
      </c>
      <c r="V36" s="337">
        <v>1703</v>
      </c>
      <c r="W36" s="330">
        <f t="shared" si="27"/>
        <v>100.17647058823529</v>
      </c>
      <c r="X36" s="336">
        <f t="shared" si="43"/>
        <v>9</v>
      </c>
      <c r="Y36" s="640"/>
      <c r="Z36" s="337">
        <v>17</v>
      </c>
      <c r="AA36" s="337">
        <v>1709</v>
      </c>
      <c r="AB36" s="330">
        <f t="shared" si="29"/>
        <v>100.52941176470588</v>
      </c>
      <c r="AC36" s="336">
        <f t="shared" si="44"/>
        <v>10</v>
      </c>
      <c r="AD36" s="640"/>
      <c r="AE36" s="337">
        <v>17</v>
      </c>
      <c r="AF36" s="337">
        <v>1731</v>
      </c>
      <c r="AG36" s="330">
        <f t="shared" si="31"/>
        <v>101.82352941176471</v>
      </c>
      <c r="AH36" s="336">
        <f t="shared" si="37"/>
        <v>7</v>
      </c>
      <c r="AI36" s="640"/>
      <c r="AJ36" s="337">
        <v>17</v>
      </c>
      <c r="AK36" s="337">
        <v>1539</v>
      </c>
      <c r="AL36" s="330">
        <f t="shared" si="32"/>
        <v>90.529411764705884</v>
      </c>
      <c r="AM36" s="336">
        <f t="shared" si="38"/>
        <v>11</v>
      </c>
      <c r="AN36" s="640"/>
      <c r="AO36" s="337">
        <v>17</v>
      </c>
      <c r="AP36" s="337">
        <v>1558</v>
      </c>
      <c r="AQ36" s="330">
        <f t="shared" si="33"/>
        <v>91.647058823529406</v>
      </c>
      <c r="AR36" s="336">
        <f t="shared" si="39"/>
        <v>11</v>
      </c>
      <c r="AS36" s="640"/>
      <c r="AT36" s="337">
        <v>17</v>
      </c>
      <c r="AU36" s="337">
        <v>1522</v>
      </c>
      <c r="AV36" s="328">
        <f t="shared" si="34"/>
        <v>89.529411764705884</v>
      </c>
      <c r="AW36" s="336">
        <f t="shared" si="40"/>
        <v>15</v>
      </c>
      <c r="AX36" s="640"/>
    </row>
    <row r="37" spans="2:50">
      <c r="B37" s="618"/>
      <c r="C37" s="336">
        <v>8</v>
      </c>
      <c r="D37" s="336" t="s">
        <v>120</v>
      </c>
      <c r="E37" s="337">
        <f>VLOOKUP(D37,'07產線配置圖'!$A$3:$C$26,2,0)</f>
        <v>18</v>
      </c>
      <c r="F37" s="337">
        <f>VLOOKUP(D37,'07產線配置圖'!$A$3:$C$26,3,0)</f>
        <v>1636</v>
      </c>
      <c r="G37" s="330">
        <f t="shared" si="24"/>
        <v>90.888888888888886</v>
      </c>
      <c r="H37" s="642"/>
      <c r="I37" s="337">
        <f t="shared" si="35"/>
        <v>17.642857142857142</v>
      </c>
      <c r="J37" s="337">
        <f t="shared" si="35"/>
        <v>1472.4285714285713</v>
      </c>
      <c r="K37" s="330">
        <f t="shared" si="25"/>
        <v>83.457489878542503</v>
      </c>
      <c r="L37" s="642"/>
      <c r="M37" s="357">
        <f>RANK(K37, K$30:$K$47)</f>
        <v>15</v>
      </c>
      <c r="N37" s="624"/>
      <c r="O37" s="624"/>
      <c r="P37" s="389">
        <v>17.5</v>
      </c>
      <c r="Q37" s="337">
        <v>1371</v>
      </c>
      <c r="R37" s="330">
        <f t="shared" si="26"/>
        <v>78.342857142857142</v>
      </c>
      <c r="S37" s="336">
        <f t="shared" si="36"/>
        <v>17</v>
      </c>
      <c r="T37" s="640"/>
      <c r="U37" s="389">
        <v>17</v>
      </c>
      <c r="V37" s="337">
        <v>1462</v>
      </c>
      <c r="W37" s="330">
        <f t="shared" si="27"/>
        <v>86</v>
      </c>
      <c r="X37" s="336">
        <f t="shared" si="43"/>
        <v>14</v>
      </c>
      <c r="Y37" s="640"/>
      <c r="Z37" s="340">
        <v>17</v>
      </c>
      <c r="AA37" s="337">
        <v>1335</v>
      </c>
      <c r="AB37" s="328">
        <f t="shared" si="29"/>
        <v>78.529411764705884</v>
      </c>
      <c r="AC37" s="336">
        <f t="shared" si="44"/>
        <v>17</v>
      </c>
      <c r="AD37" s="640"/>
      <c r="AE37" s="336">
        <v>18</v>
      </c>
      <c r="AF37" s="337">
        <v>1618</v>
      </c>
      <c r="AG37" s="328">
        <f t="shared" si="31"/>
        <v>89.888888888888886</v>
      </c>
      <c r="AH37" s="336">
        <f t="shared" si="37"/>
        <v>14</v>
      </c>
      <c r="AI37" s="640"/>
      <c r="AJ37" s="336">
        <v>18</v>
      </c>
      <c r="AK37" s="337">
        <v>1472</v>
      </c>
      <c r="AL37" s="328">
        <f t="shared" si="32"/>
        <v>81.777777777777771</v>
      </c>
      <c r="AM37" s="336">
        <f t="shared" si="38"/>
        <v>16</v>
      </c>
      <c r="AN37" s="640"/>
      <c r="AO37" s="336">
        <v>18</v>
      </c>
      <c r="AP37" s="337">
        <v>1436</v>
      </c>
      <c r="AQ37" s="328">
        <f t="shared" si="33"/>
        <v>79.777777777777771</v>
      </c>
      <c r="AR37" s="336">
        <f t="shared" si="39"/>
        <v>14</v>
      </c>
      <c r="AS37" s="640"/>
      <c r="AT37" s="336">
        <v>18</v>
      </c>
      <c r="AU37" s="337">
        <v>1613</v>
      </c>
      <c r="AV37" s="328">
        <f t="shared" si="34"/>
        <v>89.611111111111114</v>
      </c>
      <c r="AW37" s="336">
        <f t="shared" si="40"/>
        <v>14</v>
      </c>
      <c r="AX37" s="640"/>
    </row>
    <row r="38" spans="2:50">
      <c r="B38" s="618"/>
      <c r="C38" s="336">
        <v>9</v>
      </c>
      <c r="D38" s="336" t="s">
        <v>115</v>
      </c>
      <c r="E38" s="337">
        <f>VLOOKUP(D38,'07產線配置圖'!$A$3:$C$26,2,0)</f>
        <v>13</v>
      </c>
      <c r="F38" s="337">
        <f>VLOOKUP(D38,'07產線配置圖'!$A$3:$C$26,3,0)</f>
        <v>2250</v>
      </c>
      <c r="G38" s="330">
        <f t="shared" si="24"/>
        <v>173.07692307692307</v>
      </c>
      <c r="H38" s="642"/>
      <c r="I38" s="337">
        <f t="shared" si="35"/>
        <v>13</v>
      </c>
      <c r="J38" s="337">
        <f t="shared" si="35"/>
        <v>2063.4285714285716</v>
      </c>
      <c r="K38" s="330">
        <f t="shared" si="25"/>
        <v>158.72527472527474</v>
      </c>
      <c r="L38" s="642"/>
      <c r="M38" s="357">
        <f>RANK(K38, K$30:$K$47)</f>
        <v>3</v>
      </c>
      <c r="N38" s="624"/>
      <c r="O38" s="624"/>
      <c r="P38" s="336">
        <v>13</v>
      </c>
      <c r="Q38" s="337">
        <v>2124</v>
      </c>
      <c r="R38" s="330">
        <f t="shared" si="26"/>
        <v>163.38461538461539</v>
      </c>
      <c r="S38" s="336">
        <f t="shared" si="36"/>
        <v>1</v>
      </c>
      <c r="T38" s="640"/>
      <c r="U38" s="337">
        <v>13</v>
      </c>
      <c r="V38" s="337">
        <v>2021</v>
      </c>
      <c r="W38" s="330">
        <f t="shared" si="27"/>
        <v>155.46153846153845</v>
      </c>
      <c r="X38" s="336">
        <f t="shared" si="43"/>
        <v>3</v>
      </c>
      <c r="Y38" s="640"/>
      <c r="Z38" s="336">
        <v>13</v>
      </c>
      <c r="AA38" s="337">
        <v>2176</v>
      </c>
      <c r="AB38" s="330">
        <f t="shared" si="29"/>
        <v>167.38461538461539</v>
      </c>
      <c r="AC38" s="336">
        <f t="shared" si="44"/>
        <v>1</v>
      </c>
      <c r="AD38" s="640"/>
      <c r="AE38" s="336">
        <v>13</v>
      </c>
      <c r="AF38" s="337">
        <v>1978</v>
      </c>
      <c r="AG38" s="330">
        <f t="shared" si="31"/>
        <v>152.15384615384616</v>
      </c>
      <c r="AH38" s="336">
        <f t="shared" si="37"/>
        <v>3</v>
      </c>
      <c r="AI38" s="640"/>
      <c r="AJ38" s="336">
        <v>13</v>
      </c>
      <c r="AK38" s="337">
        <v>2044</v>
      </c>
      <c r="AL38" s="330">
        <f t="shared" si="32"/>
        <v>157.23076923076923</v>
      </c>
      <c r="AM38" s="336">
        <f t="shared" si="38"/>
        <v>3</v>
      </c>
      <c r="AN38" s="640"/>
      <c r="AO38" s="336">
        <v>13</v>
      </c>
      <c r="AP38" s="337">
        <v>2130</v>
      </c>
      <c r="AQ38" s="330">
        <f t="shared" si="33"/>
        <v>163.84615384615384</v>
      </c>
      <c r="AR38" s="336">
        <f t="shared" si="39"/>
        <v>3</v>
      </c>
      <c r="AS38" s="640"/>
      <c r="AT38" s="336">
        <v>13</v>
      </c>
      <c r="AU38" s="337">
        <v>1971</v>
      </c>
      <c r="AV38" s="330">
        <f t="shared" si="34"/>
        <v>151.61538461538461</v>
      </c>
      <c r="AW38" s="336">
        <f t="shared" si="40"/>
        <v>3</v>
      </c>
      <c r="AX38" s="640"/>
    </row>
    <row r="39" spans="2:50">
      <c r="B39" s="618"/>
      <c r="C39" s="336">
        <v>10</v>
      </c>
      <c r="D39" s="336" t="s">
        <v>127</v>
      </c>
      <c r="E39" s="337">
        <f>VLOOKUP(D39,'07產線配置圖'!$A$3:$C$26,2,0)</f>
        <v>17</v>
      </c>
      <c r="F39" s="337">
        <f>VLOOKUP(D39,'07產線配置圖'!$A$3:$C$26,3,0)</f>
        <v>1636</v>
      </c>
      <c r="G39" s="330">
        <f t="shared" ref="G39:G41" si="45">F39/E39</f>
        <v>96.235294117647058</v>
      </c>
      <c r="H39" s="642"/>
      <c r="I39" s="337">
        <f t="shared" si="35"/>
        <v>17.142857142857142</v>
      </c>
      <c r="J39" s="337">
        <f t="shared" si="35"/>
        <v>1500</v>
      </c>
      <c r="K39" s="330">
        <f t="shared" si="25"/>
        <v>87.5</v>
      </c>
      <c r="L39" s="642"/>
      <c r="M39" s="357">
        <f>RANK(K39, K$30:$K$47)</f>
        <v>13</v>
      </c>
      <c r="N39" s="624"/>
      <c r="O39" s="624"/>
      <c r="P39" s="389">
        <v>17</v>
      </c>
      <c r="Q39" s="337">
        <v>1552</v>
      </c>
      <c r="R39" s="328">
        <f t="shared" si="26"/>
        <v>91.294117647058826</v>
      </c>
      <c r="S39" s="336">
        <f t="shared" si="36"/>
        <v>12</v>
      </c>
      <c r="T39" s="640"/>
      <c r="U39" s="337">
        <v>17</v>
      </c>
      <c r="V39" s="337">
        <v>1345</v>
      </c>
      <c r="W39" s="330">
        <f t="shared" si="27"/>
        <v>79.117647058823536</v>
      </c>
      <c r="X39" s="336">
        <f t="shared" si="43"/>
        <v>16</v>
      </c>
      <c r="Y39" s="640"/>
      <c r="Z39" s="336">
        <v>17</v>
      </c>
      <c r="AA39" s="337">
        <v>1549</v>
      </c>
      <c r="AB39" s="330">
        <f t="shared" si="29"/>
        <v>91.117647058823536</v>
      </c>
      <c r="AC39" s="336">
        <f t="shared" si="44"/>
        <v>13</v>
      </c>
      <c r="AD39" s="640"/>
      <c r="AE39" s="336">
        <v>17</v>
      </c>
      <c r="AF39" s="337">
        <v>1558</v>
      </c>
      <c r="AG39" s="330">
        <f t="shared" si="31"/>
        <v>91.647058823529406</v>
      </c>
      <c r="AH39" s="336">
        <f t="shared" si="37"/>
        <v>13</v>
      </c>
      <c r="AI39" s="640"/>
      <c r="AJ39" s="381">
        <v>18</v>
      </c>
      <c r="AK39" s="337">
        <v>1577</v>
      </c>
      <c r="AL39" s="328">
        <f t="shared" si="32"/>
        <v>87.611111111111114</v>
      </c>
      <c r="AM39" s="336">
        <f t="shared" si="38"/>
        <v>13</v>
      </c>
      <c r="AN39" s="640"/>
      <c r="AO39" s="336">
        <v>17</v>
      </c>
      <c r="AP39" s="337">
        <v>1350</v>
      </c>
      <c r="AQ39" s="328">
        <f t="shared" si="33"/>
        <v>79.411764705882348</v>
      </c>
      <c r="AR39" s="336">
        <f t="shared" si="39"/>
        <v>15</v>
      </c>
      <c r="AS39" s="640"/>
      <c r="AT39" s="336">
        <v>17</v>
      </c>
      <c r="AU39" s="337">
        <v>1569</v>
      </c>
      <c r="AV39" s="330">
        <f t="shared" si="34"/>
        <v>92.294117647058826</v>
      </c>
      <c r="AW39" s="336">
        <f t="shared" si="40"/>
        <v>12</v>
      </c>
      <c r="AX39" s="640"/>
    </row>
    <row r="40" spans="2:50">
      <c r="B40" s="618"/>
      <c r="C40" s="336">
        <v>11</v>
      </c>
      <c r="D40" s="336" t="s">
        <v>122</v>
      </c>
      <c r="E40" s="337">
        <f>VLOOKUP(D40,'07產線配置圖'!$A$3:$C$26,2,0)</f>
        <v>18</v>
      </c>
      <c r="F40" s="337">
        <f>VLOOKUP(D40,'07產線配置圖'!$A$3:$C$26,3,0)</f>
        <v>1636</v>
      </c>
      <c r="G40" s="330">
        <f t="shared" si="45"/>
        <v>90.888888888888886</v>
      </c>
      <c r="H40" s="642"/>
      <c r="I40" s="337">
        <f t="shared" si="35"/>
        <v>16.428571428571427</v>
      </c>
      <c r="J40" s="337">
        <f t="shared" si="35"/>
        <v>1350.1428571428571</v>
      </c>
      <c r="K40" s="330">
        <f t="shared" si="25"/>
        <v>82.182608695652178</v>
      </c>
      <c r="L40" s="642"/>
      <c r="M40" s="357">
        <f>RANK(K40, K$30:$K$47)</f>
        <v>16</v>
      </c>
      <c r="N40" s="624"/>
      <c r="O40" s="624"/>
      <c r="P40" s="336">
        <v>17</v>
      </c>
      <c r="Q40" s="336">
        <v>1389</v>
      </c>
      <c r="R40" s="328">
        <f t="shared" si="26"/>
        <v>81.705882352941174</v>
      </c>
      <c r="S40" s="336">
        <f t="shared" si="36"/>
        <v>16</v>
      </c>
      <c r="T40" s="640"/>
      <c r="U40" s="389">
        <v>17</v>
      </c>
      <c r="V40" s="336">
        <v>1395</v>
      </c>
      <c r="W40" s="330">
        <f t="shared" si="27"/>
        <v>82.058823529411768</v>
      </c>
      <c r="X40" s="336">
        <f t="shared" si="43"/>
        <v>15</v>
      </c>
      <c r="Y40" s="640"/>
      <c r="Z40" s="340">
        <v>16</v>
      </c>
      <c r="AA40" s="336">
        <v>1288</v>
      </c>
      <c r="AB40" s="328">
        <f t="shared" si="29"/>
        <v>80.5</v>
      </c>
      <c r="AC40" s="336">
        <f t="shared" si="44"/>
        <v>16</v>
      </c>
      <c r="AD40" s="640"/>
      <c r="AE40" s="340">
        <v>16</v>
      </c>
      <c r="AF40" s="336">
        <v>1276</v>
      </c>
      <c r="AG40" s="328">
        <f t="shared" si="31"/>
        <v>79.75</v>
      </c>
      <c r="AH40" s="336">
        <f t="shared" si="37"/>
        <v>15</v>
      </c>
      <c r="AI40" s="640"/>
      <c r="AJ40" s="340">
        <v>16</v>
      </c>
      <c r="AK40" s="336">
        <v>1327</v>
      </c>
      <c r="AL40" s="328">
        <f t="shared" si="32"/>
        <v>82.9375</v>
      </c>
      <c r="AM40" s="336">
        <f t="shared" si="38"/>
        <v>14</v>
      </c>
      <c r="AN40" s="640"/>
      <c r="AO40" s="340">
        <v>16</v>
      </c>
      <c r="AP40" s="336">
        <v>1299</v>
      </c>
      <c r="AQ40" s="328">
        <f t="shared" si="33"/>
        <v>81.1875</v>
      </c>
      <c r="AR40" s="336">
        <f t="shared" si="39"/>
        <v>13</v>
      </c>
      <c r="AS40" s="640"/>
      <c r="AT40" s="340">
        <v>17</v>
      </c>
      <c r="AU40" s="336">
        <v>1477</v>
      </c>
      <c r="AV40" s="328">
        <f t="shared" si="34"/>
        <v>86.882352941176464</v>
      </c>
      <c r="AW40" s="336">
        <f t="shared" si="40"/>
        <v>16</v>
      </c>
      <c r="AX40" s="640"/>
    </row>
    <row r="41" spans="2:50">
      <c r="B41" s="618"/>
      <c r="C41" s="336">
        <v>12</v>
      </c>
      <c r="D41" s="336" t="s">
        <v>125</v>
      </c>
      <c r="E41" s="337">
        <f>VLOOKUP(D41,'07產線配置圖'!$A$3:$C$26,2,0)</f>
        <v>17</v>
      </c>
      <c r="F41" s="337">
        <f>VLOOKUP(D41,'07產線配置圖'!$A$3:$C$26,3,0)</f>
        <v>1636</v>
      </c>
      <c r="G41" s="330">
        <f t="shared" si="45"/>
        <v>96.235294117647058</v>
      </c>
      <c r="H41" s="642"/>
      <c r="I41" s="337">
        <f t="shared" si="35"/>
        <v>16.142857142857142</v>
      </c>
      <c r="J41" s="337">
        <f t="shared" si="35"/>
        <v>1447</v>
      </c>
      <c r="K41" s="330">
        <f t="shared" si="25"/>
        <v>89.637168141592923</v>
      </c>
      <c r="L41" s="642"/>
      <c r="M41" s="357">
        <f>RANK(K41, K$30:$K$47)</f>
        <v>12</v>
      </c>
      <c r="N41" s="624"/>
      <c r="O41" s="624"/>
      <c r="P41" s="340">
        <v>16</v>
      </c>
      <c r="Q41" s="336">
        <v>1441</v>
      </c>
      <c r="R41" s="328">
        <f t="shared" si="26"/>
        <v>90.0625</v>
      </c>
      <c r="S41" s="336">
        <f t="shared" si="36"/>
        <v>13</v>
      </c>
      <c r="T41" s="640"/>
      <c r="U41" s="389">
        <v>16</v>
      </c>
      <c r="V41" s="336">
        <v>1438</v>
      </c>
      <c r="W41" s="330">
        <f t="shared" si="27"/>
        <v>89.875</v>
      </c>
      <c r="X41" s="336">
        <f t="shared" si="43"/>
        <v>12</v>
      </c>
      <c r="Y41" s="640"/>
      <c r="Z41" s="340">
        <v>15</v>
      </c>
      <c r="AA41" s="336">
        <v>1273</v>
      </c>
      <c r="AB41" s="328">
        <f t="shared" si="29"/>
        <v>84.86666666666666</v>
      </c>
      <c r="AC41" s="336">
        <f t="shared" si="44"/>
        <v>14</v>
      </c>
      <c r="AD41" s="640"/>
      <c r="AE41" s="340">
        <v>16</v>
      </c>
      <c r="AF41" s="336">
        <v>1488</v>
      </c>
      <c r="AG41" s="330">
        <f t="shared" si="31"/>
        <v>93</v>
      </c>
      <c r="AH41" s="336">
        <f t="shared" si="37"/>
        <v>11</v>
      </c>
      <c r="AI41" s="640"/>
      <c r="AJ41" s="340">
        <v>16</v>
      </c>
      <c r="AK41" s="336">
        <v>1414</v>
      </c>
      <c r="AL41" s="512">
        <f t="shared" si="32"/>
        <v>88.375</v>
      </c>
      <c r="AM41" s="336">
        <f t="shared" si="38"/>
        <v>12</v>
      </c>
      <c r="AN41" s="640"/>
      <c r="AO41" s="336">
        <v>17</v>
      </c>
      <c r="AP41" s="336">
        <v>1462</v>
      </c>
      <c r="AQ41" s="328">
        <f t="shared" si="33"/>
        <v>86</v>
      </c>
      <c r="AR41" s="336">
        <f t="shared" si="39"/>
        <v>12</v>
      </c>
      <c r="AS41" s="640"/>
      <c r="AT41" s="336">
        <v>17</v>
      </c>
      <c r="AU41" s="336">
        <v>1613</v>
      </c>
      <c r="AV41" s="330">
        <f t="shared" si="34"/>
        <v>94.882352941176464</v>
      </c>
      <c r="AW41" s="336">
        <f t="shared" si="40"/>
        <v>10</v>
      </c>
      <c r="AX41" s="640"/>
    </row>
    <row r="42" spans="2:50">
      <c r="B42" s="618"/>
      <c r="C42" s="336">
        <v>13</v>
      </c>
      <c r="D42" s="336" t="s">
        <v>172</v>
      </c>
      <c r="E42" s="337">
        <f>VLOOKUP(D42,'07產線配置圖'!$A$3:$C$26,2,0)</f>
        <v>16</v>
      </c>
      <c r="F42" s="337">
        <f>VLOOKUP(D42,'07產線配置圖'!$A$3:$C$26,3,0)</f>
        <v>1636</v>
      </c>
      <c r="G42" s="330">
        <f>F42/E42</f>
        <v>102.25</v>
      </c>
      <c r="H42" s="642"/>
      <c r="I42" s="337">
        <f>AVERAGE(P42,U42,Z42,AE42,AJ42,AO42,AT42)</f>
        <v>15.857142857142858</v>
      </c>
      <c r="J42" s="337">
        <f t="shared" ref="J42:J44" si="46">AVERAGE(Q42,V42,AA42,AF42,AK42,AP42,AU42)</f>
        <v>1381.4285714285713</v>
      </c>
      <c r="K42" s="330">
        <f t="shared" si="25"/>
        <v>87.117117117117104</v>
      </c>
      <c r="L42" s="642"/>
      <c r="M42" s="357">
        <f>RANK(K42, K$30:$K$47)</f>
        <v>14</v>
      </c>
      <c r="N42" s="624"/>
      <c r="O42" s="624"/>
      <c r="P42" s="336">
        <v>16</v>
      </c>
      <c r="Q42" s="336">
        <v>1487</v>
      </c>
      <c r="R42" s="328">
        <f t="shared" si="26"/>
        <v>92.9375</v>
      </c>
      <c r="S42" s="336">
        <f t="shared" si="36"/>
        <v>11</v>
      </c>
      <c r="T42" s="640"/>
      <c r="U42" s="337">
        <v>16</v>
      </c>
      <c r="V42" s="336">
        <v>1386</v>
      </c>
      <c r="W42" s="330">
        <f t="shared" si="27"/>
        <v>86.625</v>
      </c>
      <c r="X42" s="336">
        <f t="shared" si="43"/>
        <v>13</v>
      </c>
      <c r="Y42" s="640"/>
      <c r="Z42" s="336">
        <v>16</v>
      </c>
      <c r="AA42" s="336">
        <v>1459</v>
      </c>
      <c r="AB42" s="330">
        <f t="shared" si="29"/>
        <v>91.1875</v>
      </c>
      <c r="AC42" s="336">
        <f t="shared" si="44"/>
        <v>12</v>
      </c>
      <c r="AD42" s="640"/>
      <c r="AE42" s="336">
        <v>16</v>
      </c>
      <c r="AF42" s="336">
        <v>950</v>
      </c>
      <c r="AG42" s="328">
        <f t="shared" si="31"/>
        <v>59.375</v>
      </c>
      <c r="AH42" s="336">
        <f t="shared" si="37"/>
        <v>17</v>
      </c>
      <c r="AI42" s="640"/>
      <c r="AJ42" s="336">
        <v>16</v>
      </c>
      <c r="AK42" s="336">
        <v>1502</v>
      </c>
      <c r="AL42" s="330">
        <f t="shared" si="32"/>
        <v>93.875</v>
      </c>
      <c r="AM42" s="336">
        <f t="shared" si="38"/>
        <v>10</v>
      </c>
      <c r="AN42" s="640"/>
      <c r="AO42" s="340">
        <v>15</v>
      </c>
      <c r="AP42" s="336">
        <v>1386</v>
      </c>
      <c r="AQ42" s="330">
        <f t="shared" si="33"/>
        <v>92.4</v>
      </c>
      <c r="AR42" s="336">
        <f t="shared" si="39"/>
        <v>10</v>
      </c>
      <c r="AS42" s="640"/>
      <c r="AT42" s="336">
        <v>16</v>
      </c>
      <c r="AU42" s="336">
        <v>1500</v>
      </c>
      <c r="AV42" s="330">
        <f t="shared" si="34"/>
        <v>93.75</v>
      </c>
      <c r="AW42" s="336">
        <f t="shared" si="40"/>
        <v>11</v>
      </c>
      <c r="AX42" s="640"/>
    </row>
    <row r="43" spans="2:50">
      <c r="B43" s="618"/>
      <c r="C43" s="336">
        <v>14</v>
      </c>
      <c r="D43" s="336" t="s">
        <v>228</v>
      </c>
      <c r="E43" s="337">
        <f>VLOOKUP(D43,'07產線配置圖'!$A$3:$C$26,2,0)</f>
        <v>17</v>
      </c>
      <c r="F43" s="337">
        <f>VLOOKUP(D43,'07產線配置圖'!$A$3:$C$26,3,0)</f>
        <v>2250</v>
      </c>
      <c r="G43" s="330">
        <f>F43/E43</f>
        <v>132.35294117647058</v>
      </c>
      <c r="H43" s="642"/>
      <c r="I43" s="337">
        <f>AVERAGE(P43,U43,Z43,AE43,AJ43,AO43,AT43)</f>
        <v>16.857142857142858</v>
      </c>
      <c r="J43" s="337">
        <f t="shared" si="46"/>
        <v>1995.8571428571429</v>
      </c>
      <c r="K43" s="330">
        <f t="shared" si="25"/>
        <v>118.39830508474576</v>
      </c>
      <c r="L43" s="642"/>
      <c r="M43" s="357">
        <f>RANK(K43, K$30:$K$47)</f>
        <v>6</v>
      </c>
      <c r="N43" s="624"/>
      <c r="O43" s="624"/>
      <c r="P43" s="381">
        <v>17</v>
      </c>
      <c r="Q43" s="336">
        <v>1989</v>
      </c>
      <c r="R43" s="330">
        <f t="shared" si="26"/>
        <v>117</v>
      </c>
      <c r="S43" s="336">
        <f t="shared" si="36"/>
        <v>6</v>
      </c>
      <c r="T43" s="640"/>
      <c r="U43" s="389">
        <v>16</v>
      </c>
      <c r="V43" s="336">
        <v>1990</v>
      </c>
      <c r="W43" s="330">
        <f t="shared" si="27"/>
        <v>124.375</v>
      </c>
      <c r="X43" s="336">
        <f t="shared" si="43"/>
        <v>6</v>
      </c>
      <c r="Y43" s="640"/>
      <c r="Z43" s="336">
        <v>17</v>
      </c>
      <c r="AA43" s="336">
        <v>2016</v>
      </c>
      <c r="AB43" s="330">
        <f t="shared" si="29"/>
        <v>118.58823529411765</v>
      </c>
      <c r="AC43" s="336">
        <f t="shared" si="44"/>
        <v>6</v>
      </c>
      <c r="AD43" s="640"/>
      <c r="AE43" s="336">
        <v>17</v>
      </c>
      <c r="AF43" s="336">
        <v>1917</v>
      </c>
      <c r="AG43" s="330">
        <f t="shared" si="31"/>
        <v>112.76470588235294</v>
      </c>
      <c r="AH43" s="336">
        <f t="shared" si="37"/>
        <v>6</v>
      </c>
      <c r="AI43" s="640"/>
      <c r="AJ43" s="336">
        <v>17</v>
      </c>
      <c r="AK43" s="336">
        <v>1965</v>
      </c>
      <c r="AL43" s="330">
        <f t="shared" si="32"/>
        <v>115.58823529411765</v>
      </c>
      <c r="AM43" s="336">
        <f t="shared" si="38"/>
        <v>6</v>
      </c>
      <c r="AN43" s="640"/>
      <c r="AO43" s="336">
        <v>17</v>
      </c>
      <c r="AP43" s="336">
        <v>2006</v>
      </c>
      <c r="AQ43" s="330">
        <f t="shared" si="33"/>
        <v>118</v>
      </c>
      <c r="AR43" s="336">
        <f t="shared" si="39"/>
        <v>6</v>
      </c>
      <c r="AS43" s="640"/>
      <c r="AT43" s="336">
        <v>17</v>
      </c>
      <c r="AU43" s="336">
        <v>2088</v>
      </c>
      <c r="AV43" s="330">
        <f t="shared" si="34"/>
        <v>122.82352941176471</v>
      </c>
      <c r="AW43" s="336">
        <f t="shared" si="40"/>
        <v>6</v>
      </c>
      <c r="AX43" s="640"/>
    </row>
    <row r="44" spans="2:50" ht="13.5">
      <c r="B44" s="618"/>
      <c r="C44" s="336">
        <v>15</v>
      </c>
      <c r="D44" s="355" t="s">
        <v>383</v>
      </c>
      <c r="E44" s="337">
        <f>VLOOKUP(D44,'07產線配置圖'!$A$3:$C$26,2,0)</f>
        <v>14</v>
      </c>
      <c r="F44" s="337">
        <f>VLOOKUP(D44,'07產線配置圖'!$A$3:$C$26,3,0)</f>
        <v>1565</v>
      </c>
      <c r="G44" s="330">
        <f t="shared" ref="G44:G46" si="47">F44/E44</f>
        <v>111.78571428571429</v>
      </c>
      <c r="H44" s="642"/>
      <c r="I44" s="337">
        <f>AVERAGE(P44,U44,Z44,AE44,AJ44,AO44,AT44)</f>
        <v>9.7142857142857135</v>
      </c>
      <c r="J44" s="337">
        <f t="shared" si="46"/>
        <v>917.85714285714289</v>
      </c>
      <c r="K44" s="330">
        <f t="shared" si="25"/>
        <v>94.485294117647072</v>
      </c>
      <c r="L44" s="642"/>
      <c r="M44" s="357">
        <f>RANK(K44, K$30:$K$47)</f>
        <v>11</v>
      </c>
      <c r="N44" s="624"/>
      <c r="O44" s="624"/>
      <c r="P44" s="381">
        <v>11</v>
      </c>
      <c r="Q44" s="336">
        <v>1066</v>
      </c>
      <c r="R44" s="330">
        <f t="shared" si="26"/>
        <v>96.909090909090907</v>
      </c>
      <c r="S44" s="336">
        <f t="shared" si="36"/>
        <v>10</v>
      </c>
      <c r="T44" s="640"/>
      <c r="U44" s="389">
        <v>11</v>
      </c>
      <c r="V44" s="336">
        <v>1197</v>
      </c>
      <c r="W44" s="330">
        <f>V44/U44</f>
        <v>108.81818181818181</v>
      </c>
      <c r="X44" s="336">
        <f t="shared" si="43"/>
        <v>7</v>
      </c>
      <c r="Y44" s="640"/>
      <c r="Z44" s="340">
        <v>9</v>
      </c>
      <c r="AA44" s="336">
        <v>851</v>
      </c>
      <c r="AB44" s="330">
        <f t="shared" si="29"/>
        <v>94.555555555555557</v>
      </c>
      <c r="AC44" s="336">
        <f t="shared" si="44"/>
        <v>11</v>
      </c>
      <c r="AD44" s="640"/>
      <c r="AE44" s="340">
        <v>8</v>
      </c>
      <c r="AF44" s="336">
        <v>740</v>
      </c>
      <c r="AG44" s="330">
        <f t="shared" si="31"/>
        <v>92.5</v>
      </c>
      <c r="AH44" s="336">
        <f t="shared" si="37"/>
        <v>12</v>
      </c>
      <c r="AI44" s="640"/>
      <c r="AJ44" s="340">
        <v>9</v>
      </c>
      <c r="AK44" s="336">
        <v>739</v>
      </c>
      <c r="AL44" s="328">
        <f t="shared" si="32"/>
        <v>82.111111111111114</v>
      </c>
      <c r="AM44" s="336">
        <f t="shared" si="38"/>
        <v>15</v>
      </c>
      <c r="AN44" s="640"/>
      <c r="AO44" s="340">
        <v>9</v>
      </c>
      <c r="AP44" s="336">
        <v>711</v>
      </c>
      <c r="AQ44" s="328">
        <f t="shared" si="33"/>
        <v>79</v>
      </c>
      <c r="AR44" s="336">
        <f t="shared" si="39"/>
        <v>16</v>
      </c>
      <c r="AS44" s="640"/>
      <c r="AT44" s="340">
        <v>11</v>
      </c>
      <c r="AU44" s="336">
        <v>1121</v>
      </c>
      <c r="AV44" s="330">
        <f t="shared" si="34"/>
        <v>101.90909090909091</v>
      </c>
      <c r="AW44" s="336">
        <f t="shared" si="40"/>
        <v>9</v>
      </c>
      <c r="AX44" s="640"/>
    </row>
    <row r="45" spans="2:50" ht="13.5">
      <c r="B45" s="618"/>
      <c r="C45" s="336">
        <v>16</v>
      </c>
      <c r="D45" s="355" t="s">
        <v>129</v>
      </c>
      <c r="E45" s="337">
        <f>VLOOKUP(D45,'07產線配置圖'!$A$3:$C$26,2,0)</f>
        <v>18</v>
      </c>
      <c r="F45" s="337">
        <f>VLOOKUP(D45,'07產線配置圖'!$A$3:$C$26,3,0)</f>
        <v>1636</v>
      </c>
      <c r="G45" s="330">
        <f t="shared" si="47"/>
        <v>90.888888888888886</v>
      </c>
      <c r="H45" s="642"/>
      <c r="I45" s="337">
        <f>AVERAGE(P45,U45,Z45,AE45,AJ45,AO45,AT45)</f>
        <v>16.928571428571427</v>
      </c>
      <c r="J45" s="337">
        <f>AVERAGE(Q45,V45,AA45,AF45,AK45,AP45,AU45)</f>
        <v>1311.1428571428571</v>
      </c>
      <c r="K45" s="330">
        <f t="shared" si="25"/>
        <v>77.451476793248943</v>
      </c>
      <c r="L45" s="642"/>
      <c r="M45" s="357">
        <f>RANK(K45, K$30:$K$47)</f>
        <v>17</v>
      </c>
      <c r="N45" s="624"/>
      <c r="O45" s="624"/>
      <c r="P45" s="336">
        <v>16</v>
      </c>
      <c r="Q45" s="336">
        <v>1347</v>
      </c>
      <c r="R45" s="330">
        <f t="shared" si="26"/>
        <v>84.1875</v>
      </c>
      <c r="S45" s="336">
        <f>RANK(R45,$R$30:$R$47)</f>
        <v>15</v>
      </c>
      <c r="T45" s="640"/>
      <c r="U45" s="389">
        <v>17.5</v>
      </c>
      <c r="V45" s="336">
        <v>1357</v>
      </c>
      <c r="W45" s="330">
        <f t="shared" si="27"/>
        <v>77.542857142857144</v>
      </c>
      <c r="X45" s="336">
        <f t="shared" si="43"/>
        <v>17</v>
      </c>
      <c r="Y45" s="640"/>
      <c r="Z45" s="389">
        <v>17.5</v>
      </c>
      <c r="AA45" s="336">
        <v>1430</v>
      </c>
      <c r="AB45" s="328">
        <f t="shared" si="29"/>
        <v>81.714285714285708</v>
      </c>
      <c r="AC45" s="336">
        <f t="shared" si="44"/>
        <v>15</v>
      </c>
      <c r="AD45" s="640"/>
      <c r="AE45" s="337">
        <v>16.5</v>
      </c>
      <c r="AF45" s="336">
        <v>1235</v>
      </c>
      <c r="AG45" s="328">
        <f t="shared" si="31"/>
        <v>74.848484848484844</v>
      </c>
      <c r="AH45" s="336">
        <f t="shared" si="37"/>
        <v>16</v>
      </c>
      <c r="AI45" s="640"/>
      <c r="AJ45" s="340">
        <v>17</v>
      </c>
      <c r="AK45" s="336">
        <v>1236</v>
      </c>
      <c r="AL45" s="328">
        <f t="shared" si="32"/>
        <v>72.705882352941174</v>
      </c>
      <c r="AM45" s="336">
        <f t="shared" si="38"/>
        <v>17</v>
      </c>
      <c r="AN45" s="640"/>
      <c r="AO45" s="340">
        <v>17</v>
      </c>
      <c r="AP45" s="336">
        <v>1196</v>
      </c>
      <c r="AQ45" s="328">
        <f t="shared" si="33"/>
        <v>70.352941176470594</v>
      </c>
      <c r="AR45" s="336">
        <f t="shared" si="39"/>
        <v>17</v>
      </c>
      <c r="AS45" s="640"/>
      <c r="AT45" s="336">
        <v>17</v>
      </c>
      <c r="AU45" s="336">
        <v>1377</v>
      </c>
      <c r="AV45" s="328">
        <f t="shared" si="34"/>
        <v>81</v>
      </c>
      <c r="AW45" s="336">
        <f t="shared" si="40"/>
        <v>17</v>
      </c>
      <c r="AX45" s="640"/>
    </row>
    <row r="46" spans="2:50" ht="13.5">
      <c r="B46" s="618"/>
      <c r="C46" s="336">
        <v>17</v>
      </c>
      <c r="D46" s="355" t="s">
        <v>387</v>
      </c>
      <c r="E46" s="337">
        <f>VLOOKUP(D46,'07產線配置圖'!$A$3:$C$26,2,0)</f>
        <v>13</v>
      </c>
      <c r="F46" s="337">
        <f>VLOOKUP(D46,'07產線配置圖'!$A$3:$C$26,3,0)</f>
        <v>1565</v>
      </c>
      <c r="G46" s="330">
        <f t="shared" si="47"/>
        <v>120.38461538461539</v>
      </c>
      <c r="H46" s="642"/>
      <c r="I46" s="337">
        <f>AVERAGE(P46,U46,Z46,AE46,AJ46,AO46,AT46)</f>
        <v>10.642857142857142</v>
      </c>
      <c r="J46" s="337">
        <f>AVERAGE(Q46,V46,AA46,AF46,AK46,AP46,AU46)</f>
        <v>1125.2857142857142</v>
      </c>
      <c r="K46" s="330">
        <f>J46/I46</f>
        <v>105.73154362416108</v>
      </c>
      <c r="L46" s="642"/>
      <c r="M46" s="357">
        <f>RANK(K46, K$30:$K$47)</f>
        <v>7</v>
      </c>
      <c r="N46" s="624"/>
      <c r="O46" s="624"/>
      <c r="P46" s="337">
        <v>11.5</v>
      </c>
      <c r="Q46" s="336">
        <v>1181</v>
      </c>
      <c r="R46" s="330">
        <f>Q46/P46</f>
        <v>102.69565217391305</v>
      </c>
      <c r="S46" s="336">
        <f>RANK(R46,$R$30:$R$47)</f>
        <v>8</v>
      </c>
      <c r="T46" s="640"/>
      <c r="U46" s="337">
        <v>13</v>
      </c>
      <c r="V46" s="336">
        <v>1257</v>
      </c>
      <c r="W46" s="330">
        <f t="shared" si="27"/>
        <v>96.692307692307693</v>
      </c>
      <c r="X46" s="336">
        <f t="shared" si="43"/>
        <v>10</v>
      </c>
      <c r="Y46" s="640"/>
      <c r="Z46" s="340">
        <v>10</v>
      </c>
      <c r="AA46" s="336">
        <v>1031</v>
      </c>
      <c r="AB46" s="330">
        <f t="shared" si="29"/>
        <v>103.1</v>
      </c>
      <c r="AC46" s="336">
        <f t="shared" si="44"/>
        <v>7</v>
      </c>
      <c r="AD46" s="640"/>
      <c r="AE46" s="340">
        <v>11</v>
      </c>
      <c r="AF46" s="336">
        <v>1083</v>
      </c>
      <c r="AG46" s="330">
        <f t="shared" si="31"/>
        <v>98.454545454545453</v>
      </c>
      <c r="AH46" s="336">
        <f t="shared" si="37"/>
        <v>9</v>
      </c>
      <c r="AI46" s="640"/>
      <c r="AJ46" s="340">
        <v>10</v>
      </c>
      <c r="AK46" s="336">
        <v>1129</v>
      </c>
      <c r="AL46" s="330">
        <f t="shared" si="32"/>
        <v>112.9</v>
      </c>
      <c r="AM46" s="336">
        <f t="shared" si="38"/>
        <v>7</v>
      </c>
      <c r="AN46" s="640"/>
      <c r="AO46" s="340">
        <v>10</v>
      </c>
      <c r="AP46" s="336">
        <v>1123</v>
      </c>
      <c r="AQ46" s="330">
        <f t="shared" si="33"/>
        <v>112.3</v>
      </c>
      <c r="AR46" s="336">
        <f t="shared" si="39"/>
        <v>7</v>
      </c>
      <c r="AS46" s="640"/>
      <c r="AT46" s="340">
        <v>9</v>
      </c>
      <c r="AU46" s="336">
        <v>1073</v>
      </c>
      <c r="AV46" s="330">
        <f t="shared" si="34"/>
        <v>119.22222222222223</v>
      </c>
      <c r="AW46" s="336">
        <f t="shared" si="40"/>
        <v>7</v>
      </c>
      <c r="AX46" s="640"/>
    </row>
    <row r="47" spans="2:50">
      <c r="B47" s="618"/>
      <c r="C47" s="336">
        <v>18</v>
      </c>
      <c r="D47" s="336"/>
      <c r="E47" s="337"/>
      <c r="F47" s="337"/>
      <c r="G47" s="330"/>
      <c r="H47" s="643"/>
      <c r="I47" s="336"/>
      <c r="J47" s="336"/>
      <c r="K47" s="336"/>
      <c r="L47" s="643"/>
      <c r="M47" s="337"/>
      <c r="N47" s="624"/>
      <c r="O47" s="624"/>
      <c r="P47" s="336"/>
      <c r="Q47" s="336"/>
      <c r="R47" s="336"/>
      <c r="S47" s="336"/>
      <c r="T47" s="640"/>
      <c r="U47" s="336"/>
      <c r="V47" s="336"/>
      <c r="W47" s="336"/>
      <c r="X47" s="336"/>
      <c r="Y47" s="640"/>
      <c r="Z47" s="336"/>
      <c r="AA47" s="336"/>
      <c r="AB47" s="336"/>
      <c r="AC47" s="336"/>
      <c r="AD47" s="640"/>
      <c r="AE47" s="336"/>
      <c r="AF47" s="336"/>
      <c r="AG47" s="336"/>
      <c r="AH47" s="336"/>
      <c r="AI47" s="640"/>
      <c r="AJ47" s="336"/>
      <c r="AK47" s="336"/>
      <c r="AL47" s="336"/>
      <c r="AM47" s="336"/>
      <c r="AN47" s="640"/>
      <c r="AO47" s="336"/>
      <c r="AP47" s="336"/>
      <c r="AQ47" s="336"/>
      <c r="AR47" s="336"/>
      <c r="AS47" s="640"/>
      <c r="AT47" s="336"/>
      <c r="AU47" s="336"/>
      <c r="AV47" s="330"/>
      <c r="AW47" s="336"/>
      <c r="AX47" s="640"/>
    </row>
    <row r="48" spans="2:50" ht="15.75">
      <c r="B48" s="638" t="s">
        <v>85</v>
      </c>
      <c r="C48" s="639"/>
      <c r="D48" s="639"/>
      <c r="E48" s="639"/>
      <c r="F48" s="639"/>
      <c r="G48" s="639"/>
      <c r="H48" s="639"/>
      <c r="I48" s="349"/>
      <c r="J48" s="348"/>
      <c r="K48" s="349"/>
      <c r="L48" s="349"/>
      <c r="M48" s="356"/>
      <c r="N48" s="619" t="s">
        <v>86</v>
      </c>
      <c r="O48" s="619" t="s">
        <v>45</v>
      </c>
      <c r="P48" s="617">
        <f>AT25+1</f>
        <v>46245</v>
      </c>
      <c r="Q48" s="618"/>
      <c r="R48" s="618"/>
      <c r="S48" s="618"/>
      <c r="T48" s="618"/>
      <c r="U48" s="617">
        <f>P48+1</f>
        <v>46246</v>
      </c>
      <c r="V48" s="618"/>
      <c r="W48" s="618"/>
      <c r="X48" s="618"/>
      <c r="Y48" s="618"/>
      <c r="Z48" s="617">
        <f>Z25+7</f>
        <v>46247</v>
      </c>
      <c r="AA48" s="618"/>
      <c r="AB48" s="618"/>
      <c r="AC48" s="618"/>
      <c r="AD48" s="618"/>
      <c r="AE48" s="617">
        <f>AE25+7</f>
        <v>46248</v>
      </c>
      <c r="AF48" s="618"/>
      <c r="AG48" s="618"/>
      <c r="AH48" s="618"/>
      <c r="AI48" s="618"/>
      <c r="AJ48" s="617">
        <f>AJ25+7</f>
        <v>46249</v>
      </c>
      <c r="AK48" s="618"/>
      <c r="AL48" s="618"/>
      <c r="AM48" s="618"/>
      <c r="AN48" s="618"/>
      <c r="AO48" s="617">
        <f>AO25+7</f>
        <v>46250</v>
      </c>
      <c r="AP48" s="618"/>
      <c r="AQ48" s="618"/>
      <c r="AR48" s="618"/>
      <c r="AS48" s="618"/>
      <c r="AT48" s="617">
        <f>AT25+7</f>
        <v>46251</v>
      </c>
      <c r="AU48" s="618"/>
      <c r="AV48" s="618"/>
      <c r="AW48" s="618"/>
      <c r="AX48" s="618"/>
    </row>
    <row r="49" spans="2:50" ht="15.75">
      <c r="B49" s="627"/>
      <c r="C49" s="627"/>
      <c r="D49" s="627"/>
      <c r="E49" s="627"/>
      <c r="F49" s="627"/>
      <c r="G49" s="627"/>
      <c r="H49" s="627"/>
      <c r="I49" s="351"/>
      <c r="J49" s="351"/>
      <c r="K49" s="351"/>
      <c r="L49" s="351"/>
      <c r="M49" s="352"/>
      <c r="N49" s="620"/>
      <c r="O49" s="620"/>
      <c r="P49" s="617" t="s">
        <v>58</v>
      </c>
      <c r="Q49" s="618"/>
      <c r="R49" s="618"/>
      <c r="S49" s="618"/>
      <c r="T49" s="618"/>
      <c r="U49" s="617" t="s">
        <v>59</v>
      </c>
      <c r="V49" s="618"/>
      <c r="W49" s="618"/>
      <c r="X49" s="618"/>
      <c r="Y49" s="618"/>
      <c r="Z49" s="617" t="s">
        <v>60</v>
      </c>
      <c r="AA49" s="618"/>
      <c r="AB49" s="618"/>
      <c r="AC49" s="618"/>
      <c r="AD49" s="618"/>
      <c r="AE49" s="617" t="s">
        <v>61</v>
      </c>
      <c r="AF49" s="618"/>
      <c r="AG49" s="618"/>
      <c r="AH49" s="618"/>
      <c r="AI49" s="618"/>
      <c r="AJ49" s="617" t="s">
        <v>56</v>
      </c>
      <c r="AK49" s="618"/>
      <c r="AL49" s="618"/>
      <c r="AM49" s="618"/>
      <c r="AN49" s="618"/>
      <c r="AO49" s="617" t="s">
        <v>52</v>
      </c>
      <c r="AP49" s="618"/>
      <c r="AQ49" s="618"/>
      <c r="AR49" s="618"/>
      <c r="AS49" s="618"/>
      <c r="AT49" s="617" t="s">
        <v>57</v>
      </c>
      <c r="AU49" s="618"/>
      <c r="AV49" s="618"/>
      <c r="AW49" s="618"/>
      <c r="AX49" s="618"/>
    </row>
    <row r="50" spans="2:50" ht="13.5">
      <c r="B50" s="624" t="s">
        <v>41</v>
      </c>
      <c r="C50" s="624" t="s">
        <v>87</v>
      </c>
      <c r="D50" s="624"/>
      <c r="E50" s="624" t="s">
        <v>88</v>
      </c>
      <c r="F50" s="624"/>
      <c r="G50" s="624"/>
      <c r="H50" s="634" t="s">
        <v>89</v>
      </c>
      <c r="I50" s="624" t="s">
        <v>90</v>
      </c>
      <c r="J50" s="624"/>
      <c r="K50" s="624"/>
      <c r="L50" s="634" t="s">
        <v>89</v>
      </c>
      <c r="M50" s="619" t="s">
        <v>91</v>
      </c>
      <c r="N50" s="624"/>
      <c r="O50" s="624" t="s">
        <v>92</v>
      </c>
      <c r="P50" s="621" t="s">
        <v>93</v>
      </c>
      <c r="Q50" s="622"/>
      <c r="R50" s="622"/>
      <c r="S50" s="623"/>
      <c r="T50" s="624" t="s">
        <v>89</v>
      </c>
      <c r="U50" s="648" t="s">
        <v>93</v>
      </c>
      <c r="V50" s="622"/>
      <c r="W50" s="622"/>
      <c r="X50" s="623"/>
      <c r="Y50" s="624" t="s">
        <v>89</v>
      </c>
      <c r="Z50" s="621" t="s">
        <v>93</v>
      </c>
      <c r="AA50" s="622"/>
      <c r="AB50" s="622"/>
      <c r="AC50" s="623"/>
      <c r="AD50" s="624" t="s">
        <v>89</v>
      </c>
      <c r="AE50" s="621" t="s">
        <v>93</v>
      </c>
      <c r="AF50" s="622"/>
      <c r="AG50" s="622"/>
      <c r="AH50" s="623"/>
      <c r="AI50" s="624" t="s">
        <v>89</v>
      </c>
      <c r="AJ50" s="621" t="s">
        <v>93</v>
      </c>
      <c r="AK50" s="622"/>
      <c r="AL50" s="622"/>
      <c r="AM50" s="623"/>
      <c r="AN50" s="624" t="s">
        <v>89</v>
      </c>
      <c r="AO50" s="621" t="s">
        <v>93</v>
      </c>
      <c r="AP50" s="622"/>
      <c r="AQ50" s="622"/>
      <c r="AR50" s="623"/>
      <c r="AS50" s="624" t="s">
        <v>89</v>
      </c>
      <c r="AT50" s="621" t="s">
        <v>93</v>
      </c>
      <c r="AU50" s="622"/>
      <c r="AV50" s="622"/>
      <c r="AW50" s="623"/>
      <c r="AX50" s="624" t="s">
        <v>89</v>
      </c>
    </row>
    <row r="51" spans="2:50">
      <c r="B51" s="624"/>
      <c r="C51" s="624"/>
      <c r="D51" s="624"/>
      <c r="E51" s="624" t="s">
        <v>94</v>
      </c>
      <c r="F51" s="624"/>
      <c r="G51" s="624"/>
      <c r="H51" s="635"/>
      <c r="I51" s="624" t="s">
        <v>94</v>
      </c>
      <c r="J51" s="624"/>
      <c r="K51" s="624"/>
      <c r="L51" s="635"/>
      <c r="M51" s="637"/>
      <c r="N51" s="624"/>
      <c r="O51" s="624"/>
      <c r="P51" s="621" t="s">
        <v>95</v>
      </c>
      <c r="Q51" s="622"/>
      <c r="R51" s="622"/>
      <c r="S51" s="623"/>
      <c r="T51" s="624"/>
      <c r="U51" s="621" t="s">
        <v>95</v>
      </c>
      <c r="V51" s="622"/>
      <c r="W51" s="622"/>
      <c r="X51" s="623"/>
      <c r="Y51" s="624"/>
      <c r="Z51" s="621" t="s">
        <v>95</v>
      </c>
      <c r="AA51" s="622"/>
      <c r="AB51" s="622"/>
      <c r="AC51" s="623"/>
      <c r="AD51" s="624"/>
      <c r="AE51" s="621" t="s">
        <v>95</v>
      </c>
      <c r="AF51" s="622"/>
      <c r="AG51" s="622"/>
      <c r="AH51" s="623"/>
      <c r="AI51" s="624"/>
      <c r="AJ51" s="621" t="s">
        <v>95</v>
      </c>
      <c r="AK51" s="622"/>
      <c r="AL51" s="622"/>
      <c r="AM51" s="623"/>
      <c r="AN51" s="624"/>
      <c r="AO51" s="621" t="s">
        <v>95</v>
      </c>
      <c r="AP51" s="622"/>
      <c r="AQ51" s="622"/>
      <c r="AR51" s="623"/>
      <c r="AS51" s="624"/>
      <c r="AT51" s="621" t="s">
        <v>95</v>
      </c>
      <c r="AU51" s="622"/>
      <c r="AV51" s="622"/>
      <c r="AW51" s="623"/>
      <c r="AX51" s="624"/>
    </row>
    <row r="52" spans="2:50">
      <c r="B52" s="624"/>
      <c r="C52" s="624"/>
      <c r="D52" s="624"/>
      <c r="E52" s="353" t="s">
        <v>96</v>
      </c>
      <c r="F52" s="353" t="s">
        <v>97</v>
      </c>
      <c r="G52" s="353" t="s">
        <v>98</v>
      </c>
      <c r="H52" s="636"/>
      <c r="I52" s="353" t="s">
        <v>96</v>
      </c>
      <c r="J52" s="353" t="s">
        <v>97</v>
      </c>
      <c r="K52" s="353" t="s">
        <v>98</v>
      </c>
      <c r="L52" s="636"/>
      <c r="M52" s="620"/>
      <c r="N52" s="624"/>
      <c r="O52" s="624"/>
      <c r="P52" s="353" t="s">
        <v>96</v>
      </c>
      <c r="Q52" s="353" t="s">
        <v>97</v>
      </c>
      <c r="R52" s="353" t="s">
        <v>98</v>
      </c>
      <c r="S52" s="353" t="s">
        <v>91</v>
      </c>
      <c r="T52" s="624"/>
      <c r="U52" s="353" t="s">
        <v>96</v>
      </c>
      <c r="V52" s="353" t="s">
        <v>97</v>
      </c>
      <c r="W52" s="353" t="s">
        <v>98</v>
      </c>
      <c r="X52" s="353" t="s">
        <v>91</v>
      </c>
      <c r="Y52" s="624"/>
      <c r="Z52" s="353" t="s">
        <v>96</v>
      </c>
      <c r="AA52" s="353" t="s">
        <v>97</v>
      </c>
      <c r="AB52" s="353" t="s">
        <v>98</v>
      </c>
      <c r="AC52" s="353" t="s">
        <v>91</v>
      </c>
      <c r="AD52" s="624"/>
      <c r="AE52" s="353" t="s">
        <v>96</v>
      </c>
      <c r="AF52" s="353" t="s">
        <v>97</v>
      </c>
      <c r="AG52" s="353" t="s">
        <v>98</v>
      </c>
      <c r="AH52" s="353" t="s">
        <v>91</v>
      </c>
      <c r="AI52" s="624"/>
      <c r="AJ52" s="353" t="s">
        <v>96</v>
      </c>
      <c r="AK52" s="353" t="s">
        <v>97</v>
      </c>
      <c r="AL52" s="353" t="s">
        <v>98</v>
      </c>
      <c r="AM52" s="353" t="s">
        <v>91</v>
      </c>
      <c r="AN52" s="624"/>
      <c r="AO52" s="353" t="s">
        <v>96</v>
      </c>
      <c r="AP52" s="353" t="s">
        <v>97</v>
      </c>
      <c r="AQ52" s="353" t="s">
        <v>98</v>
      </c>
      <c r="AR52" s="353" t="s">
        <v>91</v>
      </c>
      <c r="AS52" s="624"/>
      <c r="AT52" s="353" t="s">
        <v>96</v>
      </c>
      <c r="AU52" s="353" t="s">
        <v>97</v>
      </c>
      <c r="AV52" s="353" t="s">
        <v>98</v>
      </c>
      <c r="AW52" s="353" t="s">
        <v>91</v>
      </c>
      <c r="AX52" s="624"/>
    </row>
    <row r="53" spans="2:50" ht="13.5">
      <c r="B53" s="618" t="s">
        <v>337</v>
      </c>
      <c r="C53" s="336">
        <v>1</v>
      </c>
      <c r="D53" s="355" t="s">
        <v>113</v>
      </c>
      <c r="E53" s="337">
        <f>VLOOKUP(D53,'07產線配置圖'!$A$2:$C$25,2,0)</f>
        <v>12</v>
      </c>
      <c r="F53" s="337">
        <f>VLOOKUP(D53,'07產線配置圖'!$A$2:$C$25,3,0)</f>
        <v>2250</v>
      </c>
      <c r="G53" s="330">
        <f t="shared" ref="G53:G69" si="48">F53/E53</f>
        <v>187.5</v>
      </c>
      <c r="H53" s="641">
        <f>AVERAGE(G53:G70)</f>
        <v>123.00421910845786</v>
      </c>
      <c r="I53" s="337">
        <f>AVERAGE(P53,U53,Z53,AE53,AJ53,AO53,AT53)</f>
        <v>12</v>
      </c>
      <c r="J53" s="337">
        <f>AVERAGE(Q53,V53,AA53,AF53,AK53,AP53,AU53)</f>
        <v>2070.8571428571427</v>
      </c>
      <c r="K53" s="330">
        <f>AVERAGE(R53,W53,AB53,AG53,AL53,AQ53,AV53)</f>
        <v>172.57142857142858</v>
      </c>
      <c r="L53" s="641">
        <f>IFERROR(AVERAGE(K53:K70),"-")</f>
        <v>110.45961322185991</v>
      </c>
      <c r="M53" s="337">
        <f>RANK(K53, K$53:$K$70)</f>
        <v>1</v>
      </c>
      <c r="N53" s="624"/>
      <c r="O53" s="624"/>
      <c r="P53" s="337">
        <v>12</v>
      </c>
      <c r="Q53" s="337">
        <v>2152</v>
      </c>
      <c r="R53" s="330">
        <f t="shared" ref="R53:R69" si="49">Q53/P53</f>
        <v>179.33333333333334</v>
      </c>
      <c r="S53" s="336">
        <f>RANK(R53, $R$53:$R$70)</f>
        <v>1</v>
      </c>
      <c r="T53" s="640">
        <f>AVERAGE(R53:R70)</f>
        <v>110.16265997074821</v>
      </c>
      <c r="U53" s="337">
        <v>12</v>
      </c>
      <c r="V53" s="337">
        <v>2095</v>
      </c>
      <c r="W53" s="330">
        <f>V53/U53</f>
        <v>174.58333333333334</v>
      </c>
      <c r="X53" s="336">
        <f>RANK(W53,$W$53:$W$70)</f>
        <v>1</v>
      </c>
      <c r="Y53" s="640">
        <f>AVERAGE(W53:W70)</f>
        <v>112.09814094498351</v>
      </c>
      <c r="Z53" s="337">
        <v>12</v>
      </c>
      <c r="AA53" s="337">
        <v>2051</v>
      </c>
      <c r="AB53" s="330">
        <f>AA53/Z53</f>
        <v>170.91666666666666</v>
      </c>
      <c r="AC53" s="336">
        <f>RANK(AB53, $AB$53:$AB$70)</f>
        <v>1</v>
      </c>
      <c r="AD53" s="640">
        <f>AVERAGE(AB53:AB70)</f>
        <v>107.58815581285305</v>
      </c>
      <c r="AE53" s="337">
        <v>12</v>
      </c>
      <c r="AF53" s="337">
        <v>2027</v>
      </c>
      <c r="AG53" s="330">
        <f>AF53/AE53</f>
        <v>168.91666666666666</v>
      </c>
      <c r="AH53" s="336">
        <f>RANK(AG53, $AG$53:$AG$70)</f>
        <v>1</v>
      </c>
      <c r="AI53" s="640">
        <f>AVERAGE(AG53:AG70)</f>
        <v>108.34542261851952</v>
      </c>
      <c r="AJ53" s="337">
        <v>12</v>
      </c>
      <c r="AK53" s="337">
        <v>1916</v>
      </c>
      <c r="AL53" s="330">
        <f t="shared" ref="AL53:AL69" si="50">AK53/AJ53</f>
        <v>159.66666666666666</v>
      </c>
      <c r="AM53" s="336">
        <f>RANK(AL53,$AL$53:$AL$70)</f>
        <v>3</v>
      </c>
      <c r="AN53" s="640">
        <f>AVERAGE(AL53:AL70)</f>
        <v>111.39331322272498</v>
      </c>
      <c r="AO53" s="337">
        <v>12</v>
      </c>
      <c r="AP53" s="337">
        <v>2141</v>
      </c>
      <c r="AQ53" s="330">
        <f t="shared" ref="AQ53:AQ69" si="51">AP53/AO53</f>
        <v>178.41666666666666</v>
      </c>
      <c r="AR53" s="336">
        <f>RANK(AQ53,$AQ$53:$AQ$70)</f>
        <v>1</v>
      </c>
      <c r="AS53" s="640">
        <f>AVERAGE(AQ53:AQ70)</f>
        <v>109.06869785827396</v>
      </c>
      <c r="AT53" s="337">
        <v>12</v>
      </c>
      <c r="AU53" s="337">
        <v>2114</v>
      </c>
      <c r="AV53" s="330">
        <f>AU53/AT53</f>
        <v>176.16666666666666</v>
      </c>
      <c r="AW53" s="336">
        <f>RANK(AV53,$AV$53:$AV$70)</f>
        <v>1</v>
      </c>
      <c r="AX53" s="640">
        <f>AVERAGE(AV53:AV70)</f>
        <v>116.34957803634273</v>
      </c>
    </row>
    <row r="54" spans="2:50">
      <c r="B54" s="618"/>
      <c r="C54" s="336">
        <v>2</v>
      </c>
      <c r="D54" s="336" t="s">
        <v>116</v>
      </c>
      <c r="E54" s="337">
        <f>VLOOKUP(D54,'07產線配置圖'!$A$2:$C$25,2,0)</f>
        <v>15</v>
      </c>
      <c r="F54" s="337">
        <f>VLOOKUP(D54,'07產線配置圖'!$A$2:$C$25,3,0)</f>
        <v>2250</v>
      </c>
      <c r="G54" s="330">
        <f t="shared" si="48"/>
        <v>150</v>
      </c>
      <c r="H54" s="642"/>
      <c r="I54" s="337">
        <f t="shared" ref="I54:K58" si="52">AVERAGE(P54,U54,Z54,AE54,AJ54,AO54,AT54)</f>
        <v>14.857142857142858</v>
      </c>
      <c r="J54" s="337">
        <f t="shared" si="52"/>
        <v>2069.8571428571427</v>
      </c>
      <c r="K54" s="330">
        <f t="shared" si="52"/>
        <v>139.36802721088435</v>
      </c>
      <c r="L54" s="642"/>
      <c r="M54" s="337">
        <f>RANK(K54, K$53:$K$70)</f>
        <v>4</v>
      </c>
      <c r="N54" s="624"/>
      <c r="O54" s="624"/>
      <c r="P54" s="337">
        <v>15</v>
      </c>
      <c r="Q54" s="337">
        <v>2081</v>
      </c>
      <c r="R54" s="328">
        <f t="shared" si="49"/>
        <v>138.73333333333332</v>
      </c>
      <c r="S54" s="336">
        <f t="shared" ref="S54:S68" si="53">RANK(R54, $R$53:$R$70)</f>
        <v>4</v>
      </c>
      <c r="T54" s="640"/>
      <c r="U54" s="337">
        <v>15</v>
      </c>
      <c r="V54" s="337">
        <v>2096</v>
      </c>
      <c r="W54" s="330">
        <f t="shared" ref="W54:W69" si="54">V54/U54</f>
        <v>139.73333333333332</v>
      </c>
      <c r="X54" s="336">
        <f t="shared" ref="X54:X69" si="55">RANK(W54,$W$53:$W$70)</f>
        <v>4</v>
      </c>
      <c r="Y54" s="640"/>
      <c r="Z54" s="337">
        <v>15</v>
      </c>
      <c r="AA54" s="337">
        <v>2075</v>
      </c>
      <c r="AB54" s="330">
        <f t="shared" ref="AB54:AB69" si="56">AA54/Z54</f>
        <v>138.33333333333334</v>
      </c>
      <c r="AC54" s="336">
        <f t="shared" ref="AC54:AC69" si="57">RANK(AB54, $AB$53:$AB$70)</f>
        <v>5</v>
      </c>
      <c r="AD54" s="640"/>
      <c r="AE54" s="337">
        <v>15</v>
      </c>
      <c r="AF54" s="337">
        <v>2184</v>
      </c>
      <c r="AG54" s="330">
        <f t="shared" ref="AG54:AG69" si="58">AF54/AE54</f>
        <v>145.6</v>
      </c>
      <c r="AH54" s="336">
        <f t="shared" ref="AH54:AH69" si="59">RANK(AG54, $AG$53:$AG$70)</f>
        <v>4</v>
      </c>
      <c r="AI54" s="640"/>
      <c r="AJ54" s="337">
        <v>15</v>
      </c>
      <c r="AK54" s="337">
        <v>2053</v>
      </c>
      <c r="AL54" s="330">
        <f t="shared" si="50"/>
        <v>136.86666666666667</v>
      </c>
      <c r="AM54" s="336">
        <f t="shared" ref="AM54:AM69" si="60">RANK(AL54,$AL$53:$AL$70)</f>
        <v>4</v>
      </c>
      <c r="AN54" s="640"/>
      <c r="AO54" s="337">
        <v>15</v>
      </c>
      <c r="AP54" s="337">
        <v>1975</v>
      </c>
      <c r="AQ54" s="330">
        <f t="shared" si="51"/>
        <v>131.66666666666666</v>
      </c>
      <c r="AR54" s="336">
        <f t="shared" ref="AR54:AR68" si="61">RANK(AQ54,$AQ$53:$AQ$70)</f>
        <v>5</v>
      </c>
      <c r="AS54" s="640"/>
      <c r="AT54" s="389">
        <v>14</v>
      </c>
      <c r="AU54" s="337">
        <v>2025</v>
      </c>
      <c r="AV54" s="330">
        <f t="shared" ref="AV54:AV69" si="62">AU54/AT54</f>
        <v>144.64285714285714</v>
      </c>
      <c r="AW54" s="336">
        <f t="shared" ref="AW54:AW69" si="63">RANK(AV54,$AV$53:$AV$70)</f>
        <v>4</v>
      </c>
      <c r="AX54" s="640"/>
    </row>
    <row r="55" spans="2:50">
      <c r="B55" s="618"/>
      <c r="C55" s="336">
        <v>3</v>
      </c>
      <c r="D55" s="336" t="s">
        <v>117</v>
      </c>
      <c r="E55" s="337">
        <f>VLOOKUP(D55,'07產線配置圖'!$A$2:$C$25,2,0)</f>
        <v>15</v>
      </c>
      <c r="F55" s="337">
        <f>VLOOKUP(D55,'07產線配置圖'!$A$2:$C$25,3,0)</f>
        <v>2250</v>
      </c>
      <c r="G55" s="330">
        <f t="shared" si="48"/>
        <v>150</v>
      </c>
      <c r="H55" s="642"/>
      <c r="I55" s="337">
        <f t="shared" si="52"/>
        <v>14.857142857142858</v>
      </c>
      <c r="J55" s="337">
        <f t="shared" si="52"/>
        <v>1934.8571428571429</v>
      </c>
      <c r="K55" s="330">
        <f t="shared" si="52"/>
        <v>130.31224489795918</v>
      </c>
      <c r="L55" s="642"/>
      <c r="M55" s="337">
        <f>RANK(K55, K$53:$K$70)</f>
        <v>5</v>
      </c>
      <c r="N55" s="624"/>
      <c r="O55" s="624"/>
      <c r="P55" s="337">
        <v>15</v>
      </c>
      <c r="Q55" s="337">
        <v>1852</v>
      </c>
      <c r="R55" s="328">
        <f t="shared" si="49"/>
        <v>123.46666666666667</v>
      </c>
      <c r="S55" s="336">
        <f t="shared" si="53"/>
        <v>5</v>
      </c>
      <c r="T55" s="640"/>
      <c r="U55" s="337">
        <v>15</v>
      </c>
      <c r="V55" s="337">
        <v>2008</v>
      </c>
      <c r="W55" s="330">
        <f t="shared" si="54"/>
        <v>133.86666666666667</v>
      </c>
      <c r="X55" s="336">
        <f t="shared" si="55"/>
        <v>5</v>
      </c>
      <c r="Y55" s="640"/>
      <c r="Z55" s="337">
        <v>15</v>
      </c>
      <c r="AA55" s="337">
        <v>2119</v>
      </c>
      <c r="AB55" s="330">
        <f t="shared" si="56"/>
        <v>141.26666666666668</v>
      </c>
      <c r="AC55" s="336">
        <f t="shared" si="57"/>
        <v>4</v>
      </c>
      <c r="AD55" s="640"/>
      <c r="AE55" s="337">
        <v>15</v>
      </c>
      <c r="AF55" s="337">
        <v>1559</v>
      </c>
      <c r="AG55" s="328">
        <f t="shared" si="58"/>
        <v>103.93333333333334</v>
      </c>
      <c r="AH55" s="336">
        <f t="shared" si="59"/>
        <v>6</v>
      </c>
      <c r="AI55" s="640"/>
      <c r="AJ55" s="337">
        <v>15</v>
      </c>
      <c r="AK55" s="337">
        <v>1998</v>
      </c>
      <c r="AL55" s="330">
        <f t="shared" si="50"/>
        <v>133.19999999999999</v>
      </c>
      <c r="AM55" s="336">
        <f t="shared" si="60"/>
        <v>5</v>
      </c>
      <c r="AN55" s="640"/>
      <c r="AO55" s="337">
        <v>15</v>
      </c>
      <c r="AP55" s="337">
        <v>2065</v>
      </c>
      <c r="AQ55" s="330">
        <f t="shared" si="51"/>
        <v>137.66666666666666</v>
      </c>
      <c r="AR55" s="336">
        <f t="shared" si="61"/>
        <v>4</v>
      </c>
      <c r="AS55" s="640"/>
      <c r="AT55" s="389">
        <v>14</v>
      </c>
      <c r="AU55" s="337">
        <v>1943</v>
      </c>
      <c r="AV55" s="330">
        <f t="shared" si="62"/>
        <v>138.78571428571428</v>
      </c>
      <c r="AW55" s="336">
        <f t="shared" si="63"/>
        <v>5</v>
      </c>
      <c r="AX55" s="640"/>
    </row>
    <row r="56" spans="2:50">
      <c r="B56" s="618"/>
      <c r="C56" s="336">
        <v>4</v>
      </c>
      <c r="D56" s="336" t="s">
        <v>184</v>
      </c>
      <c r="E56" s="337">
        <f>VLOOKUP(D56,'07產線配置圖'!$A$2:$C$25,2,0)</f>
        <v>16</v>
      </c>
      <c r="F56" s="337">
        <f>VLOOKUP(D56,'07產線配置圖'!$A$2:$C$25,3,0)</f>
        <v>1800</v>
      </c>
      <c r="G56" s="330">
        <f t="shared" si="48"/>
        <v>112.5</v>
      </c>
      <c r="H56" s="642"/>
      <c r="I56" s="337">
        <f t="shared" si="52"/>
        <v>16</v>
      </c>
      <c r="J56" s="337">
        <f t="shared" si="52"/>
        <v>1574.7142857142858</v>
      </c>
      <c r="K56" s="330">
        <f t="shared" si="52"/>
        <v>98.419642857142861</v>
      </c>
      <c r="L56" s="642"/>
      <c r="M56" s="337">
        <f>RANK(K56, K$53:$K$70)</f>
        <v>9</v>
      </c>
      <c r="N56" s="624"/>
      <c r="O56" s="624"/>
      <c r="P56" s="337">
        <v>16</v>
      </c>
      <c r="Q56" s="337">
        <v>1488</v>
      </c>
      <c r="R56" s="330">
        <f t="shared" si="49"/>
        <v>93</v>
      </c>
      <c r="S56" s="336">
        <f t="shared" si="53"/>
        <v>10</v>
      </c>
      <c r="T56" s="640"/>
      <c r="U56" s="337">
        <v>16</v>
      </c>
      <c r="V56" s="337">
        <v>1665</v>
      </c>
      <c r="W56" s="330">
        <f t="shared" si="54"/>
        <v>104.0625</v>
      </c>
      <c r="X56" s="336">
        <f t="shared" si="55"/>
        <v>8</v>
      </c>
      <c r="Y56" s="640"/>
      <c r="Z56" s="337">
        <v>16</v>
      </c>
      <c r="AA56" s="337">
        <v>1469</v>
      </c>
      <c r="AB56" s="330">
        <f t="shared" si="56"/>
        <v>91.8125</v>
      </c>
      <c r="AC56" s="336">
        <f t="shared" si="57"/>
        <v>11</v>
      </c>
      <c r="AD56" s="640"/>
      <c r="AE56" s="337">
        <v>16</v>
      </c>
      <c r="AF56" s="337">
        <v>1566</v>
      </c>
      <c r="AG56" s="330">
        <f t="shared" si="58"/>
        <v>97.875</v>
      </c>
      <c r="AH56" s="336">
        <f t="shared" si="59"/>
        <v>9</v>
      </c>
      <c r="AI56" s="640"/>
      <c r="AJ56" s="337">
        <v>16</v>
      </c>
      <c r="AK56" s="337">
        <v>1636</v>
      </c>
      <c r="AL56" s="330">
        <f t="shared" si="50"/>
        <v>102.25</v>
      </c>
      <c r="AM56" s="336">
        <f t="shared" si="60"/>
        <v>9</v>
      </c>
      <c r="AN56" s="640"/>
      <c r="AO56" s="337">
        <v>16</v>
      </c>
      <c r="AP56" s="337">
        <v>1563</v>
      </c>
      <c r="AQ56" s="330">
        <f t="shared" si="51"/>
        <v>97.6875</v>
      </c>
      <c r="AR56" s="336">
        <f t="shared" si="61"/>
        <v>9</v>
      </c>
      <c r="AS56" s="640"/>
      <c r="AT56" s="337">
        <v>16</v>
      </c>
      <c r="AU56" s="337">
        <v>1636</v>
      </c>
      <c r="AV56" s="330">
        <f t="shared" si="62"/>
        <v>102.25</v>
      </c>
      <c r="AW56" s="336">
        <f t="shared" si="63"/>
        <v>9</v>
      </c>
      <c r="AX56" s="640"/>
    </row>
    <row r="57" spans="2:50" ht="13.5">
      <c r="B57" s="618"/>
      <c r="C57" s="336">
        <v>5</v>
      </c>
      <c r="D57" s="355" t="s">
        <v>114</v>
      </c>
      <c r="E57" s="337">
        <f>VLOOKUP(D57,'07產線配置圖'!$A$2:$C$25,2,0)</f>
        <v>13</v>
      </c>
      <c r="F57" s="337">
        <f>VLOOKUP(D57,'07產線配置圖'!$A$2:$C$25,3,0)</f>
        <v>2250</v>
      </c>
      <c r="G57" s="330">
        <f t="shared" si="48"/>
        <v>173.07692307692307</v>
      </c>
      <c r="H57" s="642"/>
      <c r="I57" s="337">
        <f t="shared" si="52"/>
        <v>13</v>
      </c>
      <c r="J57" s="337">
        <f t="shared" si="52"/>
        <v>2112.2857142857142</v>
      </c>
      <c r="K57" s="330">
        <f t="shared" si="52"/>
        <v>162.4835164835165</v>
      </c>
      <c r="L57" s="642"/>
      <c r="M57" s="337">
        <f>RANK(K57, K$53:$K$70)</f>
        <v>2</v>
      </c>
      <c r="N57" s="624"/>
      <c r="O57" s="624"/>
      <c r="P57" s="337">
        <v>13</v>
      </c>
      <c r="Q57" s="337">
        <v>2202</v>
      </c>
      <c r="R57" s="330">
        <f t="shared" si="49"/>
        <v>169.38461538461539</v>
      </c>
      <c r="S57" s="336">
        <f t="shared" si="53"/>
        <v>2</v>
      </c>
      <c r="T57" s="640"/>
      <c r="U57" s="337">
        <v>13</v>
      </c>
      <c r="V57" s="337">
        <v>2139</v>
      </c>
      <c r="W57" s="330">
        <f t="shared" si="54"/>
        <v>164.53846153846155</v>
      </c>
      <c r="X57" s="336">
        <f t="shared" si="55"/>
        <v>2</v>
      </c>
      <c r="Y57" s="640"/>
      <c r="Z57" s="337">
        <v>13</v>
      </c>
      <c r="AA57" s="337">
        <v>1996</v>
      </c>
      <c r="AB57" s="330">
        <f t="shared" si="56"/>
        <v>153.53846153846155</v>
      </c>
      <c r="AC57" s="336">
        <f t="shared" si="57"/>
        <v>2</v>
      </c>
      <c r="AD57" s="640"/>
      <c r="AE57" s="337">
        <v>13</v>
      </c>
      <c r="AF57" s="337">
        <v>2087</v>
      </c>
      <c r="AG57" s="330">
        <f t="shared" si="58"/>
        <v>160.53846153846155</v>
      </c>
      <c r="AH57" s="336">
        <f t="shared" si="59"/>
        <v>2</v>
      </c>
      <c r="AI57" s="640"/>
      <c r="AJ57" s="337">
        <v>13</v>
      </c>
      <c r="AK57" s="337">
        <v>2166</v>
      </c>
      <c r="AL57" s="330">
        <f t="shared" si="50"/>
        <v>166.61538461538461</v>
      </c>
      <c r="AM57" s="336">
        <f t="shared" si="60"/>
        <v>1</v>
      </c>
      <c r="AN57" s="640"/>
      <c r="AO57" s="337">
        <v>13</v>
      </c>
      <c r="AP57" s="337">
        <v>2016</v>
      </c>
      <c r="AQ57" s="330">
        <f t="shared" si="51"/>
        <v>155.07692307692307</v>
      </c>
      <c r="AR57" s="336">
        <f t="shared" si="61"/>
        <v>2</v>
      </c>
      <c r="AS57" s="640"/>
      <c r="AT57" s="337">
        <v>13</v>
      </c>
      <c r="AU57" s="337">
        <v>2180</v>
      </c>
      <c r="AV57" s="330">
        <f t="shared" si="62"/>
        <v>167.69230769230768</v>
      </c>
      <c r="AW57" s="336">
        <f t="shared" si="63"/>
        <v>2</v>
      </c>
      <c r="AX57" s="640"/>
    </row>
    <row r="58" spans="2:50">
      <c r="B58" s="618"/>
      <c r="C58" s="336">
        <v>6</v>
      </c>
      <c r="D58" s="336" t="s">
        <v>158</v>
      </c>
      <c r="E58" s="337">
        <f>VLOOKUP(D58,'07產線配置圖'!$A$2:$C$25,2,0)</f>
        <v>16</v>
      </c>
      <c r="F58" s="337">
        <f>VLOOKUP(D58,'07產線配置圖'!$A$2:$C$25,3,0)</f>
        <v>1714</v>
      </c>
      <c r="G58" s="330">
        <f t="shared" si="48"/>
        <v>107.125</v>
      </c>
      <c r="H58" s="642"/>
      <c r="I58" s="337">
        <f t="shared" si="52"/>
        <v>15.714285714285714</v>
      </c>
      <c r="J58" s="337">
        <f t="shared" si="52"/>
        <v>1564.2857142857142</v>
      </c>
      <c r="K58" s="330">
        <f t="shared" si="52"/>
        <v>99.492261904761904</v>
      </c>
      <c r="L58" s="642"/>
      <c r="M58" s="337">
        <f>RANK(K58, K$53:$K$70)</f>
        <v>8</v>
      </c>
      <c r="N58" s="624"/>
      <c r="O58" s="624"/>
      <c r="P58" s="337">
        <v>16</v>
      </c>
      <c r="Q58" s="337">
        <v>1634</v>
      </c>
      <c r="R58" s="330">
        <f t="shared" si="49"/>
        <v>102.125</v>
      </c>
      <c r="S58" s="336">
        <f t="shared" si="53"/>
        <v>8</v>
      </c>
      <c r="T58" s="640"/>
      <c r="U58" s="337">
        <v>16</v>
      </c>
      <c r="V58" s="337">
        <v>1638</v>
      </c>
      <c r="W58" s="330">
        <f t="shared" si="54"/>
        <v>102.375</v>
      </c>
      <c r="X58" s="336">
        <f t="shared" si="55"/>
        <v>9</v>
      </c>
      <c r="Y58" s="640"/>
      <c r="Z58" s="389">
        <v>15</v>
      </c>
      <c r="AA58" s="337">
        <v>1341</v>
      </c>
      <c r="AB58" s="328">
        <f t="shared" si="56"/>
        <v>89.4</v>
      </c>
      <c r="AC58" s="336">
        <f t="shared" si="57"/>
        <v>13</v>
      </c>
      <c r="AD58" s="640"/>
      <c r="AE58" s="337">
        <v>16</v>
      </c>
      <c r="AF58" s="337">
        <v>1588</v>
      </c>
      <c r="AG58" s="330">
        <f t="shared" si="58"/>
        <v>99.25</v>
      </c>
      <c r="AH58" s="336">
        <f t="shared" si="59"/>
        <v>8</v>
      </c>
      <c r="AI58" s="640"/>
      <c r="AJ58" s="337">
        <v>16</v>
      </c>
      <c r="AK58" s="337">
        <v>1610</v>
      </c>
      <c r="AL58" s="330">
        <f t="shared" si="50"/>
        <v>100.625</v>
      </c>
      <c r="AM58" s="336">
        <f t="shared" si="60"/>
        <v>10</v>
      </c>
      <c r="AN58" s="640"/>
      <c r="AO58" s="337">
        <v>16</v>
      </c>
      <c r="AP58" s="337">
        <v>1583</v>
      </c>
      <c r="AQ58" s="330">
        <f t="shared" si="51"/>
        <v>98.9375</v>
      </c>
      <c r="AR58" s="336">
        <f t="shared" si="61"/>
        <v>8</v>
      </c>
      <c r="AS58" s="640"/>
      <c r="AT58" s="389">
        <v>15</v>
      </c>
      <c r="AU58" s="337">
        <v>1556</v>
      </c>
      <c r="AV58" s="330">
        <f t="shared" si="62"/>
        <v>103.73333333333333</v>
      </c>
      <c r="AW58" s="336">
        <f t="shared" si="63"/>
        <v>8</v>
      </c>
      <c r="AX58" s="640"/>
    </row>
    <row r="59" spans="2:50">
      <c r="B59" s="618"/>
      <c r="C59" s="336">
        <v>7</v>
      </c>
      <c r="D59" s="336" t="s">
        <v>174</v>
      </c>
      <c r="E59" s="337">
        <f>VLOOKUP(D59,'07產線配置圖'!$A$2:$C$25,2,0)</f>
        <v>17</v>
      </c>
      <c r="F59" s="337">
        <f>VLOOKUP(D59,'07產線配置圖'!$A$2:$C$25,3,0)</f>
        <v>1800</v>
      </c>
      <c r="G59" s="330">
        <f t="shared" si="48"/>
        <v>105.88235294117646</v>
      </c>
      <c r="H59" s="642"/>
      <c r="I59" s="337">
        <f t="shared" ref="I59:I63" si="64">AVERAGE(P59,U59,Z59,AE59,AJ59,AO59,AT59)</f>
        <v>16.928571428571427</v>
      </c>
      <c r="J59" s="337">
        <f t="shared" ref="J59:J63" si="65">AVERAGE(Q59,V59,AA59,AF59,AK59,AP59,AU59)</f>
        <v>1567.4285714285713</v>
      </c>
      <c r="K59" s="330">
        <f t="shared" ref="K59:K63" si="66">AVERAGE(R59,W59,AB59,AG59,AL59,AQ59,AV59)</f>
        <v>92.596384008148704</v>
      </c>
      <c r="L59" s="642"/>
      <c r="M59" s="337">
        <f>RANK(K59, K$53:$K$70)</f>
        <v>11</v>
      </c>
      <c r="N59" s="624"/>
      <c r="O59" s="624"/>
      <c r="P59" s="337">
        <v>16.5</v>
      </c>
      <c r="Q59" s="337">
        <v>1550</v>
      </c>
      <c r="R59" s="330">
        <f t="shared" si="49"/>
        <v>93.939393939393938</v>
      </c>
      <c r="S59" s="336">
        <f t="shared" si="53"/>
        <v>9</v>
      </c>
      <c r="T59" s="640"/>
      <c r="U59" s="337">
        <v>17</v>
      </c>
      <c r="V59" s="337">
        <v>1548</v>
      </c>
      <c r="W59" s="330">
        <f t="shared" si="54"/>
        <v>91.058823529411768</v>
      </c>
      <c r="X59" s="336">
        <f t="shared" si="55"/>
        <v>11</v>
      </c>
      <c r="Y59" s="640"/>
      <c r="Z59" s="337">
        <v>17</v>
      </c>
      <c r="AA59" s="337">
        <v>1563</v>
      </c>
      <c r="AB59" s="330">
        <f t="shared" si="56"/>
        <v>91.941176470588232</v>
      </c>
      <c r="AC59" s="336">
        <f t="shared" si="57"/>
        <v>9</v>
      </c>
      <c r="AD59" s="640"/>
      <c r="AE59" s="337">
        <v>17</v>
      </c>
      <c r="AF59" s="337">
        <v>1638</v>
      </c>
      <c r="AG59" s="330">
        <f t="shared" si="58"/>
        <v>96.352941176470594</v>
      </c>
      <c r="AH59" s="336">
        <f t="shared" si="59"/>
        <v>10</v>
      </c>
      <c r="AI59" s="640"/>
      <c r="AJ59" s="337">
        <v>17</v>
      </c>
      <c r="AK59" s="337">
        <v>1576</v>
      </c>
      <c r="AL59" s="330">
        <f t="shared" si="50"/>
        <v>92.705882352941174</v>
      </c>
      <c r="AM59" s="336">
        <f t="shared" si="60"/>
        <v>13</v>
      </c>
      <c r="AN59" s="640"/>
      <c r="AO59" s="337">
        <v>17</v>
      </c>
      <c r="AP59" s="337">
        <v>1456</v>
      </c>
      <c r="AQ59" s="328">
        <f t="shared" si="51"/>
        <v>85.647058823529406</v>
      </c>
      <c r="AR59" s="336">
        <f t="shared" si="61"/>
        <v>14</v>
      </c>
      <c r="AS59" s="640"/>
      <c r="AT59" s="337">
        <v>17</v>
      </c>
      <c r="AU59" s="337">
        <v>1641</v>
      </c>
      <c r="AV59" s="330">
        <f t="shared" si="62"/>
        <v>96.529411764705884</v>
      </c>
      <c r="AW59" s="336">
        <f t="shared" si="63"/>
        <v>11</v>
      </c>
      <c r="AX59" s="640"/>
    </row>
    <row r="60" spans="2:50">
      <c r="B60" s="618"/>
      <c r="C60" s="336">
        <v>8</v>
      </c>
      <c r="D60" s="336" t="s">
        <v>120</v>
      </c>
      <c r="E60" s="337">
        <f>VLOOKUP(D60,'07產線配置圖'!$A$2:$C$25,2,0)</f>
        <v>18</v>
      </c>
      <c r="F60" s="337">
        <f>VLOOKUP(D60,'07產線配置圖'!$A$2:$C$25,3,0)</f>
        <v>1636</v>
      </c>
      <c r="G60" s="330">
        <f t="shared" si="48"/>
        <v>90.888888888888886</v>
      </c>
      <c r="H60" s="642"/>
      <c r="I60" s="337">
        <f t="shared" si="64"/>
        <v>17.714285714285715</v>
      </c>
      <c r="J60" s="337">
        <f t="shared" si="65"/>
        <v>1522.7142857142858</v>
      </c>
      <c r="K60" s="330">
        <f t="shared" si="66"/>
        <v>85.95564892623716</v>
      </c>
      <c r="L60" s="642"/>
      <c r="M60" s="337">
        <f>RANK(K60, K$53:$K$70)</f>
        <v>15</v>
      </c>
      <c r="N60" s="624"/>
      <c r="O60" s="624"/>
      <c r="P60" s="336">
        <v>18</v>
      </c>
      <c r="Q60" s="337">
        <v>1575</v>
      </c>
      <c r="R60" s="328">
        <f t="shared" si="49"/>
        <v>87.5</v>
      </c>
      <c r="S60" s="336">
        <f t="shared" si="53"/>
        <v>11</v>
      </c>
      <c r="T60" s="640"/>
      <c r="U60" s="340">
        <v>17</v>
      </c>
      <c r="V60" s="337">
        <v>1446</v>
      </c>
      <c r="W60" s="328">
        <f t="shared" si="54"/>
        <v>85.058823529411768</v>
      </c>
      <c r="X60" s="336">
        <f t="shared" si="55"/>
        <v>15</v>
      </c>
      <c r="Y60" s="640"/>
      <c r="Z60" s="336">
        <v>18</v>
      </c>
      <c r="AA60" s="337">
        <v>1619</v>
      </c>
      <c r="AB60" s="328">
        <f t="shared" si="56"/>
        <v>89.944444444444443</v>
      </c>
      <c r="AC60" s="336">
        <f t="shared" si="57"/>
        <v>12</v>
      </c>
      <c r="AD60" s="640"/>
      <c r="AE60" s="340">
        <v>17</v>
      </c>
      <c r="AF60" s="337">
        <v>1468</v>
      </c>
      <c r="AG60" s="328">
        <f t="shared" si="58"/>
        <v>86.352941176470594</v>
      </c>
      <c r="AH60" s="336">
        <f t="shared" si="59"/>
        <v>14</v>
      </c>
      <c r="AI60" s="640"/>
      <c r="AJ60" s="336">
        <v>18</v>
      </c>
      <c r="AK60" s="337">
        <v>1523</v>
      </c>
      <c r="AL60" s="328">
        <f t="shared" si="50"/>
        <v>84.611111111111114</v>
      </c>
      <c r="AM60" s="336">
        <f t="shared" si="60"/>
        <v>14</v>
      </c>
      <c r="AN60" s="640"/>
      <c r="AO60" s="336">
        <v>18</v>
      </c>
      <c r="AP60" s="337">
        <v>1490</v>
      </c>
      <c r="AQ60" s="328">
        <f t="shared" si="51"/>
        <v>82.777777777777771</v>
      </c>
      <c r="AR60" s="336">
        <f t="shared" si="61"/>
        <v>16</v>
      </c>
      <c r="AS60" s="640"/>
      <c r="AT60" s="336">
        <v>18</v>
      </c>
      <c r="AU60" s="337">
        <v>1538</v>
      </c>
      <c r="AV60" s="328">
        <f t="shared" si="62"/>
        <v>85.444444444444443</v>
      </c>
      <c r="AW60" s="336">
        <f t="shared" si="63"/>
        <v>14</v>
      </c>
      <c r="AX60" s="640"/>
    </row>
    <row r="61" spans="2:50">
      <c r="B61" s="618"/>
      <c r="C61" s="336">
        <v>9</v>
      </c>
      <c r="D61" s="336" t="s">
        <v>115</v>
      </c>
      <c r="E61" s="337">
        <f>VLOOKUP(D61,'07產線配置圖'!$A$2:$C$25,2,0)</f>
        <v>13</v>
      </c>
      <c r="F61" s="337">
        <f>VLOOKUP(D61,'07產線配置圖'!$A$2:$C$25,3,0)</f>
        <v>2250</v>
      </c>
      <c r="G61" s="330">
        <f t="shared" si="48"/>
        <v>173.07692307692307</v>
      </c>
      <c r="H61" s="642"/>
      <c r="I61" s="337">
        <f t="shared" si="64"/>
        <v>13</v>
      </c>
      <c r="J61" s="337">
        <f t="shared" si="65"/>
        <v>2025.8571428571429</v>
      </c>
      <c r="K61" s="330">
        <f t="shared" si="66"/>
        <v>155.83516483516482</v>
      </c>
      <c r="L61" s="642"/>
      <c r="M61" s="337">
        <f>RANK(K61, K$53:$K$70)</f>
        <v>3</v>
      </c>
      <c r="N61" s="624"/>
      <c r="O61" s="624"/>
      <c r="P61" s="336">
        <v>13</v>
      </c>
      <c r="Q61" s="337">
        <v>2034</v>
      </c>
      <c r="R61" s="328">
        <f t="shared" si="49"/>
        <v>156.46153846153845</v>
      </c>
      <c r="S61" s="336">
        <f t="shared" si="53"/>
        <v>3</v>
      </c>
      <c r="T61" s="640"/>
      <c r="U61" s="336">
        <v>13</v>
      </c>
      <c r="V61" s="337">
        <v>1971</v>
      </c>
      <c r="W61" s="330">
        <f t="shared" si="54"/>
        <v>151.61538461538461</v>
      </c>
      <c r="X61" s="336">
        <f t="shared" si="55"/>
        <v>3</v>
      </c>
      <c r="Y61" s="640"/>
      <c r="Z61" s="336">
        <v>13</v>
      </c>
      <c r="AA61" s="337">
        <v>1929</v>
      </c>
      <c r="AB61" s="328">
        <f t="shared" si="56"/>
        <v>148.38461538461539</v>
      </c>
      <c r="AC61" s="336">
        <f t="shared" si="57"/>
        <v>3</v>
      </c>
      <c r="AD61" s="640"/>
      <c r="AE61" s="336">
        <v>13</v>
      </c>
      <c r="AF61" s="337">
        <v>1983</v>
      </c>
      <c r="AG61" s="330">
        <f t="shared" si="58"/>
        <v>152.53846153846155</v>
      </c>
      <c r="AH61" s="336">
        <f t="shared" si="59"/>
        <v>3</v>
      </c>
      <c r="AI61" s="640"/>
      <c r="AJ61" s="336">
        <v>13</v>
      </c>
      <c r="AK61" s="337">
        <v>2140</v>
      </c>
      <c r="AL61" s="330">
        <f t="shared" si="50"/>
        <v>164.61538461538461</v>
      </c>
      <c r="AM61" s="336">
        <f t="shared" si="60"/>
        <v>2</v>
      </c>
      <c r="AN61" s="640"/>
      <c r="AO61" s="336">
        <v>13</v>
      </c>
      <c r="AP61" s="337">
        <v>1986</v>
      </c>
      <c r="AQ61" s="330">
        <f t="shared" si="51"/>
        <v>152.76923076923077</v>
      </c>
      <c r="AR61" s="336">
        <f t="shared" si="61"/>
        <v>3</v>
      </c>
      <c r="AS61" s="640"/>
      <c r="AT61" s="336">
        <v>13</v>
      </c>
      <c r="AU61" s="337">
        <v>2138</v>
      </c>
      <c r="AV61" s="330">
        <f t="shared" si="62"/>
        <v>164.46153846153845</v>
      </c>
      <c r="AW61" s="336">
        <f t="shared" si="63"/>
        <v>3</v>
      </c>
      <c r="AX61" s="640"/>
    </row>
    <row r="62" spans="2:50">
      <c r="B62" s="618"/>
      <c r="C62" s="336">
        <v>10</v>
      </c>
      <c r="D62" s="336" t="s">
        <v>127</v>
      </c>
      <c r="E62" s="337">
        <f>VLOOKUP(D62,'07產線配置圖'!$A$2:$C$25,2,0)</f>
        <v>17</v>
      </c>
      <c r="F62" s="337">
        <f>VLOOKUP(D62,'07產線配置圖'!$A$2:$C$25,3,0)</f>
        <v>1636</v>
      </c>
      <c r="G62" s="330">
        <f t="shared" si="48"/>
        <v>96.235294117647058</v>
      </c>
      <c r="H62" s="642"/>
      <c r="I62" s="337">
        <f t="shared" si="64"/>
        <v>17</v>
      </c>
      <c r="J62" s="337">
        <f t="shared" si="65"/>
        <v>1464.5714285714287</v>
      </c>
      <c r="K62" s="330">
        <f t="shared" si="66"/>
        <v>86.151260504201687</v>
      </c>
      <c r="L62" s="642"/>
      <c r="M62" s="337">
        <f>RANK(K62, K$53:$K$70)</f>
        <v>14</v>
      </c>
      <c r="N62" s="624"/>
      <c r="O62" s="624"/>
      <c r="P62" s="336">
        <v>17</v>
      </c>
      <c r="Q62" s="337">
        <v>1435</v>
      </c>
      <c r="R62" s="328">
        <f t="shared" si="49"/>
        <v>84.411764705882348</v>
      </c>
      <c r="S62" s="336">
        <f t="shared" si="53"/>
        <v>13</v>
      </c>
      <c r="T62" s="640"/>
      <c r="U62" s="336">
        <v>17</v>
      </c>
      <c r="V62" s="337">
        <v>1530</v>
      </c>
      <c r="W62" s="330">
        <f t="shared" si="54"/>
        <v>90</v>
      </c>
      <c r="X62" s="336">
        <f t="shared" si="55"/>
        <v>13</v>
      </c>
      <c r="Y62" s="640"/>
      <c r="Z62" s="336">
        <v>17</v>
      </c>
      <c r="AA62" s="337">
        <v>1353</v>
      </c>
      <c r="AB62" s="328">
        <f t="shared" si="56"/>
        <v>79.588235294117652</v>
      </c>
      <c r="AC62" s="336">
        <f t="shared" si="57"/>
        <v>16</v>
      </c>
      <c r="AD62" s="640"/>
      <c r="AE62" s="336">
        <v>17</v>
      </c>
      <c r="AF62" s="337">
        <v>1528</v>
      </c>
      <c r="AG62" s="328">
        <f t="shared" si="58"/>
        <v>89.882352941176464</v>
      </c>
      <c r="AH62" s="336">
        <f t="shared" si="59"/>
        <v>12</v>
      </c>
      <c r="AI62" s="640"/>
      <c r="AJ62" s="336">
        <v>17</v>
      </c>
      <c r="AK62" s="337">
        <v>1399</v>
      </c>
      <c r="AL62" s="328">
        <f t="shared" si="50"/>
        <v>82.294117647058826</v>
      </c>
      <c r="AM62" s="336">
        <f t="shared" si="60"/>
        <v>15</v>
      </c>
      <c r="AN62" s="640"/>
      <c r="AO62" s="336">
        <v>17</v>
      </c>
      <c r="AP62" s="337">
        <v>1480</v>
      </c>
      <c r="AQ62" s="328">
        <f t="shared" si="51"/>
        <v>87.058823529411768</v>
      </c>
      <c r="AR62" s="336">
        <f t="shared" si="61"/>
        <v>12</v>
      </c>
      <c r="AS62" s="640"/>
      <c r="AT62" s="336">
        <v>17</v>
      </c>
      <c r="AU62" s="337">
        <v>1527</v>
      </c>
      <c r="AV62" s="328">
        <f t="shared" si="62"/>
        <v>89.82352941176471</v>
      </c>
      <c r="AW62" s="336">
        <f t="shared" si="63"/>
        <v>13</v>
      </c>
      <c r="AX62" s="640"/>
    </row>
    <row r="63" spans="2:50">
      <c r="B63" s="618"/>
      <c r="C63" s="336">
        <v>11</v>
      </c>
      <c r="D63" s="336" t="s">
        <v>122</v>
      </c>
      <c r="E63" s="337">
        <f>VLOOKUP(D63,'07產線配置圖'!$A$2:$C$25,2,0)</f>
        <v>18</v>
      </c>
      <c r="F63" s="337">
        <f>VLOOKUP(D63,'07產線配置圖'!$A$2:$C$25,3,0)</f>
        <v>1636</v>
      </c>
      <c r="G63" s="330">
        <f t="shared" si="48"/>
        <v>90.888888888888886</v>
      </c>
      <c r="H63" s="642"/>
      <c r="I63" s="337">
        <f t="shared" si="64"/>
        <v>16.857142857142858</v>
      </c>
      <c r="J63" s="337">
        <f t="shared" si="65"/>
        <v>1334.1428571428571</v>
      </c>
      <c r="K63" s="330">
        <f t="shared" si="66"/>
        <v>79.129435107376281</v>
      </c>
      <c r="L63" s="642"/>
      <c r="M63" s="337">
        <f>RANK(K63, K$53:$K$70)</f>
        <v>17</v>
      </c>
      <c r="N63" s="624"/>
      <c r="O63" s="624"/>
      <c r="P63" s="336">
        <v>18</v>
      </c>
      <c r="Q63" s="336">
        <v>1435</v>
      </c>
      <c r="R63" s="328">
        <f t="shared" si="49"/>
        <v>79.722222222222229</v>
      </c>
      <c r="S63" s="336">
        <f t="shared" si="53"/>
        <v>17</v>
      </c>
      <c r="T63" s="640"/>
      <c r="U63" s="340">
        <v>16</v>
      </c>
      <c r="V63" s="336">
        <v>1339</v>
      </c>
      <c r="W63" s="328">
        <f t="shared" si="54"/>
        <v>83.6875</v>
      </c>
      <c r="X63" s="336">
        <f t="shared" si="55"/>
        <v>16</v>
      </c>
      <c r="Y63" s="640"/>
      <c r="Z63" s="340">
        <v>17</v>
      </c>
      <c r="AA63" s="336">
        <v>1074</v>
      </c>
      <c r="AB63" s="328">
        <f t="shared" si="56"/>
        <v>63.176470588235297</v>
      </c>
      <c r="AC63" s="336">
        <f t="shared" si="57"/>
        <v>17</v>
      </c>
      <c r="AD63" s="640"/>
      <c r="AE63" s="340">
        <v>17</v>
      </c>
      <c r="AF63" s="336">
        <v>1384</v>
      </c>
      <c r="AG63" s="328">
        <f t="shared" si="58"/>
        <v>81.411764705882348</v>
      </c>
      <c r="AH63" s="336">
        <f t="shared" si="59"/>
        <v>15</v>
      </c>
      <c r="AI63" s="640"/>
      <c r="AJ63" s="340">
        <v>16</v>
      </c>
      <c r="AK63" s="336">
        <v>1175</v>
      </c>
      <c r="AL63" s="328">
        <f t="shared" si="50"/>
        <v>73.4375</v>
      </c>
      <c r="AM63" s="336">
        <f t="shared" si="60"/>
        <v>17</v>
      </c>
      <c r="AN63" s="640"/>
      <c r="AO63" s="340">
        <v>17</v>
      </c>
      <c r="AP63" s="336">
        <v>1480</v>
      </c>
      <c r="AQ63" s="328">
        <f t="shared" si="51"/>
        <v>87.058823529411768</v>
      </c>
      <c r="AR63" s="336">
        <f t="shared" si="61"/>
        <v>12</v>
      </c>
      <c r="AS63" s="640"/>
      <c r="AT63" s="340">
        <v>17</v>
      </c>
      <c r="AU63" s="336">
        <v>1452</v>
      </c>
      <c r="AV63" s="328">
        <f t="shared" si="62"/>
        <v>85.411764705882348</v>
      </c>
      <c r="AW63" s="336">
        <f t="shared" si="63"/>
        <v>15</v>
      </c>
      <c r="AX63" s="640"/>
    </row>
    <row r="64" spans="2:50">
      <c r="B64" s="618"/>
      <c r="C64" s="336">
        <v>12</v>
      </c>
      <c r="D64" s="336" t="s">
        <v>125</v>
      </c>
      <c r="E64" s="337">
        <f>VLOOKUP(D64,'07產線配置圖'!$A$2:$C$25,2,0)</f>
        <v>17</v>
      </c>
      <c r="F64" s="337">
        <f>VLOOKUP(D64,'07產線配置圖'!$A$2:$C$25,3,0)</f>
        <v>1636</v>
      </c>
      <c r="G64" s="330">
        <f t="shared" si="48"/>
        <v>96.235294117647058</v>
      </c>
      <c r="H64" s="642"/>
      <c r="I64" s="337">
        <f>AVERAGE(P64,U64,Z64,AE64,AJ64,AO64,AT64)</f>
        <v>16.857142857142858</v>
      </c>
      <c r="J64" s="337">
        <f>AVERAGE(Q64,V64,AA64,AF64,AK64,AP64,AU64)</f>
        <v>1491.8571428571429</v>
      </c>
      <c r="K64" s="330">
        <f>AVERAGE(R64,W64,AB64,AG64,AL64,AQ64,AV64)</f>
        <v>88.608076563958903</v>
      </c>
      <c r="L64" s="642"/>
      <c r="M64" s="337">
        <f>RANK(K64, K$53:$K$70)</f>
        <v>12</v>
      </c>
      <c r="N64" s="624"/>
      <c r="O64" s="624"/>
      <c r="P64" s="381">
        <v>18</v>
      </c>
      <c r="Q64" s="336">
        <v>1483</v>
      </c>
      <c r="R64" s="328">
        <f t="shared" si="49"/>
        <v>82.388888888888886</v>
      </c>
      <c r="S64" s="336">
        <f t="shared" si="53"/>
        <v>16</v>
      </c>
      <c r="T64" s="640"/>
      <c r="U64" s="340">
        <v>16</v>
      </c>
      <c r="V64" s="336">
        <v>1453</v>
      </c>
      <c r="W64" s="330">
        <f t="shared" si="54"/>
        <v>90.8125</v>
      </c>
      <c r="X64" s="336">
        <f t="shared" si="55"/>
        <v>12</v>
      </c>
      <c r="Y64" s="640"/>
      <c r="Z64" s="336">
        <v>17</v>
      </c>
      <c r="AA64" s="336">
        <v>1563</v>
      </c>
      <c r="AB64" s="330">
        <f t="shared" si="56"/>
        <v>91.941176470588232</v>
      </c>
      <c r="AC64" s="336">
        <f t="shared" si="57"/>
        <v>9</v>
      </c>
      <c r="AD64" s="640"/>
      <c r="AE64" s="336">
        <v>17</v>
      </c>
      <c r="AF64" s="336">
        <v>1355</v>
      </c>
      <c r="AG64" s="328">
        <f t="shared" si="58"/>
        <v>79.705882352941174</v>
      </c>
      <c r="AH64" s="336">
        <f t="shared" si="59"/>
        <v>16</v>
      </c>
      <c r="AI64" s="640"/>
      <c r="AJ64" s="340">
        <v>16</v>
      </c>
      <c r="AK64" s="336">
        <v>1487</v>
      </c>
      <c r="AL64" s="330">
        <f t="shared" si="50"/>
        <v>92.9375</v>
      </c>
      <c r="AM64" s="336">
        <f t="shared" si="60"/>
        <v>12</v>
      </c>
      <c r="AN64" s="640"/>
      <c r="AO64" s="336">
        <v>17</v>
      </c>
      <c r="AP64" s="336">
        <v>1554</v>
      </c>
      <c r="AQ64" s="330">
        <f t="shared" si="51"/>
        <v>91.411764705882348</v>
      </c>
      <c r="AR64" s="336">
        <f t="shared" si="61"/>
        <v>11</v>
      </c>
      <c r="AS64" s="640"/>
      <c r="AT64" s="336">
        <v>17</v>
      </c>
      <c r="AU64" s="336">
        <v>1548</v>
      </c>
      <c r="AV64" s="330">
        <f t="shared" si="62"/>
        <v>91.058823529411768</v>
      </c>
      <c r="AW64" s="336">
        <f t="shared" si="63"/>
        <v>12</v>
      </c>
      <c r="AX64" s="640"/>
    </row>
    <row r="65" spans="2:50">
      <c r="B65" s="618"/>
      <c r="C65" s="336">
        <v>13</v>
      </c>
      <c r="D65" s="336" t="s">
        <v>172</v>
      </c>
      <c r="E65" s="337">
        <f>VLOOKUP(D65,'07產線配置圖'!$A$2:$C$25,2,0)</f>
        <v>16</v>
      </c>
      <c r="F65" s="337">
        <f>VLOOKUP(D65,'07產線配置圖'!$A$2:$C$25,3,0)</f>
        <v>1636</v>
      </c>
      <c r="G65" s="330">
        <f t="shared" si="48"/>
        <v>102.25</v>
      </c>
      <c r="H65" s="642"/>
      <c r="I65" s="337">
        <f t="shared" ref="I65:K66" si="67">AVERAGE(P65,U65,Z65,AE65,AJ65,AO65,AT65)</f>
        <v>16</v>
      </c>
      <c r="J65" s="337">
        <f>AVERAGE(Q65,V65,AA65,AF65,AK65,AP65,AU65)</f>
        <v>1496</v>
      </c>
      <c r="K65" s="330">
        <f t="shared" si="67"/>
        <v>93.5</v>
      </c>
      <c r="L65" s="642"/>
      <c r="M65" s="337">
        <f>RANK(K65, K$53:$K$70)</f>
        <v>10</v>
      </c>
      <c r="N65" s="624"/>
      <c r="O65" s="624"/>
      <c r="P65" s="336">
        <v>16</v>
      </c>
      <c r="Q65" s="336">
        <v>1319</v>
      </c>
      <c r="R65" s="328">
        <f t="shared" si="49"/>
        <v>82.4375</v>
      </c>
      <c r="S65" s="336">
        <f t="shared" si="53"/>
        <v>15</v>
      </c>
      <c r="T65" s="640"/>
      <c r="U65" s="340">
        <v>16</v>
      </c>
      <c r="V65" s="336">
        <v>1567</v>
      </c>
      <c r="W65" s="330">
        <f t="shared" si="54"/>
        <v>97.9375</v>
      </c>
      <c r="X65" s="336">
        <f t="shared" si="55"/>
        <v>10</v>
      </c>
      <c r="Y65" s="640"/>
      <c r="Z65" s="336">
        <v>16</v>
      </c>
      <c r="AA65" s="336">
        <v>1520</v>
      </c>
      <c r="AB65" s="330">
        <f t="shared" si="56"/>
        <v>95</v>
      </c>
      <c r="AC65" s="336">
        <f t="shared" si="57"/>
        <v>8</v>
      </c>
      <c r="AD65" s="640"/>
      <c r="AE65" s="336">
        <v>16</v>
      </c>
      <c r="AF65" s="336">
        <v>1416</v>
      </c>
      <c r="AG65" s="328">
        <f t="shared" si="58"/>
        <v>88.5</v>
      </c>
      <c r="AH65" s="336">
        <f t="shared" si="59"/>
        <v>13</v>
      </c>
      <c r="AI65" s="640"/>
      <c r="AJ65" s="336">
        <v>16</v>
      </c>
      <c r="AK65" s="336">
        <v>1565</v>
      </c>
      <c r="AL65" s="330">
        <f t="shared" si="50"/>
        <v>97.8125</v>
      </c>
      <c r="AM65" s="336">
        <f t="shared" si="60"/>
        <v>11</v>
      </c>
      <c r="AN65" s="640"/>
      <c r="AO65" s="336">
        <v>16</v>
      </c>
      <c r="AP65" s="336">
        <v>1535</v>
      </c>
      <c r="AQ65" s="330">
        <f t="shared" si="51"/>
        <v>95.9375</v>
      </c>
      <c r="AR65" s="336">
        <f t="shared" si="61"/>
        <v>10</v>
      </c>
      <c r="AS65" s="640"/>
      <c r="AT65" s="336">
        <v>16</v>
      </c>
      <c r="AU65" s="336">
        <v>1550</v>
      </c>
      <c r="AV65" s="330">
        <f t="shared" si="62"/>
        <v>96.875</v>
      </c>
      <c r="AW65" s="336">
        <f t="shared" si="63"/>
        <v>10</v>
      </c>
      <c r="AX65" s="640"/>
    </row>
    <row r="66" spans="2:50">
      <c r="B66" s="618"/>
      <c r="C66" s="336">
        <v>14</v>
      </c>
      <c r="D66" s="336" t="s">
        <v>228</v>
      </c>
      <c r="E66" s="337">
        <f>VLOOKUP(D66,'07產線配置圖'!$A$2:$C$25,2,0)</f>
        <v>17</v>
      </c>
      <c r="F66" s="337">
        <f>VLOOKUP(D66,'07產線配置圖'!$A$2:$C$25,3,0)</f>
        <v>2250</v>
      </c>
      <c r="G66" s="330">
        <f t="shared" si="48"/>
        <v>132.35294117647058</v>
      </c>
      <c r="H66" s="642"/>
      <c r="I66" s="337">
        <f t="shared" si="67"/>
        <v>16.857142857142858</v>
      </c>
      <c r="J66" s="337">
        <f>AVERAGE(Q65,V66,AA66,AF66,AK66,AP66,AU66)</f>
        <v>1766.2857142857142</v>
      </c>
      <c r="K66" s="330">
        <f t="shared" si="67"/>
        <v>110.21638655462186</v>
      </c>
      <c r="L66" s="642"/>
      <c r="M66" s="337">
        <f>RANK(K66, K$53:$K$70)</f>
        <v>7</v>
      </c>
      <c r="N66" s="624"/>
      <c r="O66" s="624"/>
      <c r="P66" s="336">
        <v>17</v>
      </c>
      <c r="Q66" s="345">
        <v>1948</v>
      </c>
      <c r="R66" s="328">
        <f t="shared" si="49"/>
        <v>114.58823529411765</v>
      </c>
      <c r="S66" s="336">
        <f t="shared" si="53"/>
        <v>7</v>
      </c>
      <c r="T66" s="640"/>
      <c r="U66" s="336">
        <v>17</v>
      </c>
      <c r="V66" s="336">
        <v>1900</v>
      </c>
      <c r="W66" s="330">
        <f t="shared" si="54"/>
        <v>111.76470588235294</v>
      </c>
      <c r="X66" s="336">
        <f t="shared" si="55"/>
        <v>7</v>
      </c>
      <c r="Y66" s="640"/>
      <c r="Z66" s="336">
        <v>17</v>
      </c>
      <c r="AA66" s="336">
        <v>1387</v>
      </c>
      <c r="AB66" s="328">
        <f t="shared" si="56"/>
        <v>81.588235294117652</v>
      </c>
      <c r="AC66" s="336">
        <f t="shared" si="57"/>
        <v>15</v>
      </c>
      <c r="AD66" s="640"/>
      <c r="AE66" s="336">
        <v>17</v>
      </c>
      <c r="AF66" s="336">
        <v>1963</v>
      </c>
      <c r="AG66" s="328">
        <f t="shared" si="58"/>
        <v>115.47058823529412</v>
      </c>
      <c r="AH66" s="336">
        <f t="shared" si="59"/>
        <v>5</v>
      </c>
      <c r="AI66" s="640"/>
      <c r="AJ66" s="336">
        <v>17</v>
      </c>
      <c r="AK66" s="336">
        <v>1802</v>
      </c>
      <c r="AL66" s="328">
        <f t="shared" si="50"/>
        <v>106</v>
      </c>
      <c r="AM66" s="336">
        <f t="shared" si="60"/>
        <v>7</v>
      </c>
      <c r="AN66" s="640"/>
      <c r="AO66" s="336">
        <v>17</v>
      </c>
      <c r="AP66" s="336">
        <v>2029</v>
      </c>
      <c r="AQ66" s="330">
        <f t="shared" si="51"/>
        <v>119.35294117647059</v>
      </c>
      <c r="AR66" s="336">
        <f t="shared" si="61"/>
        <v>6</v>
      </c>
      <c r="AS66" s="640"/>
      <c r="AT66" s="340">
        <v>16</v>
      </c>
      <c r="AU66" s="336">
        <v>1964</v>
      </c>
      <c r="AV66" s="330">
        <f t="shared" si="62"/>
        <v>122.75</v>
      </c>
      <c r="AW66" s="336">
        <f t="shared" si="63"/>
        <v>6</v>
      </c>
      <c r="AX66" s="640"/>
    </row>
    <row r="67" spans="2:50">
      <c r="B67" s="618"/>
      <c r="C67" s="336">
        <v>15</v>
      </c>
      <c r="D67" s="336" t="s">
        <v>383</v>
      </c>
      <c r="E67" s="337">
        <f>VLOOKUP(D67,'07產線配置圖'!$A$2:$C$25,2,0)</f>
        <v>14</v>
      </c>
      <c r="F67" s="337">
        <f>VLOOKUP(D67,'07產線配置圖'!$A$2:$C$25,3,0)</f>
        <v>1565</v>
      </c>
      <c r="G67" s="330">
        <f t="shared" si="48"/>
        <v>111.78571428571429</v>
      </c>
      <c r="H67" s="642"/>
      <c r="I67" s="337">
        <f t="shared" ref="I67:I69" si="68">AVERAGE(P67,U67,Z67,AE67,AJ67,AO67,AT67)</f>
        <v>10</v>
      </c>
      <c r="J67" s="337">
        <f t="shared" ref="J67:K69" si="69">AVERAGE(Q67,V67,AA67,AF67,AK67,AP67,AU67)</f>
        <v>855.16666666666663</v>
      </c>
      <c r="K67" s="330">
        <f t="shared" si="69"/>
        <v>85.942087542087549</v>
      </c>
      <c r="L67" s="642"/>
      <c r="M67" s="337">
        <f>RANK(K67, K$53:$K$70)</f>
        <v>16</v>
      </c>
      <c r="N67" s="624"/>
      <c r="O67" s="624"/>
      <c r="P67" s="340">
        <v>11</v>
      </c>
      <c r="Q67" s="336">
        <v>949</v>
      </c>
      <c r="R67" s="328">
        <f t="shared" si="49"/>
        <v>86.272727272727266</v>
      </c>
      <c r="S67" s="336">
        <f t="shared" si="53"/>
        <v>12</v>
      </c>
      <c r="T67" s="640"/>
      <c r="U67" s="340">
        <v>10</v>
      </c>
      <c r="V67" s="336">
        <v>830</v>
      </c>
      <c r="W67" s="328">
        <f t="shared" si="54"/>
        <v>83</v>
      </c>
      <c r="X67" s="336">
        <f t="shared" si="55"/>
        <v>17</v>
      </c>
      <c r="Y67" s="640"/>
      <c r="Z67" s="340">
        <v>9</v>
      </c>
      <c r="AA67" s="336">
        <v>917</v>
      </c>
      <c r="AB67" s="330">
        <f t="shared" si="56"/>
        <v>101.88888888888889</v>
      </c>
      <c r="AC67" s="336">
        <f t="shared" si="57"/>
        <v>7</v>
      </c>
      <c r="AD67" s="640"/>
      <c r="AE67" s="340">
        <v>10</v>
      </c>
      <c r="AF67" s="336">
        <v>944</v>
      </c>
      <c r="AG67" s="330">
        <f t="shared" si="58"/>
        <v>94.4</v>
      </c>
      <c r="AH67" s="336">
        <f t="shared" si="59"/>
        <v>11</v>
      </c>
      <c r="AI67" s="640"/>
      <c r="AJ67" s="340">
        <v>9</v>
      </c>
      <c r="AK67" s="336">
        <v>720</v>
      </c>
      <c r="AL67" s="328">
        <f t="shared" si="50"/>
        <v>80</v>
      </c>
      <c r="AM67" s="336">
        <f t="shared" si="60"/>
        <v>16</v>
      </c>
      <c r="AN67" s="640"/>
      <c r="AO67" s="340">
        <v>11</v>
      </c>
      <c r="AP67" s="336">
        <v>771</v>
      </c>
      <c r="AQ67" s="328">
        <f t="shared" si="51"/>
        <v>70.090909090909093</v>
      </c>
      <c r="AR67" s="336">
        <f t="shared" si="61"/>
        <v>17</v>
      </c>
      <c r="AS67" s="640"/>
      <c r="AT67" s="336"/>
      <c r="AU67" s="336"/>
      <c r="AV67" s="330"/>
      <c r="AW67" s="336"/>
      <c r="AX67" s="640"/>
    </row>
    <row r="68" spans="2:50" ht="13.5">
      <c r="B68" s="618"/>
      <c r="C68" s="336">
        <v>16</v>
      </c>
      <c r="D68" s="355" t="s">
        <v>129</v>
      </c>
      <c r="E68" s="337">
        <f>VLOOKUP(D68,'07產線配置圖'!$A$2:$C$25,2,0)</f>
        <v>18</v>
      </c>
      <c r="F68" s="337">
        <f>VLOOKUP(D68,'07產線配置圖'!$A$2:$C$25,3,0)</f>
        <v>1636</v>
      </c>
      <c r="G68" s="330">
        <f t="shared" si="48"/>
        <v>90.888888888888886</v>
      </c>
      <c r="H68" s="642"/>
      <c r="I68" s="337">
        <f t="shared" si="68"/>
        <v>17.214285714285715</v>
      </c>
      <c r="J68" s="337">
        <f t="shared" si="69"/>
        <v>1482.4285714285713</v>
      </c>
      <c r="K68" s="330">
        <f t="shared" si="69"/>
        <v>86.337378284647201</v>
      </c>
      <c r="L68" s="642"/>
      <c r="M68" s="337">
        <f>RANK(K68, K$53:$K$70)</f>
        <v>13</v>
      </c>
      <c r="N68" s="624"/>
      <c r="O68" s="624"/>
      <c r="P68" s="336">
        <v>18</v>
      </c>
      <c r="Q68" s="336">
        <v>1488</v>
      </c>
      <c r="R68" s="328">
        <f t="shared" si="49"/>
        <v>82.666666666666671</v>
      </c>
      <c r="S68" s="336">
        <f t="shared" si="53"/>
        <v>14</v>
      </c>
      <c r="T68" s="640"/>
      <c r="U68" s="340">
        <v>16</v>
      </c>
      <c r="V68" s="336">
        <v>1391</v>
      </c>
      <c r="W68" s="328">
        <f t="shared" si="54"/>
        <v>86.9375</v>
      </c>
      <c r="X68" s="336">
        <f t="shared" si="55"/>
        <v>14</v>
      </c>
      <c r="Y68" s="640"/>
      <c r="Z68" s="336">
        <v>18</v>
      </c>
      <c r="AA68" s="336">
        <v>1557</v>
      </c>
      <c r="AB68" s="328">
        <f t="shared" si="56"/>
        <v>86.5</v>
      </c>
      <c r="AC68" s="336">
        <f t="shared" si="57"/>
        <v>14</v>
      </c>
      <c r="AD68" s="640"/>
      <c r="AE68" s="340">
        <v>17</v>
      </c>
      <c r="AF68" s="336">
        <v>1336</v>
      </c>
      <c r="AG68" s="328">
        <f t="shared" si="58"/>
        <v>78.588235294117652</v>
      </c>
      <c r="AH68" s="336">
        <f t="shared" si="59"/>
        <v>17</v>
      </c>
      <c r="AI68" s="640"/>
      <c r="AJ68" s="340">
        <v>16</v>
      </c>
      <c r="AK68" s="336">
        <v>1663</v>
      </c>
      <c r="AL68" s="330">
        <f t="shared" si="50"/>
        <v>103.9375</v>
      </c>
      <c r="AM68" s="336">
        <f t="shared" si="60"/>
        <v>8</v>
      </c>
      <c r="AN68" s="640"/>
      <c r="AO68" s="336">
        <v>18</v>
      </c>
      <c r="AP68" s="336">
        <v>1501</v>
      </c>
      <c r="AQ68" s="328">
        <f t="shared" si="51"/>
        <v>83.388888888888886</v>
      </c>
      <c r="AR68" s="336">
        <f t="shared" si="61"/>
        <v>15</v>
      </c>
      <c r="AS68" s="640"/>
      <c r="AT68" s="337">
        <v>17.5</v>
      </c>
      <c r="AU68" s="336">
        <v>1441</v>
      </c>
      <c r="AV68" s="328">
        <f t="shared" si="62"/>
        <v>82.342857142857142</v>
      </c>
      <c r="AW68" s="336">
        <f t="shared" si="63"/>
        <v>16</v>
      </c>
      <c r="AX68" s="640"/>
    </row>
    <row r="69" spans="2:50">
      <c r="B69" s="618"/>
      <c r="C69" s="336">
        <v>17</v>
      </c>
      <c r="D69" s="336" t="s">
        <v>387</v>
      </c>
      <c r="E69" s="337">
        <f>VLOOKUP(D69,'07產線配置圖'!$A$3:$C$26,2,0)</f>
        <v>13</v>
      </c>
      <c r="F69" s="337">
        <f>VLOOKUP(D69,'07產線配置圖'!$A$3:$C$26,3,0)</f>
        <v>1565</v>
      </c>
      <c r="G69" s="330">
        <f t="shared" si="48"/>
        <v>120.38461538461539</v>
      </c>
      <c r="H69" s="642"/>
      <c r="I69" s="337">
        <f t="shared" si="68"/>
        <v>9.1428571428571423</v>
      </c>
      <c r="J69" s="337">
        <f t="shared" si="69"/>
        <v>1014.5714285714286</v>
      </c>
      <c r="K69" s="330">
        <f t="shared" si="69"/>
        <v>110.8944805194805</v>
      </c>
      <c r="L69" s="642"/>
      <c r="M69" s="337">
        <f>RANK(K69, K$53:$K$70)</f>
        <v>6</v>
      </c>
      <c r="N69" s="624"/>
      <c r="O69" s="624"/>
      <c r="P69" s="340">
        <v>9</v>
      </c>
      <c r="Q69" s="336">
        <v>1047</v>
      </c>
      <c r="R69" s="330">
        <f t="shared" si="49"/>
        <v>116.33333333333333</v>
      </c>
      <c r="S69" s="336">
        <f>RANK(R69, $R$53:$R$70)</f>
        <v>6</v>
      </c>
      <c r="T69" s="640"/>
      <c r="U69" s="340">
        <v>11</v>
      </c>
      <c r="V69" s="336">
        <v>1261</v>
      </c>
      <c r="W69" s="330">
        <f t="shared" si="54"/>
        <v>114.63636363636364</v>
      </c>
      <c r="X69" s="336">
        <f t="shared" si="55"/>
        <v>6</v>
      </c>
      <c r="Y69" s="640"/>
      <c r="Z69" s="340">
        <v>9</v>
      </c>
      <c r="AA69" s="336">
        <v>1024</v>
      </c>
      <c r="AB69" s="330">
        <f t="shared" si="56"/>
        <v>113.77777777777777</v>
      </c>
      <c r="AC69" s="336">
        <f t="shared" si="57"/>
        <v>6</v>
      </c>
      <c r="AD69" s="640"/>
      <c r="AE69" s="340">
        <v>9</v>
      </c>
      <c r="AF69" s="336">
        <v>923</v>
      </c>
      <c r="AG69" s="330">
        <f t="shared" si="58"/>
        <v>102.55555555555556</v>
      </c>
      <c r="AH69" s="336">
        <f t="shared" si="59"/>
        <v>7</v>
      </c>
      <c r="AI69" s="640"/>
      <c r="AJ69" s="340">
        <v>9</v>
      </c>
      <c r="AK69" s="336">
        <v>1045</v>
      </c>
      <c r="AL69" s="330">
        <f t="shared" si="50"/>
        <v>116.11111111111111</v>
      </c>
      <c r="AM69" s="336">
        <f t="shared" si="60"/>
        <v>6</v>
      </c>
      <c r="AN69" s="640"/>
      <c r="AO69" s="340">
        <v>9</v>
      </c>
      <c r="AP69" s="336">
        <v>893</v>
      </c>
      <c r="AQ69" s="330">
        <f t="shared" si="51"/>
        <v>99.222222222222229</v>
      </c>
      <c r="AR69" s="336">
        <f>RANK(AQ69,$AQ$53:$AQ$70)</f>
        <v>7</v>
      </c>
      <c r="AS69" s="640"/>
      <c r="AT69" s="340">
        <v>8</v>
      </c>
      <c r="AU69" s="336">
        <v>909</v>
      </c>
      <c r="AV69" s="330">
        <f t="shared" si="62"/>
        <v>113.625</v>
      </c>
      <c r="AW69" s="336">
        <f t="shared" si="63"/>
        <v>7</v>
      </c>
      <c r="AX69" s="640"/>
    </row>
    <row r="70" spans="2:50">
      <c r="B70" s="618"/>
      <c r="C70" s="336">
        <v>18</v>
      </c>
      <c r="D70" s="336"/>
      <c r="E70" s="336"/>
      <c r="F70" s="336"/>
      <c r="G70" s="330"/>
      <c r="H70" s="643"/>
      <c r="I70" s="336"/>
      <c r="J70" s="337"/>
      <c r="K70" s="330"/>
      <c r="L70" s="643"/>
      <c r="M70" s="337"/>
      <c r="N70" s="624"/>
      <c r="O70" s="624"/>
      <c r="P70" s="336"/>
      <c r="Q70" s="336"/>
      <c r="R70" s="330"/>
      <c r="S70" s="336"/>
      <c r="T70" s="640"/>
      <c r="U70" s="336"/>
      <c r="V70" s="336"/>
      <c r="W70" s="330"/>
      <c r="X70" s="336"/>
      <c r="Y70" s="640"/>
      <c r="Z70" s="336"/>
      <c r="AA70" s="336"/>
      <c r="AB70" s="330"/>
      <c r="AC70" s="336"/>
      <c r="AD70" s="640"/>
      <c r="AE70" s="336"/>
      <c r="AF70" s="336"/>
      <c r="AG70" s="330"/>
      <c r="AH70" s="336"/>
      <c r="AI70" s="640"/>
      <c r="AJ70" s="336"/>
      <c r="AK70" s="336"/>
      <c r="AL70" s="330"/>
      <c r="AM70" s="336"/>
      <c r="AN70" s="640"/>
      <c r="AO70" s="336"/>
      <c r="AP70" s="336"/>
      <c r="AQ70" s="330"/>
      <c r="AR70" s="336"/>
      <c r="AS70" s="640"/>
      <c r="AT70" s="336"/>
      <c r="AU70" s="336"/>
      <c r="AV70" s="330"/>
      <c r="AW70" s="336"/>
      <c r="AX70" s="640"/>
    </row>
    <row r="71" spans="2:50" ht="15.75">
      <c r="B71" s="625" t="s">
        <v>85</v>
      </c>
      <c r="C71" s="626"/>
      <c r="D71" s="626"/>
      <c r="E71" s="626"/>
      <c r="F71" s="626"/>
      <c r="G71" s="626"/>
      <c r="H71" s="626"/>
      <c r="I71" s="349"/>
      <c r="J71" s="349"/>
      <c r="K71" s="349"/>
      <c r="L71" s="349"/>
      <c r="M71" s="350"/>
      <c r="N71" s="619" t="s">
        <v>86</v>
      </c>
      <c r="O71" s="619" t="s">
        <v>45</v>
      </c>
      <c r="P71" s="617">
        <f>AT48+1</f>
        <v>46252</v>
      </c>
      <c r="Q71" s="618"/>
      <c r="R71" s="618"/>
      <c r="S71" s="618"/>
      <c r="T71" s="618"/>
      <c r="U71" s="617">
        <f>P71+1</f>
        <v>46253</v>
      </c>
      <c r="V71" s="618"/>
      <c r="W71" s="618"/>
      <c r="X71" s="618"/>
      <c r="Y71" s="618"/>
      <c r="Z71" s="617">
        <f>Z48+7</f>
        <v>46254</v>
      </c>
      <c r="AA71" s="618"/>
      <c r="AB71" s="618"/>
      <c r="AC71" s="618"/>
      <c r="AD71" s="618"/>
      <c r="AE71" s="617">
        <f>AE48+7</f>
        <v>46255</v>
      </c>
      <c r="AF71" s="618"/>
      <c r="AG71" s="618"/>
      <c r="AH71" s="618"/>
      <c r="AI71" s="618"/>
      <c r="AJ71" s="617">
        <f>AJ48+7</f>
        <v>46256</v>
      </c>
      <c r="AK71" s="618"/>
      <c r="AL71" s="618"/>
      <c r="AM71" s="618"/>
      <c r="AN71" s="618"/>
      <c r="AO71" s="617">
        <f>AO48+7</f>
        <v>46257</v>
      </c>
      <c r="AP71" s="618"/>
      <c r="AQ71" s="618"/>
      <c r="AR71" s="618"/>
      <c r="AS71" s="618"/>
      <c r="AT71" s="617">
        <f>AT48+7</f>
        <v>46258</v>
      </c>
      <c r="AU71" s="618"/>
      <c r="AV71" s="618"/>
      <c r="AW71" s="618"/>
      <c r="AX71" s="618"/>
    </row>
    <row r="72" spans="2:50" ht="15.75">
      <c r="B72" s="627"/>
      <c r="C72" s="627"/>
      <c r="D72" s="627"/>
      <c r="E72" s="627"/>
      <c r="F72" s="627"/>
      <c r="G72" s="627"/>
      <c r="H72" s="627"/>
      <c r="I72" s="351"/>
      <c r="J72" s="351"/>
      <c r="K72" s="351"/>
      <c r="L72" s="351"/>
      <c r="M72" s="352"/>
      <c r="N72" s="620"/>
      <c r="O72" s="620"/>
      <c r="P72" s="617" t="s">
        <v>58</v>
      </c>
      <c r="Q72" s="618"/>
      <c r="R72" s="618"/>
      <c r="S72" s="618"/>
      <c r="T72" s="618"/>
      <c r="U72" s="617" t="s">
        <v>59</v>
      </c>
      <c r="V72" s="618"/>
      <c r="W72" s="618"/>
      <c r="X72" s="618"/>
      <c r="Y72" s="618"/>
      <c r="Z72" s="617" t="s">
        <v>60</v>
      </c>
      <c r="AA72" s="618"/>
      <c r="AB72" s="618"/>
      <c r="AC72" s="618"/>
      <c r="AD72" s="618"/>
      <c r="AE72" s="617" t="s">
        <v>61</v>
      </c>
      <c r="AF72" s="618"/>
      <c r="AG72" s="618"/>
      <c r="AH72" s="618"/>
      <c r="AI72" s="618"/>
      <c r="AJ72" s="617" t="s">
        <v>56</v>
      </c>
      <c r="AK72" s="618"/>
      <c r="AL72" s="618"/>
      <c r="AM72" s="618"/>
      <c r="AN72" s="618"/>
      <c r="AO72" s="617" t="s">
        <v>52</v>
      </c>
      <c r="AP72" s="618"/>
      <c r="AQ72" s="618"/>
      <c r="AR72" s="618"/>
      <c r="AS72" s="618"/>
      <c r="AT72" s="617" t="s">
        <v>57</v>
      </c>
      <c r="AU72" s="618"/>
      <c r="AV72" s="618"/>
      <c r="AW72" s="618"/>
      <c r="AX72" s="618"/>
    </row>
    <row r="73" spans="2:50">
      <c r="B73" s="624" t="s">
        <v>41</v>
      </c>
      <c r="C73" s="628" t="s">
        <v>87</v>
      </c>
      <c r="D73" s="624"/>
      <c r="E73" s="624" t="s">
        <v>88</v>
      </c>
      <c r="F73" s="624"/>
      <c r="G73" s="624"/>
      <c r="H73" s="634" t="s">
        <v>89</v>
      </c>
      <c r="I73" s="624" t="s">
        <v>90</v>
      </c>
      <c r="J73" s="624"/>
      <c r="K73" s="624"/>
      <c r="L73" s="634" t="s">
        <v>89</v>
      </c>
      <c r="M73" s="647" t="s">
        <v>91</v>
      </c>
      <c r="N73" s="619"/>
      <c r="O73" s="619" t="s">
        <v>92</v>
      </c>
      <c r="P73" s="621" t="s">
        <v>93</v>
      </c>
      <c r="Q73" s="622"/>
      <c r="R73" s="622"/>
      <c r="S73" s="623"/>
      <c r="T73" s="624" t="s">
        <v>89</v>
      </c>
      <c r="U73" s="621" t="s">
        <v>93</v>
      </c>
      <c r="V73" s="622"/>
      <c r="W73" s="622"/>
      <c r="X73" s="623"/>
      <c r="Y73" s="624" t="s">
        <v>89</v>
      </c>
      <c r="Z73" s="621" t="s">
        <v>93</v>
      </c>
      <c r="AA73" s="622"/>
      <c r="AB73" s="622"/>
      <c r="AC73" s="623"/>
      <c r="AD73" s="624" t="s">
        <v>89</v>
      </c>
      <c r="AE73" s="621" t="s">
        <v>93</v>
      </c>
      <c r="AF73" s="622"/>
      <c r="AG73" s="622"/>
      <c r="AH73" s="623"/>
      <c r="AI73" s="624" t="s">
        <v>89</v>
      </c>
      <c r="AJ73" s="621" t="s">
        <v>93</v>
      </c>
      <c r="AK73" s="622"/>
      <c r="AL73" s="622"/>
      <c r="AM73" s="623"/>
      <c r="AN73" s="624" t="s">
        <v>89</v>
      </c>
      <c r="AO73" s="621" t="s">
        <v>93</v>
      </c>
      <c r="AP73" s="622"/>
      <c r="AQ73" s="622"/>
      <c r="AR73" s="623"/>
      <c r="AS73" s="624" t="s">
        <v>89</v>
      </c>
      <c r="AT73" s="621" t="s">
        <v>93</v>
      </c>
      <c r="AU73" s="622"/>
      <c r="AV73" s="622"/>
      <c r="AW73" s="623"/>
      <c r="AX73" s="624" t="s">
        <v>89</v>
      </c>
    </row>
    <row r="74" spans="2:50">
      <c r="B74" s="624"/>
      <c r="C74" s="624"/>
      <c r="D74" s="624"/>
      <c r="E74" s="624" t="s">
        <v>94</v>
      </c>
      <c r="F74" s="624"/>
      <c r="G74" s="624"/>
      <c r="H74" s="635"/>
      <c r="I74" s="624" t="s">
        <v>94</v>
      </c>
      <c r="J74" s="624"/>
      <c r="K74" s="624"/>
      <c r="L74" s="635"/>
      <c r="M74" s="637"/>
      <c r="N74" s="637"/>
      <c r="O74" s="637"/>
      <c r="P74" s="621" t="s">
        <v>95</v>
      </c>
      <c r="Q74" s="622"/>
      <c r="R74" s="622"/>
      <c r="S74" s="623"/>
      <c r="T74" s="624"/>
      <c r="U74" s="621" t="s">
        <v>95</v>
      </c>
      <c r="V74" s="622"/>
      <c r="W74" s="622"/>
      <c r="X74" s="623"/>
      <c r="Y74" s="624"/>
      <c r="Z74" s="621" t="s">
        <v>95</v>
      </c>
      <c r="AA74" s="622"/>
      <c r="AB74" s="622"/>
      <c r="AC74" s="623"/>
      <c r="AD74" s="624"/>
      <c r="AE74" s="621" t="s">
        <v>95</v>
      </c>
      <c r="AF74" s="622"/>
      <c r="AG74" s="622"/>
      <c r="AH74" s="623"/>
      <c r="AI74" s="624"/>
      <c r="AJ74" s="621" t="s">
        <v>95</v>
      </c>
      <c r="AK74" s="622"/>
      <c r="AL74" s="622"/>
      <c r="AM74" s="623"/>
      <c r="AN74" s="624"/>
      <c r="AO74" s="621" t="s">
        <v>95</v>
      </c>
      <c r="AP74" s="622"/>
      <c r="AQ74" s="622"/>
      <c r="AR74" s="623"/>
      <c r="AS74" s="624"/>
      <c r="AT74" s="621" t="s">
        <v>95</v>
      </c>
      <c r="AU74" s="622"/>
      <c r="AV74" s="622"/>
      <c r="AW74" s="623"/>
      <c r="AX74" s="624"/>
    </row>
    <row r="75" spans="2:50">
      <c r="B75" s="624"/>
      <c r="C75" s="624"/>
      <c r="D75" s="624"/>
      <c r="E75" s="353" t="s">
        <v>96</v>
      </c>
      <c r="F75" s="353" t="s">
        <v>97</v>
      </c>
      <c r="G75" s="353" t="s">
        <v>98</v>
      </c>
      <c r="H75" s="636"/>
      <c r="I75" s="353" t="s">
        <v>96</v>
      </c>
      <c r="J75" s="353" t="s">
        <v>97</v>
      </c>
      <c r="K75" s="353" t="s">
        <v>98</v>
      </c>
      <c r="L75" s="636"/>
      <c r="M75" s="620"/>
      <c r="N75" s="637"/>
      <c r="O75" s="637"/>
      <c r="P75" s="353" t="s">
        <v>96</v>
      </c>
      <c r="Q75" s="353" t="s">
        <v>97</v>
      </c>
      <c r="R75" s="353" t="s">
        <v>98</v>
      </c>
      <c r="S75" s="353" t="s">
        <v>91</v>
      </c>
      <c r="T75" s="624"/>
      <c r="U75" s="353" t="s">
        <v>96</v>
      </c>
      <c r="V75" s="353" t="s">
        <v>97</v>
      </c>
      <c r="W75" s="353" t="s">
        <v>98</v>
      </c>
      <c r="X75" s="353" t="s">
        <v>91</v>
      </c>
      <c r="Y75" s="624"/>
      <c r="Z75" s="353" t="s">
        <v>96</v>
      </c>
      <c r="AA75" s="353" t="s">
        <v>97</v>
      </c>
      <c r="AB75" s="353" t="s">
        <v>98</v>
      </c>
      <c r="AC75" s="353" t="s">
        <v>91</v>
      </c>
      <c r="AD75" s="624"/>
      <c r="AE75" s="353" t="s">
        <v>96</v>
      </c>
      <c r="AF75" s="353" t="s">
        <v>97</v>
      </c>
      <c r="AG75" s="353" t="s">
        <v>98</v>
      </c>
      <c r="AH75" s="353" t="s">
        <v>91</v>
      </c>
      <c r="AI75" s="624"/>
      <c r="AJ75" s="353" t="s">
        <v>96</v>
      </c>
      <c r="AK75" s="353" t="s">
        <v>97</v>
      </c>
      <c r="AL75" s="353" t="s">
        <v>98</v>
      </c>
      <c r="AM75" s="353" t="s">
        <v>91</v>
      </c>
      <c r="AN75" s="624"/>
      <c r="AO75" s="353" t="s">
        <v>96</v>
      </c>
      <c r="AP75" s="353" t="s">
        <v>97</v>
      </c>
      <c r="AQ75" s="353" t="s">
        <v>98</v>
      </c>
      <c r="AR75" s="353" t="s">
        <v>91</v>
      </c>
      <c r="AS75" s="624"/>
      <c r="AT75" s="353" t="s">
        <v>96</v>
      </c>
      <c r="AU75" s="353" t="s">
        <v>97</v>
      </c>
      <c r="AV75" s="353" t="s">
        <v>98</v>
      </c>
      <c r="AW75" s="353" t="s">
        <v>91</v>
      </c>
      <c r="AX75" s="624"/>
    </row>
    <row r="76" spans="2:50" ht="13.5">
      <c r="B76" s="644" t="s">
        <v>337</v>
      </c>
      <c r="C76" s="336">
        <v>1</v>
      </c>
      <c r="D76" s="355" t="s">
        <v>113</v>
      </c>
      <c r="E76" s="337">
        <f>VLOOKUP(D76,'07產線配置圖'!$A$3:$C$26,2,0)</f>
        <v>12</v>
      </c>
      <c r="F76" s="337">
        <f>VLOOKUP(D76,'07產線配置圖'!$A$3:$C$26,3,0)</f>
        <v>2250</v>
      </c>
      <c r="G76" s="330">
        <f t="shared" ref="G76:G90" si="70">F76/E76</f>
        <v>187.5</v>
      </c>
      <c r="H76" s="631">
        <f>AVERAGE(G76:G90)</f>
        <v>123.92675967823025</v>
      </c>
      <c r="I76" s="337">
        <f>AVERAGE(P76,U76,Z76,AE76,AJ76,AO76,AT76)</f>
        <v>12</v>
      </c>
      <c r="J76" s="337">
        <f>AVERAGE(Q76,V76,AA76,AF76,AK76,AP76,AU76)</f>
        <v>2048.2857142857142</v>
      </c>
      <c r="K76" s="330">
        <f>AVERAGE(R76,W76,AB76,AG76,AL76,AQ76,AV76)</f>
        <v>170.6904761904762</v>
      </c>
      <c r="L76" s="631">
        <f>IFERROR(AVERAGE(K76:K93),"-")</f>
        <v>112.54341183373769</v>
      </c>
      <c r="M76" s="337">
        <f>RANK(K76, $K$76:$K$93)</f>
        <v>1</v>
      </c>
      <c r="N76" s="637"/>
      <c r="O76" s="637"/>
      <c r="P76" s="337">
        <v>12</v>
      </c>
      <c r="Q76" s="337">
        <v>2033</v>
      </c>
      <c r="R76" s="330">
        <f t="shared" ref="R76:R91" si="71">Q76/P76</f>
        <v>169.41666666666666</v>
      </c>
      <c r="S76" s="359">
        <f>RANK(R76, $R$76:$R$93)</f>
        <v>1</v>
      </c>
      <c r="T76" s="631">
        <f>AVERAGE(R76:R93)</f>
        <v>111.13230698529411</v>
      </c>
      <c r="U76" s="337">
        <v>12</v>
      </c>
      <c r="V76" s="337">
        <v>2116</v>
      </c>
      <c r="W76" s="330">
        <f t="shared" ref="W76:W91" si="72">V76/U76</f>
        <v>176.33333333333334</v>
      </c>
      <c r="X76" s="336">
        <f>RANK(W76, $W$76:$W$93)</f>
        <v>1</v>
      </c>
      <c r="Y76" s="631">
        <f>AVERAGE(W76:W93)</f>
        <v>111.50601618438048</v>
      </c>
      <c r="Z76" s="337">
        <v>12</v>
      </c>
      <c r="AA76" s="337">
        <v>1924</v>
      </c>
      <c r="AB76" s="330">
        <f t="shared" ref="AB76:AB91" si="73">AA76/Z76</f>
        <v>160.33333333333334</v>
      </c>
      <c r="AC76" s="336">
        <f>RANK(AB76, $AB$76:$AB$93)</f>
        <v>2</v>
      </c>
      <c r="AD76" s="631">
        <f>AVERAGE(AB76:AB93)</f>
        <v>111.49774854187952</v>
      </c>
      <c r="AE76" s="337">
        <v>12</v>
      </c>
      <c r="AF76" s="337">
        <v>2127</v>
      </c>
      <c r="AG76" s="330">
        <f t="shared" ref="AG76:AG91" si="74">AF76/AE76</f>
        <v>177.25</v>
      </c>
      <c r="AH76" s="336">
        <f t="shared" ref="AH76:AH78" si="75">RANK(AG76, $AG$76:$AG$93)</f>
        <v>1</v>
      </c>
      <c r="AI76" s="631">
        <f>AVERAGE(AG76:AG93)</f>
        <v>114.00028504991742</v>
      </c>
      <c r="AJ76" s="337">
        <v>12</v>
      </c>
      <c r="AK76" s="337">
        <v>2142</v>
      </c>
      <c r="AL76" s="330">
        <f t="shared" ref="AL76:AL91" si="76">AK76/AJ76</f>
        <v>178.5</v>
      </c>
      <c r="AM76" s="336">
        <f>RANK(AL76, $AL$76:$AL$93)</f>
        <v>1</v>
      </c>
      <c r="AN76" s="631">
        <f>AVERAGE(AL76:AL93)</f>
        <v>112.16248000875758</v>
      </c>
      <c r="AO76" s="337">
        <v>12</v>
      </c>
      <c r="AP76" s="337">
        <v>2080</v>
      </c>
      <c r="AQ76" s="330">
        <f t="shared" ref="AQ76:AQ91" si="77">AP76/AO76</f>
        <v>173.33333333333334</v>
      </c>
      <c r="AR76" s="336">
        <f>RANK(AQ76, $AQ$76:$AQ$93)</f>
        <v>1</v>
      </c>
      <c r="AS76" s="631">
        <f>AVERAGE(AQ76:AQ93)</f>
        <v>112.87379039860362</v>
      </c>
      <c r="AT76" s="337">
        <v>12</v>
      </c>
      <c r="AU76" s="337">
        <v>1916</v>
      </c>
      <c r="AV76" s="330">
        <f t="shared" ref="AV76:AV91" si="78">AU76/AT76</f>
        <v>159.66666666666666</v>
      </c>
      <c r="AW76" s="336">
        <f>RANK(AV76, $AV$76:$AV$93)</f>
        <v>3</v>
      </c>
      <c r="AX76" s="631">
        <f>AVERAGE(AV76:AV93)</f>
        <v>114.63125566733103</v>
      </c>
    </row>
    <row r="77" spans="2:50">
      <c r="B77" s="645"/>
      <c r="C77" s="336">
        <v>2</v>
      </c>
      <c r="D77" s="336" t="s">
        <v>116</v>
      </c>
      <c r="E77" s="337">
        <f>VLOOKUP(D77,'07產線配置圖'!$A$3:$C$26,2,0)</f>
        <v>15</v>
      </c>
      <c r="F77" s="337">
        <f>VLOOKUP(D77,'07產線配置圖'!$A$3:$C$26,3,0)</f>
        <v>2250</v>
      </c>
      <c r="G77" s="330">
        <f t="shared" si="70"/>
        <v>150</v>
      </c>
      <c r="H77" s="632"/>
      <c r="I77" s="337">
        <f t="shared" ref="I77:K84" si="79">AVERAGE(P77,U77,Z77,AE77,AJ77,AO77,AT77)</f>
        <v>14.571428571428571</v>
      </c>
      <c r="J77" s="337">
        <f t="shared" si="79"/>
        <v>2056.5714285714284</v>
      </c>
      <c r="K77" s="330">
        <f t="shared" si="79"/>
        <v>141.20816326530613</v>
      </c>
      <c r="L77" s="632"/>
      <c r="M77" s="337">
        <f t="shared" ref="M77:M91" si="80">RANK(K77, $K$76:$K$93)</f>
        <v>4</v>
      </c>
      <c r="N77" s="637"/>
      <c r="O77" s="637"/>
      <c r="P77" s="337">
        <v>15</v>
      </c>
      <c r="Q77" s="337">
        <v>2038</v>
      </c>
      <c r="R77" s="330">
        <f t="shared" si="71"/>
        <v>135.86666666666667</v>
      </c>
      <c r="S77" s="359">
        <f t="shared" ref="S77:S91" si="81">RANK(R77, $R$76:$R$93)</f>
        <v>4</v>
      </c>
      <c r="T77" s="632"/>
      <c r="U77" s="337">
        <v>15</v>
      </c>
      <c r="V77" s="337">
        <v>2105</v>
      </c>
      <c r="W77" s="330">
        <f t="shared" si="72"/>
        <v>140.33333333333334</v>
      </c>
      <c r="X77" s="336">
        <f t="shared" ref="X77:X91" si="82">RANK(W77, $W$76:$W$93)</f>
        <v>4</v>
      </c>
      <c r="Y77" s="632"/>
      <c r="Z77" s="337">
        <v>15</v>
      </c>
      <c r="AA77" s="337">
        <v>2079</v>
      </c>
      <c r="AB77" s="330">
        <f t="shared" si="73"/>
        <v>138.6</v>
      </c>
      <c r="AC77" s="336">
        <f t="shared" ref="AC77:AC91" si="83">RANK(AB77, $AB$76:$AB$93)</f>
        <v>4</v>
      </c>
      <c r="AD77" s="632"/>
      <c r="AE77" s="337">
        <v>14</v>
      </c>
      <c r="AF77" s="337">
        <v>2023</v>
      </c>
      <c r="AG77" s="330">
        <f t="shared" si="74"/>
        <v>144.5</v>
      </c>
      <c r="AH77" s="336">
        <f t="shared" si="75"/>
        <v>4</v>
      </c>
      <c r="AI77" s="632"/>
      <c r="AJ77" s="337">
        <v>14</v>
      </c>
      <c r="AK77" s="337">
        <v>2033</v>
      </c>
      <c r="AL77" s="330">
        <f t="shared" si="76"/>
        <v>145.21428571428572</v>
      </c>
      <c r="AM77" s="336">
        <f t="shared" ref="AM77:AM91" si="84">RANK(AL77, $AL$76:$AL$93)</f>
        <v>4</v>
      </c>
      <c r="AN77" s="632"/>
      <c r="AO77" s="337">
        <v>15</v>
      </c>
      <c r="AP77" s="337">
        <v>2142</v>
      </c>
      <c r="AQ77" s="330">
        <f t="shared" si="77"/>
        <v>142.80000000000001</v>
      </c>
      <c r="AR77" s="336">
        <f t="shared" ref="AR77:AR91" si="85">RANK(AQ77, $AQ$76:$AQ$93)</f>
        <v>4</v>
      </c>
      <c r="AS77" s="632"/>
      <c r="AT77" s="337">
        <v>14</v>
      </c>
      <c r="AU77" s="337">
        <v>1976</v>
      </c>
      <c r="AV77" s="330">
        <f t="shared" si="78"/>
        <v>141.14285714285714</v>
      </c>
      <c r="AW77" s="336">
        <f t="shared" ref="AW77:AW91" si="86">RANK(AV77, $AV$76:$AV$93)</f>
        <v>5</v>
      </c>
      <c r="AX77" s="632"/>
    </row>
    <row r="78" spans="2:50">
      <c r="B78" s="645"/>
      <c r="C78" s="336">
        <v>3</v>
      </c>
      <c r="D78" s="336" t="s">
        <v>117</v>
      </c>
      <c r="E78" s="337">
        <f>VLOOKUP(D78,'07產線配置圖'!$A$3:$C$26,2,0)</f>
        <v>15</v>
      </c>
      <c r="F78" s="337">
        <f>VLOOKUP(D78,'07產線配置圖'!$A$3:$C$26,3,0)</f>
        <v>2250</v>
      </c>
      <c r="G78" s="330">
        <f t="shared" si="70"/>
        <v>150</v>
      </c>
      <c r="H78" s="632"/>
      <c r="I78" s="337">
        <f t="shared" si="79"/>
        <v>14.5</v>
      </c>
      <c r="J78" s="337">
        <f t="shared" si="79"/>
        <v>1995.5714285714287</v>
      </c>
      <c r="K78" s="330">
        <f t="shared" si="79"/>
        <v>137.75395261552896</v>
      </c>
      <c r="L78" s="632"/>
      <c r="M78" s="337">
        <f t="shared" si="80"/>
        <v>5</v>
      </c>
      <c r="N78" s="637"/>
      <c r="O78" s="637"/>
      <c r="P78" s="337">
        <v>15</v>
      </c>
      <c r="Q78" s="337">
        <v>1980</v>
      </c>
      <c r="R78" s="330">
        <f t="shared" si="71"/>
        <v>132</v>
      </c>
      <c r="S78" s="359">
        <f t="shared" si="81"/>
        <v>5</v>
      </c>
      <c r="T78" s="632"/>
      <c r="U78" s="337">
        <v>14.5</v>
      </c>
      <c r="V78" s="337">
        <v>1983</v>
      </c>
      <c r="W78" s="330">
        <f t="shared" si="72"/>
        <v>136.75862068965517</v>
      </c>
      <c r="X78" s="336">
        <f t="shared" si="82"/>
        <v>5</v>
      </c>
      <c r="Y78" s="632"/>
      <c r="Z78" s="337">
        <v>15</v>
      </c>
      <c r="AA78" s="337">
        <v>2030</v>
      </c>
      <c r="AB78" s="330">
        <f t="shared" si="73"/>
        <v>135.33333333333334</v>
      </c>
      <c r="AC78" s="336">
        <f t="shared" si="83"/>
        <v>5</v>
      </c>
      <c r="AD78" s="632"/>
      <c r="AE78" s="337">
        <v>14</v>
      </c>
      <c r="AF78" s="337">
        <v>1975</v>
      </c>
      <c r="AG78" s="330">
        <f t="shared" si="74"/>
        <v>141.07142857142858</v>
      </c>
      <c r="AH78" s="336">
        <f t="shared" si="75"/>
        <v>5</v>
      </c>
      <c r="AI78" s="632"/>
      <c r="AJ78" s="337">
        <v>14</v>
      </c>
      <c r="AK78" s="337">
        <v>1977</v>
      </c>
      <c r="AL78" s="330">
        <f t="shared" si="76"/>
        <v>141.21428571428572</v>
      </c>
      <c r="AM78" s="336">
        <f t="shared" si="84"/>
        <v>5</v>
      </c>
      <c r="AN78" s="632"/>
      <c r="AO78" s="337">
        <v>15</v>
      </c>
      <c r="AP78" s="337">
        <v>2001</v>
      </c>
      <c r="AQ78" s="330">
        <f t="shared" si="77"/>
        <v>133.4</v>
      </c>
      <c r="AR78" s="336">
        <f t="shared" si="85"/>
        <v>5</v>
      </c>
      <c r="AS78" s="632"/>
      <c r="AT78" s="337">
        <v>14</v>
      </c>
      <c r="AU78" s="337">
        <v>2023</v>
      </c>
      <c r="AV78" s="330">
        <f t="shared" si="78"/>
        <v>144.5</v>
      </c>
      <c r="AW78" s="336">
        <f t="shared" si="86"/>
        <v>4</v>
      </c>
      <c r="AX78" s="632"/>
    </row>
    <row r="79" spans="2:50">
      <c r="B79" s="645"/>
      <c r="C79" s="336">
        <v>4</v>
      </c>
      <c r="D79" s="336" t="s">
        <v>184</v>
      </c>
      <c r="E79" s="337">
        <f>VLOOKUP(D79,'07產線配置圖'!$A$3:$C$26,2,0)</f>
        <v>16</v>
      </c>
      <c r="F79" s="337">
        <f>VLOOKUP(D79,'07產線配置圖'!$A$3:$C$26,3,0)</f>
        <v>1800</v>
      </c>
      <c r="G79" s="330">
        <f t="shared" si="70"/>
        <v>112.5</v>
      </c>
      <c r="H79" s="632"/>
      <c r="I79" s="337">
        <f t="shared" si="79"/>
        <v>15.928571428571429</v>
      </c>
      <c r="J79" s="337">
        <f t="shared" si="79"/>
        <v>1516.7142857142858</v>
      </c>
      <c r="K79" s="330">
        <f t="shared" si="79"/>
        <v>95.230702764976968</v>
      </c>
      <c r="L79" s="632"/>
      <c r="M79" s="337">
        <f t="shared" si="80"/>
        <v>9</v>
      </c>
      <c r="N79" s="637"/>
      <c r="O79" s="637"/>
      <c r="P79" s="337">
        <v>16</v>
      </c>
      <c r="Q79" s="337">
        <v>1493</v>
      </c>
      <c r="R79" s="330">
        <f t="shared" si="71"/>
        <v>93.3125</v>
      </c>
      <c r="S79" s="359">
        <f t="shared" si="81"/>
        <v>9</v>
      </c>
      <c r="T79" s="632"/>
      <c r="U79" s="337">
        <v>16</v>
      </c>
      <c r="V79" s="337">
        <v>1538</v>
      </c>
      <c r="W79" s="330">
        <f t="shared" si="72"/>
        <v>96.125</v>
      </c>
      <c r="X79" s="336">
        <f t="shared" si="82"/>
        <v>9</v>
      </c>
      <c r="Y79" s="632"/>
      <c r="Z79" s="337">
        <v>15.5</v>
      </c>
      <c r="AA79" s="337">
        <v>1514</v>
      </c>
      <c r="AB79" s="330">
        <f t="shared" si="73"/>
        <v>97.677419354838705</v>
      </c>
      <c r="AC79" s="336">
        <f t="shared" si="83"/>
        <v>9</v>
      </c>
      <c r="AD79" s="632"/>
      <c r="AE79" s="337">
        <v>16</v>
      </c>
      <c r="AF79" s="337">
        <v>1526</v>
      </c>
      <c r="AG79" s="330">
        <f t="shared" si="74"/>
        <v>95.375</v>
      </c>
      <c r="AH79" s="336">
        <f>RANK(AG79, $AG$76:$AG$93)</f>
        <v>10</v>
      </c>
      <c r="AI79" s="632"/>
      <c r="AJ79" s="337">
        <v>16</v>
      </c>
      <c r="AK79" s="337">
        <v>1519</v>
      </c>
      <c r="AL79" s="330">
        <f t="shared" si="76"/>
        <v>94.9375</v>
      </c>
      <c r="AM79" s="336">
        <f t="shared" si="84"/>
        <v>10</v>
      </c>
      <c r="AN79" s="632"/>
      <c r="AO79" s="337">
        <v>16</v>
      </c>
      <c r="AP79" s="337">
        <v>1542</v>
      </c>
      <c r="AQ79" s="330">
        <f t="shared" si="77"/>
        <v>96.375</v>
      </c>
      <c r="AR79" s="336">
        <f t="shared" si="85"/>
        <v>9</v>
      </c>
      <c r="AS79" s="632"/>
      <c r="AT79" s="337">
        <v>16</v>
      </c>
      <c r="AU79" s="337">
        <v>1485</v>
      </c>
      <c r="AV79" s="330">
        <f t="shared" si="78"/>
        <v>92.8125</v>
      </c>
      <c r="AW79" s="336">
        <f t="shared" si="86"/>
        <v>12</v>
      </c>
      <c r="AX79" s="632"/>
    </row>
    <row r="80" spans="2:50" ht="13.5">
      <c r="B80" s="645"/>
      <c r="C80" s="336">
        <v>5</v>
      </c>
      <c r="D80" s="355" t="s">
        <v>114</v>
      </c>
      <c r="E80" s="337">
        <f>VLOOKUP(D80,'07產線配置圖'!$A$3:$C$26,2,0)</f>
        <v>13</v>
      </c>
      <c r="F80" s="337">
        <f>VLOOKUP(D80,'07產線配置圖'!$A$3:$C$26,3,0)</f>
        <v>2250</v>
      </c>
      <c r="G80" s="330">
        <f t="shared" si="70"/>
        <v>173.07692307692307</v>
      </c>
      <c r="H80" s="632"/>
      <c r="I80" s="337">
        <f t="shared" si="79"/>
        <v>13</v>
      </c>
      <c r="J80" s="337">
        <f>AVERAGE(Q80,V80,AA80,AF80,AK80,AP80,AU80)</f>
        <v>2089.7142857142858</v>
      </c>
      <c r="K80" s="330">
        <f t="shared" si="79"/>
        <v>160.74725274725276</v>
      </c>
      <c r="L80" s="632"/>
      <c r="M80" s="337">
        <f t="shared" si="80"/>
        <v>2</v>
      </c>
      <c r="N80" s="637"/>
      <c r="O80" s="637"/>
      <c r="P80" s="337">
        <v>13</v>
      </c>
      <c r="Q80" s="337">
        <v>2108</v>
      </c>
      <c r="R80" s="330">
        <f t="shared" si="71"/>
        <v>162.15384615384616</v>
      </c>
      <c r="S80" s="359">
        <f t="shared" si="81"/>
        <v>2</v>
      </c>
      <c r="T80" s="632"/>
      <c r="U80" s="337">
        <v>13</v>
      </c>
      <c r="V80" s="337">
        <v>2060</v>
      </c>
      <c r="W80" s="330">
        <f t="shared" si="72"/>
        <v>158.46153846153845</v>
      </c>
      <c r="X80" s="336">
        <f t="shared" si="82"/>
        <v>2</v>
      </c>
      <c r="Y80" s="632"/>
      <c r="Z80" s="337">
        <v>13</v>
      </c>
      <c r="AA80" s="337">
        <v>2155</v>
      </c>
      <c r="AB80" s="330">
        <f t="shared" si="73"/>
        <v>165.76923076923077</v>
      </c>
      <c r="AC80" s="336">
        <f t="shared" si="83"/>
        <v>1</v>
      </c>
      <c r="AD80" s="632"/>
      <c r="AE80" s="337">
        <v>13</v>
      </c>
      <c r="AF80" s="337">
        <v>2153</v>
      </c>
      <c r="AG80" s="330">
        <f t="shared" si="74"/>
        <v>165.61538461538461</v>
      </c>
      <c r="AH80" s="336">
        <f>RANK(AG80,$AG$76:$AG$93)</f>
        <v>2</v>
      </c>
      <c r="AI80" s="632"/>
      <c r="AJ80" s="337">
        <v>13</v>
      </c>
      <c r="AK80" s="337">
        <v>2089</v>
      </c>
      <c r="AL80" s="330">
        <f t="shared" si="76"/>
        <v>160.69230769230768</v>
      </c>
      <c r="AM80" s="336">
        <f t="shared" si="84"/>
        <v>2</v>
      </c>
      <c r="AN80" s="632"/>
      <c r="AO80" s="337">
        <v>13</v>
      </c>
      <c r="AP80" s="337">
        <v>1980</v>
      </c>
      <c r="AQ80" s="330">
        <f t="shared" si="77"/>
        <v>152.30769230769232</v>
      </c>
      <c r="AR80" s="336">
        <f t="shared" si="85"/>
        <v>3</v>
      </c>
      <c r="AS80" s="632"/>
      <c r="AT80" s="337">
        <v>13</v>
      </c>
      <c r="AU80" s="337">
        <v>2083</v>
      </c>
      <c r="AV80" s="330">
        <f t="shared" si="78"/>
        <v>160.23076923076923</v>
      </c>
      <c r="AW80" s="336">
        <f t="shared" si="86"/>
        <v>1</v>
      </c>
      <c r="AX80" s="632"/>
    </row>
    <row r="81" spans="2:50" ht="13.5" customHeight="1">
      <c r="B81" s="645"/>
      <c r="C81" s="336">
        <v>6</v>
      </c>
      <c r="D81" s="336" t="s">
        <v>158</v>
      </c>
      <c r="E81" s="337">
        <f>VLOOKUP(D81,'07產線配置圖'!$A$3:$C$26,2,0)</f>
        <v>16</v>
      </c>
      <c r="F81" s="337">
        <f>VLOOKUP(D81,'07產線配置圖'!$A$3:$C$26,3,0)</f>
        <v>1714</v>
      </c>
      <c r="G81" s="330">
        <f t="shared" si="70"/>
        <v>107.125</v>
      </c>
      <c r="H81" s="632"/>
      <c r="I81" s="337">
        <f>AVERAGE(P81,U81,Z81,AE81,AJ81,AO81,AT81)</f>
        <v>15.785714285714286</v>
      </c>
      <c r="J81" s="337">
        <f>AVERAGE(Q81,V81,AA81,AF81,AK81,AP81,AU81)</f>
        <v>1555</v>
      </c>
      <c r="K81" s="330">
        <f>AVERAGE(R81,W81,AB81,AG81,AL81,AQ81,AV81)</f>
        <v>98.501113671274965</v>
      </c>
      <c r="L81" s="632"/>
      <c r="M81" s="337">
        <f t="shared" si="80"/>
        <v>8</v>
      </c>
      <c r="N81" s="637"/>
      <c r="O81" s="637"/>
      <c r="P81" s="389">
        <v>15</v>
      </c>
      <c r="Q81" s="337">
        <v>1513</v>
      </c>
      <c r="R81" s="330">
        <f t="shared" si="71"/>
        <v>100.86666666666666</v>
      </c>
      <c r="S81" s="359">
        <f t="shared" si="81"/>
        <v>8</v>
      </c>
      <c r="T81" s="632"/>
      <c r="U81" s="337">
        <v>16</v>
      </c>
      <c r="V81" s="337">
        <v>1503</v>
      </c>
      <c r="W81" s="330">
        <f t="shared" si="72"/>
        <v>93.9375</v>
      </c>
      <c r="X81" s="336">
        <f t="shared" si="82"/>
        <v>10</v>
      </c>
      <c r="Y81" s="632"/>
      <c r="Z81" s="337">
        <v>16</v>
      </c>
      <c r="AA81" s="337">
        <v>1597</v>
      </c>
      <c r="AB81" s="330">
        <f t="shared" si="73"/>
        <v>99.8125</v>
      </c>
      <c r="AC81" s="336">
        <f t="shared" si="83"/>
        <v>7</v>
      </c>
      <c r="AD81" s="632"/>
      <c r="AE81" s="337">
        <v>16</v>
      </c>
      <c r="AF81" s="337">
        <v>1592</v>
      </c>
      <c r="AG81" s="330">
        <f t="shared" si="74"/>
        <v>99.5</v>
      </c>
      <c r="AH81" s="336">
        <f>RANK(AG81,$AG$76:$AG$93)</f>
        <v>8</v>
      </c>
      <c r="AI81" s="632"/>
      <c r="AJ81" s="337">
        <v>16</v>
      </c>
      <c r="AK81" s="337">
        <v>1657</v>
      </c>
      <c r="AL81" s="330">
        <f t="shared" si="76"/>
        <v>103.5625</v>
      </c>
      <c r="AM81" s="336">
        <f t="shared" si="84"/>
        <v>8</v>
      </c>
      <c r="AN81" s="632"/>
      <c r="AO81" s="389">
        <v>15.5</v>
      </c>
      <c r="AP81" s="337">
        <v>1434</v>
      </c>
      <c r="AQ81" s="330">
        <f t="shared" si="77"/>
        <v>92.516129032258064</v>
      </c>
      <c r="AR81" s="336">
        <f t="shared" si="85"/>
        <v>11</v>
      </c>
      <c r="AS81" s="632"/>
      <c r="AT81" s="337">
        <v>16</v>
      </c>
      <c r="AU81" s="337">
        <v>1589</v>
      </c>
      <c r="AV81" s="330">
        <f t="shared" si="78"/>
        <v>99.3125</v>
      </c>
      <c r="AW81" s="336">
        <f t="shared" si="86"/>
        <v>9</v>
      </c>
      <c r="AX81" s="632"/>
    </row>
    <row r="82" spans="2:50">
      <c r="B82" s="645"/>
      <c r="C82" s="336">
        <v>7</v>
      </c>
      <c r="D82" s="336" t="s">
        <v>174</v>
      </c>
      <c r="E82" s="337">
        <f>VLOOKUP(D82,'07產線配置圖'!$A$3:$C$26,2,0)</f>
        <v>17</v>
      </c>
      <c r="F82" s="337">
        <f>VLOOKUP(D82,'07產線配置圖'!$A$3:$C$26,3,0)</f>
        <v>1800</v>
      </c>
      <c r="G82" s="330">
        <f t="shared" si="70"/>
        <v>105.88235294117646</v>
      </c>
      <c r="H82" s="632"/>
      <c r="I82" s="337">
        <f>AVERAGE(P82,U82,Z82,AE82,AJ82,AO82,AT82)</f>
        <v>17</v>
      </c>
      <c r="J82" s="337">
        <f>AVERAGE(Q82,V82,AA82,AF82,AK82,AP82,AU82)</f>
        <v>1611.1428571428571</v>
      </c>
      <c r="K82" s="330">
        <f>AVERAGE(R82,W82,AB82,AG82,AL82,AQ82,AV82)</f>
        <v>94.773109243697476</v>
      </c>
      <c r="L82" s="632"/>
      <c r="M82" s="337">
        <f t="shared" si="80"/>
        <v>11</v>
      </c>
      <c r="N82" s="637"/>
      <c r="O82" s="637"/>
      <c r="P82" s="337">
        <v>17</v>
      </c>
      <c r="Q82" s="337">
        <v>1581</v>
      </c>
      <c r="R82" s="330">
        <f t="shared" si="71"/>
        <v>93</v>
      </c>
      <c r="S82" s="359">
        <f t="shared" si="81"/>
        <v>10</v>
      </c>
      <c r="T82" s="632"/>
      <c r="U82" s="337">
        <v>17</v>
      </c>
      <c r="V82" s="337">
        <v>1528</v>
      </c>
      <c r="W82" s="328">
        <f t="shared" si="72"/>
        <v>89.882352941176464</v>
      </c>
      <c r="X82" s="336">
        <f t="shared" si="82"/>
        <v>11</v>
      </c>
      <c r="Y82" s="632"/>
      <c r="Z82" s="337">
        <v>17</v>
      </c>
      <c r="AA82" s="337">
        <v>1618</v>
      </c>
      <c r="AB82" s="330">
        <f t="shared" si="73"/>
        <v>95.17647058823529</v>
      </c>
      <c r="AC82" s="336">
        <f t="shared" si="83"/>
        <v>11</v>
      </c>
      <c r="AD82" s="632"/>
      <c r="AE82" s="337">
        <v>17</v>
      </c>
      <c r="AF82" s="337">
        <v>1595</v>
      </c>
      <c r="AG82" s="330">
        <f t="shared" si="74"/>
        <v>93.82352941176471</v>
      </c>
      <c r="AH82" s="336">
        <f>RANK(AG82,$AG$76:$AG$93)</f>
        <v>11</v>
      </c>
      <c r="AI82" s="632"/>
      <c r="AJ82" s="337">
        <v>17</v>
      </c>
      <c r="AK82" s="337">
        <v>1711</v>
      </c>
      <c r="AL82" s="330">
        <f t="shared" si="76"/>
        <v>100.64705882352941</v>
      </c>
      <c r="AM82" s="336">
        <f t="shared" si="84"/>
        <v>9</v>
      </c>
      <c r="AN82" s="632"/>
      <c r="AO82" s="337">
        <v>17</v>
      </c>
      <c r="AP82" s="337">
        <v>1581</v>
      </c>
      <c r="AQ82" s="330">
        <f t="shared" si="77"/>
        <v>93</v>
      </c>
      <c r="AR82" s="336">
        <f t="shared" si="85"/>
        <v>10</v>
      </c>
      <c r="AS82" s="632"/>
      <c r="AT82" s="337">
        <v>17</v>
      </c>
      <c r="AU82" s="337">
        <v>1664</v>
      </c>
      <c r="AV82" s="330">
        <f t="shared" si="78"/>
        <v>97.882352941176464</v>
      </c>
      <c r="AW82" s="336">
        <f t="shared" si="86"/>
        <v>11</v>
      </c>
      <c r="AX82" s="632"/>
    </row>
    <row r="83" spans="2:50">
      <c r="B83" s="645"/>
      <c r="C83" s="336">
        <v>8</v>
      </c>
      <c r="D83" s="336" t="s">
        <v>120</v>
      </c>
      <c r="E83" s="337">
        <f>VLOOKUP(D83,'07產線配置圖'!$A$3:$C$26,2,0)</f>
        <v>18</v>
      </c>
      <c r="F83" s="337">
        <f>VLOOKUP(D83,'07產線配置圖'!$A$3:$C$26,3,0)</f>
        <v>1636</v>
      </c>
      <c r="G83" s="330">
        <f t="shared" si="70"/>
        <v>90.888888888888886</v>
      </c>
      <c r="H83" s="632"/>
      <c r="I83" s="337">
        <f t="shared" si="79"/>
        <v>18</v>
      </c>
      <c r="J83" s="337">
        <f t="shared" si="79"/>
        <v>1445</v>
      </c>
      <c r="K83" s="330">
        <f t="shared" si="79"/>
        <v>80.277777777777786</v>
      </c>
      <c r="L83" s="632"/>
      <c r="M83" s="337">
        <f t="shared" si="80"/>
        <v>16</v>
      </c>
      <c r="N83" s="637"/>
      <c r="O83" s="637"/>
      <c r="P83" s="336">
        <v>18</v>
      </c>
      <c r="Q83" s="337">
        <v>1486</v>
      </c>
      <c r="R83" s="328">
        <f t="shared" si="71"/>
        <v>82.555555555555557</v>
      </c>
      <c r="S83" s="359">
        <f t="shared" si="81"/>
        <v>15</v>
      </c>
      <c r="T83" s="632"/>
      <c r="U83" s="336">
        <v>18</v>
      </c>
      <c r="V83" s="337">
        <v>1441</v>
      </c>
      <c r="W83" s="328">
        <f t="shared" si="72"/>
        <v>80.055555555555557</v>
      </c>
      <c r="X83" s="336">
        <f t="shared" si="82"/>
        <v>15</v>
      </c>
      <c r="Y83" s="632"/>
      <c r="Z83" s="336">
        <v>18</v>
      </c>
      <c r="AA83" s="337">
        <v>1552</v>
      </c>
      <c r="AB83" s="330">
        <f t="shared" si="73"/>
        <v>86.222222222222229</v>
      </c>
      <c r="AC83" s="336">
        <f t="shared" si="83"/>
        <v>13</v>
      </c>
      <c r="AD83" s="632"/>
      <c r="AE83" s="336">
        <v>18</v>
      </c>
      <c r="AF83" s="337">
        <v>1511</v>
      </c>
      <c r="AG83" s="328">
        <f t="shared" si="74"/>
        <v>83.944444444444443</v>
      </c>
      <c r="AH83" s="336">
        <f t="shared" ref="AH83:AH91" si="87">RANK(AG83, $AG$76:$AG$93)</f>
        <v>14</v>
      </c>
      <c r="AI83" s="632"/>
      <c r="AJ83" s="336">
        <v>18</v>
      </c>
      <c r="AK83" s="337">
        <v>1463</v>
      </c>
      <c r="AL83" s="328">
        <f t="shared" si="76"/>
        <v>81.277777777777771</v>
      </c>
      <c r="AM83" s="336">
        <f t="shared" si="84"/>
        <v>12</v>
      </c>
      <c r="AN83" s="632"/>
      <c r="AO83" s="336">
        <v>18</v>
      </c>
      <c r="AP83" s="337">
        <v>1356</v>
      </c>
      <c r="AQ83" s="328">
        <f t="shared" si="77"/>
        <v>75.333333333333329</v>
      </c>
      <c r="AR83" s="336">
        <f t="shared" si="85"/>
        <v>16</v>
      </c>
      <c r="AS83" s="632"/>
      <c r="AT83" s="336">
        <v>18</v>
      </c>
      <c r="AU83" s="337">
        <v>1306</v>
      </c>
      <c r="AV83" s="328">
        <f t="shared" si="78"/>
        <v>72.555555555555557</v>
      </c>
      <c r="AW83" s="336">
        <f t="shared" si="86"/>
        <v>16</v>
      </c>
      <c r="AX83" s="632"/>
    </row>
    <row r="84" spans="2:50">
      <c r="B84" s="645"/>
      <c r="C84" s="336">
        <v>9</v>
      </c>
      <c r="D84" s="336" t="s">
        <v>115</v>
      </c>
      <c r="E84" s="337">
        <f>VLOOKUP(D84,'07產線配置圖'!$A$3:$C$26,2,0)</f>
        <v>13</v>
      </c>
      <c r="F84" s="337">
        <f>VLOOKUP(D84,'07產線配置圖'!$A$3:$C$26,3,0)</f>
        <v>2250</v>
      </c>
      <c r="G84" s="330">
        <f t="shared" si="70"/>
        <v>173.07692307692307</v>
      </c>
      <c r="H84" s="632"/>
      <c r="I84" s="337">
        <f t="shared" si="79"/>
        <v>13</v>
      </c>
      <c r="J84" s="337">
        <f t="shared" ref="J84:K86" si="88">AVERAGE(Q84,V84,AA84,AF84,AK84,AP84,AU84)</f>
        <v>2071.7142857142858</v>
      </c>
      <c r="K84" s="330">
        <f t="shared" si="88"/>
        <v>159.36263736263734</v>
      </c>
      <c r="L84" s="632"/>
      <c r="M84" s="337">
        <f t="shared" si="80"/>
        <v>3</v>
      </c>
      <c r="N84" s="637"/>
      <c r="O84" s="637"/>
      <c r="P84" s="336">
        <v>13</v>
      </c>
      <c r="Q84" s="337">
        <v>2039</v>
      </c>
      <c r="R84" s="330">
        <v>156.84615384615384</v>
      </c>
      <c r="S84" s="359">
        <f t="shared" si="81"/>
        <v>3</v>
      </c>
      <c r="T84" s="632"/>
      <c r="U84" s="336">
        <v>13</v>
      </c>
      <c r="V84" s="337">
        <v>2053</v>
      </c>
      <c r="W84" s="330">
        <f t="shared" si="72"/>
        <v>157.92307692307693</v>
      </c>
      <c r="X84" s="336">
        <f t="shared" si="82"/>
        <v>3</v>
      </c>
      <c r="Y84" s="632"/>
      <c r="Z84" s="336">
        <v>13</v>
      </c>
      <c r="AA84" s="337">
        <v>2069</v>
      </c>
      <c r="AB84" s="330">
        <f t="shared" si="73"/>
        <v>159.15384615384616</v>
      </c>
      <c r="AC84" s="336">
        <f t="shared" si="83"/>
        <v>3</v>
      </c>
      <c r="AD84" s="632"/>
      <c r="AE84" s="336">
        <v>13</v>
      </c>
      <c r="AF84" s="337">
        <v>2086</v>
      </c>
      <c r="AG84" s="330">
        <f t="shared" si="74"/>
        <v>160.46153846153845</v>
      </c>
      <c r="AH84" s="336">
        <f t="shared" si="87"/>
        <v>3</v>
      </c>
      <c r="AI84" s="632"/>
      <c r="AJ84" s="336">
        <v>13</v>
      </c>
      <c r="AK84" s="337">
        <v>2018</v>
      </c>
      <c r="AL84" s="330">
        <f t="shared" si="76"/>
        <v>155.23076923076923</v>
      </c>
      <c r="AM84" s="336">
        <f t="shared" si="84"/>
        <v>3</v>
      </c>
      <c r="AN84" s="632"/>
      <c r="AO84" s="336">
        <v>13</v>
      </c>
      <c r="AP84" s="337">
        <v>2159</v>
      </c>
      <c r="AQ84" s="330">
        <f t="shared" si="77"/>
        <v>166.07692307692307</v>
      </c>
      <c r="AR84" s="336">
        <f t="shared" si="85"/>
        <v>2</v>
      </c>
      <c r="AS84" s="632"/>
      <c r="AT84" s="336">
        <v>13</v>
      </c>
      <c r="AU84" s="337">
        <v>2078</v>
      </c>
      <c r="AV84" s="330">
        <f t="shared" si="78"/>
        <v>159.84615384615384</v>
      </c>
      <c r="AW84" s="336">
        <f t="shared" si="86"/>
        <v>2</v>
      </c>
      <c r="AX84" s="632"/>
    </row>
    <row r="85" spans="2:50">
      <c r="B85" s="645"/>
      <c r="C85" s="336">
        <v>10</v>
      </c>
      <c r="D85" s="336" t="s">
        <v>127</v>
      </c>
      <c r="E85" s="337">
        <f>VLOOKUP(D85,'07產線配置圖'!$A$3:$C$26,2,0)</f>
        <v>17</v>
      </c>
      <c r="F85" s="337">
        <f>VLOOKUP(D85,'07產線配置圖'!$A$3:$C$26,3,0)</f>
        <v>1636</v>
      </c>
      <c r="G85" s="330">
        <f t="shared" si="70"/>
        <v>96.235294117647058</v>
      </c>
      <c r="H85" s="632"/>
      <c r="I85" s="337">
        <f>AVERAGE(P85,U85,Z85,AE85,AJ85,AO85,AT85)</f>
        <v>17</v>
      </c>
      <c r="J85" s="337">
        <f t="shared" si="88"/>
        <v>1456.1428571428571</v>
      </c>
      <c r="K85" s="330">
        <f t="shared" si="88"/>
        <v>85.655462184873954</v>
      </c>
      <c r="L85" s="632"/>
      <c r="M85" s="337">
        <f t="shared" si="80"/>
        <v>13</v>
      </c>
      <c r="N85" s="637"/>
      <c r="O85" s="637"/>
      <c r="P85" s="336">
        <v>17</v>
      </c>
      <c r="Q85" s="337">
        <v>1560</v>
      </c>
      <c r="R85" s="330">
        <v>91.764705882352942</v>
      </c>
      <c r="S85" s="359">
        <f t="shared" si="81"/>
        <v>11</v>
      </c>
      <c r="T85" s="632"/>
      <c r="U85" s="336">
        <v>17</v>
      </c>
      <c r="V85" s="337">
        <v>1446</v>
      </c>
      <c r="W85" s="328">
        <f t="shared" si="72"/>
        <v>85.058823529411768</v>
      </c>
      <c r="X85" s="336">
        <f t="shared" si="82"/>
        <v>13</v>
      </c>
      <c r="Y85" s="632"/>
      <c r="Z85" s="336">
        <v>17</v>
      </c>
      <c r="AA85" s="337">
        <v>1415</v>
      </c>
      <c r="AB85" s="330">
        <f t="shared" si="73"/>
        <v>83.235294117647058</v>
      </c>
      <c r="AC85" s="336">
        <f t="shared" si="83"/>
        <v>16</v>
      </c>
      <c r="AD85" s="632"/>
      <c r="AE85" s="336">
        <v>17</v>
      </c>
      <c r="AF85" s="337">
        <v>1563</v>
      </c>
      <c r="AG85" s="330">
        <f t="shared" si="74"/>
        <v>91.941176470588232</v>
      </c>
      <c r="AH85" s="336">
        <f t="shared" si="87"/>
        <v>12</v>
      </c>
      <c r="AI85" s="632"/>
      <c r="AJ85" s="336">
        <v>17</v>
      </c>
      <c r="AK85" s="337">
        <v>1342</v>
      </c>
      <c r="AL85" s="328">
        <f t="shared" si="76"/>
        <v>78.941176470588232</v>
      </c>
      <c r="AM85" s="336">
        <f t="shared" si="84"/>
        <v>15</v>
      </c>
      <c r="AN85" s="632"/>
      <c r="AO85" s="336">
        <v>17</v>
      </c>
      <c r="AP85" s="337">
        <v>1382</v>
      </c>
      <c r="AQ85" s="328">
        <f t="shared" si="77"/>
        <v>81.294117647058826</v>
      </c>
      <c r="AR85" s="336">
        <f t="shared" si="85"/>
        <v>15</v>
      </c>
      <c r="AS85" s="632"/>
      <c r="AT85" s="336">
        <v>17</v>
      </c>
      <c r="AU85" s="337">
        <v>1485</v>
      </c>
      <c r="AV85" s="328">
        <f t="shared" si="78"/>
        <v>87.352941176470594</v>
      </c>
      <c r="AW85" s="336">
        <f t="shared" si="86"/>
        <v>14</v>
      </c>
      <c r="AX85" s="632"/>
    </row>
    <row r="86" spans="2:50">
      <c r="B86" s="645"/>
      <c r="C86" s="336">
        <v>11</v>
      </c>
      <c r="D86" s="336" t="s">
        <v>122</v>
      </c>
      <c r="E86" s="337">
        <f>VLOOKUP(D86,'07產線配置圖'!$A$3:$C$26,2,0)</f>
        <v>18</v>
      </c>
      <c r="F86" s="337">
        <f>VLOOKUP(D86,'07產線配置圖'!$A$3:$C$26,3,0)</f>
        <v>1636</v>
      </c>
      <c r="G86" s="330">
        <f t="shared" si="70"/>
        <v>90.888888888888886</v>
      </c>
      <c r="H86" s="632"/>
      <c r="I86" s="337">
        <f>AVERAGE(P86,U86,Z86,AE86,AJ86,AO86,AT86)</f>
        <v>16.857142857142858</v>
      </c>
      <c r="J86" s="337">
        <f t="shared" si="88"/>
        <v>1392.4285714285713</v>
      </c>
      <c r="K86" s="330">
        <f t="shared" si="88"/>
        <v>82.617647058823522</v>
      </c>
      <c r="L86" s="632"/>
      <c r="M86" s="337">
        <f t="shared" si="80"/>
        <v>15</v>
      </c>
      <c r="N86" s="637"/>
      <c r="O86" s="637"/>
      <c r="P86" s="340">
        <v>16</v>
      </c>
      <c r="Q86" s="336">
        <v>1352</v>
      </c>
      <c r="R86" s="328">
        <v>84.5</v>
      </c>
      <c r="S86" s="359">
        <f t="shared" si="81"/>
        <v>14</v>
      </c>
      <c r="T86" s="632"/>
      <c r="U86" s="340">
        <v>17</v>
      </c>
      <c r="V86" s="336">
        <v>1439</v>
      </c>
      <c r="W86" s="328">
        <f t="shared" si="72"/>
        <v>84.647058823529406</v>
      </c>
      <c r="X86" s="336">
        <f t="shared" si="82"/>
        <v>14</v>
      </c>
      <c r="Y86" s="632"/>
      <c r="Z86" s="336">
        <v>17</v>
      </c>
      <c r="AA86" s="336">
        <v>1454</v>
      </c>
      <c r="AB86" s="330">
        <f t="shared" si="73"/>
        <v>85.529411764705884</v>
      </c>
      <c r="AC86" s="336">
        <f t="shared" si="83"/>
        <v>14</v>
      </c>
      <c r="AD86" s="632"/>
      <c r="AE86" s="340">
        <v>17</v>
      </c>
      <c r="AF86" s="336">
        <v>1299</v>
      </c>
      <c r="AG86" s="328">
        <f t="shared" si="74"/>
        <v>76.411764705882348</v>
      </c>
      <c r="AH86" s="336">
        <f t="shared" si="87"/>
        <v>16</v>
      </c>
      <c r="AI86" s="632"/>
      <c r="AJ86" s="336">
        <v>17</v>
      </c>
      <c r="AK86" s="336">
        <v>1292</v>
      </c>
      <c r="AL86" s="328">
        <f t="shared" si="76"/>
        <v>76</v>
      </c>
      <c r="AM86" s="336">
        <f t="shared" si="84"/>
        <v>16</v>
      </c>
      <c r="AN86" s="632"/>
      <c r="AO86" s="340">
        <v>17</v>
      </c>
      <c r="AP86" s="336">
        <v>1500</v>
      </c>
      <c r="AQ86" s="328">
        <f t="shared" si="77"/>
        <v>88.235294117647058</v>
      </c>
      <c r="AR86" s="336">
        <f t="shared" si="85"/>
        <v>13</v>
      </c>
      <c r="AS86" s="632"/>
      <c r="AT86" s="340">
        <v>17</v>
      </c>
      <c r="AU86" s="336">
        <v>1411</v>
      </c>
      <c r="AV86" s="328">
        <f t="shared" si="78"/>
        <v>83</v>
      </c>
      <c r="AW86" s="336">
        <f t="shared" si="86"/>
        <v>15</v>
      </c>
      <c r="AX86" s="632"/>
    </row>
    <row r="87" spans="2:50">
      <c r="B87" s="645"/>
      <c r="C87" s="336">
        <v>12</v>
      </c>
      <c r="D87" s="336" t="s">
        <v>125</v>
      </c>
      <c r="E87" s="337">
        <f>VLOOKUP(D87,'07產線配置圖'!$A$3:$C$26,2,0)</f>
        <v>17</v>
      </c>
      <c r="F87" s="337">
        <f>VLOOKUP(D87,'07產線配置圖'!$A$3:$C$26,3,0)</f>
        <v>1636</v>
      </c>
      <c r="G87" s="330">
        <f t="shared" si="70"/>
        <v>96.235294117647058</v>
      </c>
      <c r="H87" s="632"/>
      <c r="I87" s="337">
        <f t="shared" ref="I87:I88" si="89">AVERAGE(P87,U87,Z87,AE87,AJ87,AO87,AT87)</f>
        <v>16.571428571428573</v>
      </c>
      <c r="J87" s="337">
        <f t="shared" ref="J87:J88" si="90">AVERAGE(Q87,V87,AA87,AF87,AK87,AP87,AU87)</f>
        <v>1410.7142857142858</v>
      </c>
      <c r="K87" s="330">
        <f t="shared" ref="K87:K88" si="91">AVERAGE(R87,W87,AB87,AG87,AL87,AQ87,AV87)</f>
        <v>85.084558823529406</v>
      </c>
      <c r="L87" s="632"/>
      <c r="M87" s="337">
        <f t="shared" si="80"/>
        <v>14</v>
      </c>
      <c r="N87" s="637"/>
      <c r="O87" s="637"/>
      <c r="P87" s="340">
        <v>16</v>
      </c>
      <c r="Q87" s="336">
        <v>1285</v>
      </c>
      <c r="R87" s="328">
        <v>80.3125</v>
      </c>
      <c r="S87" s="359">
        <f t="shared" si="81"/>
        <v>16</v>
      </c>
      <c r="T87" s="632"/>
      <c r="U87" s="340">
        <v>16</v>
      </c>
      <c r="V87" s="336">
        <v>1267</v>
      </c>
      <c r="W87" s="328">
        <f t="shared" si="72"/>
        <v>79.1875</v>
      </c>
      <c r="X87" s="336">
        <f t="shared" si="82"/>
        <v>16</v>
      </c>
      <c r="Y87" s="632"/>
      <c r="Z87" s="336">
        <v>17</v>
      </c>
      <c r="AA87" s="336">
        <v>1477</v>
      </c>
      <c r="AB87" s="330">
        <f t="shared" si="73"/>
        <v>86.882352941176464</v>
      </c>
      <c r="AC87" s="336">
        <f t="shared" si="83"/>
        <v>12</v>
      </c>
      <c r="AD87" s="632"/>
      <c r="AE87" s="336">
        <v>16</v>
      </c>
      <c r="AF87" s="336">
        <v>1449</v>
      </c>
      <c r="AG87" s="330">
        <f t="shared" si="74"/>
        <v>90.5625</v>
      </c>
      <c r="AH87" s="336">
        <f t="shared" si="87"/>
        <v>13</v>
      </c>
      <c r="AI87" s="632"/>
      <c r="AJ87" s="336">
        <v>17</v>
      </c>
      <c r="AK87" s="336">
        <v>1350</v>
      </c>
      <c r="AL87" s="328">
        <f t="shared" si="76"/>
        <v>79.411764705882348</v>
      </c>
      <c r="AM87" s="336">
        <f t="shared" si="84"/>
        <v>13</v>
      </c>
      <c r="AN87" s="632"/>
      <c r="AO87" s="336">
        <v>17</v>
      </c>
      <c r="AP87" s="336">
        <v>1511</v>
      </c>
      <c r="AQ87" s="328">
        <f t="shared" si="77"/>
        <v>88.882352941176464</v>
      </c>
      <c r="AR87" s="336">
        <f t="shared" si="85"/>
        <v>12</v>
      </c>
      <c r="AS87" s="632"/>
      <c r="AT87" s="336">
        <v>17</v>
      </c>
      <c r="AU87" s="336">
        <v>1536</v>
      </c>
      <c r="AV87" s="330">
        <f t="shared" si="78"/>
        <v>90.352941176470594</v>
      </c>
      <c r="AW87" s="336">
        <f t="shared" si="86"/>
        <v>13</v>
      </c>
      <c r="AX87" s="632"/>
    </row>
    <row r="88" spans="2:50">
      <c r="B88" s="645"/>
      <c r="C88" s="336">
        <v>13</v>
      </c>
      <c r="D88" s="336" t="s">
        <v>172</v>
      </c>
      <c r="E88" s="337">
        <f>VLOOKUP(D88,'07產線配置圖'!$A$3:$C$26,2,0)</f>
        <v>16</v>
      </c>
      <c r="F88" s="337">
        <f>VLOOKUP(D88,'07產線配置圖'!$A$3:$C$26,3,0)</f>
        <v>1636</v>
      </c>
      <c r="G88" s="330">
        <f t="shared" si="70"/>
        <v>102.25</v>
      </c>
      <c r="H88" s="632"/>
      <c r="I88" s="337">
        <f t="shared" si="89"/>
        <v>16</v>
      </c>
      <c r="J88" s="337">
        <f t="shared" si="90"/>
        <v>1519.1428571428571</v>
      </c>
      <c r="K88" s="330">
        <f t="shared" si="91"/>
        <v>94.946428571428569</v>
      </c>
      <c r="L88" s="632"/>
      <c r="M88" s="337">
        <f t="shared" si="80"/>
        <v>10</v>
      </c>
      <c r="N88" s="637"/>
      <c r="O88" s="637"/>
      <c r="P88" s="336">
        <v>16</v>
      </c>
      <c r="Q88" s="336">
        <v>1429</v>
      </c>
      <c r="R88" s="328">
        <v>89.3125</v>
      </c>
      <c r="S88" s="359">
        <f t="shared" si="81"/>
        <v>12</v>
      </c>
      <c r="T88" s="632"/>
      <c r="U88" s="336">
        <v>16</v>
      </c>
      <c r="V88" s="336">
        <v>1545</v>
      </c>
      <c r="W88" s="330">
        <f t="shared" si="72"/>
        <v>96.5625</v>
      </c>
      <c r="X88" s="336">
        <f t="shared" si="82"/>
        <v>8</v>
      </c>
      <c r="Y88" s="632"/>
      <c r="Z88" s="336">
        <v>16</v>
      </c>
      <c r="AA88" s="336">
        <v>1536</v>
      </c>
      <c r="AB88" s="330">
        <f t="shared" si="73"/>
        <v>96</v>
      </c>
      <c r="AC88" s="336">
        <f t="shared" si="83"/>
        <v>10</v>
      </c>
      <c r="AD88" s="632"/>
      <c r="AE88" s="336">
        <v>16</v>
      </c>
      <c r="AF88" s="336">
        <v>1534</v>
      </c>
      <c r="AG88" s="330">
        <f t="shared" si="74"/>
        <v>95.875</v>
      </c>
      <c r="AH88" s="336">
        <f t="shared" si="87"/>
        <v>9</v>
      </c>
      <c r="AI88" s="632"/>
      <c r="AJ88" s="336">
        <v>16</v>
      </c>
      <c r="AK88" s="336">
        <v>1412</v>
      </c>
      <c r="AL88" s="328">
        <f t="shared" si="76"/>
        <v>88.25</v>
      </c>
      <c r="AM88" s="336">
        <f t="shared" si="84"/>
        <v>11</v>
      </c>
      <c r="AN88" s="632"/>
      <c r="AO88" s="336">
        <v>16</v>
      </c>
      <c r="AP88" s="336">
        <v>1608</v>
      </c>
      <c r="AQ88" s="330">
        <f t="shared" si="77"/>
        <v>100.5</v>
      </c>
      <c r="AR88" s="336">
        <f t="shared" si="85"/>
        <v>8</v>
      </c>
      <c r="AS88" s="632"/>
      <c r="AT88" s="336">
        <v>16</v>
      </c>
      <c r="AU88" s="336">
        <v>1570</v>
      </c>
      <c r="AV88" s="330">
        <f t="shared" si="78"/>
        <v>98.125</v>
      </c>
      <c r="AW88" s="336">
        <f t="shared" si="86"/>
        <v>10</v>
      </c>
      <c r="AX88" s="632"/>
    </row>
    <row r="89" spans="2:50">
      <c r="B89" s="645"/>
      <c r="C89" s="336">
        <v>14</v>
      </c>
      <c r="D89" s="336" t="s">
        <v>228</v>
      </c>
      <c r="E89" s="337">
        <f>VLOOKUP(D89,'07產線配置圖'!$A$3:$C$26,2,0)</f>
        <v>17</v>
      </c>
      <c r="F89" s="337">
        <f>VLOOKUP(D89,'07產線配置圖'!$A$3:$C$26,3,0)</f>
        <v>2250</v>
      </c>
      <c r="G89" s="330">
        <f t="shared" si="70"/>
        <v>132.35294117647058</v>
      </c>
      <c r="H89" s="632"/>
      <c r="I89" s="337">
        <f>AVERAGE(P89,U89,Z89,AE89,AJ89,AO89,AT89)</f>
        <v>16.714285714285715</v>
      </c>
      <c r="J89" s="337">
        <f>AVERAGE(Q89,V89,AA89,AF89,AK89,AP89,AU89)</f>
        <v>2000.8571428571429</v>
      </c>
      <c r="K89" s="330">
        <f>AVERAGE(R89,W89,AB89,AG89,AL89,AQ89,AV89)</f>
        <v>119.72689075630251</v>
      </c>
      <c r="L89" s="632"/>
      <c r="M89" s="337">
        <f t="shared" si="80"/>
        <v>6</v>
      </c>
      <c r="N89" s="637"/>
      <c r="O89" s="637"/>
      <c r="P89" s="336">
        <v>17</v>
      </c>
      <c r="Q89" s="336">
        <v>1900</v>
      </c>
      <c r="R89" s="330">
        <v>111.76470588235294</v>
      </c>
      <c r="S89" s="359">
        <f t="shared" si="81"/>
        <v>6</v>
      </c>
      <c r="T89" s="632"/>
      <c r="U89" s="336">
        <v>17</v>
      </c>
      <c r="V89" s="336">
        <v>2048</v>
      </c>
      <c r="W89" s="330">
        <f t="shared" si="72"/>
        <v>120.47058823529412</v>
      </c>
      <c r="X89" s="336">
        <f t="shared" si="82"/>
        <v>6</v>
      </c>
      <c r="Y89" s="632"/>
      <c r="Z89" s="336">
        <v>17</v>
      </c>
      <c r="AA89" s="336">
        <v>1892</v>
      </c>
      <c r="AB89" s="330">
        <f t="shared" si="73"/>
        <v>111.29411764705883</v>
      </c>
      <c r="AC89" s="336">
        <f t="shared" si="83"/>
        <v>6</v>
      </c>
      <c r="AD89" s="632"/>
      <c r="AE89" s="336">
        <v>16</v>
      </c>
      <c r="AF89" s="336">
        <v>1847</v>
      </c>
      <c r="AG89" s="330">
        <f t="shared" si="74"/>
        <v>115.4375</v>
      </c>
      <c r="AH89" s="336">
        <f t="shared" si="87"/>
        <v>6</v>
      </c>
      <c r="AI89" s="632"/>
      <c r="AJ89" s="336">
        <v>16</v>
      </c>
      <c r="AK89" s="336">
        <v>2017</v>
      </c>
      <c r="AL89" s="330">
        <f t="shared" si="76"/>
        <v>126.0625</v>
      </c>
      <c r="AM89" s="336">
        <f t="shared" si="84"/>
        <v>6</v>
      </c>
      <c r="AN89" s="632"/>
      <c r="AO89" s="336">
        <v>17</v>
      </c>
      <c r="AP89" s="336">
        <v>2162</v>
      </c>
      <c r="AQ89" s="330">
        <f t="shared" si="77"/>
        <v>127.17647058823529</v>
      </c>
      <c r="AR89" s="336">
        <f t="shared" si="85"/>
        <v>6</v>
      </c>
      <c r="AS89" s="632"/>
      <c r="AT89" s="336">
        <v>17</v>
      </c>
      <c r="AU89" s="336">
        <v>2140</v>
      </c>
      <c r="AV89" s="330">
        <f t="shared" si="78"/>
        <v>125.88235294117646</v>
      </c>
      <c r="AW89" s="336">
        <f t="shared" si="86"/>
        <v>6</v>
      </c>
      <c r="AX89" s="632"/>
    </row>
    <row r="90" spans="2:50">
      <c r="B90" s="645"/>
      <c r="C90" s="336">
        <v>15</v>
      </c>
      <c r="D90" s="336" t="s">
        <v>129</v>
      </c>
      <c r="E90" s="337">
        <f>VLOOKUP(D90,'07產線配置圖'!$A$3:$C$26,2,0)</f>
        <v>18</v>
      </c>
      <c r="F90" s="337">
        <f>VLOOKUP(D90,'07產線配置圖'!$A$3:$C$26,3,0)</f>
        <v>1636</v>
      </c>
      <c r="G90" s="330">
        <f t="shared" si="70"/>
        <v>90.888888888888886</v>
      </c>
      <c r="H90" s="632"/>
      <c r="I90" s="337">
        <f t="shared" ref="I90:J91" si="92">AVERAGE(P90,U90,Z90,AE90,AJ90,AO90,AT90)</f>
        <v>17.142857142857142</v>
      </c>
      <c r="J90" s="337">
        <f t="shared" si="92"/>
        <v>1491.1428571428571</v>
      </c>
      <c r="K90" s="330">
        <f t="shared" ref="K90:K91" si="93">AVERAGE(R90,W90,AB90,AG90,AL90,AQ90,AV90)</f>
        <v>87.165674603174594</v>
      </c>
      <c r="L90" s="632"/>
      <c r="M90" s="337">
        <f t="shared" si="80"/>
        <v>12</v>
      </c>
      <c r="N90" s="637"/>
      <c r="O90" s="637"/>
      <c r="P90" s="336">
        <v>18</v>
      </c>
      <c r="Q90" s="336">
        <v>1584</v>
      </c>
      <c r="R90" s="328">
        <f t="shared" si="71"/>
        <v>88</v>
      </c>
      <c r="S90" s="359">
        <f t="shared" si="81"/>
        <v>13</v>
      </c>
      <c r="T90" s="632"/>
      <c r="U90" s="340">
        <v>17</v>
      </c>
      <c r="V90" s="336">
        <v>1487</v>
      </c>
      <c r="W90" s="328">
        <f t="shared" si="72"/>
        <v>87.470588235294116</v>
      </c>
      <c r="X90" s="336">
        <f t="shared" si="82"/>
        <v>12</v>
      </c>
      <c r="Y90" s="632"/>
      <c r="Z90" s="336">
        <v>18</v>
      </c>
      <c r="AA90" s="336">
        <v>1507</v>
      </c>
      <c r="AB90" s="330">
        <f t="shared" si="73"/>
        <v>83.722222222222229</v>
      </c>
      <c r="AC90" s="336">
        <f t="shared" si="83"/>
        <v>15</v>
      </c>
      <c r="AD90" s="632"/>
      <c r="AE90" s="340">
        <v>17</v>
      </c>
      <c r="AF90" s="336">
        <v>1398</v>
      </c>
      <c r="AG90" s="328">
        <f t="shared" si="74"/>
        <v>82.235294117647058</v>
      </c>
      <c r="AH90" s="336">
        <f t="shared" si="87"/>
        <v>15</v>
      </c>
      <c r="AI90" s="632"/>
      <c r="AJ90" s="336">
        <v>17</v>
      </c>
      <c r="AK90" s="336">
        <v>1348</v>
      </c>
      <c r="AL90" s="328">
        <f t="shared" si="76"/>
        <v>79.294117647058826</v>
      </c>
      <c r="AM90" s="336">
        <f t="shared" si="84"/>
        <v>14</v>
      </c>
      <c r="AN90" s="632"/>
      <c r="AO90" s="340">
        <v>17</v>
      </c>
      <c r="AP90" s="336">
        <v>1411</v>
      </c>
      <c r="AQ90" s="328">
        <f t="shared" si="77"/>
        <v>83</v>
      </c>
      <c r="AR90" s="336">
        <f t="shared" si="85"/>
        <v>14</v>
      </c>
      <c r="AS90" s="632"/>
      <c r="AT90" s="340">
        <v>16</v>
      </c>
      <c r="AU90" s="336">
        <v>1703</v>
      </c>
      <c r="AV90" s="330">
        <f t="shared" si="78"/>
        <v>106.4375</v>
      </c>
      <c r="AW90" s="336">
        <f t="shared" si="86"/>
        <v>8</v>
      </c>
      <c r="AX90" s="632"/>
    </row>
    <row r="91" spans="2:50">
      <c r="B91" s="645"/>
      <c r="C91" s="336">
        <v>16</v>
      </c>
      <c r="D91" s="336" t="s">
        <v>387</v>
      </c>
      <c r="E91" s="337">
        <f>VLOOKUP(D91,'07產線配置圖'!$A$3:$C$26,2,0)</f>
        <v>13</v>
      </c>
      <c r="F91" s="337">
        <f>VLOOKUP(D91,'07產線配置圖'!$A$3:$C$26,3,0)</f>
        <v>1565</v>
      </c>
      <c r="G91" s="330">
        <f>F91/E91</f>
        <v>120.38461538461539</v>
      </c>
      <c r="H91" s="632"/>
      <c r="I91" s="337">
        <f t="shared" si="92"/>
        <v>9.1428571428571423</v>
      </c>
      <c r="J91" s="337">
        <f t="shared" si="92"/>
        <v>976</v>
      </c>
      <c r="K91" s="330">
        <f t="shared" si="93"/>
        <v>106.9527417027417</v>
      </c>
      <c r="L91" s="632"/>
      <c r="M91" s="337">
        <f t="shared" si="80"/>
        <v>7</v>
      </c>
      <c r="N91" s="637"/>
      <c r="O91" s="637"/>
      <c r="P91" s="340">
        <v>9</v>
      </c>
      <c r="Q91" s="336">
        <v>958</v>
      </c>
      <c r="R91" s="330">
        <f t="shared" si="71"/>
        <v>106.44444444444444</v>
      </c>
      <c r="S91" s="359">
        <f t="shared" si="81"/>
        <v>7</v>
      </c>
      <c r="T91" s="632"/>
      <c r="U91" s="340">
        <v>9</v>
      </c>
      <c r="V91" s="336">
        <v>908</v>
      </c>
      <c r="W91" s="330">
        <f t="shared" si="72"/>
        <v>100.88888888888889</v>
      </c>
      <c r="X91" s="336">
        <f t="shared" si="82"/>
        <v>7</v>
      </c>
      <c r="Y91" s="632"/>
      <c r="Z91" s="336">
        <v>9</v>
      </c>
      <c r="AA91" s="336">
        <v>893</v>
      </c>
      <c r="AB91" s="330">
        <f t="shared" si="73"/>
        <v>99.222222222222229</v>
      </c>
      <c r="AC91" s="336">
        <f t="shared" si="83"/>
        <v>8</v>
      </c>
      <c r="AD91" s="632"/>
      <c r="AE91" s="336">
        <v>10</v>
      </c>
      <c r="AF91" s="336">
        <v>1100</v>
      </c>
      <c r="AG91" s="330">
        <f t="shared" si="74"/>
        <v>110</v>
      </c>
      <c r="AH91" s="336">
        <f t="shared" si="87"/>
        <v>7</v>
      </c>
      <c r="AI91" s="632"/>
      <c r="AJ91" s="336">
        <v>11</v>
      </c>
      <c r="AK91" s="336">
        <v>1159</v>
      </c>
      <c r="AL91" s="330">
        <f t="shared" si="76"/>
        <v>105.36363636363636</v>
      </c>
      <c r="AM91" s="336">
        <f t="shared" si="84"/>
        <v>7</v>
      </c>
      <c r="AN91" s="632"/>
      <c r="AO91" s="336">
        <v>8</v>
      </c>
      <c r="AP91" s="336">
        <v>894</v>
      </c>
      <c r="AQ91" s="330">
        <f t="shared" si="77"/>
        <v>111.75</v>
      </c>
      <c r="AR91" s="336">
        <f t="shared" si="85"/>
        <v>7</v>
      </c>
      <c r="AS91" s="632"/>
      <c r="AT91" s="340">
        <v>8</v>
      </c>
      <c r="AU91" s="336">
        <v>920</v>
      </c>
      <c r="AV91" s="330">
        <f t="shared" si="78"/>
        <v>115</v>
      </c>
      <c r="AW91" s="336">
        <f t="shared" si="86"/>
        <v>7</v>
      </c>
      <c r="AX91" s="632"/>
    </row>
    <row r="92" spans="2:50">
      <c r="B92" s="645"/>
      <c r="C92" s="336">
        <v>17</v>
      </c>
      <c r="D92" s="336"/>
      <c r="E92" s="337"/>
      <c r="F92" s="337"/>
      <c r="G92" s="330"/>
      <c r="H92" s="632"/>
      <c r="I92" s="337"/>
      <c r="J92" s="337"/>
      <c r="K92" s="330"/>
      <c r="L92" s="632"/>
      <c r="M92" s="337"/>
      <c r="N92" s="637"/>
      <c r="O92" s="637"/>
      <c r="P92" s="336"/>
      <c r="Q92" s="336"/>
      <c r="R92" s="328"/>
      <c r="S92" s="359"/>
      <c r="T92" s="632"/>
      <c r="U92" s="336"/>
      <c r="V92" s="336"/>
      <c r="W92" s="330"/>
      <c r="X92" s="336"/>
      <c r="Y92" s="632"/>
      <c r="Z92" s="336"/>
      <c r="AA92" s="336"/>
      <c r="AB92" s="330"/>
      <c r="AC92" s="336"/>
      <c r="AD92" s="632"/>
      <c r="AE92" s="336"/>
      <c r="AF92" s="336"/>
      <c r="AG92" s="330"/>
      <c r="AH92" s="336"/>
      <c r="AI92" s="632"/>
      <c r="AJ92" s="336"/>
      <c r="AK92" s="336"/>
      <c r="AL92" s="330"/>
      <c r="AM92" s="336"/>
      <c r="AN92" s="632"/>
      <c r="AO92" s="336"/>
      <c r="AP92" s="336"/>
      <c r="AQ92" s="330"/>
      <c r="AR92" s="336"/>
      <c r="AS92" s="632"/>
      <c r="AT92" s="336"/>
      <c r="AU92" s="336"/>
      <c r="AV92" s="330"/>
      <c r="AW92" s="336"/>
      <c r="AX92" s="632"/>
    </row>
    <row r="93" spans="2:50">
      <c r="B93" s="646"/>
      <c r="C93" s="336">
        <v>18</v>
      </c>
      <c r="D93" s="336"/>
      <c r="E93" s="337"/>
      <c r="F93" s="337"/>
      <c r="G93" s="330"/>
      <c r="H93" s="632"/>
      <c r="I93" s="337"/>
      <c r="J93" s="337"/>
      <c r="K93" s="330"/>
      <c r="L93" s="633"/>
      <c r="M93" s="337"/>
      <c r="N93" s="620"/>
      <c r="O93" s="620"/>
      <c r="P93" s="381"/>
      <c r="Q93" s="336"/>
      <c r="R93" s="358"/>
      <c r="S93" s="359"/>
      <c r="T93" s="633"/>
      <c r="U93" s="336"/>
      <c r="V93" s="336"/>
      <c r="W93" s="330"/>
      <c r="X93" s="336"/>
      <c r="Y93" s="633"/>
      <c r="Z93" s="336"/>
      <c r="AA93" s="336"/>
      <c r="AB93" s="330"/>
      <c r="AC93" s="336"/>
      <c r="AD93" s="633"/>
      <c r="AE93" s="336"/>
      <c r="AF93" s="336"/>
      <c r="AG93" s="330"/>
      <c r="AH93" s="336"/>
      <c r="AI93" s="633"/>
      <c r="AJ93" s="336"/>
      <c r="AK93" s="336"/>
      <c r="AL93" s="330"/>
      <c r="AM93" s="336"/>
      <c r="AN93" s="633"/>
      <c r="AO93" s="336"/>
      <c r="AP93" s="336"/>
      <c r="AQ93" s="330"/>
      <c r="AR93" s="336"/>
      <c r="AS93" s="633"/>
      <c r="AT93" s="336"/>
      <c r="AU93" s="336"/>
      <c r="AV93" s="330"/>
      <c r="AW93" s="336"/>
      <c r="AX93" s="633"/>
    </row>
    <row r="94" spans="2:50" ht="15.75">
      <c r="B94" s="625" t="s">
        <v>85</v>
      </c>
      <c r="C94" s="626"/>
      <c r="D94" s="626"/>
      <c r="E94" s="626"/>
      <c r="F94" s="626"/>
      <c r="G94" s="626"/>
      <c r="H94" s="626"/>
      <c r="I94" s="349"/>
      <c r="J94" s="349"/>
      <c r="K94" s="349"/>
      <c r="L94" s="349"/>
      <c r="M94" s="350"/>
      <c r="N94" s="619" t="s">
        <v>86</v>
      </c>
      <c r="O94" s="619" t="s">
        <v>45</v>
      </c>
      <c r="P94" s="617">
        <f>AT71+1</f>
        <v>46259</v>
      </c>
      <c r="Q94" s="618"/>
      <c r="R94" s="618"/>
      <c r="S94" s="618"/>
      <c r="T94" s="618"/>
      <c r="U94" s="617">
        <f>P94+1</f>
        <v>46260</v>
      </c>
      <c r="V94" s="618"/>
      <c r="W94" s="618"/>
      <c r="X94" s="618"/>
      <c r="Y94" s="618"/>
      <c r="Z94" s="617">
        <f>Z71+7</f>
        <v>46261</v>
      </c>
      <c r="AA94" s="618"/>
      <c r="AB94" s="618"/>
      <c r="AC94" s="618"/>
      <c r="AD94" s="618"/>
      <c r="AE94" s="617">
        <f>AE71+7</f>
        <v>46262</v>
      </c>
      <c r="AF94" s="618"/>
      <c r="AG94" s="618"/>
      <c r="AH94" s="618"/>
      <c r="AI94" s="618"/>
      <c r="AJ94" s="617">
        <f>AJ71+7</f>
        <v>46263</v>
      </c>
      <c r="AK94" s="618"/>
      <c r="AL94" s="618"/>
      <c r="AM94" s="618"/>
      <c r="AN94" s="618"/>
      <c r="AO94" s="617">
        <f>AO71+7</f>
        <v>46264</v>
      </c>
      <c r="AP94" s="618"/>
      <c r="AQ94" s="618"/>
      <c r="AR94" s="618"/>
      <c r="AS94" s="618"/>
      <c r="AT94" s="617">
        <f>AT71+7</f>
        <v>46265</v>
      </c>
      <c r="AU94" s="618"/>
      <c r="AV94" s="618"/>
      <c r="AW94" s="618"/>
      <c r="AX94" s="618"/>
    </row>
    <row r="95" spans="2:50" ht="15.75">
      <c r="B95" s="627"/>
      <c r="C95" s="627"/>
      <c r="D95" s="627"/>
      <c r="E95" s="627"/>
      <c r="F95" s="627"/>
      <c r="G95" s="627"/>
      <c r="H95" s="627"/>
      <c r="I95" s="351"/>
      <c r="J95" s="351"/>
      <c r="K95" s="351"/>
      <c r="L95" s="351"/>
      <c r="M95" s="352"/>
      <c r="N95" s="620"/>
      <c r="O95" s="620"/>
      <c r="P95" s="617" t="s">
        <v>58</v>
      </c>
      <c r="Q95" s="618"/>
      <c r="R95" s="618"/>
      <c r="S95" s="618"/>
      <c r="T95" s="618"/>
      <c r="U95" s="617" t="s">
        <v>59</v>
      </c>
      <c r="V95" s="618"/>
      <c r="W95" s="618"/>
      <c r="X95" s="618"/>
      <c r="Y95" s="618"/>
      <c r="Z95" s="617" t="s">
        <v>60</v>
      </c>
      <c r="AA95" s="618"/>
      <c r="AB95" s="618"/>
      <c r="AC95" s="618"/>
      <c r="AD95" s="618"/>
      <c r="AE95" s="617" t="s">
        <v>61</v>
      </c>
      <c r="AF95" s="618"/>
      <c r="AG95" s="618"/>
      <c r="AH95" s="618"/>
      <c r="AI95" s="618"/>
      <c r="AJ95" s="617" t="s">
        <v>56</v>
      </c>
      <c r="AK95" s="618"/>
      <c r="AL95" s="618"/>
      <c r="AM95" s="618"/>
      <c r="AN95" s="618"/>
      <c r="AO95" s="617" t="s">
        <v>52</v>
      </c>
      <c r="AP95" s="618"/>
      <c r="AQ95" s="618"/>
      <c r="AR95" s="618"/>
      <c r="AS95" s="618"/>
      <c r="AT95" s="617" t="s">
        <v>57</v>
      </c>
      <c r="AU95" s="618"/>
      <c r="AV95" s="618"/>
      <c r="AW95" s="618"/>
      <c r="AX95" s="618"/>
    </row>
    <row r="96" spans="2:50">
      <c r="B96" s="624" t="s">
        <v>41</v>
      </c>
      <c r="C96" s="624" t="s">
        <v>87</v>
      </c>
      <c r="D96" s="624"/>
      <c r="E96" s="624" t="s">
        <v>88</v>
      </c>
      <c r="F96" s="624"/>
      <c r="G96" s="624"/>
      <c r="H96" s="634" t="s">
        <v>89</v>
      </c>
      <c r="I96" s="624" t="s">
        <v>90</v>
      </c>
      <c r="J96" s="624"/>
      <c r="K96" s="624"/>
      <c r="L96" s="634" t="s">
        <v>89</v>
      </c>
      <c r="M96" s="619" t="s">
        <v>91</v>
      </c>
      <c r="N96" s="619"/>
      <c r="O96" s="619" t="s">
        <v>92</v>
      </c>
      <c r="P96" s="621" t="s">
        <v>93</v>
      </c>
      <c r="Q96" s="622"/>
      <c r="R96" s="622"/>
      <c r="S96" s="623"/>
      <c r="T96" s="624" t="s">
        <v>89</v>
      </c>
      <c r="U96" s="621" t="s">
        <v>93</v>
      </c>
      <c r="V96" s="622"/>
      <c r="W96" s="622"/>
      <c r="X96" s="623"/>
      <c r="Y96" s="624" t="s">
        <v>89</v>
      </c>
      <c r="Z96" s="621" t="s">
        <v>93</v>
      </c>
      <c r="AA96" s="622"/>
      <c r="AB96" s="622"/>
      <c r="AC96" s="623"/>
      <c r="AD96" s="624" t="s">
        <v>89</v>
      </c>
      <c r="AE96" s="621" t="s">
        <v>93</v>
      </c>
      <c r="AF96" s="622"/>
      <c r="AG96" s="622"/>
      <c r="AH96" s="623"/>
      <c r="AI96" s="624" t="s">
        <v>89</v>
      </c>
      <c r="AJ96" s="621" t="s">
        <v>93</v>
      </c>
      <c r="AK96" s="622"/>
      <c r="AL96" s="622"/>
      <c r="AM96" s="623"/>
      <c r="AN96" s="624" t="s">
        <v>89</v>
      </c>
      <c r="AO96" s="621" t="s">
        <v>93</v>
      </c>
      <c r="AP96" s="622"/>
      <c r="AQ96" s="622"/>
      <c r="AR96" s="623"/>
      <c r="AS96" s="624" t="s">
        <v>89</v>
      </c>
      <c r="AT96" s="621" t="s">
        <v>93</v>
      </c>
      <c r="AU96" s="622"/>
      <c r="AV96" s="622"/>
      <c r="AW96" s="623"/>
      <c r="AX96" s="624" t="s">
        <v>89</v>
      </c>
    </row>
    <row r="97" spans="1:50">
      <c r="B97" s="624"/>
      <c r="C97" s="624"/>
      <c r="D97" s="624"/>
      <c r="E97" s="624" t="s">
        <v>94</v>
      </c>
      <c r="F97" s="624"/>
      <c r="G97" s="624"/>
      <c r="H97" s="635"/>
      <c r="I97" s="624" t="s">
        <v>94</v>
      </c>
      <c r="J97" s="624"/>
      <c r="K97" s="624"/>
      <c r="L97" s="635"/>
      <c r="M97" s="637"/>
      <c r="N97" s="637"/>
      <c r="O97" s="637"/>
      <c r="P97" s="621" t="s">
        <v>95</v>
      </c>
      <c r="Q97" s="622"/>
      <c r="R97" s="622"/>
      <c r="S97" s="623"/>
      <c r="T97" s="624"/>
      <c r="U97" s="621" t="s">
        <v>95</v>
      </c>
      <c r="V97" s="622"/>
      <c r="W97" s="622"/>
      <c r="X97" s="623"/>
      <c r="Y97" s="624"/>
      <c r="Z97" s="621" t="s">
        <v>95</v>
      </c>
      <c r="AA97" s="622"/>
      <c r="AB97" s="622"/>
      <c r="AC97" s="623"/>
      <c r="AD97" s="624"/>
      <c r="AE97" s="621" t="s">
        <v>95</v>
      </c>
      <c r="AF97" s="622"/>
      <c r="AG97" s="622"/>
      <c r="AH97" s="623"/>
      <c r="AI97" s="624"/>
      <c r="AJ97" s="621" t="s">
        <v>95</v>
      </c>
      <c r="AK97" s="622"/>
      <c r="AL97" s="622"/>
      <c r="AM97" s="623"/>
      <c r="AN97" s="624"/>
      <c r="AO97" s="621" t="s">
        <v>95</v>
      </c>
      <c r="AP97" s="622"/>
      <c r="AQ97" s="622"/>
      <c r="AR97" s="623"/>
      <c r="AS97" s="624"/>
      <c r="AT97" s="621" t="s">
        <v>95</v>
      </c>
      <c r="AU97" s="622"/>
      <c r="AV97" s="622"/>
      <c r="AW97" s="623"/>
      <c r="AX97" s="624"/>
    </row>
    <row r="98" spans="1:50">
      <c r="B98" s="624"/>
      <c r="C98" s="624"/>
      <c r="D98" s="624"/>
      <c r="E98" s="353" t="s">
        <v>96</v>
      </c>
      <c r="F98" s="353" t="s">
        <v>97</v>
      </c>
      <c r="G98" s="353" t="s">
        <v>98</v>
      </c>
      <c r="H98" s="636"/>
      <c r="I98" s="353" t="s">
        <v>96</v>
      </c>
      <c r="J98" s="353" t="s">
        <v>97</v>
      </c>
      <c r="K98" s="353" t="s">
        <v>98</v>
      </c>
      <c r="L98" s="636"/>
      <c r="M98" s="620"/>
      <c r="N98" s="637"/>
      <c r="O98" s="637"/>
      <c r="P98" s="353" t="s">
        <v>96</v>
      </c>
      <c r="Q98" s="353" t="s">
        <v>97</v>
      </c>
      <c r="R98" s="353" t="s">
        <v>98</v>
      </c>
      <c r="S98" s="353" t="s">
        <v>91</v>
      </c>
      <c r="T98" s="624"/>
      <c r="U98" s="353" t="s">
        <v>96</v>
      </c>
      <c r="V98" s="353" t="s">
        <v>97</v>
      </c>
      <c r="W98" s="353" t="s">
        <v>98</v>
      </c>
      <c r="X98" s="353" t="s">
        <v>91</v>
      </c>
      <c r="Y98" s="624"/>
      <c r="Z98" s="353" t="s">
        <v>96</v>
      </c>
      <c r="AA98" s="353" t="s">
        <v>97</v>
      </c>
      <c r="AB98" s="353" t="s">
        <v>98</v>
      </c>
      <c r="AC98" s="353" t="s">
        <v>91</v>
      </c>
      <c r="AD98" s="624"/>
      <c r="AE98" s="353" t="s">
        <v>96</v>
      </c>
      <c r="AF98" s="353" t="s">
        <v>97</v>
      </c>
      <c r="AG98" s="353" t="s">
        <v>98</v>
      </c>
      <c r="AH98" s="353" t="s">
        <v>91</v>
      </c>
      <c r="AI98" s="624"/>
      <c r="AJ98" s="353" t="s">
        <v>96</v>
      </c>
      <c r="AK98" s="353" t="s">
        <v>97</v>
      </c>
      <c r="AL98" s="353" t="s">
        <v>98</v>
      </c>
      <c r="AM98" s="353" t="s">
        <v>91</v>
      </c>
      <c r="AN98" s="624"/>
      <c r="AO98" s="353" t="s">
        <v>96</v>
      </c>
      <c r="AP98" s="353" t="s">
        <v>97</v>
      </c>
      <c r="AQ98" s="353" t="s">
        <v>98</v>
      </c>
      <c r="AR98" s="353" t="s">
        <v>91</v>
      </c>
      <c r="AS98" s="624"/>
      <c r="AT98" s="353" t="s">
        <v>96</v>
      </c>
      <c r="AU98" s="353" t="s">
        <v>97</v>
      </c>
      <c r="AV98" s="353" t="s">
        <v>98</v>
      </c>
      <c r="AW98" s="353" t="s">
        <v>91</v>
      </c>
      <c r="AX98" s="624"/>
    </row>
    <row r="99" spans="1:50" ht="13.5">
      <c r="B99" s="629" t="s">
        <v>337</v>
      </c>
      <c r="C99" s="336">
        <v>1</v>
      </c>
      <c r="D99" s="355" t="s">
        <v>113</v>
      </c>
      <c r="E99" s="337">
        <v>13</v>
      </c>
      <c r="F99" s="337">
        <f>VLOOKUP(D99,'07產線配置圖'!$A$2:$C$25,3,0)</f>
        <v>2250</v>
      </c>
      <c r="G99" s="330">
        <f>F99/E99</f>
        <v>173.07692307692307</v>
      </c>
      <c r="H99" s="631">
        <f>AVERAGE(G99:G113)</f>
        <v>122.45477088271205</v>
      </c>
      <c r="I99" s="337" t="e">
        <f>AVERAGE(P99,U99,Z99,AE99,AJ99,AO99,AT99)</f>
        <v>#DIV/0!</v>
      </c>
      <c r="J99" s="337" t="e">
        <f>AVERAGE(Q99,V99,AA99,AF99,AK99,AP99,AU99)</f>
        <v>#DIV/0!</v>
      </c>
      <c r="K99" s="330" t="e">
        <f>AVERAGE(R99,W99,AB99,AG99,AL99,AQ99,AV99)</f>
        <v>#DIV/0!</v>
      </c>
      <c r="L99" s="631" t="str">
        <f>IFERROR(AVERAGE(K99:K116),"-")</f>
        <v>-</v>
      </c>
      <c r="M99" s="337" t="e">
        <f>RANK(K99, K$99:$K$116)</f>
        <v>#DIV/0!</v>
      </c>
      <c r="N99" s="637"/>
      <c r="O99" s="637"/>
      <c r="P99" s="337"/>
      <c r="Q99" s="337"/>
      <c r="R99" s="330" t="e">
        <f>Q99/P99</f>
        <v>#DIV/0!</v>
      </c>
      <c r="S99" s="336" t="e">
        <f>RANK(R99,$R$99:$R$116)</f>
        <v>#DIV/0!</v>
      </c>
      <c r="T99" s="631" t="e">
        <f>AVERAGE(R99:R116)</f>
        <v>#DIV/0!</v>
      </c>
      <c r="U99" s="337"/>
      <c r="V99" s="337"/>
      <c r="W99" s="330" t="e">
        <f t="shared" ref="W99:W115" si="94">V99/U99</f>
        <v>#DIV/0!</v>
      </c>
      <c r="X99" s="336" t="e">
        <f>RANK(W99,$W$99:$W$116)</f>
        <v>#DIV/0!</v>
      </c>
      <c r="Y99" s="631" t="e">
        <f>AVERAGE(W99:W116)</f>
        <v>#DIV/0!</v>
      </c>
      <c r="Z99" s="337"/>
      <c r="AA99" s="337"/>
      <c r="AB99" s="330" t="e">
        <f t="shared" ref="AB99:AB115" si="95">AA99/Z99</f>
        <v>#DIV/0!</v>
      </c>
      <c r="AC99" s="336" t="e">
        <f>RANK(AB99, $AB$99:$AB$116)</f>
        <v>#DIV/0!</v>
      </c>
      <c r="AD99" s="631" t="e">
        <f>AVERAGE(AB99:AB116)</f>
        <v>#DIV/0!</v>
      </c>
      <c r="AE99" s="337"/>
      <c r="AF99" s="337"/>
      <c r="AG99" s="330" t="e">
        <f t="shared" ref="AG99:AG115" si="96">AF99/AE99</f>
        <v>#DIV/0!</v>
      </c>
      <c r="AH99" s="336" t="e">
        <f>RANK(AG99,$AG$99:$AG$116)</f>
        <v>#DIV/0!</v>
      </c>
      <c r="AI99" s="631" t="e">
        <f>AVERAGE(AG99:AG116)</f>
        <v>#DIV/0!</v>
      </c>
      <c r="AJ99" s="337"/>
      <c r="AK99" s="337"/>
      <c r="AL99" s="330" t="e">
        <f t="shared" ref="AL99:AL115" si="97">AK99/AJ99</f>
        <v>#DIV/0!</v>
      </c>
      <c r="AM99" s="336" t="e">
        <f>RANK(AL99,$AL$99:$AL$116)</f>
        <v>#DIV/0!</v>
      </c>
      <c r="AN99" s="631" t="e">
        <f>AVERAGE(AL99:AL116)</f>
        <v>#DIV/0!</v>
      </c>
      <c r="AO99" s="337"/>
      <c r="AP99" s="337"/>
      <c r="AQ99" s="330" t="e">
        <f t="shared" ref="AQ99:AQ115" si="98">AP99/AO99</f>
        <v>#DIV/0!</v>
      </c>
      <c r="AR99" s="336" t="e">
        <f>RANK(AQ99,$AQ$99:$AQ$116)</f>
        <v>#DIV/0!</v>
      </c>
      <c r="AS99" s="631" t="e">
        <f>AVERAGE(AQ99:AQ116)</f>
        <v>#DIV/0!</v>
      </c>
      <c r="AT99" s="337"/>
      <c r="AU99" s="337"/>
      <c r="AV99" s="330" t="e">
        <f t="shared" ref="AV99:AV115" si="99">AU99/AT99</f>
        <v>#DIV/0!</v>
      </c>
      <c r="AW99" s="336" t="e">
        <f>RANK(AV99,$AV$99:$AV$116)</f>
        <v>#DIV/0!</v>
      </c>
      <c r="AX99" s="631" t="e">
        <f>AVERAGE(AV99:AV116)</f>
        <v>#DIV/0!</v>
      </c>
    </row>
    <row r="100" spans="1:50">
      <c r="B100" s="630"/>
      <c r="C100" s="336">
        <v>2</v>
      </c>
      <c r="D100" s="336" t="s">
        <v>116</v>
      </c>
      <c r="E100" s="337">
        <f>VLOOKUP(D100,'07產線配置圖'!$A$2:$C$25,2,0)</f>
        <v>15</v>
      </c>
      <c r="F100" s="337">
        <f>VLOOKUP(D100,'07產線配置圖'!$A$2:$C$25,3,0)</f>
        <v>2250</v>
      </c>
      <c r="G100" s="330">
        <f t="shared" ref="G100:G112" si="100">F100/E100</f>
        <v>150</v>
      </c>
      <c r="H100" s="632"/>
      <c r="I100" s="337" t="e">
        <f t="shared" ref="I100:I103" si="101">AVERAGE(P100,U100,Z100,AE100,AJ100,AO100,AT100)</f>
        <v>#DIV/0!</v>
      </c>
      <c r="J100" s="337" t="e">
        <f t="shared" ref="J100:J103" si="102">AVERAGE(Q100,V100,AA100,AF100,AK100,AP100,AU100)</f>
        <v>#DIV/0!</v>
      </c>
      <c r="K100" s="330" t="e">
        <f t="shared" ref="K100:K103" si="103">AVERAGE(R100,W100,AB100,AG100,AL100,AQ100,AV100)</f>
        <v>#DIV/0!</v>
      </c>
      <c r="L100" s="632"/>
      <c r="M100" s="337" t="e">
        <f>RANK(K100, K$99:$K$116)</f>
        <v>#DIV/0!</v>
      </c>
      <c r="N100" s="637"/>
      <c r="O100" s="637"/>
      <c r="P100" s="337"/>
      <c r="Q100" s="337"/>
      <c r="R100" s="330" t="e">
        <f t="shared" ref="R100:R115" si="104">Q100/P100</f>
        <v>#DIV/0!</v>
      </c>
      <c r="S100" s="336" t="e">
        <f t="shared" ref="S100:S115" si="105">RANK(R100,$R$99:$R$116)</f>
        <v>#DIV/0!</v>
      </c>
      <c r="T100" s="632"/>
      <c r="U100" s="337"/>
      <c r="V100" s="337"/>
      <c r="W100" s="330" t="e">
        <f t="shared" si="94"/>
        <v>#DIV/0!</v>
      </c>
      <c r="X100" s="336" t="e">
        <f t="shared" ref="X100:X115" si="106">RANK(W100,$W$99:$W$116)</f>
        <v>#DIV/0!</v>
      </c>
      <c r="Y100" s="632"/>
      <c r="Z100" s="337"/>
      <c r="AA100" s="337"/>
      <c r="AB100" s="330" t="e">
        <f t="shared" si="95"/>
        <v>#DIV/0!</v>
      </c>
      <c r="AC100" s="336" t="e">
        <f t="shared" ref="AC100:AC115" si="107">RANK(AB100, $AB$99:$AB$116)</f>
        <v>#DIV/0!</v>
      </c>
      <c r="AD100" s="632"/>
      <c r="AE100" s="337"/>
      <c r="AF100" s="337"/>
      <c r="AG100" s="330" t="e">
        <f t="shared" si="96"/>
        <v>#DIV/0!</v>
      </c>
      <c r="AH100" s="336" t="e">
        <f t="shared" ref="AH100:AH115" si="108">RANK(AG100,$AG$99:$AG$116)</f>
        <v>#DIV/0!</v>
      </c>
      <c r="AI100" s="632"/>
      <c r="AJ100" s="337"/>
      <c r="AK100" s="337"/>
      <c r="AL100" s="330" t="e">
        <f t="shared" si="97"/>
        <v>#DIV/0!</v>
      </c>
      <c r="AM100" s="336" t="e">
        <f t="shared" ref="AM100:AM115" si="109">RANK(AL100,$AL$99:$AL$116)</f>
        <v>#DIV/0!</v>
      </c>
      <c r="AN100" s="632"/>
      <c r="AO100" s="337"/>
      <c r="AP100" s="337"/>
      <c r="AQ100" s="330" t="e">
        <f t="shared" si="98"/>
        <v>#DIV/0!</v>
      </c>
      <c r="AR100" s="336" t="e">
        <f t="shared" ref="AR100:AR115" si="110">RANK(AQ100,$AQ$99:$AQ$116)</f>
        <v>#DIV/0!</v>
      </c>
      <c r="AS100" s="632"/>
      <c r="AT100" s="337"/>
      <c r="AU100" s="337"/>
      <c r="AV100" s="330" t="e">
        <f t="shared" si="99"/>
        <v>#DIV/0!</v>
      </c>
      <c r="AW100" s="336" t="e">
        <f t="shared" ref="AW100:AW115" si="111">RANK(AV100,$AV$99:$AV$116)</f>
        <v>#DIV/0!</v>
      </c>
      <c r="AX100" s="632"/>
    </row>
    <row r="101" spans="1:50">
      <c r="B101" s="630"/>
      <c r="C101" s="336">
        <v>3</v>
      </c>
      <c r="D101" s="336" t="s">
        <v>117</v>
      </c>
      <c r="E101" s="337">
        <f>VLOOKUP(D101,'07產線配置圖'!$A$2:$C$25,2,0)</f>
        <v>15</v>
      </c>
      <c r="F101" s="337">
        <f>VLOOKUP(D101,'07產線配置圖'!$A$2:$C$25,3,0)</f>
        <v>2250</v>
      </c>
      <c r="G101" s="330">
        <f t="shared" si="100"/>
        <v>150</v>
      </c>
      <c r="H101" s="632"/>
      <c r="I101" s="337" t="e">
        <f t="shared" si="101"/>
        <v>#DIV/0!</v>
      </c>
      <c r="J101" s="337" t="e">
        <f t="shared" si="102"/>
        <v>#DIV/0!</v>
      </c>
      <c r="K101" s="330" t="e">
        <f t="shared" si="103"/>
        <v>#DIV/0!</v>
      </c>
      <c r="L101" s="632"/>
      <c r="M101" s="337" t="e">
        <f>RANK(K101, K$99:$K$116)</f>
        <v>#DIV/0!</v>
      </c>
      <c r="N101" s="637"/>
      <c r="O101" s="637"/>
      <c r="P101" s="337"/>
      <c r="Q101" s="337"/>
      <c r="R101" s="330" t="e">
        <f t="shared" si="104"/>
        <v>#DIV/0!</v>
      </c>
      <c r="S101" s="336" t="e">
        <f t="shared" si="105"/>
        <v>#DIV/0!</v>
      </c>
      <c r="T101" s="632"/>
      <c r="U101" s="337"/>
      <c r="V101" s="337"/>
      <c r="W101" s="330" t="e">
        <f t="shared" si="94"/>
        <v>#DIV/0!</v>
      </c>
      <c r="X101" s="336" t="e">
        <f t="shared" si="106"/>
        <v>#DIV/0!</v>
      </c>
      <c r="Y101" s="632"/>
      <c r="Z101" s="337"/>
      <c r="AA101" s="337"/>
      <c r="AB101" s="330" t="e">
        <f t="shared" si="95"/>
        <v>#DIV/0!</v>
      </c>
      <c r="AC101" s="336" t="e">
        <f t="shared" si="107"/>
        <v>#DIV/0!</v>
      </c>
      <c r="AD101" s="632"/>
      <c r="AE101" s="337"/>
      <c r="AF101" s="337"/>
      <c r="AG101" s="330" t="e">
        <f t="shared" si="96"/>
        <v>#DIV/0!</v>
      </c>
      <c r="AH101" s="336" t="e">
        <f t="shared" si="108"/>
        <v>#DIV/0!</v>
      </c>
      <c r="AI101" s="632"/>
      <c r="AJ101" s="337"/>
      <c r="AK101" s="337"/>
      <c r="AL101" s="330" t="e">
        <f t="shared" si="97"/>
        <v>#DIV/0!</v>
      </c>
      <c r="AM101" s="336" t="e">
        <f t="shared" si="109"/>
        <v>#DIV/0!</v>
      </c>
      <c r="AN101" s="632"/>
      <c r="AO101" s="337"/>
      <c r="AP101" s="337"/>
      <c r="AQ101" s="330" t="e">
        <f t="shared" si="98"/>
        <v>#DIV/0!</v>
      </c>
      <c r="AR101" s="336" t="e">
        <f t="shared" si="110"/>
        <v>#DIV/0!</v>
      </c>
      <c r="AS101" s="632"/>
      <c r="AT101" s="337"/>
      <c r="AU101" s="337"/>
      <c r="AV101" s="330" t="e">
        <f t="shared" si="99"/>
        <v>#DIV/0!</v>
      </c>
      <c r="AW101" s="336" t="e">
        <f t="shared" si="111"/>
        <v>#DIV/0!</v>
      </c>
      <c r="AX101" s="632"/>
    </row>
    <row r="102" spans="1:50">
      <c r="A102" s="346">
        <v>18</v>
      </c>
      <c r="B102" s="630"/>
      <c r="C102" s="336">
        <v>4</v>
      </c>
      <c r="D102" s="336" t="s">
        <v>184</v>
      </c>
      <c r="E102" s="337">
        <f>VLOOKUP(D102,'07產線配置圖'!$A$2:$C$25,2,0)</f>
        <v>16</v>
      </c>
      <c r="F102" s="337">
        <f>VLOOKUP(D102,'07產線配置圖'!$A$2:$C$25,3,0)</f>
        <v>1800</v>
      </c>
      <c r="G102" s="330">
        <f t="shared" si="100"/>
        <v>112.5</v>
      </c>
      <c r="H102" s="632"/>
      <c r="I102" s="337" t="e">
        <f t="shared" si="101"/>
        <v>#DIV/0!</v>
      </c>
      <c r="J102" s="337" t="e">
        <f t="shared" si="102"/>
        <v>#DIV/0!</v>
      </c>
      <c r="K102" s="330" t="e">
        <f t="shared" si="103"/>
        <v>#DIV/0!</v>
      </c>
      <c r="L102" s="632"/>
      <c r="M102" s="337" t="e">
        <f>RANK(K102, K$99:$K$116)</f>
        <v>#DIV/0!</v>
      </c>
      <c r="N102" s="637"/>
      <c r="O102" s="637"/>
      <c r="P102" s="337"/>
      <c r="Q102" s="337"/>
      <c r="R102" s="330" t="e">
        <f t="shared" si="104"/>
        <v>#DIV/0!</v>
      </c>
      <c r="S102" s="336" t="e">
        <f t="shared" si="105"/>
        <v>#DIV/0!</v>
      </c>
      <c r="T102" s="632"/>
      <c r="U102" s="337"/>
      <c r="V102" s="337"/>
      <c r="W102" s="330" t="e">
        <f t="shared" si="94"/>
        <v>#DIV/0!</v>
      </c>
      <c r="X102" s="336" t="e">
        <f t="shared" si="106"/>
        <v>#DIV/0!</v>
      </c>
      <c r="Y102" s="632"/>
      <c r="Z102" s="337"/>
      <c r="AA102" s="337"/>
      <c r="AB102" s="330" t="e">
        <f t="shared" si="95"/>
        <v>#DIV/0!</v>
      </c>
      <c r="AC102" s="336" t="e">
        <f t="shared" si="107"/>
        <v>#DIV/0!</v>
      </c>
      <c r="AD102" s="632"/>
      <c r="AE102" s="337"/>
      <c r="AF102" s="337"/>
      <c r="AG102" s="330" t="e">
        <f t="shared" si="96"/>
        <v>#DIV/0!</v>
      </c>
      <c r="AH102" s="336" t="e">
        <f t="shared" si="108"/>
        <v>#DIV/0!</v>
      </c>
      <c r="AI102" s="632"/>
      <c r="AJ102" s="337"/>
      <c r="AK102" s="337"/>
      <c r="AL102" s="330" t="e">
        <f t="shared" si="97"/>
        <v>#DIV/0!</v>
      </c>
      <c r="AM102" s="336" t="e">
        <f t="shared" si="109"/>
        <v>#DIV/0!</v>
      </c>
      <c r="AN102" s="632"/>
      <c r="AO102" s="337"/>
      <c r="AP102" s="337"/>
      <c r="AQ102" s="330" t="e">
        <f t="shared" si="98"/>
        <v>#DIV/0!</v>
      </c>
      <c r="AR102" s="336" t="e">
        <f t="shared" si="110"/>
        <v>#DIV/0!</v>
      </c>
      <c r="AS102" s="632"/>
      <c r="AT102" s="337"/>
      <c r="AU102" s="337"/>
      <c r="AV102" s="330" t="e">
        <f t="shared" si="99"/>
        <v>#DIV/0!</v>
      </c>
      <c r="AW102" s="336" t="e">
        <f t="shared" si="111"/>
        <v>#DIV/0!</v>
      </c>
      <c r="AX102" s="632"/>
    </row>
    <row r="103" spans="1:50" ht="13.5">
      <c r="B103" s="630"/>
      <c r="C103" s="336">
        <v>5</v>
      </c>
      <c r="D103" s="355" t="s">
        <v>114</v>
      </c>
      <c r="E103" s="337">
        <v>14</v>
      </c>
      <c r="F103" s="337">
        <f>VLOOKUP(D103,'07產線配置圖'!$A$2:$C$25,3,0)</f>
        <v>2250</v>
      </c>
      <c r="G103" s="330">
        <f t="shared" si="100"/>
        <v>160.71428571428572</v>
      </c>
      <c r="H103" s="632"/>
      <c r="I103" s="337" t="e">
        <f t="shared" si="101"/>
        <v>#DIV/0!</v>
      </c>
      <c r="J103" s="337" t="e">
        <f t="shared" si="102"/>
        <v>#DIV/0!</v>
      </c>
      <c r="K103" s="330" t="e">
        <f t="shared" si="103"/>
        <v>#DIV/0!</v>
      </c>
      <c r="L103" s="632"/>
      <c r="M103" s="337" t="e">
        <f>RANK(K103, K$99:$K$116)</f>
        <v>#DIV/0!</v>
      </c>
      <c r="N103" s="637"/>
      <c r="O103" s="637"/>
      <c r="P103" s="337"/>
      <c r="Q103" s="337"/>
      <c r="R103" s="330" t="e">
        <f t="shared" si="104"/>
        <v>#DIV/0!</v>
      </c>
      <c r="S103" s="336" t="e">
        <f t="shared" si="105"/>
        <v>#DIV/0!</v>
      </c>
      <c r="T103" s="632"/>
      <c r="U103" s="337"/>
      <c r="V103" s="337"/>
      <c r="W103" s="330" t="e">
        <f t="shared" si="94"/>
        <v>#DIV/0!</v>
      </c>
      <c r="X103" s="336" t="e">
        <f t="shared" si="106"/>
        <v>#DIV/0!</v>
      </c>
      <c r="Y103" s="632"/>
      <c r="Z103" s="337"/>
      <c r="AA103" s="337"/>
      <c r="AB103" s="330" t="e">
        <f t="shared" si="95"/>
        <v>#DIV/0!</v>
      </c>
      <c r="AC103" s="336" t="e">
        <f t="shared" si="107"/>
        <v>#DIV/0!</v>
      </c>
      <c r="AD103" s="632"/>
      <c r="AE103" s="337"/>
      <c r="AF103" s="337"/>
      <c r="AG103" s="330" t="e">
        <f t="shared" si="96"/>
        <v>#DIV/0!</v>
      </c>
      <c r="AH103" s="336" t="e">
        <f t="shared" si="108"/>
        <v>#DIV/0!</v>
      </c>
      <c r="AI103" s="632"/>
      <c r="AJ103" s="337"/>
      <c r="AK103" s="337"/>
      <c r="AL103" s="330" t="e">
        <f t="shared" si="97"/>
        <v>#DIV/0!</v>
      </c>
      <c r="AM103" s="336" t="e">
        <f t="shared" si="109"/>
        <v>#DIV/0!</v>
      </c>
      <c r="AN103" s="632"/>
      <c r="AO103" s="337"/>
      <c r="AP103" s="337"/>
      <c r="AQ103" s="330" t="e">
        <f t="shared" si="98"/>
        <v>#DIV/0!</v>
      </c>
      <c r="AR103" s="336" t="e">
        <f t="shared" si="110"/>
        <v>#DIV/0!</v>
      </c>
      <c r="AS103" s="632"/>
      <c r="AT103" s="337"/>
      <c r="AU103" s="337"/>
      <c r="AV103" s="330" t="e">
        <f t="shared" si="99"/>
        <v>#DIV/0!</v>
      </c>
      <c r="AW103" s="336" t="e">
        <f t="shared" si="111"/>
        <v>#DIV/0!</v>
      </c>
      <c r="AX103" s="632"/>
    </row>
    <row r="104" spans="1:50">
      <c r="B104" s="630"/>
      <c r="C104" s="336">
        <v>6</v>
      </c>
      <c r="D104" s="336" t="s">
        <v>158</v>
      </c>
      <c r="E104" s="337">
        <f>VLOOKUP(D104,'07產線配置圖'!$A$2:$C$25,2,0)</f>
        <v>16</v>
      </c>
      <c r="F104" s="337">
        <f>VLOOKUP(D104,'07產線配置圖'!$A$2:$C$25,3,0)</f>
        <v>1714</v>
      </c>
      <c r="G104" s="330">
        <f t="shared" si="100"/>
        <v>107.125</v>
      </c>
      <c r="H104" s="632"/>
      <c r="I104" s="337" t="e">
        <f>AVERAGE(P104,U104,Z104,AE104,AJ104,AO104,AT104)</f>
        <v>#DIV/0!</v>
      </c>
      <c r="J104" s="337" t="e">
        <f>AVERAGE(Q104,V104,AA104,AF104,AK104,AP104,AU104)</f>
        <v>#DIV/0!</v>
      </c>
      <c r="K104" s="330" t="e">
        <f>AVERAGE(R104,W104,AB104,AG104,AL104,AQ104,AV104)</f>
        <v>#DIV/0!</v>
      </c>
      <c r="L104" s="632"/>
      <c r="M104" s="337" t="e">
        <f>RANK(K104, K$99:$K$116)</f>
        <v>#DIV/0!</v>
      </c>
      <c r="N104" s="637"/>
      <c r="O104" s="637"/>
      <c r="P104" s="337"/>
      <c r="Q104" s="337"/>
      <c r="R104" s="330" t="e">
        <f t="shared" si="104"/>
        <v>#DIV/0!</v>
      </c>
      <c r="S104" s="336" t="e">
        <f t="shared" si="105"/>
        <v>#DIV/0!</v>
      </c>
      <c r="T104" s="632"/>
      <c r="U104" s="337"/>
      <c r="V104" s="337"/>
      <c r="W104" s="330" t="e">
        <f t="shared" si="94"/>
        <v>#DIV/0!</v>
      </c>
      <c r="X104" s="336" t="e">
        <f t="shared" si="106"/>
        <v>#DIV/0!</v>
      </c>
      <c r="Y104" s="632"/>
      <c r="Z104" s="337"/>
      <c r="AA104" s="337"/>
      <c r="AB104" s="330" t="e">
        <f t="shared" si="95"/>
        <v>#DIV/0!</v>
      </c>
      <c r="AC104" s="336" t="e">
        <f t="shared" si="107"/>
        <v>#DIV/0!</v>
      </c>
      <c r="AD104" s="632"/>
      <c r="AE104" s="337"/>
      <c r="AF104" s="337"/>
      <c r="AG104" s="330" t="e">
        <f t="shared" si="96"/>
        <v>#DIV/0!</v>
      </c>
      <c r="AH104" s="336" t="e">
        <f t="shared" si="108"/>
        <v>#DIV/0!</v>
      </c>
      <c r="AI104" s="632"/>
      <c r="AJ104" s="337"/>
      <c r="AK104" s="337"/>
      <c r="AL104" s="330" t="e">
        <f t="shared" si="97"/>
        <v>#DIV/0!</v>
      </c>
      <c r="AM104" s="336" t="e">
        <f t="shared" si="109"/>
        <v>#DIV/0!</v>
      </c>
      <c r="AN104" s="632"/>
      <c r="AO104" s="337"/>
      <c r="AP104" s="337"/>
      <c r="AQ104" s="330" t="e">
        <f t="shared" si="98"/>
        <v>#DIV/0!</v>
      </c>
      <c r="AR104" s="336" t="e">
        <f t="shared" si="110"/>
        <v>#DIV/0!</v>
      </c>
      <c r="AS104" s="632"/>
      <c r="AT104" s="337"/>
      <c r="AU104" s="337"/>
      <c r="AV104" s="330" t="e">
        <f t="shared" si="99"/>
        <v>#DIV/0!</v>
      </c>
      <c r="AW104" s="336" t="e">
        <f t="shared" si="111"/>
        <v>#DIV/0!</v>
      </c>
      <c r="AX104" s="632"/>
    </row>
    <row r="105" spans="1:50">
      <c r="B105" s="630"/>
      <c r="C105" s="336">
        <v>7</v>
      </c>
      <c r="D105" s="336" t="s">
        <v>174</v>
      </c>
      <c r="E105" s="337">
        <f>VLOOKUP(D105,'07產線配置圖'!$A$2:$C$25,2,0)</f>
        <v>17</v>
      </c>
      <c r="F105" s="337">
        <v>1800</v>
      </c>
      <c r="G105" s="330">
        <f t="shared" si="100"/>
        <v>105.88235294117646</v>
      </c>
      <c r="H105" s="632"/>
      <c r="I105" s="337" t="e">
        <f t="shared" ref="I105:I115" si="112">AVERAGE(P105,U105,Z105,AE105,AJ105,AO105,AT105)</f>
        <v>#DIV/0!</v>
      </c>
      <c r="J105" s="337" t="e">
        <f t="shared" ref="J105:J115" si="113">AVERAGE(Q105,V105,AA105,AF105,AK105,AP105,AU105)</f>
        <v>#DIV/0!</v>
      </c>
      <c r="K105" s="330" t="e">
        <f t="shared" ref="K105:K115" si="114">AVERAGE(R105,W105,AB105,AG105,AL105,AQ105,AV105)</f>
        <v>#DIV/0!</v>
      </c>
      <c r="L105" s="632"/>
      <c r="M105" s="337" t="e">
        <f>RANK(K105, K$99:$K$116)</f>
        <v>#DIV/0!</v>
      </c>
      <c r="N105" s="637"/>
      <c r="O105" s="637"/>
      <c r="P105" s="337"/>
      <c r="Q105" s="337"/>
      <c r="R105" s="330" t="e">
        <f t="shared" si="104"/>
        <v>#DIV/0!</v>
      </c>
      <c r="S105" s="336" t="e">
        <f t="shared" si="105"/>
        <v>#DIV/0!</v>
      </c>
      <c r="T105" s="632"/>
      <c r="U105" s="337"/>
      <c r="V105" s="337"/>
      <c r="W105" s="330" t="e">
        <f t="shared" si="94"/>
        <v>#DIV/0!</v>
      </c>
      <c r="X105" s="336" t="e">
        <f t="shared" si="106"/>
        <v>#DIV/0!</v>
      </c>
      <c r="Y105" s="632"/>
      <c r="Z105" s="337"/>
      <c r="AA105" s="337"/>
      <c r="AB105" s="330" t="e">
        <f t="shared" si="95"/>
        <v>#DIV/0!</v>
      </c>
      <c r="AC105" s="336" t="e">
        <f t="shared" si="107"/>
        <v>#DIV/0!</v>
      </c>
      <c r="AD105" s="632"/>
      <c r="AE105" s="337"/>
      <c r="AF105" s="337"/>
      <c r="AG105" s="330" t="e">
        <f t="shared" si="96"/>
        <v>#DIV/0!</v>
      </c>
      <c r="AH105" s="336" t="e">
        <f t="shared" si="108"/>
        <v>#DIV/0!</v>
      </c>
      <c r="AI105" s="632"/>
      <c r="AJ105" s="337"/>
      <c r="AK105" s="337"/>
      <c r="AL105" s="330" t="e">
        <f t="shared" si="97"/>
        <v>#DIV/0!</v>
      </c>
      <c r="AM105" s="336" t="e">
        <f t="shared" si="109"/>
        <v>#DIV/0!</v>
      </c>
      <c r="AN105" s="632"/>
      <c r="AO105" s="337"/>
      <c r="AP105" s="337"/>
      <c r="AQ105" s="330" t="e">
        <f t="shared" si="98"/>
        <v>#DIV/0!</v>
      </c>
      <c r="AR105" s="336" t="e">
        <f t="shared" si="110"/>
        <v>#DIV/0!</v>
      </c>
      <c r="AS105" s="632"/>
      <c r="AT105" s="337"/>
      <c r="AU105" s="337"/>
      <c r="AV105" s="330" t="e">
        <f t="shared" si="99"/>
        <v>#DIV/0!</v>
      </c>
      <c r="AW105" s="336" t="e">
        <f t="shared" si="111"/>
        <v>#DIV/0!</v>
      </c>
      <c r="AX105" s="632"/>
    </row>
    <row r="106" spans="1:50">
      <c r="B106" s="630"/>
      <c r="C106" s="336">
        <v>8</v>
      </c>
      <c r="D106" s="336" t="s">
        <v>120</v>
      </c>
      <c r="E106" s="337">
        <f>VLOOKUP(D106,'07產線配置圖'!$A$2:$C$25,2,0)</f>
        <v>18</v>
      </c>
      <c r="F106" s="337">
        <f>VLOOKUP(D106,'07產線配置圖'!$A$2:$C$25,3,0)</f>
        <v>1636</v>
      </c>
      <c r="G106" s="330">
        <f t="shared" si="100"/>
        <v>90.888888888888886</v>
      </c>
      <c r="H106" s="632"/>
      <c r="I106" s="337" t="e">
        <f t="shared" si="112"/>
        <v>#DIV/0!</v>
      </c>
      <c r="J106" s="337" t="e">
        <f t="shared" si="113"/>
        <v>#DIV/0!</v>
      </c>
      <c r="K106" s="330" t="e">
        <f t="shared" si="114"/>
        <v>#DIV/0!</v>
      </c>
      <c r="L106" s="632"/>
      <c r="M106" s="337" t="e">
        <f>RANK(K106, K$99:$K$116)</f>
        <v>#DIV/0!</v>
      </c>
      <c r="N106" s="637"/>
      <c r="O106" s="637"/>
      <c r="P106" s="336"/>
      <c r="Q106" s="337"/>
      <c r="R106" s="328" t="e">
        <f t="shared" si="104"/>
        <v>#DIV/0!</v>
      </c>
      <c r="S106" s="336" t="e">
        <f t="shared" si="105"/>
        <v>#DIV/0!</v>
      </c>
      <c r="T106" s="632"/>
      <c r="U106" s="336"/>
      <c r="V106" s="337"/>
      <c r="W106" s="330" t="e">
        <f t="shared" si="94"/>
        <v>#DIV/0!</v>
      </c>
      <c r="X106" s="336" t="e">
        <f t="shared" si="106"/>
        <v>#DIV/0!</v>
      </c>
      <c r="Y106" s="632"/>
      <c r="Z106" s="336"/>
      <c r="AA106" s="337"/>
      <c r="AB106" s="330" t="e">
        <f t="shared" si="95"/>
        <v>#DIV/0!</v>
      </c>
      <c r="AC106" s="336" t="e">
        <f t="shared" si="107"/>
        <v>#DIV/0!</v>
      </c>
      <c r="AD106" s="632"/>
      <c r="AE106" s="336"/>
      <c r="AF106" s="337"/>
      <c r="AG106" s="330" t="e">
        <f t="shared" si="96"/>
        <v>#DIV/0!</v>
      </c>
      <c r="AH106" s="336" t="e">
        <f t="shared" si="108"/>
        <v>#DIV/0!</v>
      </c>
      <c r="AI106" s="632"/>
      <c r="AJ106" s="336"/>
      <c r="AK106" s="337"/>
      <c r="AL106" s="330" t="e">
        <f t="shared" si="97"/>
        <v>#DIV/0!</v>
      </c>
      <c r="AM106" s="336" t="e">
        <f t="shared" si="109"/>
        <v>#DIV/0!</v>
      </c>
      <c r="AN106" s="632"/>
      <c r="AO106" s="336"/>
      <c r="AP106" s="337"/>
      <c r="AQ106" s="330" t="e">
        <f t="shared" si="98"/>
        <v>#DIV/0!</v>
      </c>
      <c r="AR106" s="336" t="e">
        <f t="shared" si="110"/>
        <v>#DIV/0!</v>
      </c>
      <c r="AS106" s="632"/>
      <c r="AT106" s="336"/>
      <c r="AU106" s="337"/>
      <c r="AV106" s="330" t="e">
        <f t="shared" si="99"/>
        <v>#DIV/0!</v>
      </c>
      <c r="AW106" s="336" t="e">
        <f t="shared" si="111"/>
        <v>#DIV/0!</v>
      </c>
      <c r="AX106" s="632"/>
    </row>
    <row r="107" spans="1:50">
      <c r="B107" s="630"/>
      <c r="C107" s="336">
        <v>9</v>
      </c>
      <c r="D107" s="336" t="s">
        <v>382</v>
      </c>
      <c r="E107" s="337">
        <f>VLOOKUP(D107,'07產線配置圖'!$A$2:$C$25,2,0)</f>
        <v>17</v>
      </c>
      <c r="F107" s="337">
        <f>VLOOKUP(D107,'07產線配置圖'!$A$2:$C$25,3,0)</f>
        <v>1716</v>
      </c>
      <c r="G107" s="330">
        <f t="shared" si="100"/>
        <v>100.94117647058823</v>
      </c>
      <c r="H107" s="632"/>
      <c r="I107" s="337" t="e">
        <f t="shared" si="112"/>
        <v>#DIV/0!</v>
      </c>
      <c r="J107" s="337" t="e">
        <f t="shared" si="113"/>
        <v>#DIV/0!</v>
      </c>
      <c r="K107" s="330" t="e">
        <f t="shared" si="114"/>
        <v>#DIV/0!</v>
      </c>
      <c r="L107" s="632"/>
      <c r="M107" s="337" t="e">
        <f>RANK(K107, K$99:$K$116)</f>
        <v>#DIV/0!</v>
      </c>
      <c r="N107" s="637"/>
      <c r="O107" s="637"/>
      <c r="P107" s="336"/>
      <c r="Q107" s="337"/>
      <c r="R107" s="328" t="e">
        <f t="shared" si="104"/>
        <v>#DIV/0!</v>
      </c>
      <c r="S107" s="336" t="e">
        <f t="shared" si="105"/>
        <v>#DIV/0!</v>
      </c>
      <c r="T107" s="632"/>
      <c r="U107" s="336"/>
      <c r="V107" s="337"/>
      <c r="W107" s="330" t="e">
        <f t="shared" si="94"/>
        <v>#DIV/0!</v>
      </c>
      <c r="X107" s="336" t="e">
        <f t="shared" si="106"/>
        <v>#DIV/0!</v>
      </c>
      <c r="Y107" s="632"/>
      <c r="Z107" s="336"/>
      <c r="AA107" s="337"/>
      <c r="AB107" s="330" t="e">
        <f t="shared" si="95"/>
        <v>#DIV/0!</v>
      </c>
      <c r="AC107" s="336"/>
      <c r="AD107" s="632"/>
      <c r="AE107" s="336"/>
      <c r="AF107" s="337"/>
      <c r="AG107" s="330" t="e">
        <f t="shared" si="96"/>
        <v>#DIV/0!</v>
      </c>
      <c r="AH107" s="336"/>
      <c r="AI107" s="632"/>
      <c r="AJ107" s="336"/>
      <c r="AK107" s="337"/>
      <c r="AL107" s="330" t="e">
        <f t="shared" si="97"/>
        <v>#DIV/0!</v>
      </c>
      <c r="AM107" s="336"/>
      <c r="AN107" s="632"/>
      <c r="AO107" s="336"/>
      <c r="AP107" s="337"/>
      <c r="AQ107" s="330" t="e">
        <f t="shared" si="98"/>
        <v>#DIV/0!</v>
      </c>
      <c r="AR107" s="336"/>
      <c r="AS107" s="632"/>
      <c r="AT107" s="336"/>
      <c r="AU107" s="337"/>
      <c r="AV107" s="330" t="e">
        <f t="shared" si="99"/>
        <v>#DIV/0!</v>
      </c>
      <c r="AW107" s="336"/>
      <c r="AX107" s="632"/>
    </row>
    <row r="108" spans="1:50">
      <c r="B108" s="630"/>
      <c r="C108" s="336">
        <v>10</v>
      </c>
      <c r="D108" s="336" t="s">
        <v>115</v>
      </c>
      <c r="E108" s="337">
        <f>VLOOKUP(D108,'07產線配置圖'!$A$2:$C$25,2,0)</f>
        <v>13</v>
      </c>
      <c r="F108" s="337">
        <f>VLOOKUP(D108,'07產線配置圖'!$A$2:$C$25,3,0)</f>
        <v>2250</v>
      </c>
      <c r="G108" s="330">
        <f t="shared" si="100"/>
        <v>173.07692307692307</v>
      </c>
      <c r="H108" s="632"/>
      <c r="I108" s="337" t="e">
        <f t="shared" si="112"/>
        <v>#DIV/0!</v>
      </c>
      <c r="J108" s="337" t="e">
        <f t="shared" si="113"/>
        <v>#DIV/0!</v>
      </c>
      <c r="K108" s="330" t="e">
        <f t="shared" si="114"/>
        <v>#DIV/0!</v>
      </c>
      <c r="L108" s="632"/>
      <c r="M108" s="337" t="e">
        <f>RANK(K108, K$99:$K$116)</f>
        <v>#DIV/0!</v>
      </c>
      <c r="N108" s="637"/>
      <c r="O108" s="637"/>
      <c r="P108" s="336"/>
      <c r="Q108" s="337"/>
      <c r="R108" s="330" t="e">
        <f t="shared" si="104"/>
        <v>#DIV/0!</v>
      </c>
      <c r="S108" s="336" t="e">
        <f t="shared" si="105"/>
        <v>#DIV/0!</v>
      </c>
      <c r="T108" s="632"/>
      <c r="U108" s="336"/>
      <c r="V108" s="337"/>
      <c r="W108" s="330" t="e">
        <f t="shared" si="94"/>
        <v>#DIV/0!</v>
      </c>
      <c r="X108" s="336" t="e">
        <f t="shared" si="106"/>
        <v>#DIV/0!</v>
      </c>
      <c r="Y108" s="632"/>
      <c r="Z108" s="336"/>
      <c r="AA108" s="337"/>
      <c r="AB108" s="330" t="e">
        <f t="shared" si="95"/>
        <v>#DIV/0!</v>
      </c>
      <c r="AC108" s="336" t="e">
        <f t="shared" si="107"/>
        <v>#DIV/0!</v>
      </c>
      <c r="AD108" s="632"/>
      <c r="AE108" s="336"/>
      <c r="AF108" s="337"/>
      <c r="AG108" s="330" t="e">
        <f t="shared" si="96"/>
        <v>#DIV/0!</v>
      </c>
      <c r="AH108" s="336" t="e">
        <f t="shared" si="108"/>
        <v>#DIV/0!</v>
      </c>
      <c r="AI108" s="632"/>
      <c r="AJ108" s="336"/>
      <c r="AK108" s="337"/>
      <c r="AL108" s="330" t="e">
        <f t="shared" si="97"/>
        <v>#DIV/0!</v>
      </c>
      <c r="AM108" s="336" t="e">
        <f t="shared" si="109"/>
        <v>#DIV/0!</v>
      </c>
      <c r="AN108" s="632"/>
      <c r="AO108" s="336"/>
      <c r="AP108" s="337"/>
      <c r="AQ108" s="330" t="e">
        <f t="shared" si="98"/>
        <v>#DIV/0!</v>
      </c>
      <c r="AR108" s="336" t="e">
        <f t="shared" si="110"/>
        <v>#DIV/0!</v>
      </c>
      <c r="AS108" s="632"/>
      <c r="AT108" s="336"/>
      <c r="AU108" s="337"/>
      <c r="AV108" s="330" t="e">
        <f t="shared" si="99"/>
        <v>#DIV/0!</v>
      </c>
      <c r="AW108" s="336" t="e">
        <f t="shared" si="111"/>
        <v>#DIV/0!</v>
      </c>
      <c r="AX108" s="632"/>
    </row>
    <row r="109" spans="1:50">
      <c r="B109" s="630"/>
      <c r="C109" s="336">
        <v>11</v>
      </c>
      <c r="D109" s="336" t="s">
        <v>127</v>
      </c>
      <c r="E109" s="337">
        <f>VLOOKUP(D109,'07產線配置圖'!$A$2:$C$25,2,0)</f>
        <v>17</v>
      </c>
      <c r="F109" s="337">
        <f>VLOOKUP(D109,'07產線配置圖'!$A$2:$C$25,3,0)</f>
        <v>1636</v>
      </c>
      <c r="G109" s="330">
        <f t="shared" si="100"/>
        <v>96.235294117647058</v>
      </c>
      <c r="H109" s="632"/>
      <c r="I109" s="337" t="e">
        <f t="shared" si="112"/>
        <v>#DIV/0!</v>
      </c>
      <c r="J109" s="337" t="e">
        <f t="shared" si="113"/>
        <v>#DIV/0!</v>
      </c>
      <c r="K109" s="330" t="e">
        <f t="shared" si="114"/>
        <v>#DIV/0!</v>
      </c>
      <c r="L109" s="632"/>
      <c r="M109" s="337" t="e">
        <f>RANK(K109, K$99:$K$116)</f>
        <v>#DIV/0!</v>
      </c>
      <c r="N109" s="637"/>
      <c r="O109" s="637"/>
      <c r="P109" s="336"/>
      <c r="Q109" s="336"/>
      <c r="R109" s="330" t="e">
        <f t="shared" si="104"/>
        <v>#DIV/0!</v>
      </c>
      <c r="S109" s="336" t="e">
        <f t="shared" si="105"/>
        <v>#DIV/0!</v>
      </c>
      <c r="T109" s="632"/>
      <c r="U109" s="336"/>
      <c r="V109" s="336"/>
      <c r="W109" s="330" t="e">
        <f t="shared" si="94"/>
        <v>#DIV/0!</v>
      </c>
      <c r="X109" s="336" t="e">
        <f t="shared" si="106"/>
        <v>#DIV/0!</v>
      </c>
      <c r="Y109" s="632"/>
      <c r="Z109" s="336"/>
      <c r="AA109" s="336"/>
      <c r="AB109" s="330" t="e">
        <f t="shared" si="95"/>
        <v>#DIV/0!</v>
      </c>
      <c r="AC109" s="336" t="e">
        <f t="shared" si="107"/>
        <v>#DIV/0!</v>
      </c>
      <c r="AD109" s="632"/>
      <c r="AE109" s="336"/>
      <c r="AF109" s="336"/>
      <c r="AG109" s="330" t="e">
        <f t="shared" si="96"/>
        <v>#DIV/0!</v>
      </c>
      <c r="AH109" s="336" t="e">
        <f t="shared" si="108"/>
        <v>#DIV/0!</v>
      </c>
      <c r="AI109" s="632"/>
      <c r="AJ109" s="336"/>
      <c r="AK109" s="336"/>
      <c r="AL109" s="330" t="e">
        <f t="shared" si="97"/>
        <v>#DIV/0!</v>
      </c>
      <c r="AM109" s="336" t="e">
        <f t="shared" si="109"/>
        <v>#DIV/0!</v>
      </c>
      <c r="AN109" s="632"/>
      <c r="AO109" s="336"/>
      <c r="AP109" s="336"/>
      <c r="AQ109" s="330" t="e">
        <f t="shared" si="98"/>
        <v>#DIV/0!</v>
      </c>
      <c r="AR109" s="336" t="e">
        <f t="shared" si="110"/>
        <v>#DIV/0!</v>
      </c>
      <c r="AS109" s="632"/>
      <c r="AT109" s="336"/>
      <c r="AU109" s="336"/>
      <c r="AV109" s="330" t="e">
        <f t="shared" si="99"/>
        <v>#DIV/0!</v>
      </c>
      <c r="AW109" s="336" t="e">
        <f t="shared" si="111"/>
        <v>#DIV/0!</v>
      </c>
      <c r="AX109" s="632"/>
    </row>
    <row r="110" spans="1:50">
      <c r="B110" s="630"/>
      <c r="C110" s="336">
        <v>12</v>
      </c>
      <c r="D110" s="336" t="s">
        <v>122</v>
      </c>
      <c r="E110" s="337">
        <f>VLOOKUP(D110,'07產線配置圖'!$A$2:$C$25,2,0)</f>
        <v>18</v>
      </c>
      <c r="F110" s="337">
        <f>VLOOKUP(D110,'07產線配置圖'!$A$2:$C$25,3,0)</f>
        <v>1636</v>
      </c>
      <c r="G110" s="330">
        <f t="shared" si="100"/>
        <v>90.888888888888886</v>
      </c>
      <c r="H110" s="632"/>
      <c r="I110" s="337" t="e">
        <f t="shared" si="112"/>
        <v>#DIV/0!</v>
      </c>
      <c r="J110" s="337" t="e">
        <f t="shared" si="113"/>
        <v>#DIV/0!</v>
      </c>
      <c r="K110" s="330" t="e">
        <f t="shared" si="114"/>
        <v>#DIV/0!</v>
      </c>
      <c r="L110" s="632"/>
      <c r="M110" s="337" t="e">
        <f>RANK(K110, K$99:$K$116)</f>
        <v>#DIV/0!</v>
      </c>
      <c r="N110" s="637"/>
      <c r="O110" s="637"/>
      <c r="P110" s="336"/>
      <c r="Q110" s="336"/>
      <c r="R110" s="328" t="e">
        <f t="shared" si="104"/>
        <v>#DIV/0!</v>
      </c>
      <c r="S110" s="336" t="e">
        <f t="shared" si="105"/>
        <v>#DIV/0!</v>
      </c>
      <c r="T110" s="632"/>
      <c r="U110" s="336"/>
      <c r="V110" s="336"/>
      <c r="W110" s="330" t="e">
        <f t="shared" si="94"/>
        <v>#DIV/0!</v>
      </c>
      <c r="X110" s="336" t="e">
        <f t="shared" si="106"/>
        <v>#DIV/0!</v>
      </c>
      <c r="Y110" s="632"/>
      <c r="Z110" s="336"/>
      <c r="AA110" s="336"/>
      <c r="AB110" s="330" t="e">
        <f t="shared" si="95"/>
        <v>#DIV/0!</v>
      </c>
      <c r="AC110" s="336" t="e">
        <f t="shared" si="107"/>
        <v>#DIV/0!</v>
      </c>
      <c r="AD110" s="632"/>
      <c r="AE110" s="336"/>
      <c r="AF110" s="336"/>
      <c r="AG110" s="330" t="e">
        <f t="shared" si="96"/>
        <v>#DIV/0!</v>
      </c>
      <c r="AH110" s="336" t="e">
        <f t="shared" si="108"/>
        <v>#DIV/0!</v>
      </c>
      <c r="AI110" s="632"/>
      <c r="AJ110" s="336"/>
      <c r="AK110" s="336"/>
      <c r="AL110" s="330" t="e">
        <f t="shared" si="97"/>
        <v>#DIV/0!</v>
      </c>
      <c r="AM110" s="336" t="e">
        <f t="shared" si="109"/>
        <v>#DIV/0!</v>
      </c>
      <c r="AN110" s="632"/>
      <c r="AO110" s="336"/>
      <c r="AP110" s="336"/>
      <c r="AQ110" s="330" t="e">
        <f t="shared" si="98"/>
        <v>#DIV/0!</v>
      </c>
      <c r="AR110" s="336" t="e">
        <f t="shared" si="110"/>
        <v>#DIV/0!</v>
      </c>
      <c r="AS110" s="632"/>
      <c r="AT110" s="336"/>
      <c r="AU110" s="336"/>
      <c r="AV110" s="330" t="e">
        <f t="shared" si="99"/>
        <v>#DIV/0!</v>
      </c>
      <c r="AW110" s="336" t="e">
        <f t="shared" si="111"/>
        <v>#DIV/0!</v>
      </c>
      <c r="AX110" s="632"/>
    </row>
    <row r="111" spans="1:50">
      <c r="B111" s="630"/>
      <c r="C111" s="336">
        <v>13</v>
      </c>
      <c r="D111" s="336" t="s">
        <v>125</v>
      </c>
      <c r="E111" s="337">
        <v>18</v>
      </c>
      <c r="F111" s="337">
        <f>VLOOKUP(D111,'07產線配置圖'!$A$2:$C$25,3,0)</f>
        <v>1636</v>
      </c>
      <c r="G111" s="330">
        <f t="shared" si="100"/>
        <v>90.888888888888886</v>
      </c>
      <c r="H111" s="632"/>
      <c r="I111" s="337" t="e">
        <f t="shared" si="112"/>
        <v>#DIV/0!</v>
      </c>
      <c r="J111" s="337" t="e">
        <f t="shared" si="113"/>
        <v>#DIV/0!</v>
      </c>
      <c r="K111" s="330" t="e">
        <f t="shared" si="114"/>
        <v>#DIV/0!</v>
      </c>
      <c r="L111" s="632"/>
      <c r="M111" s="337" t="e">
        <f>RANK(K111, K$99:$K$116)</f>
        <v>#DIV/0!</v>
      </c>
      <c r="N111" s="637"/>
      <c r="O111" s="637"/>
      <c r="P111" s="340"/>
      <c r="Q111" s="336"/>
      <c r="R111" s="330" t="e">
        <f t="shared" si="104"/>
        <v>#DIV/0!</v>
      </c>
      <c r="S111" s="336" t="e">
        <f t="shared" si="105"/>
        <v>#DIV/0!</v>
      </c>
      <c r="T111" s="632"/>
      <c r="U111" s="336"/>
      <c r="V111" s="336"/>
      <c r="W111" s="330" t="e">
        <f t="shared" si="94"/>
        <v>#DIV/0!</v>
      </c>
      <c r="X111" s="336" t="e">
        <f t="shared" si="106"/>
        <v>#DIV/0!</v>
      </c>
      <c r="Y111" s="632"/>
      <c r="Z111" s="336"/>
      <c r="AA111" s="336"/>
      <c r="AB111" s="330" t="e">
        <f t="shared" si="95"/>
        <v>#DIV/0!</v>
      </c>
      <c r="AC111" s="336" t="e">
        <f t="shared" si="107"/>
        <v>#DIV/0!</v>
      </c>
      <c r="AD111" s="632"/>
      <c r="AE111" s="336"/>
      <c r="AF111" s="336"/>
      <c r="AG111" s="330" t="e">
        <f t="shared" si="96"/>
        <v>#DIV/0!</v>
      </c>
      <c r="AH111" s="336" t="e">
        <f t="shared" si="108"/>
        <v>#DIV/0!</v>
      </c>
      <c r="AI111" s="632"/>
      <c r="AJ111" s="336"/>
      <c r="AK111" s="336"/>
      <c r="AL111" s="330" t="e">
        <f t="shared" si="97"/>
        <v>#DIV/0!</v>
      </c>
      <c r="AM111" s="336" t="e">
        <f t="shared" si="109"/>
        <v>#DIV/0!</v>
      </c>
      <c r="AN111" s="632"/>
      <c r="AO111" s="336"/>
      <c r="AP111" s="336"/>
      <c r="AQ111" s="330" t="e">
        <f t="shared" si="98"/>
        <v>#DIV/0!</v>
      </c>
      <c r="AR111" s="336" t="e">
        <f t="shared" si="110"/>
        <v>#DIV/0!</v>
      </c>
      <c r="AS111" s="632"/>
      <c r="AT111" s="336"/>
      <c r="AU111" s="336"/>
      <c r="AV111" s="330" t="e">
        <f t="shared" si="99"/>
        <v>#DIV/0!</v>
      </c>
      <c r="AW111" s="336" t="e">
        <f t="shared" si="111"/>
        <v>#DIV/0!</v>
      </c>
      <c r="AX111" s="632"/>
    </row>
    <row r="112" spans="1:50">
      <c r="B112" s="630"/>
      <c r="C112" s="336">
        <v>14</v>
      </c>
      <c r="D112" s="336" t="s">
        <v>172</v>
      </c>
      <c r="E112" s="337">
        <f>VLOOKUP(D112,'07產線配置圖'!$A$2:$C$25,2,0)</f>
        <v>16</v>
      </c>
      <c r="F112" s="337">
        <f>VLOOKUP(D112,'07產線配置圖'!$A$2:$C$25,3,0)</f>
        <v>1636</v>
      </c>
      <c r="G112" s="330">
        <f t="shared" si="100"/>
        <v>102.25</v>
      </c>
      <c r="H112" s="632"/>
      <c r="I112" s="337" t="e">
        <f t="shared" si="112"/>
        <v>#DIV/0!</v>
      </c>
      <c r="J112" s="337" t="e">
        <f t="shared" si="113"/>
        <v>#DIV/0!</v>
      </c>
      <c r="K112" s="330" t="e">
        <f t="shared" si="114"/>
        <v>#DIV/0!</v>
      </c>
      <c r="L112" s="632"/>
      <c r="M112" s="337" t="e">
        <f>RANK(K112, K$99:$K$116)</f>
        <v>#DIV/0!</v>
      </c>
      <c r="N112" s="637"/>
      <c r="O112" s="637"/>
      <c r="P112" s="381"/>
      <c r="Q112" s="336"/>
      <c r="R112" s="328" t="e">
        <f t="shared" si="104"/>
        <v>#DIV/0!</v>
      </c>
      <c r="S112" s="336" t="e">
        <f t="shared" si="105"/>
        <v>#DIV/0!</v>
      </c>
      <c r="T112" s="632"/>
      <c r="U112" s="336"/>
      <c r="V112" s="336"/>
      <c r="W112" s="330" t="e">
        <f t="shared" si="94"/>
        <v>#DIV/0!</v>
      </c>
      <c r="X112" s="336" t="e">
        <f t="shared" si="106"/>
        <v>#DIV/0!</v>
      </c>
      <c r="Y112" s="632"/>
      <c r="Z112" s="336"/>
      <c r="AA112" s="336"/>
      <c r="AB112" s="330" t="e">
        <f t="shared" si="95"/>
        <v>#DIV/0!</v>
      </c>
      <c r="AC112" s="336" t="e">
        <f t="shared" si="107"/>
        <v>#DIV/0!</v>
      </c>
      <c r="AD112" s="632"/>
      <c r="AE112" s="336"/>
      <c r="AF112" s="336"/>
      <c r="AG112" s="330" t="e">
        <f t="shared" si="96"/>
        <v>#DIV/0!</v>
      </c>
      <c r="AH112" s="336" t="e">
        <f t="shared" si="108"/>
        <v>#DIV/0!</v>
      </c>
      <c r="AI112" s="632"/>
      <c r="AJ112" s="336"/>
      <c r="AK112" s="336"/>
      <c r="AL112" s="330" t="e">
        <f t="shared" si="97"/>
        <v>#DIV/0!</v>
      </c>
      <c r="AM112" s="336" t="e">
        <f t="shared" si="109"/>
        <v>#DIV/0!</v>
      </c>
      <c r="AN112" s="632"/>
      <c r="AO112" s="336"/>
      <c r="AP112" s="336"/>
      <c r="AQ112" s="330" t="e">
        <f t="shared" si="98"/>
        <v>#DIV/0!</v>
      </c>
      <c r="AR112" s="336" t="e">
        <f t="shared" si="110"/>
        <v>#DIV/0!</v>
      </c>
      <c r="AS112" s="632"/>
      <c r="AT112" s="336"/>
      <c r="AU112" s="336"/>
      <c r="AV112" s="330" t="e">
        <f t="shared" si="99"/>
        <v>#DIV/0!</v>
      </c>
      <c r="AW112" s="336" t="e">
        <f t="shared" si="111"/>
        <v>#DIV/0!</v>
      </c>
      <c r="AX112" s="632"/>
    </row>
    <row r="113" spans="2:50">
      <c r="B113" s="630"/>
      <c r="C113" s="336">
        <v>15</v>
      </c>
      <c r="D113" s="336" t="s">
        <v>228</v>
      </c>
      <c r="E113" s="337">
        <f>VLOOKUP(D113,'07產線配置圖'!$A$2:$C$25,2,0)</f>
        <v>17</v>
      </c>
      <c r="F113" s="337">
        <f>VLOOKUP(D113,'07產線配置圖'!$A$2:$C$25,3,0)</f>
        <v>2250</v>
      </c>
      <c r="G113" s="330">
        <f>F113/E113</f>
        <v>132.35294117647058</v>
      </c>
      <c r="H113" s="632"/>
      <c r="I113" s="337" t="e">
        <f t="shared" si="112"/>
        <v>#DIV/0!</v>
      </c>
      <c r="J113" s="337" t="e">
        <f t="shared" si="113"/>
        <v>#DIV/0!</v>
      </c>
      <c r="K113" s="330" t="e">
        <f t="shared" si="114"/>
        <v>#DIV/0!</v>
      </c>
      <c r="L113" s="632"/>
      <c r="M113" s="337" t="e">
        <f>RANK(K113, K$99:$K$116)</f>
        <v>#DIV/0!</v>
      </c>
      <c r="N113" s="637"/>
      <c r="O113" s="637"/>
      <c r="P113" s="336"/>
      <c r="Q113" s="336"/>
      <c r="R113" s="330" t="e">
        <f t="shared" si="104"/>
        <v>#DIV/0!</v>
      </c>
      <c r="S113" s="336" t="e">
        <f t="shared" si="105"/>
        <v>#DIV/0!</v>
      </c>
      <c r="T113" s="632"/>
      <c r="U113" s="336"/>
      <c r="V113" s="336"/>
      <c r="W113" s="330" t="e">
        <f t="shared" si="94"/>
        <v>#DIV/0!</v>
      </c>
      <c r="X113" s="336" t="e">
        <f t="shared" si="106"/>
        <v>#DIV/0!</v>
      </c>
      <c r="Y113" s="632"/>
      <c r="Z113" s="336"/>
      <c r="AA113" s="336"/>
      <c r="AB113" s="330" t="e">
        <f t="shared" si="95"/>
        <v>#DIV/0!</v>
      </c>
      <c r="AC113" s="336" t="e">
        <f t="shared" si="107"/>
        <v>#DIV/0!</v>
      </c>
      <c r="AD113" s="632"/>
      <c r="AE113" s="336"/>
      <c r="AF113" s="336"/>
      <c r="AG113" s="330" t="e">
        <f t="shared" si="96"/>
        <v>#DIV/0!</v>
      </c>
      <c r="AH113" s="336" t="e">
        <f t="shared" si="108"/>
        <v>#DIV/0!</v>
      </c>
      <c r="AI113" s="632"/>
      <c r="AJ113" s="336"/>
      <c r="AK113" s="336"/>
      <c r="AL113" s="330" t="e">
        <f t="shared" si="97"/>
        <v>#DIV/0!</v>
      </c>
      <c r="AM113" s="336" t="e">
        <f t="shared" si="109"/>
        <v>#DIV/0!</v>
      </c>
      <c r="AN113" s="632"/>
      <c r="AO113" s="336"/>
      <c r="AP113" s="336"/>
      <c r="AQ113" s="330" t="e">
        <f t="shared" si="98"/>
        <v>#DIV/0!</v>
      </c>
      <c r="AR113" s="336" t="e">
        <f t="shared" si="110"/>
        <v>#DIV/0!</v>
      </c>
      <c r="AS113" s="632"/>
      <c r="AT113" s="336"/>
      <c r="AU113" s="336"/>
      <c r="AV113" s="330" t="e">
        <f t="shared" si="99"/>
        <v>#DIV/0!</v>
      </c>
      <c r="AW113" s="336" t="e">
        <f t="shared" si="111"/>
        <v>#DIV/0!</v>
      </c>
      <c r="AX113" s="632"/>
    </row>
    <row r="114" spans="2:50">
      <c r="B114" s="630"/>
      <c r="C114" s="336">
        <v>16</v>
      </c>
      <c r="D114" s="336" t="s">
        <v>383</v>
      </c>
      <c r="E114" s="337">
        <f>VLOOKUP(D114,'07產線配置圖'!$A$2:$C$25,2,0)</f>
        <v>14</v>
      </c>
      <c r="F114" s="337">
        <f>VLOOKUP(D114,'07產線配置圖'!$A$2:$C$25,3,0)</f>
        <v>1565</v>
      </c>
      <c r="G114" s="330">
        <f>F114/E114</f>
        <v>111.78571428571429</v>
      </c>
      <c r="H114" s="632"/>
      <c r="I114" s="337" t="e">
        <f t="shared" si="112"/>
        <v>#DIV/0!</v>
      </c>
      <c r="J114" s="337" t="e">
        <f t="shared" si="113"/>
        <v>#DIV/0!</v>
      </c>
      <c r="K114" s="330" t="e">
        <f t="shared" si="114"/>
        <v>#DIV/0!</v>
      </c>
      <c r="L114" s="632"/>
      <c r="M114" s="337" t="e">
        <f>RANK(K114, K$99:$K$116)</f>
        <v>#DIV/0!</v>
      </c>
      <c r="N114" s="637"/>
      <c r="O114" s="637"/>
      <c r="P114" s="340"/>
      <c r="Q114" s="336"/>
      <c r="R114" s="328" t="e">
        <f t="shared" si="104"/>
        <v>#DIV/0!</v>
      </c>
      <c r="S114" s="336" t="e">
        <f t="shared" si="105"/>
        <v>#DIV/0!</v>
      </c>
      <c r="T114" s="632"/>
      <c r="U114" s="336"/>
      <c r="V114" s="336"/>
      <c r="W114" s="330" t="e">
        <f t="shared" si="94"/>
        <v>#DIV/0!</v>
      </c>
      <c r="X114" s="336" t="e">
        <f t="shared" si="106"/>
        <v>#DIV/0!</v>
      </c>
      <c r="Y114" s="632"/>
      <c r="Z114" s="336"/>
      <c r="AA114" s="336"/>
      <c r="AB114" s="330" t="e">
        <f t="shared" si="95"/>
        <v>#DIV/0!</v>
      </c>
      <c r="AC114" s="336" t="e">
        <f t="shared" si="107"/>
        <v>#DIV/0!</v>
      </c>
      <c r="AD114" s="632"/>
      <c r="AE114" s="336"/>
      <c r="AF114" s="336"/>
      <c r="AG114" s="330" t="e">
        <f t="shared" si="96"/>
        <v>#DIV/0!</v>
      </c>
      <c r="AH114" s="336" t="e">
        <f t="shared" si="108"/>
        <v>#DIV/0!</v>
      </c>
      <c r="AI114" s="632"/>
      <c r="AJ114" s="336"/>
      <c r="AK114" s="336"/>
      <c r="AL114" s="330" t="e">
        <f t="shared" si="97"/>
        <v>#DIV/0!</v>
      </c>
      <c r="AM114" s="336" t="e">
        <f t="shared" si="109"/>
        <v>#DIV/0!</v>
      </c>
      <c r="AN114" s="632"/>
      <c r="AO114" s="336"/>
      <c r="AP114" s="336"/>
      <c r="AQ114" s="330" t="e">
        <f t="shared" si="98"/>
        <v>#DIV/0!</v>
      </c>
      <c r="AR114" s="336" t="e">
        <f t="shared" si="110"/>
        <v>#DIV/0!</v>
      </c>
      <c r="AS114" s="632"/>
      <c r="AT114" s="336"/>
      <c r="AU114" s="336"/>
      <c r="AV114" s="330" t="e">
        <f t="shared" si="99"/>
        <v>#DIV/0!</v>
      </c>
      <c r="AW114" s="336" t="e">
        <f t="shared" si="111"/>
        <v>#DIV/0!</v>
      </c>
      <c r="AX114" s="632"/>
    </row>
    <row r="115" spans="2:50" ht="13.5">
      <c r="B115" s="630"/>
      <c r="C115" s="336">
        <v>17</v>
      </c>
      <c r="D115" s="355" t="s">
        <v>129</v>
      </c>
      <c r="E115" s="337">
        <f>VLOOKUP(D115,'07產線配置圖'!$A$2:$C$25,2,0)</f>
        <v>18</v>
      </c>
      <c r="F115" s="337">
        <f>VLOOKUP(D115,'07產線配置圖'!$A$2:$C$25,3,0)</f>
        <v>1636</v>
      </c>
      <c r="G115" s="330">
        <f>F115/E115</f>
        <v>90.888888888888886</v>
      </c>
      <c r="H115" s="632"/>
      <c r="I115" s="337" t="e">
        <f t="shared" si="112"/>
        <v>#DIV/0!</v>
      </c>
      <c r="J115" s="337" t="e">
        <f t="shared" si="113"/>
        <v>#DIV/0!</v>
      </c>
      <c r="K115" s="330" t="e">
        <f t="shared" si="114"/>
        <v>#DIV/0!</v>
      </c>
      <c r="L115" s="632"/>
      <c r="M115" s="337" t="e">
        <f>RANK(K115, K$99:$K$116)</f>
        <v>#DIV/0!</v>
      </c>
      <c r="N115" s="637"/>
      <c r="O115" s="637"/>
      <c r="P115" s="336"/>
      <c r="Q115" s="336"/>
      <c r="R115" s="330" t="e">
        <f t="shared" si="104"/>
        <v>#DIV/0!</v>
      </c>
      <c r="S115" s="336" t="e">
        <f t="shared" si="105"/>
        <v>#DIV/0!</v>
      </c>
      <c r="T115" s="632"/>
      <c r="U115" s="336"/>
      <c r="V115" s="336"/>
      <c r="W115" s="330" t="e">
        <f t="shared" si="94"/>
        <v>#DIV/0!</v>
      </c>
      <c r="X115" s="336" t="e">
        <f t="shared" si="106"/>
        <v>#DIV/0!</v>
      </c>
      <c r="Y115" s="632"/>
      <c r="Z115" s="336"/>
      <c r="AA115" s="336"/>
      <c r="AB115" s="330" t="e">
        <f t="shared" si="95"/>
        <v>#DIV/0!</v>
      </c>
      <c r="AC115" s="336" t="e">
        <f t="shared" si="107"/>
        <v>#DIV/0!</v>
      </c>
      <c r="AD115" s="632"/>
      <c r="AE115" s="336"/>
      <c r="AF115" s="336"/>
      <c r="AG115" s="330" t="e">
        <f t="shared" si="96"/>
        <v>#DIV/0!</v>
      </c>
      <c r="AH115" s="336" t="e">
        <f t="shared" si="108"/>
        <v>#DIV/0!</v>
      </c>
      <c r="AI115" s="632"/>
      <c r="AJ115" s="336"/>
      <c r="AK115" s="336"/>
      <c r="AL115" s="330" t="e">
        <f t="shared" si="97"/>
        <v>#DIV/0!</v>
      </c>
      <c r="AM115" s="336" t="e">
        <f t="shared" si="109"/>
        <v>#DIV/0!</v>
      </c>
      <c r="AN115" s="632"/>
      <c r="AO115" s="336"/>
      <c r="AP115" s="336"/>
      <c r="AQ115" s="330" t="e">
        <f t="shared" si="98"/>
        <v>#DIV/0!</v>
      </c>
      <c r="AR115" s="336" t="e">
        <f t="shared" si="110"/>
        <v>#DIV/0!</v>
      </c>
      <c r="AS115" s="632"/>
      <c r="AT115" s="336"/>
      <c r="AU115" s="336"/>
      <c r="AV115" s="330" t="e">
        <f t="shared" si="99"/>
        <v>#DIV/0!</v>
      </c>
      <c r="AW115" s="336" t="e">
        <f t="shared" si="111"/>
        <v>#DIV/0!</v>
      </c>
      <c r="AX115" s="632"/>
    </row>
    <row r="116" spans="2:50">
      <c r="B116" s="630"/>
      <c r="C116" s="336">
        <v>18</v>
      </c>
      <c r="D116" s="336"/>
      <c r="E116" s="336"/>
      <c r="F116" s="336"/>
      <c r="G116" s="336"/>
      <c r="H116" s="632"/>
      <c r="I116" s="336"/>
      <c r="J116" s="336"/>
      <c r="K116" s="336"/>
      <c r="L116" s="633"/>
      <c r="M116" s="337"/>
      <c r="N116" s="620"/>
      <c r="O116" s="620"/>
      <c r="P116" s="336"/>
      <c r="Q116" s="336"/>
      <c r="R116" s="336"/>
      <c r="S116" s="336"/>
      <c r="T116" s="633"/>
      <c r="U116" s="336"/>
      <c r="V116" s="336"/>
      <c r="W116" s="330"/>
      <c r="X116" s="336"/>
      <c r="Y116" s="633"/>
      <c r="Z116" s="336"/>
      <c r="AA116" s="336"/>
      <c r="AB116" s="330"/>
      <c r="AC116" s="336"/>
      <c r="AD116" s="633"/>
      <c r="AE116" s="336"/>
      <c r="AF116" s="336"/>
      <c r="AG116" s="330"/>
      <c r="AH116" s="336"/>
      <c r="AI116" s="633"/>
      <c r="AJ116" s="336"/>
      <c r="AK116" s="336"/>
      <c r="AL116" s="330"/>
      <c r="AM116" s="336"/>
      <c r="AN116" s="633"/>
      <c r="AO116" s="336"/>
      <c r="AP116" s="336"/>
      <c r="AQ116" s="330"/>
      <c r="AR116" s="336"/>
      <c r="AS116" s="633"/>
      <c r="AT116" s="336"/>
      <c r="AU116" s="336"/>
      <c r="AV116" s="330"/>
      <c r="AW116" s="336"/>
      <c r="AX116" s="633"/>
    </row>
    <row r="117" spans="2:50" ht="15.75">
      <c r="B117" s="649" t="s">
        <v>85</v>
      </c>
      <c r="C117" s="626"/>
      <c r="D117" s="626"/>
      <c r="E117" s="626"/>
      <c r="F117" s="626"/>
      <c r="G117" s="626"/>
      <c r="H117" s="626"/>
      <c r="I117" s="348"/>
      <c r="J117" s="348"/>
      <c r="K117" s="348"/>
      <c r="L117" s="348"/>
      <c r="M117" s="356"/>
      <c r="N117" s="619" t="s">
        <v>86</v>
      </c>
      <c r="O117" s="619" t="s">
        <v>45</v>
      </c>
      <c r="P117" s="617"/>
      <c r="Q117" s="618"/>
      <c r="R117" s="618"/>
      <c r="S117" s="618"/>
      <c r="T117" s="618"/>
      <c r="U117" s="617"/>
      <c r="V117" s="618"/>
      <c r="W117" s="618"/>
      <c r="X117" s="618"/>
      <c r="Y117" s="618"/>
      <c r="Z117" s="617"/>
      <c r="AA117" s="618"/>
      <c r="AB117" s="618"/>
      <c r="AC117" s="618"/>
      <c r="AD117" s="618"/>
      <c r="AE117" s="617"/>
      <c r="AF117" s="618"/>
      <c r="AG117" s="618"/>
      <c r="AH117" s="618"/>
      <c r="AI117" s="618"/>
      <c r="AJ117" s="617"/>
      <c r="AK117" s="618"/>
      <c r="AL117" s="618"/>
      <c r="AM117" s="618"/>
      <c r="AN117" s="618"/>
      <c r="AO117" s="617"/>
      <c r="AP117" s="618"/>
      <c r="AQ117" s="618"/>
      <c r="AR117" s="618"/>
      <c r="AS117" s="618"/>
      <c r="AT117" s="617"/>
      <c r="AU117" s="618"/>
      <c r="AV117" s="618"/>
      <c r="AW117" s="618"/>
      <c r="AX117" s="618"/>
    </row>
    <row r="118" spans="2:50" ht="15.75">
      <c r="B118" s="627"/>
      <c r="C118" s="627"/>
      <c r="D118" s="627"/>
      <c r="E118" s="627"/>
      <c r="F118" s="627"/>
      <c r="G118" s="627"/>
      <c r="H118" s="627"/>
      <c r="I118" s="351"/>
      <c r="J118" s="351"/>
      <c r="K118" s="351"/>
      <c r="L118" s="351"/>
      <c r="M118" s="352"/>
      <c r="N118" s="620"/>
      <c r="O118" s="620"/>
      <c r="P118" s="617" t="s">
        <v>58</v>
      </c>
      <c r="Q118" s="618"/>
      <c r="R118" s="618"/>
      <c r="S118" s="618"/>
      <c r="T118" s="618"/>
      <c r="U118" s="617" t="s">
        <v>59</v>
      </c>
      <c r="V118" s="618"/>
      <c r="W118" s="618"/>
      <c r="X118" s="618"/>
      <c r="Y118" s="618"/>
      <c r="Z118" s="617" t="s">
        <v>60</v>
      </c>
      <c r="AA118" s="618"/>
      <c r="AB118" s="618"/>
      <c r="AC118" s="618"/>
      <c r="AD118" s="618"/>
      <c r="AE118" s="617" t="s">
        <v>61</v>
      </c>
      <c r="AF118" s="618"/>
      <c r="AG118" s="618"/>
      <c r="AH118" s="618"/>
      <c r="AI118" s="618"/>
      <c r="AJ118" s="617" t="s">
        <v>56</v>
      </c>
      <c r="AK118" s="618"/>
      <c r="AL118" s="618"/>
      <c r="AM118" s="618"/>
      <c r="AN118" s="618"/>
      <c r="AO118" s="617" t="s">
        <v>52</v>
      </c>
      <c r="AP118" s="618"/>
      <c r="AQ118" s="618"/>
      <c r="AR118" s="618"/>
      <c r="AS118" s="618"/>
      <c r="AT118" s="617" t="s">
        <v>57</v>
      </c>
      <c r="AU118" s="618"/>
      <c r="AV118" s="618"/>
      <c r="AW118" s="618"/>
      <c r="AX118" s="618"/>
    </row>
    <row r="119" spans="2:50">
      <c r="B119" s="624" t="s">
        <v>41</v>
      </c>
      <c r="C119" s="628" t="s">
        <v>87</v>
      </c>
      <c r="D119" s="624"/>
      <c r="E119" s="624" t="s">
        <v>88</v>
      </c>
      <c r="F119" s="624"/>
      <c r="G119" s="624"/>
      <c r="H119" s="634" t="s">
        <v>89</v>
      </c>
      <c r="I119" s="624" t="s">
        <v>90</v>
      </c>
      <c r="J119" s="624"/>
      <c r="K119" s="624"/>
      <c r="L119" s="634" t="s">
        <v>89</v>
      </c>
      <c r="M119" s="619" t="s">
        <v>91</v>
      </c>
      <c r="N119" s="624"/>
      <c r="O119" s="624" t="s">
        <v>92</v>
      </c>
      <c r="P119" s="621" t="s">
        <v>93</v>
      </c>
      <c r="Q119" s="622"/>
      <c r="R119" s="622"/>
      <c r="S119" s="623"/>
      <c r="T119" s="624" t="s">
        <v>89</v>
      </c>
      <c r="U119" s="621" t="s">
        <v>93</v>
      </c>
      <c r="V119" s="622"/>
      <c r="W119" s="622"/>
      <c r="X119" s="623"/>
      <c r="Y119" s="624" t="s">
        <v>89</v>
      </c>
      <c r="Z119" s="621" t="s">
        <v>93</v>
      </c>
      <c r="AA119" s="622"/>
      <c r="AB119" s="622"/>
      <c r="AC119" s="623"/>
      <c r="AD119" s="624" t="s">
        <v>89</v>
      </c>
      <c r="AE119" s="621" t="s">
        <v>93</v>
      </c>
      <c r="AF119" s="622"/>
      <c r="AG119" s="622"/>
      <c r="AH119" s="623"/>
      <c r="AI119" s="624" t="s">
        <v>89</v>
      </c>
      <c r="AJ119" s="621" t="s">
        <v>93</v>
      </c>
      <c r="AK119" s="622"/>
      <c r="AL119" s="622"/>
      <c r="AM119" s="623"/>
      <c r="AN119" s="624" t="s">
        <v>89</v>
      </c>
      <c r="AO119" s="621" t="s">
        <v>93</v>
      </c>
      <c r="AP119" s="622"/>
      <c r="AQ119" s="622"/>
      <c r="AR119" s="623"/>
      <c r="AS119" s="624" t="s">
        <v>89</v>
      </c>
      <c r="AT119" s="621" t="s">
        <v>93</v>
      </c>
      <c r="AU119" s="622"/>
      <c r="AV119" s="622"/>
      <c r="AW119" s="623"/>
      <c r="AX119" s="624" t="s">
        <v>89</v>
      </c>
    </row>
    <row r="120" spans="2:50">
      <c r="B120" s="624"/>
      <c r="C120" s="624"/>
      <c r="D120" s="624"/>
      <c r="E120" s="624" t="s">
        <v>94</v>
      </c>
      <c r="F120" s="624"/>
      <c r="G120" s="624"/>
      <c r="H120" s="635"/>
      <c r="I120" s="624" t="s">
        <v>94</v>
      </c>
      <c r="J120" s="624"/>
      <c r="K120" s="624"/>
      <c r="L120" s="635"/>
      <c r="M120" s="637"/>
      <c r="N120" s="624"/>
      <c r="O120" s="624"/>
      <c r="P120" s="621" t="s">
        <v>95</v>
      </c>
      <c r="Q120" s="622"/>
      <c r="R120" s="622"/>
      <c r="S120" s="623"/>
      <c r="T120" s="624"/>
      <c r="U120" s="621" t="s">
        <v>95</v>
      </c>
      <c r="V120" s="622"/>
      <c r="W120" s="622"/>
      <c r="X120" s="623"/>
      <c r="Y120" s="624"/>
      <c r="Z120" s="621" t="s">
        <v>95</v>
      </c>
      <c r="AA120" s="622"/>
      <c r="AB120" s="622"/>
      <c r="AC120" s="623"/>
      <c r="AD120" s="624"/>
      <c r="AE120" s="621" t="s">
        <v>95</v>
      </c>
      <c r="AF120" s="622"/>
      <c r="AG120" s="622"/>
      <c r="AH120" s="623"/>
      <c r="AI120" s="624"/>
      <c r="AJ120" s="621" t="s">
        <v>95</v>
      </c>
      <c r="AK120" s="622"/>
      <c r="AL120" s="622"/>
      <c r="AM120" s="623"/>
      <c r="AN120" s="624"/>
      <c r="AO120" s="621" t="s">
        <v>95</v>
      </c>
      <c r="AP120" s="622"/>
      <c r="AQ120" s="622"/>
      <c r="AR120" s="623"/>
      <c r="AS120" s="624"/>
      <c r="AT120" s="621" t="s">
        <v>95</v>
      </c>
      <c r="AU120" s="622"/>
      <c r="AV120" s="622"/>
      <c r="AW120" s="623"/>
      <c r="AX120" s="624"/>
    </row>
    <row r="121" spans="2:50">
      <c r="B121" s="624"/>
      <c r="C121" s="624"/>
      <c r="D121" s="624"/>
      <c r="E121" s="353" t="s">
        <v>96</v>
      </c>
      <c r="F121" s="353" t="s">
        <v>97</v>
      </c>
      <c r="G121" s="353" t="s">
        <v>98</v>
      </c>
      <c r="H121" s="636"/>
      <c r="I121" s="353" t="s">
        <v>96</v>
      </c>
      <c r="J121" s="353" t="s">
        <v>97</v>
      </c>
      <c r="K121" s="353" t="s">
        <v>98</v>
      </c>
      <c r="L121" s="636"/>
      <c r="M121" s="620"/>
      <c r="N121" s="624"/>
      <c r="O121" s="624"/>
      <c r="P121" s="353" t="s">
        <v>96</v>
      </c>
      <c r="Q121" s="353" t="s">
        <v>97</v>
      </c>
      <c r="R121" s="353" t="s">
        <v>98</v>
      </c>
      <c r="S121" s="353" t="s">
        <v>91</v>
      </c>
      <c r="T121" s="624"/>
      <c r="U121" s="353" t="s">
        <v>96</v>
      </c>
      <c r="V121" s="353" t="s">
        <v>97</v>
      </c>
      <c r="W121" s="353" t="s">
        <v>98</v>
      </c>
      <c r="X121" s="353" t="s">
        <v>91</v>
      </c>
      <c r="Y121" s="624"/>
      <c r="Z121" s="353" t="s">
        <v>96</v>
      </c>
      <c r="AA121" s="353" t="s">
        <v>97</v>
      </c>
      <c r="AB121" s="353" t="s">
        <v>98</v>
      </c>
      <c r="AC121" s="353" t="s">
        <v>91</v>
      </c>
      <c r="AD121" s="624"/>
      <c r="AE121" s="353" t="s">
        <v>96</v>
      </c>
      <c r="AF121" s="353" t="s">
        <v>97</v>
      </c>
      <c r="AG121" s="353" t="s">
        <v>98</v>
      </c>
      <c r="AH121" s="353" t="s">
        <v>91</v>
      </c>
      <c r="AI121" s="624"/>
      <c r="AJ121" s="353" t="s">
        <v>96</v>
      </c>
      <c r="AK121" s="353" t="s">
        <v>97</v>
      </c>
      <c r="AL121" s="353" t="s">
        <v>98</v>
      </c>
      <c r="AM121" s="353" t="s">
        <v>91</v>
      </c>
      <c r="AN121" s="624"/>
      <c r="AO121" s="353" t="s">
        <v>96</v>
      </c>
      <c r="AP121" s="353" t="s">
        <v>97</v>
      </c>
      <c r="AQ121" s="353" t="s">
        <v>98</v>
      </c>
      <c r="AR121" s="353" t="s">
        <v>91</v>
      </c>
      <c r="AS121" s="624"/>
      <c r="AT121" s="353" t="s">
        <v>96</v>
      </c>
      <c r="AU121" s="353" t="s">
        <v>97</v>
      </c>
      <c r="AV121" s="353" t="s">
        <v>98</v>
      </c>
      <c r="AW121" s="353" t="s">
        <v>91</v>
      </c>
      <c r="AX121" s="624"/>
    </row>
    <row r="122" spans="2:50" ht="13.5">
      <c r="B122" s="618" t="s">
        <v>337</v>
      </c>
      <c r="C122" s="336">
        <v>1</v>
      </c>
      <c r="D122" s="355" t="s">
        <v>113</v>
      </c>
      <c r="E122" s="337">
        <f>VLOOKUP(D122,'07產線配置圖'!$A$2:$C$25,2,0)</f>
        <v>12</v>
      </c>
      <c r="F122" s="337">
        <f>VLOOKUP(D122,'07產線配置圖'!$A$2:$C$25,3,0)</f>
        <v>2250</v>
      </c>
      <c r="G122" s="330">
        <f>F122/E122</f>
        <v>187.5</v>
      </c>
      <c r="H122" s="641" t="e">
        <f>AVERAGE(G122:G139)</f>
        <v>#N/A</v>
      </c>
      <c r="I122" s="337" t="e">
        <f>AVERAGE(P122,U122,Z122,AE122,AJ122,AO122,AT122)</f>
        <v>#DIV/0!</v>
      </c>
      <c r="J122" s="337" t="e">
        <f>AVERAGE(Q122,V122,AA122,AF122,AK122,AP122,AU122)</f>
        <v>#DIV/0!</v>
      </c>
      <c r="K122" s="330" t="e">
        <f>J122/I122</f>
        <v>#DIV/0!</v>
      </c>
      <c r="L122" s="641" t="str">
        <f>IFERROR(AVERAGE(K122:K139),"-")</f>
        <v>-</v>
      </c>
      <c r="M122" s="357" t="e">
        <f>RANK(K122,$K$122:$K$139)</f>
        <v>#DIV/0!</v>
      </c>
      <c r="N122" s="624"/>
      <c r="O122" s="624"/>
      <c r="P122" s="337"/>
      <c r="Q122" s="337"/>
      <c r="R122" s="330" t="e">
        <f>Q122/P122</f>
        <v>#DIV/0!</v>
      </c>
      <c r="S122" s="336" t="e">
        <f>RANK(R122,$R$122:$R$139)</f>
        <v>#DIV/0!</v>
      </c>
      <c r="T122" s="640" t="e">
        <f>AVERAGE(R122:R139)</f>
        <v>#DIV/0!</v>
      </c>
      <c r="U122" s="337"/>
      <c r="V122" s="337"/>
      <c r="W122" s="330" t="e">
        <f>V122/U122</f>
        <v>#DIV/0!</v>
      </c>
      <c r="X122" s="336" t="e">
        <f>RANK(W122,$W$122:$W$137)</f>
        <v>#DIV/0!</v>
      </c>
      <c r="Y122" s="640" t="e">
        <f>AVERAGE(W122:W139)</f>
        <v>#DIV/0!</v>
      </c>
      <c r="Z122" s="337"/>
      <c r="AA122" s="337"/>
      <c r="AB122" s="330" t="e">
        <f>AA122/Z122</f>
        <v>#DIV/0!</v>
      </c>
      <c r="AC122" s="336" t="e">
        <f>RANK(AB122,AB$122:AB$137)</f>
        <v>#DIV/0!</v>
      </c>
      <c r="AD122" s="640" t="e">
        <f>AVERAGE(AB122:AB139)</f>
        <v>#DIV/0!</v>
      </c>
      <c r="AE122" s="337"/>
      <c r="AF122" s="337"/>
      <c r="AG122" s="330" t="e">
        <f>AF122/AE122</f>
        <v>#DIV/0!</v>
      </c>
      <c r="AH122" s="336" t="e">
        <f>RANK(AG122,AG$122:AG$137)</f>
        <v>#DIV/0!</v>
      </c>
      <c r="AI122" s="640" t="e">
        <f>AVERAGE(AG122:AG139)</f>
        <v>#DIV/0!</v>
      </c>
      <c r="AJ122" s="337"/>
      <c r="AK122" s="337"/>
      <c r="AL122" s="330" t="e">
        <f>AK122/AJ122</f>
        <v>#DIV/0!</v>
      </c>
      <c r="AM122" s="336" t="e">
        <f t="shared" ref="AM122:AM137" si="115">RANK(AL122,AL$122:AL$137)</f>
        <v>#DIV/0!</v>
      </c>
      <c r="AN122" s="640" t="e">
        <f>AVERAGE(AL122:AL139)</f>
        <v>#DIV/0!</v>
      </c>
      <c r="AO122" s="337"/>
      <c r="AP122" s="337"/>
      <c r="AQ122" s="330" t="e">
        <f>AP122/AO122</f>
        <v>#DIV/0!</v>
      </c>
      <c r="AR122" s="336" t="e">
        <f t="shared" ref="AR122:AR137" si="116">RANK(AQ122,AQ$122:AQ$137)</f>
        <v>#DIV/0!</v>
      </c>
      <c r="AS122" s="640" t="e">
        <f>AVERAGE(AQ122:AQ139)</f>
        <v>#DIV/0!</v>
      </c>
      <c r="AT122" s="337"/>
      <c r="AU122" s="337"/>
      <c r="AV122" s="330" t="e">
        <f>AU122/AT122</f>
        <v>#DIV/0!</v>
      </c>
      <c r="AW122" s="336" t="e">
        <f t="shared" ref="AW122:AW137" si="117">RANK(AV122,AV$122:AV$137)</f>
        <v>#DIV/0!</v>
      </c>
      <c r="AX122" s="640" t="e">
        <f>AVERAGE(AV122:AV139)</f>
        <v>#DIV/0!</v>
      </c>
    </row>
    <row r="123" spans="2:50">
      <c r="B123" s="618"/>
      <c r="C123" s="336">
        <v>2</v>
      </c>
      <c r="D123" s="336" t="s">
        <v>116</v>
      </c>
      <c r="E123" s="337">
        <f>VLOOKUP(D123,'07產線配置圖'!$A$2:$C$25,2,0)</f>
        <v>15</v>
      </c>
      <c r="F123" s="337">
        <f>VLOOKUP(D123,'07產線配置圖'!$A$2:$C$25,3,0)</f>
        <v>2250</v>
      </c>
      <c r="G123" s="330">
        <f t="shared" ref="G123:G135" si="118">F123/E123</f>
        <v>150</v>
      </c>
      <c r="H123" s="642"/>
      <c r="I123" s="337" t="e">
        <f t="shared" ref="I123:I139" si="119">AVERAGE(P123,U123,Z123,AE123,AJ123,AO123,AT123)</f>
        <v>#DIV/0!</v>
      </c>
      <c r="J123" s="337" t="e">
        <f t="shared" ref="J123:J139" si="120">AVERAGE(Q123,V123,AA123,AF123,AK123,AP123,AU123)</f>
        <v>#DIV/0!</v>
      </c>
      <c r="K123" s="330" t="e">
        <f t="shared" ref="K123:K139" si="121">J123/I123</f>
        <v>#DIV/0!</v>
      </c>
      <c r="L123" s="642"/>
      <c r="M123" s="357" t="e">
        <f t="shared" ref="M123:M139" si="122">RANK(K123,$K$122:$K$139)</f>
        <v>#DIV/0!</v>
      </c>
      <c r="N123" s="624"/>
      <c r="O123" s="624"/>
      <c r="P123" s="337"/>
      <c r="Q123" s="337"/>
      <c r="R123" s="330" t="e">
        <f t="shared" ref="R123:R139" si="123">Q123/P123</f>
        <v>#DIV/0!</v>
      </c>
      <c r="S123" s="336" t="e">
        <f t="shared" ref="S123:S139" si="124">RANK(R123,$R$122:$R$139)</f>
        <v>#DIV/0!</v>
      </c>
      <c r="T123" s="640"/>
      <c r="U123" s="337"/>
      <c r="V123" s="337"/>
      <c r="W123" s="330" t="e">
        <f t="shared" ref="W123:W131" si="125">V123/U123</f>
        <v>#DIV/0!</v>
      </c>
      <c r="X123" s="336" t="e">
        <f t="shared" ref="X123:X137" si="126">RANK(W123,$W$122:$W$137)</f>
        <v>#DIV/0!</v>
      </c>
      <c r="Y123" s="640"/>
      <c r="Z123" s="337"/>
      <c r="AA123" s="337"/>
      <c r="AB123" s="330" t="e">
        <f t="shared" ref="AB123:AB131" si="127">AA123/Z123</f>
        <v>#DIV/0!</v>
      </c>
      <c r="AC123" s="336" t="e">
        <f t="shared" ref="AC123:AC137" si="128">RANK(AB123,AB$122:AB$137)</f>
        <v>#DIV/0!</v>
      </c>
      <c r="AD123" s="640"/>
      <c r="AE123" s="337"/>
      <c r="AF123" s="337"/>
      <c r="AG123" s="330" t="e">
        <f t="shared" ref="AG123:AG131" si="129">AF123/AE123</f>
        <v>#DIV/0!</v>
      </c>
      <c r="AH123" s="336" t="e">
        <f t="shared" ref="AH123:AH137" si="130">RANK(AG123,AG$122:AG$137)</f>
        <v>#DIV/0!</v>
      </c>
      <c r="AI123" s="640"/>
      <c r="AJ123" s="337"/>
      <c r="AK123" s="337"/>
      <c r="AL123" s="330" t="e">
        <f t="shared" ref="AL123:AL131" si="131">AK123/AJ123</f>
        <v>#DIV/0!</v>
      </c>
      <c r="AM123" s="336" t="e">
        <f t="shared" si="115"/>
        <v>#DIV/0!</v>
      </c>
      <c r="AN123" s="640"/>
      <c r="AO123" s="337"/>
      <c r="AP123" s="337"/>
      <c r="AQ123" s="330" t="e">
        <f t="shared" ref="AQ123:AQ131" si="132">AP123/AO123</f>
        <v>#DIV/0!</v>
      </c>
      <c r="AR123" s="336" t="e">
        <f t="shared" si="116"/>
        <v>#DIV/0!</v>
      </c>
      <c r="AS123" s="640"/>
      <c r="AT123" s="337"/>
      <c r="AU123" s="337"/>
      <c r="AV123" s="330" t="e">
        <f t="shared" ref="AV123:AV135" si="133">AU123/AT123</f>
        <v>#DIV/0!</v>
      </c>
      <c r="AW123" s="336" t="e">
        <f t="shared" si="117"/>
        <v>#DIV/0!</v>
      </c>
      <c r="AX123" s="640"/>
    </row>
    <row r="124" spans="2:50">
      <c r="B124" s="618"/>
      <c r="C124" s="336">
        <v>3</v>
      </c>
      <c r="D124" s="336" t="s">
        <v>117</v>
      </c>
      <c r="E124" s="337">
        <f>VLOOKUP(D124,'07產線配置圖'!$A$2:$C$25,2,0)</f>
        <v>15</v>
      </c>
      <c r="F124" s="337">
        <f>VLOOKUP(D124,'07產線配置圖'!$A$2:$C$25,3,0)</f>
        <v>2250</v>
      </c>
      <c r="G124" s="330">
        <f t="shared" si="118"/>
        <v>150</v>
      </c>
      <c r="H124" s="642"/>
      <c r="I124" s="337" t="e">
        <f t="shared" si="119"/>
        <v>#DIV/0!</v>
      </c>
      <c r="J124" s="337" t="e">
        <f t="shared" si="120"/>
        <v>#DIV/0!</v>
      </c>
      <c r="K124" s="330" t="e">
        <f t="shared" si="121"/>
        <v>#DIV/0!</v>
      </c>
      <c r="L124" s="642"/>
      <c r="M124" s="357" t="e">
        <f t="shared" si="122"/>
        <v>#DIV/0!</v>
      </c>
      <c r="N124" s="624"/>
      <c r="O124" s="624"/>
      <c r="P124" s="337"/>
      <c r="Q124" s="337"/>
      <c r="R124" s="330" t="e">
        <f t="shared" si="123"/>
        <v>#DIV/0!</v>
      </c>
      <c r="S124" s="336" t="e">
        <f t="shared" si="124"/>
        <v>#DIV/0!</v>
      </c>
      <c r="T124" s="640"/>
      <c r="U124" s="337"/>
      <c r="V124" s="337"/>
      <c r="W124" s="330" t="e">
        <f t="shared" si="125"/>
        <v>#DIV/0!</v>
      </c>
      <c r="X124" s="336" t="e">
        <f t="shared" si="126"/>
        <v>#DIV/0!</v>
      </c>
      <c r="Y124" s="640"/>
      <c r="Z124" s="337"/>
      <c r="AA124" s="337"/>
      <c r="AB124" s="330" t="e">
        <f t="shared" si="127"/>
        <v>#DIV/0!</v>
      </c>
      <c r="AC124" s="336" t="e">
        <f t="shared" si="128"/>
        <v>#DIV/0!</v>
      </c>
      <c r="AD124" s="640"/>
      <c r="AE124" s="337"/>
      <c r="AF124" s="337"/>
      <c r="AG124" s="330" t="e">
        <f t="shared" si="129"/>
        <v>#DIV/0!</v>
      </c>
      <c r="AH124" s="336" t="e">
        <f t="shared" si="130"/>
        <v>#DIV/0!</v>
      </c>
      <c r="AI124" s="640"/>
      <c r="AJ124" s="337"/>
      <c r="AK124" s="337"/>
      <c r="AL124" s="330" t="e">
        <f t="shared" si="131"/>
        <v>#DIV/0!</v>
      </c>
      <c r="AM124" s="336" t="e">
        <f t="shared" si="115"/>
        <v>#DIV/0!</v>
      </c>
      <c r="AN124" s="640"/>
      <c r="AO124" s="337"/>
      <c r="AP124" s="337"/>
      <c r="AQ124" s="330" t="e">
        <f t="shared" si="132"/>
        <v>#DIV/0!</v>
      </c>
      <c r="AR124" s="336" t="e">
        <f t="shared" si="116"/>
        <v>#DIV/0!</v>
      </c>
      <c r="AS124" s="640"/>
      <c r="AT124" s="337"/>
      <c r="AU124" s="337"/>
      <c r="AV124" s="330" t="e">
        <f t="shared" si="133"/>
        <v>#DIV/0!</v>
      </c>
      <c r="AW124" s="336" t="e">
        <f t="shared" si="117"/>
        <v>#DIV/0!</v>
      </c>
      <c r="AX124" s="640"/>
    </row>
    <row r="125" spans="2:50">
      <c r="B125" s="618"/>
      <c r="C125" s="336">
        <v>4</v>
      </c>
      <c r="D125" s="336" t="s">
        <v>184</v>
      </c>
      <c r="E125" s="337">
        <f>VLOOKUP(D125,'07產線配置圖'!$A$2:$C$25,2,0)</f>
        <v>16</v>
      </c>
      <c r="F125" s="337">
        <f>VLOOKUP(D125,'07產線配置圖'!$A$2:$C$25,3,0)</f>
        <v>1800</v>
      </c>
      <c r="G125" s="330">
        <f t="shared" si="118"/>
        <v>112.5</v>
      </c>
      <c r="H125" s="642"/>
      <c r="I125" s="337" t="e">
        <f t="shared" si="119"/>
        <v>#DIV/0!</v>
      </c>
      <c r="J125" s="337" t="e">
        <f t="shared" si="120"/>
        <v>#DIV/0!</v>
      </c>
      <c r="K125" s="330" t="e">
        <f t="shared" si="121"/>
        <v>#DIV/0!</v>
      </c>
      <c r="L125" s="642"/>
      <c r="M125" s="357" t="e">
        <f t="shared" si="122"/>
        <v>#DIV/0!</v>
      </c>
      <c r="N125" s="624"/>
      <c r="O125" s="624"/>
      <c r="P125" s="337"/>
      <c r="Q125" s="337"/>
      <c r="R125" s="330" t="e">
        <f t="shared" si="123"/>
        <v>#DIV/0!</v>
      </c>
      <c r="S125" s="336" t="e">
        <f t="shared" si="124"/>
        <v>#DIV/0!</v>
      </c>
      <c r="T125" s="640"/>
      <c r="U125" s="337"/>
      <c r="V125" s="337"/>
      <c r="W125" s="330" t="e">
        <f t="shared" si="125"/>
        <v>#DIV/0!</v>
      </c>
      <c r="X125" s="336" t="e">
        <f t="shared" si="126"/>
        <v>#DIV/0!</v>
      </c>
      <c r="Y125" s="640"/>
      <c r="Z125" s="337"/>
      <c r="AA125" s="337"/>
      <c r="AB125" s="330" t="e">
        <f t="shared" si="127"/>
        <v>#DIV/0!</v>
      </c>
      <c r="AC125" s="336" t="e">
        <f t="shared" si="128"/>
        <v>#DIV/0!</v>
      </c>
      <c r="AD125" s="640"/>
      <c r="AE125" s="337"/>
      <c r="AF125" s="337"/>
      <c r="AG125" s="330" t="e">
        <f t="shared" si="129"/>
        <v>#DIV/0!</v>
      </c>
      <c r="AH125" s="336" t="e">
        <f t="shared" si="130"/>
        <v>#DIV/0!</v>
      </c>
      <c r="AI125" s="640"/>
      <c r="AJ125" s="337"/>
      <c r="AK125" s="337"/>
      <c r="AL125" s="330" t="e">
        <f t="shared" si="131"/>
        <v>#DIV/0!</v>
      </c>
      <c r="AM125" s="336" t="e">
        <f t="shared" si="115"/>
        <v>#DIV/0!</v>
      </c>
      <c r="AN125" s="640"/>
      <c r="AO125" s="337"/>
      <c r="AP125" s="337"/>
      <c r="AQ125" s="330" t="e">
        <f t="shared" si="132"/>
        <v>#DIV/0!</v>
      </c>
      <c r="AR125" s="336" t="e">
        <f t="shared" si="116"/>
        <v>#DIV/0!</v>
      </c>
      <c r="AS125" s="640"/>
      <c r="AT125" s="337"/>
      <c r="AU125" s="337"/>
      <c r="AV125" s="330" t="e">
        <f t="shared" si="133"/>
        <v>#DIV/0!</v>
      </c>
      <c r="AW125" s="336" t="e">
        <f t="shared" si="117"/>
        <v>#DIV/0!</v>
      </c>
      <c r="AX125" s="640"/>
    </row>
    <row r="126" spans="2:50" ht="13.5">
      <c r="B126" s="618"/>
      <c r="C126" s="336">
        <v>5</v>
      </c>
      <c r="D126" s="355" t="s">
        <v>114</v>
      </c>
      <c r="E126" s="337">
        <f>VLOOKUP(D126,'07產線配置圖'!$A$2:$C$25,2,0)</f>
        <v>13</v>
      </c>
      <c r="F126" s="337">
        <f>VLOOKUP(D126,'07產線配置圖'!$A$2:$C$25,3,0)</f>
        <v>2250</v>
      </c>
      <c r="G126" s="330">
        <f t="shared" si="118"/>
        <v>173.07692307692307</v>
      </c>
      <c r="H126" s="642"/>
      <c r="I126" s="337" t="e">
        <f t="shared" si="119"/>
        <v>#DIV/0!</v>
      </c>
      <c r="J126" s="337" t="e">
        <f t="shared" si="120"/>
        <v>#DIV/0!</v>
      </c>
      <c r="K126" s="330" t="e">
        <f t="shared" si="121"/>
        <v>#DIV/0!</v>
      </c>
      <c r="L126" s="642"/>
      <c r="M126" s="357" t="e">
        <f t="shared" si="122"/>
        <v>#DIV/0!</v>
      </c>
      <c r="N126" s="624"/>
      <c r="O126" s="624"/>
      <c r="P126" s="337"/>
      <c r="Q126" s="337"/>
      <c r="R126" s="330" t="e">
        <f t="shared" si="123"/>
        <v>#DIV/0!</v>
      </c>
      <c r="S126" s="336" t="e">
        <f t="shared" si="124"/>
        <v>#DIV/0!</v>
      </c>
      <c r="T126" s="640"/>
      <c r="U126" s="337"/>
      <c r="V126" s="337"/>
      <c r="W126" s="330" t="e">
        <f t="shared" si="125"/>
        <v>#DIV/0!</v>
      </c>
      <c r="X126" s="336" t="e">
        <f t="shared" si="126"/>
        <v>#DIV/0!</v>
      </c>
      <c r="Y126" s="640"/>
      <c r="Z126" s="337"/>
      <c r="AA126" s="337"/>
      <c r="AB126" s="330" t="e">
        <f t="shared" si="127"/>
        <v>#DIV/0!</v>
      </c>
      <c r="AC126" s="336" t="e">
        <f t="shared" si="128"/>
        <v>#DIV/0!</v>
      </c>
      <c r="AD126" s="640"/>
      <c r="AE126" s="337"/>
      <c r="AF126" s="337"/>
      <c r="AG126" s="330" t="e">
        <f t="shared" si="129"/>
        <v>#DIV/0!</v>
      </c>
      <c r="AH126" s="336" t="e">
        <f t="shared" si="130"/>
        <v>#DIV/0!</v>
      </c>
      <c r="AI126" s="640"/>
      <c r="AJ126" s="337"/>
      <c r="AK126" s="337"/>
      <c r="AL126" s="330" t="e">
        <f t="shared" si="131"/>
        <v>#DIV/0!</v>
      </c>
      <c r="AM126" s="336" t="e">
        <f t="shared" si="115"/>
        <v>#DIV/0!</v>
      </c>
      <c r="AN126" s="640"/>
      <c r="AO126" s="337"/>
      <c r="AP126" s="337"/>
      <c r="AQ126" s="330" t="e">
        <f t="shared" si="132"/>
        <v>#DIV/0!</v>
      </c>
      <c r="AR126" s="336" t="e">
        <f t="shared" si="116"/>
        <v>#DIV/0!</v>
      </c>
      <c r="AS126" s="640"/>
      <c r="AT126" s="337"/>
      <c r="AU126" s="337"/>
      <c r="AV126" s="330" t="e">
        <f t="shared" si="133"/>
        <v>#DIV/0!</v>
      </c>
      <c r="AW126" s="336" t="e">
        <f t="shared" si="117"/>
        <v>#DIV/0!</v>
      </c>
      <c r="AX126" s="640"/>
    </row>
    <row r="127" spans="2:50">
      <c r="B127" s="618"/>
      <c r="C127" s="336">
        <v>6</v>
      </c>
      <c r="D127" s="336" t="s">
        <v>158</v>
      </c>
      <c r="E127" s="337">
        <f>VLOOKUP(D127,'07產線配置圖'!$A$2:$C$25,2,0)</f>
        <v>16</v>
      </c>
      <c r="F127" s="337">
        <f>VLOOKUP(D127,'07產線配置圖'!$A$2:$C$25,3,0)</f>
        <v>1714</v>
      </c>
      <c r="G127" s="330">
        <f t="shared" si="118"/>
        <v>107.125</v>
      </c>
      <c r="H127" s="642"/>
      <c r="I127" s="337" t="e">
        <f t="shared" si="119"/>
        <v>#DIV/0!</v>
      </c>
      <c r="J127" s="337" t="e">
        <f t="shared" si="120"/>
        <v>#DIV/0!</v>
      </c>
      <c r="K127" s="330" t="e">
        <f t="shared" si="121"/>
        <v>#DIV/0!</v>
      </c>
      <c r="L127" s="642"/>
      <c r="M127" s="357" t="e">
        <f t="shared" si="122"/>
        <v>#DIV/0!</v>
      </c>
      <c r="N127" s="624"/>
      <c r="O127" s="624"/>
      <c r="P127" s="337"/>
      <c r="Q127" s="337"/>
      <c r="R127" s="330" t="e">
        <f t="shared" si="123"/>
        <v>#DIV/0!</v>
      </c>
      <c r="S127" s="336" t="e">
        <f t="shared" si="124"/>
        <v>#DIV/0!</v>
      </c>
      <c r="T127" s="640"/>
      <c r="U127" s="337"/>
      <c r="V127" s="337"/>
      <c r="W127" s="330" t="e">
        <f t="shared" si="125"/>
        <v>#DIV/0!</v>
      </c>
      <c r="X127" s="336" t="e">
        <f t="shared" si="126"/>
        <v>#DIV/0!</v>
      </c>
      <c r="Y127" s="640"/>
      <c r="Z127" s="337"/>
      <c r="AA127" s="337"/>
      <c r="AB127" s="330" t="e">
        <f t="shared" si="127"/>
        <v>#DIV/0!</v>
      </c>
      <c r="AC127" s="336" t="e">
        <f t="shared" si="128"/>
        <v>#DIV/0!</v>
      </c>
      <c r="AD127" s="640"/>
      <c r="AE127" s="337"/>
      <c r="AF127" s="337"/>
      <c r="AG127" s="330" t="e">
        <f t="shared" si="129"/>
        <v>#DIV/0!</v>
      </c>
      <c r="AH127" s="336" t="e">
        <f t="shared" si="130"/>
        <v>#DIV/0!</v>
      </c>
      <c r="AI127" s="640"/>
      <c r="AJ127" s="337"/>
      <c r="AK127" s="337"/>
      <c r="AL127" s="330" t="e">
        <f t="shared" si="131"/>
        <v>#DIV/0!</v>
      </c>
      <c r="AM127" s="336" t="e">
        <f t="shared" si="115"/>
        <v>#DIV/0!</v>
      </c>
      <c r="AN127" s="640"/>
      <c r="AO127" s="337"/>
      <c r="AP127" s="337"/>
      <c r="AQ127" s="330" t="e">
        <f t="shared" si="132"/>
        <v>#DIV/0!</v>
      </c>
      <c r="AR127" s="336" t="e">
        <f t="shared" si="116"/>
        <v>#DIV/0!</v>
      </c>
      <c r="AS127" s="640"/>
      <c r="AT127" s="337"/>
      <c r="AU127" s="337"/>
      <c r="AV127" s="330" t="e">
        <f t="shared" si="133"/>
        <v>#DIV/0!</v>
      </c>
      <c r="AW127" s="336" t="e">
        <f t="shared" si="117"/>
        <v>#DIV/0!</v>
      </c>
      <c r="AX127" s="640"/>
    </row>
    <row r="128" spans="2:50">
      <c r="B128" s="618"/>
      <c r="C128" s="336">
        <v>7</v>
      </c>
      <c r="D128" s="336" t="s">
        <v>174</v>
      </c>
      <c r="E128" s="337">
        <f>VLOOKUP(D128,'07產線配置圖'!$A$2:$C$25,2,0)</f>
        <v>17</v>
      </c>
      <c r="F128" s="337">
        <f>VLOOKUP(D128,'07產線配置圖'!$A$2:$C$25,3,0)</f>
        <v>1800</v>
      </c>
      <c r="G128" s="330">
        <f t="shared" si="118"/>
        <v>105.88235294117646</v>
      </c>
      <c r="H128" s="642"/>
      <c r="I128" s="337" t="e">
        <f t="shared" si="119"/>
        <v>#DIV/0!</v>
      </c>
      <c r="J128" s="337" t="e">
        <f t="shared" si="120"/>
        <v>#DIV/0!</v>
      </c>
      <c r="K128" s="330" t="e">
        <f t="shared" si="121"/>
        <v>#DIV/0!</v>
      </c>
      <c r="L128" s="642"/>
      <c r="M128" s="357" t="e">
        <f t="shared" si="122"/>
        <v>#DIV/0!</v>
      </c>
      <c r="N128" s="624"/>
      <c r="O128" s="624"/>
      <c r="P128" s="337"/>
      <c r="Q128" s="337"/>
      <c r="R128" s="330" t="e">
        <f t="shared" si="123"/>
        <v>#DIV/0!</v>
      </c>
      <c r="S128" s="336" t="e">
        <f t="shared" si="124"/>
        <v>#DIV/0!</v>
      </c>
      <c r="T128" s="640"/>
      <c r="U128" s="337"/>
      <c r="V128" s="337"/>
      <c r="W128" s="330" t="e">
        <f>V128/U127</f>
        <v>#DIV/0!</v>
      </c>
      <c r="X128" s="336" t="e">
        <f t="shared" si="126"/>
        <v>#DIV/0!</v>
      </c>
      <c r="Y128" s="640"/>
      <c r="Z128" s="337"/>
      <c r="AA128" s="337"/>
      <c r="AB128" s="330" t="e">
        <f t="shared" si="127"/>
        <v>#DIV/0!</v>
      </c>
      <c r="AC128" s="336" t="e">
        <f t="shared" si="128"/>
        <v>#DIV/0!</v>
      </c>
      <c r="AD128" s="640"/>
      <c r="AE128" s="337"/>
      <c r="AF128" s="337"/>
      <c r="AG128" s="330" t="e">
        <f t="shared" si="129"/>
        <v>#DIV/0!</v>
      </c>
      <c r="AH128" s="336" t="e">
        <f t="shared" si="130"/>
        <v>#DIV/0!</v>
      </c>
      <c r="AI128" s="640"/>
      <c r="AJ128" s="337"/>
      <c r="AK128" s="337"/>
      <c r="AL128" s="330" t="e">
        <f t="shared" si="131"/>
        <v>#DIV/0!</v>
      </c>
      <c r="AM128" s="336" t="e">
        <f t="shared" si="115"/>
        <v>#DIV/0!</v>
      </c>
      <c r="AN128" s="640"/>
      <c r="AO128" s="337"/>
      <c r="AP128" s="337"/>
      <c r="AQ128" s="330" t="e">
        <f t="shared" si="132"/>
        <v>#DIV/0!</v>
      </c>
      <c r="AR128" s="336" t="e">
        <f t="shared" si="116"/>
        <v>#DIV/0!</v>
      </c>
      <c r="AS128" s="640"/>
      <c r="AT128" s="337"/>
      <c r="AU128" s="337"/>
      <c r="AV128" s="330" t="e">
        <f t="shared" si="133"/>
        <v>#DIV/0!</v>
      </c>
      <c r="AW128" s="336" t="e">
        <f t="shared" si="117"/>
        <v>#DIV/0!</v>
      </c>
      <c r="AX128" s="640"/>
    </row>
    <row r="129" spans="2:50">
      <c r="B129" s="618"/>
      <c r="C129" s="336">
        <v>8</v>
      </c>
      <c r="D129" s="336" t="s">
        <v>120</v>
      </c>
      <c r="E129" s="337">
        <f>VLOOKUP(D129,'07產線配置圖'!$A$2:$C$25,2,0)</f>
        <v>18</v>
      </c>
      <c r="F129" s="337">
        <f>VLOOKUP(D129,'07產線配置圖'!$A$2:$C$25,3,0)</f>
        <v>1636</v>
      </c>
      <c r="G129" s="330">
        <f t="shared" si="118"/>
        <v>90.888888888888886</v>
      </c>
      <c r="H129" s="642"/>
      <c r="I129" s="337" t="e">
        <f t="shared" si="119"/>
        <v>#DIV/0!</v>
      </c>
      <c r="J129" s="337" t="e">
        <f t="shared" si="120"/>
        <v>#DIV/0!</v>
      </c>
      <c r="K129" s="330" t="e">
        <f t="shared" si="121"/>
        <v>#DIV/0!</v>
      </c>
      <c r="L129" s="642"/>
      <c r="M129" s="357" t="e">
        <f t="shared" si="122"/>
        <v>#DIV/0!</v>
      </c>
      <c r="N129" s="624"/>
      <c r="O129" s="624"/>
      <c r="P129" s="336"/>
      <c r="Q129" s="337"/>
      <c r="R129" s="328" t="e">
        <f t="shared" si="123"/>
        <v>#DIV/0!</v>
      </c>
      <c r="S129" s="336" t="e">
        <f t="shared" si="124"/>
        <v>#DIV/0!</v>
      </c>
      <c r="T129" s="640"/>
      <c r="U129" s="337"/>
      <c r="V129" s="337"/>
      <c r="W129" s="330" t="e">
        <f t="shared" si="125"/>
        <v>#DIV/0!</v>
      </c>
      <c r="X129" s="336" t="e">
        <f t="shared" si="126"/>
        <v>#DIV/0!</v>
      </c>
      <c r="Y129" s="640"/>
      <c r="Z129" s="337"/>
      <c r="AA129" s="337"/>
      <c r="AB129" s="330" t="e">
        <f t="shared" si="127"/>
        <v>#DIV/0!</v>
      </c>
      <c r="AC129" s="336" t="e">
        <f t="shared" si="128"/>
        <v>#DIV/0!</v>
      </c>
      <c r="AD129" s="640"/>
      <c r="AE129" s="337"/>
      <c r="AF129" s="337"/>
      <c r="AG129" s="330" t="e">
        <f t="shared" si="129"/>
        <v>#DIV/0!</v>
      </c>
      <c r="AH129" s="336" t="e">
        <f t="shared" si="130"/>
        <v>#DIV/0!</v>
      </c>
      <c r="AI129" s="640"/>
      <c r="AJ129" s="337"/>
      <c r="AK129" s="337"/>
      <c r="AL129" s="330" t="e">
        <f t="shared" si="131"/>
        <v>#DIV/0!</v>
      </c>
      <c r="AM129" s="336" t="e">
        <f t="shared" si="115"/>
        <v>#DIV/0!</v>
      </c>
      <c r="AN129" s="640"/>
      <c r="AO129" s="337"/>
      <c r="AP129" s="337"/>
      <c r="AQ129" s="330" t="e">
        <f t="shared" si="132"/>
        <v>#DIV/0!</v>
      </c>
      <c r="AR129" s="336" t="e">
        <f t="shared" si="116"/>
        <v>#DIV/0!</v>
      </c>
      <c r="AS129" s="640"/>
      <c r="AT129" s="337"/>
      <c r="AU129" s="337"/>
      <c r="AV129" s="330" t="e">
        <f t="shared" si="133"/>
        <v>#DIV/0!</v>
      </c>
      <c r="AW129" s="336" t="e">
        <f t="shared" si="117"/>
        <v>#DIV/0!</v>
      </c>
      <c r="AX129" s="640"/>
    </row>
    <row r="130" spans="2:50">
      <c r="B130" s="618"/>
      <c r="C130" s="336">
        <v>9</v>
      </c>
      <c r="D130" s="336" t="s">
        <v>385</v>
      </c>
      <c r="E130" s="337">
        <f>VLOOKUP(D130,'07產線配置圖'!$A$2:$C$25,2,0)</f>
        <v>13</v>
      </c>
      <c r="F130" s="337">
        <f>VLOOKUP(D130,'07產線配置圖'!$A$2:$C$25,3,0)</f>
        <v>1440</v>
      </c>
      <c r="G130" s="330">
        <f t="shared" si="118"/>
        <v>110.76923076923077</v>
      </c>
      <c r="H130" s="642"/>
      <c r="I130" s="337" t="e">
        <f t="shared" si="119"/>
        <v>#DIV/0!</v>
      </c>
      <c r="J130" s="337" t="e">
        <f t="shared" si="120"/>
        <v>#DIV/0!</v>
      </c>
      <c r="K130" s="330" t="e">
        <f t="shared" si="121"/>
        <v>#DIV/0!</v>
      </c>
      <c r="L130" s="642"/>
      <c r="M130" s="357" t="e">
        <f t="shared" si="122"/>
        <v>#DIV/0!</v>
      </c>
      <c r="N130" s="624"/>
      <c r="O130" s="624"/>
      <c r="P130" s="336"/>
      <c r="Q130" s="337"/>
      <c r="R130" s="330" t="e">
        <f t="shared" si="123"/>
        <v>#DIV/0!</v>
      </c>
      <c r="S130" s="336" t="e">
        <f t="shared" si="124"/>
        <v>#DIV/0!</v>
      </c>
      <c r="T130" s="640"/>
      <c r="U130" s="337"/>
      <c r="V130" s="337"/>
      <c r="W130" s="330" t="e">
        <f t="shared" si="125"/>
        <v>#DIV/0!</v>
      </c>
      <c r="X130" s="336" t="e">
        <f t="shared" si="126"/>
        <v>#DIV/0!</v>
      </c>
      <c r="Y130" s="640"/>
      <c r="Z130" s="337"/>
      <c r="AA130" s="337"/>
      <c r="AB130" s="330" t="e">
        <f t="shared" si="127"/>
        <v>#DIV/0!</v>
      </c>
      <c r="AC130" s="336" t="e">
        <f t="shared" si="128"/>
        <v>#DIV/0!</v>
      </c>
      <c r="AD130" s="640"/>
      <c r="AE130" s="337"/>
      <c r="AF130" s="337"/>
      <c r="AG130" s="330" t="e">
        <f t="shared" si="129"/>
        <v>#DIV/0!</v>
      </c>
      <c r="AH130" s="336" t="e">
        <f t="shared" si="130"/>
        <v>#DIV/0!</v>
      </c>
      <c r="AI130" s="640"/>
      <c r="AJ130" s="337"/>
      <c r="AK130" s="337"/>
      <c r="AL130" s="330" t="e">
        <f t="shared" si="131"/>
        <v>#DIV/0!</v>
      </c>
      <c r="AM130" s="336" t="e">
        <f t="shared" si="115"/>
        <v>#DIV/0!</v>
      </c>
      <c r="AN130" s="640"/>
      <c r="AO130" s="337"/>
      <c r="AP130" s="337"/>
      <c r="AQ130" s="330" t="e">
        <f t="shared" si="132"/>
        <v>#DIV/0!</v>
      </c>
      <c r="AR130" s="336" t="e">
        <f t="shared" si="116"/>
        <v>#DIV/0!</v>
      </c>
      <c r="AS130" s="640"/>
      <c r="AT130" s="337"/>
      <c r="AU130" s="337"/>
      <c r="AV130" s="330" t="e">
        <f t="shared" si="133"/>
        <v>#DIV/0!</v>
      </c>
      <c r="AW130" s="336" t="e">
        <f t="shared" si="117"/>
        <v>#DIV/0!</v>
      </c>
      <c r="AX130" s="640"/>
    </row>
    <row r="131" spans="2:50">
      <c r="B131" s="618"/>
      <c r="C131" s="336">
        <v>10</v>
      </c>
      <c r="D131" s="336" t="s">
        <v>381</v>
      </c>
      <c r="E131" s="337">
        <f>VLOOKUP(D131,'07產線配置圖'!$A$2:$C$25,2,0)</f>
        <v>17</v>
      </c>
      <c r="F131" s="337">
        <f>VLOOKUP(D131,'07產線配置圖'!$A$2:$C$25,3,0)</f>
        <v>2250</v>
      </c>
      <c r="G131" s="330">
        <f t="shared" si="118"/>
        <v>132.35294117647058</v>
      </c>
      <c r="H131" s="642"/>
      <c r="I131" s="337" t="e">
        <f t="shared" si="119"/>
        <v>#DIV/0!</v>
      </c>
      <c r="J131" s="337" t="e">
        <f t="shared" si="120"/>
        <v>#DIV/0!</v>
      </c>
      <c r="K131" s="330" t="e">
        <f t="shared" si="121"/>
        <v>#DIV/0!</v>
      </c>
      <c r="L131" s="642"/>
      <c r="M131" s="357" t="e">
        <f t="shared" si="122"/>
        <v>#DIV/0!</v>
      </c>
      <c r="N131" s="624"/>
      <c r="O131" s="624"/>
      <c r="P131" s="336"/>
      <c r="Q131" s="337"/>
      <c r="R131" s="330" t="e">
        <f t="shared" si="123"/>
        <v>#DIV/0!</v>
      </c>
      <c r="S131" s="336" t="e">
        <f t="shared" si="124"/>
        <v>#DIV/0!</v>
      </c>
      <c r="T131" s="640"/>
      <c r="U131" s="337"/>
      <c r="V131" s="337"/>
      <c r="W131" s="330" t="e">
        <f t="shared" si="125"/>
        <v>#DIV/0!</v>
      </c>
      <c r="X131" s="336" t="e">
        <f t="shared" si="126"/>
        <v>#DIV/0!</v>
      </c>
      <c r="Y131" s="640"/>
      <c r="Z131" s="337"/>
      <c r="AA131" s="337"/>
      <c r="AB131" s="330" t="e">
        <f t="shared" si="127"/>
        <v>#DIV/0!</v>
      </c>
      <c r="AC131" s="336" t="e">
        <f t="shared" si="128"/>
        <v>#DIV/0!</v>
      </c>
      <c r="AD131" s="640"/>
      <c r="AE131" s="337"/>
      <c r="AF131" s="337"/>
      <c r="AG131" s="330" t="e">
        <f t="shared" si="129"/>
        <v>#DIV/0!</v>
      </c>
      <c r="AH131" s="336" t="e">
        <f t="shared" si="130"/>
        <v>#DIV/0!</v>
      </c>
      <c r="AI131" s="640"/>
      <c r="AJ131" s="337"/>
      <c r="AK131" s="337"/>
      <c r="AL131" s="330" t="e">
        <f t="shared" si="131"/>
        <v>#DIV/0!</v>
      </c>
      <c r="AM131" s="336" t="e">
        <f t="shared" si="115"/>
        <v>#DIV/0!</v>
      </c>
      <c r="AN131" s="640"/>
      <c r="AO131" s="337"/>
      <c r="AP131" s="337"/>
      <c r="AQ131" s="330" t="e">
        <f t="shared" si="132"/>
        <v>#DIV/0!</v>
      </c>
      <c r="AR131" s="336" t="e">
        <f t="shared" si="116"/>
        <v>#DIV/0!</v>
      </c>
      <c r="AS131" s="640"/>
      <c r="AT131" s="337"/>
      <c r="AU131" s="337"/>
      <c r="AV131" s="330" t="e">
        <f t="shared" si="133"/>
        <v>#DIV/0!</v>
      </c>
      <c r="AW131" s="336" t="e">
        <f t="shared" si="117"/>
        <v>#DIV/0!</v>
      </c>
      <c r="AX131" s="640"/>
    </row>
    <row r="132" spans="2:50">
      <c r="B132" s="618"/>
      <c r="C132" s="336">
        <v>11</v>
      </c>
      <c r="D132" s="336" t="s">
        <v>388</v>
      </c>
      <c r="E132" s="337" t="e">
        <f>VLOOKUP(D132,'07產線配置圖'!$A$2:$C$25,2,0)</f>
        <v>#N/A</v>
      </c>
      <c r="F132" s="337" t="e">
        <f>VLOOKUP(D132,'07產線配置圖'!$A$2:$C$25,3,0)</f>
        <v>#N/A</v>
      </c>
      <c r="G132" s="330" t="e">
        <f t="shared" si="118"/>
        <v>#N/A</v>
      </c>
      <c r="H132" s="642"/>
      <c r="I132" s="337" t="e">
        <f t="shared" si="119"/>
        <v>#DIV/0!</v>
      </c>
      <c r="J132" s="337" t="e">
        <f t="shared" si="120"/>
        <v>#DIV/0!</v>
      </c>
      <c r="K132" s="330" t="e">
        <f t="shared" si="121"/>
        <v>#DIV/0!</v>
      </c>
      <c r="L132" s="642"/>
      <c r="M132" s="357" t="e">
        <f t="shared" si="122"/>
        <v>#DIV/0!</v>
      </c>
      <c r="N132" s="624"/>
      <c r="O132" s="624"/>
      <c r="P132" s="336"/>
      <c r="Q132" s="336"/>
      <c r="R132" s="330" t="e">
        <f t="shared" si="123"/>
        <v>#DIV/0!</v>
      </c>
      <c r="S132" s="336" t="e">
        <f t="shared" si="124"/>
        <v>#DIV/0!</v>
      </c>
      <c r="T132" s="640"/>
      <c r="U132" s="336"/>
      <c r="V132" s="336"/>
      <c r="W132" s="330" t="e">
        <f>V132/U132</f>
        <v>#DIV/0!</v>
      </c>
      <c r="X132" s="336" t="e">
        <f t="shared" si="126"/>
        <v>#DIV/0!</v>
      </c>
      <c r="Y132" s="640"/>
      <c r="Z132" s="336"/>
      <c r="AA132" s="336"/>
      <c r="AB132" s="330" t="e">
        <f>AA132/Z132</f>
        <v>#DIV/0!</v>
      </c>
      <c r="AC132" s="336" t="e">
        <f t="shared" si="128"/>
        <v>#DIV/0!</v>
      </c>
      <c r="AD132" s="640"/>
      <c r="AE132" s="336"/>
      <c r="AF132" s="336"/>
      <c r="AG132" s="330" t="e">
        <f>AF132/AE132</f>
        <v>#DIV/0!</v>
      </c>
      <c r="AH132" s="336" t="e">
        <f t="shared" si="130"/>
        <v>#DIV/0!</v>
      </c>
      <c r="AI132" s="640"/>
      <c r="AJ132" s="336"/>
      <c r="AK132" s="336"/>
      <c r="AL132" s="330" t="e">
        <f t="shared" ref="AL132:AL137" si="134">AK132/AJ132</f>
        <v>#DIV/0!</v>
      </c>
      <c r="AM132" s="336" t="e">
        <f t="shared" si="115"/>
        <v>#DIV/0!</v>
      </c>
      <c r="AN132" s="640"/>
      <c r="AO132" s="336"/>
      <c r="AP132" s="336"/>
      <c r="AQ132" s="330" t="e">
        <f t="shared" ref="AQ132:AQ137" si="135">AP132/AO132</f>
        <v>#DIV/0!</v>
      </c>
      <c r="AR132" s="336" t="e">
        <f t="shared" si="116"/>
        <v>#DIV/0!</v>
      </c>
      <c r="AS132" s="640"/>
      <c r="AT132" s="336"/>
      <c r="AU132" s="336"/>
      <c r="AV132" s="330" t="e">
        <f t="shared" si="133"/>
        <v>#DIV/0!</v>
      </c>
      <c r="AW132" s="336" t="e">
        <f t="shared" si="117"/>
        <v>#DIV/0!</v>
      </c>
      <c r="AX132" s="640"/>
    </row>
    <row r="133" spans="2:50">
      <c r="B133" s="618"/>
      <c r="C133" s="336">
        <v>12</v>
      </c>
      <c r="D133" s="336" t="s">
        <v>115</v>
      </c>
      <c r="E133" s="337">
        <f>VLOOKUP(D133,'07產線配置圖'!$A$2:$C$25,2,0)</f>
        <v>13</v>
      </c>
      <c r="F133" s="337">
        <f>VLOOKUP(D133,'07產線配置圖'!$A$2:$C$25,3,0)</f>
        <v>2250</v>
      </c>
      <c r="G133" s="330">
        <f t="shared" si="118"/>
        <v>173.07692307692307</v>
      </c>
      <c r="H133" s="642"/>
      <c r="I133" s="337" t="e">
        <f t="shared" si="119"/>
        <v>#DIV/0!</v>
      </c>
      <c r="J133" s="337" t="e">
        <f t="shared" si="120"/>
        <v>#DIV/0!</v>
      </c>
      <c r="K133" s="330" t="e">
        <f t="shared" si="121"/>
        <v>#DIV/0!</v>
      </c>
      <c r="L133" s="642"/>
      <c r="M133" s="357" t="e">
        <f t="shared" si="122"/>
        <v>#DIV/0!</v>
      </c>
      <c r="N133" s="624"/>
      <c r="O133" s="624"/>
      <c r="P133" s="336"/>
      <c r="Q133" s="336"/>
      <c r="R133" s="330" t="e">
        <f t="shared" si="123"/>
        <v>#DIV/0!</v>
      </c>
      <c r="S133" s="336" t="e">
        <f t="shared" si="124"/>
        <v>#DIV/0!</v>
      </c>
      <c r="T133" s="640"/>
      <c r="U133" s="336"/>
      <c r="V133" s="337"/>
      <c r="W133" s="330" t="e">
        <f t="shared" ref="W133:W137" si="136">V133/U133</f>
        <v>#DIV/0!</v>
      </c>
      <c r="X133" s="336" t="e">
        <f t="shared" si="126"/>
        <v>#DIV/0!</v>
      </c>
      <c r="Y133" s="640"/>
      <c r="Z133" s="336"/>
      <c r="AA133" s="337"/>
      <c r="AB133" s="330" t="e">
        <f t="shared" ref="AB133:AB137" si="137">AA133/Z133</f>
        <v>#DIV/0!</v>
      </c>
      <c r="AC133" s="336" t="e">
        <f t="shared" si="128"/>
        <v>#DIV/0!</v>
      </c>
      <c r="AD133" s="640"/>
      <c r="AE133" s="336"/>
      <c r="AF133" s="337"/>
      <c r="AG133" s="330" t="e">
        <f>AF133/AE133</f>
        <v>#DIV/0!</v>
      </c>
      <c r="AH133" s="336" t="e">
        <f t="shared" si="130"/>
        <v>#DIV/0!</v>
      </c>
      <c r="AI133" s="640"/>
      <c r="AJ133" s="336"/>
      <c r="AK133" s="337"/>
      <c r="AL133" s="330" t="e">
        <f t="shared" si="134"/>
        <v>#DIV/0!</v>
      </c>
      <c r="AM133" s="336" t="e">
        <f t="shared" si="115"/>
        <v>#DIV/0!</v>
      </c>
      <c r="AN133" s="640"/>
      <c r="AO133" s="336"/>
      <c r="AP133" s="337"/>
      <c r="AQ133" s="330" t="e">
        <f t="shared" si="135"/>
        <v>#DIV/0!</v>
      </c>
      <c r="AR133" s="336" t="e">
        <f t="shared" si="116"/>
        <v>#DIV/0!</v>
      </c>
      <c r="AS133" s="640"/>
      <c r="AT133" s="336"/>
      <c r="AU133" s="337"/>
      <c r="AV133" s="330" t="e">
        <f t="shared" si="133"/>
        <v>#DIV/0!</v>
      </c>
      <c r="AW133" s="336" t="e">
        <f t="shared" si="117"/>
        <v>#DIV/0!</v>
      </c>
      <c r="AX133" s="640"/>
    </row>
    <row r="134" spans="2:50">
      <c r="B134" s="618"/>
      <c r="C134" s="336">
        <v>13</v>
      </c>
      <c r="D134" s="336" t="s">
        <v>127</v>
      </c>
      <c r="E134" s="337">
        <f>VLOOKUP(D134,'07產線配置圖'!$A$2:$C$25,2,0)</f>
        <v>17</v>
      </c>
      <c r="F134" s="337">
        <f>VLOOKUP(D134,'07產線配置圖'!$A$2:$C$25,3,0)</f>
        <v>1636</v>
      </c>
      <c r="G134" s="330">
        <f t="shared" si="118"/>
        <v>96.235294117647058</v>
      </c>
      <c r="H134" s="642"/>
      <c r="I134" s="337" t="e">
        <f t="shared" si="119"/>
        <v>#DIV/0!</v>
      </c>
      <c r="J134" s="337" t="e">
        <f t="shared" si="120"/>
        <v>#DIV/0!</v>
      </c>
      <c r="K134" s="330" t="e">
        <f t="shared" si="121"/>
        <v>#DIV/0!</v>
      </c>
      <c r="L134" s="642"/>
      <c r="M134" s="357" t="e">
        <f t="shared" si="122"/>
        <v>#DIV/0!</v>
      </c>
      <c r="N134" s="624"/>
      <c r="O134" s="624"/>
      <c r="P134" s="336"/>
      <c r="Q134" s="336"/>
      <c r="R134" s="330" t="e">
        <f t="shared" si="123"/>
        <v>#DIV/0!</v>
      </c>
      <c r="S134" s="336" t="e">
        <f t="shared" si="124"/>
        <v>#DIV/0!</v>
      </c>
      <c r="T134" s="640"/>
      <c r="U134" s="336"/>
      <c r="V134" s="336"/>
      <c r="W134" s="330" t="e">
        <f t="shared" si="136"/>
        <v>#DIV/0!</v>
      </c>
      <c r="X134" s="336" t="e">
        <f t="shared" si="126"/>
        <v>#DIV/0!</v>
      </c>
      <c r="Y134" s="640"/>
      <c r="Z134" s="336"/>
      <c r="AA134" s="336"/>
      <c r="AB134" s="330" t="e">
        <f t="shared" si="137"/>
        <v>#DIV/0!</v>
      </c>
      <c r="AC134" s="336" t="e">
        <f t="shared" si="128"/>
        <v>#DIV/0!</v>
      </c>
      <c r="AD134" s="640"/>
      <c r="AE134" s="336"/>
      <c r="AF134" s="336"/>
      <c r="AG134" s="330" t="e">
        <f>AF134/AE134</f>
        <v>#DIV/0!</v>
      </c>
      <c r="AH134" s="336" t="e">
        <f t="shared" si="130"/>
        <v>#DIV/0!</v>
      </c>
      <c r="AI134" s="640"/>
      <c r="AJ134" s="336"/>
      <c r="AK134" s="336"/>
      <c r="AL134" s="330" t="e">
        <f t="shared" si="134"/>
        <v>#DIV/0!</v>
      </c>
      <c r="AM134" s="336" t="e">
        <f t="shared" si="115"/>
        <v>#DIV/0!</v>
      </c>
      <c r="AN134" s="640"/>
      <c r="AO134" s="336"/>
      <c r="AP134" s="336"/>
      <c r="AQ134" s="330" t="e">
        <f t="shared" si="135"/>
        <v>#DIV/0!</v>
      </c>
      <c r="AR134" s="336" t="e">
        <f t="shared" si="116"/>
        <v>#DIV/0!</v>
      </c>
      <c r="AS134" s="640"/>
      <c r="AT134" s="336"/>
      <c r="AU134" s="336"/>
      <c r="AV134" s="330" t="e">
        <f t="shared" si="133"/>
        <v>#DIV/0!</v>
      </c>
      <c r="AW134" s="336" t="e">
        <f t="shared" si="117"/>
        <v>#DIV/0!</v>
      </c>
      <c r="AX134" s="640"/>
    </row>
    <row r="135" spans="2:50">
      <c r="B135" s="618"/>
      <c r="C135" s="336">
        <v>14</v>
      </c>
      <c r="D135" s="336" t="s">
        <v>389</v>
      </c>
      <c r="E135" s="337" t="e">
        <f>VLOOKUP(D135,'07產線配置圖'!$A$2:$C$25,2,0)</f>
        <v>#N/A</v>
      </c>
      <c r="F135" s="337" t="e">
        <f>VLOOKUP(D135,'07產線配置圖'!$A$2:$C$25,3,0)</f>
        <v>#N/A</v>
      </c>
      <c r="G135" s="330" t="e">
        <f t="shared" si="118"/>
        <v>#N/A</v>
      </c>
      <c r="H135" s="642"/>
      <c r="I135" s="337" t="e">
        <f t="shared" si="119"/>
        <v>#DIV/0!</v>
      </c>
      <c r="J135" s="337" t="e">
        <f t="shared" si="120"/>
        <v>#DIV/0!</v>
      </c>
      <c r="K135" s="330" t="e">
        <f t="shared" si="121"/>
        <v>#DIV/0!</v>
      </c>
      <c r="L135" s="642"/>
      <c r="M135" s="357"/>
      <c r="N135" s="624"/>
      <c r="O135" s="624"/>
      <c r="P135" s="336"/>
      <c r="Q135" s="336"/>
      <c r="R135" s="330"/>
      <c r="S135" s="336"/>
      <c r="T135" s="640"/>
      <c r="U135" s="336"/>
      <c r="V135" s="336"/>
      <c r="W135" s="330" t="e">
        <f t="shared" si="136"/>
        <v>#DIV/0!</v>
      </c>
      <c r="X135" s="336" t="e">
        <f t="shared" si="126"/>
        <v>#DIV/0!</v>
      </c>
      <c r="Y135" s="640"/>
      <c r="Z135" s="336"/>
      <c r="AA135" s="336"/>
      <c r="AB135" s="330" t="e">
        <f t="shared" si="137"/>
        <v>#DIV/0!</v>
      </c>
      <c r="AC135" s="336" t="e">
        <f t="shared" si="128"/>
        <v>#DIV/0!</v>
      </c>
      <c r="AD135" s="640"/>
      <c r="AE135" s="336"/>
      <c r="AF135" s="336"/>
      <c r="AG135" s="330" t="e">
        <f>AF135/AE135</f>
        <v>#DIV/0!</v>
      </c>
      <c r="AH135" s="336" t="e">
        <f t="shared" si="130"/>
        <v>#DIV/0!</v>
      </c>
      <c r="AI135" s="640"/>
      <c r="AJ135" s="336"/>
      <c r="AK135" s="336"/>
      <c r="AL135" s="330" t="e">
        <f t="shared" si="134"/>
        <v>#DIV/0!</v>
      </c>
      <c r="AM135" s="336" t="e">
        <f t="shared" si="115"/>
        <v>#DIV/0!</v>
      </c>
      <c r="AN135" s="640"/>
      <c r="AO135" s="336"/>
      <c r="AP135" s="336"/>
      <c r="AQ135" s="330" t="e">
        <f t="shared" si="135"/>
        <v>#DIV/0!</v>
      </c>
      <c r="AR135" s="336" t="e">
        <f t="shared" si="116"/>
        <v>#DIV/0!</v>
      </c>
      <c r="AS135" s="640"/>
      <c r="AT135" s="336"/>
      <c r="AU135" s="336"/>
      <c r="AV135" s="330" t="e">
        <f t="shared" si="133"/>
        <v>#DIV/0!</v>
      </c>
      <c r="AW135" s="336" t="e">
        <f t="shared" si="117"/>
        <v>#DIV/0!</v>
      </c>
      <c r="AX135" s="640"/>
    </row>
    <row r="136" spans="2:50">
      <c r="B136" s="618"/>
      <c r="C136" s="336">
        <v>15</v>
      </c>
      <c r="D136" s="336" t="s">
        <v>122</v>
      </c>
      <c r="E136" s="337">
        <f>VLOOKUP(D136,'07產線配置圖'!$A$2:$C$25,2,0)</f>
        <v>18</v>
      </c>
      <c r="F136" s="337">
        <f>VLOOKUP(D136,'07產線配置圖'!$A$2:$C$25,3,0)</f>
        <v>1636</v>
      </c>
      <c r="G136" s="330">
        <f t="shared" ref="G136:G138" si="138">F136/E136</f>
        <v>90.888888888888886</v>
      </c>
      <c r="H136" s="642"/>
      <c r="I136" s="337" t="e">
        <f t="shared" si="119"/>
        <v>#DIV/0!</v>
      </c>
      <c r="J136" s="337" t="e">
        <f t="shared" si="120"/>
        <v>#DIV/0!</v>
      </c>
      <c r="K136" s="330" t="e">
        <f t="shared" si="121"/>
        <v>#DIV/0!</v>
      </c>
      <c r="L136" s="642"/>
      <c r="M136" s="357" t="e">
        <f t="shared" si="122"/>
        <v>#DIV/0!</v>
      </c>
      <c r="N136" s="624"/>
      <c r="O136" s="624"/>
      <c r="P136" s="336"/>
      <c r="Q136" s="336"/>
      <c r="R136" s="328" t="e">
        <f t="shared" si="123"/>
        <v>#DIV/0!</v>
      </c>
      <c r="S136" s="336" t="e">
        <f t="shared" si="124"/>
        <v>#DIV/0!</v>
      </c>
      <c r="T136" s="640"/>
      <c r="U136" s="336"/>
      <c r="V136" s="336"/>
      <c r="W136" s="330" t="e">
        <f t="shared" si="136"/>
        <v>#DIV/0!</v>
      </c>
      <c r="X136" s="336" t="e">
        <f t="shared" si="126"/>
        <v>#DIV/0!</v>
      </c>
      <c r="Y136" s="640"/>
      <c r="Z136" s="336"/>
      <c r="AA136" s="336"/>
      <c r="AB136" s="330" t="e">
        <f t="shared" si="137"/>
        <v>#DIV/0!</v>
      </c>
      <c r="AC136" s="336" t="e">
        <f t="shared" si="128"/>
        <v>#DIV/0!</v>
      </c>
      <c r="AD136" s="640"/>
      <c r="AE136" s="336"/>
      <c r="AF136" s="336"/>
      <c r="AG136" s="330" t="e">
        <f t="shared" ref="AG136:AG137" si="139">AF136/AE136</f>
        <v>#DIV/0!</v>
      </c>
      <c r="AH136" s="336" t="e">
        <f t="shared" si="130"/>
        <v>#DIV/0!</v>
      </c>
      <c r="AI136" s="640"/>
      <c r="AJ136" s="336"/>
      <c r="AK136" s="336"/>
      <c r="AL136" s="330" t="e">
        <f t="shared" si="134"/>
        <v>#DIV/0!</v>
      </c>
      <c r="AM136" s="336" t="e">
        <f t="shared" si="115"/>
        <v>#DIV/0!</v>
      </c>
      <c r="AN136" s="640"/>
      <c r="AO136" s="336"/>
      <c r="AP136" s="336"/>
      <c r="AQ136" s="330" t="e">
        <f t="shared" si="135"/>
        <v>#DIV/0!</v>
      </c>
      <c r="AR136" s="336" t="e">
        <f t="shared" si="116"/>
        <v>#DIV/0!</v>
      </c>
      <c r="AS136" s="640"/>
      <c r="AT136" s="336"/>
      <c r="AU136" s="336"/>
      <c r="AV136" s="330" t="e">
        <f>AU136/AT136</f>
        <v>#DIV/0!</v>
      </c>
      <c r="AW136" s="336" t="e">
        <f t="shared" si="117"/>
        <v>#DIV/0!</v>
      </c>
      <c r="AX136" s="640"/>
    </row>
    <row r="137" spans="2:50">
      <c r="B137" s="618"/>
      <c r="C137" s="336">
        <v>16</v>
      </c>
      <c r="D137" s="336" t="s">
        <v>386</v>
      </c>
      <c r="E137" s="337">
        <f>VLOOKUP(D137,'07產線配置圖'!$A$2:$C$25,2,0)</f>
        <v>18</v>
      </c>
      <c r="F137" s="337">
        <f>VLOOKUP(D137,'07產線配置圖'!$A$2:$C$25,3,0)</f>
        <v>1565</v>
      </c>
      <c r="G137" s="330">
        <f t="shared" si="138"/>
        <v>86.944444444444443</v>
      </c>
      <c r="H137" s="642"/>
      <c r="I137" s="337" t="e">
        <f t="shared" si="119"/>
        <v>#DIV/0!</v>
      </c>
      <c r="J137" s="337" t="e">
        <f t="shared" si="120"/>
        <v>#DIV/0!</v>
      </c>
      <c r="K137" s="330" t="e">
        <f t="shared" si="121"/>
        <v>#DIV/0!</v>
      </c>
      <c r="L137" s="642"/>
      <c r="M137" s="357" t="e">
        <f t="shared" si="122"/>
        <v>#DIV/0!</v>
      </c>
      <c r="N137" s="624"/>
      <c r="O137" s="624"/>
      <c r="P137" s="336"/>
      <c r="Q137" s="336"/>
      <c r="R137" s="328" t="e">
        <f t="shared" si="123"/>
        <v>#DIV/0!</v>
      </c>
      <c r="S137" s="336" t="e">
        <f t="shared" si="124"/>
        <v>#DIV/0!</v>
      </c>
      <c r="T137" s="640"/>
      <c r="U137" s="336"/>
      <c r="V137" s="336"/>
      <c r="W137" s="330" t="e">
        <f t="shared" si="136"/>
        <v>#DIV/0!</v>
      </c>
      <c r="X137" s="336" t="e">
        <f t="shared" si="126"/>
        <v>#DIV/0!</v>
      </c>
      <c r="Y137" s="640"/>
      <c r="Z137" s="336"/>
      <c r="AA137" s="336"/>
      <c r="AB137" s="330" t="e">
        <f t="shared" si="137"/>
        <v>#DIV/0!</v>
      </c>
      <c r="AC137" s="336" t="e">
        <f t="shared" si="128"/>
        <v>#DIV/0!</v>
      </c>
      <c r="AD137" s="640"/>
      <c r="AE137" s="336"/>
      <c r="AF137" s="336"/>
      <c r="AG137" s="330" t="e">
        <f t="shared" si="139"/>
        <v>#DIV/0!</v>
      </c>
      <c r="AH137" s="336" t="e">
        <f t="shared" si="130"/>
        <v>#DIV/0!</v>
      </c>
      <c r="AI137" s="640"/>
      <c r="AJ137" s="336"/>
      <c r="AK137" s="336"/>
      <c r="AL137" s="330" t="e">
        <f t="shared" si="134"/>
        <v>#DIV/0!</v>
      </c>
      <c r="AM137" s="336" t="e">
        <f t="shared" si="115"/>
        <v>#DIV/0!</v>
      </c>
      <c r="AN137" s="640"/>
      <c r="AO137" s="336"/>
      <c r="AP137" s="336"/>
      <c r="AQ137" s="330" t="e">
        <f t="shared" si="135"/>
        <v>#DIV/0!</v>
      </c>
      <c r="AR137" s="336" t="e">
        <f t="shared" si="116"/>
        <v>#DIV/0!</v>
      </c>
      <c r="AS137" s="640"/>
      <c r="AT137" s="336"/>
      <c r="AU137" s="336"/>
      <c r="AV137" s="330" t="e">
        <f>AU137/AT137</f>
        <v>#DIV/0!</v>
      </c>
      <c r="AW137" s="336" t="e">
        <f t="shared" si="117"/>
        <v>#DIV/0!</v>
      </c>
      <c r="AX137" s="640"/>
    </row>
    <row r="138" spans="2:50" ht="13.5">
      <c r="B138" s="618"/>
      <c r="C138" s="336">
        <v>17</v>
      </c>
      <c r="D138" s="355" t="s">
        <v>125</v>
      </c>
      <c r="E138" s="337">
        <f>VLOOKUP(D138,'07產線配置圖'!$A$2:$C$25,2,0)</f>
        <v>17</v>
      </c>
      <c r="F138" s="337">
        <f>VLOOKUP(D138,'07產線配置圖'!$A$2:$C$25,3,0)</f>
        <v>1636</v>
      </c>
      <c r="G138" s="330">
        <f t="shared" si="138"/>
        <v>96.235294117647058</v>
      </c>
      <c r="H138" s="642"/>
      <c r="I138" s="337" t="e">
        <f t="shared" si="119"/>
        <v>#DIV/0!</v>
      </c>
      <c r="J138" s="337" t="e">
        <f t="shared" si="120"/>
        <v>#DIV/0!</v>
      </c>
      <c r="K138" s="330" t="e">
        <f t="shared" si="121"/>
        <v>#DIV/0!</v>
      </c>
      <c r="L138" s="642"/>
      <c r="M138" s="357" t="e">
        <f t="shared" si="122"/>
        <v>#DIV/0!</v>
      </c>
      <c r="N138" s="624"/>
      <c r="O138" s="624"/>
      <c r="P138" s="336"/>
      <c r="Q138" s="336"/>
      <c r="R138" s="328" t="e">
        <f t="shared" si="123"/>
        <v>#DIV/0!</v>
      </c>
      <c r="S138" s="336" t="e">
        <f t="shared" si="124"/>
        <v>#DIV/0!</v>
      </c>
      <c r="T138" s="640"/>
      <c r="U138" s="336"/>
      <c r="V138" s="336"/>
      <c r="W138" s="330"/>
      <c r="X138" s="336"/>
      <c r="Y138" s="640"/>
      <c r="Z138" s="336"/>
      <c r="AA138" s="336"/>
      <c r="AB138" s="336"/>
      <c r="AC138" s="336"/>
      <c r="AD138" s="640"/>
      <c r="AE138" s="336"/>
      <c r="AF138" s="336"/>
      <c r="AG138" s="330"/>
      <c r="AH138" s="336"/>
      <c r="AI138" s="640"/>
      <c r="AJ138" s="336"/>
      <c r="AK138" s="336"/>
      <c r="AL138" s="336"/>
      <c r="AM138" s="336"/>
      <c r="AN138" s="640"/>
      <c r="AO138" s="336"/>
      <c r="AP138" s="336"/>
      <c r="AQ138" s="336"/>
      <c r="AR138" s="336"/>
      <c r="AS138" s="640"/>
      <c r="AT138" s="336"/>
      <c r="AU138" s="336"/>
      <c r="AV138" s="336"/>
      <c r="AW138" s="336"/>
      <c r="AX138" s="640"/>
    </row>
    <row r="139" spans="2:50">
      <c r="B139" s="618"/>
      <c r="C139" s="336">
        <v>18</v>
      </c>
      <c r="D139" s="336" t="s">
        <v>172</v>
      </c>
      <c r="E139" s="337">
        <f>VLOOKUP(D139,'07產線配置圖'!$A$2:$C$25,2,0)</f>
        <v>16</v>
      </c>
      <c r="F139" s="337">
        <f>VLOOKUP(D139,'07產線配置圖'!$A$2:$C$25,3,0)</f>
        <v>1636</v>
      </c>
      <c r="G139" s="330">
        <f>F139/E139</f>
        <v>102.25</v>
      </c>
      <c r="H139" s="643"/>
      <c r="I139" s="337" t="e">
        <f t="shared" si="119"/>
        <v>#DIV/0!</v>
      </c>
      <c r="J139" s="337" t="e">
        <f t="shared" si="120"/>
        <v>#DIV/0!</v>
      </c>
      <c r="K139" s="330" t="e">
        <f t="shared" si="121"/>
        <v>#DIV/0!</v>
      </c>
      <c r="L139" s="643"/>
      <c r="M139" s="357" t="e">
        <f t="shared" si="122"/>
        <v>#DIV/0!</v>
      </c>
      <c r="N139" s="624"/>
      <c r="O139" s="624"/>
      <c r="P139" s="336"/>
      <c r="Q139" s="336"/>
      <c r="R139" s="328" t="e">
        <f t="shared" si="123"/>
        <v>#DIV/0!</v>
      </c>
      <c r="S139" s="336" t="e">
        <f t="shared" si="124"/>
        <v>#DIV/0!</v>
      </c>
      <c r="T139" s="640"/>
      <c r="U139" s="336"/>
      <c r="V139" s="336"/>
      <c r="W139" s="330"/>
      <c r="X139" s="336"/>
      <c r="Y139" s="640"/>
      <c r="Z139" s="336"/>
      <c r="AA139" s="336"/>
      <c r="AB139" s="336"/>
      <c r="AC139" s="336"/>
      <c r="AD139" s="640"/>
      <c r="AE139" s="336"/>
      <c r="AF139" s="336"/>
      <c r="AG139" s="330"/>
      <c r="AH139" s="336"/>
      <c r="AI139" s="640"/>
      <c r="AJ139" s="336"/>
      <c r="AK139" s="336"/>
      <c r="AL139" s="336"/>
      <c r="AM139" s="336"/>
      <c r="AN139" s="640"/>
      <c r="AO139" s="336"/>
      <c r="AP139" s="336"/>
      <c r="AQ139" s="336"/>
      <c r="AR139" s="336"/>
      <c r="AS139" s="640"/>
      <c r="AT139" s="336"/>
      <c r="AU139" s="336"/>
      <c r="AV139" s="336"/>
      <c r="AW139" s="336"/>
      <c r="AX139" s="640"/>
    </row>
  </sheetData>
  <mergeCells count="354">
    <mergeCell ref="AI122:AI139"/>
    <mergeCell ref="AD122:AD139"/>
    <mergeCell ref="AE117:AI117"/>
    <mergeCell ref="Z118:AD118"/>
    <mergeCell ref="AI119:AI121"/>
    <mergeCell ref="AE120:AH120"/>
    <mergeCell ref="AE119:AH119"/>
    <mergeCell ref="AD119:AD121"/>
    <mergeCell ref="B117:H118"/>
    <mergeCell ref="B122:B139"/>
    <mergeCell ref="H122:H139"/>
    <mergeCell ref="L122:L139"/>
    <mergeCell ref="B119:B121"/>
    <mergeCell ref="C119:D121"/>
    <mergeCell ref="E119:G119"/>
    <mergeCell ref="H119:H121"/>
    <mergeCell ref="I119:K119"/>
    <mergeCell ref="E120:G120"/>
    <mergeCell ref="I120:K120"/>
    <mergeCell ref="L119:L121"/>
    <mergeCell ref="M119:M121"/>
    <mergeCell ref="P119:S119"/>
    <mergeCell ref="T119:T121"/>
    <mergeCell ref="U119:X119"/>
    <mergeCell ref="N117:N118"/>
    <mergeCell ref="U118:Y118"/>
    <mergeCell ref="Y122:Y139"/>
    <mergeCell ref="Y119:Y121"/>
    <mergeCell ref="Z119:AC119"/>
    <mergeCell ref="Z120:AC120"/>
    <mergeCell ref="Z117:AD117"/>
    <mergeCell ref="U117:Y117"/>
    <mergeCell ref="O117:O118"/>
    <mergeCell ref="P118:T118"/>
    <mergeCell ref="P117:T117"/>
    <mergeCell ref="U120:X120"/>
    <mergeCell ref="P120:S120"/>
    <mergeCell ref="N119:N139"/>
    <mergeCell ref="O119:O139"/>
    <mergeCell ref="T122:T139"/>
    <mergeCell ref="AJ120:AM120"/>
    <mergeCell ref="AO119:AR119"/>
    <mergeCell ref="AS122:AS139"/>
    <mergeCell ref="AS119:AS121"/>
    <mergeCell ref="AN122:AN139"/>
    <mergeCell ref="AO120:AR120"/>
    <mergeCell ref="AJ119:AM119"/>
    <mergeCell ref="AN119:AN121"/>
    <mergeCell ref="AO118:AS118"/>
    <mergeCell ref="AX96:AX98"/>
    <mergeCell ref="AS96:AS98"/>
    <mergeCell ref="AT96:AW96"/>
    <mergeCell ref="AT97:AW97"/>
    <mergeCell ref="AX76:AX93"/>
    <mergeCell ref="AO96:AR96"/>
    <mergeCell ref="AT95:AX95"/>
    <mergeCell ref="AX122:AX139"/>
    <mergeCell ref="AT120:AW120"/>
    <mergeCell ref="AX119:AX121"/>
    <mergeCell ref="AT119:AW119"/>
    <mergeCell ref="AS30:AS47"/>
    <mergeCell ref="AS50:AS52"/>
    <mergeCell ref="AT48:AX48"/>
    <mergeCell ref="AX50:AX52"/>
    <mergeCell ref="AT50:AW50"/>
    <mergeCell ref="AX30:AX47"/>
    <mergeCell ref="AD99:AD116"/>
    <mergeCell ref="AE48:AI48"/>
    <mergeCell ref="AI30:AI47"/>
    <mergeCell ref="AE49:AI49"/>
    <mergeCell ref="AT73:AW73"/>
    <mergeCell ref="AJ96:AM96"/>
    <mergeCell ref="AJ97:AM97"/>
    <mergeCell ref="AN96:AN98"/>
    <mergeCell ref="AS53:AS70"/>
    <mergeCell ref="AE96:AH96"/>
    <mergeCell ref="AN76:AN93"/>
    <mergeCell ref="AO95:AS95"/>
    <mergeCell ref="AS76:AS93"/>
    <mergeCell ref="AO48:AS48"/>
    <mergeCell ref="AT49:AX49"/>
    <mergeCell ref="AO49:AS49"/>
    <mergeCell ref="AT51:AW51"/>
    <mergeCell ref="AE50:AH50"/>
    <mergeCell ref="AT118:AX118"/>
    <mergeCell ref="AT117:AX117"/>
    <mergeCell ref="AO117:AS117"/>
    <mergeCell ref="AJ118:AN118"/>
    <mergeCell ref="AN99:AN116"/>
    <mergeCell ref="AJ94:AN94"/>
    <mergeCell ref="AJ51:AM51"/>
    <mergeCell ref="AN53:AN70"/>
    <mergeCell ref="AJ117:AN117"/>
    <mergeCell ref="AX53:AX70"/>
    <mergeCell ref="AO94:AS94"/>
    <mergeCell ref="AO51:AR51"/>
    <mergeCell ref="AX73:AX75"/>
    <mergeCell ref="AO74:AR74"/>
    <mergeCell ref="AS73:AS75"/>
    <mergeCell ref="AT71:AX71"/>
    <mergeCell ref="AT72:AX72"/>
    <mergeCell ref="AO71:AS71"/>
    <mergeCell ref="AJ72:AN72"/>
    <mergeCell ref="AJ71:AN71"/>
    <mergeCell ref="AX99:AX116"/>
    <mergeCell ref="AO97:AR97"/>
    <mergeCell ref="AT94:AX94"/>
    <mergeCell ref="AT74:AW74"/>
    <mergeCell ref="AJ50:AM50"/>
    <mergeCell ref="AE118:AI118"/>
    <mergeCell ref="AO72:AS72"/>
    <mergeCell ref="AI53:AI70"/>
    <mergeCell ref="AE71:AI71"/>
    <mergeCell ref="AJ73:AM73"/>
    <mergeCell ref="AN73:AN75"/>
    <mergeCell ref="AI96:AI98"/>
    <mergeCell ref="AI99:AI116"/>
    <mergeCell ref="AE95:AI95"/>
    <mergeCell ref="AJ95:AN95"/>
    <mergeCell ref="AE97:AH97"/>
    <mergeCell ref="AO50:AR50"/>
    <mergeCell ref="AO73:AR73"/>
    <mergeCell ref="AS99:AS116"/>
    <mergeCell ref="AD7:AD24"/>
    <mergeCell ref="AJ74:AM74"/>
    <mergeCell ref="AE94:AI94"/>
    <mergeCell ref="AI76:AI93"/>
    <mergeCell ref="AE74:AH74"/>
    <mergeCell ref="AI73:AI75"/>
    <mergeCell ref="Z72:AD72"/>
    <mergeCell ref="AE73:AH73"/>
    <mergeCell ref="AI50:AI52"/>
    <mergeCell ref="AE72:AI72"/>
    <mergeCell ref="AJ49:AN49"/>
    <mergeCell ref="AJ48:AN48"/>
    <mergeCell ref="AN50:AN52"/>
    <mergeCell ref="Z26:AD26"/>
    <mergeCell ref="AN30:AN47"/>
    <mergeCell ref="AI27:AI29"/>
    <mergeCell ref="AE25:AI25"/>
    <mergeCell ref="AE28:AH28"/>
    <mergeCell ref="AJ26:AN26"/>
    <mergeCell ref="AE27:AH27"/>
    <mergeCell ref="AJ27:AM27"/>
    <mergeCell ref="AN27:AN29"/>
    <mergeCell ref="AD30:AD47"/>
    <mergeCell ref="AE51:AH51"/>
    <mergeCell ref="Z25:AD25"/>
    <mergeCell ref="U48:Y48"/>
    <mergeCell ref="Y30:Y47"/>
    <mergeCell ref="Y27:Y29"/>
    <mergeCell ref="U49:Y49"/>
    <mergeCell ref="AD53:AD70"/>
    <mergeCell ref="Z51:AC51"/>
    <mergeCell ref="Y53:Y70"/>
    <mergeCell ref="U51:X51"/>
    <mergeCell ref="Y50:Y52"/>
    <mergeCell ref="U50:X50"/>
    <mergeCell ref="Z49:AD49"/>
    <mergeCell ref="Z50:AC50"/>
    <mergeCell ref="AD50:AD52"/>
    <mergeCell ref="Z48:AD48"/>
    <mergeCell ref="AD27:AD29"/>
    <mergeCell ref="Z27:AC27"/>
    <mergeCell ref="Z28:AC28"/>
    <mergeCell ref="U2:Y2"/>
    <mergeCell ref="U3:Y3"/>
    <mergeCell ref="U4:X4"/>
    <mergeCell ref="U28:X28"/>
    <mergeCell ref="Y7:Y24"/>
    <mergeCell ref="U25:Y25"/>
    <mergeCell ref="AN4:AN6"/>
    <mergeCell ref="AJ25:AN25"/>
    <mergeCell ref="AI4:AI6"/>
    <mergeCell ref="AE4:AH4"/>
    <mergeCell ref="AN7:AN24"/>
    <mergeCell ref="AE5:AH5"/>
    <mergeCell ref="AJ4:AM4"/>
    <mergeCell ref="U5:X5"/>
    <mergeCell ref="U26:Y26"/>
    <mergeCell ref="AJ28:AM28"/>
    <mergeCell ref="Y4:Y6"/>
    <mergeCell ref="U27:X27"/>
    <mergeCell ref="Z4:AC4"/>
    <mergeCell ref="Z5:AC5"/>
    <mergeCell ref="AJ5:AM5"/>
    <mergeCell ref="AI7:AI24"/>
    <mergeCell ref="AE26:AI26"/>
    <mergeCell ref="AD4:AD6"/>
    <mergeCell ref="Z2:AD2"/>
    <mergeCell ref="Z3:AD3"/>
    <mergeCell ref="AJ3:AN3"/>
    <mergeCell ref="AE3:AI3"/>
    <mergeCell ref="AE2:AI2"/>
    <mergeCell ref="AJ2:AN2"/>
    <mergeCell ref="AT2:AX2"/>
    <mergeCell ref="AO3:AS3"/>
    <mergeCell ref="AT3:AX3"/>
    <mergeCell ref="AO2:AS2"/>
    <mergeCell ref="AT28:AW28"/>
    <mergeCell ref="AX27:AX29"/>
    <mergeCell ref="AT27:AW27"/>
    <mergeCell ref="AT26:AX26"/>
    <mergeCell ref="AO27:AR27"/>
    <mergeCell ref="AO5:AR5"/>
    <mergeCell ref="AO26:AS26"/>
    <mergeCell ref="AX4:AX6"/>
    <mergeCell ref="AS4:AS6"/>
    <mergeCell ref="AO4:AR4"/>
    <mergeCell ref="AT25:AX25"/>
    <mergeCell ref="AT4:AW4"/>
    <mergeCell ref="AX7:AX24"/>
    <mergeCell ref="AT5:AW5"/>
    <mergeCell ref="AS7:AS24"/>
    <mergeCell ref="AS27:AS29"/>
    <mergeCell ref="AO25:AS25"/>
    <mergeCell ref="AO28:AR28"/>
    <mergeCell ref="O96:O116"/>
    <mergeCell ref="Y76:Y93"/>
    <mergeCell ref="P95:T95"/>
    <mergeCell ref="U95:Y95"/>
    <mergeCell ref="T99:T116"/>
    <mergeCell ref="P97:S97"/>
    <mergeCell ref="U96:X96"/>
    <mergeCell ref="U97:X97"/>
    <mergeCell ref="P96:S96"/>
    <mergeCell ref="T96:T98"/>
    <mergeCell ref="Y99:Y116"/>
    <mergeCell ref="Y96:Y98"/>
    <mergeCell ref="U94:Y94"/>
    <mergeCell ref="U72:Y72"/>
    <mergeCell ref="P73:S73"/>
    <mergeCell ref="P74:S74"/>
    <mergeCell ref="T76:T93"/>
    <mergeCell ref="N71:N72"/>
    <mergeCell ref="Z74:AC74"/>
    <mergeCell ref="Z71:AD71"/>
    <mergeCell ref="U74:X74"/>
    <mergeCell ref="Y73:Y75"/>
    <mergeCell ref="U73:X73"/>
    <mergeCell ref="T73:T75"/>
    <mergeCell ref="U71:Y71"/>
    <mergeCell ref="I74:K74"/>
    <mergeCell ref="I73:K73"/>
    <mergeCell ref="Z96:AC96"/>
    <mergeCell ref="Z94:AD94"/>
    <mergeCell ref="AD76:AD93"/>
    <mergeCell ref="AD96:AD98"/>
    <mergeCell ref="Z97:AC97"/>
    <mergeCell ref="H53:H70"/>
    <mergeCell ref="P51:S51"/>
    <mergeCell ref="L96:L98"/>
    <mergeCell ref="N73:N93"/>
    <mergeCell ref="P72:T72"/>
    <mergeCell ref="O73:O93"/>
    <mergeCell ref="M50:M52"/>
    <mergeCell ref="O94:O95"/>
    <mergeCell ref="P94:T94"/>
    <mergeCell ref="M73:M75"/>
    <mergeCell ref="L76:L93"/>
    <mergeCell ref="L73:L75"/>
    <mergeCell ref="O71:O72"/>
    <mergeCell ref="P71:T71"/>
    <mergeCell ref="Z95:AD95"/>
    <mergeCell ref="AD73:AD75"/>
    <mergeCell ref="Z73:AC73"/>
    <mergeCell ref="B71:H72"/>
    <mergeCell ref="B53:B70"/>
    <mergeCell ref="B50:B52"/>
    <mergeCell ref="B73:B75"/>
    <mergeCell ref="H73:H75"/>
    <mergeCell ref="E74:G74"/>
    <mergeCell ref="B76:B93"/>
    <mergeCell ref="H76:H93"/>
    <mergeCell ref="C73:D75"/>
    <mergeCell ref="E73:G73"/>
    <mergeCell ref="M4:M6"/>
    <mergeCell ref="T7:T24"/>
    <mergeCell ref="O27:O47"/>
    <mergeCell ref="N25:N26"/>
    <mergeCell ref="T53:T70"/>
    <mergeCell ref="T50:T52"/>
    <mergeCell ref="L50:L52"/>
    <mergeCell ref="L53:L70"/>
    <mergeCell ref="B30:B47"/>
    <mergeCell ref="E27:G27"/>
    <mergeCell ref="I28:K28"/>
    <mergeCell ref="H30:H47"/>
    <mergeCell ref="E51:G51"/>
    <mergeCell ref="E50:G50"/>
    <mergeCell ref="H50:H52"/>
    <mergeCell ref="I50:K50"/>
    <mergeCell ref="C50:D52"/>
    <mergeCell ref="I51:K51"/>
    <mergeCell ref="B48:H49"/>
    <mergeCell ref="N4:N24"/>
    <mergeCell ref="O25:O26"/>
    <mergeCell ref="P25:T25"/>
    <mergeCell ref="T30:T47"/>
    <mergeCell ref="P26:T26"/>
    <mergeCell ref="O4:O24"/>
    <mergeCell ref="P5:S5"/>
    <mergeCell ref="T27:T29"/>
    <mergeCell ref="T4:T6"/>
    <mergeCell ref="P4:S4"/>
    <mergeCell ref="B25:H26"/>
    <mergeCell ref="L27:L29"/>
    <mergeCell ref="O50:O70"/>
    <mergeCell ref="P48:T48"/>
    <mergeCell ref="P49:T49"/>
    <mergeCell ref="P50:S50"/>
    <mergeCell ref="N48:N49"/>
    <mergeCell ref="N50:N70"/>
    <mergeCell ref="I27:K27"/>
    <mergeCell ref="L30:L47"/>
    <mergeCell ref="O48:O49"/>
    <mergeCell ref="E97:G97"/>
    <mergeCell ref="B94:H95"/>
    <mergeCell ref="N94:N95"/>
    <mergeCell ref="N96:N116"/>
    <mergeCell ref="M96:M98"/>
    <mergeCell ref="H99:H116"/>
    <mergeCell ref="L99:L116"/>
    <mergeCell ref="B99:B116"/>
    <mergeCell ref="H96:H98"/>
    <mergeCell ref="I96:K96"/>
    <mergeCell ref="B96:B98"/>
    <mergeCell ref="C96:D98"/>
    <mergeCell ref="I97:K97"/>
    <mergeCell ref="E96:G96"/>
    <mergeCell ref="P3:T3"/>
    <mergeCell ref="P2:T2"/>
    <mergeCell ref="O2:O3"/>
    <mergeCell ref="P28:S28"/>
    <mergeCell ref="N27:N47"/>
    <mergeCell ref="P27:S27"/>
    <mergeCell ref="N2:N3"/>
    <mergeCell ref="B2:H3"/>
    <mergeCell ref="B4:B6"/>
    <mergeCell ref="B27:B29"/>
    <mergeCell ref="C27:D29"/>
    <mergeCell ref="B7:B24"/>
    <mergeCell ref="E5:G5"/>
    <mergeCell ref="C4:D6"/>
    <mergeCell ref="I5:K5"/>
    <mergeCell ref="L7:L24"/>
    <mergeCell ref="H4:H6"/>
    <mergeCell ref="I4:K4"/>
    <mergeCell ref="L4:L6"/>
    <mergeCell ref="H7:H24"/>
    <mergeCell ref="E4:G4"/>
    <mergeCell ref="E28:G28"/>
    <mergeCell ref="H27:H29"/>
    <mergeCell ref="M27:M29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'07產線配置圖'!$A$3:$A$26</xm:f>
          </x14:formula1>
          <xm:sqref>D30:D47 D122:D139 D53:D70 D99:D116 D7:D24 D76:D93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8" ySplit="6" topLeftCell="I55" activePane="bottomRight" state="frozen"/>
      <selection pane="topRight" activeCell="I1" sqref="I1"/>
      <selection pane="bottomLeft" activeCell="A7" sqref="A7"/>
      <selection pane="bottomRight" activeCell="I67" sqref="I67:K70"/>
    </sheetView>
  </sheetViews>
  <sheetFormatPr defaultColWidth="8.85546875" defaultRowHeight="12.75"/>
  <cols>
    <col min="1" max="1" width="5.5703125" style="189" customWidth="1"/>
    <col min="2" max="2" width="12.42578125" style="189" customWidth="1"/>
    <col min="3" max="3" width="8.85546875" style="188" customWidth="1"/>
    <col min="4" max="4" width="31.42578125" style="188" customWidth="1"/>
    <col min="5" max="7" width="8.42578125" style="188" customWidth="1"/>
    <col min="8" max="8" width="11.140625" style="188" bestFit="1" customWidth="1"/>
    <col min="9" max="12" width="11.140625" style="188" customWidth="1"/>
    <col min="13" max="13" width="13.5703125" style="188" customWidth="1"/>
    <col min="14" max="14" width="9.85546875" style="188" customWidth="1"/>
    <col min="15" max="15" width="7.140625" style="188" customWidth="1"/>
    <col min="16" max="18" width="12.85546875" style="188" customWidth="1"/>
    <col min="19" max="19" width="7.7109375" style="188" bestFit="1" customWidth="1"/>
    <col min="20" max="20" width="12.85546875" style="188" customWidth="1"/>
    <col min="21" max="23" width="12.85546875" style="189" customWidth="1"/>
    <col min="24" max="24" width="5.42578125" style="188" customWidth="1"/>
    <col min="25" max="28" width="12.85546875" style="189" customWidth="1"/>
    <col min="29" max="29" width="5.42578125" style="188" customWidth="1"/>
    <col min="30" max="30" width="12.85546875" style="189" customWidth="1"/>
    <col min="31" max="33" width="12.5703125" style="189" customWidth="1"/>
    <col min="34" max="34" width="5.42578125" style="188" customWidth="1"/>
    <col min="35" max="35" width="13" style="189" customWidth="1"/>
    <col min="36" max="38" width="12.5703125" style="189" customWidth="1"/>
    <col min="39" max="39" width="5.42578125" style="188" customWidth="1"/>
    <col min="40" max="40" width="13" style="189" customWidth="1"/>
    <col min="41" max="43" width="13.140625" style="189" customWidth="1"/>
    <col min="44" max="44" width="5.42578125" style="189" customWidth="1"/>
    <col min="45" max="48" width="13.140625" style="189" customWidth="1"/>
    <col min="49" max="49" width="5.42578125" style="189" customWidth="1"/>
    <col min="50" max="50" width="13.140625" style="189" customWidth="1"/>
    <col min="51" max="95" width="8.85546875" style="189" customWidth="1"/>
    <col min="96" max="16384" width="8.85546875" style="189"/>
  </cols>
  <sheetData>
    <row r="1" spans="1:50" ht="21">
      <c r="A1" s="185"/>
      <c r="B1" s="186" t="s">
        <v>84</v>
      </c>
      <c r="C1" s="187">
        <f>AVERAGE(L7,L27,L47,L67,L87,L107)</f>
        <v>125.66178149802823</v>
      </c>
    </row>
    <row r="2" spans="1:50" ht="15.75">
      <c r="A2" s="190"/>
      <c r="B2" s="650" t="s">
        <v>85</v>
      </c>
      <c r="C2" s="651"/>
      <c r="D2" s="651"/>
      <c r="E2" s="651"/>
      <c r="F2" s="651"/>
      <c r="G2" s="651"/>
      <c r="H2" s="651"/>
      <c r="I2" s="191"/>
      <c r="J2" s="191"/>
      <c r="K2" s="191"/>
      <c r="L2" s="191"/>
      <c r="M2" s="192"/>
      <c r="N2" s="653" t="s">
        <v>86</v>
      </c>
      <c r="O2" s="653" t="s">
        <v>45</v>
      </c>
      <c r="P2" s="664">
        <v>46203</v>
      </c>
      <c r="Q2" s="656"/>
      <c r="R2" s="656"/>
      <c r="S2" s="656"/>
      <c r="T2" s="656"/>
      <c r="U2" s="664">
        <f>P2+1</f>
        <v>46204</v>
      </c>
      <c r="V2" s="656"/>
      <c r="W2" s="656"/>
      <c r="X2" s="656"/>
      <c r="Y2" s="656"/>
      <c r="Z2" s="664">
        <f>U2+1</f>
        <v>46205</v>
      </c>
      <c r="AA2" s="656"/>
      <c r="AB2" s="656"/>
      <c r="AC2" s="656"/>
      <c r="AD2" s="656"/>
      <c r="AE2" s="664">
        <f>Z2+1</f>
        <v>46206</v>
      </c>
      <c r="AF2" s="656"/>
      <c r="AG2" s="656"/>
      <c r="AH2" s="656"/>
      <c r="AI2" s="656"/>
      <c r="AJ2" s="664">
        <v>46235</v>
      </c>
      <c r="AK2" s="656"/>
      <c r="AL2" s="656"/>
      <c r="AM2" s="656"/>
      <c r="AN2" s="656"/>
      <c r="AO2" s="664">
        <v>46236</v>
      </c>
      <c r="AP2" s="656"/>
      <c r="AQ2" s="656"/>
      <c r="AR2" s="656"/>
      <c r="AS2" s="656"/>
      <c r="AT2" s="664">
        <v>46237</v>
      </c>
      <c r="AU2" s="656"/>
      <c r="AV2" s="656"/>
      <c r="AW2" s="656"/>
      <c r="AX2" s="656"/>
    </row>
    <row r="3" spans="1:50" ht="15.75">
      <c r="A3" s="190"/>
      <c r="B3" s="652"/>
      <c r="C3" s="652"/>
      <c r="D3" s="652"/>
      <c r="E3" s="652"/>
      <c r="F3" s="652"/>
      <c r="G3" s="652"/>
      <c r="H3" s="652"/>
      <c r="I3" s="193"/>
      <c r="J3" s="193"/>
      <c r="K3" s="193"/>
      <c r="L3" s="193"/>
      <c r="M3" s="194"/>
      <c r="N3" s="654"/>
      <c r="O3" s="654"/>
      <c r="P3" s="664" t="s">
        <v>58</v>
      </c>
      <c r="Q3" s="656"/>
      <c r="R3" s="656"/>
      <c r="S3" s="656"/>
      <c r="T3" s="656"/>
      <c r="U3" s="664" t="s">
        <v>59</v>
      </c>
      <c r="V3" s="656"/>
      <c r="W3" s="656"/>
      <c r="X3" s="656"/>
      <c r="Y3" s="656"/>
      <c r="Z3" s="664" t="s">
        <v>60</v>
      </c>
      <c r="AA3" s="656"/>
      <c r="AB3" s="656"/>
      <c r="AC3" s="656"/>
      <c r="AD3" s="656"/>
      <c r="AE3" s="664" t="s">
        <v>61</v>
      </c>
      <c r="AF3" s="656"/>
      <c r="AG3" s="656"/>
      <c r="AH3" s="656"/>
      <c r="AI3" s="656"/>
      <c r="AJ3" s="664" t="s">
        <v>56</v>
      </c>
      <c r="AK3" s="656"/>
      <c r="AL3" s="656"/>
      <c r="AM3" s="656"/>
      <c r="AN3" s="656"/>
      <c r="AO3" s="664" t="s">
        <v>52</v>
      </c>
      <c r="AP3" s="656"/>
      <c r="AQ3" s="656"/>
      <c r="AR3" s="656"/>
      <c r="AS3" s="656"/>
      <c r="AT3" s="664" t="s">
        <v>57</v>
      </c>
      <c r="AU3" s="656"/>
      <c r="AV3" s="656"/>
      <c r="AW3" s="656"/>
      <c r="AX3" s="656"/>
    </row>
    <row r="4" spans="1:50">
      <c r="A4" s="190"/>
      <c r="B4" s="655" t="s">
        <v>41</v>
      </c>
      <c r="C4" s="655" t="s">
        <v>87</v>
      </c>
      <c r="D4" s="655"/>
      <c r="E4" s="655" t="s">
        <v>88</v>
      </c>
      <c r="F4" s="655"/>
      <c r="G4" s="655"/>
      <c r="H4" s="660" t="s">
        <v>89</v>
      </c>
      <c r="I4" s="655" t="s">
        <v>90</v>
      </c>
      <c r="J4" s="655"/>
      <c r="K4" s="655"/>
      <c r="L4" s="660" t="s">
        <v>89</v>
      </c>
      <c r="M4" s="653" t="s">
        <v>91</v>
      </c>
      <c r="N4" s="655"/>
      <c r="O4" s="655" t="s">
        <v>92</v>
      </c>
      <c r="P4" s="665" t="s">
        <v>93</v>
      </c>
      <c r="Q4" s="666"/>
      <c r="R4" s="666"/>
      <c r="S4" s="667"/>
      <c r="T4" s="655" t="s">
        <v>89</v>
      </c>
      <c r="U4" s="665" t="s">
        <v>93</v>
      </c>
      <c r="V4" s="666"/>
      <c r="W4" s="666"/>
      <c r="X4" s="667"/>
      <c r="Y4" s="655" t="s">
        <v>89</v>
      </c>
      <c r="Z4" s="665" t="s">
        <v>93</v>
      </c>
      <c r="AA4" s="666"/>
      <c r="AB4" s="666"/>
      <c r="AC4" s="667"/>
      <c r="AD4" s="655" t="s">
        <v>89</v>
      </c>
      <c r="AE4" s="665" t="s">
        <v>93</v>
      </c>
      <c r="AF4" s="666"/>
      <c r="AG4" s="666"/>
      <c r="AH4" s="667"/>
      <c r="AI4" s="655" t="s">
        <v>89</v>
      </c>
      <c r="AJ4" s="665" t="s">
        <v>93</v>
      </c>
      <c r="AK4" s="666"/>
      <c r="AL4" s="666"/>
      <c r="AM4" s="667"/>
      <c r="AN4" s="655" t="s">
        <v>89</v>
      </c>
      <c r="AO4" s="665" t="s">
        <v>93</v>
      </c>
      <c r="AP4" s="666"/>
      <c r="AQ4" s="666"/>
      <c r="AR4" s="667"/>
      <c r="AS4" s="655" t="s">
        <v>89</v>
      </c>
      <c r="AT4" s="665" t="s">
        <v>93</v>
      </c>
      <c r="AU4" s="666"/>
      <c r="AV4" s="666"/>
      <c r="AW4" s="667"/>
      <c r="AX4" s="655" t="s">
        <v>89</v>
      </c>
    </row>
    <row r="5" spans="1:50">
      <c r="A5" s="190"/>
      <c r="B5" s="655"/>
      <c r="C5" s="655"/>
      <c r="D5" s="655"/>
      <c r="E5" s="655" t="s">
        <v>94</v>
      </c>
      <c r="F5" s="655"/>
      <c r="G5" s="655"/>
      <c r="H5" s="661"/>
      <c r="I5" s="655" t="s">
        <v>94</v>
      </c>
      <c r="J5" s="655"/>
      <c r="K5" s="655"/>
      <c r="L5" s="661"/>
      <c r="M5" s="663"/>
      <c r="N5" s="655"/>
      <c r="O5" s="655"/>
      <c r="P5" s="665" t="s">
        <v>95</v>
      </c>
      <c r="Q5" s="666"/>
      <c r="R5" s="666"/>
      <c r="S5" s="667"/>
      <c r="T5" s="655"/>
      <c r="U5" s="665" t="s">
        <v>95</v>
      </c>
      <c r="V5" s="666"/>
      <c r="W5" s="666"/>
      <c r="X5" s="667"/>
      <c r="Y5" s="655"/>
      <c r="Z5" s="665" t="s">
        <v>95</v>
      </c>
      <c r="AA5" s="666"/>
      <c r="AB5" s="666"/>
      <c r="AC5" s="667"/>
      <c r="AD5" s="655"/>
      <c r="AE5" s="665" t="s">
        <v>95</v>
      </c>
      <c r="AF5" s="666"/>
      <c r="AG5" s="666"/>
      <c r="AH5" s="667"/>
      <c r="AI5" s="655"/>
      <c r="AJ5" s="665" t="s">
        <v>95</v>
      </c>
      <c r="AK5" s="666"/>
      <c r="AL5" s="666"/>
      <c r="AM5" s="667"/>
      <c r="AN5" s="655"/>
      <c r="AO5" s="665" t="s">
        <v>95</v>
      </c>
      <c r="AP5" s="666"/>
      <c r="AQ5" s="666"/>
      <c r="AR5" s="667"/>
      <c r="AS5" s="655"/>
      <c r="AT5" s="665" t="s">
        <v>95</v>
      </c>
      <c r="AU5" s="666"/>
      <c r="AV5" s="666"/>
      <c r="AW5" s="667"/>
      <c r="AX5" s="655"/>
    </row>
    <row r="6" spans="1:50">
      <c r="A6" s="195"/>
      <c r="B6" s="655"/>
      <c r="C6" s="655"/>
      <c r="D6" s="655"/>
      <c r="E6" s="196" t="s">
        <v>96</v>
      </c>
      <c r="F6" s="196" t="s">
        <v>97</v>
      </c>
      <c r="G6" s="196" t="s">
        <v>98</v>
      </c>
      <c r="H6" s="662"/>
      <c r="I6" s="196" t="s">
        <v>96</v>
      </c>
      <c r="J6" s="196" t="s">
        <v>97</v>
      </c>
      <c r="K6" s="196" t="s">
        <v>98</v>
      </c>
      <c r="L6" s="662"/>
      <c r="M6" s="654"/>
      <c r="N6" s="655"/>
      <c r="O6" s="655"/>
      <c r="P6" s="196" t="s">
        <v>96</v>
      </c>
      <c r="Q6" s="196" t="s">
        <v>97</v>
      </c>
      <c r="R6" s="196" t="s">
        <v>98</v>
      </c>
      <c r="S6" s="196" t="s">
        <v>91</v>
      </c>
      <c r="T6" s="655"/>
      <c r="U6" s="196" t="s">
        <v>96</v>
      </c>
      <c r="V6" s="196" t="s">
        <v>97</v>
      </c>
      <c r="W6" s="196" t="s">
        <v>98</v>
      </c>
      <c r="X6" s="196" t="s">
        <v>91</v>
      </c>
      <c r="Y6" s="655"/>
      <c r="Z6" s="196" t="s">
        <v>96</v>
      </c>
      <c r="AA6" s="196" t="s">
        <v>97</v>
      </c>
      <c r="AB6" s="196" t="s">
        <v>98</v>
      </c>
      <c r="AC6" s="196" t="s">
        <v>91</v>
      </c>
      <c r="AD6" s="655"/>
      <c r="AE6" s="196" t="s">
        <v>96</v>
      </c>
      <c r="AF6" s="196" t="s">
        <v>97</v>
      </c>
      <c r="AG6" s="196" t="s">
        <v>98</v>
      </c>
      <c r="AH6" s="196" t="s">
        <v>91</v>
      </c>
      <c r="AI6" s="655"/>
      <c r="AJ6" s="196" t="s">
        <v>96</v>
      </c>
      <c r="AK6" s="196" t="s">
        <v>97</v>
      </c>
      <c r="AL6" s="196" t="s">
        <v>98</v>
      </c>
      <c r="AM6" s="196" t="s">
        <v>91</v>
      </c>
      <c r="AN6" s="655"/>
      <c r="AO6" s="196" t="s">
        <v>96</v>
      </c>
      <c r="AP6" s="196" t="s">
        <v>97</v>
      </c>
      <c r="AQ6" s="196" t="s">
        <v>98</v>
      </c>
      <c r="AR6" s="196" t="s">
        <v>91</v>
      </c>
      <c r="AS6" s="655"/>
      <c r="AT6" s="196" t="s">
        <v>96</v>
      </c>
      <c r="AU6" s="196" t="s">
        <v>97</v>
      </c>
      <c r="AV6" s="196" t="s">
        <v>98</v>
      </c>
      <c r="AW6" s="196" t="s">
        <v>91</v>
      </c>
      <c r="AX6" s="655"/>
    </row>
    <row r="7" spans="1:50" ht="13.5">
      <c r="A7" s="190"/>
      <c r="B7" s="655" t="s">
        <v>76</v>
      </c>
      <c r="C7" s="197">
        <v>1</v>
      </c>
      <c r="D7" s="201" t="s">
        <v>99</v>
      </c>
      <c r="E7" s="198">
        <f>VLOOKUP(D7,'07產線配置圖'!$A$27:$C$34,2,0)</f>
        <v>15</v>
      </c>
      <c r="F7" s="198">
        <f>VLOOKUP(D7,'07產線配置圖'!$A$27:$C$34,3,0)</f>
        <v>1636</v>
      </c>
      <c r="G7" s="199">
        <f t="shared" ref="G7:G9" si="0">F7/E7</f>
        <v>109.06666666666666</v>
      </c>
      <c r="H7" s="657">
        <f>AVERAGE(G7:G21)</f>
        <v>138.81212121212121</v>
      </c>
      <c r="I7" s="198">
        <f>AVERAGE(P7,U7,Z7,AE7,AJ7,AO7,AT7)</f>
        <v>15</v>
      </c>
      <c r="J7" s="198">
        <f>AVERAGE(Q7,V7,AA7,AF7,AK7,AP7,AU7)</f>
        <v>1523.6666666666667</v>
      </c>
      <c r="K7" s="199">
        <f>J7/I7</f>
        <v>101.57777777777778</v>
      </c>
      <c r="L7" s="657">
        <f>IFERROR(AVERAGE(K7:K21),"-")</f>
        <v>127.14392197840473</v>
      </c>
      <c r="M7" s="200">
        <f>RANK(K7,$K$7:$K$21)</f>
        <v>4</v>
      </c>
      <c r="N7" s="655"/>
      <c r="O7" s="655"/>
      <c r="P7" s="198"/>
      <c r="Q7" s="198"/>
      <c r="R7" s="199" t="e">
        <f>Q7/P7</f>
        <v>#DIV/0!</v>
      </c>
      <c r="S7" s="197" t="e">
        <f>RANK(R7, R$7:R$21)</f>
        <v>#DIV/0!</v>
      </c>
      <c r="T7" s="668" t="e">
        <f>AVERAGE(R7:R21)</f>
        <v>#DIV/0!</v>
      </c>
      <c r="U7" s="198"/>
      <c r="V7" s="198"/>
      <c r="W7" s="199" t="e">
        <f>V7/U7</f>
        <v>#DIV/0!</v>
      </c>
      <c r="X7" s="197" t="e">
        <f>RANK(W7,$W$7:$W$21)</f>
        <v>#DIV/0!</v>
      </c>
      <c r="Y7" s="668" t="e">
        <f>AVERAGE(W7:W21)</f>
        <v>#DIV/0!</v>
      </c>
      <c r="Z7" s="198"/>
      <c r="AA7" s="198"/>
      <c r="AB7" s="199" t="e">
        <f>AA7/Z7</f>
        <v>#DIV/0!</v>
      </c>
      <c r="AC7" s="197" t="e">
        <f>RANK(AB7,$AB$7:$AB$21)</f>
        <v>#DIV/0!</v>
      </c>
      <c r="AD7" s="668" t="e">
        <f>AVERAGE(AB7:AB21)</f>
        <v>#DIV/0!</v>
      </c>
      <c r="AE7" s="198"/>
      <c r="AF7" s="198"/>
      <c r="AG7" s="199" t="e">
        <f>AF7/AE7</f>
        <v>#DIV/0!</v>
      </c>
      <c r="AH7" s="197" t="e">
        <f>RANK(AG7,$AG$7:$AG$21)</f>
        <v>#DIV/0!</v>
      </c>
      <c r="AI7" s="668" t="e">
        <f>AVERAGE(AG7:AG21)</f>
        <v>#DIV/0!</v>
      </c>
      <c r="AJ7" s="198">
        <v>15</v>
      </c>
      <c r="AK7" s="198">
        <v>1512</v>
      </c>
      <c r="AL7" s="330">
        <f>AK7/AJ7</f>
        <v>100.8</v>
      </c>
      <c r="AM7" s="197">
        <f>RANK(AL7,$AL$7:$AL$21)</f>
        <v>4</v>
      </c>
      <c r="AN7" s="668">
        <f>AVERAGE(AL7:AL21)</f>
        <v>133.1431818181818</v>
      </c>
      <c r="AO7" s="198">
        <v>15</v>
      </c>
      <c r="AP7" s="198">
        <v>1517</v>
      </c>
      <c r="AQ7" s="199">
        <f>AP7/AO7</f>
        <v>101.13333333333334</v>
      </c>
      <c r="AR7" s="197">
        <f>RANK(AQ7,$AQ$7:$AQ$21)</f>
        <v>4</v>
      </c>
      <c r="AS7" s="668">
        <f>AVERAGE(AQ7:AQ21)</f>
        <v>127.19469696969699</v>
      </c>
      <c r="AT7" s="198">
        <v>15</v>
      </c>
      <c r="AU7" s="198">
        <v>1542</v>
      </c>
      <c r="AV7" s="199">
        <f>AU7/AT7</f>
        <v>102.8</v>
      </c>
      <c r="AW7" s="197">
        <f>RANK(AV7,$AV$7:$AV$10)</f>
        <v>4</v>
      </c>
      <c r="AX7" s="668">
        <f>AVERAGE(AV7:AV21)</f>
        <v>121.8590909090909</v>
      </c>
    </row>
    <row r="8" spans="1:50" ht="15" customHeight="1">
      <c r="A8" s="190"/>
      <c r="B8" s="656"/>
      <c r="C8" s="197">
        <v>2</v>
      </c>
      <c r="D8" s="201" t="s">
        <v>100</v>
      </c>
      <c r="E8" s="198">
        <f>VLOOKUP(D8,'07產線配置圖'!$A$27:$C$34,2,0)</f>
        <v>11</v>
      </c>
      <c r="F8" s="198">
        <f>VLOOKUP(D8,'07產線配置圖'!$A$27:$C$34,3,0)</f>
        <v>1636</v>
      </c>
      <c r="G8" s="199">
        <f t="shared" si="0"/>
        <v>148.72727272727272</v>
      </c>
      <c r="H8" s="658"/>
      <c r="I8" s="198">
        <f t="shared" ref="I8:I10" si="1">AVERAGE(P8,U8,Z8,AE8,AJ8,AO8,AT8)</f>
        <v>11</v>
      </c>
      <c r="J8" s="198">
        <f t="shared" ref="J8:J10" si="2">AVERAGE(Q8,V8,AA8,AF8,AK8,AP8,AU8)</f>
        <v>1567.6666666666667</v>
      </c>
      <c r="K8" s="199">
        <f t="shared" ref="K8:K10" si="3">J8/I8</f>
        <v>142.51515151515153</v>
      </c>
      <c r="L8" s="658"/>
      <c r="M8" s="200">
        <f t="shared" ref="M8:M10" si="4">RANK(K8,$K$7:$K$21)</f>
        <v>1</v>
      </c>
      <c r="N8" s="655"/>
      <c r="O8" s="655"/>
      <c r="P8" s="198"/>
      <c r="Q8" s="198"/>
      <c r="R8" s="199" t="e">
        <f t="shared" ref="R8:R10" si="5">Q8/P8</f>
        <v>#DIV/0!</v>
      </c>
      <c r="S8" s="197" t="e">
        <f t="shared" ref="S8:S10" si="6">RANK(R8, R$7:R$21)</f>
        <v>#DIV/0!</v>
      </c>
      <c r="T8" s="668"/>
      <c r="U8" s="198"/>
      <c r="V8" s="198"/>
      <c r="W8" s="199" t="e">
        <f t="shared" ref="W8:W9" si="7">V8/U8</f>
        <v>#DIV/0!</v>
      </c>
      <c r="X8" s="197" t="e">
        <f t="shared" ref="X8:X9" si="8">RANK(W8,$W$7:$W$21)</f>
        <v>#DIV/0!</v>
      </c>
      <c r="Y8" s="668"/>
      <c r="Z8" s="198"/>
      <c r="AA8" s="198"/>
      <c r="AB8" s="199" t="e">
        <f t="shared" ref="AB8:AB9" si="9">AA8/Z8</f>
        <v>#DIV/0!</v>
      </c>
      <c r="AC8" s="197" t="e">
        <f t="shared" ref="AC8:AC9" si="10">RANK(AB8,$AB$7:$AB$21)</f>
        <v>#DIV/0!</v>
      </c>
      <c r="AD8" s="668"/>
      <c r="AE8" s="198"/>
      <c r="AF8" s="198"/>
      <c r="AG8" s="199" t="e">
        <f>AF8/AE8</f>
        <v>#DIV/0!</v>
      </c>
      <c r="AH8" s="197" t="e">
        <f>RANK(AG8,$AG$7:$AG$21)</f>
        <v>#DIV/0!</v>
      </c>
      <c r="AI8" s="668"/>
      <c r="AJ8" s="198">
        <v>11</v>
      </c>
      <c r="AK8" s="198">
        <v>1622</v>
      </c>
      <c r="AL8" s="330">
        <f t="shared" ref="AL8:AL10" si="11">AK8/AJ8</f>
        <v>147.45454545454547</v>
      </c>
      <c r="AM8" s="197">
        <f t="shared" ref="AM8:AM10" si="12">RANK(AL8,$AL$7:$AL$21)</f>
        <v>1</v>
      </c>
      <c r="AN8" s="668"/>
      <c r="AO8" s="198">
        <v>11</v>
      </c>
      <c r="AP8" s="198">
        <v>1532</v>
      </c>
      <c r="AQ8" s="199">
        <f t="shared" ref="AQ8:AQ10" si="13">AP8/AO8</f>
        <v>139.27272727272728</v>
      </c>
      <c r="AR8" s="197">
        <f t="shared" ref="AR8:AR10" si="14">RANK(AQ8,$AQ$7:$AQ$21)</f>
        <v>1</v>
      </c>
      <c r="AS8" s="668"/>
      <c r="AT8" s="198">
        <v>11</v>
      </c>
      <c r="AU8" s="198">
        <v>1549</v>
      </c>
      <c r="AV8" s="199">
        <f t="shared" ref="AV8:AV10" si="15">AU8/AT8</f>
        <v>140.81818181818181</v>
      </c>
      <c r="AW8" s="197">
        <f t="shared" ref="AW8:AW10" si="16">RANK(AV8,$AV$7:$AV$10)</f>
        <v>1</v>
      </c>
      <c r="AX8" s="668"/>
    </row>
    <row r="9" spans="1:50" ht="13.5">
      <c r="A9" s="190"/>
      <c r="B9" s="656"/>
      <c r="C9" s="197">
        <v>3</v>
      </c>
      <c r="D9" s="201" t="s">
        <v>101</v>
      </c>
      <c r="E9" s="198">
        <f>VLOOKUP(D9,'07產線配置圖'!$A$27:$C$34,2,0)</f>
        <v>11</v>
      </c>
      <c r="F9" s="198">
        <f>VLOOKUP(D9,'07產線配置圖'!$A$27:$C$34,3,0)</f>
        <v>1636</v>
      </c>
      <c r="G9" s="199">
        <f t="shared" si="0"/>
        <v>148.72727272727272</v>
      </c>
      <c r="H9" s="658"/>
      <c r="I9" s="198">
        <f t="shared" si="1"/>
        <v>11</v>
      </c>
      <c r="J9" s="198">
        <f t="shared" si="2"/>
        <v>1452</v>
      </c>
      <c r="K9" s="199">
        <f t="shared" si="3"/>
        <v>132</v>
      </c>
      <c r="L9" s="658"/>
      <c r="M9" s="200">
        <f t="shared" si="4"/>
        <v>3</v>
      </c>
      <c r="N9" s="655"/>
      <c r="O9" s="655"/>
      <c r="P9" s="198"/>
      <c r="Q9" s="198"/>
      <c r="R9" s="199" t="e">
        <f t="shared" si="5"/>
        <v>#DIV/0!</v>
      </c>
      <c r="S9" s="197" t="e">
        <f t="shared" si="6"/>
        <v>#DIV/0!</v>
      </c>
      <c r="T9" s="668"/>
      <c r="U9" s="198"/>
      <c r="V9" s="198"/>
      <c r="W9" s="199" t="e">
        <f t="shared" si="7"/>
        <v>#DIV/0!</v>
      </c>
      <c r="X9" s="197" t="e">
        <f t="shared" si="8"/>
        <v>#DIV/0!</v>
      </c>
      <c r="Y9" s="668"/>
      <c r="Z9" s="198"/>
      <c r="AA9" s="198"/>
      <c r="AB9" s="199" t="e">
        <f t="shared" si="9"/>
        <v>#DIV/0!</v>
      </c>
      <c r="AC9" s="197" t="e">
        <f t="shared" si="10"/>
        <v>#DIV/0!</v>
      </c>
      <c r="AD9" s="668"/>
      <c r="AE9" s="198"/>
      <c r="AF9" s="198"/>
      <c r="AG9" s="199" t="e">
        <f t="shared" ref="AG9:AG10" si="17">AF9/AE9</f>
        <v>#DIV/0!</v>
      </c>
      <c r="AH9" s="197" t="e">
        <f t="shared" ref="AH9:AH10" si="18">RANK(AG9,$AG$7:$AG$21)</f>
        <v>#DIV/0!</v>
      </c>
      <c r="AI9" s="668"/>
      <c r="AJ9" s="198">
        <v>11</v>
      </c>
      <c r="AK9" s="198">
        <v>1560</v>
      </c>
      <c r="AL9" s="330">
        <f t="shared" si="11"/>
        <v>141.81818181818181</v>
      </c>
      <c r="AM9" s="197">
        <f t="shared" si="12"/>
        <v>3</v>
      </c>
      <c r="AN9" s="668"/>
      <c r="AO9" s="198">
        <v>11</v>
      </c>
      <c r="AP9" s="198">
        <v>1455</v>
      </c>
      <c r="AQ9" s="199">
        <f t="shared" si="13"/>
        <v>132.27272727272728</v>
      </c>
      <c r="AR9" s="197">
        <f t="shared" si="14"/>
        <v>3</v>
      </c>
      <c r="AS9" s="668"/>
      <c r="AT9" s="198">
        <v>11</v>
      </c>
      <c r="AU9" s="198">
        <v>1341</v>
      </c>
      <c r="AV9" s="199">
        <f t="shared" si="15"/>
        <v>121.90909090909091</v>
      </c>
      <c r="AW9" s="197">
        <f t="shared" si="16"/>
        <v>2</v>
      </c>
      <c r="AX9" s="668"/>
    </row>
    <row r="10" spans="1:50" ht="13.5">
      <c r="A10" s="190"/>
      <c r="B10" s="656"/>
      <c r="C10" s="197">
        <v>4</v>
      </c>
      <c r="D10" s="201" t="s">
        <v>102</v>
      </c>
      <c r="E10" s="198">
        <f>VLOOKUP(D10,'07產線配置圖'!$A$27:$C$34,2,0)</f>
        <v>11</v>
      </c>
      <c r="F10" s="198">
        <f>VLOOKUP(D10,'07產線配置圖'!$A$27:$C$34,3,0)</f>
        <v>1636</v>
      </c>
      <c r="G10" s="199">
        <f>F10/E10</f>
        <v>148.72727272727272</v>
      </c>
      <c r="H10" s="658"/>
      <c r="I10" s="198">
        <f t="shared" si="1"/>
        <v>9.6666666666666661</v>
      </c>
      <c r="J10" s="198">
        <f t="shared" si="2"/>
        <v>1280.6666666666667</v>
      </c>
      <c r="K10" s="199">
        <f t="shared" si="3"/>
        <v>132.48275862068968</v>
      </c>
      <c r="L10" s="658"/>
      <c r="M10" s="200">
        <f t="shared" si="4"/>
        <v>2</v>
      </c>
      <c r="N10" s="655"/>
      <c r="O10" s="655"/>
      <c r="P10" s="198"/>
      <c r="Q10" s="198"/>
      <c r="R10" s="199" t="e">
        <f t="shared" si="5"/>
        <v>#DIV/0!</v>
      </c>
      <c r="S10" s="197" t="e">
        <f t="shared" si="6"/>
        <v>#DIV/0!</v>
      </c>
      <c r="T10" s="668"/>
      <c r="U10" s="198"/>
      <c r="V10" s="198"/>
      <c r="W10" s="199" t="e">
        <f>V10/U10</f>
        <v>#DIV/0!</v>
      </c>
      <c r="X10" s="197" t="e">
        <f>RANK(W10,$W$7:$W$21)</f>
        <v>#DIV/0!</v>
      </c>
      <c r="Y10" s="668"/>
      <c r="Z10" s="198"/>
      <c r="AA10" s="198"/>
      <c r="AB10" s="199" t="e">
        <f>AA10/Z10</f>
        <v>#DIV/0!</v>
      </c>
      <c r="AC10" s="197" t="e">
        <f>RANK(AB10,$AB$7:$AB$21)</f>
        <v>#DIV/0!</v>
      </c>
      <c r="AD10" s="668"/>
      <c r="AE10" s="198"/>
      <c r="AF10" s="198"/>
      <c r="AG10" s="199" t="e">
        <f t="shared" si="17"/>
        <v>#DIV/0!</v>
      </c>
      <c r="AH10" s="197" t="e">
        <f t="shared" si="18"/>
        <v>#DIV/0!</v>
      </c>
      <c r="AI10" s="668"/>
      <c r="AJ10" s="198">
        <v>8</v>
      </c>
      <c r="AK10" s="198">
        <v>1140</v>
      </c>
      <c r="AL10" s="330">
        <f t="shared" si="11"/>
        <v>142.5</v>
      </c>
      <c r="AM10" s="197">
        <f t="shared" si="12"/>
        <v>2</v>
      </c>
      <c r="AN10" s="668"/>
      <c r="AO10" s="198">
        <v>10</v>
      </c>
      <c r="AP10" s="198">
        <v>1361</v>
      </c>
      <c r="AQ10" s="199">
        <f t="shared" si="13"/>
        <v>136.1</v>
      </c>
      <c r="AR10" s="197">
        <f t="shared" si="14"/>
        <v>2</v>
      </c>
      <c r="AS10" s="668"/>
      <c r="AT10" s="198">
        <v>11</v>
      </c>
      <c r="AU10" s="198">
        <v>1341</v>
      </c>
      <c r="AV10" s="199">
        <f t="shared" si="15"/>
        <v>121.90909090909091</v>
      </c>
      <c r="AW10" s="197">
        <f t="shared" si="16"/>
        <v>2</v>
      </c>
      <c r="AX10" s="668"/>
    </row>
    <row r="11" spans="1:50" ht="13.5">
      <c r="A11" s="190"/>
      <c r="B11" s="656"/>
      <c r="C11" s="197">
        <v>5</v>
      </c>
      <c r="D11" s="201"/>
      <c r="E11" s="198"/>
      <c r="F11" s="198"/>
      <c r="G11" s="199"/>
      <c r="H11" s="658"/>
      <c r="I11" s="198"/>
      <c r="J11" s="198"/>
      <c r="K11" s="199"/>
      <c r="L11" s="658"/>
      <c r="M11" s="200"/>
      <c r="N11" s="655"/>
      <c r="O11" s="655"/>
      <c r="P11" s="379"/>
      <c r="Q11" s="379"/>
      <c r="R11" s="199"/>
      <c r="S11" s="197"/>
      <c r="T11" s="668"/>
      <c r="U11" s="198"/>
      <c r="V11" s="198"/>
      <c r="W11" s="199"/>
      <c r="X11" s="197"/>
      <c r="Y11" s="668"/>
      <c r="Z11" s="198"/>
      <c r="AA11" s="198"/>
      <c r="AB11" s="199"/>
      <c r="AC11" s="197"/>
      <c r="AD11" s="668"/>
      <c r="AE11" s="198"/>
      <c r="AF11" s="198"/>
      <c r="AG11" s="197"/>
      <c r="AH11" s="197"/>
      <c r="AI11" s="668"/>
      <c r="AJ11" s="198"/>
      <c r="AK11" s="198"/>
      <c r="AL11" s="197"/>
      <c r="AM11" s="197"/>
      <c r="AN11" s="668"/>
      <c r="AO11" s="198"/>
      <c r="AP11" s="198"/>
      <c r="AQ11" s="197"/>
      <c r="AR11" s="197"/>
      <c r="AS11" s="668"/>
      <c r="AT11" s="198"/>
      <c r="AU11" s="198"/>
      <c r="AV11" s="197"/>
      <c r="AW11" s="197"/>
      <c r="AX11" s="668"/>
    </row>
    <row r="12" spans="1:50" ht="13.5">
      <c r="A12" s="190"/>
      <c r="B12" s="656"/>
      <c r="C12" s="197">
        <v>6</v>
      </c>
      <c r="D12" s="201"/>
      <c r="E12" s="198"/>
      <c r="F12" s="198"/>
      <c r="G12" s="199"/>
      <c r="H12" s="658"/>
      <c r="I12" s="198"/>
      <c r="J12" s="198"/>
      <c r="K12" s="199"/>
      <c r="L12" s="658"/>
      <c r="M12" s="200"/>
      <c r="N12" s="655"/>
      <c r="O12" s="655"/>
      <c r="P12" s="379"/>
      <c r="Q12" s="379"/>
      <c r="R12" s="199"/>
      <c r="S12" s="197"/>
      <c r="T12" s="668"/>
      <c r="U12" s="198"/>
      <c r="V12" s="198"/>
      <c r="W12" s="199"/>
      <c r="X12" s="197"/>
      <c r="Y12" s="668"/>
      <c r="Z12" s="198"/>
      <c r="AA12" s="198"/>
      <c r="AB12" s="199"/>
      <c r="AC12" s="197"/>
      <c r="AD12" s="668"/>
      <c r="AE12" s="198"/>
      <c r="AF12" s="198"/>
      <c r="AG12" s="197"/>
      <c r="AH12" s="197"/>
      <c r="AI12" s="668"/>
      <c r="AJ12" s="198"/>
      <c r="AK12" s="198"/>
      <c r="AL12" s="197"/>
      <c r="AM12" s="197"/>
      <c r="AN12" s="668"/>
      <c r="AO12" s="198"/>
      <c r="AP12" s="198"/>
      <c r="AQ12" s="197"/>
      <c r="AR12" s="197"/>
      <c r="AS12" s="668"/>
      <c r="AT12" s="198"/>
      <c r="AU12" s="198"/>
      <c r="AV12" s="197"/>
      <c r="AW12" s="197"/>
      <c r="AX12" s="668"/>
    </row>
    <row r="13" spans="1:50" ht="13.5">
      <c r="A13" s="190"/>
      <c r="B13" s="656"/>
      <c r="C13" s="197">
        <v>7</v>
      </c>
      <c r="D13" s="201"/>
      <c r="E13" s="198"/>
      <c r="F13" s="198"/>
      <c r="G13" s="199"/>
      <c r="H13" s="658"/>
      <c r="I13" s="198"/>
      <c r="J13" s="198"/>
      <c r="K13" s="199"/>
      <c r="L13" s="658"/>
      <c r="M13" s="200"/>
      <c r="N13" s="655"/>
      <c r="O13" s="655"/>
      <c r="P13" s="379"/>
      <c r="Q13" s="379"/>
      <c r="R13" s="199"/>
      <c r="S13" s="197"/>
      <c r="T13" s="668"/>
      <c r="U13" s="198"/>
      <c r="V13" s="198"/>
      <c r="W13" s="199"/>
      <c r="X13" s="197"/>
      <c r="Y13" s="668"/>
      <c r="Z13" s="198"/>
      <c r="AA13" s="198"/>
      <c r="AB13" s="199"/>
      <c r="AC13" s="197"/>
      <c r="AD13" s="668"/>
      <c r="AE13" s="198"/>
      <c r="AF13" s="198"/>
      <c r="AG13" s="197"/>
      <c r="AH13" s="197"/>
      <c r="AI13" s="668"/>
      <c r="AJ13" s="198"/>
      <c r="AK13" s="198"/>
      <c r="AL13" s="197"/>
      <c r="AM13" s="197"/>
      <c r="AN13" s="668"/>
      <c r="AO13" s="198"/>
      <c r="AP13" s="198"/>
      <c r="AQ13" s="197"/>
      <c r="AR13" s="197"/>
      <c r="AS13" s="668"/>
      <c r="AT13" s="198"/>
      <c r="AU13" s="198"/>
      <c r="AV13" s="197"/>
      <c r="AW13" s="197"/>
      <c r="AX13" s="668"/>
    </row>
    <row r="14" spans="1:50" ht="13.5">
      <c r="A14" s="190"/>
      <c r="B14" s="656"/>
      <c r="C14" s="197">
        <v>8</v>
      </c>
      <c r="D14" s="201"/>
      <c r="E14" s="198"/>
      <c r="F14" s="198"/>
      <c r="G14" s="199"/>
      <c r="H14" s="658"/>
      <c r="I14" s="198"/>
      <c r="J14" s="198"/>
      <c r="K14" s="199"/>
      <c r="L14" s="658"/>
      <c r="M14" s="200"/>
      <c r="N14" s="655"/>
      <c r="O14" s="655"/>
      <c r="P14" s="379"/>
      <c r="Q14" s="379"/>
      <c r="R14" s="199"/>
      <c r="S14" s="197"/>
      <c r="T14" s="668"/>
      <c r="U14" s="198"/>
      <c r="V14" s="198"/>
      <c r="W14" s="199"/>
      <c r="X14" s="197"/>
      <c r="Y14" s="668"/>
      <c r="Z14" s="198"/>
      <c r="AA14" s="198"/>
      <c r="AB14" s="199"/>
      <c r="AC14" s="197"/>
      <c r="AD14" s="668"/>
      <c r="AE14" s="198"/>
      <c r="AF14" s="198"/>
      <c r="AG14" s="197"/>
      <c r="AH14" s="197"/>
      <c r="AI14" s="668"/>
      <c r="AJ14" s="198"/>
      <c r="AK14" s="198"/>
      <c r="AL14" s="197"/>
      <c r="AM14" s="197"/>
      <c r="AN14" s="668"/>
      <c r="AO14" s="198"/>
      <c r="AP14" s="198"/>
      <c r="AQ14" s="197"/>
      <c r="AR14" s="197"/>
      <c r="AS14" s="668"/>
      <c r="AT14" s="198"/>
      <c r="AU14" s="198"/>
      <c r="AV14" s="197"/>
      <c r="AW14" s="197"/>
      <c r="AX14" s="668"/>
    </row>
    <row r="15" spans="1:50" ht="13.5">
      <c r="A15" s="190"/>
      <c r="B15" s="656"/>
      <c r="C15" s="197">
        <v>9</v>
      </c>
      <c r="D15" s="201"/>
      <c r="E15" s="198"/>
      <c r="F15" s="198"/>
      <c r="G15" s="199"/>
      <c r="H15" s="658"/>
      <c r="I15" s="198"/>
      <c r="J15" s="198"/>
      <c r="K15" s="199"/>
      <c r="L15" s="658"/>
      <c r="M15" s="200"/>
      <c r="N15" s="655"/>
      <c r="O15" s="655"/>
      <c r="P15" s="379"/>
      <c r="Q15" s="379"/>
      <c r="R15" s="199"/>
      <c r="S15" s="197"/>
      <c r="T15" s="668"/>
      <c r="U15" s="198"/>
      <c r="V15" s="198"/>
      <c r="W15" s="199"/>
      <c r="X15" s="197"/>
      <c r="Y15" s="668"/>
      <c r="Z15" s="198"/>
      <c r="AA15" s="198"/>
      <c r="AB15" s="199"/>
      <c r="AC15" s="197"/>
      <c r="AD15" s="668"/>
      <c r="AE15" s="198"/>
      <c r="AF15" s="198"/>
      <c r="AG15" s="197"/>
      <c r="AH15" s="197"/>
      <c r="AI15" s="668"/>
      <c r="AJ15" s="198"/>
      <c r="AK15" s="198"/>
      <c r="AL15" s="197"/>
      <c r="AM15" s="197"/>
      <c r="AN15" s="668"/>
      <c r="AO15" s="198"/>
      <c r="AP15" s="198"/>
      <c r="AQ15" s="197"/>
      <c r="AR15" s="197"/>
      <c r="AS15" s="668"/>
      <c r="AT15" s="198"/>
      <c r="AU15" s="198"/>
      <c r="AV15" s="197"/>
      <c r="AW15" s="197"/>
      <c r="AX15" s="668"/>
    </row>
    <row r="16" spans="1:50" ht="13.5">
      <c r="A16" s="190"/>
      <c r="B16" s="656"/>
      <c r="C16" s="197">
        <v>10</v>
      </c>
      <c r="D16" s="201"/>
      <c r="E16" s="198"/>
      <c r="F16" s="198"/>
      <c r="G16" s="199"/>
      <c r="H16" s="658"/>
      <c r="I16" s="198"/>
      <c r="J16" s="198"/>
      <c r="K16" s="199"/>
      <c r="L16" s="658"/>
      <c r="M16" s="200"/>
      <c r="N16" s="655"/>
      <c r="O16" s="655"/>
      <c r="P16" s="379"/>
      <c r="Q16" s="379"/>
      <c r="R16" s="199"/>
      <c r="S16" s="197"/>
      <c r="T16" s="668"/>
      <c r="U16" s="198"/>
      <c r="V16" s="198"/>
      <c r="W16" s="199"/>
      <c r="X16" s="197"/>
      <c r="Y16" s="668"/>
      <c r="Z16" s="198"/>
      <c r="AA16" s="198"/>
      <c r="AB16" s="199"/>
      <c r="AC16" s="197"/>
      <c r="AD16" s="668"/>
      <c r="AE16" s="198"/>
      <c r="AF16" s="198"/>
      <c r="AG16" s="197"/>
      <c r="AH16" s="197"/>
      <c r="AI16" s="668"/>
      <c r="AJ16" s="198"/>
      <c r="AK16" s="198"/>
      <c r="AL16" s="197"/>
      <c r="AM16" s="197"/>
      <c r="AN16" s="668"/>
      <c r="AO16" s="198"/>
      <c r="AP16" s="198"/>
      <c r="AQ16" s="197"/>
      <c r="AR16" s="197"/>
      <c r="AS16" s="668"/>
      <c r="AT16" s="198"/>
      <c r="AU16" s="198"/>
      <c r="AV16" s="197"/>
      <c r="AW16" s="197"/>
      <c r="AX16" s="668"/>
    </row>
    <row r="17" spans="2:50" ht="13.5">
      <c r="B17" s="656"/>
      <c r="C17" s="197">
        <v>11</v>
      </c>
      <c r="D17" s="201"/>
      <c r="E17" s="198"/>
      <c r="F17" s="198"/>
      <c r="G17" s="199"/>
      <c r="H17" s="658"/>
      <c r="I17" s="198"/>
      <c r="J17" s="198"/>
      <c r="K17" s="199"/>
      <c r="L17" s="658"/>
      <c r="M17" s="200"/>
      <c r="N17" s="655"/>
      <c r="O17" s="655"/>
      <c r="P17" s="377"/>
      <c r="Q17" s="377"/>
      <c r="R17" s="199"/>
      <c r="S17" s="197"/>
      <c r="T17" s="668"/>
      <c r="U17" s="197"/>
      <c r="V17" s="197"/>
      <c r="W17" s="199"/>
      <c r="X17" s="197"/>
      <c r="Y17" s="668"/>
      <c r="Z17" s="197"/>
      <c r="AA17" s="197"/>
      <c r="AB17" s="199"/>
      <c r="AC17" s="197"/>
      <c r="AD17" s="668"/>
      <c r="AE17" s="197"/>
      <c r="AF17" s="197"/>
      <c r="AG17" s="197"/>
      <c r="AH17" s="197"/>
      <c r="AI17" s="668"/>
      <c r="AJ17" s="197"/>
      <c r="AK17" s="197"/>
      <c r="AL17" s="197"/>
      <c r="AM17" s="197"/>
      <c r="AN17" s="668"/>
      <c r="AO17" s="197"/>
      <c r="AP17" s="197"/>
      <c r="AQ17" s="197"/>
      <c r="AR17" s="197"/>
      <c r="AS17" s="668"/>
      <c r="AT17" s="197"/>
      <c r="AU17" s="197"/>
      <c r="AV17" s="197"/>
      <c r="AW17" s="197"/>
      <c r="AX17" s="668"/>
    </row>
    <row r="18" spans="2:50" ht="13.5">
      <c r="B18" s="656"/>
      <c r="C18" s="197">
        <v>12</v>
      </c>
      <c r="D18" s="201"/>
      <c r="E18" s="198"/>
      <c r="F18" s="198"/>
      <c r="G18" s="199"/>
      <c r="H18" s="658"/>
      <c r="I18" s="198"/>
      <c r="J18" s="198"/>
      <c r="K18" s="199"/>
      <c r="L18" s="658"/>
      <c r="M18" s="200"/>
      <c r="N18" s="655"/>
      <c r="O18" s="655"/>
      <c r="P18" s="377"/>
      <c r="Q18" s="377"/>
      <c r="R18" s="199"/>
      <c r="S18" s="197"/>
      <c r="T18" s="668"/>
      <c r="U18" s="197"/>
      <c r="V18" s="197"/>
      <c r="W18" s="199"/>
      <c r="X18" s="197"/>
      <c r="Y18" s="668"/>
      <c r="Z18" s="197"/>
      <c r="AA18" s="197"/>
      <c r="AB18" s="199"/>
      <c r="AC18" s="197"/>
      <c r="AD18" s="668"/>
      <c r="AE18" s="197"/>
      <c r="AF18" s="197"/>
      <c r="AG18" s="197"/>
      <c r="AH18" s="197"/>
      <c r="AI18" s="668"/>
      <c r="AJ18" s="197"/>
      <c r="AK18" s="197"/>
      <c r="AL18" s="197"/>
      <c r="AM18" s="197"/>
      <c r="AN18" s="668"/>
      <c r="AO18" s="197"/>
      <c r="AP18" s="197"/>
      <c r="AQ18" s="197"/>
      <c r="AR18" s="197"/>
      <c r="AS18" s="668"/>
      <c r="AT18" s="197"/>
      <c r="AU18" s="197"/>
      <c r="AV18" s="197"/>
      <c r="AW18" s="197"/>
      <c r="AX18" s="668"/>
    </row>
    <row r="19" spans="2:50" ht="13.5">
      <c r="B19" s="656"/>
      <c r="C19" s="197">
        <v>13</v>
      </c>
      <c r="D19" s="201"/>
      <c r="E19" s="198"/>
      <c r="F19" s="198"/>
      <c r="G19" s="199"/>
      <c r="H19" s="658"/>
      <c r="I19" s="198"/>
      <c r="J19" s="198"/>
      <c r="K19" s="199"/>
      <c r="L19" s="658"/>
      <c r="M19" s="200"/>
      <c r="N19" s="655"/>
      <c r="O19" s="655"/>
      <c r="P19" s="377"/>
      <c r="Q19" s="377"/>
      <c r="R19" s="199"/>
      <c r="S19" s="197"/>
      <c r="T19" s="668"/>
      <c r="U19" s="197"/>
      <c r="V19" s="197"/>
      <c r="W19" s="199"/>
      <c r="X19" s="197"/>
      <c r="Y19" s="668"/>
      <c r="Z19" s="197"/>
      <c r="AA19" s="197"/>
      <c r="AB19" s="199"/>
      <c r="AC19" s="197"/>
      <c r="AD19" s="668"/>
      <c r="AE19" s="197"/>
      <c r="AF19" s="197"/>
      <c r="AG19" s="197"/>
      <c r="AH19" s="197"/>
      <c r="AI19" s="668"/>
      <c r="AJ19" s="197"/>
      <c r="AK19" s="197"/>
      <c r="AL19" s="197"/>
      <c r="AM19" s="197"/>
      <c r="AN19" s="668"/>
      <c r="AO19" s="197"/>
      <c r="AP19" s="197"/>
      <c r="AQ19" s="197"/>
      <c r="AR19" s="197"/>
      <c r="AS19" s="668"/>
      <c r="AT19" s="197"/>
      <c r="AU19" s="197"/>
      <c r="AV19" s="197"/>
      <c r="AW19" s="197"/>
      <c r="AX19" s="668"/>
    </row>
    <row r="20" spans="2:50" ht="13.5">
      <c r="B20" s="656"/>
      <c r="C20" s="197">
        <v>14</v>
      </c>
      <c r="D20" s="201"/>
      <c r="E20" s="198"/>
      <c r="F20" s="198"/>
      <c r="G20" s="199"/>
      <c r="H20" s="658"/>
      <c r="I20" s="198"/>
      <c r="J20" s="198"/>
      <c r="K20" s="199"/>
      <c r="L20" s="658"/>
      <c r="M20" s="200"/>
      <c r="N20" s="655"/>
      <c r="O20" s="655"/>
      <c r="P20" s="377"/>
      <c r="Q20" s="377"/>
      <c r="R20" s="199"/>
      <c r="S20" s="197"/>
      <c r="T20" s="668"/>
      <c r="U20" s="197"/>
      <c r="V20" s="197"/>
      <c r="W20" s="199"/>
      <c r="X20" s="197"/>
      <c r="Y20" s="668"/>
      <c r="Z20" s="197"/>
      <c r="AA20" s="197"/>
      <c r="AB20" s="199"/>
      <c r="AC20" s="197"/>
      <c r="AD20" s="668"/>
      <c r="AE20" s="197"/>
      <c r="AF20" s="197"/>
      <c r="AG20" s="197"/>
      <c r="AH20" s="197"/>
      <c r="AI20" s="668"/>
      <c r="AJ20" s="197"/>
      <c r="AK20" s="197"/>
      <c r="AL20" s="197"/>
      <c r="AM20" s="197"/>
      <c r="AN20" s="668"/>
      <c r="AO20" s="197"/>
      <c r="AP20" s="197"/>
      <c r="AQ20" s="197"/>
      <c r="AR20" s="197"/>
      <c r="AS20" s="668"/>
      <c r="AT20" s="197"/>
      <c r="AU20" s="197"/>
      <c r="AV20" s="197"/>
      <c r="AW20" s="197"/>
      <c r="AX20" s="668"/>
    </row>
    <row r="21" spans="2:50" ht="13.5">
      <c r="B21" s="656"/>
      <c r="C21" s="197">
        <v>15</v>
      </c>
      <c r="D21" s="201"/>
      <c r="E21" s="198"/>
      <c r="F21" s="198"/>
      <c r="G21" s="199"/>
      <c r="H21" s="659"/>
      <c r="I21" s="198"/>
      <c r="J21" s="198"/>
      <c r="K21" s="199"/>
      <c r="L21" s="659"/>
      <c r="M21" s="198"/>
      <c r="N21" s="655"/>
      <c r="O21" s="655"/>
      <c r="P21" s="377"/>
      <c r="Q21" s="377"/>
      <c r="R21" s="199"/>
      <c r="S21" s="197"/>
      <c r="T21" s="668"/>
      <c r="U21" s="197"/>
      <c r="V21" s="197"/>
      <c r="W21" s="199"/>
      <c r="X21" s="197"/>
      <c r="Y21" s="668"/>
      <c r="Z21" s="197"/>
      <c r="AA21" s="197"/>
      <c r="AB21" s="199"/>
      <c r="AC21" s="197"/>
      <c r="AD21" s="668"/>
      <c r="AE21" s="197"/>
      <c r="AF21" s="197"/>
      <c r="AG21" s="197"/>
      <c r="AH21" s="197"/>
      <c r="AI21" s="668"/>
      <c r="AJ21" s="197"/>
      <c r="AK21" s="197"/>
      <c r="AL21" s="197"/>
      <c r="AM21" s="197"/>
      <c r="AN21" s="668"/>
      <c r="AO21" s="197"/>
      <c r="AP21" s="197"/>
      <c r="AQ21" s="197"/>
      <c r="AR21" s="197"/>
      <c r="AS21" s="668"/>
      <c r="AT21" s="197"/>
      <c r="AU21" s="197"/>
      <c r="AV21" s="197"/>
      <c r="AW21" s="197"/>
      <c r="AX21" s="668"/>
    </row>
    <row r="22" spans="2:50" ht="15.75">
      <c r="B22" s="669" t="s">
        <v>85</v>
      </c>
      <c r="C22" s="670"/>
      <c r="D22" s="670"/>
      <c r="E22" s="670"/>
      <c r="F22" s="670"/>
      <c r="G22" s="670"/>
      <c r="H22" s="670"/>
      <c r="I22" s="191"/>
      <c r="J22" s="191"/>
      <c r="K22" s="191"/>
      <c r="L22" s="191"/>
      <c r="M22" s="192"/>
      <c r="N22" s="653" t="s">
        <v>86</v>
      </c>
      <c r="O22" s="653" t="s">
        <v>45</v>
      </c>
      <c r="P22" s="664">
        <f>AT2+1</f>
        <v>46238</v>
      </c>
      <c r="Q22" s="656"/>
      <c r="R22" s="656"/>
      <c r="S22" s="656"/>
      <c r="T22" s="656"/>
      <c r="U22" s="664">
        <f>P22+1</f>
        <v>46239</v>
      </c>
      <c r="V22" s="656"/>
      <c r="W22" s="656"/>
      <c r="X22" s="656"/>
      <c r="Y22" s="656"/>
      <c r="Z22" s="664">
        <f>U22+1</f>
        <v>46240</v>
      </c>
      <c r="AA22" s="656"/>
      <c r="AB22" s="656"/>
      <c r="AC22" s="656"/>
      <c r="AD22" s="656"/>
      <c r="AE22" s="664">
        <f>Z22+1</f>
        <v>46241</v>
      </c>
      <c r="AF22" s="656"/>
      <c r="AG22" s="656"/>
      <c r="AH22" s="656"/>
      <c r="AI22" s="656"/>
      <c r="AJ22" s="664">
        <f>AE22+1</f>
        <v>46242</v>
      </c>
      <c r="AK22" s="656"/>
      <c r="AL22" s="656"/>
      <c r="AM22" s="656"/>
      <c r="AN22" s="656"/>
      <c r="AO22" s="664">
        <f>AJ22+1</f>
        <v>46243</v>
      </c>
      <c r="AP22" s="656"/>
      <c r="AQ22" s="656"/>
      <c r="AR22" s="656"/>
      <c r="AS22" s="656"/>
      <c r="AT22" s="664">
        <f>AO22+1</f>
        <v>46244</v>
      </c>
      <c r="AU22" s="656"/>
      <c r="AV22" s="656"/>
      <c r="AW22" s="656"/>
      <c r="AX22" s="656"/>
    </row>
    <row r="23" spans="2:50" ht="15.75">
      <c r="B23" s="652"/>
      <c r="C23" s="652"/>
      <c r="D23" s="652"/>
      <c r="E23" s="652"/>
      <c r="F23" s="652"/>
      <c r="G23" s="652"/>
      <c r="H23" s="652"/>
      <c r="I23" s="193"/>
      <c r="J23" s="193"/>
      <c r="K23" s="193"/>
      <c r="L23" s="193"/>
      <c r="M23" s="194"/>
      <c r="N23" s="654"/>
      <c r="O23" s="654"/>
      <c r="P23" s="664" t="s">
        <v>58</v>
      </c>
      <c r="Q23" s="656"/>
      <c r="R23" s="656"/>
      <c r="S23" s="656"/>
      <c r="T23" s="656"/>
      <c r="U23" s="664" t="s">
        <v>59</v>
      </c>
      <c r="V23" s="656"/>
      <c r="W23" s="656"/>
      <c r="X23" s="656"/>
      <c r="Y23" s="656"/>
      <c r="Z23" s="664" t="s">
        <v>60</v>
      </c>
      <c r="AA23" s="656"/>
      <c r="AB23" s="656"/>
      <c r="AC23" s="656"/>
      <c r="AD23" s="656"/>
      <c r="AE23" s="664" t="s">
        <v>61</v>
      </c>
      <c r="AF23" s="656"/>
      <c r="AG23" s="656"/>
      <c r="AH23" s="656"/>
      <c r="AI23" s="656"/>
      <c r="AJ23" s="664" t="s">
        <v>56</v>
      </c>
      <c r="AK23" s="656"/>
      <c r="AL23" s="656"/>
      <c r="AM23" s="656"/>
      <c r="AN23" s="656"/>
      <c r="AO23" s="664" t="s">
        <v>52</v>
      </c>
      <c r="AP23" s="656"/>
      <c r="AQ23" s="656"/>
      <c r="AR23" s="656"/>
      <c r="AS23" s="656"/>
      <c r="AT23" s="664" t="s">
        <v>57</v>
      </c>
      <c r="AU23" s="656"/>
      <c r="AV23" s="656"/>
      <c r="AW23" s="656"/>
      <c r="AX23" s="656"/>
    </row>
    <row r="24" spans="2:50">
      <c r="B24" s="655" t="s">
        <v>41</v>
      </c>
      <c r="C24" s="655" t="s">
        <v>87</v>
      </c>
      <c r="D24" s="655"/>
      <c r="E24" s="655" t="s">
        <v>88</v>
      </c>
      <c r="F24" s="655"/>
      <c r="G24" s="655"/>
      <c r="H24" s="660" t="s">
        <v>89</v>
      </c>
      <c r="I24" s="655" t="s">
        <v>90</v>
      </c>
      <c r="J24" s="655"/>
      <c r="K24" s="655"/>
      <c r="L24" s="660" t="s">
        <v>89</v>
      </c>
      <c r="M24" s="653" t="s">
        <v>91</v>
      </c>
      <c r="N24" s="655"/>
      <c r="O24" s="655" t="s">
        <v>92</v>
      </c>
      <c r="P24" s="665" t="s">
        <v>93</v>
      </c>
      <c r="Q24" s="666"/>
      <c r="R24" s="666"/>
      <c r="S24" s="667"/>
      <c r="T24" s="655" t="s">
        <v>89</v>
      </c>
      <c r="U24" s="665" t="s">
        <v>93</v>
      </c>
      <c r="V24" s="666"/>
      <c r="W24" s="666"/>
      <c r="X24" s="667"/>
      <c r="Y24" s="655" t="s">
        <v>89</v>
      </c>
      <c r="Z24" s="665" t="s">
        <v>93</v>
      </c>
      <c r="AA24" s="666"/>
      <c r="AB24" s="666"/>
      <c r="AC24" s="667"/>
      <c r="AD24" s="655" t="s">
        <v>89</v>
      </c>
      <c r="AE24" s="665" t="s">
        <v>93</v>
      </c>
      <c r="AF24" s="666"/>
      <c r="AG24" s="666"/>
      <c r="AH24" s="667"/>
      <c r="AI24" s="655" t="s">
        <v>89</v>
      </c>
      <c r="AJ24" s="665" t="s">
        <v>93</v>
      </c>
      <c r="AK24" s="666"/>
      <c r="AL24" s="666"/>
      <c r="AM24" s="667"/>
      <c r="AN24" s="655" t="s">
        <v>89</v>
      </c>
      <c r="AO24" s="665" t="s">
        <v>93</v>
      </c>
      <c r="AP24" s="666"/>
      <c r="AQ24" s="666"/>
      <c r="AR24" s="667"/>
      <c r="AS24" s="655" t="s">
        <v>89</v>
      </c>
      <c r="AT24" s="665" t="s">
        <v>93</v>
      </c>
      <c r="AU24" s="666"/>
      <c r="AV24" s="666"/>
      <c r="AW24" s="667"/>
      <c r="AX24" s="655" t="s">
        <v>89</v>
      </c>
    </row>
    <row r="25" spans="2:50">
      <c r="B25" s="655"/>
      <c r="C25" s="655"/>
      <c r="D25" s="655"/>
      <c r="E25" s="655" t="s">
        <v>94</v>
      </c>
      <c r="F25" s="655"/>
      <c r="G25" s="655"/>
      <c r="H25" s="661"/>
      <c r="I25" s="655" t="s">
        <v>94</v>
      </c>
      <c r="J25" s="655"/>
      <c r="K25" s="655"/>
      <c r="L25" s="661"/>
      <c r="M25" s="663"/>
      <c r="N25" s="655"/>
      <c r="O25" s="655"/>
      <c r="P25" s="665" t="s">
        <v>95</v>
      </c>
      <c r="Q25" s="666"/>
      <c r="R25" s="666"/>
      <c r="S25" s="667"/>
      <c r="T25" s="655"/>
      <c r="U25" s="665" t="s">
        <v>95</v>
      </c>
      <c r="V25" s="666"/>
      <c r="W25" s="666"/>
      <c r="X25" s="667"/>
      <c r="Y25" s="655"/>
      <c r="Z25" s="665" t="s">
        <v>95</v>
      </c>
      <c r="AA25" s="666"/>
      <c r="AB25" s="666"/>
      <c r="AC25" s="667"/>
      <c r="AD25" s="655"/>
      <c r="AE25" s="665" t="s">
        <v>95</v>
      </c>
      <c r="AF25" s="666"/>
      <c r="AG25" s="666"/>
      <c r="AH25" s="667"/>
      <c r="AI25" s="655"/>
      <c r="AJ25" s="665" t="s">
        <v>95</v>
      </c>
      <c r="AK25" s="666"/>
      <c r="AL25" s="666"/>
      <c r="AM25" s="667"/>
      <c r="AN25" s="655"/>
      <c r="AO25" s="665" t="s">
        <v>95</v>
      </c>
      <c r="AP25" s="666"/>
      <c r="AQ25" s="666"/>
      <c r="AR25" s="667"/>
      <c r="AS25" s="655"/>
      <c r="AT25" s="665" t="s">
        <v>95</v>
      </c>
      <c r="AU25" s="666"/>
      <c r="AV25" s="666"/>
      <c r="AW25" s="667"/>
      <c r="AX25" s="655"/>
    </row>
    <row r="26" spans="2:50">
      <c r="B26" s="655"/>
      <c r="C26" s="655"/>
      <c r="D26" s="655"/>
      <c r="E26" s="196" t="s">
        <v>96</v>
      </c>
      <c r="F26" s="196" t="s">
        <v>97</v>
      </c>
      <c r="G26" s="196" t="s">
        <v>98</v>
      </c>
      <c r="H26" s="662"/>
      <c r="I26" s="196" t="s">
        <v>96</v>
      </c>
      <c r="J26" s="196" t="s">
        <v>97</v>
      </c>
      <c r="K26" s="196" t="s">
        <v>98</v>
      </c>
      <c r="L26" s="662"/>
      <c r="M26" s="654"/>
      <c r="N26" s="655"/>
      <c r="O26" s="655"/>
      <c r="P26" s="196" t="s">
        <v>96</v>
      </c>
      <c r="Q26" s="196" t="s">
        <v>97</v>
      </c>
      <c r="R26" s="196" t="s">
        <v>98</v>
      </c>
      <c r="S26" s="196" t="s">
        <v>91</v>
      </c>
      <c r="T26" s="655"/>
      <c r="U26" s="196" t="s">
        <v>96</v>
      </c>
      <c r="V26" s="196" t="s">
        <v>97</v>
      </c>
      <c r="W26" s="196" t="s">
        <v>98</v>
      </c>
      <c r="X26" s="196" t="s">
        <v>91</v>
      </c>
      <c r="Y26" s="655"/>
      <c r="Z26" s="196" t="s">
        <v>96</v>
      </c>
      <c r="AA26" s="196" t="s">
        <v>97</v>
      </c>
      <c r="AB26" s="196" t="s">
        <v>98</v>
      </c>
      <c r="AC26" s="196" t="s">
        <v>91</v>
      </c>
      <c r="AD26" s="655"/>
      <c r="AE26" s="196" t="s">
        <v>96</v>
      </c>
      <c r="AF26" s="196" t="s">
        <v>97</v>
      </c>
      <c r="AG26" s="196" t="s">
        <v>98</v>
      </c>
      <c r="AH26" s="196" t="s">
        <v>91</v>
      </c>
      <c r="AI26" s="655"/>
      <c r="AJ26" s="196" t="s">
        <v>96</v>
      </c>
      <c r="AK26" s="196" t="s">
        <v>97</v>
      </c>
      <c r="AL26" s="196" t="s">
        <v>98</v>
      </c>
      <c r="AM26" s="196" t="s">
        <v>91</v>
      </c>
      <c r="AN26" s="655"/>
      <c r="AO26" s="196" t="s">
        <v>96</v>
      </c>
      <c r="AP26" s="196" t="s">
        <v>97</v>
      </c>
      <c r="AQ26" s="196" t="s">
        <v>98</v>
      </c>
      <c r="AR26" s="196" t="s">
        <v>91</v>
      </c>
      <c r="AS26" s="655"/>
      <c r="AT26" s="196" t="s">
        <v>96</v>
      </c>
      <c r="AU26" s="196" t="s">
        <v>97</v>
      </c>
      <c r="AV26" s="196" t="s">
        <v>98</v>
      </c>
      <c r="AW26" s="196" t="s">
        <v>91</v>
      </c>
      <c r="AX26" s="655"/>
    </row>
    <row r="27" spans="2:50" ht="13.5">
      <c r="B27" s="655" t="s">
        <v>76</v>
      </c>
      <c r="C27" s="197">
        <v>1</v>
      </c>
      <c r="D27" s="201" t="s">
        <v>99</v>
      </c>
      <c r="E27" s="198">
        <f>VLOOKUP(D27,'07產線配置圖'!$A$27:$C$34,2,0)</f>
        <v>15</v>
      </c>
      <c r="F27" s="198">
        <f>VLOOKUP(D27,'07產線配置圖'!$A$27:$C$34,3,0)</f>
        <v>1636</v>
      </c>
      <c r="G27" s="199">
        <f>F27/E27</f>
        <v>109.06666666666666</v>
      </c>
      <c r="H27" s="657">
        <f>AVERAGE(G27:G41)</f>
        <v>138.81212121212121</v>
      </c>
      <c r="I27" s="198">
        <f>AVERAGE(P27,U27,Z27,AE27,AJ27,AO27,AT27)</f>
        <v>15</v>
      </c>
      <c r="J27" s="198">
        <f>AVERAGE(Q27,V27,AA27,AF27,AK27,AP27,AU27)</f>
        <v>1532.7142857142858</v>
      </c>
      <c r="K27" s="199">
        <f>AVERAGE(R27,W27,AB27,AG27,AL27,AQ27,AV27)</f>
        <v>102.18095238095238</v>
      </c>
      <c r="L27" s="657">
        <f>IFERROR(AVERAGE(K27:K41),"-")</f>
        <v>128.25264750226239</v>
      </c>
      <c r="M27" s="200">
        <f>RANK(K27, K$27:$K$41)</f>
        <v>4</v>
      </c>
      <c r="N27" s="655"/>
      <c r="O27" s="655"/>
      <c r="P27" s="198">
        <v>15</v>
      </c>
      <c r="Q27" s="198">
        <v>1550</v>
      </c>
      <c r="R27" s="199">
        <f>Q27/P27</f>
        <v>103.33333333333333</v>
      </c>
      <c r="S27" s="197">
        <f>RANK(R27, $R$27:$R$41)</f>
        <v>4</v>
      </c>
      <c r="T27" s="668">
        <f>AVERAGE(R27:R41)</f>
        <v>126.70055821371611</v>
      </c>
      <c r="U27" s="198">
        <v>15</v>
      </c>
      <c r="V27" s="198">
        <v>1554</v>
      </c>
      <c r="W27" s="199">
        <f>V27/U27</f>
        <v>103.6</v>
      </c>
      <c r="X27" s="197">
        <f>RANK(W27, $W$27:$W$41)</f>
        <v>4</v>
      </c>
      <c r="Y27" s="668">
        <f>AVERAGE(W27:W41)</f>
        <v>127.57555005969638</v>
      </c>
      <c r="Z27" s="198">
        <v>15</v>
      </c>
      <c r="AA27" s="198">
        <v>1500</v>
      </c>
      <c r="AB27" s="199">
        <f>AA27/Z27</f>
        <v>100</v>
      </c>
      <c r="AC27" s="197">
        <f>RANK(AB27,$AB$27:$AB$41)</f>
        <v>4</v>
      </c>
      <c r="AD27" s="668">
        <f>AVERAGE(AB27:AB41)</f>
        <v>127.86363636363636</v>
      </c>
      <c r="AE27" s="198">
        <v>15</v>
      </c>
      <c r="AF27" s="198">
        <v>1453</v>
      </c>
      <c r="AG27" s="328">
        <f>AF27/AE27</f>
        <v>96.86666666666666</v>
      </c>
      <c r="AH27" s="377">
        <f>RANK(AG27, $AG$27:$AG$41)</f>
        <v>4</v>
      </c>
      <c r="AI27" s="668">
        <f>AVERAGE(AG27:AG41)</f>
        <v>125.62575757575758</v>
      </c>
      <c r="AJ27" s="198">
        <v>15</v>
      </c>
      <c r="AK27" s="198">
        <v>1607</v>
      </c>
      <c r="AL27" s="199">
        <f>AK27/AJ27</f>
        <v>107.13333333333334</v>
      </c>
      <c r="AM27" s="197">
        <f>RANK(AL27, $AL$27:$AL$41)</f>
        <v>4</v>
      </c>
      <c r="AN27" s="668">
        <f>AVERAGE(AL27:AL41)</f>
        <v>135.82878787878786</v>
      </c>
      <c r="AO27" s="198">
        <v>15</v>
      </c>
      <c r="AP27" s="198">
        <v>1436</v>
      </c>
      <c r="AQ27" s="328">
        <f>AP27/AO27</f>
        <v>95.733333333333334</v>
      </c>
      <c r="AR27" s="197">
        <f>RANK(AQ27, $AQ$27:$AQ$41)</f>
        <v>4</v>
      </c>
      <c r="AS27" s="668">
        <f>AVERAGE(AQ27:AQ41)</f>
        <v>131.77424242424243</v>
      </c>
      <c r="AT27" s="198">
        <v>15</v>
      </c>
      <c r="AU27" s="198">
        <v>1629</v>
      </c>
      <c r="AV27" s="199">
        <f>AU27/AT27</f>
        <v>108.6</v>
      </c>
      <c r="AW27" s="197">
        <f>RANK(AV27, $AV$27:$AV$41)</f>
        <v>4</v>
      </c>
      <c r="AX27" s="668">
        <f>AVERAGE(AV27:AV41)</f>
        <v>122.4</v>
      </c>
    </row>
    <row r="28" spans="2:50" ht="13.5">
      <c r="B28" s="656"/>
      <c r="C28" s="197">
        <v>2</v>
      </c>
      <c r="D28" s="201" t="s">
        <v>100</v>
      </c>
      <c r="E28" s="198">
        <f>VLOOKUP(D28,'07產線配置圖'!$A$27:$C$34,2,0)</f>
        <v>11</v>
      </c>
      <c r="F28" s="198">
        <f>VLOOKUP(D28,'07產線配置圖'!$A$27:$C$34,3,0)</f>
        <v>1636</v>
      </c>
      <c r="G28" s="199">
        <f>F28/E28</f>
        <v>148.72727272727272</v>
      </c>
      <c r="H28" s="658"/>
      <c r="I28" s="198">
        <f t="shared" ref="I28:K28" si="19">AVERAGE(P28,U28,Z28,AE28,AJ28,AO28,AT28)</f>
        <v>11</v>
      </c>
      <c r="J28" s="198">
        <f t="shared" si="19"/>
        <v>1510.2857142857142</v>
      </c>
      <c r="K28" s="199">
        <f t="shared" si="19"/>
        <v>137.29870129870133</v>
      </c>
      <c r="L28" s="658"/>
      <c r="M28" s="200">
        <f>RANK(K28, K$27:$K$41)</f>
        <v>2</v>
      </c>
      <c r="N28" s="655"/>
      <c r="O28" s="655"/>
      <c r="P28" s="198">
        <v>11</v>
      </c>
      <c r="Q28" s="198">
        <v>1404</v>
      </c>
      <c r="R28" s="199">
        <f t="shared" ref="R28:R30" si="20">Q28/P28</f>
        <v>127.63636363636364</v>
      </c>
      <c r="S28" s="197">
        <f t="shared" ref="S28:S30" si="21">RANK(R28, $R$27:$R$41)</f>
        <v>3</v>
      </c>
      <c r="T28" s="668"/>
      <c r="U28" s="198">
        <v>11</v>
      </c>
      <c r="V28" s="198">
        <v>1546</v>
      </c>
      <c r="W28" s="199">
        <f t="shared" ref="W28:W29" si="22">V28/U28</f>
        <v>140.54545454545453</v>
      </c>
      <c r="X28" s="197">
        <f t="shared" ref="X28:X29" si="23">RANK(W28, $W$27:$W$41)</f>
        <v>2</v>
      </c>
      <c r="Y28" s="668"/>
      <c r="Z28" s="198">
        <v>11</v>
      </c>
      <c r="AA28" s="198">
        <v>1531</v>
      </c>
      <c r="AB28" s="199">
        <f t="shared" ref="AB28:AB30" si="24">AA28/Z28</f>
        <v>139.18181818181819</v>
      </c>
      <c r="AC28" s="197">
        <f t="shared" ref="AC28:AC30" si="25">RANK(AB28,$AB$27:$AB$41)</f>
        <v>1</v>
      </c>
      <c r="AD28" s="668"/>
      <c r="AE28" s="198">
        <v>11</v>
      </c>
      <c r="AF28" s="198">
        <v>1587</v>
      </c>
      <c r="AG28" s="334">
        <f>AF28/AE28</f>
        <v>144.27272727272728</v>
      </c>
      <c r="AH28" s="377">
        <f>RANK(AG28, $AG$27:$AG$41)</f>
        <v>1</v>
      </c>
      <c r="AI28" s="668"/>
      <c r="AJ28" s="198">
        <v>11</v>
      </c>
      <c r="AK28" s="198">
        <v>1560</v>
      </c>
      <c r="AL28" s="199">
        <f t="shared" ref="AL28:AL30" si="26">AK28/AJ28</f>
        <v>141.81818181818181</v>
      </c>
      <c r="AM28" s="197">
        <f t="shared" ref="AM28:AM30" si="27">RANK(AL28, $AL$27:$AL$41)</f>
        <v>3</v>
      </c>
      <c r="AN28" s="668"/>
      <c r="AO28" s="198">
        <v>11</v>
      </c>
      <c r="AP28" s="198">
        <v>1586</v>
      </c>
      <c r="AQ28" s="199">
        <f>AP28/AO28</f>
        <v>144.18181818181819</v>
      </c>
      <c r="AR28" s="197">
        <f>RANK(AQ28, $AQ$27:$AQ$41)</f>
        <v>2</v>
      </c>
      <c r="AS28" s="668"/>
      <c r="AT28" s="198">
        <v>11</v>
      </c>
      <c r="AU28" s="198">
        <v>1358</v>
      </c>
      <c r="AV28" s="199">
        <f t="shared" ref="AV28:AV30" si="28">AU28/AT28</f>
        <v>123.45454545454545</v>
      </c>
      <c r="AW28" s="197">
        <f t="shared" ref="AW28:AW30" si="29">RANK(AV28, $AV$27:$AV$41)</f>
        <v>3</v>
      </c>
      <c r="AX28" s="668"/>
    </row>
    <row r="29" spans="2:50" ht="13.5">
      <c r="B29" s="656"/>
      <c r="C29" s="197">
        <v>3</v>
      </c>
      <c r="D29" s="201" t="s">
        <v>101</v>
      </c>
      <c r="E29" s="198">
        <f>VLOOKUP(D29,'07產線配置圖'!$A$27:$C$34,2,0)</f>
        <v>11</v>
      </c>
      <c r="F29" s="198">
        <f>VLOOKUP(D29,'07產線配置圖'!$A$27:$C$34,3,0)</f>
        <v>1636</v>
      </c>
      <c r="G29" s="199">
        <f>F29/E29</f>
        <v>148.72727272727272</v>
      </c>
      <c r="H29" s="658"/>
      <c r="I29" s="198">
        <f t="shared" ref="I29:K30" si="30">AVERAGE(P29,U29,Z29,AE29,AJ29,AO29,AT29)</f>
        <v>11</v>
      </c>
      <c r="J29" s="198">
        <f t="shared" si="30"/>
        <v>1465.8571428571429</v>
      </c>
      <c r="K29" s="199">
        <f t="shared" si="30"/>
        <v>133.25974025974025</v>
      </c>
      <c r="L29" s="658"/>
      <c r="M29" s="200">
        <f>RANK(K29, K$27:$K$41)</f>
        <v>3</v>
      </c>
      <c r="N29" s="655"/>
      <c r="O29" s="655"/>
      <c r="P29" s="198">
        <v>11</v>
      </c>
      <c r="Q29" s="198">
        <v>1515</v>
      </c>
      <c r="R29" s="199">
        <f t="shared" si="20"/>
        <v>137.72727272727272</v>
      </c>
      <c r="S29" s="197">
        <f t="shared" si="21"/>
        <v>2</v>
      </c>
      <c r="T29" s="668"/>
      <c r="U29" s="198">
        <v>11</v>
      </c>
      <c r="V29" s="198">
        <v>1319</v>
      </c>
      <c r="W29" s="199">
        <f t="shared" si="22"/>
        <v>119.90909090909091</v>
      </c>
      <c r="X29" s="197">
        <f t="shared" si="23"/>
        <v>3</v>
      </c>
      <c r="Y29" s="668"/>
      <c r="Z29" s="198">
        <v>11</v>
      </c>
      <c r="AA29" s="198">
        <v>1501</v>
      </c>
      <c r="AB29" s="199">
        <f t="shared" si="24"/>
        <v>136.45454545454547</v>
      </c>
      <c r="AC29" s="197">
        <f t="shared" si="25"/>
        <v>2</v>
      </c>
      <c r="AD29" s="668"/>
      <c r="AE29" s="198">
        <v>11</v>
      </c>
      <c r="AF29" s="198">
        <v>1399</v>
      </c>
      <c r="AG29" s="334">
        <f>AF29/AE29</f>
        <v>127.18181818181819</v>
      </c>
      <c r="AH29" s="377">
        <f>RANK(AG29, $AG$27:$AG$41)</f>
        <v>3</v>
      </c>
      <c r="AI29" s="668"/>
      <c r="AJ29" s="198">
        <v>11</v>
      </c>
      <c r="AK29" s="198">
        <v>1622</v>
      </c>
      <c r="AL29" s="199">
        <f t="shared" si="26"/>
        <v>147.45454545454547</v>
      </c>
      <c r="AM29" s="197">
        <f t="shared" si="27"/>
        <v>1</v>
      </c>
      <c r="AN29" s="668"/>
      <c r="AO29" s="198">
        <v>11</v>
      </c>
      <c r="AP29" s="198">
        <v>1541</v>
      </c>
      <c r="AQ29" s="199">
        <f>AP29/AO29</f>
        <v>140.09090909090909</v>
      </c>
      <c r="AR29" s="197">
        <f>RANK(AQ29, $AQ$27:$AQ$41)</f>
        <v>3</v>
      </c>
      <c r="AS29" s="668"/>
      <c r="AT29" s="198">
        <v>11</v>
      </c>
      <c r="AU29" s="198">
        <v>1364</v>
      </c>
      <c r="AV29" s="199">
        <f t="shared" si="28"/>
        <v>124</v>
      </c>
      <c r="AW29" s="197">
        <f t="shared" si="29"/>
        <v>2</v>
      </c>
      <c r="AX29" s="668"/>
    </row>
    <row r="30" spans="2:50" ht="13.5">
      <c r="B30" s="656"/>
      <c r="C30" s="197">
        <v>4</v>
      </c>
      <c r="D30" s="201" t="s">
        <v>102</v>
      </c>
      <c r="E30" s="198">
        <f>VLOOKUP(D30,'07產線配置圖'!$A$27:$C$34,2,0)</f>
        <v>11</v>
      </c>
      <c r="F30" s="198">
        <f>VLOOKUP(D30,'07產線配置圖'!$A$27:$C$34,3,0)</f>
        <v>1636</v>
      </c>
      <c r="G30" s="199">
        <f>F30/E30</f>
        <v>148.72727272727272</v>
      </c>
      <c r="H30" s="658"/>
      <c r="I30" s="198">
        <f t="shared" si="30"/>
        <v>10.737142857142857</v>
      </c>
      <c r="J30" s="198">
        <f t="shared" si="30"/>
        <v>1506.2857142857142</v>
      </c>
      <c r="K30" s="199">
        <f t="shared" si="30"/>
        <v>140.27119606965564</v>
      </c>
      <c r="L30" s="658"/>
      <c r="M30" s="200">
        <f>RANK(K30, K$27:$K$41)</f>
        <v>1</v>
      </c>
      <c r="N30" s="655"/>
      <c r="O30" s="655"/>
      <c r="P30" s="198">
        <v>9.5</v>
      </c>
      <c r="Q30" s="198">
        <v>1312</v>
      </c>
      <c r="R30" s="199">
        <f t="shared" si="20"/>
        <v>138.10526315789474</v>
      </c>
      <c r="S30" s="197">
        <f t="shared" si="21"/>
        <v>1</v>
      </c>
      <c r="T30" s="668"/>
      <c r="U30" s="198">
        <v>10.66</v>
      </c>
      <c r="V30" s="198">
        <v>1559</v>
      </c>
      <c r="W30" s="199">
        <f>V30/U30</f>
        <v>146.24765478424015</v>
      </c>
      <c r="X30" s="197">
        <f>RANK(W30, $W$27:$W$41)</f>
        <v>1</v>
      </c>
      <c r="Y30" s="668"/>
      <c r="Z30" s="198">
        <v>11</v>
      </c>
      <c r="AA30" s="198">
        <v>1494</v>
      </c>
      <c r="AB30" s="199">
        <f t="shared" si="24"/>
        <v>135.81818181818181</v>
      </c>
      <c r="AC30" s="197">
        <f t="shared" si="25"/>
        <v>3</v>
      </c>
      <c r="AD30" s="668"/>
      <c r="AE30" s="198">
        <v>11</v>
      </c>
      <c r="AF30" s="198">
        <v>1476</v>
      </c>
      <c r="AG30" s="334">
        <f>AF30/AE30</f>
        <v>134.18181818181819</v>
      </c>
      <c r="AH30" s="377">
        <f>RANK(AG30, $AG$27:$AG$41)</f>
        <v>2</v>
      </c>
      <c r="AI30" s="668"/>
      <c r="AJ30" s="198">
        <v>11</v>
      </c>
      <c r="AK30" s="198">
        <v>1616</v>
      </c>
      <c r="AL30" s="199">
        <f t="shared" si="26"/>
        <v>146.90909090909091</v>
      </c>
      <c r="AM30" s="197">
        <f t="shared" si="27"/>
        <v>2</v>
      </c>
      <c r="AN30" s="668"/>
      <c r="AO30" s="198">
        <v>11</v>
      </c>
      <c r="AP30" s="198">
        <v>1618</v>
      </c>
      <c r="AQ30" s="199">
        <f>AP30/AO30</f>
        <v>147.09090909090909</v>
      </c>
      <c r="AR30" s="197">
        <f>RANK(AQ30, $AQ$27:$AQ$41)</f>
        <v>1</v>
      </c>
      <c r="AS30" s="668"/>
      <c r="AT30" s="198">
        <v>11</v>
      </c>
      <c r="AU30" s="198">
        <v>1469</v>
      </c>
      <c r="AV30" s="199">
        <f t="shared" si="28"/>
        <v>133.54545454545453</v>
      </c>
      <c r="AW30" s="197">
        <f t="shared" si="29"/>
        <v>1</v>
      </c>
      <c r="AX30" s="668"/>
    </row>
    <row r="31" spans="2:50" ht="13.5">
      <c r="B31" s="656"/>
      <c r="C31" s="197">
        <v>5</v>
      </c>
      <c r="D31" s="201"/>
      <c r="E31" s="198"/>
      <c r="F31" s="198"/>
      <c r="G31" s="199"/>
      <c r="H31" s="658"/>
      <c r="I31" s="198"/>
      <c r="J31" s="198"/>
      <c r="K31" s="199"/>
      <c r="L31" s="658"/>
      <c r="M31" s="200"/>
      <c r="N31" s="655"/>
      <c r="O31" s="655"/>
      <c r="P31" s="198"/>
      <c r="Q31" s="198"/>
      <c r="R31" s="197"/>
      <c r="S31" s="197"/>
      <c r="T31" s="668"/>
      <c r="U31" s="198"/>
      <c r="V31" s="198"/>
      <c r="W31" s="197"/>
      <c r="X31" s="197"/>
      <c r="Y31" s="668"/>
      <c r="Z31" s="198"/>
      <c r="AA31" s="198"/>
      <c r="AB31" s="197"/>
      <c r="AC31" s="197"/>
      <c r="AD31" s="668"/>
      <c r="AE31" s="198"/>
      <c r="AF31" s="198"/>
      <c r="AG31" s="197"/>
      <c r="AH31" s="197"/>
      <c r="AI31" s="668"/>
      <c r="AJ31" s="198"/>
      <c r="AK31" s="198"/>
      <c r="AL31" s="197"/>
      <c r="AM31" s="197"/>
      <c r="AN31" s="668"/>
      <c r="AO31" s="198"/>
      <c r="AP31" s="198"/>
      <c r="AQ31" s="197"/>
      <c r="AR31" s="197"/>
      <c r="AS31" s="668"/>
      <c r="AT31" s="198"/>
      <c r="AU31" s="198"/>
      <c r="AV31" s="197"/>
      <c r="AW31" s="197"/>
      <c r="AX31" s="668"/>
    </row>
    <row r="32" spans="2:50" ht="13.5">
      <c r="B32" s="656"/>
      <c r="C32" s="197">
        <v>6</v>
      </c>
      <c r="D32" s="201"/>
      <c r="E32" s="198"/>
      <c r="F32" s="198"/>
      <c r="G32" s="199"/>
      <c r="H32" s="658"/>
      <c r="I32" s="198"/>
      <c r="J32" s="198"/>
      <c r="K32" s="199"/>
      <c r="L32" s="658"/>
      <c r="M32" s="200"/>
      <c r="N32" s="655"/>
      <c r="O32" s="655"/>
      <c r="P32" s="198"/>
      <c r="Q32" s="198"/>
      <c r="R32" s="197"/>
      <c r="S32" s="197"/>
      <c r="T32" s="668"/>
      <c r="U32" s="198"/>
      <c r="V32" s="198"/>
      <c r="W32" s="197"/>
      <c r="X32" s="197"/>
      <c r="Y32" s="668"/>
      <c r="Z32" s="198"/>
      <c r="AA32" s="198"/>
      <c r="AB32" s="197"/>
      <c r="AC32" s="197"/>
      <c r="AD32" s="668"/>
      <c r="AE32" s="198"/>
      <c r="AF32" s="198"/>
      <c r="AG32" s="197"/>
      <c r="AH32" s="197"/>
      <c r="AI32" s="668"/>
      <c r="AJ32" s="198"/>
      <c r="AK32" s="198"/>
      <c r="AL32" s="197"/>
      <c r="AM32" s="197"/>
      <c r="AN32" s="668"/>
      <c r="AO32" s="198"/>
      <c r="AP32" s="198"/>
      <c r="AQ32" s="197"/>
      <c r="AR32" s="197"/>
      <c r="AS32" s="668"/>
      <c r="AT32" s="198"/>
      <c r="AU32" s="198"/>
      <c r="AV32" s="197"/>
      <c r="AW32" s="197"/>
      <c r="AX32" s="668"/>
    </row>
    <row r="33" spans="2:50" ht="13.5">
      <c r="B33" s="656"/>
      <c r="C33" s="197">
        <v>7</v>
      </c>
      <c r="D33" s="201"/>
      <c r="E33" s="198"/>
      <c r="F33" s="198"/>
      <c r="G33" s="199"/>
      <c r="H33" s="658"/>
      <c r="I33" s="198"/>
      <c r="J33" s="198"/>
      <c r="K33" s="199"/>
      <c r="L33" s="658"/>
      <c r="M33" s="200"/>
      <c r="N33" s="655"/>
      <c r="O33" s="655"/>
      <c r="P33" s="198"/>
      <c r="Q33" s="198"/>
      <c r="R33" s="197"/>
      <c r="S33" s="197"/>
      <c r="T33" s="668"/>
      <c r="U33" s="198"/>
      <c r="V33" s="198"/>
      <c r="W33" s="197"/>
      <c r="X33" s="197"/>
      <c r="Y33" s="668"/>
      <c r="Z33" s="198"/>
      <c r="AA33" s="198"/>
      <c r="AB33" s="197"/>
      <c r="AC33" s="197"/>
      <c r="AD33" s="668"/>
      <c r="AE33" s="198"/>
      <c r="AF33" s="198"/>
      <c r="AG33" s="197"/>
      <c r="AH33" s="197"/>
      <c r="AI33" s="668"/>
      <c r="AJ33" s="198"/>
      <c r="AK33" s="198"/>
      <c r="AL33" s="197"/>
      <c r="AM33" s="197"/>
      <c r="AN33" s="668"/>
      <c r="AO33" s="198"/>
      <c r="AP33" s="198"/>
      <c r="AQ33" s="197"/>
      <c r="AR33" s="197"/>
      <c r="AS33" s="668"/>
      <c r="AT33" s="198"/>
      <c r="AU33" s="198"/>
      <c r="AV33" s="197"/>
      <c r="AW33" s="197"/>
      <c r="AX33" s="668"/>
    </row>
    <row r="34" spans="2:50" ht="13.5">
      <c r="B34" s="656"/>
      <c r="C34" s="197">
        <v>8</v>
      </c>
      <c r="D34" s="201"/>
      <c r="E34" s="197"/>
      <c r="F34" s="197"/>
      <c r="G34" s="197"/>
      <c r="H34" s="658"/>
      <c r="I34" s="198"/>
      <c r="J34" s="198"/>
      <c r="K34" s="199"/>
      <c r="L34" s="658"/>
      <c r="M34" s="200"/>
      <c r="N34" s="655"/>
      <c r="O34" s="655"/>
      <c r="P34" s="198"/>
      <c r="Q34" s="198"/>
      <c r="R34" s="197"/>
      <c r="S34" s="197"/>
      <c r="T34" s="668"/>
      <c r="U34" s="198"/>
      <c r="V34" s="198"/>
      <c r="W34" s="197"/>
      <c r="X34" s="197"/>
      <c r="Y34" s="668"/>
      <c r="Z34" s="198"/>
      <c r="AA34" s="198"/>
      <c r="AB34" s="197"/>
      <c r="AC34" s="197"/>
      <c r="AD34" s="668"/>
      <c r="AE34" s="198"/>
      <c r="AF34" s="198"/>
      <c r="AG34" s="197"/>
      <c r="AH34" s="197"/>
      <c r="AI34" s="668"/>
      <c r="AJ34" s="198"/>
      <c r="AK34" s="198"/>
      <c r="AL34" s="197"/>
      <c r="AM34" s="197"/>
      <c r="AN34" s="668"/>
      <c r="AO34" s="198"/>
      <c r="AP34" s="198"/>
      <c r="AQ34" s="197"/>
      <c r="AR34" s="197"/>
      <c r="AS34" s="668"/>
      <c r="AT34" s="198"/>
      <c r="AU34" s="198"/>
      <c r="AV34" s="197"/>
      <c r="AW34" s="197"/>
      <c r="AX34" s="668"/>
    </row>
    <row r="35" spans="2:50" ht="13.5">
      <c r="B35" s="656"/>
      <c r="C35" s="197">
        <v>9</v>
      </c>
      <c r="D35" s="201"/>
      <c r="E35" s="197"/>
      <c r="F35" s="197"/>
      <c r="G35" s="197"/>
      <c r="H35" s="658"/>
      <c r="I35" s="198"/>
      <c r="J35" s="198"/>
      <c r="K35" s="199"/>
      <c r="L35" s="658"/>
      <c r="M35" s="200"/>
      <c r="N35" s="655"/>
      <c r="O35" s="655"/>
      <c r="P35" s="198"/>
      <c r="Q35" s="198"/>
      <c r="R35" s="197"/>
      <c r="S35" s="197"/>
      <c r="T35" s="668"/>
      <c r="U35" s="198"/>
      <c r="V35" s="198"/>
      <c r="W35" s="197"/>
      <c r="X35" s="197"/>
      <c r="Y35" s="668"/>
      <c r="Z35" s="198"/>
      <c r="AA35" s="198"/>
      <c r="AB35" s="197"/>
      <c r="AC35" s="197"/>
      <c r="AD35" s="668"/>
      <c r="AE35" s="198"/>
      <c r="AF35" s="198"/>
      <c r="AG35" s="197"/>
      <c r="AH35" s="197"/>
      <c r="AI35" s="668"/>
      <c r="AJ35" s="198"/>
      <c r="AK35" s="198"/>
      <c r="AL35" s="197"/>
      <c r="AM35" s="197"/>
      <c r="AN35" s="668"/>
      <c r="AO35" s="198"/>
      <c r="AP35" s="198"/>
      <c r="AQ35" s="197"/>
      <c r="AR35" s="197"/>
      <c r="AS35" s="668"/>
      <c r="AT35" s="198"/>
      <c r="AU35" s="198"/>
      <c r="AV35" s="197"/>
      <c r="AW35" s="197"/>
      <c r="AX35" s="668"/>
    </row>
    <row r="36" spans="2:50" ht="13.5">
      <c r="B36" s="656"/>
      <c r="C36" s="197">
        <v>10</v>
      </c>
      <c r="D36" s="201"/>
      <c r="E36" s="197"/>
      <c r="F36" s="197"/>
      <c r="G36" s="197"/>
      <c r="H36" s="658"/>
      <c r="I36" s="198"/>
      <c r="J36" s="198"/>
      <c r="K36" s="199"/>
      <c r="L36" s="658"/>
      <c r="M36" s="200"/>
      <c r="N36" s="655"/>
      <c r="O36" s="655"/>
      <c r="P36" s="198"/>
      <c r="Q36" s="198"/>
      <c r="R36" s="197"/>
      <c r="S36" s="197"/>
      <c r="T36" s="668"/>
      <c r="U36" s="198"/>
      <c r="V36" s="198"/>
      <c r="W36" s="197"/>
      <c r="X36" s="197"/>
      <c r="Y36" s="668"/>
      <c r="Z36" s="198"/>
      <c r="AA36" s="198"/>
      <c r="AB36" s="197"/>
      <c r="AC36" s="197"/>
      <c r="AD36" s="668"/>
      <c r="AE36" s="198"/>
      <c r="AF36" s="198"/>
      <c r="AG36" s="197"/>
      <c r="AH36" s="197"/>
      <c r="AI36" s="668"/>
      <c r="AJ36" s="198"/>
      <c r="AK36" s="198"/>
      <c r="AL36" s="197"/>
      <c r="AM36" s="197"/>
      <c r="AN36" s="668"/>
      <c r="AO36" s="198"/>
      <c r="AP36" s="198"/>
      <c r="AQ36" s="197"/>
      <c r="AR36" s="197"/>
      <c r="AS36" s="668"/>
      <c r="AT36" s="198"/>
      <c r="AU36" s="198"/>
      <c r="AV36" s="197"/>
      <c r="AW36" s="197"/>
      <c r="AX36" s="668"/>
    </row>
    <row r="37" spans="2:50" ht="13.5">
      <c r="B37" s="656"/>
      <c r="C37" s="197">
        <v>11</v>
      </c>
      <c r="D37" s="201"/>
      <c r="E37" s="197"/>
      <c r="F37" s="197"/>
      <c r="G37" s="197"/>
      <c r="H37" s="658"/>
      <c r="I37" s="198"/>
      <c r="J37" s="198"/>
      <c r="K37" s="199"/>
      <c r="L37" s="658"/>
      <c r="M37" s="200"/>
      <c r="N37" s="655"/>
      <c r="O37" s="655"/>
      <c r="P37" s="197"/>
      <c r="Q37" s="197"/>
      <c r="R37" s="197"/>
      <c r="S37" s="197"/>
      <c r="T37" s="668"/>
      <c r="U37" s="197"/>
      <c r="V37" s="197"/>
      <c r="W37" s="197"/>
      <c r="X37" s="197"/>
      <c r="Y37" s="668"/>
      <c r="Z37" s="197"/>
      <c r="AA37" s="197"/>
      <c r="AB37" s="197"/>
      <c r="AC37" s="197"/>
      <c r="AD37" s="668"/>
      <c r="AE37" s="197"/>
      <c r="AF37" s="197"/>
      <c r="AG37" s="197"/>
      <c r="AH37" s="197"/>
      <c r="AI37" s="668"/>
      <c r="AJ37" s="197"/>
      <c r="AK37" s="197"/>
      <c r="AL37" s="197"/>
      <c r="AM37" s="197"/>
      <c r="AN37" s="668"/>
      <c r="AO37" s="197"/>
      <c r="AP37" s="197"/>
      <c r="AQ37" s="197"/>
      <c r="AR37" s="197"/>
      <c r="AS37" s="668"/>
      <c r="AT37" s="197"/>
      <c r="AU37" s="197"/>
      <c r="AV37" s="197"/>
      <c r="AW37" s="197"/>
      <c r="AX37" s="668"/>
    </row>
    <row r="38" spans="2:50" ht="13.5">
      <c r="B38" s="656"/>
      <c r="C38" s="197">
        <v>12</v>
      </c>
      <c r="D38" s="201"/>
      <c r="E38" s="197"/>
      <c r="F38" s="197"/>
      <c r="G38" s="197"/>
      <c r="H38" s="658"/>
      <c r="I38" s="198"/>
      <c r="J38" s="198"/>
      <c r="K38" s="199"/>
      <c r="L38" s="658"/>
      <c r="M38" s="200"/>
      <c r="N38" s="655"/>
      <c r="O38" s="655"/>
      <c r="P38" s="197"/>
      <c r="Q38" s="197"/>
      <c r="R38" s="197"/>
      <c r="S38" s="197"/>
      <c r="T38" s="668"/>
      <c r="U38" s="197"/>
      <c r="V38" s="197"/>
      <c r="W38" s="197"/>
      <c r="X38" s="197"/>
      <c r="Y38" s="668"/>
      <c r="Z38" s="197"/>
      <c r="AA38" s="197"/>
      <c r="AB38" s="197"/>
      <c r="AC38" s="197"/>
      <c r="AD38" s="668"/>
      <c r="AE38" s="197"/>
      <c r="AF38" s="197"/>
      <c r="AG38" s="197"/>
      <c r="AH38" s="197"/>
      <c r="AI38" s="668"/>
      <c r="AJ38" s="197"/>
      <c r="AK38" s="197"/>
      <c r="AL38" s="197"/>
      <c r="AM38" s="197"/>
      <c r="AN38" s="668"/>
      <c r="AO38" s="197"/>
      <c r="AP38" s="197"/>
      <c r="AQ38" s="197"/>
      <c r="AR38" s="197"/>
      <c r="AS38" s="668"/>
      <c r="AT38" s="197"/>
      <c r="AU38" s="197"/>
      <c r="AV38" s="197"/>
      <c r="AW38" s="197"/>
      <c r="AX38" s="668"/>
    </row>
    <row r="39" spans="2:50" ht="13.5">
      <c r="B39" s="656"/>
      <c r="C39" s="197">
        <v>13</v>
      </c>
      <c r="D39" s="201"/>
      <c r="E39" s="197"/>
      <c r="F39" s="197"/>
      <c r="G39" s="197"/>
      <c r="H39" s="658"/>
      <c r="I39" s="198"/>
      <c r="J39" s="198"/>
      <c r="K39" s="199"/>
      <c r="L39" s="658"/>
      <c r="M39" s="200"/>
      <c r="N39" s="655"/>
      <c r="O39" s="655"/>
      <c r="P39" s="197"/>
      <c r="Q39" s="197"/>
      <c r="R39" s="197"/>
      <c r="S39" s="197"/>
      <c r="T39" s="668"/>
      <c r="U39" s="197"/>
      <c r="V39" s="197"/>
      <c r="W39" s="197"/>
      <c r="X39" s="197"/>
      <c r="Y39" s="668"/>
      <c r="Z39" s="197"/>
      <c r="AA39" s="197"/>
      <c r="AB39" s="197"/>
      <c r="AC39" s="197"/>
      <c r="AD39" s="668"/>
      <c r="AE39" s="197"/>
      <c r="AF39" s="197"/>
      <c r="AG39" s="197"/>
      <c r="AH39" s="197"/>
      <c r="AI39" s="668"/>
      <c r="AJ39" s="197"/>
      <c r="AK39" s="197"/>
      <c r="AL39" s="197"/>
      <c r="AM39" s="197"/>
      <c r="AN39" s="668"/>
      <c r="AO39" s="197"/>
      <c r="AP39" s="197"/>
      <c r="AQ39" s="197"/>
      <c r="AR39" s="197"/>
      <c r="AS39" s="668"/>
      <c r="AT39" s="197"/>
      <c r="AU39" s="197"/>
      <c r="AV39" s="197"/>
      <c r="AW39" s="197"/>
      <c r="AX39" s="668"/>
    </row>
    <row r="40" spans="2:50" ht="13.5">
      <c r="B40" s="656"/>
      <c r="C40" s="197">
        <v>14</v>
      </c>
      <c r="D40" s="201"/>
      <c r="E40" s="197"/>
      <c r="F40" s="197"/>
      <c r="G40" s="197"/>
      <c r="H40" s="658"/>
      <c r="I40" s="198"/>
      <c r="J40" s="198"/>
      <c r="K40" s="199"/>
      <c r="L40" s="658"/>
      <c r="M40" s="200"/>
      <c r="N40" s="655"/>
      <c r="O40" s="655"/>
      <c r="P40" s="197"/>
      <c r="Q40" s="197"/>
      <c r="R40" s="197"/>
      <c r="S40" s="197"/>
      <c r="T40" s="668"/>
      <c r="U40" s="197"/>
      <c r="V40" s="197"/>
      <c r="W40" s="197"/>
      <c r="X40" s="197"/>
      <c r="Y40" s="668"/>
      <c r="Z40" s="197"/>
      <c r="AA40" s="197"/>
      <c r="AB40" s="197"/>
      <c r="AC40" s="197"/>
      <c r="AD40" s="668"/>
      <c r="AE40" s="197"/>
      <c r="AF40" s="197"/>
      <c r="AG40" s="197"/>
      <c r="AH40" s="197"/>
      <c r="AI40" s="668"/>
      <c r="AJ40" s="197"/>
      <c r="AK40" s="197"/>
      <c r="AL40" s="197"/>
      <c r="AM40" s="197"/>
      <c r="AN40" s="668"/>
      <c r="AO40" s="197"/>
      <c r="AP40" s="197"/>
      <c r="AQ40" s="197"/>
      <c r="AR40" s="197"/>
      <c r="AS40" s="668"/>
      <c r="AT40" s="197"/>
      <c r="AU40" s="197"/>
      <c r="AV40" s="197"/>
      <c r="AW40" s="197"/>
      <c r="AX40" s="668"/>
    </row>
    <row r="41" spans="2:50" ht="13.5">
      <c r="B41" s="656"/>
      <c r="C41" s="197">
        <v>15</v>
      </c>
      <c r="D41" s="201"/>
      <c r="E41" s="197"/>
      <c r="F41" s="197"/>
      <c r="G41" s="197"/>
      <c r="H41" s="659"/>
      <c r="I41" s="198"/>
      <c r="J41" s="198"/>
      <c r="K41" s="199"/>
      <c r="L41" s="659"/>
      <c r="M41" s="198"/>
      <c r="N41" s="655"/>
      <c r="O41" s="655"/>
      <c r="P41" s="197"/>
      <c r="Q41" s="197"/>
      <c r="R41" s="197"/>
      <c r="S41" s="197"/>
      <c r="T41" s="668"/>
      <c r="U41" s="197"/>
      <c r="V41" s="197"/>
      <c r="W41" s="197"/>
      <c r="X41" s="197"/>
      <c r="Y41" s="668"/>
      <c r="Z41" s="197"/>
      <c r="AA41" s="197"/>
      <c r="AB41" s="197"/>
      <c r="AC41" s="197"/>
      <c r="AD41" s="668"/>
      <c r="AE41" s="197"/>
      <c r="AF41" s="197"/>
      <c r="AG41" s="197"/>
      <c r="AH41" s="197"/>
      <c r="AI41" s="668"/>
      <c r="AJ41" s="197"/>
      <c r="AK41" s="197"/>
      <c r="AL41" s="197"/>
      <c r="AM41" s="197"/>
      <c r="AN41" s="668"/>
      <c r="AO41" s="197"/>
      <c r="AP41" s="197"/>
      <c r="AQ41" s="197"/>
      <c r="AR41" s="197"/>
      <c r="AS41" s="668"/>
      <c r="AT41" s="197"/>
      <c r="AU41" s="197"/>
      <c r="AV41" s="197"/>
      <c r="AW41" s="197"/>
      <c r="AX41" s="668"/>
    </row>
    <row r="42" spans="2:50" ht="15.75">
      <c r="B42" s="669" t="s">
        <v>85</v>
      </c>
      <c r="C42" s="670"/>
      <c r="D42" s="670"/>
      <c r="E42" s="670"/>
      <c r="F42" s="670"/>
      <c r="G42" s="670"/>
      <c r="H42" s="670"/>
      <c r="I42" s="202"/>
      <c r="J42" s="191"/>
      <c r="K42" s="202"/>
      <c r="L42" s="202"/>
      <c r="M42" s="192"/>
      <c r="N42" s="653" t="s">
        <v>86</v>
      </c>
      <c r="O42" s="653" t="s">
        <v>45</v>
      </c>
      <c r="P42" s="664">
        <f>AT22+1</f>
        <v>46245</v>
      </c>
      <c r="Q42" s="656"/>
      <c r="R42" s="656"/>
      <c r="S42" s="656"/>
      <c r="T42" s="656"/>
      <c r="U42" s="664">
        <f>P42+1</f>
        <v>46246</v>
      </c>
      <c r="V42" s="656"/>
      <c r="W42" s="656"/>
      <c r="X42" s="656"/>
      <c r="Y42" s="656"/>
      <c r="Z42" s="664">
        <f>Z22+7</f>
        <v>46247</v>
      </c>
      <c r="AA42" s="656"/>
      <c r="AB42" s="656"/>
      <c r="AC42" s="656"/>
      <c r="AD42" s="656"/>
      <c r="AE42" s="664">
        <f>AE22+7</f>
        <v>46248</v>
      </c>
      <c r="AF42" s="656"/>
      <c r="AG42" s="656"/>
      <c r="AH42" s="656"/>
      <c r="AI42" s="656"/>
      <c r="AJ42" s="664">
        <f>AJ22+7</f>
        <v>46249</v>
      </c>
      <c r="AK42" s="656"/>
      <c r="AL42" s="656"/>
      <c r="AM42" s="656"/>
      <c r="AN42" s="656"/>
      <c r="AO42" s="664">
        <f>AO22+7</f>
        <v>46250</v>
      </c>
      <c r="AP42" s="656"/>
      <c r="AQ42" s="656"/>
      <c r="AR42" s="656"/>
      <c r="AS42" s="656"/>
      <c r="AT42" s="664">
        <f>AT22+7</f>
        <v>46251</v>
      </c>
      <c r="AU42" s="656"/>
      <c r="AV42" s="656"/>
      <c r="AW42" s="656"/>
      <c r="AX42" s="656"/>
    </row>
    <row r="43" spans="2:50" ht="15.75">
      <c r="B43" s="652"/>
      <c r="C43" s="652"/>
      <c r="D43" s="652"/>
      <c r="E43" s="652"/>
      <c r="F43" s="652"/>
      <c r="G43" s="652"/>
      <c r="H43" s="652"/>
      <c r="I43" s="193"/>
      <c r="J43" s="193"/>
      <c r="K43" s="193"/>
      <c r="L43" s="193"/>
      <c r="M43" s="194"/>
      <c r="N43" s="654"/>
      <c r="O43" s="654"/>
      <c r="P43" s="664" t="s">
        <v>58</v>
      </c>
      <c r="Q43" s="656"/>
      <c r="R43" s="656"/>
      <c r="S43" s="656"/>
      <c r="T43" s="656"/>
      <c r="U43" s="664" t="s">
        <v>59</v>
      </c>
      <c r="V43" s="656"/>
      <c r="W43" s="656"/>
      <c r="X43" s="656"/>
      <c r="Y43" s="656"/>
      <c r="Z43" s="664" t="s">
        <v>60</v>
      </c>
      <c r="AA43" s="656"/>
      <c r="AB43" s="656"/>
      <c r="AC43" s="656"/>
      <c r="AD43" s="656"/>
      <c r="AE43" s="664" t="s">
        <v>61</v>
      </c>
      <c r="AF43" s="656"/>
      <c r="AG43" s="656"/>
      <c r="AH43" s="656"/>
      <c r="AI43" s="656"/>
      <c r="AJ43" s="664" t="s">
        <v>56</v>
      </c>
      <c r="AK43" s="656"/>
      <c r="AL43" s="656"/>
      <c r="AM43" s="656"/>
      <c r="AN43" s="656"/>
      <c r="AO43" s="664" t="s">
        <v>52</v>
      </c>
      <c r="AP43" s="656"/>
      <c r="AQ43" s="656"/>
      <c r="AR43" s="656"/>
      <c r="AS43" s="656"/>
      <c r="AT43" s="664" t="s">
        <v>57</v>
      </c>
      <c r="AU43" s="656"/>
      <c r="AV43" s="656"/>
      <c r="AW43" s="656"/>
      <c r="AX43" s="656"/>
    </row>
    <row r="44" spans="2:50">
      <c r="B44" s="655" t="s">
        <v>41</v>
      </c>
      <c r="C44" s="655" t="s">
        <v>87</v>
      </c>
      <c r="D44" s="655"/>
      <c r="E44" s="655" t="s">
        <v>88</v>
      </c>
      <c r="F44" s="655"/>
      <c r="G44" s="655"/>
      <c r="H44" s="660" t="s">
        <v>89</v>
      </c>
      <c r="I44" s="655" t="s">
        <v>90</v>
      </c>
      <c r="J44" s="655"/>
      <c r="K44" s="655"/>
      <c r="L44" s="660" t="s">
        <v>89</v>
      </c>
      <c r="M44" s="653" t="s">
        <v>91</v>
      </c>
      <c r="N44" s="655"/>
      <c r="O44" s="655" t="s">
        <v>92</v>
      </c>
      <c r="P44" s="665" t="s">
        <v>93</v>
      </c>
      <c r="Q44" s="666"/>
      <c r="R44" s="666"/>
      <c r="S44" s="667"/>
      <c r="T44" s="655" t="s">
        <v>89</v>
      </c>
      <c r="U44" s="665" t="s">
        <v>93</v>
      </c>
      <c r="V44" s="666"/>
      <c r="W44" s="666"/>
      <c r="X44" s="667"/>
      <c r="Y44" s="655" t="s">
        <v>89</v>
      </c>
      <c r="Z44" s="665" t="s">
        <v>93</v>
      </c>
      <c r="AA44" s="666"/>
      <c r="AB44" s="666"/>
      <c r="AC44" s="667"/>
      <c r="AD44" s="655" t="s">
        <v>89</v>
      </c>
      <c r="AE44" s="665" t="s">
        <v>93</v>
      </c>
      <c r="AF44" s="666"/>
      <c r="AG44" s="666"/>
      <c r="AH44" s="667"/>
      <c r="AI44" s="655" t="s">
        <v>89</v>
      </c>
      <c r="AJ44" s="665" t="s">
        <v>93</v>
      </c>
      <c r="AK44" s="666"/>
      <c r="AL44" s="666"/>
      <c r="AM44" s="667"/>
      <c r="AN44" s="655" t="s">
        <v>89</v>
      </c>
      <c r="AO44" s="665" t="s">
        <v>93</v>
      </c>
      <c r="AP44" s="666"/>
      <c r="AQ44" s="666"/>
      <c r="AR44" s="667"/>
      <c r="AS44" s="655" t="s">
        <v>89</v>
      </c>
      <c r="AT44" s="665" t="s">
        <v>93</v>
      </c>
      <c r="AU44" s="666"/>
      <c r="AV44" s="666"/>
      <c r="AW44" s="667"/>
      <c r="AX44" s="655" t="s">
        <v>89</v>
      </c>
    </row>
    <row r="45" spans="2:50">
      <c r="B45" s="655"/>
      <c r="C45" s="655"/>
      <c r="D45" s="655"/>
      <c r="E45" s="655" t="s">
        <v>94</v>
      </c>
      <c r="F45" s="655"/>
      <c r="G45" s="655"/>
      <c r="H45" s="661"/>
      <c r="I45" s="655" t="s">
        <v>94</v>
      </c>
      <c r="J45" s="655"/>
      <c r="K45" s="655"/>
      <c r="L45" s="661"/>
      <c r="M45" s="663"/>
      <c r="N45" s="655"/>
      <c r="O45" s="655"/>
      <c r="P45" s="665" t="s">
        <v>95</v>
      </c>
      <c r="Q45" s="666"/>
      <c r="R45" s="666"/>
      <c r="S45" s="667"/>
      <c r="T45" s="655"/>
      <c r="U45" s="665" t="s">
        <v>95</v>
      </c>
      <c r="V45" s="666"/>
      <c r="W45" s="666"/>
      <c r="X45" s="667"/>
      <c r="Y45" s="655"/>
      <c r="Z45" s="665" t="s">
        <v>95</v>
      </c>
      <c r="AA45" s="666"/>
      <c r="AB45" s="666"/>
      <c r="AC45" s="667"/>
      <c r="AD45" s="655"/>
      <c r="AE45" s="665" t="s">
        <v>95</v>
      </c>
      <c r="AF45" s="666"/>
      <c r="AG45" s="666"/>
      <c r="AH45" s="667"/>
      <c r="AI45" s="655"/>
      <c r="AJ45" s="665" t="s">
        <v>95</v>
      </c>
      <c r="AK45" s="666"/>
      <c r="AL45" s="666"/>
      <c r="AM45" s="667"/>
      <c r="AN45" s="655"/>
      <c r="AO45" s="665" t="s">
        <v>95</v>
      </c>
      <c r="AP45" s="666"/>
      <c r="AQ45" s="666"/>
      <c r="AR45" s="667"/>
      <c r="AS45" s="655"/>
      <c r="AT45" s="665" t="s">
        <v>95</v>
      </c>
      <c r="AU45" s="666"/>
      <c r="AV45" s="666"/>
      <c r="AW45" s="667"/>
      <c r="AX45" s="655"/>
    </row>
    <row r="46" spans="2:50">
      <c r="B46" s="655"/>
      <c r="C46" s="655"/>
      <c r="D46" s="655"/>
      <c r="E46" s="196" t="s">
        <v>96</v>
      </c>
      <c r="F46" s="196" t="s">
        <v>97</v>
      </c>
      <c r="G46" s="196" t="s">
        <v>98</v>
      </c>
      <c r="H46" s="662"/>
      <c r="I46" s="196" t="s">
        <v>96</v>
      </c>
      <c r="J46" s="196" t="s">
        <v>97</v>
      </c>
      <c r="K46" s="196" t="s">
        <v>98</v>
      </c>
      <c r="L46" s="662"/>
      <c r="M46" s="654"/>
      <c r="N46" s="655"/>
      <c r="O46" s="655"/>
      <c r="P46" s="196" t="s">
        <v>96</v>
      </c>
      <c r="Q46" s="196" t="s">
        <v>97</v>
      </c>
      <c r="R46" s="196" t="s">
        <v>98</v>
      </c>
      <c r="S46" s="196" t="s">
        <v>91</v>
      </c>
      <c r="T46" s="655"/>
      <c r="U46" s="196" t="s">
        <v>96</v>
      </c>
      <c r="V46" s="196" t="s">
        <v>97</v>
      </c>
      <c r="W46" s="196" t="s">
        <v>98</v>
      </c>
      <c r="X46" s="196" t="s">
        <v>91</v>
      </c>
      <c r="Y46" s="655"/>
      <c r="Z46" s="196" t="s">
        <v>96</v>
      </c>
      <c r="AA46" s="196" t="s">
        <v>97</v>
      </c>
      <c r="AB46" s="196" t="s">
        <v>98</v>
      </c>
      <c r="AC46" s="196" t="s">
        <v>91</v>
      </c>
      <c r="AD46" s="655"/>
      <c r="AE46" s="196" t="s">
        <v>96</v>
      </c>
      <c r="AF46" s="196" t="s">
        <v>97</v>
      </c>
      <c r="AG46" s="196" t="s">
        <v>98</v>
      </c>
      <c r="AH46" s="196" t="s">
        <v>91</v>
      </c>
      <c r="AI46" s="655"/>
      <c r="AJ46" s="196" t="s">
        <v>96</v>
      </c>
      <c r="AK46" s="196" t="s">
        <v>97</v>
      </c>
      <c r="AL46" s="196" t="s">
        <v>98</v>
      </c>
      <c r="AM46" s="196" t="s">
        <v>91</v>
      </c>
      <c r="AN46" s="655"/>
      <c r="AO46" s="196" t="s">
        <v>96</v>
      </c>
      <c r="AP46" s="196" t="s">
        <v>97</v>
      </c>
      <c r="AQ46" s="196" t="s">
        <v>98</v>
      </c>
      <c r="AR46" s="196" t="s">
        <v>91</v>
      </c>
      <c r="AS46" s="655"/>
      <c r="AT46" s="196" t="s">
        <v>96</v>
      </c>
      <c r="AU46" s="196" t="s">
        <v>97</v>
      </c>
      <c r="AV46" s="196" t="s">
        <v>98</v>
      </c>
      <c r="AW46" s="196" t="s">
        <v>91</v>
      </c>
      <c r="AX46" s="655"/>
    </row>
    <row r="47" spans="2:50" ht="13.5">
      <c r="B47" s="655" t="s">
        <v>76</v>
      </c>
      <c r="C47" s="197">
        <v>1</v>
      </c>
      <c r="D47" s="201" t="s">
        <v>99</v>
      </c>
      <c r="E47" s="198">
        <f>VLOOKUP(D47,'07產線配置圖'!$A$27:$C$34,2,0)</f>
        <v>15</v>
      </c>
      <c r="F47" s="198">
        <f>VLOOKUP(D47,'07產線配置圖'!$A$27:$C$34,3,0)</f>
        <v>1636</v>
      </c>
      <c r="G47" s="199">
        <f t="shared" ref="G47:G48" si="31">F47/E47</f>
        <v>109.06666666666666</v>
      </c>
      <c r="H47" s="657">
        <f>AVERAGE(G47:G61)</f>
        <v>138.81212121212121</v>
      </c>
      <c r="I47" s="198">
        <f>AVERAGE(P47,U47,Z47,AE47,AJ47,AO47,AT47)</f>
        <v>14.928571428571429</v>
      </c>
      <c r="J47" s="198">
        <f>AVERAGE(Q47,V47,AA47,AF47,AK47,AP47,AU47)</f>
        <v>1535.4285714285713</v>
      </c>
      <c r="K47" s="199">
        <f>AVERAGE(R47,W47,AB47,AG47,AL47,AQ47,AV47)</f>
        <v>102.85320197044335</v>
      </c>
      <c r="L47" s="657">
        <f>IFERROR(AVERAGE(K47:K61),"-")</f>
        <v>125.36673331709629</v>
      </c>
      <c r="M47" s="198">
        <f>RANK(K47, K$47:$K$61)</f>
        <v>4</v>
      </c>
      <c r="N47" s="655"/>
      <c r="O47" s="655"/>
      <c r="P47" s="198">
        <v>15</v>
      </c>
      <c r="Q47" s="198">
        <v>1552</v>
      </c>
      <c r="R47" s="199">
        <f>Q47/P47</f>
        <v>103.46666666666667</v>
      </c>
      <c r="S47" s="197">
        <f>RANK(R47,$R$47:$R$61)</f>
        <v>3</v>
      </c>
      <c r="T47" s="668">
        <f>AVERAGE(R47:R61)</f>
        <v>119.72073365231262</v>
      </c>
      <c r="U47" s="198">
        <v>15</v>
      </c>
      <c r="V47" s="198">
        <v>1557</v>
      </c>
      <c r="W47" s="199">
        <f>V47/U47</f>
        <v>103.8</v>
      </c>
      <c r="X47" s="197">
        <f>RANK(W47,$W$47:$W$61)</f>
        <v>4</v>
      </c>
      <c r="Y47" s="668">
        <f>AVERAGE(W47:W61)</f>
        <v>122.67474747474748</v>
      </c>
      <c r="Z47" s="198">
        <v>15</v>
      </c>
      <c r="AA47" s="198">
        <v>1527</v>
      </c>
      <c r="AB47" s="199">
        <f>AA47/Z47</f>
        <v>101.8</v>
      </c>
      <c r="AC47" s="197">
        <f>RANK(AB47,$AB$47:$AB$61)</f>
        <v>4</v>
      </c>
      <c r="AD47" s="668">
        <f>AVERAGE(AB47:AB61)</f>
        <v>129.63181818181818</v>
      </c>
      <c r="AE47" s="198">
        <v>15</v>
      </c>
      <c r="AF47" s="198">
        <v>1473</v>
      </c>
      <c r="AG47" s="328">
        <f>AF47/AE47</f>
        <v>98.2</v>
      </c>
      <c r="AH47" s="197">
        <f>RANK(AG47,$AG$47:$AG$61)</f>
        <v>4</v>
      </c>
      <c r="AI47" s="668">
        <f>AVERAGE(AG47:AG61)</f>
        <v>124.68636363636364</v>
      </c>
      <c r="AJ47" s="198">
        <v>15</v>
      </c>
      <c r="AK47" s="198">
        <v>1581</v>
      </c>
      <c r="AL47" s="199">
        <f>AK47/AJ47</f>
        <v>105.4</v>
      </c>
      <c r="AM47" s="197">
        <f>RANK(AL47, $AL$47:$AL$61)</f>
        <v>4</v>
      </c>
      <c r="AN47" s="668">
        <f>AVERAGE(AL47:AL61)</f>
        <v>122.98636363636363</v>
      </c>
      <c r="AO47" s="198">
        <v>14.5</v>
      </c>
      <c r="AP47" s="198">
        <v>1496</v>
      </c>
      <c r="AQ47" s="199">
        <f>AP47/AO47</f>
        <v>103.17241379310344</v>
      </c>
      <c r="AR47" s="197">
        <f>RANK(AQ47,$AQ$47:$AQ$61)</f>
        <v>4</v>
      </c>
      <c r="AS47" s="668">
        <f>AVERAGE(AQ47:AQ61)</f>
        <v>132.0885579937304</v>
      </c>
      <c r="AT47" s="198">
        <v>15</v>
      </c>
      <c r="AU47" s="198">
        <v>1562</v>
      </c>
      <c r="AV47" s="199">
        <f>AU47/AT47</f>
        <v>104.13333333333334</v>
      </c>
      <c r="AW47" s="197">
        <f>RANK(AV47,$AV$47:$AV$61)</f>
        <v>4</v>
      </c>
      <c r="AX47" s="668">
        <f>AVERAGE(AV47:AV61)</f>
        <v>125.77854864433812</v>
      </c>
    </row>
    <row r="48" spans="2:50" ht="13.5">
      <c r="B48" s="656"/>
      <c r="C48" s="197">
        <v>2</v>
      </c>
      <c r="D48" s="201" t="s">
        <v>100</v>
      </c>
      <c r="E48" s="198">
        <f>VLOOKUP(D48,'07產線配置圖'!$A$27:$C$34,2,0)</f>
        <v>11</v>
      </c>
      <c r="F48" s="198">
        <f>VLOOKUP(D48,'07產線配置圖'!$A$27:$C$34,3,0)</f>
        <v>1636</v>
      </c>
      <c r="G48" s="199">
        <f t="shared" si="31"/>
        <v>148.72727272727272</v>
      </c>
      <c r="H48" s="658"/>
      <c r="I48" s="198">
        <f>AVERAGE(P48,U48,Z48,AE48,AJ48,AO48,AT48)</f>
        <v>11</v>
      </c>
      <c r="J48" s="198">
        <f t="shared" ref="J48:K50" si="32">AVERAGE(Q48,V48,AA48,AF48,AK48,AP48,AU48)</f>
        <v>1504.8571428571429</v>
      </c>
      <c r="K48" s="199">
        <f t="shared" si="32"/>
        <v>136.80519480519482</v>
      </c>
      <c r="L48" s="658"/>
      <c r="M48" s="198">
        <f>RANK(K48, K$47:$K$61)</f>
        <v>2</v>
      </c>
      <c r="N48" s="655"/>
      <c r="O48" s="655"/>
      <c r="P48" s="198">
        <v>11</v>
      </c>
      <c r="Q48" s="198">
        <v>1564</v>
      </c>
      <c r="R48" s="199">
        <f t="shared" ref="R48:R50" si="33">Q48/P48</f>
        <v>142.18181818181819</v>
      </c>
      <c r="S48" s="197">
        <f t="shared" ref="S48:S50" si="34">RANK(R48,$R$47:$R$61)</f>
        <v>1</v>
      </c>
      <c r="T48" s="668"/>
      <c r="U48" s="198">
        <v>11</v>
      </c>
      <c r="V48" s="198">
        <v>1542</v>
      </c>
      <c r="W48" s="199">
        <f>V48/U48</f>
        <v>140.18181818181819</v>
      </c>
      <c r="X48" s="197">
        <f>RANK(W48,$W$47:$W$61)</f>
        <v>1</v>
      </c>
      <c r="Y48" s="668"/>
      <c r="Z48" s="198">
        <v>11</v>
      </c>
      <c r="AA48" s="198">
        <v>1494</v>
      </c>
      <c r="AB48" s="199">
        <f t="shared" ref="AB48:AB49" si="35">AA48/Z48</f>
        <v>135.81818181818181</v>
      </c>
      <c r="AC48" s="197">
        <f t="shared" ref="AC48:AC49" si="36">RANK(AB48,$AB$47:$AB$61)</f>
        <v>2</v>
      </c>
      <c r="AD48" s="668"/>
      <c r="AE48" s="198">
        <v>11</v>
      </c>
      <c r="AF48" s="198">
        <v>1475</v>
      </c>
      <c r="AG48" s="199">
        <f>AF48/AE48</f>
        <v>134.09090909090909</v>
      </c>
      <c r="AH48" s="197">
        <f>RANK(AG48,$AG$47:$AG$61)</f>
        <v>2</v>
      </c>
      <c r="AI48" s="668"/>
      <c r="AJ48" s="198">
        <v>11</v>
      </c>
      <c r="AK48" s="198">
        <v>1364</v>
      </c>
      <c r="AL48" s="328">
        <f t="shared" ref="AL48:AL49" si="37">AK48/AJ48</f>
        <v>124</v>
      </c>
      <c r="AM48" s="197">
        <f t="shared" ref="AM48:AM49" si="38">RANK(AL48, $AL$47:$AL$61)</f>
        <v>3</v>
      </c>
      <c r="AN48" s="668"/>
      <c r="AO48" s="198">
        <v>11</v>
      </c>
      <c r="AP48" s="198">
        <v>1553</v>
      </c>
      <c r="AQ48" s="199">
        <f t="shared" ref="AQ48:AQ49" si="39">AP48/AO48</f>
        <v>141.18181818181819</v>
      </c>
      <c r="AR48" s="197">
        <f t="shared" ref="AR48:AR49" si="40">RANK(AQ48,$AQ$47:$AQ$61)</f>
        <v>2</v>
      </c>
      <c r="AS48" s="668"/>
      <c r="AT48" s="198">
        <v>11</v>
      </c>
      <c r="AU48" s="198">
        <v>1542</v>
      </c>
      <c r="AV48" s="199">
        <f t="shared" ref="AV48:AV49" si="41">AU48/AT48</f>
        <v>140.18181818181819</v>
      </c>
      <c r="AW48" s="197">
        <f t="shared" ref="AW48:AW49" si="42">RANK(AV48,$AV$47:$AV$61)</f>
        <v>1</v>
      </c>
      <c r="AX48" s="668"/>
    </row>
    <row r="49" spans="2:50" ht="13.5">
      <c r="B49" s="656"/>
      <c r="C49" s="197">
        <v>3</v>
      </c>
      <c r="D49" s="201" t="s">
        <v>101</v>
      </c>
      <c r="E49" s="198">
        <f>VLOOKUP(D49,'07產線配置圖'!$A$27:$C$34,2,0)</f>
        <v>11</v>
      </c>
      <c r="F49" s="198">
        <f>VLOOKUP(D49,'07產線配置圖'!$A$27:$C$34,3,0)</f>
        <v>1636</v>
      </c>
      <c r="G49" s="199">
        <f>F49/E49</f>
        <v>148.72727272727272</v>
      </c>
      <c r="H49" s="658"/>
      <c r="I49" s="198">
        <f>AVERAGE(P49,U49,Z49,AE49,AJ49,AO49,AT49)</f>
        <v>11</v>
      </c>
      <c r="J49" s="198">
        <f t="shared" si="32"/>
        <v>1373.8571428571429</v>
      </c>
      <c r="K49" s="199">
        <f t="shared" si="32"/>
        <v>124.8961038961039</v>
      </c>
      <c r="L49" s="658"/>
      <c r="M49" s="198">
        <f>RANK(K49, K$47:$K$61)</f>
        <v>3</v>
      </c>
      <c r="N49" s="655"/>
      <c r="O49" s="655"/>
      <c r="P49" s="198">
        <v>11</v>
      </c>
      <c r="Q49" s="198">
        <v>1102</v>
      </c>
      <c r="R49" s="199">
        <f t="shared" si="33"/>
        <v>100.18181818181819</v>
      </c>
      <c r="S49" s="197">
        <f t="shared" si="34"/>
        <v>4</v>
      </c>
      <c r="T49" s="668"/>
      <c r="U49" s="198">
        <v>11</v>
      </c>
      <c r="V49" s="198">
        <v>1202</v>
      </c>
      <c r="W49" s="199">
        <f>V49/U49</f>
        <v>109.27272727272727</v>
      </c>
      <c r="X49" s="197">
        <f>RANK(W49,$W$47:$W$61)</f>
        <v>3</v>
      </c>
      <c r="Y49" s="668"/>
      <c r="Z49" s="198">
        <v>11</v>
      </c>
      <c r="AA49" s="198">
        <v>1607</v>
      </c>
      <c r="AB49" s="199">
        <f t="shared" si="35"/>
        <v>146.09090909090909</v>
      </c>
      <c r="AC49" s="197">
        <f t="shared" si="36"/>
        <v>1</v>
      </c>
      <c r="AD49" s="668"/>
      <c r="AE49" s="198">
        <v>11</v>
      </c>
      <c r="AF49" s="198">
        <v>1416</v>
      </c>
      <c r="AG49" s="199">
        <f t="shared" ref="AG49:AG50" si="43">AF49/AE49</f>
        <v>128.72727272727272</v>
      </c>
      <c r="AH49" s="197">
        <f t="shared" ref="AH49:AH50" si="44">RANK(AG49,$AG$47:$AG$61)</f>
        <v>3</v>
      </c>
      <c r="AI49" s="668"/>
      <c r="AJ49" s="198">
        <v>11</v>
      </c>
      <c r="AK49" s="198">
        <v>1370</v>
      </c>
      <c r="AL49" s="328">
        <f t="shared" si="37"/>
        <v>124.54545454545455</v>
      </c>
      <c r="AM49" s="197">
        <f t="shared" si="38"/>
        <v>2</v>
      </c>
      <c r="AN49" s="668"/>
      <c r="AO49" s="198">
        <v>11</v>
      </c>
      <c r="AP49" s="198">
        <v>1575</v>
      </c>
      <c r="AQ49" s="199">
        <f t="shared" si="39"/>
        <v>143.18181818181819</v>
      </c>
      <c r="AR49" s="197">
        <f t="shared" si="40"/>
        <v>1</v>
      </c>
      <c r="AS49" s="668"/>
      <c r="AT49" s="198">
        <v>11</v>
      </c>
      <c r="AU49" s="198">
        <v>1345</v>
      </c>
      <c r="AV49" s="199">
        <f t="shared" si="41"/>
        <v>122.27272727272727</v>
      </c>
      <c r="AW49" s="197">
        <f t="shared" si="42"/>
        <v>3</v>
      </c>
      <c r="AX49" s="668"/>
    </row>
    <row r="50" spans="2:50" ht="13.5">
      <c r="B50" s="656"/>
      <c r="C50" s="197">
        <v>4</v>
      </c>
      <c r="D50" s="201" t="s">
        <v>102</v>
      </c>
      <c r="E50" s="198">
        <f>VLOOKUP(D50,'07產線配置圖'!$A$27:$C$34,2,0)</f>
        <v>11</v>
      </c>
      <c r="F50" s="198">
        <f>VLOOKUP(D50,'07產線配置圖'!$A$27:$C$34,3,0)</f>
        <v>1636</v>
      </c>
      <c r="G50" s="199">
        <f>F50/E50</f>
        <v>148.72727272727272</v>
      </c>
      <c r="H50" s="658"/>
      <c r="I50" s="198">
        <f>AVERAGE(P50,U50,Z50,AE50,AJ50,AO50,AT50)</f>
        <v>10.142857142857142</v>
      </c>
      <c r="J50" s="198">
        <f t="shared" si="32"/>
        <v>1389.2857142857142</v>
      </c>
      <c r="K50" s="199">
        <f t="shared" si="32"/>
        <v>136.9124325966431</v>
      </c>
      <c r="L50" s="658"/>
      <c r="M50" s="198">
        <f>RANK(K50, K$47:$K$61)</f>
        <v>1</v>
      </c>
      <c r="N50" s="655"/>
      <c r="O50" s="655"/>
      <c r="P50" s="515">
        <v>9.5</v>
      </c>
      <c r="Q50" s="198">
        <v>1264</v>
      </c>
      <c r="R50" s="199">
        <f t="shared" si="33"/>
        <v>133.05263157894737</v>
      </c>
      <c r="S50" s="197">
        <f t="shared" si="34"/>
        <v>2</v>
      </c>
      <c r="T50" s="668"/>
      <c r="U50" s="515">
        <v>9</v>
      </c>
      <c r="V50" s="198">
        <v>1237</v>
      </c>
      <c r="W50" s="199">
        <f>V50/U50</f>
        <v>137.44444444444446</v>
      </c>
      <c r="X50" s="197">
        <f>RANK(W50,$W$47:$W$61)</f>
        <v>2</v>
      </c>
      <c r="Y50" s="668"/>
      <c r="Z50" s="198">
        <v>11</v>
      </c>
      <c r="AA50" s="198">
        <v>1483</v>
      </c>
      <c r="AB50" s="199">
        <f>AA50/Z50</f>
        <v>134.81818181818181</v>
      </c>
      <c r="AC50" s="197">
        <f>RANK(AB50,$AB$47:$AB$61)</f>
        <v>3</v>
      </c>
      <c r="AD50" s="668"/>
      <c r="AE50" s="198">
        <v>11</v>
      </c>
      <c r="AF50" s="198">
        <v>1515</v>
      </c>
      <c r="AG50" s="199">
        <f t="shared" si="43"/>
        <v>137.72727272727272</v>
      </c>
      <c r="AH50" s="197">
        <f t="shared" si="44"/>
        <v>1</v>
      </c>
      <c r="AI50" s="668"/>
      <c r="AJ50" s="515">
        <v>10</v>
      </c>
      <c r="AK50" s="198">
        <v>1380</v>
      </c>
      <c r="AL50" s="199">
        <f>AK50/AJ50</f>
        <v>138</v>
      </c>
      <c r="AM50" s="197">
        <f>RANK(AL50, $AL$47:$AL$61)</f>
        <v>1</v>
      </c>
      <c r="AN50" s="668"/>
      <c r="AO50" s="198">
        <v>11</v>
      </c>
      <c r="AP50" s="198">
        <v>1549</v>
      </c>
      <c r="AQ50" s="199">
        <f>AP50/AO50</f>
        <v>140.81818181818181</v>
      </c>
      <c r="AR50" s="197">
        <f>RANK(AQ50,$AQ$47:$AQ$61)</f>
        <v>3</v>
      </c>
      <c r="AS50" s="668"/>
      <c r="AT50" s="515">
        <v>9.5</v>
      </c>
      <c r="AU50" s="198">
        <v>1297</v>
      </c>
      <c r="AV50" s="199">
        <f>AU50/AT50</f>
        <v>136.52631578947367</v>
      </c>
      <c r="AW50" s="197">
        <f>RANK(AV50,$AV$47:$AV$61)</f>
        <v>2</v>
      </c>
      <c r="AX50" s="668"/>
    </row>
    <row r="51" spans="2:50" ht="13.5">
      <c r="B51" s="656"/>
      <c r="C51" s="197">
        <v>5</v>
      </c>
      <c r="D51" s="201"/>
      <c r="E51" s="198"/>
      <c r="F51" s="198"/>
      <c r="G51" s="199"/>
      <c r="H51" s="658"/>
      <c r="I51" s="198"/>
      <c r="J51" s="198"/>
      <c r="K51" s="199"/>
      <c r="L51" s="658"/>
      <c r="M51" s="198"/>
      <c r="N51" s="655"/>
      <c r="O51" s="655"/>
      <c r="P51" s="198"/>
      <c r="Q51" s="198"/>
      <c r="R51" s="197"/>
      <c r="S51" s="197"/>
      <c r="T51" s="668"/>
      <c r="U51" s="198"/>
      <c r="V51" s="198"/>
      <c r="W51" s="197"/>
      <c r="X51" s="197"/>
      <c r="Y51" s="668"/>
      <c r="Z51" s="198"/>
      <c r="AA51" s="198"/>
      <c r="AB51" s="197"/>
      <c r="AC51" s="197"/>
      <c r="AD51" s="668"/>
      <c r="AE51" s="198"/>
      <c r="AF51" s="198"/>
      <c r="AG51" s="197"/>
      <c r="AH51" s="197"/>
      <c r="AI51" s="668"/>
      <c r="AJ51" s="198"/>
      <c r="AK51" s="198"/>
      <c r="AL51" s="197"/>
      <c r="AM51" s="197"/>
      <c r="AN51" s="668"/>
      <c r="AO51" s="198"/>
      <c r="AP51" s="198"/>
      <c r="AQ51" s="197"/>
      <c r="AR51" s="197"/>
      <c r="AS51" s="668"/>
      <c r="AT51" s="198"/>
      <c r="AU51" s="198"/>
      <c r="AV51" s="197"/>
      <c r="AW51" s="197"/>
      <c r="AX51" s="668"/>
    </row>
    <row r="52" spans="2:50" ht="13.5">
      <c r="B52" s="656"/>
      <c r="C52" s="197">
        <v>6</v>
      </c>
      <c r="D52" s="201"/>
      <c r="E52" s="198"/>
      <c r="F52" s="198"/>
      <c r="G52" s="199"/>
      <c r="H52" s="658"/>
      <c r="I52" s="198"/>
      <c r="J52" s="198"/>
      <c r="K52" s="199"/>
      <c r="L52" s="658"/>
      <c r="M52" s="198"/>
      <c r="N52" s="655"/>
      <c r="O52" s="655"/>
      <c r="P52" s="198"/>
      <c r="Q52" s="198"/>
      <c r="R52" s="197"/>
      <c r="S52" s="197"/>
      <c r="T52" s="668"/>
      <c r="U52" s="198"/>
      <c r="V52" s="198"/>
      <c r="W52" s="197"/>
      <c r="X52" s="197"/>
      <c r="Y52" s="668"/>
      <c r="Z52" s="198"/>
      <c r="AA52" s="198"/>
      <c r="AB52" s="197"/>
      <c r="AC52" s="197"/>
      <c r="AD52" s="668"/>
      <c r="AE52" s="198"/>
      <c r="AF52" s="198"/>
      <c r="AG52" s="197"/>
      <c r="AH52" s="197"/>
      <c r="AI52" s="668"/>
      <c r="AJ52" s="198"/>
      <c r="AK52" s="198"/>
      <c r="AL52" s="197"/>
      <c r="AM52" s="197"/>
      <c r="AN52" s="668"/>
      <c r="AO52" s="198"/>
      <c r="AP52" s="198"/>
      <c r="AQ52" s="197"/>
      <c r="AR52" s="197"/>
      <c r="AS52" s="668"/>
      <c r="AT52" s="198"/>
      <c r="AU52" s="198"/>
      <c r="AV52" s="197"/>
      <c r="AW52" s="197"/>
      <c r="AX52" s="668"/>
    </row>
    <row r="53" spans="2:50" ht="13.5">
      <c r="B53" s="656"/>
      <c r="C53" s="197">
        <v>7</v>
      </c>
      <c r="D53" s="201"/>
      <c r="E53" s="198"/>
      <c r="F53" s="198"/>
      <c r="G53" s="199"/>
      <c r="H53" s="658"/>
      <c r="I53" s="198"/>
      <c r="J53" s="198"/>
      <c r="K53" s="199"/>
      <c r="L53" s="658"/>
      <c r="M53" s="198"/>
      <c r="N53" s="655"/>
      <c r="O53" s="655"/>
      <c r="P53" s="198"/>
      <c r="Q53" s="198"/>
      <c r="R53" s="197"/>
      <c r="S53" s="197"/>
      <c r="T53" s="668"/>
      <c r="U53" s="198"/>
      <c r="V53" s="198"/>
      <c r="W53" s="197"/>
      <c r="X53" s="197"/>
      <c r="Y53" s="668"/>
      <c r="Z53" s="198"/>
      <c r="AA53" s="198"/>
      <c r="AB53" s="197"/>
      <c r="AC53" s="197"/>
      <c r="AD53" s="668"/>
      <c r="AE53" s="198"/>
      <c r="AF53" s="198"/>
      <c r="AG53" s="197"/>
      <c r="AH53" s="197"/>
      <c r="AI53" s="668"/>
      <c r="AJ53" s="198"/>
      <c r="AK53" s="198"/>
      <c r="AL53" s="197"/>
      <c r="AM53" s="197"/>
      <c r="AN53" s="668"/>
      <c r="AO53" s="198"/>
      <c r="AP53" s="198"/>
      <c r="AQ53" s="197"/>
      <c r="AR53" s="197"/>
      <c r="AS53" s="668"/>
      <c r="AT53" s="198"/>
      <c r="AU53" s="198"/>
      <c r="AV53" s="197"/>
      <c r="AW53" s="197"/>
      <c r="AX53" s="668"/>
    </row>
    <row r="54" spans="2:50" ht="13.5">
      <c r="B54" s="656"/>
      <c r="C54" s="197">
        <v>8</v>
      </c>
      <c r="D54" s="201"/>
      <c r="E54" s="197"/>
      <c r="F54" s="197"/>
      <c r="G54" s="197"/>
      <c r="H54" s="658"/>
      <c r="I54" s="198"/>
      <c r="J54" s="198"/>
      <c r="K54" s="199"/>
      <c r="L54" s="658"/>
      <c r="M54" s="198"/>
      <c r="N54" s="655"/>
      <c r="O54" s="655"/>
      <c r="P54" s="198"/>
      <c r="Q54" s="198"/>
      <c r="R54" s="197"/>
      <c r="S54" s="197"/>
      <c r="T54" s="668"/>
      <c r="U54" s="198"/>
      <c r="V54" s="198"/>
      <c r="W54" s="197"/>
      <c r="X54" s="197"/>
      <c r="Y54" s="668"/>
      <c r="Z54" s="198"/>
      <c r="AA54" s="198"/>
      <c r="AB54" s="197"/>
      <c r="AC54" s="197"/>
      <c r="AD54" s="668"/>
      <c r="AE54" s="198"/>
      <c r="AF54" s="198"/>
      <c r="AG54" s="197"/>
      <c r="AH54" s="197"/>
      <c r="AI54" s="668"/>
      <c r="AJ54" s="198"/>
      <c r="AK54" s="198"/>
      <c r="AL54" s="197"/>
      <c r="AM54" s="197"/>
      <c r="AN54" s="668"/>
      <c r="AO54" s="198"/>
      <c r="AP54" s="198"/>
      <c r="AQ54" s="197"/>
      <c r="AR54" s="197"/>
      <c r="AS54" s="668"/>
      <c r="AT54" s="198"/>
      <c r="AU54" s="198"/>
      <c r="AV54" s="197"/>
      <c r="AW54" s="197"/>
      <c r="AX54" s="668"/>
    </row>
    <row r="55" spans="2:50" ht="13.5">
      <c r="B55" s="656"/>
      <c r="C55" s="197">
        <v>9</v>
      </c>
      <c r="D55" s="201"/>
      <c r="E55" s="197"/>
      <c r="F55" s="197"/>
      <c r="G55" s="197"/>
      <c r="H55" s="658"/>
      <c r="I55" s="198"/>
      <c r="J55" s="198"/>
      <c r="K55" s="199"/>
      <c r="L55" s="658"/>
      <c r="M55" s="198"/>
      <c r="N55" s="655"/>
      <c r="O55" s="655"/>
      <c r="P55" s="198"/>
      <c r="Q55" s="198"/>
      <c r="R55" s="197"/>
      <c r="S55" s="197"/>
      <c r="T55" s="668"/>
      <c r="U55" s="198"/>
      <c r="V55" s="198"/>
      <c r="W55" s="197"/>
      <c r="X55" s="197"/>
      <c r="Y55" s="668"/>
      <c r="Z55" s="198"/>
      <c r="AA55" s="198"/>
      <c r="AB55" s="197"/>
      <c r="AC55" s="197"/>
      <c r="AD55" s="668"/>
      <c r="AE55" s="198"/>
      <c r="AF55" s="198"/>
      <c r="AG55" s="197"/>
      <c r="AH55" s="197"/>
      <c r="AI55" s="668"/>
      <c r="AJ55" s="198"/>
      <c r="AK55" s="198"/>
      <c r="AL55" s="197"/>
      <c r="AM55" s="197"/>
      <c r="AN55" s="668"/>
      <c r="AO55" s="198"/>
      <c r="AP55" s="198"/>
      <c r="AQ55" s="197"/>
      <c r="AR55" s="197"/>
      <c r="AS55" s="668"/>
      <c r="AT55" s="198"/>
      <c r="AU55" s="198"/>
      <c r="AV55" s="197"/>
      <c r="AW55" s="197"/>
      <c r="AX55" s="668"/>
    </row>
    <row r="56" spans="2:50" ht="13.5">
      <c r="B56" s="656"/>
      <c r="C56" s="197">
        <v>10</v>
      </c>
      <c r="D56" s="201"/>
      <c r="E56" s="197"/>
      <c r="F56" s="197"/>
      <c r="G56" s="197"/>
      <c r="H56" s="658"/>
      <c r="I56" s="198"/>
      <c r="J56" s="198"/>
      <c r="K56" s="199"/>
      <c r="L56" s="658"/>
      <c r="M56" s="198"/>
      <c r="N56" s="655"/>
      <c r="O56" s="655"/>
      <c r="P56" s="198"/>
      <c r="Q56" s="198"/>
      <c r="R56" s="197"/>
      <c r="S56" s="197"/>
      <c r="T56" s="668"/>
      <c r="U56" s="198"/>
      <c r="V56" s="198"/>
      <c r="W56" s="197"/>
      <c r="X56" s="197"/>
      <c r="Y56" s="668"/>
      <c r="Z56" s="198"/>
      <c r="AA56" s="198"/>
      <c r="AB56" s="197"/>
      <c r="AC56" s="197"/>
      <c r="AD56" s="668"/>
      <c r="AE56" s="198"/>
      <c r="AF56" s="198"/>
      <c r="AG56" s="197"/>
      <c r="AH56" s="197"/>
      <c r="AI56" s="668"/>
      <c r="AJ56" s="198"/>
      <c r="AK56" s="198"/>
      <c r="AL56" s="197"/>
      <c r="AM56" s="197"/>
      <c r="AN56" s="668"/>
      <c r="AO56" s="198"/>
      <c r="AP56" s="198"/>
      <c r="AQ56" s="197"/>
      <c r="AR56" s="197"/>
      <c r="AS56" s="668"/>
      <c r="AT56" s="198"/>
      <c r="AU56" s="198"/>
      <c r="AV56" s="197"/>
      <c r="AW56" s="197"/>
      <c r="AX56" s="668"/>
    </row>
    <row r="57" spans="2:50" ht="13.5">
      <c r="B57" s="656"/>
      <c r="C57" s="197">
        <v>11</v>
      </c>
      <c r="D57" s="201"/>
      <c r="E57" s="197"/>
      <c r="F57" s="197"/>
      <c r="G57" s="197"/>
      <c r="H57" s="658"/>
      <c r="I57" s="198"/>
      <c r="J57" s="198"/>
      <c r="K57" s="199"/>
      <c r="L57" s="658"/>
      <c r="M57" s="198"/>
      <c r="N57" s="655"/>
      <c r="O57" s="655"/>
      <c r="P57" s="197"/>
      <c r="Q57" s="197"/>
      <c r="R57" s="197"/>
      <c r="S57" s="197"/>
      <c r="T57" s="668"/>
      <c r="U57" s="197"/>
      <c r="V57" s="197"/>
      <c r="W57" s="197"/>
      <c r="X57" s="197"/>
      <c r="Y57" s="668"/>
      <c r="Z57" s="197"/>
      <c r="AA57" s="197"/>
      <c r="AB57" s="197"/>
      <c r="AC57" s="197"/>
      <c r="AD57" s="668"/>
      <c r="AE57" s="197"/>
      <c r="AF57" s="197"/>
      <c r="AG57" s="197"/>
      <c r="AH57" s="197"/>
      <c r="AI57" s="668"/>
      <c r="AJ57" s="197"/>
      <c r="AK57" s="197"/>
      <c r="AL57" s="197"/>
      <c r="AM57" s="197"/>
      <c r="AN57" s="668"/>
      <c r="AO57" s="197"/>
      <c r="AP57" s="197"/>
      <c r="AQ57" s="197"/>
      <c r="AR57" s="197"/>
      <c r="AS57" s="668"/>
      <c r="AT57" s="197"/>
      <c r="AU57" s="197"/>
      <c r="AV57" s="197"/>
      <c r="AW57" s="197"/>
      <c r="AX57" s="668"/>
    </row>
    <row r="58" spans="2:50" ht="13.5">
      <c r="B58" s="656"/>
      <c r="C58" s="197">
        <v>12</v>
      </c>
      <c r="D58" s="201"/>
      <c r="E58" s="197"/>
      <c r="F58" s="197"/>
      <c r="G58" s="197"/>
      <c r="H58" s="658"/>
      <c r="I58" s="198"/>
      <c r="J58" s="198"/>
      <c r="K58" s="199"/>
      <c r="L58" s="658"/>
      <c r="M58" s="198"/>
      <c r="N58" s="655"/>
      <c r="O58" s="655"/>
      <c r="P58" s="197"/>
      <c r="Q58" s="197"/>
      <c r="R58" s="197"/>
      <c r="S58" s="197"/>
      <c r="T58" s="668"/>
      <c r="U58" s="197"/>
      <c r="V58" s="197"/>
      <c r="W58" s="197"/>
      <c r="X58" s="197"/>
      <c r="Y58" s="668"/>
      <c r="Z58" s="197"/>
      <c r="AA58" s="197"/>
      <c r="AB58" s="197"/>
      <c r="AC58" s="197"/>
      <c r="AD58" s="668"/>
      <c r="AE58" s="197"/>
      <c r="AF58" s="197"/>
      <c r="AG58" s="197"/>
      <c r="AH58" s="197"/>
      <c r="AI58" s="668"/>
      <c r="AJ58" s="197"/>
      <c r="AK58" s="197"/>
      <c r="AL58" s="197"/>
      <c r="AM58" s="197"/>
      <c r="AN58" s="668"/>
      <c r="AO58" s="197"/>
      <c r="AP58" s="197"/>
      <c r="AQ58" s="197"/>
      <c r="AR58" s="197"/>
      <c r="AS58" s="668"/>
      <c r="AT58" s="197"/>
      <c r="AU58" s="197"/>
      <c r="AV58" s="197"/>
      <c r="AW58" s="197"/>
      <c r="AX58" s="668"/>
    </row>
    <row r="59" spans="2:50" ht="13.5">
      <c r="B59" s="656"/>
      <c r="C59" s="197">
        <v>13</v>
      </c>
      <c r="D59" s="201"/>
      <c r="E59" s="197"/>
      <c r="F59" s="197"/>
      <c r="G59" s="197"/>
      <c r="H59" s="658"/>
      <c r="I59" s="198"/>
      <c r="J59" s="198"/>
      <c r="K59" s="199"/>
      <c r="L59" s="658"/>
      <c r="M59" s="198"/>
      <c r="N59" s="655"/>
      <c r="O59" s="655"/>
      <c r="P59" s="197"/>
      <c r="Q59" s="197"/>
      <c r="R59" s="197"/>
      <c r="S59" s="197"/>
      <c r="T59" s="668"/>
      <c r="U59" s="197"/>
      <c r="V59" s="197"/>
      <c r="W59" s="197"/>
      <c r="X59" s="197"/>
      <c r="Y59" s="668"/>
      <c r="Z59" s="197"/>
      <c r="AA59" s="197"/>
      <c r="AB59" s="197"/>
      <c r="AC59" s="197"/>
      <c r="AD59" s="668"/>
      <c r="AE59" s="197"/>
      <c r="AF59" s="197"/>
      <c r="AG59" s="197"/>
      <c r="AH59" s="197"/>
      <c r="AI59" s="668"/>
      <c r="AJ59" s="197"/>
      <c r="AK59" s="197"/>
      <c r="AL59" s="197"/>
      <c r="AM59" s="197"/>
      <c r="AN59" s="668"/>
      <c r="AO59" s="197"/>
      <c r="AP59" s="197"/>
      <c r="AQ59" s="197"/>
      <c r="AR59" s="197"/>
      <c r="AS59" s="668"/>
      <c r="AT59" s="197"/>
      <c r="AU59" s="197"/>
      <c r="AV59" s="197"/>
      <c r="AW59" s="197"/>
      <c r="AX59" s="668"/>
    </row>
    <row r="60" spans="2:50" ht="13.5">
      <c r="B60" s="656"/>
      <c r="C60" s="197">
        <v>14</v>
      </c>
      <c r="D60" s="201"/>
      <c r="E60" s="197"/>
      <c r="F60" s="197"/>
      <c r="G60" s="197"/>
      <c r="H60" s="658"/>
      <c r="I60" s="198"/>
      <c r="J60" s="198"/>
      <c r="K60" s="199"/>
      <c r="L60" s="658"/>
      <c r="M60" s="198"/>
      <c r="N60" s="655"/>
      <c r="O60" s="655"/>
      <c r="P60" s="197"/>
      <c r="Q60" s="197"/>
      <c r="R60" s="197"/>
      <c r="S60" s="197"/>
      <c r="T60" s="668"/>
      <c r="U60" s="197"/>
      <c r="V60" s="197"/>
      <c r="W60" s="197"/>
      <c r="X60" s="197"/>
      <c r="Y60" s="668"/>
      <c r="Z60" s="197"/>
      <c r="AA60" s="197"/>
      <c r="AB60" s="197"/>
      <c r="AC60" s="197"/>
      <c r="AD60" s="668"/>
      <c r="AE60" s="197"/>
      <c r="AF60" s="197"/>
      <c r="AG60" s="197"/>
      <c r="AH60" s="197"/>
      <c r="AI60" s="668"/>
      <c r="AJ60" s="197"/>
      <c r="AK60" s="197"/>
      <c r="AL60" s="197"/>
      <c r="AM60" s="197"/>
      <c r="AN60" s="668"/>
      <c r="AO60" s="197"/>
      <c r="AP60" s="197"/>
      <c r="AQ60" s="197"/>
      <c r="AR60" s="197"/>
      <c r="AS60" s="668"/>
      <c r="AT60" s="197"/>
      <c r="AU60" s="197"/>
      <c r="AV60" s="197"/>
      <c r="AW60" s="197"/>
      <c r="AX60" s="668"/>
    </row>
    <row r="61" spans="2:50" ht="13.5">
      <c r="B61" s="656"/>
      <c r="C61" s="197">
        <v>15</v>
      </c>
      <c r="D61" s="201"/>
      <c r="E61" s="197"/>
      <c r="F61" s="197"/>
      <c r="G61" s="197"/>
      <c r="H61" s="659"/>
      <c r="I61" s="198"/>
      <c r="J61" s="198"/>
      <c r="K61" s="199"/>
      <c r="L61" s="659"/>
      <c r="M61" s="198"/>
      <c r="N61" s="655"/>
      <c r="O61" s="655"/>
      <c r="P61" s="197"/>
      <c r="Q61" s="197"/>
      <c r="R61" s="197"/>
      <c r="S61" s="197"/>
      <c r="T61" s="668"/>
      <c r="U61" s="197"/>
      <c r="V61" s="197"/>
      <c r="W61" s="197"/>
      <c r="X61" s="197"/>
      <c r="Y61" s="668"/>
      <c r="Z61" s="197"/>
      <c r="AA61" s="197"/>
      <c r="AB61" s="197"/>
      <c r="AC61" s="197"/>
      <c r="AD61" s="668"/>
      <c r="AE61" s="197"/>
      <c r="AF61" s="197"/>
      <c r="AG61" s="197"/>
      <c r="AH61" s="197"/>
      <c r="AI61" s="668"/>
      <c r="AJ61" s="197"/>
      <c r="AK61" s="197"/>
      <c r="AL61" s="197"/>
      <c r="AM61" s="197"/>
      <c r="AN61" s="668"/>
      <c r="AO61" s="197"/>
      <c r="AP61" s="197"/>
      <c r="AQ61" s="197"/>
      <c r="AR61" s="197"/>
      <c r="AS61" s="668"/>
      <c r="AT61" s="197"/>
      <c r="AU61" s="197"/>
      <c r="AV61" s="197"/>
      <c r="AW61" s="197"/>
      <c r="AX61" s="668"/>
    </row>
    <row r="62" spans="2:50" ht="15.75">
      <c r="B62" s="650" t="s">
        <v>85</v>
      </c>
      <c r="C62" s="651"/>
      <c r="D62" s="651"/>
      <c r="E62" s="651"/>
      <c r="F62" s="651"/>
      <c r="G62" s="651"/>
      <c r="H62" s="651"/>
      <c r="I62" s="202"/>
      <c r="J62" s="202"/>
      <c r="K62" s="202"/>
      <c r="L62" s="202"/>
      <c r="M62" s="203"/>
      <c r="N62" s="653" t="s">
        <v>86</v>
      </c>
      <c r="O62" s="653" t="s">
        <v>45</v>
      </c>
      <c r="P62" s="664">
        <f>AT42+1</f>
        <v>46252</v>
      </c>
      <c r="Q62" s="656"/>
      <c r="R62" s="656"/>
      <c r="S62" s="656"/>
      <c r="T62" s="656"/>
      <c r="U62" s="664">
        <f>P62+1</f>
        <v>46253</v>
      </c>
      <c r="V62" s="656"/>
      <c r="W62" s="656"/>
      <c r="X62" s="656"/>
      <c r="Y62" s="656"/>
      <c r="Z62" s="664">
        <f>Z42+7</f>
        <v>46254</v>
      </c>
      <c r="AA62" s="656"/>
      <c r="AB62" s="656"/>
      <c r="AC62" s="656"/>
      <c r="AD62" s="656"/>
      <c r="AE62" s="664">
        <f>AE42+7</f>
        <v>46255</v>
      </c>
      <c r="AF62" s="656"/>
      <c r="AG62" s="656"/>
      <c r="AH62" s="656"/>
      <c r="AI62" s="656"/>
      <c r="AJ62" s="664">
        <f>AJ42+7</f>
        <v>46256</v>
      </c>
      <c r="AK62" s="656"/>
      <c r="AL62" s="656"/>
      <c r="AM62" s="656"/>
      <c r="AN62" s="656"/>
      <c r="AO62" s="664">
        <f>AO42+7</f>
        <v>46257</v>
      </c>
      <c r="AP62" s="656"/>
      <c r="AQ62" s="656"/>
      <c r="AR62" s="656"/>
      <c r="AS62" s="656"/>
      <c r="AT62" s="664">
        <f>AT42+7</f>
        <v>46258</v>
      </c>
      <c r="AU62" s="656"/>
      <c r="AV62" s="656"/>
      <c r="AW62" s="656"/>
      <c r="AX62" s="656"/>
    </row>
    <row r="63" spans="2:50" ht="15.75">
      <c r="B63" s="652"/>
      <c r="C63" s="652"/>
      <c r="D63" s="652"/>
      <c r="E63" s="652"/>
      <c r="F63" s="652"/>
      <c r="G63" s="652"/>
      <c r="H63" s="652"/>
      <c r="I63" s="193"/>
      <c r="J63" s="193"/>
      <c r="K63" s="193"/>
      <c r="L63" s="193"/>
      <c r="M63" s="194"/>
      <c r="N63" s="654"/>
      <c r="O63" s="654"/>
      <c r="P63" s="664" t="s">
        <v>58</v>
      </c>
      <c r="Q63" s="656"/>
      <c r="R63" s="656"/>
      <c r="S63" s="656"/>
      <c r="T63" s="656"/>
      <c r="U63" s="664" t="s">
        <v>59</v>
      </c>
      <c r="V63" s="656"/>
      <c r="W63" s="656"/>
      <c r="X63" s="656"/>
      <c r="Y63" s="656"/>
      <c r="Z63" s="664" t="s">
        <v>60</v>
      </c>
      <c r="AA63" s="656"/>
      <c r="AB63" s="656"/>
      <c r="AC63" s="656"/>
      <c r="AD63" s="656"/>
      <c r="AE63" s="664" t="s">
        <v>61</v>
      </c>
      <c r="AF63" s="656"/>
      <c r="AG63" s="656"/>
      <c r="AH63" s="656"/>
      <c r="AI63" s="656"/>
      <c r="AJ63" s="664" t="s">
        <v>56</v>
      </c>
      <c r="AK63" s="656"/>
      <c r="AL63" s="656"/>
      <c r="AM63" s="656"/>
      <c r="AN63" s="656"/>
      <c r="AO63" s="664" t="s">
        <v>52</v>
      </c>
      <c r="AP63" s="656"/>
      <c r="AQ63" s="656"/>
      <c r="AR63" s="656"/>
      <c r="AS63" s="656"/>
      <c r="AT63" s="664" t="s">
        <v>57</v>
      </c>
      <c r="AU63" s="656"/>
      <c r="AV63" s="656"/>
      <c r="AW63" s="656"/>
      <c r="AX63" s="656"/>
    </row>
    <row r="64" spans="2:50">
      <c r="B64" s="655" t="s">
        <v>41</v>
      </c>
      <c r="C64" s="655" t="s">
        <v>87</v>
      </c>
      <c r="D64" s="655"/>
      <c r="E64" s="655" t="s">
        <v>88</v>
      </c>
      <c r="F64" s="655"/>
      <c r="G64" s="655"/>
      <c r="H64" s="660" t="s">
        <v>89</v>
      </c>
      <c r="I64" s="655" t="s">
        <v>90</v>
      </c>
      <c r="J64" s="655"/>
      <c r="K64" s="655"/>
      <c r="L64" s="660" t="s">
        <v>89</v>
      </c>
      <c r="M64" s="653" t="s">
        <v>91</v>
      </c>
      <c r="N64" s="655"/>
      <c r="O64" s="655" t="s">
        <v>92</v>
      </c>
      <c r="P64" s="665" t="s">
        <v>93</v>
      </c>
      <c r="Q64" s="666"/>
      <c r="R64" s="666"/>
      <c r="S64" s="667"/>
      <c r="T64" s="655" t="s">
        <v>89</v>
      </c>
      <c r="U64" s="665" t="s">
        <v>93</v>
      </c>
      <c r="V64" s="666"/>
      <c r="W64" s="666"/>
      <c r="X64" s="667"/>
      <c r="Y64" s="655" t="s">
        <v>89</v>
      </c>
      <c r="Z64" s="665" t="s">
        <v>93</v>
      </c>
      <c r="AA64" s="666"/>
      <c r="AB64" s="666"/>
      <c r="AC64" s="667"/>
      <c r="AD64" s="655" t="s">
        <v>89</v>
      </c>
      <c r="AE64" s="665" t="s">
        <v>93</v>
      </c>
      <c r="AF64" s="666"/>
      <c r="AG64" s="666"/>
      <c r="AH64" s="667"/>
      <c r="AI64" s="655" t="s">
        <v>89</v>
      </c>
      <c r="AJ64" s="665" t="s">
        <v>93</v>
      </c>
      <c r="AK64" s="666"/>
      <c r="AL64" s="666"/>
      <c r="AM64" s="667"/>
      <c r="AN64" s="655" t="s">
        <v>89</v>
      </c>
      <c r="AO64" s="665" t="s">
        <v>93</v>
      </c>
      <c r="AP64" s="666"/>
      <c r="AQ64" s="666"/>
      <c r="AR64" s="667"/>
      <c r="AS64" s="655" t="s">
        <v>89</v>
      </c>
      <c r="AT64" s="665" t="s">
        <v>93</v>
      </c>
      <c r="AU64" s="666"/>
      <c r="AV64" s="666"/>
      <c r="AW64" s="667"/>
      <c r="AX64" s="655" t="s">
        <v>89</v>
      </c>
    </row>
    <row r="65" spans="2:50">
      <c r="B65" s="655"/>
      <c r="C65" s="655"/>
      <c r="D65" s="655"/>
      <c r="E65" s="655" t="s">
        <v>94</v>
      </c>
      <c r="F65" s="655"/>
      <c r="G65" s="655"/>
      <c r="H65" s="661"/>
      <c r="I65" s="655" t="s">
        <v>94</v>
      </c>
      <c r="J65" s="655"/>
      <c r="K65" s="655"/>
      <c r="L65" s="661"/>
      <c r="M65" s="663"/>
      <c r="N65" s="655"/>
      <c r="O65" s="655"/>
      <c r="P65" s="665" t="s">
        <v>95</v>
      </c>
      <c r="Q65" s="666"/>
      <c r="R65" s="666"/>
      <c r="S65" s="667"/>
      <c r="T65" s="655"/>
      <c r="U65" s="665" t="s">
        <v>95</v>
      </c>
      <c r="V65" s="666"/>
      <c r="W65" s="666"/>
      <c r="X65" s="667"/>
      <c r="Y65" s="655"/>
      <c r="Z65" s="665" t="s">
        <v>95</v>
      </c>
      <c r="AA65" s="666"/>
      <c r="AB65" s="666"/>
      <c r="AC65" s="667"/>
      <c r="AD65" s="655"/>
      <c r="AE65" s="665" t="s">
        <v>95</v>
      </c>
      <c r="AF65" s="666"/>
      <c r="AG65" s="666"/>
      <c r="AH65" s="667"/>
      <c r="AI65" s="655"/>
      <c r="AJ65" s="665" t="s">
        <v>95</v>
      </c>
      <c r="AK65" s="666"/>
      <c r="AL65" s="666"/>
      <c r="AM65" s="667"/>
      <c r="AN65" s="655"/>
      <c r="AO65" s="665" t="s">
        <v>95</v>
      </c>
      <c r="AP65" s="666"/>
      <c r="AQ65" s="666"/>
      <c r="AR65" s="667"/>
      <c r="AS65" s="655"/>
      <c r="AT65" s="665" t="s">
        <v>95</v>
      </c>
      <c r="AU65" s="666"/>
      <c r="AV65" s="666"/>
      <c r="AW65" s="667"/>
      <c r="AX65" s="655"/>
    </row>
    <row r="66" spans="2:50">
      <c r="B66" s="655"/>
      <c r="C66" s="655"/>
      <c r="D66" s="655"/>
      <c r="E66" s="196" t="s">
        <v>96</v>
      </c>
      <c r="F66" s="196" t="s">
        <v>97</v>
      </c>
      <c r="G66" s="196" t="s">
        <v>98</v>
      </c>
      <c r="H66" s="662"/>
      <c r="I66" s="196" t="s">
        <v>96</v>
      </c>
      <c r="J66" s="196" t="s">
        <v>97</v>
      </c>
      <c r="K66" s="196" t="s">
        <v>98</v>
      </c>
      <c r="L66" s="662"/>
      <c r="M66" s="654"/>
      <c r="N66" s="655"/>
      <c r="O66" s="655"/>
      <c r="P66" s="196" t="s">
        <v>96</v>
      </c>
      <c r="Q66" s="196" t="s">
        <v>97</v>
      </c>
      <c r="R66" s="196" t="s">
        <v>98</v>
      </c>
      <c r="S66" s="196" t="s">
        <v>91</v>
      </c>
      <c r="T66" s="655"/>
      <c r="U66" s="196" t="s">
        <v>96</v>
      </c>
      <c r="V66" s="196" t="s">
        <v>97</v>
      </c>
      <c r="W66" s="196" t="s">
        <v>98</v>
      </c>
      <c r="X66" s="196" t="s">
        <v>91</v>
      </c>
      <c r="Y66" s="655"/>
      <c r="Z66" s="196" t="s">
        <v>96</v>
      </c>
      <c r="AA66" s="196" t="s">
        <v>97</v>
      </c>
      <c r="AB66" s="196" t="s">
        <v>98</v>
      </c>
      <c r="AC66" s="196" t="s">
        <v>91</v>
      </c>
      <c r="AD66" s="655"/>
      <c r="AE66" s="196" t="s">
        <v>96</v>
      </c>
      <c r="AF66" s="196" t="s">
        <v>97</v>
      </c>
      <c r="AG66" s="196" t="s">
        <v>98</v>
      </c>
      <c r="AH66" s="196" t="s">
        <v>91</v>
      </c>
      <c r="AI66" s="655"/>
      <c r="AJ66" s="196" t="s">
        <v>96</v>
      </c>
      <c r="AK66" s="196" t="s">
        <v>97</v>
      </c>
      <c r="AL66" s="196" t="s">
        <v>98</v>
      </c>
      <c r="AM66" s="196" t="s">
        <v>91</v>
      </c>
      <c r="AN66" s="655"/>
      <c r="AO66" s="196" t="s">
        <v>96</v>
      </c>
      <c r="AP66" s="196" t="s">
        <v>97</v>
      </c>
      <c r="AQ66" s="196" t="s">
        <v>98</v>
      </c>
      <c r="AR66" s="196" t="s">
        <v>91</v>
      </c>
      <c r="AS66" s="655"/>
      <c r="AT66" s="196" t="s">
        <v>96</v>
      </c>
      <c r="AU66" s="196" t="s">
        <v>97</v>
      </c>
      <c r="AV66" s="196" t="s">
        <v>98</v>
      </c>
      <c r="AW66" s="196" t="s">
        <v>91</v>
      </c>
      <c r="AX66" s="655"/>
    </row>
    <row r="67" spans="2:50" ht="13.5">
      <c r="B67" s="655" t="s">
        <v>76</v>
      </c>
      <c r="C67" s="197">
        <v>1</v>
      </c>
      <c r="D67" s="201" t="s">
        <v>99</v>
      </c>
      <c r="E67" s="198">
        <f>VLOOKUP(D67,'07產線配置圖'!$A$27:$C$34,2,0)</f>
        <v>15</v>
      </c>
      <c r="F67" s="198">
        <f>VLOOKUP(D67,'07產線配置圖'!$A$27:$C$34,3,0)</f>
        <v>1636</v>
      </c>
      <c r="G67" s="199">
        <f t="shared" ref="G67:G68" si="45">F67/E67</f>
        <v>109.06666666666666</v>
      </c>
      <c r="H67" s="657">
        <f>AVERAGE(G67:G81)</f>
        <v>138.81212121212121</v>
      </c>
      <c r="I67" s="198">
        <f>AVERAGE(P67,U67,Z66,AE67,AJ67,AO67,AT67)</f>
        <v>15</v>
      </c>
      <c r="J67" s="198">
        <f t="shared" ref="J67:K68" si="46">AVERAGE(Q67,V67,AA67,AF67,AK67,AP67,AU67)</f>
        <v>1525.4285714285713</v>
      </c>
      <c r="K67" s="199">
        <f t="shared" si="46"/>
        <v>101.69523809523808</v>
      </c>
      <c r="L67" s="657">
        <f>IFERROR(AVERAGE(K67:K81),"-")</f>
        <v>121.8838231943495</v>
      </c>
      <c r="M67" s="198">
        <f>RANK(K67, K$67:$K$81)</f>
        <v>4</v>
      </c>
      <c r="N67" s="655"/>
      <c r="O67" s="655"/>
      <c r="P67" s="198">
        <v>15</v>
      </c>
      <c r="Q67" s="198">
        <v>1508</v>
      </c>
      <c r="R67" s="199">
        <f>Q67/P67</f>
        <v>100.53333333333333</v>
      </c>
      <c r="S67" s="197">
        <f>RANK(R67,$R$67:$R$81)</f>
        <v>4</v>
      </c>
      <c r="T67" s="668">
        <f>AVERAGE(R67:R81)</f>
        <v>124.86060606060606</v>
      </c>
      <c r="U67" s="198">
        <v>15</v>
      </c>
      <c r="V67" s="198">
        <v>1535</v>
      </c>
      <c r="W67" s="199">
        <f t="shared" ref="W67:W69" si="47">V67/U67</f>
        <v>102.33333333333333</v>
      </c>
      <c r="X67" s="197">
        <f t="shared" ref="X67:X69" si="48">RANK(W67,$W$67:$W$81)</f>
        <v>4</v>
      </c>
      <c r="Y67" s="668">
        <f>AVERAGE(W67:W81)</f>
        <v>123.40151515151516</v>
      </c>
      <c r="Z67" s="198">
        <v>15</v>
      </c>
      <c r="AA67" s="198">
        <v>1536</v>
      </c>
      <c r="AB67" s="199">
        <f>AA67/Z67</f>
        <v>102.4</v>
      </c>
      <c r="AC67" s="197">
        <f>RANK(AB67, $AB$67:$AB$81)</f>
        <v>4</v>
      </c>
      <c r="AD67" s="668">
        <f>AVERAGE(AB67:AB81)</f>
        <v>122.87272727272727</v>
      </c>
      <c r="AE67" s="198">
        <v>15</v>
      </c>
      <c r="AF67" s="198">
        <v>1469</v>
      </c>
      <c r="AG67" s="199">
        <f t="shared" ref="AG67:AG69" si="49">AF67/AE67</f>
        <v>97.933333333333337</v>
      </c>
      <c r="AH67" s="197">
        <f t="shared" ref="AH67:AH69" si="50">RANK(AG67, $AG$67:$AG$81)</f>
        <v>3</v>
      </c>
      <c r="AI67" s="668">
        <f>AVERAGE(AG67:AG81)</f>
        <v>107.96060606060605</v>
      </c>
      <c r="AJ67" s="198">
        <v>15</v>
      </c>
      <c r="AK67" s="198">
        <v>1537</v>
      </c>
      <c r="AL67" s="334">
        <f t="shared" ref="AL67:AL70" si="51">AK67/AJ67</f>
        <v>102.46666666666667</v>
      </c>
      <c r="AM67" s="197">
        <f>RANK(AL67, $AL$67:$AL$81)</f>
        <v>4</v>
      </c>
      <c r="AN67" s="668">
        <f>AVERAGE(AL67:AL81)</f>
        <v>122.45757575757577</v>
      </c>
      <c r="AO67" s="198">
        <v>15</v>
      </c>
      <c r="AP67" s="198">
        <v>1534</v>
      </c>
      <c r="AQ67" s="199">
        <f>AP67/AO67</f>
        <v>102.26666666666667</v>
      </c>
      <c r="AR67" s="197">
        <f>RANK(AQ67, $AQ$67:$AQ$81)</f>
        <v>4</v>
      </c>
      <c r="AS67" s="668">
        <f>AVERAGE(AQ67:AQ81)</f>
        <v>125.02121212121213</v>
      </c>
      <c r="AT67" s="198">
        <v>15</v>
      </c>
      <c r="AU67" s="198">
        <v>1559</v>
      </c>
      <c r="AV67" s="330">
        <f>AU67/AT67</f>
        <v>103.93333333333334</v>
      </c>
      <c r="AW67" s="197">
        <f>RANK(AV67, $AV$67:$AV$81)</f>
        <v>4</v>
      </c>
      <c r="AX67" s="668">
        <f>AVERAGE(AV67:AV81)</f>
        <v>126.61251993620415</v>
      </c>
    </row>
    <row r="68" spans="2:50" ht="13.5">
      <c r="B68" s="656"/>
      <c r="C68" s="197">
        <v>2</v>
      </c>
      <c r="D68" s="201" t="s">
        <v>100</v>
      </c>
      <c r="E68" s="198">
        <f>VLOOKUP(D68,'07產線配置圖'!$A$27:$C$34,2,0)</f>
        <v>11</v>
      </c>
      <c r="F68" s="198">
        <f>VLOOKUP(D68,'07產線配置圖'!$A$27:$C$34,3,0)</f>
        <v>1636</v>
      </c>
      <c r="G68" s="199">
        <f t="shared" si="45"/>
        <v>148.72727272727272</v>
      </c>
      <c r="H68" s="658"/>
      <c r="I68" s="198">
        <f>AVERAGE(P68,U68,Z67,AE68,AJ68,AO68,AT68)</f>
        <v>11.571428571428571</v>
      </c>
      <c r="J68" s="198">
        <f t="shared" si="46"/>
        <v>1433.8571428571429</v>
      </c>
      <c r="K68" s="199">
        <f t="shared" si="46"/>
        <v>130.35064935064935</v>
      </c>
      <c r="L68" s="658"/>
      <c r="M68" s="198">
        <f>RANK(K68, K$67:$K$81)</f>
        <v>2</v>
      </c>
      <c r="N68" s="655"/>
      <c r="O68" s="655"/>
      <c r="P68" s="198">
        <v>11</v>
      </c>
      <c r="Q68" s="198">
        <v>1365</v>
      </c>
      <c r="R68" s="199">
        <f t="shared" ref="R68:R70" si="52">Q68/P68</f>
        <v>124.09090909090909</v>
      </c>
      <c r="S68" s="197">
        <f t="shared" ref="S68:S70" si="53">RANK(R68,$R$67:$R$81)</f>
        <v>3</v>
      </c>
      <c r="T68" s="668"/>
      <c r="U68" s="198">
        <v>11</v>
      </c>
      <c r="V68" s="198">
        <v>1408</v>
      </c>
      <c r="W68" s="199">
        <f t="shared" si="47"/>
        <v>128</v>
      </c>
      <c r="X68" s="197">
        <f t="shared" si="48"/>
        <v>3</v>
      </c>
      <c r="Y68" s="668"/>
      <c r="Z68" s="198">
        <v>11</v>
      </c>
      <c r="AA68" s="198">
        <v>1403</v>
      </c>
      <c r="AB68" s="199">
        <f>AA68/Z68</f>
        <v>127.54545454545455</v>
      </c>
      <c r="AC68" s="197">
        <f>RANK(AB68, $AB$67:$AB$81)</f>
        <v>3</v>
      </c>
      <c r="AD68" s="668"/>
      <c r="AE68" s="198">
        <v>11</v>
      </c>
      <c r="AF68" s="198">
        <v>1329</v>
      </c>
      <c r="AG68" s="199">
        <f t="shared" si="49"/>
        <v>120.81818181818181</v>
      </c>
      <c r="AH68" s="197">
        <f t="shared" si="50"/>
        <v>2</v>
      </c>
      <c r="AI68" s="668"/>
      <c r="AJ68" s="198">
        <v>11</v>
      </c>
      <c r="AK68" s="198">
        <v>1497</v>
      </c>
      <c r="AL68" s="199">
        <f t="shared" si="51"/>
        <v>136.09090909090909</v>
      </c>
      <c r="AM68" s="197">
        <f t="shared" ref="AM68:AM70" si="54">RANK(AL68, $AL$67:$AL$81)</f>
        <v>2</v>
      </c>
      <c r="AN68" s="668"/>
      <c r="AO68" s="198">
        <v>11</v>
      </c>
      <c r="AP68" s="198">
        <v>1547</v>
      </c>
      <c r="AQ68" s="199">
        <f t="shared" ref="AQ68:AQ70" si="55">AP68/AO68</f>
        <v>140.63636363636363</v>
      </c>
      <c r="AR68" s="197">
        <f t="shared" ref="AR68:AR70" si="56">RANK(AQ68, $AQ$67:$AQ$81)</f>
        <v>2</v>
      </c>
      <c r="AS68" s="668"/>
      <c r="AT68" s="198">
        <v>11</v>
      </c>
      <c r="AU68" s="198">
        <v>1488</v>
      </c>
      <c r="AV68" s="330">
        <f t="shared" ref="AV68:AV70" si="57">AU68/AT68</f>
        <v>135.27272727272728</v>
      </c>
      <c r="AW68" s="197">
        <f t="shared" ref="AW68:AW70" si="58">RANK(AV68, $AV$67:$AV$81)</f>
        <v>2</v>
      </c>
      <c r="AX68" s="668"/>
    </row>
    <row r="69" spans="2:50" ht="13.5">
      <c r="B69" s="656"/>
      <c r="C69" s="197">
        <v>3</v>
      </c>
      <c r="D69" s="201" t="s">
        <v>101</v>
      </c>
      <c r="E69" s="198">
        <f>VLOOKUP(D69,'07產線配置圖'!$A$27:$C$34,2,0)</f>
        <v>11</v>
      </c>
      <c r="F69" s="198">
        <f>VLOOKUP(D69,'07產線配置圖'!$A$27:$C$34,3,0)</f>
        <v>1636</v>
      </c>
      <c r="G69" s="199">
        <f>F69/E69</f>
        <v>148.72727272727272</v>
      </c>
      <c r="H69" s="658"/>
      <c r="I69" s="198">
        <f>AVERAGE(P69,U69,Z68,AE69,AJ69,AO69,AT69)</f>
        <v>11</v>
      </c>
      <c r="J69" s="198">
        <f>AVERAGE(Q69,V69,AA69,AF69,AK69,AP69,AU69)</f>
        <v>1318.1428571428571</v>
      </c>
      <c r="K69" s="199">
        <f>AVERAGE(R69,W69,AB69,AG69,AL69,AQ69,AV69)</f>
        <v>119.83116883116884</v>
      </c>
      <c r="L69" s="658"/>
      <c r="M69" s="198">
        <f>RANK(K69, K$67:$K$81)</f>
        <v>3</v>
      </c>
      <c r="N69" s="655"/>
      <c r="O69" s="655"/>
      <c r="P69" s="198">
        <v>11</v>
      </c>
      <c r="Q69" s="198">
        <v>1509</v>
      </c>
      <c r="R69" s="199">
        <f t="shared" si="52"/>
        <v>137.18181818181819</v>
      </c>
      <c r="S69" s="197">
        <f t="shared" si="53"/>
        <v>2</v>
      </c>
      <c r="T69" s="668"/>
      <c r="U69" s="198">
        <v>11</v>
      </c>
      <c r="V69" s="198">
        <v>1414</v>
      </c>
      <c r="W69" s="199">
        <f t="shared" si="47"/>
        <v>128.54545454545453</v>
      </c>
      <c r="X69" s="197">
        <f t="shared" si="48"/>
        <v>2</v>
      </c>
      <c r="Y69" s="668"/>
      <c r="Z69" s="198">
        <v>11</v>
      </c>
      <c r="AA69" s="198">
        <v>1458</v>
      </c>
      <c r="AB69" s="199">
        <f t="shared" ref="AB69:AB70" si="59">AA69/Z69</f>
        <v>132.54545454545453</v>
      </c>
      <c r="AC69" s="197">
        <f t="shared" ref="AC69:AC70" si="60">RANK(AB69, $AB$67:$AB$81)</f>
        <v>1</v>
      </c>
      <c r="AD69" s="668"/>
      <c r="AE69" s="198">
        <v>11</v>
      </c>
      <c r="AF69" s="198">
        <v>964</v>
      </c>
      <c r="AG69" s="199">
        <f t="shared" si="49"/>
        <v>87.63636363636364</v>
      </c>
      <c r="AH69" s="197">
        <f t="shared" si="50"/>
        <v>4</v>
      </c>
      <c r="AI69" s="668"/>
      <c r="AJ69" s="198">
        <v>11</v>
      </c>
      <c r="AK69" s="198">
        <v>1218</v>
      </c>
      <c r="AL69" s="328">
        <f t="shared" si="51"/>
        <v>110.72727272727273</v>
      </c>
      <c r="AM69" s="197">
        <f t="shared" si="54"/>
        <v>3</v>
      </c>
      <c r="AN69" s="668"/>
      <c r="AO69" s="198">
        <v>11</v>
      </c>
      <c r="AP69" s="198">
        <v>1240</v>
      </c>
      <c r="AQ69" s="328">
        <f t="shared" si="55"/>
        <v>112.72727272727273</v>
      </c>
      <c r="AR69" s="197">
        <f t="shared" si="56"/>
        <v>3</v>
      </c>
      <c r="AS69" s="668"/>
      <c r="AT69" s="198">
        <v>11</v>
      </c>
      <c r="AU69" s="198">
        <v>1424</v>
      </c>
      <c r="AV69" s="330">
        <f t="shared" si="57"/>
        <v>129.45454545454547</v>
      </c>
      <c r="AW69" s="197">
        <f t="shared" si="58"/>
        <v>3</v>
      </c>
      <c r="AX69" s="668"/>
    </row>
    <row r="70" spans="2:50" ht="13.5">
      <c r="B70" s="656"/>
      <c r="C70" s="197">
        <v>4</v>
      </c>
      <c r="D70" s="201" t="s">
        <v>102</v>
      </c>
      <c r="E70" s="198">
        <f>VLOOKUP(D70,'07產線配置圖'!$A$27:$C$34,2,0)</f>
        <v>11</v>
      </c>
      <c r="F70" s="198">
        <f>VLOOKUP(D70,'07產線配置圖'!$A$27:$C$34,3,0)</f>
        <v>1636</v>
      </c>
      <c r="G70" s="199">
        <f>F70/E70</f>
        <v>148.72727272727272</v>
      </c>
      <c r="H70" s="658"/>
      <c r="I70" s="198">
        <f>AVERAGE(P70,U70,Z69,AE70,AJ70,AO70,AT70)</f>
        <v>10.785714285714286</v>
      </c>
      <c r="J70" s="198">
        <f>AVERAGE(Q70,V70,AA70,AF70,AK70,AP70,AU70)</f>
        <v>1462.7142857142858</v>
      </c>
      <c r="K70" s="199">
        <f>AVERAGE(R70,W70,AB70,AG70,AL70,AQ70,AV70)</f>
        <v>135.65823650034176</v>
      </c>
      <c r="L70" s="658"/>
      <c r="M70" s="198">
        <f>RANK(K70, K$67:$K$81)</f>
        <v>1</v>
      </c>
      <c r="N70" s="655"/>
      <c r="O70" s="655"/>
      <c r="P70" s="198">
        <v>11</v>
      </c>
      <c r="Q70" s="198">
        <v>1514</v>
      </c>
      <c r="R70" s="199">
        <f t="shared" si="52"/>
        <v>137.63636363636363</v>
      </c>
      <c r="S70" s="197">
        <f t="shared" si="53"/>
        <v>1</v>
      </c>
      <c r="T70" s="668"/>
      <c r="U70" s="198">
        <v>11</v>
      </c>
      <c r="V70" s="198">
        <v>1482</v>
      </c>
      <c r="W70" s="199">
        <f>V70/U70</f>
        <v>134.72727272727272</v>
      </c>
      <c r="X70" s="197">
        <f>RANK(W70,$W$67:$W$81)</f>
        <v>1</v>
      </c>
      <c r="Y70" s="668"/>
      <c r="Z70" s="198">
        <v>11</v>
      </c>
      <c r="AA70" s="198">
        <v>1419</v>
      </c>
      <c r="AB70" s="199">
        <f t="shared" si="59"/>
        <v>129</v>
      </c>
      <c r="AC70" s="197">
        <f t="shared" si="60"/>
        <v>2</v>
      </c>
      <c r="AD70" s="668"/>
      <c r="AE70" s="198">
        <v>11</v>
      </c>
      <c r="AF70" s="198">
        <v>1380</v>
      </c>
      <c r="AG70" s="199">
        <f>AF70/AE70</f>
        <v>125.45454545454545</v>
      </c>
      <c r="AH70" s="197">
        <f>RANK(AG70, $AG$67:$AG$81)</f>
        <v>1</v>
      </c>
      <c r="AI70" s="668"/>
      <c r="AJ70" s="198">
        <v>11</v>
      </c>
      <c r="AK70" s="198">
        <v>1546</v>
      </c>
      <c r="AL70" s="199">
        <f t="shared" si="51"/>
        <v>140.54545454545453</v>
      </c>
      <c r="AM70" s="197">
        <f t="shared" si="54"/>
        <v>1</v>
      </c>
      <c r="AN70" s="668"/>
      <c r="AO70" s="198">
        <v>11</v>
      </c>
      <c r="AP70" s="198">
        <v>1589</v>
      </c>
      <c r="AQ70" s="199">
        <f t="shared" si="55"/>
        <v>144.45454545454547</v>
      </c>
      <c r="AR70" s="197">
        <f t="shared" si="56"/>
        <v>1</v>
      </c>
      <c r="AS70" s="668"/>
      <c r="AT70" s="198">
        <v>9.5</v>
      </c>
      <c r="AU70" s="198">
        <v>1309</v>
      </c>
      <c r="AV70" s="330">
        <f t="shared" si="57"/>
        <v>137.78947368421052</v>
      </c>
      <c r="AW70" s="197">
        <f t="shared" si="58"/>
        <v>1</v>
      </c>
      <c r="AX70" s="668"/>
    </row>
    <row r="71" spans="2:50" ht="13.5">
      <c r="B71" s="656"/>
      <c r="C71" s="197">
        <v>5</v>
      </c>
      <c r="D71" s="201"/>
      <c r="E71" s="198"/>
      <c r="F71" s="198"/>
      <c r="G71" s="199"/>
      <c r="H71" s="658"/>
      <c r="I71" s="198"/>
      <c r="J71" s="198"/>
      <c r="K71" s="199"/>
      <c r="L71" s="658"/>
      <c r="M71" s="198"/>
      <c r="N71" s="655"/>
      <c r="O71" s="655"/>
      <c r="Q71" s="198"/>
      <c r="R71" s="199"/>
      <c r="S71" s="197"/>
      <c r="T71" s="668"/>
      <c r="U71" s="198"/>
      <c r="V71" s="198"/>
      <c r="W71" s="199"/>
      <c r="X71" s="197"/>
      <c r="Y71" s="668"/>
      <c r="Z71" s="198"/>
      <c r="AA71" s="198"/>
      <c r="AB71" s="334"/>
      <c r="AC71" s="197"/>
      <c r="AD71" s="668"/>
      <c r="AE71" s="198"/>
      <c r="AF71" s="198"/>
      <c r="AG71" s="199"/>
      <c r="AH71" s="197"/>
      <c r="AI71" s="668"/>
      <c r="AJ71" s="198"/>
      <c r="AK71" s="198"/>
      <c r="AL71" s="199"/>
      <c r="AM71" s="197"/>
      <c r="AN71" s="668"/>
      <c r="AO71" s="198"/>
      <c r="AP71" s="198"/>
      <c r="AQ71" s="199"/>
      <c r="AR71" s="197"/>
      <c r="AS71" s="668"/>
      <c r="AT71" s="198"/>
      <c r="AU71" s="198"/>
      <c r="AV71" s="199"/>
      <c r="AW71" s="197"/>
      <c r="AX71" s="668"/>
    </row>
    <row r="72" spans="2:50" ht="13.5">
      <c r="B72" s="656"/>
      <c r="C72" s="197">
        <v>6</v>
      </c>
      <c r="D72" s="201"/>
      <c r="E72" s="198"/>
      <c r="F72" s="198"/>
      <c r="G72" s="199"/>
      <c r="H72" s="658"/>
      <c r="I72" s="198"/>
      <c r="J72" s="198"/>
      <c r="K72" s="199"/>
      <c r="L72" s="658"/>
      <c r="M72" s="198"/>
      <c r="N72" s="655"/>
      <c r="O72" s="655"/>
      <c r="P72" s="198"/>
      <c r="Q72" s="198"/>
      <c r="R72" s="197"/>
      <c r="S72" s="197"/>
      <c r="T72" s="668"/>
      <c r="U72" s="198"/>
      <c r="V72" s="198"/>
      <c r="W72" s="197"/>
      <c r="X72" s="197"/>
      <c r="Y72" s="668"/>
      <c r="Z72" s="198"/>
      <c r="AA72" s="198"/>
      <c r="AB72" s="197"/>
      <c r="AC72" s="197"/>
      <c r="AD72" s="668"/>
      <c r="AE72" s="198"/>
      <c r="AF72" s="198"/>
      <c r="AG72" s="197"/>
      <c r="AH72" s="197"/>
      <c r="AI72" s="668"/>
      <c r="AJ72" s="198"/>
      <c r="AK72" s="198"/>
      <c r="AL72" s="197"/>
      <c r="AM72" s="197"/>
      <c r="AN72" s="668"/>
      <c r="AO72" s="198"/>
      <c r="AP72" s="198"/>
      <c r="AQ72" s="197"/>
      <c r="AR72" s="197"/>
      <c r="AS72" s="668"/>
      <c r="AT72" s="198"/>
      <c r="AU72" s="198"/>
      <c r="AV72" s="197"/>
      <c r="AW72" s="197"/>
      <c r="AX72" s="668"/>
    </row>
    <row r="73" spans="2:50" ht="13.5">
      <c r="B73" s="656"/>
      <c r="C73" s="197">
        <v>7</v>
      </c>
      <c r="D73" s="201"/>
      <c r="E73" s="198"/>
      <c r="F73" s="198"/>
      <c r="G73" s="199"/>
      <c r="H73" s="658"/>
      <c r="I73" s="198"/>
      <c r="J73" s="198"/>
      <c r="K73" s="199"/>
      <c r="L73" s="658"/>
      <c r="M73" s="198"/>
      <c r="N73" s="655"/>
      <c r="O73" s="655"/>
      <c r="P73" s="198"/>
      <c r="Q73" s="198"/>
      <c r="R73" s="197"/>
      <c r="S73" s="197"/>
      <c r="T73" s="668"/>
      <c r="U73" s="198"/>
      <c r="V73" s="198"/>
      <c r="W73" s="197"/>
      <c r="X73" s="197"/>
      <c r="Y73" s="668"/>
      <c r="Z73" s="198"/>
      <c r="AA73" s="198"/>
      <c r="AB73" s="197"/>
      <c r="AC73" s="197"/>
      <c r="AD73" s="668"/>
      <c r="AE73" s="198"/>
      <c r="AF73" s="198"/>
      <c r="AG73" s="197"/>
      <c r="AH73" s="197"/>
      <c r="AI73" s="668"/>
      <c r="AJ73" s="198"/>
      <c r="AK73" s="198"/>
      <c r="AL73" s="197"/>
      <c r="AM73" s="197"/>
      <c r="AN73" s="668"/>
      <c r="AO73" s="198"/>
      <c r="AP73" s="198"/>
      <c r="AQ73" s="197"/>
      <c r="AR73" s="197"/>
      <c r="AS73" s="668"/>
      <c r="AT73" s="198"/>
      <c r="AU73" s="198"/>
      <c r="AV73" s="197"/>
      <c r="AW73" s="197"/>
      <c r="AX73" s="668"/>
    </row>
    <row r="74" spans="2:50" ht="13.5">
      <c r="B74" s="656"/>
      <c r="C74" s="197">
        <v>8</v>
      </c>
      <c r="D74" s="201"/>
      <c r="E74" s="197"/>
      <c r="F74" s="197"/>
      <c r="G74" s="197"/>
      <c r="H74" s="658"/>
      <c r="I74" s="198"/>
      <c r="J74" s="198"/>
      <c r="K74" s="199"/>
      <c r="L74" s="658"/>
      <c r="M74" s="198"/>
      <c r="N74" s="655"/>
      <c r="O74" s="655"/>
      <c r="P74" s="198"/>
      <c r="Q74" s="198"/>
      <c r="R74" s="197"/>
      <c r="S74" s="197"/>
      <c r="T74" s="668"/>
      <c r="U74" s="198"/>
      <c r="V74" s="198"/>
      <c r="W74" s="197"/>
      <c r="X74" s="197"/>
      <c r="Y74" s="668"/>
      <c r="Z74" s="198"/>
      <c r="AA74" s="198"/>
      <c r="AB74" s="197"/>
      <c r="AC74" s="197"/>
      <c r="AD74" s="668"/>
      <c r="AE74" s="198"/>
      <c r="AF74" s="198"/>
      <c r="AG74" s="197"/>
      <c r="AH74" s="197"/>
      <c r="AI74" s="668"/>
      <c r="AJ74" s="198"/>
      <c r="AK74" s="198"/>
      <c r="AL74" s="197"/>
      <c r="AM74" s="197"/>
      <c r="AN74" s="668"/>
      <c r="AO74" s="198"/>
      <c r="AP74" s="198"/>
      <c r="AQ74" s="197"/>
      <c r="AR74" s="197"/>
      <c r="AS74" s="668"/>
      <c r="AT74" s="198"/>
      <c r="AU74" s="198"/>
      <c r="AV74" s="197"/>
      <c r="AW74" s="197"/>
      <c r="AX74" s="668"/>
    </row>
    <row r="75" spans="2:50" ht="13.5">
      <c r="B75" s="656"/>
      <c r="C75" s="197">
        <v>9</v>
      </c>
      <c r="D75" s="201"/>
      <c r="E75" s="197"/>
      <c r="F75" s="197"/>
      <c r="G75" s="197"/>
      <c r="H75" s="658"/>
      <c r="I75" s="198"/>
      <c r="J75" s="198"/>
      <c r="K75" s="199"/>
      <c r="L75" s="658"/>
      <c r="M75" s="198"/>
      <c r="N75" s="655"/>
      <c r="O75" s="655"/>
      <c r="P75" s="198"/>
      <c r="Q75" s="198"/>
      <c r="R75" s="197"/>
      <c r="S75" s="197"/>
      <c r="T75" s="668"/>
      <c r="U75" s="198"/>
      <c r="V75" s="198"/>
      <c r="W75" s="197"/>
      <c r="X75" s="197"/>
      <c r="Y75" s="668"/>
      <c r="Z75" s="198"/>
      <c r="AA75" s="198"/>
      <c r="AB75" s="197"/>
      <c r="AC75" s="197"/>
      <c r="AD75" s="668"/>
      <c r="AE75" s="198"/>
      <c r="AF75" s="198"/>
      <c r="AG75" s="197"/>
      <c r="AH75" s="197"/>
      <c r="AI75" s="668"/>
      <c r="AJ75" s="198"/>
      <c r="AK75" s="198"/>
      <c r="AL75" s="197"/>
      <c r="AM75" s="197"/>
      <c r="AN75" s="668"/>
      <c r="AO75" s="198"/>
      <c r="AP75" s="198"/>
      <c r="AQ75" s="197"/>
      <c r="AR75" s="197"/>
      <c r="AS75" s="668"/>
      <c r="AT75" s="198"/>
      <c r="AU75" s="198"/>
      <c r="AV75" s="197"/>
      <c r="AW75" s="197"/>
      <c r="AX75" s="668"/>
    </row>
    <row r="76" spans="2:50" ht="13.5">
      <c r="B76" s="656"/>
      <c r="C76" s="197">
        <v>10</v>
      </c>
      <c r="D76" s="201"/>
      <c r="E76" s="197"/>
      <c r="F76" s="197"/>
      <c r="G76" s="197"/>
      <c r="H76" s="658"/>
      <c r="I76" s="198"/>
      <c r="J76" s="198"/>
      <c r="K76" s="199"/>
      <c r="L76" s="658"/>
      <c r="M76" s="198"/>
      <c r="N76" s="655"/>
      <c r="O76" s="655"/>
      <c r="P76" s="198"/>
      <c r="Q76" s="198"/>
      <c r="R76" s="197"/>
      <c r="S76" s="197"/>
      <c r="T76" s="668"/>
      <c r="U76" s="198"/>
      <c r="V76" s="198"/>
      <c r="W76" s="197"/>
      <c r="X76" s="197"/>
      <c r="Y76" s="668"/>
      <c r="Z76" s="198"/>
      <c r="AA76" s="198"/>
      <c r="AB76" s="197"/>
      <c r="AC76" s="197"/>
      <c r="AD76" s="668"/>
      <c r="AE76" s="198"/>
      <c r="AF76" s="198"/>
      <c r="AG76" s="197"/>
      <c r="AH76" s="197"/>
      <c r="AI76" s="668"/>
      <c r="AJ76" s="198"/>
      <c r="AK76" s="198"/>
      <c r="AL76" s="197"/>
      <c r="AM76" s="197"/>
      <c r="AN76" s="668"/>
      <c r="AO76" s="198"/>
      <c r="AP76" s="198"/>
      <c r="AQ76" s="197"/>
      <c r="AR76" s="197"/>
      <c r="AS76" s="668"/>
      <c r="AT76" s="198"/>
      <c r="AU76" s="198"/>
      <c r="AV76" s="197"/>
      <c r="AW76" s="197"/>
      <c r="AX76" s="668"/>
    </row>
    <row r="77" spans="2:50" ht="13.5">
      <c r="B77" s="656"/>
      <c r="C77" s="197">
        <v>11</v>
      </c>
      <c r="D77" s="201"/>
      <c r="E77" s="197"/>
      <c r="F77" s="197"/>
      <c r="G77" s="197"/>
      <c r="H77" s="658"/>
      <c r="I77" s="198"/>
      <c r="J77" s="198"/>
      <c r="K77" s="199"/>
      <c r="L77" s="658"/>
      <c r="M77" s="198"/>
      <c r="N77" s="655"/>
      <c r="O77" s="655"/>
      <c r="P77" s="197"/>
      <c r="Q77" s="197"/>
      <c r="R77" s="197"/>
      <c r="S77" s="197"/>
      <c r="T77" s="668"/>
      <c r="U77" s="197"/>
      <c r="V77" s="197"/>
      <c r="W77" s="197"/>
      <c r="X77" s="197"/>
      <c r="Y77" s="668"/>
      <c r="Z77" s="197"/>
      <c r="AA77" s="197"/>
      <c r="AB77" s="197"/>
      <c r="AC77" s="197"/>
      <c r="AD77" s="668"/>
      <c r="AE77" s="197"/>
      <c r="AF77" s="197"/>
      <c r="AG77" s="197"/>
      <c r="AH77" s="197"/>
      <c r="AI77" s="668"/>
      <c r="AJ77" s="197"/>
      <c r="AK77" s="197"/>
      <c r="AL77" s="197"/>
      <c r="AM77" s="197"/>
      <c r="AN77" s="668"/>
      <c r="AO77" s="197"/>
      <c r="AP77" s="197"/>
      <c r="AQ77" s="197"/>
      <c r="AR77" s="197"/>
      <c r="AS77" s="668"/>
      <c r="AT77" s="197"/>
      <c r="AU77" s="197"/>
      <c r="AV77" s="197"/>
      <c r="AW77" s="197"/>
      <c r="AX77" s="668"/>
    </row>
    <row r="78" spans="2:50" ht="13.5">
      <c r="B78" s="656"/>
      <c r="C78" s="197">
        <v>12</v>
      </c>
      <c r="D78" s="201"/>
      <c r="E78" s="197"/>
      <c r="F78" s="197"/>
      <c r="G78" s="197"/>
      <c r="H78" s="658"/>
      <c r="I78" s="198"/>
      <c r="J78" s="198"/>
      <c r="K78" s="199"/>
      <c r="L78" s="658"/>
      <c r="M78" s="198"/>
      <c r="N78" s="655"/>
      <c r="O78" s="655"/>
      <c r="P78" s="197"/>
      <c r="Q78" s="197"/>
      <c r="R78" s="197"/>
      <c r="S78" s="197"/>
      <c r="T78" s="668"/>
      <c r="U78" s="197"/>
      <c r="V78" s="197"/>
      <c r="W78" s="197"/>
      <c r="X78" s="197"/>
      <c r="Y78" s="668"/>
      <c r="Z78" s="197"/>
      <c r="AA78" s="197"/>
      <c r="AB78" s="197"/>
      <c r="AC78" s="197"/>
      <c r="AD78" s="668"/>
      <c r="AE78" s="197"/>
      <c r="AF78" s="197"/>
      <c r="AG78" s="197"/>
      <c r="AH78" s="197"/>
      <c r="AI78" s="668"/>
      <c r="AJ78" s="197"/>
      <c r="AK78" s="197"/>
      <c r="AL78" s="197"/>
      <c r="AM78" s="197"/>
      <c r="AN78" s="668"/>
      <c r="AO78" s="197"/>
      <c r="AP78" s="197"/>
      <c r="AQ78" s="197"/>
      <c r="AR78" s="197"/>
      <c r="AS78" s="668"/>
      <c r="AT78" s="197"/>
      <c r="AU78" s="197"/>
      <c r="AV78" s="197"/>
      <c r="AW78" s="197"/>
      <c r="AX78" s="668"/>
    </row>
    <row r="79" spans="2:50" ht="13.5">
      <c r="B79" s="656"/>
      <c r="C79" s="197">
        <v>13</v>
      </c>
      <c r="D79" s="201"/>
      <c r="E79" s="197"/>
      <c r="F79" s="197"/>
      <c r="G79" s="197"/>
      <c r="H79" s="658"/>
      <c r="I79" s="198"/>
      <c r="J79" s="198"/>
      <c r="K79" s="199"/>
      <c r="L79" s="658"/>
      <c r="M79" s="198"/>
      <c r="N79" s="655"/>
      <c r="O79" s="655"/>
      <c r="P79" s="197"/>
      <c r="Q79" s="197"/>
      <c r="R79" s="197"/>
      <c r="S79" s="197"/>
      <c r="T79" s="668"/>
      <c r="U79" s="197"/>
      <c r="V79" s="197"/>
      <c r="W79" s="197"/>
      <c r="X79" s="197"/>
      <c r="Y79" s="668"/>
      <c r="Z79" s="197"/>
      <c r="AA79" s="197"/>
      <c r="AB79" s="197"/>
      <c r="AC79" s="197"/>
      <c r="AD79" s="668"/>
      <c r="AE79" s="197"/>
      <c r="AF79" s="197"/>
      <c r="AG79" s="197"/>
      <c r="AH79" s="197"/>
      <c r="AI79" s="668"/>
      <c r="AJ79" s="197"/>
      <c r="AK79" s="197"/>
      <c r="AL79" s="197"/>
      <c r="AM79" s="197"/>
      <c r="AN79" s="668"/>
      <c r="AO79" s="197"/>
      <c r="AP79" s="197"/>
      <c r="AQ79" s="197"/>
      <c r="AR79" s="197"/>
      <c r="AS79" s="668"/>
      <c r="AT79" s="197"/>
      <c r="AU79" s="197"/>
      <c r="AV79" s="197"/>
      <c r="AW79" s="197"/>
      <c r="AX79" s="668"/>
    </row>
    <row r="80" spans="2:50" ht="13.5">
      <c r="B80" s="656"/>
      <c r="C80" s="197">
        <v>14</v>
      </c>
      <c r="D80" s="201"/>
      <c r="E80" s="197"/>
      <c r="F80" s="197"/>
      <c r="G80" s="197"/>
      <c r="H80" s="658"/>
      <c r="I80" s="198"/>
      <c r="J80" s="198"/>
      <c r="K80" s="199"/>
      <c r="L80" s="658"/>
      <c r="M80" s="198"/>
      <c r="N80" s="655"/>
      <c r="O80" s="655"/>
      <c r="P80" s="197"/>
      <c r="Q80" s="197"/>
      <c r="R80" s="197"/>
      <c r="S80" s="197"/>
      <c r="T80" s="668"/>
      <c r="U80" s="197"/>
      <c r="V80" s="197"/>
      <c r="W80" s="197"/>
      <c r="X80" s="197"/>
      <c r="Y80" s="668"/>
      <c r="Z80" s="197"/>
      <c r="AA80" s="197"/>
      <c r="AB80" s="197"/>
      <c r="AC80" s="197"/>
      <c r="AD80" s="668"/>
      <c r="AE80" s="197"/>
      <c r="AF80" s="197"/>
      <c r="AG80" s="197"/>
      <c r="AH80" s="197"/>
      <c r="AI80" s="668"/>
      <c r="AJ80" s="197"/>
      <c r="AK80" s="197"/>
      <c r="AL80" s="197"/>
      <c r="AM80" s="197"/>
      <c r="AN80" s="668"/>
      <c r="AO80" s="197"/>
      <c r="AP80" s="197"/>
      <c r="AQ80" s="197"/>
      <c r="AR80" s="197"/>
      <c r="AS80" s="668"/>
      <c r="AT80" s="197"/>
      <c r="AU80" s="197"/>
      <c r="AV80" s="197"/>
      <c r="AW80" s="197"/>
      <c r="AX80" s="668"/>
    </row>
    <row r="81" spans="2:50" ht="13.5">
      <c r="B81" s="656"/>
      <c r="C81" s="197">
        <v>15</v>
      </c>
      <c r="D81" s="201"/>
      <c r="E81" s="197"/>
      <c r="F81" s="197"/>
      <c r="G81" s="197"/>
      <c r="H81" s="659"/>
      <c r="I81" s="198"/>
      <c r="J81" s="198"/>
      <c r="K81" s="199"/>
      <c r="L81" s="659"/>
      <c r="M81" s="198"/>
      <c r="N81" s="655"/>
      <c r="O81" s="655"/>
      <c r="P81" s="197"/>
      <c r="Q81" s="197"/>
      <c r="R81" s="197"/>
      <c r="S81" s="197"/>
      <c r="T81" s="668"/>
      <c r="U81" s="197"/>
      <c r="V81" s="197"/>
      <c r="W81" s="197"/>
      <c r="X81" s="197"/>
      <c r="Y81" s="668"/>
      <c r="Z81" s="197"/>
      <c r="AA81" s="197"/>
      <c r="AB81" s="197"/>
      <c r="AC81" s="197"/>
      <c r="AD81" s="668"/>
      <c r="AE81" s="197"/>
      <c r="AF81" s="197"/>
      <c r="AG81" s="197"/>
      <c r="AH81" s="197"/>
      <c r="AI81" s="668"/>
      <c r="AJ81" s="197"/>
      <c r="AK81" s="197"/>
      <c r="AL81" s="197"/>
      <c r="AM81" s="197"/>
      <c r="AN81" s="668"/>
      <c r="AO81" s="197"/>
      <c r="AP81" s="197"/>
      <c r="AQ81" s="197"/>
      <c r="AR81" s="197"/>
      <c r="AS81" s="668"/>
      <c r="AT81" s="197"/>
      <c r="AU81" s="197"/>
      <c r="AV81" s="197"/>
      <c r="AW81" s="197"/>
      <c r="AX81" s="668"/>
    </row>
    <row r="82" spans="2:50" ht="15.75">
      <c r="B82" s="650" t="s">
        <v>85</v>
      </c>
      <c r="C82" s="651"/>
      <c r="D82" s="651"/>
      <c r="E82" s="651"/>
      <c r="F82" s="651"/>
      <c r="G82" s="651"/>
      <c r="H82" s="651"/>
      <c r="I82" s="202"/>
      <c r="J82" s="202"/>
      <c r="K82" s="202"/>
      <c r="L82" s="202"/>
      <c r="M82" s="203"/>
      <c r="N82" s="653" t="s">
        <v>86</v>
      </c>
      <c r="O82" s="653" t="s">
        <v>45</v>
      </c>
      <c r="P82" s="664">
        <f>AT62+1</f>
        <v>46259</v>
      </c>
      <c r="Q82" s="656"/>
      <c r="R82" s="656"/>
      <c r="S82" s="656"/>
      <c r="T82" s="656"/>
      <c r="U82" s="664">
        <f>P82+1</f>
        <v>46260</v>
      </c>
      <c r="V82" s="656"/>
      <c r="W82" s="656"/>
      <c r="X82" s="656"/>
      <c r="Y82" s="656"/>
      <c r="Z82" s="664">
        <f>Z62+7</f>
        <v>46261</v>
      </c>
      <c r="AA82" s="656"/>
      <c r="AB82" s="656"/>
      <c r="AC82" s="656"/>
      <c r="AD82" s="656"/>
      <c r="AE82" s="664">
        <f>AE62+7</f>
        <v>46262</v>
      </c>
      <c r="AF82" s="656"/>
      <c r="AG82" s="656"/>
      <c r="AH82" s="656"/>
      <c r="AI82" s="656"/>
      <c r="AJ82" s="664">
        <f>AJ62+7</f>
        <v>46263</v>
      </c>
      <c r="AK82" s="656"/>
      <c r="AL82" s="656"/>
      <c r="AM82" s="656"/>
      <c r="AN82" s="656"/>
      <c r="AO82" s="664">
        <f>AO62+7</f>
        <v>46264</v>
      </c>
      <c r="AP82" s="656"/>
      <c r="AQ82" s="656"/>
      <c r="AR82" s="656"/>
      <c r="AS82" s="656"/>
      <c r="AT82" s="664">
        <f>AT62+7</f>
        <v>46265</v>
      </c>
      <c r="AU82" s="656"/>
      <c r="AV82" s="656"/>
      <c r="AW82" s="656"/>
      <c r="AX82" s="656"/>
    </row>
    <row r="83" spans="2:50" ht="15.75">
      <c r="B83" s="652"/>
      <c r="C83" s="652"/>
      <c r="D83" s="652"/>
      <c r="E83" s="652"/>
      <c r="F83" s="652"/>
      <c r="G83" s="652"/>
      <c r="H83" s="652"/>
      <c r="I83" s="193"/>
      <c r="J83" s="193"/>
      <c r="K83" s="193"/>
      <c r="L83" s="193"/>
      <c r="M83" s="194"/>
      <c r="N83" s="654"/>
      <c r="O83" s="654"/>
      <c r="P83" s="664" t="s">
        <v>58</v>
      </c>
      <c r="Q83" s="656"/>
      <c r="R83" s="656"/>
      <c r="S83" s="656"/>
      <c r="T83" s="656"/>
      <c r="U83" s="664" t="s">
        <v>59</v>
      </c>
      <c r="V83" s="656"/>
      <c r="W83" s="656"/>
      <c r="X83" s="656"/>
      <c r="Y83" s="656"/>
      <c r="Z83" s="664" t="s">
        <v>60</v>
      </c>
      <c r="AA83" s="656"/>
      <c r="AB83" s="656"/>
      <c r="AC83" s="656"/>
      <c r="AD83" s="656"/>
      <c r="AE83" s="664" t="s">
        <v>61</v>
      </c>
      <c r="AF83" s="656"/>
      <c r="AG83" s="656"/>
      <c r="AH83" s="656"/>
      <c r="AI83" s="656"/>
      <c r="AJ83" s="664" t="s">
        <v>56</v>
      </c>
      <c r="AK83" s="656"/>
      <c r="AL83" s="656"/>
      <c r="AM83" s="656"/>
      <c r="AN83" s="656"/>
      <c r="AO83" s="664" t="s">
        <v>52</v>
      </c>
      <c r="AP83" s="656"/>
      <c r="AQ83" s="656"/>
      <c r="AR83" s="656"/>
      <c r="AS83" s="656"/>
      <c r="AT83" s="664" t="s">
        <v>57</v>
      </c>
      <c r="AU83" s="656"/>
      <c r="AV83" s="656"/>
      <c r="AW83" s="656"/>
      <c r="AX83" s="656"/>
    </row>
    <row r="84" spans="2:50">
      <c r="B84" s="655" t="s">
        <v>41</v>
      </c>
      <c r="C84" s="655" t="s">
        <v>87</v>
      </c>
      <c r="D84" s="655"/>
      <c r="E84" s="655" t="s">
        <v>88</v>
      </c>
      <c r="F84" s="655"/>
      <c r="G84" s="655"/>
      <c r="H84" s="660" t="s">
        <v>89</v>
      </c>
      <c r="I84" s="655" t="s">
        <v>90</v>
      </c>
      <c r="J84" s="655"/>
      <c r="K84" s="655"/>
      <c r="L84" s="660" t="s">
        <v>89</v>
      </c>
      <c r="M84" s="653" t="s">
        <v>91</v>
      </c>
      <c r="N84" s="655"/>
      <c r="O84" s="655" t="s">
        <v>92</v>
      </c>
      <c r="P84" s="665" t="s">
        <v>93</v>
      </c>
      <c r="Q84" s="666"/>
      <c r="R84" s="666"/>
      <c r="S84" s="667"/>
      <c r="T84" s="655" t="s">
        <v>89</v>
      </c>
      <c r="U84" s="665" t="s">
        <v>93</v>
      </c>
      <c r="V84" s="666"/>
      <c r="W84" s="666"/>
      <c r="X84" s="667"/>
      <c r="Y84" s="655" t="s">
        <v>89</v>
      </c>
      <c r="Z84" s="665" t="s">
        <v>93</v>
      </c>
      <c r="AA84" s="666"/>
      <c r="AB84" s="666"/>
      <c r="AC84" s="667"/>
      <c r="AD84" s="655" t="s">
        <v>89</v>
      </c>
      <c r="AE84" s="665" t="s">
        <v>93</v>
      </c>
      <c r="AF84" s="666"/>
      <c r="AG84" s="666"/>
      <c r="AH84" s="667"/>
      <c r="AI84" s="655" t="s">
        <v>89</v>
      </c>
      <c r="AJ84" s="665" t="s">
        <v>93</v>
      </c>
      <c r="AK84" s="666"/>
      <c r="AL84" s="666"/>
      <c r="AM84" s="667"/>
      <c r="AN84" s="655" t="s">
        <v>89</v>
      </c>
      <c r="AO84" s="665" t="s">
        <v>93</v>
      </c>
      <c r="AP84" s="666"/>
      <c r="AQ84" s="666"/>
      <c r="AR84" s="667"/>
      <c r="AS84" s="655" t="s">
        <v>89</v>
      </c>
      <c r="AT84" s="665" t="s">
        <v>93</v>
      </c>
      <c r="AU84" s="666"/>
      <c r="AV84" s="666"/>
      <c r="AW84" s="667"/>
      <c r="AX84" s="655" t="s">
        <v>89</v>
      </c>
    </row>
    <row r="85" spans="2:50">
      <c r="B85" s="655"/>
      <c r="C85" s="655"/>
      <c r="D85" s="655"/>
      <c r="E85" s="655" t="s">
        <v>94</v>
      </c>
      <c r="F85" s="655"/>
      <c r="G85" s="655"/>
      <c r="H85" s="661"/>
      <c r="I85" s="655" t="s">
        <v>94</v>
      </c>
      <c r="J85" s="655"/>
      <c r="K85" s="655"/>
      <c r="L85" s="661"/>
      <c r="M85" s="663"/>
      <c r="N85" s="655"/>
      <c r="O85" s="655"/>
      <c r="P85" s="665" t="s">
        <v>95</v>
      </c>
      <c r="Q85" s="666"/>
      <c r="R85" s="666"/>
      <c r="S85" s="667"/>
      <c r="T85" s="655"/>
      <c r="U85" s="665" t="s">
        <v>95</v>
      </c>
      <c r="V85" s="666"/>
      <c r="W85" s="666"/>
      <c r="X85" s="667"/>
      <c r="Y85" s="655"/>
      <c r="Z85" s="665" t="s">
        <v>95</v>
      </c>
      <c r="AA85" s="666"/>
      <c r="AB85" s="666"/>
      <c r="AC85" s="667"/>
      <c r="AD85" s="655"/>
      <c r="AE85" s="665" t="s">
        <v>95</v>
      </c>
      <c r="AF85" s="666"/>
      <c r="AG85" s="666"/>
      <c r="AH85" s="667"/>
      <c r="AI85" s="655"/>
      <c r="AJ85" s="665" t="s">
        <v>95</v>
      </c>
      <c r="AK85" s="666"/>
      <c r="AL85" s="666"/>
      <c r="AM85" s="667"/>
      <c r="AN85" s="655"/>
      <c r="AO85" s="665" t="s">
        <v>95</v>
      </c>
      <c r="AP85" s="666"/>
      <c r="AQ85" s="666"/>
      <c r="AR85" s="667"/>
      <c r="AS85" s="655"/>
      <c r="AT85" s="665" t="s">
        <v>95</v>
      </c>
      <c r="AU85" s="666"/>
      <c r="AV85" s="666"/>
      <c r="AW85" s="667"/>
      <c r="AX85" s="655"/>
    </row>
    <row r="86" spans="2:50">
      <c r="B86" s="655"/>
      <c r="C86" s="655"/>
      <c r="D86" s="655"/>
      <c r="E86" s="196" t="s">
        <v>96</v>
      </c>
      <c r="F86" s="196" t="s">
        <v>97</v>
      </c>
      <c r="G86" s="196" t="s">
        <v>98</v>
      </c>
      <c r="H86" s="662"/>
      <c r="I86" s="196" t="s">
        <v>96</v>
      </c>
      <c r="J86" s="196" t="s">
        <v>97</v>
      </c>
      <c r="K86" s="196" t="s">
        <v>98</v>
      </c>
      <c r="L86" s="662"/>
      <c r="M86" s="654"/>
      <c r="N86" s="655"/>
      <c r="O86" s="655"/>
      <c r="P86" s="196" t="s">
        <v>96</v>
      </c>
      <c r="Q86" s="196" t="s">
        <v>97</v>
      </c>
      <c r="R86" s="196" t="s">
        <v>98</v>
      </c>
      <c r="S86" s="196" t="s">
        <v>91</v>
      </c>
      <c r="T86" s="655"/>
      <c r="U86" s="196" t="s">
        <v>96</v>
      </c>
      <c r="V86" s="196" t="s">
        <v>97</v>
      </c>
      <c r="W86" s="196" t="s">
        <v>98</v>
      </c>
      <c r="X86" s="196" t="s">
        <v>91</v>
      </c>
      <c r="Y86" s="655"/>
      <c r="Z86" s="196" t="s">
        <v>96</v>
      </c>
      <c r="AA86" s="196" t="s">
        <v>97</v>
      </c>
      <c r="AB86" s="196" t="s">
        <v>98</v>
      </c>
      <c r="AC86" s="196" t="s">
        <v>91</v>
      </c>
      <c r="AD86" s="655"/>
      <c r="AE86" s="196" t="s">
        <v>96</v>
      </c>
      <c r="AF86" s="196" t="s">
        <v>97</v>
      </c>
      <c r="AG86" s="196" t="s">
        <v>98</v>
      </c>
      <c r="AH86" s="196" t="s">
        <v>91</v>
      </c>
      <c r="AI86" s="655"/>
      <c r="AJ86" s="196" t="s">
        <v>96</v>
      </c>
      <c r="AK86" s="196" t="s">
        <v>97</v>
      </c>
      <c r="AL86" s="196" t="s">
        <v>98</v>
      </c>
      <c r="AM86" s="196" t="s">
        <v>91</v>
      </c>
      <c r="AN86" s="655"/>
      <c r="AO86" s="196" t="s">
        <v>96</v>
      </c>
      <c r="AP86" s="196" t="s">
        <v>97</v>
      </c>
      <c r="AQ86" s="196" t="s">
        <v>98</v>
      </c>
      <c r="AR86" s="196" t="s">
        <v>91</v>
      </c>
      <c r="AS86" s="655"/>
      <c r="AT86" s="196" t="s">
        <v>96</v>
      </c>
      <c r="AU86" s="196" t="s">
        <v>97</v>
      </c>
      <c r="AV86" s="196" t="s">
        <v>98</v>
      </c>
      <c r="AW86" s="196" t="s">
        <v>91</v>
      </c>
      <c r="AX86" s="655"/>
    </row>
    <row r="87" spans="2:50" ht="13.5">
      <c r="B87" s="655" t="s">
        <v>76</v>
      </c>
      <c r="C87" s="197">
        <v>1</v>
      </c>
      <c r="D87" s="201" t="s">
        <v>99</v>
      </c>
      <c r="E87" s="198">
        <f>VLOOKUP(D87,'07產線配置圖'!$A$27:$C$34,2,0)</f>
        <v>15</v>
      </c>
      <c r="F87" s="198">
        <f>VLOOKUP(D87,'07產線配置圖'!$A$27:$C$34,3,0)</f>
        <v>1636</v>
      </c>
      <c r="G87" s="199">
        <f t="shared" ref="G87:G88" si="61">F87/E87</f>
        <v>109.06666666666666</v>
      </c>
      <c r="H87" s="657">
        <f>AVERAGE(G87:G101)</f>
        <v>138.81212121212121</v>
      </c>
      <c r="I87" s="198" t="e">
        <f>AVERAGE(P87,U87,Z86,AE87,AJ87,AO87)</f>
        <v>#DIV/0!</v>
      </c>
      <c r="J87" s="198" t="e">
        <f>AVERAGE(Q87,V87,AA87,AF87,AK87,AP87)</f>
        <v>#DIV/0!</v>
      </c>
      <c r="K87" s="199" t="e">
        <f>AVERAGE(R87,W87,AB87,AG87,AL87,AQ87)</f>
        <v>#DIV/0!</v>
      </c>
      <c r="L87" s="657" t="str">
        <f>IFERROR(AVERAGE(K87:K101),"-")</f>
        <v>-</v>
      </c>
      <c r="M87" s="198" t="e">
        <f>RANK(K87,$K$87:$K$101)</f>
        <v>#DIV/0!</v>
      </c>
      <c r="N87" s="655"/>
      <c r="O87" s="655"/>
      <c r="P87" s="198"/>
      <c r="Q87" s="198"/>
      <c r="R87" s="330" t="e">
        <f>Q87/P87</f>
        <v>#DIV/0!</v>
      </c>
      <c r="S87" s="197" t="e">
        <f>RANK(R87,$R$87:$R$101)</f>
        <v>#DIV/0!</v>
      </c>
      <c r="T87" s="668" t="e">
        <f>AVERAGE(R87:R101)</f>
        <v>#DIV/0!</v>
      </c>
      <c r="U87" s="198"/>
      <c r="V87" s="198"/>
      <c r="W87" s="199" t="e">
        <f>V87/U87</f>
        <v>#DIV/0!</v>
      </c>
      <c r="X87" s="197" t="e">
        <f>RANK(W87,$W$87:$W$101)</f>
        <v>#DIV/0!</v>
      </c>
      <c r="Y87" s="668" t="e">
        <f>AVERAGE(W87:W101)</f>
        <v>#DIV/0!</v>
      </c>
      <c r="Z87" s="198"/>
      <c r="AA87" s="198"/>
      <c r="AB87" s="199" t="e">
        <f>AA87/Z87</f>
        <v>#DIV/0!</v>
      </c>
      <c r="AC87" s="197" t="e">
        <f>RANK(AB87,$AB$87:$AB$100)</f>
        <v>#DIV/0!</v>
      </c>
      <c r="AD87" s="668" t="e">
        <f>AVERAGE(AB87:AB101)</f>
        <v>#DIV/0!</v>
      </c>
      <c r="AE87" s="198"/>
      <c r="AF87" s="198"/>
      <c r="AG87" s="199" t="e">
        <f>AF87/AE87</f>
        <v>#DIV/0!</v>
      </c>
      <c r="AH87" s="197" t="e">
        <f>RANK(AG87,$AG$87:$AG$101)</f>
        <v>#DIV/0!</v>
      </c>
      <c r="AI87" s="668" t="e">
        <f>AVERAGE(AG87:AG101)</f>
        <v>#DIV/0!</v>
      </c>
      <c r="AJ87" s="198"/>
      <c r="AK87" s="198"/>
      <c r="AL87" s="330" t="e">
        <f>AK87/AJ87</f>
        <v>#DIV/0!</v>
      </c>
      <c r="AM87" s="197" t="e">
        <f>RANK(AL87,$AL$87:$AL$101)</f>
        <v>#DIV/0!</v>
      </c>
      <c r="AN87" s="668" t="e">
        <f>AVERAGE(AL87:AL101)</f>
        <v>#DIV/0!</v>
      </c>
      <c r="AO87" s="198"/>
      <c r="AP87" s="198"/>
      <c r="AQ87" s="199" t="e">
        <f>AP87/AO87</f>
        <v>#DIV/0!</v>
      </c>
      <c r="AR87" s="197" t="e">
        <f>RANK(AQ87,$AQ$87:$AQ$101)</f>
        <v>#DIV/0!</v>
      </c>
      <c r="AS87" s="668" t="e">
        <f>AVERAGE(AQ87:AQ101)</f>
        <v>#DIV/0!</v>
      </c>
      <c r="AT87" s="198"/>
      <c r="AU87" s="198"/>
      <c r="AV87" s="199" t="e">
        <f>AU87/AT87</f>
        <v>#DIV/0!</v>
      </c>
      <c r="AW87" s="197" t="e">
        <f>RANK(AV87,$AV$87:$AV$101)</f>
        <v>#DIV/0!</v>
      </c>
      <c r="AX87" s="668" t="e">
        <f>AVERAGE(AV87:AV101)</f>
        <v>#DIV/0!</v>
      </c>
    </row>
    <row r="88" spans="2:50" ht="13.5">
      <c r="B88" s="656"/>
      <c r="C88" s="197">
        <v>2</v>
      </c>
      <c r="D88" s="201" t="s">
        <v>100</v>
      </c>
      <c r="E88" s="198">
        <f>VLOOKUP(D88,'07產線配置圖'!$A$27:$C$34,2,0)</f>
        <v>11</v>
      </c>
      <c r="F88" s="198">
        <f>VLOOKUP(D88,'07產線配置圖'!$A$27:$C$34,3,0)</f>
        <v>1636</v>
      </c>
      <c r="G88" s="199">
        <f t="shared" si="61"/>
        <v>148.72727272727272</v>
      </c>
      <c r="H88" s="658"/>
      <c r="I88" s="198" t="e">
        <f t="shared" ref="I88:I89" si="62">AVERAGE(P88,U88,Z87,AE88,AJ88,AO88)</f>
        <v>#DIV/0!</v>
      </c>
      <c r="J88" s="198" t="e">
        <f t="shared" ref="J88:J89" si="63">AVERAGE(Q88,V88,AA88,AF88,AK88,AP88)</f>
        <v>#DIV/0!</v>
      </c>
      <c r="K88" s="199" t="e">
        <f t="shared" ref="K88:K89" si="64">AVERAGE(R88,W88,AB88,AG88,AL88,AQ88)</f>
        <v>#DIV/0!</v>
      </c>
      <c r="L88" s="658"/>
      <c r="M88" s="198" t="e">
        <f t="shared" ref="M88:M90" si="65">RANK(K88,$K$87:$K$101)</f>
        <v>#DIV/0!</v>
      </c>
      <c r="N88" s="655"/>
      <c r="O88" s="655"/>
      <c r="P88" s="198"/>
      <c r="Q88" s="198"/>
      <c r="R88" s="199" t="e">
        <f>Q88/P88</f>
        <v>#DIV/0!</v>
      </c>
      <c r="S88" s="197" t="e">
        <f>RANK(R88,$R$87:$R$101)</f>
        <v>#DIV/0!</v>
      </c>
      <c r="T88" s="668"/>
      <c r="U88" s="198"/>
      <c r="V88" s="198"/>
      <c r="W88" s="199" t="e">
        <f>V88/U88</f>
        <v>#DIV/0!</v>
      </c>
      <c r="X88" s="197" t="e">
        <f>RANK(W88,$W$87:$W$101)</f>
        <v>#DIV/0!</v>
      </c>
      <c r="Y88" s="668"/>
      <c r="Z88" s="198"/>
      <c r="AA88" s="198"/>
      <c r="AB88" s="199" t="e">
        <f>AA88/Z88</f>
        <v>#DIV/0!</v>
      </c>
      <c r="AC88" s="197" t="e">
        <f>RANK(AB88,$AB$87:$AB$100)</f>
        <v>#DIV/0!</v>
      </c>
      <c r="AD88" s="668"/>
      <c r="AE88" s="198"/>
      <c r="AF88" s="198"/>
      <c r="AG88" s="199" t="e">
        <f>AF88/AE88</f>
        <v>#DIV/0!</v>
      </c>
      <c r="AH88" s="197" t="e">
        <f>RANK(AG88,$AG$87:$AG$101)</f>
        <v>#DIV/0!</v>
      </c>
      <c r="AI88" s="668"/>
      <c r="AJ88" s="198"/>
      <c r="AK88" s="198"/>
      <c r="AL88" s="330" t="e">
        <f t="shared" ref="AL88:AL90" si="66">AK88/AJ88</f>
        <v>#DIV/0!</v>
      </c>
      <c r="AM88" s="197" t="e">
        <f t="shared" ref="AM88:AM90" si="67">RANK(AL88,$AL$87:$AL$101)</f>
        <v>#DIV/0!</v>
      </c>
      <c r="AN88" s="668"/>
      <c r="AO88" s="198"/>
      <c r="AP88" s="198"/>
      <c r="AQ88" s="199" t="e">
        <f t="shared" ref="AQ88:AQ90" si="68">AP88/AO88</f>
        <v>#DIV/0!</v>
      </c>
      <c r="AR88" s="197" t="e">
        <f t="shared" ref="AR88:AR90" si="69">RANK(AQ88,$AQ$87:$AQ$101)</f>
        <v>#DIV/0!</v>
      </c>
      <c r="AS88" s="668"/>
      <c r="AT88" s="198"/>
      <c r="AU88" s="198"/>
      <c r="AV88" s="199" t="e">
        <f t="shared" ref="AV88:AV90" si="70">AU88/AT88</f>
        <v>#DIV/0!</v>
      </c>
      <c r="AW88" s="197" t="e">
        <f t="shared" ref="AW88:AW90" si="71">RANK(AV88,$AV$87:$AV$101)</f>
        <v>#DIV/0!</v>
      </c>
      <c r="AX88" s="668"/>
    </row>
    <row r="89" spans="2:50" ht="13.5">
      <c r="B89" s="656"/>
      <c r="C89" s="197">
        <v>3</v>
      </c>
      <c r="D89" s="201" t="s">
        <v>101</v>
      </c>
      <c r="E89" s="198">
        <f>VLOOKUP(D89,'07產線配置圖'!$A$27:$C$34,2,0)</f>
        <v>11</v>
      </c>
      <c r="F89" s="198">
        <f>VLOOKUP(D89,'07產線配置圖'!$A$27:$C$34,3,0)</f>
        <v>1636</v>
      </c>
      <c r="G89" s="199">
        <f>F89/E89</f>
        <v>148.72727272727272</v>
      </c>
      <c r="H89" s="658"/>
      <c r="I89" s="198" t="e">
        <f t="shared" si="62"/>
        <v>#DIV/0!</v>
      </c>
      <c r="J89" s="198" t="e">
        <f t="shared" si="63"/>
        <v>#DIV/0!</v>
      </c>
      <c r="K89" s="199" t="e">
        <f t="shared" si="64"/>
        <v>#DIV/0!</v>
      </c>
      <c r="L89" s="658"/>
      <c r="M89" s="198" t="e">
        <f t="shared" si="65"/>
        <v>#DIV/0!</v>
      </c>
      <c r="N89" s="655"/>
      <c r="O89" s="655"/>
      <c r="P89" s="198"/>
      <c r="Q89" s="198"/>
      <c r="R89" s="199" t="e">
        <f>Q89/P89</f>
        <v>#DIV/0!</v>
      </c>
      <c r="S89" s="197" t="e">
        <f>RANK(R89,$R$87:$R$101)</f>
        <v>#DIV/0!</v>
      </c>
      <c r="T89" s="668"/>
      <c r="U89" s="198"/>
      <c r="V89" s="198"/>
      <c r="W89" s="199" t="e">
        <f>V89/U89</f>
        <v>#DIV/0!</v>
      </c>
      <c r="X89" s="197" t="e">
        <f>RANK(W89,$W$87:$W$101)</f>
        <v>#DIV/0!</v>
      </c>
      <c r="Y89" s="668"/>
      <c r="Z89" s="198"/>
      <c r="AA89" s="198"/>
      <c r="AB89" s="199" t="e">
        <f>AA89/Z89</f>
        <v>#DIV/0!</v>
      </c>
      <c r="AC89" s="197" t="e">
        <f>RANK(AB89,$AB$87:$AB$100)</f>
        <v>#DIV/0!</v>
      </c>
      <c r="AD89" s="668"/>
      <c r="AE89" s="198"/>
      <c r="AF89" s="198"/>
      <c r="AG89" s="199" t="e">
        <f>AF89/AE89</f>
        <v>#DIV/0!</v>
      </c>
      <c r="AH89" s="197" t="e">
        <f>RANK(AG89,$AG$87:$AG$101)</f>
        <v>#DIV/0!</v>
      </c>
      <c r="AI89" s="668"/>
      <c r="AJ89" s="198"/>
      <c r="AK89" s="198"/>
      <c r="AL89" s="330" t="e">
        <f t="shared" si="66"/>
        <v>#DIV/0!</v>
      </c>
      <c r="AM89" s="197" t="e">
        <f t="shared" si="67"/>
        <v>#DIV/0!</v>
      </c>
      <c r="AN89" s="668"/>
      <c r="AO89" s="198"/>
      <c r="AP89" s="198"/>
      <c r="AQ89" s="199" t="e">
        <f t="shared" si="68"/>
        <v>#DIV/0!</v>
      </c>
      <c r="AR89" s="197" t="e">
        <f t="shared" si="69"/>
        <v>#DIV/0!</v>
      </c>
      <c r="AS89" s="668"/>
      <c r="AT89" s="198"/>
      <c r="AU89" s="198"/>
      <c r="AV89" s="199" t="e">
        <f t="shared" si="70"/>
        <v>#DIV/0!</v>
      </c>
      <c r="AW89" s="197" t="e">
        <f t="shared" si="71"/>
        <v>#DIV/0!</v>
      </c>
      <c r="AX89" s="668"/>
    </row>
    <row r="90" spans="2:50" ht="13.5">
      <c r="B90" s="656"/>
      <c r="C90" s="197">
        <v>4</v>
      </c>
      <c r="D90" s="201" t="s">
        <v>102</v>
      </c>
      <c r="E90" s="198">
        <f>VLOOKUP(D90,'07產線配置圖'!$A$27:$C$34,2,0)</f>
        <v>11</v>
      </c>
      <c r="F90" s="198">
        <f>VLOOKUP(D90,'07產線配置圖'!$A$27:$C$34,3,0)</f>
        <v>1636</v>
      </c>
      <c r="G90" s="199">
        <f>F90/E90</f>
        <v>148.72727272727272</v>
      </c>
      <c r="H90" s="658"/>
      <c r="I90" s="198" t="e">
        <f>AVERAGE(P90,U90,Z89,AE90,AJ90,AO90)</f>
        <v>#DIV/0!</v>
      </c>
      <c r="J90" s="198" t="e">
        <f>AVERAGE(Q90,V90,AA90,AF90,AK90,AP90)</f>
        <v>#DIV/0!</v>
      </c>
      <c r="K90" s="199" t="e">
        <f>AVERAGE(R90,W90,AB90,AG90,AL90,AQ90)</f>
        <v>#DIV/0!</v>
      </c>
      <c r="L90" s="658"/>
      <c r="M90" s="198" t="e">
        <f t="shared" si="65"/>
        <v>#DIV/0!</v>
      </c>
      <c r="N90" s="655"/>
      <c r="O90" s="655"/>
      <c r="P90" s="198"/>
      <c r="Q90" s="198"/>
      <c r="R90" s="199" t="e">
        <f>Q90/P90</f>
        <v>#DIV/0!</v>
      </c>
      <c r="S90" s="197" t="e">
        <f>RANK(R90,$R$87:$R$101)</f>
        <v>#DIV/0!</v>
      </c>
      <c r="T90" s="668"/>
      <c r="U90" s="198"/>
      <c r="V90" s="198"/>
      <c r="W90" s="199" t="e">
        <f>V90/U90</f>
        <v>#DIV/0!</v>
      </c>
      <c r="X90" s="197" t="e">
        <f>RANK(W90,$W$87:$W$101)</f>
        <v>#DIV/0!</v>
      </c>
      <c r="Y90" s="668"/>
      <c r="Z90" s="198"/>
      <c r="AA90" s="198"/>
      <c r="AB90" s="199" t="e">
        <f>AA90/Z90</f>
        <v>#DIV/0!</v>
      </c>
      <c r="AC90" s="197" t="e">
        <f>RANK(AB90,$AB$87:$AB$100)</f>
        <v>#DIV/0!</v>
      </c>
      <c r="AD90" s="668"/>
      <c r="AE90" s="198"/>
      <c r="AF90" s="198"/>
      <c r="AG90" s="199" t="e">
        <f>AF90/AE90</f>
        <v>#DIV/0!</v>
      </c>
      <c r="AH90" s="197" t="e">
        <f>RANK(AG90,$AG$87:$AG$101)</f>
        <v>#DIV/0!</v>
      </c>
      <c r="AI90" s="668"/>
      <c r="AJ90" s="198"/>
      <c r="AK90" s="198"/>
      <c r="AL90" s="330" t="e">
        <f t="shared" si="66"/>
        <v>#DIV/0!</v>
      </c>
      <c r="AM90" s="197" t="e">
        <f t="shared" si="67"/>
        <v>#DIV/0!</v>
      </c>
      <c r="AN90" s="668"/>
      <c r="AO90" s="198"/>
      <c r="AP90" s="198"/>
      <c r="AQ90" s="199" t="e">
        <f t="shared" si="68"/>
        <v>#DIV/0!</v>
      </c>
      <c r="AR90" s="197" t="e">
        <f t="shared" si="69"/>
        <v>#DIV/0!</v>
      </c>
      <c r="AS90" s="668"/>
      <c r="AT90" s="198"/>
      <c r="AU90" s="198"/>
      <c r="AV90" s="199" t="e">
        <f t="shared" si="70"/>
        <v>#DIV/0!</v>
      </c>
      <c r="AW90" s="197" t="e">
        <f t="shared" si="71"/>
        <v>#DIV/0!</v>
      </c>
      <c r="AX90" s="668"/>
    </row>
    <row r="91" spans="2:50" ht="13.5">
      <c r="B91" s="656"/>
      <c r="C91" s="197">
        <v>5</v>
      </c>
      <c r="D91" s="201"/>
      <c r="E91" s="198"/>
      <c r="F91" s="198"/>
      <c r="G91" s="199"/>
      <c r="H91" s="658"/>
      <c r="I91" s="198"/>
      <c r="J91" s="198"/>
      <c r="K91" s="199"/>
      <c r="L91" s="658"/>
      <c r="M91" s="198"/>
      <c r="N91" s="655"/>
      <c r="O91" s="655"/>
      <c r="P91" s="198"/>
      <c r="Q91" s="198"/>
      <c r="R91" s="197"/>
      <c r="S91" s="197"/>
      <c r="T91" s="668"/>
      <c r="U91" s="198"/>
      <c r="V91" s="198"/>
      <c r="W91" s="197"/>
      <c r="X91" s="197"/>
      <c r="Y91" s="668"/>
      <c r="Z91" s="198"/>
      <c r="AA91" s="198"/>
      <c r="AB91" s="197"/>
      <c r="AC91" s="197"/>
      <c r="AD91" s="668"/>
      <c r="AE91" s="198"/>
      <c r="AF91" s="198"/>
      <c r="AG91" s="197"/>
      <c r="AH91" s="197"/>
      <c r="AI91" s="668"/>
      <c r="AJ91" s="198"/>
      <c r="AK91" s="198"/>
      <c r="AL91" s="197"/>
      <c r="AM91" s="197"/>
      <c r="AN91" s="668"/>
      <c r="AO91" s="198"/>
      <c r="AP91" s="198"/>
      <c r="AQ91" s="197"/>
      <c r="AR91" s="197"/>
      <c r="AS91" s="668"/>
      <c r="AT91" s="198"/>
      <c r="AU91" s="198"/>
      <c r="AV91" s="197"/>
      <c r="AW91" s="197"/>
      <c r="AX91" s="668"/>
    </row>
    <row r="92" spans="2:50" ht="13.5">
      <c r="B92" s="656"/>
      <c r="C92" s="197">
        <v>6</v>
      </c>
      <c r="D92" s="201"/>
      <c r="E92" s="198"/>
      <c r="F92" s="198"/>
      <c r="G92" s="199"/>
      <c r="H92" s="658"/>
      <c r="I92" s="198"/>
      <c r="J92" s="198"/>
      <c r="K92" s="199"/>
      <c r="L92" s="658"/>
      <c r="M92" s="198"/>
      <c r="N92" s="655"/>
      <c r="O92" s="655"/>
      <c r="P92" s="198"/>
      <c r="Q92" s="198"/>
      <c r="R92" s="197"/>
      <c r="S92" s="197"/>
      <c r="T92" s="668"/>
      <c r="U92" s="198"/>
      <c r="V92" s="198"/>
      <c r="W92" s="197"/>
      <c r="X92" s="197"/>
      <c r="Y92" s="668"/>
      <c r="Z92" s="198"/>
      <c r="AA92" s="198"/>
      <c r="AB92" s="197"/>
      <c r="AC92" s="197"/>
      <c r="AD92" s="668"/>
      <c r="AE92" s="198"/>
      <c r="AF92" s="198"/>
      <c r="AG92" s="197"/>
      <c r="AH92" s="197"/>
      <c r="AI92" s="668"/>
      <c r="AJ92" s="198"/>
      <c r="AK92" s="198"/>
      <c r="AL92" s="197"/>
      <c r="AM92" s="197"/>
      <c r="AN92" s="668"/>
      <c r="AO92" s="198"/>
      <c r="AP92" s="198"/>
      <c r="AQ92" s="197"/>
      <c r="AR92" s="197"/>
      <c r="AS92" s="668"/>
      <c r="AT92" s="198"/>
      <c r="AU92" s="198"/>
      <c r="AV92" s="197"/>
      <c r="AW92" s="197"/>
      <c r="AX92" s="668"/>
    </row>
    <row r="93" spans="2:50" ht="13.5">
      <c r="B93" s="656"/>
      <c r="C93" s="197">
        <v>7</v>
      </c>
      <c r="D93" s="201"/>
      <c r="E93" s="198"/>
      <c r="F93" s="198"/>
      <c r="G93" s="199"/>
      <c r="H93" s="658"/>
      <c r="I93" s="198"/>
      <c r="J93" s="198"/>
      <c r="K93" s="199"/>
      <c r="L93" s="658"/>
      <c r="M93" s="198"/>
      <c r="N93" s="655"/>
      <c r="O93" s="655"/>
      <c r="P93" s="198"/>
      <c r="Q93" s="198"/>
      <c r="R93" s="197"/>
      <c r="S93" s="197"/>
      <c r="T93" s="668"/>
      <c r="U93" s="198"/>
      <c r="V93" s="198"/>
      <c r="W93" s="197"/>
      <c r="X93" s="197"/>
      <c r="Y93" s="668"/>
      <c r="Z93" s="198"/>
      <c r="AA93" s="198"/>
      <c r="AB93" s="197"/>
      <c r="AC93" s="197"/>
      <c r="AD93" s="668"/>
      <c r="AE93" s="198"/>
      <c r="AF93" s="198"/>
      <c r="AG93" s="197"/>
      <c r="AH93" s="197"/>
      <c r="AI93" s="668"/>
      <c r="AJ93" s="198"/>
      <c r="AK93" s="198"/>
      <c r="AL93" s="197"/>
      <c r="AM93" s="197"/>
      <c r="AN93" s="668"/>
      <c r="AO93" s="198"/>
      <c r="AP93" s="198"/>
      <c r="AQ93" s="197"/>
      <c r="AR93" s="197"/>
      <c r="AS93" s="668"/>
      <c r="AT93" s="198"/>
      <c r="AU93" s="198"/>
      <c r="AV93" s="197"/>
      <c r="AW93" s="197"/>
      <c r="AX93" s="668"/>
    </row>
    <row r="94" spans="2:50" ht="13.5">
      <c r="B94" s="656"/>
      <c r="C94" s="197">
        <v>8</v>
      </c>
      <c r="D94" s="201"/>
      <c r="E94" s="197"/>
      <c r="F94" s="197"/>
      <c r="G94" s="197"/>
      <c r="H94" s="658"/>
      <c r="I94" s="198"/>
      <c r="J94" s="198"/>
      <c r="K94" s="199"/>
      <c r="L94" s="658"/>
      <c r="M94" s="198"/>
      <c r="N94" s="655"/>
      <c r="O94" s="655"/>
      <c r="P94" s="198"/>
      <c r="Q94" s="198"/>
      <c r="R94" s="197"/>
      <c r="S94" s="197"/>
      <c r="T94" s="668"/>
      <c r="U94" s="198"/>
      <c r="V94" s="198"/>
      <c r="W94" s="197"/>
      <c r="X94" s="197"/>
      <c r="Y94" s="668"/>
      <c r="Z94" s="198"/>
      <c r="AA94" s="198"/>
      <c r="AB94" s="197"/>
      <c r="AC94" s="197"/>
      <c r="AD94" s="668"/>
      <c r="AE94" s="198"/>
      <c r="AF94" s="198"/>
      <c r="AG94" s="197"/>
      <c r="AH94" s="197"/>
      <c r="AI94" s="668"/>
      <c r="AJ94" s="198"/>
      <c r="AK94" s="198"/>
      <c r="AL94" s="197"/>
      <c r="AM94" s="197"/>
      <c r="AN94" s="668"/>
      <c r="AO94" s="198"/>
      <c r="AP94" s="198"/>
      <c r="AQ94" s="197"/>
      <c r="AR94" s="197"/>
      <c r="AS94" s="668"/>
      <c r="AT94" s="198"/>
      <c r="AU94" s="198"/>
      <c r="AV94" s="197"/>
      <c r="AW94" s="197"/>
      <c r="AX94" s="668"/>
    </row>
    <row r="95" spans="2:50" ht="13.5">
      <c r="B95" s="656"/>
      <c r="C95" s="197">
        <v>9</v>
      </c>
      <c r="D95" s="201"/>
      <c r="E95" s="197"/>
      <c r="F95" s="197"/>
      <c r="G95" s="197"/>
      <c r="H95" s="658"/>
      <c r="I95" s="198"/>
      <c r="J95" s="198"/>
      <c r="K95" s="199"/>
      <c r="L95" s="658"/>
      <c r="M95" s="198"/>
      <c r="N95" s="655"/>
      <c r="O95" s="655"/>
      <c r="P95" s="198"/>
      <c r="Q95" s="198"/>
      <c r="R95" s="197"/>
      <c r="S95" s="197"/>
      <c r="T95" s="668"/>
      <c r="U95" s="198"/>
      <c r="V95" s="198"/>
      <c r="W95" s="197"/>
      <c r="X95" s="197"/>
      <c r="Y95" s="668"/>
      <c r="Z95" s="198"/>
      <c r="AA95" s="198"/>
      <c r="AB95" s="197"/>
      <c r="AC95" s="197"/>
      <c r="AD95" s="668"/>
      <c r="AE95" s="198"/>
      <c r="AF95" s="198"/>
      <c r="AG95" s="197"/>
      <c r="AH95" s="197"/>
      <c r="AI95" s="668"/>
      <c r="AJ95" s="198"/>
      <c r="AK95" s="198"/>
      <c r="AL95" s="197"/>
      <c r="AM95" s="197"/>
      <c r="AN95" s="668"/>
      <c r="AO95" s="198"/>
      <c r="AP95" s="198"/>
      <c r="AQ95" s="197"/>
      <c r="AR95" s="197"/>
      <c r="AS95" s="668"/>
      <c r="AT95" s="198"/>
      <c r="AU95" s="198"/>
      <c r="AV95" s="197"/>
      <c r="AW95" s="197"/>
      <c r="AX95" s="668"/>
    </row>
    <row r="96" spans="2:50" ht="13.5">
      <c r="B96" s="656"/>
      <c r="C96" s="197">
        <v>10</v>
      </c>
      <c r="D96" s="201"/>
      <c r="E96" s="197"/>
      <c r="F96" s="197"/>
      <c r="G96" s="197"/>
      <c r="H96" s="658"/>
      <c r="I96" s="198"/>
      <c r="J96" s="198"/>
      <c r="K96" s="199"/>
      <c r="L96" s="658"/>
      <c r="M96" s="198"/>
      <c r="N96" s="655"/>
      <c r="O96" s="655"/>
      <c r="P96" s="198"/>
      <c r="Q96" s="198"/>
      <c r="R96" s="197"/>
      <c r="S96" s="197"/>
      <c r="T96" s="668"/>
      <c r="U96" s="198"/>
      <c r="V96" s="198"/>
      <c r="W96" s="197"/>
      <c r="X96" s="197"/>
      <c r="Y96" s="668"/>
      <c r="Z96" s="198"/>
      <c r="AA96" s="198"/>
      <c r="AB96" s="197"/>
      <c r="AC96" s="197"/>
      <c r="AD96" s="668"/>
      <c r="AE96" s="198"/>
      <c r="AF96" s="198"/>
      <c r="AG96" s="197"/>
      <c r="AH96" s="197"/>
      <c r="AI96" s="668"/>
      <c r="AJ96" s="198"/>
      <c r="AK96" s="198"/>
      <c r="AL96" s="197"/>
      <c r="AM96" s="197"/>
      <c r="AN96" s="668"/>
      <c r="AO96" s="198"/>
      <c r="AP96" s="198"/>
      <c r="AQ96" s="197"/>
      <c r="AR96" s="197"/>
      <c r="AS96" s="668"/>
      <c r="AT96" s="198"/>
      <c r="AU96" s="198"/>
      <c r="AV96" s="197"/>
      <c r="AW96" s="197"/>
      <c r="AX96" s="668"/>
    </row>
    <row r="97" spans="2:50" ht="13.5">
      <c r="B97" s="656"/>
      <c r="C97" s="197">
        <v>11</v>
      </c>
      <c r="D97" s="201"/>
      <c r="E97" s="197"/>
      <c r="F97" s="197"/>
      <c r="G97" s="197"/>
      <c r="H97" s="658"/>
      <c r="I97" s="198"/>
      <c r="J97" s="198"/>
      <c r="K97" s="199"/>
      <c r="L97" s="658"/>
      <c r="M97" s="198"/>
      <c r="N97" s="655"/>
      <c r="O97" s="655"/>
      <c r="P97" s="197"/>
      <c r="Q97" s="197"/>
      <c r="R97" s="197"/>
      <c r="S97" s="197"/>
      <c r="T97" s="668"/>
      <c r="U97" s="197"/>
      <c r="V97" s="197"/>
      <c r="W97" s="197"/>
      <c r="X97" s="197"/>
      <c r="Y97" s="668"/>
      <c r="Z97" s="197"/>
      <c r="AA97" s="197"/>
      <c r="AB97" s="197"/>
      <c r="AC97" s="197"/>
      <c r="AD97" s="668"/>
      <c r="AE97" s="197"/>
      <c r="AF97" s="197"/>
      <c r="AG97" s="197"/>
      <c r="AH97" s="197"/>
      <c r="AI97" s="668"/>
      <c r="AJ97" s="197"/>
      <c r="AK97" s="197"/>
      <c r="AL97" s="197"/>
      <c r="AM97" s="197"/>
      <c r="AN97" s="668"/>
      <c r="AO97" s="197"/>
      <c r="AP97" s="197"/>
      <c r="AQ97" s="197"/>
      <c r="AR97" s="197"/>
      <c r="AS97" s="668"/>
      <c r="AT97" s="197"/>
      <c r="AU97" s="197"/>
      <c r="AV97" s="197"/>
      <c r="AW97" s="197"/>
      <c r="AX97" s="668"/>
    </row>
    <row r="98" spans="2:50" ht="13.5">
      <c r="B98" s="656"/>
      <c r="C98" s="197">
        <v>12</v>
      </c>
      <c r="D98" s="201"/>
      <c r="E98" s="197"/>
      <c r="F98" s="197"/>
      <c r="G98" s="197"/>
      <c r="H98" s="658"/>
      <c r="I98" s="198"/>
      <c r="J98" s="198"/>
      <c r="K98" s="199"/>
      <c r="L98" s="658"/>
      <c r="M98" s="198"/>
      <c r="N98" s="655"/>
      <c r="O98" s="655"/>
      <c r="P98" s="197"/>
      <c r="Q98" s="197"/>
      <c r="R98" s="197"/>
      <c r="S98" s="197"/>
      <c r="T98" s="668"/>
      <c r="U98" s="197"/>
      <c r="V98" s="197"/>
      <c r="W98" s="197"/>
      <c r="X98" s="197"/>
      <c r="Y98" s="668"/>
      <c r="Z98" s="197"/>
      <c r="AA98" s="197"/>
      <c r="AB98" s="197"/>
      <c r="AC98" s="197"/>
      <c r="AD98" s="668"/>
      <c r="AE98" s="197"/>
      <c r="AF98" s="197"/>
      <c r="AG98" s="197"/>
      <c r="AH98" s="197"/>
      <c r="AI98" s="668"/>
      <c r="AJ98" s="197"/>
      <c r="AK98" s="197"/>
      <c r="AL98" s="197"/>
      <c r="AM98" s="197"/>
      <c r="AN98" s="668"/>
      <c r="AO98" s="197"/>
      <c r="AP98" s="197"/>
      <c r="AQ98" s="197"/>
      <c r="AR98" s="197"/>
      <c r="AS98" s="668"/>
      <c r="AT98" s="197"/>
      <c r="AU98" s="197"/>
      <c r="AV98" s="197"/>
      <c r="AW98" s="197"/>
      <c r="AX98" s="668"/>
    </row>
    <row r="99" spans="2:50" ht="13.5">
      <c r="B99" s="656"/>
      <c r="C99" s="197">
        <v>13</v>
      </c>
      <c r="D99" s="201"/>
      <c r="E99" s="197"/>
      <c r="F99" s="197"/>
      <c r="G99" s="197"/>
      <c r="H99" s="658"/>
      <c r="I99" s="198"/>
      <c r="J99" s="198"/>
      <c r="K99" s="199"/>
      <c r="L99" s="658"/>
      <c r="M99" s="198"/>
      <c r="N99" s="655"/>
      <c r="O99" s="655"/>
      <c r="P99" s="197"/>
      <c r="Q99" s="197"/>
      <c r="R99" s="197"/>
      <c r="S99" s="197"/>
      <c r="T99" s="668"/>
      <c r="U99" s="197"/>
      <c r="V99" s="197"/>
      <c r="W99" s="197"/>
      <c r="X99" s="197"/>
      <c r="Y99" s="668"/>
      <c r="Z99" s="197"/>
      <c r="AA99" s="197"/>
      <c r="AB99" s="197"/>
      <c r="AC99" s="197"/>
      <c r="AD99" s="668"/>
      <c r="AE99" s="197"/>
      <c r="AF99" s="197"/>
      <c r="AG99" s="197"/>
      <c r="AH99" s="197"/>
      <c r="AI99" s="668"/>
      <c r="AJ99" s="197"/>
      <c r="AK99" s="197"/>
      <c r="AL99" s="197"/>
      <c r="AM99" s="197"/>
      <c r="AN99" s="668"/>
      <c r="AO99" s="197"/>
      <c r="AP99" s="197"/>
      <c r="AQ99" s="197"/>
      <c r="AR99" s="197"/>
      <c r="AS99" s="668"/>
      <c r="AT99" s="197"/>
      <c r="AU99" s="197"/>
      <c r="AV99" s="197"/>
      <c r="AW99" s="197"/>
      <c r="AX99" s="668"/>
    </row>
    <row r="100" spans="2:50" ht="13.5">
      <c r="B100" s="656"/>
      <c r="C100" s="197">
        <v>14</v>
      </c>
      <c r="D100" s="201"/>
      <c r="E100" s="197"/>
      <c r="F100" s="197"/>
      <c r="G100" s="197"/>
      <c r="H100" s="658"/>
      <c r="I100" s="198"/>
      <c r="J100" s="198"/>
      <c r="K100" s="199"/>
      <c r="L100" s="658"/>
      <c r="M100" s="198"/>
      <c r="N100" s="655"/>
      <c r="O100" s="655"/>
      <c r="P100" s="197"/>
      <c r="Q100" s="197"/>
      <c r="R100" s="197"/>
      <c r="S100" s="197"/>
      <c r="T100" s="668"/>
      <c r="U100" s="197"/>
      <c r="V100" s="197"/>
      <c r="W100" s="197"/>
      <c r="X100" s="197"/>
      <c r="Y100" s="668"/>
      <c r="Z100" s="197"/>
      <c r="AA100" s="197"/>
      <c r="AB100" s="197"/>
      <c r="AC100" s="197"/>
      <c r="AD100" s="668"/>
      <c r="AE100" s="197"/>
      <c r="AF100" s="197"/>
      <c r="AG100" s="197"/>
      <c r="AH100" s="197"/>
      <c r="AI100" s="668"/>
      <c r="AJ100" s="197"/>
      <c r="AK100" s="197"/>
      <c r="AL100" s="197"/>
      <c r="AM100" s="197"/>
      <c r="AN100" s="668"/>
      <c r="AO100" s="197"/>
      <c r="AP100" s="197"/>
      <c r="AQ100" s="197"/>
      <c r="AR100" s="197"/>
      <c r="AS100" s="668"/>
      <c r="AT100" s="197"/>
      <c r="AU100" s="197"/>
      <c r="AV100" s="197"/>
      <c r="AW100" s="197"/>
      <c r="AX100" s="668"/>
    </row>
    <row r="101" spans="2:50" ht="13.5">
      <c r="B101" s="656"/>
      <c r="C101" s="197">
        <v>15</v>
      </c>
      <c r="D101" s="201"/>
      <c r="E101" s="197"/>
      <c r="F101" s="197"/>
      <c r="G101" s="197"/>
      <c r="H101" s="659"/>
      <c r="I101" s="198"/>
      <c r="J101" s="198"/>
      <c r="K101" s="199"/>
      <c r="L101" s="659"/>
      <c r="M101" s="198"/>
      <c r="N101" s="655"/>
      <c r="O101" s="655"/>
      <c r="P101" s="197"/>
      <c r="Q101" s="197"/>
      <c r="R101" s="197"/>
      <c r="S101" s="197"/>
      <c r="T101" s="668"/>
      <c r="U101" s="197"/>
      <c r="V101" s="197"/>
      <c r="W101" s="197"/>
      <c r="X101" s="197"/>
      <c r="Y101" s="668"/>
      <c r="Z101" s="197"/>
      <c r="AA101" s="197"/>
      <c r="AB101" s="197"/>
      <c r="AC101" s="197"/>
      <c r="AD101" s="668"/>
      <c r="AE101" s="197"/>
      <c r="AF101" s="197"/>
      <c r="AG101" s="197"/>
      <c r="AH101" s="197"/>
      <c r="AI101" s="668"/>
      <c r="AJ101" s="197"/>
      <c r="AK101" s="197"/>
      <c r="AL101" s="197"/>
      <c r="AM101" s="197"/>
      <c r="AN101" s="668"/>
      <c r="AO101" s="197"/>
      <c r="AP101" s="197"/>
      <c r="AQ101" s="197"/>
      <c r="AR101" s="197"/>
      <c r="AS101" s="668"/>
      <c r="AT101" s="197"/>
      <c r="AU101" s="197"/>
      <c r="AV101" s="197"/>
      <c r="AW101" s="197"/>
      <c r="AX101" s="668"/>
    </row>
    <row r="102" spans="2:50" ht="15.75">
      <c r="B102" s="650" t="s">
        <v>85</v>
      </c>
      <c r="C102" s="651"/>
      <c r="D102" s="651"/>
      <c r="E102" s="651"/>
      <c r="F102" s="651"/>
      <c r="G102" s="651"/>
      <c r="H102" s="651"/>
      <c r="I102" s="191"/>
      <c r="J102" s="191"/>
      <c r="K102" s="191"/>
      <c r="L102" s="191"/>
      <c r="M102" s="192"/>
      <c r="N102" s="653" t="s">
        <v>86</v>
      </c>
      <c r="O102" s="653" t="s">
        <v>45</v>
      </c>
      <c r="P102" s="664">
        <f>AT82+1</f>
        <v>46266</v>
      </c>
      <c r="Q102" s="656"/>
      <c r="R102" s="656"/>
      <c r="S102" s="656"/>
      <c r="T102" s="656"/>
      <c r="U102" s="664"/>
      <c r="V102" s="656"/>
      <c r="W102" s="656"/>
      <c r="X102" s="656"/>
      <c r="Y102" s="656"/>
      <c r="Z102" s="664"/>
      <c r="AA102" s="656"/>
      <c r="AB102" s="656"/>
      <c r="AC102" s="656"/>
      <c r="AD102" s="656"/>
      <c r="AE102" s="664"/>
      <c r="AF102" s="656"/>
      <c r="AG102" s="656"/>
      <c r="AH102" s="656"/>
      <c r="AI102" s="656"/>
      <c r="AJ102" s="664"/>
      <c r="AK102" s="656"/>
      <c r="AL102" s="656"/>
      <c r="AM102" s="656"/>
      <c r="AN102" s="656"/>
      <c r="AO102" s="664"/>
      <c r="AP102" s="656"/>
      <c r="AQ102" s="656"/>
      <c r="AR102" s="656"/>
      <c r="AS102" s="656"/>
      <c r="AT102" s="664"/>
      <c r="AU102" s="656"/>
      <c r="AV102" s="656"/>
      <c r="AW102" s="656"/>
      <c r="AX102" s="656"/>
    </row>
    <row r="103" spans="2:50" ht="15.75">
      <c r="B103" s="652"/>
      <c r="C103" s="652"/>
      <c r="D103" s="652"/>
      <c r="E103" s="652"/>
      <c r="F103" s="652"/>
      <c r="G103" s="652"/>
      <c r="H103" s="652"/>
      <c r="I103" s="193"/>
      <c r="J103" s="193"/>
      <c r="K103" s="193"/>
      <c r="L103" s="193"/>
      <c r="M103" s="194"/>
      <c r="N103" s="654"/>
      <c r="O103" s="654"/>
      <c r="P103" s="664" t="s">
        <v>58</v>
      </c>
      <c r="Q103" s="656"/>
      <c r="R103" s="656"/>
      <c r="S103" s="656"/>
      <c r="T103" s="656"/>
      <c r="U103" s="664" t="s">
        <v>59</v>
      </c>
      <c r="V103" s="656"/>
      <c r="W103" s="656"/>
      <c r="X103" s="656"/>
      <c r="Y103" s="656"/>
      <c r="Z103" s="664" t="s">
        <v>60</v>
      </c>
      <c r="AA103" s="656"/>
      <c r="AB103" s="656"/>
      <c r="AC103" s="656"/>
      <c r="AD103" s="656"/>
      <c r="AE103" s="664" t="s">
        <v>61</v>
      </c>
      <c r="AF103" s="656"/>
      <c r="AG103" s="656"/>
      <c r="AH103" s="656"/>
      <c r="AI103" s="656"/>
      <c r="AJ103" s="664" t="s">
        <v>56</v>
      </c>
      <c r="AK103" s="656"/>
      <c r="AL103" s="656"/>
      <c r="AM103" s="656"/>
      <c r="AN103" s="656"/>
      <c r="AO103" s="664" t="s">
        <v>52</v>
      </c>
      <c r="AP103" s="656"/>
      <c r="AQ103" s="656"/>
      <c r="AR103" s="656"/>
      <c r="AS103" s="656"/>
      <c r="AT103" s="664" t="s">
        <v>57</v>
      </c>
      <c r="AU103" s="656"/>
      <c r="AV103" s="656"/>
      <c r="AW103" s="656"/>
      <c r="AX103" s="656"/>
    </row>
    <row r="104" spans="2:50">
      <c r="B104" s="655" t="s">
        <v>41</v>
      </c>
      <c r="C104" s="655" t="s">
        <v>87</v>
      </c>
      <c r="D104" s="655"/>
      <c r="E104" s="655" t="s">
        <v>88</v>
      </c>
      <c r="F104" s="655"/>
      <c r="G104" s="655"/>
      <c r="H104" s="660" t="s">
        <v>89</v>
      </c>
      <c r="I104" s="655" t="s">
        <v>90</v>
      </c>
      <c r="J104" s="655"/>
      <c r="K104" s="655"/>
      <c r="L104" s="660" t="s">
        <v>89</v>
      </c>
      <c r="M104" s="653" t="s">
        <v>91</v>
      </c>
      <c r="N104" s="655"/>
      <c r="O104" s="655" t="s">
        <v>92</v>
      </c>
      <c r="P104" s="665" t="s">
        <v>93</v>
      </c>
      <c r="Q104" s="666"/>
      <c r="R104" s="666"/>
      <c r="S104" s="667"/>
      <c r="T104" s="655" t="s">
        <v>89</v>
      </c>
      <c r="U104" s="665" t="s">
        <v>93</v>
      </c>
      <c r="V104" s="666"/>
      <c r="W104" s="666"/>
      <c r="X104" s="667"/>
      <c r="Y104" s="655" t="s">
        <v>89</v>
      </c>
      <c r="Z104" s="665" t="s">
        <v>93</v>
      </c>
      <c r="AA104" s="666"/>
      <c r="AB104" s="666"/>
      <c r="AC104" s="667"/>
      <c r="AD104" s="655" t="s">
        <v>89</v>
      </c>
      <c r="AE104" s="665" t="s">
        <v>93</v>
      </c>
      <c r="AF104" s="666"/>
      <c r="AG104" s="666"/>
      <c r="AH104" s="667"/>
      <c r="AI104" s="655" t="s">
        <v>89</v>
      </c>
      <c r="AJ104" s="665" t="s">
        <v>93</v>
      </c>
      <c r="AK104" s="666"/>
      <c r="AL104" s="666"/>
      <c r="AM104" s="667"/>
      <c r="AN104" s="655" t="s">
        <v>89</v>
      </c>
      <c r="AO104" s="665" t="s">
        <v>93</v>
      </c>
      <c r="AP104" s="666"/>
      <c r="AQ104" s="666"/>
      <c r="AR104" s="667"/>
      <c r="AS104" s="655" t="s">
        <v>89</v>
      </c>
      <c r="AT104" s="665" t="s">
        <v>93</v>
      </c>
      <c r="AU104" s="666"/>
      <c r="AV104" s="666"/>
      <c r="AW104" s="667"/>
      <c r="AX104" s="655" t="s">
        <v>89</v>
      </c>
    </row>
    <row r="105" spans="2:50">
      <c r="B105" s="655"/>
      <c r="C105" s="655"/>
      <c r="D105" s="655"/>
      <c r="E105" s="655" t="s">
        <v>94</v>
      </c>
      <c r="F105" s="655"/>
      <c r="G105" s="655"/>
      <c r="H105" s="661"/>
      <c r="I105" s="655" t="s">
        <v>94</v>
      </c>
      <c r="J105" s="655"/>
      <c r="K105" s="655"/>
      <c r="L105" s="661"/>
      <c r="M105" s="663"/>
      <c r="N105" s="655"/>
      <c r="O105" s="655"/>
      <c r="P105" s="665" t="s">
        <v>95</v>
      </c>
      <c r="Q105" s="666"/>
      <c r="R105" s="666"/>
      <c r="S105" s="667"/>
      <c r="T105" s="655"/>
      <c r="U105" s="665" t="s">
        <v>95</v>
      </c>
      <c r="V105" s="666"/>
      <c r="W105" s="666"/>
      <c r="X105" s="667"/>
      <c r="Y105" s="655"/>
      <c r="Z105" s="665" t="s">
        <v>95</v>
      </c>
      <c r="AA105" s="666"/>
      <c r="AB105" s="666"/>
      <c r="AC105" s="667"/>
      <c r="AD105" s="655"/>
      <c r="AE105" s="665" t="s">
        <v>95</v>
      </c>
      <c r="AF105" s="666"/>
      <c r="AG105" s="666"/>
      <c r="AH105" s="667"/>
      <c r="AI105" s="655"/>
      <c r="AJ105" s="665" t="s">
        <v>95</v>
      </c>
      <c r="AK105" s="666"/>
      <c r="AL105" s="666"/>
      <c r="AM105" s="667"/>
      <c r="AN105" s="655"/>
      <c r="AO105" s="665" t="s">
        <v>95</v>
      </c>
      <c r="AP105" s="666"/>
      <c r="AQ105" s="666"/>
      <c r="AR105" s="667"/>
      <c r="AS105" s="655"/>
      <c r="AT105" s="665" t="s">
        <v>95</v>
      </c>
      <c r="AU105" s="666"/>
      <c r="AV105" s="666"/>
      <c r="AW105" s="667"/>
      <c r="AX105" s="655"/>
    </row>
    <row r="106" spans="2:50">
      <c r="B106" s="655"/>
      <c r="C106" s="655"/>
      <c r="D106" s="655"/>
      <c r="E106" s="196" t="s">
        <v>96</v>
      </c>
      <c r="F106" s="196" t="s">
        <v>97</v>
      </c>
      <c r="G106" s="196" t="s">
        <v>98</v>
      </c>
      <c r="H106" s="662"/>
      <c r="I106" s="196" t="s">
        <v>96</v>
      </c>
      <c r="J106" s="196" t="s">
        <v>97</v>
      </c>
      <c r="K106" s="196" t="s">
        <v>98</v>
      </c>
      <c r="L106" s="662"/>
      <c r="M106" s="654"/>
      <c r="N106" s="655"/>
      <c r="O106" s="655"/>
      <c r="P106" s="196" t="s">
        <v>96</v>
      </c>
      <c r="Q106" s="196" t="s">
        <v>97</v>
      </c>
      <c r="R106" s="196" t="s">
        <v>98</v>
      </c>
      <c r="S106" s="196" t="s">
        <v>91</v>
      </c>
      <c r="T106" s="655"/>
      <c r="U106" s="196" t="s">
        <v>96</v>
      </c>
      <c r="V106" s="196" t="s">
        <v>97</v>
      </c>
      <c r="W106" s="196" t="s">
        <v>98</v>
      </c>
      <c r="X106" s="196" t="s">
        <v>91</v>
      </c>
      <c r="Y106" s="655"/>
      <c r="Z106" s="196" t="s">
        <v>96</v>
      </c>
      <c r="AA106" s="196" t="s">
        <v>97</v>
      </c>
      <c r="AB106" s="196" t="s">
        <v>98</v>
      </c>
      <c r="AC106" s="196" t="s">
        <v>91</v>
      </c>
      <c r="AD106" s="655"/>
      <c r="AE106" s="196" t="s">
        <v>96</v>
      </c>
      <c r="AF106" s="196" t="s">
        <v>97</v>
      </c>
      <c r="AG106" s="196" t="s">
        <v>98</v>
      </c>
      <c r="AH106" s="196" t="s">
        <v>91</v>
      </c>
      <c r="AI106" s="655"/>
      <c r="AJ106" s="196" t="s">
        <v>96</v>
      </c>
      <c r="AK106" s="196" t="s">
        <v>97</v>
      </c>
      <c r="AL106" s="196" t="s">
        <v>98</v>
      </c>
      <c r="AM106" s="196" t="s">
        <v>91</v>
      </c>
      <c r="AN106" s="655"/>
      <c r="AO106" s="196" t="s">
        <v>96</v>
      </c>
      <c r="AP106" s="196" t="s">
        <v>97</v>
      </c>
      <c r="AQ106" s="196" t="s">
        <v>98</v>
      </c>
      <c r="AR106" s="196" t="s">
        <v>91</v>
      </c>
      <c r="AS106" s="655"/>
      <c r="AT106" s="196" t="s">
        <v>96</v>
      </c>
      <c r="AU106" s="196" t="s">
        <v>97</v>
      </c>
      <c r="AV106" s="196" t="s">
        <v>98</v>
      </c>
      <c r="AW106" s="196" t="s">
        <v>91</v>
      </c>
      <c r="AX106" s="655"/>
    </row>
    <row r="107" spans="2:50" ht="13.5">
      <c r="B107" s="655" t="s">
        <v>76</v>
      </c>
      <c r="C107" s="197">
        <v>1</v>
      </c>
      <c r="D107" s="201" t="s">
        <v>99</v>
      </c>
      <c r="E107" s="198">
        <f>VLOOKUP(D107,'07產線配置圖'!$A$27:$C$34,2,0)</f>
        <v>15</v>
      </c>
      <c r="F107" s="198">
        <f>VLOOKUP(D107,'07產線配置圖'!$A$27:$C$34,3,0)</f>
        <v>1636</v>
      </c>
      <c r="G107" s="199">
        <f t="shared" ref="G107:G108" si="72">F107/E107</f>
        <v>109.06666666666666</v>
      </c>
      <c r="H107" s="657">
        <f>AVERAGE(G107:G121)</f>
        <v>138.81212121212121</v>
      </c>
      <c r="I107" s="198" t="e">
        <f t="shared" ref="I107:J107" si="73">AVERAGE(P107,U107,Z107,AE107,AJ107,AO107,AT107)</f>
        <v>#DIV/0!</v>
      </c>
      <c r="J107" s="198" t="e">
        <f t="shared" si="73"/>
        <v>#DIV/0!</v>
      </c>
      <c r="K107" s="199" t="e">
        <f>J107/I107</f>
        <v>#DIV/0!</v>
      </c>
      <c r="L107" s="657" t="str">
        <f>IFERROR(AVERAGE(K107:K121),"-")</f>
        <v>-</v>
      </c>
      <c r="M107" s="200" t="e">
        <f>RANK(K107,$K$107:$K$121)</f>
        <v>#DIV/0!</v>
      </c>
      <c r="N107" s="655"/>
      <c r="O107" s="655"/>
      <c r="P107" s="198"/>
      <c r="Q107" s="198"/>
      <c r="R107" s="199" t="e">
        <f t="shared" ref="R107:R110" si="74">Q107/P107</f>
        <v>#DIV/0!</v>
      </c>
      <c r="S107" s="197" t="e">
        <f>RANK(R107,$R$107:$R$121)</f>
        <v>#DIV/0!</v>
      </c>
      <c r="T107" s="668" t="e">
        <f>AVERAGE(R107:R121)</f>
        <v>#DIV/0!</v>
      </c>
      <c r="U107" s="198"/>
      <c r="V107" s="198"/>
      <c r="W107" s="199" t="e">
        <f>V107/U107</f>
        <v>#DIV/0!</v>
      </c>
      <c r="X107" s="197" t="e">
        <f>RANK(W107,W$107:W$109)</f>
        <v>#DIV/0!</v>
      </c>
      <c r="Y107" s="668" t="e">
        <f>AVERAGE(W107:W121)</f>
        <v>#DIV/0!</v>
      </c>
      <c r="Z107" s="198"/>
      <c r="AA107" s="198"/>
      <c r="AB107" s="199" t="e">
        <f>AA107/Z107</f>
        <v>#DIV/0!</v>
      </c>
      <c r="AC107" s="197" t="e">
        <f>RANK(AB107,AB$107:AB$109)</f>
        <v>#DIV/0!</v>
      </c>
      <c r="AD107" s="668" t="e">
        <f>AVERAGE(AB107:AB121)</f>
        <v>#DIV/0!</v>
      </c>
      <c r="AE107" s="198"/>
      <c r="AF107" s="198"/>
      <c r="AG107" s="199" t="e">
        <f>AF107/AE107</f>
        <v>#DIV/0!</v>
      </c>
      <c r="AH107" s="197" t="e">
        <f>RANK(AG107,AG$107:AG$109)</f>
        <v>#DIV/0!</v>
      </c>
      <c r="AI107" s="668" t="e">
        <f>AVERAGE(AG107:AG121)</f>
        <v>#DIV/0!</v>
      </c>
      <c r="AJ107" s="198"/>
      <c r="AK107" s="198"/>
      <c r="AL107" s="199" t="e">
        <f>AK107/AJ107</f>
        <v>#DIV/0!</v>
      </c>
      <c r="AM107" s="197" t="e">
        <f t="shared" ref="AM107:AM108" si="75">RANK(AL107,AL$107:AL$109)</f>
        <v>#DIV/0!</v>
      </c>
      <c r="AN107" s="668" t="e">
        <f>AVERAGE(AL107:AL121)</f>
        <v>#DIV/0!</v>
      </c>
      <c r="AO107" s="198"/>
      <c r="AP107" s="198"/>
      <c r="AQ107" s="199" t="e">
        <f>AP107/AO107</f>
        <v>#DIV/0!</v>
      </c>
      <c r="AR107" s="197" t="e">
        <f t="shared" ref="AR107:AR109" si="76">RANK(AQ107,AQ$107:AQ$109)</f>
        <v>#DIV/0!</v>
      </c>
      <c r="AS107" s="668" t="e">
        <f>AVERAGE(AQ107:AQ121)</f>
        <v>#DIV/0!</v>
      </c>
      <c r="AT107" s="198"/>
      <c r="AU107" s="198"/>
      <c r="AV107" s="199" t="e">
        <f>AU107/AT107</f>
        <v>#DIV/0!</v>
      </c>
      <c r="AW107" s="197" t="e">
        <f t="shared" ref="AW107:AW109" si="77">RANK(AV107,AV$107:AV$109)</f>
        <v>#DIV/0!</v>
      </c>
      <c r="AX107" s="668" t="e">
        <f>AVERAGE(AV107:AV121)</f>
        <v>#DIV/0!</v>
      </c>
    </row>
    <row r="108" spans="2:50" ht="13.5">
      <c r="B108" s="656"/>
      <c r="C108" s="197">
        <v>2</v>
      </c>
      <c r="D108" s="201" t="s">
        <v>100</v>
      </c>
      <c r="E108" s="198">
        <f>VLOOKUP(D108,'07產線配置圖'!$A$27:$C$34,2,0)</f>
        <v>11</v>
      </c>
      <c r="F108" s="198">
        <f>VLOOKUP(D108,'07產線配置圖'!$A$27:$C$34,3,0)</f>
        <v>1636</v>
      </c>
      <c r="G108" s="199">
        <f t="shared" si="72"/>
        <v>148.72727272727272</v>
      </c>
      <c r="H108" s="658"/>
      <c r="I108" s="198" t="e">
        <f t="shared" ref="I108:I110" si="78">AVERAGE(P108,U108,Z108,AE108,AJ108,AO108,AT108)</f>
        <v>#DIV/0!</v>
      </c>
      <c r="J108" s="198" t="e">
        <f t="shared" ref="J108:J110" si="79">AVERAGE(Q108,V108,AA108,AF108,AK108,AP108,AU108)</f>
        <v>#DIV/0!</v>
      </c>
      <c r="K108" s="199" t="e">
        <f t="shared" ref="K108:K110" si="80">J108/I108</f>
        <v>#DIV/0!</v>
      </c>
      <c r="L108" s="658"/>
      <c r="M108" s="200" t="e">
        <f t="shared" ref="M108:M110" si="81">RANK(K108,$K$107:$K$121)</f>
        <v>#DIV/0!</v>
      </c>
      <c r="N108" s="655"/>
      <c r="O108" s="655"/>
      <c r="P108" s="198"/>
      <c r="Q108" s="198"/>
      <c r="R108" s="199" t="e">
        <f t="shared" si="74"/>
        <v>#DIV/0!</v>
      </c>
      <c r="S108" s="197" t="e">
        <f t="shared" ref="S108:S110" si="82">RANK(R108,$R$107:$R$121)</f>
        <v>#DIV/0!</v>
      </c>
      <c r="T108" s="668"/>
      <c r="U108" s="198"/>
      <c r="V108" s="198"/>
      <c r="W108" s="199" t="e">
        <f t="shared" ref="W108:W109" si="83">V108/U108</f>
        <v>#DIV/0!</v>
      </c>
      <c r="X108" s="197" t="e">
        <f t="shared" ref="X108:X109" si="84">RANK(W108,W$107:W$109)</f>
        <v>#DIV/0!</v>
      </c>
      <c r="Y108" s="668"/>
      <c r="Z108" s="198"/>
      <c r="AA108" s="198"/>
      <c r="AB108" s="199" t="e">
        <f t="shared" ref="AB108:AB109" si="85">AA108/Z108</f>
        <v>#DIV/0!</v>
      </c>
      <c r="AC108" s="197" t="e">
        <f t="shared" ref="AC108:AC109" si="86">RANK(AB108,AB$107:AB$109)</f>
        <v>#DIV/0!</v>
      </c>
      <c r="AD108" s="668"/>
      <c r="AE108" s="198"/>
      <c r="AF108" s="198"/>
      <c r="AG108" s="199" t="e">
        <f>AF108/AE108</f>
        <v>#DIV/0!</v>
      </c>
      <c r="AH108" s="197" t="e">
        <f t="shared" ref="AH108:AH109" si="87">RANK(AG108,AG$107:AG$109)</f>
        <v>#DIV/0!</v>
      </c>
      <c r="AI108" s="668"/>
      <c r="AJ108" s="198"/>
      <c r="AK108" s="198"/>
      <c r="AL108" s="199" t="e">
        <f>AK108/AJ108</f>
        <v>#DIV/0!</v>
      </c>
      <c r="AM108" s="197" t="e">
        <f t="shared" si="75"/>
        <v>#DIV/0!</v>
      </c>
      <c r="AN108" s="668"/>
      <c r="AO108" s="198"/>
      <c r="AP108" s="198"/>
      <c r="AQ108" s="199" t="e">
        <f>AP108/AO108</f>
        <v>#DIV/0!</v>
      </c>
      <c r="AR108" s="197" t="e">
        <f t="shared" si="76"/>
        <v>#DIV/0!</v>
      </c>
      <c r="AS108" s="668"/>
      <c r="AT108" s="198"/>
      <c r="AU108" s="198"/>
      <c r="AV108" s="199" t="e">
        <f>AU108/AT108</f>
        <v>#DIV/0!</v>
      </c>
      <c r="AW108" s="197" t="e">
        <f t="shared" si="77"/>
        <v>#DIV/0!</v>
      </c>
      <c r="AX108" s="668"/>
    </row>
    <row r="109" spans="2:50" ht="13.5">
      <c r="B109" s="656"/>
      <c r="C109" s="197">
        <v>3</v>
      </c>
      <c r="D109" s="201" t="s">
        <v>101</v>
      </c>
      <c r="E109" s="198">
        <f>VLOOKUP(D109,'07產線配置圖'!$A$27:$C$34,2,0)</f>
        <v>11</v>
      </c>
      <c r="F109" s="198">
        <f>VLOOKUP(D109,'07產線配置圖'!$A$27:$C$34,3,0)</f>
        <v>1636</v>
      </c>
      <c r="G109" s="199">
        <f>F109/E109</f>
        <v>148.72727272727272</v>
      </c>
      <c r="H109" s="658"/>
      <c r="I109" s="198" t="e">
        <f t="shared" si="78"/>
        <v>#DIV/0!</v>
      </c>
      <c r="J109" s="198" t="e">
        <f t="shared" si="79"/>
        <v>#DIV/0!</v>
      </c>
      <c r="K109" s="199" t="e">
        <f t="shared" si="80"/>
        <v>#DIV/0!</v>
      </c>
      <c r="L109" s="658"/>
      <c r="M109" s="200" t="e">
        <f t="shared" si="81"/>
        <v>#DIV/0!</v>
      </c>
      <c r="N109" s="655"/>
      <c r="O109" s="655"/>
      <c r="P109" s="198"/>
      <c r="Q109" s="198"/>
      <c r="R109" s="199" t="e">
        <f t="shared" si="74"/>
        <v>#DIV/0!</v>
      </c>
      <c r="S109" s="197" t="e">
        <f t="shared" si="82"/>
        <v>#DIV/0!</v>
      </c>
      <c r="T109" s="668"/>
      <c r="U109" s="198"/>
      <c r="V109" s="198"/>
      <c r="W109" s="199" t="e">
        <f t="shared" si="83"/>
        <v>#DIV/0!</v>
      </c>
      <c r="X109" s="197" t="e">
        <f t="shared" si="84"/>
        <v>#DIV/0!</v>
      </c>
      <c r="Y109" s="668"/>
      <c r="Z109" s="198"/>
      <c r="AA109" s="198"/>
      <c r="AB109" s="199" t="e">
        <f t="shared" si="85"/>
        <v>#DIV/0!</v>
      </c>
      <c r="AC109" s="197" t="e">
        <f t="shared" si="86"/>
        <v>#DIV/0!</v>
      </c>
      <c r="AD109" s="668"/>
      <c r="AE109" s="198"/>
      <c r="AF109" s="198"/>
      <c r="AG109" s="199" t="e">
        <f>AF109/AE109</f>
        <v>#DIV/0!</v>
      </c>
      <c r="AH109" s="197" t="e">
        <f t="shared" si="87"/>
        <v>#DIV/0!</v>
      </c>
      <c r="AI109" s="668"/>
      <c r="AJ109" s="198"/>
      <c r="AK109" s="198"/>
      <c r="AL109" s="199"/>
      <c r="AM109" s="197"/>
      <c r="AN109" s="668"/>
      <c r="AO109" s="198"/>
      <c r="AP109" s="198"/>
      <c r="AQ109" s="199" t="e">
        <f>AP109/AO109</f>
        <v>#DIV/0!</v>
      </c>
      <c r="AR109" s="197" t="e">
        <f t="shared" si="76"/>
        <v>#DIV/0!</v>
      </c>
      <c r="AS109" s="668"/>
      <c r="AT109" s="198"/>
      <c r="AU109" s="198"/>
      <c r="AV109" s="199" t="e">
        <f>AU109/AT109</f>
        <v>#DIV/0!</v>
      </c>
      <c r="AW109" s="197" t="e">
        <f t="shared" si="77"/>
        <v>#DIV/0!</v>
      </c>
      <c r="AX109" s="668"/>
    </row>
    <row r="110" spans="2:50" ht="13.5">
      <c r="B110" s="656"/>
      <c r="C110" s="197">
        <v>4</v>
      </c>
      <c r="D110" s="201" t="s">
        <v>102</v>
      </c>
      <c r="E110" s="198">
        <f>VLOOKUP(D110,'07產線配置圖'!$A$27:$C$34,2,0)</f>
        <v>11</v>
      </c>
      <c r="F110" s="198">
        <f>VLOOKUP(D110,'07產線配置圖'!$A$27:$C$34,3,0)</f>
        <v>1636</v>
      </c>
      <c r="G110" s="199">
        <f>F110/E110</f>
        <v>148.72727272727272</v>
      </c>
      <c r="H110" s="658"/>
      <c r="I110" s="198" t="e">
        <f t="shared" si="78"/>
        <v>#DIV/0!</v>
      </c>
      <c r="J110" s="198" t="e">
        <f t="shared" si="79"/>
        <v>#DIV/0!</v>
      </c>
      <c r="K110" s="199" t="e">
        <f t="shared" si="80"/>
        <v>#DIV/0!</v>
      </c>
      <c r="L110" s="658"/>
      <c r="M110" s="200" t="e">
        <f t="shared" si="81"/>
        <v>#DIV/0!</v>
      </c>
      <c r="N110" s="655"/>
      <c r="O110" s="655"/>
      <c r="P110" s="198"/>
      <c r="Q110" s="198"/>
      <c r="R110" s="199" t="e">
        <f t="shared" si="74"/>
        <v>#DIV/0!</v>
      </c>
      <c r="S110" s="197" t="e">
        <f t="shared" si="82"/>
        <v>#DIV/0!</v>
      </c>
      <c r="T110" s="668"/>
      <c r="U110" s="198"/>
      <c r="V110" s="198"/>
      <c r="W110" s="199"/>
      <c r="X110" s="197"/>
      <c r="Y110" s="668"/>
      <c r="Z110" s="197"/>
      <c r="AA110" s="198"/>
      <c r="AB110" s="199"/>
      <c r="AC110" s="197"/>
      <c r="AD110" s="668"/>
      <c r="AE110" s="198"/>
      <c r="AF110" s="198"/>
      <c r="AG110" s="199"/>
      <c r="AH110" s="197"/>
      <c r="AI110" s="668"/>
      <c r="AJ110" s="198"/>
      <c r="AK110" s="198"/>
      <c r="AL110" s="199"/>
      <c r="AM110" s="197"/>
      <c r="AN110" s="668"/>
      <c r="AO110" s="198"/>
      <c r="AP110" s="198"/>
      <c r="AQ110" s="199"/>
      <c r="AR110" s="197"/>
      <c r="AS110" s="668"/>
      <c r="AT110" s="198"/>
      <c r="AU110" s="198"/>
      <c r="AV110" s="199"/>
      <c r="AW110" s="197"/>
      <c r="AX110" s="668"/>
    </row>
    <row r="111" spans="2:50">
      <c r="B111" s="656"/>
      <c r="C111" s="197">
        <v>5</v>
      </c>
      <c r="D111" s="197"/>
      <c r="E111" s="198"/>
      <c r="F111" s="198"/>
      <c r="G111" s="199"/>
      <c r="H111" s="658"/>
      <c r="I111" s="198"/>
      <c r="J111" s="198"/>
      <c r="K111" s="199"/>
      <c r="L111" s="658"/>
      <c r="M111" s="200"/>
      <c r="N111" s="655"/>
      <c r="O111" s="655"/>
      <c r="P111" s="198"/>
      <c r="Q111" s="198"/>
      <c r="R111" s="199"/>
      <c r="S111" s="197"/>
      <c r="T111" s="668"/>
      <c r="U111" s="198"/>
      <c r="V111" s="198"/>
      <c r="W111" s="199"/>
      <c r="X111" s="197"/>
      <c r="Y111" s="668"/>
      <c r="Z111" s="197"/>
      <c r="AA111" s="198"/>
      <c r="AB111" s="199"/>
      <c r="AC111" s="197"/>
      <c r="AD111" s="668"/>
      <c r="AE111" s="198"/>
      <c r="AF111" s="198"/>
      <c r="AG111" s="199"/>
      <c r="AH111" s="197"/>
      <c r="AI111" s="668"/>
      <c r="AJ111" s="198"/>
      <c r="AK111" s="198"/>
      <c r="AL111" s="199"/>
      <c r="AM111" s="197"/>
      <c r="AN111" s="668"/>
      <c r="AO111" s="198"/>
      <c r="AP111" s="198"/>
      <c r="AQ111" s="199"/>
      <c r="AR111" s="197"/>
      <c r="AS111" s="668"/>
      <c r="AT111" s="198"/>
      <c r="AU111" s="198"/>
      <c r="AV111" s="199"/>
      <c r="AW111" s="197"/>
      <c r="AX111" s="668"/>
    </row>
    <row r="112" spans="2:50">
      <c r="B112" s="656"/>
      <c r="C112" s="197">
        <v>6</v>
      </c>
      <c r="D112" s="197"/>
      <c r="E112" s="198"/>
      <c r="F112" s="198"/>
      <c r="G112" s="199"/>
      <c r="H112" s="658"/>
      <c r="I112" s="198"/>
      <c r="J112" s="198"/>
      <c r="K112" s="199"/>
      <c r="L112" s="658"/>
      <c r="M112" s="200"/>
      <c r="N112" s="655"/>
      <c r="O112" s="655"/>
      <c r="P112" s="198"/>
      <c r="Q112" s="198"/>
      <c r="R112" s="199"/>
      <c r="S112" s="197"/>
      <c r="T112" s="668"/>
      <c r="U112" s="198"/>
      <c r="V112" s="198"/>
      <c r="W112" s="199"/>
      <c r="X112" s="197"/>
      <c r="Y112" s="668"/>
      <c r="Z112" s="197"/>
      <c r="AA112" s="198"/>
      <c r="AB112" s="199"/>
      <c r="AC112" s="197"/>
      <c r="AD112" s="668"/>
      <c r="AE112" s="198"/>
      <c r="AF112" s="198"/>
      <c r="AG112" s="199"/>
      <c r="AH112" s="197"/>
      <c r="AI112" s="668"/>
      <c r="AJ112" s="198"/>
      <c r="AK112" s="198"/>
      <c r="AL112" s="199"/>
      <c r="AM112" s="197"/>
      <c r="AN112" s="668"/>
      <c r="AO112" s="198"/>
      <c r="AP112" s="198"/>
      <c r="AQ112" s="199"/>
      <c r="AR112" s="197"/>
      <c r="AS112" s="668"/>
      <c r="AT112" s="198"/>
      <c r="AU112" s="198"/>
      <c r="AV112" s="199"/>
      <c r="AW112" s="197"/>
      <c r="AX112" s="668"/>
    </row>
    <row r="113" spans="2:50">
      <c r="B113" s="656"/>
      <c r="C113" s="197">
        <v>7</v>
      </c>
      <c r="D113" s="197"/>
      <c r="E113" s="198"/>
      <c r="F113" s="198"/>
      <c r="G113" s="199"/>
      <c r="H113" s="658"/>
      <c r="I113" s="198"/>
      <c r="J113" s="198"/>
      <c r="K113" s="199"/>
      <c r="L113" s="658"/>
      <c r="M113" s="200"/>
      <c r="N113" s="655"/>
      <c r="O113" s="655"/>
      <c r="P113" s="198"/>
      <c r="Q113" s="198"/>
      <c r="R113" s="199"/>
      <c r="S113" s="197"/>
      <c r="T113" s="668"/>
      <c r="U113" s="198"/>
      <c r="V113" s="198"/>
      <c r="W113" s="199"/>
      <c r="X113" s="197"/>
      <c r="Y113" s="668"/>
      <c r="Z113" s="197"/>
      <c r="AA113" s="198"/>
      <c r="AB113" s="199"/>
      <c r="AC113" s="197"/>
      <c r="AD113" s="668"/>
      <c r="AE113" s="198"/>
      <c r="AF113" s="198"/>
      <c r="AG113" s="199"/>
      <c r="AH113" s="197"/>
      <c r="AI113" s="668"/>
      <c r="AJ113" s="198"/>
      <c r="AK113" s="198"/>
      <c r="AL113" s="199"/>
      <c r="AM113" s="197"/>
      <c r="AN113" s="668"/>
      <c r="AO113" s="198"/>
      <c r="AP113" s="198"/>
      <c r="AQ113" s="199"/>
      <c r="AR113" s="197"/>
      <c r="AS113" s="668"/>
      <c r="AT113" s="198"/>
      <c r="AU113" s="198"/>
      <c r="AV113" s="199"/>
      <c r="AW113" s="197"/>
      <c r="AX113" s="668"/>
    </row>
    <row r="114" spans="2:50">
      <c r="B114" s="656"/>
      <c r="C114" s="197">
        <v>8</v>
      </c>
      <c r="D114" s="197"/>
      <c r="E114" s="198"/>
      <c r="F114" s="198"/>
      <c r="G114" s="199"/>
      <c r="H114" s="658"/>
      <c r="I114" s="198"/>
      <c r="J114" s="198"/>
      <c r="K114" s="199"/>
      <c r="L114" s="658"/>
      <c r="M114" s="200"/>
      <c r="N114" s="655"/>
      <c r="O114" s="655"/>
      <c r="P114" s="198"/>
      <c r="Q114" s="198"/>
      <c r="R114" s="199"/>
      <c r="S114" s="197"/>
      <c r="T114" s="668"/>
      <c r="U114" s="198"/>
      <c r="V114" s="198"/>
      <c r="W114" s="199"/>
      <c r="X114" s="197"/>
      <c r="Y114" s="668"/>
      <c r="Z114" s="197"/>
      <c r="AA114" s="198"/>
      <c r="AB114" s="199"/>
      <c r="AC114" s="197"/>
      <c r="AD114" s="668"/>
      <c r="AE114" s="198"/>
      <c r="AF114" s="198"/>
      <c r="AG114" s="199"/>
      <c r="AH114" s="197"/>
      <c r="AI114" s="668"/>
      <c r="AJ114" s="198"/>
      <c r="AK114" s="198"/>
      <c r="AL114" s="199"/>
      <c r="AM114" s="197"/>
      <c r="AN114" s="668"/>
      <c r="AO114" s="198"/>
      <c r="AP114" s="198"/>
      <c r="AQ114" s="199"/>
      <c r="AR114" s="197"/>
      <c r="AS114" s="668"/>
      <c r="AT114" s="198"/>
      <c r="AU114" s="198"/>
      <c r="AV114" s="199"/>
      <c r="AW114" s="197"/>
      <c r="AX114" s="668"/>
    </row>
    <row r="115" spans="2:50">
      <c r="B115" s="656"/>
      <c r="C115" s="197">
        <v>9</v>
      </c>
      <c r="D115" s="197"/>
      <c r="E115" s="198"/>
      <c r="F115" s="198"/>
      <c r="G115" s="199"/>
      <c r="H115" s="658"/>
      <c r="I115" s="198"/>
      <c r="J115" s="198"/>
      <c r="K115" s="199"/>
      <c r="L115" s="658"/>
      <c r="M115" s="200"/>
      <c r="N115" s="655"/>
      <c r="O115" s="655"/>
      <c r="P115" s="198"/>
      <c r="Q115" s="198"/>
      <c r="R115" s="199"/>
      <c r="S115" s="197"/>
      <c r="T115" s="668"/>
      <c r="U115" s="198"/>
      <c r="V115" s="198"/>
      <c r="W115" s="199"/>
      <c r="X115" s="197"/>
      <c r="Y115" s="668"/>
      <c r="Z115" s="197"/>
      <c r="AA115" s="198"/>
      <c r="AB115" s="199"/>
      <c r="AC115" s="197"/>
      <c r="AD115" s="668"/>
      <c r="AE115" s="198"/>
      <c r="AF115" s="198"/>
      <c r="AG115" s="199"/>
      <c r="AH115" s="197"/>
      <c r="AI115" s="668"/>
      <c r="AJ115" s="198"/>
      <c r="AK115" s="198"/>
      <c r="AL115" s="199"/>
      <c r="AM115" s="197"/>
      <c r="AN115" s="668"/>
      <c r="AO115" s="198"/>
      <c r="AP115" s="198"/>
      <c r="AQ115" s="199"/>
      <c r="AR115" s="197"/>
      <c r="AS115" s="668"/>
      <c r="AT115" s="198"/>
      <c r="AU115" s="198"/>
      <c r="AV115" s="199"/>
      <c r="AW115" s="197"/>
      <c r="AX115" s="668"/>
    </row>
    <row r="116" spans="2:50">
      <c r="B116" s="656"/>
      <c r="C116" s="197">
        <v>10</v>
      </c>
      <c r="D116" s="197"/>
      <c r="E116" s="198"/>
      <c r="F116" s="198"/>
      <c r="G116" s="199"/>
      <c r="H116" s="658"/>
      <c r="I116" s="198"/>
      <c r="J116" s="198"/>
      <c r="K116" s="199"/>
      <c r="L116" s="658"/>
      <c r="M116" s="200"/>
      <c r="N116" s="655"/>
      <c r="O116" s="655"/>
      <c r="P116" s="198"/>
      <c r="Q116" s="198"/>
      <c r="R116" s="199"/>
      <c r="S116" s="197"/>
      <c r="T116" s="668"/>
      <c r="U116" s="198"/>
      <c r="V116" s="198"/>
      <c r="W116" s="199"/>
      <c r="X116" s="197"/>
      <c r="Y116" s="668"/>
      <c r="Z116" s="197"/>
      <c r="AA116" s="198"/>
      <c r="AB116" s="199"/>
      <c r="AC116" s="197"/>
      <c r="AD116" s="668"/>
      <c r="AE116" s="198"/>
      <c r="AF116" s="198"/>
      <c r="AG116" s="199"/>
      <c r="AH116" s="197"/>
      <c r="AI116" s="668"/>
      <c r="AJ116" s="198"/>
      <c r="AK116" s="198"/>
      <c r="AL116" s="199"/>
      <c r="AM116" s="197"/>
      <c r="AN116" s="668"/>
      <c r="AO116" s="198"/>
      <c r="AP116" s="198"/>
      <c r="AQ116" s="199"/>
      <c r="AR116" s="197"/>
      <c r="AS116" s="668"/>
      <c r="AT116" s="198"/>
      <c r="AU116" s="198"/>
      <c r="AV116" s="199"/>
      <c r="AW116" s="197"/>
      <c r="AX116" s="668"/>
    </row>
    <row r="117" spans="2:50">
      <c r="B117" s="656"/>
      <c r="C117" s="197">
        <v>11</v>
      </c>
      <c r="D117" s="197"/>
      <c r="E117" s="198"/>
      <c r="F117" s="198"/>
      <c r="G117" s="199"/>
      <c r="H117" s="658"/>
      <c r="I117" s="198"/>
      <c r="J117" s="198"/>
      <c r="K117" s="199"/>
      <c r="L117" s="658"/>
      <c r="M117" s="200"/>
      <c r="N117" s="655"/>
      <c r="O117" s="655"/>
      <c r="P117" s="197"/>
      <c r="Q117" s="197"/>
      <c r="R117" s="199"/>
      <c r="S117" s="197"/>
      <c r="T117" s="668"/>
      <c r="U117" s="197"/>
      <c r="V117" s="197"/>
      <c r="W117" s="199"/>
      <c r="X117" s="197"/>
      <c r="Y117" s="668"/>
      <c r="Z117" s="197"/>
      <c r="AA117" s="197"/>
      <c r="AB117" s="199"/>
      <c r="AC117" s="197"/>
      <c r="AD117" s="668"/>
      <c r="AE117" s="197"/>
      <c r="AF117" s="197"/>
      <c r="AG117" s="199"/>
      <c r="AH117" s="197"/>
      <c r="AI117" s="668"/>
      <c r="AJ117" s="197"/>
      <c r="AK117" s="197"/>
      <c r="AL117" s="197"/>
      <c r="AM117" s="197"/>
      <c r="AN117" s="668"/>
      <c r="AO117" s="197"/>
      <c r="AP117" s="197"/>
      <c r="AQ117" s="199"/>
      <c r="AR117" s="197"/>
      <c r="AS117" s="668"/>
      <c r="AT117" s="197"/>
      <c r="AU117" s="197"/>
      <c r="AV117" s="199"/>
      <c r="AW117" s="197"/>
      <c r="AX117" s="668"/>
    </row>
    <row r="118" spans="2:50">
      <c r="B118" s="656"/>
      <c r="C118" s="197">
        <v>12</v>
      </c>
      <c r="D118" s="197"/>
      <c r="E118" s="198"/>
      <c r="F118" s="198"/>
      <c r="G118" s="199"/>
      <c r="H118" s="658"/>
      <c r="I118" s="198"/>
      <c r="J118" s="198"/>
      <c r="K118" s="199"/>
      <c r="L118" s="658"/>
      <c r="M118" s="200"/>
      <c r="N118" s="655"/>
      <c r="O118" s="655"/>
      <c r="P118" s="197"/>
      <c r="Q118" s="197"/>
      <c r="R118" s="199"/>
      <c r="S118" s="197"/>
      <c r="T118" s="668"/>
      <c r="U118" s="197"/>
      <c r="V118" s="197"/>
      <c r="W118" s="199"/>
      <c r="X118" s="197"/>
      <c r="Y118" s="668"/>
      <c r="Z118" s="197"/>
      <c r="AA118" s="197"/>
      <c r="AB118" s="199"/>
      <c r="AC118" s="197"/>
      <c r="AD118" s="668"/>
      <c r="AE118" s="197"/>
      <c r="AF118" s="197"/>
      <c r="AG118" s="199"/>
      <c r="AH118" s="197"/>
      <c r="AI118" s="668"/>
      <c r="AJ118" s="197"/>
      <c r="AK118" s="197"/>
      <c r="AL118" s="197"/>
      <c r="AM118" s="197"/>
      <c r="AN118" s="668"/>
      <c r="AO118" s="197"/>
      <c r="AP118" s="197"/>
      <c r="AQ118" s="199"/>
      <c r="AR118" s="197"/>
      <c r="AS118" s="668"/>
      <c r="AT118" s="197"/>
      <c r="AU118" s="197"/>
      <c r="AV118" s="199"/>
      <c r="AW118" s="197"/>
      <c r="AX118" s="668"/>
    </row>
    <row r="119" spans="2:50">
      <c r="B119" s="656"/>
      <c r="C119" s="197">
        <v>13</v>
      </c>
      <c r="D119" s="197"/>
      <c r="E119" s="198"/>
      <c r="F119" s="198"/>
      <c r="G119" s="199"/>
      <c r="H119" s="658"/>
      <c r="I119" s="198"/>
      <c r="J119" s="198"/>
      <c r="K119" s="199"/>
      <c r="L119" s="658"/>
      <c r="M119" s="200"/>
      <c r="N119" s="655"/>
      <c r="O119" s="655"/>
      <c r="P119" s="197"/>
      <c r="Q119" s="197"/>
      <c r="R119" s="199"/>
      <c r="S119" s="197"/>
      <c r="T119" s="668"/>
      <c r="U119" s="197"/>
      <c r="V119" s="197"/>
      <c r="W119" s="199"/>
      <c r="X119" s="197"/>
      <c r="Y119" s="668"/>
      <c r="Z119" s="197"/>
      <c r="AA119" s="197"/>
      <c r="AB119" s="199"/>
      <c r="AC119" s="197"/>
      <c r="AD119" s="668"/>
      <c r="AE119" s="197"/>
      <c r="AF119" s="197"/>
      <c r="AG119" s="199"/>
      <c r="AH119" s="197"/>
      <c r="AI119" s="668"/>
      <c r="AJ119" s="197"/>
      <c r="AK119" s="197"/>
      <c r="AL119" s="197"/>
      <c r="AM119" s="197"/>
      <c r="AN119" s="668"/>
      <c r="AO119" s="197"/>
      <c r="AP119" s="197"/>
      <c r="AQ119" s="199"/>
      <c r="AR119" s="197"/>
      <c r="AS119" s="668"/>
      <c r="AT119" s="197"/>
      <c r="AU119" s="197"/>
      <c r="AV119" s="199"/>
      <c r="AW119" s="197"/>
      <c r="AX119" s="668"/>
    </row>
    <row r="120" spans="2:50">
      <c r="B120" s="656"/>
      <c r="C120" s="197">
        <v>14</v>
      </c>
      <c r="D120" s="197"/>
      <c r="E120" s="198"/>
      <c r="F120" s="198"/>
      <c r="G120" s="199"/>
      <c r="H120" s="658"/>
      <c r="I120" s="198"/>
      <c r="J120" s="198"/>
      <c r="K120" s="199"/>
      <c r="L120" s="658"/>
      <c r="M120" s="200"/>
      <c r="N120" s="655"/>
      <c r="O120" s="655"/>
      <c r="P120" s="197"/>
      <c r="Q120" s="197"/>
      <c r="R120" s="199"/>
      <c r="S120" s="197"/>
      <c r="T120" s="668"/>
      <c r="U120" s="197"/>
      <c r="V120" s="197"/>
      <c r="W120" s="199"/>
      <c r="X120" s="197"/>
      <c r="Y120" s="668"/>
      <c r="Z120" s="197"/>
      <c r="AA120" s="197"/>
      <c r="AB120" s="199"/>
      <c r="AC120" s="197"/>
      <c r="AD120" s="668"/>
      <c r="AE120" s="197"/>
      <c r="AF120" s="197"/>
      <c r="AG120" s="199"/>
      <c r="AH120" s="197"/>
      <c r="AI120" s="668"/>
      <c r="AJ120" s="197"/>
      <c r="AK120" s="197"/>
      <c r="AL120" s="197"/>
      <c r="AM120" s="197"/>
      <c r="AN120" s="668"/>
      <c r="AO120" s="197"/>
      <c r="AP120" s="197"/>
      <c r="AQ120" s="199"/>
      <c r="AR120" s="197"/>
      <c r="AS120" s="668"/>
      <c r="AT120" s="197"/>
      <c r="AU120" s="197"/>
      <c r="AV120" s="199"/>
      <c r="AW120" s="197"/>
      <c r="AX120" s="668"/>
    </row>
    <row r="121" spans="2:50">
      <c r="B121" s="656"/>
      <c r="C121" s="197">
        <v>15</v>
      </c>
      <c r="D121" s="197"/>
      <c r="E121" s="198"/>
      <c r="F121" s="198"/>
      <c r="G121" s="199"/>
      <c r="H121" s="659"/>
      <c r="I121" s="198"/>
      <c r="J121" s="198"/>
      <c r="K121" s="199"/>
      <c r="L121" s="659"/>
      <c r="M121" s="198"/>
      <c r="N121" s="655"/>
      <c r="O121" s="655"/>
      <c r="P121" s="197"/>
      <c r="Q121" s="197"/>
      <c r="R121" s="199"/>
      <c r="S121" s="197"/>
      <c r="T121" s="668"/>
      <c r="U121" s="197"/>
      <c r="V121" s="197"/>
      <c r="W121" s="199"/>
      <c r="X121" s="197"/>
      <c r="Y121" s="668"/>
      <c r="Z121" s="197"/>
      <c r="AA121" s="197"/>
      <c r="AB121" s="199"/>
      <c r="AC121" s="197"/>
      <c r="AD121" s="668"/>
      <c r="AE121" s="197"/>
      <c r="AF121" s="197"/>
      <c r="AG121" s="199"/>
      <c r="AH121" s="197"/>
      <c r="AI121" s="668"/>
      <c r="AJ121" s="197"/>
      <c r="AK121" s="197"/>
      <c r="AL121" s="197"/>
      <c r="AM121" s="197"/>
      <c r="AN121" s="668"/>
      <c r="AO121" s="197"/>
      <c r="AP121" s="197"/>
      <c r="AQ121" s="199"/>
      <c r="AR121" s="197"/>
      <c r="AS121" s="668"/>
      <c r="AT121" s="197"/>
      <c r="AU121" s="197"/>
      <c r="AV121" s="199"/>
      <c r="AW121" s="197"/>
      <c r="AX121" s="668"/>
    </row>
  </sheetData>
  <mergeCells count="354">
    <mergeCell ref="AT103:AX103"/>
    <mergeCell ref="AN104:AN106"/>
    <mergeCell ref="AJ104:AM104"/>
    <mergeCell ref="AO103:AS103"/>
    <mergeCell ref="AX104:AX106"/>
    <mergeCell ref="AJ103:AN103"/>
    <mergeCell ref="AO105:AR105"/>
    <mergeCell ref="AT104:AW104"/>
    <mergeCell ref="AO104:AR104"/>
    <mergeCell ref="AS104:AS106"/>
    <mergeCell ref="I104:K104"/>
    <mergeCell ref="AX107:AX121"/>
    <mergeCell ref="AT105:AW105"/>
    <mergeCell ref="AN107:AN121"/>
    <mergeCell ref="AJ105:AM105"/>
    <mergeCell ref="AS107:AS121"/>
    <mergeCell ref="AI104:AI106"/>
    <mergeCell ref="AE105:AH105"/>
    <mergeCell ref="Y104:Y106"/>
    <mergeCell ref="AD107:AD121"/>
    <mergeCell ref="Z105:AC105"/>
    <mergeCell ref="Z104:AC104"/>
    <mergeCell ref="AD104:AD106"/>
    <mergeCell ref="AE104:AH104"/>
    <mergeCell ref="AI107:AI121"/>
    <mergeCell ref="Y107:Y121"/>
    <mergeCell ref="B87:B101"/>
    <mergeCell ref="P85:S85"/>
    <mergeCell ref="T87:T101"/>
    <mergeCell ref="B102:H103"/>
    <mergeCell ref="E85:G85"/>
    <mergeCell ref="B84:B86"/>
    <mergeCell ref="C84:D86"/>
    <mergeCell ref="I84:K84"/>
    <mergeCell ref="L84:L86"/>
    <mergeCell ref="E84:G84"/>
    <mergeCell ref="I85:K85"/>
    <mergeCell ref="L87:L101"/>
    <mergeCell ref="H87:H101"/>
    <mergeCell ref="H84:H86"/>
    <mergeCell ref="M84:M86"/>
    <mergeCell ref="N84:N101"/>
    <mergeCell ref="U103:Y103"/>
    <mergeCell ref="AI87:AI101"/>
    <mergeCell ref="O84:O101"/>
    <mergeCell ref="P103:T103"/>
    <mergeCell ref="T84:T86"/>
    <mergeCell ref="B107:B121"/>
    <mergeCell ref="C104:D106"/>
    <mergeCell ref="E104:G104"/>
    <mergeCell ref="L107:L121"/>
    <mergeCell ref="U105:X105"/>
    <mergeCell ref="B104:B106"/>
    <mergeCell ref="H107:H121"/>
    <mergeCell ref="N104:N121"/>
    <mergeCell ref="T107:T121"/>
    <mergeCell ref="P105:S105"/>
    <mergeCell ref="T104:T106"/>
    <mergeCell ref="P104:S104"/>
    <mergeCell ref="E105:G105"/>
    <mergeCell ref="U104:X104"/>
    <mergeCell ref="I105:K105"/>
    <mergeCell ref="H104:H106"/>
    <mergeCell ref="M104:M106"/>
    <mergeCell ref="O104:O121"/>
    <mergeCell ref="L104:L106"/>
    <mergeCell ref="AT102:AX102"/>
    <mergeCell ref="AO102:AS102"/>
    <mergeCell ref="AJ102:AN102"/>
    <mergeCell ref="Z85:AC85"/>
    <mergeCell ref="Y84:Y86"/>
    <mergeCell ref="AN84:AN86"/>
    <mergeCell ref="AJ84:AM84"/>
    <mergeCell ref="N102:N103"/>
    <mergeCell ref="AS87:AS101"/>
    <mergeCell ref="Y87:Y101"/>
    <mergeCell ref="AD87:AD101"/>
    <mergeCell ref="U102:Y102"/>
    <mergeCell ref="Z102:AD102"/>
    <mergeCell ref="AE103:AI103"/>
    <mergeCell ref="O102:O103"/>
    <mergeCell ref="P102:T102"/>
    <mergeCell ref="AE84:AH84"/>
    <mergeCell ref="AI84:AI86"/>
    <mergeCell ref="AN87:AN101"/>
    <mergeCell ref="P84:S84"/>
    <mergeCell ref="U84:X84"/>
    <mergeCell ref="U85:X85"/>
    <mergeCell ref="AE102:AI102"/>
    <mergeCell ref="Z103:AD103"/>
    <mergeCell ref="AD67:AD81"/>
    <mergeCell ref="AI67:AI81"/>
    <mergeCell ref="AE64:AH64"/>
    <mergeCell ref="AX87:AX101"/>
    <mergeCell ref="AT85:AW85"/>
    <mergeCell ref="AD84:AD86"/>
    <mergeCell ref="AD64:AD66"/>
    <mergeCell ref="AJ85:AM85"/>
    <mergeCell ref="AI47:AI61"/>
    <mergeCell ref="AJ63:AN63"/>
    <mergeCell ref="AJ62:AN62"/>
    <mergeCell ref="AJ83:AN83"/>
    <mergeCell ref="AJ82:AN82"/>
    <mergeCell ref="AE63:AI63"/>
    <mergeCell ref="AE62:AI62"/>
    <mergeCell ref="Z63:AD63"/>
    <mergeCell ref="AD47:AD61"/>
    <mergeCell ref="Z62:AD62"/>
    <mergeCell ref="Z84:AC84"/>
    <mergeCell ref="Z82:AD82"/>
    <mergeCell ref="Z83:AD83"/>
    <mergeCell ref="AE82:AI82"/>
    <mergeCell ref="AE83:AI83"/>
    <mergeCell ref="AE85:AH85"/>
    <mergeCell ref="AE65:AH65"/>
    <mergeCell ref="AJ65:AM65"/>
    <mergeCell ref="AJ64:AM64"/>
    <mergeCell ref="AI64:AI66"/>
    <mergeCell ref="AN64:AN66"/>
    <mergeCell ref="AO63:AS63"/>
    <mergeCell ref="AO62:AS62"/>
    <mergeCell ref="AS64:AS66"/>
    <mergeCell ref="AO65:AR65"/>
    <mergeCell ref="AX84:AX86"/>
    <mergeCell ref="AO82:AS82"/>
    <mergeCell ref="AO83:AS83"/>
    <mergeCell ref="AO84:AR84"/>
    <mergeCell ref="AS84:AS86"/>
    <mergeCell ref="AO85:AR85"/>
    <mergeCell ref="AT82:AX82"/>
    <mergeCell ref="AT84:AW84"/>
    <mergeCell ref="AT83:AX83"/>
    <mergeCell ref="AX44:AX46"/>
    <mergeCell ref="AJ43:AN43"/>
    <mergeCell ref="AS44:AS46"/>
    <mergeCell ref="AT44:AW44"/>
    <mergeCell ref="AN47:AN61"/>
    <mergeCell ref="AT45:AW45"/>
    <mergeCell ref="AX47:AX61"/>
    <mergeCell ref="AN67:AN81"/>
    <mergeCell ref="AO64:AR64"/>
    <mergeCell ref="AT62:AX62"/>
    <mergeCell ref="AX67:AX81"/>
    <mergeCell ref="AT65:AW65"/>
    <mergeCell ref="AX64:AX66"/>
    <mergeCell ref="AS67:AS81"/>
    <mergeCell ref="AT64:AW64"/>
    <mergeCell ref="AT63:AX63"/>
    <mergeCell ref="AN44:AN46"/>
    <mergeCell ref="AE45:AH45"/>
    <mergeCell ref="AE44:AH44"/>
    <mergeCell ref="AJ45:AM45"/>
    <mergeCell ref="AJ44:AM44"/>
    <mergeCell ref="AJ24:AM24"/>
    <mergeCell ref="AJ25:AM25"/>
    <mergeCell ref="AI44:AI46"/>
    <mergeCell ref="AS47:AS61"/>
    <mergeCell ref="AO45:AR45"/>
    <mergeCell ref="AO44:AR44"/>
    <mergeCell ref="AO24:AR24"/>
    <mergeCell ref="AT25:AW25"/>
    <mergeCell ref="AT22:AX22"/>
    <mergeCell ref="AO22:AS22"/>
    <mergeCell ref="AJ23:AN23"/>
    <mergeCell ref="AS24:AS26"/>
    <mergeCell ref="AX24:AX26"/>
    <mergeCell ref="AO23:AS23"/>
    <mergeCell ref="AO42:AS42"/>
    <mergeCell ref="AX27:AX41"/>
    <mergeCell ref="AT24:AW24"/>
    <mergeCell ref="AT23:AX23"/>
    <mergeCell ref="AO25:AR25"/>
    <mergeCell ref="AS27:AS41"/>
    <mergeCell ref="AT42:AX42"/>
    <mergeCell ref="AJ42:AN42"/>
    <mergeCell ref="AN24:AN26"/>
    <mergeCell ref="Z42:AD42"/>
    <mergeCell ref="Z44:AC44"/>
    <mergeCell ref="AD44:AD46"/>
    <mergeCell ref="AE43:AI43"/>
    <mergeCell ref="AE42:AI42"/>
    <mergeCell ref="Z45:AC45"/>
    <mergeCell ref="AD27:AD41"/>
    <mergeCell ref="AD7:AD21"/>
    <mergeCell ref="Z22:AD22"/>
    <mergeCell ref="Z24:AC24"/>
    <mergeCell ref="AI27:AI41"/>
    <mergeCell ref="AE23:AI23"/>
    <mergeCell ref="AE22:AI22"/>
    <mergeCell ref="AI7:AI21"/>
    <mergeCell ref="Z23:AD23"/>
    <mergeCell ref="AT43:AX43"/>
    <mergeCell ref="AN27:AN41"/>
    <mergeCell ref="AO43:AS43"/>
    <mergeCell ref="Z43:AD43"/>
    <mergeCell ref="AD24:AD26"/>
    <mergeCell ref="AJ5:AM5"/>
    <mergeCell ref="AT5:AW5"/>
    <mergeCell ref="AE5:AH5"/>
    <mergeCell ref="AS4:AS6"/>
    <mergeCell ref="AJ4:AM4"/>
    <mergeCell ref="AO5:AR5"/>
    <mergeCell ref="AI24:AI26"/>
    <mergeCell ref="AE24:AH24"/>
    <mergeCell ref="AE25:AH25"/>
    <mergeCell ref="Z4:AC4"/>
    <mergeCell ref="Z25:AC25"/>
    <mergeCell ref="AX4:AX6"/>
    <mergeCell ref="AT4:AW4"/>
    <mergeCell ref="AO4:AR4"/>
    <mergeCell ref="AE4:AH4"/>
    <mergeCell ref="AI4:AI6"/>
    <mergeCell ref="AN4:AN6"/>
    <mergeCell ref="AS7:AS21"/>
    <mergeCell ref="AJ22:AN22"/>
    <mergeCell ref="U23:Y23"/>
    <mergeCell ref="O22:O23"/>
    <mergeCell ref="P23:T23"/>
    <mergeCell ref="AT2:AX2"/>
    <mergeCell ref="AT3:AX3"/>
    <mergeCell ref="AE3:AI3"/>
    <mergeCell ref="AJ3:AN3"/>
    <mergeCell ref="AO3:AS3"/>
    <mergeCell ref="AO2:AS2"/>
    <mergeCell ref="AE2:AI2"/>
    <mergeCell ref="AJ2:AN2"/>
    <mergeCell ref="P2:T2"/>
    <mergeCell ref="P3:T3"/>
    <mergeCell ref="U2:Y2"/>
    <mergeCell ref="Z2:AD2"/>
    <mergeCell ref="Z3:AD3"/>
    <mergeCell ref="U3:Y3"/>
    <mergeCell ref="Z5:AC5"/>
    <mergeCell ref="AD4:AD6"/>
    <mergeCell ref="AX7:AX21"/>
    <mergeCell ref="AN7:AN21"/>
    <mergeCell ref="N22:N23"/>
    <mergeCell ref="P43:T43"/>
    <mergeCell ref="U43:Y43"/>
    <mergeCell ref="U24:X24"/>
    <mergeCell ref="U5:X5"/>
    <mergeCell ref="I4:K4"/>
    <mergeCell ref="T7:T21"/>
    <mergeCell ref="P22:T22"/>
    <mergeCell ref="U22:Y22"/>
    <mergeCell ref="Y7:Y21"/>
    <mergeCell ref="Y4:Y6"/>
    <mergeCell ref="U4:X4"/>
    <mergeCell ref="P5:S5"/>
    <mergeCell ref="P4:S4"/>
    <mergeCell ref="T4:T6"/>
    <mergeCell ref="L24:L26"/>
    <mergeCell ref="M24:M26"/>
    <mergeCell ref="L27:L41"/>
    <mergeCell ref="Y24:Y26"/>
    <mergeCell ref="U42:Y42"/>
    <mergeCell ref="Y27:Y41"/>
    <mergeCell ref="P42:T42"/>
    <mergeCell ref="U25:X25"/>
    <mergeCell ref="T24:T26"/>
    <mergeCell ref="O2:O3"/>
    <mergeCell ref="E5:G5"/>
    <mergeCell ref="I5:K5"/>
    <mergeCell ref="M4:M6"/>
    <mergeCell ref="N4:N21"/>
    <mergeCell ref="E4:G4"/>
    <mergeCell ref="H4:H6"/>
    <mergeCell ref="L7:L21"/>
    <mergeCell ref="H7:H21"/>
    <mergeCell ref="B2:H3"/>
    <mergeCell ref="N2:N3"/>
    <mergeCell ref="B4:B6"/>
    <mergeCell ref="C4:D6"/>
    <mergeCell ref="B7:B21"/>
    <mergeCell ref="O4:O21"/>
    <mergeCell ref="L4:L6"/>
    <mergeCell ref="N24:N41"/>
    <mergeCell ref="O24:O41"/>
    <mergeCell ref="P25:S25"/>
    <mergeCell ref="P24:S24"/>
    <mergeCell ref="E44:G44"/>
    <mergeCell ref="H27:H41"/>
    <mergeCell ref="B24:B26"/>
    <mergeCell ref="B27:B41"/>
    <mergeCell ref="E24:G24"/>
    <mergeCell ref="C24:D26"/>
    <mergeCell ref="E25:G25"/>
    <mergeCell ref="H24:H26"/>
    <mergeCell ref="I24:K24"/>
    <mergeCell ref="I25:K25"/>
    <mergeCell ref="T47:T61"/>
    <mergeCell ref="U45:X45"/>
    <mergeCell ref="Y47:Y61"/>
    <mergeCell ref="P45:S45"/>
    <mergeCell ref="U44:X44"/>
    <mergeCell ref="P44:S44"/>
    <mergeCell ref="L44:L46"/>
    <mergeCell ref="O44:O61"/>
    <mergeCell ref="N44:N61"/>
    <mergeCell ref="L47:L61"/>
    <mergeCell ref="T44:T46"/>
    <mergeCell ref="Z64:AC64"/>
    <mergeCell ref="Z65:AC65"/>
    <mergeCell ref="B22:H23"/>
    <mergeCell ref="I44:K44"/>
    <mergeCell ref="B42:H43"/>
    <mergeCell ref="T27:T41"/>
    <mergeCell ref="O42:O43"/>
    <mergeCell ref="M44:M46"/>
    <mergeCell ref="N42:N43"/>
    <mergeCell ref="B62:H63"/>
    <mergeCell ref="B47:B61"/>
    <mergeCell ref="H47:H61"/>
    <mergeCell ref="B44:B46"/>
    <mergeCell ref="C44:D46"/>
    <mergeCell ref="E45:G45"/>
    <mergeCell ref="P63:T63"/>
    <mergeCell ref="U63:Y63"/>
    <mergeCell ref="O62:O63"/>
    <mergeCell ref="U62:Y62"/>
    <mergeCell ref="N62:N63"/>
    <mergeCell ref="P62:T62"/>
    <mergeCell ref="I45:K45"/>
    <mergeCell ref="H44:H46"/>
    <mergeCell ref="Y44:Y46"/>
    <mergeCell ref="O82:O83"/>
    <mergeCell ref="U83:Y83"/>
    <mergeCell ref="P83:T83"/>
    <mergeCell ref="Y64:Y66"/>
    <mergeCell ref="U64:X64"/>
    <mergeCell ref="U65:X65"/>
    <mergeCell ref="T67:T81"/>
    <mergeCell ref="P65:S65"/>
    <mergeCell ref="P64:S64"/>
    <mergeCell ref="T64:T66"/>
    <mergeCell ref="U82:Y82"/>
    <mergeCell ref="Y67:Y81"/>
    <mergeCell ref="O64:O81"/>
    <mergeCell ref="P82:T82"/>
    <mergeCell ref="B82:H83"/>
    <mergeCell ref="N82:N83"/>
    <mergeCell ref="B67:B81"/>
    <mergeCell ref="H67:H81"/>
    <mergeCell ref="L64:L66"/>
    <mergeCell ref="I64:K64"/>
    <mergeCell ref="H64:H66"/>
    <mergeCell ref="B64:B66"/>
    <mergeCell ref="C64:D66"/>
    <mergeCell ref="E65:G65"/>
    <mergeCell ref="E64:G64"/>
    <mergeCell ref="I65:K65"/>
    <mergeCell ref="N64:N81"/>
    <mergeCell ref="L67:L81"/>
    <mergeCell ref="M64:M66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>
          <x14:formula1>
            <xm:f>'07產線配置圖'!$A$25:$A$32</xm:f>
          </x14:formula1>
          <xm:sqref>D7:D21 D107:D110 D87:D101 D67:D81 D47:D61 D27:D41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topLeftCell="A6" zoomScale="85" zoomScaleNormal="60" zoomScaleSheetLayoutView="85" workbookViewId="0">
      <selection activeCell="E44" sqref="E44"/>
    </sheetView>
  </sheetViews>
  <sheetFormatPr defaultColWidth="12.5703125" defaultRowHeight="15.75" customHeight="1"/>
  <cols>
    <col min="1" max="1" width="6.42578125" style="143" customWidth="1"/>
    <col min="2" max="10" width="11.5703125" style="143" customWidth="1"/>
    <col min="11" max="12" width="12.85546875" style="143" customWidth="1"/>
    <col min="13" max="13" width="12.5703125" style="144" customWidth="1"/>
    <col min="14" max="58" width="12.5703125" style="143" customWidth="1"/>
    <col min="59" max="16384" width="12.5703125" style="143"/>
  </cols>
  <sheetData>
    <row r="1" spans="1:13" ht="15.75" customHeight="1">
      <c r="A1" s="516" t="s">
        <v>103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143"/>
    </row>
    <row r="2" spans="1:13" s="144" customFormat="1" ht="15.75" customHeight="1">
      <c r="A2" s="516"/>
      <c r="B2" s="516"/>
      <c r="C2" s="516"/>
      <c r="D2" s="516"/>
      <c r="E2" s="516"/>
      <c r="F2" s="516"/>
      <c r="G2" s="516"/>
      <c r="H2" s="516"/>
      <c r="I2" s="516"/>
      <c r="J2" s="516"/>
      <c r="K2" s="516"/>
      <c r="L2" s="516"/>
    </row>
    <row r="3" spans="1:13" ht="15.75" customHeight="1">
      <c r="A3" s="692" t="s">
        <v>104</v>
      </c>
      <c r="B3" s="693"/>
      <c r="C3" s="693"/>
      <c r="D3" s="693"/>
      <c r="E3" s="693"/>
      <c r="F3" s="693"/>
      <c r="G3" s="693"/>
      <c r="H3" s="693"/>
      <c r="I3" s="693"/>
      <c r="J3" s="693"/>
      <c r="K3" s="693"/>
      <c r="L3" s="693"/>
      <c r="M3" s="143"/>
    </row>
    <row r="4" spans="1:13" s="144" customFormat="1" ht="15.75" customHeight="1">
      <c r="A4" s="693"/>
      <c r="B4" s="693"/>
      <c r="C4" s="693"/>
      <c r="D4" s="693"/>
      <c r="E4" s="693"/>
      <c r="F4" s="693"/>
      <c r="G4" s="693"/>
      <c r="H4" s="693"/>
      <c r="I4" s="693"/>
      <c r="J4" s="693"/>
      <c r="K4" s="693"/>
      <c r="L4" s="693"/>
    </row>
    <row r="5" spans="1:13" s="163" customFormat="1" ht="16.350000000000001" customHeight="1">
      <c r="A5" s="676" t="s">
        <v>41</v>
      </c>
      <c r="B5" s="161">
        <v>1</v>
      </c>
      <c r="C5" s="161">
        <v>2</v>
      </c>
      <c r="D5" s="161">
        <v>3</v>
      </c>
      <c r="E5" s="162"/>
      <c r="F5" s="162"/>
      <c r="G5" s="162"/>
    </row>
    <row r="6" spans="1:13" ht="16.350000000000001" customHeight="1">
      <c r="A6" s="676"/>
      <c r="B6" s="164" t="s">
        <v>105</v>
      </c>
      <c r="C6" s="164" t="s">
        <v>106</v>
      </c>
      <c r="D6" s="164" t="s">
        <v>76</v>
      </c>
      <c r="E6" s="165"/>
      <c r="F6" s="165"/>
      <c r="G6" s="144"/>
      <c r="M6" s="143"/>
    </row>
    <row r="7" spans="1:13" s="163" customFormat="1" ht="15.75" customHeight="1">
      <c r="A7" s="688" t="s">
        <v>41</v>
      </c>
      <c r="B7" s="688"/>
      <c r="C7" s="166" t="s">
        <v>91</v>
      </c>
      <c r="D7" s="688" t="s">
        <v>107</v>
      </c>
      <c r="E7" s="694"/>
      <c r="F7" s="694"/>
      <c r="G7" s="166" t="s">
        <v>96</v>
      </c>
      <c r="H7" s="166" t="s">
        <v>108</v>
      </c>
      <c r="I7" s="166" t="s">
        <v>109</v>
      </c>
      <c r="J7" s="167" t="s">
        <v>110</v>
      </c>
      <c r="K7" s="688" t="s">
        <v>111</v>
      </c>
      <c r="L7" s="694"/>
      <c r="M7" s="162"/>
    </row>
    <row r="8" spans="1:13" ht="15.75" customHeight="1">
      <c r="A8" s="676">
        <v>1</v>
      </c>
      <c r="B8" s="688" t="s">
        <v>112</v>
      </c>
      <c r="C8" s="168">
        <v>1</v>
      </c>
      <c r="D8" s="689" t="s">
        <v>113</v>
      </c>
      <c r="E8" s="683"/>
      <c r="F8" s="684"/>
      <c r="G8" s="174">
        <v>12</v>
      </c>
      <c r="H8" s="174">
        <v>2048.2857142857142</v>
      </c>
      <c r="I8" s="175">
        <v>170.6904761904762</v>
      </c>
      <c r="J8" s="206">
        <v>1.036</v>
      </c>
      <c r="K8" s="691"/>
      <c r="L8" s="672"/>
    </row>
    <row r="9" spans="1:13" ht="15.75" customHeight="1">
      <c r="A9" s="676"/>
      <c r="B9" s="688"/>
      <c r="C9" s="168">
        <v>2</v>
      </c>
      <c r="D9" s="690" t="s">
        <v>114</v>
      </c>
      <c r="E9" s="683"/>
      <c r="F9" s="684"/>
      <c r="G9" s="174">
        <v>13</v>
      </c>
      <c r="H9" s="174">
        <v>2089.7142857142858</v>
      </c>
      <c r="I9" s="175">
        <v>160.74725274725276</v>
      </c>
      <c r="J9" s="206">
        <v>1.0369999999999999</v>
      </c>
      <c r="K9" s="691"/>
      <c r="L9" s="672"/>
    </row>
    <row r="10" spans="1:13" ht="15.75" customHeight="1">
      <c r="A10" s="676"/>
      <c r="B10" s="688"/>
      <c r="C10" s="168">
        <v>3</v>
      </c>
      <c r="D10" s="689" t="s">
        <v>115</v>
      </c>
      <c r="E10" s="683"/>
      <c r="F10" s="684"/>
      <c r="G10" s="174">
        <v>13</v>
      </c>
      <c r="H10" s="174">
        <v>2071.7142857142858</v>
      </c>
      <c r="I10" s="175">
        <v>159.36263736263734</v>
      </c>
      <c r="J10" s="206">
        <v>1.1399999999999999</v>
      </c>
      <c r="K10" s="691"/>
      <c r="L10" s="672"/>
    </row>
    <row r="11" spans="1:13" ht="15.75" customHeight="1">
      <c r="A11" s="676"/>
      <c r="B11" s="688"/>
      <c r="C11" s="168">
        <v>4</v>
      </c>
      <c r="D11" s="690" t="s">
        <v>116</v>
      </c>
      <c r="E11" s="683"/>
      <c r="F11" s="684"/>
      <c r="G11" s="174">
        <v>14.571428571428571</v>
      </c>
      <c r="H11" s="174">
        <v>2056.5714285714284</v>
      </c>
      <c r="I11" s="175">
        <v>141.20816326530613</v>
      </c>
      <c r="J11" s="206">
        <v>0.97</v>
      </c>
      <c r="K11" s="691"/>
      <c r="L11" s="672"/>
    </row>
    <row r="12" spans="1:13" ht="15.75" customHeight="1">
      <c r="A12" s="676"/>
      <c r="B12" s="688"/>
      <c r="C12" s="168">
        <v>5</v>
      </c>
      <c r="D12" s="690" t="s">
        <v>117</v>
      </c>
      <c r="E12" s="683"/>
      <c r="F12" s="684"/>
      <c r="G12" s="174">
        <v>14.5</v>
      </c>
      <c r="H12" s="174">
        <v>1995.5714285714287</v>
      </c>
      <c r="I12" s="175">
        <v>137.75395261552896</v>
      </c>
      <c r="J12" s="206">
        <v>0.93</v>
      </c>
      <c r="K12" s="691" t="s">
        <v>118</v>
      </c>
      <c r="L12" s="672"/>
    </row>
    <row r="13" spans="1:13" ht="15.75" customHeight="1">
      <c r="A13" s="676"/>
      <c r="B13" s="688"/>
      <c r="C13" s="170" t="s">
        <v>119</v>
      </c>
      <c r="D13" s="690" t="s">
        <v>120</v>
      </c>
      <c r="E13" s="683"/>
      <c r="F13" s="684"/>
      <c r="G13" s="174">
        <v>18</v>
      </c>
      <c r="H13" s="174">
        <v>1445</v>
      </c>
      <c r="I13" s="175">
        <v>80.277777777777786</v>
      </c>
      <c r="J13" s="206">
        <v>0.98</v>
      </c>
      <c r="K13" s="691"/>
      <c r="L13" s="672"/>
    </row>
    <row r="14" spans="1:13" ht="15.75" customHeight="1">
      <c r="A14" s="676"/>
      <c r="B14" s="688"/>
      <c r="C14" s="170" t="s">
        <v>121</v>
      </c>
      <c r="D14" s="689" t="s">
        <v>122</v>
      </c>
      <c r="E14" s="683"/>
      <c r="F14" s="684"/>
      <c r="G14" s="174">
        <v>16.857142857142858</v>
      </c>
      <c r="H14" s="174">
        <v>1392.4285714285713</v>
      </c>
      <c r="I14" s="175">
        <v>82.617647058823522</v>
      </c>
      <c r="J14" s="206">
        <v>0.89200000000000002</v>
      </c>
      <c r="K14" s="691" t="s">
        <v>123</v>
      </c>
      <c r="L14" s="672"/>
    </row>
    <row r="15" spans="1:13" ht="15.75" customHeight="1">
      <c r="A15" s="676"/>
      <c r="B15" s="688"/>
      <c r="C15" s="170" t="s">
        <v>124</v>
      </c>
      <c r="D15" s="690" t="s">
        <v>125</v>
      </c>
      <c r="E15" s="683"/>
      <c r="F15" s="684"/>
      <c r="G15" s="174">
        <v>16.571428571428573</v>
      </c>
      <c r="H15" s="174">
        <v>1410.7142857142858</v>
      </c>
      <c r="I15" s="175">
        <v>85.084558823529406</v>
      </c>
      <c r="J15" s="206">
        <v>0.97199999999999998</v>
      </c>
      <c r="K15" s="691"/>
      <c r="L15" s="672"/>
    </row>
    <row r="16" spans="1:13" ht="15.75" customHeight="1">
      <c r="A16" s="676"/>
      <c r="B16" s="688"/>
      <c r="C16" s="170" t="s">
        <v>126</v>
      </c>
      <c r="D16" s="690" t="s">
        <v>127</v>
      </c>
      <c r="E16" s="683"/>
      <c r="F16" s="684"/>
      <c r="G16" s="174">
        <v>17</v>
      </c>
      <c r="H16" s="174">
        <v>1456.1428571428571</v>
      </c>
      <c r="I16" s="175">
        <v>85.655462184873954</v>
      </c>
      <c r="J16" s="206">
        <v>1.004</v>
      </c>
      <c r="K16" s="691"/>
      <c r="L16" s="672"/>
      <c r="M16" s="143"/>
    </row>
    <row r="17" spans="1:13" ht="15.75" customHeight="1">
      <c r="A17" s="676"/>
      <c r="B17" s="688"/>
      <c r="C17" s="170" t="s">
        <v>128</v>
      </c>
      <c r="D17" s="689" t="s">
        <v>129</v>
      </c>
      <c r="E17" s="683"/>
      <c r="F17" s="684"/>
      <c r="G17" s="174">
        <v>17.142857142857142</v>
      </c>
      <c r="H17" s="174">
        <v>1491.1428571428571</v>
      </c>
      <c r="I17" s="175">
        <v>87.165674603174594</v>
      </c>
      <c r="J17" s="206">
        <v>0.79900000000000004</v>
      </c>
      <c r="K17" s="691" t="s">
        <v>123</v>
      </c>
      <c r="L17" s="672"/>
      <c r="M17" s="143"/>
    </row>
    <row r="18" spans="1:13" s="173" customFormat="1" ht="15.75" customHeight="1">
      <c r="A18" s="674" t="s">
        <v>41</v>
      </c>
      <c r="B18" s="674"/>
      <c r="C18" s="171" t="s">
        <v>91</v>
      </c>
      <c r="D18" s="674" t="s">
        <v>107</v>
      </c>
      <c r="E18" s="675"/>
      <c r="F18" s="675"/>
      <c r="G18" s="171" t="s">
        <v>96</v>
      </c>
      <c r="H18" s="171" t="s">
        <v>108</v>
      </c>
      <c r="I18" s="171" t="s">
        <v>109</v>
      </c>
      <c r="J18" s="172" t="s">
        <v>110</v>
      </c>
      <c r="K18" s="674" t="s">
        <v>111</v>
      </c>
      <c r="L18" s="675"/>
      <c r="M18" s="165"/>
    </row>
    <row r="19" spans="1:13" ht="15.75" customHeight="1">
      <c r="A19" s="676">
        <v>2</v>
      </c>
      <c r="B19" s="688" t="s">
        <v>130</v>
      </c>
      <c r="C19" s="168">
        <v>1</v>
      </c>
      <c r="D19" s="689"/>
      <c r="E19" s="683"/>
      <c r="F19" s="684"/>
      <c r="G19" s="174"/>
      <c r="H19" s="174"/>
      <c r="I19" s="175"/>
      <c r="J19" s="206"/>
      <c r="K19" s="673"/>
      <c r="L19" s="672"/>
      <c r="M19" s="143"/>
    </row>
    <row r="20" spans="1:13" ht="15.75" customHeight="1">
      <c r="A20" s="676"/>
      <c r="B20" s="688"/>
      <c r="C20" s="168">
        <v>2</v>
      </c>
      <c r="D20" s="690"/>
      <c r="E20" s="683"/>
      <c r="F20" s="684"/>
      <c r="G20" s="174"/>
      <c r="H20" s="174"/>
      <c r="I20" s="175"/>
      <c r="J20" s="206"/>
      <c r="K20" s="671"/>
      <c r="L20" s="672"/>
      <c r="M20" s="143"/>
    </row>
    <row r="21" spans="1:13" ht="15.75" customHeight="1">
      <c r="A21" s="676"/>
      <c r="B21" s="688"/>
      <c r="C21" s="168">
        <v>3</v>
      </c>
      <c r="D21" s="690"/>
      <c r="E21" s="683"/>
      <c r="F21" s="684"/>
      <c r="G21" s="174"/>
      <c r="H21" s="174"/>
      <c r="I21" s="175"/>
      <c r="J21" s="206"/>
      <c r="K21" s="671"/>
      <c r="L21" s="672"/>
      <c r="M21" s="143"/>
    </row>
    <row r="22" spans="1:13" ht="15.75" customHeight="1">
      <c r="A22" s="676"/>
      <c r="B22" s="688"/>
      <c r="C22" s="168">
        <v>4</v>
      </c>
      <c r="D22" s="671"/>
      <c r="E22" s="672"/>
      <c r="F22" s="672"/>
      <c r="G22" s="169"/>
      <c r="H22" s="169"/>
      <c r="I22" s="169"/>
      <c r="J22" s="169"/>
      <c r="K22" s="671"/>
      <c r="L22" s="672"/>
      <c r="M22" s="143"/>
    </row>
    <row r="23" spans="1:13" ht="15.75" customHeight="1">
      <c r="A23" s="676"/>
      <c r="B23" s="688"/>
      <c r="C23" s="168">
        <v>5</v>
      </c>
      <c r="D23" s="671"/>
      <c r="E23" s="672"/>
      <c r="F23" s="672"/>
      <c r="G23" s="169"/>
      <c r="H23" s="169"/>
      <c r="I23" s="169"/>
      <c r="J23" s="169"/>
      <c r="K23" s="671"/>
      <c r="L23" s="672"/>
      <c r="M23" s="143"/>
    </row>
    <row r="24" spans="1:13" ht="15.75" customHeight="1">
      <c r="A24" s="676"/>
      <c r="B24" s="688"/>
      <c r="C24" s="170" t="s">
        <v>119</v>
      </c>
      <c r="D24" s="673"/>
      <c r="E24" s="672"/>
      <c r="F24" s="672"/>
      <c r="G24" s="169"/>
      <c r="H24" s="169"/>
      <c r="I24" s="169"/>
      <c r="J24" s="169"/>
      <c r="K24" s="673"/>
      <c r="L24" s="672"/>
      <c r="M24" s="143"/>
    </row>
    <row r="25" spans="1:13" ht="15.75" customHeight="1">
      <c r="A25" s="676"/>
      <c r="B25" s="688"/>
      <c r="C25" s="170" t="s">
        <v>121</v>
      </c>
      <c r="D25" s="671"/>
      <c r="E25" s="672"/>
      <c r="F25" s="672"/>
      <c r="G25" s="169"/>
      <c r="H25" s="169"/>
      <c r="I25" s="169"/>
      <c r="J25" s="169"/>
      <c r="K25" s="671"/>
      <c r="L25" s="672"/>
      <c r="M25" s="143"/>
    </row>
    <row r="26" spans="1:13" ht="15.75" customHeight="1">
      <c r="A26" s="676"/>
      <c r="B26" s="688"/>
      <c r="C26" s="170" t="s">
        <v>124</v>
      </c>
      <c r="D26" s="671"/>
      <c r="E26" s="672"/>
      <c r="F26" s="672"/>
      <c r="G26" s="169"/>
      <c r="H26" s="169"/>
      <c r="I26" s="169"/>
      <c r="J26" s="169"/>
      <c r="K26" s="671"/>
      <c r="L26" s="672"/>
      <c r="M26" s="143"/>
    </row>
    <row r="27" spans="1:13" ht="15.75" customHeight="1">
      <c r="A27" s="676"/>
      <c r="B27" s="688"/>
      <c r="C27" s="170" t="s">
        <v>126</v>
      </c>
      <c r="D27" s="671"/>
      <c r="E27" s="672"/>
      <c r="F27" s="672"/>
      <c r="G27" s="169"/>
      <c r="H27" s="169"/>
      <c r="I27" s="169"/>
      <c r="J27" s="169"/>
      <c r="K27" s="671"/>
      <c r="L27" s="672"/>
      <c r="M27" s="143"/>
    </row>
    <row r="28" spans="1:13" ht="15.75" customHeight="1">
      <c r="A28" s="676"/>
      <c r="B28" s="688"/>
      <c r="C28" s="170" t="s">
        <v>128</v>
      </c>
      <c r="D28" s="671"/>
      <c r="E28" s="672"/>
      <c r="F28" s="672"/>
      <c r="G28" s="169"/>
      <c r="H28" s="169"/>
      <c r="I28" s="169"/>
      <c r="J28" s="169"/>
      <c r="K28" s="671"/>
      <c r="L28" s="672"/>
      <c r="M28" s="143"/>
    </row>
    <row r="29" spans="1:13" ht="15.75" customHeight="1">
      <c r="A29" s="674" t="s">
        <v>41</v>
      </c>
      <c r="B29" s="674"/>
      <c r="C29" s="171" t="s">
        <v>91</v>
      </c>
      <c r="D29" s="674" t="s">
        <v>107</v>
      </c>
      <c r="E29" s="675"/>
      <c r="F29" s="675"/>
      <c r="G29" s="171" t="s">
        <v>96</v>
      </c>
      <c r="H29" s="171" t="s">
        <v>108</v>
      </c>
      <c r="I29" s="171" t="s">
        <v>109</v>
      </c>
      <c r="J29" s="172" t="s">
        <v>110</v>
      </c>
      <c r="K29" s="674" t="s">
        <v>111</v>
      </c>
      <c r="L29" s="675"/>
    </row>
    <row r="30" spans="1:13" ht="15.75" customHeight="1">
      <c r="A30" s="676">
        <v>3</v>
      </c>
      <c r="B30" s="677" t="s">
        <v>76</v>
      </c>
      <c r="C30" s="168">
        <v>1</v>
      </c>
      <c r="D30" s="678" t="s">
        <v>102</v>
      </c>
      <c r="E30" s="679"/>
      <c r="F30" s="680"/>
      <c r="G30" s="174">
        <v>10.785714285714286</v>
      </c>
      <c r="H30" s="174">
        <v>1462.7142857142858</v>
      </c>
      <c r="I30" s="175">
        <v>135.65823650034176</v>
      </c>
      <c r="J30" s="206">
        <v>1.0189999999999999</v>
      </c>
      <c r="K30" s="681"/>
      <c r="L30" s="672"/>
    </row>
    <row r="31" spans="1:13">
      <c r="A31" s="676"/>
      <c r="B31" s="677"/>
      <c r="C31" s="168">
        <v>2</v>
      </c>
      <c r="D31" s="682" t="s">
        <v>100</v>
      </c>
      <c r="E31" s="683"/>
      <c r="F31" s="684"/>
      <c r="G31" s="174">
        <v>11.571428571428571</v>
      </c>
      <c r="H31" s="174">
        <v>1433.8571428571429</v>
      </c>
      <c r="I31" s="175">
        <v>130.35064935064935</v>
      </c>
      <c r="J31" s="206">
        <v>0.95499999999999996</v>
      </c>
      <c r="K31" s="681" t="s">
        <v>131</v>
      </c>
      <c r="L31" s="672"/>
    </row>
    <row r="32" spans="1:13">
      <c r="A32" s="676"/>
      <c r="B32" s="677"/>
      <c r="C32" s="168">
        <v>3</v>
      </c>
      <c r="D32" s="678" t="s">
        <v>101</v>
      </c>
      <c r="E32" s="679"/>
      <c r="F32" s="680"/>
      <c r="G32" s="174">
        <v>11</v>
      </c>
      <c r="H32" s="174">
        <v>1318.1428571428571</v>
      </c>
      <c r="I32" s="175">
        <v>119.83116883116884</v>
      </c>
      <c r="J32" s="206">
        <v>0.88400000000000001</v>
      </c>
      <c r="K32" s="681" t="s">
        <v>132</v>
      </c>
      <c r="L32" s="672"/>
    </row>
    <row r="33" spans="1:12">
      <c r="A33" s="676"/>
      <c r="B33" s="677"/>
      <c r="C33" s="168">
        <v>4</v>
      </c>
      <c r="D33" s="682" t="s">
        <v>99</v>
      </c>
      <c r="E33" s="683"/>
      <c r="F33" s="684"/>
      <c r="G33" s="174">
        <v>15</v>
      </c>
      <c r="H33" s="174">
        <v>1525.4285714285713</v>
      </c>
      <c r="I33" s="175">
        <v>101.69523809523808</v>
      </c>
      <c r="J33" s="206">
        <v>0.98199999999999998</v>
      </c>
      <c r="K33" s="681"/>
      <c r="L33" s="672"/>
    </row>
    <row r="34" spans="1:12" ht="13.5">
      <c r="A34" s="676"/>
      <c r="B34" s="677"/>
      <c r="C34" s="168">
        <v>5</v>
      </c>
      <c r="D34" s="685"/>
      <c r="E34" s="686"/>
      <c r="F34" s="687"/>
      <c r="G34" s="169"/>
      <c r="H34" s="169"/>
      <c r="I34" s="169"/>
      <c r="J34" s="169"/>
      <c r="K34" s="671"/>
      <c r="L34" s="672"/>
    </row>
    <row r="35" spans="1:12" ht="15.75" customHeight="1">
      <c r="A35" s="676"/>
      <c r="B35" s="677"/>
      <c r="C35" s="170" t="s">
        <v>119</v>
      </c>
      <c r="D35" s="673"/>
      <c r="E35" s="672"/>
      <c r="F35" s="672"/>
      <c r="G35" s="169"/>
      <c r="H35" s="169"/>
      <c r="I35" s="169"/>
      <c r="J35" s="169"/>
      <c r="K35" s="673"/>
      <c r="L35" s="672"/>
    </row>
    <row r="36" spans="1:12" ht="15.75" customHeight="1">
      <c r="A36" s="676"/>
      <c r="B36" s="677"/>
      <c r="C36" s="170" t="s">
        <v>121</v>
      </c>
      <c r="D36" s="671"/>
      <c r="E36" s="672"/>
      <c r="F36" s="672"/>
      <c r="G36" s="169"/>
      <c r="H36" s="169"/>
      <c r="I36" s="169"/>
      <c r="J36" s="169"/>
      <c r="K36" s="671"/>
      <c r="L36" s="672"/>
    </row>
    <row r="37" spans="1:12" ht="15.75" customHeight="1">
      <c r="A37" s="676"/>
      <c r="B37" s="677"/>
      <c r="C37" s="170" t="s">
        <v>124</v>
      </c>
      <c r="D37" s="671"/>
      <c r="E37" s="672"/>
      <c r="F37" s="672"/>
      <c r="G37" s="169"/>
      <c r="H37" s="169"/>
      <c r="I37" s="169"/>
      <c r="J37" s="169"/>
      <c r="K37" s="671"/>
      <c r="L37" s="672"/>
    </row>
    <row r="38" spans="1:12" ht="15.75" customHeight="1">
      <c r="A38" s="676"/>
      <c r="B38" s="677"/>
      <c r="C38" s="170" t="s">
        <v>126</v>
      </c>
      <c r="D38" s="671"/>
      <c r="E38" s="672"/>
      <c r="F38" s="672"/>
      <c r="G38" s="169"/>
      <c r="H38" s="169"/>
      <c r="I38" s="169"/>
      <c r="J38" s="169"/>
      <c r="K38" s="671"/>
      <c r="L38" s="672"/>
    </row>
    <row r="39" spans="1:12" ht="15.75" customHeight="1">
      <c r="A39" s="676"/>
      <c r="B39" s="677"/>
      <c r="C39" s="170" t="s">
        <v>128</v>
      </c>
      <c r="D39" s="671"/>
      <c r="E39" s="672"/>
      <c r="F39" s="672"/>
      <c r="G39" s="169"/>
      <c r="H39" s="169"/>
      <c r="I39" s="169"/>
      <c r="J39" s="169"/>
      <c r="K39" s="671"/>
      <c r="L39" s="672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tabSelected="1" view="pageBreakPreview" zoomScaleNormal="60" zoomScaleSheetLayoutView="100" workbookViewId="0">
      <selection activeCell="J23" sqref="J23"/>
    </sheetView>
  </sheetViews>
  <sheetFormatPr defaultColWidth="12.5703125" defaultRowHeight="15.75" customHeight="1"/>
  <cols>
    <col min="1" max="1" width="7.5703125" style="143" customWidth="1"/>
    <col min="2" max="2" width="14.85546875" style="143" customWidth="1"/>
    <col min="3" max="3" width="12.85546875" style="143" customWidth="1"/>
    <col min="4" max="4" width="2.5703125" style="143" customWidth="1"/>
    <col min="5" max="5" width="7.5703125" style="143" customWidth="1"/>
    <col min="6" max="6" width="12.85546875" style="143" customWidth="1"/>
    <col min="7" max="7" width="9.42578125" style="143" customWidth="1"/>
    <col min="8" max="8" width="12.85546875" style="143" customWidth="1"/>
    <col min="9" max="9" width="9.42578125" style="143" customWidth="1"/>
    <col min="10" max="10" width="12.85546875" style="143" customWidth="1"/>
    <col min="11" max="11" width="9.42578125" style="143" customWidth="1"/>
    <col min="12" max="12" width="12.85546875" style="143" customWidth="1"/>
    <col min="13" max="13" width="9.42578125" style="143" customWidth="1"/>
    <col min="14" max="58" width="12.5703125" style="143" customWidth="1"/>
    <col min="59" max="16384" width="12.5703125" style="143"/>
  </cols>
  <sheetData>
    <row r="1" spans="1:13" ht="15.75" customHeight="1">
      <c r="A1" s="516" t="s">
        <v>103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516"/>
    </row>
    <row r="2" spans="1:13" s="144" customFormat="1" ht="15.75" customHeight="1">
      <c r="A2" s="516"/>
      <c r="B2" s="516"/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</row>
    <row r="3" spans="1:13" ht="15.75" customHeight="1">
      <c r="A3" s="692" t="s">
        <v>133</v>
      </c>
      <c r="B3" s="692"/>
      <c r="C3" s="692"/>
      <c r="D3" s="692"/>
      <c r="E3" s="692"/>
      <c r="F3" s="692"/>
      <c r="G3" s="692"/>
      <c r="H3" s="692"/>
      <c r="I3" s="692"/>
      <c r="J3" s="692"/>
      <c r="K3" s="692"/>
      <c r="L3" s="692"/>
      <c r="M3" s="692"/>
    </row>
    <row r="4" spans="1:13" s="144" customFormat="1" ht="15.75" customHeight="1">
      <c r="A4" s="692"/>
      <c r="B4" s="692"/>
      <c r="C4" s="692"/>
      <c r="D4" s="692"/>
      <c r="E4" s="692"/>
      <c r="F4" s="692"/>
      <c r="G4" s="692"/>
      <c r="H4" s="692"/>
      <c r="I4" s="692"/>
      <c r="J4" s="692"/>
      <c r="K4" s="692"/>
      <c r="L4" s="692"/>
      <c r="M4" s="692"/>
    </row>
    <row r="5" spans="1:13" ht="15.75" customHeight="1">
      <c r="A5" s="307" t="s">
        <v>16</v>
      </c>
      <c r="B5" s="308">
        <f>'日別報廢率總表 '!M21</f>
        <v>17043773.939999998</v>
      </c>
      <c r="C5" s="309"/>
      <c r="D5" s="309"/>
      <c r="E5" s="700" t="s">
        <v>134</v>
      </c>
      <c r="F5" s="700"/>
      <c r="G5" s="700"/>
      <c r="H5" s="700"/>
      <c r="I5" s="700"/>
      <c r="J5" s="700"/>
      <c r="K5" s="700"/>
      <c r="L5" s="700"/>
      <c r="M5" s="701"/>
    </row>
    <row r="6" spans="1:13" ht="15.75" customHeight="1">
      <c r="A6" s="702" t="s">
        <v>9</v>
      </c>
      <c r="B6" s="703" t="s">
        <v>135</v>
      </c>
      <c r="C6" s="703"/>
      <c r="D6" s="704"/>
      <c r="E6" s="707" t="s">
        <v>9</v>
      </c>
      <c r="F6" s="676">
        <v>1</v>
      </c>
      <c r="G6" s="676"/>
      <c r="H6" s="676">
        <v>2</v>
      </c>
      <c r="I6" s="676"/>
      <c r="J6" s="676">
        <v>3</v>
      </c>
      <c r="K6" s="676"/>
      <c r="L6" s="676">
        <v>4</v>
      </c>
      <c r="M6" s="708"/>
    </row>
    <row r="7" spans="1:13" ht="31.35" customHeight="1">
      <c r="A7" s="702"/>
      <c r="B7" s="703"/>
      <c r="C7" s="703"/>
      <c r="D7" s="705"/>
      <c r="E7" s="707"/>
      <c r="F7" s="695" t="s">
        <v>136</v>
      </c>
      <c r="G7" s="695"/>
      <c r="H7" s="695" t="s">
        <v>137</v>
      </c>
      <c r="I7" s="695"/>
      <c r="J7" s="695" t="s">
        <v>138</v>
      </c>
      <c r="K7" s="695"/>
      <c r="L7" s="698" t="s">
        <v>139</v>
      </c>
      <c r="M7" s="699"/>
    </row>
    <row r="8" spans="1:13" ht="15.75" customHeight="1">
      <c r="A8" s="702"/>
      <c r="B8" s="306" t="s">
        <v>140</v>
      </c>
      <c r="C8" s="306" t="s">
        <v>36</v>
      </c>
      <c r="D8" s="705"/>
      <c r="E8" s="707"/>
      <c r="F8" s="306" t="s">
        <v>140</v>
      </c>
      <c r="G8" s="306" t="s">
        <v>36</v>
      </c>
      <c r="H8" s="306" t="s">
        <v>140</v>
      </c>
      <c r="I8" s="306" t="s">
        <v>36</v>
      </c>
      <c r="J8" s="306" t="s">
        <v>140</v>
      </c>
      <c r="K8" s="306" t="s">
        <v>36</v>
      </c>
      <c r="L8" s="306" t="s">
        <v>140</v>
      </c>
      <c r="M8" s="310" t="s">
        <v>36</v>
      </c>
    </row>
    <row r="9" spans="1:13" ht="19.350000000000001" customHeight="1">
      <c r="A9" s="311" t="s">
        <v>141</v>
      </c>
      <c r="B9" s="146">
        <f>'日別報廢率總表 '!N21</f>
        <v>44408.088000000003</v>
      </c>
      <c r="C9" s="147">
        <f>B9/$B$5</f>
        <v>2.6055313897222466E-3</v>
      </c>
      <c r="D9" s="705"/>
      <c r="E9" s="145" t="s">
        <v>141</v>
      </c>
      <c r="F9" s="148">
        <f>'報廢－原因別分析 (週)'!AD8</f>
        <v>20487.879999999997</v>
      </c>
      <c r="G9" s="149">
        <f>'報廢－原因別分析 (週)'!AD9</f>
        <v>0.55000000000000004</v>
      </c>
      <c r="H9" s="148">
        <f>'報廢－原因別分析 (週)'!AE8</f>
        <v>3164.98</v>
      </c>
      <c r="I9" s="149">
        <f>'報廢－原因別分析 (週)'!AE9</f>
        <v>0.15</v>
      </c>
      <c r="J9" s="148">
        <f>'報廢－原因別分析 (週)'!AF8</f>
        <v>0</v>
      </c>
      <c r="K9" s="149">
        <f>'報廢－原因別分析 (週)'!AF9</f>
        <v>0</v>
      </c>
      <c r="L9" s="148">
        <f>'報廢－原因別分析 (週)'!AG8</f>
        <v>4295</v>
      </c>
      <c r="M9" s="312">
        <f>'報廢－原因別分析 (週)'!AG9</f>
        <v>0.25</v>
      </c>
    </row>
    <row r="10" spans="1:13" ht="19.350000000000001" customHeight="1">
      <c r="A10" s="313" t="s">
        <v>142</v>
      </c>
      <c r="B10" s="151">
        <f>'日別報廢率總表 '!O21</f>
        <v>54657.492639999997</v>
      </c>
      <c r="C10" s="147">
        <f>B10/$B$5</f>
        <v>3.2068890864437273E-3</v>
      </c>
      <c r="D10" s="705"/>
      <c r="E10" s="150" t="s">
        <v>142</v>
      </c>
      <c r="F10" s="148">
        <f>'超用－原因別分析 (週) '!AD8</f>
        <v>29279.379999999979</v>
      </c>
      <c r="G10" s="149">
        <f>'超用－原因別分析 (週) '!AD9</f>
        <v>0.65</v>
      </c>
      <c r="H10" s="148">
        <f>'超用－原因別分析 (週) '!AE8</f>
        <v>2504.2500000000118</v>
      </c>
      <c r="I10" s="149">
        <f>'超用－原因別分析 (週) '!AE9</f>
        <v>0.05</v>
      </c>
      <c r="J10" s="148">
        <f>'超用－原因別分析 (週) '!AF8</f>
        <v>0</v>
      </c>
      <c r="K10" s="149">
        <f>'超用－原因別分析 (週) '!AF9</f>
        <v>0</v>
      </c>
      <c r="L10" s="148">
        <f>'超用－原因別分析 (週) '!AG8</f>
        <v>15839.399999999965</v>
      </c>
      <c r="M10" s="312">
        <f>'超用－原因別分析 (週) '!AG9</f>
        <v>0.25</v>
      </c>
    </row>
    <row r="11" spans="1:13" ht="15.75" customHeight="1">
      <c r="A11" s="314"/>
      <c r="D11" s="705"/>
      <c r="E11" s="707" t="s">
        <v>9</v>
      </c>
      <c r="F11" s="676">
        <v>5</v>
      </c>
      <c r="G11" s="676"/>
      <c r="H11" s="676">
        <v>6</v>
      </c>
      <c r="I11" s="676"/>
      <c r="J11" s="676">
        <v>7</v>
      </c>
      <c r="K11" s="676"/>
      <c r="L11" s="709">
        <v>8</v>
      </c>
      <c r="M11" s="710"/>
    </row>
    <row r="12" spans="1:13" ht="31.35" customHeight="1">
      <c r="A12" s="314"/>
      <c r="D12" s="705"/>
      <c r="E12" s="707"/>
      <c r="F12" s="695" t="s">
        <v>143</v>
      </c>
      <c r="G12" s="695"/>
      <c r="H12" s="695" t="s">
        <v>144</v>
      </c>
      <c r="I12" s="695"/>
      <c r="J12" s="695" t="s">
        <v>145</v>
      </c>
      <c r="K12" s="695"/>
      <c r="L12" s="696" t="s">
        <v>146</v>
      </c>
      <c r="M12" s="697"/>
    </row>
    <row r="13" spans="1:13" ht="15.75" customHeight="1">
      <c r="A13" s="314"/>
      <c r="D13" s="705"/>
      <c r="E13" s="707"/>
      <c r="F13" s="306" t="s">
        <v>140</v>
      </c>
      <c r="G13" s="306" t="s">
        <v>36</v>
      </c>
      <c r="H13" s="306" t="s">
        <v>140</v>
      </c>
      <c r="I13" s="306" t="s">
        <v>36</v>
      </c>
      <c r="J13" s="306" t="s">
        <v>140</v>
      </c>
      <c r="K13" s="306" t="s">
        <v>36</v>
      </c>
      <c r="L13" s="306" t="s">
        <v>140</v>
      </c>
      <c r="M13" s="310" t="s">
        <v>36</v>
      </c>
    </row>
    <row r="14" spans="1:13" ht="19.350000000000001" customHeight="1">
      <c r="A14" s="314"/>
      <c r="D14" s="705"/>
      <c r="E14" s="145" t="s">
        <v>141</v>
      </c>
      <c r="F14" s="148">
        <f>'報廢－原因別分析 (週)'!AH8</f>
        <v>0</v>
      </c>
      <c r="G14" s="149">
        <f>'報廢－原因別分析 (週)'!AH9</f>
        <v>0</v>
      </c>
      <c r="H14" s="148">
        <f>'報廢－原因別分析 (週)'!AI8</f>
        <v>550.80000000000007</v>
      </c>
      <c r="I14" s="149">
        <f>'報廢－原因別分析 (週)'!AI9</f>
        <v>0.05</v>
      </c>
      <c r="J14" s="148">
        <f>'報廢－原因別分析 (週)'!AJ8</f>
        <v>0</v>
      </c>
      <c r="K14" s="149">
        <f>'報廢－原因別分析 (週)'!AJ9</f>
        <v>0</v>
      </c>
      <c r="L14" s="148"/>
      <c r="M14" s="312"/>
    </row>
    <row r="15" spans="1:13" ht="19.350000000000001" customHeight="1">
      <c r="A15" s="315"/>
      <c r="B15" s="316"/>
      <c r="C15" s="316"/>
      <c r="D15" s="706"/>
      <c r="E15" s="317" t="s">
        <v>142</v>
      </c>
      <c r="F15" s="318">
        <f>'超用－原因別分析 (週) '!AH8</f>
        <v>0</v>
      </c>
      <c r="G15" s="319">
        <f>'超用－原因別分析 (週) '!AH9</f>
        <v>0</v>
      </c>
      <c r="H15" s="318">
        <f>'超用－原因別分析 (週) '!AI8</f>
        <v>2204.2199999999852</v>
      </c>
      <c r="I15" s="319">
        <f>'超用－原因別分析 (週) '!AI9</f>
        <v>0.05</v>
      </c>
      <c r="J15" s="318">
        <f>'超用－原因別分析 (週) '!AJ8</f>
        <v>0</v>
      </c>
      <c r="K15" s="319">
        <f>'超用－原因別分析 (週) '!AJ9</f>
        <v>0</v>
      </c>
      <c r="L15" s="318"/>
      <c r="M15" s="320"/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C22" sqref="C22:I22"/>
    </sheetView>
  </sheetViews>
  <sheetFormatPr defaultColWidth="12.5703125" defaultRowHeight="15.75" customHeight="1"/>
  <cols>
    <col min="1" max="1" width="5.42578125" style="110" customWidth="1"/>
    <col min="2" max="2" width="11.42578125" style="137" customWidth="1"/>
    <col min="3" max="3" width="4" style="116" customWidth="1"/>
    <col min="4" max="17" width="9.5703125" style="110" customWidth="1"/>
    <col min="18" max="62" width="12.5703125" style="110" customWidth="1"/>
    <col min="63" max="16384" width="12.5703125" style="110"/>
  </cols>
  <sheetData>
    <row r="1" spans="1:17" ht="15.75" customHeight="1">
      <c r="A1" s="731" t="s">
        <v>103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  <c r="O1" s="731"/>
      <c r="P1" s="731"/>
      <c r="Q1" s="731"/>
    </row>
    <row r="2" spans="1:17" s="111" customFormat="1" ht="15.75" customHeight="1">
      <c r="A2" s="731"/>
      <c r="B2" s="731"/>
      <c r="C2" s="731"/>
      <c r="D2" s="731"/>
      <c r="E2" s="731"/>
      <c r="F2" s="731"/>
      <c r="G2" s="731"/>
      <c r="H2" s="731"/>
      <c r="I2" s="731"/>
      <c r="J2" s="731"/>
      <c r="K2" s="731"/>
      <c r="L2" s="731"/>
      <c r="M2" s="731"/>
      <c r="N2" s="731"/>
      <c r="O2" s="731"/>
      <c r="P2" s="731"/>
      <c r="Q2" s="731"/>
    </row>
    <row r="3" spans="1:17" ht="15.75" customHeight="1">
      <c r="A3" s="732" t="s">
        <v>147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</row>
    <row r="4" spans="1:17" s="111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17" ht="15.75" customHeight="1">
      <c r="A5" s="544" t="s">
        <v>148</v>
      </c>
      <c r="B5" s="734">
        <v>1</v>
      </c>
      <c r="C5" s="734"/>
      <c r="D5" s="734">
        <v>2</v>
      </c>
      <c r="E5" s="734"/>
      <c r="F5" s="734">
        <v>3</v>
      </c>
      <c r="G5" s="734"/>
      <c r="H5" s="720">
        <v>4</v>
      </c>
      <c r="I5" s="720"/>
      <c r="J5" s="720">
        <v>5</v>
      </c>
      <c r="K5" s="720"/>
      <c r="L5" s="720">
        <v>6</v>
      </c>
      <c r="M5" s="720"/>
      <c r="N5" s="720">
        <v>7</v>
      </c>
      <c r="O5" s="720"/>
      <c r="P5" s="720">
        <v>8</v>
      </c>
      <c r="Q5" s="720"/>
    </row>
    <row r="6" spans="1:17" ht="15.75" customHeight="1">
      <c r="A6" s="544"/>
      <c r="B6" s="735" t="s">
        <v>136</v>
      </c>
      <c r="C6" s="735"/>
      <c r="D6" s="735" t="s">
        <v>149</v>
      </c>
      <c r="E6" s="735"/>
      <c r="F6" s="735" t="s">
        <v>138</v>
      </c>
      <c r="G6" s="735"/>
      <c r="H6" s="728" t="s">
        <v>139</v>
      </c>
      <c r="I6" s="544"/>
      <c r="J6" s="544" t="s">
        <v>143</v>
      </c>
      <c r="K6" s="544"/>
      <c r="L6" s="544" t="s">
        <v>144</v>
      </c>
      <c r="M6" s="544"/>
      <c r="N6" s="544" t="s">
        <v>145</v>
      </c>
      <c r="O6" s="544"/>
      <c r="P6" s="728" t="s">
        <v>150</v>
      </c>
      <c r="Q6" s="544"/>
    </row>
    <row r="8" spans="1:17" s="112" customFormat="1" ht="15.75" customHeight="1">
      <c r="A8" s="720" t="s">
        <v>148</v>
      </c>
      <c r="B8" s="720"/>
      <c r="C8" s="118" t="s">
        <v>91</v>
      </c>
      <c r="D8" s="722" t="s">
        <v>107</v>
      </c>
      <c r="E8" s="723"/>
      <c r="F8" s="724"/>
      <c r="G8" s="119" t="s">
        <v>151</v>
      </c>
      <c r="H8" s="120"/>
      <c r="I8" s="118"/>
      <c r="J8" s="121" t="s">
        <v>152</v>
      </c>
      <c r="K8" s="121" t="s">
        <v>24</v>
      </c>
      <c r="L8" s="121" t="s">
        <v>153</v>
      </c>
      <c r="M8" s="121" t="s">
        <v>140</v>
      </c>
      <c r="N8" s="121" t="s">
        <v>154</v>
      </c>
      <c r="O8" s="725" t="s">
        <v>111</v>
      </c>
      <c r="P8" s="726"/>
    </row>
    <row r="9" spans="1:17" ht="15.75" customHeight="1">
      <c r="A9" s="720">
        <v>1</v>
      </c>
      <c r="B9" s="721" t="s">
        <v>155</v>
      </c>
      <c r="C9" s="122">
        <v>1</v>
      </c>
      <c r="D9" s="711" t="s">
        <v>120</v>
      </c>
      <c r="E9" s="718"/>
      <c r="F9" s="719"/>
      <c r="G9" s="711" t="s">
        <v>156</v>
      </c>
      <c r="H9" s="718"/>
      <c r="I9" s="719"/>
      <c r="J9" s="123">
        <v>125.6</v>
      </c>
      <c r="K9" s="513">
        <v>1.7999999999999999E-2</v>
      </c>
      <c r="L9" s="123">
        <v>43.6</v>
      </c>
      <c r="M9" s="176">
        <f>L9*J9</f>
        <v>5476.16</v>
      </c>
      <c r="N9" s="327"/>
      <c r="O9" s="729" t="s">
        <v>157</v>
      </c>
      <c r="P9" s="730"/>
    </row>
    <row r="10" spans="1:17" ht="15.75" customHeight="1">
      <c r="A10" s="720"/>
      <c r="B10" s="721"/>
      <c r="C10" s="122">
        <v>2</v>
      </c>
      <c r="D10" s="711" t="s">
        <v>158</v>
      </c>
      <c r="E10" s="718"/>
      <c r="F10" s="719"/>
      <c r="G10" s="711" t="s">
        <v>159</v>
      </c>
      <c r="H10" s="718"/>
      <c r="I10" s="719"/>
      <c r="J10" s="123">
        <v>193.2</v>
      </c>
      <c r="K10" s="124">
        <v>1.2999999999999999E-2</v>
      </c>
      <c r="L10" s="123">
        <v>13.4</v>
      </c>
      <c r="M10" s="176">
        <f>L10*J10</f>
        <v>2588.88</v>
      </c>
      <c r="N10" s="327">
        <v>1.2293499999999999</v>
      </c>
      <c r="O10" s="729" t="s">
        <v>157</v>
      </c>
      <c r="P10" s="730"/>
    </row>
    <row r="11" spans="1:17" ht="15.75" customHeight="1">
      <c r="A11" s="720"/>
      <c r="B11" s="721"/>
      <c r="C11" s="122">
        <v>3</v>
      </c>
      <c r="D11" s="711" t="s">
        <v>129</v>
      </c>
      <c r="E11" s="718"/>
      <c r="F11" s="719"/>
      <c r="G11" s="711" t="s">
        <v>160</v>
      </c>
      <c r="H11" s="718"/>
      <c r="I11" s="719"/>
      <c r="J11" s="123">
        <v>1328.1</v>
      </c>
      <c r="K11" s="124">
        <v>6.3E-2</v>
      </c>
      <c r="L11" s="123">
        <v>1.8</v>
      </c>
      <c r="M11" s="176">
        <f>L11*J11</f>
        <v>2390.58</v>
      </c>
      <c r="N11" s="327">
        <v>0.75</v>
      </c>
      <c r="O11" s="729" t="s">
        <v>157</v>
      </c>
      <c r="P11" s="730"/>
    </row>
    <row r="12" spans="1:17" ht="15.75" customHeight="1">
      <c r="A12" s="720"/>
      <c r="B12" s="721"/>
      <c r="C12" s="122">
        <v>4</v>
      </c>
      <c r="D12" s="711" t="s">
        <v>161</v>
      </c>
      <c r="E12" s="718"/>
      <c r="F12" s="719"/>
      <c r="G12" s="711" t="s">
        <v>162</v>
      </c>
      <c r="H12" s="718"/>
      <c r="I12" s="719"/>
      <c r="J12" s="123">
        <v>216.8</v>
      </c>
      <c r="K12" s="124">
        <v>3.1E-2</v>
      </c>
      <c r="L12" s="123">
        <v>9.1999999999999993</v>
      </c>
      <c r="M12" s="176">
        <f>L12*J12</f>
        <v>1994.56</v>
      </c>
      <c r="N12" s="327"/>
      <c r="O12" s="729" t="s">
        <v>157</v>
      </c>
      <c r="P12" s="730"/>
    </row>
    <row r="13" spans="1:17" ht="15.75" customHeight="1">
      <c r="A13" s="720"/>
      <c r="B13" s="721"/>
      <c r="C13" s="128">
        <v>5</v>
      </c>
      <c r="D13" s="711" t="s">
        <v>163</v>
      </c>
      <c r="E13" s="718"/>
      <c r="F13" s="719"/>
      <c r="G13" s="711" t="s">
        <v>164</v>
      </c>
      <c r="H13" s="718"/>
      <c r="I13" s="719"/>
      <c r="J13" s="123">
        <v>90.9</v>
      </c>
      <c r="K13" s="130">
        <v>1.2999999999999999E-2</v>
      </c>
      <c r="L13" s="129">
        <v>19.399999999999999</v>
      </c>
      <c r="M13" s="177">
        <f>L13*J13</f>
        <v>1763.46</v>
      </c>
      <c r="N13" s="327">
        <v>0.16059000000000001</v>
      </c>
      <c r="O13" s="729" t="s">
        <v>157</v>
      </c>
      <c r="P13" s="730"/>
    </row>
    <row r="14" spans="1:17" ht="15.75" customHeight="1">
      <c r="A14" s="720"/>
      <c r="B14" s="721"/>
      <c r="C14" s="713"/>
      <c r="D14" s="713"/>
      <c r="E14" s="713"/>
      <c r="F14" s="713"/>
      <c r="G14" s="713"/>
      <c r="H14" s="713"/>
      <c r="I14" s="714"/>
      <c r="J14" s="134" t="s">
        <v>165</v>
      </c>
      <c r="K14" s="383">
        <f>M14/'生產管理報表 7-1(週)'!$B$9</f>
        <v>0.32006872261647468</v>
      </c>
      <c r="L14" s="134" t="s">
        <v>166</v>
      </c>
      <c r="M14" s="136">
        <f>SUM(M9:M13)</f>
        <v>14213.64</v>
      </c>
      <c r="N14" s="715"/>
      <c r="O14" s="716"/>
      <c r="P14" s="717"/>
    </row>
    <row r="16" spans="1:17" ht="15.75" customHeight="1">
      <c r="A16" s="720" t="s">
        <v>148</v>
      </c>
      <c r="B16" s="720"/>
      <c r="C16" s="118" t="s">
        <v>91</v>
      </c>
      <c r="D16" s="722" t="s">
        <v>107</v>
      </c>
      <c r="E16" s="723"/>
      <c r="F16" s="724"/>
      <c r="G16" s="119" t="s">
        <v>151</v>
      </c>
      <c r="H16" s="120"/>
      <c r="I16" s="118"/>
      <c r="J16" s="121" t="s">
        <v>152</v>
      </c>
      <c r="K16" s="121" t="s">
        <v>24</v>
      </c>
      <c r="L16" s="121" t="s">
        <v>153</v>
      </c>
      <c r="M16" s="121" t="s">
        <v>140</v>
      </c>
      <c r="N16" s="121" t="s">
        <v>154</v>
      </c>
      <c r="O16" s="725" t="s">
        <v>111</v>
      </c>
      <c r="P16" s="726"/>
    </row>
    <row r="17" spans="1:16" ht="15.75" customHeight="1">
      <c r="A17" s="720">
        <v>2</v>
      </c>
      <c r="B17" s="721" t="s">
        <v>167</v>
      </c>
      <c r="C17" s="122">
        <v>1</v>
      </c>
      <c r="D17" s="711" t="s">
        <v>116</v>
      </c>
      <c r="E17" s="718"/>
      <c r="F17" s="719"/>
      <c r="G17" s="711" t="s">
        <v>168</v>
      </c>
      <c r="H17" s="718"/>
      <c r="I17" s="719"/>
      <c r="J17" s="123">
        <v>132.5</v>
      </c>
      <c r="K17" s="513">
        <v>5.0000000000000001E-3</v>
      </c>
      <c r="L17" s="123">
        <v>15.7</v>
      </c>
      <c r="M17" s="176">
        <f>J17*L17</f>
        <v>2080.25</v>
      </c>
      <c r="N17" s="208"/>
      <c r="O17" s="711" t="s">
        <v>169</v>
      </c>
      <c r="P17" s="712"/>
    </row>
    <row r="18" spans="1:16" ht="15.75" customHeight="1">
      <c r="A18" s="720"/>
      <c r="B18" s="721"/>
      <c r="C18" s="122">
        <v>2</v>
      </c>
      <c r="D18" s="711" t="s">
        <v>158</v>
      </c>
      <c r="E18" s="718"/>
      <c r="F18" s="719"/>
      <c r="G18" s="711" t="s">
        <v>170</v>
      </c>
      <c r="H18" s="718"/>
      <c r="I18" s="719"/>
      <c r="J18" s="123">
        <v>155.69999999999999</v>
      </c>
      <c r="K18" s="124">
        <v>1.4999999999999999E-2</v>
      </c>
      <c r="L18" s="123">
        <v>3.9</v>
      </c>
      <c r="M18" s="176">
        <f t="shared" ref="M18:M21" si="0">J18*L18</f>
        <v>607.2299999999999</v>
      </c>
      <c r="N18" s="208"/>
      <c r="O18" s="711" t="s">
        <v>169</v>
      </c>
      <c r="P18" s="712"/>
    </row>
    <row r="19" spans="1:16" ht="15.75" customHeight="1">
      <c r="A19" s="720"/>
      <c r="B19" s="721"/>
      <c r="C19" s="122">
        <v>3</v>
      </c>
      <c r="D19" s="711" t="s">
        <v>115</v>
      </c>
      <c r="E19" s="718"/>
      <c r="F19" s="719"/>
      <c r="G19" s="711" t="s">
        <v>168</v>
      </c>
      <c r="H19" s="718"/>
      <c r="I19" s="719"/>
      <c r="J19" s="123">
        <v>95.5</v>
      </c>
      <c r="K19" s="124">
        <v>6.0000000000000001E-3</v>
      </c>
      <c r="L19" s="123">
        <v>5</v>
      </c>
      <c r="M19" s="176">
        <f t="shared" si="0"/>
        <v>477.5</v>
      </c>
      <c r="N19" s="208"/>
      <c r="O19" s="711" t="s">
        <v>169</v>
      </c>
      <c r="P19" s="712"/>
    </row>
    <row r="20" spans="1:16" ht="15.75" customHeight="1">
      <c r="A20" s="720"/>
      <c r="B20" s="721"/>
      <c r="C20" s="122">
        <v>4</v>
      </c>
      <c r="D20" s="711"/>
      <c r="E20" s="718"/>
      <c r="F20" s="719"/>
      <c r="G20" s="727"/>
      <c r="H20" s="718"/>
      <c r="I20" s="719"/>
      <c r="J20" s="123"/>
      <c r="K20" s="124"/>
      <c r="L20" s="123"/>
      <c r="M20" s="176">
        <f t="shared" si="0"/>
        <v>0</v>
      </c>
      <c r="N20" s="208"/>
      <c r="O20" s="711"/>
      <c r="P20" s="712"/>
    </row>
    <row r="21" spans="1:16" ht="15.75" customHeight="1">
      <c r="A21" s="720"/>
      <c r="B21" s="721"/>
      <c r="C21" s="128">
        <v>5</v>
      </c>
      <c r="D21" s="711"/>
      <c r="E21" s="718"/>
      <c r="F21" s="719"/>
      <c r="G21" s="711"/>
      <c r="H21" s="718"/>
      <c r="I21" s="719"/>
      <c r="J21" s="123"/>
      <c r="K21" s="130"/>
      <c r="L21" s="129"/>
      <c r="M21" s="176">
        <f t="shared" si="0"/>
        <v>0</v>
      </c>
      <c r="N21" s="208"/>
      <c r="O21" s="711"/>
      <c r="P21" s="712"/>
    </row>
    <row r="22" spans="1:16" ht="15.75" customHeight="1">
      <c r="A22" s="720"/>
      <c r="B22" s="721"/>
      <c r="C22" s="713"/>
      <c r="D22" s="713"/>
      <c r="E22" s="713"/>
      <c r="F22" s="713"/>
      <c r="G22" s="713"/>
      <c r="H22" s="713"/>
      <c r="I22" s="714"/>
      <c r="J22" s="134" t="s">
        <v>165</v>
      </c>
      <c r="K22" s="383">
        <f>M22/'生產管理報表 7-1(週)'!$B$9</f>
        <v>7.127035057217504E-2</v>
      </c>
      <c r="L22" s="134" t="s">
        <v>166</v>
      </c>
      <c r="M22" s="207">
        <f>SUM(M17:M21)</f>
        <v>3164.98</v>
      </c>
      <c r="N22" s="715"/>
      <c r="O22" s="716"/>
      <c r="P22" s="717"/>
    </row>
    <row r="24" spans="1:16" ht="15.75" customHeight="1">
      <c r="A24" s="720" t="s">
        <v>148</v>
      </c>
      <c r="B24" s="720"/>
      <c r="C24" s="118" t="s">
        <v>91</v>
      </c>
      <c r="D24" s="722" t="s">
        <v>107</v>
      </c>
      <c r="E24" s="723"/>
      <c r="F24" s="724"/>
      <c r="G24" s="119" t="s">
        <v>151</v>
      </c>
      <c r="H24" s="120"/>
      <c r="I24" s="118"/>
      <c r="J24" s="121" t="s">
        <v>152</v>
      </c>
      <c r="K24" s="121" t="s">
        <v>24</v>
      </c>
      <c r="L24" s="121" t="s">
        <v>153</v>
      </c>
      <c r="M24" s="121" t="s">
        <v>140</v>
      </c>
      <c r="N24" s="121" t="s">
        <v>110</v>
      </c>
      <c r="O24" s="725" t="s">
        <v>111</v>
      </c>
      <c r="P24" s="726"/>
    </row>
    <row r="25" spans="1:16" ht="15.75" customHeight="1">
      <c r="A25" s="720">
        <v>3</v>
      </c>
      <c r="B25" s="721" t="s">
        <v>138</v>
      </c>
      <c r="C25" s="122">
        <v>1</v>
      </c>
      <c r="D25" s="711"/>
      <c r="E25" s="718"/>
      <c r="F25" s="719"/>
      <c r="G25" s="711"/>
      <c r="H25" s="718"/>
      <c r="I25" s="719"/>
      <c r="J25" s="123"/>
      <c r="K25" s="513"/>
      <c r="L25" s="123"/>
      <c r="M25" s="125">
        <f>L25*J25</f>
        <v>0</v>
      </c>
      <c r="N25" s="123"/>
      <c r="O25" s="711"/>
      <c r="P25" s="712"/>
    </row>
    <row r="26" spans="1:16" ht="15.75" customHeight="1">
      <c r="A26" s="720"/>
      <c r="B26" s="721"/>
      <c r="C26" s="122">
        <v>2</v>
      </c>
      <c r="D26" s="711"/>
      <c r="E26" s="718"/>
      <c r="F26" s="719"/>
      <c r="G26" s="711"/>
      <c r="H26" s="718"/>
      <c r="I26" s="719"/>
      <c r="J26" s="123"/>
      <c r="K26" s="124"/>
      <c r="L26" s="123"/>
      <c r="M26" s="125">
        <f>L26*J26</f>
        <v>0</v>
      </c>
      <c r="N26" s="123"/>
      <c r="O26" s="126"/>
      <c r="P26" s="127"/>
    </row>
    <row r="27" spans="1:16" ht="15.75" customHeight="1">
      <c r="A27" s="720"/>
      <c r="B27" s="721"/>
      <c r="C27" s="122">
        <v>3</v>
      </c>
      <c r="D27" s="711"/>
      <c r="E27" s="718"/>
      <c r="F27" s="719"/>
      <c r="G27" s="711"/>
      <c r="H27" s="718"/>
      <c r="I27" s="719"/>
      <c r="J27" s="123"/>
      <c r="K27" s="124"/>
      <c r="L27" s="123"/>
      <c r="M27" s="125">
        <f>L27*J27</f>
        <v>0</v>
      </c>
      <c r="N27" s="123"/>
      <c r="O27" s="126"/>
      <c r="P27" s="127"/>
    </row>
    <row r="28" spans="1:16" ht="15.75" customHeight="1">
      <c r="A28" s="720"/>
      <c r="B28" s="721"/>
      <c r="C28" s="122">
        <v>4</v>
      </c>
      <c r="D28" s="711"/>
      <c r="E28" s="718"/>
      <c r="F28" s="719"/>
      <c r="G28" s="711"/>
      <c r="H28" s="718"/>
      <c r="I28" s="719"/>
      <c r="J28" s="123"/>
      <c r="K28" s="124"/>
      <c r="L28" s="123"/>
      <c r="M28" s="125">
        <f>L28*J28</f>
        <v>0</v>
      </c>
      <c r="N28" s="123"/>
      <c r="O28" s="126"/>
      <c r="P28" s="127"/>
    </row>
    <row r="29" spans="1:16" ht="15.75" customHeight="1">
      <c r="A29" s="720"/>
      <c r="B29" s="721"/>
      <c r="C29" s="128">
        <v>5</v>
      </c>
      <c r="D29" s="711"/>
      <c r="E29" s="718"/>
      <c r="F29" s="719"/>
      <c r="G29" s="711"/>
      <c r="H29" s="718"/>
      <c r="I29" s="719"/>
      <c r="J29" s="123"/>
      <c r="K29" s="130"/>
      <c r="L29" s="129"/>
      <c r="M29" s="131">
        <f>L29*J29</f>
        <v>0</v>
      </c>
      <c r="N29" s="123"/>
      <c r="O29" s="132"/>
      <c r="P29" s="133"/>
    </row>
    <row r="30" spans="1:16" ht="15.75" customHeight="1">
      <c r="A30" s="720"/>
      <c r="B30" s="721"/>
      <c r="C30" s="713"/>
      <c r="D30" s="713"/>
      <c r="E30" s="713"/>
      <c r="F30" s="713"/>
      <c r="G30" s="713"/>
      <c r="H30" s="713"/>
      <c r="I30" s="714"/>
      <c r="J30" s="134" t="s">
        <v>165</v>
      </c>
      <c r="K30" s="383">
        <f>M30/'生產管理報表 7-1(週)'!$B$9</f>
        <v>0</v>
      </c>
      <c r="L30" s="134" t="s">
        <v>166</v>
      </c>
      <c r="M30" s="136">
        <f>SUM(M25:M29)</f>
        <v>0</v>
      </c>
      <c r="N30" s="715"/>
      <c r="O30" s="716"/>
      <c r="P30" s="717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O26" sqref="O26:P26"/>
    </sheetView>
  </sheetViews>
  <sheetFormatPr defaultColWidth="12.5703125" defaultRowHeight="15.75" customHeight="1"/>
  <cols>
    <col min="1" max="1" width="5.42578125" style="2" customWidth="1"/>
    <col min="2" max="2" width="11.42578125" style="101" customWidth="1"/>
    <col min="3" max="3" width="4" style="99" customWidth="1"/>
    <col min="4" max="17" width="9.5703125" style="2" customWidth="1"/>
    <col min="18" max="62" width="12.5703125" style="2" customWidth="1"/>
    <col min="63" max="16384" width="12.5703125" style="2"/>
  </cols>
  <sheetData>
    <row r="1" spans="1:17" s="110" customFormat="1" ht="15.75" customHeight="1">
      <c r="A1" s="731" t="s">
        <v>103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  <c r="O1" s="731"/>
      <c r="P1" s="731"/>
      <c r="Q1" s="731"/>
    </row>
    <row r="2" spans="1:17" s="111" customFormat="1" ht="15.75" customHeight="1">
      <c r="A2" s="731"/>
      <c r="B2" s="731"/>
      <c r="C2" s="731"/>
      <c r="D2" s="731"/>
      <c r="E2" s="731"/>
      <c r="F2" s="731"/>
      <c r="G2" s="731"/>
      <c r="H2" s="731"/>
      <c r="I2" s="731"/>
      <c r="J2" s="731"/>
      <c r="K2" s="731"/>
      <c r="L2" s="731"/>
      <c r="M2" s="731"/>
      <c r="N2" s="731"/>
      <c r="O2" s="731"/>
      <c r="P2" s="731"/>
      <c r="Q2" s="731"/>
    </row>
    <row r="3" spans="1:17" s="110" customFormat="1" ht="15.75" customHeight="1">
      <c r="A3" s="732" t="s">
        <v>147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</row>
    <row r="4" spans="1:17" s="111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17" s="110" customFormat="1" ht="15.75" customHeight="1">
      <c r="A5" s="544" t="s">
        <v>148</v>
      </c>
      <c r="B5" s="720">
        <v>1</v>
      </c>
      <c r="C5" s="720"/>
      <c r="D5" s="720">
        <v>2</v>
      </c>
      <c r="E5" s="720"/>
      <c r="F5" s="720">
        <v>3</v>
      </c>
      <c r="G5" s="720"/>
      <c r="H5" s="734">
        <v>4</v>
      </c>
      <c r="I5" s="734"/>
      <c r="J5" s="734">
        <v>5</v>
      </c>
      <c r="K5" s="734"/>
      <c r="L5" s="734">
        <v>6</v>
      </c>
      <c r="M5" s="734"/>
      <c r="N5" s="734">
        <v>7</v>
      </c>
      <c r="O5" s="734"/>
      <c r="P5" s="720">
        <v>8</v>
      </c>
      <c r="Q5" s="720"/>
    </row>
    <row r="6" spans="1:17" s="110" customFormat="1" ht="15.75" customHeight="1">
      <c r="A6" s="544"/>
      <c r="B6" s="544" t="s">
        <v>136</v>
      </c>
      <c r="C6" s="544"/>
      <c r="D6" s="544" t="s">
        <v>149</v>
      </c>
      <c r="E6" s="544"/>
      <c r="F6" s="544" t="s">
        <v>138</v>
      </c>
      <c r="G6" s="544"/>
      <c r="H6" s="760" t="s">
        <v>139</v>
      </c>
      <c r="I6" s="735"/>
      <c r="J6" s="735" t="s">
        <v>143</v>
      </c>
      <c r="K6" s="735"/>
      <c r="L6" s="735" t="s">
        <v>144</v>
      </c>
      <c r="M6" s="735"/>
      <c r="N6" s="735" t="s">
        <v>145</v>
      </c>
      <c r="O6" s="735"/>
      <c r="P6" s="728" t="s">
        <v>150</v>
      </c>
      <c r="Q6" s="544"/>
    </row>
    <row r="7" spans="1:17" s="110" customFormat="1" ht="15.75" customHeight="1">
      <c r="B7" s="137"/>
      <c r="C7" s="116"/>
    </row>
    <row r="8" spans="1:17" s="100" customFormat="1" ht="15.75" customHeight="1">
      <c r="A8" s="743" t="s">
        <v>148</v>
      </c>
      <c r="B8" s="744"/>
      <c r="C8" s="107" t="s">
        <v>91</v>
      </c>
      <c r="D8" s="745" t="s">
        <v>107</v>
      </c>
      <c r="E8" s="746"/>
      <c r="F8" s="747"/>
      <c r="G8" s="105" t="s">
        <v>151</v>
      </c>
      <c r="H8" s="106"/>
      <c r="I8" s="107"/>
      <c r="J8" s="104" t="s">
        <v>152</v>
      </c>
      <c r="K8" s="104" t="s">
        <v>24</v>
      </c>
      <c r="L8" s="104" t="s">
        <v>153</v>
      </c>
      <c r="M8" s="108" t="s">
        <v>140</v>
      </c>
      <c r="N8" s="108" t="s">
        <v>154</v>
      </c>
      <c r="O8" s="748" t="s">
        <v>111</v>
      </c>
      <c r="P8" s="749"/>
    </row>
    <row r="9" spans="1:17" ht="15.75" customHeight="1">
      <c r="A9" s="744">
        <v>4</v>
      </c>
      <c r="B9" s="755" t="s">
        <v>139</v>
      </c>
      <c r="C9" s="102">
        <v>1</v>
      </c>
      <c r="D9" s="754" t="s">
        <v>120</v>
      </c>
      <c r="E9" s="752"/>
      <c r="F9" s="753"/>
      <c r="G9" s="711" t="s">
        <v>170</v>
      </c>
      <c r="H9" s="752"/>
      <c r="I9" s="753"/>
      <c r="J9" s="4">
        <v>140.4</v>
      </c>
      <c r="K9" s="14">
        <v>4.3999999999999997E-2</v>
      </c>
      <c r="L9" s="4">
        <v>15.4</v>
      </c>
      <c r="M9" s="179">
        <f>L9*J9</f>
        <v>2162.1600000000003</v>
      </c>
      <c r="N9" s="205"/>
      <c r="O9" s="736" t="s">
        <v>171</v>
      </c>
      <c r="P9" s="737"/>
    </row>
    <row r="10" spans="1:17" ht="15.75" customHeight="1">
      <c r="A10" s="744"/>
      <c r="B10" s="756"/>
      <c r="C10" s="102">
        <v>2</v>
      </c>
      <c r="D10" s="754" t="s">
        <v>172</v>
      </c>
      <c r="E10" s="752"/>
      <c r="F10" s="753"/>
      <c r="G10" s="711" t="s">
        <v>173</v>
      </c>
      <c r="H10" s="752"/>
      <c r="I10" s="753"/>
      <c r="J10" s="4">
        <v>296.8</v>
      </c>
      <c r="K10" s="14">
        <v>3.4000000000000002E-2</v>
      </c>
      <c r="L10" s="4">
        <v>2.6</v>
      </c>
      <c r="M10" s="179">
        <f>L10*J10</f>
        <v>771.68000000000006</v>
      </c>
      <c r="N10" s="205"/>
      <c r="O10" s="736" t="s">
        <v>171</v>
      </c>
      <c r="P10" s="737"/>
    </row>
    <row r="11" spans="1:17" ht="15.75" customHeight="1">
      <c r="A11" s="744"/>
      <c r="B11" s="756"/>
      <c r="C11" s="102">
        <v>3</v>
      </c>
      <c r="D11" s="754" t="s">
        <v>174</v>
      </c>
      <c r="E11" s="752"/>
      <c r="F11" s="753"/>
      <c r="G11" s="711" t="s">
        <v>175</v>
      </c>
      <c r="H11" s="752"/>
      <c r="I11" s="753"/>
      <c r="J11" s="4">
        <v>100.1</v>
      </c>
      <c r="K11" s="14">
        <v>1.4999999999999999E-2</v>
      </c>
      <c r="L11" s="4">
        <v>5.6</v>
      </c>
      <c r="M11" s="179">
        <f>L11*J11</f>
        <v>560.55999999999995</v>
      </c>
      <c r="N11" s="205"/>
      <c r="O11" s="736" t="s">
        <v>171</v>
      </c>
      <c r="P11" s="737"/>
    </row>
    <row r="12" spans="1:17" ht="15.75" customHeight="1">
      <c r="A12" s="744"/>
      <c r="B12" s="756"/>
      <c r="C12" s="102">
        <v>4</v>
      </c>
      <c r="D12" s="754" t="s">
        <v>114</v>
      </c>
      <c r="E12" s="752"/>
      <c r="F12" s="753"/>
      <c r="G12" s="711" t="s">
        <v>176</v>
      </c>
      <c r="H12" s="752"/>
      <c r="I12" s="753"/>
      <c r="J12" s="4">
        <v>590</v>
      </c>
      <c r="K12" s="14">
        <v>1E-3</v>
      </c>
      <c r="L12" s="4">
        <v>0.9</v>
      </c>
      <c r="M12" s="179">
        <f>L12*J12</f>
        <v>531</v>
      </c>
      <c r="N12" s="205"/>
      <c r="O12" s="736" t="s">
        <v>171</v>
      </c>
      <c r="P12" s="737"/>
    </row>
    <row r="13" spans="1:17" ht="15.75" customHeight="1">
      <c r="A13" s="744"/>
      <c r="B13" s="756"/>
      <c r="C13" s="103">
        <v>5</v>
      </c>
      <c r="D13" s="754" t="s">
        <v>122</v>
      </c>
      <c r="E13" s="752"/>
      <c r="F13" s="753"/>
      <c r="G13" s="711" t="s">
        <v>177</v>
      </c>
      <c r="H13" s="752"/>
      <c r="I13" s="753"/>
      <c r="J13" s="4">
        <v>674</v>
      </c>
      <c r="K13" s="30">
        <v>1.9E-2</v>
      </c>
      <c r="L13" s="27">
        <v>0.4</v>
      </c>
      <c r="M13" s="179">
        <f>L13*J13</f>
        <v>269.60000000000002</v>
      </c>
      <c r="N13" s="205">
        <v>0.4</v>
      </c>
      <c r="O13" s="736" t="s">
        <v>178</v>
      </c>
      <c r="P13" s="737"/>
    </row>
    <row r="14" spans="1:17" ht="15.75" customHeight="1">
      <c r="A14" s="744"/>
      <c r="B14" s="756"/>
      <c r="C14" s="750"/>
      <c r="D14" s="750"/>
      <c r="E14" s="750"/>
      <c r="F14" s="750"/>
      <c r="G14" s="750"/>
      <c r="H14" s="750"/>
      <c r="I14" s="751"/>
      <c r="J14" s="109" t="s">
        <v>165</v>
      </c>
      <c r="K14" s="383">
        <f>M14/'生產管理報表 7-1(週)'!$B$9</f>
        <v>9.6716616126323651E-2</v>
      </c>
      <c r="L14" s="109" t="s">
        <v>166</v>
      </c>
      <c r="M14" s="382">
        <f>SUM(M9:M13)</f>
        <v>4295</v>
      </c>
      <c r="N14" s="738"/>
      <c r="O14" s="739"/>
      <c r="P14" s="740"/>
    </row>
    <row r="16" spans="1:17" ht="15.75" customHeight="1">
      <c r="A16" s="743" t="s">
        <v>148</v>
      </c>
      <c r="B16" s="744"/>
      <c r="C16" s="107" t="s">
        <v>91</v>
      </c>
      <c r="D16" s="745" t="s">
        <v>107</v>
      </c>
      <c r="E16" s="746"/>
      <c r="F16" s="747"/>
      <c r="G16" s="105" t="s">
        <v>151</v>
      </c>
      <c r="H16" s="106"/>
      <c r="I16" s="107"/>
      <c r="J16" s="104" t="s">
        <v>152</v>
      </c>
      <c r="K16" s="104" t="s">
        <v>24</v>
      </c>
      <c r="L16" s="104" t="s">
        <v>153</v>
      </c>
      <c r="M16" s="108" t="s">
        <v>140</v>
      </c>
      <c r="N16" s="108" t="s">
        <v>154</v>
      </c>
      <c r="O16" s="748" t="s">
        <v>111</v>
      </c>
      <c r="P16" s="749"/>
    </row>
    <row r="17" spans="1:16">
      <c r="A17" s="744">
        <v>5</v>
      </c>
      <c r="B17" s="755" t="s">
        <v>143</v>
      </c>
      <c r="C17" s="102">
        <v>1</v>
      </c>
      <c r="D17" s="754"/>
      <c r="E17" s="752"/>
      <c r="F17" s="753"/>
      <c r="G17" s="711"/>
      <c r="H17" s="752"/>
      <c r="I17" s="753"/>
      <c r="J17" s="4"/>
      <c r="K17" s="14"/>
      <c r="L17" s="4"/>
      <c r="M17" s="179">
        <f>L17*J17</f>
        <v>0</v>
      </c>
      <c r="N17" s="205"/>
      <c r="O17" s="736"/>
      <c r="P17" s="737"/>
    </row>
    <row r="18" spans="1:16" ht="15.75" customHeight="1">
      <c r="A18" s="744"/>
      <c r="B18" s="756"/>
      <c r="C18" s="102">
        <v>2</v>
      </c>
      <c r="D18" s="754"/>
      <c r="E18" s="752"/>
      <c r="F18" s="753"/>
      <c r="G18" s="711"/>
      <c r="H18" s="752"/>
      <c r="I18" s="753"/>
      <c r="J18" s="4"/>
      <c r="K18" s="14"/>
      <c r="L18" s="4"/>
      <c r="M18" s="179">
        <f>L18*J18</f>
        <v>0</v>
      </c>
      <c r="N18" s="4"/>
      <c r="O18" s="736"/>
      <c r="P18" s="737"/>
    </row>
    <row r="19" spans="1:16" ht="15.75" customHeight="1">
      <c r="A19" s="744"/>
      <c r="B19" s="756"/>
      <c r="C19" s="102">
        <v>3</v>
      </c>
      <c r="D19" s="754"/>
      <c r="E19" s="752"/>
      <c r="F19" s="753"/>
      <c r="G19" s="754"/>
      <c r="H19" s="752"/>
      <c r="I19" s="753"/>
      <c r="J19" s="4"/>
      <c r="K19" s="14"/>
      <c r="L19" s="4"/>
      <c r="M19" s="179">
        <f>L19*J19</f>
        <v>0</v>
      </c>
      <c r="N19" s="4"/>
      <c r="O19" s="736"/>
      <c r="P19" s="737"/>
    </row>
    <row r="20" spans="1:16" ht="15.75" customHeight="1">
      <c r="A20" s="744"/>
      <c r="B20" s="756"/>
      <c r="C20" s="102">
        <v>4</v>
      </c>
      <c r="D20" s="754"/>
      <c r="E20" s="752"/>
      <c r="F20" s="753"/>
      <c r="G20" s="711"/>
      <c r="H20" s="752"/>
      <c r="I20" s="753"/>
      <c r="J20" s="4"/>
      <c r="K20" s="14"/>
      <c r="L20" s="4"/>
      <c r="M20" s="179">
        <f>L20*J20</f>
        <v>0</v>
      </c>
      <c r="N20" s="4"/>
      <c r="O20" s="76"/>
      <c r="P20" s="74"/>
    </row>
    <row r="21" spans="1:16" ht="15.75" customHeight="1">
      <c r="A21" s="744"/>
      <c r="B21" s="756"/>
      <c r="C21" s="103">
        <v>5</v>
      </c>
      <c r="D21" s="754"/>
      <c r="E21" s="752"/>
      <c r="F21" s="753"/>
      <c r="G21" s="711"/>
      <c r="H21" s="752"/>
      <c r="I21" s="753"/>
      <c r="J21" s="4"/>
      <c r="K21" s="30"/>
      <c r="L21" s="27"/>
      <c r="M21" s="178">
        <f>L21*J21</f>
        <v>0</v>
      </c>
      <c r="N21" s="4"/>
      <c r="O21" s="77"/>
      <c r="P21" s="75"/>
    </row>
    <row r="22" spans="1:16" ht="15.75" customHeight="1">
      <c r="A22" s="744"/>
      <c r="B22" s="756"/>
      <c r="C22" s="750"/>
      <c r="D22" s="750"/>
      <c r="E22" s="750"/>
      <c r="F22" s="750"/>
      <c r="G22" s="750"/>
      <c r="H22" s="750"/>
      <c r="I22" s="751"/>
      <c r="J22" s="109" t="s">
        <v>165</v>
      </c>
      <c r="K22" s="383">
        <f>M22/'生產管理報表 7-1(週)'!$B$9</f>
        <v>0</v>
      </c>
      <c r="L22" s="109" t="s">
        <v>166</v>
      </c>
      <c r="M22" s="382">
        <f>SUM(M17:M21)</f>
        <v>0</v>
      </c>
      <c r="N22" s="738"/>
      <c r="O22" s="739"/>
      <c r="P22" s="740"/>
    </row>
    <row r="24" spans="1:16" ht="15.75" customHeight="1">
      <c r="A24" s="743" t="s">
        <v>148</v>
      </c>
      <c r="B24" s="744"/>
      <c r="C24" s="107" t="s">
        <v>91</v>
      </c>
      <c r="D24" s="745" t="s">
        <v>107</v>
      </c>
      <c r="E24" s="746"/>
      <c r="F24" s="747"/>
      <c r="G24" s="105" t="s">
        <v>151</v>
      </c>
      <c r="H24" s="106"/>
      <c r="I24" s="107"/>
      <c r="J24" s="104" t="s">
        <v>152</v>
      </c>
      <c r="K24" s="104" t="s">
        <v>24</v>
      </c>
      <c r="L24" s="104" t="s">
        <v>153</v>
      </c>
      <c r="M24" s="108" t="s">
        <v>140</v>
      </c>
      <c r="N24" s="108" t="s">
        <v>110</v>
      </c>
      <c r="O24" s="748" t="s">
        <v>111</v>
      </c>
      <c r="P24" s="749"/>
    </row>
    <row r="25" spans="1:16" ht="15.75" customHeight="1">
      <c r="A25" s="744">
        <v>6</v>
      </c>
      <c r="B25" s="755" t="s">
        <v>144</v>
      </c>
      <c r="C25" s="102">
        <v>1</v>
      </c>
      <c r="D25" s="754" t="s">
        <v>120</v>
      </c>
      <c r="E25" s="752"/>
      <c r="F25" s="753"/>
      <c r="G25" s="711" t="s">
        <v>179</v>
      </c>
      <c r="H25" s="752"/>
      <c r="I25" s="753"/>
      <c r="J25" s="4">
        <v>1.8</v>
      </c>
      <c r="K25" s="14">
        <v>8.9999999999999993E-3</v>
      </c>
      <c r="L25" s="4">
        <v>306</v>
      </c>
      <c r="M25" s="179">
        <f>L25*J25</f>
        <v>550.80000000000007</v>
      </c>
      <c r="N25" s="205"/>
      <c r="O25" s="711" t="s">
        <v>180</v>
      </c>
      <c r="P25" s="712"/>
    </row>
    <row r="26" spans="1:16" ht="15.75" customHeight="1">
      <c r="A26" s="744"/>
      <c r="B26" s="756"/>
      <c r="C26" s="102">
        <v>2</v>
      </c>
      <c r="D26" s="754"/>
      <c r="E26" s="752"/>
      <c r="F26" s="753"/>
      <c r="G26" s="754"/>
      <c r="H26" s="752"/>
      <c r="I26" s="753"/>
      <c r="J26" s="4"/>
      <c r="K26" s="14"/>
      <c r="L26" s="4"/>
      <c r="M26" s="179">
        <f>L26*J26</f>
        <v>0</v>
      </c>
      <c r="N26" s="205"/>
      <c r="O26" s="711"/>
      <c r="P26" s="712"/>
    </row>
    <row r="27" spans="1:16" ht="15.75" customHeight="1">
      <c r="A27" s="744"/>
      <c r="B27" s="756"/>
      <c r="C27" s="102">
        <v>3</v>
      </c>
      <c r="D27" s="754"/>
      <c r="E27" s="752"/>
      <c r="F27" s="753"/>
      <c r="G27" s="754"/>
      <c r="H27" s="752"/>
      <c r="I27" s="753"/>
      <c r="J27" s="4"/>
      <c r="K27" s="14"/>
      <c r="L27" s="4"/>
      <c r="M27" s="176"/>
      <c r="N27" s="205"/>
      <c r="O27" s="711"/>
      <c r="P27" s="712"/>
    </row>
    <row r="28" spans="1:16" ht="15.75" customHeight="1">
      <c r="A28" s="744"/>
      <c r="B28" s="756"/>
      <c r="C28" s="102">
        <v>4</v>
      </c>
      <c r="D28" s="754"/>
      <c r="E28" s="752"/>
      <c r="F28" s="753"/>
      <c r="G28" s="711"/>
      <c r="H28" s="752"/>
      <c r="I28" s="753"/>
      <c r="J28" s="4"/>
      <c r="K28" s="14"/>
      <c r="L28" s="4"/>
      <c r="M28" s="178"/>
      <c r="N28" s="205"/>
      <c r="O28" s="736"/>
      <c r="P28" s="741"/>
    </row>
    <row r="29" spans="1:16" ht="15.75" customHeight="1">
      <c r="A29" s="744"/>
      <c r="B29" s="756"/>
      <c r="C29" s="103">
        <v>5</v>
      </c>
      <c r="D29" s="757"/>
      <c r="E29" s="758"/>
      <c r="F29" s="759"/>
      <c r="G29" s="757"/>
      <c r="H29" s="758"/>
      <c r="I29" s="759"/>
      <c r="J29" s="27"/>
      <c r="K29" s="30"/>
      <c r="L29" s="27"/>
      <c r="M29" s="179"/>
      <c r="N29" s="205"/>
      <c r="O29" s="742"/>
      <c r="P29" s="737"/>
    </row>
    <row r="30" spans="1:16" ht="15.75" customHeight="1">
      <c r="A30" s="744"/>
      <c r="B30" s="756"/>
      <c r="C30" s="750"/>
      <c r="D30" s="750"/>
      <c r="E30" s="750"/>
      <c r="F30" s="750"/>
      <c r="G30" s="750"/>
      <c r="H30" s="750"/>
      <c r="I30" s="751"/>
      <c r="J30" s="109" t="s">
        <v>165</v>
      </c>
      <c r="K30" s="383">
        <f>M30/'生產管理報表 7-1(週)'!$B$9</f>
        <v>1.2403146021508516E-2</v>
      </c>
      <c r="L30" s="109" t="s">
        <v>166</v>
      </c>
      <c r="M30" s="382">
        <f>SUM(M25:M29)</f>
        <v>550.80000000000007</v>
      </c>
      <c r="N30" s="738"/>
      <c r="O30" s="739"/>
      <c r="P30" s="740"/>
    </row>
    <row r="32" spans="1:16" ht="15.75" customHeight="1">
      <c r="A32" s="743" t="s">
        <v>148</v>
      </c>
      <c r="B32" s="744"/>
      <c r="C32" s="107" t="s">
        <v>91</v>
      </c>
      <c r="D32" s="745" t="s">
        <v>107</v>
      </c>
      <c r="E32" s="746"/>
      <c r="F32" s="747"/>
      <c r="G32" s="105" t="s">
        <v>151</v>
      </c>
      <c r="H32" s="106"/>
      <c r="I32" s="107"/>
      <c r="J32" s="104" t="s">
        <v>152</v>
      </c>
      <c r="K32" s="104" t="s">
        <v>24</v>
      </c>
      <c r="L32" s="104" t="s">
        <v>153</v>
      </c>
      <c r="M32" s="108" t="s">
        <v>140</v>
      </c>
      <c r="N32" s="108" t="s">
        <v>110</v>
      </c>
      <c r="O32" s="748" t="s">
        <v>111</v>
      </c>
      <c r="P32" s="749"/>
    </row>
    <row r="33" spans="1:16" ht="15.75" customHeight="1">
      <c r="A33" s="744">
        <v>7</v>
      </c>
      <c r="B33" s="755" t="s">
        <v>138</v>
      </c>
      <c r="C33" s="102">
        <v>1</v>
      </c>
      <c r="D33" s="754"/>
      <c r="E33" s="752"/>
      <c r="F33" s="753"/>
      <c r="G33" s="711"/>
      <c r="H33" s="752"/>
      <c r="I33" s="753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744"/>
      <c r="B34" s="756"/>
      <c r="C34" s="102">
        <v>2</v>
      </c>
      <c r="D34" s="754"/>
      <c r="E34" s="752"/>
      <c r="F34" s="753"/>
      <c r="G34" s="711"/>
      <c r="H34" s="752"/>
      <c r="I34" s="753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744"/>
      <c r="B35" s="756"/>
      <c r="C35" s="102">
        <v>3</v>
      </c>
      <c r="D35" s="754"/>
      <c r="E35" s="752"/>
      <c r="F35" s="753"/>
      <c r="G35" s="711"/>
      <c r="H35" s="752"/>
      <c r="I35" s="753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744"/>
      <c r="B36" s="756"/>
      <c r="C36" s="102">
        <v>4</v>
      </c>
      <c r="D36" s="754"/>
      <c r="E36" s="752"/>
      <c r="F36" s="753"/>
      <c r="G36" s="711"/>
      <c r="H36" s="752"/>
      <c r="I36" s="753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744"/>
      <c r="B37" s="756"/>
      <c r="C37" s="103">
        <v>5</v>
      </c>
      <c r="D37" s="754"/>
      <c r="E37" s="752"/>
      <c r="F37" s="753"/>
      <c r="G37" s="711"/>
      <c r="H37" s="752"/>
      <c r="I37" s="753"/>
      <c r="J37" s="4"/>
      <c r="K37" s="30"/>
      <c r="L37" s="27"/>
      <c r="M37" s="31">
        <v>0</v>
      </c>
      <c r="N37" s="4"/>
      <c r="O37" s="77"/>
      <c r="P37" s="75"/>
    </row>
    <row r="38" spans="1:16" ht="15.75" customHeight="1">
      <c r="A38" s="744"/>
      <c r="B38" s="756"/>
      <c r="C38" s="750"/>
      <c r="D38" s="750"/>
      <c r="E38" s="750"/>
      <c r="F38" s="750"/>
      <c r="G38" s="750"/>
      <c r="H38" s="750"/>
      <c r="I38" s="751"/>
      <c r="J38" s="109" t="s">
        <v>165</v>
      </c>
      <c r="K38" s="383">
        <f>M38/'生產管理報表 7-1(週)'!$B$9</f>
        <v>0</v>
      </c>
      <c r="L38" s="109" t="s">
        <v>166</v>
      </c>
      <c r="M38" s="34">
        <v>0</v>
      </c>
      <c r="N38" s="738"/>
      <c r="O38" s="739"/>
      <c r="P38" s="740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="85" zoomScaleNormal="60" zoomScaleSheetLayoutView="85" workbookViewId="0">
      <selection activeCell="G21" sqref="G21:I21"/>
    </sheetView>
  </sheetViews>
  <sheetFormatPr defaultColWidth="12.5703125" defaultRowHeight="15.75" customHeight="1"/>
  <cols>
    <col min="1" max="1" width="5.42578125" style="110" customWidth="1"/>
    <col min="2" max="2" width="11.42578125" style="137" customWidth="1"/>
    <col min="3" max="3" width="4" style="116" customWidth="1"/>
    <col min="4" max="17" width="9.5703125" style="110" customWidth="1"/>
    <col min="18" max="62" width="12.5703125" style="110" customWidth="1"/>
    <col min="63" max="16384" width="12.5703125" style="110"/>
  </cols>
  <sheetData>
    <row r="1" spans="1:17" ht="15.75" customHeight="1">
      <c r="A1" s="731" t="s">
        <v>103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  <c r="O1" s="731"/>
      <c r="P1" s="731"/>
      <c r="Q1" s="731"/>
    </row>
    <row r="2" spans="1:17" s="111" customFormat="1" ht="15.75" customHeight="1">
      <c r="A2" s="731"/>
      <c r="B2" s="731"/>
      <c r="C2" s="731"/>
      <c r="D2" s="731"/>
      <c r="E2" s="731"/>
      <c r="F2" s="731"/>
      <c r="G2" s="731"/>
      <c r="H2" s="731"/>
      <c r="I2" s="731"/>
      <c r="J2" s="731"/>
      <c r="K2" s="731"/>
      <c r="L2" s="731"/>
      <c r="M2" s="731"/>
      <c r="N2" s="731"/>
      <c r="O2" s="731"/>
      <c r="P2" s="731"/>
      <c r="Q2" s="731"/>
    </row>
    <row r="3" spans="1:17" ht="15.75" customHeight="1">
      <c r="A3" s="732" t="s">
        <v>181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</row>
    <row r="4" spans="1:17" s="111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</row>
    <row r="5" spans="1:17" ht="15.75" customHeight="1">
      <c r="A5" s="544" t="s">
        <v>148</v>
      </c>
      <c r="B5" s="734">
        <v>1</v>
      </c>
      <c r="C5" s="734"/>
      <c r="D5" s="734">
        <v>2</v>
      </c>
      <c r="E5" s="734"/>
      <c r="F5" s="734">
        <v>3</v>
      </c>
      <c r="G5" s="734"/>
      <c r="H5" s="720">
        <v>4</v>
      </c>
      <c r="I5" s="720"/>
      <c r="J5" s="720">
        <v>5</v>
      </c>
      <c r="K5" s="720"/>
      <c r="L5" s="720">
        <v>6</v>
      </c>
      <c r="M5" s="720"/>
      <c r="N5" s="720">
        <v>7</v>
      </c>
      <c r="O5" s="720"/>
      <c r="P5" s="720">
        <v>8</v>
      </c>
      <c r="Q5" s="720"/>
    </row>
    <row r="6" spans="1:17" ht="15.75" customHeight="1">
      <c r="A6" s="544"/>
      <c r="B6" s="735" t="s">
        <v>136</v>
      </c>
      <c r="C6" s="735"/>
      <c r="D6" s="735" t="s">
        <v>149</v>
      </c>
      <c r="E6" s="735"/>
      <c r="F6" s="735" t="s">
        <v>138</v>
      </c>
      <c r="G6" s="735"/>
      <c r="H6" s="728" t="s">
        <v>139</v>
      </c>
      <c r="I6" s="728"/>
      <c r="J6" s="544" t="s">
        <v>143</v>
      </c>
      <c r="K6" s="544"/>
      <c r="L6" s="544" t="s">
        <v>144</v>
      </c>
      <c r="M6" s="544"/>
      <c r="N6" s="544" t="s">
        <v>145</v>
      </c>
      <c r="O6" s="544"/>
      <c r="P6" s="728" t="s">
        <v>150</v>
      </c>
      <c r="Q6" s="544"/>
    </row>
    <row r="8" spans="1:17" s="112" customFormat="1" ht="15.75" customHeight="1">
      <c r="A8" s="720" t="s">
        <v>148</v>
      </c>
      <c r="B8" s="720"/>
      <c r="C8" s="118" t="s">
        <v>91</v>
      </c>
      <c r="D8" s="722" t="s">
        <v>107</v>
      </c>
      <c r="E8" s="723"/>
      <c r="F8" s="724"/>
      <c r="G8" s="119" t="s">
        <v>151</v>
      </c>
      <c r="H8" s="120"/>
      <c r="I8" s="118"/>
      <c r="J8" s="121" t="s">
        <v>152</v>
      </c>
      <c r="K8" s="290" t="s">
        <v>27</v>
      </c>
      <c r="L8" s="121" t="s">
        <v>153</v>
      </c>
      <c r="M8" s="121" t="s">
        <v>140</v>
      </c>
      <c r="N8" s="121" t="s">
        <v>154</v>
      </c>
      <c r="O8" s="725" t="s">
        <v>111</v>
      </c>
      <c r="P8" s="726"/>
    </row>
    <row r="9" spans="1:17" ht="15.75" customHeight="1">
      <c r="A9" s="720">
        <v>1</v>
      </c>
      <c r="B9" s="721" t="s">
        <v>155</v>
      </c>
      <c r="C9" s="122">
        <v>1</v>
      </c>
      <c r="D9" s="711" t="s">
        <v>391</v>
      </c>
      <c r="E9" s="718"/>
      <c r="F9" s="719"/>
      <c r="G9" s="763" t="s">
        <v>390</v>
      </c>
      <c r="H9" s="764"/>
      <c r="I9" s="765"/>
      <c r="J9" s="129">
        <v>125.6</v>
      </c>
      <c r="K9" s="124">
        <v>1.7999999999999999E-2</v>
      </c>
      <c r="L9" s="123">
        <v>43.5</v>
      </c>
      <c r="M9" s="176">
        <f>L9*J9</f>
        <v>5463.5999999999995</v>
      </c>
      <c r="N9" s="385"/>
      <c r="O9" s="711" t="s">
        <v>157</v>
      </c>
      <c r="P9" s="712"/>
    </row>
    <row r="10" spans="1:17" ht="15.75" customHeight="1">
      <c r="A10" s="720"/>
      <c r="B10" s="721"/>
      <c r="C10" s="122">
        <v>2</v>
      </c>
      <c r="D10" s="711" t="s">
        <v>158</v>
      </c>
      <c r="E10" s="718"/>
      <c r="F10" s="719"/>
      <c r="G10" s="727" t="s">
        <v>159</v>
      </c>
      <c r="H10" s="718"/>
      <c r="I10" s="719"/>
      <c r="J10" s="123">
        <v>193.2</v>
      </c>
      <c r="K10" s="124">
        <v>1.2999999999999999E-2</v>
      </c>
      <c r="L10" s="123">
        <v>13.5</v>
      </c>
      <c r="M10" s="176">
        <f>L10*J10</f>
        <v>2608.1999999999998</v>
      </c>
      <c r="N10" s="124">
        <v>1.39175</v>
      </c>
      <c r="O10" s="711" t="s">
        <v>157</v>
      </c>
      <c r="P10" s="712"/>
    </row>
    <row r="11" spans="1:17" ht="15.75" customHeight="1">
      <c r="A11" s="720"/>
      <c r="B11" s="721"/>
      <c r="C11" s="122">
        <v>3</v>
      </c>
      <c r="D11" s="711" t="s">
        <v>129</v>
      </c>
      <c r="E11" s="718"/>
      <c r="F11" s="719"/>
      <c r="G11" s="727" t="s">
        <v>160</v>
      </c>
      <c r="H11" s="718"/>
      <c r="I11" s="719"/>
      <c r="J11" s="123">
        <v>1328.1</v>
      </c>
      <c r="K11" s="124">
        <v>4.5999999999999999E-2</v>
      </c>
      <c r="L11" s="123">
        <v>1.3</v>
      </c>
      <c r="M11" s="176">
        <f>L11*J11</f>
        <v>1726.53</v>
      </c>
      <c r="N11" s="124">
        <v>0.65</v>
      </c>
      <c r="O11" s="711" t="s">
        <v>157</v>
      </c>
      <c r="P11" s="712"/>
    </row>
    <row r="12" spans="1:17">
      <c r="A12" s="720"/>
      <c r="B12" s="721"/>
      <c r="C12" s="122">
        <v>4</v>
      </c>
      <c r="D12" s="711" t="s">
        <v>161</v>
      </c>
      <c r="E12" s="718"/>
      <c r="F12" s="719"/>
      <c r="G12" s="763" t="s">
        <v>162</v>
      </c>
      <c r="H12" s="764"/>
      <c r="I12" s="765"/>
      <c r="J12" s="129">
        <v>182.2</v>
      </c>
      <c r="K12" s="124">
        <v>4.8000000000000001E-2</v>
      </c>
      <c r="L12" s="123">
        <v>14.5</v>
      </c>
      <c r="M12" s="176">
        <f>L12*J12</f>
        <v>2641.8999999999996</v>
      </c>
      <c r="N12" s="124">
        <v>1.883</v>
      </c>
      <c r="O12" s="711" t="s">
        <v>157</v>
      </c>
      <c r="P12" s="766"/>
    </row>
    <row r="13" spans="1:17" ht="15.75" customHeight="1">
      <c r="A13" s="720"/>
      <c r="B13" s="721"/>
      <c r="C13" s="128">
        <v>5</v>
      </c>
      <c r="D13" s="711" t="s">
        <v>163</v>
      </c>
      <c r="E13" s="718"/>
      <c r="F13" s="719"/>
      <c r="G13" s="763" t="s">
        <v>164</v>
      </c>
      <c r="H13" s="764"/>
      <c r="I13" s="765"/>
      <c r="J13" s="129">
        <v>90.9</v>
      </c>
      <c r="K13" s="130">
        <v>3.5000000000000003E-2</v>
      </c>
      <c r="L13" s="129">
        <v>52.8</v>
      </c>
      <c r="M13" s="177">
        <f>L13*J13</f>
        <v>4799.5200000000004</v>
      </c>
      <c r="N13" s="124">
        <v>0.43278</v>
      </c>
      <c r="O13" s="711" t="s">
        <v>157</v>
      </c>
      <c r="P13" s="712"/>
    </row>
    <row r="14" spans="1:17" ht="15.75" customHeight="1">
      <c r="A14" s="720"/>
      <c r="B14" s="721"/>
      <c r="C14" s="713"/>
      <c r="D14" s="713"/>
      <c r="E14" s="713"/>
      <c r="F14" s="713"/>
      <c r="G14" s="713"/>
      <c r="H14" s="713"/>
      <c r="I14" s="714"/>
      <c r="J14" s="134" t="s">
        <v>165</v>
      </c>
      <c r="K14" s="135">
        <f>M14/'生產管理報表 7-1(週)'!$B$10</f>
        <v>0.31541421253164897</v>
      </c>
      <c r="L14" s="134" t="s">
        <v>166</v>
      </c>
      <c r="M14" s="136">
        <f>SUM(M9:M13)</f>
        <v>17239.75</v>
      </c>
      <c r="N14" s="715"/>
      <c r="O14" s="716"/>
      <c r="P14" s="717"/>
    </row>
    <row r="16" spans="1:17" ht="15.75" customHeight="1">
      <c r="A16" s="720" t="s">
        <v>148</v>
      </c>
      <c r="B16" s="720"/>
      <c r="C16" s="118" t="s">
        <v>91</v>
      </c>
      <c r="D16" s="722" t="s">
        <v>107</v>
      </c>
      <c r="E16" s="723"/>
      <c r="F16" s="724"/>
      <c r="G16" s="119" t="s">
        <v>151</v>
      </c>
      <c r="H16" s="120"/>
      <c r="I16" s="118"/>
      <c r="J16" s="121" t="s">
        <v>152</v>
      </c>
      <c r="K16" s="290" t="s">
        <v>27</v>
      </c>
      <c r="L16" s="121" t="s">
        <v>153</v>
      </c>
      <c r="M16" s="121" t="s">
        <v>140</v>
      </c>
      <c r="N16" s="121" t="s">
        <v>154</v>
      </c>
      <c r="O16" s="725" t="s">
        <v>111</v>
      </c>
      <c r="P16" s="726"/>
    </row>
    <row r="17" spans="1:16" ht="15.75" customHeight="1">
      <c r="A17" s="720">
        <v>2</v>
      </c>
      <c r="B17" s="721" t="s">
        <v>167</v>
      </c>
      <c r="C17" s="122">
        <v>1</v>
      </c>
      <c r="D17" s="711" t="s">
        <v>393</v>
      </c>
      <c r="E17" s="718"/>
      <c r="F17" s="719"/>
      <c r="G17" s="727" t="s">
        <v>392</v>
      </c>
      <c r="H17" s="718"/>
      <c r="I17" s="719"/>
      <c r="J17" s="123">
        <v>132.5</v>
      </c>
      <c r="K17" s="124">
        <v>6.0000000000000001E-3</v>
      </c>
      <c r="L17" s="123">
        <v>18.899999999999999</v>
      </c>
      <c r="M17" s="176">
        <f>L17*J17</f>
        <v>2504.25</v>
      </c>
      <c r="N17" s="208"/>
      <c r="O17" s="761"/>
      <c r="P17" s="762"/>
    </row>
    <row r="18" spans="1:16" ht="15.75" customHeight="1">
      <c r="A18" s="720"/>
      <c r="B18" s="721"/>
      <c r="C18" s="122">
        <v>2</v>
      </c>
      <c r="D18" s="727" t="s">
        <v>395</v>
      </c>
      <c r="E18" s="718"/>
      <c r="F18" s="719"/>
      <c r="G18" s="727" t="s">
        <v>394</v>
      </c>
      <c r="H18" s="718"/>
      <c r="I18" s="719"/>
      <c r="J18" s="123">
        <v>155.69999999999999</v>
      </c>
      <c r="K18" s="124">
        <v>1.4999999999999999E-2</v>
      </c>
      <c r="L18" s="123">
        <v>3.9</v>
      </c>
      <c r="M18" s="176">
        <f>L18*J18</f>
        <v>607.2299999999999</v>
      </c>
      <c r="N18" s="208"/>
      <c r="O18" s="761"/>
      <c r="P18" s="762"/>
    </row>
    <row r="19" spans="1:16" ht="15.75" customHeight="1">
      <c r="A19" s="720"/>
      <c r="B19" s="721"/>
      <c r="C19" s="122">
        <v>3</v>
      </c>
      <c r="D19" s="711" t="s">
        <v>396</v>
      </c>
      <c r="E19" s="718"/>
      <c r="F19" s="719"/>
      <c r="G19" s="727" t="s">
        <v>392</v>
      </c>
      <c r="H19" s="718"/>
      <c r="I19" s="719"/>
      <c r="J19" s="123">
        <v>95.5</v>
      </c>
      <c r="K19" s="124">
        <v>6.0000000000000001E-3</v>
      </c>
      <c r="L19" s="123">
        <v>4.7</v>
      </c>
      <c r="M19" s="176">
        <f>L19*J19</f>
        <v>448.85</v>
      </c>
      <c r="N19" s="208"/>
      <c r="O19" s="761"/>
      <c r="P19" s="762"/>
    </row>
    <row r="20" spans="1:16" ht="15.75" customHeight="1">
      <c r="A20" s="720"/>
      <c r="B20" s="721"/>
      <c r="C20" s="122">
        <v>4</v>
      </c>
      <c r="D20" s="727"/>
      <c r="E20" s="718"/>
      <c r="F20" s="719"/>
      <c r="G20" s="727"/>
      <c r="H20" s="718"/>
      <c r="I20" s="719"/>
      <c r="J20" s="123"/>
      <c r="K20" s="124"/>
      <c r="L20" s="123"/>
      <c r="M20" s="176">
        <f t="shared" ref="M20:M21" si="0">L20*J20</f>
        <v>0</v>
      </c>
      <c r="N20" s="208"/>
      <c r="O20" s="761"/>
      <c r="P20" s="762"/>
    </row>
    <row r="21" spans="1:16" ht="15.75" customHeight="1">
      <c r="A21" s="720"/>
      <c r="B21" s="721"/>
      <c r="C21" s="128">
        <v>5</v>
      </c>
      <c r="D21" s="763"/>
      <c r="E21" s="764"/>
      <c r="F21" s="765"/>
      <c r="G21" s="763"/>
      <c r="H21" s="764"/>
      <c r="I21" s="765"/>
      <c r="J21" s="129"/>
      <c r="K21" s="130"/>
      <c r="L21" s="129"/>
      <c r="M21" s="176">
        <f t="shared" si="0"/>
        <v>0</v>
      </c>
      <c r="N21" s="208"/>
      <c r="O21" s="761"/>
      <c r="P21" s="762"/>
    </row>
    <row r="22" spans="1:16" ht="15.75" customHeight="1">
      <c r="A22" s="720"/>
      <c r="B22" s="721"/>
      <c r="C22" s="713"/>
      <c r="D22" s="713"/>
      <c r="E22" s="713"/>
      <c r="F22" s="713"/>
      <c r="G22" s="713"/>
      <c r="H22" s="713"/>
      <c r="I22" s="714"/>
      <c r="J22" s="134" t="s">
        <v>165</v>
      </c>
      <c r="K22" s="135">
        <f>M22/'生產管理報表 7-1(週)'!$B$10</f>
        <v>6.5138919259432757E-2</v>
      </c>
      <c r="L22" s="134" t="s">
        <v>166</v>
      </c>
      <c r="M22" s="207">
        <f>SUM(M17:M21)</f>
        <v>3560.33</v>
      </c>
      <c r="N22" s="715"/>
      <c r="O22" s="716"/>
      <c r="P22" s="717"/>
    </row>
    <row r="24" spans="1:16" ht="15.75" customHeight="1">
      <c r="A24" s="720" t="s">
        <v>148</v>
      </c>
      <c r="B24" s="720"/>
      <c r="C24" s="118" t="s">
        <v>91</v>
      </c>
      <c r="D24" s="722" t="s">
        <v>107</v>
      </c>
      <c r="E24" s="723"/>
      <c r="F24" s="724"/>
      <c r="G24" s="119" t="s">
        <v>151</v>
      </c>
      <c r="H24" s="120"/>
      <c r="I24" s="118"/>
      <c r="J24" s="121" t="s">
        <v>152</v>
      </c>
      <c r="K24" s="290" t="s">
        <v>27</v>
      </c>
      <c r="L24" s="121" t="s">
        <v>153</v>
      </c>
      <c r="M24" s="121" t="s">
        <v>140</v>
      </c>
      <c r="N24" s="121" t="s">
        <v>110</v>
      </c>
      <c r="O24" s="725" t="s">
        <v>111</v>
      </c>
      <c r="P24" s="726"/>
    </row>
    <row r="25" spans="1:16" ht="15.75" customHeight="1">
      <c r="A25" s="720">
        <v>3</v>
      </c>
      <c r="B25" s="721" t="s">
        <v>138</v>
      </c>
      <c r="C25" s="122">
        <v>1</v>
      </c>
      <c r="D25" s="711"/>
      <c r="E25" s="718"/>
      <c r="F25" s="719"/>
      <c r="G25" s="763"/>
      <c r="H25" s="764"/>
      <c r="I25" s="765"/>
      <c r="J25" s="129"/>
      <c r="K25" s="124"/>
      <c r="L25" s="123"/>
      <c r="M25" s="125">
        <f>L25*J25</f>
        <v>0</v>
      </c>
      <c r="N25" s="123"/>
      <c r="O25" s="761"/>
      <c r="P25" s="762"/>
    </row>
    <row r="26" spans="1:16" ht="15.75" customHeight="1">
      <c r="A26" s="720"/>
      <c r="B26" s="721"/>
      <c r="C26" s="122">
        <v>2</v>
      </c>
      <c r="D26" s="711"/>
      <c r="E26" s="718"/>
      <c r="F26" s="719"/>
      <c r="G26" s="763"/>
      <c r="H26" s="764"/>
      <c r="I26" s="765"/>
      <c r="J26" s="129"/>
      <c r="K26" s="124"/>
      <c r="L26" s="123"/>
      <c r="M26" s="125">
        <f>L26*J26</f>
        <v>0</v>
      </c>
      <c r="N26" s="123"/>
      <c r="O26" s="761"/>
      <c r="P26" s="762"/>
    </row>
    <row r="27" spans="1:16" ht="15.75" customHeight="1">
      <c r="A27" s="720"/>
      <c r="B27" s="721"/>
      <c r="C27" s="122">
        <v>3</v>
      </c>
      <c r="D27" s="711"/>
      <c r="E27" s="718"/>
      <c r="F27" s="719"/>
      <c r="G27" s="727"/>
      <c r="H27" s="718"/>
      <c r="I27" s="719"/>
      <c r="J27" s="123"/>
      <c r="K27" s="124"/>
      <c r="L27" s="123"/>
      <c r="M27" s="125">
        <f>L27*J27</f>
        <v>0</v>
      </c>
      <c r="N27" s="123"/>
      <c r="O27" s="761"/>
      <c r="P27" s="762"/>
    </row>
    <row r="28" spans="1:16" ht="15.75" customHeight="1">
      <c r="A28" s="720"/>
      <c r="B28" s="721"/>
      <c r="C28" s="122">
        <v>4</v>
      </c>
      <c r="D28" s="711"/>
      <c r="E28" s="718"/>
      <c r="F28" s="719"/>
      <c r="G28" s="727"/>
      <c r="H28" s="718"/>
      <c r="I28" s="719"/>
      <c r="J28" s="123"/>
      <c r="K28" s="124"/>
      <c r="L28" s="123"/>
      <c r="M28" s="125">
        <f>L28*J28</f>
        <v>0</v>
      </c>
      <c r="N28" s="123"/>
      <c r="O28" s="761"/>
      <c r="P28" s="762"/>
    </row>
    <row r="29" spans="1:16" ht="15.75" customHeight="1">
      <c r="A29" s="720"/>
      <c r="B29" s="721"/>
      <c r="C29" s="128">
        <v>5</v>
      </c>
      <c r="D29" s="711"/>
      <c r="E29" s="718"/>
      <c r="F29" s="719"/>
      <c r="G29" s="763"/>
      <c r="H29" s="764"/>
      <c r="I29" s="765"/>
      <c r="J29" s="129"/>
      <c r="K29" s="130"/>
      <c r="L29" s="129"/>
      <c r="M29" s="131">
        <f>L29*J29</f>
        <v>0</v>
      </c>
      <c r="N29" s="123"/>
      <c r="O29" s="761"/>
      <c r="P29" s="762"/>
    </row>
    <row r="30" spans="1:16" ht="15.75" customHeight="1">
      <c r="A30" s="720"/>
      <c r="B30" s="721"/>
      <c r="C30" s="713"/>
      <c r="D30" s="713"/>
      <c r="E30" s="713"/>
      <c r="F30" s="713"/>
      <c r="G30" s="713"/>
      <c r="H30" s="713"/>
      <c r="I30" s="714"/>
      <c r="J30" s="134" t="s">
        <v>165</v>
      </c>
      <c r="K30" s="135">
        <f>M30/'生產管理報表 7-1(週)'!$B$10</f>
        <v>0</v>
      </c>
      <c r="L30" s="134" t="s">
        <v>166</v>
      </c>
      <c r="M30" s="136">
        <f>SUM(M25:M29)</f>
        <v>0</v>
      </c>
      <c r="N30" s="715"/>
      <c r="O30" s="716"/>
      <c r="P30" s="717"/>
    </row>
  </sheetData>
  <mergeCells count="85"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  <mergeCell ref="D20:F20"/>
    <mergeCell ref="G20:I20"/>
    <mergeCell ref="O20:P20"/>
    <mergeCell ref="D21:F21"/>
    <mergeCell ref="G21:I21"/>
    <mergeCell ref="G17:I17"/>
    <mergeCell ref="O17:P17"/>
    <mergeCell ref="D18:F18"/>
    <mergeCell ref="G18:I18"/>
    <mergeCell ref="O18:P18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2:I12"/>
    <mergeCell ref="D13:F13"/>
    <mergeCell ref="G13:I13"/>
    <mergeCell ref="C14:I14"/>
    <mergeCell ref="A16:B16"/>
    <mergeCell ref="D16:F1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F6:G6"/>
    <mergeCell ref="H6:I6"/>
    <mergeCell ref="J6:K6"/>
    <mergeCell ref="L6:M6"/>
    <mergeCell ref="N6:O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G28" sqref="G28:I28"/>
    </sheetView>
  </sheetViews>
  <sheetFormatPr defaultColWidth="12.5703125" defaultRowHeight="15.75" customHeight="1"/>
  <cols>
    <col min="1" max="1" width="5.42578125" style="2" customWidth="1"/>
    <col min="2" max="2" width="11.42578125" style="101" customWidth="1"/>
    <col min="3" max="3" width="4" style="99" customWidth="1"/>
    <col min="4" max="17" width="9.5703125" style="2" customWidth="1"/>
    <col min="18" max="62" width="12.5703125" style="2" customWidth="1"/>
    <col min="63" max="16384" width="12.5703125" style="2"/>
  </cols>
  <sheetData>
    <row r="1" spans="1:17" s="110" customFormat="1" ht="15.75" customHeight="1">
      <c r="A1" s="731" t="s">
        <v>103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  <c r="O1" s="731"/>
      <c r="P1" s="731"/>
      <c r="Q1" s="731"/>
    </row>
    <row r="2" spans="1:17" s="111" customFormat="1" ht="15.75" customHeight="1">
      <c r="A2" s="731"/>
      <c r="B2" s="731"/>
      <c r="C2" s="731"/>
      <c r="D2" s="731"/>
      <c r="E2" s="731"/>
      <c r="F2" s="731"/>
      <c r="G2" s="731"/>
      <c r="H2" s="731"/>
      <c r="I2" s="731"/>
      <c r="J2" s="731"/>
      <c r="K2" s="731"/>
      <c r="L2" s="731"/>
      <c r="M2" s="731"/>
      <c r="N2" s="731"/>
      <c r="O2" s="731"/>
      <c r="P2" s="731"/>
      <c r="Q2" s="731"/>
    </row>
    <row r="3" spans="1:17" s="110" customFormat="1" ht="15.75" customHeight="1">
      <c r="A3" s="732" t="s">
        <v>183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</row>
    <row r="4" spans="1:17" s="111" customFormat="1" ht="15.75" customHeight="1">
      <c r="A4" s="732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732"/>
    </row>
    <row r="5" spans="1:17" s="110" customFormat="1" ht="15.75" customHeight="1">
      <c r="A5" s="544" t="s">
        <v>148</v>
      </c>
      <c r="B5" s="720">
        <v>1</v>
      </c>
      <c r="C5" s="720"/>
      <c r="D5" s="720">
        <v>2</v>
      </c>
      <c r="E5" s="720"/>
      <c r="F5" s="720">
        <v>3</v>
      </c>
      <c r="G5" s="720"/>
      <c r="H5" s="734">
        <v>4</v>
      </c>
      <c r="I5" s="734"/>
      <c r="J5" s="734">
        <v>5</v>
      </c>
      <c r="K5" s="734"/>
      <c r="L5" s="734">
        <v>6</v>
      </c>
      <c r="M5" s="734"/>
      <c r="N5" s="734">
        <v>7</v>
      </c>
      <c r="O5" s="734"/>
      <c r="P5" s="720">
        <v>8</v>
      </c>
      <c r="Q5" s="720"/>
    </row>
    <row r="6" spans="1:17" s="110" customFormat="1" ht="15.75" customHeight="1">
      <c r="A6" s="544"/>
      <c r="B6" s="544" t="s">
        <v>136</v>
      </c>
      <c r="C6" s="544"/>
      <c r="D6" s="544" t="s">
        <v>149</v>
      </c>
      <c r="E6" s="544"/>
      <c r="F6" s="544" t="s">
        <v>138</v>
      </c>
      <c r="G6" s="544"/>
      <c r="H6" s="735" t="s">
        <v>139</v>
      </c>
      <c r="I6" s="735"/>
      <c r="J6" s="735" t="s">
        <v>143</v>
      </c>
      <c r="K6" s="735"/>
      <c r="L6" s="735" t="s">
        <v>144</v>
      </c>
      <c r="M6" s="735"/>
      <c r="N6" s="735" t="s">
        <v>145</v>
      </c>
      <c r="O6" s="735"/>
      <c r="P6" s="728" t="s">
        <v>150</v>
      </c>
      <c r="Q6" s="544"/>
    </row>
    <row r="7" spans="1:17" s="110" customFormat="1" ht="15.75" customHeight="1">
      <c r="B7" s="137"/>
      <c r="C7" s="116"/>
    </row>
    <row r="8" spans="1:17" s="100" customFormat="1" ht="15.75" customHeight="1">
      <c r="A8" s="743" t="s">
        <v>148</v>
      </c>
      <c r="B8" s="744"/>
      <c r="C8" s="107" t="s">
        <v>91</v>
      </c>
      <c r="D8" s="745" t="s">
        <v>107</v>
      </c>
      <c r="E8" s="746"/>
      <c r="F8" s="747"/>
      <c r="G8" s="105" t="s">
        <v>151</v>
      </c>
      <c r="H8" s="106"/>
      <c r="I8" s="107"/>
      <c r="J8" s="104" t="s">
        <v>152</v>
      </c>
      <c r="K8" s="104" t="s">
        <v>27</v>
      </c>
      <c r="L8" s="104" t="s">
        <v>153</v>
      </c>
      <c r="M8" s="108" t="s">
        <v>140</v>
      </c>
      <c r="N8" s="108" t="s">
        <v>154</v>
      </c>
      <c r="O8" s="748" t="s">
        <v>111</v>
      </c>
      <c r="P8" s="749"/>
    </row>
    <row r="9" spans="1:17" ht="15.75" customHeight="1">
      <c r="A9" s="744">
        <v>4</v>
      </c>
      <c r="B9" s="755" t="s">
        <v>139</v>
      </c>
      <c r="C9" s="102">
        <v>1</v>
      </c>
      <c r="D9" s="711" t="s">
        <v>402</v>
      </c>
      <c r="E9" s="718"/>
      <c r="F9" s="719"/>
      <c r="G9" s="727" t="s">
        <v>401</v>
      </c>
      <c r="H9" s="718"/>
      <c r="I9" s="719"/>
      <c r="J9" s="123">
        <v>590</v>
      </c>
      <c r="K9" s="124">
        <v>1.9E-2</v>
      </c>
      <c r="L9" s="123">
        <v>12.2</v>
      </c>
      <c r="M9" s="179">
        <f>L9*J9</f>
        <v>7198</v>
      </c>
      <c r="N9" s="205"/>
      <c r="O9" s="736" t="s">
        <v>185</v>
      </c>
      <c r="P9" s="737"/>
    </row>
    <row r="10" spans="1:17" ht="15.75" customHeight="1">
      <c r="A10" s="744"/>
      <c r="B10" s="756"/>
      <c r="C10" s="102">
        <v>2</v>
      </c>
      <c r="D10" s="711" t="s">
        <v>120</v>
      </c>
      <c r="E10" s="718"/>
      <c r="F10" s="719"/>
      <c r="G10" s="763" t="s">
        <v>170</v>
      </c>
      <c r="H10" s="764"/>
      <c r="I10" s="765"/>
      <c r="J10" s="129">
        <v>140.4</v>
      </c>
      <c r="K10" s="124">
        <v>9.0999999999999998E-2</v>
      </c>
      <c r="L10" s="123">
        <v>31.8</v>
      </c>
      <c r="M10" s="179">
        <f>L10*J10</f>
        <v>4464.72</v>
      </c>
      <c r="N10" s="205">
        <v>2.1632600000000002</v>
      </c>
      <c r="O10" s="736" t="s">
        <v>185</v>
      </c>
      <c r="P10" s="737"/>
    </row>
    <row r="11" spans="1:17" ht="15.75" customHeight="1">
      <c r="A11" s="744"/>
      <c r="B11" s="756"/>
      <c r="C11" s="102">
        <v>3</v>
      </c>
      <c r="D11" s="711" t="s">
        <v>398</v>
      </c>
      <c r="E11" s="718"/>
      <c r="F11" s="719"/>
      <c r="G11" s="763" t="s">
        <v>397</v>
      </c>
      <c r="H11" s="764"/>
      <c r="I11" s="765"/>
      <c r="J11" s="129">
        <v>296.8</v>
      </c>
      <c r="K11" s="124">
        <v>7.2999999999999995E-2</v>
      </c>
      <c r="L11" s="123">
        <v>5.6</v>
      </c>
      <c r="M11" s="179">
        <f>L11*J11</f>
        <v>1662.08</v>
      </c>
      <c r="N11" s="205"/>
      <c r="O11" s="736" t="s">
        <v>185</v>
      </c>
      <c r="P11" s="737"/>
    </row>
    <row r="12" spans="1:17" ht="15.75" customHeight="1">
      <c r="A12" s="744"/>
      <c r="B12" s="756"/>
      <c r="C12" s="102">
        <v>4</v>
      </c>
      <c r="D12" s="711" t="s">
        <v>400</v>
      </c>
      <c r="E12" s="718"/>
      <c r="F12" s="719"/>
      <c r="G12" s="727" t="s">
        <v>399</v>
      </c>
      <c r="H12" s="718"/>
      <c r="I12" s="719"/>
      <c r="J12" s="123">
        <v>100.1</v>
      </c>
      <c r="K12" s="124">
        <v>3.1E-2</v>
      </c>
      <c r="L12" s="123">
        <v>11.5</v>
      </c>
      <c r="M12" s="179">
        <f>L12*J12</f>
        <v>1151.1499999999999</v>
      </c>
      <c r="N12" s="205"/>
      <c r="O12" s="736" t="s">
        <v>185</v>
      </c>
      <c r="P12" s="737"/>
    </row>
    <row r="13" spans="1:17" ht="15.75" customHeight="1">
      <c r="A13" s="744"/>
      <c r="B13" s="756"/>
      <c r="C13" s="103">
        <v>5</v>
      </c>
      <c r="D13" s="711" t="s">
        <v>404</v>
      </c>
      <c r="E13" s="718"/>
      <c r="F13" s="719"/>
      <c r="G13" s="763" t="s">
        <v>403</v>
      </c>
      <c r="H13" s="764"/>
      <c r="I13" s="765"/>
      <c r="J13" s="129">
        <v>674</v>
      </c>
      <c r="K13" s="130">
        <v>2.4E-2</v>
      </c>
      <c r="L13" s="129">
        <v>0.5</v>
      </c>
      <c r="M13" s="179">
        <f>L13*J13</f>
        <v>337</v>
      </c>
      <c r="N13" s="205"/>
      <c r="O13" s="736" t="s">
        <v>185</v>
      </c>
      <c r="P13" s="737"/>
    </row>
    <row r="14" spans="1:17" ht="15.75" customHeight="1">
      <c r="A14" s="744"/>
      <c r="B14" s="756"/>
      <c r="C14" s="750"/>
      <c r="D14" s="750"/>
      <c r="E14" s="750"/>
      <c r="F14" s="750"/>
      <c r="G14" s="750"/>
      <c r="H14" s="750"/>
      <c r="I14" s="751"/>
      <c r="J14" s="109" t="s">
        <v>165</v>
      </c>
      <c r="K14" s="135">
        <f>M14/'生產管理報表 7-1(週)'!$B$10</f>
        <v>0.27101407848261666</v>
      </c>
      <c r="L14" s="109" t="s">
        <v>166</v>
      </c>
      <c r="M14" s="382">
        <f>SUM(M9:M13)</f>
        <v>14812.95</v>
      </c>
      <c r="N14" s="738"/>
      <c r="O14" s="739"/>
      <c r="P14" s="740"/>
    </row>
    <row r="16" spans="1:17" ht="15.75" customHeight="1">
      <c r="A16" s="743" t="s">
        <v>148</v>
      </c>
      <c r="B16" s="744"/>
      <c r="C16" s="107" t="s">
        <v>91</v>
      </c>
      <c r="D16" s="745" t="s">
        <v>107</v>
      </c>
      <c r="E16" s="746"/>
      <c r="F16" s="747"/>
      <c r="G16" s="105" t="s">
        <v>151</v>
      </c>
      <c r="H16" s="106"/>
      <c r="I16" s="107"/>
      <c r="J16" s="104" t="s">
        <v>152</v>
      </c>
      <c r="K16" s="104" t="s">
        <v>27</v>
      </c>
      <c r="L16" s="104" t="s">
        <v>153</v>
      </c>
      <c r="M16" s="108" t="s">
        <v>140</v>
      </c>
      <c r="N16" s="108" t="s">
        <v>154</v>
      </c>
      <c r="O16" s="748" t="s">
        <v>111</v>
      </c>
      <c r="P16" s="749"/>
    </row>
    <row r="17" spans="1:16" ht="15.75" customHeight="1">
      <c r="A17" s="744">
        <v>5</v>
      </c>
      <c r="B17" s="755" t="s">
        <v>143</v>
      </c>
      <c r="C17" s="102">
        <v>1</v>
      </c>
      <c r="D17" s="711"/>
      <c r="E17" s="718"/>
      <c r="F17" s="719"/>
      <c r="G17" s="763"/>
      <c r="H17" s="764"/>
      <c r="I17" s="765"/>
      <c r="J17" s="129"/>
      <c r="K17" s="124"/>
      <c r="L17" s="123"/>
      <c r="M17" s="178">
        <f>L17*J17</f>
        <v>0</v>
      </c>
      <c r="N17" s="205"/>
      <c r="O17" s="736"/>
      <c r="P17" s="737"/>
    </row>
    <row r="18" spans="1:16" ht="15.75" customHeight="1">
      <c r="A18" s="744"/>
      <c r="B18" s="756"/>
      <c r="C18" s="102">
        <v>2</v>
      </c>
      <c r="D18" s="711"/>
      <c r="E18" s="718"/>
      <c r="F18" s="719"/>
      <c r="G18" s="763"/>
      <c r="H18" s="764"/>
      <c r="I18" s="765"/>
      <c r="J18" s="129"/>
      <c r="K18" s="124"/>
      <c r="L18" s="123"/>
      <c r="M18" s="178">
        <f>L18*J18</f>
        <v>0</v>
      </c>
      <c r="N18" s="4"/>
      <c r="O18" s="736"/>
      <c r="P18" s="737"/>
    </row>
    <row r="19" spans="1:16" ht="15.75" customHeight="1">
      <c r="A19" s="744"/>
      <c r="B19" s="756"/>
      <c r="C19" s="102">
        <v>3</v>
      </c>
      <c r="D19" s="711"/>
      <c r="E19" s="718"/>
      <c r="F19" s="719"/>
      <c r="G19" s="727"/>
      <c r="H19" s="718"/>
      <c r="I19" s="719"/>
      <c r="J19" s="123"/>
      <c r="K19" s="124"/>
      <c r="L19" s="123"/>
      <c r="M19" s="178">
        <f>L19*J19</f>
        <v>0</v>
      </c>
      <c r="N19" s="4"/>
      <c r="O19" s="736"/>
      <c r="P19" s="737"/>
    </row>
    <row r="20" spans="1:16" ht="15.75" customHeight="1">
      <c r="A20" s="744"/>
      <c r="B20" s="756"/>
      <c r="C20" s="102">
        <v>4</v>
      </c>
      <c r="D20" s="727"/>
      <c r="E20" s="718"/>
      <c r="F20" s="719"/>
      <c r="G20" s="711"/>
      <c r="H20" s="752"/>
      <c r="I20" s="753"/>
      <c r="J20" s="4"/>
      <c r="K20" s="14"/>
      <c r="L20" s="295"/>
      <c r="M20" s="178">
        <f>L20*J20</f>
        <v>0</v>
      </c>
      <c r="N20" s="4"/>
      <c r="O20" s="736"/>
      <c r="P20" s="737"/>
    </row>
    <row r="21" spans="1:16" ht="15.75" customHeight="1">
      <c r="A21" s="744"/>
      <c r="B21" s="756"/>
      <c r="C21" s="103">
        <v>5</v>
      </c>
      <c r="D21" s="754"/>
      <c r="E21" s="752"/>
      <c r="F21" s="753"/>
      <c r="G21" s="711"/>
      <c r="H21" s="752"/>
      <c r="I21" s="753"/>
      <c r="J21" s="4"/>
      <c r="K21" s="14"/>
      <c r="L21" s="295"/>
      <c r="M21" s="178">
        <f>L21*J21</f>
        <v>0</v>
      </c>
      <c r="N21" s="4"/>
      <c r="O21" s="736"/>
      <c r="P21" s="737"/>
    </row>
    <row r="22" spans="1:16" ht="15.75" customHeight="1">
      <c r="A22" s="744"/>
      <c r="B22" s="756"/>
      <c r="C22" s="750"/>
      <c r="D22" s="750"/>
      <c r="E22" s="750"/>
      <c r="F22" s="750"/>
      <c r="G22" s="750"/>
      <c r="H22" s="750"/>
      <c r="I22" s="751"/>
      <c r="J22" s="109" t="s">
        <v>165</v>
      </c>
      <c r="K22" s="135">
        <f>M22/'生產管理報表 7-1(週)'!$B$10</f>
        <v>0</v>
      </c>
      <c r="L22" s="109" t="s">
        <v>166</v>
      </c>
      <c r="M22" s="382">
        <f>SUM(M17:M21)</f>
        <v>0</v>
      </c>
      <c r="N22" s="738"/>
      <c r="O22" s="739"/>
      <c r="P22" s="740"/>
    </row>
    <row r="24" spans="1:16" ht="15.75" customHeight="1">
      <c r="A24" s="743" t="s">
        <v>148</v>
      </c>
      <c r="B24" s="744"/>
      <c r="C24" s="107" t="s">
        <v>91</v>
      </c>
      <c r="D24" s="745" t="s">
        <v>107</v>
      </c>
      <c r="E24" s="746"/>
      <c r="F24" s="747"/>
      <c r="G24" s="105" t="s">
        <v>151</v>
      </c>
      <c r="H24" s="106"/>
      <c r="I24" s="107"/>
      <c r="J24" s="104" t="s">
        <v>152</v>
      </c>
      <c r="K24" s="104" t="s">
        <v>27</v>
      </c>
      <c r="L24" s="104" t="s">
        <v>153</v>
      </c>
      <c r="M24" s="108" t="s">
        <v>140</v>
      </c>
      <c r="N24" s="108" t="s">
        <v>110</v>
      </c>
      <c r="O24" s="748" t="s">
        <v>111</v>
      </c>
      <c r="P24" s="749"/>
    </row>
    <row r="25" spans="1:16" ht="15.75" customHeight="1">
      <c r="A25" s="744">
        <v>6</v>
      </c>
      <c r="B25" s="755" t="s">
        <v>144</v>
      </c>
      <c r="C25" s="102">
        <v>1</v>
      </c>
      <c r="D25" s="727" t="s">
        <v>120</v>
      </c>
      <c r="E25" s="718"/>
      <c r="F25" s="719"/>
      <c r="G25" s="727" t="s">
        <v>186</v>
      </c>
      <c r="H25" s="718"/>
      <c r="I25" s="719"/>
      <c r="J25" s="4">
        <v>432.2</v>
      </c>
      <c r="K25" s="124">
        <v>3.3000000000000002E-2</v>
      </c>
      <c r="L25" s="123">
        <v>9.9</v>
      </c>
      <c r="M25" s="178">
        <f>L25*J25</f>
        <v>4278.78</v>
      </c>
      <c r="N25" s="205"/>
      <c r="O25" s="711" t="s">
        <v>187</v>
      </c>
      <c r="P25" s="712"/>
    </row>
    <row r="26" spans="1:16" ht="15.75" customHeight="1">
      <c r="A26" s="744"/>
      <c r="B26" s="756"/>
      <c r="C26" s="102">
        <v>2</v>
      </c>
      <c r="D26" s="711"/>
      <c r="E26" s="718"/>
      <c r="F26" s="719"/>
      <c r="G26" s="727"/>
      <c r="H26" s="718"/>
      <c r="I26" s="719"/>
      <c r="J26" s="4"/>
      <c r="K26" s="14"/>
      <c r="L26" s="4"/>
      <c r="M26" s="178">
        <f>L26*J26</f>
        <v>0</v>
      </c>
      <c r="N26" s="205"/>
      <c r="O26" s="711"/>
      <c r="P26" s="712"/>
    </row>
    <row r="27" spans="1:16" ht="15.75" customHeight="1">
      <c r="A27" s="744"/>
      <c r="B27" s="756"/>
      <c r="C27" s="102">
        <v>3</v>
      </c>
      <c r="D27" s="767"/>
      <c r="E27" s="718"/>
      <c r="F27" s="719"/>
      <c r="G27" s="767"/>
      <c r="H27" s="718"/>
      <c r="I27" s="719"/>
      <c r="J27" s="4"/>
      <c r="K27" s="14"/>
      <c r="L27" s="4"/>
      <c r="M27" s="176"/>
      <c r="N27" s="205"/>
      <c r="O27" s="711"/>
      <c r="P27" s="712"/>
    </row>
    <row r="28" spans="1:16" ht="15.75" customHeight="1">
      <c r="A28" s="744"/>
      <c r="B28" s="756"/>
      <c r="C28" s="102">
        <v>4</v>
      </c>
      <c r="D28" s="767"/>
      <c r="E28" s="718"/>
      <c r="F28" s="719"/>
      <c r="G28" s="711"/>
      <c r="H28" s="752"/>
      <c r="I28" s="753"/>
      <c r="J28" s="4"/>
      <c r="K28" s="14"/>
      <c r="L28" s="295"/>
      <c r="M28" s="178"/>
      <c r="N28" s="205"/>
      <c r="O28" s="736"/>
      <c r="P28" s="741"/>
    </row>
    <row r="29" spans="1:16" ht="15.75" customHeight="1">
      <c r="A29" s="744"/>
      <c r="B29" s="756"/>
      <c r="C29" s="103">
        <v>5</v>
      </c>
      <c r="D29" s="767"/>
      <c r="E29" s="718"/>
      <c r="F29" s="719"/>
      <c r="G29" s="711"/>
      <c r="H29" s="752"/>
      <c r="I29" s="753"/>
      <c r="J29" s="4"/>
      <c r="K29" s="14"/>
      <c r="L29" s="295"/>
      <c r="M29" s="179"/>
      <c r="N29" s="205"/>
      <c r="O29" s="742"/>
      <c r="P29" s="737"/>
    </row>
    <row r="30" spans="1:16" ht="15.75" customHeight="1">
      <c r="A30" s="744"/>
      <c r="B30" s="756"/>
      <c r="C30" s="750"/>
      <c r="D30" s="750"/>
      <c r="E30" s="750"/>
      <c r="F30" s="750"/>
      <c r="G30" s="750"/>
      <c r="H30" s="750"/>
      <c r="I30" s="751"/>
      <c r="J30" s="109" t="s">
        <v>165</v>
      </c>
      <c r="K30" s="135">
        <f>M30/'生產管理報表 7-1(週)'!$B$10</f>
        <v>7.8283503200230226E-2</v>
      </c>
      <c r="L30" s="109" t="s">
        <v>166</v>
      </c>
      <c r="M30" s="382">
        <f>SUM(M25:M29)</f>
        <v>4278.78</v>
      </c>
      <c r="N30" s="738"/>
      <c r="O30" s="739"/>
      <c r="P30" s="740"/>
    </row>
    <row r="32" spans="1:16" ht="15.75" customHeight="1">
      <c r="A32" s="743" t="s">
        <v>148</v>
      </c>
      <c r="B32" s="744"/>
      <c r="C32" s="107" t="s">
        <v>91</v>
      </c>
      <c r="D32" s="745" t="s">
        <v>107</v>
      </c>
      <c r="E32" s="746"/>
      <c r="F32" s="747"/>
      <c r="G32" s="105" t="s">
        <v>151</v>
      </c>
      <c r="H32" s="106"/>
      <c r="I32" s="107"/>
      <c r="J32" s="104" t="s">
        <v>152</v>
      </c>
      <c r="K32" s="104" t="s">
        <v>27</v>
      </c>
      <c r="L32" s="104" t="s">
        <v>153</v>
      </c>
      <c r="M32" s="108" t="s">
        <v>140</v>
      </c>
      <c r="N32" s="108" t="s">
        <v>110</v>
      </c>
      <c r="O32" s="748" t="s">
        <v>111</v>
      </c>
      <c r="P32" s="749"/>
    </row>
    <row r="33" spans="1:16" ht="15.75" customHeight="1">
      <c r="A33" s="744">
        <v>7</v>
      </c>
      <c r="B33" s="755" t="s">
        <v>138</v>
      </c>
      <c r="C33" s="102">
        <v>1</v>
      </c>
      <c r="D33" s="711"/>
      <c r="E33" s="718"/>
      <c r="F33" s="719"/>
      <c r="G33" s="727"/>
      <c r="H33" s="718"/>
      <c r="I33" s="719"/>
      <c r="J33" s="123"/>
      <c r="K33" s="124"/>
      <c r="L33" s="123"/>
      <c r="M33" s="16">
        <v>0</v>
      </c>
      <c r="N33" s="4"/>
      <c r="O33" s="76"/>
      <c r="P33" s="74"/>
    </row>
    <row r="34" spans="1:16" ht="15.75" customHeight="1">
      <c r="A34" s="744"/>
      <c r="B34" s="756"/>
      <c r="C34" s="102">
        <v>2</v>
      </c>
      <c r="D34" s="711"/>
      <c r="E34" s="718"/>
      <c r="F34" s="719"/>
      <c r="G34" s="763"/>
      <c r="H34" s="764"/>
      <c r="I34" s="765"/>
      <c r="J34" s="129"/>
      <c r="K34" s="124"/>
      <c r="L34" s="123"/>
      <c r="M34" s="16">
        <v>0</v>
      </c>
      <c r="N34" s="4"/>
      <c r="O34" s="76"/>
      <c r="P34" s="74"/>
    </row>
    <row r="35" spans="1:16" ht="15.75" customHeight="1">
      <c r="A35" s="744"/>
      <c r="B35" s="756"/>
      <c r="C35" s="102">
        <v>3</v>
      </c>
      <c r="D35" s="711"/>
      <c r="E35" s="718"/>
      <c r="F35" s="719"/>
      <c r="G35" s="727"/>
      <c r="H35" s="718"/>
      <c r="I35" s="719"/>
      <c r="J35" s="123"/>
      <c r="K35" s="124"/>
      <c r="L35" s="123"/>
      <c r="M35" s="16">
        <v>0</v>
      </c>
      <c r="N35" s="4"/>
      <c r="O35" s="76"/>
      <c r="P35" s="74"/>
    </row>
    <row r="36" spans="1:16" ht="15.75" customHeight="1">
      <c r="A36" s="744"/>
      <c r="B36" s="756"/>
      <c r="C36" s="102">
        <v>4</v>
      </c>
      <c r="D36" s="711"/>
      <c r="E36" s="718"/>
      <c r="F36" s="719"/>
      <c r="G36" s="727"/>
      <c r="H36" s="718"/>
      <c r="I36" s="719"/>
      <c r="J36" s="123"/>
      <c r="K36" s="124"/>
      <c r="L36" s="123"/>
      <c r="M36" s="16">
        <v>0</v>
      </c>
      <c r="N36" s="4"/>
      <c r="O36" s="76"/>
      <c r="P36" s="74"/>
    </row>
    <row r="37" spans="1:16" ht="15.75" customHeight="1">
      <c r="A37" s="744"/>
      <c r="B37" s="756"/>
      <c r="C37" s="103">
        <v>5</v>
      </c>
      <c r="D37" s="711"/>
      <c r="E37" s="718"/>
      <c r="F37" s="719"/>
      <c r="G37" s="763"/>
      <c r="H37" s="764"/>
      <c r="I37" s="765"/>
      <c r="J37" s="129"/>
      <c r="K37" s="130"/>
      <c r="L37" s="129"/>
      <c r="M37" s="31">
        <v>0</v>
      </c>
      <c r="N37" s="4"/>
      <c r="O37" s="77"/>
      <c r="P37" s="75"/>
    </row>
    <row r="38" spans="1:16" ht="15.75" customHeight="1">
      <c r="A38" s="744"/>
      <c r="B38" s="756"/>
      <c r="C38" s="750"/>
      <c r="D38" s="750"/>
      <c r="E38" s="750"/>
      <c r="F38" s="750"/>
      <c r="G38" s="750"/>
      <c r="H38" s="750"/>
      <c r="I38" s="751"/>
      <c r="J38" s="109" t="s">
        <v>165</v>
      </c>
      <c r="K38" s="135">
        <f>M38/'生產管理報表 7-1(週)'!$B$10</f>
        <v>0</v>
      </c>
      <c r="L38" s="109" t="s">
        <v>166</v>
      </c>
      <c r="M38" s="382">
        <f>SUM(M33:M37)</f>
        <v>0</v>
      </c>
      <c r="N38" s="738"/>
      <c r="O38" s="739"/>
      <c r="P38" s="740"/>
    </row>
  </sheetData>
  <mergeCells count="102">
    <mergeCell ref="O18:P18"/>
    <mergeCell ref="G18:I18"/>
    <mergeCell ref="G20:I20"/>
    <mergeCell ref="G19:I19"/>
    <mergeCell ref="O16:P16"/>
    <mergeCell ref="N14:P14"/>
    <mergeCell ref="O17:P17"/>
    <mergeCell ref="G17:I17"/>
    <mergeCell ref="J6:K6"/>
    <mergeCell ref="L6:M6"/>
    <mergeCell ref="H6:I6"/>
    <mergeCell ref="G29:I29"/>
    <mergeCell ref="O28:P28"/>
    <mergeCell ref="O29:P29"/>
    <mergeCell ref="G28:I28"/>
    <mergeCell ref="N22:P22"/>
    <mergeCell ref="O21:P21"/>
    <mergeCell ref="O27:P27"/>
    <mergeCell ref="O24:P24"/>
    <mergeCell ref="O19:P19"/>
    <mergeCell ref="O20:P20"/>
    <mergeCell ref="O26:P26"/>
    <mergeCell ref="G25:I25"/>
    <mergeCell ref="G26:I26"/>
    <mergeCell ref="O8:P8"/>
    <mergeCell ref="O13:P13"/>
    <mergeCell ref="O25:P25"/>
    <mergeCell ref="G21:I21"/>
    <mergeCell ref="C22:I22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F6:G6"/>
    <mergeCell ref="N38:P38"/>
    <mergeCell ref="G27:I27"/>
    <mergeCell ref="G37:I37"/>
    <mergeCell ref="C38:I38"/>
    <mergeCell ref="D37:F37"/>
    <mergeCell ref="G34:I34"/>
    <mergeCell ref="D35:F35"/>
    <mergeCell ref="G36:I36"/>
    <mergeCell ref="G33:I33"/>
    <mergeCell ref="O32:P32"/>
    <mergeCell ref="N30:P30"/>
    <mergeCell ref="D28:F28"/>
    <mergeCell ref="D27:F27"/>
    <mergeCell ref="A33:A38"/>
    <mergeCell ref="B33:B38"/>
    <mergeCell ref="D33:F33"/>
    <mergeCell ref="D34:F34"/>
    <mergeCell ref="A24:B24"/>
    <mergeCell ref="A25:A30"/>
    <mergeCell ref="A32:B32"/>
    <mergeCell ref="B25:B30"/>
    <mergeCell ref="D25:F25"/>
    <mergeCell ref="D29:F29"/>
    <mergeCell ref="D36:F36"/>
    <mergeCell ref="C30:I30"/>
    <mergeCell ref="D24:F24"/>
    <mergeCell ref="D26:F26"/>
    <mergeCell ref="D32:F32"/>
    <mergeCell ref="G35:I35"/>
    <mergeCell ref="A17:A22"/>
    <mergeCell ref="B17:B22"/>
    <mergeCell ref="D17:F17"/>
    <mergeCell ref="A9:A14"/>
    <mergeCell ref="B9:B14"/>
    <mergeCell ref="A16:B16"/>
    <mergeCell ref="D16:F16"/>
    <mergeCell ref="D11:F11"/>
    <mergeCell ref="D13:F13"/>
    <mergeCell ref="D12:F12"/>
    <mergeCell ref="C14:I14"/>
    <mergeCell ref="D20:F20"/>
    <mergeCell ref="D19:F19"/>
    <mergeCell ref="D21:F21"/>
    <mergeCell ref="G12:I12"/>
    <mergeCell ref="G10:I10"/>
    <mergeCell ref="G9:I9"/>
    <mergeCell ref="G11:I11"/>
    <mergeCell ref="D18:F18"/>
    <mergeCell ref="A8:B8"/>
    <mergeCell ref="D8:F8"/>
    <mergeCell ref="G13:I13"/>
    <mergeCell ref="D9:F9"/>
    <mergeCell ref="O9:P9"/>
    <mergeCell ref="D10:F10"/>
    <mergeCell ref="O10:P10"/>
    <mergeCell ref="O12:P12"/>
    <mergeCell ref="O11:P11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/>
  <cols>
    <col min="1" max="1" width="5.42578125" style="110" customWidth="1"/>
    <col min="2" max="2" width="7.85546875" style="138" customWidth="1"/>
    <col min="3" max="3" width="4" style="116" customWidth="1"/>
    <col min="4" max="17" width="8.5703125" style="110" customWidth="1"/>
    <col min="18" max="62" width="12.5703125" style="110" customWidth="1"/>
    <col min="63" max="16384" width="12.5703125" style="110"/>
  </cols>
  <sheetData>
    <row r="1" spans="1:17" ht="15.75" customHeight="1">
      <c r="A1" s="731" t="s">
        <v>103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1"/>
      <c r="N1" s="731"/>
      <c r="O1" s="731"/>
      <c r="P1" s="731"/>
      <c r="Q1" s="731"/>
    </row>
    <row r="2" spans="1:17" s="111" customFormat="1" ht="15.75" customHeight="1">
      <c r="A2" s="731"/>
      <c r="B2" s="731"/>
      <c r="C2" s="731"/>
      <c r="D2" s="731"/>
      <c r="E2" s="731"/>
      <c r="F2" s="731"/>
      <c r="G2" s="731"/>
      <c r="H2" s="731"/>
      <c r="I2" s="731"/>
      <c r="J2" s="731"/>
      <c r="K2" s="731"/>
      <c r="L2" s="731"/>
      <c r="M2" s="731"/>
      <c r="N2" s="731"/>
      <c r="O2" s="731"/>
      <c r="P2" s="731"/>
      <c r="Q2" s="731"/>
    </row>
    <row r="3" spans="1:17" ht="15.75" customHeight="1">
      <c r="A3" s="732" t="s">
        <v>188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732"/>
      <c r="O3" s="732"/>
      <c r="P3" s="732"/>
      <c r="Q3" s="732"/>
    </row>
    <row r="4" spans="1:17" s="111" customFormat="1" ht="15.75" customHeight="1">
      <c r="A4" s="775"/>
      <c r="B4" s="775"/>
      <c r="C4" s="775"/>
      <c r="D4" s="775"/>
      <c r="E4" s="775"/>
      <c r="F4" s="775"/>
      <c r="G4" s="775"/>
      <c r="H4" s="775"/>
      <c r="I4" s="775"/>
      <c r="J4" s="775"/>
      <c r="K4" s="775"/>
      <c r="L4" s="775"/>
      <c r="M4" s="775"/>
      <c r="N4" s="775"/>
      <c r="O4" s="775"/>
      <c r="P4" s="775"/>
      <c r="Q4" s="775"/>
    </row>
    <row r="5" spans="1:17" ht="15.75" customHeight="1">
      <c r="A5" s="544" t="s">
        <v>148</v>
      </c>
      <c r="B5" s="720">
        <v>1</v>
      </c>
      <c r="C5" s="720"/>
      <c r="D5" s="720">
        <v>2</v>
      </c>
      <c r="E5" s="720"/>
      <c r="F5" s="720">
        <v>3</v>
      </c>
      <c r="G5" s="720"/>
      <c r="H5" s="720">
        <v>4</v>
      </c>
      <c r="I5" s="720"/>
      <c r="J5" s="720">
        <v>5</v>
      </c>
      <c r="K5" s="720"/>
      <c r="L5" s="720">
        <v>6</v>
      </c>
      <c r="M5" s="720"/>
      <c r="N5" s="720">
        <v>7</v>
      </c>
      <c r="O5" s="720"/>
      <c r="P5" s="734">
        <v>8</v>
      </c>
      <c r="Q5" s="734"/>
    </row>
    <row r="6" spans="1:17" ht="15.75" customHeight="1">
      <c r="A6" s="544"/>
      <c r="B6" s="544" t="s">
        <v>136</v>
      </c>
      <c r="C6" s="544"/>
      <c r="D6" s="544" t="s">
        <v>149</v>
      </c>
      <c r="E6" s="544"/>
      <c r="F6" s="544" t="s">
        <v>138</v>
      </c>
      <c r="G6" s="544"/>
      <c r="H6" s="728" t="s">
        <v>139</v>
      </c>
      <c r="I6" s="728"/>
      <c r="J6" s="544" t="s">
        <v>143</v>
      </c>
      <c r="K6" s="544"/>
      <c r="L6" s="544" t="s">
        <v>144</v>
      </c>
      <c r="M6" s="544"/>
      <c r="N6" s="544" t="s">
        <v>145</v>
      </c>
      <c r="O6" s="544"/>
      <c r="P6" s="735" t="s">
        <v>150</v>
      </c>
      <c r="Q6" s="735"/>
    </row>
    <row r="8" spans="1:17" s="112" customFormat="1" ht="15.75" customHeight="1">
      <c r="A8" s="117" t="s">
        <v>148</v>
      </c>
      <c r="B8" s="141" t="s">
        <v>189</v>
      </c>
      <c r="C8" s="773" t="s">
        <v>107</v>
      </c>
      <c r="D8" s="773"/>
      <c r="E8" s="773"/>
      <c r="F8" s="773" t="s">
        <v>151</v>
      </c>
      <c r="G8" s="773"/>
      <c r="H8" s="773"/>
      <c r="I8" s="141" t="s">
        <v>152</v>
      </c>
      <c r="J8" s="142" t="s">
        <v>190</v>
      </c>
      <c r="K8" s="141" t="s">
        <v>90</v>
      </c>
      <c r="L8" s="141" t="s">
        <v>12</v>
      </c>
      <c r="M8" s="776" t="s">
        <v>111</v>
      </c>
      <c r="N8" s="713"/>
      <c r="O8" s="713"/>
      <c r="P8" s="713"/>
      <c r="Q8" s="713"/>
    </row>
    <row r="9" spans="1:17" ht="15.75" customHeight="1">
      <c r="A9" s="773" t="s">
        <v>191</v>
      </c>
      <c r="B9" s="115">
        <v>1</v>
      </c>
      <c r="C9" s="768"/>
      <c r="D9" s="769"/>
      <c r="E9" s="769"/>
      <c r="F9" s="768"/>
      <c r="G9" s="769"/>
      <c r="H9" s="769"/>
      <c r="I9" s="113"/>
      <c r="J9" s="114"/>
      <c r="K9" s="114"/>
      <c r="L9" s="140">
        <f>K9-J9</f>
        <v>0</v>
      </c>
      <c r="M9" s="768"/>
      <c r="N9" s="768"/>
      <c r="O9" s="768"/>
      <c r="P9" s="768"/>
      <c r="Q9" s="768"/>
    </row>
    <row r="10" spans="1:17" ht="15.75" customHeight="1">
      <c r="A10" s="774"/>
      <c r="B10" s="115">
        <v>2</v>
      </c>
      <c r="C10" s="768"/>
      <c r="D10" s="769"/>
      <c r="E10" s="769"/>
      <c r="F10" s="768"/>
      <c r="G10" s="769"/>
      <c r="H10" s="769"/>
      <c r="I10" s="113"/>
      <c r="J10" s="114"/>
      <c r="K10" s="114"/>
      <c r="L10" s="140">
        <f>K10-J10</f>
        <v>0</v>
      </c>
      <c r="M10" s="768"/>
      <c r="N10" s="768"/>
      <c r="O10" s="768"/>
      <c r="P10" s="768"/>
      <c r="Q10" s="768"/>
    </row>
    <row r="11" spans="1:17" ht="15.75" customHeight="1">
      <c r="A11" s="774"/>
      <c r="B11" s="115">
        <v>3</v>
      </c>
      <c r="C11" s="768"/>
      <c r="D11" s="769"/>
      <c r="E11" s="769"/>
      <c r="F11" s="768"/>
      <c r="G11" s="769"/>
      <c r="H11" s="769"/>
      <c r="I11" s="113"/>
      <c r="J11" s="114"/>
      <c r="K11" s="114"/>
      <c r="L11" s="140">
        <f>K11-J11</f>
        <v>0</v>
      </c>
      <c r="M11" s="768"/>
      <c r="N11" s="768"/>
      <c r="O11" s="768"/>
      <c r="P11" s="768"/>
      <c r="Q11" s="768"/>
    </row>
    <row r="12" spans="1:17" ht="15.75" customHeight="1">
      <c r="A12" s="774"/>
      <c r="B12" s="115">
        <v>4</v>
      </c>
      <c r="C12" s="768"/>
      <c r="D12" s="769"/>
      <c r="E12" s="769"/>
      <c r="F12" s="768"/>
      <c r="G12" s="769"/>
      <c r="H12" s="769"/>
      <c r="I12" s="113"/>
      <c r="J12" s="114"/>
      <c r="K12" s="114"/>
      <c r="L12" s="140">
        <f>K12-J12</f>
        <v>0</v>
      </c>
      <c r="M12" s="768"/>
      <c r="N12" s="768"/>
      <c r="O12" s="768"/>
      <c r="P12" s="768"/>
      <c r="Q12" s="768"/>
    </row>
    <row r="13" spans="1:17" ht="15.75" customHeight="1">
      <c r="A13" s="774"/>
      <c r="B13" s="115">
        <v>5</v>
      </c>
      <c r="C13" s="768"/>
      <c r="D13" s="769"/>
      <c r="E13" s="769"/>
      <c r="F13" s="768"/>
      <c r="G13" s="769"/>
      <c r="H13" s="769"/>
      <c r="I13" s="113"/>
      <c r="J13" s="114"/>
      <c r="K13" s="114"/>
      <c r="L13" s="140">
        <f>K13-J13</f>
        <v>0</v>
      </c>
      <c r="M13" s="768"/>
      <c r="N13" s="768"/>
      <c r="O13" s="768"/>
      <c r="P13" s="768"/>
      <c r="Q13" s="768"/>
    </row>
    <row r="14" spans="1:17" ht="15.75" customHeight="1">
      <c r="A14" s="771"/>
      <c r="B14" s="771"/>
      <c r="C14" s="771"/>
      <c r="D14" s="771"/>
      <c r="E14" s="771"/>
      <c r="F14" s="771"/>
      <c r="G14" s="771"/>
      <c r="H14" s="771"/>
      <c r="I14" s="771"/>
      <c r="J14" s="771"/>
      <c r="K14" s="771"/>
      <c r="L14" s="771"/>
      <c r="M14" s="771"/>
      <c r="N14" s="771"/>
      <c r="O14" s="772"/>
    </row>
    <row r="15" spans="1:17" s="112" customFormat="1" ht="15.75" customHeight="1">
      <c r="A15" s="117" t="s">
        <v>148</v>
      </c>
      <c r="B15" s="117" t="s">
        <v>189</v>
      </c>
      <c r="C15" s="770" t="s">
        <v>107</v>
      </c>
      <c r="D15" s="770"/>
      <c r="E15" s="770"/>
      <c r="F15" s="770" t="s">
        <v>151</v>
      </c>
      <c r="G15" s="770"/>
      <c r="H15" s="770"/>
      <c r="I15" s="117" t="s">
        <v>152</v>
      </c>
      <c r="J15" s="139" t="s">
        <v>190</v>
      </c>
      <c r="K15" s="117" t="s">
        <v>90</v>
      </c>
      <c r="L15" s="117" t="s">
        <v>12</v>
      </c>
      <c r="M15" s="770" t="s">
        <v>111</v>
      </c>
      <c r="N15" s="770"/>
      <c r="O15" s="770"/>
      <c r="P15" s="770"/>
      <c r="Q15" s="770"/>
    </row>
    <row r="16" spans="1:17" ht="15.75" customHeight="1">
      <c r="A16" s="770" t="s">
        <v>192</v>
      </c>
      <c r="B16" s="115">
        <v>1</v>
      </c>
      <c r="C16" s="768"/>
      <c r="D16" s="769"/>
      <c r="E16" s="769"/>
      <c r="F16" s="768"/>
      <c r="G16" s="769"/>
      <c r="H16" s="769"/>
      <c r="I16" s="113"/>
      <c r="J16" s="114"/>
      <c r="K16" s="114"/>
      <c r="L16" s="140">
        <f>K16-J16</f>
        <v>0</v>
      </c>
      <c r="M16" s="768"/>
      <c r="N16" s="768"/>
      <c r="O16" s="768"/>
      <c r="P16" s="768"/>
      <c r="Q16" s="768"/>
    </row>
    <row r="17" spans="1:17" ht="15.75" customHeight="1">
      <c r="A17" s="770"/>
      <c r="B17" s="115">
        <v>2</v>
      </c>
      <c r="C17" s="768"/>
      <c r="D17" s="769"/>
      <c r="E17" s="769"/>
      <c r="F17" s="768"/>
      <c r="G17" s="769"/>
      <c r="H17" s="769"/>
      <c r="I17" s="113"/>
      <c r="J17" s="114"/>
      <c r="K17" s="114"/>
      <c r="L17" s="140">
        <f>K17-J17</f>
        <v>0</v>
      </c>
      <c r="M17" s="768"/>
      <c r="N17" s="768"/>
      <c r="O17" s="768"/>
      <c r="P17" s="768"/>
      <c r="Q17" s="768"/>
    </row>
    <row r="18" spans="1:17" ht="15.75" customHeight="1">
      <c r="A18" s="770"/>
      <c r="B18" s="115">
        <v>3</v>
      </c>
      <c r="C18" s="768"/>
      <c r="D18" s="769"/>
      <c r="E18" s="769"/>
      <c r="F18" s="768"/>
      <c r="G18" s="769"/>
      <c r="H18" s="769"/>
      <c r="I18" s="113"/>
      <c r="J18" s="114"/>
      <c r="K18" s="114"/>
      <c r="L18" s="140">
        <f>K18-J18</f>
        <v>0</v>
      </c>
      <c r="M18" s="768"/>
      <c r="N18" s="768"/>
      <c r="O18" s="768"/>
      <c r="P18" s="768"/>
      <c r="Q18" s="768"/>
    </row>
    <row r="19" spans="1:17" ht="15.75" customHeight="1">
      <c r="A19" s="770"/>
      <c r="B19" s="115">
        <v>4</v>
      </c>
      <c r="C19" s="768"/>
      <c r="D19" s="769"/>
      <c r="E19" s="769"/>
      <c r="F19" s="768"/>
      <c r="G19" s="769"/>
      <c r="H19" s="769"/>
      <c r="I19" s="113"/>
      <c r="J19" s="114"/>
      <c r="K19" s="114"/>
      <c r="L19" s="140">
        <f>K19-J19</f>
        <v>0</v>
      </c>
      <c r="M19" s="768"/>
      <c r="N19" s="768"/>
      <c r="O19" s="768"/>
      <c r="P19" s="768"/>
      <c r="Q19" s="768"/>
    </row>
    <row r="20" spans="1:17" ht="15.75" customHeight="1">
      <c r="A20" s="770"/>
      <c r="B20" s="115">
        <v>5</v>
      </c>
      <c r="C20" s="768"/>
      <c r="D20" s="769"/>
      <c r="E20" s="769"/>
      <c r="F20" s="768"/>
      <c r="G20" s="769"/>
      <c r="H20" s="769"/>
      <c r="I20" s="113"/>
      <c r="J20" s="114"/>
      <c r="K20" s="114"/>
      <c r="L20" s="140">
        <f>K20-J20</f>
        <v>0</v>
      </c>
      <c r="M20" s="768"/>
      <c r="N20" s="768"/>
      <c r="O20" s="768"/>
      <c r="P20" s="768"/>
      <c r="Q20" s="768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5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8.85546875" defaultRowHeight="14.25"/>
  <cols>
    <col min="1" max="1" width="8.85546875" style="152" customWidth="1"/>
    <col min="2" max="2" width="12.42578125" style="152" customWidth="1"/>
    <col min="3" max="3" width="8.85546875" style="152" customWidth="1"/>
    <col min="4" max="4" width="11.5703125" style="152" customWidth="1"/>
    <col min="5" max="5" width="31.7109375" style="152" bestFit="1" customWidth="1"/>
    <col min="6" max="6" width="11.85546875" style="152" bestFit="1" customWidth="1"/>
    <col min="7" max="7" width="14.5703125" style="152" bestFit="1" customWidth="1"/>
    <col min="8" max="9" width="12.42578125" style="152" bestFit="1" customWidth="1"/>
    <col min="10" max="10" width="11.7109375" style="152" bestFit="1" customWidth="1"/>
    <col min="11" max="11" width="12.42578125" style="152" bestFit="1" customWidth="1"/>
    <col min="12" max="12" width="11.7109375" style="152" bestFit="1" customWidth="1"/>
    <col min="13" max="13" width="8.42578125" style="152" bestFit="1" customWidth="1"/>
    <col min="14" max="14" width="8.5703125" style="152" bestFit="1" customWidth="1"/>
    <col min="15" max="15" width="16.140625" style="152" bestFit="1" customWidth="1"/>
    <col min="16" max="16" width="11.7109375" style="152" bestFit="1" customWidth="1"/>
    <col min="17" max="17" width="9.28515625" style="152" bestFit="1" customWidth="1"/>
    <col min="18" max="18" width="10" style="152" bestFit="1" customWidth="1"/>
    <col min="19" max="19" width="13.85546875" style="152" bestFit="1" customWidth="1"/>
    <col min="20" max="20" width="10" style="152" bestFit="1" customWidth="1"/>
    <col min="21" max="21" width="11.7109375" style="152" bestFit="1" customWidth="1"/>
    <col min="22" max="22" width="11.85546875" style="152" bestFit="1" customWidth="1"/>
    <col min="23" max="23" width="22.7109375" style="152" bestFit="1" customWidth="1"/>
    <col min="24" max="24" width="22" style="152" bestFit="1" customWidth="1"/>
    <col min="25" max="25" width="70.7109375" style="152" bestFit="1" customWidth="1"/>
    <col min="26" max="26" width="7.42578125" style="152" bestFit="1" customWidth="1"/>
    <col min="27" max="27" width="35.28515625" style="152" bestFit="1" customWidth="1"/>
    <col min="28" max="28" width="11.42578125" style="152" bestFit="1" customWidth="1"/>
    <col min="29" max="29" width="21.5703125" style="152" customWidth="1"/>
    <col min="30" max="30" width="19.42578125" style="152" bestFit="1" customWidth="1"/>
    <col min="31" max="36" width="14.42578125" style="152" customWidth="1"/>
    <col min="37" max="56" width="8.85546875" style="152" customWidth="1"/>
    <col min="57" max="16384" width="8.85546875" style="152"/>
  </cols>
  <sheetData>
    <row r="2" spans="2:36" ht="41.1" customHeight="1">
      <c r="B2" s="777" t="s">
        <v>193</v>
      </c>
      <c r="C2" s="778"/>
      <c r="D2" s="778"/>
      <c r="E2" s="778"/>
      <c r="F2" s="778"/>
      <c r="G2" s="778"/>
      <c r="H2" s="778"/>
      <c r="I2" s="778"/>
      <c r="J2" s="778"/>
      <c r="K2" s="778"/>
      <c r="L2" s="778"/>
      <c r="M2" s="778"/>
      <c r="N2" s="778"/>
      <c r="O2" s="778"/>
      <c r="P2" s="778"/>
      <c r="Q2" s="778"/>
      <c r="R2" s="778"/>
      <c r="S2" s="778"/>
      <c r="T2" s="778"/>
      <c r="U2" s="778"/>
      <c r="V2" s="778"/>
      <c r="W2" s="778"/>
      <c r="X2" s="778"/>
      <c r="Y2" s="778"/>
      <c r="Z2" s="778"/>
      <c r="AA2" s="778"/>
      <c r="AC2" s="153"/>
      <c r="AD2" s="153"/>
    </row>
    <row r="3" spans="2:36" ht="17.100000000000001" customHeight="1">
      <c r="B3" s="805" t="s">
        <v>1</v>
      </c>
      <c r="C3" s="806"/>
      <c r="D3" s="809" t="s">
        <v>194</v>
      </c>
      <c r="E3" s="810" t="s">
        <v>195</v>
      </c>
      <c r="F3" s="779" t="s">
        <v>196</v>
      </c>
      <c r="G3" s="780" t="s">
        <v>197</v>
      </c>
      <c r="H3" s="782" t="s">
        <v>198</v>
      </c>
      <c r="I3" s="783" t="s">
        <v>199</v>
      </c>
      <c r="J3" s="784"/>
      <c r="K3" s="783" t="s">
        <v>200</v>
      </c>
      <c r="L3" s="784"/>
      <c r="M3" s="783" t="s">
        <v>201</v>
      </c>
      <c r="N3" s="784"/>
      <c r="O3" s="783" t="s">
        <v>202</v>
      </c>
      <c r="P3" s="784"/>
      <c r="Q3" s="783" t="s">
        <v>141</v>
      </c>
      <c r="R3" s="784"/>
      <c r="S3" s="794" t="s">
        <v>142</v>
      </c>
      <c r="T3" s="795"/>
      <c r="U3" s="796"/>
      <c r="V3" s="797" t="s">
        <v>203</v>
      </c>
      <c r="W3" s="797" t="s">
        <v>204</v>
      </c>
      <c r="X3" s="797" t="s">
        <v>205</v>
      </c>
      <c r="Y3" s="797" t="s">
        <v>206</v>
      </c>
      <c r="Z3" s="797" t="s">
        <v>207</v>
      </c>
      <c r="AA3" s="780" t="s">
        <v>208</v>
      </c>
      <c r="AC3" s="785" t="s">
        <v>209</v>
      </c>
      <c r="AD3" s="786"/>
      <c r="AE3" s="786"/>
      <c r="AF3" s="786"/>
      <c r="AG3" s="786"/>
      <c r="AH3" s="786"/>
      <c r="AI3" s="786"/>
      <c r="AJ3" s="787"/>
    </row>
    <row r="4" spans="2:36">
      <c r="B4" s="807"/>
      <c r="C4" s="808"/>
      <c r="D4" s="809"/>
      <c r="E4" s="809"/>
      <c r="F4" s="779"/>
      <c r="G4" s="781"/>
      <c r="H4" s="781"/>
      <c r="I4" s="365" t="s">
        <v>210</v>
      </c>
      <c r="J4" s="364" t="s">
        <v>211</v>
      </c>
      <c r="K4" s="365" t="s">
        <v>210</v>
      </c>
      <c r="L4" s="364" t="s">
        <v>211</v>
      </c>
      <c r="M4" s="365" t="s">
        <v>210</v>
      </c>
      <c r="N4" s="364" t="s">
        <v>211</v>
      </c>
      <c r="O4" s="365" t="s">
        <v>210</v>
      </c>
      <c r="P4" s="364" t="s">
        <v>211</v>
      </c>
      <c r="Q4" s="365" t="s">
        <v>210</v>
      </c>
      <c r="R4" s="364" t="s">
        <v>211</v>
      </c>
      <c r="S4" s="365" t="s">
        <v>210</v>
      </c>
      <c r="T4" s="364" t="s">
        <v>211</v>
      </c>
      <c r="U4" s="364" t="s">
        <v>212</v>
      </c>
      <c r="V4" s="798"/>
      <c r="W4" s="798"/>
      <c r="X4" s="798"/>
      <c r="Y4" s="798"/>
      <c r="Z4" s="798"/>
      <c r="AA4" s="781"/>
      <c r="AC4" s="788"/>
      <c r="AD4" s="789"/>
      <c r="AE4" s="789"/>
      <c r="AF4" s="789"/>
      <c r="AG4" s="789"/>
      <c r="AH4" s="789"/>
      <c r="AI4" s="789"/>
      <c r="AJ4" s="790"/>
    </row>
    <row r="5" spans="2:36" s="212" customFormat="1" ht="27" customHeight="1">
      <c r="B5" s="799" t="s">
        <v>213</v>
      </c>
      <c r="C5" s="800"/>
      <c r="D5" s="210">
        <v>1</v>
      </c>
      <c r="E5" s="366" t="s">
        <v>156</v>
      </c>
      <c r="F5" s="367">
        <f>IFERROR(Q5*G5,"-")</f>
        <v>5476.16</v>
      </c>
      <c r="G5" s="363">
        <v>125.6</v>
      </c>
      <c r="H5" s="363">
        <v>2455.1</v>
      </c>
      <c r="I5" s="362">
        <v>2485</v>
      </c>
      <c r="J5" s="368">
        <f>IFERROR(I5/H5,"-")</f>
        <v>1.0121787299906317</v>
      </c>
      <c r="K5" s="362">
        <v>2498.6</v>
      </c>
      <c r="L5" s="368">
        <f>IFERROR(K5/H5,"-")</f>
        <v>1.0177182192171399</v>
      </c>
      <c r="M5" s="362">
        <v>0</v>
      </c>
      <c r="N5" s="368">
        <f>IFERROR(M5/H5,"-")</f>
        <v>0</v>
      </c>
      <c r="O5" s="369">
        <f>IFERROR(K5+M5,"-")</f>
        <v>2498.6</v>
      </c>
      <c r="P5" s="368">
        <f>IFERROR(O5/H5,"-")</f>
        <v>1.0177182192171399</v>
      </c>
      <c r="Q5" s="363">
        <v>43.6</v>
      </c>
      <c r="R5" s="368">
        <f>IFERROR(Q5/H5,"-")</f>
        <v>1.775895075557004E-2</v>
      </c>
      <c r="S5" s="369">
        <f>IFERROR(O5-H5,"-")</f>
        <v>43.5</v>
      </c>
      <c r="T5" s="368">
        <f>IFERROR(S5/H5,"-")</f>
        <v>1.7718219217139831E-2</v>
      </c>
      <c r="U5" s="370">
        <f>IFERROR(S5*G5,"-")</f>
        <v>5463.5999999999995</v>
      </c>
      <c r="V5" s="214" t="s">
        <v>214</v>
      </c>
      <c r="W5" s="214" t="s">
        <v>155</v>
      </c>
      <c r="X5" s="214" t="s">
        <v>215</v>
      </c>
      <c r="Y5" s="214" t="s">
        <v>157</v>
      </c>
      <c r="Z5" s="214">
        <v>1</v>
      </c>
      <c r="AA5" s="216" t="s">
        <v>120</v>
      </c>
      <c r="AC5" s="791"/>
      <c r="AD5" s="792"/>
      <c r="AE5" s="792"/>
      <c r="AF5" s="792"/>
      <c r="AG5" s="792"/>
      <c r="AH5" s="792"/>
      <c r="AI5" s="792"/>
      <c r="AJ5" s="793"/>
    </row>
    <row r="6" spans="2:36" s="212" customFormat="1" ht="27" customHeight="1">
      <c r="B6" s="801"/>
      <c r="C6" s="802"/>
      <c r="D6" s="210">
        <v>2</v>
      </c>
      <c r="E6" s="366" t="s">
        <v>159</v>
      </c>
      <c r="F6" s="367">
        <f t="shared" ref="F6:F24" si="0">IFERROR(Q6*G6,"-")</f>
        <v>2588.88</v>
      </c>
      <c r="G6" s="363">
        <v>193.2</v>
      </c>
      <c r="H6" s="363">
        <v>1028.2</v>
      </c>
      <c r="I6" s="362">
        <v>1008</v>
      </c>
      <c r="J6" s="368">
        <f t="shared" ref="J6:J24" si="1">IFERROR(I6/H6,"-")</f>
        <v>0.98035401672826294</v>
      </c>
      <c r="K6" s="362">
        <v>1041.7</v>
      </c>
      <c r="L6" s="368">
        <f t="shared" ref="L6:L24" si="2">IFERROR(K6/H6,"-")</f>
        <v>1.0131297412954678</v>
      </c>
      <c r="M6" s="362">
        <v>0</v>
      </c>
      <c r="N6" s="368">
        <f t="shared" ref="N6:N24" si="3">IFERROR(M6/H6,"-")</f>
        <v>0</v>
      </c>
      <c r="O6" s="369">
        <f t="shared" ref="O6:O24" si="4">IFERROR(K6+M6,"-")</f>
        <v>1041.7</v>
      </c>
      <c r="P6" s="368">
        <f t="shared" ref="P6:P24" si="5">IFERROR(O6/H6,"-")</f>
        <v>1.0131297412954678</v>
      </c>
      <c r="Q6" s="363">
        <v>13.4</v>
      </c>
      <c r="R6" s="368">
        <f t="shared" ref="R6:R24" si="6">IFERROR(Q6/H6,"-")</f>
        <v>1.3032483952538417E-2</v>
      </c>
      <c r="S6" s="369">
        <f t="shared" ref="S6:S24" si="7">IFERROR(O6-H6,"-")</f>
        <v>13.5</v>
      </c>
      <c r="T6" s="368">
        <f t="shared" ref="T6:T24" si="8">IFERROR(S6/H6,"-")</f>
        <v>1.3129741295467807E-2</v>
      </c>
      <c r="U6" s="370">
        <f t="shared" ref="U6:U24" si="9">IFERROR(S6*G6,"-")</f>
        <v>2608.1999999999998</v>
      </c>
      <c r="V6" s="214" t="s">
        <v>214</v>
      </c>
      <c r="W6" s="214" t="s">
        <v>155</v>
      </c>
      <c r="X6" s="214" t="s">
        <v>215</v>
      </c>
      <c r="Y6" s="214" t="s">
        <v>157</v>
      </c>
      <c r="Z6" s="214">
        <v>1</v>
      </c>
      <c r="AA6" s="216" t="s">
        <v>158</v>
      </c>
      <c r="AC6" s="160" t="s">
        <v>216</v>
      </c>
      <c r="AD6" s="160" t="s">
        <v>155</v>
      </c>
      <c r="AE6" s="211" t="s">
        <v>217</v>
      </c>
      <c r="AF6" s="211" t="s">
        <v>138</v>
      </c>
      <c r="AG6" s="211" t="s">
        <v>139</v>
      </c>
      <c r="AH6" s="211" t="s">
        <v>143</v>
      </c>
      <c r="AI6" s="211" t="s">
        <v>144</v>
      </c>
      <c r="AJ6" s="211" t="s">
        <v>145</v>
      </c>
    </row>
    <row r="7" spans="2:36" s="212" customFormat="1" ht="27" customHeight="1">
      <c r="B7" s="801"/>
      <c r="C7" s="802"/>
      <c r="D7" s="210">
        <v>3</v>
      </c>
      <c r="E7" s="366" t="s">
        <v>160</v>
      </c>
      <c r="F7" s="367">
        <f t="shared" si="0"/>
        <v>2390.58</v>
      </c>
      <c r="G7" s="363">
        <v>1328.1</v>
      </c>
      <c r="H7" s="363">
        <v>28.5</v>
      </c>
      <c r="I7" s="362">
        <v>30</v>
      </c>
      <c r="J7" s="368">
        <f t="shared" si="1"/>
        <v>1.0526315789473684</v>
      </c>
      <c r="K7" s="362">
        <v>29.8</v>
      </c>
      <c r="L7" s="368">
        <f t="shared" si="2"/>
        <v>1.0456140350877192</v>
      </c>
      <c r="M7" s="362">
        <v>0</v>
      </c>
      <c r="N7" s="368">
        <f t="shared" si="3"/>
        <v>0</v>
      </c>
      <c r="O7" s="369">
        <f t="shared" si="4"/>
        <v>29.8</v>
      </c>
      <c r="P7" s="368">
        <f t="shared" si="5"/>
        <v>1.0456140350877192</v>
      </c>
      <c r="Q7" s="363">
        <v>1.8</v>
      </c>
      <c r="R7" s="368">
        <f t="shared" si="6"/>
        <v>6.3157894736842107E-2</v>
      </c>
      <c r="S7" s="369">
        <f t="shared" si="7"/>
        <v>1.3000000000000007</v>
      </c>
      <c r="T7" s="368">
        <f t="shared" si="8"/>
        <v>4.5614035087719322E-2</v>
      </c>
      <c r="U7" s="370">
        <f t="shared" si="9"/>
        <v>1726.5300000000009</v>
      </c>
      <c r="V7" s="214" t="s">
        <v>214</v>
      </c>
      <c r="W7" s="214" t="s">
        <v>155</v>
      </c>
      <c r="X7" s="214" t="s">
        <v>215</v>
      </c>
      <c r="Y7" s="214" t="s">
        <v>157</v>
      </c>
      <c r="Z7" s="214">
        <v>1</v>
      </c>
      <c r="AA7" s="216" t="s">
        <v>129</v>
      </c>
      <c r="AC7" s="371">
        <f>SUM(Z5:Z24)</f>
        <v>20</v>
      </c>
      <c r="AD7" s="215">
        <f>SUMIF($W$5:$W$24,TRIM(AD6),$Z$5:$Z$24)</f>
        <v>11</v>
      </c>
      <c r="AE7" s="215">
        <f>SUMIF($W$5:$W$24,TRIM(AE6),$Z$5:$Z$24)</f>
        <v>3</v>
      </c>
      <c r="AF7" s="215">
        <f>SUMIF($W$5:$W$24,TRIM(AF6),$Z$5:$Z$24)</f>
        <v>0</v>
      </c>
      <c r="AG7" s="215">
        <f>SUMIF($W$5:$W$24,TRIM(AG6),$Z$5:$Z$24)</f>
        <v>5</v>
      </c>
      <c r="AH7" s="215">
        <f t="shared" ref="AH7:AI7" si="10">SUMIF($W$5:$W$24,TRIM(AH6),$Z$5:$Z$24)</f>
        <v>0</v>
      </c>
      <c r="AI7" s="215">
        <f t="shared" si="10"/>
        <v>1</v>
      </c>
      <c r="AJ7" s="215">
        <f>SUMIF($W$5:$W$24,TRIM(AJ6),$Z$5:$Z$24)</f>
        <v>0</v>
      </c>
    </row>
    <row r="8" spans="2:36" s="212" customFormat="1" ht="27" customHeight="1">
      <c r="B8" s="801"/>
      <c r="C8" s="802"/>
      <c r="D8" s="210">
        <v>4</v>
      </c>
      <c r="E8" s="366" t="s">
        <v>170</v>
      </c>
      <c r="F8" s="367">
        <f t="shared" si="0"/>
        <v>2162.1600000000003</v>
      </c>
      <c r="G8" s="363">
        <v>140.4</v>
      </c>
      <c r="H8" s="363">
        <v>350.7</v>
      </c>
      <c r="I8" s="362">
        <v>355</v>
      </c>
      <c r="J8" s="368">
        <f t="shared" si="1"/>
        <v>1.0122611919019104</v>
      </c>
      <c r="K8" s="362">
        <v>370.3</v>
      </c>
      <c r="L8" s="368">
        <f t="shared" si="2"/>
        <v>1.0558882235528944</v>
      </c>
      <c r="M8" s="362">
        <v>12.2</v>
      </c>
      <c r="N8" s="368">
        <f t="shared" si="3"/>
        <v>3.4787567721699456E-2</v>
      </c>
      <c r="O8" s="369">
        <f t="shared" si="4"/>
        <v>382.5</v>
      </c>
      <c r="P8" s="368">
        <f t="shared" si="5"/>
        <v>1.0906757912745937</v>
      </c>
      <c r="Q8" s="363">
        <v>15.4</v>
      </c>
      <c r="R8" s="368">
        <f t="shared" si="6"/>
        <v>4.3912175648702596E-2</v>
      </c>
      <c r="S8" s="369">
        <f t="shared" si="7"/>
        <v>31.800000000000011</v>
      </c>
      <c r="T8" s="368">
        <f t="shared" si="8"/>
        <v>9.0675791274593701E-2</v>
      </c>
      <c r="U8" s="370">
        <f t="shared" si="9"/>
        <v>4464.7200000000021</v>
      </c>
      <c r="V8" s="214" t="s">
        <v>218</v>
      </c>
      <c r="W8" s="214" t="s">
        <v>139</v>
      </c>
      <c r="X8" s="214" t="s">
        <v>142</v>
      </c>
      <c r="Y8" s="214" t="s">
        <v>219</v>
      </c>
      <c r="Z8" s="214">
        <v>1</v>
      </c>
      <c r="AA8" s="216" t="s">
        <v>120</v>
      </c>
      <c r="AC8" s="372" t="s">
        <v>140</v>
      </c>
      <c r="AD8" s="373">
        <f>SUMIF($W5:$W$24,TRIM(AD6),$F$5:$F$24)</f>
        <v>20487.879999999997</v>
      </c>
      <c r="AE8" s="373">
        <f>SUMIF($W5:$W$24,TRIM(AE6),$F$5:$F$24)</f>
        <v>3164.98</v>
      </c>
      <c r="AF8" s="373">
        <f>SUMIF($W5:$W$24,TRIM(AF6),$F$5:$F$24)</f>
        <v>0</v>
      </c>
      <c r="AG8" s="373">
        <f>SUMIF($W5:$W$24,TRIM(AG6),$F$5:$F$24)</f>
        <v>4295</v>
      </c>
      <c r="AH8" s="373">
        <f>SUMIF($W5:$W$24,TRIM(AH6),$F$5:$F$24)</f>
        <v>0</v>
      </c>
      <c r="AI8" s="373">
        <f>SUMIF($W5:$W$24,TRIM(AI6),$F$5:$F$24)</f>
        <v>550.80000000000007</v>
      </c>
      <c r="AJ8" s="373">
        <f>SUMIF($W5:$W$24,TRIM(AJ6),$F$5:$F$24)</f>
        <v>0</v>
      </c>
    </row>
    <row r="9" spans="2:36" s="212" customFormat="1" ht="27" customHeight="1">
      <c r="B9" s="801"/>
      <c r="C9" s="802"/>
      <c r="D9" s="210">
        <v>5</v>
      </c>
      <c r="E9" s="366" t="s">
        <v>168</v>
      </c>
      <c r="F9" s="367">
        <f t="shared" si="0"/>
        <v>2080.25</v>
      </c>
      <c r="G9" s="363">
        <v>132.5</v>
      </c>
      <c r="H9" s="363">
        <v>2927.2</v>
      </c>
      <c r="I9" s="362">
        <v>2784</v>
      </c>
      <c r="J9" s="368">
        <f t="shared" si="1"/>
        <v>0.95107952992620937</v>
      </c>
      <c r="K9" s="362">
        <v>2946.1</v>
      </c>
      <c r="L9" s="368">
        <f t="shared" si="2"/>
        <v>1.0064566821535939</v>
      </c>
      <c r="M9" s="362">
        <v>0</v>
      </c>
      <c r="N9" s="368">
        <f t="shared" si="3"/>
        <v>0</v>
      </c>
      <c r="O9" s="369">
        <f t="shared" si="4"/>
        <v>2946.1</v>
      </c>
      <c r="P9" s="368">
        <f t="shared" si="5"/>
        <v>1.0064566821535939</v>
      </c>
      <c r="Q9" s="363">
        <v>15.7</v>
      </c>
      <c r="R9" s="368">
        <f t="shared" si="6"/>
        <v>5.3634872916097295E-3</v>
      </c>
      <c r="S9" s="369">
        <f t="shared" si="7"/>
        <v>18.900000000000091</v>
      </c>
      <c r="T9" s="368">
        <f t="shared" si="8"/>
        <v>6.4566821535939093E-3</v>
      </c>
      <c r="U9" s="370">
        <f t="shared" si="9"/>
        <v>2504.2500000000118</v>
      </c>
      <c r="V9" s="214" t="s">
        <v>220</v>
      </c>
      <c r="W9" s="214" t="s">
        <v>221</v>
      </c>
      <c r="X9" s="214" t="s">
        <v>222</v>
      </c>
      <c r="Y9" s="214"/>
      <c r="Z9" s="214">
        <v>1</v>
      </c>
      <c r="AA9" s="216" t="s">
        <v>116</v>
      </c>
      <c r="AC9" s="210" t="s">
        <v>223</v>
      </c>
      <c r="AD9" s="374">
        <f t="shared" ref="AD9:AJ9" si="11">AD7/$AC7</f>
        <v>0.55000000000000004</v>
      </c>
      <c r="AE9" s="374">
        <f t="shared" si="11"/>
        <v>0.15</v>
      </c>
      <c r="AF9" s="374">
        <f t="shared" si="11"/>
        <v>0</v>
      </c>
      <c r="AG9" s="374">
        <f t="shared" si="11"/>
        <v>0.25</v>
      </c>
      <c r="AH9" s="374">
        <f t="shared" si="11"/>
        <v>0</v>
      </c>
      <c r="AI9" s="374">
        <f t="shared" si="11"/>
        <v>0.05</v>
      </c>
      <c r="AJ9" s="374">
        <f t="shared" si="11"/>
        <v>0</v>
      </c>
    </row>
    <row r="10" spans="2:36" s="212" customFormat="1" ht="27" customHeight="1">
      <c r="B10" s="801"/>
      <c r="C10" s="802"/>
      <c r="D10" s="210">
        <v>6</v>
      </c>
      <c r="E10" s="366" t="s">
        <v>162</v>
      </c>
      <c r="F10" s="367">
        <f t="shared" si="0"/>
        <v>1994.56</v>
      </c>
      <c r="G10" s="363">
        <v>216.8</v>
      </c>
      <c r="H10" s="363">
        <v>299.3</v>
      </c>
      <c r="I10" s="362">
        <v>310.8</v>
      </c>
      <c r="J10" s="368">
        <f t="shared" si="1"/>
        <v>1.0384229869695958</v>
      </c>
      <c r="K10" s="362">
        <v>313.8</v>
      </c>
      <c r="L10" s="368">
        <f t="shared" si="2"/>
        <v>1.0484463748747077</v>
      </c>
      <c r="M10" s="362">
        <v>0</v>
      </c>
      <c r="N10" s="368">
        <f t="shared" si="3"/>
        <v>0</v>
      </c>
      <c r="O10" s="369">
        <f t="shared" si="4"/>
        <v>313.8</v>
      </c>
      <c r="P10" s="368">
        <f t="shared" si="5"/>
        <v>1.0484463748747077</v>
      </c>
      <c r="Q10" s="363">
        <v>9.1999999999999993</v>
      </c>
      <c r="R10" s="368">
        <f t="shared" si="6"/>
        <v>3.0738389575676574E-2</v>
      </c>
      <c r="S10" s="369">
        <f t="shared" si="7"/>
        <v>14.5</v>
      </c>
      <c r="T10" s="368">
        <f t="shared" si="8"/>
        <v>4.8446374874707647E-2</v>
      </c>
      <c r="U10" s="370">
        <f t="shared" si="9"/>
        <v>3143.6000000000004</v>
      </c>
      <c r="V10" s="214" t="s">
        <v>214</v>
      </c>
      <c r="W10" s="214" t="s">
        <v>155</v>
      </c>
      <c r="X10" s="214" t="s">
        <v>215</v>
      </c>
      <c r="Y10" s="214" t="s">
        <v>157</v>
      </c>
      <c r="Z10" s="214">
        <v>1</v>
      </c>
      <c r="AA10" s="216" t="s">
        <v>161</v>
      </c>
    </row>
    <row r="11" spans="2:36" s="212" customFormat="1" ht="27" customHeight="1">
      <c r="B11" s="801"/>
      <c r="C11" s="802"/>
      <c r="D11" s="210">
        <v>7</v>
      </c>
      <c r="E11" s="366" t="s">
        <v>164</v>
      </c>
      <c r="F11" s="367">
        <f t="shared" si="0"/>
        <v>1763.46</v>
      </c>
      <c r="G11" s="363">
        <v>90.9</v>
      </c>
      <c r="H11" s="363">
        <v>1529.7</v>
      </c>
      <c r="I11" s="362">
        <v>1580</v>
      </c>
      <c r="J11" s="368">
        <f t="shared" si="1"/>
        <v>1.0328822644963065</v>
      </c>
      <c r="K11" s="362">
        <v>1582.5</v>
      </c>
      <c r="L11" s="368">
        <f t="shared" si="2"/>
        <v>1.0345165718768385</v>
      </c>
      <c r="M11" s="362">
        <v>0</v>
      </c>
      <c r="N11" s="368">
        <f t="shared" si="3"/>
        <v>0</v>
      </c>
      <c r="O11" s="369">
        <f t="shared" si="4"/>
        <v>1582.5</v>
      </c>
      <c r="P11" s="368">
        <f t="shared" si="5"/>
        <v>1.0345165718768385</v>
      </c>
      <c r="Q11" s="363">
        <v>19.399999999999999</v>
      </c>
      <c r="R11" s="368">
        <f t="shared" si="6"/>
        <v>1.2682225272929332E-2</v>
      </c>
      <c r="S11" s="369">
        <f t="shared" si="7"/>
        <v>52.799999999999955</v>
      </c>
      <c r="T11" s="368">
        <f t="shared" si="8"/>
        <v>3.4516571876838563E-2</v>
      </c>
      <c r="U11" s="370">
        <f t="shared" si="9"/>
        <v>4799.5199999999959</v>
      </c>
      <c r="V11" s="214" t="s">
        <v>214</v>
      </c>
      <c r="W11" s="214" t="s">
        <v>155</v>
      </c>
      <c r="X11" s="214" t="s">
        <v>215</v>
      </c>
      <c r="Y11" s="214" t="s">
        <v>157</v>
      </c>
      <c r="Z11" s="214">
        <v>1</v>
      </c>
      <c r="AA11" s="216" t="s">
        <v>163</v>
      </c>
      <c r="AD11" s="378" t="s">
        <v>220</v>
      </c>
    </row>
    <row r="12" spans="2:36" s="212" customFormat="1" ht="27" customHeight="1">
      <c r="B12" s="801"/>
      <c r="C12" s="802"/>
      <c r="D12" s="210">
        <v>8</v>
      </c>
      <c r="E12" s="366" t="s">
        <v>224</v>
      </c>
      <c r="F12" s="367">
        <f t="shared" si="0"/>
        <v>1678.3200000000002</v>
      </c>
      <c r="G12" s="363">
        <v>56.7</v>
      </c>
      <c r="H12" s="363">
        <v>1645.9</v>
      </c>
      <c r="I12" s="362">
        <v>1709.5</v>
      </c>
      <c r="J12" s="368">
        <f t="shared" si="1"/>
        <v>1.0386414727504709</v>
      </c>
      <c r="K12" s="362">
        <v>1702.8</v>
      </c>
      <c r="L12" s="368">
        <f t="shared" si="2"/>
        <v>1.0345707515644935</v>
      </c>
      <c r="M12" s="362">
        <v>0</v>
      </c>
      <c r="N12" s="368">
        <f t="shared" si="3"/>
        <v>0</v>
      </c>
      <c r="O12" s="369">
        <f t="shared" si="4"/>
        <v>1702.8</v>
      </c>
      <c r="P12" s="368">
        <f t="shared" si="5"/>
        <v>1.0345707515644935</v>
      </c>
      <c r="Q12" s="363">
        <v>29.6</v>
      </c>
      <c r="R12" s="368">
        <f t="shared" si="6"/>
        <v>1.7984081657451849E-2</v>
      </c>
      <c r="S12" s="369">
        <f t="shared" si="7"/>
        <v>56.899999999999864</v>
      </c>
      <c r="T12" s="368">
        <f t="shared" si="8"/>
        <v>3.4570751564493504E-2</v>
      </c>
      <c r="U12" s="370">
        <f t="shared" si="9"/>
        <v>3226.2299999999923</v>
      </c>
      <c r="V12" s="214" t="s">
        <v>214</v>
      </c>
      <c r="W12" s="214" t="s">
        <v>155</v>
      </c>
      <c r="X12" s="214" t="s">
        <v>215</v>
      </c>
      <c r="Y12" s="214" t="s">
        <v>157</v>
      </c>
      <c r="Z12" s="214">
        <v>1</v>
      </c>
      <c r="AA12" s="216" t="s">
        <v>161</v>
      </c>
      <c r="AD12" s="378" t="s">
        <v>218</v>
      </c>
    </row>
    <row r="13" spans="2:36" s="212" customFormat="1" ht="27" customHeight="1">
      <c r="B13" s="801"/>
      <c r="C13" s="802"/>
      <c r="D13" s="210">
        <v>9</v>
      </c>
      <c r="E13" s="366" t="s">
        <v>225</v>
      </c>
      <c r="F13" s="367">
        <f t="shared" si="0"/>
        <v>1566.9199999999998</v>
      </c>
      <c r="G13" s="363">
        <v>182.2</v>
      </c>
      <c r="H13" s="363">
        <v>299.3</v>
      </c>
      <c r="I13" s="362">
        <v>310.8</v>
      </c>
      <c r="J13" s="368">
        <f t="shared" si="1"/>
        <v>1.0384229869695958</v>
      </c>
      <c r="K13" s="362">
        <v>311.39999999999998</v>
      </c>
      <c r="L13" s="368">
        <f t="shared" si="2"/>
        <v>1.0404276645506181</v>
      </c>
      <c r="M13" s="362">
        <v>0</v>
      </c>
      <c r="N13" s="368">
        <f t="shared" si="3"/>
        <v>0</v>
      </c>
      <c r="O13" s="369">
        <f t="shared" si="4"/>
        <v>311.39999999999998</v>
      </c>
      <c r="P13" s="368">
        <f t="shared" si="5"/>
        <v>1.0404276645506181</v>
      </c>
      <c r="Q13" s="363">
        <v>8.6</v>
      </c>
      <c r="R13" s="368">
        <f t="shared" si="6"/>
        <v>2.8733711994654191E-2</v>
      </c>
      <c r="S13" s="369">
        <f t="shared" si="7"/>
        <v>12.099999999999966</v>
      </c>
      <c r="T13" s="368">
        <f t="shared" si="8"/>
        <v>4.0427664550617991E-2</v>
      </c>
      <c r="U13" s="370">
        <f t="shared" si="9"/>
        <v>2204.6199999999935</v>
      </c>
      <c r="V13" s="214" t="s">
        <v>214</v>
      </c>
      <c r="W13" s="214" t="s">
        <v>155</v>
      </c>
      <c r="X13" s="214" t="s">
        <v>215</v>
      </c>
      <c r="Y13" s="214" t="s">
        <v>157</v>
      </c>
      <c r="Z13" s="214">
        <v>1</v>
      </c>
      <c r="AA13" s="217" t="s">
        <v>161</v>
      </c>
      <c r="AD13" s="378" t="s">
        <v>226</v>
      </c>
    </row>
    <row r="14" spans="2:36" s="212" customFormat="1" ht="27" customHeight="1">
      <c r="B14" s="801"/>
      <c r="C14" s="802"/>
      <c r="D14" s="210">
        <v>10</v>
      </c>
      <c r="E14" s="366" t="s">
        <v>182</v>
      </c>
      <c r="F14" s="367">
        <f t="shared" si="0"/>
        <v>1338.12</v>
      </c>
      <c r="G14" s="363">
        <v>82.6</v>
      </c>
      <c r="H14" s="363">
        <v>949.6</v>
      </c>
      <c r="I14" s="362">
        <v>1000.2</v>
      </c>
      <c r="J14" s="368">
        <f t="shared" si="1"/>
        <v>1.0532855939342882</v>
      </c>
      <c r="K14" s="362">
        <v>976.3</v>
      </c>
      <c r="L14" s="368">
        <f t="shared" si="2"/>
        <v>1.0281171019376578</v>
      </c>
      <c r="M14" s="362">
        <v>0</v>
      </c>
      <c r="N14" s="368">
        <f t="shared" si="3"/>
        <v>0</v>
      </c>
      <c r="O14" s="369">
        <f t="shared" si="4"/>
        <v>976.3</v>
      </c>
      <c r="P14" s="368">
        <f t="shared" si="5"/>
        <v>1.0281171019376578</v>
      </c>
      <c r="Q14" s="363">
        <v>16.2</v>
      </c>
      <c r="R14" s="368">
        <f t="shared" si="6"/>
        <v>1.7059814658803706E-2</v>
      </c>
      <c r="S14" s="369">
        <f t="shared" si="7"/>
        <v>26.699999999999932</v>
      </c>
      <c r="T14" s="368">
        <f t="shared" si="8"/>
        <v>2.8117101937657887E-2</v>
      </c>
      <c r="U14" s="370">
        <f t="shared" si="9"/>
        <v>2205.4199999999942</v>
      </c>
      <c r="V14" s="214" t="s">
        <v>214</v>
      </c>
      <c r="W14" s="214" t="s">
        <v>155</v>
      </c>
      <c r="X14" s="214" t="s">
        <v>215</v>
      </c>
      <c r="Y14" s="214" t="s">
        <v>157</v>
      </c>
      <c r="Z14" s="214">
        <v>1</v>
      </c>
      <c r="AA14" s="216" t="s">
        <v>129</v>
      </c>
      <c r="AD14" s="378" t="s">
        <v>214</v>
      </c>
    </row>
    <row r="15" spans="2:36" s="212" customFormat="1" ht="27" customHeight="1">
      <c r="B15" s="801"/>
      <c r="C15" s="802"/>
      <c r="D15" s="210">
        <v>11</v>
      </c>
      <c r="E15" s="366" t="s">
        <v>227</v>
      </c>
      <c r="F15" s="367">
        <f t="shared" si="0"/>
        <v>828.8</v>
      </c>
      <c r="G15" s="363">
        <v>103.6</v>
      </c>
      <c r="H15" s="363">
        <v>825</v>
      </c>
      <c r="I15" s="362">
        <v>851.5</v>
      </c>
      <c r="J15" s="368">
        <f t="shared" si="1"/>
        <v>1.0321212121212122</v>
      </c>
      <c r="K15" s="362">
        <v>838.5</v>
      </c>
      <c r="L15" s="368">
        <f t="shared" si="2"/>
        <v>1.0163636363636364</v>
      </c>
      <c r="M15" s="362">
        <v>0</v>
      </c>
      <c r="N15" s="368">
        <f t="shared" si="3"/>
        <v>0</v>
      </c>
      <c r="O15" s="369">
        <f t="shared" si="4"/>
        <v>838.5</v>
      </c>
      <c r="P15" s="368">
        <f t="shared" si="5"/>
        <v>1.0163636363636364</v>
      </c>
      <c r="Q15" s="363">
        <v>8</v>
      </c>
      <c r="R15" s="368">
        <f t="shared" si="6"/>
        <v>9.696969696969697E-3</v>
      </c>
      <c r="S15" s="369">
        <f t="shared" si="7"/>
        <v>13.5</v>
      </c>
      <c r="T15" s="368">
        <f t="shared" si="8"/>
        <v>1.6363636363636365E-2</v>
      </c>
      <c r="U15" s="370">
        <f t="shared" si="9"/>
        <v>1398.6</v>
      </c>
      <c r="V15" s="214" t="s">
        <v>214</v>
      </c>
      <c r="W15" s="214" t="s">
        <v>155</v>
      </c>
      <c r="X15" s="214" t="s">
        <v>215</v>
      </c>
      <c r="Y15" s="214" t="s">
        <v>157</v>
      </c>
      <c r="Z15" s="214">
        <v>1</v>
      </c>
      <c r="AA15" s="216" t="s">
        <v>228</v>
      </c>
      <c r="AD15" s="378" t="s">
        <v>229</v>
      </c>
      <c r="AE15" s="218"/>
    </row>
    <row r="16" spans="2:36" s="212" customFormat="1" ht="27" customHeight="1">
      <c r="B16" s="801"/>
      <c r="C16" s="802"/>
      <c r="D16" s="210">
        <v>12</v>
      </c>
      <c r="E16" s="366" t="s">
        <v>173</v>
      </c>
      <c r="F16" s="367">
        <f t="shared" si="0"/>
        <v>771.68000000000006</v>
      </c>
      <c r="G16" s="363">
        <v>296.8</v>
      </c>
      <c r="H16" s="363">
        <v>76.3</v>
      </c>
      <c r="I16" s="362">
        <v>79</v>
      </c>
      <c r="J16" s="368">
        <f t="shared" si="1"/>
        <v>1.0353866317169069</v>
      </c>
      <c r="K16" s="362">
        <v>80</v>
      </c>
      <c r="L16" s="368">
        <f t="shared" si="2"/>
        <v>1.0484927916120577</v>
      </c>
      <c r="M16" s="362">
        <v>1.9</v>
      </c>
      <c r="N16" s="368">
        <f t="shared" si="3"/>
        <v>2.4901703800786368E-2</v>
      </c>
      <c r="O16" s="369">
        <f t="shared" si="4"/>
        <v>81.900000000000006</v>
      </c>
      <c r="P16" s="368">
        <f t="shared" si="5"/>
        <v>1.073394495412844</v>
      </c>
      <c r="Q16" s="363">
        <v>2.6</v>
      </c>
      <c r="R16" s="368">
        <f t="shared" si="6"/>
        <v>3.4076015727391877E-2</v>
      </c>
      <c r="S16" s="369">
        <f t="shared" si="7"/>
        <v>5.6000000000000085</v>
      </c>
      <c r="T16" s="368">
        <f t="shared" si="8"/>
        <v>7.3394495412844152E-2</v>
      </c>
      <c r="U16" s="370">
        <f t="shared" si="9"/>
        <v>1662.0800000000027</v>
      </c>
      <c r="V16" s="214" t="s">
        <v>218</v>
      </c>
      <c r="W16" s="214" t="s">
        <v>139</v>
      </c>
      <c r="X16" s="214" t="s">
        <v>142</v>
      </c>
      <c r="Y16" s="214" t="s">
        <v>219</v>
      </c>
      <c r="Z16" s="214">
        <v>1</v>
      </c>
      <c r="AA16" s="216" t="s">
        <v>172</v>
      </c>
    </row>
    <row r="17" spans="2:27" s="212" customFormat="1" ht="27" customHeight="1">
      <c r="B17" s="801"/>
      <c r="C17" s="802"/>
      <c r="D17" s="210">
        <v>13</v>
      </c>
      <c r="E17" s="366" t="s">
        <v>170</v>
      </c>
      <c r="F17" s="367">
        <f t="shared" si="0"/>
        <v>607.2299999999999</v>
      </c>
      <c r="G17" s="363">
        <v>155.69999999999999</v>
      </c>
      <c r="H17" s="363">
        <v>257</v>
      </c>
      <c r="I17" s="362">
        <v>252</v>
      </c>
      <c r="J17" s="368">
        <f t="shared" si="1"/>
        <v>0.98054474708171202</v>
      </c>
      <c r="K17" s="362">
        <v>260.89999999999998</v>
      </c>
      <c r="L17" s="368">
        <f t="shared" si="2"/>
        <v>1.0151750972762645</v>
      </c>
      <c r="M17" s="362">
        <v>0</v>
      </c>
      <c r="N17" s="368">
        <f t="shared" si="3"/>
        <v>0</v>
      </c>
      <c r="O17" s="369">
        <f t="shared" si="4"/>
        <v>260.89999999999998</v>
      </c>
      <c r="P17" s="368">
        <f t="shared" si="5"/>
        <v>1.0151750972762645</v>
      </c>
      <c r="Q17" s="363">
        <v>3.9</v>
      </c>
      <c r="R17" s="368">
        <f t="shared" si="6"/>
        <v>1.5175097276264591E-2</v>
      </c>
      <c r="S17" s="369">
        <f t="shared" si="7"/>
        <v>3.8999999999999773</v>
      </c>
      <c r="T17" s="368">
        <f t="shared" si="8"/>
        <v>1.5175097276264503E-2</v>
      </c>
      <c r="U17" s="370">
        <f t="shared" si="9"/>
        <v>607.22999999999638</v>
      </c>
      <c r="V17" s="214" t="s">
        <v>220</v>
      </c>
      <c r="W17" s="214" t="s">
        <v>221</v>
      </c>
      <c r="X17" s="214" t="s">
        <v>222</v>
      </c>
      <c r="Y17" s="214"/>
      <c r="Z17" s="214">
        <v>1</v>
      </c>
      <c r="AA17" s="216" t="s">
        <v>158</v>
      </c>
    </row>
    <row r="18" spans="2:27" s="212" customFormat="1" ht="27" customHeight="1">
      <c r="B18" s="801"/>
      <c r="C18" s="802"/>
      <c r="D18" s="210">
        <v>14</v>
      </c>
      <c r="E18" s="366" t="s">
        <v>175</v>
      </c>
      <c r="F18" s="367">
        <f t="shared" si="0"/>
        <v>560.55999999999995</v>
      </c>
      <c r="G18" s="363">
        <v>100.1</v>
      </c>
      <c r="H18" s="363">
        <v>366.2</v>
      </c>
      <c r="I18" s="362">
        <v>348</v>
      </c>
      <c r="J18" s="368">
        <f t="shared" si="1"/>
        <v>0.95030038230475156</v>
      </c>
      <c r="K18" s="362">
        <v>370.5</v>
      </c>
      <c r="L18" s="368">
        <f t="shared" si="2"/>
        <v>1.0117422173675588</v>
      </c>
      <c r="M18" s="362">
        <v>7.2</v>
      </c>
      <c r="N18" s="368">
        <f t="shared" si="3"/>
        <v>1.9661387220098307E-2</v>
      </c>
      <c r="O18" s="369">
        <f t="shared" si="4"/>
        <v>377.7</v>
      </c>
      <c r="P18" s="368">
        <f t="shared" si="5"/>
        <v>1.0314036045876571</v>
      </c>
      <c r="Q18" s="363">
        <v>5.6</v>
      </c>
      <c r="R18" s="368">
        <f t="shared" si="6"/>
        <v>1.529219006007646E-2</v>
      </c>
      <c r="S18" s="369">
        <f t="shared" si="7"/>
        <v>11.5</v>
      </c>
      <c r="T18" s="368">
        <f t="shared" si="8"/>
        <v>3.1403604587657022E-2</v>
      </c>
      <c r="U18" s="370">
        <f t="shared" si="9"/>
        <v>1151.1499999999999</v>
      </c>
      <c r="V18" s="214" t="s">
        <v>218</v>
      </c>
      <c r="W18" s="214" t="s">
        <v>139</v>
      </c>
      <c r="X18" s="214" t="s">
        <v>142</v>
      </c>
      <c r="Y18" s="214" t="s">
        <v>219</v>
      </c>
      <c r="Z18" s="214">
        <v>1</v>
      </c>
      <c r="AA18" s="216" t="s">
        <v>174</v>
      </c>
    </row>
    <row r="19" spans="2:27" s="212" customFormat="1" ht="27" customHeight="1">
      <c r="B19" s="801"/>
      <c r="C19" s="802"/>
      <c r="D19" s="210">
        <v>15</v>
      </c>
      <c r="E19" s="366" t="s">
        <v>179</v>
      </c>
      <c r="F19" s="367">
        <f t="shared" si="0"/>
        <v>550.80000000000007</v>
      </c>
      <c r="G19" s="363">
        <v>1.8</v>
      </c>
      <c r="H19" s="363">
        <v>35073</v>
      </c>
      <c r="I19" s="362">
        <v>35500</v>
      </c>
      <c r="J19" s="368">
        <f t="shared" si="1"/>
        <v>1.0121746072477404</v>
      </c>
      <c r="K19" s="362">
        <v>35418</v>
      </c>
      <c r="L19" s="368">
        <f t="shared" si="2"/>
        <v>1.009836626464802</v>
      </c>
      <c r="M19" s="362">
        <v>0</v>
      </c>
      <c r="N19" s="368">
        <f t="shared" si="3"/>
        <v>0</v>
      </c>
      <c r="O19" s="369">
        <f t="shared" si="4"/>
        <v>35418</v>
      </c>
      <c r="P19" s="368">
        <f t="shared" si="5"/>
        <v>1.009836626464802</v>
      </c>
      <c r="Q19" s="363">
        <v>306</v>
      </c>
      <c r="R19" s="368">
        <f t="shared" si="6"/>
        <v>8.724659994867847E-3</v>
      </c>
      <c r="S19" s="369">
        <f t="shared" si="7"/>
        <v>345</v>
      </c>
      <c r="T19" s="368">
        <f t="shared" si="8"/>
        <v>9.8366264648019845E-3</v>
      </c>
      <c r="U19" s="370">
        <f t="shared" si="9"/>
        <v>621</v>
      </c>
      <c r="V19" s="214" t="s">
        <v>226</v>
      </c>
      <c r="W19" s="214" t="s">
        <v>144</v>
      </c>
      <c r="X19" s="214" t="s">
        <v>180</v>
      </c>
      <c r="Y19" s="214"/>
      <c r="Z19" s="214">
        <v>1</v>
      </c>
      <c r="AA19" s="216" t="s">
        <v>120</v>
      </c>
    </row>
    <row r="20" spans="2:27" s="212" customFormat="1" ht="27" customHeight="1">
      <c r="B20" s="801"/>
      <c r="C20" s="802"/>
      <c r="D20" s="210">
        <v>16</v>
      </c>
      <c r="E20" s="366" t="s">
        <v>176</v>
      </c>
      <c r="F20" s="367">
        <f t="shared" si="0"/>
        <v>531</v>
      </c>
      <c r="G20" s="363">
        <v>590</v>
      </c>
      <c r="H20" s="363">
        <v>657.6</v>
      </c>
      <c r="I20" s="362">
        <v>624</v>
      </c>
      <c r="J20" s="368">
        <f t="shared" si="1"/>
        <v>0.94890510948905105</v>
      </c>
      <c r="K20" s="362">
        <v>659.3</v>
      </c>
      <c r="L20" s="368">
        <f t="shared" si="2"/>
        <v>1.0025851581508516</v>
      </c>
      <c r="M20" s="362">
        <v>10.5</v>
      </c>
      <c r="N20" s="368">
        <f t="shared" si="3"/>
        <v>1.5967153284671531E-2</v>
      </c>
      <c r="O20" s="369">
        <f t="shared" si="4"/>
        <v>669.8</v>
      </c>
      <c r="P20" s="368">
        <f t="shared" si="5"/>
        <v>1.0185523114355231</v>
      </c>
      <c r="Q20" s="363">
        <v>0.9</v>
      </c>
      <c r="R20" s="368">
        <f t="shared" si="6"/>
        <v>1.3686131386861315E-3</v>
      </c>
      <c r="S20" s="369">
        <f t="shared" si="7"/>
        <v>12.199999999999932</v>
      </c>
      <c r="T20" s="368">
        <f t="shared" si="8"/>
        <v>1.8552311435523008E-2</v>
      </c>
      <c r="U20" s="370">
        <f t="shared" si="9"/>
        <v>7197.99999999996</v>
      </c>
      <c r="V20" s="214" t="s">
        <v>218</v>
      </c>
      <c r="W20" s="214" t="s">
        <v>139</v>
      </c>
      <c r="X20" s="214" t="s">
        <v>142</v>
      </c>
      <c r="Y20" s="214" t="s">
        <v>219</v>
      </c>
      <c r="Z20" s="214">
        <v>1</v>
      </c>
      <c r="AA20" s="216" t="s">
        <v>114</v>
      </c>
    </row>
    <row r="21" spans="2:27" s="212" customFormat="1" ht="27" customHeight="1">
      <c r="B21" s="801"/>
      <c r="C21" s="802"/>
      <c r="D21" s="210">
        <v>17</v>
      </c>
      <c r="E21" s="366" t="s">
        <v>168</v>
      </c>
      <c r="F21" s="367">
        <f t="shared" si="0"/>
        <v>477.5</v>
      </c>
      <c r="G21" s="363">
        <v>95.5</v>
      </c>
      <c r="H21" s="363">
        <v>805.8</v>
      </c>
      <c r="I21" s="362">
        <v>759</v>
      </c>
      <c r="J21" s="368">
        <f t="shared" si="1"/>
        <v>0.9419210722263589</v>
      </c>
      <c r="K21" s="362">
        <v>810.5</v>
      </c>
      <c r="L21" s="368">
        <f t="shared" si="2"/>
        <v>1.0058327128319682</v>
      </c>
      <c r="M21" s="362">
        <v>0</v>
      </c>
      <c r="N21" s="368">
        <f t="shared" si="3"/>
        <v>0</v>
      </c>
      <c r="O21" s="369">
        <f t="shared" si="4"/>
        <v>810.5</v>
      </c>
      <c r="P21" s="368">
        <f t="shared" si="5"/>
        <v>1.0058327128319682</v>
      </c>
      <c r="Q21" s="363">
        <v>5</v>
      </c>
      <c r="R21" s="368">
        <f t="shared" si="6"/>
        <v>6.2050136510300325E-3</v>
      </c>
      <c r="S21" s="369">
        <f t="shared" si="7"/>
        <v>4.7000000000000455</v>
      </c>
      <c r="T21" s="368">
        <f t="shared" si="8"/>
        <v>5.8327128319682871E-3</v>
      </c>
      <c r="U21" s="370">
        <f t="shared" si="9"/>
        <v>448.85000000000434</v>
      </c>
      <c r="V21" s="214" t="s">
        <v>220</v>
      </c>
      <c r="W21" s="214" t="s">
        <v>221</v>
      </c>
      <c r="X21" s="213" t="s">
        <v>222</v>
      </c>
      <c r="Y21" s="214"/>
      <c r="Z21" s="214">
        <v>1</v>
      </c>
      <c r="AA21" s="216" t="s">
        <v>115</v>
      </c>
    </row>
    <row r="22" spans="2:27" s="212" customFormat="1" ht="27" customHeight="1">
      <c r="B22" s="801"/>
      <c r="C22" s="802"/>
      <c r="D22" s="210">
        <v>18</v>
      </c>
      <c r="E22" s="366" t="s">
        <v>230</v>
      </c>
      <c r="F22" s="367">
        <f t="shared" si="0"/>
        <v>446.40000000000003</v>
      </c>
      <c r="G22" s="363">
        <v>248</v>
      </c>
      <c r="H22" s="363">
        <v>104.7</v>
      </c>
      <c r="I22" s="362">
        <v>108.8</v>
      </c>
      <c r="J22" s="368">
        <f t="shared" si="1"/>
        <v>1.0391595033428844</v>
      </c>
      <c r="K22" s="362">
        <v>107.8</v>
      </c>
      <c r="L22" s="368">
        <f t="shared" si="2"/>
        <v>1.029608404966571</v>
      </c>
      <c r="M22" s="362">
        <v>0</v>
      </c>
      <c r="N22" s="368">
        <f t="shared" si="3"/>
        <v>0</v>
      </c>
      <c r="O22" s="369">
        <f t="shared" si="4"/>
        <v>107.8</v>
      </c>
      <c r="P22" s="368">
        <f t="shared" si="5"/>
        <v>1.029608404966571</v>
      </c>
      <c r="Q22" s="363">
        <v>1.8</v>
      </c>
      <c r="R22" s="368">
        <f t="shared" si="6"/>
        <v>1.7191977077363897E-2</v>
      </c>
      <c r="S22" s="369">
        <f t="shared" si="7"/>
        <v>3.0999999999999943</v>
      </c>
      <c r="T22" s="368">
        <f t="shared" si="8"/>
        <v>2.9608404966571102E-2</v>
      </c>
      <c r="U22" s="370">
        <f t="shared" si="9"/>
        <v>768.79999999999859</v>
      </c>
      <c r="V22" s="214" t="s">
        <v>214</v>
      </c>
      <c r="W22" s="214" t="s">
        <v>155</v>
      </c>
      <c r="X22" s="214" t="s">
        <v>215</v>
      </c>
      <c r="Y22" s="214" t="s">
        <v>157</v>
      </c>
      <c r="Z22" s="214">
        <v>1</v>
      </c>
      <c r="AA22" s="216" t="s">
        <v>161</v>
      </c>
    </row>
    <row r="23" spans="2:27" s="212" customFormat="1" ht="27" customHeight="1">
      <c r="B23" s="801"/>
      <c r="C23" s="802"/>
      <c r="D23" s="210">
        <v>19</v>
      </c>
      <c r="E23" s="366" t="s">
        <v>231</v>
      </c>
      <c r="F23" s="367">
        <f t="shared" si="0"/>
        <v>415.68000000000006</v>
      </c>
      <c r="G23" s="363">
        <v>259.8</v>
      </c>
      <c r="H23" s="363">
        <v>44.9</v>
      </c>
      <c r="I23" s="362">
        <v>46.6</v>
      </c>
      <c r="J23" s="368">
        <f t="shared" si="1"/>
        <v>1.0378619153674833</v>
      </c>
      <c r="K23" s="362">
        <v>46.4</v>
      </c>
      <c r="L23" s="368">
        <f t="shared" si="2"/>
        <v>1.0334075723830736</v>
      </c>
      <c r="M23" s="362">
        <v>0</v>
      </c>
      <c r="N23" s="368">
        <f t="shared" si="3"/>
        <v>0</v>
      </c>
      <c r="O23" s="369">
        <f t="shared" si="4"/>
        <v>46.4</v>
      </c>
      <c r="P23" s="368">
        <f t="shared" si="5"/>
        <v>1.0334075723830736</v>
      </c>
      <c r="Q23" s="363">
        <v>1.6</v>
      </c>
      <c r="R23" s="368">
        <f t="shared" si="6"/>
        <v>3.5634743875278402E-2</v>
      </c>
      <c r="S23" s="369">
        <f t="shared" si="7"/>
        <v>1.5</v>
      </c>
      <c r="T23" s="368">
        <f t="shared" si="8"/>
        <v>3.34075723830735E-2</v>
      </c>
      <c r="U23" s="370">
        <f t="shared" si="9"/>
        <v>389.70000000000005</v>
      </c>
      <c r="V23" s="214" t="s">
        <v>214</v>
      </c>
      <c r="W23" s="214" t="s">
        <v>155</v>
      </c>
      <c r="X23" s="214" t="s">
        <v>215</v>
      </c>
      <c r="Y23" s="214" t="s">
        <v>157</v>
      </c>
      <c r="Z23" s="214">
        <v>1</v>
      </c>
      <c r="AA23" s="216" t="s">
        <v>161</v>
      </c>
    </row>
    <row r="24" spans="2:27" s="212" customFormat="1" ht="27" customHeight="1">
      <c r="B24" s="803"/>
      <c r="C24" s="804"/>
      <c r="D24" s="210">
        <v>20</v>
      </c>
      <c r="E24" s="366" t="s">
        <v>177</v>
      </c>
      <c r="F24" s="367">
        <f t="shared" si="0"/>
        <v>269.60000000000002</v>
      </c>
      <c r="G24" s="363">
        <v>674</v>
      </c>
      <c r="H24" s="363">
        <v>20.8</v>
      </c>
      <c r="I24" s="362">
        <v>19.5</v>
      </c>
      <c r="J24" s="368">
        <f t="shared" si="1"/>
        <v>0.9375</v>
      </c>
      <c r="K24" s="362">
        <v>19.399999999999999</v>
      </c>
      <c r="L24" s="368">
        <f t="shared" si="2"/>
        <v>0.9326923076923076</v>
      </c>
      <c r="M24" s="362">
        <v>1.9</v>
      </c>
      <c r="N24" s="368">
        <f t="shared" si="3"/>
        <v>9.1346153846153841E-2</v>
      </c>
      <c r="O24" s="369">
        <f t="shared" si="4"/>
        <v>21.299999999999997</v>
      </c>
      <c r="P24" s="368">
        <f t="shared" si="5"/>
        <v>1.0240384615384615</v>
      </c>
      <c r="Q24" s="363">
        <v>0.4</v>
      </c>
      <c r="R24" s="368">
        <f t="shared" si="6"/>
        <v>1.9230769230769232E-2</v>
      </c>
      <c r="S24" s="369">
        <f t="shared" si="7"/>
        <v>0.49999999999999645</v>
      </c>
      <c r="T24" s="368">
        <f t="shared" si="8"/>
        <v>2.4038461538461366E-2</v>
      </c>
      <c r="U24" s="370">
        <f t="shared" si="9"/>
        <v>336.99999999999761</v>
      </c>
      <c r="V24" s="214" t="s">
        <v>218</v>
      </c>
      <c r="W24" s="214" t="s">
        <v>139</v>
      </c>
      <c r="X24" s="214" t="s">
        <v>142</v>
      </c>
      <c r="Y24" s="214" t="s">
        <v>219</v>
      </c>
      <c r="Z24" s="214">
        <v>1</v>
      </c>
      <c r="AA24" s="216" t="s">
        <v>122</v>
      </c>
    </row>
    <row r="25" spans="2:27" ht="14.1" customHeight="1"/>
    <row r="35" ht="14.1" customHeight="1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AC3:AJ5"/>
    <mergeCell ref="O3:P3"/>
    <mergeCell ref="Q3:R3"/>
    <mergeCell ref="S3:U3"/>
    <mergeCell ref="V3:V4"/>
    <mergeCell ref="W3:W4"/>
    <mergeCell ref="B2:AA2"/>
    <mergeCell ref="F3:F4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$AD$11:$AD$15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2"/>
  <sheetViews>
    <sheetView zoomScale="70" zoomScaleNormal="70"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I22" sqref="I22"/>
    </sheetView>
  </sheetViews>
  <sheetFormatPr defaultColWidth="8.85546875" defaultRowHeight="14.25"/>
  <cols>
    <col min="1" max="1" width="8.85546875" style="152" customWidth="1"/>
    <col min="2" max="2" width="12.42578125" style="152" customWidth="1"/>
    <col min="3" max="3" width="8.85546875" style="152" customWidth="1"/>
    <col min="4" max="4" width="11.5703125" style="152" customWidth="1"/>
    <col min="5" max="5" width="39.28515625" style="152" bestFit="1" customWidth="1"/>
    <col min="6" max="18" width="15.7109375" style="152" customWidth="1"/>
    <col min="19" max="19" width="10" style="152" bestFit="1" customWidth="1"/>
    <col min="20" max="20" width="13.85546875" style="152" bestFit="1" customWidth="1"/>
    <col min="21" max="21" width="8.5703125" style="152" bestFit="1" customWidth="1"/>
    <col min="22" max="22" width="12.42578125" style="152" bestFit="1" customWidth="1"/>
    <col min="23" max="24" width="22.7109375" style="152" bestFit="1" customWidth="1"/>
    <col min="25" max="25" width="72.85546875" style="152" bestFit="1" customWidth="1"/>
    <col min="26" max="26" width="7.42578125" style="152" bestFit="1" customWidth="1"/>
    <col min="27" max="27" width="69.5703125" style="152" bestFit="1" customWidth="1"/>
    <col min="28" max="28" width="11.42578125" style="152" bestFit="1" customWidth="1"/>
    <col min="29" max="29" width="21.5703125" style="152" customWidth="1"/>
    <col min="30" max="30" width="19.42578125" style="152" bestFit="1" customWidth="1"/>
    <col min="31" max="36" width="14.42578125" style="152" customWidth="1"/>
    <col min="37" max="56" width="8.85546875" style="152" customWidth="1"/>
    <col min="57" max="16384" width="8.85546875" style="152"/>
  </cols>
  <sheetData>
    <row r="2" spans="2:36" ht="41.1" customHeight="1">
      <c r="B2" s="777" t="s">
        <v>232</v>
      </c>
      <c r="C2" s="778"/>
      <c r="D2" s="778"/>
      <c r="E2" s="778"/>
      <c r="F2" s="778"/>
      <c r="G2" s="778"/>
      <c r="H2" s="778"/>
      <c r="I2" s="778"/>
      <c r="J2" s="778"/>
      <c r="K2" s="778"/>
      <c r="L2" s="778"/>
      <c r="M2" s="778"/>
      <c r="N2" s="778"/>
      <c r="O2" s="778"/>
      <c r="P2" s="778"/>
      <c r="Q2" s="778"/>
      <c r="R2" s="778"/>
      <c r="S2" s="778"/>
      <c r="T2" s="778"/>
      <c r="U2" s="778"/>
      <c r="V2" s="778"/>
      <c r="W2" s="778"/>
      <c r="X2" s="778"/>
      <c r="Y2" s="778"/>
      <c r="Z2" s="778"/>
      <c r="AA2" s="778"/>
      <c r="AC2" s="153"/>
      <c r="AD2" s="153"/>
    </row>
    <row r="3" spans="2:36" ht="17.100000000000001" customHeight="1">
      <c r="B3" s="805" t="s">
        <v>1</v>
      </c>
      <c r="C3" s="806"/>
      <c r="D3" s="809" t="s">
        <v>194</v>
      </c>
      <c r="E3" s="810" t="s">
        <v>195</v>
      </c>
      <c r="F3" s="812" t="s">
        <v>233</v>
      </c>
      <c r="G3" s="780" t="s">
        <v>197</v>
      </c>
      <c r="H3" s="782" t="s">
        <v>198</v>
      </c>
      <c r="I3" s="783" t="s">
        <v>199</v>
      </c>
      <c r="J3" s="784"/>
      <c r="K3" s="783" t="s">
        <v>200</v>
      </c>
      <c r="L3" s="784"/>
      <c r="M3" s="783" t="s">
        <v>201</v>
      </c>
      <c r="N3" s="784"/>
      <c r="O3" s="783" t="s">
        <v>202</v>
      </c>
      <c r="P3" s="784"/>
      <c r="Q3" s="783" t="s">
        <v>141</v>
      </c>
      <c r="R3" s="811"/>
      <c r="S3" s="784"/>
      <c r="T3" s="794" t="s">
        <v>142</v>
      </c>
      <c r="U3" s="795"/>
      <c r="V3" s="797" t="s">
        <v>203</v>
      </c>
      <c r="W3" s="797" t="s">
        <v>204</v>
      </c>
      <c r="X3" s="797" t="s">
        <v>205</v>
      </c>
      <c r="Y3" s="797" t="s">
        <v>206</v>
      </c>
      <c r="Z3" s="797" t="s">
        <v>207</v>
      </c>
      <c r="AA3" s="780" t="s">
        <v>208</v>
      </c>
      <c r="AC3" s="785" t="s">
        <v>209</v>
      </c>
      <c r="AD3" s="786"/>
      <c r="AE3" s="786"/>
      <c r="AF3" s="786"/>
      <c r="AG3" s="786"/>
      <c r="AH3" s="786"/>
      <c r="AI3" s="786"/>
      <c r="AJ3" s="787"/>
    </row>
    <row r="4" spans="2:36">
      <c r="B4" s="807"/>
      <c r="C4" s="808"/>
      <c r="D4" s="809"/>
      <c r="E4" s="809"/>
      <c r="F4" s="779"/>
      <c r="G4" s="781"/>
      <c r="H4" s="781"/>
      <c r="I4" s="365" t="s">
        <v>210</v>
      </c>
      <c r="J4" s="364" t="s">
        <v>211</v>
      </c>
      <c r="K4" s="365" t="s">
        <v>210</v>
      </c>
      <c r="L4" s="364" t="s">
        <v>211</v>
      </c>
      <c r="M4" s="365" t="s">
        <v>210</v>
      </c>
      <c r="N4" s="364" t="s">
        <v>211</v>
      </c>
      <c r="O4" s="365" t="s">
        <v>210</v>
      </c>
      <c r="P4" s="364" t="s">
        <v>211</v>
      </c>
      <c r="Q4" s="365" t="s">
        <v>210</v>
      </c>
      <c r="R4" s="364" t="s">
        <v>211</v>
      </c>
      <c r="S4" s="364" t="s">
        <v>212</v>
      </c>
      <c r="T4" s="365" t="s">
        <v>210</v>
      </c>
      <c r="U4" s="364" t="s">
        <v>211</v>
      </c>
      <c r="V4" s="798"/>
      <c r="W4" s="798"/>
      <c r="X4" s="798"/>
      <c r="Y4" s="798"/>
      <c r="Z4" s="798"/>
      <c r="AA4" s="781"/>
      <c r="AC4" s="788"/>
      <c r="AD4" s="789"/>
      <c r="AE4" s="789"/>
      <c r="AF4" s="789"/>
      <c r="AG4" s="789"/>
      <c r="AH4" s="789"/>
      <c r="AI4" s="789"/>
      <c r="AJ4" s="790"/>
    </row>
    <row r="5" spans="2:36" s="212" customFormat="1" ht="27" customHeight="1">
      <c r="B5" s="799" t="s">
        <v>213</v>
      </c>
      <c r="C5" s="800"/>
      <c r="D5" s="210">
        <v>1</v>
      </c>
      <c r="E5" s="366" t="s">
        <v>176</v>
      </c>
      <c r="F5" s="370">
        <f>IFERROR(T5*G5,"-")</f>
        <v>7197.99999999996</v>
      </c>
      <c r="G5" s="363">
        <v>590</v>
      </c>
      <c r="H5" s="363">
        <v>657.6</v>
      </c>
      <c r="I5" s="362">
        <v>624</v>
      </c>
      <c r="J5" s="368">
        <f>IFERROR(I5/H5,"-")</f>
        <v>0.94890510948905105</v>
      </c>
      <c r="K5" s="362">
        <v>659.3</v>
      </c>
      <c r="L5" s="368">
        <f>IFERROR(K5/H5,"-")</f>
        <v>1.0025851581508516</v>
      </c>
      <c r="M5" s="362">
        <v>10.5</v>
      </c>
      <c r="N5" s="368">
        <f>IFERROR(M5/H5,"-")</f>
        <v>1.5967153284671531E-2</v>
      </c>
      <c r="O5" s="369">
        <f>IFERROR(K5+M5,"-")</f>
        <v>669.8</v>
      </c>
      <c r="P5" s="368">
        <f>IFERROR(O5/H5,"-")</f>
        <v>1.0185523114355231</v>
      </c>
      <c r="Q5" s="363">
        <v>0.9</v>
      </c>
      <c r="R5" s="368">
        <f>IFERROR(Q5/H5,"-")</f>
        <v>1.3686131386861315E-3</v>
      </c>
      <c r="S5" s="375">
        <f>IFERROR(Q5*G5,"-")</f>
        <v>531</v>
      </c>
      <c r="T5" s="369">
        <f>IFERROR(O5-H5,"-")</f>
        <v>12.199999999999932</v>
      </c>
      <c r="U5" s="368">
        <f>IFERROR(T5/H5,"-")</f>
        <v>1.8552311435523008E-2</v>
      </c>
      <c r="V5" s="214" t="s">
        <v>218</v>
      </c>
      <c r="W5" s="214" t="s">
        <v>139</v>
      </c>
      <c r="X5" s="214" t="s">
        <v>142</v>
      </c>
      <c r="Y5" s="214" t="s">
        <v>219</v>
      </c>
      <c r="Z5" s="214">
        <v>1</v>
      </c>
      <c r="AA5" s="216" t="s">
        <v>114</v>
      </c>
      <c r="AC5" s="791"/>
      <c r="AD5" s="792"/>
      <c r="AE5" s="792"/>
      <c r="AF5" s="792"/>
      <c r="AG5" s="792"/>
      <c r="AH5" s="792"/>
      <c r="AI5" s="792"/>
      <c r="AJ5" s="793"/>
    </row>
    <row r="6" spans="2:36" s="212" customFormat="1" ht="27" customHeight="1">
      <c r="B6" s="801"/>
      <c r="C6" s="802"/>
      <c r="D6" s="210">
        <v>2</v>
      </c>
      <c r="E6" s="366" t="s">
        <v>156</v>
      </c>
      <c r="F6" s="370">
        <f t="shared" ref="F6:F24" si="0">IFERROR(T6*G6,"-")</f>
        <v>5463.5999999999995</v>
      </c>
      <c r="G6" s="363">
        <v>125.6</v>
      </c>
      <c r="H6" s="363">
        <v>2455.1</v>
      </c>
      <c r="I6" s="362">
        <v>2485</v>
      </c>
      <c r="J6" s="368">
        <f t="shared" ref="J6:J24" si="1">IFERROR(I6/H6,"-")</f>
        <v>1.0121787299906317</v>
      </c>
      <c r="K6" s="362">
        <v>2498.6</v>
      </c>
      <c r="L6" s="368">
        <f t="shared" ref="L6:L24" si="2">IFERROR(K6/H6,"-")</f>
        <v>1.0177182192171399</v>
      </c>
      <c r="M6" s="362">
        <v>0</v>
      </c>
      <c r="N6" s="368">
        <f t="shared" ref="N6:N24" si="3">IFERROR(M6/H6,"-")</f>
        <v>0</v>
      </c>
      <c r="O6" s="369">
        <f t="shared" ref="O6:O24" si="4">IFERROR(K6+M6,"-")</f>
        <v>2498.6</v>
      </c>
      <c r="P6" s="368">
        <f t="shared" ref="P6:P24" si="5">IFERROR(O6/H6,"-")</f>
        <v>1.0177182192171399</v>
      </c>
      <c r="Q6" s="363">
        <v>43.6</v>
      </c>
      <c r="R6" s="368">
        <f t="shared" ref="R6:R24" si="6">IFERROR(Q6/H6,"-")</f>
        <v>1.775895075557004E-2</v>
      </c>
      <c r="S6" s="375">
        <f t="shared" ref="S6:S24" si="7">IFERROR(Q6*G6,"-")</f>
        <v>5476.16</v>
      </c>
      <c r="T6" s="369">
        <f t="shared" ref="T6:T24" si="8">IFERROR(O6-H6,"-")</f>
        <v>43.5</v>
      </c>
      <c r="U6" s="368">
        <f t="shared" ref="U6:U24" si="9">IFERROR(T6/H6,"-")</f>
        <v>1.7718219217139831E-2</v>
      </c>
      <c r="V6" s="214" t="s">
        <v>214</v>
      </c>
      <c r="W6" s="214" t="s">
        <v>155</v>
      </c>
      <c r="X6" s="214" t="s">
        <v>155</v>
      </c>
      <c r="Y6" s="214" t="s">
        <v>157</v>
      </c>
      <c r="Z6" s="214">
        <v>1</v>
      </c>
      <c r="AA6" s="216" t="s">
        <v>120</v>
      </c>
      <c r="AC6" s="160" t="s">
        <v>216</v>
      </c>
      <c r="AD6" s="160" t="s">
        <v>155</v>
      </c>
      <c r="AE6" s="211" t="s">
        <v>217</v>
      </c>
      <c r="AF6" s="211" t="s">
        <v>138</v>
      </c>
      <c r="AG6" s="211" t="s">
        <v>139</v>
      </c>
      <c r="AH6" s="211" t="s">
        <v>143</v>
      </c>
      <c r="AI6" s="211" t="s">
        <v>144</v>
      </c>
      <c r="AJ6" s="211" t="s">
        <v>145</v>
      </c>
    </row>
    <row r="7" spans="2:36" s="212" customFormat="1" ht="27" customHeight="1">
      <c r="B7" s="801"/>
      <c r="C7" s="802"/>
      <c r="D7" s="210">
        <v>3</v>
      </c>
      <c r="E7" s="366" t="s">
        <v>164</v>
      </c>
      <c r="F7" s="370">
        <f t="shared" si="0"/>
        <v>4799.5199999999959</v>
      </c>
      <c r="G7" s="363">
        <v>90.9</v>
      </c>
      <c r="H7" s="363">
        <v>1529.7</v>
      </c>
      <c r="I7" s="362">
        <v>1580</v>
      </c>
      <c r="J7" s="368">
        <f t="shared" si="1"/>
        <v>1.0328822644963065</v>
      </c>
      <c r="K7" s="362">
        <v>1582.5</v>
      </c>
      <c r="L7" s="368">
        <f t="shared" si="2"/>
        <v>1.0345165718768385</v>
      </c>
      <c r="M7" s="362">
        <v>0</v>
      </c>
      <c r="N7" s="368">
        <f t="shared" si="3"/>
        <v>0</v>
      </c>
      <c r="O7" s="369">
        <f t="shared" si="4"/>
        <v>1582.5</v>
      </c>
      <c r="P7" s="368">
        <f t="shared" si="5"/>
        <v>1.0345165718768385</v>
      </c>
      <c r="Q7" s="363">
        <v>19.399999999999999</v>
      </c>
      <c r="R7" s="368">
        <f t="shared" si="6"/>
        <v>1.2682225272929332E-2</v>
      </c>
      <c r="S7" s="375">
        <f t="shared" si="7"/>
        <v>1763.46</v>
      </c>
      <c r="T7" s="369">
        <f t="shared" si="8"/>
        <v>52.799999999999955</v>
      </c>
      <c r="U7" s="368">
        <f t="shared" si="9"/>
        <v>3.4516571876838563E-2</v>
      </c>
      <c r="V7" s="214" t="s">
        <v>214</v>
      </c>
      <c r="W7" s="214" t="s">
        <v>155</v>
      </c>
      <c r="X7" s="214" t="s">
        <v>155</v>
      </c>
      <c r="Y7" s="214" t="s">
        <v>157</v>
      </c>
      <c r="Z7" s="214">
        <v>1</v>
      </c>
      <c r="AA7" s="216" t="s">
        <v>163</v>
      </c>
      <c r="AC7" s="371">
        <f>SUM(Z5:Z24)</f>
        <v>20</v>
      </c>
      <c r="AD7" s="215">
        <f>SUMIF($W$5:$W$24,TRIM(AD6),$Z$5:$Z$24)</f>
        <v>13</v>
      </c>
      <c r="AE7" s="215">
        <f t="shared" ref="AE7:AI7" si="10">SUMIF($W$5:$W$24,TRIM(AE6),$Z$5:$Z$24)</f>
        <v>1</v>
      </c>
      <c r="AF7" s="215">
        <f>SUMIF($W$5:$W$24,TRIM(AF6),$Z$5:$Z$24)</f>
        <v>0</v>
      </c>
      <c r="AG7" s="215">
        <f>SUMIF($W$5:$W$24,TRIM(AG6),$Z$5:$Z$24)</f>
        <v>5</v>
      </c>
      <c r="AH7" s="215">
        <f t="shared" si="10"/>
        <v>0</v>
      </c>
      <c r="AI7" s="215">
        <f t="shared" si="10"/>
        <v>1</v>
      </c>
      <c r="AJ7" s="215">
        <f>SUMIF($W$5:$W$24,TRIM(AJ6),$Z$5:$Z$24)</f>
        <v>0</v>
      </c>
    </row>
    <row r="8" spans="2:36" s="212" customFormat="1" ht="27" customHeight="1">
      <c r="B8" s="801"/>
      <c r="C8" s="802"/>
      <c r="D8" s="210">
        <v>4</v>
      </c>
      <c r="E8" s="366" t="s">
        <v>170</v>
      </c>
      <c r="F8" s="370">
        <f t="shared" si="0"/>
        <v>4464.7200000000021</v>
      </c>
      <c r="G8" s="363">
        <v>140.4</v>
      </c>
      <c r="H8" s="363">
        <v>350.7</v>
      </c>
      <c r="I8" s="362">
        <v>355</v>
      </c>
      <c r="J8" s="368">
        <f t="shared" si="1"/>
        <v>1.0122611919019104</v>
      </c>
      <c r="K8" s="362">
        <v>370.3</v>
      </c>
      <c r="L8" s="368">
        <f t="shared" si="2"/>
        <v>1.0558882235528944</v>
      </c>
      <c r="M8" s="362">
        <v>12.2</v>
      </c>
      <c r="N8" s="368">
        <f t="shared" si="3"/>
        <v>3.4787567721699456E-2</v>
      </c>
      <c r="O8" s="369">
        <f t="shared" si="4"/>
        <v>382.5</v>
      </c>
      <c r="P8" s="368">
        <f t="shared" si="5"/>
        <v>1.0906757912745937</v>
      </c>
      <c r="Q8" s="363">
        <v>15.4</v>
      </c>
      <c r="R8" s="368">
        <f t="shared" si="6"/>
        <v>4.3912175648702596E-2</v>
      </c>
      <c r="S8" s="375">
        <f t="shared" si="7"/>
        <v>2162.1600000000003</v>
      </c>
      <c r="T8" s="369">
        <f t="shared" si="8"/>
        <v>31.800000000000011</v>
      </c>
      <c r="U8" s="368">
        <f t="shared" si="9"/>
        <v>9.0675791274593701E-2</v>
      </c>
      <c r="V8" s="214" t="s">
        <v>218</v>
      </c>
      <c r="W8" s="214" t="s">
        <v>139</v>
      </c>
      <c r="X8" s="214" t="s">
        <v>142</v>
      </c>
      <c r="Y8" s="214" t="s">
        <v>219</v>
      </c>
      <c r="Z8" s="214">
        <v>1</v>
      </c>
      <c r="AA8" s="216" t="s">
        <v>120</v>
      </c>
      <c r="AC8" s="372" t="s">
        <v>140</v>
      </c>
      <c r="AD8" s="373">
        <f>SUMIF($W5:$W$24,TRIM(AD6),$F$5:$F$24)</f>
        <v>29279.379999999979</v>
      </c>
      <c r="AE8" s="373">
        <f>SUMIF($W5:$W$24,TRIM(AE6),$F$5:$F$24)</f>
        <v>2504.2500000000118</v>
      </c>
      <c r="AF8" s="373">
        <f>SUMIF($W5:$W$24,TRIM(AF6),$F$5:$F$24)</f>
        <v>0</v>
      </c>
      <c r="AG8" s="373">
        <f>SUMIF($W5:$W$24,TRIM(AG6),$F$5:$F$24)</f>
        <v>15839.399999999965</v>
      </c>
      <c r="AH8" s="373">
        <f>SUMIF($W5:$W$24,TRIM(AH6),$F$5:$F$24)</f>
        <v>0</v>
      </c>
      <c r="AI8" s="373">
        <f>SUMIF($W5:$W$24,TRIM(AI6),$F$5:$F$24)</f>
        <v>2204.2199999999852</v>
      </c>
      <c r="AJ8" s="373">
        <f>SUMIF($W5:$W$24,TRIM(AJ6),$F$5:$F$24)</f>
        <v>0</v>
      </c>
    </row>
    <row r="9" spans="2:36" s="212" customFormat="1" ht="27" customHeight="1">
      <c r="B9" s="801"/>
      <c r="C9" s="802"/>
      <c r="D9" s="210">
        <v>5</v>
      </c>
      <c r="E9" s="366" t="s">
        <v>224</v>
      </c>
      <c r="F9" s="370">
        <f t="shared" si="0"/>
        <v>3226.2299999999923</v>
      </c>
      <c r="G9" s="363">
        <v>56.7</v>
      </c>
      <c r="H9" s="363">
        <v>1645.9</v>
      </c>
      <c r="I9" s="362">
        <v>1709.5</v>
      </c>
      <c r="J9" s="368">
        <f t="shared" si="1"/>
        <v>1.0386414727504709</v>
      </c>
      <c r="K9" s="362">
        <v>1702.8</v>
      </c>
      <c r="L9" s="368">
        <f t="shared" si="2"/>
        <v>1.0345707515644935</v>
      </c>
      <c r="M9" s="362">
        <v>0</v>
      </c>
      <c r="N9" s="368">
        <f t="shared" si="3"/>
        <v>0</v>
      </c>
      <c r="O9" s="369">
        <f t="shared" si="4"/>
        <v>1702.8</v>
      </c>
      <c r="P9" s="368">
        <f t="shared" si="5"/>
        <v>1.0345707515644935</v>
      </c>
      <c r="Q9" s="363">
        <v>29.6</v>
      </c>
      <c r="R9" s="368">
        <f t="shared" si="6"/>
        <v>1.7984081657451849E-2</v>
      </c>
      <c r="S9" s="375">
        <f t="shared" si="7"/>
        <v>1678.3200000000002</v>
      </c>
      <c r="T9" s="369">
        <f t="shared" si="8"/>
        <v>56.899999999999864</v>
      </c>
      <c r="U9" s="368">
        <f t="shared" si="9"/>
        <v>3.4570751564493504E-2</v>
      </c>
      <c r="V9" s="214" t="s">
        <v>214</v>
      </c>
      <c r="W9" s="214" t="s">
        <v>155</v>
      </c>
      <c r="X9" s="214" t="s">
        <v>155</v>
      </c>
      <c r="Y9" s="214" t="s">
        <v>157</v>
      </c>
      <c r="Z9" s="214">
        <v>1</v>
      </c>
      <c r="AA9" s="216" t="s">
        <v>161</v>
      </c>
      <c r="AC9" s="210" t="s">
        <v>223</v>
      </c>
      <c r="AD9" s="374">
        <f t="shared" ref="AD9:AJ9" si="11">AD7/$AC7</f>
        <v>0.65</v>
      </c>
      <c r="AE9" s="374">
        <f t="shared" si="11"/>
        <v>0.05</v>
      </c>
      <c r="AF9" s="374">
        <f t="shared" si="11"/>
        <v>0</v>
      </c>
      <c r="AG9" s="374">
        <f t="shared" si="11"/>
        <v>0.25</v>
      </c>
      <c r="AH9" s="374">
        <f t="shared" si="11"/>
        <v>0</v>
      </c>
      <c r="AI9" s="374">
        <f t="shared" si="11"/>
        <v>0.05</v>
      </c>
      <c r="AJ9" s="374">
        <f t="shared" si="11"/>
        <v>0</v>
      </c>
    </row>
    <row r="10" spans="2:36" s="212" customFormat="1" ht="27" customHeight="1">
      <c r="B10" s="801"/>
      <c r="C10" s="802"/>
      <c r="D10" s="210">
        <v>6</v>
      </c>
      <c r="E10" s="366" t="s">
        <v>162</v>
      </c>
      <c r="F10" s="370">
        <f t="shared" si="0"/>
        <v>3143.6000000000004</v>
      </c>
      <c r="G10" s="363">
        <v>216.8</v>
      </c>
      <c r="H10" s="363">
        <v>299.3</v>
      </c>
      <c r="I10" s="362">
        <v>310.8</v>
      </c>
      <c r="J10" s="368">
        <f t="shared" si="1"/>
        <v>1.0384229869695958</v>
      </c>
      <c r="K10" s="362">
        <v>313.8</v>
      </c>
      <c r="L10" s="368">
        <f t="shared" si="2"/>
        <v>1.0484463748747077</v>
      </c>
      <c r="M10" s="362">
        <v>0</v>
      </c>
      <c r="N10" s="368">
        <f t="shared" si="3"/>
        <v>0</v>
      </c>
      <c r="O10" s="369">
        <f t="shared" si="4"/>
        <v>313.8</v>
      </c>
      <c r="P10" s="368">
        <f t="shared" si="5"/>
        <v>1.0484463748747077</v>
      </c>
      <c r="Q10" s="363">
        <v>9.1999999999999993</v>
      </c>
      <c r="R10" s="368">
        <f t="shared" si="6"/>
        <v>3.0738389575676574E-2</v>
      </c>
      <c r="S10" s="375">
        <f t="shared" si="7"/>
        <v>1994.56</v>
      </c>
      <c r="T10" s="369">
        <f t="shared" si="8"/>
        <v>14.5</v>
      </c>
      <c r="U10" s="368">
        <f t="shared" si="9"/>
        <v>4.8446374874707647E-2</v>
      </c>
      <c r="V10" s="214" t="s">
        <v>214</v>
      </c>
      <c r="W10" s="214" t="s">
        <v>155</v>
      </c>
      <c r="X10" s="214" t="s">
        <v>155</v>
      </c>
      <c r="Y10" s="214" t="s">
        <v>157</v>
      </c>
      <c r="Z10" s="214">
        <v>1</v>
      </c>
      <c r="AA10" s="216" t="s">
        <v>161</v>
      </c>
    </row>
    <row r="11" spans="2:36" s="212" customFormat="1" ht="27" customHeight="1">
      <c r="B11" s="801"/>
      <c r="C11" s="802"/>
      <c r="D11" s="210">
        <v>7</v>
      </c>
      <c r="E11" s="366" t="s">
        <v>159</v>
      </c>
      <c r="F11" s="370">
        <f t="shared" si="0"/>
        <v>2608.1999999999998</v>
      </c>
      <c r="G11" s="363">
        <v>193.2</v>
      </c>
      <c r="H11" s="363">
        <v>1028.2</v>
      </c>
      <c r="I11" s="362">
        <v>1008</v>
      </c>
      <c r="J11" s="368">
        <f t="shared" si="1"/>
        <v>0.98035401672826294</v>
      </c>
      <c r="K11" s="362">
        <v>1041.7</v>
      </c>
      <c r="L11" s="368">
        <f t="shared" si="2"/>
        <v>1.0131297412954678</v>
      </c>
      <c r="M11" s="362">
        <v>0</v>
      </c>
      <c r="N11" s="368">
        <f t="shared" si="3"/>
        <v>0</v>
      </c>
      <c r="O11" s="369">
        <f t="shared" si="4"/>
        <v>1041.7</v>
      </c>
      <c r="P11" s="368">
        <f t="shared" si="5"/>
        <v>1.0131297412954678</v>
      </c>
      <c r="Q11" s="363">
        <v>13.4</v>
      </c>
      <c r="R11" s="368">
        <f t="shared" si="6"/>
        <v>1.3032483952538417E-2</v>
      </c>
      <c r="S11" s="375">
        <f t="shared" si="7"/>
        <v>2588.88</v>
      </c>
      <c r="T11" s="369">
        <f t="shared" si="8"/>
        <v>13.5</v>
      </c>
      <c r="U11" s="368">
        <f t="shared" si="9"/>
        <v>1.3129741295467807E-2</v>
      </c>
      <c r="V11" s="214" t="s">
        <v>214</v>
      </c>
      <c r="W11" s="214" t="s">
        <v>155</v>
      </c>
      <c r="X11" s="214" t="s">
        <v>155</v>
      </c>
      <c r="Y11" s="214" t="s">
        <v>157</v>
      </c>
      <c r="Z11" s="214">
        <v>1</v>
      </c>
      <c r="AA11" s="216" t="s">
        <v>158</v>
      </c>
    </row>
    <row r="12" spans="2:36" s="212" customFormat="1" ht="27" customHeight="1">
      <c r="B12" s="801"/>
      <c r="C12" s="802"/>
      <c r="D12" s="210">
        <v>8</v>
      </c>
      <c r="E12" s="366" t="s">
        <v>168</v>
      </c>
      <c r="F12" s="370">
        <f t="shared" si="0"/>
        <v>2504.2500000000118</v>
      </c>
      <c r="G12" s="363">
        <v>132.5</v>
      </c>
      <c r="H12" s="363">
        <v>2927.2</v>
      </c>
      <c r="I12" s="362">
        <v>2784</v>
      </c>
      <c r="J12" s="368">
        <f t="shared" si="1"/>
        <v>0.95107952992620937</v>
      </c>
      <c r="K12" s="362">
        <v>2946.1</v>
      </c>
      <c r="L12" s="368">
        <f t="shared" si="2"/>
        <v>1.0064566821535939</v>
      </c>
      <c r="M12" s="362">
        <v>0</v>
      </c>
      <c r="N12" s="368">
        <f t="shared" si="3"/>
        <v>0</v>
      </c>
      <c r="O12" s="369">
        <f t="shared" si="4"/>
        <v>2946.1</v>
      </c>
      <c r="P12" s="368">
        <f t="shared" si="5"/>
        <v>1.0064566821535939</v>
      </c>
      <c r="Q12" s="363">
        <v>15.7</v>
      </c>
      <c r="R12" s="368">
        <f t="shared" si="6"/>
        <v>5.3634872916097295E-3</v>
      </c>
      <c r="S12" s="375">
        <f t="shared" si="7"/>
        <v>2080.25</v>
      </c>
      <c r="T12" s="369">
        <f t="shared" si="8"/>
        <v>18.900000000000091</v>
      </c>
      <c r="U12" s="368">
        <f t="shared" si="9"/>
        <v>6.4566821535939093E-3</v>
      </c>
      <c r="V12" s="214" t="s">
        <v>220</v>
      </c>
      <c r="W12" s="214" t="s">
        <v>221</v>
      </c>
      <c r="X12" s="213" t="s">
        <v>222</v>
      </c>
      <c r="Y12" s="214"/>
      <c r="Z12" s="214">
        <v>1</v>
      </c>
      <c r="AA12" s="216" t="s">
        <v>116</v>
      </c>
      <c r="AD12" s="378" t="s">
        <v>220</v>
      </c>
    </row>
    <row r="13" spans="2:36" s="212" customFormat="1" ht="27" customHeight="1">
      <c r="B13" s="801"/>
      <c r="C13" s="802"/>
      <c r="D13" s="210">
        <v>9</v>
      </c>
      <c r="E13" s="366" t="s">
        <v>186</v>
      </c>
      <c r="F13" s="370">
        <f t="shared" si="0"/>
        <v>2204.2199999999852</v>
      </c>
      <c r="G13" s="363">
        <v>432.2</v>
      </c>
      <c r="H13" s="363">
        <v>280.60000000000002</v>
      </c>
      <c r="I13" s="362">
        <v>284</v>
      </c>
      <c r="J13" s="368">
        <f t="shared" si="1"/>
        <v>1.0121168923734853</v>
      </c>
      <c r="K13" s="362">
        <v>282.8</v>
      </c>
      <c r="L13" s="368">
        <f t="shared" si="2"/>
        <v>1.0078403421240199</v>
      </c>
      <c r="M13" s="362">
        <v>2.9</v>
      </c>
      <c r="N13" s="368">
        <f t="shared" si="3"/>
        <v>1.0334996436208124E-2</v>
      </c>
      <c r="O13" s="369">
        <f t="shared" si="4"/>
        <v>285.7</v>
      </c>
      <c r="P13" s="368">
        <f t="shared" si="5"/>
        <v>1.0181753385602279</v>
      </c>
      <c r="Q13" s="363">
        <v>0.6</v>
      </c>
      <c r="R13" s="368">
        <f t="shared" si="6"/>
        <v>2.1382751247327153E-3</v>
      </c>
      <c r="S13" s="375">
        <f t="shared" si="7"/>
        <v>259.32</v>
      </c>
      <c r="T13" s="369">
        <f t="shared" si="8"/>
        <v>5.0999999999999659</v>
      </c>
      <c r="U13" s="368">
        <f t="shared" si="9"/>
        <v>1.817533856022796E-2</v>
      </c>
      <c r="V13" s="214" t="s">
        <v>226</v>
      </c>
      <c r="W13" s="214" t="s">
        <v>144</v>
      </c>
      <c r="X13" s="213" t="s">
        <v>234</v>
      </c>
      <c r="Y13" s="214"/>
      <c r="Z13" s="214">
        <v>1</v>
      </c>
      <c r="AA13" s="216" t="s">
        <v>120</v>
      </c>
      <c r="AD13" s="378" t="s">
        <v>218</v>
      </c>
    </row>
    <row r="14" spans="2:36" s="212" customFormat="1" ht="27" customHeight="1">
      <c r="B14" s="801"/>
      <c r="C14" s="802"/>
      <c r="D14" s="210">
        <v>10</v>
      </c>
      <c r="E14" s="366" t="s">
        <v>225</v>
      </c>
      <c r="F14" s="370">
        <f t="shared" si="0"/>
        <v>2204.6199999999935</v>
      </c>
      <c r="G14" s="363">
        <v>182.2</v>
      </c>
      <c r="H14" s="363">
        <v>299.3</v>
      </c>
      <c r="I14" s="362">
        <v>310.8</v>
      </c>
      <c r="J14" s="368">
        <f t="shared" si="1"/>
        <v>1.0384229869695958</v>
      </c>
      <c r="K14" s="362">
        <v>311.39999999999998</v>
      </c>
      <c r="L14" s="368">
        <f t="shared" si="2"/>
        <v>1.0404276645506181</v>
      </c>
      <c r="M14" s="362">
        <v>0</v>
      </c>
      <c r="N14" s="368">
        <f t="shared" si="3"/>
        <v>0</v>
      </c>
      <c r="O14" s="369">
        <f t="shared" si="4"/>
        <v>311.39999999999998</v>
      </c>
      <c r="P14" s="368">
        <f t="shared" si="5"/>
        <v>1.0404276645506181</v>
      </c>
      <c r="Q14" s="363">
        <v>8.6</v>
      </c>
      <c r="R14" s="368">
        <f t="shared" si="6"/>
        <v>2.8733711994654191E-2</v>
      </c>
      <c r="S14" s="375">
        <f t="shared" si="7"/>
        <v>1566.9199999999998</v>
      </c>
      <c r="T14" s="369">
        <f t="shared" si="8"/>
        <v>12.099999999999966</v>
      </c>
      <c r="U14" s="368">
        <f t="shared" si="9"/>
        <v>4.0427664550617991E-2</v>
      </c>
      <c r="V14" s="214" t="s">
        <v>214</v>
      </c>
      <c r="W14" s="214" t="s">
        <v>155</v>
      </c>
      <c r="X14" s="214" t="s">
        <v>155</v>
      </c>
      <c r="Y14" s="214" t="s">
        <v>157</v>
      </c>
      <c r="Z14" s="214">
        <v>1</v>
      </c>
      <c r="AA14" s="216" t="s">
        <v>161</v>
      </c>
      <c r="AD14" s="378" t="s">
        <v>226</v>
      </c>
    </row>
    <row r="15" spans="2:36" s="212" customFormat="1" ht="27" customHeight="1">
      <c r="B15" s="801"/>
      <c r="C15" s="802"/>
      <c r="D15" s="210">
        <v>11</v>
      </c>
      <c r="E15" s="366" t="s">
        <v>182</v>
      </c>
      <c r="F15" s="370">
        <f t="shared" si="0"/>
        <v>2205.4199999999942</v>
      </c>
      <c r="G15" s="363">
        <v>82.6</v>
      </c>
      <c r="H15" s="363">
        <v>949.6</v>
      </c>
      <c r="I15" s="362">
        <v>1000.2</v>
      </c>
      <c r="J15" s="368">
        <f t="shared" si="1"/>
        <v>1.0532855939342882</v>
      </c>
      <c r="K15" s="362">
        <v>976.3</v>
      </c>
      <c r="L15" s="368">
        <f t="shared" si="2"/>
        <v>1.0281171019376578</v>
      </c>
      <c r="M15" s="362">
        <v>0</v>
      </c>
      <c r="N15" s="368">
        <f t="shared" si="3"/>
        <v>0</v>
      </c>
      <c r="O15" s="369">
        <f t="shared" si="4"/>
        <v>976.3</v>
      </c>
      <c r="P15" s="368">
        <f t="shared" si="5"/>
        <v>1.0281171019376578</v>
      </c>
      <c r="Q15" s="363">
        <v>16.2</v>
      </c>
      <c r="R15" s="368">
        <f t="shared" si="6"/>
        <v>1.7059814658803706E-2</v>
      </c>
      <c r="S15" s="375">
        <f t="shared" si="7"/>
        <v>1338.12</v>
      </c>
      <c r="T15" s="369">
        <f t="shared" si="8"/>
        <v>26.699999999999932</v>
      </c>
      <c r="U15" s="368">
        <f t="shared" si="9"/>
        <v>2.8117101937657887E-2</v>
      </c>
      <c r="V15" s="214" t="s">
        <v>214</v>
      </c>
      <c r="W15" s="214" t="s">
        <v>155</v>
      </c>
      <c r="X15" s="214" t="s">
        <v>155</v>
      </c>
      <c r="Y15" s="214" t="s">
        <v>157</v>
      </c>
      <c r="Z15" s="214">
        <v>1</v>
      </c>
      <c r="AA15" s="216" t="s">
        <v>129</v>
      </c>
      <c r="AD15" s="378" t="s">
        <v>214</v>
      </c>
      <c r="AE15" s="218"/>
    </row>
    <row r="16" spans="2:36" s="212" customFormat="1" ht="27" customHeight="1">
      <c r="B16" s="801"/>
      <c r="C16" s="802"/>
      <c r="D16" s="210">
        <v>12</v>
      </c>
      <c r="E16" s="366" t="s">
        <v>160</v>
      </c>
      <c r="F16" s="370">
        <f t="shared" si="0"/>
        <v>1726.5300000000009</v>
      </c>
      <c r="G16" s="363">
        <v>1328.1</v>
      </c>
      <c r="H16" s="363">
        <v>28.5</v>
      </c>
      <c r="I16" s="362">
        <v>30</v>
      </c>
      <c r="J16" s="368">
        <f t="shared" si="1"/>
        <v>1.0526315789473684</v>
      </c>
      <c r="K16" s="362">
        <v>29.8</v>
      </c>
      <c r="L16" s="368">
        <f t="shared" si="2"/>
        <v>1.0456140350877192</v>
      </c>
      <c r="M16" s="362">
        <v>0</v>
      </c>
      <c r="N16" s="368">
        <f t="shared" si="3"/>
        <v>0</v>
      </c>
      <c r="O16" s="369">
        <f t="shared" si="4"/>
        <v>29.8</v>
      </c>
      <c r="P16" s="368">
        <f t="shared" si="5"/>
        <v>1.0456140350877192</v>
      </c>
      <c r="Q16" s="363">
        <v>1.8</v>
      </c>
      <c r="R16" s="368">
        <f t="shared" si="6"/>
        <v>6.3157894736842107E-2</v>
      </c>
      <c r="S16" s="375">
        <f t="shared" si="7"/>
        <v>2390.58</v>
      </c>
      <c r="T16" s="369">
        <f t="shared" si="8"/>
        <v>1.3000000000000007</v>
      </c>
      <c r="U16" s="368">
        <f t="shared" si="9"/>
        <v>4.5614035087719322E-2</v>
      </c>
      <c r="V16" s="214" t="s">
        <v>214</v>
      </c>
      <c r="W16" s="214" t="s">
        <v>155</v>
      </c>
      <c r="X16" s="214" t="s">
        <v>155</v>
      </c>
      <c r="Y16" s="214" t="s">
        <v>157</v>
      </c>
      <c r="Z16" s="214">
        <v>1</v>
      </c>
      <c r="AA16" s="216" t="s">
        <v>129</v>
      </c>
      <c r="AD16" s="378" t="s">
        <v>229</v>
      </c>
    </row>
    <row r="17" spans="2:27" s="212" customFormat="1" ht="27" customHeight="1">
      <c r="B17" s="801"/>
      <c r="C17" s="802"/>
      <c r="D17" s="210">
        <v>13</v>
      </c>
      <c r="E17" s="366" t="s">
        <v>173</v>
      </c>
      <c r="F17" s="370">
        <f t="shared" si="0"/>
        <v>1662.0800000000027</v>
      </c>
      <c r="G17" s="363">
        <v>296.8</v>
      </c>
      <c r="H17" s="363">
        <v>76.3</v>
      </c>
      <c r="I17" s="362">
        <v>79</v>
      </c>
      <c r="J17" s="368">
        <f t="shared" si="1"/>
        <v>1.0353866317169069</v>
      </c>
      <c r="K17" s="362">
        <v>80</v>
      </c>
      <c r="L17" s="368">
        <f t="shared" si="2"/>
        <v>1.0484927916120577</v>
      </c>
      <c r="M17" s="362">
        <v>1.9</v>
      </c>
      <c r="N17" s="368">
        <f t="shared" si="3"/>
        <v>2.4901703800786368E-2</v>
      </c>
      <c r="O17" s="369">
        <f t="shared" si="4"/>
        <v>81.900000000000006</v>
      </c>
      <c r="P17" s="368">
        <f t="shared" si="5"/>
        <v>1.073394495412844</v>
      </c>
      <c r="Q17" s="363">
        <v>2.6</v>
      </c>
      <c r="R17" s="368">
        <f t="shared" si="6"/>
        <v>3.4076015727391877E-2</v>
      </c>
      <c r="S17" s="375">
        <f t="shared" si="7"/>
        <v>771.68000000000006</v>
      </c>
      <c r="T17" s="369">
        <f t="shared" si="8"/>
        <v>5.6000000000000085</v>
      </c>
      <c r="U17" s="368">
        <f t="shared" si="9"/>
        <v>7.3394495412844152E-2</v>
      </c>
      <c r="V17" s="214" t="s">
        <v>218</v>
      </c>
      <c r="W17" s="214" t="s">
        <v>139</v>
      </c>
      <c r="X17" s="213" t="s">
        <v>142</v>
      </c>
      <c r="Y17" s="214" t="s">
        <v>219</v>
      </c>
      <c r="Z17" s="214">
        <v>1</v>
      </c>
      <c r="AA17" s="216" t="s">
        <v>172</v>
      </c>
    </row>
    <row r="18" spans="2:27" s="212" customFormat="1" ht="27" customHeight="1">
      <c r="B18" s="801"/>
      <c r="C18" s="802"/>
      <c r="D18" s="210">
        <v>14</v>
      </c>
      <c r="E18" s="366" t="s">
        <v>227</v>
      </c>
      <c r="F18" s="370">
        <f t="shared" si="0"/>
        <v>1398.6</v>
      </c>
      <c r="G18" s="363">
        <v>103.6</v>
      </c>
      <c r="H18" s="363">
        <v>825</v>
      </c>
      <c r="I18" s="362">
        <v>851.5</v>
      </c>
      <c r="J18" s="368">
        <f t="shared" si="1"/>
        <v>1.0321212121212122</v>
      </c>
      <c r="K18" s="362">
        <v>838.5</v>
      </c>
      <c r="L18" s="368">
        <f t="shared" si="2"/>
        <v>1.0163636363636364</v>
      </c>
      <c r="M18" s="362">
        <v>0</v>
      </c>
      <c r="N18" s="368">
        <f t="shared" si="3"/>
        <v>0</v>
      </c>
      <c r="O18" s="369">
        <f t="shared" si="4"/>
        <v>838.5</v>
      </c>
      <c r="P18" s="368">
        <f t="shared" si="5"/>
        <v>1.0163636363636364</v>
      </c>
      <c r="Q18" s="363">
        <v>8</v>
      </c>
      <c r="R18" s="368">
        <f t="shared" si="6"/>
        <v>9.696969696969697E-3</v>
      </c>
      <c r="S18" s="375">
        <f t="shared" si="7"/>
        <v>828.8</v>
      </c>
      <c r="T18" s="369">
        <f t="shared" si="8"/>
        <v>13.5</v>
      </c>
      <c r="U18" s="368">
        <f t="shared" si="9"/>
        <v>1.6363636363636365E-2</v>
      </c>
      <c r="V18" s="214" t="s">
        <v>218</v>
      </c>
      <c r="W18" s="214" t="s">
        <v>139</v>
      </c>
      <c r="X18" s="213" t="s">
        <v>142</v>
      </c>
      <c r="Y18" s="214" t="s">
        <v>219</v>
      </c>
      <c r="Z18" s="214">
        <v>1</v>
      </c>
      <c r="AA18" s="216" t="s">
        <v>228</v>
      </c>
    </row>
    <row r="19" spans="2:27" s="212" customFormat="1" ht="27" customHeight="1">
      <c r="B19" s="801"/>
      <c r="C19" s="802"/>
      <c r="D19" s="210">
        <v>15</v>
      </c>
      <c r="E19" s="366" t="s">
        <v>235</v>
      </c>
      <c r="F19" s="370">
        <f t="shared" si="0"/>
        <v>1116.0000000000027</v>
      </c>
      <c r="G19" s="363">
        <v>620</v>
      </c>
      <c r="H19" s="363">
        <v>34.4</v>
      </c>
      <c r="I19" s="362">
        <v>34.700000000000003</v>
      </c>
      <c r="J19" s="368">
        <f t="shared" si="1"/>
        <v>1.0087209302325582</v>
      </c>
      <c r="K19" s="362">
        <v>33.200000000000003</v>
      </c>
      <c r="L19" s="368">
        <f t="shared" si="2"/>
        <v>0.9651162790697676</v>
      </c>
      <c r="M19" s="362">
        <v>3</v>
      </c>
      <c r="N19" s="368">
        <f t="shared" si="3"/>
        <v>8.7209302325581398E-2</v>
      </c>
      <c r="O19" s="369">
        <f t="shared" si="4"/>
        <v>36.200000000000003</v>
      </c>
      <c r="P19" s="368">
        <f t="shared" si="5"/>
        <v>1.0523255813953489</v>
      </c>
      <c r="Q19" s="363">
        <v>0</v>
      </c>
      <c r="R19" s="368">
        <f t="shared" si="6"/>
        <v>0</v>
      </c>
      <c r="S19" s="375">
        <f t="shared" si="7"/>
        <v>0</v>
      </c>
      <c r="T19" s="369">
        <f t="shared" si="8"/>
        <v>1.8000000000000043</v>
      </c>
      <c r="U19" s="368">
        <f t="shared" si="9"/>
        <v>5.2325581395348965E-2</v>
      </c>
      <c r="V19" s="214" t="s">
        <v>218</v>
      </c>
      <c r="W19" s="214" t="s">
        <v>139</v>
      </c>
      <c r="X19" s="214" t="s">
        <v>142</v>
      </c>
      <c r="Y19" s="214" t="s">
        <v>219</v>
      </c>
      <c r="Z19" s="214">
        <v>1</v>
      </c>
      <c r="AA19" s="216" t="s">
        <v>228</v>
      </c>
    </row>
    <row r="20" spans="2:27" s="212" customFormat="1" ht="27" customHeight="1">
      <c r="B20" s="801"/>
      <c r="C20" s="802"/>
      <c r="D20" s="210">
        <v>16</v>
      </c>
      <c r="E20" s="366" t="s">
        <v>175</v>
      </c>
      <c r="F20" s="370">
        <f t="shared" si="0"/>
        <v>1151.1499999999999</v>
      </c>
      <c r="G20" s="363">
        <v>100.1</v>
      </c>
      <c r="H20" s="363">
        <v>366.2</v>
      </c>
      <c r="I20" s="362">
        <v>348</v>
      </c>
      <c r="J20" s="368">
        <f t="shared" si="1"/>
        <v>0.95030038230475156</v>
      </c>
      <c r="K20" s="362">
        <v>370.5</v>
      </c>
      <c r="L20" s="368">
        <f t="shared" si="2"/>
        <v>1.0117422173675588</v>
      </c>
      <c r="M20" s="362">
        <v>7.2</v>
      </c>
      <c r="N20" s="368">
        <f t="shared" si="3"/>
        <v>1.9661387220098307E-2</v>
      </c>
      <c r="O20" s="369">
        <f t="shared" si="4"/>
        <v>377.7</v>
      </c>
      <c r="P20" s="368">
        <f t="shared" si="5"/>
        <v>1.0314036045876571</v>
      </c>
      <c r="Q20" s="363">
        <v>5.6</v>
      </c>
      <c r="R20" s="368">
        <f t="shared" si="6"/>
        <v>1.529219006007646E-2</v>
      </c>
      <c r="S20" s="375">
        <f t="shared" si="7"/>
        <v>560.55999999999995</v>
      </c>
      <c r="T20" s="369">
        <f t="shared" si="8"/>
        <v>11.5</v>
      </c>
      <c r="U20" s="368">
        <f t="shared" si="9"/>
        <v>3.1403604587657022E-2</v>
      </c>
      <c r="V20" s="214" t="s">
        <v>214</v>
      </c>
      <c r="W20" s="214" t="s">
        <v>155</v>
      </c>
      <c r="X20" s="514" t="s">
        <v>155</v>
      </c>
      <c r="Y20" s="214" t="s">
        <v>157</v>
      </c>
      <c r="Z20" s="214">
        <v>1</v>
      </c>
      <c r="AA20" s="216" t="s">
        <v>174</v>
      </c>
    </row>
    <row r="21" spans="2:27" s="212" customFormat="1" ht="27" customHeight="1">
      <c r="B21" s="801"/>
      <c r="C21" s="802"/>
      <c r="D21" s="210">
        <v>17</v>
      </c>
      <c r="E21" s="366" t="s">
        <v>236</v>
      </c>
      <c r="F21" s="370">
        <f t="shared" si="0"/>
        <v>753.48000000000184</v>
      </c>
      <c r="G21" s="363">
        <v>82.8</v>
      </c>
      <c r="H21" s="363">
        <v>640.9</v>
      </c>
      <c r="I21" s="362">
        <v>609</v>
      </c>
      <c r="J21" s="368">
        <f t="shared" si="1"/>
        <v>0.95022624434389147</v>
      </c>
      <c r="K21" s="362">
        <v>650</v>
      </c>
      <c r="L21" s="368">
        <f t="shared" si="2"/>
        <v>1.0141987829614605</v>
      </c>
      <c r="M21" s="362">
        <v>0</v>
      </c>
      <c r="N21" s="368">
        <f t="shared" si="3"/>
        <v>0</v>
      </c>
      <c r="O21" s="369">
        <f t="shared" si="4"/>
        <v>650</v>
      </c>
      <c r="P21" s="368">
        <f t="shared" si="5"/>
        <v>1.0141987829614605</v>
      </c>
      <c r="Q21" s="363">
        <v>0</v>
      </c>
      <c r="R21" s="368">
        <f t="shared" si="6"/>
        <v>0</v>
      </c>
      <c r="S21" s="375">
        <f t="shared" si="7"/>
        <v>0</v>
      </c>
      <c r="T21" s="369">
        <f t="shared" si="8"/>
        <v>9.1000000000000227</v>
      </c>
      <c r="U21" s="368">
        <f t="shared" si="9"/>
        <v>1.4198782961460482E-2</v>
      </c>
      <c r="V21" s="214" t="s">
        <v>214</v>
      </c>
      <c r="W21" s="214" t="s">
        <v>155</v>
      </c>
      <c r="X21" s="213" t="s">
        <v>155</v>
      </c>
      <c r="Y21" s="214" t="s">
        <v>157</v>
      </c>
      <c r="Z21" s="214">
        <v>1</v>
      </c>
      <c r="AA21" s="216" t="s">
        <v>174</v>
      </c>
    </row>
    <row r="22" spans="2:27" s="212" customFormat="1" ht="27" customHeight="1">
      <c r="B22" s="801"/>
      <c r="C22" s="802"/>
      <c r="D22" s="210">
        <v>18</v>
      </c>
      <c r="E22" s="366" t="s">
        <v>230</v>
      </c>
      <c r="F22" s="370">
        <f t="shared" si="0"/>
        <v>768.79999999999859</v>
      </c>
      <c r="G22" s="363">
        <v>248</v>
      </c>
      <c r="H22" s="363">
        <v>104.7</v>
      </c>
      <c r="I22" s="362">
        <v>108.8</v>
      </c>
      <c r="J22" s="368">
        <f t="shared" si="1"/>
        <v>1.0391595033428844</v>
      </c>
      <c r="K22" s="362">
        <v>107.8</v>
      </c>
      <c r="L22" s="368">
        <f t="shared" si="2"/>
        <v>1.029608404966571</v>
      </c>
      <c r="M22" s="362">
        <v>0</v>
      </c>
      <c r="N22" s="368">
        <f t="shared" si="3"/>
        <v>0</v>
      </c>
      <c r="O22" s="369">
        <f t="shared" si="4"/>
        <v>107.8</v>
      </c>
      <c r="P22" s="368">
        <f t="shared" si="5"/>
        <v>1.029608404966571</v>
      </c>
      <c r="Q22" s="363">
        <v>1.8</v>
      </c>
      <c r="R22" s="368">
        <f t="shared" si="6"/>
        <v>1.7191977077363897E-2</v>
      </c>
      <c r="S22" s="375">
        <f t="shared" si="7"/>
        <v>446.40000000000003</v>
      </c>
      <c r="T22" s="369">
        <f t="shared" si="8"/>
        <v>3.0999999999999943</v>
      </c>
      <c r="U22" s="368">
        <f t="shared" si="9"/>
        <v>2.9608404966571102E-2</v>
      </c>
      <c r="V22" s="214" t="s">
        <v>214</v>
      </c>
      <c r="W22" s="214" t="s">
        <v>155</v>
      </c>
      <c r="X22" s="213" t="s">
        <v>155</v>
      </c>
      <c r="Y22" s="214" t="s">
        <v>157</v>
      </c>
      <c r="Z22" s="214">
        <v>1</v>
      </c>
      <c r="AA22" s="216" t="s">
        <v>161</v>
      </c>
    </row>
    <row r="23" spans="2:27" s="212" customFormat="1" ht="27" customHeight="1">
      <c r="B23" s="801"/>
      <c r="C23" s="802"/>
      <c r="D23" s="210">
        <v>19</v>
      </c>
      <c r="E23" s="366" t="s">
        <v>179</v>
      </c>
      <c r="F23" s="370">
        <f t="shared" si="0"/>
        <v>621</v>
      </c>
      <c r="G23" s="363">
        <v>1.8</v>
      </c>
      <c r="H23" s="363">
        <v>35073</v>
      </c>
      <c r="I23" s="362">
        <v>35500</v>
      </c>
      <c r="J23" s="368">
        <f t="shared" si="1"/>
        <v>1.0121746072477404</v>
      </c>
      <c r="K23" s="362">
        <v>35418</v>
      </c>
      <c r="L23" s="368">
        <f t="shared" si="2"/>
        <v>1.009836626464802</v>
      </c>
      <c r="M23" s="362">
        <v>0</v>
      </c>
      <c r="N23" s="368">
        <f t="shared" si="3"/>
        <v>0</v>
      </c>
      <c r="O23" s="369">
        <f t="shared" si="4"/>
        <v>35418</v>
      </c>
      <c r="P23" s="368">
        <f t="shared" si="5"/>
        <v>1.009836626464802</v>
      </c>
      <c r="Q23" s="363">
        <v>306</v>
      </c>
      <c r="R23" s="368">
        <f t="shared" si="6"/>
        <v>8.724659994867847E-3</v>
      </c>
      <c r="S23" s="375">
        <f t="shared" si="7"/>
        <v>550.80000000000007</v>
      </c>
      <c r="T23" s="369">
        <f t="shared" si="8"/>
        <v>345</v>
      </c>
      <c r="U23" s="368">
        <f t="shared" si="9"/>
        <v>9.8366264648019845E-3</v>
      </c>
      <c r="V23" s="214" t="s">
        <v>214</v>
      </c>
      <c r="W23" s="214" t="s">
        <v>155</v>
      </c>
      <c r="X23" s="214" t="s">
        <v>155</v>
      </c>
      <c r="Y23" s="214" t="s">
        <v>157</v>
      </c>
      <c r="Z23" s="214">
        <v>1</v>
      </c>
      <c r="AA23" s="216" t="s">
        <v>120</v>
      </c>
    </row>
    <row r="24" spans="2:27" s="212" customFormat="1" ht="27" customHeight="1">
      <c r="B24" s="803"/>
      <c r="C24" s="804"/>
      <c r="D24" s="210">
        <v>20</v>
      </c>
      <c r="E24" s="366" t="s">
        <v>170</v>
      </c>
      <c r="F24" s="370">
        <f t="shared" si="0"/>
        <v>607.22999999999638</v>
      </c>
      <c r="G24" s="363">
        <v>155.69999999999999</v>
      </c>
      <c r="H24" s="363">
        <v>257</v>
      </c>
      <c r="I24" s="362">
        <v>252</v>
      </c>
      <c r="J24" s="368">
        <f t="shared" si="1"/>
        <v>0.98054474708171202</v>
      </c>
      <c r="K24" s="362">
        <v>260.89999999999998</v>
      </c>
      <c r="L24" s="368">
        <f t="shared" si="2"/>
        <v>1.0151750972762645</v>
      </c>
      <c r="M24" s="362">
        <v>0</v>
      </c>
      <c r="N24" s="368">
        <f t="shared" si="3"/>
        <v>0</v>
      </c>
      <c r="O24" s="369">
        <f t="shared" si="4"/>
        <v>260.89999999999998</v>
      </c>
      <c r="P24" s="368">
        <f t="shared" si="5"/>
        <v>1.0151750972762645</v>
      </c>
      <c r="Q24" s="363">
        <v>3.9</v>
      </c>
      <c r="R24" s="368">
        <f t="shared" si="6"/>
        <v>1.5175097276264591E-2</v>
      </c>
      <c r="S24" s="375">
        <f t="shared" si="7"/>
        <v>607.2299999999999</v>
      </c>
      <c r="T24" s="369">
        <f t="shared" si="8"/>
        <v>3.8999999999999773</v>
      </c>
      <c r="U24" s="368">
        <f t="shared" si="9"/>
        <v>1.5175097276264503E-2</v>
      </c>
      <c r="V24" s="214" t="s">
        <v>214</v>
      </c>
      <c r="W24" s="214" t="s">
        <v>155</v>
      </c>
      <c r="X24" s="214" t="s">
        <v>155</v>
      </c>
      <c r="Y24" s="214" t="s">
        <v>157</v>
      </c>
      <c r="Z24" s="214">
        <v>1</v>
      </c>
      <c r="AA24" s="216" t="s">
        <v>158</v>
      </c>
    </row>
    <row r="25" spans="2:27" ht="14.1" customHeight="1"/>
    <row r="26" spans="2:27" ht="15.75" customHeight="1"/>
    <row r="32" spans="2:27" ht="14.1" customHeight="1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F3:F4"/>
    <mergeCell ref="AC3:AJ5"/>
    <mergeCell ref="O3:P3"/>
    <mergeCell ref="Q3:S3"/>
    <mergeCell ref="T3:U3"/>
    <mergeCell ref="V3:V4"/>
    <mergeCell ref="W3:W4"/>
    <mergeCell ref="B2:AA2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$AD$12:$AD$16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7"/>
  <sheetViews>
    <sheetView topLeftCell="A6" zoomScale="70" zoomScaleNormal="70" workbookViewId="0">
      <selection activeCell="B43" sqref="B43"/>
    </sheetView>
  </sheetViews>
  <sheetFormatPr defaultColWidth="8.28515625" defaultRowHeight="15"/>
  <cols>
    <col min="1" max="1" width="18.42578125" style="220" customWidth="1"/>
    <col min="2" max="2" width="18.85546875" style="220" bestFit="1" customWidth="1"/>
    <col min="3" max="4" width="14.28515625" style="220" customWidth="1"/>
    <col min="5" max="5" width="17.140625" style="220" bestFit="1" customWidth="1"/>
    <col min="6" max="6" width="14.28515625" style="220" customWidth="1"/>
    <col min="7" max="10" width="18.42578125" style="220" customWidth="1"/>
    <col min="11" max="11" width="17.140625" style="220" bestFit="1" customWidth="1"/>
    <col min="12" max="12" width="16" style="220" customWidth="1"/>
    <col min="13" max="13" width="18.28515625" style="220" bestFit="1" customWidth="1"/>
    <col min="14" max="15" width="12.7109375" style="220" bestFit="1" customWidth="1"/>
    <col min="16" max="60" width="8.28515625" style="220" customWidth="1"/>
    <col min="61" max="16384" width="8.28515625" style="220"/>
  </cols>
  <sheetData>
    <row r="1" spans="1:18" ht="25.5" customHeight="1">
      <c r="A1" s="820" t="s">
        <v>237</v>
      </c>
      <c r="B1" s="821"/>
      <c r="C1" s="821"/>
      <c r="D1" s="821"/>
      <c r="E1" s="821"/>
      <c r="F1" s="821"/>
      <c r="G1" s="821"/>
      <c r="H1" s="821"/>
      <c r="I1" s="821"/>
      <c r="J1" s="821"/>
      <c r="K1" s="821"/>
      <c r="L1" s="821"/>
      <c r="M1" s="821"/>
      <c r="N1" s="821"/>
      <c r="O1" s="822"/>
    </row>
    <row r="2" spans="1:18" ht="16.5" customHeight="1">
      <c r="A2" s="823" t="s">
        <v>45</v>
      </c>
      <c r="B2" s="825" t="s">
        <v>72</v>
      </c>
      <c r="C2" s="825" t="s">
        <v>238</v>
      </c>
      <c r="D2" s="825" t="s">
        <v>239</v>
      </c>
      <c r="E2" s="825" t="s">
        <v>240</v>
      </c>
      <c r="F2" s="825" t="s">
        <v>27</v>
      </c>
      <c r="G2" s="825" t="s">
        <v>241</v>
      </c>
      <c r="H2" s="825"/>
      <c r="I2" s="825" t="s">
        <v>242</v>
      </c>
      <c r="J2" s="825"/>
      <c r="K2" s="825" t="s">
        <v>243</v>
      </c>
      <c r="L2" s="825"/>
      <c r="M2" s="827" t="s">
        <v>53</v>
      </c>
      <c r="N2" s="828"/>
      <c r="O2" s="829"/>
    </row>
    <row r="3" spans="1:18" ht="37.5" customHeight="1">
      <c r="A3" s="824"/>
      <c r="B3" s="826"/>
      <c r="C3" s="826"/>
      <c r="D3" s="826"/>
      <c r="E3" s="826"/>
      <c r="F3" s="826"/>
      <c r="G3" s="288" t="s">
        <v>244</v>
      </c>
      <c r="H3" s="288" t="s">
        <v>245</v>
      </c>
      <c r="I3" s="288" t="s">
        <v>244</v>
      </c>
      <c r="J3" s="288" t="s">
        <v>245</v>
      </c>
      <c r="K3" s="288" t="s">
        <v>244</v>
      </c>
      <c r="L3" s="288" t="s">
        <v>246</v>
      </c>
      <c r="M3" s="288" t="s">
        <v>72</v>
      </c>
      <c r="N3" s="289" t="s">
        <v>247</v>
      </c>
      <c r="O3" s="325" t="s">
        <v>248</v>
      </c>
    </row>
    <row r="4" spans="1:18" ht="18.75">
      <c r="A4" s="236">
        <v>46235</v>
      </c>
      <c r="B4" s="468">
        <v>2319312.75</v>
      </c>
      <c r="C4" s="468">
        <v>5672.4064999999991</v>
      </c>
      <c r="D4" s="248">
        <f t="shared" ref="D4:D6" si="0">C4/B4</f>
        <v>2.4457272957258565E-3</v>
      </c>
      <c r="E4" s="469">
        <v>11238.422539999996</v>
      </c>
      <c r="F4" s="256">
        <f t="shared" ref="F4:F6" si="1">E4/B4</f>
        <v>4.8455830460984598E-3</v>
      </c>
      <c r="G4" s="468">
        <v>5672.4064999999991</v>
      </c>
      <c r="H4" s="231">
        <f t="shared" ref="H4:H6" si="2">G4/C4</f>
        <v>1</v>
      </c>
      <c r="I4" s="232">
        <v>11238.422539999996</v>
      </c>
      <c r="J4" s="231">
        <f>I4/E4</f>
        <v>1</v>
      </c>
      <c r="K4" s="226">
        <v>0</v>
      </c>
      <c r="L4" s="227">
        <f>K4/C4</f>
        <v>0</v>
      </c>
      <c r="M4" s="813">
        <f>SUM(B4:B6)</f>
        <v>8367993.96</v>
      </c>
      <c r="N4" s="813">
        <f>SUM(C4:C6)</f>
        <v>28619.925499999998</v>
      </c>
      <c r="O4" s="816">
        <f>SUM(E4:E6)</f>
        <v>47524.493550000007</v>
      </c>
      <c r="Q4" s="394">
        <f>N4/M4</f>
        <v>3.4201656498327585E-3</v>
      </c>
    </row>
    <row r="5" spans="1:18" ht="18.75">
      <c r="A5" s="236">
        <v>46236</v>
      </c>
      <c r="B5" s="468">
        <v>3023076.54</v>
      </c>
      <c r="C5" s="468">
        <v>11116.712000000001</v>
      </c>
      <c r="D5" s="229">
        <f t="shared" si="0"/>
        <v>3.6772843336609668E-3</v>
      </c>
      <c r="E5" s="469">
        <v>17135.701660000006</v>
      </c>
      <c r="F5" s="256">
        <f t="shared" si="1"/>
        <v>5.6682989773060811E-3</v>
      </c>
      <c r="G5" s="468">
        <v>11116.712000000001</v>
      </c>
      <c r="H5" s="231">
        <f t="shared" si="2"/>
        <v>1</v>
      </c>
      <c r="I5" s="232">
        <v>17135.701660000006</v>
      </c>
      <c r="J5" s="231">
        <f>I5/E5</f>
        <v>1</v>
      </c>
      <c r="K5" s="233">
        <v>0</v>
      </c>
      <c r="L5" s="234">
        <f t="shared" ref="L5:L34" si="3">K5/C5</f>
        <v>0</v>
      </c>
      <c r="M5" s="814"/>
      <c r="N5" s="814"/>
      <c r="O5" s="817"/>
    </row>
    <row r="6" spans="1:18" ht="18.75">
      <c r="A6" s="324">
        <v>46237</v>
      </c>
      <c r="B6" s="390">
        <v>3025604.67</v>
      </c>
      <c r="C6" s="390">
        <v>11830.806999999999</v>
      </c>
      <c r="D6" s="300">
        <f t="shared" si="0"/>
        <v>3.9102289592909704E-3</v>
      </c>
      <c r="E6" s="391">
        <v>19150.369350000004</v>
      </c>
      <c r="F6" s="473">
        <f t="shared" si="1"/>
        <v>6.3294354149711187E-3</v>
      </c>
      <c r="G6" s="390">
        <v>11830.806999999999</v>
      </c>
      <c r="H6" s="302">
        <f t="shared" si="2"/>
        <v>1</v>
      </c>
      <c r="I6" s="303">
        <v>19150.369350000004</v>
      </c>
      <c r="J6" s="302">
        <f>I6/E6</f>
        <v>1</v>
      </c>
      <c r="K6" s="304">
        <v>0</v>
      </c>
      <c r="L6" s="305">
        <f t="shared" si="3"/>
        <v>0</v>
      </c>
      <c r="M6" s="815"/>
      <c r="N6" s="815"/>
      <c r="O6" s="818"/>
    </row>
    <row r="7" spans="1:18" ht="18.75">
      <c r="A7" s="246">
        <f t="shared" ref="A7:A34" si="4">A6+1</f>
        <v>46238</v>
      </c>
      <c r="B7" s="221">
        <v>2744836.55</v>
      </c>
      <c r="C7" s="221">
        <v>6332.1670000000013</v>
      </c>
      <c r="D7" s="222">
        <f t="shared" ref="D7:D34" si="5">C7/B7</f>
        <v>2.3069377300444362E-3</v>
      </c>
      <c r="E7" s="223">
        <v>10127.798259999992</v>
      </c>
      <c r="F7" s="224">
        <f t="shared" ref="F7:F34" si="6">E7/B7</f>
        <v>3.6897636983156583E-3</v>
      </c>
      <c r="G7" s="221">
        <v>6332.1670000000004</v>
      </c>
      <c r="H7" s="224">
        <f t="shared" ref="H7:H34" si="7">G7/C7</f>
        <v>0.99999999999999989</v>
      </c>
      <c r="I7" s="225">
        <v>10127.798259999992</v>
      </c>
      <c r="J7" s="224">
        <f t="shared" ref="J7:J34" si="8">I7/E7</f>
        <v>1</v>
      </c>
      <c r="K7" s="226">
        <v>0</v>
      </c>
      <c r="L7" s="227">
        <f t="shared" si="3"/>
        <v>0</v>
      </c>
      <c r="M7" s="813">
        <f>SUM(B7:B13)</f>
        <v>18008327.620000001</v>
      </c>
      <c r="N7" s="813">
        <f>SUM(C7:C13)</f>
        <v>64979.758999999998</v>
      </c>
      <c r="O7" s="816">
        <f>SUM(E7:E13)</f>
        <v>94186.113209999981</v>
      </c>
    </row>
    <row r="8" spans="1:18" ht="18.75">
      <c r="A8" s="236">
        <f t="shared" si="4"/>
        <v>46239</v>
      </c>
      <c r="B8" s="228">
        <v>2568942.66</v>
      </c>
      <c r="C8" s="228">
        <v>10135.5545</v>
      </c>
      <c r="D8" s="229">
        <f t="shared" si="5"/>
        <v>3.9454187350370833E-3</v>
      </c>
      <c r="E8" s="230">
        <v>13843.392579999996</v>
      </c>
      <c r="F8" s="231">
        <f t="shared" si="6"/>
        <v>5.3887510980879559E-3</v>
      </c>
      <c r="G8" s="228">
        <v>10135.5545</v>
      </c>
      <c r="H8" s="231">
        <f t="shared" si="7"/>
        <v>1</v>
      </c>
      <c r="I8" s="232">
        <v>13843.392579999996</v>
      </c>
      <c r="J8" s="231">
        <f t="shared" si="8"/>
        <v>1</v>
      </c>
      <c r="K8" s="233">
        <v>0</v>
      </c>
      <c r="L8" s="234">
        <f t="shared" si="3"/>
        <v>0</v>
      </c>
      <c r="M8" s="814"/>
      <c r="N8" s="814"/>
      <c r="O8" s="817"/>
      <c r="P8" s="235"/>
      <c r="Q8" s="235"/>
    </row>
    <row r="9" spans="1:18" ht="18.75">
      <c r="A9" s="236">
        <f t="shared" si="4"/>
        <v>46240</v>
      </c>
      <c r="B9" s="228">
        <v>2531185.4</v>
      </c>
      <c r="C9" s="228">
        <v>15750.048999999997</v>
      </c>
      <c r="D9" s="229">
        <f t="shared" si="5"/>
        <v>6.2224003820502433E-3</v>
      </c>
      <c r="E9" s="230">
        <v>28880.517369999994</v>
      </c>
      <c r="F9" s="231">
        <f t="shared" si="6"/>
        <v>1.1409878300499044E-2</v>
      </c>
      <c r="G9" s="228">
        <v>15750.048999999997</v>
      </c>
      <c r="H9" s="231">
        <f t="shared" si="7"/>
        <v>1</v>
      </c>
      <c r="I9" s="232">
        <v>28880.517369999994</v>
      </c>
      <c r="J9" s="231">
        <f t="shared" si="8"/>
        <v>1</v>
      </c>
      <c r="K9" s="233">
        <v>0</v>
      </c>
      <c r="L9" s="234">
        <f t="shared" si="3"/>
        <v>0</v>
      </c>
      <c r="M9" s="814"/>
      <c r="N9" s="814"/>
      <c r="O9" s="817"/>
    </row>
    <row r="10" spans="1:18" ht="18.75">
      <c r="A10" s="236">
        <f t="shared" si="4"/>
        <v>46241</v>
      </c>
      <c r="B10" s="384">
        <v>1978394.42</v>
      </c>
      <c r="C10" s="228">
        <v>9181.7199999999993</v>
      </c>
      <c r="D10" s="229">
        <f t="shared" si="5"/>
        <v>4.6409957019591672E-3</v>
      </c>
      <c r="E10" s="230">
        <v>10296.307599999996</v>
      </c>
      <c r="F10" s="231">
        <f t="shared" si="6"/>
        <v>5.2043755764333366E-3</v>
      </c>
      <c r="G10" s="228">
        <v>9181.7199999999993</v>
      </c>
      <c r="H10" s="231">
        <f t="shared" si="7"/>
        <v>1</v>
      </c>
      <c r="I10" s="232">
        <v>10296.307599999996</v>
      </c>
      <c r="J10" s="231">
        <f t="shared" si="8"/>
        <v>1</v>
      </c>
      <c r="K10" s="233">
        <v>0</v>
      </c>
      <c r="L10" s="234">
        <f t="shared" si="3"/>
        <v>0</v>
      </c>
      <c r="M10" s="814"/>
      <c r="N10" s="814"/>
      <c r="O10" s="817"/>
    </row>
    <row r="11" spans="1:18" ht="18.75">
      <c r="A11" s="236">
        <f t="shared" si="4"/>
        <v>46242</v>
      </c>
      <c r="B11" s="228">
        <v>2143592.4300000002</v>
      </c>
      <c r="C11" s="228">
        <v>8702.3820000000014</v>
      </c>
      <c r="D11" s="229">
        <f t="shared" si="5"/>
        <v>4.0597185725273349E-3</v>
      </c>
      <c r="E11" s="228">
        <v>9058.6754999999994</v>
      </c>
      <c r="F11" s="231">
        <f t="shared" si="6"/>
        <v>4.2259318391043204E-3</v>
      </c>
      <c r="G11" s="228">
        <v>8702.3820000000014</v>
      </c>
      <c r="H11" s="231">
        <f t="shared" si="7"/>
        <v>1</v>
      </c>
      <c r="I11" s="228">
        <v>9058.6754999999994</v>
      </c>
      <c r="J11" s="231">
        <f t="shared" si="8"/>
        <v>1</v>
      </c>
      <c r="K11" s="233">
        <v>0</v>
      </c>
      <c r="L11" s="234">
        <f t="shared" si="3"/>
        <v>0</v>
      </c>
      <c r="M11" s="814"/>
      <c r="N11" s="814"/>
      <c r="O11" s="817"/>
    </row>
    <row r="12" spans="1:18" ht="18.75">
      <c r="A12" s="236">
        <f t="shared" si="4"/>
        <v>46243</v>
      </c>
      <c r="B12" s="228">
        <v>3005927.64</v>
      </c>
      <c r="C12" s="384">
        <v>8084.5129999999999</v>
      </c>
      <c r="D12" s="229">
        <f t="shared" si="5"/>
        <v>2.6895234909912868E-3</v>
      </c>
      <c r="E12" s="230">
        <v>12719.60350000001</v>
      </c>
      <c r="F12" s="231">
        <f t="shared" si="6"/>
        <v>4.2315068835123417E-3</v>
      </c>
      <c r="G12" s="228">
        <v>8084.5129999999999</v>
      </c>
      <c r="H12" s="231">
        <f t="shared" si="7"/>
        <v>1</v>
      </c>
      <c r="I12" s="232">
        <v>12719.60350000001</v>
      </c>
      <c r="J12" s="231">
        <f t="shared" si="8"/>
        <v>1</v>
      </c>
      <c r="K12" s="233">
        <v>0</v>
      </c>
      <c r="L12" s="234">
        <f t="shared" si="3"/>
        <v>0</v>
      </c>
      <c r="M12" s="814"/>
      <c r="N12" s="814"/>
      <c r="O12" s="817"/>
    </row>
    <row r="13" spans="1:18" ht="18.75">
      <c r="A13" s="476">
        <f t="shared" si="4"/>
        <v>46244</v>
      </c>
      <c r="B13" s="237">
        <v>3035448.52</v>
      </c>
      <c r="C13" s="237">
        <v>6793.3735000000006</v>
      </c>
      <c r="D13" s="238">
        <f t="shared" si="5"/>
        <v>2.2380130828244128E-3</v>
      </c>
      <c r="E13" s="243">
        <v>9259.8183999999965</v>
      </c>
      <c r="F13" s="239">
        <f t="shared" si="6"/>
        <v>3.0505601854186599E-3</v>
      </c>
      <c r="G13" s="237">
        <v>6793.3735000000006</v>
      </c>
      <c r="H13" s="239">
        <f t="shared" si="7"/>
        <v>1</v>
      </c>
      <c r="I13" s="244">
        <v>9259.8183999999965</v>
      </c>
      <c r="J13" s="239">
        <f t="shared" si="8"/>
        <v>1</v>
      </c>
      <c r="K13" s="245">
        <v>0</v>
      </c>
      <c r="L13" s="240">
        <f t="shared" si="3"/>
        <v>0</v>
      </c>
      <c r="M13" s="815"/>
      <c r="N13" s="815"/>
      <c r="O13" s="818"/>
    </row>
    <row r="14" spans="1:18" ht="18.75">
      <c r="A14" s="322">
        <f t="shared" si="4"/>
        <v>46245</v>
      </c>
      <c r="B14" s="247">
        <v>2592647</v>
      </c>
      <c r="C14" s="247">
        <v>5944.9060000000009</v>
      </c>
      <c r="D14" s="248">
        <f t="shared" si="5"/>
        <v>2.2929870514574492E-3</v>
      </c>
      <c r="E14" s="249">
        <v>10035.588279999996</v>
      </c>
      <c r="F14" s="250">
        <f t="shared" si="6"/>
        <v>3.8707885338806233E-3</v>
      </c>
      <c r="G14" s="247">
        <v>5944.9060000000009</v>
      </c>
      <c r="H14" s="250">
        <f t="shared" si="7"/>
        <v>1</v>
      </c>
      <c r="I14" s="251">
        <v>10035.588279999996</v>
      </c>
      <c r="J14" s="250">
        <f t="shared" si="8"/>
        <v>1</v>
      </c>
      <c r="K14" s="252">
        <v>0</v>
      </c>
      <c r="L14" s="253">
        <f t="shared" si="3"/>
        <v>0</v>
      </c>
      <c r="M14" s="813">
        <f>SUM(B14:B20)</f>
        <v>17686446.66</v>
      </c>
      <c r="N14" s="813">
        <f>SUM(C14:C20)</f>
        <v>42531.463800000005</v>
      </c>
      <c r="O14" s="816">
        <f>SUM(E14:E20)</f>
        <v>56329.638820000007</v>
      </c>
    </row>
    <row r="15" spans="1:18" ht="18.75">
      <c r="A15" s="236">
        <f t="shared" si="4"/>
        <v>46246</v>
      </c>
      <c r="B15" s="228">
        <v>2595087</v>
      </c>
      <c r="C15" s="228">
        <v>6346.3564999999999</v>
      </c>
      <c r="D15" s="229">
        <f t="shared" si="5"/>
        <v>2.4455274524514976E-3</v>
      </c>
      <c r="E15" s="230">
        <v>7017.8116299999992</v>
      </c>
      <c r="F15" s="231">
        <f t="shared" si="6"/>
        <v>2.7042683463020696E-3</v>
      </c>
      <c r="G15" s="228">
        <v>6346.3564999999999</v>
      </c>
      <c r="H15" s="231">
        <f t="shared" si="7"/>
        <v>1</v>
      </c>
      <c r="I15" s="232">
        <v>7017.8116299999992</v>
      </c>
      <c r="J15" s="231">
        <f t="shared" si="8"/>
        <v>1</v>
      </c>
      <c r="K15" s="233">
        <v>0</v>
      </c>
      <c r="L15" s="234">
        <f t="shared" si="3"/>
        <v>0</v>
      </c>
      <c r="M15" s="814"/>
      <c r="N15" s="814"/>
      <c r="O15" s="817"/>
      <c r="P15" s="235"/>
      <c r="Q15" s="241"/>
      <c r="R15" s="241"/>
    </row>
    <row r="16" spans="1:18" ht="18.75">
      <c r="A16" s="236">
        <f t="shared" si="4"/>
        <v>46247</v>
      </c>
      <c r="B16" s="228">
        <v>2476906</v>
      </c>
      <c r="C16" s="228">
        <v>8907.7955000000002</v>
      </c>
      <c r="D16" s="229">
        <f t="shared" si="5"/>
        <v>3.5963397480566484E-3</v>
      </c>
      <c r="E16" s="230">
        <v>9899.5441499999997</v>
      </c>
      <c r="F16" s="231">
        <f t="shared" si="6"/>
        <v>3.9967379262676904E-3</v>
      </c>
      <c r="G16" s="228">
        <v>8907.7955000000002</v>
      </c>
      <c r="H16" s="231">
        <f t="shared" si="7"/>
        <v>1</v>
      </c>
      <c r="I16" s="232">
        <v>9899.5441499999997</v>
      </c>
      <c r="J16" s="231">
        <f t="shared" si="8"/>
        <v>1</v>
      </c>
      <c r="K16" s="233">
        <v>0</v>
      </c>
      <c r="L16" s="234">
        <f t="shared" si="3"/>
        <v>0</v>
      </c>
      <c r="M16" s="814"/>
      <c r="N16" s="814"/>
      <c r="O16" s="817"/>
    </row>
    <row r="17" spans="1:17" ht="18.75">
      <c r="A17" s="236">
        <f t="shared" si="4"/>
        <v>46248</v>
      </c>
      <c r="B17" s="228">
        <v>2004759</v>
      </c>
      <c r="C17" s="228">
        <v>5589.0209999999997</v>
      </c>
      <c r="D17" s="229">
        <f t="shared" si="5"/>
        <v>2.7878767472798473E-3</v>
      </c>
      <c r="E17" s="470">
        <v>9794.7653899999987</v>
      </c>
      <c r="F17" s="231">
        <f t="shared" si="6"/>
        <v>4.8857570361325216E-3</v>
      </c>
      <c r="G17" s="228">
        <v>5589.0209999999997</v>
      </c>
      <c r="H17" s="231">
        <f t="shared" si="7"/>
        <v>1</v>
      </c>
      <c r="I17" s="232">
        <v>9794.7653899999987</v>
      </c>
      <c r="J17" s="231">
        <f t="shared" si="8"/>
        <v>1</v>
      </c>
      <c r="K17" s="233">
        <v>0</v>
      </c>
      <c r="L17" s="234">
        <f t="shared" si="3"/>
        <v>0</v>
      </c>
      <c r="M17" s="814"/>
      <c r="N17" s="814"/>
      <c r="O17" s="817"/>
      <c r="Q17" s="242"/>
    </row>
    <row r="18" spans="1:17" ht="18.75">
      <c r="A18" s="236">
        <f t="shared" si="4"/>
        <v>46249</v>
      </c>
      <c r="B18" s="228">
        <v>2180067</v>
      </c>
      <c r="C18" s="228">
        <v>3164.6544999999996</v>
      </c>
      <c r="D18" s="229">
        <f t="shared" si="5"/>
        <v>1.4516317617761288E-3</v>
      </c>
      <c r="E18" s="230">
        <v>4938.2895400000043</v>
      </c>
      <c r="F18" s="231">
        <f t="shared" si="6"/>
        <v>2.2652008126355771E-3</v>
      </c>
      <c r="G18" s="228">
        <v>3164.6544999999996</v>
      </c>
      <c r="H18" s="231">
        <f t="shared" si="7"/>
        <v>1</v>
      </c>
      <c r="I18" s="232">
        <v>4938.2895400000043</v>
      </c>
      <c r="J18" s="231">
        <f t="shared" si="8"/>
        <v>1</v>
      </c>
      <c r="K18" s="233">
        <v>0</v>
      </c>
      <c r="L18" s="234">
        <f t="shared" si="3"/>
        <v>0</v>
      </c>
      <c r="M18" s="814"/>
      <c r="N18" s="814"/>
      <c r="O18" s="817"/>
    </row>
    <row r="19" spans="1:17" ht="18.75">
      <c r="A19" s="236">
        <f t="shared" si="4"/>
        <v>46250</v>
      </c>
      <c r="B19" s="228">
        <v>2865626</v>
      </c>
      <c r="C19" s="228">
        <v>6622.0688</v>
      </c>
      <c r="D19" s="229">
        <f t="shared" si="5"/>
        <v>2.3108628969725985E-3</v>
      </c>
      <c r="E19" s="230">
        <v>4323.8108300000022</v>
      </c>
      <c r="F19" s="231">
        <f t="shared" si="6"/>
        <v>1.5088538525264645E-3</v>
      </c>
      <c r="G19" s="228">
        <v>6622.0688</v>
      </c>
      <c r="H19" s="231">
        <f t="shared" si="7"/>
        <v>1</v>
      </c>
      <c r="I19" s="232">
        <v>4323.8108300000022</v>
      </c>
      <c r="J19" s="231">
        <f t="shared" si="8"/>
        <v>1</v>
      </c>
      <c r="K19" s="233">
        <v>0</v>
      </c>
      <c r="L19" s="234">
        <f t="shared" si="3"/>
        <v>0</v>
      </c>
      <c r="M19" s="814"/>
      <c r="N19" s="814"/>
      <c r="O19" s="817"/>
    </row>
    <row r="20" spans="1:17" ht="19.5" thickBot="1">
      <c r="A20" s="477">
        <f t="shared" si="4"/>
        <v>46251</v>
      </c>
      <c r="B20" s="299">
        <v>2971354.66</v>
      </c>
      <c r="C20" s="299">
        <v>5956.6615000000002</v>
      </c>
      <c r="D20" s="300">
        <f t="shared" si="5"/>
        <v>2.0046955619898972E-3</v>
      </c>
      <c r="E20" s="301">
        <v>10319.829000000002</v>
      </c>
      <c r="F20" s="302">
        <f t="shared" si="6"/>
        <v>3.473105765166384E-3</v>
      </c>
      <c r="G20" s="299">
        <v>5956.6615000000002</v>
      </c>
      <c r="H20" s="302">
        <f t="shared" si="7"/>
        <v>1</v>
      </c>
      <c r="I20" s="303">
        <v>10319.829000000002</v>
      </c>
      <c r="J20" s="302">
        <f t="shared" si="8"/>
        <v>1</v>
      </c>
      <c r="K20" s="304">
        <v>0</v>
      </c>
      <c r="L20" s="305">
        <f t="shared" si="3"/>
        <v>0</v>
      </c>
      <c r="M20" s="815"/>
      <c r="N20" s="815"/>
      <c r="O20" s="818"/>
    </row>
    <row r="21" spans="1:17" ht="18.75">
      <c r="A21" s="246">
        <f t="shared" si="4"/>
        <v>46252</v>
      </c>
      <c r="B21" s="221">
        <v>2636829.3600000003</v>
      </c>
      <c r="C21" s="221">
        <v>4796.3890000000001</v>
      </c>
      <c r="D21" s="222">
        <f t="shared" si="5"/>
        <v>1.8189986325091584E-3</v>
      </c>
      <c r="E21" s="223">
        <v>5792.6832800000002</v>
      </c>
      <c r="F21" s="224">
        <f t="shared" si="6"/>
        <v>2.1968366128932966E-3</v>
      </c>
      <c r="G21" s="221">
        <v>4796.3890000000001</v>
      </c>
      <c r="H21" s="224">
        <f t="shared" si="7"/>
        <v>1</v>
      </c>
      <c r="I21" s="225">
        <v>5792.6832800000002</v>
      </c>
      <c r="J21" s="224">
        <f t="shared" si="8"/>
        <v>1</v>
      </c>
      <c r="K21" s="226">
        <v>0</v>
      </c>
      <c r="L21" s="227">
        <f t="shared" si="3"/>
        <v>0</v>
      </c>
      <c r="M21" s="813">
        <f>SUM(B21:B27)</f>
        <v>17043773.939999998</v>
      </c>
      <c r="N21" s="813">
        <f>SUM(C21:C27)</f>
        <v>44408.088000000003</v>
      </c>
      <c r="O21" s="816">
        <f>SUM(E21:E27)</f>
        <v>54657.492639999997</v>
      </c>
    </row>
    <row r="22" spans="1:17" ht="18.75">
      <c r="A22" s="236">
        <f t="shared" si="4"/>
        <v>46253</v>
      </c>
      <c r="B22" s="228">
        <v>2408538.2600000002</v>
      </c>
      <c r="C22" s="228">
        <v>9612.6919999999991</v>
      </c>
      <c r="D22" s="229">
        <f t="shared" si="5"/>
        <v>3.9910895997143092E-3</v>
      </c>
      <c r="E22" s="230">
        <v>10919.867499999995</v>
      </c>
      <c r="F22" s="231">
        <f t="shared" si="6"/>
        <v>4.5338152527417165E-3</v>
      </c>
      <c r="G22" s="228">
        <v>9612.6919999999991</v>
      </c>
      <c r="H22" s="231">
        <f t="shared" si="7"/>
        <v>1</v>
      </c>
      <c r="I22" s="232">
        <v>10919.867499999995</v>
      </c>
      <c r="J22" s="231">
        <f t="shared" si="8"/>
        <v>1</v>
      </c>
      <c r="K22" s="233">
        <v>0</v>
      </c>
      <c r="L22" s="234">
        <f t="shared" si="3"/>
        <v>0</v>
      </c>
      <c r="M22" s="814"/>
      <c r="N22" s="814"/>
      <c r="O22" s="817"/>
      <c r="P22" s="235"/>
    </row>
    <row r="23" spans="1:17" ht="18.75">
      <c r="A23" s="236">
        <f t="shared" si="4"/>
        <v>46254</v>
      </c>
      <c r="B23" s="228">
        <v>2319925.44</v>
      </c>
      <c r="C23" s="228">
        <v>8531.6425000000017</v>
      </c>
      <c r="D23" s="229">
        <f t="shared" si="5"/>
        <v>3.6775503009269135E-3</v>
      </c>
      <c r="E23" s="230">
        <v>10935.030979999996</v>
      </c>
      <c r="F23" s="231">
        <f t="shared" si="6"/>
        <v>4.7135269054164068E-3</v>
      </c>
      <c r="G23" s="228">
        <v>8531.6425000000017</v>
      </c>
      <c r="H23" s="231">
        <f t="shared" si="7"/>
        <v>1</v>
      </c>
      <c r="I23" s="232">
        <v>10935.030979999996</v>
      </c>
      <c r="J23" s="231">
        <f t="shared" si="8"/>
        <v>1</v>
      </c>
      <c r="K23" s="233">
        <v>0</v>
      </c>
      <c r="L23" s="234">
        <f t="shared" si="3"/>
        <v>0</v>
      </c>
      <c r="M23" s="814"/>
      <c r="N23" s="814"/>
      <c r="O23" s="817"/>
    </row>
    <row r="24" spans="1:17" ht="18.75">
      <c r="A24" s="236">
        <f t="shared" si="4"/>
        <v>46255</v>
      </c>
      <c r="B24" s="228">
        <v>1831621.66</v>
      </c>
      <c r="C24" s="228">
        <v>5186.6279999999997</v>
      </c>
      <c r="D24" s="229">
        <f t="shared" si="5"/>
        <v>2.8317136192853279E-3</v>
      </c>
      <c r="E24" s="230">
        <v>6301.0896999999977</v>
      </c>
      <c r="F24" s="231">
        <f t="shared" si="6"/>
        <v>3.4401698984057646E-3</v>
      </c>
      <c r="G24" s="228">
        <v>5186.6279999999997</v>
      </c>
      <c r="H24" s="231">
        <f t="shared" si="7"/>
        <v>1</v>
      </c>
      <c r="I24" s="232">
        <v>6301.0896999999977</v>
      </c>
      <c r="J24" s="231">
        <f t="shared" si="8"/>
        <v>1</v>
      </c>
      <c r="K24" s="233">
        <v>0</v>
      </c>
      <c r="L24" s="234">
        <f t="shared" si="3"/>
        <v>0</v>
      </c>
      <c r="M24" s="814"/>
      <c r="N24" s="814"/>
      <c r="O24" s="817"/>
    </row>
    <row r="25" spans="1:17" ht="18.75">
      <c r="A25" s="236">
        <f t="shared" si="4"/>
        <v>46256</v>
      </c>
      <c r="B25" s="228">
        <v>2037135.95</v>
      </c>
      <c r="C25" s="228">
        <v>2562.75</v>
      </c>
      <c r="D25" s="229">
        <f t="shared" si="5"/>
        <v>1.2580161868921906E-3</v>
      </c>
      <c r="E25" s="230">
        <v>3802.2206999999971</v>
      </c>
      <c r="F25" s="231">
        <f t="shared" si="6"/>
        <v>1.8664540773530589E-3</v>
      </c>
      <c r="G25" s="228">
        <v>2562.75</v>
      </c>
      <c r="H25" s="231">
        <f t="shared" si="7"/>
        <v>1</v>
      </c>
      <c r="I25" s="232">
        <v>3802.2206999999971</v>
      </c>
      <c r="J25" s="231">
        <f t="shared" si="8"/>
        <v>1</v>
      </c>
      <c r="K25" s="233">
        <v>0</v>
      </c>
      <c r="L25" s="234">
        <f t="shared" si="3"/>
        <v>0</v>
      </c>
      <c r="M25" s="814"/>
      <c r="N25" s="814"/>
      <c r="O25" s="817"/>
    </row>
    <row r="26" spans="1:17" ht="18.75">
      <c r="A26" s="236">
        <f t="shared" si="4"/>
        <v>46257</v>
      </c>
      <c r="B26" s="228">
        <v>2878649.46</v>
      </c>
      <c r="C26" s="228">
        <v>6470.4369999999999</v>
      </c>
      <c r="D26" s="229">
        <f t="shared" si="5"/>
        <v>2.2477335604453902E-3</v>
      </c>
      <c r="E26" s="230">
        <v>8429.6291199999996</v>
      </c>
      <c r="F26" s="231">
        <f t="shared" si="6"/>
        <v>2.9283277582536917E-3</v>
      </c>
      <c r="G26" s="228">
        <v>6470.4369999999999</v>
      </c>
      <c r="H26" s="231">
        <f t="shared" si="7"/>
        <v>1</v>
      </c>
      <c r="I26" s="232">
        <v>8429.6291199999996</v>
      </c>
      <c r="J26" s="231">
        <f t="shared" si="8"/>
        <v>1</v>
      </c>
      <c r="K26" s="233">
        <v>0</v>
      </c>
      <c r="L26" s="234">
        <f t="shared" si="3"/>
        <v>0</v>
      </c>
      <c r="M26" s="814"/>
      <c r="N26" s="814"/>
      <c r="O26" s="817"/>
    </row>
    <row r="27" spans="1:17" ht="19.5" thickBot="1">
      <c r="A27" s="476">
        <f t="shared" si="4"/>
        <v>46258</v>
      </c>
      <c r="B27" s="237">
        <v>2931073.8099999996</v>
      </c>
      <c r="C27" s="237">
        <v>7247.549500000001</v>
      </c>
      <c r="D27" s="238">
        <f t="shared" si="5"/>
        <v>2.4726601818328151E-3</v>
      </c>
      <c r="E27" s="243">
        <v>8476.9713600000068</v>
      </c>
      <c r="F27" s="239">
        <f t="shared" si="6"/>
        <v>2.8921043649869768E-3</v>
      </c>
      <c r="G27" s="237">
        <v>7248</v>
      </c>
      <c r="H27" s="239">
        <f t="shared" si="7"/>
        <v>1.0000621589407563</v>
      </c>
      <c r="I27" s="244">
        <v>8476.9713600000068</v>
      </c>
      <c r="J27" s="239">
        <f t="shared" si="8"/>
        <v>1</v>
      </c>
      <c r="K27" s="245">
        <v>0</v>
      </c>
      <c r="L27" s="240">
        <f t="shared" si="3"/>
        <v>0</v>
      </c>
      <c r="M27" s="815"/>
      <c r="N27" s="815"/>
      <c r="O27" s="818"/>
    </row>
    <row r="28" spans="1:17" ht="18.75">
      <c r="A28" s="322">
        <f t="shared" si="4"/>
        <v>46259</v>
      </c>
      <c r="B28" s="247"/>
      <c r="C28" s="247"/>
      <c r="D28" s="248" t="e">
        <f t="shared" si="5"/>
        <v>#DIV/0!</v>
      </c>
      <c r="E28" s="249"/>
      <c r="F28" s="250" t="e">
        <f t="shared" si="6"/>
        <v>#DIV/0!</v>
      </c>
      <c r="G28" s="247"/>
      <c r="H28" s="250" t="e">
        <f t="shared" si="7"/>
        <v>#DIV/0!</v>
      </c>
      <c r="I28" s="251"/>
      <c r="J28" s="250" t="e">
        <f t="shared" si="8"/>
        <v>#DIV/0!</v>
      </c>
      <c r="K28" s="252">
        <v>0</v>
      </c>
      <c r="L28" s="253" t="e">
        <f t="shared" si="3"/>
        <v>#DIV/0!</v>
      </c>
      <c r="M28" s="474">
        <f>SUM(B28:B34)</f>
        <v>0</v>
      </c>
      <c r="N28" s="474">
        <f>SUM(C28:C34)</f>
        <v>0</v>
      </c>
      <c r="O28" s="475">
        <f>SUM(E28:E34)</f>
        <v>0</v>
      </c>
    </row>
    <row r="29" spans="1:17" ht="18.75">
      <c r="A29" s="236">
        <f t="shared" si="4"/>
        <v>46260</v>
      </c>
      <c r="B29" s="228"/>
      <c r="C29" s="228"/>
      <c r="D29" s="229" t="e">
        <f t="shared" si="5"/>
        <v>#DIV/0!</v>
      </c>
      <c r="E29" s="230"/>
      <c r="F29" s="231" t="e">
        <f t="shared" si="6"/>
        <v>#DIV/0!</v>
      </c>
      <c r="G29" s="228"/>
      <c r="H29" s="231" t="e">
        <f t="shared" si="7"/>
        <v>#DIV/0!</v>
      </c>
      <c r="I29" s="232"/>
      <c r="J29" s="231" t="e">
        <f t="shared" si="8"/>
        <v>#DIV/0!</v>
      </c>
      <c r="K29" s="233">
        <v>0</v>
      </c>
      <c r="L29" s="234" t="e">
        <f t="shared" si="3"/>
        <v>#DIV/0!</v>
      </c>
      <c r="M29" s="386"/>
      <c r="N29" s="386"/>
      <c r="O29" s="387"/>
      <c r="P29" s="235"/>
    </row>
    <row r="30" spans="1:17" ht="18.75">
      <c r="A30" s="236">
        <f t="shared" si="4"/>
        <v>46261</v>
      </c>
      <c r="B30" s="228"/>
      <c r="C30" s="228"/>
      <c r="D30" s="229" t="e">
        <f t="shared" si="5"/>
        <v>#DIV/0!</v>
      </c>
      <c r="E30" s="230"/>
      <c r="F30" s="231" t="e">
        <f t="shared" si="6"/>
        <v>#DIV/0!</v>
      </c>
      <c r="G30" s="228"/>
      <c r="H30" s="231" t="e">
        <f t="shared" si="7"/>
        <v>#DIV/0!</v>
      </c>
      <c r="I30" s="232"/>
      <c r="J30" s="231" t="e">
        <f t="shared" si="8"/>
        <v>#DIV/0!</v>
      </c>
      <c r="K30" s="233">
        <v>0</v>
      </c>
      <c r="L30" s="234" t="e">
        <f t="shared" si="3"/>
        <v>#DIV/0!</v>
      </c>
      <c r="M30" s="386"/>
      <c r="N30" s="386"/>
      <c r="O30" s="387"/>
    </row>
    <row r="31" spans="1:17" ht="18.75">
      <c r="A31" s="236">
        <f t="shared" si="4"/>
        <v>46262</v>
      </c>
      <c r="B31" s="228"/>
      <c r="C31" s="228"/>
      <c r="D31" s="229" t="e">
        <f t="shared" si="5"/>
        <v>#DIV/0!</v>
      </c>
      <c r="E31" s="230"/>
      <c r="F31" s="231" t="e">
        <f t="shared" si="6"/>
        <v>#DIV/0!</v>
      </c>
      <c r="G31" s="228"/>
      <c r="H31" s="231" t="e">
        <f t="shared" si="7"/>
        <v>#DIV/0!</v>
      </c>
      <c r="I31" s="232"/>
      <c r="J31" s="231" t="e">
        <f t="shared" si="8"/>
        <v>#DIV/0!</v>
      </c>
      <c r="K31" s="233">
        <v>0</v>
      </c>
      <c r="L31" s="234" t="e">
        <f t="shared" si="3"/>
        <v>#DIV/0!</v>
      </c>
      <c r="M31" s="386"/>
      <c r="N31" s="386"/>
      <c r="O31" s="387"/>
    </row>
    <row r="32" spans="1:17" ht="18.75">
      <c r="A32" s="236">
        <f t="shared" si="4"/>
        <v>46263</v>
      </c>
      <c r="B32" s="228"/>
      <c r="C32" s="228"/>
      <c r="D32" s="229" t="e">
        <f t="shared" si="5"/>
        <v>#DIV/0!</v>
      </c>
      <c r="E32" s="230"/>
      <c r="F32" s="231" t="e">
        <f t="shared" si="6"/>
        <v>#DIV/0!</v>
      </c>
      <c r="G32" s="228"/>
      <c r="H32" s="231" t="e">
        <f t="shared" si="7"/>
        <v>#DIV/0!</v>
      </c>
      <c r="I32" s="232"/>
      <c r="J32" s="231" t="e">
        <f t="shared" si="8"/>
        <v>#DIV/0!</v>
      </c>
      <c r="K32" s="233">
        <v>0</v>
      </c>
      <c r="L32" s="234" t="e">
        <f t="shared" si="3"/>
        <v>#DIV/0!</v>
      </c>
      <c r="M32" s="386"/>
      <c r="N32" s="386"/>
      <c r="O32" s="387"/>
    </row>
    <row r="33" spans="1:15" ht="18.75">
      <c r="A33" s="236">
        <f t="shared" si="4"/>
        <v>46264</v>
      </c>
      <c r="B33" s="228"/>
      <c r="C33" s="228"/>
      <c r="D33" s="229" t="e">
        <f t="shared" si="5"/>
        <v>#DIV/0!</v>
      </c>
      <c r="E33" s="230"/>
      <c r="F33" s="231" t="e">
        <f t="shared" si="6"/>
        <v>#DIV/0!</v>
      </c>
      <c r="G33" s="228"/>
      <c r="H33" s="231" t="e">
        <f t="shared" si="7"/>
        <v>#DIV/0!</v>
      </c>
      <c r="I33" s="232"/>
      <c r="J33" s="231" t="e">
        <f t="shared" si="8"/>
        <v>#DIV/0!</v>
      </c>
      <c r="K33" s="233">
        <v>0</v>
      </c>
      <c r="L33" s="234" t="e">
        <f t="shared" si="3"/>
        <v>#DIV/0!</v>
      </c>
      <c r="M33" s="386"/>
      <c r="N33" s="386"/>
      <c r="O33" s="387"/>
    </row>
    <row r="34" spans="1:15" ht="18.75">
      <c r="A34" s="323">
        <f t="shared" si="4"/>
        <v>46265</v>
      </c>
      <c r="B34" s="237"/>
      <c r="C34" s="237"/>
      <c r="D34" s="238" t="e">
        <f t="shared" si="5"/>
        <v>#DIV/0!</v>
      </c>
      <c r="E34" s="243"/>
      <c r="F34" s="239" t="e">
        <f t="shared" si="6"/>
        <v>#DIV/0!</v>
      </c>
      <c r="G34" s="237"/>
      <c r="H34" s="239" t="e">
        <f t="shared" si="7"/>
        <v>#DIV/0!</v>
      </c>
      <c r="I34" s="244"/>
      <c r="J34" s="239" t="e">
        <f t="shared" si="8"/>
        <v>#DIV/0!</v>
      </c>
      <c r="K34" s="245">
        <v>0</v>
      </c>
      <c r="L34" s="240" t="e">
        <f t="shared" si="3"/>
        <v>#DIV/0!</v>
      </c>
      <c r="M34" s="471"/>
      <c r="N34" s="471"/>
      <c r="O34" s="472"/>
    </row>
    <row r="35" spans="1:15" ht="18.75">
      <c r="A35" s="286" t="s">
        <v>249</v>
      </c>
      <c r="B35" s="247">
        <f>AVERAGE(B4:B34)</f>
        <v>2546105.9241666663</v>
      </c>
      <c r="C35" s="247">
        <f>AVERAGE(C4:C34)</f>
        <v>7522.4681791666653</v>
      </c>
      <c r="D35" s="248">
        <f>C35/B35</f>
        <v>2.9544993033346597E-3</v>
      </c>
      <c r="E35" s="249">
        <f>AVERAGE(E4:E34)</f>
        <v>10529.072425833332</v>
      </c>
      <c r="F35" s="287">
        <f>E35/B35</f>
        <v>4.135363075783844E-3</v>
      </c>
      <c r="G35" s="247">
        <f>AVERAGE(G4:G34)</f>
        <v>7522.4869499999986</v>
      </c>
      <c r="H35" s="250">
        <f>G35/C35</f>
        <v>1.0000024953024573</v>
      </c>
      <c r="I35" s="251">
        <f>AVERAGE(I4:I34)</f>
        <v>10529.072425833332</v>
      </c>
      <c r="J35" s="250">
        <f>I35/E35</f>
        <v>1</v>
      </c>
      <c r="K35" s="252">
        <f>AVERAGE(K4:K34)</f>
        <v>0</v>
      </c>
      <c r="L35" s="253">
        <f>K35/C35</f>
        <v>0</v>
      </c>
      <c r="M35" s="254"/>
    </row>
    <row r="36" spans="1:15" ht="18.75">
      <c r="A36" s="255" t="s">
        <v>135</v>
      </c>
      <c r="B36" s="228">
        <f>SUM(B4:B34)</f>
        <v>61106542.179999992</v>
      </c>
      <c r="C36" s="228">
        <f>SUM(C4:C34)</f>
        <v>180539.23629999996</v>
      </c>
      <c r="D36" s="229">
        <f>C36/B36</f>
        <v>2.9544993033346597E-3</v>
      </c>
      <c r="E36" s="230">
        <f>SUM(E4:E34)</f>
        <v>252697.73821999997</v>
      </c>
      <c r="F36" s="256">
        <f>E36/B36</f>
        <v>4.135363075783844E-3</v>
      </c>
      <c r="G36" s="228">
        <f>SUM(G4:G34)</f>
        <v>180539.68679999997</v>
      </c>
      <c r="H36" s="231">
        <f>G36/C36</f>
        <v>1.0000024953024576</v>
      </c>
      <c r="I36" s="232">
        <f>SUM(I4:I34)</f>
        <v>252697.73821999997</v>
      </c>
      <c r="J36" s="231">
        <f>I36/E36</f>
        <v>1</v>
      </c>
      <c r="K36" s="233">
        <f>SUM(K4:K34)</f>
        <v>0</v>
      </c>
      <c r="L36" s="234">
        <f>K36/C36</f>
        <v>0</v>
      </c>
      <c r="M36" s="254"/>
    </row>
    <row r="37" spans="1:15" ht="27">
      <c r="A37" s="819"/>
      <c r="B37" s="819"/>
      <c r="C37" s="819"/>
      <c r="D37" s="819"/>
      <c r="E37" s="819"/>
      <c r="F37" s="257"/>
      <c r="G37" s="257"/>
      <c r="H37" s="257"/>
      <c r="I37" s="257"/>
      <c r="J37" s="257"/>
      <c r="K37" s="257"/>
      <c r="L37" s="257"/>
      <c r="M37" s="257"/>
    </row>
    <row r="38" spans="1:15" ht="27">
      <c r="A38" s="819"/>
      <c r="B38" s="819"/>
      <c r="C38" s="819"/>
      <c r="D38" s="819"/>
      <c r="E38" s="819"/>
      <c r="F38" s="257"/>
      <c r="G38" s="257"/>
      <c r="H38" s="257"/>
      <c r="I38" s="257"/>
      <c r="J38" s="257"/>
      <c r="K38" s="257"/>
      <c r="L38" s="257"/>
      <c r="M38" s="257"/>
    </row>
    <row r="39" spans="1:15" ht="18.75">
      <c r="A39" s="324">
        <v>46235</v>
      </c>
      <c r="B39" s="390">
        <v>2319312.75</v>
      </c>
      <c r="C39" s="390">
        <v>5672.4064999999991</v>
      </c>
      <c r="D39" s="388">
        <f t="shared" ref="D39:D41" si="9">C39/B39</f>
        <v>2.4457272957258565E-3</v>
      </c>
      <c r="E39" s="391">
        <v>11238.422539999996</v>
      </c>
      <c r="F39" s="256">
        <f t="shared" ref="F39:F41" si="10">E39/B39</f>
        <v>4.8455830460984598E-3</v>
      </c>
      <c r="G39" s="390">
        <v>5672.4064999999991</v>
      </c>
      <c r="H39" s="231">
        <f t="shared" ref="H39:H41" si="11">G39/C39</f>
        <v>1</v>
      </c>
      <c r="I39" s="303">
        <v>11238.422539999996</v>
      </c>
      <c r="J39" s="231">
        <f>I39/E39</f>
        <v>1</v>
      </c>
      <c r="K39" s="392">
        <v>0</v>
      </c>
      <c r="L39" s="393">
        <v>0</v>
      </c>
      <c r="M39" s="257"/>
    </row>
    <row r="40" spans="1:15" ht="18.75">
      <c r="A40" s="324">
        <v>46236</v>
      </c>
      <c r="B40" s="390">
        <v>3023076.54</v>
      </c>
      <c r="C40" s="390">
        <v>11116.712000000001</v>
      </c>
      <c r="D40" s="388">
        <f t="shared" si="9"/>
        <v>3.6772843336609668E-3</v>
      </c>
      <c r="E40" s="391">
        <v>17135.701660000006</v>
      </c>
      <c r="F40" s="256">
        <f t="shared" si="10"/>
        <v>5.6682989773060811E-3</v>
      </c>
      <c r="G40" s="390">
        <v>11116.712000000001</v>
      </c>
      <c r="H40" s="231">
        <f t="shared" si="11"/>
        <v>1</v>
      </c>
      <c r="I40" s="303">
        <v>17135.701660000006</v>
      </c>
      <c r="J40" s="231">
        <f>I40/E40</f>
        <v>1</v>
      </c>
      <c r="K40" s="392"/>
      <c r="L40" s="393"/>
      <c r="M40" s="257"/>
    </row>
    <row r="41" spans="1:15" ht="18.75">
      <c r="A41" s="324">
        <v>46237</v>
      </c>
      <c r="B41" s="390">
        <v>3025604.67</v>
      </c>
      <c r="C41" s="390">
        <v>11830.806999999999</v>
      </c>
      <c r="D41" s="388">
        <f t="shared" si="9"/>
        <v>3.9102289592909704E-3</v>
      </c>
      <c r="E41" s="391">
        <v>19150.369350000004</v>
      </c>
      <c r="F41" s="256">
        <f t="shared" si="10"/>
        <v>6.3294354149711187E-3</v>
      </c>
      <c r="G41" s="390">
        <v>11830.806999999999</v>
      </c>
      <c r="H41" s="231">
        <f t="shared" si="11"/>
        <v>1</v>
      </c>
      <c r="I41" s="303">
        <v>19150.369350000004</v>
      </c>
      <c r="J41" s="231">
        <f>I41/E41</f>
        <v>1</v>
      </c>
      <c r="K41" s="392"/>
      <c r="L41" s="393"/>
      <c r="M41" s="257"/>
    </row>
    <row r="42" spans="1:15" ht="18.75">
      <c r="A42" s="257"/>
      <c r="B42" s="257"/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</row>
    <row r="43" spans="1:15" ht="18.75">
      <c r="A43" s="257"/>
      <c r="B43" s="257"/>
      <c r="C43" s="257"/>
      <c r="D43" s="257"/>
      <c r="E43" s="258"/>
      <c r="F43" s="257"/>
      <c r="G43" s="257"/>
      <c r="H43" s="257"/>
      <c r="I43" s="257"/>
      <c r="J43" s="257"/>
      <c r="K43" s="257"/>
      <c r="L43" s="257"/>
      <c r="M43" s="257"/>
    </row>
    <row r="44" spans="1:15" ht="18.75">
      <c r="A44" s="257"/>
      <c r="B44" s="257"/>
      <c r="C44" s="257"/>
      <c r="D44" s="257"/>
      <c r="E44" s="259"/>
      <c r="F44" s="257"/>
      <c r="G44" s="257"/>
      <c r="H44" s="257"/>
      <c r="I44" s="257"/>
      <c r="J44" s="257"/>
      <c r="K44" s="257"/>
      <c r="L44" s="257"/>
      <c r="M44" s="257"/>
    </row>
    <row r="45" spans="1:15" ht="18.75">
      <c r="A45" s="257"/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  <c r="M45" s="257"/>
    </row>
    <row r="46" spans="1:15" ht="18.75">
      <c r="A46" s="257"/>
      <c r="B46" s="257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</row>
    <row r="47" spans="1:15" ht="18.75">
      <c r="A47" s="257"/>
      <c r="B47" s="257"/>
      <c r="C47" s="257"/>
      <c r="D47" s="257"/>
      <c r="E47" s="257"/>
      <c r="F47" s="257"/>
      <c r="G47" s="257"/>
      <c r="H47" s="257"/>
      <c r="I47" s="257"/>
      <c r="J47" s="257"/>
      <c r="K47" s="257"/>
      <c r="L47" s="257"/>
      <c r="M47" s="257"/>
    </row>
    <row r="48" spans="1:15" ht="18.75">
      <c r="A48" s="257"/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</row>
    <row r="49" spans="1:13" ht="18.75">
      <c r="A49" s="257"/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</row>
    <row r="50" spans="1:13" ht="18.75">
      <c r="A50" s="257"/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</row>
    <row r="51" spans="1:13" ht="18.75">
      <c r="A51" s="257"/>
      <c r="B51" s="257"/>
      <c r="C51" s="257"/>
      <c r="D51" s="257"/>
      <c r="E51" s="257"/>
      <c r="F51" s="257"/>
      <c r="G51" s="257"/>
      <c r="H51" s="257"/>
      <c r="I51" s="257"/>
      <c r="J51" s="257"/>
      <c r="K51" s="257"/>
      <c r="L51" s="257"/>
      <c r="M51" s="257"/>
    </row>
    <row r="52" spans="1:13" ht="18.75">
      <c r="A52" s="257"/>
      <c r="B52" s="257"/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57"/>
    </row>
    <row r="53" spans="1:13" ht="18.75">
      <c r="A53" s="257"/>
      <c r="B53" s="257"/>
      <c r="C53" s="257"/>
      <c r="D53" s="257"/>
      <c r="E53" s="257"/>
      <c r="F53" s="257"/>
      <c r="G53" s="257"/>
      <c r="H53" s="257"/>
      <c r="I53" s="257"/>
      <c r="J53" s="257"/>
      <c r="K53" s="257"/>
      <c r="L53" s="257"/>
      <c r="M53" s="257"/>
    </row>
    <row r="54" spans="1:13" ht="18.75">
      <c r="A54" s="257"/>
      <c r="B54" s="257"/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</row>
    <row r="55" spans="1:13" ht="18.75">
      <c r="A55" s="257"/>
      <c r="B55" s="257"/>
      <c r="C55" s="257"/>
      <c r="D55" s="257"/>
      <c r="E55" s="257"/>
      <c r="F55" s="257"/>
      <c r="G55" s="257"/>
      <c r="H55" s="257"/>
      <c r="I55" s="257"/>
      <c r="J55" s="257"/>
      <c r="K55" s="257"/>
      <c r="L55" s="257"/>
      <c r="M55" s="257"/>
    </row>
    <row r="56" spans="1:13" ht="18.75">
      <c r="A56" s="257"/>
      <c r="B56" s="257"/>
      <c r="C56" s="257"/>
      <c r="D56" s="257"/>
      <c r="E56" s="257"/>
      <c r="F56" s="257"/>
      <c r="G56" s="257"/>
      <c r="H56" s="257"/>
      <c r="I56" s="257"/>
      <c r="J56" s="257"/>
      <c r="K56" s="257"/>
      <c r="L56" s="257"/>
      <c r="M56" s="257"/>
    </row>
    <row r="57" spans="1:13" ht="18.75">
      <c r="A57" s="257"/>
      <c r="B57" s="257"/>
      <c r="C57" s="257"/>
      <c r="D57" s="257"/>
      <c r="E57" s="257"/>
      <c r="F57" s="257"/>
      <c r="G57" s="257"/>
      <c r="H57" s="257"/>
      <c r="I57" s="257"/>
      <c r="J57" s="257"/>
      <c r="K57" s="257"/>
      <c r="L57" s="257"/>
      <c r="M57" s="257"/>
    </row>
    <row r="58" spans="1:13" ht="18.75">
      <c r="A58" s="257"/>
      <c r="B58" s="257"/>
      <c r="C58" s="257"/>
      <c r="D58" s="257"/>
      <c r="E58" s="257"/>
      <c r="F58" s="257"/>
      <c r="G58" s="257"/>
      <c r="H58" s="257"/>
      <c r="I58" s="257"/>
      <c r="J58" s="257"/>
      <c r="K58" s="257"/>
      <c r="L58" s="257"/>
      <c r="M58" s="257"/>
    </row>
    <row r="59" spans="1:13" ht="18.75">
      <c r="A59" s="257"/>
      <c r="B59" s="25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</row>
    <row r="60" spans="1:13" ht="18.75">
      <c r="A60" s="257"/>
      <c r="B60" s="257"/>
      <c r="C60" s="257"/>
      <c r="D60" s="257"/>
      <c r="E60" s="257"/>
      <c r="F60" s="257"/>
      <c r="G60" s="257"/>
      <c r="H60" s="257"/>
      <c r="I60" s="257"/>
      <c r="J60" s="257"/>
      <c r="K60" s="257"/>
      <c r="L60" s="257"/>
      <c r="M60" s="257"/>
    </row>
    <row r="61" spans="1:13" ht="18.75">
      <c r="A61" s="257"/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</row>
    <row r="62" spans="1:13" ht="18.75">
      <c r="A62" s="257"/>
      <c r="B62" s="257"/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M62" s="257"/>
    </row>
    <row r="63" spans="1:13" ht="18.75">
      <c r="A63" s="257"/>
      <c r="B63" s="257"/>
      <c r="C63" s="257"/>
      <c r="D63" s="257"/>
      <c r="E63" s="257"/>
      <c r="F63" s="257"/>
      <c r="G63" s="257"/>
      <c r="H63" s="257"/>
      <c r="I63" s="257"/>
      <c r="J63" s="257"/>
      <c r="K63" s="257"/>
      <c r="L63" s="257"/>
      <c r="M63" s="257"/>
    </row>
    <row r="64" spans="1:13" ht="18.75">
      <c r="A64" s="257"/>
      <c r="B64" s="257"/>
      <c r="C64" s="257"/>
      <c r="D64" s="257"/>
      <c r="E64" s="257"/>
      <c r="F64" s="257"/>
      <c r="G64" s="257"/>
      <c r="H64" s="257"/>
      <c r="I64" s="257"/>
      <c r="J64" s="257"/>
      <c r="K64" s="257"/>
      <c r="L64" s="257"/>
      <c r="M64" s="257"/>
    </row>
    <row r="65" spans="1:13" ht="18.75">
      <c r="A65" s="257"/>
      <c r="B65" s="257"/>
      <c r="C65" s="257"/>
      <c r="D65" s="257"/>
      <c r="E65" s="257"/>
      <c r="F65" s="257"/>
      <c r="G65" s="257"/>
      <c r="H65" s="257"/>
      <c r="I65" s="257"/>
      <c r="J65" s="257"/>
      <c r="K65" s="257"/>
      <c r="L65" s="257"/>
      <c r="M65" s="257"/>
    </row>
    <row r="66" spans="1:13" ht="18.75">
      <c r="A66" s="257"/>
      <c r="B66" s="257"/>
      <c r="C66" s="257"/>
      <c r="D66" s="257"/>
      <c r="E66" s="257"/>
      <c r="F66" s="257"/>
      <c r="G66" s="257"/>
      <c r="H66" s="257"/>
      <c r="I66" s="257"/>
      <c r="J66" s="257"/>
      <c r="K66" s="257"/>
      <c r="L66" s="257"/>
      <c r="M66" s="257"/>
    </row>
    <row r="67" spans="1:13" ht="18.75">
      <c r="A67" s="257"/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</row>
  </sheetData>
  <mergeCells count="25">
    <mergeCell ref="M4:M6"/>
    <mergeCell ref="N4:N6"/>
    <mergeCell ref="O4:O6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7:M13"/>
    <mergeCell ref="N7:N13"/>
    <mergeCell ref="O7:O13"/>
    <mergeCell ref="A37:E37"/>
    <mergeCell ref="A38:E38"/>
    <mergeCell ref="M14:M20"/>
    <mergeCell ref="N14:N20"/>
    <mergeCell ref="O14:O20"/>
    <mergeCell ref="M21:M27"/>
    <mergeCell ref="N21:N27"/>
    <mergeCell ref="O21:O27"/>
  </mergeCells>
  <phoneticPr fontId="23" type="noConversion"/>
  <conditionalFormatting sqref="D4:D36">
    <cfRule type="cellIs" dxfId="7" priority="3" operator="greaterThan">
      <formula>0.0025</formula>
    </cfRule>
  </conditionalFormatting>
  <conditionalFormatting sqref="D39:D41">
    <cfRule type="cellIs" dxfId="6" priority="6" operator="greaterThan">
      <formula>0.0025</formula>
    </cfRule>
  </conditionalFormatting>
  <conditionalFormatting sqref="H4:H36">
    <cfRule type="cellIs" dxfId="5" priority="2" operator="greaterThan">
      <formula>0.16</formula>
    </cfRule>
  </conditionalFormatting>
  <conditionalFormatting sqref="H39:H41">
    <cfRule type="cellIs" dxfId="4" priority="5" operator="greaterThan">
      <formula>0.16</formula>
    </cfRule>
  </conditionalFormatting>
  <conditionalFormatting sqref="J4:J36">
    <cfRule type="cellIs" dxfId="3" priority="1" operator="greaterThan">
      <formula>0.16</formula>
    </cfRule>
  </conditionalFormatting>
  <conditionalFormatting sqref="J39:J41">
    <cfRule type="cellIs" dxfId="2" priority="4" operator="greaterThan">
      <formula>0.16</formula>
    </cfRule>
  </conditionalFormatting>
  <conditionalFormatting sqref="L5:L34 L35:M36">
    <cfRule type="cellIs" dxfId="1" priority="7" operator="greaterThan">
      <formula>0.15</formula>
    </cfRule>
  </conditionalFormatting>
  <conditionalFormatting sqref="L4:O4">
    <cfRule type="cellIs" dxfId="0" priority="16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47" width="12.5703125" style="2" customWidth="1"/>
    <col min="48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250</v>
      </c>
      <c r="D2" s="5" t="s">
        <v>251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252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>
      <c r="A5" s="7"/>
      <c r="B5" s="49" t="s">
        <v>253</v>
      </c>
      <c r="C5" s="7" t="s">
        <v>254</v>
      </c>
      <c r="D5" s="7" t="s">
        <v>12</v>
      </c>
      <c r="E5" s="7" t="s">
        <v>13</v>
      </c>
      <c r="G5" s="7"/>
      <c r="H5" s="49" t="s">
        <v>14</v>
      </c>
      <c r="I5" s="49" t="s">
        <v>253</v>
      </c>
      <c r="J5" s="49" t="s">
        <v>254</v>
      </c>
      <c r="K5" s="7" t="s">
        <v>13</v>
      </c>
      <c r="L5" s="62" t="s">
        <v>15</v>
      </c>
      <c r="M5" s="7"/>
      <c r="N5" s="49" t="s">
        <v>253</v>
      </c>
      <c r="O5" s="49" t="s">
        <v>36</v>
      </c>
      <c r="P5" s="49" t="s">
        <v>254</v>
      </c>
      <c r="Q5" s="49" t="s">
        <v>12</v>
      </c>
      <c r="R5" s="67"/>
      <c r="S5" s="7"/>
      <c r="T5" s="49" t="s">
        <v>253</v>
      </c>
      <c r="U5" s="49" t="s">
        <v>36</v>
      </c>
      <c r="V5" s="49" t="s">
        <v>254</v>
      </c>
      <c r="W5" s="49" t="s">
        <v>12</v>
      </c>
    </row>
    <row r="6" spans="1:23" ht="15.75" customHeight="1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255</v>
      </c>
      <c r="H6" s="11">
        <v>110</v>
      </c>
      <c r="I6" s="11">
        <v>100</v>
      </c>
      <c r="J6" s="11">
        <v>90</v>
      </c>
      <c r="K6" s="12"/>
      <c r="L6" s="62" t="s">
        <v>256</v>
      </c>
      <c r="M6" s="49" t="s">
        <v>257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257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258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259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259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260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261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261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262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263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263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264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265</v>
      </c>
      <c r="N10" s="9" t="s">
        <v>266</v>
      </c>
      <c r="O10" s="13" t="str">
        <f t="shared" si="1"/>
        <v/>
      </c>
      <c r="P10" s="4" t="s">
        <v>267</v>
      </c>
      <c r="Q10" s="13" t="str">
        <f t="shared" si="2"/>
        <v/>
      </c>
      <c r="S10" s="49" t="s">
        <v>265</v>
      </c>
      <c r="T10" s="9" t="s">
        <v>266</v>
      </c>
      <c r="U10" s="13" t="str">
        <f t="shared" si="3"/>
        <v/>
      </c>
      <c r="V10" s="4" t="s">
        <v>267</v>
      </c>
      <c r="W10" s="13" t="str">
        <f t="shared" si="4"/>
        <v/>
      </c>
    </row>
    <row r="11" spans="1:23" ht="15.75" customHeight="1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268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269</v>
      </c>
      <c r="N11" s="9" t="s">
        <v>266</v>
      </c>
      <c r="O11" s="13" t="str">
        <f t="shared" si="1"/>
        <v/>
      </c>
      <c r="P11" s="4" t="s">
        <v>267</v>
      </c>
      <c r="Q11" s="13" t="str">
        <f t="shared" si="2"/>
        <v/>
      </c>
      <c r="S11" s="49" t="s">
        <v>269</v>
      </c>
      <c r="T11" s="9" t="s">
        <v>266</v>
      </c>
      <c r="U11" s="13" t="str">
        <f t="shared" si="3"/>
        <v/>
      </c>
      <c r="V11" s="4" t="s">
        <v>267</v>
      </c>
      <c r="W11" s="13" t="str">
        <f t="shared" si="4"/>
        <v/>
      </c>
    </row>
    <row r="12" spans="1:23" ht="15.75" customHeight="1">
      <c r="M12" s="49" t="s">
        <v>270</v>
      </c>
      <c r="N12" s="9" t="s">
        <v>266</v>
      </c>
      <c r="O12" s="13" t="str">
        <f t="shared" si="1"/>
        <v/>
      </c>
      <c r="P12" s="4" t="s">
        <v>267</v>
      </c>
      <c r="Q12" s="13" t="str">
        <f t="shared" si="2"/>
        <v/>
      </c>
      <c r="S12" s="49" t="s">
        <v>270</v>
      </c>
      <c r="T12" s="9" t="s">
        <v>266</v>
      </c>
      <c r="U12" s="13" t="str">
        <f t="shared" si="3"/>
        <v/>
      </c>
      <c r="V12" s="4" t="s">
        <v>267</v>
      </c>
      <c r="W12" s="13" t="str">
        <f t="shared" si="4"/>
        <v/>
      </c>
    </row>
    <row r="13" spans="1:23" ht="15.75" customHeight="1">
      <c r="A13" s="60" t="s">
        <v>271</v>
      </c>
      <c r="B13" s="67"/>
      <c r="C13" s="67"/>
      <c r="D13" s="67"/>
      <c r="E13" s="67"/>
      <c r="F13" s="67"/>
      <c r="M13" s="49" t="s">
        <v>272</v>
      </c>
      <c r="N13" s="9" t="s">
        <v>266</v>
      </c>
      <c r="O13" s="13" t="str">
        <f t="shared" si="1"/>
        <v/>
      </c>
      <c r="P13" s="4" t="s">
        <v>267</v>
      </c>
      <c r="Q13" s="13" t="str">
        <f t="shared" si="2"/>
        <v/>
      </c>
      <c r="S13" s="49" t="s">
        <v>272</v>
      </c>
      <c r="T13" s="9" t="s">
        <v>266</v>
      </c>
      <c r="U13" s="13" t="str">
        <f t="shared" si="3"/>
        <v/>
      </c>
      <c r="V13" s="4" t="s">
        <v>267</v>
      </c>
      <c r="W13" s="13" t="str">
        <f t="shared" si="4"/>
        <v/>
      </c>
    </row>
    <row r="14" spans="1:23" ht="12.75">
      <c r="A14" s="7"/>
      <c r="B14" s="49" t="s">
        <v>253</v>
      </c>
      <c r="C14" s="7" t="s">
        <v>254</v>
      </c>
      <c r="D14" s="7" t="s">
        <v>12</v>
      </c>
      <c r="E14" s="7" t="s">
        <v>13</v>
      </c>
      <c r="F14" s="67"/>
      <c r="G14" s="7"/>
      <c r="H14" s="49" t="s">
        <v>253</v>
      </c>
      <c r="I14" s="7" t="s">
        <v>254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257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265</v>
      </c>
      <c r="H15" s="4"/>
      <c r="I15" s="4"/>
      <c r="J15" s="16">
        <f>H15-I15</f>
        <v>0</v>
      </c>
      <c r="K15" s="17"/>
      <c r="M15" s="60" t="s">
        <v>273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259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269</v>
      </c>
      <c r="H16" s="4"/>
      <c r="I16" s="4"/>
      <c r="J16" s="16">
        <f>H16-I16</f>
        <v>0</v>
      </c>
      <c r="K16" s="17"/>
      <c r="M16" s="18"/>
      <c r="N16" s="46" t="s">
        <v>135</v>
      </c>
      <c r="O16" s="19"/>
      <c r="P16" s="58" t="s">
        <v>191</v>
      </c>
      <c r="Q16" s="19"/>
      <c r="R16" s="51" t="s">
        <v>274</v>
      </c>
      <c r="S16" s="19"/>
    </row>
    <row r="17" spans="1:27" ht="15.75" customHeight="1">
      <c r="A17" s="49" t="s">
        <v>261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270</v>
      </c>
      <c r="H17" s="4"/>
      <c r="I17" s="4"/>
      <c r="J17" s="16">
        <f>H17-I17</f>
        <v>0</v>
      </c>
      <c r="K17" s="17"/>
      <c r="M17" s="20"/>
      <c r="N17" s="21" t="s">
        <v>140</v>
      </c>
      <c r="O17" s="50" t="s">
        <v>36</v>
      </c>
      <c r="P17" s="8" t="s">
        <v>140</v>
      </c>
      <c r="Q17" s="50" t="s">
        <v>36</v>
      </c>
      <c r="R17" s="8" t="s">
        <v>140</v>
      </c>
      <c r="S17" s="50" t="s">
        <v>36</v>
      </c>
    </row>
    <row r="18" spans="1:27" ht="15.75" customHeight="1">
      <c r="A18" s="49" t="s">
        <v>263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272</v>
      </c>
      <c r="H18" s="4"/>
      <c r="I18" s="4"/>
      <c r="J18" s="16">
        <f>H18-I18</f>
        <v>0</v>
      </c>
      <c r="K18" s="17"/>
      <c r="M18" s="49" t="s">
        <v>260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262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275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91</v>
      </c>
      <c r="C21" s="842" t="s">
        <v>107</v>
      </c>
      <c r="D21" s="831"/>
      <c r="E21" s="832"/>
      <c r="F21" s="49" t="s">
        <v>96</v>
      </c>
      <c r="G21" s="49" t="s">
        <v>276</v>
      </c>
      <c r="H21" s="49" t="s">
        <v>277</v>
      </c>
      <c r="I21" s="8" t="s">
        <v>110</v>
      </c>
      <c r="J21" s="852" t="s">
        <v>111</v>
      </c>
      <c r="K21" s="832"/>
      <c r="M21" s="60" t="s">
        <v>147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257</v>
      </c>
      <c r="B22" s="6">
        <v>1</v>
      </c>
      <c r="C22" s="830" t="s">
        <v>278</v>
      </c>
      <c r="D22" s="831"/>
      <c r="E22" s="832"/>
      <c r="F22" s="4">
        <v>3</v>
      </c>
      <c r="G22" s="4">
        <v>3000</v>
      </c>
      <c r="H22" s="4">
        <v>1000</v>
      </c>
      <c r="I22" s="4">
        <v>10</v>
      </c>
      <c r="J22" s="839" t="s">
        <v>279</v>
      </c>
      <c r="K22" s="832"/>
      <c r="M22" s="52" t="s">
        <v>260</v>
      </c>
      <c r="N22" s="57" t="s">
        <v>91</v>
      </c>
      <c r="O22" s="834" t="s">
        <v>107</v>
      </c>
      <c r="P22" s="831"/>
      <c r="Q22" s="832"/>
      <c r="R22" s="848" t="s">
        <v>151</v>
      </c>
      <c r="S22" s="831"/>
      <c r="T22" s="832"/>
      <c r="U22" s="57" t="s">
        <v>152</v>
      </c>
      <c r="V22" s="57" t="s">
        <v>24</v>
      </c>
      <c r="W22" s="57" t="s">
        <v>153</v>
      </c>
      <c r="X22" s="8" t="s">
        <v>140</v>
      </c>
      <c r="Y22" s="8" t="s">
        <v>110</v>
      </c>
      <c r="Z22" s="852" t="s">
        <v>111</v>
      </c>
      <c r="AA22" s="832"/>
    </row>
    <row r="23" spans="1:27" ht="15.75" customHeight="1">
      <c r="A23" s="23"/>
      <c r="B23" s="6">
        <v>2</v>
      </c>
      <c r="C23" s="843"/>
      <c r="D23" s="831"/>
      <c r="E23" s="832"/>
      <c r="F23" s="4"/>
      <c r="G23" s="4"/>
      <c r="H23" s="4"/>
      <c r="I23" s="4"/>
      <c r="J23" s="843"/>
      <c r="K23" s="832"/>
      <c r="M23" s="56" t="s">
        <v>191</v>
      </c>
      <c r="N23" s="24">
        <v>1</v>
      </c>
      <c r="O23" s="839" t="s">
        <v>280</v>
      </c>
      <c r="P23" s="831"/>
      <c r="Q23" s="832"/>
      <c r="R23" s="839" t="s">
        <v>281</v>
      </c>
      <c r="S23" s="831"/>
      <c r="T23" s="83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839" t="s">
        <v>282</v>
      </c>
      <c r="AA23" s="832"/>
    </row>
    <row r="24" spans="1:27" ht="15.75" customHeight="1">
      <c r="A24" s="23"/>
      <c r="B24" s="6">
        <v>3</v>
      </c>
      <c r="C24" s="843"/>
      <c r="D24" s="831"/>
      <c r="E24" s="832"/>
      <c r="F24" s="4"/>
      <c r="G24" s="4"/>
      <c r="H24" s="4"/>
      <c r="I24" s="4"/>
      <c r="J24" s="843"/>
      <c r="K24" s="832"/>
      <c r="M24" s="25"/>
      <c r="N24" s="24">
        <v>2</v>
      </c>
      <c r="O24" s="830"/>
      <c r="P24" s="831"/>
      <c r="Q24" s="832"/>
      <c r="R24" s="830"/>
      <c r="S24" s="831"/>
      <c r="T24" s="832"/>
      <c r="U24" s="4"/>
      <c r="V24" s="14"/>
      <c r="W24" s="4"/>
      <c r="X24" s="16">
        <f>W24*U24</f>
        <v>0</v>
      </c>
      <c r="Y24" s="4"/>
      <c r="Z24" s="830"/>
      <c r="AA24" s="832"/>
    </row>
    <row r="25" spans="1:27" ht="15.75" customHeight="1">
      <c r="A25" s="23"/>
      <c r="B25" s="6">
        <v>4</v>
      </c>
      <c r="C25" s="843"/>
      <c r="D25" s="831"/>
      <c r="E25" s="832"/>
      <c r="F25" s="4"/>
      <c r="G25" s="4"/>
      <c r="H25" s="4"/>
      <c r="I25" s="4"/>
      <c r="J25" s="843"/>
      <c r="K25" s="832"/>
      <c r="M25" s="25"/>
      <c r="N25" s="24">
        <v>3</v>
      </c>
      <c r="O25" s="830"/>
      <c r="P25" s="831"/>
      <c r="Q25" s="832"/>
      <c r="R25" s="830"/>
      <c r="S25" s="831"/>
      <c r="T25" s="832"/>
      <c r="U25" s="4"/>
      <c r="V25" s="14"/>
      <c r="W25" s="4"/>
      <c r="X25" s="16">
        <f>W25*U25</f>
        <v>0</v>
      </c>
      <c r="Y25" s="4"/>
      <c r="Z25" s="830"/>
      <c r="AA25" s="832"/>
    </row>
    <row r="26" spans="1:27" ht="15.75" customHeight="1">
      <c r="A26" s="23"/>
      <c r="B26" s="26">
        <v>5</v>
      </c>
      <c r="C26" s="851"/>
      <c r="D26" s="846"/>
      <c r="E26" s="847"/>
      <c r="F26" s="27"/>
      <c r="G26" s="27"/>
      <c r="H26" s="27"/>
      <c r="I26" s="27"/>
      <c r="J26" s="851"/>
      <c r="K26" s="847"/>
      <c r="M26" s="25"/>
      <c r="N26" s="24">
        <v>4</v>
      </c>
      <c r="O26" s="830"/>
      <c r="P26" s="831"/>
      <c r="Q26" s="832"/>
      <c r="R26" s="830"/>
      <c r="S26" s="831"/>
      <c r="T26" s="832"/>
      <c r="U26" s="4"/>
      <c r="V26" s="14"/>
      <c r="W26" s="4"/>
      <c r="X26" s="16">
        <f>W26*U26</f>
        <v>0</v>
      </c>
      <c r="Y26" s="4"/>
      <c r="Z26" s="830"/>
      <c r="AA26" s="832"/>
    </row>
    <row r="27" spans="1:27" ht="15.75" customHeight="1">
      <c r="A27" s="23"/>
      <c r="B27" s="69" t="s">
        <v>283</v>
      </c>
      <c r="C27" s="840" t="s">
        <v>284</v>
      </c>
      <c r="D27" s="844"/>
      <c r="E27" s="841"/>
      <c r="F27" s="28">
        <v>4</v>
      </c>
      <c r="G27" s="28">
        <v>2800</v>
      </c>
      <c r="H27" s="28">
        <v>700</v>
      </c>
      <c r="I27" s="28" t="s">
        <v>285</v>
      </c>
      <c r="J27" s="840" t="s">
        <v>286</v>
      </c>
      <c r="K27" s="841"/>
      <c r="M27" s="25"/>
      <c r="N27" s="29">
        <v>5</v>
      </c>
      <c r="O27" s="845"/>
      <c r="P27" s="846"/>
      <c r="Q27" s="847"/>
      <c r="R27" s="845"/>
      <c r="S27" s="846"/>
      <c r="T27" s="847"/>
      <c r="U27" s="27"/>
      <c r="V27" s="30"/>
      <c r="W27" s="27"/>
      <c r="X27" s="31">
        <f>W27*U27</f>
        <v>0</v>
      </c>
      <c r="Y27" s="4"/>
      <c r="Z27" s="845"/>
      <c r="AA27" s="847"/>
    </row>
    <row r="28" spans="1:27" ht="15.75" customHeight="1">
      <c r="A28" s="23"/>
      <c r="B28" s="70" t="s">
        <v>287</v>
      </c>
      <c r="C28" s="843"/>
      <c r="D28" s="831"/>
      <c r="E28" s="832"/>
      <c r="F28" s="4"/>
      <c r="G28" s="4"/>
      <c r="H28" s="4"/>
      <c r="I28" s="4"/>
      <c r="J28" s="843"/>
      <c r="K28" s="832"/>
      <c r="M28" s="32"/>
      <c r="N28" s="55"/>
      <c r="O28" s="833"/>
      <c r="P28" s="831"/>
      <c r="Q28" s="831"/>
      <c r="R28" s="833"/>
      <c r="S28" s="831"/>
      <c r="T28" s="831"/>
      <c r="U28" s="59" t="s">
        <v>165</v>
      </c>
      <c r="V28" s="33">
        <f>X28/N18</f>
        <v>8.3333333333333329E-2</v>
      </c>
      <c r="W28" s="59" t="s">
        <v>166</v>
      </c>
      <c r="X28" s="34">
        <f>SUM(X23:X27)</f>
        <v>100</v>
      </c>
      <c r="Y28" s="45"/>
      <c r="Z28" s="833"/>
      <c r="AA28" s="832"/>
    </row>
    <row r="29" spans="1:27" ht="15.75" customHeight="1">
      <c r="A29" s="23"/>
      <c r="B29" s="70" t="s">
        <v>288</v>
      </c>
      <c r="C29" s="843"/>
      <c r="D29" s="831"/>
      <c r="E29" s="832"/>
      <c r="F29" s="4"/>
      <c r="G29" s="4"/>
      <c r="H29" s="4"/>
      <c r="I29" s="4"/>
      <c r="J29" s="843"/>
      <c r="K29" s="832"/>
      <c r="M29" s="56" t="s">
        <v>274</v>
      </c>
      <c r="N29" s="24">
        <v>1</v>
      </c>
      <c r="O29" s="856" t="s">
        <v>289</v>
      </c>
      <c r="P29" s="837"/>
      <c r="Q29" s="838"/>
      <c r="R29" s="836" t="s">
        <v>290</v>
      </c>
      <c r="S29" s="837"/>
      <c r="T29" s="838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836" t="s">
        <v>291</v>
      </c>
      <c r="AA29" s="838"/>
    </row>
    <row r="30" spans="1:27" ht="15.75" customHeight="1">
      <c r="A30" s="23"/>
      <c r="B30" s="70" t="s">
        <v>292</v>
      </c>
      <c r="C30" s="843"/>
      <c r="D30" s="831"/>
      <c r="E30" s="832"/>
      <c r="F30" s="4"/>
      <c r="G30" s="4"/>
      <c r="H30" s="4"/>
      <c r="I30" s="4"/>
      <c r="J30" s="843"/>
      <c r="K30" s="832"/>
      <c r="M30" s="25"/>
      <c r="N30" s="24">
        <v>2</v>
      </c>
      <c r="O30" s="830"/>
      <c r="P30" s="831"/>
      <c r="Q30" s="832"/>
      <c r="R30" s="830"/>
      <c r="S30" s="831"/>
      <c r="T30" s="832"/>
      <c r="U30" s="4"/>
      <c r="V30" s="14"/>
      <c r="W30" s="4"/>
      <c r="X30" s="16">
        <f>W30*U30</f>
        <v>0</v>
      </c>
      <c r="Y30" s="4"/>
      <c r="Z30" s="830"/>
      <c r="AA30" s="832"/>
    </row>
    <row r="31" spans="1:27" ht="15.75" customHeight="1">
      <c r="A31" s="20"/>
      <c r="B31" s="70" t="s">
        <v>293</v>
      </c>
      <c r="C31" s="843"/>
      <c r="D31" s="831"/>
      <c r="E31" s="832"/>
      <c r="F31" s="4"/>
      <c r="G31" s="4"/>
      <c r="H31" s="4"/>
      <c r="I31" s="4"/>
      <c r="J31" s="843"/>
      <c r="K31" s="832"/>
      <c r="M31" s="25"/>
      <c r="N31" s="24">
        <v>3</v>
      </c>
      <c r="O31" s="830"/>
      <c r="P31" s="831"/>
      <c r="Q31" s="832"/>
      <c r="R31" s="830"/>
      <c r="S31" s="831"/>
      <c r="T31" s="832"/>
      <c r="U31" s="4"/>
      <c r="V31" s="14"/>
      <c r="W31" s="4"/>
      <c r="X31" s="16">
        <f>W31*U31</f>
        <v>0</v>
      </c>
      <c r="Y31" s="4"/>
      <c r="Z31" s="830"/>
      <c r="AA31" s="832"/>
    </row>
    <row r="32" spans="1:27" ht="15.75" customHeight="1">
      <c r="A32" s="67"/>
      <c r="M32" s="25"/>
      <c r="N32" s="24">
        <v>4</v>
      </c>
      <c r="O32" s="830"/>
      <c r="P32" s="831"/>
      <c r="Q32" s="832"/>
      <c r="R32" s="830"/>
      <c r="S32" s="831"/>
      <c r="T32" s="832"/>
      <c r="U32" s="4"/>
      <c r="V32" s="14"/>
      <c r="W32" s="4"/>
      <c r="X32" s="16">
        <f>W32*U32</f>
        <v>0</v>
      </c>
      <c r="Y32" s="4"/>
      <c r="Z32" s="830"/>
      <c r="AA32" s="832"/>
    </row>
    <row r="33" spans="1:27" ht="15.75" customHeight="1">
      <c r="A33" s="18"/>
      <c r="B33" s="49" t="s">
        <v>91</v>
      </c>
      <c r="C33" s="842" t="s">
        <v>107</v>
      </c>
      <c r="D33" s="831"/>
      <c r="E33" s="832"/>
      <c r="F33" s="49" t="s">
        <v>96</v>
      </c>
      <c r="G33" s="49" t="s">
        <v>276</v>
      </c>
      <c r="H33" s="49" t="s">
        <v>277</v>
      </c>
      <c r="I33" s="8" t="s">
        <v>110</v>
      </c>
      <c r="J33" s="852" t="s">
        <v>111</v>
      </c>
      <c r="K33" s="832"/>
      <c r="M33" s="25"/>
      <c r="N33" s="29">
        <v>5</v>
      </c>
      <c r="O33" s="830"/>
      <c r="P33" s="831"/>
      <c r="Q33" s="832"/>
      <c r="R33" s="830"/>
      <c r="S33" s="831"/>
      <c r="T33" s="832"/>
      <c r="U33" s="27"/>
      <c r="V33" s="30"/>
      <c r="W33" s="27"/>
      <c r="X33" s="31">
        <f>W33*U33</f>
        <v>0</v>
      </c>
      <c r="Y33" s="4"/>
      <c r="Z33" s="830"/>
      <c r="AA33" s="832"/>
    </row>
    <row r="34" spans="1:27" ht="15.75" customHeight="1">
      <c r="A34" s="52" t="s">
        <v>259</v>
      </c>
      <c r="B34" s="6">
        <v>1</v>
      </c>
      <c r="C34" s="839" t="s">
        <v>294</v>
      </c>
      <c r="D34" s="831"/>
      <c r="E34" s="832"/>
      <c r="F34" s="4">
        <v>3</v>
      </c>
      <c r="G34" s="4">
        <v>2500</v>
      </c>
      <c r="H34" s="4">
        <v>833.33</v>
      </c>
      <c r="I34" s="4">
        <v>20</v>
      </c>
      <c r="J34" s="839" t="s">
        <v>295</v>
      </c>
      <c r="K34" s="832"/>
      <c r="M34" s="68"/>
      <c r="N34" s="45"/>
      <c r="O34" s="833"/>
      <c r="P34" s="831"/>
      <c r="Q34" s="831"/>
      <c r="R34" s="833"/>
      <c r="S34" s="831"/>
      <c r="T34" s="831"/>
      <c r="U34" s="59" t="s">
        <v>165</v>
      </c>
      <c r="V34" s="33">
        <f>X34/N18</f>
        <v>0.23125000000000001</v>
      </c>
      <c r="W34" s="59" t="s">
        <v>166</v>
      </c>
      <c r="X34" s="34">
        <f>SUM(X29:X33)</f>
        <v>277.5</v>
      </c>
      <c r="Y34" s="45"/>
      <c r="Z34" s="833"/>
      <c r="AA34" s="832"/>
    </row>
    <row r="35" spans="1:27" ht="15.75" customHeight="1">
      <c r="A35" s="23"/>
      <c r="B35" s="6">
        <v>2</v>
      </c>
      <c r="C35" s="830"/>
      <c r="D35" s="831"/>
      <c r="E35" s="832"/>
      <c r="F35" s="4"/>
      <c r="G35" s="4"/>
      <c r="H35" s="4"/>
      <c r="I35" s="4"/>
      <c r="J35" s="830"/>
      <c r="K35" s="832"/>
      <c r="M35" s="1"/>
      <c r="N35" s="1"/>
      <c r="O35" s="854"/>
      <c r="P35" s="855"/>
      <c r="Q35" s="855"/>
      <c r="R35" s="854"/>
      <c r="S35" s="855"/>
      <c r="T35" s="855"/>
      <c r="U35" s="1"/>
      <c r="V35" s="38"/>
      <c r="W35" s="1"/>
      <c r="X35" s="1"/>
      <c r="Y35" s="854"/>
      <c r="Z35" s="855"/>
      <c r="AA35" s="855"/>
    </row>
    <row r="36" spans="1:27" ht="15.75" customHeight="1">
      <c r="A36" s="23"/>
      <c r="B36" s="6">
        <v>3</v>
      </c>
      <c r="C36" s="830"/>
      <c r="D36" s="831"/>
      <c r="E36" s="832"/>
      <c r="F36" s="4"/>
      <c r="G36" s="4"/>
      <c r="H36" s="4"/>
      <c r="I36" s="4"/>
      <c r="J36" s="830"/>
      <c r="K36" s="832"/>
      <c r="M36" s="52" t="s">
        <v>262</v>
      </c>
      <c r="N36" s="57" t="s">
        <v>91</v>
      </c>
      <c r="O36" s="834" t="s">
        <v>107</v>
      </c>
      <c r="P36" s="833"/>
      <c r="Q36" s="835"/>
      <c r="R36" s="848" t="s">
        <v>151</v>
      </c>
      <c r="S36" s="849"/>
      <c r="T36" s="850"/>
      <c r="U36" s="57" t="s">
        <v>152</v>
      </c>
      <c r="V36" s="57" t="s">
        <v>24</v>
      </c>
      <c r="W36" s="57" t="s">
        <v>153</v>
      </c>
      <c r="X36" s="8" t="s">
        <v>140</v>
      </c>
      <c r="Y36" s="8" t="s">
        <v>110</v>
      </c>
      <c r="Z36" s="852" t="s">
        <v>111</v>
      </c>
      <c r="AA36" s="853"/>
    </row>
    <row r="37" spans="1:27" ht="15.75" customHeight="1">
      <c r="A37" s="23"/>
      <c r="B37" s="6">
        <v>4</v>
      </c>
      <c r="C37" s="830"/>
      <c r="D37" s="831"/>
      <c r="E37" s="832"/>
      <c r="F37" s="4"/>
      <c r="G37" s="4"/>
      <c r="H37" s="4"/>
      <c r="I37" s="4"/>
      <c r="J37" s="830"/>
      <c r="K37" s="832"/>
      <c r="M37" s="56" t="s">
        <v>191</v>
      </c>
      <c r="N37" s="24">
        <v>1</v>
      </c>
      <c r="O37" s="839" t="s">
        <v>296</v>
      </c>
      <c r="P37" s="831"/>
      <c r="Q37" s="832"/>
      <c r="R37" s="839" t="s">
        <v>297</v>
      </c>
      <c r="S37" s="831"/>
      <c r="T37" s="83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839" t="s">
        <v>298</v>
      </c>
      <c r="AA37" s="832"/>
    </row>
    <row r="38" spans="1:27" ht="15.75" customHeight="1">
      <c r="A38" s="23"/>
      <c r="B38" s="26">
        <v>5</v>
      </c>
      <c r="C38" s="845"/>
      <c r="D38" s="846"/>
      <c r="E38" s="847"/>
      <c r="F38" s="27"/>
      <c r="G38" s="27"/>
      <c r="H38" s="27"/>
      <c r="I38" s="27"/>
      <c r="J38" s="845"/>
      <c r="K38" s="847"/>
      <c r="M38" s="25"/>
      <c r="N38" s="24">
        <v>2</v>
      </c>
      <c r="O38" s="830"/>
      <c r="P38" s="831"/>
      <c r="Q38" s="832"/>
      <c r="R38" s="830"/>
      <c r="S38" s="831"/>
      <c r="T38" s="832"/>
      <c r="U38" s="4"/>
      <c r="V38" s="14"/>
      <c r="W38" s="4"/>
      <c r="X38" s="16">
        <f>W38*U38</f>
        <v>0</v>
      </c>
      <c r="Y38" s="4"/>
      <c r="Z38" s="830"/>
      <c r="AA38" s="832"/>
    </row>
    <row r="39" spans="1:27" ht="14.25">
      <c r="A39" s="23"/>
      <c r="B39" s="69" t="s">
        <v>283</v>
      </c>
      <c r="C39" s="840" t="s">
        <v>299</v>
      </c>
      <c r="D39" s="844"/>
      <c r="E39" s="841"/>
      <c r="F39" s="28">
        <v>7</v>
      </c>
      <c r="G39" s="28">
        <v>2200</v>
      </c>
      <c r="H39" s="28">
        <v>314.29000000000002</v>
      </c>
      <c r="I39" s="28">
        <v>-15</v>
      </c>
      <c r="J39" s="840" t="s">
        <v>300</v>
      </c>
      <c r="K39" s="841"/>
      <c r="M39" s="25"/>
      <c r="N39" s="24">
        <v>3</v>
      </c>
      <c r="O39" s="830"/>
      <c r="P39" s="831"/>
      <c r="Q39" s="832"/>
      <c r="R39" s="830"/>
      <c r="S39" s="831"/>
      <c r="T39" s="832"/>
      <c r="U39" s="4"/>
      <c r="V39" s="14"/>
      <c r="W39" s="4"/>
      <c r="X39" s="16">
        <f>W39*U39</f>
        <v>0</v>
      </c>
      <c r="Y39" s="4"/>
      <c r="Z39" s="830"/>
      <c r="AA39" s="832"/>
    </row>
    <row r="40" spans="1:27" ht="14.25">
      <c r="A40" s="23"/>
      <c r="B40" s="70" t="s">
        <v>287</v>
      </c>
      <c r="C40" s="830"/>
      <c r="D40" s="831"/>
      <c r="E40" s="832"/>
      <c r="F40" s="4"/>
      <c r="G40" s="4"/>
      <c r="H40" s="4"/>
      <c r="I40" s="4"/>
      <c r="J40" s="830"/>
      <c r="K40" s="832"/>
      <c r="M40" s="25"/>
      <c r="N40" s="24">
        <v>4</v>
      </c>
      <c r="O40" s="830"/>
      <c r="P40" s="831"/>
      <c r="Q40" s="832"/>
      <c r="R40" s="830"/>
      <c r="S40" s="831"/>
      <c r="T40" s="832"/>
      <c r="U40" s="4"/>
      <c r="V40" s="14"/>
      <c r="W40" s="4"/>
      <c r="X40" s="16">
        <f>W40*U40</f>
        <v>0</v>
      </c>
      <c r="Y40" s="4"/>
      <c r="Z40" s="830"/>
      <c r="AA40" s="832"/>
    </row>
    <row r="41" spans="1:27" ht="14.25">
      <c r="A41" s="23"/>
      <c r="B41" s="70" t="s">
        <v>288</v>
      </c>
      <c r="C41" s="830"/>
      <c r="D41" s="831"/>
      <c r="E41" s="832"/>
      <c r="F41" s="4"/>
      <c r="G41" s="4"/>
      <c r="H41" s="4"/>
      <c r="I41" s="4"/>
      <c r="J41" s="830"/>
      <c r="K41" s="832"/>
      <c r="M41" s="25"/>
      <c r="N41" s="29">
        <v>5</v>
      </c>
      <c r="O41" s="845"/>
      <c r="P41" s="846"/>
      <c r="Q41" s="847"/>
      <c r="R41" s="845"/>
      <c r="S41" s="846"/>
      <c r="T41" s="847"/>
      <c r="U41" s="27"/>
      <c r="V41" s="30"/>
      <c r="W41" s="27"/>
      <c r="X41" s="31">
        <f>W41*U41</f>
        <v>0</v>
      </c>
      <c r="Y41" s="4"/>
      <c r="Z41" s="830"/>
      <c r="AA41" s="832"/>
    </row>
    <row r="42" spans="1:27" ht="14.25">
      <c r="A42" s="23"/>
      <c r="B42" s="70" t="s">
        <v>292</v>
      </c>
      <c r="C42" s="830"/>
      <c r="D42" s="831"/>
      <c r="E42" s="832"/>
      <c r="F42" s="4"/>
      <c r="G42" s="4"/>
      <c r="H42" s="4"/>
      <c r="I42" s="4"/>
      <c r="J42" s="830"/>
      <c r="K42" s="832"/>
      <c r="M42" s="32"/>
      <c r="N42" s="54"/>
      <c r="O42" s="833"/>
      <c r="P42" s="831"/>
      <c r="Q42" s="831"/>
      <c r="R42" s="833"/>
      <c r="S42" s="831"/>
      <c r="T42" s="831"/>
      <c r="U42" s="59" t="s">
        <v>165</v>
      </c>
      <c r="V42" s="33">
        <f>X42/N19</f>
        <v>5.5555555555555552E-2</v>
      </c>
      <c r="W42" s="59" t="s">
        <v>166</v>
      </c>
      <c r="X42" s="34">
        <f>SUM(X37:X41)</f>
        <v>250</v>
      </c>
      <c r="Y42" s="45"/>
      <c r="Z42" s="833"/>
      <c r="AA42" s="832"/>
    </row>
    <row r="43" spans="1:27" ht="14.25">
      <c r="A43" s="20"/>
      <c r="B43" s="70" t="s">
        <v>293</v>
      </c>
      <c r="C43" s="830"/>
      <c r="D43" s="831"/>
      <c r="E43" s="832"/>
      <c r="F43" s="4"/>
      <c r="G43" s="4"/>
      <c r="H43" s="4"/>
      <c r="I43" s="4"/>
      <c r="J43" s="830"/>
      <c r="K43" s="832"/>
      <c r="M43" s="56" t="s">
        <v>274</v>
      </c>
      <c r="N43" s="24">
        <v>1</v>
      </c>
      <c r="O43" s="839" t="s">
        <v>296</v>
      </c>
      <c r="P43" s="831"/>
      <c r="Q43" s="832"/>
      <c r="R43" s="836" t="s">
        <v>301</v>
      </c>
      <c r="S43" s="837"/>
      <c r="T43" s="838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839" t="s">
        <v>302</v>
      </c>
      <c r="AA43" s="832"/>
    </row>
    <row r="44" spans="1:27" ht="14.25">
      <c r="A44" s="67"/>
      <c r="M44" s="25"/>
      <c r="N44" s="24">
        <v>2</v>
      </c>
      <c r="O44" s="830"/>
      <c r="P44" s="831"/>
      <c r="Q44" s="832"/>
      <c r="R44" s="830"/>
      <c r="S44" s="831"/>
      <c r="T44" s="832"/>
      <c r="U44" s="4"/>
      <c r="V44" s="14"/>
      <c r="W44" s="4"/>
      <c r="X44" s="37">
        <f>W44*U44</f>
        <v>0</v>
      </c>
      <c r="Y44" s="4"/>
      <c r="Z44" s="830"/>
      <c r="AA44" s="832"/>
    </row>
    <row r="45" spans="1:27" ht="14.25">
      <c r="A45" s="18"/>
      <c r="B45" s="49" t="s">
        <v>91</v>
      </c>
      <c r="C45" s="842" t="s">
        <v>107</v>
      </c>
      <c r="D45" s="831"/>
      <c r="E45" s="832"/>
      <c r="F45" s="49" t="s">
        <v>96</v>
      </c>
      <c r="G45" s="49" t="s">
        <v>276</v>
      </c>
      <c r="H45" s="49" t="s">
        <v>277</v>
      </c>
      <c r="I45" s="8" t="s">
        <v>110</v>
      </c>
      <c r="J45" s="852" t="s">
        <v>111</v>
      </c>
      <c r="K45" s="832"/>
      <c r="M45" s="25"/>
      <c r="N45" s="24">
        <v>3</v>
      </c>
      <c r="O45" s="830"/>
      <c r="P45" s="831"/>
      <c r="Q45" s="832"/>
      <c r="R45" s="830"/>
      <c r="S45" s="831"/>
      <c r="T45" s="832"/>
      <c r="U45" s="4"/>
      <c r="V45" s="14"/>
      <c r="W45" s="4"/>
      <c r="X45" s="37">
        <f>W45*U45</f>
        <v>0</v>
      </c>
      <c r="Y45" s="4"/>
      <c r="Z45" s="830"/>
      <c r="AA45" s="832"/>
    </row>
    <row r="46" spans="1:27" ht="14.25">
      <c r="A46" s="52" t="s">
        <v>261</v>
      </c>
      <c r="B46" s="6">
        <v>1</v>
      </c>
      <c r="C46" s="839" t="s">
        <v>280</v>
      </c>
      <c r="D46" s="831"/>
      <c r="E46" s="832"/>
      <c r="F46" s="4">
        <v>15</v>
      </c>
      <c r="G46" s="4">
        <v>1200</v>
      </c>
      <c r="H46" s="4">
        <v>80</v>
      </c>
      <c r="I46" s="4">
        <v>5</v>
      </c>
      <c r="J46" s="839" t="s">
        <v>303</v>
      </c>
      <c r="K46" s="832"/>
      <c r="M46" s="25"/>
      <c r="N46" s="24">
        <v>4</v>
      </c>
      <c r="O46" s="830"/>
      <c r="P46" s="831"/>
      <c r="Q46" s="832"/>
      <c r="R46" s="830"/>
      <c r="S46" s="831"/>
      <c r="T46" s="832"/>
      <c r="U46" s="4"/>
      <c r="V46" s="14"/>
      <c r="W46" s="4"/>
      <c r="X46" s="37">
        <f>W46*U46</f>
        <v>0</v>
      </c>
      <c r="Y46" s="4"/>
      <c r="Z46" s="830"/>
      <c r="AA46" s="832"/>
    </row>
    <row r="47" spans="1:27" ht="14.25">
      <c r="A47" s="23"/>
      <c r="B47" s="6">
        <v>2</v>
      </c>
      <c r="C47" s="830"/>
      <c r="D47" s="831"/>
      <c r="E47" s="832"/>
      <c r="F47" s="4"/>
      <c r="G47" s="4"/>
      <c r="H47" s="4"/>
      <c r="I47" s="4"/>
      <c r="J47" s="830"/>
      <c r="K47" s="832"/>
      <c r="M47" s="25"/>
      <c r="N47" s="29">
        <v>5</v>
      </c>
      <c r="O47" s="830"/>
      <c r="P47" s="831"/>
      <c r="Q47" s="832"/>
      <c r="R47" s="830"/>
      <c r="S47" s="831"/>
      <c r="T47" s="832"/>
      <c r="U47" s="27"/>
      <c r="V47" s="30"/>
      <c r="W47" s="27"/>
      <c r="X47" s="40">
        <f>W47*U47</f>
        <v>0</v>
      </c>
      <c r="Y47" s="4"/>
      <c r="Z47" s="830"/>
      <c r="AA47" s="832"/>
    </row>
    <row r="48" spans="1:27" ht="14.25">
      <c r="A48" s="23"/>
      <c r="B48" s="6">
        <v>3</v>
      </c>
      <c r="C48" s="830"/>
      <c r="D48" s="831"/>
      <c r="E48" s="832"/>
      <c r="F48" s="4"/>
      <c r="G48" s="4"/>
      <c r="H48" s="4"/>
      <c r="I48" s="4"/>
      <c r="J48" s="830"/>
      <c r="K48" s="832"/>
      <c r="M48" s="68"/>
      <c r="N48" s="45"/>
      <c r="O48" s="833"/>
      <c r="P48" s="831"/>
      <c r="Q48" s="831"/>
      <c r="R48" s="833"/>
      <c r="S48" s="831"/>
      <c r="T48" s="831"/>
      <c r="U48" s="59" t="s">
        <v>165</v>
      </c>
      <c r="V48" s="33">
        <f>X48/N19</f>
        <v>0.13333333333333333</v>
      </c>
      <c r="W48" s="59" t="s">
        <v>166</v>
      </c>
      <c r="X48" s="34">
        <f>SUM(X43:X47)</f>
        <v>600</v>
      </c>
      <c r="Y48" s="45"/>
      <c r="Z48" s="833"/>
      <c r="AA48" s="832"/>
    </row>
    <row r="49" spans="1:27" ht="14.25">
      <c r="A49" s="23"/>
      <c r="B49" s="6">
        <v>4</v>
      </c>
      <c r="C49" s="830"/>
      <c r="D49" s="831"/>
      <c r="E49" s="832"/>
      <c r="F49" s="4"/>
      <c r="G49" s="4"/>
      <c r="H49" s="4"/>
      <c r="I49" s="4"/>
      <c r="J49" s="830"/>
      <c r="K49" s="83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45"/>
      <c r="D50" s="846"/>
      <c r="E50" s="847"/>
      <c r="F50" s="27"/>
      <c r="G50" s="27"/>
      <c r="H50" s="27"/>
      <c r="I50" s="27"/>
      <c r="J50" s="845"/>
      <c r="K50" s="847"/>
      <c r="M50" s="64" t="s">
        <v>304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283</v>
      </c>
      <c r="C51" s="840" t="s">
        <v>296</v>
      </c>
      <c r="D51" s="844"/>
      <c r="E51" s="841"/>
      <c r="F51" s="28">
        <v>18</v>
      </c>
      <c r="G51" s="28">
        <v>800</v>
      </c>
      <c r="H51" s="28">
        <v>44.44</v>
      </c>
      <c r="I51" s="28">
        <v>-15</v>
      </c>
      <c r="J51" s="840" t="s">
        <v>305</v>
      </c>
      <c r="K51" s="841"/>
      <c r="M51" s="8"/>
      <c r="N51" s="8" t="s">
        <v>189</v>
      </c>
      <c r="O51" s="834" t="s">
        <v>107</v>
      </c>
      <c r="P51" s="833"/>
      <c r="Q51" s="835"/>
      <c r="R51" s="848" t="s">
        <v>151</v>
      </c>
      <c r="S51" s="849"/>
      <c r="T51" s="850"/>
      <c r="U51" s="57" t="s">
        <v>152</v>
      </c>
      <c r="V51" s="39" t="s">
        <v>190</v>
      </c>
      <c r="W51" s="57" t="s">
        <v>90</v>
      </c>
      <c r="X51" s="8" t="s">
        <v>12</v>
      </c>
      <c r="Y51" s="834" t="s">
        <v>111</v>
      </c>
      <c r="Z51" s="833"/>
      <c r="AA51" s="835"/>
    </row>
    <row r="52" spans="1:27" ht="14.25">
      <c r="A52" s="23"/>
      <c r="B52" s="70" t="s">
        <v>287</v>
      </c>
      <c r="C52" s="830"/>
      <c r="D52" s="831"/>
      <c r="E52" s="832"/>
      <c r="F52" s="4"/>
      <c r="G52" s="4"/>
      <c r="H52" s="4"/>
      <c r="I52" s="4"/>
      <c r="J52" s="830"/>
      <c r="K52" s="832"/>
      <c r="M52" s="56" t="s">
        <v>191</v>
      </c>
      <c r="N52" s="24">
        <v>1</v>
      </c>
      <c r="O52" s="839" t="s">
        <v>296</v>
      </c>
      <c r="P52" s="831"/>
      <c r="Q52" s="832"/>
      <c r="R52" s="836" t="s">
        <v>301</v>
      </c>
      <c r="S52" s="837"/>
      <c r="T52" s="838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839" t="s">
        <v>306</v>
      </c>
      <c r="Z52" s="831"/>
      <c r="AA52" s="832"/>
    </row>
    <row r="53" spans="1:27" ht="14.25">
      <c r="A53" s="23"/>
      <c r="B53" s="70" t="s">
        <v>288</v>
      </c>
      <c r="C53" s="830"/>
      <c r="D53" s="831"/>
      <c r="E53" s="832"/>
      <c r="F53" s="4"/>
      <c r="G53" s="4"/>
      <c r="H53" s="4"/>
      <c r="I53" s="4"/>
      <c r="J53" s="830"/>
      <c r="K53" s="832"/>
      <c r="M53" s="25"/>
      <c r="N53" s="29">
        <v>2</v>
      </c>
      <c r="O53" s="845"/>
      <c r="P53" s="846"/>
      <c r="Q53" s="847"/>
      <c r="R53" s="845"/>
      <c r="S53" s="846"/>
      <c r="T53" s="847"/>
      <c r="U53" s="27"/>
      <c r="V53" s="30"/>
      <c r="W53" s="30"/>
      <c r="X53" s="41">
        <f>W53-V53</f>
        <v>0</v>
      </c>
      <c r="Y53" s="845"/>
      <c r="Z53" s="846"/>
      <c r="AA53" s="847"/>
    </row>
    <row r="54" spans="1:27" ht="14.25">
      <c r="A54" s="23"/>
      <c r="B54" s="70" t="s">
        <v>292</v>
      </c>
      <c r="C54" s="830"/>
      <c r="D54" s="831"/>
      <c r="E54" s="832"/>
      <c r="F54" s="4"/>
      <c r="G54" s="4"/>
      <c r="H54" s="4"/>
      <c r="I54" s="4"/>
      <c r="J54" s="830"/>
      <c r="K54" s="832"/>
      <c r="M54" s="56" t="s">
        <v>274</v>
      </c>
      <c r="N54" s="42">
        <v>1</v>
      </c>
      <c r="O54" s="840" t="s">
        <v>307</v>
      </c>
      <c r="P54" s="844"/>
      <c r="Q54" s="841"/>
      <c r="R54" s="840" t="s">
        <v>308</v>
      </c>
      <c r="S54" s="844"/>
      <c r="T54" s="841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840" t="s">
        <v>309</v>
      </c>
      <c r="Z54" s="844"/>
      <c r="AA54" s="841"/>
    </row>
    <row r="55" spans="1:27" ht="14.25">
      <c r="A55" s="20"/>
      <c r="B55" s="70" t="s">
        <v>293</v>
      </c>
      <c r="C55" s="830"/>
      <c r="D55" s="831"/>
      <c r="E55" s="832"/>
      <c r="F55" s="4"/>
      <c r="G55" s="4"/>
      <c r="H55" s="4"/>
      <c r="I55" s="4"/>
      <c r="J55" s="830"/>
      <c r="K55" s="832"/>
      <c r="M55" s="22"/>
      <c r="N55" s="24">
        <v>2</v>
      </c>
      <c r="O55" s="830"/>
      <c r="P55" s="831"/>
      <c r="Q55" s="832"/>
      <c r="R55" s="830"/>
      <c r="S55" s="831"/>
      <c r="T55" s="832"/>
      <c r="U55" s="4"/>
      <c r="V55" s="14"/>
      <c r="W55" s="14"/>
      <c r="X55" s="13">
        <f>W55-V55</f>
        <v>0</v>
      </c>
      <c r="Y55" s="830"/>
      <c r="Z55" s="831"/>
      <c r="AA55" s="832"/>
    </row>
  </sheetData>
  <mergeCells count="162">
    <mergeCell ref="Z31:AA31"/>
    <mergeCell ref="R32:T32"/>
    <mergeCell ref="R33:T33"/>
    <mergeCell ref="R35:T35"/>
    <mergeCell ref="Z25:AA25"/>
    <mergeCell ref="R25:T25"/>
    <mergeCell ref="R26:T26"/>
    <mergeCell ref="O29:Q29"/>
    <mergeCell ref="O25:Q25"/>
    <mergeCell ref="Z27:AA27"/>
    <mergeCell ref="R27:T27"/>
    <mergeCell ref="O27:Q27"/>
    <mergeCell ref="R29:T29"/>
    <mergeCell ref="O28:Q28"/>
    <mergeCell ref="R28:T28"/>
    <mergeCell ref="Z28:AA28"/>
    <mergeCell ref="Z29:AA29"/>
    <mergeCell ref="O26:Q26"/>
    <mergeCell ref="Z22:AA22"/>
    <mergeCell ref="R24:T24"/>
    <mergeCell ref="O23:Q23"/>
    <mergeCell ref="R23:T23"/>
    <mergeCell ref="O22:Q22"/>
    <mergeCell ref="R22:T22"/>
    <mergeCell ref="Z23:AA23"/>
    <mergeCell ref="Z24:AA24"/>
    <mergeCell ref="O24:Q24"/>
    <mergeCell ref="J24:K24"/>
    <mergeCell ref="J22:K22"/>
    <mergeCell ref="J23:K23"/>
    <mergeCell ref="J25:K25"/>
    <mergeCell ref="J21:K21"/>
    <mergeCell ref="J36:K36"/>
    <mergeCell ref="Z36:AA36"/>
    <mergeCell ref="Z37:AA37"/>
    <mergeCell ref="O37:Q37"/>
    <mergeCell ref="R37:T37"/>
    <mergeCell ref="R36:T36"/>
    <mergeCell ref="O36:Q36"/>
    <mergeCell ref="J26:K26"/>
    <mergeCell ref="R34:T34"/>
    <mergeCell ref="Y35:AA35"/>
    <mergeCell ref="Z33:AA33"/>
    <mergeCell ref="Z34:AA34"/>
    <mergeCell ref="Z32:AA32"/>
    <mergeCell ref="Z26:AA26"/>
    <mergeCell ref="Z30:AA30"/>
    <mergeCell ref="O35:Q35"/>
    <mergeCell ref="O34:Q34"/>
    <mergeCell ref="O32:Q32"/>
    <mergeCell ref="R31:T31"/>
    <mergeCell ref="C21:E21"/>
    <mergeCell ref="C47:E47"/>
    <mergeCell ref="C36:E36"/>
    <mergeCell ref="C38:E38"/>
    <mergeCell ref="C40:E40"/>
    <mergeCell ref="C37:E37"/>
    <mergeCell ref="C43:E43"/>
    <mergeCell ref="C42:E42"/>
    <mergeCell ref="C28:E28"/>
    <mergeCell ref="C29:E29"/>
    <mergeCell ref="C41:E41"/>
    <mergeCell ref="C30:E30"/>
    <mergeCell ref="C46:E46"/>
    <mergeCell ref="C22:E22"/>
    <mergeCell ref="C23:E23"/>
    <mergeCell ref="C25:E25"/>
    <mergeCell ref="C24:E24"/>
    <mergeCell ref="J48:K48"/>
    <mergeCell ref="J50:K50"/>
    <mergeCell ref="J47:K47"/>
    <mergeCell ref="J38:K38"/>
    <mergeCell ref="J40:K40"/>
    <mergeCell ref="J41:K41"/>
    <mergeCell ref="J39:K39"/>
    <mergeCell ref="J43:K43"/>
    <mergeCell ref="J45:K45"/>
    <mergeCell ref="J42:K42"/>
    <mergeCell ref="C26:E26"/>
    <mergeCell ref="Z41:AA41"/>
    <mergeCell ref="R41:T41"/>
    <mergeCell ref="O41:Q41"/>
    <mergeCell ref="Z38:AA38"/>
    <mergeCell ref="Z40:AA40"/>
    <mergeCell ref="Z39:AA39"/>
    <mergeCell ref="R39:T39"/>
    <mergeCell ref="R40:T40"/>
    <mergeCell ref="R38:T38"/>
    <mergeCell ref="C35:E35"/>
    <mergeCell ref="O40:Q40"/>
    <mergeCell ref="O39:Q39"/>
    <mergeCell ref="J35:K35"/>
    <mergeCell ref="J33:K33"/>
    <mergeCell ref="J34:K34"/>
    <mergeCell ref="C33:E33"/>
    <mergeCell ref="O38:Q38"/>
    <mergeCell ref="O30:Q30"/>
    <mergeCell ref="R30:T30"/>
    <mergeCell ref="O31:Q31"/>
    <mergeCell ref="O33:Q33"/>
    <mergeCell ref="J37:K37"/>
    <mergeCell ref="J30:K30"/>
    <mergeCell ref="O55:Q55"/>
    <mergeCell ref="O52:Q52"/>
    <mergeCell ref="O54:Q54"/>
    <mergeCell ref="O53:Q53"/>
    <mergeCell ref="Y52:AA52"/>
    <mergeCell ref="R52:T52"/>
    <mergeCell ref="R55:T55"/>
    <mergeCell ref="R53:T53"/>
    <mergeCell ref="Y54:AA54"/>
    <mergeCell ref="Y55:AA55"/>
    <mergeCell ref="R54:T54"/>
    <mergeCell ref="Y53:AA53"/>
    <mergeCell ref="J27:K27"/>
    <mergeCell ref="C45:E45"/>
    <mergeCell ref="C31:E31"/>
    <mergeCell ref="C34:E34"/>
    <mergeCell ref="C39:E39"/>
    <mergeCell ref="C27:E27"/>
    <mergeCell ref="J29:K29"/>
    <mergeCell ref="J28:K28"/>
    <mergeCell ref="J55:K55"/>
    <mergeCell ref="J46:K46"/>
    <mergeCell ref="C54:E54"/>
    <mergeCell ref="C51:E51"/>
    <mergeCell ref="C52:E52"/>
    <mergeCell ref="C53:E53"/>
    <mergeCell ref="C55:E55"/>
    <mergeCell ref="J54:K54"/>
    <mergeCell ref="J52:K52"/>
    <mergeCell ref="J53:K53"/>
    <mergeCell ref="J51:K51"/>
    <mergeCell ref="C48:E48"/>
    <mergeCell ref="C49:E49"/>
    <mergeCell ref="C50:E50"/>
    <mergeCell ref="J31:K31"/>
    <mergeCell ref="J49:K49"/>
    <mergeCell ref="O46:Q46"/>
    <mergeCell ref="Z48:AA48"/>
    <mergeCell ref="R48:T48"/>
    <mergeCell ref="O48:Q48"/>
    <mergeCell ref="Y51:AA51"/>
    <mergeCell ref="Z47:AA47"/>
    <mergeCell ref="R47:T47"/>
    <mergeCell ref="O47:Q47"/>
    <mergeCell ref="Z42:AA42"/>
    <mergeCell ref="Z46:AA46"/>
    <mergeCell ref="Z45:AA45"/>
    <mergeCell ref="R45:T45"/>
    <mergeCell ref="R46:T46"/>
    <mergeCell ref="R44:T44"/>
    <mergeCell ref="R43:T43"/>
    <mergeCell ref="Z44:AA44"/>
    <mergeCell ref="Z43:AA43"/>
    <mergeCell ref="R42:T42"/>
    <mergeCell ref="O45:Q45"/>
    <mergeCell ref="O42:Q42"/>
    <mergeCell ref="O44:Q44"/>
    <mergeCell ref="O43:Q43"/>
    <mergeCell ref="R51:T51"/>
    <mergeCell ref="O51:Q51"/>
  </mergeCells>
  <phoneticPr fontId="20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54" customWidth="1"/>
    <col min="3" max="3" width="14" style="154" bestFit="1" customWidth="1"/>
    <col min="4" max="4" width="0.28515625" style="154" customWidth="1"/>
    <col min="5" max="5" width="8.7109375" style="154" customWidth="1"/>
    <col min="6" max="6" width="16.28515625" style="154" bestFit="1" customWidth="1"/>
    <col min="7" max="51" width="8.7109375" style="154" customWidth="1"/>
    <col min="52" max="16384" width="8.7109375" style="154"/>
  </cols>
  <sheetData>
    <row r="2" spans="2:7" ht="15.75">
      <c r="B2" s="857" t="s">
        <v>310</v>
      </c>
      <c r="C2" s="857"/>
      <c r="D2" s="857"/>
      <c r="E2" s="857"/>
      <c r="F2" s="857"/>
    </row>
    <row r="3" spans="2:7" ht="15">
      <c r="B3" s="155" t="s">
        <v>311</v>
      </c>
      <c r="C3" s="155" t="s">
        <v>257</v>
      </c>
      <c r="D3" s="156"/>
      <c r="E3" s="155" t="s">
        <v>312</v>
      </c>
      <c r="F3" s="155" t="s">
        <v>313</v>
      </c>
      <c r="G3" s="156"/>
    </row>
    <row r="4" spans="2:7" ht="15">
      <c r="B4" s="157" t="s">
        <v>314</v>
      </c>
      <c r="C4" s="157" t="s">
        <v>315</v>
      </c>
      <c r="D4" s="156"/>
      <c r="E4" s="157" t="s">
        <v>316</v>
      </c>
      <c r="F4" s="157" t="s">
        <v>317</v>
      </c>
      <c r="G4" s="156"/>
    </row>
    <row r="5" spans="2:7" ht="15">
      <c r="B5" s="157" t="s">
        <v>318</v>
      </c>
      <c r="C5" s="157" t="s">
        <v>319</v>
      </c>
      <c r="D5" s="156"/>
      <c r="E5" s="157" t="s">
        <v>320</v>
      </c>
      <c r="F5" s="157" t="s">
        <v>321</v>
      </c>
      <c r="G5" s="156"/>
    </row>
    <row r="6" spans="2:7" ht="15">
      <c r="B6" s="157" t="s">
        <v>322</v>
      </c>
      <c r="C6" s="157" t="s">
        <v>323</v>
      </c>
      <c r="D6" s="156"/>
      <c r="E6" s="158" t="s">
        <v>324</v>
      </c>
      <c r="F6" s="158" t="s">
        <v>325</v>
      </c>
      <c r="G6" s="156"/>
    </row>
    <row r="7" spans="2:7" ht="15">
      <c r="B7" s="158" t="s">
        <v>326</v>
      </c>
      <c r="C7" s="158" t="s">
        <v>327</v>
      </c>
      <c r="D7" s="156"/>
      <c r="E7" s="157" t="s">
        <v>328</v>
      </c>
      <c r="F7" s="157" t="s">
        <v>329</v>
      </c>
      <c r="G7" s="156"/>
    </row>
    <row r="8" spans="2:7" ht="15">
      <c r="B8" s="157" t="s">
        <v>330</v>
      </c>
      <c r="C8" s="157" t="s">
        <v>331</v>
      </c>
      <c r="D8" s="156"/>
      <c r="E8" s="157" t="s">
        <v>332</v>
      </c>
      <c r="F8" s="157" t="s">
        <v>333</v>
      </c>
      <c r="G8" s="156"/>
    </row>
    <row r="9" spans="2:7" ht="15">
      <c r="B9" s="157" t="s">
        <v>334</v>
      </c>
      <c r="C9" s="157" t="s">
        <v>335</v>
      </c>
      <c r="D9" s="156"/>
      <c r="E9" s="158" t="s">
        <v>336</v>
      </c>
      <c r="F9" s="158" t="s">
        <v>337</v>
      </c>
      <c r="G9" s="156"/>
    </row>
    <row r="10" spans="2:7" ht="15">
      <c r="B10" s="157" t="s">
        <v>338</v>
      </c>
      <c r="C10" s="157" t="s">
        <v>339</v>
      </c>
      <c r="D10" s="156"/>
      <c r="E10" s="157" t="s">
        <v>340</v>
      </c>
      <c r="F10" s="157" t="s">
        <v>341</v>
      </c>
      <c r="G10" s="156"/>
    </row>
    <row r="11" spans="2:7" ht="15">
      <c r="B11" s="157" t="s">
        <v>342</v>
      </c>
      <c r="C11" s="157" t="s">
        <v>343</v>
      </c>
      <c r="D11" s="156"/>
      <c r="E11" s="157" t="s">
        <v>344</v>
      </c>
      <c r="F11" s="157" t="s">
        <v>333</v>
      </c>
      <c r="G11" s="156"/>
    </row>
    <row r="12" spans="2:7" ht="15">
      <c r="B12" s="157" t="s">
        <v>345</v>
      </c>
      <c r="C12" s="157" t="s">
        <v>346</v>
      </c>
      <c r="D12" s="156"/>
      <c r="E12" s="157" t="s">
        <v>347</v>
      </c>
      <c r="F12" s="157" t="s">
        <v>270</v>
      </c>
      <c r="G12" s="156"/>
    </row>
    <row r="13" spans="2:7" ht="15">
      <c r="B13" s="158" t="s">
        <v>348</v>
      </c>
      <c r="C13" s="158" t="s">
        <v>261</v>
      </c>
      <c r="D13" s="156"/>
      <c r="E13" s="157" t="s">
        <v>349</v>
      </c>
      <c r="F13" s="157" t="s">
        <v>350</v>
      </c>
      <c r="G13" s="156"/>
    </row>
    <row r="14" spans="2:7" ht="15">
      <c r="B14" s="157" t="s">
        <v>351</v>
      </c>
      <c r="C14" s="157" t="s">
        <v>352</v>
      </c>
      <c r="D14" s="156"/>
      <c r="E14" s="158" t="s">
        <v>353</v>
      </c>
      <c r="F14" s="158" t="s">
        <v>354</v>
      </c>
      <c r="G14" s="156"/>
    </row>
    <row r="15" spans="2:7" ht="15">
      <c r="B15" s="158" t="s">
        <v>355</v>
      </c>
      <c r="C15" s="158" t="s">
        <v>356</v>
      </c>
      <c r="D15" s="156"/>
      <c r="E15" s="157" t="s">
        <v>357</v>
      </c>
      <c r="F15" s="157" t="s">
        <v>354</v>
      </c>
      <c r="G15" s="156"/>
    </row>
    <row r="16" spans="2:7" ht="15">
      <c r="B16" s="157" t="s">
        <v>358</v>
      </c>
      <c r="C16" s="157" t="s">
        <v>359</v>
      </c>
      <c r="D16" s="156"/>
      <c r="E16" s="158" t="s">
        <v>360</v>
      </c>
      <c r="F16" s="158" t="s">
        <v>361</v>
      </c>
      <c r="G16" s="156"/>
    </row>
    <row r="17" spans="2:7" ht="15">
      <c r="B17" s="157" t="s">
        <v>362</v>
      </c>
      <c r="C17" s="157" t="s">
        <v>363</v>
      </c>
      <c r="D17" s="156"/>
      <c r="E17" s="157" t="s">
        <v>364</v>
      </c>
      <c r="F17" s="157" t="s">
        <v>365</v>
      </c>
      <c r="G17" s="156"/>
    </row>
    <row r="18" spans="2:7" ht="15">
      <c r="B18" s="157" t="s">
        <v>366</v>
      </c>
      <c r="C18" s="157" t="s">
        <v>367</v>
      </c>
      <c r="D18" s="156"/>
      <c r="E18" s="157" t="s">
        <v>368</v>
      </c>
      <c r="F18" s="157" t="s">
        <v>369</v>
      </c>
      <c r="G18" s="156"/>
    </row>
    <row r="19" spans="2:7" ht="15">
      <c r="B19" s="157" t="s">
        <v>370</v>
      </c>
      <c r="C19" s="157" t="s">
        <v>371</v>
      </c>
      <c r="D19" s="156"/>
      <c r="E19" s="157" t="s">
        <v>372</v>
      </c>
      <c r="F19" s="157" t="s">
        <v>373</v>
      </c>
      <c r="G19" s="156"/>
    </row>
    <row r="20" spans="2:7" ht="15">
      <c r="B20" s="157" t="s">
        <v>374</v>
      </c>
      <c r="C20" s="157" t="s">
        <v>375</v>
      </c>
      <c r="D20" s="156"/>
      <c r="G20" s="156"/>
    </row>
    <row r="21" spans="2:7" ht="15">
      <c r="D21" s="156"/>
      <c r="G21" s="156"/>
    </row>
    <row r="22" spans="2:7" ht="15">
      <c r="D22" s="156"/>
      <c r="G22" s="156"/>
    </row>
    <row r="23" spans="2:7" ht="15">
      <c r="D23" s="156"/>
      <c r="G23" s="156"/>
    </row>
  </sheetData>
  <mergeCells count="1">
    <mergeCell ref="B2:F2"/>
  </mergeCells>
  <phoneticPr fontId="23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C12" sqref="C12"/>
    </sheetView>
  </sheetViews>
  <sheetFormatPr defaultColWidth="9.140625" defaultRowHeight="15"/>
  <cols>
    <col min="1" max="1" width="31.5703125" style="181" customWidth="1"/>
    <col min="2" max="6" width="9.140625" style="181" customWidth="1"/>
    <col min="7" max="7" width="26" style="181" bestFit="1" customWidth="1"/>
    <col min="8" max="52" width="9.140625" style="181" customWidth="1"/>
    <col min="53" max="16384" width="9.140625" style="181"/>
  </cols>
  <sheetData>
    <row r="1" spans="1:7" ht="15.75">
      <c r="A1" s="331" t="s">
        <v>376</v>
      </c>
      <c r="B1" s="331" t="s">
        <v>96</v>
      </c>
      <c r="C1" s="331" t="s">
        <v>276</v>
      </c>
      <c r="D1" s="180"/>
    </row>
    <row r="2" spans="1:7" ht="15.75">
      <c r="A2" s="331" t="s">
        <v>270</v>
      </c>
      <c r="B2" s="331"/>
      <c r="C2" s="331"/>
      <c r="D2" s="182" t="s">
        <v>377</v>
      </c>
    </row>
    <row r="3" spans="1:7" ht="15.75">
      <c r="A3" s="331" t="s">
        <v>117</v>
      </c>
      <c r="B3" s="331">
        <v>15</v>
      </c>
      <c r="C3" s="331">
        <v>2250</v>
      </c>
      <c r="D3" s="182" t="s">
        <v>378</v>
      </c>
      <c r="G3" s="181">
        <f t="shared" ref="G3:G5" si="0">C3/B3</f>
        <v>150</v>
      </c>
    </row>
    <row r="4" spans="1:7" ht="15.75">
      <c r="A4" s="331" t="s">
        <v>379</v>
      </c>
      <c r="B4" s="331">
        <v>15</v>
      </c>
      <c r="C4" s="331">
        <v>1716</v>
      </c>
      <c r="D4" s="180"/>
    </row>
    <row r="5" spans="1:7" ht="15.75">
      <c r="A5" s="331" t="s">
        <v>114</v>
      </c>
      <c r="B5" s="331">
        <v>13</v>
      </c>
      <c r="C5" s="331">
        <v>2250</v>
      </c>
      <c r="D5" s="180"/>
      <c r="G5" s="181">
        <f t="shared" si="0"/>
        <v>173.07692307692307</v>
      </c>
    </row>
    <row r="6" spans="1:7" ht="15.75">
      <c r="A6" s="331" t="s">
        <v>380</v>
      </c>
      <c r="B6" s="331">
        <v>16</v>
      </c>
      <c r="C6" s="331">
        <v>1714</v>
      </c>
      <c r="D6" s="180"/>
    </row>
    <row r="7" spans="1:7" ht="15.75">
      <c r="A7" s="331" t="s">
        <v>113</v>
      </c>
      <c r="B7" s="331">
        <v>12</v>
      </c>
      <c r="C7" s="331">
        <v>2250</v>
      </c>
      <c r="D7" s="180"/>
      <c r="G7" s="181">
        <f t="shared" ref="G7:G30" si="1">C7/B7</f>
        <v>187.5</v>
      </c>
    </row>
    <row r="8" spans="1:7" ht="15.75">
      <c r="A8" s="331" t="s">
        <v>116</v>
      </c>
      <c r="B8" s="331">
        <v>15</v>
      </c>
      <c r="C8" s="331">
        <v>2250</v>
      </c>
      <c r="D8" s="180"/>
      <c r="G8" s="181">
        <f t="shared" si="1"/>
        <v>150</v>
      </c>
    </row>
    <row r="9" spans="1:7" ht="15.75">
      <c r="A9" s="331" t="s">
        <v>381</v>
      </c>
      <c r="B9" s="331">
        <v>17</v>
      </c>
      <c r="C9" s="331">
        <v>2250</v>
      </c>
      <c r="D9" s="180"/>
    </row>
    <row r="10" spans="1:7" ht="15.75">
      <c r="A10" s="331" t="s">
        <v>382</v>
      </c>
      <c r="B10" s="331">
        <v>17</v>
      </c>
      <c r="C10" s="331">
        <v>1716</v>
      </c>
      <c r="D10" s="180"/>
      <c r="G10" s="181">
        <f t="shared" si="1"/>
        <v>100.94117647058823</v>
      </c>
    </row>
    <row r="11" spans="1:7" ht="15.75">
      <c r="A11" s="341" t="s">
        <v>383</v>
      </c>
      <c r="B11" s="331">
        <v>14</v>
      </c>
      <c r="C11" s="331">
        <v>1565</v>
      </c>
      <c r="D11" s="180"/>
      <c r="G11" s="181">
        <f t="shared" si="1"/>
        <v>111.78571428571429</v>
      </c>
    </row>
    <row r="12" spans="1:7" ht="15.75">
      <c r="A12" s="331" t="s">
        <v>115</v>
      </c>
      <c r="B12" s="331">
        <v>13</v>
      </c>
      <c r="C12" s="331">
        <v>2250</v>
      </c>
      <c r="D12" s="180"/>
    </row>
    <row r="13" spans="1:7" ht="15.75">
      <c r="A13" s="331" t="s">
        <v>127</v>
      </c>
      <c r="B13" s="331">
        <v>17</v>
      </c>
      <c r="C13" s="331">
        <v>1636</v>
      </c>
      <c r="D13" s="180"/>
    </row>
    <row r="14" spans="1:7" ht="15.75">
      <c r="A14" s="331" t="s">
        <v>158</v>
      </c>
      <c r="B14" s="331">
        <v>16</v>
      </c>
      <c r="C14" s="331">
        <v>1714</v>
      </c>
      <c r="D14" s="180"/>
      <c r="G14" s="181">
        <f t="shared" si="1"/>
        <v>107.125</v>
      </c>
    </row>
    <row r="15" spans="1:7" ht="15.75">
      <c r="A15" s="331" t="s">
        <v>184</v>
      </c>
      <c r="B15" s="331">
        <v>16</v>
      </c>
      <c r="C15" s="331">
        <v>1800</v>
      </c>
      <c r="D15" s="180"/>
    </row>
    <row r="16" spans="1:7" ht="15.75">
      <c r="A16" s="331" t="s">
        <v>174</v>
      </c>
      <c r="B16" s="331">
        <v>17</v>
      </c>
      <c r="C16" s="331">
        <v>1800</v>
      </c>
      <c r="D16" s="180"/>
      <c r="G16" s="181">
        <f t="shared" si="1"/>
        <v>105.88235294117646</v>
      </c>
    </row>
    <row r="17" spans="1:7" ht="15.75">
      <c r="A17" s="331" t="s">
        <v>120</v>
      </c>
      <c r="B17" s="331">
        <v>18</v>
      </c>
      <c r="C17" s="331">
        <v>1636</v>
      </c>
      <c r="D17" s="180"/>
      <c r="G17" s="181">
        <f t="shared" si="1"/>
        <v>90.888888888888886</v>
      </c>
    </row>
    <row r="18" spans="1:7" ht="15.75">
      <c r="A18" s="341" t="s">
        <v>384</v>
      </c>
      <c r="B18" s="331">
        <v>10</v>
      </c>
      <c r="C18" s="331">
        <v>1125</v>
      </c>
      <c r="D18" s="180"/>
      <c r="G18" s="181">
        <f t="shared" si="1"/>
        <v>112.5</v>
      </c>
    </row>
    <row r="19" spans="1:7" ht="15.75">
      <c r="A19" s="341" t="s">
        <v>385</v>
      </c>
      <c r="B19" s="331">
        <v>13</v>
      </c>
      <c r="C19" s="331">
        <v>1440</v>
      </c>
      <c r="D19" s="180"/>
      <c r="G19" s="181">
        <f t="shared" si="1"/>
        <v>110.76923076923077</v>
      </c>
    </row>
    <row r="20" spans="1:7" ht="15.75">
      <c r="A20" s="341" t="s">
        <v>228</v>
      </c>
      <c r="B20" s="331">
        <v>17</v>
      </c>
      <c r="C20" s="331">
        <v>2250</v>
      </c>
      <c r="D20" s="180"/>
      <c r="G20" s="181">
        <f t="shared" si="1"/>
        <v>132.35294117647058</v>
      </c>
    </row>
    <row r="21" spans="1:7" ht="15.75">
      <c r="A21" s="331" t="s">
        <v>122</v>
      </c>
      <c r="B21" s="331">
        <v>18</v>
      </c>
      <c r="C21" s="331">
        <v>1636</v>
      </c>
      <c r="D21" s="180"/>
      <c r="G21" s="181">
        <f t="shared" si="1"/>
        <v>90.888888888888886</v>
      </c>
    </row>
    <row r="22" spans="1:7" ht="15.75">
      <c r="A22" s="331" t="s">
        <v>386</v>
      </c>
      <c r="B22" s="331">
        <v>18</v>
      </c>
      <c r="C22" s="331">
        <v>1565</v>
      </c>
      <c r="G22" s="181">
        <f t="shared" si="1"/>
        <v>86.944444444444443</v>
      </c>
    </row>
    <row r="23" spans="1:7" ht="15.75">
      <c r="A23" s="341" t="s">
        <v>125</v>
      </c>
      <c r="B23" s="331">
        <v>17</v>
      </c>
      <c r="C23" s="331">
        <v>1636</v>
      </c>
      <c r="E23" s="296"/>
      <c r="G23" s="181">
        <f t="shared" si="1"/>
        <v>96.235294117647058</v>
      </c>
    </row>
    <row r="24" spans="1:7" ht="15.75">
      <c r="A24" s="341" t="s">
        <v>172</v>
      </c>
      <c r="B24" s="331">
        <v>16</v>
      </c>
      <c r="C24" s="331">
        <v>1636</v>
      </c>
      <c r="G24" s="181">
        <f t="shared" si="1"/>
        <v>102.25</v>
      </c>
    </row>
    <row r="25" spans="1:7" ht="15.75">
      <c r="A25" s="341" t="s">
        <v>129</v>
      </c>
      <c r="B25" s="331">
        <v>18</v>
      </c>
      <c r="C25" s="331">
        <v>1636</v>
      </c>
    </row>
    <row r="26" spans="1:7" ht="15.75">
      <c r="A26" s="341" t="s">
        <v>387</v>
      </c>
      <c r="B26" s="331">
        <v>13</v>
      </c>
      <c r="C26" s="331">
        <v>1565</v>
      </c>
    </row>
    <row r="27" spans="1:7" ht="15.75">
      <c r="A27" s="331" t="s">
        <v>272</v>
      </c>
      <c r="B27" s="331"/>
      <c r="C27" s="331"/>
    </row>
    <row r="28" spans="1:7" ht="15.75">
      <c r="A28" s="331" t="s">
        <v>99</v>
      </c>
      <c r="B28" s="331">
        <v>15</v>
      </c>
      <c r="C28" s="331">
        <v>1636</v>
      </c>
      <c r="G28" s="181">
        <f t="shared" si="1"/>
        <v>109.06666666666666</v>
      </c>
    </row>
    <row r="29" spans="1:7" ht="15.75">
      <c r="A29" s="331" t="s">
        <v>100</v>
      </c>
      <c r="B29" s="331">
        <v>11</v>
      </c>
      <c r="C29" s="331">
        <v>1636</v>
      </c>
      <c r="G29" s="181">
        <f t="shared" si="1"/>
        <v>148.72727272727272</v>
      </c>
    </row>
    <row r="30" spans="1:7" ht="15.75">
      <c r="A30" s="331" t="s">
        <v>102</v>
      </c>
      <c r="B30" s="331">
        <v>11</v>
      </c>
      <c r="C30" s="331">
        <v>1636</v>
      </c>
      <c r="G30" s="181">
        <f t="shared" si="1"/>
        <v>148.72727272727272</v>
      </c>
    </row>
    <row r="31" spans="1:7" ht="15.75">
      <c r="A31" s="331" t="s">
        <v>101</v>
      </c>
      <c r="B31" s="331">
        <v>11</v>
      </c>
      <c r="C31" s="331">
        <v>1636</v>
      </c>
    </row>
    <row r="32" spans="1:7" ht="15.75">
      <c r="A32" s="331"/>
      <c r="B32" s="331"/>
      <c r="C32" s="331"/>
    </row>
    <row r="33" spans="1:3" ht="15.75">
      <c r="A33" s="331"/>
      <c r="B33" s="331"/>
      <c r="C33" s="331"/>
    </row>
    <row r="34" spans="1:3" ht="15.75">
      <c r="A34" s="331"/>
      <c r="B34" s="331"/>
      <c r="C34" s="331"/>
    </row>
  </sheetData>
  <phoneticPr fontId="2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已命名的範圍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07產線配置圖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林謙杰</cp:lastModifiedBy>
  <cp:lastPrinted>2025-10-07T01:02:15Z</cp:lastPrinted>
  <dcterms:created xsi:type="dcterms:W3CDTF">2025-07-03T16:36:59Z</dcterms:created>
  <dcterms:modified xsi:type="dcterms:W3CDTF">2026-08-26T10:22:04Z</dcterms:modified>
</cp:coreProperties>
</file>