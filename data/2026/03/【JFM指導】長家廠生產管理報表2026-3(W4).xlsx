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Z:\食研所支援專案繳交資料\03月半成品及日報繳交處\"/>
    </mc:Choice>
  </mc:AlternateContent>
  <xr:revisionPtr revIDLastSave="0" documentId="13_ncr:1_{245135B0-140B-48F8-8E02-9306509F2CD3}" xr6:coauthVersionLast="47" xr6:coauthVersionMax="47" xr10:uidLastSave="{00000000-0000-0000-0000-000000000000}"/>
  <bookViews>
    <workbookView xWindow="-19310" yWindow="0" windowWidth="19420" windowHeight="10300" tabRatio="780" firstSheet="15" activeTab="17" xr2:uid="{00000000-000D-0000-FFFF-FFFF00000000}"/>
  </bookViews>
  <sheets>
    <sheet name="生產管理報表(週) " sheetId="57" r:id="rId1"/>
    <sheet name="（１）收支狀況" sheetId="3" r:id="rId2"/>
    <sheet name="（２）ＫＰＩ達成進度" sheetId="5" r:id="rId3"/>
    <sheet name="（３）業績構成比" sheetId="7" r:id="rId4"/>
    <sheet name="（４）訂單數量構成比" sheetId="6" r:id="rId5"/>
    <sheet name="（５-1）品群別人時生產性（熱食義麵）" sheetId="48" r:id="rId6"/>
    <sheet name="（５-2）品群別人時生產性(季節調理麵) " sheetId="36" r:id="rId7"/>
    <sheet name="（５-3）品群別人時生產性(微波小吃)" sheetId="49" r:id="rId8"/>
    <sheet name="生產管理報表 6-1(週)" sheetId="44" r:id="rId9"/>
    <sheet name="生產管理報表 7-1(週)" sheetId="40" r:id="rId10"/>
    <sheet name="生產管理報表 8-1(週報廢)" sheetId="19" r:id="rId11"/>
    <sheet name="生產管理報表 8-2(週報廢)" sheetId="20" r:id="rId12"/>
    <sheet name="生產管理報表 8-3(週超用)" sheetId="50" r:id="rId13"/>
    <sheet name="生產管理報表 8-4(週超用)" sheetId="51" r:id="rId14"/>
    <sheet name="生產管理報表 9(週)" sheetId="21" r:id="rId15"/>
    <sheet name="報廢－原因別分析 (週)" sheetId="52" r:id="rId16"/>
    <sheet name="超用－原因別分析 (週) " sheetId="55" r:id="rId17"/>
    <sheet name="日別報廢率總表 " sheetId="56" r:id="rId18"/>
    <sheet name="填寫舉例" sheetId="1" r:id="rId19"/>
    <sheet name="鮮食品群番" sheetId="38" r:id="rId20"/>
    <sheet name="12產線配置圖" sheetId="47" r:id="rId21"/>
  </sheets>
  <externalReferences>
    <externalReference r:id="rId22"/>
  </externalReferences>
  <definedNames>
    <definedName name="_xlnm._FilterDatabase" localSheetId="5" hidden="1">'（５-1）品群別人時生產性（熱食義麵）'!#REF!</definedName>
    <definedName name="_xlnm._FilterDatabase" localSheetId="6" hidden="1">'（５-2）品群別人時生產性(季節調理麵) '!#REF!</definedName>
    <definedName name="_xlnm._FilterDatabase" localSheetId="7" hidden="1">'（５-3）品群別人時生產性(微波小吃)'!#REF!</definedName>
    <definedName name="_xlnm._FilterDatabase" localSheetId="15" hidden="1">'報廢－原因別分析 (週)'!$U$7:$U$26</definedName>
    <definedName name="_xlnm._FilterDatabase" localSheetId="16" hidden="1">'超用－原因別分析 (週) '!$U$7:$U$26</definedName>
    <definedName name="_xlnm.Print_Area" localSheetId="8">'生產管理報表 6-1(週)'!$A$1:$L$39</definedName>
    <definedName name="_xlnm.Print_Area" localSheetId="9">'生產管理報表 7-1(週)'!$A$1:$M$15</definedName>
    <definedName name="_xlnm.Print_Area" localSheetId="14">'生產管理報表 9(週)'!#REF!</definedName>
    <definedName name="_xlnm.Print_Area" localSheetId="0">'生產管理報表(週) '!$A$1:$K$24</definedName>
    <definedName name="_xlnm.Print_Area" localSheetId="19">鮮食品群番!$B$2:$F$20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8" i="5" l="1"/>
  <c r="N5" i="5"/>
  <c r="O35" i="3"/>
  <c r="A34" i="56"/>
  <c r="X55" i="1"/>
  <c r="X54" i="1"/>
  <c r="X53" i="1"/>
  <c r="X52" i="1"/>
  <c r="X47" i="1"/>
  <c r="X46" i="1"/>
  <c r="X45" i="1"/>
  <c r="X44" i="1"/>
  <c r="X43" i="1"/>
  <c r="X48" i="1" s="1"/>
  <c r="V48" i="1" s="1"/>
  <c r="X42" i="1"/>
  <c r="V42" i="1" s="1"/>
  <c r="X41" i="1"/>
  <c r="X40" i="1"/>
  <c r="X39" i="1"/>
  <c r="X38" i="1"/>
  <c r="X37" i="1"/>
  <c r="X33" i="1"/>
  <c r="X32" i="1"/>
  <c r="X31" i="1"/>
  <c r="X30" i="1"/>
  <c r="X34" i="1" s="1"/>
  <c r="V34" i="1" s="1"/>
  <c r="X29" i="1"/>
  <c r="X27" i="1"/>
  <c r="X26" i="1"/>
  <c r="X25" i="1"/>
  <c r="X24" i="1"/>
  <c r="X23" i="1"/>
  <c r="X28" i="1" s="1"/>
  <c r="V28" i="1" s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Q12" i="1"/>
  <c r="O12" i="1"/>
  <c r="W11" i="1"/>
  <c r="U11" i="1"/>
  <c r="Q11" i="1"/>
  <c r="O11" i="1"/>
  <c r="C11" i="1"/>
  <c r="B11" i="1"/>
  <c r="E11" i="1" s="1"/>
  <c r="U10" i="1"/>
  <c r="W10" i="1" s="1"/>
  <c r="Q10" i="1"/>
  <c r="O10" i="1"/>
  <c r="E10" i="1"/>
  <c r="D10" i="1"/>
  <c r="W9" i="1"/>
  <c r="U9" i="1"/>
  <c r="O9" i="1"/>
  <c r="Q9" i="1" s="1"/>
  <c r="C9" i="1"/>
  <c r="B9" i="1"/>
  <c r="E9" i="1" s="1"/>
  <c r="W8" i="1"/>
  <c r="U8" i="1"/>
  <c r="Q8" i="1"/>
  <c r="O8" i="1"/>
  <c r="E8" i="1"/>
  <c r="D8" i="1"/>
  <c r="U7" i="1"/>
  <c r="U14" i="1" s="1"/>
  <c r="O7" i="1"/>
  <c r="Q7" i="1" s="1"/>
  <c r="E7" i="1"/>
  <c r="D7" i="1"/>
  <c r="W6" i="1"/>
  <c r="U6" i="1"/>
  <c r="Q6" i="1"/>
  <c r="O6" i="1"/>
  <c r="O14" i="1" s="1"/>
  <c r="E6" i="1"/>
  <c r="D6" i="1"/>
  <c r="K36" i="56"/>
  <c r="L36" i="56" s="1"/>
  <c r="I36" i="56"/>
  <c r="G36" i="56"/>
  <c r="E36" i="56"/>
  <c r="C36" i="56"/>
  <c r="B36" i="56"/>
  <c r="F36" i="56" s="1"/>
  <c r="K35" i="56"/>
  <c r="I35" i="56"/>
  <c r="G35" i="56"/>
  <c r="E35" i="56"/>
  <c r="C35" i="56"/>
  <c r="B35" i="56"/>
  <c r="F35" i="56" s="1"/>
  <c r="L34" i="56"/>
  <c r="J34" i="56"/>
  <c r="H34" i="56"/>
  <c r="F34" i="56"/>
  <c r="D34" i="56"/>
  <c r="L33" i="56"/>
  <c r="J33" i="56"/>
  <c r="H33" i="56"/>
  <c r="F33" i="56"/>
  <c r="D33" i="56"/>
  <c r="L32" i="56"/>
  <c r="J32" i="56"/>
  <c r="H32" i="56"/>
  <c r="F32" i="56"/>
  <c r="D32" i="56"/>
  <c r="L31" i="56"/>
  <c r="J31" i="56"/>
  <c r="H31" i="56"/>
  <c r="F31" i="56"/>
  <c r="D31" i="56"/>
  <c r="L30" i="56"/>
  <c r="J30" i="56"/>
  <c r="H30" i="56"/>
  <c r="F30" i="56"/>
  <c r="D30" i="56"/>
  <c r="L29" i="56"/>
  <c r="J29" i="56"/>
  <c r="H29" i="56"/>
  <c r="F29" i="56"/>
  <c r="D29" i="56"/>
  <c r="L28" i="56"/>
  <c r="J28" i="56"/>
  <c r="H28" i="56"/>
  <c r="F28" i="56"/>
  <c r="D28" i="56"/>
  <c r="L27" i="56"/>
  <c r="J27" i="56"/>
  <c r="H27" i="56"/>
  <c r="F27" i="56"/>
  <c r="D27" i="56"/>
  <c r="O26" i="56"/>
  <c r="N26" i="56"/>
  <c r="M26" i="56"/>
  <c r="L26" i="56"/>
  <c r="J26" i="56"/>
  <c r="H26" i="56"/>
  <c r="F26" i="56"/>
  <c r="D26" i="56"/>
  <c r="L25" i="56"/>
  <c r="J25" i="56"/>
  <c r="H25" i="56"/>
  <c r="F25" i="56"/>
  <c r="D25" i="56"/>
  <c r="L24" i="56"/>
  <c r="J24" i="56"/>
  <c r="H24" i="56"/>
  <c r="F24" i="56"/>
  <c r="D24" i="56"/>
  <c r="L23" i="56"/>
  <c r="J23" i="56"/>
  <c r="H23" i="56"/>
  <c r="F23" i="56"/>
  <c r="D23" i="56"/>
  <c r="L22" i="56"/>
  <c r="J22" i="56"/>
  <c r="H22" i="56"/>
  <c r="F22" i="56"/>
  <c r="D22" i="56"/>
  <c r="L21" i="56"/>
  <c r="J21" i="56"/>
  <c r="H21" i="56"/>
  <c r="F21" i="56"/>
  <c r="D21" i="56"/>
  <c r="L20" i="56"/>
  <c r="J20" i="56"/>
  <c r="H20" i="56"/>
  <c r="F20" i="56"/>
  <c r="D20" i="56"/>
  <c r="O19" i="56"/>
  <c r="N19" i="56"/>
  <c r="M19" i="56"/>
  <c r="L19" i="56"/>
  <c r="J19" i="56"/>
  <c r="H19" i="56"/>
  <c r="F19" i="56"/>
  <c r="D19" i="56"/>
  <c r="L18" i="56"/>
  <c r="J18" i="56"/>
  <c r="H18" i="56"/>
  <c r="F18" i="56"/>
  <c r="D18" i="56"/>
  <c r="L17" i="56"/>
  <c r="J17" i="56"/>
  <c r="H17" i="56"/>
  <c r="F17" i="56"/>
  <c r="D17" i="56"/>
  <c r="L16" i="56"/>
  <c r="J16" i="56"/>
  <c r="H16" i="56"/>
  <c r="F16" i="56"/>
  <c r="D16" i="56"/>
  <c r="L15" i="56"/>
  <c r="J15" i="56"/>
  <c r="H15" i="56"/>
  <c r="F15" i="56"/>
  <c r="D15" i="56"/>
  <c r="L14" i="56"/>
  <c r="J14" i="56"/>
  <c r="H14" i="56"/>
  <c r="F14" i="56"/>
  <c r="D14" i="56"/>
  <c r="L13" i="56"/>
  <c r="J13" i="56"/>
  <c r="H13" i="56"/>
  <c r="F13" i="56"/>
  <c r="D13" i="56"/>
  <c r="O12" i="56"/>
  <c r="N12" i="56"/>
  <c r="M12" i="56"/>
  <c r="L12" i="56"/>
  <c r="J12" i="56"/>
  <c r="H12" i="56"/>
  <c r="F12" i="56"/>
  <c r="D12" i="56"/>
  <c r="L11" i="56"/>
  <c r="J11" i="56"/>
  <c r="H11" i="56"/>
  <c r="F11" i="56"/>
  <c r="D11" i="56"/>
  <c r="L10" i="56"/>
  <c r="J10" i="56"/>
  <c r="H10" i="56"/>
  <c r="F10" i="56"/>
  <c r="D10" i="56"/>
  <c r="L9" i="56"/>
  <c r="J9" i="56"/>
  <c r="H9" i="56"/>
  <c r="F9" i="56"/>
  <c r="D9" i="56"/>
  <c r="L8" i="56"/>
  <c r="J8" i="56"/>
  <c r="H8" i="56"/>
  <c r="F8" i="56"/>
  <c r="D8" i="56"/>
  <c r="L7" i="56"/>
  <c r="J7" i="56"/>
  <c r="H7" i="56"/>
  <c r="F7" i="56"/>
  <c r="D7" i="56"/>
  <c r="L6" i="56"/>
  <c r="J6" i="56"/>
  <c r="H6" i="56"/>
  <c r="F6" i="56"/>
  <c r="D6" i="56"/>
  <c r="O5" i="56"/>
  <c r="N5" i="56"/>
  <c r="M5" i="56"/>
  <c r="L5" i="56"/>
  <c r="J5" i="56"/>
  <c r="H5" i="56"/>
  <c r="F5" i="56"/>
  <c r="D5" i="56"/>
  <c r="A5" i="56"/>
  <c r="A6" i="56" s="1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L4" i="56"/>
  <c r="J4" i="56"/>
  <c r="H4" i="56"/>
  <c r="F4" i="56"/>
  <c r="D4" i="56"/>
  <c r="Q26" i="55"/>
  <c r="R26" i="55" s="1"/>
  <c r="P26" i="55"/>
  <c r="M26" i="55"/>
  <c r="K26" i="55"/>
  <c r="I26" i="55"/>
  <c r="R25" i="55"/>
  <c r="Q25" i="55"/>
  <c r="P25" i="55"/>
  <c r="M25" i="55"/>
  <c r="K25" i="55"/>
  <c r="I25" i="55"/>
  <c r="Q24" i="55"/>
  <c r="R24" i="55" s="1"/>
  <c r="P24" i="55"/>
  <c r="M24" i="55"/>
  <c r="K24" i="55"/>
  <c r="I24" i="55"/>
  <c r="R23" i="55"/>
  <c r="Q23" i="55"/>
  <c r="P23" i="55"/>
  <c r="M23" i="55"/>
  <c r="K23" i="55"/>
  <c r="I23" i="55"/>
  <c r="Q22" i="55"/>
  <c r="R22" i="55" s="1"/>
  <c r="P22" i="55"/>
  <c r="M22" i="55"/>
  <c r="K22" i="55"/>
  <c r="I22" i="55"/>
  <c r="R21" i="55"/>
  <c r="Q21" i="55"/>
  <c r="P21" i="55"/>
  <c r="M21" i="55"/>
  <c r="K21" i="55"/>
  <c r="I21" i="55"/>
  <c r="Q20" i="55"/>
  <c r="R20" i="55" s="1"/>
  <c r="P20" i="55"/>
  <c r="M20" i="55"/>
  <c r="K20" i="55"/>
  <c r="I20" i="55"/>
  <c r="R19" i="55"/>
  <c r="Q19" i="55"/>
  <c r="P19" i="55"/>
  <c r="M19" i="55"/>
  <c r="K19" i="55"/>
  <c r="I19" i="55"/>
  <c r="Q18" i="55"/>
  <c r="R18" i="55" s="1"/>
  <c r="P18" i="55"/>
  <c r="M18" i="55"/>
  <c r="K18" i="55"/>
  <c r="I18" i="55"/>
  <c r="R17" i="55"/>
  <c r="Q17" i="55"/>
  <c r="P17" i="55"/>
  <c r="M17" i="55"/>
  <c r="K17" i="55"/>
  <c r="I17" i="55"/>
  <c r="Q16" i="55"/>
  <c r="R16" i="55" s="1"/>
  <c r="P16" i="55"/>
  <c r="M16" i="55"/>
  <c r="K16" i="55"/>
  <c r="I16" i="55"/>
  <c r="Q15" i="55"/>
  <c r="R15" i="55" s="1"/>
  <c r="P15" i="55"/>
  <c r="M15" i="55"/>
  <c r="K15" i="55"/>
  <c r="I15" i="55"/>
  <c r="Q14" i="55"/>
  <c r="R14" i="55" s="1"/>
  <c r="P14" i="55"/>
  <c r="M14" i="55"/>
  <c r="K14" i="55"/>
  <c r="I14" i="55"/>
  <c r="R13" i="55"/>
  <c r="Q13" i="55"/>
  <c r="P13" i="55"/>
  <c r="M13" i="55"/>
  <c r="K13" i="55"/>
  <c r="I13" i="55"/>
  <c r="Q12" i="55"/>
  <c r="R12" i="55" s="1"/>
  <c r="P12" i="55"/>
  <c r="M12" i="55"/>
  <c r="K12" i="55"/>
  <c r="I12" i="55"/>
  <c r="R11" i="55"/>
  <c r="Q11" i="55"/>
  <c r="P11" i="55"/>
  <c r="M11" i="55"/>
  <c r="K11" i="55"/>
  <c r="I11" i="55"/>
  <c r="Q10" i="55"/>
  <c r="R10" i="55" s="1"/>
  <c r="P10" i="55"/>
  <c r="M10" i="55"/>
  <c r="K10" i="55"/>
  <c r="I10" i="55"/>
  <c r="AC9" i="55"/>
  <c r="I10" i="40" s="1"/>
  <c r="AB9" i="55"/>
  <c r="G10" i="40" s="1"/>
  <c r="Q9" i="55"/>
  <c r="R9" i="55" s="1"/>
  <c r="P9" i="55"/>
  <c r="M9" i="55"/>
  <c r="K9" i="55"/>
  <c r="I9" i="55"/>
  <c r="AI8" i="55"/>
  <c r="L15" i="40" s="1"/>
  <c r="AH8" i="55"/>
  <c r="J15" i="40" s="1"/>
  <c r="AG8" i="55"/>
  <c r="H15" i="40" s="1"/>
  <c r="AF8" i="55"/>
  <c r="F15" i="40" s="1"/>
  <c r="AE8" i="55"/>
  <c r="L10" i="40" s="1"/>
  <c r="AD8" i="55"/>
  <c r="J10" i="40" s="1"/>
  <c r="AC8" i="55"/>
  <c r="H10" i="40" s="1"/>
  <c r="AB8" i="55"/>
  <c r="F10" i="40" s="1"/>
  <c r="R8" i="55"/>
  <c r="Q8" i="55"/>
  <c r="P8" i="55"/>
  <c r="M8" i="55"/>
  <c r="K8" i="55"/>
  <c r="I8" i="55"/>
  <c r="AI7" i="55"/>
  <c r="AI9" i="55" s="1"/>
  <c r="M15" i="40" s="1"/>
  <c r="AH7" i="55"/>
  <c r="AH9" i="55" s="1"/>
  <c r="K15" i="40" s="1"/>
  <c r="AG7" i="55"/>
  <c r="AG9" i="55" s="1"/>
  <c r="I15" i="40" s="1"/>
  <c r="AF7" i="55"/>
  <c r="AF9" i="55" s="1"/>
  <c r="G15" i="40" s="1"/>
  <c r="AE7" i="55"/>
  <c r="AE9" i="55" s="1"/>
  <c r="M10" i="40" s="1"/>
  <c r="AD7" i="55"/>
  <c r="AD9" i="55" s="1"/>
  <c r="K10" i="40" s="1"/>
  <c r="AC7" i="55"/>
  <c r="AB7" i="55"/>
  <c r="R7" i="55"/>
  <c r="Q7" i="55"/>
  <c r="P7" i="55"/>
  <c r="M7" i="55"/>
  <c r="K7" i="55"/>
  <c r="I7" i="55"/>
  <c r="Q25" i="52"/>
  <c r="R25" i="52" s="1"/>
  <c r="P25" i="52"/>
  <c r="M25" i="52"/>
  <c r="K25" i="52"/>
  <c r="I25" i="52"/>
  <c r="Q24" i="52"/>
  <c r="R24" i="52" s="1"/>
  <c r="P24" i="52"/>
  <c r="M24" i="52"/>
  <c r="K24" i="52"/>
  <c r="I24" i="52"/>
  <c r="Q23" i="52"/>
  <c r="R23" i="52" s="1"/>
  <c r="P23" i="52"/>
  <c r="M23" i="52"/>
  <c r="K23" i="52"/>
  <c r="I23" i="52"/>
  <c r="R22" i="52"/>
  <c r="Q22" i="52"/>
  <c r="P22" i="52"/>
  <c r="M22" i="52"/>
  <c r="K22" i="52"/>
  <c r="I22" i="52"/>
  <c r="Q21" i="52"/>
  <c r="R21" i="52" s="1"/>
  <c r="P21" i="52"/>
  <c r="M21" i="52"/>
  <c r="K21" i="52"/>
  <c r="I21" i="52"/>
  <c r="Q20" i="52"/>
  <c r="R20" i="52" s="1"/>
  <c r="P20" i="52"/>
  <c r="M20" i="52"/>
  <c r="K20" i="52"/>
  <c r="I20" i="52"/>
  <c r="Q19" i="52"/>
  <c r="R19" i="52" s="1"/>
  <c r="P19" i="52"/>
  <c r="M19" i="52"/>
  <c r="K19" i="52"/>
  <c r="I19" i="52"/>
  <c r="R18" i="52"/>
  <c r="Q18" i="52"/>
  <c r="P18" i="52"/>
  <c r="M18" i="52"/>
  <c r="K18" i="52"/>
  <c r="I18" i="52"/>
  <c r="Q17" i="52"/>
  <c r="R17" i="52" s="1"/>
  <c r="P17" i="52"/>
  <c r="M17" i="52"/>
  <c r="K17" i="52"/>
  <c r="I17" i="52"/>
  <c r="R16" i="52"/>
  <c r="Q16" i="52"/>
  <c r="P16" i="52"/>
  <c r="M16" i="52"/>
  <c r="K16" i="52"/>
  <c r="I16" i="52"/>
  <c r="Q15" i="52"/>
  <c r="R15" i="52" s="1"/>
  <c r="P15" i="52"/>
  <c r="M15" i="52"/>
  <c r="K15" i="52"/>
  <c r="I15" i="52"/>
  <c r="R14" i="52"/>
  <c r="Q14" i="52"/>
  <c r="P14" i="52"/>
  <c r="M14" i="52"/>
  <c r="K14" i="52"/>
  <c r="I14" i="52"/>
  <c r="Q13" i="52"/>
  <c r="R13" i="52" s="1"/>
  <c r="P13" i="52"/>
  <c r="M13" i="52"/>
  <c r="K13" i="52"/>
  <c r="I13" i="52"/>
  <c r="R12" i="52"/>
  <c r="Q12" i="52"/>
  <c r="P12" i="52"/>
  <c r="M12" i="52"/>
  <c r="K12" i="52"/>
  <c r="I12" i="52"/>
  <c r="Q11" i="52"/>
  <c r="R11" i="52" s="1"/>
  <c r="P11" i="52"/>
  <c r="M11" i="52"/>
  <c r="K11" i="52"/>
  <c r="I11" i="52"/>
  <c r="R10" i="52"/>
  <c r="Q10" i="52"/>
  <c r="P10" i="52"/>
  <c r="M10" i="52"/>
  <c r="K10" i="52"/>
  <c r="I10" i="52"/>
  <c r="R9" i="52"/>
  <c r="Q9" i="52"/>
  <c r="P9" i="52"/>
  <c r="M9" i="52"/>
  <c r="K9" i="52"/>
  <c r="I9" i="52"/>
  <c r="AI8" i="52"/>
  <c r="L14" i="40" s="1"/>
  <c r="AH8" i="52"/>
  <c r="J14" i="40" s="1"/>
  <c r="AG8" i="52"/>
  <c r="H14" i="40" s="1"/>
  <c r="AF8" i="52"/>
  <c r="F14" i="40" s="1"/>
  <c r="AE8" i="52"/>
  <c r="L9" i="40" s="1"/>
  <c r="AD8" i="52"/>
  <c r="J9" i="40" s="1"/>
  <c r="AC8" i="52"/>
  <c r="H9" i="40" s="1"/>
  <c r="AB8" i="52"/>
  <c r="F9" i="40" s="1"/>
  <c r="Q8" i="52"/>
  <c r="R8" i="52" s="1"/>
  <c r="P8" i="52"/>
  <c r="M8" i="52"/>
  <c r="K8" i="52"/>
  <c r="I8" i="52"/>
  <c r="AI7" i="52"/>
  <c r="AI9" i="52" s="1"/>
  <c r="M14" i="40" s="1"/>
  <c r="AH7" i="52"/>
  <c r="AH9" i="52" s="1"/>
  <c r="K14" i="40" s="1"/>
  <c r="AG7" i="52"/>
  <c r="AG9" i="52" s="1"/>
  <c r="I14" i="40" s="1"/>
  <c r="AF7" i="52"/>
  <c r="AF9" i="52" s="1"/>
  <c r="G14" i="40" s="1"/>
  <c r="AE7" i="52"/>
  <c r="AE9" i="52" s="1"/>
  <c r="M9" i="40" s="1"/>
  <c r="AD7" i="52"/>
  <c r="AD9" i="52" s="1"/>
  <c r="K9" i="40" s="1"/>
  <c r="AC7" i="52"/>
  <c r="AC9" i="52" s="1"/>
  <c r="I9" i="40" s="1"/>
  <c r="AB7" i="52"/>
  <c r="AB9" i="52" s="1"/>
  <c r="G9" i="40" s="1"/>
  <c r="Q7" i="52"/>
  <c r="R7" i="52" s="1"/>
  <c r="P7" i="52"/>
  <c r="M7" i="52"/>
  <c r="K7" i="52"/>
  <c r="I7" i="52"/>
  <c r="L20" i="21"/>
  <c r="L19" i="21"/>
  <c r="L18" i="21"/>
  <c r="L17" i="21"/>
  <c r="L16" i="21"/>
  <c r="L13" i="21"/>
  <c r="L12" i="21"/>
  <c r="L11" i="21"/>
  <c r="L10" i="21"/>
  <c r="L9" i="21"/>
  <c r="K38" i="51"/>
  <c r="K30" i="51"/>
  <c r="M26" i="51"/>
  <c r="M25" i="51"/>
  <c r="K22" i="51"/>
  <c r="M21" i="51"/>
  <c r="M20" i="51"/>
  <c r="M19" i="51"/>
  <c r="M18" i="51"/>
  <c r="M17" i="51"/>
  <c r="K14" i="51"/>
  <c r="M13" i="51"/>
  <c r="M12" i="51"/>
  <c r="M11" i="51"/>
  <c r="M10" i="51"/>
  <c r="M9" i="51"/>
  <c r="M29" i="50"/>
  <c r="M28" i="50"/>
  <c r="M27" i="50"/>
  <c r="M26" i="50"/>
  <c r="M25" i="50"/>
  <c r="M30" i="50" s="1"/>
  <c r="K30" i="50" s="1"/>
  <c r="M22" i="50"/>
  <c r="K22" i="50" s="1"/>
  <c r="M13" i="50"/>
  <c r="M12" i="50"/>
  <c r="M11" i="50"/>
  <c r="M10" i="50"/>
  <c r="M9" i="50"/>
  <c r="M14" i="50" s="1"/>
  <c r="K14" i="50" s="1"/>
  <c r="K38" i="20"/>
  <c r="K30" i="20"/>
  <c r="M26" i="20"/>
  <c r="M25" i="20"/>
  <c r="K22" i="20"/>
  <c r="M21" i="20"/>
  <c r="M20" i="20"/>
  <c r="M19" i="20"/>
  <c r="M18" i="20"/>
  <c r="M17" i="20"/>
  <c r="K14" i="20"/>
  <c r="M13" i="20"/>
  <c r="M12" i="20"/>
  <c r="M11" i="20"/>
  <c r="M10" i="20"/>
  <c r="M9" i="20"/>
  <c r="M29" i="19"/>
  <c r="M28" i="19"/>
  <c r="M27" i="19"/>
  <c r="M30" i="19" s="1"/>
  <c r="K30" i="19" s="1"/>
  <c r="M26" i="19"/>
  <c r="M25" i="19"/>
  <c r="M21" i="19"/>
  <c r="M20" i="19"/>
  <c r="M19" i="19"/>
  <c r="M18" i="19"/>
  <c r="M17" i="19"/>
  <c r="M13" i="19"/>
  <c r="M12" i="19"/>
  <c r="M11" i="19"/>
  <c r="M10" i="19"/>
  <c r="M9" i="19"/>
  <c r="M14" i="19" s="1"/>
  <c r="K14" i="19" s="1"/>
  <c r="C10" i="40"/>
  <c r="C9" i="40"/>
  <c r="AV109" i="49"/>
  <c r="AW109" i="49" s="1"/>
  <c r="AQ109" i="49"/>
  <c r="AR109" i="49" s="1"/>
  <c r="AM109" i="49"/>
  <c r="AL109" i="49"/>
  <c r="AG109" i="49"/>
  <c r="AH109" i="49" s="1"/>
  <c r="AB109" i="49"/>
  <c r="AC109" i="49" s="1"/>
  <c r="W109" i="49"/>
  <c r="X109" i="49" s="1"/>
  <c r="R109" i="49"/>
  <c r="S109" i="49" s="1"/>
  <c r="K109" i="49"/>
  <c r="M109" i="49" s="1"/>
  <c r="J109" i="49"/>
  <c r="I109" i="49"/>
  <c r="F109" i="49"/>
  <c r="G109" i="49" s="1"/>
  <c r="E109" i="49"/>
  <c r="AW108" i="49"/>
  <c r="AV108" i="49"/>
  <c r="AQ108" i="49"/>
  <c r="AR108" i="49" s="1"/>
  <c r="AL108" i="49"/>
  <c r="AM108" i="49" s="1"/>
  <c r="AG108" i="49"/>
  <c r="K108" i="49" s="1"/>
  <c r="M108" i="49" s="1"/>
  <c r="AC108" i="49"/>
  <c r="AB108" i="49"/>
  <c r="W108" i="49"/>
  <c r="X108" i="49" s="1"/>
  <c r="S108" i="49"/>
  <c r="R108" i="49"/>
  <c r="J108" i="49"/>
  <c r="I108" i="49"/>
  <c r="F108" i="49"/>
  <c r="G108" i="49" s="1"/>
  <c r="E108" i="49"/>
  <c r="AV107" i="49"/>
  <c r="AS107" i="49"/>
  <c r="AQ107" i="49"/>
  <c r="AR107" i="49" s="1"/>
  <c r="AL107" i="49"/>
  <c r="AN107" i="49" s="1"/>
  <c r="AG107" i="49"/>
  <c r="AB107" i="49"/>
  <c r="Y107" i="49"/>
  <c r="W107" i="49"/>
  <c r="X107" i="49" s="1"/>
  <c r="R107" i="49"/>
  <c r="T107" i="49" s="1"/>
  <c r="J107" i="49"/>
  <c r="I107" i="49"/>
  <c r="F107" i="49"/>
  <c r="G107" i="49" s="1"/>
  <c r="E107" i="49"/>
  <c r="AV90" i="49"/>
  <c r="AQ90" i="49"/>
  <c r="AL90" i="49"/>
  <c r="AG90" i="49"/>
  <c r="AC90" i="49"/>
  <c r="AB90" i="49"/>
  <c r="W90" i="49"/>
  <c r="R90" i="49"/>
  <c r="S90" i="49" s="1"/>
  <c r="J90" i="49"/>
  <c r="I90" i="49"/>
  <c r="F90" i="49"/>
  <c r="E90" i="49"/>
  <c r="AQ89" i="49"/>
  <c r="AL89" i="49"/>
  <c r="AG89" i="49"/>
  <c r="AB89" i="49"/>
  <c r="AC89" i="49" s="1"/>
  <c r="W89" i="49"/>
  <c r="S89" i="49"/>
  <c r="R89" i="49"/>
  <c r="K89" i="49" s="1"/>
  <c r="J89" i="49"/>
  <c r="I89" i="49"/>
  <c r="F89" i="49"/>
  <c r="G89" i="49" s="1"/>
  <c r="E89" i="49"/>
  <c r="AV88" i="49"/>
  <c r="AQ88" i="49"/>
  <c r="AL88" i="49"/>
  <c r="AG88" i="49"/>
  <c r="AB88" i="49"/>
  <c r="AC88" i="49" s="1"/>
  <c r="W88" i="49"/>
  <c r="R88" i="49"/>
  <c r="S88" i="49" s="1"/>
  <c r="K88" i="49"/>
  <c r="J88" i="49"/>
  <c r="I88" i="49"/>
  <c r="G88" i="49"/>
  <c r="F88" i="49"/>
  <c r="E88" i="49"/>
  <c r="AV87" i="49"/>
  <c r="AQ87" i="49"/>
  <c r="AL87" i="49"/>
  <c r="AH87" i="49"/>
  <c r="AG87" i="49"/>
  <c r="K87" i="49" s="1"/>
  <c r="AC87" i="49"/>
  <c r="AB87" i="49"/>
  <c r="AD87" i="49" s="1"/>
  <c r="X87" i="49"/>
  <c r="W87" i="49"/>
  <c r="S87" i="49"/>
  <c r="R87" i="49"/>
  <c r="J87" i="49"/>
  <c r="I87" i="49"/>
  <c r="F87" i="49"/>
  <c r="G87" i="49" s="1"/>
  <c r="E87" i="49"/>
  <c r="AW71" i="49"/>
  <c r="AV71" i="49"/>
  <c r="AQ71" i="49"/>
  <c r="AM71" i="49"/>
  <c r="AL71" i="49"/>
  <c r="AG71" i="49"/>
  <c r="AB71" i="49"/>
  <c r="AC71" i="49" s="1"/>
  <c r="X71" i="49"/>
  <c r="W71" i="49"/>
  <c r="S71" i="49"/>
  <c r="R71" i="49"/>
  <c r="K71" i="49" s="1"/>
  <c r="J71" i="49"/>
  <c r="I71" i="49"/>
  <c r="F71" i="49"/>
  <c r="G71" i="49" s="1"/>
  <c r="E71" i="49"/>
  <c r="AV70" i="49"/>
  <c r="AW70" i="49" s="1"/>
  <c r="AQ70" i="49"/>
  <c r="AM70" i="49"/>
  <c r="AL70" i="49"/>
  <c r="AG70" i="49"/>
  <c r="AH70" i="49" s="1"/>
  <c r="AC70" i="49"/>
  <c r="AB70" i="49"/>
  <c r="X70" i="49"/>
  <c r="W70" i="49"/>
  <c r="R70" i="49"/>
  <c r="K70" i="49"/>
  <c r="J70" i="49"/>
  <c r="I70" i="49"/>
  <c r="F70" i="49"/>
  <c r="E70" i="49"/>
  <c r="F69" i="49"/>
  <c r="G69" i="49" s="1"/>
  <c r="E69" i="49"/>
  <c r="AV68" i="49"/>
  <c r="AQ68" i="49"/>
  <c r="AM68" i="49"/>
  <c r="AL68" i="49"/>
  <c r="AH68" i="49"/>
  <c r="AG68" i="49"/>
  <c r="AC68" i="49"/>
  <c r="AB68" i="49"/>
  <c r="X68" i="49"/>
  <c r="W68" i="49"/>
  <c r="Y67" i="49" s="1"/>
  <c r="R68" i="49"/>
  <c r="K68" i="49"/>
  <c r="J68" i="49"/>
  <c r="I68" i="49"/>
  <c r="F68" i="49"/>
  <c r="E68" i="49"/>
  <c r="G68" i="49" s="1"/>
  <c r="AW67" i="49"/>
  <c r="AV67" i="49"/>
  <c r="AR67" i="49"/>
  <c r="AQ67" i="49"/>
  <c r="AN67" i="49"/>
  <c r="AM67" i="49"/>
  <c r="AL67" i="49"/>
  <c r="AG67" i="49"/>
  <c r="AI67" i="49" s="1"/>
  <c r="AC67" i="49"/>
  <c r="AB67" i="49"/>
  <c r="AD67" i="49" s="1"/>
  <c r="X67" i="49"/>
  <c r="W67" i="49"/>
  <c r="S67" i="49"/>
  <c r="R67" i="49"/>
  <c r="J67" i="49"/>
  <c r="I67" i="49"/>
  <c r="F67" i="49"/>
  <c r="G67" i="49" s="1"/>
  <c r="E67" i="49"/>
  <c r="AV50" i="49"/>
  <c r="AQ50" i="49"/>
  <c r="AM50" i="49"/>
  <c r="AL50" i="49"/>
  <c r="AG50" i="49"/>
  <c r="AB50" i="49"/>
  <c r="W50" i="49"/>
  <c r="R50" i="49"/>
  <c r="J50" i="49"/>
  <c r="I50" i="49"/>
  <c r="F50" i="49"/>
  <c r="G50" i="49" s="1"/>
  <c r="E50" i="49"/>
  <c r="AV49" i="49"/>
  <c r="AW49" i="49" s="1"/>
  <c r="AQ49" i="49"/>
  <c r="AM49" i="49"/>
  <c r="AL49" i="49"/>
  <c r="AG49" i="49"/>
  <c r="AB49" i="49"/>
  <c r="W49" i="49"/>
  <c r="R49" i="49"/>
  <c r="J49" i="49"/>
  <c r="I49" i="49"/>
  <c r="G49" i="49"/>
  <c r="F49" i="49"/>
  <c r="E49" i="49"/>
  <c r="AV48" i="49"/>
  <c r="AQ48" i="49"/>
  <c r="AL48" i="49"/>
  <c r="AG48" i="49"/>
  <c r="AB48" i="49"/>
  <c r="AC48" i="49" s="1"/>
  <c r="X48" i="49"/>
  <c r="W48" i="49"/>
  <c r="R48" i="49"/>
  <c r="J48" i="49"/>
  <c r="I48" i="49"/>
  <c r="G48" i="49"/>
  <c r="F48" i="49"/>
  <c r="E48" i="49"/>
  <c r="AV47" i="49"/>
  <c r="AQ47" i="49"/>
  <c r="AL47" i="49"/>
  <c r="AG47" i="49"/>
  <c r="AC47" i="49"/>
  <c r="AB47" i="49"/>
  <c r="W47" i="49"/>
  <c r="S47" i="49"/>
  <c r="R47" i="49"/>
  <c r="J47" i="49"/>
  <c r="I47" i="49"/>
  <c r="F47" i="49"/>
  <c r="G47" i="49" s="1"/>
  <c r="E47" i="49"/>
  <c r="AV30" i="49"/>
  <c r="AQ30" i="49"/>
  <c r="AR30" i="49" s="1"/>
  <c r="AM30" i="49"/>
  <c r="AL30" i="49"/>
  <c r="AG30" i="49"/>
  <c r="AH30" i="49" s="1"/>
  <c r="AB30" i="49"/>
  <c r="W30" i="49"/>
  <c r="R30" i="49"/>
  <c r="J30" i="49"/>
  <c r="I30" i="49"/>
  <c r="F30" i="49"/>
  <c r="E30" i="49"/>
  <c r="G30" i="49" s="1"/>
  <c r="AV29" i="49"/>
  <c r="AQ29" i="49"/>
  <c r="AL29" i="49"/>
  <c r="AG29" i="49"/>
  <c r="AB29" i="49"/>
  <c r="W29" i="49"/>
  <c r="X29" i="49" s="1"/>
  <c r="R29" i="49"/>
  <c r="J29" i="49"/>
  <c r="I29" i="49"/>
  <c r="F29" i="49"/>
  <c r="G29" i="49" s="1"/>
  <c r="E29" i="49"/>
  <c r="AV28" i="49"/>
  <c r="AQ28" i="49"/>
  <c r="AL28" i="49"/>
  <c r="AG28" i="49"/>
  <c r="AB28" i="49"/>
  <c r="AC28" i="49" s="1"/>
  <c r="X28" i="49"/>
  <c r="W28" i="49"/>
  <c r="R28" i="49"/>
  <c r="J28" i="49"/>
  <c r="I28" i="49"/>
  <c r="F28" i="49"/>
  <c r="G28" i="49" s="1"/>
  <c r="E28" i="49"/>
  <c r="AV27" i="49"/>
  <c r="AX27" i="49" s="1"/>
  <c r="AS27" i="49"/>
  <c r="AQ27" i="49"/>
  <c r="AR28" i="49" s="1"/>
  <c r="AL27" i="49"/>
  <c r="AG27" i="49"/>
  <c r="AB27" i="49"/>
  <c r="W27" i="49"/>
  <c r="R27" i="49"/>
  <c r="J27" i="49"/>
  <c r="I27" i="49"/>
  <c r="F27" i="49"/>
  <c r="G27" i="49" s="1"/>
  <c r="H27" i="49" s="1"/>
  <c r="E27" i="49"/>
  <c r="AV9" i="49"/>
  <c r="AQ9" i="49"/>
  <c r="AM9" i="49"/>
  <c r="AL9" i="49"/>
  <c r="AG9" i="49"/>
  <c r="AH9" i="49" s="1"/>
  <c r="AB9" i="49"/>
  <c r="AC9" i="49" s="1"/>
  <c r="X9" i="49"/>
  <c r="W9" i="49"/>
  <c r="R9" i="49"/>
  <c r="S9" i="49" s="1"/>
  <c r="J9" i="49"/>
  <c r="I9" i="49"/>
  <c r="F9" i="49"/>
  <c r="G9" i="49" s="1"/>
  <c r="E9" i="49"/>
  <c r="AV8" i="49"/>
  <c r="K8" i="49" s="1"/>
  <c r="AQ8" i="49"/>
  <c r="AM8" i="49"/>
  <c r="AL8" i="49"/>
  <c r="AG8" i="49"/>
  <c r="AH8" i="49" s="1"/>
  <c r="AB8" i="49"/>
  <c r="AC8" i="49" s="1"/>
  <c r="W8" i="49"/>
  <c r="X8" i="49" s="1"/>
  <c r="S8" i="49"/>
  <c r="R8" i="49"/>
  <c r="J8" i="49"/>
  <c r="I8" i="49"/>
  <c r="F8" i="49"/>
  <c r="G8" i="49" s="1"/>
  <c r="E8" i="49"/>
  <c r="AV7" i="49"/>
  <c r="AQ7" i="49"/>
  <c r="AM7" i="49"/>
  <c r="AL7" i="49"/>
  <c r="AN7" i="49" s="1"/>
  <c r="AH7" i="49"/>
  <c r="AG7" i="49"/>
  <c r="AI7" i="49" s="1"/>
  <c r="AD7" i="49"/>
  <c r="AC7" i="49"/>
  <c r="AB7" i="49"/>
  <c r="X7" i="49"/>
  <c r="W7" i="49"/>
  <c r="Y7" i="49" s="1"/>
  <c r="S7" i="49"/>
  <c r="R7" i="49"/>
  <c r="T7" i="49" s="1"/>
  <c r="J7" i="49"/>
  <c r="I7" i="49"/>
  <c r="G7" i="49"/>
  <c r="F7" i="49"/>
  <c r="E7" i="49"/>
  <c r="M101" i="36"/>
  <c r="M100" i="36"/>
  <c r="M98" i="36"/>
  <c r="M97" i="36"/>
  <c r="M96" i="36"/>
  <c r="K96" i="36"/>
  <c r="J96" i="36"/>
  <c r="I96" i="36"/>
  <c r="K95" i="36"/>
  <c r="M95" i="36" s="1"/>
  <c r="J95" i="36"/>
  <c r="I95" i="36"/>
  <c r="M94" i="36"/>
  <c r="K94" i="36"/>
  <c r="J94" i="36"/>
  <c r="I94" i="36"/>
  <c r="M93" i="36"/>
  <c r="K93" i="36"/>
  <c r="J93" i="36"/>
  <c r="I93" i="36"/>
  <c r="K92" i="36"/>
  <c r="M92" i="36" s="1"/>
  <c r="J92" i="36"/>
  <c r="I92" i="36"/>
  <c r="M91" i="36"/>
  <c r="K91" i="36"/>
  <c r="J91" i="36"/>
  <c r="I91" i="36"/>
  <c r="M90" i="36"/>
  <c r="K90" i="36"/>
  <c r="J90" i="36"/>
  <c r="I90" i="36"/>
  <c r="K89" i="36"/>
  <c r="M89" i="36" s="1"/>
  <c r="J89" i="36"/>
  <c r="I89" i="36"/>
  <c r="M88" i="36"/>
  <c r="K88" i="36"/>
  <c r="J88" i="36"/>
  <c r="I88" i="36"/>
  <c r="AX87" i="36"/>
  <c r="AS87" i="36"/>
  <c r="AN87" i="36"/>
  <c r="AI87" i="36"/>
  <c r="AD87" i="36"/>
  <c r="Y87" i="36"/>
  <c r="T87" i="36"/>
  <c r="M87" i="36"/>
  <c r="L87" i="36"/>
  <c r="K87" i="36"/>
  <c r="M99" i="36" s="1"/>
  <c r="J87" i="36"/>
  <c r="I87" i="36"/>
  <c r="H87" i="36"/>
  <c r="K80" i="36"/>
  <c r="M80" i="36" s="1"/>
  <c r="J80" i="36"/>
  <c r="I80" i="36"/>
  <c r="K79" i="36"/>
  <c r="M79" i="36" s="1"/>
  <c r="J79" i="36"/>
  <c r="I79" i="36"/>
  <c r="M78" i="36"/>
  <c r="K78" i="36"/>
  <c r="J78" i="36"/>
  <c r="I78" i="36"/>
  <c r="K77" i="36"/>
  <c r="M77" i="36" s="1"/>
  <c r="J77" i="36"/>
  <c r="I77" i="36"/>
  <c r="K76" i="36"/>
  <c r="M76" i="36" s="1"/>
  <c r="J76" i="36"/>
  <c r="I76" i="36"/>
  <c r="M75" i="36"/>
  <c r="K75" i="36"/>
  <c r="J75" i="36"/>
  <c r="I75" i="36"/>
  <c r="M74" i="36"/>
  <c r="K74" i="36"/>
  <c r="J74" i="36"/>
  <c r="I74" i="36"/>
  <c r="K73" i="36"/>
  <c r="M73" i="36" s="1"/>
  <c r="J73" i="36"/>
  <c r="I73" i="36"/>
  <c r="M72" i="36"/>
  <c r="K72" i="36"/>
  <c r="J72" i="36"/>
  <c r="I72" i="36"/>
  <c r="K71" i="36"/>
  <c r="M71" i="36" s="1"/>
  <c r="J71" i="36"/>
  <c r="I71" i="36"/>
  <c r="K70" i="36"/>
  <c r="M70" i="36" s="1"/>
  <c r="J70" i="36"/>
  <c r="I70" i="36"/>
  <c r="M69" i="36"/>
  <c r="K69" i="36"/>
  <c r="J69" i="36"/>
  <c r="I69" i="36"/>
  <c r="K68" i="36"/>
  <c r="M68" i="36" s="1"/>
  <c r="J68" i="36"/>
  <c r="I68" i="36"/>
  <c r="AX67" i="36"/>
  <c r="AS67" i="36"/>
  <c r="AN67" i="36"/>
  <c r="AI67" i="36"/>
  <c r="AD67" i="36"/>
  <c r="Y67" i="36"/>
  <c r="T67" i="36"/>
  <c r="K67" i="36"/>
  <c r="J67" i="36"/>
  <c r="I67" i="36"/>
  <c r="H67" i="36"/>
  <c r="M61" i="36"/>
  <c r="M60" i="36"/>
  <c r="M58" i="36"/>
  <c r="M57" i="36"/>
  <c r="K56" i="36"/>
  <c r="M56" i="36" s="1"/>
  <c r="J56" i="36"/>
  <c r="I56" i="36"/>
  <c r="K55" i="36"/>
  <c r="M55" i="36" s="1"/>
  <c r="J55" i="36"/>
  <c r="I55" i="36"/>
  <c r="M54" i="36"/>
  <c r="K54" i="36"/>
  <c r="J54" i="36"/>
  <c r="I54" i="36"/>
  <c r="K53" i="36"/>
  <c r="M53" i="36" s="1"/>
  <c r="J53" i="36"/>
  <c r="I53" i="36"/>
  <c r="K52" i="36"/>
  <c r="M52" i="36" s="1"/>
  <c r="J52" i="36"/>
  <c r="I52" i="36"/>
  <c r="M51" i="36"/>
  <c r="K51" i="36"/>
  <c r="J51" i="36"/>
  <c r="I51" i="36"/>
  <c r="K50" i="36"/>
  <c r="M50" i="36" s="1"/>
  <c r="J50" i="36"/>
  <c r="I50" i="36"/>
  <c r="K49" i="36"/>
  <c r="M49" i="36" s="1"/>
  <c r="J49" i="36"/>
  <c r="I49" i="36"/>
  <c r="M48" i="36"/>
  <c r="K48" i="36"/>
  <c r="J48" i="36"/>
  <c r="I48" i="36"/>
  <c r="AX47" i="36"/>
  <c r="AS47" i="36"/>
  <c r="AN47" i="36"/>
  <c r="AI47" i="36"/>
  <c r="AD47" i="36"/>
  <c r="Y47" i="36"/>
  <c r="T47" i="36"/>
  <c r="M47" i="36"/>
  <c r="L47" i="36"/>
  <c r="K47" i="36"/>
  <c r="M59" i="36" s="1"/>
  <c r="J47" i="36"/>
  <c r="I47" i="36"/>
  <c r="H47" i="36"/>
  <c r="M41" i="36"/>
  <c r="M40" i="36"/>
  <c r="M39" i="36"/>
  <c r="M38" i="36"/>
  <c r="M37" i="36"/>
  <c r="K36" i="36"/>
  <c r="M36" i="36" s="1"/>
  <c r="J36" i="36"/>
  <c r="I36" i="36"/>
  <c r="M35" i="36"/>
  <c r="K35" i="36"/>
  <c r="J35" i="36"/>
  <c r="I35" i="36"/>
  <c r="M34" i="36"/>
  <c r="K34" i="36"/>
  <c r="J34" i="36"/>
  <c r="I34" i="36"/>
  <c r="K33" i="36"/>
  <c r="M33" i="36" s="1"/>
  <c r="J33" i="36"/>
  <c r="I33" i="36"/>
  <c r="M32" i="36"/>
  <c r="K32" i="36"/>
  <c r="J32" i="36"/>
  <c r="I32" i="36"/>
  <c r="K31" i="36"/>
  <c r="M31" i="36" s="1"/>
  <c r="J31" i="36"/>
  <c r="I31" i="36"/>
  <c r="K30" i="36"/>
  <c r="M30" i="36" s="1"/>
  <c r="J30" i="36"/>
  <c r="I30" i="36"/>
  <c r="M29" i="36"/>
  <c r="K29" i="36"/>
  <c r="J29" i="36"/>
  <c r="I29" i="36"/>
  <c r="M28" i="36"/>
  <c r="K28" i="36"/>
  <c r="J28" i="36"/>
  <c r="I28" i="36"/>
  <c r="AX27" i="36"/>
  <c r="AS27" i="36"/>
  <c r="AN27" i="36"/>
  <c r="AI27" i="36"/>
  <c r="AD27" i="36"/>
  <c r="Y27" i="36"/>
  <c r="T27" i="36"/>
  <c r="M27" i="36"/>
  <c r="L27" i="36"/>
  <c r="K27" i="36"/>
  <c r="J27" i="36"/>
  <c r="I27" i="36"/>
  <c r="H27" i="36"/>
  <c r="AW21" i="36"/>
  <c r="AR21" i="36"/>
  <c r="AM21" i="36"/>
  <c r="AH21" i="36"/>
  <c r="AC21" i="36"/>
  <c r="X21" i="36"/>
  <c r="S21" i="36"/>
  <c r="M21" i="36"/>
  <c r="AW20" i="36"/>
  <c r="AR20" i="36"/>
  <c r="AM20" i="36"/>
  <c r="AH20" i="36"/>
  <c r="AC20" i="36"/>
  <c r="X20" i="36"/>
  <c r="S20" i="36"/>
  <c r="M20" i="36"/>
  <c r="AW19" i="36"/>
  <c r="AR19" i="36"/>
  <c r="AM19" i="36"/>
  <c r="AH19" i="36"/>
  <c r="AC19" i="36"/>
  <c r="X19" i="36"/>
  <c r="S19" i="36"/>
  <c r="AW18" i="36"/>
  <c r="AR18" i="36"/>
  <c r="AM18" i="36"/>
  <c r="AH18" i="36"/>
  <c r="AC18" i="36"/>
  <c r="X18" i="36"/>
  <c r="S18" i="36"/>
  <c r="M18" i="36"/>
  <c r="AW17" i="36"/>
  <c r="AR17" i="36"/>
  <c r="AM17" i="36"/>
  <c r="AH17" i="36"/>
  <c r="AC17" i="36"/>
  <c r="X17" i="36"/>
  <c r="S17" i="36"/>
  <c r="M17" i="36"/>
  <c r="AW16" i="36"/>
  <c r="AR16" i="36"/>
  <c r="AM16" i="36"/>
  <c r="AH16" i="36"/>
  <c r="AC16" i="36"/>
  <c r="X16" i="36"/>
  <c r="S16" i="36"/>
  <c r="K16" i="36"/>
  <c r="M16" i="36" s="1"/>
  <c r="J16" i="36"/>
  <c r="I16" i="36"/>
  <c r="AW15" i="36"/>
  <c r="AR15" i="36"/>
  <c r="AM15" i="36"/>
  <c r="AH15" i="36"/>
  <c r="AC15" i="36"/>
  <c r="X15" i="36"/>
  <c r="S15" i="36"/>
  <c r="M15" i="36"/>
  <c r="K15" i="36"/>
  <c r="J15" i="36"/>
  <c r="I15" i="36"/>
  <c r="AW14" i="36"/>
  <c r="AR14" i="36"/>
  <c r="AM14" i="36"/>
  <c r="AH14" i="36"/>
  <c r="AC14" i="36"/>
  <c r="X14" i="36"/>
  <c r="S14" i="36"/>
  <c r="M14" i="36"/>
  <c r="K14" i="36"/>
  <c r="J14" i="36"/>
  <c r="I14" i="36"/>
  <c r="AW13" i="36"/>
  <c r="AR13" i="36"/>
  <c r="AM13" i="36"/>
  <c r="AH13" i="36"/>
  <c r="AC13" i="36"/>
  <c r="X13" i="36"/>
  <c r="S13" i="36"/>
  <c r="M13" i="36"/>
  <c r="K13" i="36"/>
  <c r="J13" i="36"/>
  <c r="I13" i="36"/>
  <c r="AW12" i="36"/>
  <c r="AR12" i="36"/>
  <c r="AM12" i="36"/>
  <c r="AH12" i="36"/>
  <c r="AC12" i="36"/>
  <c r="X12" i="36"/>
  <c r="S12" i="36"/>
  <c r="K12" i="36"/>
  <c r="M12" i="36" s="1"/>
  <c r="J12" i="36"/>
  <c r="I12" i="36"/>
  <c r="AW11" i="36"/>
  <c r="AR11" i="36"/>
  <c r="AM11" i="36"/>
  <c r="AH11" i="36"/>
  <c r="AC11" i="36"/>
  <c r="X11" i="36"/>
  <c r="S11" i="36"/>
  <c r="M11" i="36"/>
  <c r="K11" i="36"/>
  <c r="J11" i="36"/>
  <c r="I11" i="36"/>
  <c r="AW10" i="36"/>
  <c r="AR10" i="36"/>
  <c r="AM10" i="36"/>
  <c r="AH10" i="36"/>
  <c r="AC10" i="36"/>
  <c r="X10" i="36"/>
  <c r="S10" i="36"/>
  <c r="K10" i="36"/>
  <c r="M10" i="36" s="1"/>
  <c r="J10" i="36"/>
  <c r="I10" i="36"/>
  <c r="AW9" i="36"/>
  <c r="AR9" i="36"/>
  <c r="AM9" i="36"/>
  <c r="AH9" i="36"/>
  <c r="AC9" i="36"/>
  <c r="X9" i="36"/>
  <c r="S9" i="36"/>
  <c r="K9" i="36"/>
  <c r="M9" i="36" s="1"/>
  <c r="J9" i="36"/>
  <c r="I9" i="36"/>
  <c r="AW8" i="36"/>
  <c r="AR8" i="36"/>
  <c r="AM8" i="36"/>
  <c r="AH8" i="36"/>
  <c r="AC8" i="36"/>
  <c r="X8" i="36"/>
  <c r="S8" i="36"/>
  <c r="M8" i="36"/>
  <c r="K8" i="36"/>
  <c r="J8" i="36"/>
  <c r="I8" i="36"/>
  <c r="AX7" i="36"/>
  <c r="AW7" i="36"/>
  <c r="AS7" i="36"/>
  <c r="AR7" i="36"/>
  <c r="AN7" i="36"/>
  <c r="AM7" i="36"/>
  <c r="AI7" i="36"/>
  <c r="AH7" i="36"/>
  <c r="AD7" i="36"/>
  <c r="AC7" i="36"/>
  <c r="Y7" i="36"/>
  <c r="X7" i="36"/>
  <c r="T7" i="36"/>
  <c r="S7" i="36"/>
  <c r="M7" i="36"/>
  <c r="L7" i="36"/>
  <c r="K7" i="36"/>
  <c r="M19" i="36" s="1"/>
  <c r="J7" i="36"/>
  <c r="I7" i="36"/>
  <c r="H7" i="36"/>
  <c r="C1" i="36"/>
  <c r="AV137" i="48"/>
  <c r="AW137" i="48" s="1"/>
  <c r="AQ137" i="48"/>
  <c r="AR137" i="48" s="1"/>
  <c r="AM137" i="48"/>
  <c r="AL137" i="48"/>
  <c r="AH137" i="48"/>
  <c r="AG137" i="48"/>
  <c r="AC137" i="48"/>
  <c r="AB137" i="48"/>
  <c r="W137" i="48"/>
  <c r="X137" i="48" s="1"/>
  <c r="R137" i="48"/>
  <c r="S137" i="48" s="1"/>
  <c r="J137" i="48"/>
  <c r="I137" i="48"/>
  <c r="F137" i="48"/>
  <c r="E137" i="48"/>
  <c r="G137" i="48" s="1"/>
  <c r="AW136" i="48"/>
  <c r="AV136" i="48"/>
  <c r="AR136" i="48"/>
  <c r="AQ136" i="48"/>
  <c r="AM136" i="48"/>
  <c r="AL136" i="48"/>
  <c r="AH136" i="48"/>
  <c r="AG136" i="48"/>
  <c r="AB136" i="48"/>
  <c r="AC136" i="48" s="1"/>
  <c r="W136" i="48"/>
  <c r="X136" i="48" s="1"/>
  <c r="S136" i="48"/>
  <c r="R136" i="48"/>
  <c r="M136" i="48"/>
  <c r="K136" i="48"/>
  <c r="J136" i="48"/>
  <c r="I136" i="48"/>
  <c r="G136" i="48"/>
  <c r="F136" i="48"/>
  <c r="E136" i="48"/>
  <c r="AW135" i="48"/>
  <c r="AV135" i="48"/>
  <c r="AR135" i="48"/>
  <c r="AQ135" i="48"/>
  <c r="AL135" i="48"/>
  <c r="AM135" i="48" s="1"/>
  <c r="AG135" i="48"/>
  <c r="AH135" i="48" s="1"/>
  <c r="AB135" i="48"/>
  <c r="AC135" i="48" s="1"/>
  <c r="X135" i="48"/>
  <c r="W135" i="48"/>
  <c r="S135" i="48"/>
  <c r="R135" i="48"/>
  <c r="M135" i="48"/>
  <c r="K135" i="48"/>
  <c r="J135" i="48"/>
  <c r="I135" i="48"/>
  <c r="F135" i="48"/>
  <c r="G135" i="48" s="1"/>
  <c r="E135" i="48"/>
  <c r="AV134" i="48"/>
  <c r="AW134" i="48" s="1"/>
  <c r="AR134" i="48"/>
  <c r="AQ134" i="48"/>
  <c r="AL134" i="48"/>
  <c r="AM134" i="48" s="1"/>
  <c r="AH134" i="48"/>
  <c r="AG134" i="48"/>
  <c r="AC134" i="48"/>
  <c r="AB134" i="48"/>
  <c r="X134" i="48"/>
  <c r="W134" i="48"/>
  <c r="R134" i="48"/>
  <c r="J134" i="48"/>
  <c r="I134" i="48"/>
  <c r="F134" i="48"/>
  <c r="E134" i="48"/>
  <c r="G134" i="48" s="1"/>
  <c r="AV133" i="48"/>
  <c r="AW133" i="48" s="1"/>
  <c r="AQ133" i="48"/>
  <c r="AR133" i="48" s="1"/>
  <c r="AM133" i="48"/>
  <c r="AL133" i="48"/>
  <c r="AH133" i="48"/>
  <c r="AG133" i="48"/>
  <c r="AC133" i="48"/>
  <c r="AB133" i="48"/>
  <c r="W133" i="48"/>
  <c r="X133" i="48" s="1"/>
  <c r="R133" i="48"/>
  <c r="S133" i="48" s="1"/>
  <c r="K133" i="48"/>
  <c r="M133" i="48" s="1"/>
  <c r="J133" i="48"/>
  <c r="I133" i="48"/>
  <c r="F133" i="48"/>
  <c r="E133" i="48"/>
  <c r="G133" i="48" s="1"/>
  <c r="AW132" i="48"/>
  <c r="AV132" i="48"/>
  <c r="AR132" i="48"/>
  <c r="AQ132" i="48"/>
  <c r="AL132" i="48"/>
  <c r="AM132" i="48" s="1"/>
  <c r="AH132" i="48"/>
  <c r="AG132" i="48"/>
  <c r="AC132" i="48"/>
  <c r="AB132" i="48"/>
  <c r="W132" i="48"/>
  <c r="X132" i="48" s="1"/>
  <c r="S132" i="48"/>
  <c r="R132" i="48"/>
  <c r="K132" i="48" s="1"/>
  <c r="M132" i="48" s="1"/>
  <c r="J132" i="48"/>
  <c r="I132" i="48"/>
  <c r="F132" i="48"/>
  <c r="G132" i="48" s="1"/>
  <c r="E132" i="48"/>
  <c r="AW131" i="48"/>
  <c r="AV131" i="48"/>
  <c r="AR131" i="48"/>
  <c r="AQ131" i="48"/>
  <c r="AL131" i="48"/>
  <c r="AM131" i="48" s="1"/>
  <c r="AG131" i="48"/>
  <c r="AH131" i="48" s="1"/>
  <c r="AC131" i="48"/>
  <c r="AB131" i="48"/>
  <c r="X131" i="48"/>
  <c r="W131" i="48"/>
  <c r="S131" i="48"/>
  <c r="R131" i="48"/>
  <c r="M131" i="48"/>
  <c r="K131" i="48"/>
  <c r="J131" i="48"/>
  <c r="I131" i="48"/>
  <c r="F131" i="48"/>
  <c r="G131" i="48" s="1"/>
  <c r="E131" i="48"/>
  <c r="AW130" i="48"/>
  <c r="AV130" i="48"/>
  <c r="AR130" i="48"/>
  <c r="AQ130" i="48"/>
  <c r="AL130" i="48"/>
  <c r="AM130" i="48" s="1"/>
  <c r="AH130" i="48"/>
  <c r="AG130" i="48"/>
  <c r="AC130" i="48"/>
  <c r="AB130" i="48"/>
  <c r="W130" i="48"/>
  <c r="X130" i="48" s="1"/>
  <c r="S130" i="48"/>
  <c r="R130" i="48"/>
  <c r="M130" i="48"/>
  <c r="K130" i="48"/>
  <c r="J130" i="48"/>
  <c r="I130" i="48"/>
  <c r="F130" i="48"/>
  <c r="E130" i="48"/>
  <c r="G130" i="48" s="1"/>
  <c r="AV129" i="48"/>
  <c r="AW129" i="48" s="1"/>
  <c r="AR129" i="48"/>
  <c r="AQ129" i="48"/>
  <c r="AL129" i="48"/>
  <c r="AM129" i="48" s="1"/>
  <c r="AH129" i="48"/>
  <c r="AG129" i="48"/>
  <c r="AC129" i="48"/>
  <c r="AB129" i="48"/>
  <c r="W129" i="48"/>
  <c r="X129" i="48" s="1"/>
  <c r="R129" i="48"/>
  <c r="S129" i="48" s="1"/>
  <c r="K129" i="48"/>
  <c r="M129" i="48" s="1"/>
  <c r="J129" i="48"/>
  <c r="I129" i="48"/>
  <c r="G129" i="48"/>
  <c r="F129" i="48"/>
  <c r="E129" i="48"/>
  <c r="AW128" i="48"/>
  <c r="AV128" i="48"/>
  <c r="AR128" i="48"/>
  <c r="AQ128" i="48"/>
  <c r="AM128" i="48"/>
  <c r="AL128" i="48"/>
  <c r="AH128" i="48"/>
  <c r="AG128" i="48"/>
  <c r="AB128" i="48"/>
  <c r="AC128" i="48" s="1"/>
  <c r="W128" i="48"/>
  <c r="X128" i="48" s="1"/>
  <c r="S128" i="48"/>
  <c r="R128" i="48"/>
  <c r="K128" i="48" s="1"/>
  <c r="M128" i="48" s="1"/>
  <c r="J128" i="48"/>
  <c r="I128" i="48"/>
  <c r="F128" i="48"/>
  <c r="E128" i="48"/>
  <c r="G128" i="48" s="1"/>
  <c r="AW127" i="48"/>
  <c r="AV127" i="48"/>
  <c r="AR127" i="48"/>
  <c r="AQ127" i="48"/>
  <c r="AL127" i="48"/>
  <c r="AM127" i="48" s="1"/>
  <c r="AG127" i="48"/>
  <c r="AH127" i="48" s="1"/>
  <c r="AC127" i="48"/>
  <c r="AB127" i="48"/>
  <c r="W127" i="48"/>
  <c r="X127" i="48" s="1"/>
  <c r="S127" i="48"/>
  <c r="R127" i="48"/>
  <c r="M127" i="48"/>
  <c r="K127" i="48"/>
  <c r="J127" i="48"/>
  <c r="I127" i="48"/>
  <c r="F127" i="48"/>
  <c r="G127" i="48" s="1"/>
  <c r="E127" i="48"/>
  <c r="AW126" i="48"/>
  <c r="AV126" i="48"/>
  <c r="AQ126" i="48"/>
  <c r="AR126" i="48" s="1"/>
  <c r="AL126" i="48"/>
  <c r="AM126" i="48" s="1"/>
  <c r="AH126" i="48"/>
  <c r="AG126" i="48"/>
  <c r="AC126" i="48"/>
  <c r="AB126" i="48"/>
  <c r="W126" i="48"/>
  <c r="X126" i="48" s="1"/>
  <c r="S126" i="48"/>
  <c r="R126" i="48"/>
  <c r="K126" i="48" s="1"/>
  <c r="M126" i="48" s="1"/>
  <c r="J126" i="48"/>
  <c r="I126" i="48"/>
  <c r="F126" i="48"/>
  <c r="E126" i="48"/>
  <c r="G126" i="48" s="1"/>
  <c r="AV125" i="48"/>
  <c r="AW125" i="48" s="1"/>
  <c r="AQ125" i="48"/>
  <c r="AR125" i="48" s="1"/>
  <c r="AM125" i="48"/>
  <c r="AL125" i="48"/>
  <c r="AH125" i="48"/>
  <c r="AG125" i="48"/>
  <c r="AC125" i="48"/>
  <c r="AB125" i="48"/>
  <c r="W125" i="48"/>
  <c r="X125" i="48" s="1"/>
  <c r="R125" i="48"/>
  <c r="J125" i="48"/>
  <c r="I125" i="48"/>
  <c r="F125" i="48"/>
  <c r="E125" i="48"/>
  <c r="G125" i="48" s="1"/>
  <c r="AW124" i="48"/>
  <c r="AV124" i="48"/>
  <c r="AR124" i="48"/>
  <c r="AQ124" i="48"/>
  <c r="AM124" i="48"/>
  <c r="AL124" i="48"/>
  <c r="AG124" i="48"/>
  <c r="AH124" i="48" s="1"/>
  <c r="AC124" i="48"/>
  <c r="AB124" i="48"/>
  <c r="W124" i="48"/>
  <c r="X124" i="48" s="1"/>
  <c r="S124" i="48"/>
  <c r="R124" i="48"/>
  <c r="K124" i="48" s="1"/>
  <c r="M124" i="48"/>
  <c r="J124" i="48"/>
  <c r="I124" i="48"/>
  <c r="G124" i="48"/>
  <c r="F124" i="48"/>
  <c r="E124" i="48"/>
  <c r="AW123" i="48"/>
  <c r="AV123" i="48"/>
  <c r="AQ123" i="48"/>
  <c r="AR123" i="48" s="1"/>
  <c r="AL123" i="48"/>
  <c r="AM123" i="48" s="1"/>
  <c r="AG123" i="48"/>
  <c r="AH123" i="48" s="1"/>
  <c r="AB123" i="48"/>
  <c r="AC123" i="48" s="1"/>
  <c r="W123" i="48"/>
  <c r="X123" i="48" s="1"/>
  <c r="S123" i="48"/>
  <c r="R123" i="48"/>
  <c r="K123" i="48"/>
  <c r="M123" i="48" s="1"/>
  <c r="J123" i="48"/>
  <c r="I123" i="48"/>
  <c r="F123" i="48"/>
  <c r="G123" i="48" s="1"/>
  <c r="E123" i="48"/>
  <c r="AX122" i="48"/>
  <c r="AW122" i="48"/>
  <c r="AV122" i="48"/>
  <c r="AS122" i="48"/>
  <c r="AQ122" i="48"/>
  <c r="AR122" i="48" s="1"/>
  <c r="AL122" i="48"/>
  <c r="AG122" i="48"/>
  <c r="AI122" i="48" s="1"/>
  <c r="AD122" i="48"/>
  <c r="AC122" i="48"/>
  <c r="AB122" i="48"/>
  <c r="W122" i="48"/>
  <c r="X122" i="48" s="1"/>
  <c r="R122" i="48"/>
  <c r="J122" i="48"/>
  <c r="I122" i="48"/>
  <c r="G122" i="48"/>
  <c r="H122" i="48" s="1"/>
  <c r="F122" i="48"/>
  <c r="E122" i="48"/>
  <c r="AV112" i="48"/>
  <c r="AQ112" i="48"/>
  <c r="AL112" i="48"/>
  <c r="AG112" i="48"/>
  <c r="AB112" i="48"/>
  <c r="W112" i="48"/>
  <c r="R112" i="48"/>
  <c r="J112" i="48"/>
  <c r="I112" i="48"/>
  <c r="F112" i="48"/>
  <c r="E112" i="48"/>
  <c r="G112" i="48" s="1"/>
  <c r="AV111" i="48"/>
  <c r="AQ111" i="48"/>
  <c r="AL111" i="48"/>
  <c r="AG111" i="48"/>
  <c r="AB111" i="48"/>
  <c r="W111" i="48"/>
  <c r="R111" i="48"/>
  <c r="J111" i="48"/>
  <c r="I111" i="48"/>
  <c r="F111" i="48"/>
  <c r="G111" i="48" s="1"/>
  <c r="E111" i="48"/>
  <c r="AV110" i="48"/>
  <c r="AR110" i="48"/>
  <c r="AQ110" i="48"/>
  <c r="AL110" i="48"/>
  <c r="AG110" i="48"/>
  <c r="AB110" i="48"/>
  <c r="W110" i="48"/>
  <c r="R110" i="48"/>
  <c r="K110" i="48"/>
  <c r="J110" i="48"/>
  <c r="I110" i="48"/>
  <c r="F110" i="48"/>
  <c r="E110" i="48"/>
  <c r="G110" i="48" s="1"/>
  <c r="AV109" i="48"/>
  <c r="AQ109" i="48"/>
  <c r="AL109" i="48"/>
  <c r="AG109" i="48"/>
  <c r="AB109" i="48"/>
  <c r="W109" i="48"/>
  <c r="R109" i="48"/>
  <c r="J109" i="48"/>
  <c r="I109" i="48"/>
  <c r="G109" i="48"/>
  <c r="F109" i="48"/>
  <c r="E109" i="48"/>
  <c r="AV108" i="48"/>
  <c r="AQ108" i="48"/>
  <c r="AL108" i="48"/>
  <c r="AG108" i="48"/>
  <c r="AH99" i="48" s="1"/>
  <c r="AB108" i="48"/>
  <c r="W108" i="48"/>
  <c r="R108" i="48"/>
  <c r="J108" i="48"/>
  <c r="I108" i="48"/>
  <c r="F108" i="48"/>
  <c r="E108" i="48"/>
  <c r="G108" i="48" s="1"/>
  <c r="AV107" i="48"/>
  <c r="AQ107" i="48"/>
  <c r="AL107" i="48"/>
  <c r="AM107" i="48" s="1"/>
  <c r="AG107" i="48"/>
  <c r="AB107" i="48"/>
  <c r="W107" i="48"/>
  <c r="R107" i="48"/>
  <c r="J107" i="48"/>
  <c r="I107" i="48"/>
  <c r="F107" i="48"/>
  <c r="G107" i="48" s="1"/>
  <c r="E107" i="48"/>
  <c r="AV106" i="48"/>
  <c r="AW106" i="48" s="1"/>
  <c r="AQ106" i="48"/>
  <c r="AR106" i="48" s="1"/>
  <c r="AL106" i="48"/>
  <c r="AG106" i="48"/>
  <c r="AB106" i="48"/>
  <c r="W106" i="48"/>
  <c r="R106" i="48"/>
  <c r="K106" i="48"/>
  <c r="J106" i="48"/>
  <c r="I106" i="48"/>
  <c r="F106" i="48"/>
  <c r="G106" i="48" s="1"/>
  <c r="E106" i="48"/>
  <c r="AL105" i="48"/>
  <c r="AG105" i="48"/>
  <c r="AB105" i="48"/>
  <c r="W105" i="48"/>
  <c r="R105" i="48"/>
  <c r="K105" i="48" s="1"/>
  <c r="J105" i="48"/>
  <c r="I105" i="48"/>
  <c r="F105" i="48"/>
  <c r="G105" i="48" s="1"/>
  <c r="E105" i="48"/>
  <c r="AV104" i="48"/>
  <c r="AQ104" i="48"/>
  <c r="AL104" i="48"/>
  <c r="AG104" i="48"/>
  <c r="AB104" i="48"/>
  <c r="W104" i="48"/>
  <c r="R104" i="48"/>
  <c r="J104" i="48"/>
  <c r="I104" i="48"/>
  <c r="G104" i="48"/>
  <c r="F104" i="48"/>
  <c r="E104" i="48"/>
  <c r="AV103" i="48"/>
  <c r="AQ103" i="48"/>
  <c r="AL103" i="48"/>
  <c r="AG103" i="48"/>
  <c r="AB103" i="48"/>
  <c r="W103" i="48"/>
  <c r="R103" i="48"/>
  <c r="J103" i="48"/>
  <c r="I103" i="48"/>
  <c r="F103" i="48"/>
  <c r="G103" i="48" s="1"/>
  <c r="H99" i="48" s="1"/>
  <c r="E103" i="48"/>
  <c r="AW102" i="48"/>
  <c r="AV102" i="48"/>
  <c r="AQ102" i="48"/>
  <c r="AL102" i="48"/>
  <c r="AG102" i="48"/>
  <c r="AB102" i="48"/>
  <c r="W102" i="48"/>
  <c r="X102" i="48" s="1"/>
  <c r="R102" i="48"/>
  <c r="J102" i="48"/>
  <c r="I102" i="48"/>
  <c r="F102" i="48"/>
  <c r="E102" i="48"/>
  <c r="G102" i="48" s="1"/>
  <c r="AV101" i="48"/>
  <c r="AQ101" i="48"/>
  <c r="AL101" i="48"/>
  <c r="AG101" i="48"/>
  <c r="AB101" i="48"/>
  <c r="W101" i="48"/>
  <c r="R101" i="48"/>
  <c r="J101" i="48"/>
  <c r="I101" i="48"/>
  <c r="F101" i="48"/>
  <c r="E101" i="48"/>
  <c r="G101" i="48" s="1"/>
  <c r="AV100" i="48"/>
  <c r="AQ100" i="48"/>
  <c r="AM100" i="48"/>
  <c r="AL100" i="48"/>
  <c r="AG100" i="48"/>
  <c r="AB100" i="48"/>
  <c r="W100" i="48"/>
  <c r="R100" i="48"/>
  <c r="K100" i="48"/>
  <c r="J100" i="48"/>
  <c r="I100" i="48"/>
  <c r="F100" i="48"/>
  <c r="G100" i="48" s="1"/>
  <c r="E100" i="48"/>
  <c r="AV99" i="48"/>
  <c r="AW111" i="48" s="1"/>
  <c r="AQ99" i="48"/>
  <c r="AL99" i="48"/>
  <c r="AI99" i="48"/>
  <c r="AG99" i="48"/>
  <c r="AB99" i="48"/>
  <c r="AC112" i="48" s="1"/>
  <c r="W99" i="48"/>
  <c r="R99" i="48"/>
  <c r="J99" i="48"/>
  <c r="I99" i="48"/>
  <c r="F99" i="48"/>
  <c r="E99" i="48"/>
  <c r="G99" i="48" s="1"/>
  <c r="AV91" i="48"/>
  <c r="AQ91" i="48"/>
  <c r="AL91" i="48"/>
  <c r="AG91" i="48"/>
  <c r="AB91" i="48"/>
  <c r="W91" i="48"/>
  <c r="R91" i="48"/>
  <c r="K91" i="48" s="1"/>
  <c r="J91" i="48"/>
  <c r="I91" i="48"/>
  <c r="F91" i="48"/>
  <c r="E91" i="48"/>
  <c r="G91" i="48" s="1"/>
  <c r="AV90" i="48"/>
  <c r="AQ90" i="48"/>
  <c r="AL90" i="48"/>
  <c r="AM90" i="48" s="1"/>
  <c r="AH90" i="48"/>
  <c r="AG90" i="48"/>
  <c r="K90" i="48" s="1"/>
  <c r="AB90" i="48"/>
  <c r="W90" i="48"/>
  <c r="R90" i="48"/>
  <c r="J90" i="48"/>
  <c r="I90" i="48"/>
  <c r="F90" i="48"/>
  <c r="G90" i="48" s="1"/>
  <c r="E90" i="48"/>
  <c r="AV89" i="48"/>
  <c r="AR89" i="48"/>
  <c r="AQ89" i="48"/>
  <c r="AL89" i="48"/>
  <c r="AG89" i="48"/>
  <c r="AB89" i="48"/>
  <c r="W89" i="48"/>
  <c r="K89" i="48" s="1"/>
  <c r="R89" i="48"/>
  <c r="J89" i="48"/>
  <c r="I89" i="48"/>
  <c r="G89" i="48"/>
  <c r="F89" i="48"/>
  <c r="AV88" i="48"/>
  <c r="AQ88" i="48"/>
  <c r="AL88" i="48"/>
  <c r="AH88" i="48"/>
  <c r="AG88" i="48"/>
  <c r="AB88" i="48"/>
  <c r="W88" i="48"/>
  <c r="R88" i="48"/>
  <c r="J88" i="48"/>
  <c r="I88" i="48"/>
  <c r="G88" i="48"/>
  <c r="F88" i="48"/>
  <c r="E88" i="48"/>
  <c r="AW87" i="48"/>
  <c r="AV87" i="48"/>
  <c r="AQ87" i="48"/>
  <c r="AL87" i="48"/>
  <c r="AG87" i="48"/>
  <c r="AB87" i="48"/>
  <c r="W87" i="48"/>
  <c r="R87" i="48"/>
  <c r="K87" i="48" s="1"/>
  <c r="J87" i="48"/>
  <c r="I87" i="48"/>
  <c r="G87" i="48"/>
  <c r="F87" i="48"/>
  <c r="E87" i="48"/>
  <c r="AV86" i="48"/>
  <c r="AQ86" i="48"/>
  <c r="AL86" i="48"/>
  <c r="AM86" i="48" s="1"/>
  <c r="AG86" i="48"/>
  <c r="AB86" i="48"/>
  <c r="W86" i="48"/>
  <c r="R86" i="48"/>
  <c r="J86" i="48"/>
  <c r="I86" i="48"/>
  <c r="F86" i="48"/>
  <c r="G86" i="48" s="1"/>
  <c r="E86" i="48"/>
  <c r="AV83" i="48"/>
  <c r="AQ83" i="48"/>
  <c r="AL83" i="48"/>
  <c r="AG83" i="48"/>
  <c r="AB83" i="48"/>
  <c r="W83" i="48"/>
  <c r="R83" i="48"/>
  <c r="K83" i="48"/>
  <c r="J83" i="48"/>
  <c r="I83" i="48"/>
  <c r="F83" i="48"/>
  <c r="G83" i="48" s="1"/>
  <c r="E83" i="48"/>
  <c r="AV82" i="48"/>
  <c r="AQ82" i="48"/>
  <c r="AL82" i="48"/>
  <c r="AG82" i="48"/>
  <c r="AB82" i="48"/>
  <c r="W82" i="48"/>
  <c r="R82" i="48"/>
  <c r="J82" i="48"/>
  <c r="I82" i="48"/>
  <c r="G82" i="48"/>
  <c r="F82" i="48"/>
  <c r="E82" i="48"/>
  <c r="AV81" i="48"/>
  <c r="AQ81" i="48"/>
  <c r="AL81" i="48"/>
  <c r="AM81" i="48" s="1"/>
  <c r="AG81" i="48"/>
  <c r="AB81" i="48"/>
  <c r="W81" i="48"/>
  <c r="R81" i="48"/>
  <c r="J81" i="48"/>
  <c r="I81" i="48"/>
  <c r="G81" i="48"/>
  <c r="F81" i="48"/>
  <c r="E81" i="48"/>
  <c r="AV80" i="48"/>
  <c r="AQ80" i="48"/>
  <c r="AM80" i="48"/>
  <c r="AL80" i="48"/>
  <c r="AG80" i="48"/>
  <c r="AB80" i="48"/>
  <c r="W80" i="48"/>
  <c r="X80" i="48" s="1"/>
  <c r="R80" i="48"/>
  <c r="J80" i="48"/>
  <c r="I80" i="48"/>
  <c r="F80" i="48"/>
  <c r="G80" i="48" s="1"/>
  <c r="E80" i="48"/>
  <c r="AV79" i="48"/>
  <c r="AQ79" i="48"/>
  <c r="AL79" i="48"/>
  <c r="AG79" i="48"/>
  <c r="AB79" i="48"/>
  <c r="W79" i="48"/>
  <c r="R79" i="48"/>
  <c r="K79" i="48" s="1"/>
  <c r="J79" i="48"/>
  <c r="I79" i="48"/>
  <c r="F79" i="48"/>
  <c r="E79" i="48"/>
  <c r="AV78" i="48"/>
  <c r="AQ78" i="48"/>
  <c r="AR79" i="48" s="1"/>
  <c r="AL78" i="48"/>
  <c r="AM78" i="48" s="1"/>
  <c r="AG78" i="48"/>
  <c r="AB78" i="48"/>
  <c r="W78" i="48"/>
  <c r="X78" i="48" s="1"/>
  <c r="R78" i="48"/>
  <c r="J78" i="48"/>
  <c r="I78" i="48"/>
  <c r="F78" i="48"/>
  <c r="G78" i="48" s="1"/>
  <c r="E78" i="48"/>
  <c r="AV77" i="48"/>
  <c r="K77" i="48" s="1"/>
  <c r="AQ77" i="48"/>
  <c r="AR77" i="48" s="1"/>
  <c r="AL77" i="48"/>
  <c r="AH77" i="48"/>
  <c r="AG77" i="48"/>
  <c r="AB77" i="48"/>
  <c r="W77" i="48"/>
  <c r="R77" i="48"/>
  <c r="J77" i="48"/>
  <c r="I77" i="48"/>
  <c r="F77" i="48"/>
  <c r="G77" i="48" s="1"/>
  <c r="E77" i="48"/>
  <c r="AV76" i="48"/>
  <c r="AR76" i="48"/>
  <c r="AQ76" i="48"/>
  <c r="AL76" i="48"/>
  <c r="AG76" i="48"/>
  <c r="AB76" i="48"/>
  <c r="W76" i="48"/>
  <c r="R76" i="48"/>
  <c r="K76" i="48"/>
  <c r="J76" i="48"/>
  <c r="I76" i="48"/>
  <c r="F76" i="48"/>
  <c r="G76" i="48" s="1"/>
  <c r="E76" i="48"/>
  <c r="AW68" i="48"/>
  <c r="AV68" i="48"/>
  <c r="AH68" i="48"/>
  <c r="AG68" i="48"/>
  <c r="AV67" i="48"/>
  <c r="AQ67" i="48"/>
  <c r="AL67" i="48"/>
  <c r="AG67" i="48"/>
  <c r="AB67" i="48"/>
  <c r="W67" i="48"/>
  <c r="R67" i="48"/>
  <c r="S67" i="48" s="1"/>
  <c r="J67" i="48"/>
  <c r="I67" i="48"/>
  <c r="G67" i="48"/>
  <c r="F67" i="48"/>
  <c r="E67" i="48"/>
  <c r="AV66" i="48"/>
  <c r="AQ66" i="48"/>
  <c r="AL66" i="48"/>
  <c r="AG66" i="48"/>
  <c r="AB66" i="48"/>
  <c r="W66" i="48"/>
  <c r="R66" i="48"/>
  <c r="J66" i="48"/>
  <c r="I66" i="48"/>
  <c r="G66" i="48"/>
  <c r="F66" i="48"/>
  <c r="E66" i="48"/>
  <c r="AV65" i="48"/>
  <c r="AQ65" i="48"/>
  <c r="AL65" i="48"/>
  <c r="AG65" i="48"/>
  <c r="AB65" i="48"/>
  <c r="W65" i="48"/>
  <c r="R65" i="48"/>
  <c r="K65" i="48"/>
  <c r="J65" i="48"/>
  <c r="I65" i="48"/>
  <c r="F65" i="48"/>
  <c r="G65" i="48" s="1"/>
  <c r="E65" i="48"/>
  <c r="AV64" i="48"/>
  <c r="AQ64" i="48"/>
  <c r="AL64" i="48"/>
  <c r="AG64" i="48"/>
  <c r="AB64" i="48"/>
  <c r="W64" i="48"/>
  <c r="R64" i="48"/>
  <c r="J64" i="48"/>
  <c r="I64" i="48"/>
  <c r="F64" i="48"/>
  <c r="G64" i="48" s="1"/>
  <c r="E64" i="48"/>
  <c r="AV63" i="48"/>
  <c r="AQ63" i="48"/>
  <c r="AL63" i="48"/>
  <c r="AG63" i="48"/>
  <c r="AH63" i="48" s="1"/>
  <c r="AB63" i="48"/>
  <c r="W63" i="48"/>
  <c r="K63" i="48" s="1"/>
  <c r="R63" i="48"/>
  <c r="J63" i="48"/>
  <c r="I63" i="48"/>
  <c r="F63" i="48"/>
  <c r="G63" i="48" s="1"/>
  <c r="E63" i="48"/>
  <c r="AV62" i="48"/>
  <c r="AQ62" i="48"/>
  <c r="AL62" i="48"/>
  <c r="AH62" i="48"/>
  <c r="AG62" i="48"/>
  <c r="AB62" i="48"/>
  <c r="W62" i="48"/>
  <c r="R62" i="48"/>
  <c r="K62" i="48" s="1"/>
  <c r="J62" i="48"/>
  <c r="I62" i="48"/>
  <c r="F62" i="48"/>
  <c r="G62" i="48" s="1"/>
  <c r="E62" i="48"/>
  <c r="R61" i="48"/>
  <c r="K61" i="48"/>
  <c r="J61" i="48"/>
  <c r="I61" i="48"/>
  <c r="F61" i="48"/>
  <c r="G61" i="48" s="1"/>
  <c r="E61" i="48"/>
  <c r="AV60" i="48"/>
  <c r="AQ60" i="48"/>
  <c r="AL60" i="48"/>
  <c r="AG60" i="48"/>
  <c r="AB60" i="48"/>
  <c r="W60" i="48"/>
  <c r="R60" i="48"/>
  <c r="J60" i="48"/>
  <c r="I60" i="48"/>
  <c r="F60" i="48"/>
  <c r="G60" i="48" s="1"/>
  <c r="E60" i="48"/>
  <c r="AV59" i="48"/>
  <c r="AQ59" i="48"/>
  <c r="AL59" i="48"/>
  <c r="AG59" i="48"/>
  <c r="AB59" i="48"/>
  <c r="W59" i="48"/>
  <c r="R59" i="48"/>
  <c r="S59" i="48" s="1"/>
  <c r="K59" i="48"/>
  <c r="J59" i="48"/>
  <c r="I59" i="48"/>
  <c r="F59" i="48"/>
  <c r="E59" i="48"/>
  <c r="G59" i="48" s="1"/>
  <c r="AV58" i="48"/>
  <c r="AQ58" i="48"/>
  <c r="AL58" i="48"/>
  <c r="AG58" i="48"/>
  <c r="AB58" i="48"/>
  <c r="W58" i="48"/>
  <c r="R58" i="48"/>
  <c r="J58" i="48"/>
  <c r="I58" i="48"/>
  <c r="G58" i="48"/>
  <c r="F58" i="48"/>
  <c r="E58" i="48"/>
  <c r="AV57" i="48"/>
  <c r="AQ57" i="48"/>
  <c r="AL57" i="48"/>
  <c r="AG57" i="48"/>
  <c r="AH57" i="48" s="1"/>
  <c r="AB57" i="48"/>
  <c r="W57" i="48"/>
  <c r="S57" i="48"/>
  <c r="R57" i="48"/>
  <c r="J57" i="48"/>
  <c r="I57" i="48"/>
  <c r="G57" i="48"/>
  <c r="F57" i="48"/>
  <c r="E57" i="48"/>
  <c r="AV56" i="48"/>
  <c r="AQ56" i="48"/>
  <c r="AL56" i="48"/>
  <c r="AM56" i="48" s="1"/>
  <c r="AG56" i="48"/>
  <c r="AB56" i="48"/>
  <c r="W56" i="48"/>
  <c r="R56" i="48"/>
  <c r="S56" i="48" s="1"/>
  <c r="J56" i="48"/>
  <c r="I56" i="48"/>
  <c r="F56" i="48"/>
  <c r="G56" i="48" s="1"/>
  <c r="E56" i="48"/>
  <c r="AV55" i="48"/>
  <c r="AQ55" i="48"/>
  <c r="AR55" i="48" s="1"/>
  <c r="AL55" i="48"/>
  <c r="AG55" i="48"/>
  <c r="AH55" i="48" s="1"/>
  <c r="AB55" i="48"/>
  <c r="W55" i="48"/>
  <c r="R55" i="48"/>
  <c r="J55" i="48"/>
  <c r="I55" i="48"/>
  <c r="F55" i="48"/>
  <c r="G55" i="48" s="1"/>
  <c r="E55" i="48"/>
  <c r="AV54" i="48"/>
  <c r="AW65" i="48" s="1"/>
  <c r="AQ54" i="48"/>
  <c r="AL54" i="48"/>
  <c r="AG54" i="48"/>
  <c r="AB54" i="48"/>
  <c r="W54" i="48"/>
  <c r="X65" i="48" s="1"/>
  <c r="R54" i="48"/>
  <c r="J54" i="48"/>
  <c r="I54" i="48"/>
  <c r="F54" i="48"/>
  <c r="G54" i="48" s="1"/>
  <c r="E54" i="48"/>
  <c r="AX53" i="48"/>
  <c r="AV53" i="48"/>
  <c r="AQ53" i="48"/>
  <c r="AL53" i="48"/>
  <c r="AG53" i="48"/>
  <c r="AB53" i="48"/>
  <c r="AD53" i="48" s="1"/>
  <c r="W53" i="48"/>
  <c r="R53" i="48"/>
  <c r="J53" i="48"/>
  <c r="I53" i="48"/>
  <c r="F53" i="48"/>
  <c r="G53" i="48" s="1"/>
  <c r="E53" i="48"/>
  <c r="AV44" i="48"/>
  <c r="AQ44" i="48"/>
  <c r="AL44" i="48"/>
  <c r="AG44" i="48"/>
  <c r="AB44" i="48"/>
  <c r="X44" i="48"/>
  <c r="W44" i="48"/>
  <c r="R44" i="48"/>
  <c r="J44" i="48"/>
  <c r="I44" i="48"/>
  <c r="F44" i="48"/>
  <c r="G44" i="48" s="1"/>
  <c r="E44" i="48"/>
  <c r="AV43" i="48"/>
  <c r="AQ43" i="48"/>
  <c r="AR43" i="48" s="1"/>
  <c r="AL43" i="48"/>
  <c r="AG43" i="48"/>
  <c r="AB43" i="48"/>
  <c r="AC43" i="48" s="1"/>
  <c r="W43" i="48"/>
  <c r="R43" i="48"/>
  <c r="K43" i="48" s="1"/>
  <c r="J43" i="48"/>
  <c r="I43" i="48"/>
  <c r="F43" i="48"/>
  <c r="G43" i="48" s="1"/>
  <c r="E43" i="48"/>
  <c r="AV42" i="48"/>
  <c r="AW31" i="48" s="1"/>
  <c r="AQ42" i="48"/>
  <c r="AL42" i="48"/>
  <c r="AM42" i="48" s="1"/>
  <c r="AG42" i="48"/>
  <c r="AB42" i="48"/>
  <c r="W42" i="48"/>
  <c r="R42" i="48"/>
  <c r="K42" i="48" s="1"/>
  <c r="J42" i="48"/>
  <c r="I42" i="48"/>
  <c r="F42" i="48"/>
  <c r="G42" i="48" s="1"/>
  <c r="E42" i="48"/>
  <c r="AW41" i="48"/>
  <c r="AV41" i="48"/>
  <c r="AQ41" i="48"/>
  <c r="AL41" i="48"/>
  <c r="AG41" i="48"/>
  <c r="AH41" i="48" s="1"/>
  <c r="AB41" i="48"/>
  <c r="W41" i="48"/>
  <c r="R41" i="48"/>
  <c r="J41" i="48"/>
  <c r="I41" i="48"/>
  <c r="F41" i="48"/>
  <c r="E41" i="48"/>
  <c r="AV40" i="48"/>
  <c r="AQ40" i="48"/>
  <c r="AL40" i="48"/>
  <c r="AG40" i="48"/>
  <c r="AB40" i="48"/>
  <c r="AC40" i="48" s="1"/>
  <c r="W40" i="48"/>
  <c r="R40" i="48"/>
  <c r="K40" i="48" s="1"/>
  <c r="J40" i="48"/>
  <c r="I40" i="48"/>
  <c r="F40" i="48"/>
  <c r="G40" i="48" s="1"/>
  <c r="E40" i="48"/>
  <c r="AV39" i="48"/>
  <c r="AQ39" i="48"/>
  <c r="AL39" i="48"/>
  <c r="AH39" i="48"/>
  <c r="AG39" i="48"/>
  <c r="AB39" i="48"/>
  <c r="W39" i="48"/>
  <c r="R39" i="48"/>
  <c r="K39" i="48"/>
  <c r="J39" i="48"/>
  <c r="I39" i="48"/>
  <c r="F39" i="48"/>
  <c r="E39" i="48"/>
  <c r="G39" i="48" s="1"/>
  <c r="AV38" i="48"/>
  <c r="AW38" i="48" s="1"/>
  <c r="AQ38" i="48"/>
  <c r="AL38" i="48"/>
  <c r="AG38" i="48"/>
  <c r="AB38" i="48"/>
  <c r="W38" i="48"/>
  <c r="R38" i="48"/>
  <c r="J38" i="48"/>
  <c r="I38" i="48"/>
  <c r="F38" i="48"/>
  <c r="G38" i="48" s="1"/>
  <c r="E38" i="48"/>
  <c r="AV37" i="48"/>
  <c r="AW37" i="48" s="1"/>
  <c r="AQ37" i="48"/>
  <c r="AL37" i="48"/>
  <c r="AG37" i="48"/>
  <c r="AB37" i="48"/>
  <c r="W37" i="48"/>
  <c r="R37" i="48"/>
  <c r="J37" i="48"/>
  <c r="I37" i="48"/>
  <c r="F37" i="48"/>
  <c r="G37" i="48" s="1"/>
  <c r="E37" i="48"/>
  <c r="AV36" i="48"/>
  <c r="AQ36" i="48"/>
  <c r="AL36" i="48"/>
  <c r="AG36" i="48"/>
  <c r="AB36" i="48"/>
  <c r="W36" i="48"/>
  <c r="R36" i="48"/>
  <c r="S36" i="48" s="1"/>
  <c r="K36" i="48"/>
  <c r="J36" i="48"/>
  <c r="I36" i="48"/>
  <c r="G36" i="48"/>
  <c r="F36" i="48"/>
  <c r="E36" i="48"/>
  <c r="AV35" i="48"/>
  <c r="AQ35" i="48"/>
  <c r="AL35" i="48"/>
  <c r="AG35" i="48"/>
  <c r="K35" i="48" s="1"/>
  <c r="AB35" i="48"/>
  <c r="W35" i="48"/>
  <c r="R35" i="48"/>
  <c r="J35" i="48"/>
  <c r="I35" i="48"/>
  <c r="F35" i="48"/>
  <c r="G35" i="48" s="1"/>
  <c r="E35" i="48"/>
  <c r="AV34" i="48"/>
  <c r="AR34" i="48"/>
  <c r="AQ34" i="48"/>
  <c r="AL34" i="48"/>
  <c r="AG34" i="48"/>
  <c r="AH34" i="48" s="1"/>
  <c r="AB34" i="48"/>
  <c r="K34" i="48" s="1"/>
  <c r="W34" i="48"/>
  <c r="R34" i="48"/>
  <c r="J34" i="48"/>
  <c r="I34" i="48"/>
  <c r="F34" i="48"/>
  <c r="G34" i="48" s="1"/>
  <c r="E34" i="48"/>
  <c r="AW33" i="48"/>
  <c r="AV33" i="48"/>
  <c r="AQ33" i="48"/>
  <c r="AR33" i="48" s="1"/>
  <c r="AL33" i="48"/>
  <c r="AG33" i="48"/>
  <c r="AB33" i="48"/>
  <c r="W33" i="48"/>
  <c r="R33" i="48"/>
  <c r="S38" i="48" s="1"/>
  <c r="K33" i="48"/>
  <c r="J33" i="48"/>
  <c r="I33" i="48"/>
  <c r="G33" i="48"/>
  <c r="F33" i="48"/>
  <c r="E33" i="48"/>
  <c r="AV32" i="48"/>
  <c r="AW43" i="48" s="1"/>
  <c r="AQ32" i="48"/>
  <c r="AL32" i="48"/>
  <c r="AG32" i="48"/>
  <c r="AH38" i="48" s="1"/>
  <c r="AB32" i="48"/>
  <c r="W32" i="48"/>
  <c r="R32" i="48"/>
  <c r="J32" i="48"/>
  <c r="I32" i="48"/>
  <c r="F32" i="48"/>
  <c r="G32" i="48" s="1"/>
  <c r="E32" i="48"/>
  <c r="AV31" i="48"/>
  <c r="AR31" i="48"/>
  <c r="AQ31" i="48"/>
  <c r="AL31" i="48"/>
  <c r="AG31" i="48"/>
  <c r="AB31" i="48"/>
  <c r="AC31" i="48" s="1"/>
  <c r="W31" i="48"/>
  <c r="R31" i="48"/>
  <c r="J31" i="48"/>
  <c r="I31" i="48"/>
  <c r="F31" i="48"/>
  <c r="E31" i="48"/>
  <c r="AX30" i="48"/>
  <c r="AV30" i="48"/>
  <c r="AQ30" i="48"/>
  <c r="AL30" i="48"/>
  <c r="AG30" i="48"/>
  <c r="AB30" i="48"/>
  <c r="AC41" i="48" s="1"/>
  <c r="W30" i="48"/>
  <c r="X34" i="48" s="1"/>
  <c r="R30" i="48"/>
  <c r="J30" i="48"/>
  <c r="I30" i="48"/>
  <c r="F30" i="48"/>
  <c r="E30" i="48"/>
  <c r="G30" i="48" s="1"/>
  <c r="AL22" i="48"/>
  <c r="AM22" i="48" s="1"/>
  <c r="AG22" i="48"/>
  <c r="AH22" i="48" s="1"/>
  <c r="AB22" i="48"/>
  <c r="AC22" i="48" s="1"/>
  <c r="W22" i="48"/>
  <c r="X22" i="48" s="1"/>
  <c r="R22" i="48"/>
  <c r="S22" i="48" s="1"/>
  <c r="AM21" i="48"/>
  <c r="AL21" i="48"/>
  <c r="AH21" i="48"/>
  <c r="AG21" i="48"/>
  <c r="AB21" i="48"/>
  <c r="AC21" i="48" s="1"/>
  <c r="W21" i="48"/>
  <c r="X21" i="48" s="1"/>
  <c r="R21" i="48"/>
  <c r="S21" i="48" s="1"/>
  <c r="AL20" i="48"/>
  <c r="AM20" i="48" s="1"/>
  <c r="AH20" i="48"/>
  <c r="AG20" i="48"/>
  <c r="AB20" i="48"/>
  <c r="AC20" i="48" s="1"/>
  <c r="W20" i="48"/>
  <c r="X20" i="48" s="1"/>
  <c r="S20" i="48"/>
  <c r="R20" i="48"/>
  <c r="F20" i="48"/>
  <c r="E20" i="48"/>
  <c r="G20" i="48" s="1"/>
  <c r="AL19" i="48"/>
  <c r="AM19" i="48" s="1"/>
  <c r="AH19" i="48"/>
  <c r="AG19" i="48"/>
  <c r="AB19" i="48"/>
  <c r="AC19" i="48" s="1"/>
  <c r="W19" i="48"/>
  <c r="X19" i="48" s="1"/>
  <c r="R19" i="48"/>
  <c r="S19" i="48" s="1"/>
  <c r="G19" i="48"/>
  <c r="F19" i="48"/>
  <c r="E19" i="48"/>
  <c r="AL18" i="48"/>
  <c r="AM18" i="48" s="1"/>
  <c r="AG18" i="48"/>
  <c r="AH18" i="48" s="1"/>
  <c r="AC18" i="48"/>
  <c r="AB18" i="48"/>
  <c r="X18" i="48"/>
  <c r="W18" i="48"/>
  <c r="R18" i="48"/>
  <c r="S18" i="48" s="1"/>
  <c r="F18" i="48"/>
  <c r="E18" i="48"/>
  <c r="G18" i="48" s="1"/>
  <c r="AL17" i="48"/>
  <c r="AM17" i="48" s="1"/>
  <c r="AG17" i="48"/>
  <c r="AH17" i="48" s="1"/>
  <c r="AB17" i="48"/>
  <c r="AC17" i="48" s="1"/>
  <c r="W17" i="48"/>
  <c r="X17" i="48" s="1"/>
  <c r="R17" i="48"/>
  <c r="S17" i="48" s="1"/>
  <c r="G17" i="48"/>
  <c r="F17" i="48"/>
  <c r="E17" i="48"/>
  <c r="AL16" i="48"/>
  <c r="AM16" i="48" s="1"/>
  <c r="AG16" i="48"/>
  <c r="AH16" i="48" s="1"/>
  <c r="AB16" i="48"/>
  <c r="AC16" i="48" s="1"/>
  <c r="W16" i="48"/>
  <c r="X16" i="48" s="1"/>
  <c r="S16" i="48"/>
  <c r="R16" i="48"/>
  <c r="F16" i="48"/>
  <c r="G16" i="48" s="1"/>
  <c r="E16" i="48"/>
  <c r="AM15" i="48"/>
  <c r="AL15" i="48"/>
  <c r="AH15" i="48"/>
  <c r="AG15" i="48"/>
  <c r="AC15" i="48"/>
  <c r="AB15" i="48"/>
  <c r="W15" i="48"/>
  <c r="X15" i="48" s="1"/>
  <c r="R15" i="48"/>
  <c r="S15" i="48" s="1"/>
  <c r="F15" i="48"/>
  <c r="E15" i="48"/>
  <c r="G15" i="48" s="1"/>
  <c r="AL14" i="48"/>
  <c r="AM14" i="48" s="1"/>
  <c r="AG14" i="48"/>
  <c r="AH14" i="48" s="1"/>
  <c r="AC14" i="48"/>
  <c r="AB14" i="48"/>
  <c r="W14" i="48"/>
  <c r="X14" i="48" s="1"/>
  <c r="S14" i="48"/>
  <c r="R14" i="48"/>
  <c r="F14" i="48"/>
  <c r="G14" i="48" s="1"/>
  <c r="E14" i="48"/>
  <c r="AM13" i="48"/>
  <c r="AL13" i="48"/>
  <c r="AH13" i="48"/>
  <c r="AG13" i="48"/>
  <c r="AB13" i="48"/>
  <c r="AC13" i="48" s="1"/>
  <c r="X13" i="48"/>
  <c r="W13" i="48"/>
  <c r="S13" i="48"/>
  <c r="R13" i="48"/>
  <c r="G13" i="48"/>
  <c r="F13" i="48"/>
  <c r="E13" i="48"/>
  <c r="AL12" i="48"/>
  <c r="AM12" i="48" s="1"/>
  <c r="AG12" i="48"/>
  <c r="AH12" i="48" s="1"/>
  <c r="AC12" i="48"/>
  <c r="AB12" i="48"/>
  <c r="W12" i="48"/>
  <c r="X12" i="48" s="1"/>
  <c r="S12" i="48"/>
  <c r="R12" i="48"/>
  <c r="F12" i="48"/>
  <c r="G12" i="48" s="1"/>
  <c r="E12" i="48"/>
  <c r="AV11" i="48"/>
  <c r="AW11" i="48" s="1"/>
  <c r="AQ11" i="48"/>
  <c r="K11" i="48" s="1"/>
  <c r="AM11" i="48"/>
  <c r="AL11" i="48"/>
  <c r="AG11" i="48"/>
  <c r="AH11" i="48" s="1"/>
  <c r="AB11" i="48"/>
  <c r="AC11" i="48" s="1"/>
  <c r="W11" i="48"/>
  <c r="X11" i="48" s="1"/>
  <c r="R11" i="48"/>
  <c r="S11" i="48" s="1"/>
  <c r="J11" i="48"/>
  <c r="I11" i="48"/>
  <c r="F11" i="48"/>
  <c r="G11" i="48" s="1"/>
  <c r="E11" i="48"/>
  <c r="AV10" i="48"/>
  <c r="AQ10" i="48"/>
  <c r="AL10" i="48"/>
  <c r="AM10" i="48" s="1"/>
  <c r="AH10" i="48"/>
  <c r="AG10" i="48"/>
  <c r="AB10" i="48"/>
  <c r="AC10" i="48" s="1"/>
  <c r="W10" i="48"/>
  <c r="X10" i="48" s="1"/>
  <c r="R10" i="48"/>
  <c r="S10" i="48" s="1"/>
  <c r="J10" i="48"/>
  <c r="I10" i="48"/>
  <c r="F10" i="48"/>
  <c r="G10" i="48" s="1"/>
  <c r="E10" i="48"/>
  <c r="AV9" i="48"/>
  <c r="AW9" i="48" s="1"/>
  <c r="AQ9" i="48"/>
  <c r="AR9" i="48" s="1"/>
  <c r="AL9" i="48"/>
  <c r="AM9" i="48" s="1"/>
  <c r="AG9" i="48"/>
  <c r="AH9" i="48" s="1"/>
  <c r="AB9" i="48"/>
  <c r="AC9" i="48" s="1"/>
  <c r="X9" i="48"/>
  <c r="W9" i="48"/>
  <c r="R9" i="48"/>
  <c r="S9" i="48" s="1"/>
  <c r="K9" i="48"/>
  <c r="J9" i="48"/>
  <c r="I9" i="48"/>
  <c r="F9" i="48"/>
  <c r="G9" i="48" s="1"/>
  <c r="E9" i="48"/>
  <c r="AW8" i="48"/>
  <c r="AV8" i="48"/>
  <c r="K8" i="48" s="1"/>
  <c r="AQ8" i="48"/>
  <c r="AL8" i="48"/>
  <c r="AM8" i="48" s="1"/>
  <c r="AH8" i="48"/>
  <c r="AG8" i="48"/>
  <c r="AC8" i="48"/>
  <c r="AB8" i="48"/>
  <c r="X8" i="48"/>
  <c r="W8" i="48"/>
  <c r="S8" i="48"/>
  <c r="R8" i="48"/>
  <c r="J8" i="48"/>
  <c r="I8" i="48"/>
  <c r="F8" i="48"/>
  <c r="E8" i="48"/>
  <c r="G8" i="48" s="1"/>
  <c r="AV7" i="48"/>
  <c r="AQ7" i="48"/>
  <c r="AN7" i="48"/>
  <c r="AM7" i="48"/>
  <c r="AL7" i="48"/>
  <c r="AI7" i="48"/>
  <c r="AG7" i="48"/>
  <c r="AH7" i="48" s="1"/>
  <c r="AC7" i="48"/>
  <c r="AB7" i="48"/>
  <c r="AD7" i="48" s="1"/>
  <c r="Y7" i="48"/>
  <c r="W7" i="48"/>
  <c r="X7" i="48" s="1"/>
  <c r="S7" i="48"/>
  <c r="R7" i="48"/>
  <c r="T7" i="48" s="1"/>
  <c r="J7" i="48"/>
  <c r="I7" i="48"/>
  <c r="G7" i="48"/>
  <c r="F7" i="48"/>
  <c r="E7" i="48"/>
  <c r="N39" i="6"/>
  <c r="J39" i="6"/>
  <c r="N38" i="6"/>
  <c r="J38" i="6"/>
  <c r="N37" i="6"/>
  <c r="L37" i="6"/>
  <c r="J37" i="6"/>
  <c r="F36" i="6"/>
  <c r="N36" i="6" s="1"/>
  <c r="F35" i="6"/>
  <c r="L35" i="6" s="1"/>
  <c r="F34" i="6"/>
  <c r="N34" i="6" s="1"/>
  <c r="F33" i="6"/>
  <c r="F32" i="6"/>
  <c r="L32" i="6" s="1"/>
  <c r="F31" i="6"/>
  <c r="N31" i="6" s="1"/>
  <c r="F30" i="6"/>
  <c r="N29" i="6"/>
  <c r="L29" i="6"/>
  <c r="J29" i="6"/>
  <c r="F29" i="6"/>
  <c r="N28" i="6"/>
  <c r="J28" i="6"/>
  <c r="F28" i="6"/>
  <c r="L28" i="6" s="1"/>
  <c r="F27" i="6"/>
  <c r="N26" i="6"/>
  <c r="L26" i="6"/>
  <c r="J26" i="6"/>
  <c r="F26" i="6"/>
  <c r="N25" i="6"/>
  <c r="J25" i="6"/>
  <c r="F25" i="6"/>
  <c r="L25" i="6" s="1"/>
  <c r="F24" i="6"/>
  <c r="N23" i="6"/>
  <c r="L23" i="6"/>
  <c r="F23" i="6"/>
  <c r="F22" i="6"/>
  <c r="N21" i="6"/>
  <c r="L21" i="6"/>
  <c r="J21" i="6"/>
  <c r="F21" i="6"/>
  <c r="F20" i="6"/>
  <c r="F19" i="6"/>
  <c r="N18" i="6"/>
  <c r="F18" i="6"/>
  <c r="L18" i="6" s="1"/>
  <c r="N17" i="6"/>
  <c r="F17" i="6"/>
  <c r="J17" i="6" s="1"/>
  <c r="F16" i="6"/>
  <c r="F15" i="6"/>
  <c r="N15" i="6" s="1"/>
  <c r="N14" i="6"/>
  <c r="L14" i="6"/>
  <c r="J14" i="6"/>
  <c r="F14" i="6"/>
  <c r="F13" i="6"/>
  <c r="F12" i="6"/>
  <c r="N11" i="6"/>
  <c r="L11" i="6"/>
  <c r="J11" i="6"/>
  <c r="F11" i="6"/>
  <c r="F10" i="6"/>
  <c r="N9" i="6"/>
  <c r="L9" i="6"/>
  <c r="F9" i="6"/>
  <c r="J9" i="6" s="1"/>
  <c r="L8" i="6"/>
  <c r="F8" i="6"/>
  <c r="N8" i="6" s="1"/>
  <c r="F7" i="6"/>
  <c r="N39" i="7"/>
  <c r="J39" i="7"/>
  <c r="N38" i="7"/>
  <c r="J38" i="7"/>
  <c r="N37" i="7"/>
  <c r="F37" i="7"/>
  <c r="L37" i="7" s="1"/>
  <c r="F36" i="7"/>
  <c r="J36" i="7" s="1"/>
  <c r="F35" i="7"/>
  <c r="N35" i="7" s="1"/>
  <c r="F34" i="7"/>
  <c r="L34" i="7" s="1"/>
  <c r="F33" i="7"/>
  <c r="N33" i="7" s="1"/>
  <c r="F32" i="7"/>
  <c r="L32" i="7" s="1"/>
  <c r="F31" i="7"/>
  <c r="L31" i="7" s="1"/>
  <c r="F30" i="7"/>
  <c r="N30" i="7" s="1"/>
  <c r="N29" i="7"/>
  <c r="F29" i="7"/>
  <c r="J29" i="7" s="1"/>
  <c r="F28" i="7"/>
  <c r="N27" i="7"/>
  <c r="F27" i="7"/>
  <c r="L27" i="7" s="1"/>
  <c r="F26" i="7"/>
  <c r="J26" i="7" s="1"/>
  <c r="F25" i="7"/>
  <c r="L24" i="7"/>
  <c r="J24" i="7"/>
  <c r="F24" i="7"/>
  <c r="N23" i="7"/>
  <c r="L23" i="7"/>
  <c r="J23" i="7"/>
  <c r="F23" i="7"/>
  <c r="F22" i="7"/>
  <c r="L21" i="7"/>
  <c r="J21" i="7"/>
  <c r="F21" i="7"/>
  <c r="N21" i="7" s="1"/>
  <c r="N20" i="7"/>
  <c r="L20" i="7"/>
  <c r="J20" i="7"/>
  <c r="F20" i="7"/>
  <c r="J19" i="7"/>
  <c r="F19" i="7"/>
  <c r="F18" i="7"/>
  <c r="L18" i="7" s="1"/>
  <c r="N17" i="7"/>
  <c r="L17" i="7"/>
  <c r="J17" i="7"/>
  <c r="F17" i="7"/>
  <c r="F16" i="7"/>
  <c r="N15" i="7"/>
  <c r="J15" i="7"/>
  <c r="F15" i="7"/>
  <c r="L15" i="7" s="1"/>
  <c r="F14" i="7"/>
  <c r="L13" i="7"/>
  <c r="F13" i="7"/>
  <c r="N13" i="7" s="1"/>
  <c r="L12" i="7"/>
  <c r="F12" i="7"/>
  <c r="N12" i="7" s="1"/>
  <c r="F11" i="7"/>
  <c r="J10" i="7"/>
  <c r="F10" i="7"/>
  <c r="N9" i="7"/>
  <c r="L9" i="7"/>
  <c r="J9" i="7"/>
  <c r="F9" i="7"/>
  <c r="N8" i="7"/>
  <c r="J8" i="7"/>
  <c r="F8" i="7"/>
  <c r="L8" i="7" s="1"/>
  <c r="L7" i="7"/>
  <c r="F7" i="7"/>
  <c r="N7" i="7" s="1"/>
  <c r="I35" i="5"/>
  <c r="I34" i="5"/>
  <c r="I33" i="5"/>
  <c r="I32" i="5"/>
  <c r="I31" i="5"/>
  <c r="I30" i="5"/>
  <c r="J28" i="5" s="1"/>
  <c r="I29" i="5"/>
  <c r="V28" i="5"/>
  <c r="S28" i="5"/>
  <c r="M28" i="5"/>
  <c r="I28" i="5"/>
  <c r="G28" i="5"/>
  <c r="I27" i="5"/>
  <c r="I26" i="5"/>
  <c r="I25" i="5"/>
  <c r="I24" i="5"/>
  <c r="I23" i="5"/>
  <c r="I22" i="5"/>
  <c r="V21" i="5"/>
  <c r="S21" i="5"/>
  <c r="P21" i="5"/>
  <c r="M21" i="5"/>
  <c r="I21" i="5"/>
  <c r="G21" i="5"/>
  <c r="I20" i="5"/>
  <c r="I19" i="5"/>
  <c r="I18" i="5"/>
  <c r="I17" i="5"/>
  <c r="I16" i="5"/>
  <c r="I15" i="5"/>
  <c r="V14" i="5"/>
  <c r="S14" i="5"/>
  <c r="P14" i="5"/>
  <c r="M14" i="5"/>
  <c r="I14" i="5"/>
  <c r="G14" i="5"/>
  <c r="I13" i="5"/>
  <c r="I12" i="5"/>
  <c r="I11" i="5"/>
  <c r="I10" i="5"/>
  <c r="I9" i="5"/>
  <c r="I8" i="5"/>
  <c r="V7" i="5"/>
  <c r="S7" i="5"/>
  <c r="P7" i="5"/>
  <c r="M7" i="5"/>
  <c r="I7" i="5"/>
  <c r="G7" i="5"/>
  <c r="I6" i="5"/>
  <c r="W5" i="5"/>
  <c r="T5" i="5"/>
  <c r="Q5" i="5"/>
  <c r="I5" i="5"/>
  <c r="K5" i="5" s="1"/>
  <c r="H5" i="5"/>
  <c r="V37" i="3"/>
  <c r="U35" i="3"/>
  <c r="U34" i="3"/>
  <c r="O34" i="3"/>
  <c r="U33" i="3"/>
  <c r="O33" i="3"/>
  <c r="U32" i="3"/>
  <c r="O32" i="3"/>
  <c r="U31" i="3"/>
  <c r="S31" i="3"/>
  <c r="O31" i="3"/>
  <c r="U30" i="3"/>
  <c r="O30" i="3"/>
  <c r="U29" i="3"/>
  <c r="O29" i="3"/>
  <c r="U28" i="3"/>
  <c r="O28" i="3"/>
  <c r="M28" i="3"/>
  <c r="J28" i="3"/>
  <c r="G28" i="3"/>
  <c r="V27" i="3"/>
  <c r="U27" i="3"/>
  <c r="O27" i="3"/>
  <c r="U26" i="3"/>
  <c r="O26" i="3"/>
  <c r="U25" i="3"/>
  <c r="O25" i="3"/>
  <c r="U24" i="3"/>
  <c r="S24" i="3"/>
  <c r="O24" i="3"/>
  <c r="U23" i="3"/>
  <c r="O23" i="3"/>
  <c r="U22" i="3"/>
  <c r="O22" i="3"/>
  <c r="U21" i="3"/>
  <c r="O21" i="3"/>
  <c r="M21" i="3"/>
  <c r="J21" i="3"/>
  <c r="G21" i="3"/>
  <c r="V20" i="3"/>
  <c r="U20" i="3"/>
  <c r="O20" i="3"/>
  <c r="U19" i="3"/>
  <c r="O19" i="3"/>
  <c r="U18" i="3"/>
  <c r="O18" i="3"/>
  <c r="U17" i="3"/>
  <c r="S17" i="3"/>
  <c r="O17" i="3"/>
  <c r="U16" i="3"/>
  <c r="O16" i="3"/>
  <c r="U15" i="3"/>
  <c r="O15" i="3"/>
  <c r="U14" i="3"/>
  <c r="P14" i="3"/>
  <c r="O14" i="3"/>
  <c r="M14" i="3"/>
  <c r="J14" i="3"/>
  <c r="G14" i="3"/>
  <c r="V13" i="3"/>
  <c r="U13" i="3"/>
  <c r="O13" i="3"/>
  <c r="U12" i="3"/>
  <c r="O12" i="3"/>
  <c r="U11" i="3"/>
  <c r="O11" i="3"/>
  <c r="U10" i="3"/>
  <c r="S10" i="3"/>
  <c r="O10" i="3"/>
  <c r="U9" i="3"/>
  <c r="O9" i="3"/>
  <c r="U8" i="3"/>
  <c r="O8" i="3"/>
  <c r="U7" i="3"/>
  <c r="O7" i="3"/>
  <c r="M7" i="3"/>
  <c r="J7" i="3"/>
  <c r="G7" i="3"/>
  <c r="P7" i="3" s="1"/>
  <c r="V6" i="3"/>
  <c r="U6" i="3"/>
  <c r="O6" i="3"/>
  <c r="U5" i="3"/>
  <c r="O5" i="3"/>
  <c r="N5" i="3"/>
  <c r="K5" i="3"/>
  <c r="E7" i="57" s="1"/>
  <c r="H5" i="3"/>
  <c r="E6" i="57" s="1"/>
  <c r="D24" i="57"/>
  <c r="D23" i="57"/>
  <c r="D22" i="57"/>
  <c r="J18" i="57"/>
  <c r="D18" i="57"/>
  <c r="I17" i="57"/>
  <c r="K17" i="57" s="1"/>
  <c r="C17" i="57"/>
  <c r="E17" i="57" s="1"/>
  <c r="I16" i="57"/>
  <c r="K16" i="57" s="1"/>
  <c r="C16" i="57"/>
  <c r="E16" i="57" s="1"/>
  <c r="I15" i="57"/>
  <c r="I18" i="57" s="1"/>
  <c r="C15" i="57"/>
  <c r="E15" i="57" s="1"/>
  <c r="D11" i="57"/>
  <c r="D10" i="57"/>
  <c r="C9" i="57"/>
  <c r="B9" i="57"/>
  <c r="D9" i="57" s="1"/>
  <c r="D8" i="57"/>
  <c r="K7" i="57"/>
  <c r="J7" i="57"/>
  <c r="I7" i="57"/>
  <c r="D7" i="57"/>
  <c r="D6" i="57"/>
  <c r="G29" i="47"/>
  <c r="G28" i="47"/>
  <c r="G26" i="47"/>
  <c r="G25" i="47"/>
  <c r="G19" i="47"/>
  <c r="G18" i="47"/>
  <c r="G17" i="47"/>
  <c r="G16" i="47"/>
  <c r="G14" i="47"/>
  <c r="G12" i="47"/>
  <c r="G11" i="47"/>
  <c r="G10" i="47"/>
  <c r="G9" i="47"/>
  <c r="G8" i="47"/>
  <c r="G7" i="47"/>
  <c r="G6" i="47"/>
  <c r="G5" i="47"/>
  <c r="G4" i="47"/>
  <c r="L34" i="6" l="1"/>
  <c r="N32" i="6"/>
  <c r="N35" i="6"/>
  <c r="L36" i="6"/>
  <c r="L31" i="6"/>
  <c r="G30" i="6"/>
  <c r="L30" i="7"/>
  <c r="J34" i="7"/>
  <c r="N34" i="7"/>
  <c r="J32" i="7"/>
  <c r="L35" i="7"/>
  <c r="J31" i="7"/>
  <c r="J35" i="7"/>
  <c r="L36" i="7"/>
  <c r="N31" i="7"/>
  <c r="N32" i="7"/>
  <c r="J33" i="7"/>
  <c r="N36" i="7"/>
  <c r="H7" i="7"/>
  <c r="L33" i="7"/>
  <c r="J30" i="7"/>
  <c r="J37" i="7"/>
  <c r="P28" i="3"/>
  <c r="C18" i="57"/>
  <c r="J35" i="56"/>
  <c r="J36" i="56"/>
  <c r="H35" i="56"/>
  <c r="H36" i="56"/>
  <c r="D35" i="56"/>
  <c r="M22" i="19"/>
  <c r="K22" i="19" s="1"/>
  <c r="H53" i="48"/>
  <c r="M9" i="48"/>
  <c r="M40" i="48"/>
  <c r="M62" i="48"/>
  <c r="S60" i="48"/>
  <c r="N22" i="7"/>
  <c r="L22" i="7"/>
  <c r="S37" i="48"/>
  <c r="AC58" i="48"/>
  <c r="K58" i="48"/>
  <c r="AC101" i="48"/>
  <c r="N26" i="7"/>
  <c r="S41" i="48"/>
  <c r="S65" i="48"/>
  <c r="AW34" i="48"/>
  <c r="AM62" i="48"/>
  <c r="AH108" i="48"/>
  <c r="AD107" i="49"/>
  <c r="AC107" i="49"/>
  <c r="S81" i="48"/>
  <c r="K81" i="48"/>
  <c r="J20" i="6"/>
  <c r="L20" i="6"/>
  <c r="N20" i="6"/>
  <c r="AR11" i="48"/>
  <c r="X40" i="48"/>
  <c r="AR56" i="48"/>
  <c r="AH80" i="48"/>
  <c r="AI76" i="48"/>
  <c r="AW42" i="48"/>
  <c r="AH81" i="48"/>
  <c r="N18" i="7"/>
  <c r="AM44" i="48"/>
  <c r="AH64" i="48"/>
  <c r="AW91" i="48"/>
  <c r="J21" i="5"/>
  <c r="L19" i="7"/>
  <c r="N19" i="7"/>
  <c r="L15" i="6"/>
  <c r="AR8" i="48"/>
  <c r="AH30" i="48"/>
  <c r="AR32" i="48"/>
  <c r="X33" i="48"/>
  <c r="K37" i="48"/>
  <c r="S53" i="48"/>
  <c r="S61" i="48"/>
  <c r="S58" i="48"/>
  <c r="K54" i="48"/>
  <c r="S63" i="48"/>
  <c r="AR57" i="48"/>
  <c r="AM58" i="48"/>
  <c r="K60" i="48"/>
  <c r="AH60" i="48"/>
  <c r="AR62" i="48"/>
  <c r="AM64" i="48"/>
  <c r="T76" i="48"/>
  <c r="AW79" i="48"/>
  <c r="AR100" i="48"/>
  <c r="AH103" i="48"/>
  <c r="AM108" i="48"/>
  <c r="N33" i="6"/>
  <c r="J33" i="6"/>
  <c r="N10" i="6"/>
  <c r="L10" i="6"/>
  <c r="AC64" i="48"/>
  <c r="K64" i="48"/>
  <c r="N30" i="6"/>
  <c r="L30" i="6"/>
  <c r="AH59" i="48"/>
  <c r="S76" i="48"/>
  <c r="X83" i="48"/>
  <c r="S134" i="48"/>
  <c r="K134" i="48"/>
  <c r="M134" i="48" s="1"/>
  <c r="Q5" i="3"/>
  <c r="E9" i="57"/>
  <c r="P21" i="3"/>
  <c r="N10" i="7"/>
  <c r="G9" i="7"/>
  <c r="N28" i="7"/>
  <c r="L28" i="7"/>
  <c r="J28" i="7"/>
  <c r="N7" i="6"/>
  <c r="J7" i="6"/>
  <c r="J30" i="6"/>
  <c r="AI30" i="48"/>
  <c r="K31" i="48"/>
  <c r="AW32" i="48"/>
  <c r="S34" i="48"/>
  <c r="AW35" i="48"/>
  <c r="AC37" i="48"/>
  <c r="AW39" i="48"/>
  <c r="AH65" i="48"/>
  <c r="AI53" i="48"/>
  <c r="AH53" i="48"/>
  <c r="AH67" i="48"/>
  <c r="S54" i="48"/>
  <c r="K56" i="48"/>
  <c r="AW57" i="48"/>
  <c r="AR58" i="48"/>
  <c r="AR64" i="48"/>
  <c r="S66" i="48"/>
  <c r="K66" i="48"/>
  <c r="AW81" i="48"/>
  <c r="K86" i="48"/>
  <c r="M86" i="48" s="1"/>
  <c r="AC86" i="48"/>
  <c r="S87" i="48"/>
  <c r="AH110" i="48"/>
  <c r="AW53" i="48"/>
  <c r="AW54" i="48"/>
  <c r="AC44" i="48"/>
  <c r="X57" i="48"/>
  <c r="Y30" i="48"/>
  <c r="S32" i="48"/>
  <c r="S30" i="48"/>
  <c r="J10" i="6"/>
  <c r="AC33" i="48"/>
  <c r="AD30" i="48"/>
  <c r="AC30" i="48"/>
  <c r="AH32" i="48"/>
  <c r="S33" i="48"/>
  <c r="AH35" i="48"/>
  <c r="AH44" i="48"/>
  <c r="AC59" i="48"/>
  <c r="AR67" i="48"/>
  <c r="AM43" i="48"/>
  <c r="AN30" i="48"/>
  <c r="AM34" i="48"/>
  <c r="AM31" i="48"/>
  <c r="AM30" i="48"/>
  <c r="AM33" i="48"/>
  <c r="AM40" i="48"/>
  <c r="AM35" i="48"/>
  <c r="AM32" i="48"/>
  <c r="AM39" i="48"/>
  <c r="X37" i="48"/>
  <c r="AW56" i="48"/>
  <c r="AC60" i="48"/>
  <c r="AW67" i="48"/>
  <c r="X104" i="48"/>
  <c r="K104" i="48"/>
  <c r="H7" i="6"/>
  <c r="N22" i="6"/>
  <c r="L22" i="6"/>
  <c r="J22" i="6"/>
  <c r="L27" i="6"/>
  <c r="N27" i="6"/>
  <c r="H7" i="48"/>
  <c r="S31" i="48"/>
  <c r="AM36" i="48"/>
  <c r="AC38" i="48"/>
  <c r="K38" i="48"/>
  <c r="S42" i="48"/>
  <c r="X67" i="48"/>
  <c r="X56" i="48"/>
  <c r="Y53" i="48"/>
  <c r="X54" i="48"/>
  <c r="X53" i="48"/>
  <c r="X60" i="48"/>
  <c r="X58" i="48"/>
  <c r="AW58" i="48"/>
  <c r="AW62" i="48"/>
  <c r="X66" i="48"/>
  <c r="AH83" i="48"/>
  <c r="AH104" i="48"/>
  <c r="AR109" i="48"/>
  <c r="J7" i="7"/>
  <c r="L10" i="7"/>
  <c r="L16" i="7"/>
  <c r="J16" i="7"/>
  <c r="N16" i="7"/>
  <c r="G23" i="7"/>
  <c r="L29" i="7"/>
  <c r="L7" i="6"/>
  <c r="N12" i="6"/>
  <c r="J12" i="6"/>
  <c r="L12" i="6"/>
  <c r="L17" i="6"/>
  <c r="G23" i="6"/>
  <c r="J23" i="6"/>
  <c r="J27" i="6"/>
  <c r="J36" i="6"/>
  <c r="AR30" i="48"/>
  <c r="AR41" i="48"/>
  <c r="AR42" i="48"/>
  <c r="X31" i="48"/>
  <c r="AR36" i="48"/>
  <c r="S39" i="48"/>
  <c r="AN53" i="48"/>
  <c r="AC55" i="48"/>
  <c r="AW59" i="48"/>
  <c r="AW64" i="48"/>
  <c r="K67" i="48"/>
  <c r="AH86" i="48"/>
  <c r="AR103" i="48"/>
  <c r="AR111" i="48"/>
  <c r="AM48" i="49"/>
  <c r="AM47" i="49"/>
  <c r="K10" i="48"/>
  <c r="AW10" i="48"/>
  <c r="AC106" i="48"/>
  <c r="AC104" i="48"/>
  <c r="AC100" i="48"/>
  <c r="AC111" i="48"/>
  <c r="AD99" i="48"/>
  <c r="AC99" i="48"/>
  <c r="AC109" i="48"/>
  <c r="AC105" i="48"/>
  <c r="AC110" i="48"/>
  <c r="AC108" i="48"/>
  <c r="X30" i="48"/>
  <c r="X39" i="48"/>
  <c r="X43" i="48"/>
  <c r="X32" i="48"/>
  <c r="X41" i="48"/>
  <c r="X38" i="48"/>
  <c r="S40" i="48"/>
  <c r="J18" i="7"/>
  <c r="J15" i="6"/>
  <c r="AC67" i="48"/>
  <c r="AC54" i="48"/>
  <c r="K53" i="48"/>
  <c r="M65" i="48" s="1"/>
  <c r="AC53" i="48"/>
  <c r="K15" i="57"/>
  <c r="AC35" i="48"/>
  <c r="L26" i="7"/>
  <c r="T53" i="48"/>
  <c r="N14" i="7"/>
  <c r="J14" i="7"/>
  <c r="G16" i="7"/>
  <c r="K30" i="48"/>
  <c r="M36" i="48" s="1"/>
  <c r="AC34" i="48"/>
  <c r="AW36" i="48"/>
  <c r="AW40" i="48"/>
  <c r="AH54" i="48"/>
  <c r="X88" i="48"/>
  <c r="S91" i="48"/>
  <c r="AW44" i="48"/>
  <c r="S35" i="48"/>
  <c r="AM38" i="48"/>
  <c r="S43" i="48"/>
  <c r="S44" i="48"/>
  <c r="K44" i="48"/>
  <c r="M44" i="48" s="1"/>
  <c r="AR53" i="48"/>
  <c r="S62" i="48"/>
  <c r="AR65" i="48"/>
  <c r="AH66" i="48"/>
  <c r="S79" i="48"/>
  <c r="X91" i="48"/>
  <c r="N19" i="6"/>
  <c r="L19" i="6"/>
  <c r="J19" i="6"/>
  <c r="AC32" i="48"/>
  <c r="S82" i="48"/>
  <c r="L33" i="6"/>
  <c r="G31" i="48"/>
  <c r="H30" i="48" s="1"/>
  <c r="X63" i="48"/>
  <c r="AW66" i="48"/>
  <c r="AR78" i="48"/>
  <c r="AR82" i="48"/>
  <c r="AR91" i="48"/>
  <c r="AC81" i="48"/>
  <c r="AC80" i="48"/>
  <c r="S109" i="48"/>
  <c r="K109" i="48"/>
  <c r="S105" i="48"/>
  <c r="J22" i="7"/>
  <c r="AH58" i="48"/>
  <c r="AC63" i="48"/>
  <c r="AW77" i="48"/>
  <c r="AW88" i="48"/>
  <c r="AW82" i="48"/>
  <c r="AW86" i="48"/>
  <c r="AW76" i="48"/>
  <c r="X82" i="48"/>
  <c r="L14" i="7"/>
  <c r="AR39" i="48"/>
  <c r="N11" i="7"/>
  <c r="J11" i="7"/>
  <c r="L11" i="7"/>
  <c r="N13" i="6"/>
  <c r="L13" i="6"/>
  <c r="AS30" i="48"/>
  <c r="K32" i="48"/>
  <c r="AR37" i="48"/>
  <c r="AM41" i="48"/>
  <c r="AH76" i="48"/>
  <c r="X76" i="48"/>
  <c r="X77" i="48"/>
  <c r="X89" i="48"/>
  <c r="M89" i="48"/>
  <c r="J14" i="5"/>
  <c r="J13" i="6"/>
  <c r="J32" i="6"/>
  <c r="AR7" i="48"/>
  <c r="AS7" i="48"/>
  <c r="K7" i="48"/>
  <c r="J12" i="7"/>
  <c r="N24" i="7"/>
  <c r="G30" i="7"/>
  <c r="J18" i="6"/>
  <c r="N24" i="6"/>
  <c r="J24" i="6"/>
  <c r="L24" i="6"/>
  <c r="AW30" i="48"/>
  <c r="AH31" i="48"/>
  <c r="AH33" i="48"/>
  <c r="X35" i="48"/>
  <c r="AC39" i="48"/>
  <c r="G41" i="48"/>
  <c r="AH42" i="48"/>
  <c r="AR54" i="48"/>
  <c r="AR66" i="48"/>
  <c r="AS53" i="48"/>
  <c r="AH56" i="48"/>
  <c r="K57" i="48"/>
  <c r="AM76" i="48"/>
  <c r="X79" i="48"/>
  <c r="AW83" i="48"/>
  <c r="AR87" i="48"/>
  <c r="S101" i="48"/>
  <c r="AH43" i="48"/>
  <c r="AM57" i="48"/>
  <c r="AC65" i="48"/>
  <c r="AW78" i="48"/>
  <c r="AC79" i="48"/>
  <c r="AC77" i="48"/>
  <c r="AC89" i="48"/>
  <c r="AC83" i="48"/>
  <c r="AC88" i="48"/>
  <c r="AH101" i="48"/>
  <c r="AM103" i="48"/>
  <c r="AH112" i="48"/>
  <c r="AH29" i="49"/>
  <c r="M88" i="49"/>
  <c r="M89" i="49"/>
  <c r="AM88" i="48"/>
  <c r="AM82" i="48"/>
  <c r="AM83" i="48"/>
  <c r="AM79" i="48"/>
  <c r="AM91" i="48"/>
  <c r="S77" i="48"/>
  <c r="AM111" i="48"/>
  <c r="K111" i="48"/>
  <c r="AH28" i="49"/>
  <c r="AH27" i="49"/>
  <c r="AM29" i="49"/>
  <c r="AM27" i="49"/>
  <c r="AM28" i="49"/>
  <c r="M87" i="49"/>
  <c r="AH37" i="48"/>
  <c r="X42" i="48"/>
  <c r="AM67" i="48"/>
  <c r="AM54" i="48"/>
  <c r="AM53" i="48"/>
  <c r="AM60" i="48"/>
  <c r="AM63" i="48"/>
  <c r="AW60" i="48"/>
  <c r="AM65" i="48"/>
  <c r="AN76" i="48"/>
  <c r="AM109" i="48"/>
  <c r="AM112" i="48"/>
  <c r="AN99" i="48"/>
  <c r="AM99" i="48"/>
  <c r="X101" i="48"/>
  <c r="K102" i="48"/>
  <c r="AM104" i="48"/>
  <c r="AW9" i="49"/>
  <c r="K9" i="49"/>
  <c r="M9" i="49" s="1"/>
  <c r="AW29" i="49"/>
  <c r="AI87" i="49"/>
  <c r="AH90" i="49"/>
  <c r="N25" i="7"/>
  <c r="L25" i="7"/>
  <c r="J25" i="7"/>
  <c r="AM37" i="48"/>
  <c r="AC42" i="48"/>
  <c r="AM55" i="48"/>
  <c r="AC56" i="48"/>
  <c r="X59" i="48"/>
  <c r="S64" i="48"/>
  <c r="AC66" i="48"/>
  <c r="S89" i="48"/>
  <c r="S90" i="48"/>
  <c r="S86" i="48"/>
  <c r="AR80" i="48"/>
  <c r="AS76" i="48"/>
  <c r="AR88" i="48"/>
  <c r="S78" i="48"/>
  <c r="K78" i="48"/>
  <c r="M90" i="48" s="1"/>
  <c r="AR83" i="48"/>
  <c r="AC90" i="48"/>
  <c r="S102" i="48"/>
  <c r="AW27" i="49"/>
  <c r="AH50" i="49"/>
  <c r="K50" i="49"/>
  <c r="M71" i="49"/>
  <c r="AH88" i="49"/>
  <c r="AR49" i="49"/>
  <c r="AR47" i="49"/>
  <c r="K49" i="49"/>
  <c r="X62" i="48"/>
  <c r="AM66" i="48"/>
  <c r="AM77" i="48"/>
  <c r="AH78" i="48"/>
  <c r="AH89" i="48"/>
  <c r="AR81" i="48"/>
  <c r="AC82" i="48"/>
  <c r="K82" i="48"/>
  <c r="AR86" i="48"/>
  <c r="K88" i="48"/>
  <c r="S107" i="48"/>
  <c r="AM101" i="48"/>
  <c r="AW107" i="48"/>
  <c r="X110" i="48"/>
  <c r="H7" i="49"/>
  <c r="X109" i="48"/>
  <c r="J27" i="7"/>
  <c r="G9" i="6"/>
  <c r="N16" i="6"/>
  <c r="L16" i="6"/>
  <c r="J16" i="6"/>
  <c r="J35" i="6"/>
  <c r="AC36" i="48"/>
  <c r="AW55" i="48"/>
  <c r="S55" i="48"/>
  <c r="AR59" i="48"/>
  <c r="AW63" i="48"/>
  <c r="AC76" i="48"/>
  <c r="S83" i="48"/>
  <c r="S88" i="48"/>
  <c r="AR90" i="48"/>
  <c r="T99" i="48"/>
  <c r="AR101" i="48"/>
  <c r="AC103" i="48"/>
  <c r="X112" i="48"/>
  <c r="M81" i="36"/>
  <c r="M67" i="36"/>
  <c r="AR10" i="48"/>
  <c r="AC102" i="48"/>
  <c r="J7" i="5"/>
  <c r="X36" i="48"/>
  <c r="X64" i="48"/>
  <c r="AM59" i="48"/>
  <c r="W5" i="3"/>
  <c r="J13" i="7"/>
  <c r="G16" i="6"/>
  <c r="AX7" i="48"/>
  <c r="AH40" i="48"/>
  <c r="AR35" i="48"/>
  <c r="AH36" i="48"/>
  <c r="AR38" i="48"/>
  <c r="K41" i="48"/>
  <c r="X55" i="48"/>
  <c r="AC57" i="48"/>
  <c r="H76" i="48"/>
  <c r="AH87" i="48"/>
  <c r="AC91" i="48"/>
  <c r="AH82" i="48"/>
  <c r="AM87" i="48"/>
  <c r="Y99" i="48"/>
  <c r="X99" i="48"/>
  <c r="X103" i="48"/>
  <c r="X105" i="48"/>
  <c r="AW101" i="48"/>
  <c r="AH106" i="48"/>
  <c r="AH100" i="48"/>
  <c r="X111" i="48"/>
  <c r="S122" i="48"/>
  <c r="T122" i="48"/>
  <c r="K122" i="48"/>
  <c r="L67" i="36"/>
  <c r="K7" i="49"/>
  <c r="AR9" i="49"/>
  <c r="AR8" i="49"/>
  <c r="AW28" i="49"/>
  <c r="S48" i="49"/>
  <c r="K48" i="49"/>
  <c r="T47" i="49"/>
  <c r="S50" i="49"/>
  <c r="AM90" i="49"/>
  <c r="AM88" i="49"/>
  <c r="AN87" i="49"/>
  <c r="AM87" i="49"/>
  <c r="AI107" i="49"/>
  <c r="AH107" i="49"/>
  <c r="K107" i="49"/>
  <c r="K55" i="48"/>
  <c r="M55" i="48" s="1"/>
  <c r="X86" i="48"/>
  <c r="X87" i="48"/>
  <c r="X81" i="48"/>
  <c r="Y76" i="48"/>
  <c r="AW89" i="48"/>
  <c r="AW80" i="48"/>
  <c r="AC87" i="48"/>
  <c r="X100" i="48"/>
  <c r="X106" i="48"/>
  <c r="AR7" i="49"/>
  <c r="X30" i="49"/>
  <c r="AI47" i="49"/>
  <c r="X50" i="49"/>
  <c r="X49" i="49"/>
  <c r="X47" i="49"/>
  <c r="S68" i="49"/>
  <c r="T67" i="49"/>
  <c r="AM89" i="49"/>
  <c r="AR90" i="49"/>
  <c r="AW7" i="48"/>
  <c r="AC62" i="48"/>
  <c r="K103" i="48"/>
  <c r="AR104" i="48"/>
  <c r="AS7" i="49"/>
  <c r="X27" i="49"/>
  <c r="AN47" i="49"/>
  <c r="AW87" i="49"/>
  <c r="AW88" i="49"/>
  <c r="AR89" i="49"/>
  <c r="AR87" i="49"/>
  <c r="AW90" i="49"/>
  <c r="AR44" i="48"/>
  <c r="K101" i="48"/>
  <c r="J8" i="6"/>
  <c r="J31" i="6"/>
  <c r="J34" i="6"/>
  <c r="T30" i="48"/>
  <c r="AR60" i="48"/>
  <c r="AR63" i="48"/>
  <c r="AD76" i="48"/>
  <c r="AH79" i="48"/>
  <c r="S80" i="48"/>
  <c r="K80" i="48"/>
  <c r="AR107" i="48"/>
  <c r="AR102" i="48"/>
  <c r="AR112" i="48"/>
  <c r="AS99" i="48"/>
  <c r="AR108" i="48"/>
  <c r="AR99" i="48"/>
  <c r="AM102" i="48"/>
  <c r="AW104" i="48"/>
  <c r="AH105" i="48"/>
  <c r="AW108" i="48"/>
  <c r="S125" i="48"/>
  <c r="K125" i="48"/>
  <c r="M125" i="48" s="1"/>
  <c r="AX7" i="49"/>
  <c r="AW7" i="49"/>
  <c r="Y27" i="49"/>
  <c r="H47" i="49"/>
  <c r="G70" i="49"/>
  <c r="K137" i="48"/>
  <c r="M137" i="48" s="1"/>
  <c r="AC30" i="49"/>
  <c r="AC29" i="49"/>
  <c r="AD27" i="49"/>
  <c r="AC27" i="49"/>
  <c r="AS47" i="49"/>
  <c r="AH47" i="49"/>
  <c r="AX107" i="49"/>
  <c r="AW107" i="49"/>
  <c r="S112" i="48"/>
  <c r="S110" i="48"/>
  <c r="K99" i="48"/>
  <c r="M106" i="48" s="1"/>
  <c r="S103" i="48"/>
  <c r="S108" i="48"/>
  <c r="S106" i="48"/>
  <c r="S104" i="48"/>
  <c r="S100" i="48"/>
  <c r="S111" i="48"/>
  <c r="AW112" i="48"/>
  <c r="AW110" i="48"/>
  <c r="AW103" i="48"/>
  <c r="AX99" i="48"/>
  <c r="AW99" i="48"/>
  <c r="AW100" i="48"/>
  <c r="K107" i="48"/>
  <c r="M107" i="48" s="1"/>
  <c r="AR40" i="48"/>
  <c r="AH91" i="48"/>
  <c r="G79" i="48"/>
  <c r="AM89" i="48"/>
  <c r="X90" i="48"/>
  <c r="S99" i="48"/>
  <c r="AM106" i="48"/>
  <c r="X107" i="48"/>
  <c r="K108" i="48"/>
  <c r="AH122" i="48"/>
  <c r="M8" i="49"/>
  <c r="S29" i="49"/>
  <c r="K29" i="49"/>
  <c r="M29" i="49" s="1"/>
  <c r="S30" i="49"/>
  <c r="K30" i="49"/>
  <c r="AC107" i="48"/>
  <c r="AW109" i="48"/>
  <c r="AM122" i="48"/>
  <c r="AN122" i="48"/>
  <c r="AW50" i="49"/>
  <c r="AH49" i="49"/>
  <c r="M70" i="49"/>
  <c r="H107" i="49"/>
  <c r="Y47" i="49"/>
  <c r="S49" i="49"/>
  <c r="AR50" i="49"/>
  <c r="G90" i="49"/>
  <c r="H87" i="49" s="1"/>
  <c r="AM110" i="48"/>
  <c r="AW30" i="49"/>
  <c r="AW47" i="49"/>
  <c r="AH48" i="49"/>
  <c r="AX67" i="49"/>
  <c r="AR70" i="49"/>
  <c r="AH71" i="49"/>
  <c r="AC78" i="48"/>
  <c r="AW90" i="48"/>
  <c r="AH102" i="48"/>
  <c r="AH107" i="48"/>
  <c r="AI27" i="49"/>
  <c r="AC50" i="49"/>
  <c r="AX47" i="49"/>
  <c r="AX76" i="48"/>
  <c r="AH109" i="48"/>
  <c r="AN27" i="49"/>
  <c r="AD47" i="49"/>
  <c r="AC49" i="49"/>
  <c r="H67" i="49"/>
  <c r="S70" i="49"/>
  <c r="AR71" i="49"/>
  <c r="T87" i="49"/>
  <c r="X88" i="49"/>
  <c r="K90" i="49"/>
  <c r="M90" i="49" s="1"/>
  <c r="Y87" i="49"/>
  <c r="AM105" i="48"/>
  <c r="X108" i="48"/>
  <c r="K28" i="49"/>
  <c r="AW48" i="49"/>
  <c r="AX87" i="49"/>
  <c r="X89" i="49"/>
  <c r="X90" i="49"/>
  <c r="AH111" i="48"/>
  <c r="K112" i="48"/>
  <c r="Y122" i="48"/>
  <c r="AW8" i="49"/>
  <c r="K27" i="49"/>
  <c r="AR29" i="49"/>
  <c r="S28" i="49"/>
  <c r="AH67" i="49"/>
  <c r="AR68" i="49"/>
  <c r="AS67" i="49"/>
  <c r="S27" i="49"/>
  <c r="AR27" i="49"/>
  <c r="K47" i="49"/>
  <c r="K67" i="49"/>
  <c r="M68" i="49" s="1"/>
  <c r="AW68" i="49"/>
  <c r="AR88" i="49"/>
  <c r="AS87" i="49"/>
  <c r="AH89" i="49"/>
  <c r="AR48" i="49"/>
  <c r="AH108" i="49"/>
  <c r="D9" i="1"/>
  <c r="T27" i="49"/>
  <c r="S107" i="49"/>
  <c r="AM107" i="49"/>
  <c r="D11" i="1"/>
  <c r="W7" i="1"/>
  <c r="L35" i="56"/>
  <c r="D36" i="56"/>
  <c r="L47" i="49" l="1"/>
  <c r="M47" i="49"/>
  <c r="M83" i="48"/>
  <c r="M76" i="48"/>
  <c r="M103" i="48"/>
  <c r="M42" i="48"/>
  <c r="M58" i="48"/>
  <c r="M108" i="48"/>
  <c r="M28" i="49"/>
  <c r="M107" i="49"/>
  <c r="L107" i="49"/>
  <c r="M66" i="48"/>
  <c r="M64" i="48"/>
  <c r="M101" i="48"/>
  <c r="M67" i="48"/>
  <c r="M7" i="49"/>
  <c r="L7" i="49"/>
  <c r="M111" i="48"/>
  <c r="M16" i="48"/>
  <c r="M13" i="48"/>
  <c r="L7" i="48"/>
  <c r="M14" i="48"/>
  <c r="M15" i="48"/>
  <c r="M17" i="48"/>
  <c r="M7" i="48"/>
  <c r="M19" i="48"/>
  <c r="M18" i="48"/>
  <c r="M20" i="48"/>
  <c r="M12" i="48"/>
  <c r="M11" i="48"/>
  <c r="M8" i="48"/>
  <c r="M48" i="49"/>
  <c r="M78" i="48"/>
  <c r="M27" i="49"/>
  <c r="L27" i="49"/>
  <c r="M88" i="48"/>
  <c r="M104" i="48"/>
  <c r="M59" i="48"/>
  <c r="M63" i="48"/>
  <c r="M77" i="48"/>
  <c r="M50" i="49"/>
  <c r="M87" i="48"/>
  <c r="M99" i="48"/>
  <c r="L99" i="48"/>
  <c r="M105" i="48"/>
  <c r="M109" i="48"/>
  <c r="M30" i="48"/>
  <c r="L30" i="48"/>
  <c r="M39" i="48"/>
  <c r="M33" i="48"/>
  <c r="M80" i="48"/>
  <c r="M110" i="48"/>
  <c r="M49" i="49"/>
  <c r="M32" i="48"/>
  <c r="M100" i="48"/>
  <c r="M56" i="48"/>
  <c r="M30" i="49"/>
  <c r="M10" i="48"/>
  <c r="M38" i="48"/>
  <c r="M34" i="48"/>
  <c r="M41" i="48"/>
  <c r="M91" i="48"/>
  <c r="M37" i="48"/>
  <c r="M102" i="48"/>
  <c r="M31" i="48"/>
  <c r="M60" i="48"/>
  <c r="M35" i="48"/>
  <c r="L76" i="48"/>
  <c r="M122" i="48"/>
  <c r="L122" i="48"/>
  <c r="M67" i="49"/>
  <c r="L67" i="49"/>
  <c r="M112" i="48"/>
  <c r="M82" i="48"/>
  <c r="L87" i="49"/>
  <c r="M57" i="48"/>
  <c r="M61" i="48"/>
  <c r="M53" i="48"/>
  <c r="L53" i="48"/>
  <c r="M54" i="48"/>
  <c r="M79" i="48"/>
  <c r="M43" i="48"/>
  <c r="C1" i="49" l="1"/>
  <c r="C1" i="4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200-000001000000}">
      <text>
        <r>
          <rPr>
            <sz val="10"/>
            <rFont val="Arial"/>
            <family val="2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<sst xmlns="http://schemas.openxmlformats.org/spreadsheetml/2006/main" count="2746" uniqueCount="412">
  <si>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</si>
  <si>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</si>
  <si>
    <r>
      <t>月</t>
    </r>
    <r>
      <rPr>
        <sz val="11"/>
        <color rgb="FF000000"/>
        <rFont val="Arial"/>
        <family val="3"/>
        <charset val="136"/>
      </rPr>
      <t>份</t>
    </r>
  </si>
  <si>
    <t>日期</t>
  </si>
  <si>
    <t>營業額(元)</t>
  </si>
  <si>
    <t>訂單數量(個)</t>
  </si>
  <si>
    <t>材料費(元)</t>
  </si>
  <si>
    <t>材料費率（材料費／營業額）</t>
  </si>
  <si>
    <t>勞務成本（全廠人事成本）</t>
  </si>
  <si>
    <t>勞務費率（勞務成本／營業額）</t>
  </si>
  <si>
    <t>日</t>
  </si>
  <si>
    <t>週累積</t>
  </si>
  <si>
    <t>月累積</t>
  </si>
  <si>
    <t>三</t>
  </si>
  <si>
    <t>一</t>
  </si>
  <si>
    <t>二</t>
  </si>
  <si>
    <t>四</t>
  </si>
  <si>
    <t>五</t>
  </si>
  <si>
    <t>六</t>
  </si>
  <si>
    <t>（２）ＫＰＩ達成進度</t>
  </si>
  <si>
    <t xml:space="preserve">人時生產性(個/人) </t>
  </si>
  <si>
    <t xml:space="preserve">人時生產性達成率(%) </t>
  </si>
  <si>
    <t xml:space="preserve">半成品報廢(%) </t>
  </si>
  <si>
    <t xml:space="preserve">半成品超用(%) </t>
  </si>
  <si>
    <t>固定產線-導入率(固定產線數/總產線數)</t>
  </si>
  <si>
    <t>教育訓練-實施率(進度/計畫)</t>
  </si>
  <si>
    <t>週平均</t>
  </si>
  <si>
    <t>月平均</t>
  </si>
  <si>
    <t>（3）業績構成比</t>
  </si>
  <si>
    <r>
      <t>月</t>
    </r>
    <r>
      <rPr>
        <sz val="12"/>
        <color rgb="FF000000"/>
        <rFont val="Arial"/>
        <family val="3"/>
        <charset val="136"/>
      </rPr>
      <t>份</t>
    </r>
  </si>
  <si>
    <t>營業額</t>
  </si>
  <si>
    <t>品類業績</t>
  </si>
  <si>
    <r>
      <t>熱食義</t>
    </r>
    <r>
      <rPr>
        <b/>
        <sz val="14"/>
        <color rgb="FF000000"/>
        <rFont val="細明體"/>
        <family val="3"/>
        <charset val="136"/>
      </rPr>
      <t>麵</t>
    </r>
  </si>
  <si>
    <r>
      <t>季節調理</t>
    </r>
    <r>
      <rPr>
        <b/>
        <sz val="14"/>
        <color rgb="FF000000"/>
        <rFont val="細明體"/>
        <family val="3"/>
        <charset val="136"/>
      </rPr>
      <t>麵</t>
    </r>
  </si>
  <si>
    <t>微波小吃</t>
  </si>
  <si>
    <t>一配</t>
  </si>
  <si>
    <t>業績(元)</t>
  </si>
  <si>
    <t>比例(%)</t>
  </si>
  <si>
    <t>（4）訂單數量構成比</t>
  </si>
  <si>
    <t>訂單量</t>
  </si>
  <si>
    <t>品類訂單量</t>
  </si>
  <si>
    <t>訂單數</t>
  </si>
  <si>
    <t>月平均人時性</t>
  </si>
  <si>
    <t>產線配置圖－每週更新</t>
  </si>
  <si>
    <t>資料繳交</t>
  </si>
  <si>
    <t>品群</t>
  </si>
  <si>
    <t>商品名稱</t>
  </si>
  <si>
    <t>計畫</t>
  </si>
  <si>
    <t>平均人時性</t>
  </si>
  <si>
    <t>實績</t>
  </si>
  <si>
    <t>排名</t>
  </si>
  <si>
    <t>日報</t>
  </si>
  <si>
    <t>實際</t>
  </si>
  <si>
    <t>產線配置圖</t>
  </si>
  <si>
    <t>生產實績</t>
  </si>
  <si>
    <t>人數</t>
  </si>
  <si>
    <t>產能／時</t>
  </si>
  <si>
    <t>人時性</t>
  </si>
  <si>
    <t>熱食調理麵</t>
  </si>
  <si>
    <t>季節調理麵</t>
  </si>
  <si>
    <t>小滷青蔬</t>
  </si>
  <si>
    <t>起司馬鈴薯</t>
  </si>
  <si>
    <t>三杯菇菇米血</t>
  </si>
  <si>
    <t>麻辣雞心</t>
  </si>
  <si>
    <t>台式綜合甜不辣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</si>
  <si>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</si>
  <si>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</si>
  <si>
    <r>
      <t>熱食義</t>
    </r>
    <r>
      <rPr>
        <sz val="11"/>
        <color theme="1"/>
        <rFont val="細明體"/>
        <family val="3"/>
        <charset val="136"/>
      </rPr>
      <t>麵</t>
    </r>
  </si>
  <si>
    <r>
      <t>季節調理</t>
    </r>
    <r>
      <rPr>
        <sz val="11"/>
        <color theme="1"/>
        <rFont val="細明體"/>
        <family val="3"/>
        <charset val="136"/>
      </rPr>
      <t>麵</t>
    </r>
  </si>
  <si>
    <t>商品名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</si>
  <si>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</si>
  <si>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</si>
  <si>
    <t>前月比</t>
  </si>
  <si>
    <t>主要原因&amp;對策</t>
  </si>
  <si>
    <r>
      <t>熱食義</t>
    </r>
    <r>
      <rPr>
        <sz val="10"/>
        <color theme="1"/>
        <rFont val="細明體"/>
        <family val="3"/>
        <charset val="136"/>
      </rPr>
      <t>麵</t>
    </r>
  </si>
  <si>
    <t>義式蕃茄起司義大利麵</t>
  </si>
  <si>
    <t>青醬蛤蜊義大利麵</t>
  </si>
  <si>
    <t>奶油培根義大利麵</t>
  </si>
  <si>
    <t>蒜香奶油蝦蝦義大利麵</t>
  </si>
  <si>
    <t>新品</t>
  </si>
  <si>
    <t>燻火腿貓耳朵麵</t>
  </si>
  <si>
    <t>▼1</t>
  </si>
  <si>
    <t>濃拿坡里義大利麵</t>
  </si>
  <si>
    <t>▼2</t>
  </si>
  <si>
    <t>沙茶豬肉炒麵</t>
  </si>
  <si>
    <t>▼3</t>
  </si>
  <si>
    <t>府城鹽水意麵</t>
  </si>
  <si>
    <t>▼4</t>
  </si>
  <si>
    <t>剝皮辣椒雞奶細扁麵</t>
  </si>
  <si>
    <t>▼5</t>
  </si>
  <si>
    <t>白酒蛤蜊義大利麵-手</t>
  </si>
  <si>
    <r>
      <t>季節調理</t>
    </r>
    <r>
      <rPr>
        <sz val="10"/>
        <color theme="1"/>
        <rFont val="細明體"/>
        <family val="3"/>
        <charset val="136"/>
      </rPr>
      <t>麵</t>
    </r>
  </si>
  <si>
    <t>醬汁含薑絲,堵住注餡機→測試分切手法</t>
  </si>
  <si>
    <r>
      <t>（７）</t>
    </r>
    <r>
      <rPr>
        <b/>
        <sz val="12"/>
        <color rgb="FF000000"/>
        <rFont val="Meiryo UI"/>
        <family val="2"/>
      </rPr>
      <t>原因別分析</t>
    </r>
  </si>
  <si>
    <t>業績金額</t>
  </si>
  <si>
    <r>
      <t>前</t>
    </r>
    <r>
      <rPr>
        <b/>
        <sz val="10"/>
        <color rgb="FFFF0000"/>
        <rFont val="Meiryo UI"/>
        <family val="2"/>
        <charset val="128"/>
      </rPr>
      <t>20名</t>
    </r>
    <r>
      <rPr>
        <sz val="10"/>
        <color rgb="FF000000"/>
        <rFont val="Meiryo UI"/>
        <family val="2"/>
        <charset val="128"/>
      </rPr>
      <t>原因分析</t>
    </r>
  </si>
  <si>
    <t>項目</t>
  </si>
  <si>
    <t>合計</t>
  </si>
  <si>
    <t>展開量高於１０5％</t>
  </si>
  <si>
    <r>
      <t>調理多</t>
    </r>
    <r>
      <rPr>
        <b/>
        <sz val="14"/>
        <color theme="1"/>
        <rFont val="Arial"/>
        <family val="3"/>
        <charset val="136"/>
      </rPr>
      <t>產</t>
    </r>
  </si>
  <si>
    <t>製程不穩</t>
  </si>
  <si>
    <t>取樣不穩</t>
  </si>
  <si>
    <t>金額</t>
  </si>
  <si>
    <t>比例</t>
  </si>
  <si>
    <t>報廢</t>
  </si>
  <si>
    <t>超用</t>
  </si>
  <si>
    <t>原物料規格</t>
  </si>
  <si>
    <t>研發設定</t>
  </si>
  <si>
    <t>其他原因</t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</si>
  <si>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</si>
  <si>
    <t>（８）報廢原因別前幾名品項</t>
  </si>
  <si>
    <t>類型</t>
  </si>
  <si>
    <r>
      <t>調理多</t>
    </r>
    <r>
      <rPr>
        <sz val="11"/>
        <color theme="1"/>
        <rFont val="Arial"/>
        <family val="3"/>
        <charset val="136"/>
      </rPr>
      <t>產</t>
    </r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</si>
  <si>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</si>
  <si>
    <t>半成品名</t>
  </si>
  <si>
    <t>單價</t>
  </si>
  <si>
    <t>報廢率</t>
  </si>
  <si>
    <t>數量</t>
  </si>
  <si>
    <t>前週比</t>
  </si>
  <si>
    <t>義麵-貓耳朵白醬</t>
  </si>
  <si>
    <t>新品訂單下滑→調整預估量</t>
  </si>
  <si>
    <t>預估訂單&gt;實際→夜間人員補齊</t>
  </si>
  <si>
    <t>前幾名合計比例</t>
  </si>
  <si>
    <t>前幾名合計金額</t>
  </si>
  <si>
    <r>
      <t>調理多</t>
    </r>
    <r>
      <rPr>
        <sz val="10"/>
        <color rgb="FF000000"/>
        <rFont val="Arial"/>
        <family val="3"/>
        <charset val="136"/>
      </rPr>
      <t>產</t>
    </r>
  </si>
  <si>
    <t>滷-切片高麗菜</t>
  </si>
  <si>
    <t>包裝超用超補→加強教育訓練</t>
  </si>
  <si>
    <t>焗烤起司雙饗筆尖麵</t>
  </si>
  <si>
    <t>鮮食雙色起司絲</t>
  </si>
  <si>
    <t>川燙油菜</t>
  </si>
  <si>
    <t>秤重物料需8G/份以上</t>
  </si>
  <si>
    <r>
      <t>（８）</t>
    </r>
    <r>
      <rPr>
        <b/>
        <sz val="12"/>
        <color rgb="FF000000"/>
        <rFont val="細明體"/>
        <family val="3"/>
        <charset val="136"/>
      </rPr>
      <t>超用</t>
    </r>
    <r>
      <rPr>
        <b/>
        <sz val="12"/>
        <color rgb="FF000000"/>
        <rFont val="Meiryo UI"/>
        <family val="2"/>
        <charset val="128"/>
      </rPr>
      <t>原因別前幾名品項</t>
    </r>
  </si>
  <si>
    <t>超用率</t>
  </si>
  <si>
    <t>（８）超用原因別前幾名品項</t>
  </si>
  <si>
    <t>加強稽核及教育訓練</t>
  </si>
  <si>
    <t>切蒸前腿肉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</si>
  <si>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</si>
  <si>
    <t>No.</t>
  </si>
  <si>
    <t>規格</t>
  </si>
  <si>
    <t>差異</t>
  </si>
  <si>
    <t>作業原因</t>
  </si>
  <si>
    <t>原料原因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</si>
  <si>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</si>
  <si>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t>週別</t>
  </si>
  <si>
    <t>明細展開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</si>
  <si>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</si>
  <si>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t>類別</t>
  </si>
  <si>
    <t>分析原因</t>
  </si>
  <si>
    <t>原因說明</t>
  </si>
  <si>
    <t>後續對策</t>
  </si>
  <si>
    <t>次數</t>
  </si>
  <si>
    <t>備註-商品名稱</t>
  </si>
  <si>
    <t>分析原因（件）</t>
  </si>
  <si>
    <t>排序</t>
  </si>
  <si>
    <t>半成品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</si>
  <si>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</si>
  <si>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t>組合端</t>
  </si>
  <si>
    <t>名稱</t>
  </si>
  <si>
    <t>報廢金額</t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</si>
  <si>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</si>
  <si>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t>訂單需求
(kg)</t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</si>
  <si>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</si>
  <si>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</si>
  <si>
    <t>補單
(kg)</t>
  </si>
  <si>
    <t>補單占比</t>
  </si>
  <si>
    <t>單價
(元)</t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</si>
  <si>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</si>
  <si>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差異
(元)</t>
  </si>
  <si>
    <t>kg</t>
  </si>
  <si>
    <t>占比</t>
  </si>
  <si>
    <t>金額
(元)</t>
  </si>
  <si>
    <t>總件數</t>
  </si>
  <si>
    <r>
      <t>調理多</t>
    </r>
    <r>
      <rPr>
        <sz val="12"/>
        <color theme="1"/>
        <rFont val="細明體"/>
        <family val="3"/>
        <charset val="136"/>
      </rPr>
      <t>產</t>
    </r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</si>
  <si>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</si>
  <si>
    <t>義麵-海鮮湯凍(113年)</t>
  </si>
  <si>
    <t>生管預估</t>
  </si>
  <si>
    <t>預估量大於訂單量</t>
  </si>
  <si>
    <t>新品上巿→調整出料率</t>
  </si>
  <si>
    <t>白酒蛤蜊義大利麵</t>
  </si>
  <si>
    <t>週前二十</t>
  </si>
  <si>
    <t>義麵-蒜味蝦醬(115年)</t>
  </si>
  <si>
    <t>煮意麵肉燥</t>
  </si>
  <si>
    <t>因夜間補料人員及主管缺員,為減少重工，故變更預估模式</t>
  </si>
  <si>
    <t>義麵-奶青醬(114年)</t>
  </si>
  <si>
    <t>調理</t>
  </si>
  <si>
    <t>調理多產</t>
  </si>
  <si>
    <t>油炒香菜</t>
  </si>
  <si>
    <t>辣味香菜雞肉義大利麵</t>
  </si>
  <si>
    <t>拿坡里義大利麵醬</t>
  </si>
  <si>
    <t>包裝</t>
  </si>
  <si>
    <t>超用超補</t>
  </si>
  <si>
    <t>加強人員教育訓練</t>
  </si>
  <si>
    <t>濃拿波里義大利麵</t>
  </si>
  <si>
    <t>蒸4切濾黃金豆腐</t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</si>
  <si>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</si>
  <si>
    <t>川燙洋蔥絲</t>
  </si>
  <si>
    <t>滷味-湯凍</t>
  </si>
  <si>
    <t>步留因素</t>
  </si>
  <si>
    <t>研發</t>
  </si>
  <si>
    <t>原物料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</si>
  <si>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</si>
  <si>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r>
      <rPr>
        <sz val="12"/>
        <color theme="1"/>
        <rFont val="Microsoft JhengHei"/>
        <family val="2"/>
      </rPr>
      <t>報廢</t>
    </r>
    <r>
      <rPr>
        <sz val="12"/>
        <color theme="1"/>
        <rFont val="Meiryo UI"/>
        <family val="2"/>
      </rPr>
      <t>金額</t>
    </r>
  </si>
  <si>
    <r>
      <t>加強教育訓練，抓樣範圍95%~10</t>
    </r>
    <r>
      <rPr>
        <sz val="12"/>
        <color theme="1"/>
        <rFont val="微軟正黑體"/>
        <family val="2"/>
        <charset val="136"/>
      </rPr>
      <t>3</t>
    </r>
    <r>
      <rPr>
        <sz val="12"/>
        <color theme="1"/>
        <rFont val="Meiryo UI"/>
        <family val="2"/>
      </rPr>
      <t>%</t>
    </r>
  </si>
  <si>
    <t>解凍黑胡椒燻豬腿肉(湖)</t>
  </si>
  <si>
    <t>川燙青花菜(N7)</t>
  </si>
  <si>
    <t>青花椒麻雞肉拌麵</t>
  </si>
  <si>
    <t>紅切達起司絲</t>
  </si>
  <si>
    <t>香濃起司馬鈴薯</t>
  </si>
  <si>
    <t>瀝-玉米粒</t>
  </si>
  <si>
    <t>長家廠半成品管理日別總表</t>
  </si>
  <si>
    <t>報廢額</t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</si>
  <si>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</si>
  <si>
    <t>超用額</t>
  </si>
  <si>
    <t>廢棄前10名</t>
  </si>
  <si>
    <t>超用前10名</t>
  </si>
  <si>
    <t>共用類廢棄</t>
  </si>
  <si>
    <t>金額總計</t>
  </si>
  <si>
    <t>構成比</t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</si>
  <si>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</si>
  <si>
    <t>週報廢</t>
  </si>
  <si>
    <t>週超用</t>
  </si>
  <si>
    <t>平均</t>
  </si>
  <si>
    <t>月別</t>
  </si>
  <si>
    <t>工廠名</t>
  </si>
  <si>
    <t>・・・・・・・・</t>
  </si>
  <si>
    <t>（１）收支狀況</t>
  </si>
  <si>
    <t>※單位：千元</t>
  </si>
  <si>
    <t>（３）業績構成比</t>
  </si>
  <si>
    <t>（４）訂單數量構成比</t>
  </si>
  <si>
    <t>當月</t>
  </si>
  <si>
    <t>前月</t>
  </si>
  <si>
    <t>累計</t>
  </si>
  <si>
    <t>KPI</t>
  </si>
  <si>
    <t>※補充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</si>
  <si>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 xml:space="preserve">1 </t>
    </r>
  </si>
  <si>
    <r>
      <rPr>
        <sz val="11"/>
        <color theme="1"/>
        <rFont val="Arial"/>
        <family val="3"/>
        <charset val="136"/>
      </rPr>
      <t>個／</t>
    </r>
    <r>
      <rPr>
        <sz val="11"/>
        <color theme="1"/>
        <rFont val="Arial"/>
        <family val="2"/>
      </rPr>
      <t>MH</t>
    </r>
  </si>
  <si>
    <t>飯糰</t>
  </si>
  <si>
    <t>訂單數量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</si>
  <si>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>2</t>
    </r>
  </si>
  <si>
    <t>達成率</t>
  </si>
  <si>
    <t>大口飯糰</t>
  </si>
  <si>
    <t>材料費</t>
  </si>
  <si>
    <t>半成品報廢</t>
  </si>
  <si>
    <t>便當</t>
  </si>
  <si>
    <t>材料費率</t>
  </si>
  <si>
    <t>半成品超用</t>
  </si>
  <si>
    <t>調理麵</t>
  </si>
  <si>
    <t>勞務成本</t>
  </si>
  <si>
    <t>固定產線</t>
  </si>
  <si>
    <t>導入率</t>
  </si>
  <si>
    <t>調理麵包</t>
  </si>
  <si>
    <t>-</t>
  </si>
  <si>
    <t>-%</t>
  </si>
  <si>
    <t>勞務費率</t>
  </si>
  <si>
    <t>教育訓練</t>
  </si>
  <si>
    <t>實施率</t>
  </si>
  <si>
    <t>袋裝調理麵包</t>
  </si>
  <si>
    <t>義大利麵</t>
  </si>
  <si>
    <t>（５）品群別人時生產性</t>
  </si>
  <si>
    <t>調理包</t>
  </si>
  <si>
    <t>（７）原因別分析</t>
  </si>
  <si>
    <t>規格原因</t>
  </si>
  <si>
    <t>（６）人時生產性前幾名品項</t>
  </si>
  <si>
    <t>產能</t>
  </si>
  <si>
    <t>人時生產性</t>
  </si>
  <si>
    <t>手巻明太子</t>
  </si>
  <si>
    <t>減少暫時停止生產,人時UP</t>
  </si>
  <si>
    <t>明太子海苔便當</t>
  </si>
  <si>
    <t>油炸白身魚</t>
  </si>
  <si>
    <t>油調過多報廢。變更條件。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</si>
  <si>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1</t>
    </r>
  </si>
  <si>
    <t>手巻卵黄雞絞肉</t>
  </si>
  <si>
    <t>6/30新商品</t>
  </si>
  <si>
    <t>因組裝2食材,人員增加,產速減少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</si>
  <si>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2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</si>
  <si>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3</t>
    </r>
  </si>
  <si>
    <t>海老炒飯</t>
  </si>
  <si>
    <t>川燙蝦子拌醬</t>
  </si>
  <si>
    <t>蝦子入數不足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</si>
  <si>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4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</si>
  <si>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5</t>
    </r>
  </si>
  <si>
    <t>直巻明太子美奶茲</t>
  </si>
  <si>
    <t>透由調整速度提升。</t>
  </si>
  <si>
    <t>特製醬汁炙燒牛五花便當</t>
  </si>
  <si>
    <t>牛五花醬汁</t>
  </si>
  <si>
    <t>難度有差異。調理指導。</t>
  </si>
  <si>
    <t>大口飯糰燒肉美奶滋</t>
  </si>
  <si>
    <t>因摺疊增員。實施教育訓練。</t>
  </si>
  <si>
    <t>牛五花燒成</t>
  </si>
  <si>
    <t>因原料變更。</t>
  </si>
  <si>
    <t>指導鋪開炒柴魚片</t>
  </si>
  <si>
    <t>（９）歩留</t>
  </si>
  <si>
    <t>肉狀態不良，已連動開發</t>
  </si>
  <si>
    <t>燒成過多，調整調理條件。</t>
  </si>
  <si>
    <t>大口飯糰三種起司午餐肉</t>
  </si>
  <si>
    <t>３種起司燒成</t>
  </si>
  <si>
    <t>與燒成範本不同。</t>
  </si>
  <si>
    <t>鮮食品群番</t>
  </si>
  <si>
    <t>06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</si>
  <si>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</si>
  <si>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</si>
  <si>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</si>
  <si>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</si>
  <si>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</si>
  <si>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</si>
  <si>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</si>
  <si>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</si>
  <si>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</si>
  <si>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</si>
  <si>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</si>
  <si>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</si>
  <si>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</si>
  <si>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</si>
  <si>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</si>
  <si>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</si>
  <si>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</si>
  <si>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</si>
  <si>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</si>
  <si>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</si>
  <si>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</si>
  <si>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</si>
  <si>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</si>
  <si>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</si>
  <si>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熱食義麵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</si>
  <si>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</si>
  <si>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</si>
  <si>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</si>
  <si>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</si>
  <si>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</si>
  <si>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</si>
  <si>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</si>
  <si>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</si>
  <si>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</si>
  <si>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</si>
  <si>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</si>
  <si>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</si>
  <si>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</si>
  <si>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</si>
  <si>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</si>
  <si>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</si>
  <si>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</si>
  <si>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</si>
  <si>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</si>
  <si>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</si>
  <si>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</si>
  <si>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</si>
  <si>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</si>
  <si>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</si>
  <si>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</si>
  <si>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</si>
  <si>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</si>
  <si>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</si>
  <si>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</si>
  <si>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</si>
  <si>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</si>
  <si>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</si>
  <si>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</si>
  <si>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</si>
  <si>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</si>
  <si>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</si>
  <si>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</si>
  <si>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</si>
  <si>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品項</t>
  </si>
  <si>
    <t>ET-600</t>
  </si>
  <si>
    <t>白酒蛤蜊義大利麵-自</t>
  </si>
  <si>
    <t>ET-55</t>
  </si>
  <si>
    <t>剝皮辣椒雞奶油扁麵</t>
  </si>
  <si>
    <t>剝皮辣椒雞奶油扁麵-降速生產(3線)</t>
  </si>
  <si>
    <t>焗烤起司肉醬筆尖麵</t>
  </si>
  <si>
    <r>
      <rPr>
        <sz val="12"/>
        <color theme="1"/>
        <rFont val="微軟正黑體"/>
        <family val="2"/>
        <charset val="136"/>
      </rPr>
      <t>更新日期</t>
    </r>
    <r>
      <rPr>
        <sz val="12"/>
        <color theme="1"/>
        <rFont val="Arial"/>
        <family val="2"/>
      </rPr>
      <t>03/09</t>
    </r>
  </si>
  <si>
    <t>奶油起司蝦仁通心粉</t>
  </si>
  <si>
    <t>惡魔乳酪生義大利麵</t>
  </si>
  <si>
    <r>
      <rPr>
        <sz val="10"/>
        <color rgb="FF000000"/>
        <rFont val="微軟正黑體"/>
        <family val="2"/>
        <charset val="136"/>
      </rPr>
      <t>白酒蛤蜊義大利麵</t>
    </r>
    <r>
      <rPr>
        <sz val="10"/>
        <color rgb="FF000000"/>
        <rFont val="Arial"/>
        <family val="2"/>
      </rPr>
      <t>-</t>
    </r>
    <r>
      <rPr>
        <sz val="10"/>
        <color rgb="FF000000"/>
        <rFont val="微軟正黑體"/>
        <family val="2"/>
        <charset val="136"/>
      </rPr>
      <t>手</t>
    </r>
  </si>
  <si>
    <r>
      <t>長家廠生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</si>
  <si>
    <t>W4</t>
  </si>
  <si>
    <t>工廠</t>
  </si>
  <si>
    <t>長家廠</t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</si>
  <si>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</si>
  <si>
    <t>當週</t>
  </si>
  <si>
    <t>前週</t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</si>
  <si>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</si>
  <si>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個／MH</t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</si>
  <si>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</si>
  <si>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半成品-報廢(%)</t>
  </si>
  <si>
    <t>半成品-超用(%)</t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</si>
  <si>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</si>
  <si>
    <r>
      <t>教育訓練-</t>
    </r>
    <r>
      <rPr>
        <sz val="10"/>
        <color theme="1"/>
        <rFont val="細明體"/>
        <family val="3"/>
        <charset val="136"/>
      </rPr>
      <t>實施率(%)</t>
    </r>
  </si>
  <si>
    <t>熱食義麵(122,123,124,126)</t>
  </si>
  <si>
    <t>季節調理麵(111,112)</t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</si>
  <si>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</si>
  <si>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</si>
  <si>
    <t>拆整盒餘數報廢</t>
    <phoneticPr fontId="20" type="noConversion"/>
  </si>
  <si>
    <t>2片8G以上</t>
    <phoneticPr fontId="20" type="noConversion"/>
  </si>
  <si>
    <t>0324~0330</t>
    <phoneticPr fontId="20" type="noConversion"/>
  </si>
  <si>
    <t>義麵-奶青醬(114年)</t>
    <phoneticPr fontId="20" type="noConversion"/>
  </si>
  <si>
    <t>青醬蛤蜊義大利麵</t>
    <phoneticPr fontId="20" type="noConversion"/>
  </si>
  <si>
    <t>滷味-湯凍</t>
    <phoneticPr fontId="20" type="noConversion"/>
  </si>
  <si>
    <t>小滷青蔬</t>
    <phoneticPr fontId="20" type="noConversion"/>
  </si>
  <si>
    <t>切蒸前腿肉</t>
    <phoneticPr fontId="20" type="noConversion"/>
  </si>
  <si>
    <t>府城鹽水意麵</t>
    <phoneticPr fontId="20" type="noConversion"/>
  </si>
  <si>
    <t>蒸4切濾黃金豆腐</t>
    <phoneticPr fontId="20" type="noConversion"/>
  </si>
  <si>
    <t>2片/8G以上</t>
    <phoneticPr fontId="20" type="noConversion"/>
  </si>
  <si>
    <t>鮮食雙色起司絲</t>
    <phoneticPr fontId="20" type="noConversion"/>
  </si>
  <si>
    <t>焗烤起司雙饗筆尖麵</t>
    <phoneticPr fontId="20" type="noConversion"/>
  </si>
  <si>
    <t>義式蕃茄起司義大利麵</t>
    <phoneticPr fontId="20" type="noConversion"/>
  </si>
  <si>
    <t>燻火腿貓耳朵麵</t>
    <phoneticPr fontId="20" type="noConversion"/>
  </si>
  <si>
    <t>奶油培根義大利麵</t>
    <phoneticPr fontId="20" type="noConversion"/>
  </si>
  <si>
    <t>解凍黑胡椒燻豬腿肉(湖)</t>
    <phoneticPr fontId="20" type="noConversion"/>
  </si>
  <si>
    <t>新人教育訓練及貼標結束</t>
    <phoneticPr fontId="20" type="noConversion"/>
  </si>
  <si>
    <t>辣味香菜雞肉義大利麵</t>
    <phoneticPr fontId="20" type="noConversion"/>
  </si>
  <si>
    <t>產量減少</t>
    <phoneticPr fontId="20" type="noConversion"/>
  </si>
  <si>
    <t>青花椒麻雞肉拌麵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</si>
</sst>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,000&quot;個&quot;"/>
    <numFmt numFmtId="187" formatCode="&quot;NT$&quot;#,##0.00;[Red]\-&quot;NT$&quot;#,##0.00"/>
    <numFmt numFmtId="188" formatCode="#,##0.0_ "/>
    <numFmt numFmtId="189" formatCode="m/d\ aaaa"/>
    <numFmt numFmtId="190" formatCode="0,000&quot;元&quot;"/>
    <numFmt numFmtId="191" formatCode="0.000%"/>
    <numFmt numFmtId="192" formatCode="000&quot;元&quot;"/>
    <numFmt numFmtId="193" formatCode="#,##0_ "/>
  </numFmts>
  <fonts count="116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sz val="11"/>
      <color theme="1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b/>
      <sz val="12"/>
      <color theme="1"/>
      <name val="Meiryo UI"/>
      <family val="2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4"/>
      <color theme="1"/>
      <name val="Meiryo UI"/>
      <family val="2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sz val="11"/>
      <color theme="1"/>
      <name val="微軟正黑體"/>
      <family val="2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1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11"/>
      <color theme="1" tint="0.499984740745262"/>
      <name val="微軟正黑體"/>
      <family val="2"/>
      <charset val="136"/>
    </font>
    <font>
      <sz val="11"/>
      <color theme="1"/>
      <name val="Arial"/>
      <family val="2"/>
      <charset val="128"/>
      <scheme val="minor"/>
    </font>
    <font>
      <b/>
      <sz val="12"/>
      <color rgb="FF000000"/>
      <name val="微軟正黑體"/>
      <family val="2"/>
      <charset val="136"/>
    </font>
    <font>
      <sz val="12"/>
      <color theme="1"/>
      <name val="細明體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新細明體"/>
      <family val="2"/>
      <charset val="136"/>
    </font>
    <font>
      <sz val="12"/>
      <color rgb="FF000000"/>
      <name val="細明體"/>
      <family val="2"/>
      <charset val="136"/>
    </font>
    <font>
      <sz val="12"/>
      <color theme="1"/>
      <name val="Microsoft JhengHei"/>
      <family val="2"/>
    </font>
    <font>
      <sz val="10"/>
      <color theme="1"/>
      <name val="細明體"/>
      <family val="2"/>
      <charset val="136"/>
    </font>
    <font>
      <sz val="10"/>
      <color rgb="FF000000"/>
      <name val="Arial"/>
      <family val="2"/>
      <scheme val="minor"/>
    </font>
    <font>
      <sz val="10"/>
      <color rgb="FF000000"/>
      <name val="細明體"/>
      <family val="2"/>
      <charset val="136"/>
    </font>
    <font>
      <b/>
      <sz val="14"/>
      <color theme="1"/>
      <name val="Meiryo UI"/>
      <family val="2"/>
      <charset val="128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4"/>
      <color theme="1"/>
      <name val="新細明體"/>
      <family val="2"/>
      <charset val="136"/>
    </font>
    <font>
      <sz val="12"/>
      <name val="Microsoft JhengHei"/>
      <family val="2"/>
    </font>
    <font>
      <sz val="12"/>
      <color rgb="FF000000"/>
      <name val="Meiryo UI"/>
      <family val="2"/>
      <charset val="136"/>
    </font>
    <font>
      <sz val="12"/>
      <color theme="1"/>
      <name val="Meiryo UI"/>
      <family val="2"/>
      <charset val="136"/>
    </font>
    <font>
      <sz val="12"/>
      <name val="細明體"/>
      <family val="2"/>
      <charset val="136"/>
    </font>
    <font>
      <sz val="12"/>
      <color theme="1"/>
      <name val="Arial"/>
      <family val="2"/>
      <charset val="136"/>
    </font>
    <font>
      <sz val="10"/>
      <color rgb="FFFF0000"/>
      <name val="Arial"/>
      <family val="2"/>
      <scheme val="minor"/>
    </font>
    <font>
      <b/>
      <sz val="10"/>
      <color rgb="FFFF0000"/>
      <name val="Arial"/>
      <family val="2"/>
      <scheme val="minor"/>
    </font>
    <font>
      <sz val="10"/>
      <name val="Arial"/>
      <family val="2"/>
      <scheme val="minor"/>
    </font>
    <font>
      <sz val="10"/>
      <color rgb="FF000000"/>
      <name val="Arial"/>
      <family val="2"/>
      <charset val="136"/>
      <scheme val="minor"/>
    </font>
    <font>
      <b/>
      <sz val="22"/>
      <color rgb="FF000000"/>
      <name val="細明體"/>
      <family val="3"/>
      <charset val="136"/>
    </font>
    <font>
      <sz val="10"/>
      <color theme="0"/>
      <name val="細明體"/>
      <family val="3"/>
      <charset val="136"/>
    </font>
    <font>
      <sz val="11"/>
      <color rgb="FF000000"/>
      <name val="Arial"/>
      <family val="3"/>
      <charset val="136"/>
    </font>
    <font>
      <sz val="12"/>
      <color rgb="FF000000"/>
      <name val="Arial"/>
      <family val="3"/>
      <charset val="136"/>
    </font>
    <font>
      <b/>
      <sz val="14"/>
      <color rgb="FF000000"/>
      <name val="細明體"/>
      <family val="3"/>
      <charset val="136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b/>
      <sz val="12"/>
      <color rgb="FF000000"/>
      <name val="Arial"/>
      <family val="3"/>
      <charset val="136"/>
    </font>
    <font>
      <sz val="10"/>
      <color theme="1"/>
      <name val="Arial"/>
      <family val="3"/>
      <charset val="136"/>
    </font>
    <font>
      <b/>
      <sz val="10"/>
      <color rgb="FFFF0000"/>
      <name val="Meiryo UI"/>
      <family val="2"/>
      <charset val="128"/>
    </font>
    <font>
      <b/>
      <sz val="14"/>
      <color theme="1"/>
      <name val="Arial"/>
      <family val="3"/>
      <charset val="136"/>
    </font>
    <font>
      <b/>
      <sz val="14"/>
      <color rgb="FF000000"/>
      <name val="Arial"/>
      <family val="3"/>
      <charset val="136"/>
    </font>
    <font>
      <sz val="11"/>
      <color theme="1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6"/>
      <color rgb="FF000000"/>
      <name val="細明體"/>
      <family val="3"/>
      <charset val="136"/>
    </font>
    <font>
      <sz val="12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0"/>
      <color rgb="FF000000"/>
      <name val="Arial"/>
      <family val="2"/>
    </font>
    <font>
      <b/>
      <sz val="20"/>
      <color rgb="FF000000"/>
      <name val="微軟正黑體"/>
      <family val="2"/>
      <charset val="136"/>
    </font>
    <font>
      <b/>
      <sz val="12"/>
      <color theme="1"/>
      <name val="Arial"/>
      <family val="3"/>
      <charset val="136"/>
    </font>
  </fonts>
  <fills count="1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6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93">
    <xf numFmtId="0" fontId="0" fillId="0" borderId="0"/>
    <xf numFmtId="0" fontId="6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6" fillId="0" borderId="0"/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4" fillId="0" borderId="0"/>
    <xf numFmtId="0" fontId="1" fillId="0" borderId="0">
      <alignment vertical="center"/>
    </xf>
    <xf numFmtId="0" fontId="6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5" fillId="0" borderId="0"/>
    <xf numFmtId="0" fontId="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/>
    <xf numFmtId="0" fontId="11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43" fontId="71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</cellStyleXfs>
  <cellXfs count="679">
    <xf numFmtId="0" fontId="0" fillId="0" borderId="0" xfId="0"/>
    <xf numFmtId="0" fontId="14" fillId="0" borderId="0" xfId="0" applyFont="1" applyAlignment="1">
      <alignment shrinkToFit="1"/>
    </xf>
    <xf numFmtId="0" fontId="0" fillId="0" borderId="0" xfId="0" applyAlignment="1">
      <alignment shrinkToFit="1"/>
    </xf>
    <xf numFmtId="0" fontId="14" fillId="0" borderId="1" xfId="0" applyFont="1" applyBorder="1" applyAlignment="1">
      <alignment horizontal="right" shrinkToFit="1"/>
    </xf>
    <xf numFmtId="0" fontId="14" fillId="0" borderId="1" xfId="0" applyFont="1" applyBorder="1" applyAlignment="1">
      <alignment shrinkToFit="1"/>
    </xf>
    <xf numFmtId="0" fontId="14" fillId="0" borderId="2" xfId="0" applyFont="1" applyBorder="1" applyAlignment="1">
      <alignment shrinkToFit="1"/>
    </xf>
    <xf numFmtId="0" fontId="15" fillId="0" borderId="3" xfId="0" applyFont="1" applyBorder="1" applyAlignment="1">
      <alignment shrinkToFit="1"/>
    </xf>
    <xf numFmtId="0" fontId="15" fillId="2" borderId="1" xfId="0" applyFont="1" applyFill="1" applyBorder="1" applyAlignment="1">
      <alignment shrinkToFit="1"/>
    </xf>
    <xf numFmtId="0" fontId="14" fillId="2" borderId="1" xfId="0" applyFont="1" applyFill="1" applyBorder="1" applyAlignment="1">
      <alignment shrinkToFit="1"/>
    </xf>
    <xf numFmtId="3" fontId="14" fillId="0" borderId="1" xfId="0" applyNumberFormat="1" applyFont="1" applyBorder="1" applyAlignment="1">
      <alignment shrinkToFit="1"/>
    </xf>
    <xf numFmtId="3" fontId="14" fillId="3" borderId="1" xfId="0" applyNumberFormat="1" applyFont="1" applyFill="1" applyBorder="1" applyAlignment="1">
      <alignment shrinkToFit="1"/>
    </xf>
    <xf numFmtId="4" fontId="14" fillId="0" borderId="1" xfId="0" applyNumberFormat="1" applyFont="1" applyBorder="1" applyAlignment="1">
      <alignment horizontal="right" shrinkToFit="1"/>
    </xf>
    <xf numFmtId="10" fontId="14" fillId="2" borderId="1" xfId="0" applyNumberFormat="1" applyFont="1" applyFill="1" applyBorder="1" applyAlignment="1">
      <alignment horizontal="right" shrinkToFit="1"/>
    </xf>
    <xf numFmtId="10" fontId="14" fillId="3" borderId="1" xfId="0" applyNumberFormat="1" applyFont="1" applyFill="1" applyBorder="1" applyAlignment="1">
      <alignment shrinkToFit="1"/>
    </xf>
    <xf numFmtId="10" fontId="14" fillId="0" borderId="1" xfId="0" applyNumberFormat="1" applyFont="1" applyBorder="1" applyAlignment="1">
      <alignment shrinkToFit="1"/>
    </xf>
    <xf numFmtId="10" fontId="15" fillId="0" borderId="0" xfId="0" applyNumberFormat="1" applyFont="1" applyAlignment="1">
      <alignment shrinkToFit="1"/>
    </xf>
    <xf numFmtId="0" fontId="14" fillId="3" borderId="1" xfId="0" applyFont="1" applyFill="1" applyBorder="1" applyAlignment="1">
      <alignment shrinkToFit="1"/>
    </xf>
    <xf numFmtId="4" fontId="14" fillId="0" borderId="1" xfId="0" applyNumberFormat="1" applyFont="1" applyBorder="1" applyAlignment="1">
      <alignment shrinkToFit="1"/>
    </xf>
    <xf numFmtId="0" fontId="15" fillId="2" borderId="5" xfId="0" applyFont="1" applyFill="1" applyBorder="1" applyAlignment="1">
      <alignment shrinkToFit="1"/>
    </xf>
    <xf numFmtId="0" fontId="15" fillId="2" borderId="3" xfId="0" applyFont="1" applyFill="1" applyBorder="1" applyAlignment="1">
      <alignment shrinkToFit="1"/>
    </xf>
    <xf numFmtId="0" fontId="15" fillId="2" borderId="6" xfId="0" applyFont="1" applyFill="1" applyBorder="1" applyAlignment="1">
      <alignment shrinkToFit="1"/>
    </xf>
    <xf numFmtId="0" fontId="14" fillId="2" borderId="3" xfId="0" applyFont="1" applyFill="1" applyBorder="1" applyAlignment="1">
      <alignment shrinkToFit="1"/>
    </xf>
    <xf numFmtId="0" fontId="14" fillId="2" borderId="6" xfId="0" applyFont="1" applyFill="1" applyBorder="1" applyAlignment="1">
      <alignment shrinkToFit="1"/>
    </xf>
    <xf numFmtId="0" fontId="15" fillId="2" borderId="7" xfId="0" applyFont="1" applyFill="1" applyBorder="1" applyAlignment="1">
      <alignment shrinkToFit="1"/>
    </xf>
    <xf numFmtId="0" fontId="14" fillId="0" borderId="3" xfId="0" applyFont="1" applyBorder="1" applyAlignment="1">
      <alignment shrinkToFit="1"/>
    </xf>
    <xf numFmtId="0" fontId="14" fillId="2" borderId="7" xfId="0" applyFont="1" applyFill="1" applyBorder="1" applyAlignment="1">
      <alignment shrinkToFit="1"/>
    </xf>
    <xf numFmtId="0" fontId="15" fillId="0" borderId="8" xfId="0" applyFont="1" applyBorder="1" applyAlignment="1">
      <alignment shrinkToFit="1"/>
    </xf>
    <xf numFmtId="0" fontId="14" fillId="0" borderId="5" xfId="0" applyFont="1" applyBorder="1" applyAlignment="1">
      <alignment shrinkToFit="1"/>
    </xf>
    <xf numFmtId="0" fontId="14" fillId="0" borderId="14" xfId="0" applyFont="1" applyBorder="1" applyAlignment="1">
      <alignment shrinkToFit="1"/>
    </xf>
    <xf numFmtId="0" fontId="14" fillId="0" borderId="8" xfId="0" applyFont="1" applyBorder="1" applyAlignment="1">
      <alignment shrinkToFit="1"/>
    </xf>
    <xf numFmtId="10" fontId="14" fillId="0" borderId="5" xfId="0" applyNumberFormat="1" applyFont="1" applyBorder="1" applyAlignment="1">
      <alignment shrinkToFit="1"/>
    </xf>
    <xf numFmtId="0" fontId="14" fillId="3" borderId="5" xfId="0" applyFont="1" applyFill="1" applyBorder="1" applyAlignment="1">
      <alignment shrinkToFit="1"/>
    </xf>
    <xf numFmtId="0" fontId="14" fillId="2" borderId="15" xfId="0" applyFont="1" applyFill="1" applyBorder="1" applyAlignment="1">
      <alignment shrinkToFit="1"/>
    </xf>
    <xf numFmtId="10" fontId="14" fillId="3" borderId="17" xfId="0" applyNumberFormat="1" applyFont="1" applyFill="1" applyBorder="1" applyAlignment="1">
      <alignment shrinkToFit="1"/>
    </xf>
    <xf numFmtId="0" fontId="14" fillId="3" borderId="18" xfId="0" applyFont="1" applyFill="1" applyBorder="1" applyAlignment="1">
      <alignment shrinkToFit="1"/>
    </xf>
    <xf numFmtId="0" fontId="14" fillId="0" borderId="6" xfId="0" applyFont="1" applyBorder="1" applyAlignment="1">
      <alignment shrinkToFit="1"/>
    </xf>
    <xf numFmtId="10" fontId="14" fillId="0" borderId="6" xfId="0" applyNumberFormat="1" applyFont="1" applyBorder="1" applyAlignment="1">
      <alignment shrinkToFit="1"/>
    </xf>
    <xf numFmtId="0" fontId="14" fillId="3" borderId="6" xfId="0" applyFont="1" applyFill="1" applyBorder="1" applyAlignment="1">
      <alignment shrinkToFit="1"/>
    </xf>
    <xf numFmtId="10" fontId="14" fillId="0" borderId="0" xfId="0" applyNumberFormat="1" applyFont="1" applyAlignment="1">
      <alignment shrinkToFit="1"/>
    </xf>
    <xf numFmtId="10" fontId="14" fillId="2" borderId="1" xfId="0" applyNumberFormat="1" applyFont="1" applyFill="1" applyBorder="1" applyAlignment="1">
      <alignment shrinkToFit="1"/>
    </xf>
    <xf numFmtId="0" fontId="14" fillId="3" borderId="7" xfId="0" applyFont="1" applyFill="1" applyBorder="1" applyAlignment="1">
      <alignment shrinkToFit="1"/>
    </xf>
    <xf numFmtId="10" fontId="14" fillId="3" borderId="5" xfId="0" applyNumberFormat="1" applyFont="1" applyFill="1" applyBorder="1" applyAlignment="1">
      <alignment shrinkToFit="1"/>
    </xf>
    <xf numFmtId="0" fontId="14" fillId="0" borderId="11" xfId="0" applyFont="1" applyBorder="1" applyAlignment="1">
      <alignment shrinkToFit="1"/>
    </xf>
    <xf numFmtId="10" fontId="14" fillId="0" borderId="14" xfId="0" applyNumberFormat="1" applyFont="1" applyBorder="1" applyAlignment="1">
      <alignment shrinkToFit="1"/>
    </xf>
    <xf numFmtId="10" fontId="14" fillId="3" borderId="14" xfId="0" applyNumberFormat="1" applyFont="1" applyFill="1" applyBorder="1" applyAlignment="1">
      <alignment shrinkToFit="1"/>
    </xf>
    <xf numFmtId="0" fontId="14" fillId="2" borderId="2" xfId="0" applyFont="1" applyFill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17" fillId="0" borderId="1" xfId="0" applyFont="1" applyBorder="1" applyAlignment="1">
      <alignment shrinkToFit="1"/>
    </xf>
    <xf numFmtId="0" fontId="17" fillId="2" borderId="1" xfId="0" applyFont="1" applyFill="1" applyBorder="1" applyAlignment="1">
      <alignment horizontal="left" shrinkToFit="1"/>
    </xf>
    <xf numFmtId="0" fontId="18" fillId="2" borderId="1" xfId="0" applyFont="1" applyFill="1" applyBorder="1" applyAlignment="1">
      <alignment shrinkToFit="1"/>
    </xf>
    <xf numFmtId="0" fontId="17" fillId="2" borderId="6" xfId="0" applyFont="1" applyFill="1" applyBorder="1" applyAlignment="1">
      <alignment shrinkToFit="1"/>
    </xf>
    <xf numFmtId="0" fontId="17" fillId="2" borderId="2" xfId="0" applyFont="1" applyFill="1" applyBorder="1" applyAlignment="1">
      <alignment shrinkToFit="1"/>
    </xf>
    <xf numFmtId="0" fontId="18" fillId="2" borderId="5" xfId="0" applyFont="1" applyFill="1" applyBorder="1" applyAlignment="1">
      <alignment shrinkToFit="1"/>
    </xf>
    <xf numFmtId="0" fontId="18" fillId="2" borderId="4" xfId="0" applyFont="1" applyFill="1" applyBorder="1" applyAlignment="1">
      <alignment shrinkToFit="1"/>
    </xf>
    <xf numFmtId="0" fontId="14" fillId="2" borderId="22" xfId="0" applyFont="1" applyFill="1" applyBorder="1" applyAlignment="1">
      <alignment shrinkToFit="1"/>
    </xf>
    <xf numFmtId="0" fontId="14" fillId="2" borderId="23" xfId="0" applyFont="1" applyFill="1" applyBorder="1" applyAlignment="1">
      <alignment shrinkToFit="1"/>
    </xf>
    <xf numFmtId="0" fontId="17" fillId="2" borderId="22" xfId="0" applyFont="1" applyFill="1" applyBorder="1" applyAlignment="1">
      <alignment shrinkToFit="1"/>
    </xf>
    <xf numFmtId="0" fontId="17" fillId="2" borderId="1" xfId="0" applyFont="1" applyFill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17" fillId="2" borderId="16" xfId="0" applyFont="1" applyFill="1" applyBorder="1" applyAlignment="1">
      <alignment shrinkToFit="1"/>
    </xf>
    <xf numFmtId="0" fontId="17" fillId="4" borderId="0" xfId="0" applyFont="1" applyFill="1"/>
    <xf numFmtId="0" fontId="18" fillId="4" borderId="0" xfId="0" applyFont="1" applyFill="1" applyAlignment="1">
      <alignment shrinkToFit="1"/>
    </xf>
    <xf numFmtId="0" fontId="17" fillId="4" borderId="0" xfId="0" applyFont="1" applyFill="1" applyAlignment="1">
      <alignment shrinkToFit="1"/>
    </xf>
    <xf numFmtId="0" fontId="15" fillId="4" borderId="0" xfId="0" applyFont="1" applyFill="1" applyAlignment="1">
      <alignment shrinkToFit="1"/>
    </xf>
    <xf numFmtId="0" fontId="14" fillId="4" borderId="0" xfId="0" applyFont="1" applyFill="1"/>
    <xf numFmtId="10" fontId="14" fillId="4" borderId="0" xfId="0" applyNumberFormat="1" applyFont="1" applyFill="1" applyAlignment="1">
      <alignment shrinkToFit="1"/>
    </xf>
    <xf numFmtId="0" fontId="14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4" fillId="2" borderId="24" xfId="0" applyFont="1" applyFill="1" applyBorder="1" applyAlignment="1">
      <alignment shrinkToFit="1"/>
    </xf>
    <xf numFmtId="0" fontId="18" fillId="0" borderId="11" xfId="0" applyFont="1" applyBorder="1" applyAlignment="1">
      <alignment horizontal="right" shrinkToFit="1"/>
    </xf>
    <xf numFmtId="0" fontId="18" fillId="0" borderId="3" xfId="0" applyFont="1" applyBorder="1" applyAlignment="1">
      <alignment horizontal="right" shrinkToFit="1"/>
    </xf>
    <xf numFmtId="0" fontId="19" fillId="0" borderId="0" xfId="0" applyFont="1" applyAlignment="1">
      <alignment horizontal="center"/>
    </xf>
    <xf numFmtId="10" fontId="19" fillId="0" borderId="0" xfId="0" applyNumberFormat="1" applyFont="1"/>
    <xf numFmtId="0" fontId="19" fillId="0" borderId="0" xfId="0" applyFont="1"/>
    <xf numFmtId="0" fontId="16" fillId="0" borderId="3" xfId="0" applyFont="1" applyBorder="1" applyAlignment="1">
      <alignment shrinkToFit="1"/>
    </xf>
    <xf numFmtId="0" fontId="16" fillId="0" borderId="8" xfId="0" applyFont="1" applyBorder="1" applyAlignment="1">
      <alignment shrinkToFit="1"/>
    </xf>
    <xf numFmtId="0" fontId="14" fillId="0" borderId="4" xfId="0" applyFont="1" applyBorder="1" applyAlignment="1">
      <alignment shrinkToFit="1"/>
    </xf>
    <xf numFmtId="0" fontId="14" fillId="0" borderId="9" xfId="0" applyFont="1" applyBorder="1" applyAlignment="1">
      <alignment shrinkToFit="1"/>
    </xf>
    <xf numFmtId="0" fontId="22" fillId="0" borderId="0" xfId="0" applyFont="1" applyAlignment="1">
      <alignment horizontal="left" vertical="center"/>
    </xf>
    <xf numFmtId="0" fontId="27" fillId="0" borderId="0" xfId="0" applyFont="1"/>
    <xf numFmtId="176" fontId="28" fillId="5" borderId="0" xfId="0" applyNumberFormat="1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76" fontId="28" fillId="0" borderId="0" xfId="0" applyNumberFormat="1" applyFont="1" applyAlignment="1">
      <alignment horizontal="center" vertical="center"/>
    </xf>
    <xf numFmtId="179" fontId="27" fillId="0" borderId="0" xfId="0" applyNumberFormat="1" applyFont="1" applyAlignment="1">
      <alignment horizontal="center"/>
    </xf>
    <xf numFmtId="176" fontId="27" fillId="0" borderId="0" xfId="0" applyNumberFormat="1" applyFont="1"/>
    <xf numFmtId="177" fontId="27" fillId="0" borderId="0" xfId="0" applyNumberFormat="1" applyFont="1"/>
    <xf numFmtId="178" fontId="27" fillId="0" borderId="0" xfId="0" applyNumberFormat="1" applyFont="1"/>
    <xf numFmtId="10" fontId="27" fillId="0" borderId="0" xfId="0" applyNumberFormat="1" applyFont="1"/>
    <xf numFmtId="176" fontId="28" fillId="6" borderId="0" xfId="0" applyNumberFormat="1" applyFont="1" applyFill="1" applyAlignment="1">
      <alignment horizontal="center" vertical="center"/>
    </xf>
    <xf numFmtId="176" fontId="28" fillId="8" borderId="0" xfId="0" applyNumberFormat="1" applyFont="1" applyFill="1" applyAlignment="1">
      <alignment horizontal="center" vertical="center"/>
    </xf>
    <xf numFmtId="180" fontId="27" fillId="0" borderId="0" xfId="0" applyNumberFormat="1" applyFont="1"/>
    <xf numFmtId="180" fontId="19" fillId="0" borderId="0" xfId="0" applyNumberFormat="1" applyFont="1"/>
    <xf numFmtId="176" fontId="21" fillId="0" borderId="0" xfId="0" applyNumberFormat="1" applyFont="1" applyAlignment="1">
      <alignment horizontal="center" vertical="center"/>
    </xf>
    <xf numFmtId="180" fontId="21" fillId="0" borderId="0" xfId="0" applyNumberFormat="1" applyFont="1" applyAlignment="1">
      <alignment horizontal="center" vertical="center"/>
    </xf>
    <xf numFmtId="182" fontId="27" fillId="0" borderId="0" xfId="0" applyNumberFormat="1" applyFont="1"/>
    <xf numFmtId="182" fontId="28" fillId="0" borderId="22" xfId="0" applyNumberFormat="1" applyFont="1" applyBorder="1" applyAlignment="1">
      <alignment horizontal="center" vertical="center"/>
    </xf>
    <xf numFmtId="10" fontId="28" fillId="0" borderId="22" xfId="0" applyNumberFormat="1" applyFont="1" applyBorder="1" applyAlignment="1">
      <alignment horizontal="center" vertical="center"/>
    </xf>
    <xf numFmtId="182" fontId="27" fillId="0" borderId="22" xfId="0" applyNumberFormat="1" applyFont="1" applyBorder="1"/>
    <xf numFmtId="10" fontId="27" fillId="0" borderId="22" xfId="0" applyNumberFormat="1" applyFont="1" applyBorder="1"/>
    <xf numFmtId="182" fontId="27" fillId="0" borderId="0" xfId="0" applyNumberFormat="1" applyFont="1" applyAlignment="1">
      <alignment horizontal="center"/>
    </xf>
    <xf numFmtId="0" fontId="31" fillId="0" borderId="0" xfId="0" applyFont="1"/>
    <xf numFmtId="177" fontId="27" fillId="0" borderId="0" xfId="0" applyNumberFormat="1" applyFont="1" applyAlignment="1">
      <alignment horizontal="center"/>
    </xf>
    <xf numFmtId="177" fontId="21" fillId="0" borderId="22" xfId="0" applyNumberFormat="1" applyFont="1" applyBorder="1" applyAlignment="1">
      <alignment horizontal="center" vertical="center"/>
    </xf>
    <xf numFmtId="177" fontId="27" fillId="0" borderId="22" xfId="0" applyNumberFormat="1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4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14" fillId="0" borderId="3" xfId="0" applyFont="1" applyBorder="1" applyAlignment="1">
      <alignment vertical="center" shrinkToFit="1"/>
    </xf>
    <xf numFmtId="0" fontId="14" fillId="0" borderId="8" xfId="0" applyFont="1" applyBorder="1" applyAlignment="1">
      <alignment vertical="center" shrinkToFit="1"/>
    </xf>
    <xf numFmtId="0" fontId="17" fillId="2" borderId="1" xfId="0" applyFont="1" applyFill="1" applyBorder="1" applyAlignment="1">
      <alignment horizontal="center" vertical="center" shrinkToFit="1"/>
    </xf>
    <xf numFmtId="0" fontId="17" fillId="2" borderId="4" xfId="0" applyFont="1" applyFill="1" applyBorder="1" applyAlignment="1">
      <alignment horizontal="center" vertical="center" shrinkToFit="1"/>
    </xf>
    <xf numFmtId="0" fontId="17" fillId="2" borderId="2" xfId="0" applyFont="1" applyFill="1" applyBorder="1" applyAlignment="1">
      <alignment horizontal="center" vertical="center" shrinkToFit="1"/>
    </xf>
    <xf numFmtId="0" fontId="17" fillId="2" borderId="3" xfId="0" applyFont="1" applyFill="1" applyBorder="1" applyAlignment="1">
      <alignment horizontal="center" vertical="center" shrinkToFit="1"/>
    </xf>
    <xf numFmtId="0" fontId="14" fillId="2" borderId="1" xfId="0" applyFont="1" applyFill="1" applyBorder="1" applyAlignment="1">
      <alignment horizontal="center" vertical="center" shrinkToFit="1"/>
    </xf>
    <xf numFmtId="0" fontId="17" fillId="2" borderId="16" xfId="0" applyFont="1" applyFill="1" applyBorder="1" applyAlignment="1">
      <alignment horizontal="center" shrinkToFit="1"/>
    </xf>
    <xf numFmtId="0" fontId="27" fillId="0" borderId="0" xfId="0" applyFont="1" applyAlignment="1">
      <alignment shrinkToFit="1"/>
    </xf>
    <xf numFmtId="0" fontId="27" fillId="4" borderId="0" xfId="0" applyFont="1" applyFill="1" applyAlignment="1">
      <alignment shrinkToFit="1"/>
    </xf>
    <xf numFmtId="0" fontId="27" fillId="0" borderId="0" xfId="0" applyFont="1" applyAlignment="1">
      <alignment horizontal="center" vertical="center" shrinkToFit="1"/>
    </xf>
    <xf numFmtId="0" fontId="29" fillId="0" borderId="22" xfId="0" applyFont="1" applyBorder="1" applyAlignment="1">
      <alignment shrinkToFit="1"/>
    </xf>
    <xf numFmtId="10" fontId="29" fillId="0" borderId="22" xfId="0" applyNumberFormat="1" applyFont="1" applyBorder="1" applyAlignment="1">
      <alignment shrinkToFit="1"/>
    </xf>
    <xf numFmtId="0" fontId="29" fillId="0" borderId="22" xfId="0" applyFont="1" applyBorder="1" applyAlignment="1">
      <alignment horizontal="center" vertical="center" shrinkToFit="1"/>
    </xf>
    <xf numFmtId="0" fontId="27" fillId="0" borderId="0" xfId="0" applyFont="1" applyAlignment="1">
      <alignment vertical="center" shrinkToFit="1"/>
    </xf>
    <xf numFmtId="0" fontId="29" fillId="2" borderId="22" xfId="0" applyFont="1" applyFill="1" applyBorder="1" applyAlignment="1">
      <alignment horizontal="center" vertical="center" shrinkToFit="1"/>
    </xf>
    <xf numFmtId="0" fontId="29" fillId="2" borderId="3" xfId="0" applyFont="1" applyFill="1" applyBorder="1" applyAlignment="1">
      <alignment horizontal="center" vertical="center" shrinkToFit="1"/>
    </xf>
    <xf numFmtId="0" fontId="29" fillId="2" borderId="4" xfId="0" applyFont="1" applyFill="1" applyBorder="1" applyAlignment="1">
      <alignment horizontal="center" vertical="center" shrinkToFit="1"/>
    </xf>
    <xf numFmtId="0" fontId="29" fillId="2" borderId="2" xfId="0" applyFont="1" applyFill="1" applyBorder="1" applyAlignment="1">
      <alignment horizontal="center" vertical="center" shrinkToFit="1"/>
    </xf>
    <xf numFmtId="0" fontId="29" fillId="2" borderId="1" xfId="0" applyFont="1" applyFill="1" applyBorder="1" applyAlignment="1">
      <alignment horizontal="center" vertical="center" shrinkToFit="1"/>
    </xf>
    <xf numFmtId="0" fontId="29" fillId="0" borderId="3" xfId="0" applyFont="1" applyBorder="1" applyAlignment="1">
      <alignment vertical="center" shrinkToFit="1"/>
    </xf>
    <xf numFmtId="0" fontId="29" fillId="0" borderId="1" xfId="0" applyFont="1" applyBorder="1" applyAlignment="1">
      <alignment shrinkToFit="1"/>
    </xf>
    <xf numFmtId="10" fontId="29" fillId="0" borderId="1" xfId="0" applyNumberFormat="1" applyFont="1" applyBorder="1" applyAlignment="1">
      <alignment shrinkToFit="1"/>
    </xf>
    <xf numFmtId="0" fontId="29" fillId="3" borderId="1" xfId="0" applyFont="1" applyFill="1" applyBorder="1" applyAlignment="1">
      <alignment shrinkToFit="1"/>
    </xf>
    <xf numFmtId="0" fontId="29" fillId="0" borderId="4" xfId="0" applyFont="1" applyBorder="1" applyAlignment="1">
      <alignment shrinkToFit="1"/>
    </xf>
    <xf numFmtId="0" fontId="50" fillId="0" borderId="3" xfId="0" applyFont="1" applyBorder="1" applyAlignment="1">
      <alignment shrinkToFit="1"/>
    </xf>
    <xf numFmtId="0" fontId="29" fillId="0" borderId="8" xfId="0" applyFont="1" applyBorder="1" applyAlignment="1">
      <alignment vertical="center" shrinkToFit="1"/>
    </xf>
    <xf numFmtId="0" fontId="29" fillId="0" borderId="5" xfId="0" applyFont="1" applyBorder="1" applyAlignment="1">
      <alignment shrinkToFit="1"/>
    </xf>
    <xf numFmtId="10" fontId="29" fillId="0" borderId="5" xfId="0" applyNumberFormat="1" applyFont="1" applyBorder="1" applyAlignment="1">
      <alignment shrinkToFit="1"/>
    </xf>
    <xf numFmtId="0" fontId="29" fillId="3" borderId="5" xfId="0" applyFont="1" applyFill="1" applyBorder="1" applyAlignment="1">
      <alignment shrinkToFit="1"/>
    </xf>
    <xf numFmtId="0" fontId="29" fillId="0" borderId="9" xfId="0" applyFont="1" applyBorder="1" applyAlignment="1">
      <alignment shrinkToFit="1"/>
    </xf>
    <xf numFmtId="0" fontId="50" fillId="0" borderId="8" xfId="0" applyFont="1" applyBorder="1" applyAlignment="1">
      <alignment shrinkToFit="1"/>
    </xf>
    <xf numFmtId="0" fontId="29" fillId="2" borderId="16" xfId="0" applyFont="1" applyFill="1" applyBorder="1" applyAlignment="1">
      <alignment horizontal="center" shrinkToFit="1"/>
    </xf>
    <xf numFmtId="10" fontId="29" fillId="3" borderId="17" xfId="0" applyNumberFormat="1" applyFont="1" applyFill="1" applyBorder="1" applyAlignment="1">
      <alignment horizontal="center" shrinkToFit="1"/>
    </xf>
    <xf numFmtId="0" fontId="29" fillId="3" borderId="18" xfId="0" applyFont="1" applyFill="1" applyBorder="1" applyAlignment="1">
      <alignment shrinkToFit="1"/>
    </xf>
    <xf numFmtId="0" fontId="27" fillId="0" borderId="0" xfId="0" applyFont="1" applyAlignment="1">
      <alignment wrapText="1" shrinkToFit="1"/>
    </xf>
    <xf numFmtId="0" fontId="27" fillId="0" borderId="0" xfId="0" applyFont="1" applyAlignment="1">
      <alignment horizontal="center" vertical="center" wrapText="1" shrinkToFit="1"/>
    </xf>
    <xf numFmtId="10" fontId="29" fillId="2" borderId="22" xfId="0" applyNumberFormat="1" applyFont="1" applyFill="1" applyBorder="1" applyAlignment="1">
      <alignment horizontal="center" vertical="center" shrinkToFit="1"/>
    </xf>
    <xf numFmtId="10" fontId="29" fillId="3" borderId="22" xfId="0" applyNumberFormat="1" applyFont="1" applyFill="1" applyBorder="1" applyAlignment="1">
      <alignment shrinkToFit="1"/>
    </xf>
    <xf numFmtId="0" fontId="29" fillId="2" borderId="23" xfId="0" applyFont="1" applyFill="1" applyBorder="1" applyAlignment="1">
      <alignment horizontal="center" vertical="center" shrinkToFit="1"/>
    </xf>
    <xf numFmtId="10" fontId="29" fillId="2" borderId="23" xfId="0" applyNumberFormat="1" applyFont="1" applyFill="1" applyBorder="1" applyAlignment="1">
      <alignment horizontal="center" vertical="center" shrinkToFit="1"/>
    </xf>
    <xf numFmtId="0" fontId="36" fillId="0" borderId="34" xfId="0" applyFont="1" applyBorder="1" applyAlignment="1">
      <alignment horizontal="left" vertical="center"/>
    </xf>
    <xf numFmtId="0" fontId="36" fillId="0" borderId="26" xfId="0" applyFont="1" applyBorder="1" applyAlignment="1">
      <alignment horizontal="left" vertical="center"/>
    </xf>
    <xf numFmtId="0" fontId="36" fillId="0" borderId="36" xfId="0" applyFont="1" applyBorder="1" applyAlignment="1">
      <alignment horizontal="left" vertical="center"/>
    </xf>
    <xf numFmtId="183" fontId="0" fillId="0" borderId="22" xfId="0" applyNumberFormat="1" applyBorder="1" applyAlignment="1">
      <alignment horizontal="center" vertical="center"/>
    </xf>
    <xf numFmtId="0" fontId="36" fillId="0" borderId="0" xfId="0" applyFont="1" applyAlignment="1">
      <alignment horizontal="left" vertical="center"/>
    </xf>
    <xf numFmtId="1" fontId="0" fillId="0" borderId="22" xfId="0" applyNumberFormat="1" applyBorder="1" applyAlignment="1">
      <alignment horizontal="center" vertical="center"/>
    </xf>
    <xf numFmtId="0" fontId="27" fillId="0" borderId="0" xfId="78" applyFont="1" applyAlignment="1">
      <alignment shrinkToFit="1"/>
    </xf>
    <xf numFmtId="0" fontId="27" fillId="4" borderId="0" xfId="78" applyFont="1" applyFill="1" applyAlignment="1">
      <alignment shrinkToFit="1"/>
    </xf>
    <xf numFmtId="0" fontId="42" fillId="0" borderId="6" xfId="78" applyFont="1" applyBorder="1" applyAlignment="1">
      <alignment horizontal="center" shrinkToFit="1"/>
    </xf>
    <xf numFmtId="3" fontId="37" fillId="0" borderId="6" xfId="78" applyNumberFormat="1" applyFont="1" applyBorder="1" applyAlignment="1">
      <alignment shrinkToFit="1"/>
    </xf>
    <xf numFmtId="10" fontId="37" fillId="0" borderId="6" xfId="78" applyNumberFormat="1" applyFont="1" applyBorder="1" applyAlignment="1">
      <alignment shrinkToFit="1"/>
    </xf>
    <xf numFmtId="3" fontId="29" fillId="0" borderId="22" xfId="78" applyNumberFormat="1" applyFont="1" applyBorder="1" applyAlignment="1">
      <alignment shrinkToFit="1"/>
    </xf>
    <xf numFmtId="10" fontId="29" fillId="0" borderId="22" xfId="78" applyNumberFormat="1" applyFont="1" applyBorder="1" applyAlignment="1">
      <alignment shrinkToFit="1"/>
    </xf>
    <xf numFmtId="0" fontId="42" fillId="0" borderId="1" xfId="78" applyFont="1" applyBorder="1" applyAlignment="1">
      <alignment horizontal="center" shrinkToFit="1"/>
    </xf>
    <xf numFmtId="3" fontId="37" fillId="0" borderId="1" xfId="78" applyNumberFormat="1" applyFont="1" applyBorder="1" applyAlignment="1">
      <alignment shrinkToFit="1"/>
    </xf>
    <xf numFmtId="0" fontId="31" fillId="0" borderId="0" xfId="78" applyFont="1"/>
    <xf numFmtId="0" fontId="31" fillId="0" borderId="0" xfId="78" applyFont="1" applyAlignment="1">
      <alignment vertical="center"/>
    </xf>
    <xf numFmtId="0" fontId="31" fillId="0" borderId="0" xfId="78" applyFont="1" applyAlignment="1">
      <alignment horizontal="center"/>
    </xf>
    <xf numFmtId="1" fontId="0" fillId="0" borderId="31" xfId="0" applyNumberFormat="1" applyBorder="1" applyAlignment="1">
      <alignment horizontal="center" vertical="center"/>
    </xf>
    <xf numFmtId="0" fontId="36" fillId="0" borderId="32" xfId="0" applyFont="1" applyBorder="1" applyAlignment="1">
      <alignment horizontal="left" vertical="center"/>
    </xf>
    <xf numFmtId="0" fontId="36" fillId="0" borderId="37" xfId="0" applyFont="1" applyBorder="1" applyAlignment="1">
      <alignment horizontal="left" vertical="center"/>
    </xf>
    <xf numFmtId="0" fontId="14" fillId="0" borderId="0" xfId="87"/>
    <xf numFmtId="0" fontId="57" fillId="9" borderId="30" xfId="87" applyFont="1" applyFill="1" applyBorder="1"/>
    <xf numFmtId="0" fontId="57" fillId="0" borderId="0" xfId="87" applyFont="1"/>
    <xf numFmtId="0" fontId="57" fillId="0" borderId="22" xfId="87" applyFont="1" applyBorder="1"/>
    <xf numFmtId="0" fontId="57" fillId="9" borderId="22" xfId="87" applyFont="1" applyFill="1" applyBorder="1"/>
    <xf numFmtId="185" fontId="27" fillId="0" borderId="0" xfId="0" applyNumberFormat="1" applyFont="1"/>
    <xf numFmtId="0" fontId="58" fillId="0" borderId="0" xfId="0" applyFont="1" applyAlignment="1">
      <alignment vertical="center"/>
    </xf>
    <xf numFmtId="0" fontId="31" fillId="5" borderId="23" xfId="78" applyFont="1" applyFill="1" applyBorder="1" applyAlignment="1">
      <alignment horizontal="center" vertical="center"/>
    </xf>
    <xf numFmtId="0" fontId="29" fillId="5" borderId="22" xfId="78" applyFont="1" applyFill="1" applyBorder="1" applyAlignment="1">
      <alignment horizontal="center" vertical="center" shrinkToFit="1"/>
    </xf>
    <xf numFmtId="0" fontId="27" fillId="4" borderId="0" xfId="78" applyFont="1" applyFill="1" applyAlignment="1">
      <alignment horizontal="center" vertical="center" shrinkToFit="1"/>
    </xf>
    <xf numFmtId="0" fontId="27" fillId="0" borderId="0" xfId="78" applyFont="1" applyAlignment="1">
      <alignment horizontal="center" vertical="center" shrinkToFit="1"/>
    </xf>
    <xf numFmtId="0" fontId="29" fillId="5" borderId="22" xfId="78" applyFont="1" applyFill="1" applyBorder="1" applyAlignment="1">
      <alignment horizontal="center" shrinkToFit="1"/>
    </xf>
    <xf numFmtId="0" fontId="27" fillId="4" borderId="0" xfId="78" applyFont="1" applyFill="1" applyAlignment="1">
      <alignment horizontal="center" shrinkToFit="1"/>
    </xf>
    <xf numFmtId="0" fontId="42" fillId="2" borderId="22" xfId="78" applyFont="1" applyFill="1" applyBorder="1" applyAlignment="1">
      <alignment horizontal="center" vertical="center" shrinkToFit="1"/>
    </xf>
    <xf numFmtId="0" fontId="29" fillId="2" borderId="22" xfId="78" applyFont="1" applyFill="1" applyBorder="1" applyAlignment="1">
      <alignment horizontal="center" vertical="center" shrinkToFit="1"/>
    </xf>
    <xf numFmtId="0" fontId="42" fillId="0" borderId="22" xfId="78" applyFont="1" applyBorder="1" applyAlignment="1">
      <alignment shrinkToFit="1"/>
    </xf>
    <xf numFmtId="0" fontId="29" fillId="0" borderId="22" xfId="78" applyFont="1" applyBorder="1" applyAlignment="1">
      <alignment shrinkToFit="1"/>
    </xf>
    <xf numFmtId="0" fontId="42" fillId="0" borderId="22" xfId="78" applyFont="1" applyBorder="1" applyAlignment="1">
      <alignment horizontal="right" shrinkToFit="1"/>
    </xf>
    <xf numFmtId="0" fontId="42" fillId="2" borderId="22" xfId="78" applyFont="1" applyFill="1" applyBorder="1" applyAlignment="1">
      <alignment horizontal="center" shrinkToFit="1"/>
    </xf>
    <xf numFmtId="0" fontId="29" fillId="2" borderId="22" xfId="78" applyFont="1" applyFill="1" applyBorder="1" applyAlignment="1">
      <alignment horizontal="center" shrinkToFit="1"/>
    </xf>
    <xf numFmtId="0" fontId="27" fillId="0" borderId="0" xfId="78" applyFont="1" applyAlignment="1">
      <alignment horizontal="center" shrinkToFit="1"/>
    </xf>
    <xf numFmtId="1" fontId="29" fillId="0" borderId="22" xfId="78" applyNumberFormat="1" applyFont="1" applyBorder="1" applyAlignment="1">
      <alignment shrinkToFit="1"/>
    </xf>
    <xf numFmtId="183" fontId="29" fillId="0" borderId="22" xfId="78" applyNumberFormat="1" applyFont="1" applyBorder="1" applyAlignment="1">
      <alignment shrinkToFit="1"/>
    </xf>
    <xf numFmtId="183" fontId="29" fillId="3" borderId="1" xfId="0" applyNumberFormat="1" applyFont="1" applyFill="1" applyBorder="1" applyAlignment="1">
      <alignment shrinkToFit="1"/>
    </xf>
    <xf numFmtId="183" fontId="29" fillId="3" borderId="5" xfId="0" applyNumberFormat="1" applyFont="1" applyFill="1" applyBorder="1" applyAlignment="1">
      <alignment shrinkToFit="1"/>
    </xf>
    <xf numFmtId="183" fontId="14" fillId="3" borderId="1" xfId="0" applyNumberFormat="1" applyFont="1" applyFill="1" applyBorder="1" applyAlignment="1">
      <alignment shrinkToFit="1"/>
    </xf>
    <xf numFmtId="183" fontId="14" fillId="3" borderId="5" xfId="0" applyNumberFormat="1" applyFont="1" applyFill="1" applyBorder="1" applyAlignment="1">
      <alignment shrinkToFit="1"/>
    </xf>
    <xf numFmtId="0" fontId="38" fillId="0" borderId="0" xfId="104" applyFont="1" applyAlignment="1">
      <alignment horizontal="center" vertical="center"/>
    </xf>
    <xf numFmtId="0" fontId="7" fillId="0" borderId="0" xfId="104">
      <alignment vertical="center"/>
    </xf>
    <xf numFmtId="0" fontId="62" fillId="0" borderId="0" xfId="104" applyFont="1" applyAlignment="1">
      <alignment horizontal="center" vertical="center"/>
    </xf>
    <xf numFmtId="186" fontId="27" fillId="0" borderId="0" xfId="0" applyNumberFormat="1" applyFont="1"/>
    <xf numFmtId="0" fontId="23" fillId="0" borderId="0" xfId="0" applyFont="1" applyAlignment="1">
      <alignment vertical="center"/>
    </xf>
    <xf numFmtId="0" fontId="22" fillId="0" borderId="0" xfId="78" applyFont="1" applyAlignment="1">
      <alignment horizontal="left" vertical="center"/>
    </xf>
    <xf numFmtId="0" fontId="58" fillId="0" borderId="0" xfId="78" applyFont="1" applyAlignment="1">
      <alignment vertical="center"/>
    </xf>
    <xf numFmtId="183" fontId="25" fillId="0" borderId="0" xfId="78" applyNumberFormat="1" applyAlignment="1">
      <alignment horizontal="center" vertical="center"/>
    </xf>
    <xf numFmtId="0" fontId="25" fillId="0" borderId="0" xfId="78" applyAlignment="1">
      <alignment horizontal="center" vertical="center"/>
    </xf>
    <xf numFmtId="0" fontId="25" fillId="0" borderId="0" xfId="78" applyAlignment="1">
      <alignment vertical="center"/>
    </xf>
    <xf numFmtId="0" fontId="27" fillId="0" borderId="0" xfId="78" applyFont="1" applyAlignment="1">
      <alignment vertical="center"/>
    </xf>
    <xf numFmtId="0" fontId="36" fillId="0" borderId="0" xfId="78" applyFont="1" applyAlignment="1">
      <alignment horizontal="left" vertical="center"/>
    </xf>
    <xf numFmtId="0" fontId="36" fillId="0" borderId="34" xfId="78" applyFont="1" applyBorder="1" applyAlignment="1">
      <alignment horizontal="left" vertical="center"/>
    </xf>
    <xf numFmtId="0" fontId="36" fillId="0" borderId="26" xfId="78" applyFont="1" applyBorder="1" applyAlignment="1">
      <alignment horizontal="left" vertical="center"/>
    </xf>
    <xf numFmtId="0" fontId="36" fillId="0" borderId="36" xfId="78" applyFont="1" applyBorder="1" applyAlignment="1">
      <alignment horizontal="left" vertical="center"/>
    </xf>
    <xf numFmtId="0" fontId="27" fillId="0" borderId="0" xfId="78" applyFont="1" applyAlignment="1">
      <alignment horizontal="center" vertical="center"/>
    </xf>
    <xf numFmtId="0" fontId="34" fillId="0" borderId="22" xfId="78" applyFont="1" applyBorder="1" applyAlignment="1">
      <alignment horizontal="center" vertical="center"/>
    </xf>
    <xf numFmtId="0" fontId="25" fillId="0" borderId="22" xfId="78" applyBorder="1" applyAlignment="1">
      <alignment horizontal="center" vertical="center"/>
    </xf>
    <xf numFmtId="1" fontId="25" fillId="0" borderId="22" xfId="78" applyNumberFormat="1" applyBorder="1" applyAlignment="1">
      <alignment horizontal="center" vertical="center"/>
    </xf>
    <xf numFmtId="183" fontId="25" fillId="0" borderId="22" xfId="78" applyNumberFormat="1" applyBorder="1" applyAlignment="1">
      <alignment horizontal="center" vertical="center"/>
    </xf>
    <xf numFmtId="1" fontId="25" fillId="0" borderId="31" xfId="78" applyNumberFormat="1" applyBorder="1" applyAlignment="1">
      <alignment horizontal="center" vertical="center"/>
    </xf>
    <xf numFmtId="0" fontId="61" fillId="0" borderId="22" xfId="78" applyFont="1" applyBorder="1" applyAlignment="1">
      <alignment horizontal="center" vertical="center"/>
    </xf>
    <xf numFmtId="0" fontId="36" fillId="0" borderId="37" xfId="78" applyFont="1" applyBorder="1" applyAlignment="1">
      <alignment horizontal="left" vertical="center"/>
    </xf>
    <xf numFmtId="0" fontId="36" fillId="0" borderId="32" xfId="78" applyFont="1" applyBorder="1" applyAlignment="1">
      <alignment horizontal="left" vertical="center"/>
    </xf>
    <xf numFmtId="0" fontId="61" fillId="0" borderId="22" xfId="0" applyFont="1" applyBorder="1" applyAlignment="1">
      <alignment horizontal="center" vertical="center"/>
    </xf>
    <xf numFmtId="179" fontId="72" fillId="0" borderId="0" xfId="0" applyNumberFormat="1" applyFont="1" applyAlignment="1">
      <alignment horizontal="center"/>
    </xf>
    <xf numFmtId="185" fontId="14" fillId="0" borderId="1" xfId="265" applyNumberFormat="1" applyFont="1" applyBorder="1" applyAlignment="1">
      <alignment shrinkToFit="1"/>
    </xf>
    <xf numFmtId="185" fontId="29" fillId="0" borderId="22" xfId="265" applyNumberFormat="1" applyFont="1" applyBorder="1" applyAlignment="1">
      <alignment shrinkToFit="1"/>
    </xf>
    <xf numFmtId="183" fontId="29" fillId="3" borderId="18" xfId="0" applyNumberFormat="1" applyFont="1" applyFill="1" applyBorder="1" applyAlignment="1">
      <alignment shrinkToFit="1"/>
    </xf>
    <xf numFmtId="185" fontId="29" fillId="0" borderId="1" xfId="0" applyNumberFormat="1" applyFont="1" applyBorder="1" applyAlignment="1">
      <alignment shrinkToFit="1"/>
    </xf>
    <xf numFmtId="185" fontId="27" fillId="0" borderId="0" xfId="0" applyNumberFormat="1" applyFont="1" applyAlignment="1">
      <alignment vertical="center"/>
    </xf>
    <xf numFmtId="0" fontId="31" fillId="0" borderId="22" xfId="78" applyFont="1" applyBorder="1" applyAlignment="1">
      <alignment horizontal="center" vertical="center"/>
    </xf>
    <xf numFmtId="0" fontId="37" fillId="5" borderId="22" xfId="20" applyFont="1" applyFill="1" applyBorder="1" applyAlignment="1">
      <alignment horizontal="center" vertical="center"/>
    </xf>
    <xf numFmtId="0" fontId="37" fillId="5" borderId="23" xfId="87" applyFont="1" applyFill="1" applyBorder="1" applyAlignment="1">
      <alignment horizontal="center" vertical="center"/>
    </xf>
    <xf numFmtId="0" fontId="37" fillId="5" borderId="22" xfId="20" applyFont="1" applyFill="1" applyBorder="1" applyAlignment="1">
      <alignment horizontal="center" vertical="center" wrapText="1"/>
    </xf>
    <xf numFmtId="0" fontId="31" fillId="0" borderId="0" xfId="78" applyFont="1" applyAlignment="1">
      <alignment horizontal="center" vertical="center"/>
    </xf>
    <xf numFmtId="185" fontId="37" fillId="9" borderId="22" xfId="265" applyNumberFormat="1" applyFont="1" applyFill="1" applyBorder="1" applyAlignment="1">
      <alignment horizontal="center" vertical="center"/>
    </xf>
    <xf numFmtId="185" fontId="37" fillId="9" borderId="22" xfId="275" applyNumberFormat="1" applyFont="1" applyFill="1" applyBorder="1" applyAlignment="1">
      <alignment horizontal="center" vertical="center"/>
    </xf>
    <xf numFmtId="188" fontId="37" fillId="9" borderId="22" xfId="78" applyNumberFormat="1" applyFont="1" applyFill="1" applyBorder="1" applyAlignment="1">
      <alignment horizontal="center" vertical="center"/>
    </xf>
    <xf numFmtId="0" fontId="65" fillId="0" borderId="22" xfId="78" applyFont="1" applyBorder="1" applyAlignment="1">
      <alignment horizontal="center" vertical="center"/>
    </xf>
    <xf numFmtId="0" fontId="37" fillId="0" borderId="22" xfId="78" applyFont="1" applyBorder="1" applyAlignment="1">
      <alignment horizontal="center" vertical="center"/>
    </xf>
    <xf numFmtId="0" fontId="59" fillId="0" borderId="0" xfId="78" applyFont="1" applyAlignment="1">
      <alignment horizontal="center" vertical="center"/>
    </xf>
    <xf numFmtId="1" fontId="31" fillId="0" borderId="41" xfId="78" applyNumberFormat="1" applyFont="1" applyBorder="1" applyAlignment="1">
      <alignment horizontal="center" vertical="center"/>
    </xf>
    <xf numFmtId="0" fontId="31" fillId="0" borderId="41" xfId="78" applyFont="1" applyBorder="1" applyAlignment="1">
      <alignment horizontal="center" vertical="center"/>
    </xf>
    <xf numFmtId="0" fontId="69" fillId="0" borderId="22" xfId="78" applyFont="1" applyBorder="1" applyAlignment="1">
      <alignment horizontal="center" vertical="center"/>
    </xf>
    <xf numFmtId="1" fontId="55" fillId="0" borderId="41" xfId="78" applyNumberFormat="1" applyFont="1" applyBorder="1" applyAlignment="1">
      <alignment horizontal="center" vertical="center"/>
    </xf>
    <xf numFmtId="0" fontId="69" fillId="0" borderId="0" xfId="78" applyFont="1" applyAlignment="1">
      <alignment horizontal="center" vertical="center"/>
    </xf>
    <xf numFmtId="0" fontId="65" fillId="0" borderId="0" xfId="78" applyFont="1" applyAlignment="1">
      <alignment horizontal="center" vertical="center"/>
    </xf>
    <xf numFmtId="0" fontId="31" fillId="0" borderId="22" xfId="78" applyFont="1" applyBorder="1" applyAlignment="1">
      <alignment horizontal="left" vertical="center"/>
    </xf>
    <xf numFmtId="0" fontId="37" fillId="0" borderId="22" xfId="78" applyFont="1" applyBorder="1" applyAlignment="1">
      <alignment horizontal="left" vertical="center"/>
    </xf>
    <xf numFmtId="0" fontId="65" fillId="0" borderId="22" xfId="78" applyFont="1" applyBorder="1" applyAlignment="1">
      <alignment horizontal="left" vertical="center"/>
    </xf>
    <xf numFmtId="0" fontId="31" fillId="0" borderId="0" xfId="78" applyFont="1" applyAlignment="1">
      <alignment horizontal="left" vertical="center"/>
    </xf>
    <xf numFmtId="0" fontId="59" fillId="0" borderId="0" xfId="78" applyFont="1" applyAlignment="1">
      <alignment horizontal="left" vertical="center"/>
    </xf>
    <xf numFmtId="186" fontId="27" fillId="0" borderId="22" xfId="0" applyNumberFormat="1" applyFont="1" applyBorder="1"/>
    <xf numFmtId="0" fontId="4" fillId="0" borderId="0" xfId="21">
      <alignment vertical="center"/>
    </xf>
    <xf numFmtId="190" fontId="78" fillId="9" borderId="43" xfId="21" applyNumberFormat="1" applyFont="1" applyFill="1" applyBorder="1" applyAlignment="1">
      <alignment horizontal="center" vertical="center"/>
    </xf>
    <xf numFmtId="191" fontId="78" fillId="0" borderId="43" xfId="21" applyNumberFormat="1" applyFont="1" applyBorder="1" applyAlignment="1">
      <alignment horizontal="center" vertical="center"/>
    </xf>
    <xf numFmtId="190" fontId="78" fillId="9" borderId="43" xfId="49" applyNumberFormat="1" applyFont="1" applyFill="1" applyBorder="1" applyAlignment="1">
      <alignment horizontal="center" vertical="center"/>
    </xf>
    <xf numFmtId="10" fontId="78" fillId="0" borderId="43" xfId="272" applyNumberFormat="1" applyFont="1" applyBorder="1" applyAlignment="1">
      <alignment horizontal="center" vertical="center"/>
    </xf>
    <xf numFmtId="190" fontId="78" fillId="9" borderId="43" xfId="272" applyNumberFormat="1" applyFont="1" applyFill="1" applyBorder="1" applyAlignment="1">
      <alignment horizontal="center" vertical="center"/>
    </xf>
    <xf numFmtId="192" fontId="78" fillId="9" borderId="43" xfId="21" applyNumberFormat="1" applyFont="1" applyFill="1" applyBorder="1" applyAlignment="1">
      <alignment horizontal="center" vertical="center"/>
    </xf>
    <xf numFmtId="10" fontId="78" fillId="0" borderId="43" xfId="21" applyNumberFormat="1" applyFont="1" applyBorder="1" applyAlignment="1">
      <alignment horizontal="center" vertical="center"/>
    </xf>
    <xf numFmtId="190" fontId="78" fillId="9" borderId="22" xfId="21" applyNumberFormat="1" applyFont="1" applyFill="1" applyBorder="1" applyAlignment="1">
      <alignment horizontal="center" vertical="center"/>
    </xf>
    <xf numFmtId="191" fontId="78" fillId="0" borderId="22" xfId="21" applyNumberFormat="1" applyFont="1" applyBorder="1" applyAlignment="1">
      <alignment horizontal="center" vertical="center"/>
    </xf>
    <xf numFmtId="190" fontId="78" fillId="9" borderId="22" xfId="49" applyNumberFormat="1" applyFont="1" applyFill="1" applyBorder="1" applyAlignment="1">
      <alignment horizontal="center" vertical="center"/>
    </xf>
    <xf numFmtId="10" fontId="78" fillId="0" borderId="22" xfId="272" applyNumberFormat="1" applyFont="1" applyBorder="1" applyAlignment="1">
      <alignment horizontal="center" vertical="center"/>
    </xf>
    <xf numFmtId="190" fontId="78" fillId="9" borderId="22" xfId="272" applyNumberFormat="1" applyFont="1" applyFill="1" applyBorder="1" applyAlignment="1">
      <alignment horizontal="center" vertical="center"/>
    </xf>
    <xf numFmtId="192" fontId="78" fillId="9" borderId="22" xfId="21" applyNumberFormat="1" applyFont="1" applyFill="1" applyBorder="1" applyAlignment="1">
      <alignment horizontal="center" vertical="center"/>
    </xf>
    <xf numFmtId="10" fontId="78" fillId="0" borderId="22" xfId="21" applyNumberFormat="1" applyFont="1" applyBorder="1" applyAlignment="1">
      <alignment horizontal="center" vertical="center"/>
    </xf>
    <xf numFmtId="1" fontId="4" fillId="0" borderId="0" xfId="21" applyNumberFormat="1">
      <alignment vertical="center"/>
    </xf>
    <xf numFmtId="189" fontId="78" fillId="0" borderId="45" xfId="87" applyNumberFormat="1" applyFont="1" applyBorder="1" applyAlignment="1">
      <alignment horizontal="center" vertical="center"/>
    </xf>
    <xf numFmtId="190" fontId="78" fillId="9" borderId="47" xfId="21" applyNumberFormat="1" applyFont="1" applyFill="1" applyBorder="1" applyAlignment="1">
      <alignment horizontal="center" vertical="center"/>
    </xf>
    <xf numFmtId="191" fontId="78" fillId="0" borderId="47" xfId="21" applyNumberFormat="1" applyFont="1" applyBorder="1" applyAlignment="1">
      <alignment horizontal="center" vertical="center"/>
    </xf>
    <xf numFmtId="10" fontId="78" fillId="0" borderId="47" xfId="272" applyNumberFormat="1" applyFont="1" applyBorder="1" applyAlignment="1">
      <alignment horizontal="center" vertical="center"/>
    </xf>
    <xf numFmtId="10" fontId="78" fillId="0" borderId="47" xfId="21" applyNumberFormat="1" applyFont="1" applyBorder="1" applyAlignment="1">
      <alignment horizontal="center" vertical="center"/>
    </xf>
    <xf numFmtId="3" fontId="4" fillId="0" borderId="0" xfId="21" applyNumberFormat="1">
      <alignment vertical="center"/>
    </xf>
    <xf numFmtId="191" fontId="4" fillId="0" borderId="0" xfId="272" applyNumberFormat="1" applyFont="1" applyAlignment="1">
      <alignment vertical="center"/>
    </xf>
    <xf numFmtId="190" fontId="78" fillId="9" borderId="47" xfId="49" applyNumberFormat="1" applyFont="1" applyFill="1" applyBorder="1" applyAlignment="1">
      <alignment horizontal="center" vertical="center"/>
    </xf>
    <xf numFmtId="190" fontId="78" fillId="9" borderId="47" xfId="272" applyNumberFormat="1" applyFont="1" applyFill="1" applyBorder="1" applyAlignment="1">
      <alignment horizontal="center" vertical="center"/>
    </xf>
    <xf numFmtId="192" fontId="78" fillId="9" borderId="47" xfId="21" applyNumberFormat="1" applyFont="1" applyFill="1" applyBorder="1" applyAlignment="1">
      <alignment horizontal="center" vertical="center"/>
    </xf>
    <xf numFmtId="189" fontId="78" fillId="0" borderId="42" xfId="87" applyNumberFormat="1" applyFont="1" applyBorder="1" applyAlignment="1">
      <alignment horizontal="center" vertical="center"/>
    </xf>
    <xf numFmtId="190" fontId="78" fillId="9" borderId="30" xfId="21" applyNumberFormat="1" applyFont="1" applyFill="1" applyBorder="1" applyAlignment="1">
      <alignment horizontal="center" vertical="center"/>
    </xf>
    <xf numFmtId="191" fontId="78" fillId="0" borderId="30" xfId="21" applyNumberFormat="1" applyFont="1" applyBorder="1" applyAlignment="1">
      <alignment horizontal="center" vertical="center"/>
    </xf>
    <xf numFmtId="190" fontId="78" fillId="9" borderId="30" xfId="49" applyNumberFormat="1" applyFont="1" applyFill="1" applyBorder="1" applyAlignment="1">
      <alignment horizontal="center" vertical="center"/>
    </xf>
    <xf numFmtId="10" fontId="78" fillId="0" borderId="30" xfId="272" applyNumberFormat="1" applyFont="1" applyBorder="1" applyAlignment="1">
      <alignment horizontal="center" vertical="center"/>
    </xf>
    <xf numFmtId="190" fontId="78" fillId="9" borderId="30" xfId="272" applyNumberFormat="1" applyFont="1" applyFill="1" applyBorder="1" applyAlignment="1">
      <alignment horizontal="center" vertical="center"/>
    </xf>
    <xf numFmtId="192" fontId="78" fillId="9" borderId="30" xfId="21" applyNumberFormat="1" applyFont="1" applyFill="1" applyBorder="1" applyAlignment="1">
      <alignment horizontal="center" vertical="center"/>
    </xf>
    <xf numFmtId="10" fontId="78" fillId="0" borderId="30" xfId="21" applyNumberFormat="1" applyFont="1" applyBorder="1" applyAlignment="1">
      <alignment horizontal="center" vertical="center"/>
    </xf>
    <xf numFmtId="10" fontId="78" fillId="0" borderId="0" xfId="21" applyNumberFormat="1" applyFont="1" applyAlignment="1">
      <alignment horizontal="center" vertical="center"/>
    </xf>
    <xf numFmtId="189" fontId="79" fillId="0" borderId="22" xfId="87" applyNumberFormat="1" applyFont="1" applyBorder="1" applyAlignment="1">
      <alignment horizontal="center" vertical="center"/>
    </xf>
    <xf numFmtId="10" fontId="77" fillId="0" borderId="22" xfId="272" applyNumberFormat="1" applyFont="1" applyBorder="1" applyAlignment="1">
      <alignment horizontal="center" vertical="center"/>
    </xf>
    <xf numFmtId="0" fontId="78" fillId="0" borderId="0" xfId="21" applyFont="1">
      <alignment vertical="center"/>
    </xf>
    <xf numFmtId="1" fontId="78" fillId="0" borderId="0" xfId="21" applyNumberFormat="1" applyFont="1">
      <alignment vertical="center"/>
    </xf>
    <xf numFmtId="190" fontId="78" fillId="0" borderId="0" xfId="21" applyNumberFormat="1" applyFont="1">
      <alignment vertical="center"/>
    </xf>
    <xf numFmtId="0" fontId="46" fillId="0" borderId="22" xfId="78" applyFont="1" applyBorder="1" applyAlignment="1">
      <alignment horizontal="center" vertical="center" shrinkToFit="1"/>
    </xf>
    <xf numFmtId="0" fontId="46" fillId="9" borderId="22" xfId="78" applyFont="1" applyFill="1" applyBorder="1" applyAlignment="1">
      <alignment horizontal="center" vertical="center" shrinkToFit="1"/>
    </xf>
    <xf numFmtId="0" fontId="81" fillId="0" borderId="22" xfId="78" applyFont="1" applyBorder="1" applyAlignment="1">
      <alignment horizontal="center" vertical="center" shrinkToFit="1"/>
    </xf>
    <xf numFmtId="0" fontId="82" fillId="9" borderId="22" xfId="78" applyFont="1" applyFill="1" applyBorder="1" applyAlignment="1">
      <alignment horizontal="center" vertical="center" shrinkToFit="1"/>
    </xf>
    <xf numFmtId="0" fontId="29" fillId="4" borderId="0" xfId="78" applyFont="1" applyFill="1" applyAlignment="1">
      <alignment shrinkToFit="1"/>
    </xf>
    <xf numFmtId="0" fontId="44" fillId="0" borderId="0" xfId="78" applyFont="1"/>
    <xf numFmtId="0" fontId="42" fillId="0" borderId="0" xfId="78" applyFont="1" applyAlignment="1">
      <alignment shrinkToFit="1"/>
    </xf>
    <xf numFmtId="0" fontId="45" fillId="0" borderId="0" xfId="78" applyFont="1"/>
    <xf numFmtId="0" fontId="47" fillId="0" borderId="22" xfId="78" applyFont="1" applyBorder="1" applyAlignment="1">
      <alignment horizontal="center" shrinkToFit="1"/>
    </xf>
    <xf numFmtId="0" fontId="42" fillId="0" borderId="22" xfId="78" applyFont="1" applyBorder="1" applyAlignment="1">
      <alignment horizontal="center" shrinkToFit="1"/>
    </xf>
    <xf numFmtId="0" fontId="29" fillId="0" borderId="0" xfId="78" applyFont="1" applyAlignment="1">
      <alignment horizontal="center" shrinkToFit="1"/>
    </xf>
    <xf numFmtId="4" fontId="29" fillId="0" borderId="22" xfId="78" applyNumberFormat="1" applyFont="1" applyBorder="1" applyAlignment="1">
      <alignment horizontal="right" shrinkToFit="1"/>
    </xf>
    <xf numFmtId="0" fontId="29" fillId="0" borderId="0" xfId="78" applyFont="1" applyAlignment="1">
      <alignment shrinkToFit="1"/>
    </xf>
    <xf numFmtId="0" fontId="42" fillId="0" borderId="22" xfId="78" applyFont="1" applyBorder="1" applyAlignment="1">
      <alignment horizontal="center" vertical="center" shrinkToFit="1"/>
    </xf>
    <xf numFmtId="0" fontId="47" fillId="0" borderId="22" xfId="78" applyFont="1" applyBorder="1" applyAlignment="1">
      <alignment horizontal="center" vertical="center" shrinkToFit="1"/>
    </xf>
    <xf numFmtId="10" fontId="42" fillId="0" borderId="0" xfId="78" applyNumberFormat="1" applyFont="1" applyAlignment="1">
      <alignment shrinkToFit="1"/>
    </xf>
    <xf numFmtId="0" fontId="43" fillId="0" borderId="0" xfId="78" applyFont="1"/>
    <xf numFmtId="0" fontId="47" fillId="0" borderId="22" xfId="78" applyFont="1" applyBorder="1" applyAlignment="1">
      <alignment shrinkToFit="1"/>
    </xf>
    <xf numFmtId="4" fontId="29" fillId="0" borderId="22" xfId="78" applyNumberFormat="1" applyFont="1" applyBorder="1" applyAlignment="1">
      <alignment shrinkToFit="1"/>
    </xf>
    <xf numFmtId="0" fontId="14" fillId="0" borderId="0" xfId="78" applyFont="1" applyAlignment="1">
      <alignment horizontal="center" vertical="center" shrinkToFit="1"/>
    </xf>
    <xf numFmtId="0" fontId="25" fillId="4" borderId="0" xfId="78" applyFill="1" applyAlignment="1">
      <alignment horizontal="center" vertical="center" shrinkToFit="1"/>
    </xf>
    <xf numFmtId="0" fontId="14" fillId="0" borderId="0" xfId="78" applyFont="1" applyAlignment="1">
      <alignment horizontal="right" shrinkToFit="1"/>
    </xf>
    <xf numFmtId="0" fontId="17" fillId="0" borderId="0" xfId="78" applyFont="1" applyAlignment="1">
      <alignment shrinkToFit="1"/>
    </xf>
    <xf numFmtId="0" fontId="14" fillId="0" borderId="0" xfId="78" applyFont="1" applyAlignment="1">
      <alignment shrinkToFit="1"/>
    </xf>
    <xf numFmtId="0" fontId="15" fillId="0" borderId="0" xfId="78" applyFont="1" applyAlignment="1">
      <alignment shrinkToFit="1"/>
    </xf>
    <xf numFmtId="0" fontId="25" fillId="4" borderId="0" xfId="78" applyFill="1" applyAlignment="1">
      <alignment shrinkToFit="1"/>
    </xf>
    <xf numFmtId="0" fontId="14" fillId="4" borderId="0" xfId="78" applyFont="1" applyFill="1" applyAlignment="1">
      <alignment shrinkToFit="1"/>
    </xf>
    <xf numFmtId="189" fontId="79" fillId="0" borderId="30" xfId="87" applyNumberFormat="1" applyFont="1" applyBorder="1" applyAlignment="1">
      <alignment horizontal="center" vertical="center"/>
    </xf>
    <xf numFmtId="10" fontId="77" fillId="0" borderId="30" xfId="272" applyNumberFormat="1" applyFont="1" applyBorder="1" applyAlignment="1">
      <alignment horizontal="center" vertical="center"/>
    </xf>
    <xf numFmtId="0" fontId="75" fillId="10" borderId="23" xfId="21" applyFont="1" applyFill="1" applyBorder="1" applyAlignment="1">
      <alignment horizontal="center" vertical="center" wrapText="1"/>
    </xf>
    <xf numFmtId="0" fontId="76" fillId="10" borderId="23" xfId="21" applyFont="1" applyFill="1" applyBorder="1" applyAlignment="1">
      <alignment horizontal="center" vertical="center"/>
    </xf>
    <xf numFmtId="0" fontId="52" fillId="2" borderId="1" xfId="0" applyFont="1" applyFill="1" applyBorder="1" applyAlignment="1">
      <alignment horizontal="center" vertical="center" shrinkToFit="1"/>
    </xf>
    <xf numFmtId="186" fontId="27" fillId="0" borderId="0" xfId="0" applyNumberFormat="1" applyFont="1" applyAlignment="1">
      <alignment vertical="center"/>
    </xf>
    <xf numFmtId="10" fontId="27" fillId="0" borderId="0" xfId="0" applyNumberFormat="1" applyFont="1" applyAlignment="1">
      <alignment vertical="center"/>
    </xf>
    <xf numFmtId="179" fontId="27" fillId="0" borderId="0" xfId="78" applyNumberFormat="1" applyFont="1" applyAlignment="1">
      <alignment horizontal="center"/>
    </xf>
    <xf numFmtId="179" fontId="72" fillId="0" borderId="0" xfId="78" applyNumberFormat="1" applyFont="1" applyAlignment="1">
      <alignment horizontal="center"/>
    </xf>
    <xf numFmtId="183" fontId="14" fillId="0" borderId="1" xfId="0" applyNumberFormat="1" applyFont="1" applyBorder="1" applyAlignment="1">
      <alignment shrinkToFit="1"/>
    </xf>
    <xf numFmtId="0" fontId="85" fillId="0" borderId="22" xfId="78" applyFont="1" applyBorder="1" applyAlignment="1">
      <alignment horizontal="left" vertical="center"/>
    </xf>
    <xf numFmtId="0" fontId="87" fillId="0" borderId="0" xfId="104" applyFont="1">
      <alignment vertical="center"/>
    </xf>
    <xf numFmtId="179" fontId="27" fillId="0" borderId="0" xfId="78" applyNumberFormat="1" applyFont="1" applyAlignment="1">
      <alignment vertical="center"/>
    </xf>
    <xf numFmtId="187" fontId="27" fillId="0" borderId="0" xfId="78" applyNumberFormat="1" applyFont="1" applyAlignment="1">
      <alignment vertical="center"/>
    </xf>
    <xf numFmtId="186" fontId="27" fillId="0" borderId="0" xfId="0" applyNumberFormat="1" applyFont="1" applyAlignment="1">
      <alignment horizontal="right"/>
    </xf>
    <xf numFmtId="190" fontId="77" fillId="9" borderId="22" xfId="49" applyNumberFormat="1" applyFont="1" applyFill="1" applyBorder="1" applyAlignment="1">
      <alignment horizontal="center" vertical="center"/>
    </xf>
    <xf numFmtId="190" fontId="78" fillId="9" borderId="23" xfId="21" applyNumberFormat="1" applyFont="1" applyFill="1" applyBorder="1" applyAlignment="1">
      <alignment horizontal="center" vertical="center"/>
    </xf>
    <xf numFmtId="191" fontId="78" fillId="0" borderId="23" xfId="21" applyNumberFormat="1" applyFont="1" applyBorder="1" applyAlignment="1">
      <alignment horizontal="center" vertical="center"/>
    </xf>
    <xf numFmtId="190" fontId="78" fillId="9" borderId="23" xfId="49" applyNumberFormat="1" applyFont="1" applyFill="1" applyBorder="1" applyAlignment="1">
      <alignment horizontal="center" vertical="center"/>
    </xf>
    <xf numFmtId="10" fontId="78" fillId="0" borderId="23" xfId="272" applyNumberFormat="1" applyFont="1" applyBorder="1" applyAlignment="1">
      <alignment horizontal="center" vertical="center"/>
    </xf>
    <xf numFmtId="190" fontId="78" fillId="9" borderId="23" xfId="272" applyNumberFormat="1" applyFont="1" applyFill="1" applyBorder="1" applyAlignment="1">
      <alignment horizontal="center" vertical="center"/>
    </xf>
    <xf numFmtId="192" fontId="78" fillId="9" borderId="23" xfId="21" applyNumberFormat="1" applyFont="1" applyFill="1" applyBorder="1" applyAlignment="1">
      <alignment horizontal="center" vertical="center"/>
    </xf>
    <xf numFmtId="10" fontId="78" fillId="0" borderId="23" xfId="21" applyNumberFormat="1" applyFont="1" applyBorder="1" applyAlignment="1">
      <alignment horizontal="center" vertical="center"/>
    </xf>
    <xf numFmtId="193" fontId="78" fillId="0" borderId="23" xfId="21" applyNumberFormat="1" applyFont="1" applyBorder="1">
      <alignment vertical="center"/>
    </xf>
    <xf numFmtId="193" fontId="4" fillId="0" borderId="23" xfId="21" applyNumberFormat="1" applyBorder="1">
      <alignment vertical="center"/>
    </xf>
    <xf numFmtId="0" fontId="29" fillId="0" borderId="22" xfId="78" applyFont="1" applyBorder="1" applyAlignment="1">
      <alignment horizontal="center" vertical="center" shrinkToFit="1"/>
    </xf>
    <xf numFmtId="185" fontId="31" fillId="0" borderId="0" xfId="265" applyNumberFormat="1" applyFont="1" applyAlignment="1">
      <alignment horizontal="center" vertical="center"/>
    </xf>
    <xf numFmtId="0" fontId="43" fillId="0" borderId="50" xfId="78" applyFont="1" applyBorder="1" applyAlignment="1">
      <alignment shrinkToFit="1"/>
    </xf>
    <xf numFmtId="184" fontId="53" fillId="0" borderId="51" xfId="78" applyNumberFormat="1" applyFont="1" applyBorder="1" applyAlignment="1">
      <alignment shrinkToFit="1"/>
    </xf>
    <xf numFmtId="0" fontId="27" fillId="0" borderId="51" xfId="78" applyFont="1" applyBorder="1" applyAlignment="1">
      <alignment shrinkToFit="1"/>
    </xf>
    <xf numFmtId="0" fontId="29" fillId="0" borderId="52" xfId="78" applyFont="1" applyBorder="1" applyAlignment="1">
      <alignment horizontal="center" vertical="center" shrinkToFit="1"/>
    </xf>
    <xf numFmtId="0" fontId="42" fillId="0" borderId="53" xfId="78" applyFont="1" applyBorder="1" applyAlignment="1">
      <alignment horizontal="center" shrinkToFit="1"/>
    </xf>
    <xf numFmtId="10" fontId="29" fillId="0" borderId="52" xfId="78" applyNumberFormat="1" applyFont="1" applyBorder="1" applyAlignment="1">
      <alignment shrinkToFit="1"/>
    </xf>
    <xf numFmtId="0" fontId="42" fillId="0" borderId="54" xfId="78" applyFont="1" applyBorder="1" applyAlignment="1">
      <alignment horizontal="center" shrinkToFit="1"/>
    </xf>
    <xf numFmtId="0" fontId="27" fillId="0" borderId="55" xfId="78" applyFont="1" applyBorder="1" applyAlignment="1">
      <alignment shrinkToFit="1"/>
    </xf>
    <xf numFmtId="0" fontId="27" fillId="0" borderId="56" xfId="78" applyFont="1" applyBorder="1" applyAlignment="1">
      <alignment shrinkToFit="1"/>
    </xf>
    <xf numFmtId="0" fontId="27" fillId="0" borderId="57" xfId="78" applyFont="1" applyBorder="1" applyAlignment="1">
      <alignment shrinkToFit="1"/>
    </xf>
    <xf numFmtId="0" fontId="42" fillId="0" borderId="58" xfId="78" applyFont="1" applyBorder="1" applyAlignment="1">
      <alignment horizontal="center" shrinkToFit="1"/>
    </xf>
    <xf numFmtId="3" fontId="29" fillId="0" borderId="47" xfId="78" applyNumberFormat="1" applyFont="1" applyBorder="1" applyAlignment="1">
      <alignment shrinkToFit="1"/>
    </xf>
    <xf numFmtId="10" fontId="29" fillId="0" borderId="47" xfId="78" applyNumberFormat="1" applyFont="1" applyBorder="1" applyAlignment="1">
      <alignment shrinkToFit="1"/>
    </xf>
    <xf numFmtId="10" fontId="29" fillId="0" borderId="59" xfId="78" applyNumberFormat="1" applyFont="1" applyBorder="1" applyAlignment="1">
      <alignment shrinkToFit="1"/>
    </xf>
    <xf numFmtId="183" fontId="37" fillId="0" borderId="22" xfId="78" applyNumberFormat="1" applyFont="1" applyBorder="1" applyAlignment="1">
      <alignment horizontal="center" vertical="center"/>
    </xf>
    <xf numFmtId="183" fontId="37" fillId="0" borderId="22" xfId="106" applyNumberFormat="1" applyFont="1" applyBorder="1" applyAlignment="1">
      <alignment horizontal="center" vertical="center"/>
    </xf>
    <xf numFmtId="10" fontId="27" fillId="0" borderId="0" xfId="0" applyNumberFormat="1" applyFont="1" applyAlignment="1">
      <alignment horizontal="right" vertical="center"/>
    </xf>
    <xf numFmtId="193" fontId="78" fillId="0" borderId="29" xfId="21" applyNumberFormat="1" applyFont="1" applyBorder="1">
      <alignment vertical="center"/>
    </xf>
    <xf numFmtId="193" fontId="78" fillId="0" borderId="48" xfId="21" applyNumberFormat="1" applyFont="1" applyBorder="1">
      <alignment vertical="center"/>
    </xf>
    <xf numFmtId="189" fontId="77" fillId="0" borderId="45" xfId="87" applyNumberFormat="1" applyFont="1" applyBorder="1" applyAlignment="1">
      <alignment horizontal="center" vertical="center"/>
    </xf>
    <xf numFmtId="189" fontId="78" fillId="0" borderId="60" xfId="87" applyNumberFormat="1" applyFont="1" applyBorder="1" applyAlignment="1">
      <alignment horizontal="center" vertical="center"/>
    </xf>
    <xf numFmtId="189" fontId="78" fillId="0" borderId="46" xfId="87" applyNumberFormat="1" applyFont="1" applyBorder="1" applyAlignment="1">
      <alignment horizontal="center" vertical="center"/>
    </xf>
    <xf numFmtId="189" fontId="78" fillId="0" borderId="64" xfId="87" applyNumberFormat="1" applyFont="1" applyBorder="1" applyAlignment="1">
      <alignment horizontal="center" vertical="center"/>
    </xf>
    <xf numFmtId="190" fontId="77" fillId="9" borderId="43" xfId="21" applyNumberFormat="1" applyFont="1" applyFill="1" applyBorder="1" applyAlignment="1">
      <alignment horizontal="center" vertical="center"/>
    </xf>
    <xf numFmtId="0" fontId="76" fillId="10" borderId="66" xfId="21" applyFont="1" applyFill="1" applyBorder="1" applyAlignment="1">
      <alignment horizontal="center" vertical="center"/>
    </xf>
    <xf numFmtId="193" fontId="4" fillId="0" borderId="66" xfId="21" applyNumberFormat="1" applyBorder="1">
      <alignment vertical="center"/>
    </xf>
    <xf numFmtId="193" fontId="78" fillId="0" borderId="62" xfId="21" applyNumberFormat="1" applyFont="1" applyBorder="1">
      <alignment vertical="center"/>
    </xf>
    <xf numFmtId="193" fontId="78" fillId="0" borderId="63" xfId="21" applyNumberFormat="1" applyFont="1" applyBorder="1">
      <alignment vertical="center"/>
    </xf>
    <xf numFmtId="180" fontId="27" fillId="0" borderId="0" xfId="0" applyNumberFormat="1" applyFont="1" applyAlignment="1">
      <alignment vertical="center"/>
    </xf>
    <xf numFmtId="185" fontId="29" fillId="0" borderId="1" xfId="265" applyNumberFormat="1" applyFont="1" applyBorder="1" applyAlignment="1">
      <alignment shrinkToFit="1"/>
    </xf>
    <xf numFmtId="0" fontId="84" fillId="0" borderId="22" xfId="78" applyFont="1" applyBorder="1" applyAlignment="1">
      <alignment horizontal="left" vertical="center"/>
    </xf>
    <xf numFmtId="183" fontId="88" fillId="0" borderId="22" xfId="78" applyNumberFormat="1" applyFont="1" applyBorder="1" applyAlignment="1">
      <alignment horizontal="center" vertical="center"/>
    </xf>
    <xf numFmtId="1" fontId="88" fillId="0" borderId="22" xfId="78" applyNumberFormat="1" applyFont="1" applyBorder="1" applyAlignment="1">
      <alignment horizontal="center" vertical="center"/>
    </xf>
    <xf numFmtId="0" fontId="88" fillId="0" borderId="22" xfId="78" applyFont="1" applyBorder="1" applyAlignment="1">
      <alignment horizontal="center" vertical="center"/>
    </xf>
    <xf numFmtId="183" fontId="89" fillId="0" borderId="22" xfId="78" applyNumberFormat="1" applyFont="1" applyBorder="1" applyAlignment="1">
      <alignment horizontal="center" vertical="center"/>
    </xf>
    <xf numFmtId="183" fontId="15" fillId="0" borderId="22" xfId="78" applyNumberFormat="1" applyFont="1" applyBorder="1" applyAlignment="1">
      <alignment horizontal="center" vertical="center"/>
    </xf>
    <xf numFmtId="0" fontId="38" fillId="0" borderId="22" xfId="6" applyFont="1" applyBorder="1" applyAlignment="1">
      <alignment horizontal="center" vertical="center"/>
    </xf>
    <xf numFmtId="3" fontId="57" fillId="0" borderId="22" xfId="78" applyNumberFormat="1" applyFont="1" applyBorder="1" applyAlignment="1">
      <alignment shrinkToFit="1"/>
    </xf>
    <xf numFmtId="187" fontId="27" fillId="0" borderId="0" xfId="0" applyNumberFormat="1" applyFont="1" applyAlignment="1">
      <alignment vertical="center"/>
    </xf>
    <xf numFmtId="10" fontId="27" fillId="0" borderId="0" xfId="78" applyNumberFormat="1" applyFont="1" applyAlignment="1">
      <alignment vertical="center"/>
    </xf>
    <xf numFmtId="182" fontId="27" fillId="0" borderId="0" xfId="0" applyNumberFormat="1" applyFont="1" applyAlignment="1">
      <alignment vertical="center"/>
    </xf>
    <xf numFmtId="183" fontId="90" fillId="0" borderId="22" xfId="78" applyNumberFormat="1" applyFont="1" applyBorder="1" applyAlignment="1">
      <alignment horizontal="center" vertical="center"/>
    </xf>
    <xf numFmtId="0" fontId="31" fillId="0" borderId="37" xfId="78" applyFont="1" applyBorder="1" applyAlignment="1">
      <alignment horizontal="center" vertical="center"/>
    </xf>
    <xf numFmtId="180" fontId="72" fillId="0" borderId="0" xfId="0" applyNumberFormat="1" applyFont="1"/>
    <xf numFmtId="0" fontId="38" fillId="0" borderId="22" xfId="8" applyFont="1" applyBorder="1" applyAlignment="1">
      <alignment horizontal="center" vertical="center"/>
    </xf>
    <xf numFmtId="0" fontId="38" fillId="0" borderId="22" xfId="64" applyFont="1" applyBorder="1" applyAlignment="1">
      <alignment horizontal="center"/>
    </xf>
    <xf numFmtId="0" fontId="25" fillId="12" borderId="22" xfId="78" applyFill="1" applyBorder="1" applyAlignment="1">
      <alignment horizontal="center" vertical="center"/>
    </xf>
    <xf numFmtId="1" fontId="25" fillId="12" borderId="22" xfId="78" applyNumberFormat="1" applyFill="1" applyBorder="1" applyAlignment="1">
      <alignment horizontal="center" vertical="center"/>
    </xf>
    <xf numFmtId="0" fontId="15" fillId="0" borderId="22" xfId="78" applyFont="1" applyBorder="1" applyAlignment="1">
      <alignment horizontal="center" vertical="center"/>
    </xf>
    <xf numFmtId="0" fontId="90" fillId="12" borderId="22" xfId="78" applyFont="1" applyFill="1" applyBorder="1" applyAlignment="1">
      <alignment horizontal="center" vertical="center"/>
    </xf>
    <xf numFmtId="183" fontId="88" fillId="0" borderId="22" xfId="0" applyNumberFormat="1" applyFont="1" applyBorder="1" applyAlignment="1">
      <alignment horizontal="center" vertical="center"/>
    </xf>
    <xf numFmtId="0" fontId="91" fillId="0" borderId="22" xfId="78" applyFont="1" applyBorder="1" applyAlignment="1">
      <alignment horizontal="center" vertical="center"/>
    </xf>
    <xf numFmtId="0" fontId="41" fillId="0" borderId="0" xfId="78" applyFont="1" applyAlignment="1">
      <alignment horizontal="center" vertical="center" shrinkToFit="1"/>
    </xf>
    <xf numFmtId="0" fontId="81" fillId="9" borderId="22" xfId="78" applyFont="1" applyFill="1" applyBorder="1" applyAlignment="1">
      <alignment horizontal="center" vertical="center" shrinkToFit="1"/>
    </xf>
    <xf numFmtId="0" fontId="46" fillId="9" borderId="22" xfId="78" applyFont="1" applyFill="1" applyBorder="1" applyAlignment="1">
      <alignment horizontal="center" vertical="center" shrinkToFit="1"/>
    </xf>
    <xf numFmtId="10" fontId="27" fillId="0" borderId="0" xfId="78" applyNumberFormat="1" applyFont="1" applyAlignment="1">
      <alignment horizontal="center" vertical="center"/>
    </xf>
    <xf numFmtId="0" fontId="72" fillId="0" borderId="0" xfId="0" applyFont="1" applyAlignment="1">
      <alignment horizontal="center" vertical="center"/>
    </xf>
    <xf numFmtId="187" fontId="27" fillId="0" borderId="0" xfId="78" applyNumberFormat="1" applyFont="1" applyAlignment="1">
      <alignment horizontal="center" vertical="center"/>
    </xf>
    <xf numFmtId="187" fontId="27" fillId="0" borderId="0" xfId="0" applyNumberFormat="1" applyFont="1" applyAlignment="1">
      <alignment horizontal="center" vertical="center"/>
    </xf>
    <xf numFmtId="186" fontId="27" fillId="0" borderId="0" xfId="0" applyNumberFormat="1" applyFont="1" applyAlignment="1">
      <alignment horizontal="center" vertical="center"/>
    </xf>
    <xf numFmtId="179" fontId="27" fillId="0" borderId="0" xfId="78" applyNumberFormat="1" applyFont="1" applyAlignment="1">
      <alignment horizontal="center" vertical="center"/>
    </xf>
    <xf numFmtId="176" fontId="27" fillId="0" borderId="0" xfId="0" applyNumberFormat="1" applyFont="1" applyAlignment="1">
      <alignment horizontal="center" vertical="center"/>
    </xf>
    <xf numFmtId="10" fontId="27" fillId="0" borderId="0" xfId="0" applyNumberFormat="1" applyFont="1" applyAlignment="1">
      <alignment horizontal="center" vertical="center"/>
    </xf>
    <xf numFmtId="176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177" fontId="28" fillId="8" borderId="0" xfId="0" applyNumberFormat="1" applyFont="1" applyFill="1" applyAlignment="1">
      <alignment horizontal="center" vertical="center"/>
    </xf>
    <xf numFmtId="178" fontId="28" fillId="6" borderId="0" xfId="0" applyNumberFormat="1" applyFont="1" applyFill="1" applyAlignment="1">
      <alignment horizontal="center" vertical="center"/>
    </xf>
    <xf numFmtId="176" fontId="28" fillId="5" borderId="0" xfId="0" applyNumberFormat="1" applyFont="1" applyFill="1" applyAlignment="1">
      <alignment horizontal="center" vertical="center"/>
    </xf>
    <xf numFmtId="0" fontId="30" fillId="7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 shrinkToFit="1"/>
    </xf>
    <xf numFmtId="178" fontId="28" fillId="0" borderId="0" xfId="0" applyNumberFormat="1" applyFont="1" applyAlignment="1">
      <alignment horizontal="center" vertical="center"/>
    </xf>
    <xf numFmtId="10" fontId="28" fillId="0" borderId="0" xfId="0" applyNumberFormat="1" applyFont="1" applyAlignment="1">
      <alignment horizontal="center" vertical="center"/>
    </xf>
    <xf numFmtId="185" fontId="27" fillId="0" borderId="0" xfId="0" applyNumberFormat="1" applyFont="1" applyAlignment="1">
      <alignment horizontal="center" vertical="center"/>
    </xf>
    <xf numFmtId="180" fontId="27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81" fontId="20" fillId="0" borderId="0" xfId="0" applyNumberFormat="1" applyFont="1" applyAlignment="1">
      <alignment horizontal="center" vertical="center"/>
    </xf>
    <xf numFmtId="10" fontId="20" fillId="5" borderId="0" xfId="0" applyNumberFormat="1" applyFont="1" applyFill="1" applyAlignment="1">
      <alignment horizontal="center" vertical="center"/>
    </xf>
    <xf numFmtId="10" fontId="20" fillId="0" borderId="0" xfId="0" applyNumberFormat="1" applyFont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0" fillId="7" borderId="34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 shrinkToFit="1"/>
    </xf>
    <xf numFmtId="182" fontId="29" fillId="0" borderId="22" xfId="0" applyNumberFormat="1" applyFont="1" applyBorder="1" applyAlignment="1">
      <alignment horizontal="center" vertical="center" shrinkToFit="1"/>
    </xf>
    <xf numFmtId="182" fontId="28" fillId="0" borderId="22" xfId="0" applyNumberFormat="1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182" fontId="27" fillId="0" borderId="32" xfId="0" applyNumberFormat="1" applyFont="1" applyBorder="1" applyAlignment="1">
      <alignment horizontal="center" vertical="center"/>
    </xf>
    <xf numFmtId="182" fontId="27" fillId="0" borderId="34" xfId="0" applyNumberFormat="1" applyFont="1" applyBorder="1" applyAlignment="1">
      <alignment horizontal="center" vertical="center"/>
    </xf>
    <xf numFmtId="186" fontId="27" fillId="0" borderId="32" xfId="0" applyNumberFormat="1" applyFont="1" applyBorder="1" applyAlignment="1">
      <alignment horizontal="center" vertical="center"/>
    </xf>
    <xf numFmtId="186" fontId="27" fillId="0" borderId="34" xfId="0" applyNumberFormat="1" applyFont="1" applyBorder="1" applyAlignment="1">
      <alignment horizontal="center" vertical="center"/>
    </xf>
    <xf numFmtId="177" fontId="22" fillId="0" borderId="27" xfId="0" applyNumberFormat="1" applyFont="1" applyBorder="1" applyAlignment="1">
      <alignment horizontal="center" vertical="center"/>
    </xf>
    <xf numFmtId="177" fontId="22" fillId="0" borderId="28" xfId="0" applyNumberFormat="1" applyFont="1" applyBorder="1" applyAlignment="1">
      <alignment horizontal="center" vertical="center"/>
    </xf>
    <xf numFmtId="177" fontId="22" fillId="0" borderId="25" xfId="0" applyNumberFormat="1" applyFont="1" applyBorder="1" applyAlignment="1">
      <alignment horizontal="center" vertical="center"/>
    </xf>
    <xf numFmtId="177" fontId="32" fillId="0" borderId="22" xfId="0" applyNumberFormat="1" applyFont="1" applyBorder="1" applyAlignment="1">
      <alignment horizontal="center" vertical="center"/>
    </xf>
    <xf numFmtId="177" fontId="28" fillId="0" borderId="22" xfId="0" applyNumberFormat="1" applyFont="1" applyBorder="1" applyAlignment="1">
      <alignment horizontal="center" vertical="center"/>
    </xf>
    <xf numFmtId="177" fontId="24" fillId="0" borderId="22" xfId="0" applyNumberFormat="1" applyFont="1" applyBorder="1" applyAlignment="1">
      <alignment horizontal="center" vertical="center" shrinkToFit="1"/>
    </xf>
    <xf numFmtId="177" fontId="29" fillId="0" borderId="22" xfId="0" applyNumberFormat="1" applyFont="1" applyBorder="1" applyAlignment="1">
      <alignment horizontal="center" vertical="center" shrinkToFit="1"/>
    </xf>
    <xf numFmtId="0" fontId="34" fillId="0" borderId="27" xfId="78" applyFont="1" applyBorder="1" applyAlignment="1">
      <alignment horizontal="center" vertical="center"/>
    </xf>
    <xf numFmtId="0" fontId="34" fillId="0" borderId="28" xfId="78" applyFont="1" applyBorder="1" applyAlignment="1">
      <alignment horizontal="center" vertical="center"/>
    </xf>
    <xf numFmtId="0" fontId="34" fillId="0" borderId="25" xfId="78" applyFont="1" applyBorder="1" applyAlignment="1">
      <alignment horizontal="center" vertical="center"/>
    </xf>
    <xf numFmtId="0" fontId="34" fillId="0" borderId="22" xfId="78" applyFont="1" applyBorder="1" applyAlignment="1">
      <alignment horizontal="center" vertical="center"/>
    </xf>
    <xf numFmtId="0" fontId="34" fillId="0" borderId="23" xfId="78" applyFont="1" applyBorder="1" applyAlignment="1">
      <alignment horizontal="center" vertical="center"/>
    </xf>
    <xf numFmtId="0" fontId="34" fillId="0" borderId="30" xfId="78" applyFont="1" applyBorder="1" applyAlignment="1">
      <alignment horizontal="center" vertical="center"/>
    </xf>
    <xf numFmtId="179" fontId="34" fillId="0" borderId="22" xfId="78" applyNumberFormat="1" applyFont="1" applyBorder="1" applyAlignment="1">
      <alignment horizontal="center" vertical="center"/>
    </xf>
    <xf numFmtId="0" fontId="25" fillId="0" borderId="22" xfId="78" applyBorder="1" applyAlignment="1">
      <alignment horizontal="center" vertical="center"/>
    </xf>
    <xf numFmtId="183" fontId="25" fillId="0" borderId="22" xfId="78" applyNumberFormat="1" applyBorder="1" applyAlignment="1">
      <alignment horizontal="center" vertical="center"/>
    </xf>
    <xf numFmtId="183" fontId="25" fillId="0" borderId="23" xfId="78" applyNumberFormat="1" applyBorder="1" applyAlignment="1">
      <alignment horizontal="center" vertical="center"/>
    </xf>
    <xf numFmtId="183" fontId="25" fillId="0" borderId="29" xfId="78" applyNumberFormat="1" applyBorder="1" applyAlignment="1">
      <alignment horizontal="center" vertical="center"/>
    </xf>
    <xf numFmtId="183" fontId="25" fillId="0" borderId="30" xfId="78" applyNumberFormat="1" applyBorder="1" applyAlignment="1">
      <alignment horizontal="center" vertical="center"/>
    </xf>
    <xf numFmtId="0" fontId="34" fillId="0" borderId="29" xfId="78" applyFont="1" applyBorder="1" applyAlignment="1">
      <alignment horizontal="center" vertical="center"/>
    </xf>
    <xf numFmtId="0" fontId="64" fillId="0" borderId="0" xfId="78" applyFont="1" applyAlignment="1">
      <alignment horizontal="left" vertical="center"/>
    </xf>
    <xf numFmtId="0" fontId="36" fillId="0" borderId="0" xfId="78" applyFont="1" applyAlignment="1">
      <alignment horizontal="left" vertical="center"/>
    </xf>
    <xf numFmtId="0" fontId="36" fillId="0" borderId="26" xfId="78" applyFont="1" applyBorder="1" applyAlignment="1">
      <alignment horizontal="left" vertical="center"/>
    </xf>
    <xf numFmtId="183" fontId="25" fillId="0" borderId="31" xfId="78" applyNumberFormat="1" applyBorder="1" applyAlignment="1">
      <alignment horizontal="center" vertical="center"/>
    </xf>
    <xf numFmtId="183" fontId="25" fillId="0" borderId="33" xfId="78" applyNumberFormat="1" applyBorder="1" applyAlignment="1">
      <alignment horizontal="center" vertical="center"/>
    </xf>
    <xf numFmtId="183" fontId="25" fillId="0" borderId="35" xfId="78" applyNumberFormat="1" applyBorder="1" applyAlignment="1">
      <alignment horizontal="center" vertical="center"/>
    </xf>
    <xf numFmtId="0" fontId="34" fillId="0" borderId="31" xfId="78" applyFont="1" applyBorder="1" applyAlignment="1">
      <alignment horizontal="center" vertical="center"/>
    </xf>
    <xf numFmtId="0" fontId="34" fillId="0" borderId="33" xfId="78" applyFont="1" applyBorder="1" applyAlignment="1">
      <alignment horizontal="center" vertical="center"/>
    </xf>
    <xf numFmtId="0" fontId="34" fillId="0" borderId="35" xfId="78" applyFont="1" applyBorder="1" applyAlignment="1">
      <alignment horizontal="center" vertical="center"/>
    </xf>
    <xf numFmtId="0" fontId="61" fillId="0" borderId="22" xfId="78" applyFont="1" applyBorder="1" applyAlignment="1">
      <alignment horizontal="center" vertical="center"/>
    </xf>
    <xf numFmtId="0" fontId="35" fillId="0" borderId="37" xfId="78" applyFont="1" applyBorder="1" applyAlignment="1">
      <alignment horizontal="left" vertical="center"/>
    </xf>
    <xf numFmtId="0" fontId="36" fillId="0" borderId="37" xfId="78" applyFont="1" applyBorder="1" applyAlignment="1">
      <alignment horizontal="left" vertical="center"/>
    </xf>
    <xf numFmtId="0" fontId="61" fillId="0" borderId="23" xfId="78" applyFont="1" applyBorder="1" applyAlignment="1">
      <alignment horizontal="center" vertical="center"/>
    </xf>
    <xf numFmtId="0" fontId="35" fillId="0" borderId="0" xfId="78" applyFont="1" applyAlignment="1">
      <alignment horizontal="left" vertical="center"/>
    </xf>
    <xf numFmtId="0" fontId="25" fillId="0" borderId="23" xfId="78" applyBorder="1" applyAlignment="1">
      <alignment horizontal="center" vertical="center"/>
    </xf>
    <xf numFmtId="0" fontId="25" fillId="0" borderId="29" xfId="78" applyBorder="1" applyAlignment="1">
      <alignment horizontal="center" vertical="center"/>
    </xf>
    <xf numFmtId="0" fontId="25" fillId="0" borderId="30" xfId="78" applyBorder="1" applyAlignment="1">
      <alignment horizontal="center" vertical="center"/>
    </xf>
    <xf numFmtId="0" fontId="25" fillId="0" borderId="32" xfId="78" applyBorder="1" applyAlignment="1">
      <alignment horizontal="center" vertical="center"/>
    </xf>
    <xf numFmtId="0" fontId="25" fillId="0" borderId="34" xfId="78" applyBorder="1" applyAlignment="1">
      <alignment horizontal="center" vertical="center"/>
    </xf>
    <xf numFmtId="0" fontId="34" fillId="0" borderId="27" xfId="0" applyFont="1" applyBorder="1" applyAlignment="1">
      <alignment horizontal="center" vertical="center"/>
    </xf>
    <xf numFmtId="0" fontId="34" fillId="0" borderId="28" xfId="0" applyFont="1" applyBorder="1" applyAlignment="1">
      <alignment horizontal="center" vertical="center"/>
    </xf>
    <xf numFmtId="0" fontId="34" fillId="0" borderId="25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34" fillId="0" borderId="23" xfId="0" applyFont="1" applyBorder="1" applyAlignment="1">
      <alignment horizontal="center" vertical="center"/>
    </xf>
    <xf numFmtId="0" fontId="34" fillId="0" borderId="29" xfId="0" applyFont="1" applyBorder="1" applyAlignment="1">
      <alignment horizontal="center" vertical="center"/>
    </xf>
    <xf numFmtId="0" fontId="34" fillId="0" borderId="30" xfId="0" applyFont="1" applyBorder="1" applyAlignment="1">
      <alignment horizontal="center" vertical="center"/>
    </xf>
    <xf numFmtId="179" fontId="34" fillId="0" borderId="22" xfId="0" applyNumberFormat="1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0" fontId="35" fillId="0" borderId="0" xfId="0" applyFont="1" applyAlignment="1">
      <alignment horizontal="left" vertical="center"/>
    </xf>
    <xf numFmtId="0" fontId="36" fillId="0" borderId="0" xfId="0" applyFont="1" applyAlignment="1">
      <alignment horizontal="left" vertical="center"/>
    </xf>
    <xf numFmtId="0" fontId="36" fillId="0" borderId="26" xfId="0" applyFont="1" applyBorder="1" applyAlignment="1">
      <alignment horizontal="left" vertical="center"/>
    </xf>
    <xf numFmtId="0" fontId="34" fillId="0" borderId="31" xfId="0" applyFont="1" applyBorder="1" applyAlignment="1">
      <alignment horizontal="center" vertical="center"/>
    </xf>
    <xf numFmtId="0" fontId="34" fillId="0" borderId="33" xfId="0" applyFont="1" applyBorder="1" applyAlignment="1">
      <alignment horizontal="center" vertical="center"/>
    </xf>
    <xf numFmtId="0" fontId="34" fillId="0" borderId="35" xfId="0" applyFont="1" applyBorder="1" applyAlignment="1">
      <alignment horizontal="center" vertical="center"/>
    </xf>
    <xf numFmtId="0" fontId="61" fillId="0" borderId="22" xfId="0" applyFont="1" applyBorder="1" applyAlignment="1">
      <alignment horizontal="center" vertical="center"/>
    </xf>
    <xf numFmtId="0" fontId="35" fillId="0" borderId="37" xfId="0" applyFont="1" applyBorder="1" applyAlignment="1">
      <alignment horizontal="left" vertical="center"/>
    </xf>
    <xf numFmtId="0" fontId="36" fillId="0" borderId="37" xfId="0" applyFont="1" applyBorder="1" applyAlignment="1">
      <alignment horizontal="left" vertical="center"/>
    </xf>
    <xf numFmtId="183" fontId="0" fillId="0" borderId="22" xfId="0" applyNumberFormat="1" applyBorder="1" applyAlignment="1">
      <alignment horizontal="center" vertical="center"/>
    </xf>
    <xf numFmtId="0" fontId="42" fillId="0" borderId="22" xfId="78" applyFont="1" applyBorder="1" applyAlignment="1">
      <alignment shrinkToFit="1"/>
    </xf>
    <xf numFmtId="0" fontId="50" fillId="0" borderId="22" xfId="78" applyFont="1" applyBorder="1" applyAlignment="1">
      <alignment shrinkToFit="1"/>
    </xf>
    <xf numFmtId="0" fontId="29" fillId="0" borderId="22" xfId="78" applyFont="1" applyBorder="1" applyAlignment="1">
      <alignment shrinkToFit="1"/>
    </xf>
    <xf numFmtId="0" fontId="42" fillId="2" borderId="22" xfId="78" applyFont="1" applyFill="1" applyBorder="1" applyAlignment="1">
      <alignment horizontal="center" shrinkToFit="1"/>
    </xf>
    <xf numFmtId="0" fontId="50" fillId="0" borderId="22" xfId="78" applyFont="1" applyBorder="1" applyAlignment="1">
      <alignment horizontal="center" shrinkToFit="1"/>
    </xf>
    <xf numFmtId="0" fontId="27" fillId="0" borderId="22" xfId="78" applyFont="1" applyBorder="1" applyAlignment="1">
      <alignment horizontal="center" vertical="center" shrinkToFit="1"/>
    </xf>
    <xf numFmtId="0" fontId="60" fillId="2" borderId="22" xfId="78" applyFont="1" applyFill="1" applyBorder="1" applyAlignment="1">
      <alignment horizontal="center" vertical="center" shrinkToFit="1"/>
    </xf>
    <xf numFmtId="0" fontId="66" fillId="0" borderId="22" xfId="78" applyFont="1" applyBorder="1" applyAlignment="1">
      <alignment shrinkToFit="1"/>
    </xf>
    <xf numFmtId="0" fontId="70" fillId="0" borderId="22" xfId="78" applyFont="1" applyBorder="1" applyAlignment="1">
      <alignment shrinkToFit="1"/>
    </xf>
    <xf numFmtId="0" fontId="42" fillId="2" borderId="22" xfId="78" applyFont="1" applyFill="1" applyBorder="1" applyAlignment="1">
      <alignment horizontal="center" vertical="center" shrinkToFit="1"/>
    </xf>
    <xf numFmtId="0" fontId="66" fillId="0" borderId="27" xfId="78" applyFont="1" applyBorder="1" applyAlignment="1">
      <alignment shrinkToFit="1"/>
    </xf>
    <xf numFmtId="0" fontId="29" fillId="0" borderId="28" xfId="78" applyFont="1" applyBorder="1" applyAlignment="1">
      <alignment shrinkToFit="1"/>
    </xf>
    <xf numFmtId="0" fontId="29" fillId="0" borderId="25" xfId="78" applyFont="1" applyBorder="1" applyAlignment="1">
      <alignment shrinkToFit="1"/>
    </xf>
    <xf numFmtId="0" fontId="67" fillId="0" borderId="27" xfId="78" applyFont="1" applyBorder="1" applyAlignment="1">
      <alignment shrinkToFit="1"/>
    </xf>
    <xf numFmtId="0" fontId="48" fillId="0" borderId="0" xfId="78" applyFont="1" applyAlignment="1">
      <alignment horizontal="left" vertical="center" shrinkToFit="1"/>
    </xf>
    <xf numFmtId="0" fontId="49" fillId="0" borderId="0" xfId="78" applyFont="1" applyAlignment="1">
      <alignment horizontal="left" vertical="center" shrinkToFit="1"/>
    </xf>
    <xf numFmtId="0" fontId="50" fillId="0" borderId="22" xfId="78" applyFont="1" applyBorder="1" applyAlignment="1">
      <alignment horizontal="center" vertical="center" shrinkToFit="1"/>
    </xf>
    <xf numFmtId="0" fontId="51" fillId="0" borderId="22" xfId="78" applyFont="1" applyBorder="1" applyAlignment="1">
      <alignment horizontal="center" vertical="center" shrinkToFit="1"/>
    </xf>
    <xf numFmtId="0" fontId="32" fillId="0" borderId="22" xfId="78" applyFont="1" applyBorder="1" applyAlignment="1">
      <alignment horizontal="center" vertical="center" shrinkToFit="1"/>
    </xf>
    <xf numFmtId="0" fontId="32" fillId="0" borderId="52" xfId="78" applyFont="1" applyBorder="1" applyAlignment="1">
      <alignment horizontal="center" vertical="center" shrinkToFit="1"/>
    </xf>
    <xf numFmtId="0" fontId="73" fillId="0" borderId="22" xfId="78" applyFont="1" applyBorder="1" applyAlignment="1">
      <alignment horizontal="center" vertical="center" shrinkToFit="1"/>
    </xf>
    <xf numFmtId="0" fontId="51" fillId="0" borderId="52" xfId="78" applyFont="1" applyBorder="1" applyAlignment="1">
      <alignment horizontal="center" vertical="center" shrinkToFit="1"/>
    </xf>
    <xf numFmtId="0" fontId="19" fillId="11" borderId="43" xfId="78" applyFont="1" applyFill="1" applyBorder="1" applyAlignment="1">
      <alignment horizontal="center" vertical="center" shrinkToFit="1"/>
    </xf>
    <xf numFmtId="0" fontId="19" fillId="11" borderId="49" xfId="78" applyFont="1" applyFill="1" applyBorder="1" applyAlignment="1">
      <alignment horizontal="center" vertical="center" shrinkToFit="1"/>
    </xf>
    <xf numFmtId="0" fontId="43" fillId="0" borderId="45" xfId="78" applyFont="1" applyBorder="1" applyAlignment="1">
      <alignment horizontal="center" vertical="center"/>
    </xf>
    <xf numFmtId="0" fontId="29" fillId="0" borderId="22" xfId="78" applyFont="1" applyBorder="1" applyAlignment="1">
      <alignment horizontal="center" vertical="center" shrinkToFit="1"/>
    </xf>
    <xf numFmtId="0" fontId="29" fillId="0" borderId="37" xfId="78" applyFont="1" applyBorder="1" applyAlignment="1">
      <alignment horizontal="center" vertical="center" shrinkToFit="1"/>
    </xf>
    <xf numFmtId="0" fontId="29" fillId="0" borderId="0" xfId="78" applyFont="1" applyAlignment="1">
      <alignment horizontal="center" vertical="center" shrinkToFit="1"/>
    </xf>
    <xf numFmtId="0" fontId="29" fillId="0" borderId="57" xfId="78" applyFont="1" applyBorder="1" applyAlignment="1">
      <alignment horizontal="center" vertical="center" shrinkToFit="1"/>
    </xf>
    <xf numFmtId="0" fontId="43" fillId="0" borderId="22" xfId="78" applyFont="1" applyBorder="1" applyAlignment="1">
      <alignment horizontal="center" vertical="center"/>
    </xf>
    <xf numFmtId="0" fontId="27" fillId="0" borderId="52" xfId="78" applyFont="1" applyBorder="1" applyAlignment="1">
      <alignment horizontal="center" vertical="center" shrinkToFit="1"/>
    </xf>
    <xf numFmtId="0" fontId="27" fillId="0" borderId="22" xfId="78" applyFont="1" applyBorder="1" applyAlignment="1">
      <alignment horizontal="center" shrinkToFit="1"/>
    </xf>
    <xf numFmtId="0" fontId="27" fillId="0" borderId="52" xfId="78" applyFont="1" applyBorder="1" applyAlignment="1">
      <alignment horizontal="center" shrinkToFit="1"/>
    </xf>
    <xf numFmtId="0" fontId="66" fillId="0" borderId="4" xfId="0" applyFont="1" applyBorder="1" applyAlignment="1">
      <alignment shrinkToFit="1"/>
    </xf>
    <xf numFmtId="0" fontId="0" fillId="0" borderId="3" xfId="0" applyBorder="1" applyAlignment="1">
      <alignment shrinkToFit="1"/>
    </xf>
    <xf numFmtId="0" fontId="29" fillId="2" borderId="0" xfId="0" applyFont="1" applyFill="1" applyAlignment="1">
      <alignment horizontal="center" vertical="center" shrinkToFit="1"/>
    </xf>
    <xf numFmtId="0" fontId="29" fillId="2" borderId="40" xfId="0" applyFont="1" applyFill="1" applyBorder="1" applyAlignment="1">
      <alignment horizontal="center" vertical="center" shrinkToFit="1"/>
    </xf>
    <xf numFmtId="0" fontId="29" fillId="2" borderId="39" xfId="0" applyFont="1" applyFill="1" applyBorder="1" applyAlignment="1">
      <alignment horizontal="center" shrinkToFit="1"/>
    </xf>
    <xf numFmtId="0" fontId="29" fillId="2" borderId="2" xfId="0" applyFont="1" applyFill="1" applyBorder="1" applyAlignment="1">
      <alignment horizontal="center" shrinkToFit="1"/>
    </xf>
    <xf numFmtId="0" fontId="29" fillId="2" borderId="3" xfId="0" applyFont="1" applyFill="1" applyBorder="1" applyAlignment="1">
      <alignment horizontal="center" shrinkToFit="1"/>
    </xf>
    <xf numFmtId="0" fontId="29" fillId="0" borderId="2" xfId="0" applyFont="1" applyBorder="1" applyAlignment="1">
      <alignment shrinkToFit="1"/>
    </xf>
    <xf numFmtId="0" fontId="29" fillId="0" borderId="3" xfId="0" applyFont="1" applyBorder="1" applyAlignment="1">
      <alignment shrinkToFit="1"/>
    </xf>
    <xf numFmtId="0" fontId="29" fillId="0" borderId="4" xfId="0" applyFont="1" applyBorder="1" applyAlignment="1">
      <alignment shrinkToFit="1"/>
    </xf>
    <xf numFmtId="0" fontId="27" fillId="0" borderId="22" xfId="0" applyFont="1" applyBorder="1" applyAlignment="1">
      <alignment horizontal="center" vertical="center" shrinkToFit="1"/>
    </xf>
    <xf numFmtId="0" fontId="27" fillId="0" borderId="22" xfId="0" applyFont="1" applyBorder="1" applyAlignment="1">
      <alignment horizontal="center" vertical="center" wrapText="1" shrinkToFit="1"/>
    </xf>
    <xf numFmtId="0" fontId="29" fillId="0" borderId="9" xfId="0" applyFont="1" applyBorder="1" applyAlignment="1">
      <alignment shrinkToFit="1"/>
    </xf>
    <xf numFmtId="0" fontId="29" fillId="0" borderId="10" xfId="0" applyFont="1" applyBorder="1" applyAlignment="1">
      <alignment shrinkToFit="1"/>
    </xf>
    <xf numFmtId="0" fontId="29" fillId="0" borderId="8" xfId="0" applyFont="1" applyBorder="1" applyAlignment="1">
      <alignment shrinkToFit="1"/>
    </xf>
    <xf numFmtId="0" fontId="29" fillId="2" borderId="4" xfId="0" applyFont="1" applyFill="1" applyBorder="1" applyAlignment="1">
      <alignment horizontal="center" vertical="center" shrinkToFit="1"/>
    </xf>
    <xf numFmtId="0" fontId="29" fillId="2" borderId="2" xfId="0" applyFont="1" applyFill="1" applyBorder="1" applyAlignment="1">
      <alignment horizontal="center" vertical="center" shrinkToFit="1"/>
    </xf>
    <xf numFmtId="0" fontId="29" fillId="2" borderId="3" xfId="0" applyFont="1" applyFill="1" applyBorder="1" applyAlignment="1">
      <alignment horizontal="center" vertical="center" shrinkToFit="1"/>
    </xf>
    <xf numFmtId="0" fontId="42" fillId="2" borderId="4" xfId="0" applyFont="1" applyFill="1" applyBorder="1" applyAlignment="1">
      <alignment horizontal="center" vertical="center" shrinkToFit="1"/>
    </xf>
    <xf numFmtId="0" fontId="42" fillId="2" borderId="3" xfId="0" applyFont="1" applyFill="1" applyBorder="1" applyAlignment="1">
      <alignment horizontal="center" vertical="center" shrinkToFit="1"/>
    </xf>
    <xf numFmtId="0" fontId="52" fillId="0" borderId="22" xfId="0" applyFont="1" applyBorder="1" applyAlignment="1">
      <alignment horizontal="center" vertical="center" shrinkToFit="1"/>
    </xf>
    <xf numFmtId="0" fontId="41" fillId="0" borderId="0" xfId="0" applyFont="1" applyAlignment="1">
      <alignment horizontal="center" vertical="center" shrinkToFit="1"/>
    </xf>
    <xf numFmtId="0" fontId="48" fillId="0" borderId="0" xfId="0" applyFont="1" applyAlignment="1">
      <alignment horizontal="left" vertical="center" shrinkToFit="1"/>
    </xf>
    <xf numFmtId="0" fontId="49" fillId="0" borderId="0" xfId="0" applyFont="1" applyAlignment="1">
      <alignment horizontal="left" vertical="center" shrinkToFit="1"/>
    </xf>
    <xf numFmtId="0" fontId="27" fillId="9" borderId="22" xfId="0" applyFont="1" applyFill="1" applyBorder="1" applyAlignment="1">
      <alignment horizontal="center" vertical="center" shrinkToFit="1"/>
    </xf>
    <xf numFmtId="0" fontId="29" fillId="9" borderId="22" xfId="0" applyFont="1" applyFill="1" applyBorder="1" applyAlignment="1">
      <alignment horizontal="center" vertical="center" shrinkToFit="1"/>
    </xf>
    <xf numFmtId="0" fontId="67" fillId="0" borderId="4" xfId="0" applyFont="1" applyBorder="1" applyAlignment="1">
      <alignment horizontal="center" shrinkToFit="1"/>
    </xf>
    <xf numFmtId="0" fontId="14" fillId="0" borderId="3" xfId="0" applyFont="1" applyBorder="1" applyAlignment="1">
      <alignment horizontal="center" shrinkToFit="1"/>
    </xf>
    <xf numFmtId="0" fontId="14" fillId="2" borderId="39" xfId="0" applyFont="1" applyFill="1" applyBorder="1" applyAlignment="1">
      <alignment horizontal="center" shrinkToFit="1"/>
    </xf>
    <xf numFmtId="0" fontId="14" fillId="2" borderId="2" xfId="0" applyFont="1" applyFill="1" applyBorder="1" applyAlignment="1">
      <alignment horizontal="center" shrinkToFit="1"/>
    </xf>
    <xf numFmtId="0" fontId="14" fillId="2" borderId="3" xfId="0" applyFont="1" applyFill="1" applyBorder="1" applyAlignment="1">
      <alignment horizontal="center" shrinkToFit="1"/>
    </xf>
    <xf numFmtId="0" fontId="67" fillId="0" borderId="3" xfId="0" applyFont="1" applyBorder="1" applyAlignment="1">
      <alignment horizontal="center" shrinkToFit="1"/>
    </xf>
    <xf numFmtId="0" fontId="14" fillId="0" borderId="4" xfId="0" applyFont="1" applyBorder="1" applyAlignment="1">
      <alignment horizontal="center" shrinkToFit="1"/>
    </xf>
    <xf numFmtId="0" fontId="34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14" fillId="2" borderId="4" xfId="0" applyFont="1" applyFill="1" applyBorder="1" applyAlignment="1">
      <alignment horizontal="center" vertical="center" shrinkToFit="1"/>
    </xf>
    <xf numFmtId="0" fontId="14" fillId="2" borderId="2" xfId="0" applyFont="1" applyFill="1" applyBorder="1" applyAlignment="1">
      <alignment horizontal="center" vertical="center" shrinkToFit="1"/>
    </xf>
    <xf numFmtId="0" fontId="14" fillId="2" borderId="3" xfId="0" applyFont="1" applyFill="1" applyBorder="1" applyAlignment="1">
      <alignment horizontal="center" vertical="center" shrinkToFit="1"/>
    </xf>
    <xf numFmtId="0" fontId="18" fillId="2" borderId="4" xfId="0" applyFont="1" applyFill="1" applyBorder="1" applyAlignment="1">
      <alignment horizontal="center" vertical="center" shrinkToFit="1"/>
    </xf>
    <xf numFmtId="0" fontId="18" fillId="2" borderId="3" xfId="0" applyFont="1" applyFill="1" applyBorder="1" applyAlignment="1">
      <alignment horizontal="center" vertical="center" shrinkToFit="1"/>
    </xf>
    <xf numFmtId="0" fontId="14" fillId="2" borderId="0" xfId="0" applyFont="1" applyFill="1" applyAlignment="1">
      <alignment horizontal="center" vertical="center" shrinkToFit="1"/>
    </xf>
    <xf numFmtId="0" fontId="14" fillId="2" borderId="40" xfId="0" applyFont="1" applyFill="1" applyBorder="1" applyAlignment="1">
      <alignment horizontal="center" vertical="center" shrinkToFit="1"/>
    </xf>
    <xf numFmtId="0" fontId="14" fillId="0" borderId="4" xfId="0" applyFont="1" applyBorder="1" applyAlignment="1">
      <alignment shrinkToFit="1"/>
    </xf>
    <xf numFmtId="0" fontId="14" fillId="0" borderId="2" xfId="0" applyFont="1" applyBorder="1" applyAlignment="1">
      <alignment shrinkToFit="1"/>
    </xf>
    <xf numFmtId="0" fontId="14" fillId="0" borderId="3" xfId="0" applyFont="1" applyBorder="1" applyAlignment="1">
      <alignment shrinkToFit="1"/>
    </xf>
    <xf numFmtId="0" fontId="14" fillId="0" borderId="9" xfId="0" applyFont="1" applyBorder="1" applyAlignment="1">
      <alignment shrinkToFit="1"/>
    </xf>
    <xf numFmtId="0" fontId="14" fillId="0" borderId="10" xfId="0" applyFont="1" applyBorder="1" applyAlignment="1">
      <alignment shrinkToFit="1"/>
    </xf>
    <xf numFmtId="0" fontId="14" fillId="0" borderId="8" xfId="0" applyFont="1" applyBorder="1" applyAlignment="1">
      <alignment shrinkToFit="1"/>
    </xf>
    <xf numFmtId="0" fontId="34" fillId="0" borderId="22" xfId="0" applyFont="1" applyBorder="1" applyAlignment="1">
      <alignment horizontal="center" vertical="center" wrapText="1" shrinkToFit="1"/>
    </xf>
    <xf numFmtId="0" fontId="0" fillId="0" borderId="22" xfId="0" applyBorder="1" applyAlignment="1">
      <alignment horizontal="center" vertical="center" wrapText="1" shrinkToFit="1"/>
    </xf>
    <xf numFmtId="0" fontId="66" fillId="0" borderId="9" xfId="0" applyFont="1" applyBorder="1" applyAlignment="1">
      <alignment shrinkToFit="1"/>
    </xf>
    <xf numFmtId="0" fontId="57" fillId="0" borderId="4" xfId="0" applyFont="1" applyBorder="1" applyAlignment="1">
      <alignment shrinkToFit="1"/>
    </xf>
    <xf numFmtId="0" fontId="52" fillId="9" borderId="22" xfId="0" applyFont="1" applyFill="1" applyBorder="1" applyAlignment="1">
      <alignment horizontal="center" vertical="center" shrinkToFit="1"/>
    </xf>
    <xf numFmtId="0" fontId="66" fillId="0" borderId="4" xfId="0" applyFont="1" applyBorder="1" applyAlignment="1">
      <alignment horizontal="center" shrinkToFit="1"/>
    </xf>
    <xf numFmtId="0" fontId="29" fillId="0" borderId="3" xfId="0" applyFont="1" applyBorder="1" applyAlignment="1">
      <alignment horizontal="center" shrinkToFit="1"/>
    </xf>
    <xf numFmtId="0" fontId="67" fillId="0" borderId="4" xfId="0" applyFont="1" applyBorder="1" applyAlignment="1">
      <alignment shrinkToFit="1"/>
    </xf>
    <xf numFmtId="0" fontId="29" fillId="0" borderId="22" xfId="0" applyFont="1" applyBorder="1" applyAlignment="1">
      <alignment shrinkToFit="1"/>
    </xf>
    <xf numFmtId="0" fontId="50" fillId="0" borderId="22" xfId="0" applyFont="1" applyBorder="1" applyAlignment="1">
      <alignment shrinkToFit="1"/>
    </xf>
    <xf numFmtId="0" fontId="29" fillId="2" borderId="22" xfId="0" applyFont="1" applyFill="1" applyBorder="1" applyAlignment="1">
      <alignment horizontal="center" vertical="center" shrinkToFit="1"/>
    </xf>
    <xf numFmtId="0" fontId="29" fillId="0" borderId="0" xfId="0" applyFont="1" applyAlignment="1">
      <alignment horizontal="center" shrinkToFit="1"/>
    </xf>
    <xf numFmtId="0" fontId="29" fillId="0" borderId="38" xfId="0" applyFont="1" applyBorder="1" applyAlignment="1">
      <alignment horizontal="center" shrinkToFit="1"/>
    </xf>
    <xf numFmtId="0" fontId="29" fillId="2" borderId="23" xfId="0" applyFont="1" applyFill="1" applyBorder="1" applyAlignment="1">
      <alignment horizontal="center" vertical="center" shrinkToFit="1"/>
    </xf>
    <xf numFmtId="0" fontId="29" fillId="2" borderId="29" xfId="0" applyFont="1" applyFill="1" applyBorder="1" applyAlignment="1">
      <alignment horizontal="center" vertical="center" shrinkToFit="1"/>
    </xf>
    <xf numFmtId="0" fontId="48" fillId="0" borderId="26" xfId="0" applyFont="1" applyBorder="1" applyAlignment="1">
      <alignment horizontal="left" vertical="center" shrinkToFit="1"/>
    </xf>
    <xf numFmtId="0" fontId="29" fillId="2" borderId="33" xfId="0" applyFont="1" applyFill="1" applyBorder="1" applyAlignment="1">
      <alignment horizontal="center" vertical="center" shrinkToFit="1"/>
    </xf>
    <xf numFmtId="0" fontId="40" fillId="0" borderId="26" xfId="78" applyFont="1" applyBorder="1" applyAlignment="1">
      <alignment horizontal="center" vertical="center"/>
    </xf>
    <xf numFmtId="0" fontId="33" fillId="0" borderId="26" xfId="78" applyFont="1" applyBorder="1" applyAlignment="1">
      <alignment horizontal="center" vertical="center"/>
    </xf>
    <xf numFmtId="0" fontId="59" fillId="5" borderId="31" xfId="78" applyFont="1" applyFill="1" applyBorder="1" applyAlignment="1">
      <alignment horizontal="center" vertical="center"/>
    </xf>
    <xf numFmtId="0" fontId="31" fillId="5" borderId="32" xfId="78" applyFont="1" applyFill="1" applyBorder="1" applyAlignment="1">
      <alignment horizontal="center" vertical="center"/>
    </xf>
    <xf numFmtId="0" fontId="31" fillId="5" borderId="33" xfId="78" applyFont="1" applyFill="1" applyBorder="1" applyAlignment="1">
      <alignment horizontal="center" vertical="center"/>
    </xf>
    <xf numFmtId="0" fontId="31" fillId="5" borderId="34" xfId="78" applyFont="1" applyFill="1" applyBorder="1" applyAlignment="1">
      <alignment horizontal="center" vertical="center"/>
    </xf>
    <xf numFmtId="0" fontId="31" fillId="5" borderId="35" xfId="78" applyFont="1" applyFill="1" applyBorder="1" applyAlignment="1">
      <alignment horizontal="center" vertical="center"/>
    </xf>
    <xf numFmtId="0" fontId="31" fillId="5" borderId="36" xfId="78" applyFont="1" applyFill="1" applyBorder="1" applyAlignment="1">
      <alignment horizontal="center" vertical="center"/>
    </xf>
    <xf numFmtId="0" fontId="37" fillId="5" borderId="22" xfId="87" applyFont="1" applyFill="1" applyBorder="1" applyAlignment="1">
      <alignment horizontal="center" vertical="center"/>
    </xf>
    <xf numFmtId="0" fontId="37" fillId="5" borderId="31" xfId="87" applyFont="1" applyFill="1" applyBorder="1" applyAlignment="1">
      <alignment horizontal="center" vertical="center"/>
    </xf>
    <xf numFmtId="0" fontId="37" fillId="5" borderId="33" xfId="87" applyFont="1" applyFill="1" applyBorder="1" applyAlignment="1">
      <alignment horizontal="center" vertical="center"/>
    </xf>
    <xf numFmtId="0" fontId="37" fillId="5" borderId="35" xfId="87" applyFont="1" applyFill="1" applyBorder="1" applyAlignment="1">
      <alignment horizontal="center" vertical="center"/>
    </xf>
    <xf numFmtId="0" fontId="54" fillId="5" borderId="23" xfId="87" applyFont="1" applyFill="1" applyBorder="1" applyAlignment="1">
      <alignment horizontal="center" vertical="center"/>
    </xf>
    <xf numFmtId="0" fontId="37" fillId="5" borderId="29" xfId="87" applyFont="1" applyFill="1" applyBorder="1" applyAlignment="1">
      <alignment horizontal="center" vertical="center"/>
    </xf>
    <xf numFmtId="0" fontId="37" fillId="5" borderId="30" xfId="87" applyFont="1" applyFill="1" applyBorder="1" applyAlignment="1">
      <alignment horizontal="center" vertical="center"/>
    </xf>
    <xf numFmtId="0" fontId="37" fillId="5" borderId="23" xfId="87" applyFont="1" applyFill="1" applyBorder="1" applyAlignment="1">
      <alignment horizontal="center" vertical="center"/>
    </xf>
    <xf numFmtId="0" fontId="37" fillId="5" borderId="22" xfId="20" applyFont="1" applyFill="1" applyBorder="1" applyAlignment="1">
      <alignment horizontal="center" vertical="center" wrapText="1"/>
    </xf>
    <xf numFmtId="0" fontId="31" fillId="0" borderId="0" xfId="78" applyFont="1" applyAlignment="1">
      <alignment horizontal="center" vertical="center"/>
    </xf>
    <xf numFmtId="0" fontId="68" fillId="0" borderId="31" xfId="78" applyFont="1" applyBorder="1" applyAlignment="1">
      <alignment horizontal="center" vertical="center"/>
    </xf>
    <xf numFmtId="0" fontId="68" fillId="0" borderId="32" xfId="78" applyFont="1" applyBorder="1" applyAlignment="1">
      <alignment horizontal="center" vertical="center"/>
    </xf>
    <xf numFmtId="0" fontId="68" fillId="0" borderId="33" xfId="78" applyFont="1" applyBorder="1" applyAlignment="1">
      <alignment horizontal="center" vertical="center"/>
    </xf>
    <xf numFmtId="0" fontId="68" fillId="0" borderId="34" xfId="78" applyFont="1" applyBorder="1" applyAlignment="1">
      <alignment horizontal="center" vertical="center"/>
    </xf>
    <xf numFmtId="0" fontId="68" fillId="0" borderId="35" xfId="78" applyFont="1" applyBorder="1" applyAlignment="1">
      <alignment horizontal="center" vertical="center"/>
    </xf>
    <xf numFmtId="0" fontId="68" fillId="0" borderId="36" xfId="78" applyFont="1" applyBorder="1" applyAlignment="1">
      <alignment horizontal="center" vertical="center"/>
    </xf>
    <xf numFmtId="0" fontId="54" fillId="5" borderId="29" xfId="87" applyFont="1" applyFill="1" applyBorder="1" applyAlignment="1">
      <alignment horizontal="center" vertical="center"/>
    </xf>
    <xf numFmtId="0" fontId="54" fillId="5" borderId="30" xfId="87" applyFont="1" applyFill="1" applyBorder="1" applyAlignment="1">
      <alignment horizontal="center" vertical="center"/>
    </xf>
    <xf numFmtId="0" fontId="37" fillId="5" borderId="22" xfId="20" applyFont="1" applyFill="1" applyBorder="1" applyAlignment="1">
      <alignment horizontal="center" vertical="center"/>
    </xf>
    <xf numFmtId="0" fontId="39" fillId="5" borderId="22" xfId="20" applyFont="1" applyFill="1" applyBorder="1" applyAlignment="1">
      <alignment horizontal="center"/>
    </xf>
    <xf numFmtId="0" fontId="83" fillId="5" borderId="22" xfId="20" applyFont="1" applyFill="1" applyBorder="1" applyAlignment="1">
      <alignment horizontal="center"/>
    </xf>
    <xf numFmtId="0" fontId="86" fillId="5" borderId="22" xfId="20" applyFont="1" applyFill="1" applyBorder="1" applyAlignment="1">
      <alignment horizontal="center"/>
    </xf>
    <xf numFmtId="0" fontId="74" fillId="5" borderId="42" xfId="21" applyFont="1" applyFill="1" applyBorder="1" applyAlignment="1">
      <alignment horizontal="center" vertical="center"/>
    </xf>
    <xf numFmtId="0" fontId="74" fillId="5" borderId="43" xfId="21" applyFont="1" applyFill="1" applyBorder="1" applyAlignment="1">
      <alignment horizontal="center" vertical="center"/>
    </xf>
    <xf numFmtId="0" fontId="74" fillId="5" borderId="49" xfId="21" applyFont="1" applyFill="1" applyBorder="1" applyAlignment="1">
      <alignment horizontal="center" vertical="center"/>
    </xf>
    <xf numFmtId="0" fontId="75" fillId="10" borderId="45" xfId="21" applyFont="1" applyFill="1" applyBorder="1" applyAlignment="1">
      <alignment horizontal="center" vertical="center" wrapText="1"/>
    </xf>
    <xf numFmtId="0" fontId="75" fillId="10" borderId="64" xfId="21" applyFont="1" applyFill="1" applyBorder="1" applyAlignment="1">
      <alignment horizontal="center" vertical="center" wrapText="1"/>
    </xf>
    <xf numFmtId="0" fontId="75" fillId="10" borderId="22" xfId="21" applyFont="1" applyFill="1" applyBorder="1" applyAlignment="1">
      <alignment horizontal="center" vertical="center" wrapText="1"/>
    </xf>
    <xf numFmtId="0" fontId="75" fillId="10" borderId="23" xfId="21" applyFont="1" applyFill="1" applyBorder="1" applyAlignment="1">
      <alignment horizontal="center" vertical="center" wrapText="1"/>
    </xf>
    <xf numFmtId="0" fontId="76" fillId="10" borderId="27" xfId="21" applyFont="1" applyFill="1" applyBorder="1" applyAlignment="1">
      <alignment horizontal="center" vertical="center"/>
    </xf>
    <xf numFmtId="0" fontId="76" fillId="10" borderId="28" xfId="21" applyFont="1" applyFill="1" applyBorder="1" applyAlignment="1">
      <alignment horizontal="center" vertical="center"/>
    </xf>
    <xf numFmtId="0" fontId="76" fillId="10" borderId="65" xfId="21" applyFont="1" applyFill="1" applyBorder="1" applyAlignment="1">
      <alignment horizontal="center" vertical="center"/>
    </xf>
    <xf numFmtId="193" fontId="78" fillId="0" borderId="44" xfId="21" applyNumberFormat="1" applyFont="1" applyBorder="1" applyAlignment="1">
      <alignment horizontal="center" vertical="center"/>
    </xf>
    <xf numFmtId="193" fontId="78" fillId="0" borderId="29" xfId="21" applyNumberFormat="1" applyFont="1" applyBorder="1" applyAlignment="1">
      <alignment horizontal="center" vertical="center"/>
    </xf>
    <xf numFmtId="193" fontId="78" fillId="0" borderId="48" xfId="21" applyNumberFormat="1" applyFont="1" applyBorder="1" applyAlignment="1">
      <alignment horizontal="center" vertical="center"/>
    </xf>
    <xf numFmtId="193" fontId="78" fillId="0" borderId="61" xfId="21" applyNumberFormat="1" applyFont="1" applyBorder="1" applyAlignment="1">
      <alignment horizontal="center" vertical="center"/>
    </xf>
    <xf numFmtId="193" fontId="78" fillId="0" borderId="62" xfId="21" applyNumberFormat="1" applyFont="1" applyBorder="1" applyAlignment="1">
      <alignment horizontal="center" vertical="center"/>
    </xf>
    <xf numFmtId="193" fontId="78" fillId="0" borderId="63" xfId="21" applyNumberFormat="1" applyFont="1" applyBorder="1" applyAlignment="1">
      <alignment horizontal="center" vertical="center"/>
    </xf>
    <xf numFmtId="0" fontId="80" fillId="0" borderId="0" xfId="87" applyFont="1" applyAlignment="1">
      <alignment horizontal="left" vertical="center"/>
    </xf>
    <xf numFmtId="0" fontId="16" fillId="0" borderId="3" xfId="0" applyFont="1" applyBorder="1" applyAlignment="1">
      <alignment shrinkToFit="1"/>
    </xf>
    <xf numFmtId="0" fontId="17" fillId="0" borderId="12" xfId="0" applyFont="1" applyBorder="1" applyAlignment="1">
      <alignment shrinkToFit="1"/>
    </xf>
    <xf numFmtId="0" fontId="16" fillId="0" borderId="13" xfId="0" applyFont="1" applyBorder="1" applyAlignment="1">
      <alignment shrinkToFit="1"/>
    </xf>
    <xf numFmtId="0" fontId="16" fillId="0" borderId="11" xfId="0" applyFont="1" applyBorder="1" applyAlignment="1">
      <alignment shrinkToFit="1"/>
    </xf>
    <xf numFmtId="0" fontId="16" fillId="0" borderId="2" xfId="0" applyFont="1" applyBorder="1" applyAlignment="1">
      <alignment shrinkToFit="1"/>
    </xf>
    <xf numFmtId="0" fontId="14" fillId="2" borderId="2" xfId="0" applyFont="1" applyFill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14" fillId="2" borderId="3" xfId="0" applyFont="1" applyFill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17" fillId="2" borderId="2" xfId="0" applyFont="1" applyFill="1" applyBorder="1" applyAlignment="1">
      <alignment shrinkToFit="1"/>
    </xf>
    <xf numFmtId="0" fontId="17" fillId="2" borderId="3" xfId="0" applyFont="1" applyFill="1" applyBorder="1" applyAlignment="1">
      <alignment shrinkToFit="1"/>
    </xf>
    <xf numFmtId="0" fontId="17" fillId="0" borderId="4" xfId="0" applyFont="1" applyBorder="1" applyAlignment="1">
      <alignment shrinkToFit="1"/>
    </xf>
    <xf numFmtId="0" fontId="17" fillId="0" borderId="19" xfId="0" applyFont="1" applyBorder="1" applyAlignment="1">
      <alignment shrinkToFit="1"/>
    </xf>
    <xf numFmtId="0" fontId="16" fillId="0" borderId="20" xfId="0" applyFont="1" applyBorder="1" applyAlignment="1">
      <alignment shrinkToFit="1"/>
    </xf>
    <xf numFmtId="0" fontId="16" fillId="0" borderId="21" xfId="0" applyFont="1" applyBorder="1" applyAlignment="1">
      <alignment shrinkToFit="1"/>
    </xf>
    <xf numFmtId="0" fontId="16" fillId="0" borderId="10" xfId="0" applyFont="1" applyBorder="1" applyAlignment="1">
      <alignment shrinkToFit="1"/>
    </xf>
    <xf numFmtId="0" fontId="16" fillId="0" borderId="8" xfId="0" applyFont="1" applyBorder="1" applyAlignment="1">
      <alignment shrinkToFit="1"/>
    </xf>
    <xf numFmtId="0" fontId="15" fillId="2" borderId="4" xfId="0" applyFont="1" applyFill="1" applyBorder="1" applyAlignment="1">
      <alignment shrinkToFit="1"/>
    </xf>
    <xf numFmtId="0" fontId="18" fillId="2" borderId="4" xfId="0" applyFont="1" applyFill="1" applyBorder="1" applyAlignment="1">
      <alignment shrinkToFit="1"/>
    </xf>
    <xf numFmtId="0" fontId="15" fillId="0" borderId="9" xfId="0" applyFont="1" applyBorder="1" applyAlignment="1">
      <alignment shrinkToFit="1"/>
    </xf>
    <xf numFmtId="0" fontId="15" fillId="0" borderId="4" xfId="0" applyFont="1" applyBorder="1" applyAlignment="1">
      <alignment shrinkToFit="1"/>
    </xf>
    <xf numFmtId="0" fontId="14" fillId="0" borderId="19" xfId="0" applyFont="1" applyBorder="1" applyAlignment="1">
      <alignment shrinkToFit="1"/>
    </xf>
    <xf numFmtId="0" fontId="14" fillId="0" borderId="0" xfId="0" applyFont="1" applyAlignment="1">
      <alignment shrinkToFit="1"/>
    </xf>
    <xf numFmtId="0" fontId="0" fillId="0" borderId="0" xfId="0" applyAlignment="1">
      <alignment shrinkToFit="1"/>
    </xf>
    <xf numFmtId="0" fontId="18" fillId="2" borderId="3" xfId="0" applyFont="1" applyFill="1" applyBorder="1" applyAlignment="1">
      <alignment shrinkToFit="1"/>
    </xf>
    <xf numFmtId="0" fontId="38" fillId="5" borderId="22" xfId="87" applyFont="1" applyFill="1" applyBorder="1" applyAlignment="1">
      <alignment horizontal="center"/>
    </xf>
  </cellXfs>
  <cellStyles count="293">
    <cellStyle name="一般" xfId="0" builtinId="0"/>
    <cellStyle name="一般 10" xfId="1" xr:uid="{00000000-0005-0000-0000-000001000000}"/>
    <cellStyle name="一般 10 2" xfId="2" xr:uid="{00000000-0005-0000-0000-000002000000}"/>
    <cellStyle name="一般 11" xfId="3" xr:uid="{00000000-0005-0000-0000-000003000000}"/>
    <cellStyle name="一般 11 2" xfId="4" xr:uid="{00000000-0005-0000-0000-000004000000}"/>
    <cellStyle name="一般 12" xfId="5" xr:uid="{BCFB3671-EFBB-402C-8B50-D9491EC6BD3C}"/>
    <cellStyle name="一般 2" xfId="6" xr:uid="{00000000-0005-0000-0000-000005000000}"/>
    <cellStyle name="一般 2 17 2" xfId="7" xr:uid="{840EC81D-C134-435D-B183-F823118FEB9F}"/>
    <cellStyle name="一般 2 17 2 2" xfId="8" xr:uid="{47EE5DCD-9168-471C-AD1D-B4F46637E7A6}"/>
    <cellStyle name="一般 2 17 2 3" xfId="9" xr:uid="{F03E1DB5-BDAA-4AD3-B68A-551268E0CC75}"/>
    <cellStyle name="一般 2 18" xfId="10" xr:uid="{980C6D1A-3746-49BB-9AA7-0D2231082B21}"/>
    <cellStyle name="一般 2 18 2" xfId="11" xr:uid="{F14C4798-9460-431A-A841-EB7E20639127}"/>
    <cellStyle name="一般 2 18 3" xfId="12" xr:uid="{5D416464-EA9F-48A3-AEA8-AF130D540F91}"/>
    <cellStyle name="一般 2 2" xfId="13" xr:uid="{00000000-0005-0000-0000-000006000000}"/>
    <cellStyle name="一般 2 2 10" xfId="14" xr:uid="{3392B9AB-9349-4FC1-9D84-50CE7E22BAD8}"/>
    <cellStyle name="一般 2 2 2" xfId="15" xr:uid="{00000000-0005-0000-0000-000007000000}"/>
    <cellStyle name="一般 2 2 2 2" xfId="16" xr:uid="{FC903EAD-821C-4EBF-AA01-EF414A3E4C41}"/>
    <cellStyle name="一般 2 2 2 2 2" xfId="17" xr:uid="{4A64ABEE-C14D-4811-BF4E-6E9B710BFC55}"/>
    <cellStyle name="一般 2 2 2 2 3" xfId="18" xr:uid="{2EDE8354-2DCC-479E-81CB-6EC9D4757723}"/>
    <cellStyle name="一般 2 2 30 2 2 30 2" xfId="19" xr:uid="{00000000-0005-0000-0000-000008000000}"/>
    <cellStyle name="一般 2 2 30 2 2 30 2 2" xfId="20" xr:uid="{00000000-0005-0000-0000-000009000000}"/>
    <cellStyle name="一般 2 2 30 2 2 30 2 2 2" xfId="21" xr:uid="{00000000-0005-0000-0000-00000A000000}"/>
    <cellStyle name="一般 2 2 30 2 2 30 2 2 3" xfId="22" xr:uid="{00000000-0005-0000-0000-00000B000000}"/>
    <cellStyle name="一般 2 2 30 2 2 30 2 3" xfId="23" xr:uid="{00000000-0005-0000-0000-00000C000000}"/>
    <cellStyle name="一般 2 2 30 2 2 30 2 3 2" xfId="24" xr:uid="{00000000-0005-0000-0000-00000D000000}"/>
    <cellStyle name="一般 2 2 30 2 2 30 2 4" xfId="25" xr:uid="{00000000-0005-0000-0000-00000E000000}"/>
    <cellStyle name="一般 2 2 30 2 2 30 2 4 2" xfId="26" xr:uid="{00000000-0005-0000-0000-00000F000000}"/>
    <cellStyle name="一般 2 2 30 2 2 30 2 4 2 2" xfId="27" xr:uid="{00000000-0005-0000-0000-000010000000}"/>
    <cellStyle name="一般 2 2 30 2 2 30 2 4 3" xfId="28" xr:uid="{00000000-0005-0000-0000-000011000000}"/>
    <cellStyle name="一般 2 2 30 2 2 30 2 4 3 2" xfId="29" xr:uid="{00000000-0005-0000-0000-000012000000}"/>
    <cellStyle name="一般 2 2 30 2 2 30 2 4 3 2 2" xfId="30" xr:uid="{00000000-0005-0000-0000-000013000000}"/>
    <cellStyle name="一般 2 2 30 2 2 30 2 4 3 3" xfId="31" xr:uid="{00000000-0005-0000-0000-000014000000}"/>
    <cellStyle name="一般 2 2 30 2 2 30 2 4 3 3 2" xfId="32" xr:uid="{00000000-0005-0000-0000-000015000000}"/>
    <cellStyle name="一般 2 2 30 2 2 30 2 4 3 4" xfId="33" xr:uid="{00000000-0005-0000-0000-000016000000}"/>
    <cellStyle name="一般 2 2 30 2 2 30 2 4 3 4 2" xfId="34" xr:uid="{00000000-0005-0000-0000-000017000000}"/>
    <cellStyle name="一般 2 2 30 2 2 30 2 4 3 5" xfId="35" xr:uid="{00000000-0005-0000-0000-000018000000}"/>
    <cellStyle name="一般 2 2 30 2 2 30 2 4 4" xfId="36" xr:uid="{00000000-0005-0000-0000-000019000000}"/>
    <cellStyle name="一般 2 2 30 2 2 30 2 4 4 2" xfId="37" xr:uid="{00000000-0005-0000-0000-00001A000000}"/>
    <cellStyle name="一般 2 2 30 2 2 30 2 4 5" xfId="38" xr:uid="{00000000-0005-0000-0000-00001B000000}"/>
    <cellStyle name="一般 2 2 30 2 2 30 2 4 5 2" xfId="39" xr:uid="{00000000-0005-0000-0000-00001C000000}"/>
    <cellStyle name="一般 2 2 30 2 2 30 2 4 6" xfId="40" xr:uid="{00000000-0005-0000-0000-00001D000000}"/>
    <cellStyle name="一般 2 2 30 2 2 30 2 5" xfId="41" xr:uid="{00000000-0005-0000-0000-00001E000000}"/>
    <cellStyle name="一般 2 2 30 2 2 30 2 5 2" xfId="42" xr:uid="{00000000-0005-0000-0000-00001F000000}"/>
    <cellStyle name="一般 2 2 30 2 2 30 2 6" xfId="43" xr:uid="{00000000-0005-0000-0000-000020000000}"/>
    <cellStyle name="一般 2 2 30 2 2 30 2 6 2" xfId="44" xr:uid="{00000000-0005-0000-0000-000021000000}"/>
    <cellStyle name="一般 2 2 30 2 2 30 2 7" xfId="45" xr:uid="{00000000-0005-0000-0000-000022000000}"/>
    <cellStyle name="一般 2 2 30 2 2 30 2 7 2" xfId="46" xr:uid="{00000000-0005-0000-0000-000023000000}"/>
    <cellStyle name="一般 2 2 30 2 2 30 2 8" xfId="47" xr:uid="{00000000-0005-0000-0000-000024000000}"/>
    <cellStyle name="一般 2 2 30 2 3 2" xfId="48" xr:uid="{00000000-0005-0000-0000-000025000000}"/>
    <cellStyle name="一般 2 2 30 2 3 2 2" xfId="49" xr:uid="{00000000-0005-0000-0000-000026000000}"/>
    <cellStyle name="一般 2 2 30 2 3 2 3" xfId="50" xr:uid="{00000000-0005-0000-0000-000027000000}"/>
    <cellStyle name="一般 2 2 30 3 30" xfId="51" xr:uid="{00000000-0005-0000-0000-000028000000}"/>
    <cellStyle name="一般 2 2 30 3 30 2" xfId="52" xr:uid="{00000000-0005-0000-0000-000029000000}"/>
    <cellStyle name="一般 2 2 30 3 30 4" xfId="53" xr:uid="{00000000-0005-0000-0000-00002A000000}"/>
    <cellStyle name="一般 2 2 30 3 30 4 2" xfId="54" xr:uid="{00000000-0005-0000-0000-00002B000000}"/>
    <cellStyle name="一般 2 2 30 3 30 4 2 2" xfId="55" xr:uid="{00000000-0005-0000-0000-00002C000000}"/>
    <cellStyle name="一般 2 2 30 3 30 4 3" xfId="56" xr:uid="{00000000-0005-0000-0000-00002D000000}"/>
    <cellStyle name="一般 2 2 30 3 30 4 3 2" xfId="57" xr:uid="{00000000-0005-0000-0000-00002E000000}"/>
    <cellStyle name="一般 2 2 30 3 30 4 4" xfId="58" xr:uid="{00000000-0005-0000-0000-00002F000000}"/>
    <cellStyle name="一般 2 2 30 3 30 4 4 2" xfId="59" xr:uid="{00000000-0005-0000-0000-000030000000}"/>
    <cellStyle name="一般 2 2 30 3 30 4 5" xfId="60" xr:uid="{00000000-0005-0000-0000-000031000000}"/>
    <cellStyle name="一般 2 2 4" xfId="61" xr:uid="{00000000-0005-0000-0000-000032000000}"/>
    <cellStyle name="一般 2 2 4 2" xfId="62" xr:uid="{00000000-0005-0000-0000-000033000000}"/>
    <cellStyle name="一般 2 2 4 2 2" xfId="63" xr:uid="{00000000-0005-0000-0000-000034000000}"/>
    <cellStyle name="一般 2 2 4 2 3" xfId="64" xr:uid="{9D79834C-EE78-4C92-BB2B-DFBAA1FBEA52}"/>
    <cellStyle name="一般 2 2 4 3" xfId="65" xr:uid="{00000000-0005-0000-0000-000035000000}"/>
    <cellStyle name="一般 2 2 4 3 2" xfId="66" xr:uid="{00000000-0005-0000-0000-000036000000}"/>
    <cellStyle name="一般 2 2 4 3 3" xfId="67" xr:uid="{DA1B1F1C-EA8F-4863-8A1F-435F5A0B3BFB}"/>
    <cellStyle name="一般 2 2 4 4" xfId="68" xr:uid="{00000000-0005-0000-0000-000037000000}"/>
    <cellStyle name="一般 2 2 4 5" xfId="69" xr:uid="{7B694A0F-CE06-42D7-BBDB-8E3837CD277D}"/>
    <cellStyle name="一般 2 2 4 6" xfId="70" xr:uid="{F480F69D-5FEC-4A44-A13C-2FDFC138E875}"/>
    <cellStyle name="一般 2 3" xfId="71" xr:uid="{CE6D02E6-340F-4C52-B008-04DA19994BE5}"/>
    <cellStyle name="一般 2 4" xfId="72" xr:uid="{EA67DC1A-246D-4698-BC12-D15AD3FB64EE}"/>
    <cellStyle name="一般 2 4 2" xfId="73" xr:uid="{00000000-0005-0000-0000-000038000000}"/>
    <cellStyle name="一般 2 8" xfId="74" xr:uid="{BDCF7075-5635-4C5F-A0FD-2A262F440E83}"/>
    <cellStyle name="一般 2 8 2" xfId="75" xr:uid="{56EC57A8-2BB9-4A75-B381-DC509DD4B426}"/>
    <cellStyle name="一般 2 8 23" xfId="76" xr:uid="{CC32046D-358A-49BB-B52F-6A39226DAADC}"/>
    <cellStyle name="一般 2 8 3" xfId="77" xr:uid="{08483DB8-5ED3-4A25-98B6-D6225EAC039E}"/>
    <cellStyle name="一般 3" xfId="78" xr:uid="{00000000-0005-0000-0000-000039000000}"/>
    <cellStyle name="一般 3 3 3 2" xfId="79" xr:uid="{00000000-0005-0000-0000-00003A000000}"/>
    <cellStyle name="一般 3 3 3 2 2" xfId="80" xr:uid="{00000000-0005-0000-0000-00003B000000}"/>
    <cellStyle name="一般 3 3 3 2 2 2" xfId="81" xr:uid="{00000000-0005-0000-0000-00003C000000}"/>
    <cellStyle name="一般 3 3 3 2 3" xfId="82" xr:uid="{00000000-0005-0000-0000-00003D000000}"/>
    <cellStyle name="一般 3 3 3 2 3 2" xfId="83" xr:uid="{00000000-0005-0000-0000-00003E000000}"/>
    <cellStyle name="一般 3 3 3 2 4" xfId="84" xr:uid="{00000000-0005-0000-0000-00003F000000}"/>
    <cellStyle name="一般 3 3 3 2 4 2" xfId="85" xr:uid="{00000000-0005-0000-0000-000040000000}"/>
    <cellStyle name="一般 3 3 3 2 5" xfId="86" xr:uid="{00000000-0005-0000-0000-000041000000}"/>
    <cellStyle name="一般 4" xfId="87" xr:uid="{00000000-0005-0000-0000-000042000000}"/>
    <cellStyle name="一般 5" xfId="88" xr:uid="{00000000-0005-0000-0000-000043000000}"/>
    <cellStyle name="一般 5 2" xfId="89" xr:uid="{00000000-0005-0000-0000-000044000000}"/>
    <cellStyle name="一般 5 2 2" xfId="90" xr:uid="{00000000-0005-0000-0000-000045000000}"/>
    <cellStyle name="一般 5 3" xfId="91" xr:uid="{00000000-0005-0000-0000-000046000000}"/>
    <cellStyle name="一般 5 3 2" xfId="92" xr:uid="{00000000-0005-0000-0000-000047000000}"/>
    <cellStyle name="一般 5 4" xfId="93" xr:uid="{00000000-0005-0000-0000-000048000000}"/>
    <cellStyle name="一般 5 4 2" xfId="94" xr:uid="{00000000-0005-0000-0000-000049000000}"/>
    <cellStyle name="一般 5 5" xfId="95" xr:uid="{00000000-0005-0000-0000-00004A000000}"/>
    <cellStyle name="一般 5 5 2" xfId="96" xr:uid="{00000000-0005-0000-0000-00004B000000}"/>
    <cellStyle name="一般 5 6" xfId="97" xr:uid="{00000000-0005-0000-0000-00004C000000}"/>
    <cellStyle name="一般 6" xfId="98" xr:uid="{00000000-0005-0000-0000-00004D000000}"/>
    <cellStyle name="一般 6 2" xfId="99" xr:uid="{00000000-0005-0000-0000-00004E000000}"/>
    <cellStyle name="一般 7" xfId="100" xr:uid="{00000000-0005-0000-0000-00004F000000}"/>
    <cellStyle name="一般 7 2" xfId="101" xr:uid="{00000000-0005-0000-0000-000050000000}"/>
    <cellStyle name="一般 8" xfId="102" xr:uid="{00000000-0005-0000-0000-000051000000}"/>
    <cellStyle name="一般 8 2" xfId="103" xr:uid="{00000000-0005-0000-0000-000052000000}"/>
    <cellStyle name="一般 9" xfId="104" xr:uid="{00000000-0005-0000-0000-000053000000}"/>
    <cellStyle name="一般 9 2" xfId="105" xr:uid="{00000000-0005-0000-0000-000054000000}"/>
    <cellStyle name="千分位" xfId="106" builtinId="3"/>
    <cellStyle name="千分位 2" xfId="107" xr:uid="{00000000-0005-0000-0000-000056000000}"/>
    <cellStyle name="千分位 2 10" xfId="108" xr:uid="{F16F8959-D051-446D-AADE-C1580C75C5F7}"/>
    <cellStyle name="千分位 2 10 2" xfId="109" xr:uid="{510C8FFB-B8ED-44C7-84AA-975997D7FFFB}"/>
    <cellStyle name="千分位 2 10 2 2" xfId="110" xr:uid="{91B7B640-3F7F-46A2-9F6D-C7D7F9E6CDCE}"/>
    <cellStyle name="千分位 2 10 2 2 2" xfId="111" xr:uid="{891B062C-F08E-4AD8-8AD4-31909BAC7D04}"/>
    <cellStyle name="千分位 2 10 2 2 2 2" xfId="112" xr:uid="{B0E9B175-93E0-4506-923C-9C9E31DDEF41}"/>
    <cellStyle name="千分位 2 10 2 2 2 2 2" xfId="113" xr:uid="{1FFBBE62-26EF-44AD-8A34-8B5F230DA03D}"/>
    <cellStyle name="千分位 2 10 2 2 2 3" xfId="114" xr:uid="{9444DD0C-7E05-468E-AEAC-2F2396A4818C}"/>
    <cellStyle name="千分位 2 10 2 2 3" xfId="115" xr:uid="{6EE93FD9-6D55-4008-BBC9-1387CAF23AC4}"/>
    <cellStyle name="千分位 2 10 2 2 3 2" xfId="116" xr:uid="{982C3510-FA4C-4EA2-BA56-D40024E8E161}"/>
    <cellStyle name="千分位 2 10 2 2 4" xfId="117" xr:uid="{4D8A8C5B-BC2E-416B-83DF-E8B5ECF993A3}"/>
    <cellStyle name="千分位 2 10 2 3" xfId="118" xr:uid="{E3061DCE-3B09-4659-9932-8F2B076433B1}"/>
    <cellStyle name="千分位 2 10 2 3 2" xfId="119" xr:uid="{D5B441CB-5F8F-4DAC-8697-F8E872D67D1A}"/>
    <cellStyle name="千分位 2 10 2 3 2 2" xfId="120" xr:uid="{7162B933-966B-4B08-90D5-2294CDEE688D}"/>
    <cellStyle name="千分位 2 10 2 3 3" xfId="121" xr:uid="{8DDA5F5A-109D-4C7C-BAB0-FA0B6B210B14}"/>
    <cellStyle name="千分位 2 10 2 4" xfId="122" xr:uid="{662661E6-4A96-4FA0-9003-8D44F2C1503B}"/>
    <cellStyle name="千分位 2 10 2 4 2" xfId="123" xr:uid="{F6532E6D-5C82-4AFB-8622-E8B8E3C0EF0F}"/>
    <cellStyle name="千分位 2 10 2 5" xfId="124" xr:uid="{33A5E1A1-0602-485C-AB70-11A8C19ACFFD}"/>
    <cellStyle name="千分位 2 10 3" xfId="125" xr:uid="{3F66933B-BFC2-4B58-B683-754832E9992B}"/>
    <cellStyle name="千分位 2 10 3 2" xfId="126" xr:uid="{2D0590E5-5EF0-46BC-A5DE-3C9B6EC016C0}"/>
    <cellStyle name="千分位 2 10 3 2 2" xfId="127" xr:uid="{2FB3FB66-3929-4CB9-993D-D1AFAF4EFF12}"/>
    <cellStyle name="千分位 2 10 3 2 2 2" xfId="128" xr:uid="{0CA48076-6237-442E-A328-B0D4A5DF5E7E}"/>
    <cellStyle name="千分位 2 10 3 2 3" xfId="129" xr:uid="{C591833D-762A-4684-951F-1F47BF502B63}"/>
    <cellStyle name="千分位 2 10 3 3" xfId="130" xr:uid="{2E630BA9-E5E7-440F-BDB0-5F668A660ABC}"/>
    <cellStyle name="千分位 2 10 3 3 2" xfId="131" xr:uid="{B3ACEFE3-1544-4BBD-9B3E-944085BC7058}"/>
    <cellStyle name="千分位 2 10 3 4" xfId="132" xr:uid="{F10A11BB-65EC-4128-BB5A-BEB8B0C7EC2F}"/>
    <cellStyle name="千分位 2 10 4" xfId="133" xr:uid="{0B7D1CA5-2996-45E1-B3D1-EFDB7D9F4EF4}"/>
    <cellStyle name="千分位 2 10 4 2" xfId="134" xr:uid="{EDABF1F6-CD38-4AD9-A843-FD01B0D1540C}"/>
    <cellStyle name="千分位 2 10 4 2 2" xfId="135" xr:uid="{3EC00895-06E3-4610-BA18-ECFD6A64F2B2}"/>
    <cellStyle name="千分位 2 10 4 3" xfId="136" xr:uid="{39EA2617-8BCC-4C36-9151-426FAFAC6991}"/>
    <cellStyle name="千分位 2 10 5" xfId="137" xr:uid="{7ECD9B14-47F1-4955-BC46-120FEFB1C839}"/>
    <cellStyle name="千分位 2 10 5 2" xfId="138" xr:uid="{F50BDD2B-2260-45B8-AF05-6AB37EF451AA}"/>
    <cellStyle name="千分位 2 10 6" xfId="139" xr:uid="{A1CA0EC4-1BF1-487D-BCD4-A2981D0E3DC1}"/>
    <cellStyle name="千分位 2 2" xfId="140" xr:uid="{00000000-0005-0000-0000-000057000000}"/>
    <cellStyle name="千分位 2 2 2" xfId="141" xr:uid="{00000000-0005-0000-0000-000058000000}"/>
    <cellStyle name="千分位 2 2 2 2" xfId="142" xr:uid="{FB9B9639-6E8A-4C14-B3C2-BD94A0E49872}"/>
    <cellStyle name="千分位 2 2 2 2 2" xfId="143" xr:uid="{661DF30A-C3CE-4BAA-97B5-5A7C4706B16A}"/>
    <cellStyle name="千分位 2 2 2 2 2 2" xfId="144" xr:uid="{483414E8-DB46-4306-A7F4-5C17D0A7C14A}"/>
    <cellStyle name="千分位 2 2 2 2 3" xfId="145" xr:uid="{9CA42FB0-EA5D-4D93-8C01-EA2D894A7B40}"/>
    <cellStyle name="千分位 2 2 2 3" xfId="146" xr:uid="{C04E7857-9263-4CC8-9D9C-C5A320FBC7AF}"/>
    <cellStyle name="千分位 2 2 2 3 2" xfId="147" xr:uid="{B40A2782-A2F9-4645-B090-2241F68E0DC3}"/>
    <cellStyle name="千分位 2 2 2 4" xfId="148" xr:uid="{2F38C4CF-CA62-40DF-8608-67DAE838E344}"/>
    <cellStyle name="千分位 2 2 2 5" xfId="149" xr:uid="{3C7CFFED-0C82-45D6-8DF3-E287BB083E8A}"/>
    <cellStyle name="千分位 2 2 3" xfId="150" xr:uid="{362CCA17-A0F5-4670-ABA1-6041B21D94C7}"/>
    <cellStyle name="千分位 2 2 3 2" xfId="151" xr:uid="{C08ED967-F305-4402-9D58-744AA7BA7973}"/>
    <cellStyle name="千分位 2 2 3 2 2" xfId="152" xr:uid="{7F904925-1635-465B-94D1-778A44A27900}"/>
    <cellStyle name="千分位 2 2 3 3" xfId="153" xr:uid="{A014E15E-DF71-4D9C-BA52-B64B92CC1FA5}"/>
    <cellStyle name="千分位 2 2 4" xfId="154" xr:uid="{1BB75A2A-6C7B-44BE-9D0A-9C0D0C7248FC}"/>
    <cellStyle name="千分位 2 2 4 2" xfId="155" xr:uid="{630E93F6-7CB2-4525-AED4-09590BF788F1}"/>
    <cellStyle name="千分位 2 2 5" xfId="156" xr:uid="{DE2A5E2D-44C3-496C-BFAB-EB654711F9CA}"/>
    <cellStyle name="千分位 2 2 6" xfId="157" xr:uid="{8ED38AD6-A7F2-4DDB-94E5-549DAFBFB108}"/>
    <cellStyle name="千分位 2 3" xfId="158" xr:uid="{00000000-0005-0000-0000-000059000000}"/>
    <cellStyle name="千分位 2 3 2" xfId="159" xr:uid="{00000000-0005-0000-0000-00005A000000}"/>
    <cellStyle name="千分位 2 3 2 2" xfId="160" xr:uid="{8090E5ED-5371-494D-A48D-15C4C910F43A}"/>
    <cellStyle name="千分位 2 3 2 2 2" xfId="161" xr:uid="{9CF94084-D332-40BD-B658-3AD3842BF196}"/>
    <cellStyle name="千分位 2 3 2 2 2 2" xfId="162" xr:uid="{0E2CD161-9B01-4548-8981-44683BCBE51F}"/>
    <cellStyle name="千分位 2 3 2 2 3" xfId="163" xr:uid="{30E7655C-1850-43FB-B1D3-A3DEF1BAD6C6}"/>
    <cellStyle name="千分位 2 3 2 3" xfId="164" xr:uid="{2A8CB286-2BD4-4FDF-9201-98DA97FAC9F3}"/>
    <cellStyle name="千分位 2 3 2 3 2" xfId="165" xr:uid="{A1B81D8C-7E72-4F68-8167-EB7AB1EA54F2}"/>
    <cellStyle name="千分位 2 3 2 4" xfId="166" xr:uid="{5AFFB647-DFA5-4357-AFB0-2D75165AC957}"/>
    <cellStyle name="千分位 2 3 2 5" xfId="167" xr:uid="{C72221E5-B317-4604-92F8-B022EAB270A4}"/>
    <cellStyle name="千分位 2 3 3" xfId="168" xr:uid="{06CE07BA-057E-4C90-9645-05F086E68D4E}"/>
    <cellStyle name="千分位 2 3 3 2" xfId="169" xr:uid="{BB3C7E21-6008-44E2-913B-E83B726023AA}"/>
    <cellStyle name="千分位 2 3 3 2 2" xfId="170" xr:uid="{F2C8AD50-D5C2-4D9C-A2B6-986247A1C354}"/>
    <cellStyle name="千分位 2 3 3 3" xfId="171" xr:uid="{AFBE8115-6FE4-4539-96FD-79E32C933680}"/>
    <cellStyle name="千分位 2 3 4" xfId="172" xr:uid="{81D7B82B-2107-4004-9DB6-9A12063D59DE}"/>
    <cellStyle name="千分位 2 3 4 2" xfId="173" xr:uid="{47139D08-D10E-4E72-B58C-79E8D8EAB694}"/>
    <cellStyle name="千分位 2 3 5" xfId="174" xr:uid="{EDDA62C3-DD59-4574-890A-B58ABE137273}"/>
    <cellStyle name="千分位 2 3 6" xfId="175" xr:uid="{C2749002-8304-4C14-85E9-D4A6638951FF}"/>
    <cellStyle name="千分位 2 4" xfId="176" xr:uid="{00000000-0005-0000-0000-00005B000000}"/>
    <cellStyle name="千分位 2 4 2" xfId="177" xr:uid="{00000000-0005-0000-0000-00005C000000}"/>
    <cellStyle name="千分位 2 4 2 2" xfId="178" xr:uid="{E9702D74-08B4-43E9-BC47-2517E8EBACF1}"/>
    <cellStyle name="千分位 2 4 2 2 2" xfId="179" xr:uid="{D4AA9B05-071A-4E67-A3F0-808ACC31976B}"/>
    <cellStyle name="千分位 2 4 2 3" xfId="180" xr:uid="{50CECB03-B18F-485D-A7C8-E96BB259FF6F}"/>
    <cellStyle name="千分位 2 4 2 4" xfId="181" xr:uid="{348C59C1-FF4B-46C6-AEA7-A8407300C742}"/>
    <cellStyle name="千分位 2 4 3" xfId="182" xr:uid="{392FEC40-5586-49E6-A6BC-283BA2F0E8F3}"/>
    <cellStyle name="千分位 2 4 3 2" xfId="183" xr:uid="{B81A687B-122B-4AA6-B85F-5DB1DEEF8DF6}"/>
    <cellStyle name="千分位 2 4 4" xfId="184" xr:uid="{E16674DB-4D75-43BC-A8E4-66F09029C4E5}"/>
    <cellStyle name="千分位 2 4 5" xfId="185" xr:uid="{A74EFC45-89A0-40D0-82C5-7B5186C8A713}"/>
    <cellStyle name="千分位 2 5" xfId="186" xr:uid="{00000000-0005-0000-0000-00005D000000}"/>
    <cellStyle name="千分位 2 5 2" xfId="187" xr:uid="{00000000-0005-0000-0000-00005E000000}"/>
    <cellStyle name="千分位 2 5 2 2" xfId="188" xr:uid="{0B9E3AA7-3CCB-4D2B-81E3-14C72E0E06F1}"/>
    <cellStyle name="千分位 2 5 2 3" xfId="189" xr:uid="{8E9CCADF-75B5-40C5-9608-AD73874A3451}"/>
    <cellStyle name="千分位 2 5 3" xfId="190" xr:uid="{A47840CA-55F8-4847-9E1E-3EB10DA11F9B}"/>
    <cellStyle name="千分位 2 5 4" xfId="191" xr:uid="{2046A3EB-551C-48E9-9F36-1D5E35C310EE}"/>
    <cellStyle name="千分位 2 6" xfId="192" xr:uid="{00000000-0005-0000-0000-00005F000000}"/>
    <cellStyle name="千分位 2 6 2" xfId="193" xr:uid="{2C48AEA6-38D3-4515-824D-1DA23F171028}"/>
    <cellStyle name="千分位 2 6 3" xfId="194" xr:uid="{A6FBA685-F057-4A63-8FE0-7075F6B84AEE}"/>
    <cellStyle name="千分位 2 7" xfId="195" xr:uid="{D1A7EF9A-B68B-4097-9A7B-DE480BAA9C86}"/>
    <cellStyle name="千分位 2 8" xfId="196" xr:uid="{4F7C4791-D8B3-4CA6-A976-7FD37719DB22}"/>
    <cellStyle name="千分位 2 8 2" xfId="197" xr:uid="{8D3D7031-6125-48DF-A1BF-D921806B2630}"/>
    <cellStyle name="千分位 2 8 2 2" xfId="198" xr:uid="{82A01D8E-4B8D-4D4E-A0E9-C45D0ADB816D}"/>
    <cellStyle name="千分位 2 8 2 2 2" xfId="199" xr:uid="{527F3527-2E92-421F-BF58-063691C293A8}"/>
    <cellStyle name="千分位 2 8 2 2 2 2" xfId="200" xr:uid="{BD36A616-AB9A-4982-B256-5248576F6771}"/>
    <cellStyle name="千分位 2 8 2 2 2 2 2" xfId="201" xr:uid="{C8B3103A-DD09-4278-AF4E-6C8680B762DA}"/>
    <cellStyle name="千分位 2 8 2 2 2 3" xfId="202" xr:uid="{45249F81-2E37-4567-81DB-D9AFB5B37E8C}"/>
    <cellStyle name="千分位 2 8 2 2 3" xfId="203" xr:uid="{231F889E-0EF8-48B4-BF37-5F5F7B91DC0A}"/>
    <cellStyle name="千分位 2 8 2 2 3 2" xfId="204" xr:uid="{71B1FBB9-4A4A-43A7-AA8A-0F5DC7207211}"/>
    <cellStyle name="千分位 2 8 2 2 4" xfId="205" xr:uid="{3E31516D-B99E-4309-A8FB-5BDB055C11B6}"/>
    <cellStyle name="千分位 2 8 2 3" xfId="206" xr:uid="{A35DEA8A-A164-4D00-8E83-BA3206870BC7}"/>
    <cellStyle name="千分位 2 8 2 3 2" xfId="207" xr:uid="{FCE81970-0225-426B-A0F4-7E11EE2035DD}"/>
    <cellStyle name="千分位 2 8 2 3 2 2" xfId="208" xr:uid="{6D2E0CB1-3C62-4BFD-880E-C9BCF96D0412}"/>
    <cellStyle name="千分位 2 8 2 3 3" xfId="209" xr:uid="{A731F9E7-7166-468B-966B-AE3BF27D734F}"/>
    <cellStyle name="千分位 2 8 2 4" xfId="210" xr:uid="{5711F887-8685-4C89-8F53-C0BEFDC2D40D}"/>
    <cellStyle name="千分位 2 8 2 4 2" xfId="211" xr:uid="{006B65CF-529F-4E5B-9A21-3E903198FE0B}"/>
    <cellStyle name="千分位 2 8 2 5" xfId="212" xr:uid="{8D4A43C9-5861-458A-B567-EDD603089FD5}"/>
    <cellStyle name="千分位 2 8 2 6" xfId="213" xr:uid="{BCDA568D-CB17-42FD-AF7F-974072AD9E6C}"/>
    <cellStyle name="千分位 2 8 3" xfId="214" xr:uid="{7248D2E2-CA0B-4C2B-BD82-887C23E76738}"/>
    <cellStyle name="千分位 2 8 3 2" xfId="215" xr:uid="{63A52462-C438-4CA1-9A34-78ABDA8AAD61}"/>
    <cellStyle name="千分位 2 8 3 2 2" xfId="216" xr:uid="{5105B1E6-16C7-4336-BEF4-163E3C7999C6}"/>
    <cellStyle name="千分位 2 8 3 2 2 2" xfId="217" xr:uid="{A8376CDE-B36C-4B0F-A6EB-A92DE6D58029}"/>
    <cellStyle name="千分位 2 8 3 2 3" xfId="218" xr:uid="{2A405AE1-9B28-4084-9013-39B9DA2DF80F}"/>
    <cellStyle name="千分位 2 8 3 3" xfId="219" xr:uid="{563A4DA0-B7E4-43C4-888F-820D8698C7B5}"/>
    <cellStyle name="千分位 2 8 3 3 2" xfId="220" xr:uid="{7CBB5366-8CD1-435F-ACB4-712BF3C41883}"/>
    <cellStyle name="千分位 2 8 3 4" xfId="221" xr:uid="{425D605C-293C-476D-B8B7-091EBAA8EA23}"/>
    <cellStyle name="千分位 2 8 4" xfId="222" xr:uid="{096480B4-CC89-4473-85E5-C3B7F2668308}"/>
    <cellStyle name="千分位 2 8 4 2" xfId="223" xr:uid="{333C264D-50F1-411E-8633-067E7B400654}"/>
    <cellStyle name="千分位 2 8 4 2 2" xfId="224" xr:uid="{C8CBEF20-4BB0-4159-B183-53CAD1636DA4}"/>
    <cellStyle name="千分位 2 8 4 3" xfId="225" xr:uid="{74D89DC4-CBC0-4E12-A705-1D5035D703F7}"/>
    <cellStyle name="千分位 2 8 5" xfId="226" xr:uid="{917C2CF3-126A-4A1E-BBFA-0C460D6C163F}"/>
    <cellStyle name="千分位 2 8 5 2" xfId="227" xr:uid="{D1C168B8-46D2-4698-8BB3-46C08A9B9837}"/>
    <cellStyle name="千分位 2 8 6" xfId="228" xr:uid="{BC5157E6-988B-49D6-B73E-AC3DB8F38A8C}"/>
    <cellStyle name="千分位 2 8 7" xfId="229" xr:uid="{6C893143-D86E-4DFA-81E2-17FE3217201B}"/>
    <cellStyle name="千分位 2 9" xfId="230" xr:uid="{FD188967-B001-4FA3-B860-A4C29E1AA79A}"/>
    <cellStyle name="千分位 3" xfId="231" xr:uid="{00000000-0005-0000-0000-000060000000}"/>
    <cellStyle name="千分位 9" xfId="232" xr:uid="{128C1EE2-07F0-4DEB-BB95-DC34BBF52467}"/>
    <cellStyle name="千分位 9 2" xfId="233" xr:uid="{9508EF36-28D5-4642-A46C-491ABB719FDB}"/>
    <cellStyle name="千分位 9 2 2" xfId="234" xr:uid="{54B705FC-E9C7-4837-BB33-CE56C036D93B}"/>
    <cellStyle name="千分位 9 2 2 2" xfId="235" xr:uid="{0F4B4A59-F2D7-44ED-859F-D3ACAEBAAE43}"/>
    <cellStyle name="千分位 9 2 2 2 2" xfId="236" xr:uid="{73792DCB-F1D1-4529-AD1B-FACD8BA00832}"/>
    <cellStyle name="千分位 9 2 2 2 2 2" xfId="237" xr:uid="{D8E267EA-ED5F-4AE4-8CCB-219AA1736FFF}"/>
    <cellStyle name="千分位 9 2 2 2 3" xfId="238" xr:uid="{1F4876F8-895C-4AB4-93E3-D6D79D11253D}"/>
    <cellStyle name="千分位 9 2 2 3" xfId="239" xr:uid="{C2DF8C3D-103D-4A66-BC81-E7A7B77AB041}"/>
    <cellStyle name="千分位 9 2 2 3 2" xfId="240" xr:uid="{2E143A6B-544C-48FE-8C57-01A41A8E3334}"/>
    <cellStyle name="千分位 9 2 2 4" xfId="241" xr:uid="{11BFFB1A-8C1A-4D93-A2B4-7D7F6EDECD1C}"/>
    <cellStyle name="千分位 9 2 3" xfId="242" xr:uid="{FFBDD06D-AF96-4515-80E6-FD4DBD11C251}"/>
    <cellStyle name="千分位 9 2 3 2" xfId="243" xr:uid="{FB245668-C76C-4F13-973D-3D39F5B149A1}"/>
    <cellStyle name="千分位 9 2 3 2 2" xfId="244" xr:uid="{3AA8B189-E867-46D4-9610-7063D5698BF0}"/>
    <cellStyle name="千分位 9 2 3 3" xfId="245" xr:uid="{D0209E9F-3ABA-4F79-82B9-D8F727F48052}"/>
    <cellStyle name="千分位 9 2 4" xfId="246" xr:uid="{5C3C6297-4C79-42B0-A6B7-36EBC6D0A7B8}"/>
    <cellStyle name="千分位 9 2 4 2" xfId="247" xr:uid="{6CC911EF-0F28-488D-A6A2-4EFDAF6EC452}"/>
    <cellStyle name="千分位 9 2 5" xfId="248" xr:uid="{1DEA8574-24A1-415B-9238-B3C2378BD9AE}"/>
    <cellStyle name="千分位 9 3" xfId="249" xr:uid="{85701B98-8809-4737-AC9D-E6A24AB3D644}"/>
    <cellStyle name="千分位 9 3 2" xfId="250" xr:uid="{7CF8AE92-595F-4D5F-9DA3-678D7D8541B1}"/>
    <cellStyle name="千分位 9 3 2 2" xfId="251" xr:uid="{3EF09015-6B4A-45E8-96C3-5CCFC6EFBE1D}"/>
    <cellStyle name="千分位 9 3 2 2 2" xfId="252" xr:uid="{54E51347-AA15-4B43-B8EB-967624AF6E58}"/>
    <cellStyle name="千分位 9 3 2 3" xfId="253" xr:uid="{4B8DB966-D54B-4AFB-97DF-F9BF2F54940F}"/>
    <cellStyle name="千分位 9 3 3" xfId="254" xr:uid="{287FE3D3-F00A-42F5-B065-B9B0F0ADA623}"/>
    <cellStyle name="千分位 9 3 3 2" xfId="255" xr:uid="{38E34ADF-474D-4AAB-AA5B-A373AB3A83A7}"/>
    <cellStyle name="千分位 9 3 4" xfId="256" xr:uid="{D3BF9C48-A27C-4D6B-B9D6-3C657BDF795F}"/>
    <cellStyle name="千分位 9 4" xfId="257" xr:uid="{BA7E03D0-FFE3-4D03-9A44-7C04E5880F65}"/>
    <cellStyle name="千分位 9 4 2" xfId="258" xr:uid="{91850CC1-023A-4ADB-99E9-2FCF56584930}"/>
    <cellStyle name="千分位 9 4 2 2" xfId="259" xr:uid="{C62D7973-F1AB-4C0D-9947-E669C656ECC1}"/>
    <cellStyle name="千分位 9 4 3" xfId="260" xr:uid="{50960BDD-98CF-4C97-9198-7EA0EE42AF63}"/>
    <cellStyle name="千分位 9 5" xfId="261" xr:uid="{3B52D3F8-F979-4916-B923-378FEECFA034}"/>
    <cellStyle name="千分位 9 5 2" xfId="262" xr:uid="{69B7D580-F116-4B4B-AE8D-A5BA4B8A69F3}"/>
    <cellStyle name="千分位 9 5 3" xfId="263" xr:uid="{4716F557-AD6E-4384-BE1E-9D5C15532B92}"/>
    <cellStyle name="千分位 9 6" xfId="264" xr:uid="{958EF142-EE3A-42A6-A0EE-AFF6677659EC}"/>
    <cellStyle name="百分比" xfId="265" builtinId="5"/>
    <cellStyle name="百分比 2" xfId="266" xr:uid="{00000000-0005-0000-0000-000062000000}"/>
    <cellStyle name="百分比 2 2" xfId="267" xr:uid="{00000000-0005-0000-0000-000063000000}"/>
    <cellStyle name="百分比 2 2 2" xfId="268" xr:uid="{00000000-0005-0000-0000-000064000000}"/>
    <cellStyle name="百分比 2 2 2 2" xfId="269" xr:uid="{3B9EECDC-E106-4FE0-943C-A8AF9A6F83DB}"/>
    <cellStyle name="百分比 2 2 2 2 2" xfId="270" xr:uid="{2F95E6D8-5A17-4950-AD62-DE1F408AE814}"/>
    <cellStyle name="百分比 2 2 2 2 3" xfId="271" xr:uid="{0FD875DD-B6F6-43EC-A0C7-F444D4189CD4}"/>
    <cellStyle name="百分比 2 3" xfId="272" xr:uid="{00000000-0005-0000-0000-000065000000}"/>
    <cellStyle name="百分比 2 5" xfId="273" xr:uid="{68CAF0C3-147E-4F67-B170-63159E79E0E2}"/>
    <cellStyle name="百分比 3" xfId="274" xr:uid="{00000000-0005-0000-0000-000066000000}"/>
    <cellStyle name="百分比 4" xfId="275" xr:uid="{00000000-0005-0000-0000-000067000000}"/>
    <cellStyle name="百分比 5" xfId="276" xr:uid="{00000000-0005-0000-0000-000068000000}"/>
    <cellStyle name="百分比 5 2" xfId="277" xr:uid="{00000000-0005-0000-0000-000069000000}"/>
    <cellStyle name="百分比 6" xfId="278" xr:uid="{00000000-0005-0000-0000-00006A000000}"/>
    <cellStyle name="百分比 6 2" xfId="279" xr:uid="{00000000-0005-0000-0000-00006B000000}"/>
    <cellStyle name="百分比 6 4" xfId="280" xr:uid="{00000000-0005-0000-0000-00006C000000}"/>
    <cellStyle name="百分比 6 4 2" xfId="281" xr:uid="{00000000-0005-0000-0000-00006D000000}"/>
    <cellStyle name="百分比 6 4 2 2" xfId="282" xr:uid="{00000000-0005-0000-0000-00006E000000}"/>
    <cellStyle name="百分比 6 4 3" xfId="283" xr:uid="{00000000-0005-0000-0000-00006F000000}"/>
    <cellStyle name="百分比 6 4 3 2" xfId="284" xr:uid="{00000000-0005-0000-0000-000070000000}"/>
    <cellStyle name="百分比 6 4 4" xfId="285" xr:uid="{00000000-0005-0000-0000-000071000000}"/>
    <cellStyle name="百分比 6 4 4 2" xfId="286" xr:uid="{00000000-0005-0000-0000-000072000000}"/>
    <cellStyle name="百分比 6 4 5" xfId="287" xr:uid="{00000000-0005-0000-0000-000073000000}"/>
    <cellStyle name="百分比 7" xfId="288" xr:uid="{00000000-0005-0000-0000-000074000000}"/>
    <cellStyle name="百分比 7 2" xfId="289" xr:uid="{00000000-0005-0000-0000-000075000000}"/>
    <cellStyle name="百分比 7 3" xfId="290" xr:uid="{29D8A7F6-8DB0-4487-BFD9-B5903F7848A4}"/>
    <cellStyle name="百分比 8" xfId="291" xr:uid="{00000000-0005-0000-0000-000076000000}"/>
    <cellStyle name="百分比 8 2" xfId="292" xr:uid="{00000000-0005-0000-0000-000077000000}"/>
  </cellStyles>
  <dxfs count="4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NG191\AppData\Local\Microsoft\Windows\INetCache\Content.Outlook\V6WXUMHR\&#38263;&#23478;&#24288;&#29983;&#29986;&#31649;&#29702;&#22577;&#34920;(8&#2637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（熱食義麵）"/>
      <sheetName val="（５-2）品群別人時生產性(季節調理麵) "/>
      <sheetName val="（５-3）品群別人時生產性(微波小吃)"/>
      <sheetName val="生產管理報表 6-1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  <sheetName val="0801-0804產線配置圖"/>
      <sheetName val="0805產線配置圖"/>
      <sheetName val="0818產線配置圖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outlinePr summaryBelow="0" summaryRight="0"/>
  </sheetPr>
  <dimension ref="A1:Q26"/>
  <sheetViews>
    <sheetView view="pageBreakPreview" topLeftCell="A5" zoomScale="85" zoomScaleNormal="60" zoomScaleSheetLayoutView="85" workbookViewId="0">
      <selection activeCell="E9" sqref="E9"/>
    </sheetView>
  </sheetViews>
  <sheetFormatPr defaultColWidth="12.5703125" defaultRowHeight="15.75" customHeight="1"/>
  <cols>
    <col min="1" max="1" width="27.42578125" style="161" bestFit="1" customWidth="1"/>
    <col min="2" max="4" width="12.5703125" style="161" customWidth="1"/>
    <col min="5" max="5" width="16.42578125" style="161" customWidth="1"/>
    <col min="6" max="6" width="2.42578125" style="161" customWidth="1"/>
    <col min="7" max="7" width="24.85546875" style="161" bestFit="1" customWidth="1"/>
    <col min="8" max="10" width="12.5703125" style="161" customWidth="1"/>
    <col min="11" max="11" width="16.42578125" style="161" customWidth="1"/>
    <col min="12" max="12" width="12.5703125" style="162" customWidth="1"/>
    <col min="13" max="32" width="12.5703125" style="161" customWidth="1"/>
    <col min="33" max="16384" width="12.5703125" style="161"/>
  </cols>
  <sheetData>
    <row r="1" spans="1:14" ht="15.75" customHeight="1">
      <c r="A1" s="403" t="s">
        <v>373</v>
      </c>
      <c r="B1" s="403"/>
      <c r="C1" s="403"/>
      <c r="D1" s="403"/>
      <c r="E1" s="403"/>
      <c r="F1" s="403"/>
      <c r="G1" s="403"/>
      <c r="H1" s="403"/>
      <c r="I1" s="403"/>
      <c r="J1" s="403"/>
      <c r="K1" s="403"/>
      <c r="L1" s="161"/>
    </row>
    <row r="2" spans="1:14" s="162" customFormat="1" ht="15.75" customHeight="1">
      <c r="A2" s="403"/>
      <c r="B2" s="403"/>
      <c r="C2" s="403"/>
      <c r="D2" s="403"/>
      <c r="E2" s="403"/>
      <c r="F2" s="403"/>
      <c r="G2" s="403"/>
      <c r="H2" s="403"/>
      <c r="I2" s="403"/>
      <c r="J2" s="403"/>
      <c r="K2" s="403"/>
    </row>
    <row r="3" spans="1:14" ht="21.6" customHeight="1">
      <c r="A3" s="297" t="s">
        <v>222</v>
      </c>
      <c r="B3" s="298">
        <v>3</v>
      </c>
      <c r="C3" s="299" t="s">
        <v>143</v>
      </c>
      <c r="D3" s="300" t="s">
        <v>374</v>
      </c>
      <c r="E3" s="297" t="s">
        <v>375</v>
      </c>
      <c r="F3" s="404" t="s">
        <v>376</v>
      </c>
      <c r="G3" s="405"/>
      <c r="H3" s="162"/>
      <c r="I3" s="301"/>
      <c r="J3" s="162"/>
      <c r="K3" s="162"/>
      <c r="M3" s="162"/>
      <c r="N3" s="162"/>
    </row>
    <row r="4" spans="1:14" ht="15.75" customHeight="1">
      <c r="A4" s="302" t="s">
        <v>377</v>
      </c>
      <c r="E4" s="303" t="s">
        <v>226</v>
      </c>
      <c r="G4" s="304" t="s">
        <v>19</v>
      </c>
      <c r="L4" s="161"/>
    </row>
    <row r="5" spans="1:14" s="196" customFormat="1" ht="15.75" customHeight="1">
      <c r="A5" s="305" t="s">
        <v>96</v>
      </c>
      <c r="B5" s="305" t="s">
        <v>378</v>
      </c>
      <c r="C5" s="305" t="s">
        <v>379</v>
      </c>
      <c r="D5" s="306" t="s">
        <v>139</v>
      </c>
      <c r="E5" s="306" t="s">
        <v>231</v>
      </c>
      <c r="G5" s="305" t="s">
        <v>96</v>
      </c>
      <c r="H5" s="306" t="s">
        <v>232</v>
      </c>
      <c r="I5" s="306" t="s">
        <v>378</v>
      </c>
      <c r="J5" s="306" t="s">
        <v>379</v>
      </c>
      <c r="K5" s="306" t="s">
        <v>231</v>
      </c>
      <c r="L5" s="307" t="s">
        <v>233</v>
      </c>
    </row>
    <row r="6" spans="1:14" ht="18" customHeight="1">
      <c r="A6" s="191" t="s">
        <v>94</v>
      </c>
      <c r="B6" s="166">
        <v>17930.759999999998</v>
      </c>
      <c r="C6" s="166">
        <v>18647</v>
      </c>
      <c r="D6" s="166">
        <f t="shared" ref="D6:D11" si="0">B6-C6</f>
        <v>-716.2400000000016</v>
      </c>
      <c r="E6" s="166">
        <f>'（１）收支狀況'!H5/1000</f>
        <v>82375.817349999998</v>
      </c>
      <c r="G6" s="191" t="s">
        <v>380</v>
      </c>
      <c r="H6" s="308">
        <v>126.9</v>
      </c>
      <c r="I6" s="308">
        <v>116.1</v>
      </c>
      <c r="J6" s="308">
        <v>111.7</v>
      </c>
      <c r="K6" s="308">
        <v>113.6</v>
      </c>
      <c r="L6" s="309" t="s">
        <v>381</v>
      </c>
    </row>
    <row r="7" spans="1:14" ht="18" customHeight="1">
      <c r="A7" s="191" t="s">
        <v>237</v>
      </c>
      <c r="B7" s="166">
        <v>386754</v>
      </c>
      <c r="C7" s="166">
        <v>398848</v>
      </c>
      <c r="D7" s="166">
        <f t="shared" si="0"/>
        <v>-12094</v>
      </c>
      <c r="E7" s="388">
        <f>'（１）收支狀況'!K5</f>
        <v>1781527</v>
      </c>
      <c r="G7" s="191" t="s">
        <v>382</v>
      </c>
      <c r="H7" s="167">
        <v>0.8</v>
      </c>
      <c r="I7" s="167">
        <f>I6/H6</f>
        <v>0.91489361702127647</v>
      </c>
      <c r="J7" s="167">
        <f>J6/H6</f>
        <v>0.88022064617809292</v>
      </c>
      <c r="K7" s="167">
        <f>K6/H6</f>
        <v>0.89519306540583132</v>
      </c>
      <c r="L7" s="309" t="s">
        <v>239</v>
      </c>
    </row>
    <row r="8" spans="1:14" ht="18" customHeight="1">
      <c r="A8" s="191" t="s">
        <v>241</v>
      </c>
      <c r="B8" s="166">
        <v>11336.93</v>
      </c>
      <c r="C8" s="166">
        <v>11775.45</v>
      </c>
      <c r="D8" s="166">
        <f>B8-C8</f>
        <v>-438.52000000000044</v>
      </c>
      <c r="E8" s="166">
        <v>52023.517999999996</v>
      </c>
      <c r="G8" s="191" t="s">
        <v>383</v>
      </c>
      <c r="H8" s="167">
        <v>2.5000000000000001E-3</v>
      </c>
      <c r="I8" s="167">
        <v>1.9E-3</v>
      </c>
      <c r="J8" s="167">
        <v>4.1999999999999997E-3</v>
      </c>
      <c r="K8" s="167">
        <v>3.0999999999999999E-3</v>
      </c>
      <c r="L8" s="309" t="s">
        <v>116</v>
      </c>
    </row>
    <row r="9" spans="1:14" ht="18" customHeight="1">
      <c r="A9" s="191" t="s">
        <v>244</v>
      </c>
      <c r="B9" s="167">
        <f>B8/B6</f>
        <v>0.63226154384978672</v>
      </c>
      <c r="C9" s="167">
        <f>C8/C6</f>
        <v>0.63149300155521004</v>
      </c>
      <c r="D9" s="167">
        <f t="shared" si="0"/>
        <v>7.6854229457667955E-4</v>
      </c>
      <c r="E9" s="167">
        <f>E8/E6</f>
        <v>0.63153871698731012</v>
      </c>
      <c r="G9" s="191" t="s">
        <v>384</v>
      </c>
      <c r="H9" s="167">
        <v>2.5000000000000001E-3</v>
      </c>
      <c r="I9" s="167">
        <v>1.9E-3</v>
      </c>
      <c r="J9" s="167">
        <v>2.5999999999999999E-3</v>
      </c>
      <c r="K9" s="167">
        <v>2.0999999999999999E-3</v>
      </c>
      <c r="L9" s="309" t="s">
        <v>132</v>
      </c>
    </row>
    <row r="10" spans="1:14" ht="18" customHeight="1">
      <c r="A10" s="191" t="s">
        <v>247</v>
      </c>
      <c r="B10" s="166"/>
      <c r="C10" s="166"/>
      <c r="D10" s="166">
        <f t="shared" si="0"/>
        <v>0</v>
      </c>
      <c r="E10" s="192"/>
      <c r="G10" s="191" t="s">
        <v>385</v>
      </c>
      <c r="H10" s="167">
        <v>1</v>
      </c>
      <c r="I10" s="167">
        <v>0.28570000000000001</v>
      </c>
      <c r="J10" s="167">
        <v>0.28570000000000001</v>
      </c>
      <c r="K10" s="167">
        <v>0.28570000000000001</v>
      </c>
      <c r="L10" s="309" t="s">
        <v>249</v>
      </c>
    </row>
    <row r="11" spans="1:14" ht="18" customHeight="1">
      <c r="A11" s="191" t="s">
        <v>253</v>
      </c>
      <c r="B11" s="167"/>
      <c r="C11" s="167"/>
      <c r="D11" s="167">
        <f t="shared" si="0"/>
        <v>0</v>
      </c>
      <c r="E11" s="167"/>
      <c r="G11" s="191" t="s">
        <v>386</v>
      </c>
      <c r="H11" s="167">
        <v>1</v>
      </c>
      <c r="I11" s="167">
        <v>0.92800000000000005</v>
      </c>
      <c r="J11" s="167">
        <v>0.88</v>
      </c>
      <c r="K11" s="167">
        <v>0.80700000000000005</v>
      </c>
      <c r="L11" s="309" t="s">
        <v>255</v>
      </c>
    </row>
    <row r="12" spans="1:14" ht="9.6" customHeight="1">
      <c r="L12" s="161"/>
    </row>
    <row r="13" spans="1:14" ht="15.75" customHeight="1">
      <c r="A13" s="302" t="s">
        <v>227</v>
      </c>
      <c r="G13" s="302" t="s">
        <v>228</v>
      </c>
      <c r="L13" s="161"/>
    </row>
    <row r="14" spans="1:14" s="186" customFormat="1" ht="14.25">
      <c r="A14" s="310"/>
      <c r="B14" s="311" t="s">
        <v>378</v>
      </c>
      <c r="C14" s="310" t="s">
        <v>103</v>
      </c>
      <c r="D14" s="311" t="s">
        <v>379</v>
      </c>
      <c r="E14" s="310" t="s">
        <v>139</v>
      </c>
      <c r="G14" s="310"/>
      <c r="H14" s="311" t="s">
        <v>378</v>
      </c>
      <c r="I14" s="310" t="s">
        <v>103</v>
      </c>
      <c r="J14" s="311" t="s">
        <v>379</v>
      </c>
      <c r="K14" s="310" t="s">
        <v>139</v>
      </c>
    </row>
    <row r="15" spans="1:14" ht="18" customHeight="1">
      <c r="A15" s="191" t="s">
        <v>387</v>
      </c>
      <c r="B15" s="166">
        <v>16014.995000000001</v>
      </c>
      <c r="C15" s="167">
        <f>B15/B6</f>
        <v>0.89315762410516908</v>
      </c>
      <c r="D15" s="167">
        <v>0.89870000000000005</v>
      </c>
      <c r="E15" s="167">
        <f>IFERROR(C15-D15,"")</f>
        <v>-5.5423758948309754E-3</v>
      </c>
      <c r="G15" s="191" t="s">
        <v>387</v>
      </c>
      <c r="H15" s="166">
        <v>316604</v>
      </c>
      <c r="I15" s="167">
        <f>IFERROR(H15/$B$7,"")</f>
        <v>0.81861855339569856</v>
      </c>
      <c r="J15" s="167">
        <v>0.82699999999999996</v>
      </c>
      <c r="K15" s="167">
        <f>IFERROR(I15-J15,"")</f>
        <v>-8.3814466043014013E-3</v>
      </c>
      <c r="L15" s="161"/>
    </row>
    <row r="16" spans="1:14" ht="18" customHeight="1">
      <c r="A16" s="191" t="s">
        <v>388</v>
      </c>
      <c r="B16" s="166"/>
      <c r="C16" s="167">
        <f>IFERROR(B16/$B$6,"")</f>
        <v>0</v>
      </c>
      <c r="D16" s="167">
        <v>0</v>
      </c>
      <c r="E16" s="167">
        <f>IFERROR(C16-D16,"")</f>
        <v>0</v>
      </c>
      <c r="G16" s="191" t="s">
        <v>388</v>
      </c>
      <c r="H16" s="166"/>
      <c r="I16" s="167">
        <f>IFERROR(H16/$B$7,"")</f>
        <v>0</v>
      </c>
      <c r="J16" s="167">
        <v>0</v>
      </c>
      <c r="K16" s="167">
        <f>IFERROR(I16-J16,"")</f>
        <v>0</v>
      </c>
      <c r="L16" s="161"/>
    </row>
    <row r="17" spans="1:17" ht="18" customHeight="1">
      <c r="A17" s="191" t="s">
        <v>389</v>
      </c>
      <c r="B17" s="166">
        <v>1915.7670000000001</v>
      </c>
      <c r="C17" s="167">
        <f>B17/B6</f>
        <v>0.10684248743499998</v>
      </c>
      <c r="D17" s="167">
        <v>0.1014</v>
      </c>
      <c r="E17" s="167">
        <f>IFERROR(C17-D17,"")</f>
        <v>5.4424874349999763E-3</v>
      </c>
      <c r="G17" s="191" t="s">
        <v>389</v>
      </c>
      <c r="H17" s="166">
        <v>70150</v>
      </c>
      <c r="I17" s="167">
        <f>IFERROR(H17/$B$7,"")</f>
        <v>0.18138144660430144</v>
      </c>
      <c r="J17" s="167">
        <v>0.17299999999999999</v>
      </c>
      <c r="K17" s="167">
        <f>IFERROR(I17-J17,"")</f>
        <v>8.3814466043014568E-3</v>
      </c>
      <c r="L17" s="161"/>
    </row>
    <row r="18" spans="1:17" ht="15.75" customHeight="1">
      <c r="C18" s="312">
        <f>SUM(C15:C17)</f>
        <v>1.0000001115401691</v>
      </c>
      <c r="D18" s="312">
        <f>SUM(D15:D17)</f>
        <v>1.0001</v>
      </c>
      <c r="I18" s="312">
        <f>SUM(I15:I17)</f>
        <v>1</v>
      </c>
      <c r="J18" s="312">
        <f>SUM(J15:J17)</f>
        <v>1</v>
      </c>
      <c r="L18" s="161"/>
    </row>
    <row r="19" spans="1:17" ht="9.6" customHeight="1">
      <c r="A19" s="313"/>
      <c r="L19" s="161"/>
    </row>
    <row r="20" spans="1:17" ht="15.75" customHeight="1">
      <c r="A20" s="302" t="s">
        <v>390</v>
      </c>
      <c r="L20" s="161"/>
    </row>
    <row r="21" spans="1:17" ht="15.75" customHeight="1">
      <c r="A21" s="191" t="s">
        <v>45</v>
      </c>
      <c r="B21" s="314" t="s">
        <v>378</v>
      </c>
      <c r="C21" s="314" t="s">
        <v>379</v>
      </c>
      <c r="D21" s="191" t="s">
        <v>139</v>
      </c>
      <c r="E21" s="191" t="s">
        <v>231</v>
      </c>
      <c r="L21" s="161"/>
    </row>
    <row r="22" spans="1:17" ht="18" customHeight="1">
      <c r="A22" s="191" t="s">
        <v>387</v>
      </c>
      <c r="B22" s="192">
        <v>112.6</v>
      </c>
      <c r="C22" s="192">
        <v>110.7</v>
      </c>
      <c r="D22" s="192">
        <f>B22-C22</f>
        <v>1.8999999999999915</v>
      </c>
      <c r="E22" s="315">
        <v>109.6</v>
      </c>
      <c r="G22" s="316"/>
      <c r="H22" s="316"/>
      <c r="I22" s="316"/>
      <c r="J22" s="316"/>
      <c r="K22" s="316"/>
      <c r="L22" s="316"/>
      <c r="M22" s="316"/>
      <c r="N22" s="316"/>
      <c r="O22" s="316"/>
      <c r="P22" s="317"/>
      <c r="Q22" s="317"/>
    </row>
    <row r="23" spans="1:17" ht="18" customHeight="1">
      <c r="A23" s="191" t="s">
        <v>388</v>
      </c>
      <c r="B23" s="192"/>
      <c r="C23" s="192"/>
      <c r="D23" s="192">
        <f>B23-C23</f>
        <v>0</v>
      </c>
      <c r="E23" s="315"/>
      <c r="G23" s="318"/>
      <c r="H23" s="318"/>
      <c r="I23" s="319"/>
      <c r="J23" s="320"/>
      <c r="K23" s="321"/>
      <c r="L23" s="322"/>
      <c r="M23" s="323"/>
      <c r="N23" s="322"/>
      <c r="O23" s="322"/>
      <c r="P23" s="322"/>
      <c r="Q23" s="322"/>
    </row>
    <row r="24" spans="1:17" ht="18" customHeight="1">
      <c r="A24" s="191" t="s">
        <v>389</v>
      </c>
      <c r="B24" s="192">
        <v>121.9</v>
      </c>
      <c r="C24" s="192">
        <v>114.6</v>
      </c>
      <c r="D24" s="192">
        <f>B24-C24</f>
        <v>7.3000000000000114</v>
      </c>
      <c r="E24" s="315">
        <v>120</v>
      </c>
      <c r="L24" s="161"/>
    </row>
    <row r="25" spans="1:17" ht="15.75" customHeight="1">
      <c r="L25" s="161"/>
    </row>
    <row r="26" spans="1:17" ht="15.75" customHeight="1">
      <c r="L26" s="161"/>
    </row>
  </sheetData>
  <mergeCells count="2">
    <mergeCell ref="A1:K2"/>
    <mergeCell ref="F3:G3"/>
  </mergeCells>
  <phoneticPr fontId="20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CC"/>
  </sheetPr>
  <dimension ref="B2:W47"/>
  <sheetViews>
    <sheetView topLeftCell="O1" zoomScale="85" zoomScaleNormal="85" workbookViewId="0">
      <selection activeCell="H5" sqref="H5:H34"/>
    </sheetView>
  </sheetViews>
  <sheetFormatPr defaultColWidth="8.85546875" defaultRowHeight="14.25"/>
  <cols>
    <col min="1" max="1" width="8.85546875" style="79" customWidth="1"/>
    <col min="2" max="2" width="12.5703125" style="84" customWidth="1"/>
    <col min="3" max="3" width="8.85546875" style="79" customWidth="1"/>
    <col min="4" max="4" width="17.42578125" style="82" customWidth="1"/>
    <col min="5" max="5" width="4.42578125" style="82" customWidth="1"/>
    <col min="6" max="8" width="19.5703125" style="87" customWidth="1"/>
    <col min="9" max="13" width="19.5703125" style="88" customWidth="1"/>
    <col min="14" max="14" width="19.5703125" style="89" customWidth="1"/>
    <col min="15" max="17" width="19.5703125" style="90" customWidth="1"/>
    <col min="18" max="20" width="19.5703125" style="89" customWidth="1"/>
    <col min="21" max="21" width="19.5703125" style="90" customWidth="1"/>
    <col min="22" max="23" width="19.5703125" style="79" customWidth="1"/>
    <col min="24" max="43" width="8.85546875" style="79" customWidth="1"/>
    <col min="44" max="16384" width="8.85546875" style="79"/>
  </cols>
  <sheetData>
    <row r="2" spans="2:23" ht="38.1" customHeight="1">
      <c r="B2" s="416" t="s">
        <v>0</v>
      </c>
      <c r="C2" s="416"/>
      <c r="D2" s="416"/>
      <c r="E2" s="416"/>
      <c r="F2" s="416"/>
      <c r="G2" s="416"/>
      <c r="H2" s="416"/>
      <c r="I2" s="416"/>
      <c r="J2" s="416"/>
      <c r="K2" s="416"/>
      <c r="L2" s="416"/>
      <c r="M2" s="416"/>
      <c r="N2" s="416"/>
      <c r="O2" s="416"/>
      <c r="P2" s="416"/>
      <c r="Q2" s="416"/>
      <c r="R2" s="416"/>
      <c r="S2" s="416"/>
      <c r="T2" s="416"/>
      <c r="U2" s="416"/>
      <c r="V2" s="416"/>
      <c r="W2" s="416"/>
    </row>
    <row r="3" spans="2:23" s="82" customFormat="1" ht="23.45" customHeight="1">
      <c r="B3" s="420" t="s">
        <v>1</v>
      </c>
      <c r="C3" s="421" t="s">
        <v>2</v>
      </c>
      <c r="D3" s="422" t="s">
        <v>3</v>
      </c>
      <c r="E3" s="422"/>
      <c r="F3" s="419" t="s">
        <v>4</v>
      </c>
      <c r="G3" s="419"/>
      <c r="H3" s="419"/>
      <c r="I3" s="417" t="s">
        <v>5</v>
      </c>
      <c r="J3" s="417"/>
      <c r="K3" s="417"/>
      <c r="L3" s="418" t="s">
        <v>6</v>
      </c>
      <c r="M3" s="418"/>
      <c r="N3" s="418"/>
      <c r="O3" s="424" t="s">
        <v>7</v>
      </c>
      <c r="P3" s="424"/>
      <c r="Q3" s="424"/>
      <c r="R3" s="423" t="s">
        <v>8</v>
      </c>
      <c r="S3" s="423"/>
      <c r="T3" s="423"/>
      <c r="U3" s="424" t="s">
        <v>9</v>
      </c>
      <c r="V3" s="424"/>
      <c r="W3" s="424"/>
    </row>
    <row r="4" spans="2:23" s="82" customFormat="1" ht="23.45" customHeight="1">
      <c r="B4" s="420"/>
      <c r="C4" s="421"/>
      <c r="D4" s="422"/>
      <c r="E4" s="422"/>
      <c r="F4" s="80" t="s">
        <v>10</v>
      </c>
      <c r="G4" s="80" t="s">
        <v>11</v>
      </c>
      <c r="H4" s="80" t="s">
        <v>12</v>
      </c>
      <c r="I4" s="92" t="s">
        <v>10</v>
      </c>
      <c r="J4" s="92" t="s">
        <v>11</v>
      </c>
      <c r="K4" s="92" t="s">
        <v>12</v>
      </c>
      <c r="L4" s="91" t="s">
        <v>10</v>
      </c>
      <c r="M4" s="91" t="s">
        <v>11</v>
      </c>
      <c r="N4" s="91" t="s">
        <v>12</v>
      </c>
      <c r="O4" s="85" t="s">
        <v>10</v>
      </c>
      <c r="P4" s="85" t="s">
        <v>11</v>
      </c>
      <c r="Q4" s="85" t="s">
        <v>12</v>
      </c>
      <c r="R4" s="85" t="s">
        <v>10</v>
      </c>
      <c r="S4" s="85" t="s">
        <v>11</v>
      </c>
      <c r="T4" s="85" t="s">
        <v>12</v>
      </c>
      <c r="U4" s="85" t="s">
        <v>10</v>
      </c>
      <c r="V4" s="85" t="s">
        <v>11</v>
      </c>
      <c r="W4" s="85" t="s">
        <v>12</v>
      </c>
    </row>
    <row r="5" spans="2:23">
      <c r="B5" s="336"/>
      <c r="C5" s="407" t="s">
        <v>13</v>
      </c>
      <c r="D5" s="331">
        <v>46082</v>
      </c>
      <c r="E5" s="332" t="s">
        <v>10</v>
      </c>
      <c r="F5" s="87">
        <v>2884541.0300000003</v>
      </c>
      <c r="G5" s="337"/>
      <c r="H5" s="409">
        <f>SUM(F5:F35)</f>
        <v>82375817.349999994</v>
      </c>
      <c r="I5" s="338">
        <v>61259</v>
      </c>
      <c r="J5" s="329"/>
      <c r="K5" s="410">
        <f>SUM(I5:I35)</f>
        <v>1781527</v>
      </c>
      <c r="L5" s="87">
        <v>1818960.8489000001</v>
      </c>
      <c r="M5" s="337"/>
      <c r="N5" s="409">
        <f>SUM(L5:L35)</f>
        <v>52023518.32320001</v>
      </c>
      <c r="O5" s="367">
        <f>L5/F5</f>
        <v>0.63058934852453807</v>
      </c>
      <c r="P5" s="337"/>
      <c r="Q5" s="413">
        <f>N5/H5</f>
        <v>0.63153872091079188</v>
      </c>
      <c r="S5" s="337"/>
      <c r="T5" s="412">
        <v>0</v>
      </c>
      <c r="U5" s="90">
        <f t="shared" ref="U5:U35" si="0">R5/F5</f>
        <v>0</v>
      </c>
      <c r="V5" s="330"/>
      <c r="W5" s="415">
        <f>T5/H5</f>
        <v>0</v>
      </c>
    </row>
    <row r="6" spans="2:23">
      <c r="B6" s="336"/>
      <c r="C6" s="407"/>
      <c r="D6" s="331">
        <v>46083</v>
      </c>
      <c r="E6" s="331" t="s">
        <v>14</v>
      </c>
      <c r="F6" s="87">
        <v>2709898.5700000003</v>
      </c>
      <c r="G6" s="337"/>
      <c r="H6" s="409"/>
      <c r="I6" s="338">
        <v>57720</v>
      </c>
      <c r="J6" s="329"/>
      <c r="K6" s="410"/>
      <c r="L6" s="87">
        <v>1712236.0991</v>
      </c>
      <c r="M6" s="337"/>
      <c r="N6" s="409"/>
      <c r="O6" s="367">
        <f>L6/F6</f>
        <v>0.63184508750820134</v>
      </c>
      <c r="P6" s="337"/>
      <c r="Q6" s="413"/>
      <c r="S6" s="337"/>
      <c r="T6" s="412"/>
      <c r="U6" s="90">
        <f t="shared" si="0"/>
        <v>0</v>
      </c>
      <c r="V6" s="413" t="e">
        <f>S6/M6</f>
        <v>#DIV/0!</v>
      </c>
      <c r="W6" s="412"/>
    </row>
    <row r="7" spans="2:23">
      <c r="B7" s="411">
        <v>46092</v>
      </c>
      <c r="C7" s="407"/>
      <c r="D7" s="331">
        <v>46084</v>
      </c>
      <c r="E7" s="332" t="s">
        <v>15</v>
      </c>
      <c r="F7" s="87">
        <v>3337838.2</v>
      </c>
      <c r="G7" s="408">
        <f>SUM(F7:F13)</f>
        <v>19804479.899999999</v>
      </c>
      <c r="H7" s="409"/>
      <c r="I7" s="338">
        <v>73597</v>
      </c>
      <c r="J7" s="410">
        <f>SUM(I7:I13)</f>
        <v>433192</v>
      </c>
      <c r="K7" s="410"/>
      <c r="L7" s="87">
        <v>2108838.0660000001</v>
      </c>
      <c r="M7" s="408">
        <f>SUM(L7:L13)</f>
        <v>12499922.336999999</v>
      </c>
      <c r="N7" s="409"/>
      <c r="O7" s="367">
        <f t="shared" ref="O7:O35" si="1">L7/F7</f>
        <v>0.6317975706551624</v>
      </c>
      <c r="P7" s="406">
        <f>M7/G7</f>
        <v>0.63116640275920599</v>
      </c>
      <c r="Q7" s="413"/>
      <c r="S7" s="337"/>
      <c r="T7" s="412"/>
      <c r="U7" s="90">
        <f t="shared" si="0"/>
        <v>0</v>
      </c>
      <c r="V7" s="413"/>
      <c r="W7" s="412"/>
    </row>
    <row r="8" spans="2:23">
      <c r="B8" s="411"/>
      <c r="C8" s="407"/>
      <c r="D8" s="331">
        <v>46085</v>
      </c>
      <c r="E8" s="332" t="s">
        <v>13</v>
      </c>
      <c r="F8" s="87">
        <v>2776992.83</v>
      </c>
      <c r="G8" s="408"/>
      <c r="H8" s="409"/>
      <c r="I8" s="338">
        <v>60633</v>
      </c>
      <c r="J8" s="410"/>
      <c r="K8" s="410"/>
      <c r="L8" s="87">
        <v>1752505.4828999999</v>
      </c>
      <c r="M8" s="408"/>
      <c r="N8" s="409"/>
      <c r="O8" s="367">
        <f t="shared" si="1"/>
        <v>0.63108030527396064</v>
      </c>
      <c r="P8" s="406"/>
      <c r="Q8" s="413"/>
      <c r="S8" s="337"/>
      <c r="T8" s="412"/>
      <c r="U8" s="90">
        <f t="shared" si="0"/>
        <v>0</v>
      </c>
      <c r="V8" s="413"/>
      <c r="W8" s="412"/>
    </row>
    <row r="9" spans="2:23">
      <c r="B9" s="411"/>
      <c r="C9" s="407"/>
      <c r="D9" s="331">
        <v>46086</v>
      </c>
      <c r="E9" s="332" t="s">
        <v>16</v>
      </c>
      <c r="F9" s="87">
        <v>2540968.65</v>
      </c>
      <c r="G9" s="408"/>
      <c r="H9" s="409"/>
      <c r="I9" s="338">
        <v>55438</v>
      </c>
      <c r="J9" s="410"/>
      <c r="K9" s="410"/>
      <c r="L9" s="87">
        <v>1603810.2494999999</v>
      </c>
      <c r="M9" s="408"/>
      <c r="N9" s="409"/>
      <c r="O9" s="367">
        <f t="shared" si="1"/>
        <v>0.63118065211076102</v>
      </c>
      <c r="P9" s="406"/>
      <c r="Q9" s="413"/>
      <c r="S9" s="337"/>
      <c r="T9" s="412"/>
      <c r="U9" s="90">
        <f t="shared" si="0"/>
        <v>0</v>
      </c>
      <c r="V9" s="413"/>
      <c r="W9" s="412"/>
    </row>
    <row r="10" spans="2:23">
      <c r="B10" s="411"/>
      <c r="C10" s="407"/>
      <c r="D10" s="331">
        <v>46087</v>
      </c>
      <c r="E10" s="332" t="s">
        <v>17</v>
      </c>
      <c r="F10" s="87">
        <v>2368939.65</v>
      </c>
      <c r="G10" s="408"/>
      <c r="H10" s="409"/>
      <c r="I10" s="338">
        <v>51832</v>
      </c>
      <c r="J10" s="410"/>
      <c r="K10" s="410"/>
      <c r="L10" s="87">
        <v>1496031.9794999999</v>
      </c>
      <c r="M10" s="408"/>
      <c r="N10" s="409"/>
      <c r="O10" s="367">
        <f t="shared" si="1"/>
        <v>0.63151966724859365</v>
      </c>
      <c r="P10" s="406"/>
      <c r="Q10" s="413"/>
      <c r="S10" s="408">
        <f>SUM(R10:R16)</f>
        <v>0</v>
      </c>
      <c r="T10" s="412"/>
      <c r="U10" s="90">
        <f t="shared" si="0"/>
        <v>0</v>
      </c>
      <c r="V10" s="413"/>
      <c r="W10" s="412"/>
    </row>
    <row r="11" spans="2:23">
      <c r="B11" s="411"/>
      <c r="C11" s="407"/>
      <c r="D11" s="331">
        <v>46088</v>
      </c>
      <c r="E11" s="332" t="s">
        <v>18</v>
      </c>
      <c r="F11" s="87">
        <v>2565603.7399999998</v>
      </c>
      <c r="G11" s="408"/>
      <c r="H11" s="409"/>
      <c r="I11" s="338">
        <v>55948</v>
      </c>
      <c r="J11" s="410"/>
      <c r="K11" s="410"/>
      <c r="L11" s="87">
        <v>1617830.3562</v>
      </c>
      <c r="M11" s="408"/>
      <c r="N11" s="409"/>
      <c r="O11" s="367">
        <f t="shared" si="1"/>
        <v>0.63058465770711736</v>
      </c>
      <c r="P11" s="406"/>
      <c r="Q11" s="413"/>
      <c r="S11" s="408"/>
      <c r="T11" s="412"/>
      <c r="U11" s="90">
        <f t="shared" si="0"/>
        <v>0</v>
      </c>
      <c r="V11" s="413"/>
      <c r="W11" s="412"/>
    </row>
    <row r="12" spans="2:23">
      <c r="B12" s="411"/>
      <c r="C12" s="407"/>
      <c r="D12" s="331">
        <v>46089</v>
      </c>
      <c r="E12" s="332" t="s">
        <v>10</v>
      </c>
      <c r="F12" s="87">
        <v>3233667.09</v>
      </c>
      <c r="G12" s="408"/>
      <c r="H12" s="409"/>
      <c r="I12" s="338">
        <v>70541</v>
      </c>
      <c r="J12" s="410"/>
      <c r="K12" s="410"/>
      <c r="L12" s="87">
        <v>2041210.2667</v>
      </c>
      <c r="M12" s="408"/>
      <c r="N12" s="409"/>
      <c r="O12" s="367">
        <f t="shared" si="1"/>
        <v>0.63123698571580544</v>
      </c>
      <c r="P12" s="406"/>
      <c r="Q12" s="413"/>
      <c r="S12" s="408"/>
      <c r="T12" s="412"/>
      <c r="U12" s="90">
        <f t="shared" si="0"/>
        <v>0</v>
      </c>
      <c r="V12" s="413"/>
      <c r="W12" s="412"/>
    </row>
    <row r="13" spans="2:23">
      <c r="B13" s="411"/>
      <c r="C13" s="407"/>
      <c r="D13" s="331">
        <v>46090</v>
      </c>
      <c r="E13" s="331" t="s">
        <v>14</v>
      </c>
      <c r="F13" s="87">
        <v>2980469.7399999998</v>
      </c>
      <c r="G13" s="408"/>
      <c r="H13" s="409"/>
      <c r="I13" s="338">
        <v>65203</v>
      </c>
      <c r="J13" s="410"/>
      <c r="K13" s="410"/>
      <c r="L13" s="87">
        <v>1879695.9362000001</v>
      </c>
      <c r="M13" s="408"/>
      <c r="N13" s="409"/>
      <c r="O13" s="367">
        <f t="shared" si="1"/>
        <v>0.63067103516373912</v>
      </c>
      <c r="P13" s="406"/>
      <c r="Q13" s="413"/>
      <c r="S13" s="408"/>
      <c r="T13" s="412"/>
      <c r="U13" s="90">
        <f t="shared" si="0"/>
        <v>0</v>
      </c>
      <c r="V13" s="413" t="e">
        <f>S13/M13</f>
        <v>#DIV/0!</v>
      </c>
      <c r="W13" s="412"/>
    </row>
    <row r="14" spans="2:23">
      <c r="B14" s="411">
        <v>46099</v>
      </c>
      <c r="C14" s="407"/>
      <c r="D14" s="331">
        <v>46091</v>
      </c>
      <c r="E14" s="332" t="s">
        <v>15</v>
      </c>
      <c r="F14" s="87">
        <v>2748349.54</v>
      </c>
      <c r="G14" s="408">
        <f>SUM(F14:F20)</f>
        <v>17944671.689999998</v>
      </c>
      <c r="H14" s="409"/>
      <c r="I14" s="338">
        <v>59799</v>
      </c>
      <c r="J14" s="410">
        <f>SUM(I14:I20)</f>
        <v>390398</v>
      </c>
      <c r="K14" s="410"/>
      <c r="L14" s="87">
        <v>1735460.2102000001</v>
      </c>
      <c r="M14" s="408">
        <f>SUM(L14:L20)</f>
        <v>11328143.1647</v>
      </c>
      <c r="N14" s="409"/>
      <c r="O14" s="367">
        <f t="shared" si="1"/>
        <v>0.63145541894936696</v>
      </c>
      <c r="P14" s="406">
        <f>M14/G14</f>
        <v>0.63128171751466589</v>
      </c>
      <c r="Q14" s="413"/>
      <c r="S14" s="408"/>
      <c r="T14" s="412"/>
      <c r="U14" s="90">
        <f t="shared" si="0"/>
        <v>0</v>
      </c>
      <c r="V14" s="413"/>
      <c r="W14" s="412"/>
    </row>
    <row r="15" spans="2:23">
      <c r="B15" s="411"/>
      <c r="C15" s="407"/>
      <c r="D15" s="331">
        <v>46092</v>
      </c>
      <c r="E15" s="332" t="s">
        <v>13</v>
      </c>
      <c r="F15" s="87">
        <v>2487921.17</v>
      </c>
      <c r="G15" s="408"/>
      <c r="H15" s="409"/>
      <c r="I15" s="338">
        <v>53821</v>
      </c>
      <c r="J15" s="410"/>
      <c r="K15" s="410"/>
      <c r="L15" s="87">
        <v>1570390.3370999999</v>
      </c>
      <c r="M15" s="408"/>
      <c r="N15" s="409"/>
      <c r="O15" s="367">
        <f t="shared" si="1"/>
        <v>0.63120582598684183</v>
      </c>
      <c r="P15" s="406"/>
      <c r="Q15" s="413"/>
      <c r="S15" s="408"/>
      <c r="T15" s="412"/>
      <c r="U15" s="90">
        <f t="shared" si="0"/>
        <v>0</v>
      </c>
      <c r="V15" s="413"/>
      <c r="W15" s="412"/>
    </row>
    <row r="16" spans="2:23">
      <c r="B16" s="411"/>
      <c r="C16" s="407"/>
      <c r="D16" s="331">
        <v>46093</v>
      </c>
      <c r="E16" s="332" t="s">
        <v>16</v>
      </c>
      <c r="F16" s="87">
        <v>2263445.2800000003</v>
      </c>
      <c r="G16" s="408"/>
      <c r="H16" s="409"/>
      <c r="I16" s="338">
        <v>49504</v>
      </c>
      <c r="J16" s="410"/>
      <c r="K16" s="410"/>
      <c r="L16" s="87">
        <v>1428970.5264000001</v>
      </c>
      <c r="M16" s="408"/>
      <c r="N16" s="409"/>
      <c r="O16" s="367">
        <f t="shared" si="1"/>
        <v>0.63132541308884649</v>
      </c>
      <c r="P16" s="406"/>
      <c r="Q16" s="413"/>
      <c r="S16" s="408"/>
      <c r="T16" s="412"/>
      <c r="U16" s="90">
        <f t="shared" si="0"/>
        <v>0</v>
      </c>
      <c r="V16" s="413"/>
      <c r="W16" s="412"/>
    </row>
    <row r="17" spans="2:23">
      <c r="B17" s="411"/>
      <c r="C17" s="407"/>
      <c r="D17" s="331">
        <v>46094</v>
      </c>
      <c r="E17" s="332" t="s">
        <v>17</v>
      </c>
      <c r="F17" s="87">
        <v>2289733.19</v>
      </c>
      <c r="G17" s="408"/>
      <c r="H17" s="409"/>
      <c r="I17" s="338">
        <v>49829</v>
      </c>
      <c r="J17" s="410"/>
      <c r="K17" s="410"/>
      <c r="L17" s="87">
        <v>1445531.9097</v>
      </c>
      <c r="M17" s="408"/>
      <c r="N17" s="409"/>
      <c r="O17" s="367">
        <f t="shared" si="1"/>
        <v>0.63131019632029706</v>
      </c>
      <c r="P17" s="406"/>
      <c r="Q17" s="413"/>
      <c r="S17" s="408">
        <f>SUM(R17:R23)</f>
        <v>0</v>
      </c>
      <c r="T17" s="412"/>
      <c r="U17" s="90">
        <f t="shared" si="0"/>
        <v>0</v>
      </c>
      <c r="V17" s="413"/>
      <c r="W17" s="412"/>
    </row>
    <row r="18" spans="2:23">
      <c r="B18" s="411"/>
      <c r="C18" s="407"/>
      <c r="D18" s="331">
        <v>46095</v>
      </c>
      <c r="E18" s="332" t="s">
        <v>18</v>
      </c>
      <c r="F18" s="87">
        <v>2363381.0099999998</v>
      </c>
      <c r="G18" s="408"/>
      <c r="H18" s="409"/>
      <c r="I18" s="338">
        <v>51404</v>
      </c>
      <c r="J18" s="410"/>
      <c r="K18" s="410"/>
      <c r="L18" s="87">
        <v>1490930.0363</v>
      </c>
      <c r="M18" s="408"/>
      <c r="N18" s="409"/>
      <c r="O18" s="367">
        <f t="shared" si="1"/>
        <v>0.63084624526961064</v>
      </c>
      <c r="P18" s="406"/>
      <c r="Q18" s="413"/>
      <c r="S18" s="408"/>
      <c r="T18" s="412"/>
      <c r="U18" s="90">
        <f t="shared" si="0"/>
        <v>0</v>
      </c>
      <c r="V18" s="413"/>
      <c r="W18" s="412"/>
    </row>
    <row r="19" spans="2:23">
      <c r="B19" s="411"/>
      <c r="C19" s="407"/>
      <c r="D19" s="331">
        <v>46096</v>
      </c>
      <c r="E19" s="332" t="s">
        <v>10</v>
      </c>
      <c r="F19" s="87">
        <v>2928861.1</v>
      </c>
      <c r="G19" s="408"/>
      <c r="H19" s="409"/>
      <c r="I19" s="338">
        <v>63491</v>
      </c>
      <c r="J19" s="410"/>
      <c r="K19" s="410"/>
      <c r="L19" s="87">
        <v>1849182.493</v>
      </c>
      <c r="M19" s="408"/>
      <c r="N19" s="409"/>
      <c r="O19" s="367">
        <f t="shared" si="1"/>
        <v>0.63136571857231472</v>
      </c>
      <c r="P19" s="406"/>
      <c r="Q19" s="413"/>
      <c r="S19" s="408"/>
      <c r="T19" s="412"/>
      <c r="U19" s="90">
        <f t="shared" si="0"/>
        <v>0</v>
      </c>
      <c r="V19" s="413"/>
      <c r="W19" s="412"/>
    </row>
    <row r="20" spans="2:23">
      <c r="B20" s="411"/>
      <c r="C20" s="407"/>
      <c r="D20" s="331">
        <v>46097</v>
      </c>
      <c r="E20" s="331" t="s">
        <v>14</v>
      </c>
      <c r="F20" s="87">
        <v>2862980.4</v>
      </c>
      <c r="G20" s="408"/>
      <c r="H20" s="409"/>
      <c r="I20" s="338">
        <v>62550</v>
      </c>
      <c r="J20" s="410"/>
      <c r="K20" s="410"/>
      <c r="L20" s="87">
        <v>1807677.652</v>
      </c>
      <c r="M20" s="408"/>
      <c r="N20" s="409"/>
      <c r="O20" s="367">
        <f t="shared" si="1"/>
        <v>0.63139714543627334</v>
      </c>
      <c r="P20" s="406"/>
      <c r="Q20" s="413"/>
      <c r="S20" s="408"/>
      <c r="T20" s="412"/>
      <c r="U20" s="90">
        <f t="shared" si="0"/>
        <v>0</v>
      </c>
      <c r="V20" s="413" t="e">
        <f>S20/M20</f>
        <v>#DIV/0!</v>
      </c>
      <c r="W20" s="412"/>
    </row>
    <row r="21" spans="2:23">
      <c r="B21" s="411">
        <v>46106</v>
      </c>
      <c r="C21" s="407"/>
      <c r="D21" s="331">
        <v>46098</v>
      </c>
      <c r="E21" s="332" t="s">
        <v>15</v>
      </c>
      <c r="F21" s="87">
        <v>3035263.93</v>
      </c>
      <c r="G21" s="408">
        <f>SUM(F21:F27)</f>
        <v>18647708.969999999</v>
      </c>
      <c r="H21" s="409"/>
      <c r="I21" s="338">
        <v>64275</v>
      </c>
      <c r="J21" s="410">
        <f>SUM(I21:I27)</f>
        <v>398848</v>
      </c>
      <c r="K21" s="410"/>
      <c r="L21" s="87">
        <v>1917616.2759</v>
      </c>
      <c r="M21" s="408">
        <f>SUM(L21:L27)</f>
        <v>11775456.651099999</v>
      </c>
      <c r="N21" s="409"/>
      <c r="O21" s="367">
        <f t="shared" si="1"/>
        <v>0.63177908746143208</v>
      </c>
      <c r="P21" s="406">
        <f>M21/G21</f>
        <v>0.63146934940072685</v>
      </c>
      <c r="Q21" s="413"/>
      <c r="S21" s="408"/>
      <c r="T21" s="412"/>
      <c r="U21" s="90">
        <f t="shared" si="0"/>
        <v>0</v>
      </c>
      <c r="V21" s="413"/>
      <c r="W21" s="412"/>
    </row>
    <row r="22" spans="2:23">
      <c r="B22" s="411"/>
      <c r="C22" s="407"/>
      <c r="D22" s="331">
        <v>46099</v>
      </c>
      <c r="E22" s="332" t="s">
        <v>13</v>
      </c>
      <c r="F22" s="87">
        <v>2618615.98</v>
      </c>
      <c r="G22" s="408"/>
      <c r="H22" s="409"/>
      <c r="I22" s="338">
        <v>56324</v>
      </c>
      <c r="J22" s="410"/>
      <c r="K22" s="410"/>
      <c r="L22" s="87">
        <v>1653728.0674000001</v>
      </c>
      <c r="M22" s="408"/>
      <c r="N22" s="409"/>
      <c r="O22" s="367">
        <f t="shared" si="1"/>
        <v>0.63152752447497096</v>
      </c>
      <c r="P22" s="406"/>
      <c r="Q22" s="413"/>
      <c r="S22" s="408"/>
      <c r="T22" s="412"/>
      <c r="U22" s="90">
        <f t="shared" si="0"/>
        <v>0</v>
      </c>
      <c r="V22" s="413"/>
      <c r="W22" s="412"/>
    </row>
    <row r="23" spans="2:23">
      <c r="B23" s="411"/>
      <c r="C23" s="407"/>
      <c r="D23" s="331">
        <v>46100</v>
      </c>
      <c r="E23" s="332" t="s">
        <v>16</v>
      </c>
      <c r="F23" s="87">
        <v>2451921.79</v>
      </c>
      <c r="G23" s="408"/>
      <c r="H23" s="409"/>
      <c r="I23" s="338">
        <v>52529</v>
      </c>
      <c r="J23" s="410"/>
      <c r="K23" s="410"/>
      <c r="L23" s="87">
        <v>1547710.7276999999</v>
      </c>
      <c r="M23" s="408"/>
      <c r="N23" s="409"/>
      <c r="O23" s="367">
        <f t="shared" si="1"/>
        <v>0.63122353005395004</v>
      </c>
      <c r="P23" s="406"/>
      <c r="Q23" s="413"/>
      <c r="S23" s="408"/>
      <c r="T23" s="412"/>
      <c r="U23" s="90">
        <f t="shared" si="0"/>
        <v>0</v>
      </c>
      <c r="V23" s="413"/>
      <c r="W23" s="412"/>
    </row>
    <row r="24" spans="2:23">
      <c r="B24" s="411"/>
      <c r="C24" s="407"/>
      <c r="D24" s="331">
        <v>46101</v>
      </c>
      <c r="E24" s="332" t="s">
        <v>17</v>
      </c>
      <c r="F24" s="87">
        <v>2235775.37</v>
      </c>
      <c r="G24" s="408"/>
      <c r="H24" s="409"/>
      <c r="I24" s="338">
        <v>47947</v>
      </c>
      <c r="J24" s="410"/>
      <c r="K24" s="410"/>
      <c r="L24" s="87">
        <v>1412538.4831000001</v>
      </c>
      <c r="M24" s="408"/>
      <c r="N24" s="409"/>
      <c r="O24" s="367">
        <f t="shared" si="1"/>
        <v>0.63178908849863569</v>
      </c>
      <c r="P24" s="406"/>
      <c r="Q24" s="413"/>
      <c r="S24" s="408">
        <f>SUM(R24:R30)</f>
        <v>0</v>
      </c>
      <c r="T24" s="412"/>
      <c r="U24" s="90">
        <f t="shared" si="0"/>
        <v>0</v>
      </c>
      <c r="V24" s="413"/>
      <c r="W24" s="412"/>
    </row>
    <row r="25" spans="2:23">
      <c r="B25" s="411"/>
      <c r="C25" s="407"/>
      <c r="D25" s="331">
        <v>46102</v>
      </c>
      <c r="E25" s="332" t="s">
        <v>18</v>
      </c>
      <c r="F25" s="87">
        <v>2420850.61</v>
      </c>
      <c r="G25" s="408"/>
      <c r="H25" s="409"/>
      <c r="I25" s="338">
        <v>51828</v>
      </c>
      <c r="J25" s="410"/>
      <c r="K25" s="410"/>
      <c r="L25" s="87">
        <v>1528135.8843</v>
      </c>
      <c r="M25" s="408"/>
      <c r="N25" s="409"/>
      <c r="O25" s="367">
        <f t="shared" si="1"/>
        <v>0.63123923384103409</v>
      </c>
      <c r="P25" s="406"/>
      <c r="Q25" s="413"/>
      <c r="S25" s="408"/>
      <c r="T25" s="412"/>
      <c r="U25" s="90">
        <f t="shared" si="0"/>
        <v>0</v>
      </c>
      <c r="V25" s="413"/>
      <c r="W25" s="412"/>
    </row>
    <row r="26" spans="2:23">
      <c r="B26" s="411"/>
      <c r="C26" s="407"/>
      <c r="D26" s="331">
        <v>46103</v>
      </c>
      <c r="E26" s="332" t="s">
        <v>10</v>
      </c>
      <c r="F26" s="87">
        <v>3043824.15</v>
      </c>
      <c r="G26" s="408"/>
      <c r="H26" s="409"/>
      <c r="I26" s="338">
        <v>64946</v>
      </c>
      <c r="J26" s="410"/>
      <c r="K26" s="410"/>
      <c r="L26" s="87">
        <v>1922609.2145</v>
      </c>
      <c r="M26" s="408"/>
      <c r="N26" s="409"/>
      <c r="O26" s="367">
        <f t="shared" si="1"/>
        <v>0.63164267045453337</v>
      </c>
      <c r="P26" s="406"/>
      <c r="Q26" s="413"/>
      <c r="S26" s="408"/>
      <c r="T26" s="412"/>
      <c r="U26" s="90">
        <f t="shared" si="0"/>
        <v>0</v>
      </c>
      <c r="V26" s="413"/>
      <c r="W26" s="412"/>
    </row>
    <row r="27" spans="2:23">
      <c r="B27" s="411"/>
      <c r="C27" s="407"/>
      <c r="D27" s="331">
        <v>46104</v>
      </c>
      <c r="E27" s="331" t="s">
        <v>14</v>
      </c>
      <c r="F27" s="87">
        <v>2841457.14</v>
      </c>
      <c r="G27" s="408"/>
      <c r="H27" s="409"/>
      <c r="I27" s="338">
        <v>60999</v>
      </c>
      <c r="J27" s="410"/>
      <c r="K27" s="410"/>
      <c r="L27" s="87">
        <v>1793117.9982</v>
      </c>
      <c r="M27" s="408"/>
      <c r="N27" s="409"/>
      <c r="O27" s="367">
        <f t="shared" si="1"/>
        <v>0.63105579632286835</v>
      </c>
      <c r="P27" s="406"/>
      <c r="Q27" s="413"/>
      <c r="S27" s="408"/>
      <c r="T27" s="412"/>
      <c r="U27" s="90">
        <f t="shared" si="0"/>
        <v>0</v>
      </c>
      <c r="V27" s="413" t="e">
        <f>S27/M27</f>
        <v>#DIV/0!</v>
      </c>
      <c r="W27" s="412"/>
    </row>
    <row r="28" spans="2:23">
      <c r="B28" s="411">
        <v>46113</v>
      </c>
      <c r="C28" s="407"/>
      <c r="D28" s="331">
        <v>46105</v>
      </c>
      <c r="E28" s="332" t="s">
        <v>15</v>
      </c>
      <c r="F28" s="87">
        <v>2669131.2800000003</v>
      </c>
      <c r="G28" s="408">
        <f>SUM(F28:F34)</f>
        <v>17930762.330000002</v>
      </c>
      <c r="H28" s="409"/>
      <c r="I28" s="338">
        <v>57426</v>
      </c>
      <c r="J28" s="410">
        <f>SUM(I28:I34)</f>
        <v>386754</v>
      </c>
      <c r="K28" s="410"/>
      <c r="L28" s="87">
        <v>1689006.0991</v>
      </c>
      <c r="M28" s="408">
        <f>SUM(L28:L34)</f>
        <v>11336933.660600001</v>
      </c>
      <c r="N28" s="409"/>
      <c r="O28" s="367">
        <f t="shared" si="1"/>
        <v>0.63279244140438073</v>
      </c>
      <c r="P28" s="406">
        <f>M28/G28</f>
        <v>0.63226166584296029</v>
      </c>
      <c r="Q28" s="413"/>
      <c r="S28" s="408"/>
      <c r="T28" s="412"/>
      <c r="U28" s="90">
        <f t="shared" si="0"/>
        <v>0</v>
      </c>
      <c r="V28" s="413"/>
      <c r="W28" s="412"/>
    </row>
    <row r="29" spans="2:23">
      <c r="B29" s="411"/>
      <c r="C29" s="407"/>
      <c r="D29" s="331">
        <v>46106</v>
      </c>
      <c r="E29" s="332" t="s">
        <v>13</v>
      </c>
      <c r="F29" s="87">
        <v>2480475.9299999997</v>
      </c>
      <c r="G29" s="408"/>
      <c r="H29" s="409"/>
      <c r="I29" s="338">
        <v>53463</v>
      </c>
      <c r="J29" s="410"/>
      <c r="K29" s="410"/>
      <c r="L29" s="87">
        <v>1567699.8359000001</v>
      </c>
      <c r="M29" s="408"/>
      <c r="N29" s="409"/>
      <c r="O29" s="367">
        <f t="shared" si="1"/>
        <v>0.6320157421967002</v>
      </c>
      <c r="P29" s="406"/>
      <c r="Q29" s="413"/>
      <c r="S29" s="408"/>
      <c r="T29" s="412"/>
      <c r="U29" s="90">
        <f t="shared" si="0"/>
        <v>0</v>
      </c>
      <c r="V29" s="413"/>
      <c r="W29" s="412"/>
    </row>
    <row r="30" spans="2:23">
      <c r="B30" s="411"/>
      <c r="C30" s="407"/>
      <c r="D30" s="331">
        <v>46107</v>
      </c>
      <c r="E30" s="332" t="s">
        <v>16</v>
      </c>
      <c r="F30" s="87">
        <v>2391314.54</v>
      </c>
      <c r="G30" s="408"/>
      <c r="H30" s="409"/>
      <c r="I30" s="338">
        <v>51604</v>
      </c>
      <c r="J30" s="410"/>
      <c r="K30" s="410"/>
      <c r="L30" s="87">
        <v>1511528.1602</v>
      </c>
      <c r="M30" s="408"/>
      <c r="N30" s="409"/>
      <c r="O30" s="367">
        <f t="shared" si="1"/>
        <v>0.6320909001791124</v>
      </c>
      <c r="P30" s="406"/>
      <c r="Q30" s="413"/>
      <c r="S30" s="408"/>
      <c r="T30" s="412"/>
      <c r="U30" s="90">
        <f t="shared" si="0"/>
        <v>0</v>
      </c>
      <c r="V30" s="413"/>
      <c r="W30" s="412"/>
    </row>
    <row r="31" spans="2:23">
      <c r="B31" s="411"/>
      <c r="C31" s="407"/>
      <c r="D31" s="331">
        <v>46108</v>
      </c>
      <c r="E31" s="332" t="s">
        <v>17</v>
      </c>
      <c r="F31" s="87">
        <v>2289329.2200000002</v>
      </c>
      <c r="G31" s="408"/>
      <c r="H31" s="409"/>
      <c r="I31" s="338">
        <v>49468</v>
      </c>
      <c r="J31" s="410"/>
      <c r="K31" s="410"/>
      <c r="L31" s="87">
        <v>1448277.4086</v>
      </c>
      <c r="M31" s="408"/>
      <c r="N31" s="409"/>
      <c r="O31" s="367">
        <f t="shared" si="1"/>
        <v>0.6326208550293172</v>
      </c>
      <c r="P31" s="406"/>
      <c r="Q31" s="413"/>
      <c r="S31" s="408">
        <f>SUM(R31:R37)</f>
        <v>0</v>
      </c>
      <c r="T31" s="412"/>
      <c r="U31" s="90">
        <f t="shared" si="0"/>
        <v>0</v>
      </c>
      <c r="V31" s="413"/>
      <c r="W31" s="412"/>
    </row>
    <row r="32" spans="2:23">
      <c r="B32" s="411"/>
      <c r="C32" s="407"/>
      <c r="D32" s="331">
        <v>46109</v>
      </c>
      <c r="E32" s="332" t="s">
        <v>18</v>
      </c>
      <c r="F32" s="87">
        <v>2435638.23</v>
      </c>
      <c r="G32" s="408"/>
      <c r="H32" s="409"/>
      <c r="I32" s="338">
        <v>52737</v>
      </c>
      <c r="J32" s="410"/>
      <c r="K32" s="410"/>
      <c r="L32" s="87">
        <v>1539552.0848999999</v>
      </c>
      <c r="M32" s="408"/>
      <c r="N32" s="409"/>
      <c r="O32" s="367">
        <f t="shared" si="1"/>
        <v>0.63209390702493606</v>
      </c>
      <c r="P32" s="406"/>
      <c r="Q32" s="413"/>
      <c r="S32" s="408"/>
      <c r="T32" s="412"/>
      <c r="U32" s="90">
        <f t="shared" si="0"/>
        <v>0</v>
      </c>
      <c r="V32" s="413"/>
      <c r="W32" s="412"/>
    </row>
    <row r="33" spans="2:23">
      <c r="B33" s="411"/>
      <c r="C33" s="407"/>
      <c r="D33" s="331">
        <v>46110</v>
      </c>
      <c r="E33" s="332" t="s">
        <v>10</v>
      </c>
      <c r="F33" s="87">
        <v>2895859.06</v>
      </c>
      <c r="G33" s="408"/>
      <c r="H33" s="409"/>
      <c r="I33" s="338">
        <v>62601</v>
      </c>
      <c r="J33" s="410"/>
      <c r="K33" s="410"/>
      <c r="L33" s="87">
        <v>1830391.2078</v>
      </c>
      <c r="M33" s="408"/>
      <c r="N33" s="409"/>
      <c r="O33" s="367">
        <f t="shared" si="1"/>
        <v>0.63207192403901036</v>
      </c>
      <c r="P33" s="406"/>
      <c r="Q33" s="413"/>
      <c r="S33" s="408"/>
      <c r="T33" s="412"/>
      <c r="U33" s="90">
        <f t="shared" si="0"/>
        <v>0</v>
      </c>
      <c r="V33" s="413"/>
      <c r="W33" s="412"/>
    </row>
    <row r="34" spans="2:23">
      <c r="B34" s="411"/>
      <c r="C34" s="407"/>
      <c r="D34" s="331">
        <v>46111</v>
      </c>
      <c r="E34" s="331" t="s">
        <v>14</v>
      </c>
      <c r="F34" s="87">
        <v>2769014.07</v>
      </c>
      <c r="G34" s="408"/>
      <c r="H34" s="409"/>
      <c r="I34" s="338">
        <v>59455</v>
      </c>
      <c r="J34" s="410"/>
      <c r="K34" s="410"/>
      <c r="L34" s="87">
        <v>1750478.8640999999</v>
      </c>
      <c r="M34" s="408"/>
      <c r="N34" s="409"/>
      <c r="O34" s="367">
        <f t="shared" si="1"/>
        <v>0.63216683622701852</v>
      </c>
      <c r="P34" s="406"/>
      <c r="Q34" s="413"/>
      <c r="S34" s="408"/>
      <c r="T34" s="412"/>
      <c r="U34" s="90">
        <f t="shared" si="0"/>
        <v>0</v>
      </c>
      <c r="V34" s="330"/>
      <c r="W34" s="412"/>
    </row>
    <row r="35" spans="2:23">
      <c r="B35" s="336"/>
      <c r="C35" s="83"/>
      <c r="D35" s="331">
        <v>46112</v>
      </c>
      <c r="E35" s="332" t="s">
        <v>15</v>
      </c>
      <c r="F35" s="87">
        <v>2453754.86</v>
      </c>
      <c r="G35" s="337"/>
      <c r="H35" s="389"/>
      <c r="I35" s="338">
        <v>53356</v>
      </c>
      <c r="J35" s="329"/>
      <c r="K35" s="338"/>
      <c r="L35" s="87">
        <v>1551865.5618</v>
      </c>
      <c r="M35" s="337"/>
      <c r="N35" s="389"/>
      <c r="O35" s="367">
        <f t="shared" si="1"/>
        <v>0.63244523203919401</v>
      </c>
      <c r="P35" s="390"/>
      <c r="Q35" s="413"/>
      <c r="S35" s="408"/>
      <c r="T35" s="412"/>
      <c r="U35" s="90">
        <f t="shared" si="0"/>
        <v>0</v>
      </c>
      <c r="V35" s="330"/>
      <c r="W35" s="412"/>
    </row>
    <row r="36" spans="2:23">
      <c r="B36" s="336"/>
      <c r="D36" s="331"/>
      <c r="E36" s="332"/>
      <c r="G36" s="337"/>
      <c r="H36" s="389"/>
      <c r="I36" s="206"/>
      <c r="J36" s="329"/>
      <c r="K36" s="206"/>
      <c r="L36" s="87"/>
      <c r="M36" s="337"/>
      <c r="N36" s="389"/>
      <c r="O36" s="367"/>
      <c r="P36" s="390"/>
      <c r="Q36" s="413"/>
      <c r="S36" s="408"/>
      <c r="T36" s="412"/>
      <c r="V36" s="87"/>
      <c r="W36" s="87"/>
    </row>
    <row r="37" spans="2:23">
      <c r="B37" s="336"/>
      <c r="D37" s="331"/>
      <c r="E37" s="332"/>
      <c r="G37" s="337"/>
      <c r="H37" s="389"/>
      <c r="I37" s="206"/>
      <c r="J37" s="329"/>
      <c r="K37" s="206"/>
      <c r="L37" s="87"/>
      <c r="M37" s="337"/>
      <c r="N37" s="389"/>
      <c r="O37" s="367"/>
      <c r="P37" s="390"/>
      <c r="Q37" s="413"/>
      <c r="S37" s="408"/>
      <c r="T37" s="412"/>
      <c r="V37" s="414">
        <f>SUM(U37:U43)</f>
        <v>0</v>
      </c>
      <c r="W37" s="87"/>
    </row>
    <row r="38" spans="2:23">
      <c r="B38" s="336"/>
      <c r="D38" s="331"/>
      <c r="E38" s="332"/>
      <c r="G38" s="337"/>
      <c r="I38" s="206"/>
      <c r="J38" s="329"/>
      <c r="K38" s="206"/>
      <c r="L38" s="87"/>
      <c r="M38" s="337"/>
      <c r="N38" s="87"/>
      <c r="O38" s="367"/>
      <c r="P38" s="330"/>
      <c r="Q38" s="87"/>
      <c r="S38" s="337"/>
      <c r="T38" s="87"/>
      <c r="V38" s="414"/>
      <c r="W38" s="87"/>
    </row>
    <row r="39" spans="2:23">
      <c r="B39" s="336"/>
      <c r="D39" s="331"/>
      <c r="E39" s="332"/>
      <c r="G39" s="337"/>
      <c r="I39" s="206"/>
      <c r="J39" s="329"/>
      <c r="K39" s="206"/>
      <c r="L39" s="87"/>
      <c r="M39" s="337"/>
      <c r="N39" s="87"/>
      <c r="O39" s="367"/>
      <c r="P39" s="330"/>
      <c r="Q39" s="87"/>
      <c r="S39" s="337"/>
      <c r="T39" s="87"/>
      <c r="V39" s="414"/>
      <c r="W39" s="87"/>
    </row>
    <row r="40" spans="2:23">
      <c r="B40" s="336"/>
      <c r="D40" s="331"/>
      <c r="E40" s="332"/>
      <c r="G40" s="337"/>
      <c r="I40" s="206"/>
      <c r="J40" s="329"/>
      <c r="K40" s="206"/>
      <c r="L40" s="87"/>
      <c r="M40" s="337"/>
      <c r="N40" s="87"/>
      <c r="O40" s="367"/>
      <c r="P40" s="330"/>
      <c r="Q40" s="87"/>
      <c r="S40" s="337"/>
      <c r="T40" s="87"/>
      <c r="V40" s="414"/>
      <c r="W40" s="87"/>
    </row>
    <row r="41" spans="2:23">
      <c r="B41" s="83"/>
      <c r="D41" s="86"/>
      <c r="E41" s="86"/>
      <c r="I41" s="206"/>
      <c r="J41" s="329"/>
      <c r="K41" s="206"/>
      <c r="L41" s="87"/>
      <c r="M41" s="87"/>
      <c r="N41" s="87"/>
      <c r="P41" s="87"/>
      <c r="Q41" s="87"/>
      <c r="S41" s="87"/>
      <c r="T41" s="87"/>
      <c r="V41" s="414"/>
      <c r="W41" s="87"/>
    </row>
    <row r="42" spans="2:23">
      <c r="B42" s="83"/>
      <c r="D42" s="86"/>
      <c r="E42" s="86"/>
      <c r="I42" s="206"/>
      <c r="J42" s="329"/>
      <c r="K42" s="206"/>
      <c r="L42" s="87"/>
      <c r="M42" s="87"/>
      <c r="N42" s="87"/>
      <c r="P42" s="87"/>
      <c r="Q42" s="87"/>
      <c r="S42" s="87"/>
      <c r="T42" s="87"/>
      <c r="V42" s="414"/>
      <c r="W42" s="87"/>
    </row>
    <row r="43" spans="2:23">
      <c r="B43" s="83"/>
      <c r="D43" s="86"/>
      <c r="E43" s="86"/>
      <c r="I43" s="206"/>
      <c r="J43" s="329"/>
      <c r="K43" s="206"/>
      <c r="L43" s="87"/>
      <c r="M43" s="87"/>
      <c r="N43" s="87"/>
      <c r="P43" s="87"/>
      <c r="Q43" s="87"/>
      <c r="S43" s="87"/>
      <c r="T43" s="87"/>
      <c r="V43" s="414"/>
      <c r="W43" s="87"/>
    </row>
    <row r="44" spans="2:23">
      <c r="J44" s="329"/>
    </row>
    <row r="45" spans="2:23">
      <c r="J45" s="329"/>
    </row>
    <row r="46" spans="2:23">
      <c r="J46" s="329"/>
    </row>
    <row r="47" spans="2:23">
      <c r="J47" s="329"/>
    </row>
  </sheetData>
  <mergeCells count="46"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O3:Q3"/>
    <mergeCell ref="V37:V43"/>
    <mergeCell ref="W5:W35"/>
    <mergeCell ref="V6:V12"/>
    <mergeCell ref="V13:V19"/>
    <mergeCell ref="V20:V26"/>
    <mergeCell ref="V27:V33"/>
    <mergeCell ref="T5:T37"/>
    <mergeCell ref="Q5:Q37"/>
    <mergeCell ref="S10:S16"/>
    <mergeCell ref="S17:S23"/>
    <mergeCell ref="S24:S30"/>
    <mergeCell ref="S31:S37"/>
    <mergeCell ref="B21:B27"/>
    <mergeCell ref="B28:B34"/>
    <mergeCell ref="G7:G13"/>
    <mergeCell ref="G14:G20"/>
    <mergeCell ref="G21:G27"/>
    <mergeCell ref="G28:G34"/>
    <mergeCell ref="B7:B13"/>
    <mergeCell ref="B14:B20"/>
    <mergeCell ref="P7:P13"/>
    <mergeCell ref="P14:P20"/>
    <mergeCell ref="P21:P27"/>
    <mergeCell ref="P28:P34"/>
    <mergeCell ref="C5:C34"/>
    <mergeCell ref="M7:M13"/>
    <mergeCell ref="M14:M20"/>
    <mergeCell ref="M21:M27"/>
    <mergeCell ref="M28:M34"/>
    <mergeCell ref="N5:N34"/>
    <mergeCell ref="H5:H34"/>
    <mergeCell ref="J7:J13"/>
    <mergeCell ref="J14:J20"/>
    <mergeCell ref="J21:J27"/>
    <mergeCell ref="J28:J34"/>
    <mergeCell ref="K5:K34"/>
  </mergeCells>
  <phoneticPr fontId="20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</sheetPr>
  <dimension ref="B1:W40"/>
  <sheetViews>
    <sheetView topLeftCell="E16" zoomScale="85" zoomScaleNormal="85" workbookViewId="0">
      <selection activeCell="P14" sqref="P14:P20"/>
    </sheetView>
  </sheetViews>
  <sheetFormatPr defaultColWidth="8.85546875" defaultRowHeight="14.25"/>
  <cols>
    <col min="1" max="1" width="4.42578125" style="73" customWidth="1"/>
    <col min="2" max="2" width="12.5703125" style="84" customWidth="1"/>
    <col min="3" max="3" width="8.85546875" style="79" customWidth="1"/>
    <col min="4" max="4" width="17.42578125" style="82" customWidth="1"/>
    <col min="5" max="5" width="4.42578125" style="82" customWidth="1"/>
    <col min="6" max="8" width="25.5703125" style="94" customWidth="1"/>
    <col min="9" max="11" width="15" style="72" customWidth="1"/>
    <col min="12" max="17" width="14.5703125" style="72" customWidth="1"/>
    <col min="18" max="21" width="14.140625" style="72" customWidth="1"/>
    <col min="22" max="23" width="14.140625" style="73" customWidth="1"/>
    <col min="24" max="43" width="8.85546875" style="73" customWidth="1"/>
    <col min="44" max="16384" width="8.85546875" style="73"/>
  </cols>
  <sheetData>
    <row r="1" spans="2:23">
      <c r="D1" s="82">
        <v>126.9</v>
      </c>
      <c r="F1" s="394"/>
    </row>
    <row r="2" spans="2:23" ht="38.1" customHeight="1">
      <c r="B2" s="416" t="s">
        <v>19</v>
      </c>
      <c r="C2" s="427"/>
      <c r="D2" s="427"/>
      <c r="E2" s="427"/>
      <c r="F2" s="427"/>
      <c r="G2" s="427"/>
      <c r="H2" s="427"/>
      <c r="I2" s="427"/>
      <c r="J2" s="427"/>
      <c r="K2" s="427"/>
      <c r="L2" s="427"/>
      <c r="M2" s="427"/>
      <c r="N2" s="427"/>
      <c r="O2" s="427"/>
      <c r="P2" s="427"/>
      <c r="Q2" s="427"/>
      <c r="R2" s="427"/>
      <c r="S2" s="427"/>
      <c r="T2" s="427"/>
      <c r="U2" s="427"/>
    </row>
    <row r="3" spans="2:23" s="71" customFormat="1" ht="23.45" customHeight="1">
      <c r="B3" s="420" t="s">
        <v>1</v>
      </c>
      <c r="C3" s="421" t="s">
        <v>2</v>
      </c>
      <c r="D3" s="422" t="s">
        <v>3</v>
      </c>
      <c r="E3" s="422"/>
      <c r="F3" s="428" t="s">
        <v>20</v>
      </c>
      <c r="G3" s="428"/>
      <c r="H3" s="428"/>
      <c r="I3" s="430" t="s">
        <v>21</v>
      </c>
      <c r="J3" s="430"/>
      <c r="K3" s="430"/>
      <c r="L3" s="429" t="s">
        <v>22</v>
      </c>
      <c r="M3" s="429"/>
      <c r="N3" s="429"/>
      <c r="O3" s="429" t="s">
        <v>23</v>
      </c>
      <c r="P3" s="429"/>
      <c r="Q3" s="429"/>
      <c r="R3" s="429" t="s">
        <v>24</v>
      </c>
      <c r="S3" s="429"/>
      <c r="T3" s="429"/>
      <c r="U3" s="429" t="s">
        <v>25</v>
      </c>
      <c r="V3" s="429"/>
      <c r="W3" s="429"/>
    </row>
    <row r="4" spans="2:23" ht="15.75">
      <c r="B4" s="420"/>
      <c r="C4" s="421"/>
      <c r="D4" s="422"/>
      <c r="E4" s="422"/>
      <c r="F4" s="85" t="s">
        <v>10</v>
      </c>
      <c r="G4" s="96" t="s">
        <v>26</v>
      </c>
      <c r="H4" s="96" t="s">
        <v>27</v>
      </c>
      <c r="I4" s="85" t="s">
        <v>10</v>
      </c>
      <c r="J4" s="95" t="s">
        <v>26</v>
      </c>
      <c r="K4" s="95" t="s">
        <v>27</v>
      </c>
      <c r="L4" s="85" t="s">
        <v>10</v>
      </c>
      <c r="M4" s="95" t="s">
        <v>26</v>
      </c>
      <c r="N4" s="95" t="s">
        <v>27</v>
      </c>
      <c r="O4" s="85" t="s">
        <v>10</v>
      </c>
      <c r="P4" s="95" t="s">
        <v>26</v>
      </c>
      <c r="Q4" s="95" t="s">
        <v>27</v>
      </c>
      <c r="R4" s="85" t="s">
        <v>10</v>
      </c>
      <c r="S4" s="95" t="s">
        <v>26</v>
      </c>
      <c r="T4" s="95" t="s">
        <v>27</v>
      </c>
      <c r="U4" s="85" t="s">
        <v>10</v>
      </c>
      <c r="V4" s="95" t="s">
        <v>26</v>
      </c>
      <c r="W4" s="95" t="s">
        <v>27</v>
      </c>
    </row>
    <row r="5" spans="2:23" ht="14.45" customHeight="1">
      <c r="B5" s="336"/>
      <c r="C5" s="407" t="s">
        <v>13</v>
      </c>
      <c r="D5" s="331">
        <v>46082</v>
      </c>
      <c r="E5" s="332" t="s">
        <v>10</v>
      </c>
      <c r="F5" s="93">
        <v>107.6</v>
      </c>
      <c r="G5" s="379"/>
      <c r="H5" s="426">
        <f>AVERAGE(F5:F35)</f>
        <v>113.56333333333332</v>
      </c>
      <c r="I5" s="90">
        <f>F5/$D$1</f>
        <v>0.8479117415287627</v>
      </c>
      <c r="J5" s="233"/>
      <c r="K5" s="425">
        <f>AVERAGE(I5:I35)</f>
        <v>0.866036249014972</v>
      </c>
      <c r="L5" s="90">
        <v>1.9247429460207746E-3</v>
      </c>
      <c r="M5" s="233"/>
      <c r="N5" s="413">
        <f>AVERAGE(L5:L35)</f>
        <v>3.1016586984931463E-3</v>
      </c>
      <c r="O5" s="90">
        <v>4.4235806900621546E-4</v>
      </c>
      <c r="P5" s="233"/>
      <c r="Q5" s="413">
        <f>AVERAGE(O5:O35)</f>
        <v>2.0506641028919946E-3</v>
      </c>
      <c r="R5" s="181">
        <v>0.28570000000000001</v>
      </c>
      <c r="S5" s="233"/>
      <c r="T5" s="425">
        <f>AVERAGE(R5:R34)</f>
        <v>0.28570000000000012</v>
      </c>
      <c r="U5" s="181">
        <v>0.7</v>
      </c>
      <c r="V5" s="233"/>
      <c r="W5" s="425">
        <f>AVERAGE(U5:U34)</f>
        <v>0.80677333333333323</v>
      </c>
    </row>
    <row r="6" spans="2:23" ht="14.45" customHeight="1">
      <c r="B6" s="336"/>
      <c r="C6" s="407"/>
      <c r="D6" s="331">
        <v>46083</v>
      </c>
      <c r="E6" s="331" t="s">
        <v>14</v>
      </c>
      <c r="F6" s="93">
        <v>109.4</v>
      </c>
      <c r="G6" s="379"/>
      <c r="H6" s="426"/>
      <c r="I6" s="90">
        <f t="shared" ref="I6:I34" si="0">F6/$D$1</f>
        <v>0.8620961386918834</v>
      </c>
      <c r="J6" s="233"/>
      <c r="K6" s="425"/>
      <c r="L6" s="90">
        <v>5.3906076639613854E-3</v>
      </c>
      <c r="M6" s="233"/>
      <c r="N6" s="413"/>
      <c r="O6" s="90">
        <v>2.6986249894954554E-3</v>
      </c>
      <c r="P6" s="233"/>
      <c r="Q6" s="413"/>
      <c r="R6" s="181">
        <v>0.28570000000000001</v>
      </c>
      <c r="S6" s="233"/>
      <c r="T6" s="425"/>
      <c r="U6" s="181">
        <v>0.7</v>
      </c>
      <c r="V6" s="233"/>
      <c r="W6" s="425"/>
    </row>
    <row r="7" spans="2:23" ht="14.45" customHeight="1">
      <c r="B7" s="411">
        <v>46092</v>
      </c>
      <c r="C7" s="407"/>
      <c r="D7" s="331">
        <v>46084</v>
      </c>
      <c r="E7" s="332" t="s">
        <v>15</v>
      </c>
      <c r="F7" s="93">
        <v>110.9</v>
      </c>
      <c r="G7" s="426">
        <f>AVERAGE(F7:F13)</f>
        <v>111.87142857142858</v>
      </c>
      <c r="H7" s="426"/>
      <c r="I7" s="90">
        <f t="shared" si="0"/>
        <v>0.87391646966115055</v>
      </c>
      <c r="J7" s="425">
        <f>AVERAGE(I7:I13)</f>
        <v>0.88157154114600922</v>
      </c>
      <c r="K7" s="425"/>
      <c r="L7" s="90">
        <v>3.0909227415517023E-3</v>
      </c>
      <c r="M7" s="413">
        <f>AVERAGE(L7:L13)</f>
        <v>3.3344489169414289E-3</v>
      </c>
      <c r="N7" s="413"/>
      <c r="O7" s="90">
        <v>1.6663479973355209E-3</v>
      </c>
      <c r="P7" s="413">
        <f>AVERAGE(O7:O13)</f>
        <v>1.5562026690794481E-3</v>
      </c>
      <c r="Q7" s="413"/>
      <c r="R7" s="181">
        <v>0.28570000000000001</v>
      </c>
      <c r="S7" s="425">
        <f>AVERAGE(R7:R13)</f>
        <v>0.28570000000000001</v>
      </c>
      <c r="T7" s="425"/>
      <c r="U7" s="181">
        <v>0.7</v>
      </c>
      <c r="V7" s="425">
        <f>AVERAGE(U7:U13)</f>
        <v>0.70000000000000007</v>
      </c>
      <c r="W7" s="425"/>
    </row>
    <row r="8" spans="2:23" ht="14.45" customHeight="1">
      <c r="B8" s="411"/>
      <c r="C8" s="407"/>
      <c r="D8" s="331">
        <v>46085</v>
      </c>
      <c r="E8" s="332" t="s">
        <v>13</v>
      </c>
      <c r="F8" s="93">
        <v>108.4</v>
      </c>
      <c r="G8" s="426"/>
      <c r="H8" s="426"/>
      <c r="I8" s="90">
        <f t="shared" si="0"/>
        <v>0.85421591804570529</v>
      </c>
      <c r="J8" s="425"/>
      <c r="K8" s="425"/>
      <c r="L8" s="90">
        <v>2.4144822873021247E-3</v>
      </c>
      <c r="M8" s="413"/>
      <c r="N8" s="413"/>
      <c r="O8" s="90">
        <v>7.0075802104249576E-4</v>
      </c>
      <c r="P8" s="413"/>
      <c r="Q8" s="413"/>
      <c r="R8" s="181">
        <v>0.28570000000000001</v>
      </c>
      <c r="S8" s="425"/>
      <c r="T8" s="425"/>
      <c r="U8" s="181">
        <v>0.7</v>
      </c>
      <c r="V8" s="425"/>
      <c r="W8" s="425"/>
    </row>
    <row r="9" spans="2:23" ht="14.45" customHeight="1">
      <c r="B9" s="411"/>
      <c r="C9" s="407"/>
      <c r="D9" s="331">
        <v>46086</v>
      </c>
      <c r="E9" s="332" t="s">
        <v>16</v>
      </c>
      <c r="F9" s="93">
        <v>108.7</v>
      </c>
      <c r="G9" s="426"/>
      <c r="H9" s="426"/>
      <c r="I9" s="90">
        <f t="shared" si="0"/>
        <v>0.85657998423955872</v>
      </c>
      <c r="J9" s="425"/>
      <c r="K9" s="425"/>
      <c r="L9" s="90">
        <v>3.7367639305585293E-3</v>
      </c>
      <c r="M9" s="413"/>
      <c r="N9" s="413"/>
      <c r="O9" s="90">
        <v>1.6123772325959238E-3</v>
      </c>
      <c r="P9" s="413"/>
      <c r="Q9" s="413"/>
      <c r="R9" s="181">
        <v>0.28570000000000001</v>
      </c>
      <c r="S9" s="425"/>
      <c r="T9" s="425"/>
      <c r="U9" s="181">
        <v>0.7</v>
      </c>
      <c r="V9" s="425"/>
      <c r="W9" s="425"/>
    </row>
    <row r="10" spans="2:23" ht="14.45" customHeight="1">
      <c r="B10" s="411"/>
      <c r="C10" s="407"/>
      <c r="D10" s="331">
        <v>46087</v>
      </c>
      <c r="E10" s="332" t="s">
        <v>17</v>
      </c>
      <c r="F10" s="93">
        <v>112.3</v>
      </c>
      <c r="G10" s="426"/>
      <c r="H10" s="426"/>
      <c r="I10" s="90">
        <f t="shared" si="0"/>
        <v>0.88494877856579979</v>
      </c>
      <c r="J10" s="425"/>
      <c r="K10" s="425"/>
      <c r="L10" s="90">
        <v>7.6912047970491781E-4</v>
      </c>
      <c r="M10" s="413"/>
      <c r="N10" s="413"/>
      <c r="O10" s="90">
        <v>2.2795008728905357E-3</v>
      </c>
      <c r="P10" s="413"/>
      <c r="Q10" s="413"/>
      <c r="R10" s="181">
        <v>0.28570000000000001</v>
      </c>
      <c r="S10" s="425"/>
      <c r="T10" s="425"/>
      <c r="U10" s="181">
        <v>0.7</v>
      </c>
      <c r="V10" s="425"/>
      <c r="W10" s="425"/>
    </row>
    <row r="11" spans="2:23" ht="14.45" customHeight="1">
      <c r="B11" s="411"/>
      <c r="C11" s="407"/>
      <c r="D11" s="331">
        <v>46088</v>
      </c>
      <c r="E11" s="332" t="s">
        <v>18</v>
      </c>
      <c r="F11" s="93">
        <v>111.6</v>
      </c>
      <c r="G11" s="426"/>
      <c r="H11" s="426"/>
      <c r="I11" s="90">
        <f t="shared" si="0"/>
        <v>0.87943262411347511</v>
      </c>
      <c r="J11" s="425"/>
      <c r="K11" s="425"/>
      <c r="L11" s="90">
        <v>2.3557807878780224E-3</v>
      </c>
      <c r="M11" s="413"/>
      <c r="N11" s="413"/>
      <c r="O11" s="90">
        <v>1.2488288624025784E-3</v>
      </c>
      <c r="P11" s="413"/>
      <c r="Q11" s="413"/>
      <c r="R11" s="181">
        <v>0.28570000000000001</v>
      </c>
      <c r="S11" s="425"/>
      <c r="T11" s="425"/>
      <c r="U11" s="181">
        <v>0.7</v>
      </c>
      <c r="V11" s="425"/>
      <c r="W11" s="425"/>
    </row>
    <row r="12" spans="2:23" ht="14.45" customHeight="1">
      <c r="B12" s="411"/>
      <c r="C12" s="407"/>
      <c r="D12" s="331">
        <v>46089</v>
      </c>
      <c r="E12" s="332" t="s">
        <v>10</v>
      </c>
      <c r="F12" s="93">
        <v>113.2</v>
      </c>
      <c r="G12" s="426"/>
      <c r="H12" s="426"/>
      <c r="I12" s="90">
        <f t="shared" si="0"/>
        <v>0.89204097714736008</v>
      </c>
      <c r="J12" s="425"/>
      <c r="K12" s="425"/>
      <c r="L12" s="90">
        <v>1.0525820702217062E-2</v>
      </c>
      <c r="M12" s="413"/>
      <c r="N12" s="413"/>
      <c r="O12" s="90">
        <v>2.5209768888113959E-3</v>
      </c>
      <c r="P12" s="413"/>
      <c r="Q12" s="413"/>
      <c r="R12" s="181">
        <v>0.28570000000000001</v>
      </c>
      <c r="S12" s="425"/>
      <c r="T12" s="425"/>
      <c r="U12" s="181">
        <v>0.7</v>
      </c>
      <c r="V12" s="425"/>
      <c r="W12" s="425"/>
    </row>
    <row r="13" spans="2:23" ht="14.45" customHeight="1">
      <c r="B13" s="411"/>
      <c r="C13" s="407"/>
      <c r="D13" s="331">
        <v>46090</v>
      </c>
      <c r="E13" s="331" t="s">
        <v>14</v>
      </c>
      <c r="F13" s="93">
        <v>118</v>
      </c>
      <c r="G13" s="426"/>
      <c r="H13" s="426"/>
      <c r="I13" s="90">
        <f t="shared" si="0"/>
        <v>0.92986603624901498</v>
      </c>
      <c r="J13" s="425"/>
      <c r="K13" s="425"/>
      <c r="L13" s="90">
        <v>4.4825148937764424E-4</v>
      </c>
      <c r="M13" s="413"/>
      <c r="N13" s="413"/>
      <c r="O13" s="90">
        <v>8.6462880847768659E-4</v>
      </c>
      <c r="P13" s="413"/>
      <c r="Q13" s="413"/>
      <c r="R13" s="181">
        <v>0.28570000000000001</v>
      </c>
      <c r="S13" s="425"/>
      <c r="T13" s="425"/>
      <c r="U13" s="181">
        <v>0.7</v>
      </c>
      <c r="V13" s="425"/>
      <c r="W13" s="425"/>
    </row>
    <row r="14" spans="2:23" ht="14.45" customHeight="1">
      <c r="B14" s="411">
        <v>46099</v>
      </c>
      <c r="C14" s="407"/>
      <c r="D14" s="331">
        <v>46091</v>
      </c>
      <c r="E14" s="332" t="s">
        <v>15</v>
      </c>
      <c r="F14" s="93">
        <v>116.4</v>
      </c>
      <c r="G14" s="426">
        <f>AVERAGE(F14:F20)</f>
        <v>115.98571428571429</v>
      </c>
      <c r="H14" s="426"/>
      <c r="I14" s="90">
        <f t="shared" si="0"/>
        <v>0.91725768321513002</v>
      </c>
      <c r="J14" s="425">
        <f>AVERAGE(I14:I20)</f>
        <v>0.91399302037599917</v>
      </c>
      <c r="K14" s="425"/>
      <c r="L14" s="90">
        <v>2.7631128753731957E-3</v>
      </c>
      <c r="M14" s="413">
        <f>AVERAGE(L14:L20)</f>
        <v>3.0380967307343438E-3</v>
      </c>
      <c r="N14" s="413"/>
      <c r="O14" s="90">
        <v>2.3275787547751294E-3</v>
      </c>
      <c r="P14" s="413">
        <f>AVERAGE(O14:O20)</f>
        <v>2.2638893906312021E-3</v>
      </c>
      <c r="Q14" s="413"/>
      <c r="R14" s="181">
        <v>0.28570000000000001</v>
      </c>
      <c r="S14" s="425">
        <f>AVERAGE(R14:R20)</f>
        <v>0.28570000000000001</v>
      </c>
      <c r="T14" s="425"/>
      <c r="U14" s="181">
        <v>0.75</v>
      </c>
      <c r="V14" s="425">
        <f>AVERAGE(U14:U20)</f>
        <v>0.75</v>
      </c>
      <c r="W14" s="425"/>
    </row>
    <row r="15" spans="2:23" ht="14.45" customHeight="1">
      <c r="B15" s="411"/>
      <c r="C15" s="407"/>
      <c r="D15" s="331">
        <v>46092</v>
      </c>
      <c r="E15" s="332" t="s">
        <v>13</v>
      </c>
      <c r="F15" s="93">
        <v>114</v>
      </c>
      <c r="G15" s="426"/>
      <c r="H15" s="426"/>
      <c r="I15" s="90">
        <f t="shared" si="0"/>
        <v>0.89834515366430256</v>
      </c>
      <c r="J15" s="425"/>
      <c r="K15" s="425"/>
      <c r="L15" s="90">
        <v>2.9675377536178128E-3</v>
      </c>
      <c r="M15" s="413"/>
      <c r="N15" s="413"/>
      <c r="O15" s="90">
        <v>1.2854105019734206E-3</v>
      </c>
      <c r="P15" s="413"/>
      <c r="Q15" s="413"/>
      <c r="R15" s="181">
        <v>0.28570000000000001</v>
      </c>
      <c r="S15" s="425"/>
      <c r="T15" s="425"/>
      <c r="U15" s="181">
        <v>0.75</v>
      </c>
      <c r="V15" s="425"/>
      <c r="W15" s="425"/>
    </row>
    <row r="16" spans="2:23" ht="14.45" customHeight="1">
      <c r="B16" s="411"/>
      <c r="C16" s="407"/>
      <c r="D16" s="331">
        <v>46093</v>
      </c>
      <c r="E16" s="332" t="s">
        <v>16</v>
      </c>
      <c r="F16" s="93">
        <v>113.8</v>
      </c>
      <c r="G16" s="426"/>
      <c r="H16" s="426"/>
      <c r="I16" s="90">
        <f t="shared" si="0"/>
        <v>0.89676910953506694</v>
      </c>
      <c r="J16" s="425"/>
      <c r="K16" s="425"/>
      <c r="L16" s="90">
        <v>5.2225693744184527E-3</v>
      </c>
      <c r="M16" s="413"/>
      <c r="N16" s="413"/>
      <c r="O16" s="90">
        <v>4.4843142839309102E-4</v>
      </c>
      <c r="P16" s="413"/>
      <c r="Q16" s="413"/>
      <c r="R16" s="181">
        <v>0.28570000000000001</v>
      </c>
      <c r="S16" s="425"/>
      <c r="T16" s="425"/>
      <c r="U16" s="181">
        <v>0.75</v>
      </c>
      <c r="V16" s="425"/>
      <c r="W16" s="425"/>
    </row>
    <row r="17" spans="2:23" ht="14.45" customHeight="1">
      <c r="B17" s="411"/>
      <c r="C17" s="407"/>
      <c r="D17" s="331">
        <v>46094</v>
      </c>
      <c r="E17" s="332" t="s">
        <v>17</v>
      </c>
      <c r="F17" s="93">
        <v>113.8</v>
      </c>
      <c r="G17" s="426"/>
      <c r="H17" s="426"/>
      <c r="I17" s="90">
        <f t="shared" si="0"/>
        <v>0.89676910953506694</v>
      </c>
      <c r="J17" s="425"/>
      <c r="K17" s="425"/>
      <c r="L17" s="90">
        <v>2.0596286155069449E-3</v>
      </c>
      <c r="M17" s="413"/>
      <c r="N17" s="413"/>
      <c r="O17" s="90">
        <v>1.3944856169028149E-3</v>
      </c>
      <c r="P17" s="413"/>
      <c r="Q17" s="413"/>
      <c r="R17" s="181">
        <v>0.28570000000000001</v>
      </c>
      <c r="S17" s="425"/>
      <c r="T17" s="425"/>
      <c r="U17" s="181">
        <v>0.75</v>
      </c>
      <c r="V17" s="425"/>
      <c r="W17" s="425"/>
    </row>
    <row r="18" spans="2:23" ht="14.45" customHeight="1">
      <c r="B18" s="411"/>
      <c r="C18" s="407"/>
      <c r="D18" s="331">
        <v>46095</v>
      </c>
      <c r="E18" s="332" t="s">
        <v>18</v>
      </c>
      <c r="F18" s="93">
        <v>118.6</v>
      </c>
      <c r="G18" s="426"/>
      <c r="H18" s="426"/>
      <c r="I18" s="90">
        <f t="shared" si="0"/>
        <v>0.93459416863672173</v>
      </c>
      <c r="J18" s="425"/>
      <c r="K18" s="425"/>
      <c r="L18" s="90">
        <v>3.8296829676227281E-3</v>
      </c>
      <c r="M18" s="413"/>
      <c r="N18" s="413"/>
      <c r="O18" s="90">
        <v>5.2793011144656706E-3</v>
      </c>
      <c r="P18" s="413"/>
      <c r="Q18" s="413"/>
      <c r="R18" s="181">
        <v>0.28570000000000001</v>
      </c>
      <c r="S18" s="425"/>
      <c r="T18" s="425"/>
      <c r="U18" s="181">
        <v>0.75</v>
      </c>
      <c r="V18" s="425"/>
      <c r="W18" s="425"/>
    </row>
    <row r="19" spans="2:23" ht="14.45" customHeight="1">
      <c r="B19" s="411"/>
      <c r="C19" s="407"/>
      <c r="D19" s="331">
        <v>46096</v>
      </c>
      <c r="E19" s="332" t="s">
        <v>10</v>
      </c>
      <c r="F19" s="93">
        <v>118.6</v>
      </c>
      <c r="G19" s="426"/>
      <c r="H19" s="426"/>
      <c r="I19" s="90">
        <f t="shared" si="0"/>
        <v>0.93459416863672173</v>
      </c>
      <c r="J19" s="425"/>
      <c r="K19" s="425"/>
      <c r="L19" s="90">
        <v>2.3794231826152492E-3</v>
      </c>
      <c r="M19" s="413"/>
      <c r="N19" s="413"/>
      <c r="O19" s="90">
        <v>2.4497576890894551E-3</v>
      </c>
      <c r="P19" s="413"/>
      <c r="Q19" s="413"/>
      <c r="R19" s="181">
        <v>0.28570000000000001</v>
      </c>
      <c r="S19" s="425"/>
      <c r="T19" s="425"/>
      <c r="U19" s="181">
        <v>0.75</v>
      </c>
      <c r="V19" s="425"/>
      <c r="W19" s="425"/>
    </row>
    <row r="20" spans="2:23" ht="14.45" customHeight="1">
      <c r="B20" s="411"/>
      <c r="C20" s="407"/>
      <c r="D20" s="331">
        <v>46097</v>
      </c>
      <c r="E20" s="331" t="s">
        <v>14</v>
      </c>
      <c r="F20" s="93">
        <v>116.7</v>
      </c>
      <c r="G20" s="426"/>
      <c r="H20" s="426"/>
      <c r="I20" s="90">
        <f t="shared" si="0"/>
        <v>0.91962174940898345</v>
      </c>
      <c r="J20" s="425"/>
      <c r="K20" s="425"/>
      <c r="L20" s="90">
        <v>2.0447223459860221E-3</v>
      </c>
      <c r="M20" s="413"/>
      <c r="N20" s="413"/>
      <c r="O20" s="90">
        <v>2.6622606288188352E-3</v>
      </c>
      <c r="P20" s="413"/>
      <c r="Q20" s="413"/>
      <c r="R20" s="181">
        <v>0.28570000000000001</v>
      </c>
      <c r="S20" s="425"/>
      <c r="T20" s="425"/>
      <c r="U20" s="181">
        <v>0.75</v>
      </c>
      <c r="V20" s="425"/>
      <c r="W20" s="425"/>
    </row>
    <row r="21" spans="2:23" ht="14.45" customHeight="1">
      <c r="B21" s="411">
        <v>46106</v>
      </c>
      <c r="C21" s="407"/>
      <c r="D21" s="331">
        <v>46098</v>
      </c>
      <c r="E21" s="332" t="s">
        <v>15</v>
      </c>
      <c r="F21" s="93">
        <v>108.1</v>
      </c>
      <c r="G21" s="426">
        <f>AVERAGE(F21:F27)</f>
        <v>111.71428571428569</v>
      </c>
      <c r="H21" s="426"/>
      <c r="I21" s="90">
        <f t="shared" si="0"/>
        <v>0.85185185185185175</v>
      </c>
      <c r="J21" s="425">
        <f>AVERAGE(I21:I27)</f>
        <v>0.88033322075875275</v>
      </c>
      <c r="K21" s="425"/>
      <c r="L21" s="90">
        <v>4.3175817003828065E-3</v>
      </c>
      <c r="M21" s="413">
        <f>AVERAGE(L21:L27)</f>
        <v>4.1674387381182868E-3</v>
      </c>
      <c r="N21" s="413"/>
      <c r="O21" s="90">
        <v>2.4152759592145252E-3</v>
      </c>
      <c r="P21" s="413">
        <f>AVERAGE(O21:O27)</f>
        <v>2.5760167143956741E-3</v>
      </c>
      <c r="Q21" s="413"/>
      <c r="R21" s="181">
        <v>0.28570000000000001</v>
      </c>
      <c r="S21" s="425">
        <f>AVERAGE(R21:R27)</f>
        <v>0.28570000000000001</v>
      </c>
      <c r="T21" s="425"/>
      <c r="U21" s="181">
        <v>0.88</v>
      </c>
      <c r="V21" s="425">
        <f>AVERAGE(U21:U27)</f>
        <v>0.88</v>
      </c>
      <c r="W21" s="425"/>
    </row>
    <row r="22" spans="2:23" ht="14.45" customHeight="1">
      <c r="B22" s="411"/>
      <c r="C22" s="407"/>
      <c r="D22" s="331">
        <v>46099</v>
      </c>
      <c r="E22" s="332" t="s">
        <v>13</v>
      </c>
      <c r="F22" s="93">
        <v>108.6</v>
      </c>
      <c r="G22" s="426"/>
      <c r="H22" s="426"/>
      <c r="I22" s="90">
        <f t="shared" si="0"/>
        <v>0.8557919621749408</v>
      </c>
      <c r="J22" s="425"/>
      <c r="K22" s="425"/>
      <c r="L22" s="90">
        <v>1.0036217681677785E-2</v>
      </c>
      <c r="M22" s="413"/>
      <c r="N22" s="413"/>
      <c r="O22" s="90">
        <v>3.7748948587719229E-3</v>
      </c>
      <c r="P22" s="413"/>
      <c r="Q22" s="413"/>
      <c r="R22" s="181">
        <v>0.28570000000000001</v>
      </c>
      <c r="S22" s="425"/>
      <c r="T22" s="425"/>
      <c r="U22" s="181">
        <v>0.88</v>
      </c>
      <c r="V22" s="425"/>
      <c r="W22" s="425"/>
    </row>
    <row r="23" spans="2:23" ht="14.45" customHeight="1">
      <c r="B23" s="411"/>
      <c r="C23" s="407"/>
      <c r="D23" s="331">
        <v>46100</v>
      </c>
      <c r="E23" s="332" t="s">
        <v>16</v>
      </c>
      <c r="F23" s="93">
        <v>112.3</v>
      </c>
      <c r="G23" s="426"/>
      <c r="H23" s="426"/>
      <c r="I23" s="90">
        <f t="shared" si="0"/>
        <v>0.88494877856579979</v>
      </c>
      <c r="J23" s="425"/>
      <c r="K23" s="425"/>
      <c r="L23" s="90">
        <v>4.7195632614366548E-3</v>
      </c>
      <c r="M23" s="413"/>
      <c r="N23" s="413"/>
      <c r="O23" s="90">
        <v>2.879374060295781E-3</v>
      </c>
      <c r="P23" s="413"/>
      <c r="Q23" s="413"/>
      <c r="R23" s="181">
        <v>0.28570000000000001</v>
      </c>
      <c r="S23" s="425"/>
      <c r="T23" s="425"/>
      <c r="U23" s="181">
        <v>0.88</v>
      </c>
      <c r="V23" s="425"/>
      <c r="W23" s="425"/>
    </row>
    <row r="24" spans="2:23" ht="14.45" customHeight="1">
      <c r="B24" s="411"/>
      <c r="C24" s="407"/>
      <c r="D24" s="331">
        <v>46101</v>
      </c>
      <c r="E24" s="332" t="s">
        <v>17</v>
      </c>
      <c r="F24" s="93">
        <v>109.8</v>
      </c>
      <c r="G24" s="426"/>
      <c r="H24" s="426"/>
      <c r="I24" s="90">
        <f t="shared" si="0"/>
        <v>0.86524822695035453</v>
      </c>
      <c r="J24" s="425"/>
      <c r="K24" s="425"/>
      <c r="L24" s="90">
        <v>4.1784161885637019E-3</v>
      </c>
      <c r="M24" s="413"/>
      <c r="N24" s="413"/>
      <c r="O24" s="90">
        <v>3.9189983562615237E-3</v>
      </c>
      <c r="P24" s="413"/>
      <c r="Q24" s="413"/>
      <c r="R24" s="181">
        <v>0.28570000000000001</v>
      </c>
      <c r="S24" s="425"/>
      <c r="T24" s="425"/>
      <c r="U24" s="181">
        <v>0.88</v>
      </c>
      <c r="V24" s="425"/>
      <c r="W24" s="425"/>
    </row>
    <row r="25" spans="2:23" ht="14.45" customHeight="1">
      <c r="B25" s="411"/>
      <c r="C25" s="407"/>
      <c r="D25" s="331">
        <v>46102</v>
      </c>
      <c r="E25" s="332" t="s">
        <v>18</v>
      </c>
      <c r="F25" s="93">
        <v>114.6</v>
      </c>
      <c r="G25" s="426"/>
      <c r="H25" s="426"/>
      <c r="I25" s="90">
        <f t="shared" si="0"/>
        <v>0.90307328605200932</v>
      </c>
      <c r="J25" s="425"/>
      <c r="K25" s="425"/>
      <c r="L25" s="90">
        <v>2.489207708690459E-3</v>
      </c>
      <c r="M25" s="413"/>
      <c r="N25" s="413"/>
      <c r="O25" s="90">
        <v>2.5553001802122769E-3</v>
      </c>
      <c r="P25" s="413"/>
      <c r="Q25" s="413"/>
      <c r="R25" s="181">
        <v>0.28570000000000001</v>
      </c>
      <c r="S25" s="425"/>
      <c r="T25" s="425"/>
      <c r="U25" s="181">
        <v>0.88</v>
      </c>
      <c r="V25" s="425"/>
      <c r="W25" s="425"/>
    </row>
    <row r="26" spans="2:23" ht="14.45" customHeight="1">
      <c r="B26" s="411"/>
      <c r="C26" s="407"/>
      <c r="D26" s="331">
        <v>46103</v>
      </c>
      <c r="E26" s="332" t="s">
        <v>10</v>
      </c>
      <c r="F26" s="93">
        <v>116.3</v>
      </c>
      <c r="G26" s="426"/>
      <c r="H26" s="426"/>
      <c r="I26" s="90">
        <f t="shared" si="0"/>
        <v>0.9164696611505122</v>
      </c>
      <c r="J26" s="425"/>
      <c r="K26" s="425"/>
      <c r="L26" s="90">
        <v>1.8269780795319599E-3</v>
      </c>
      <c r="M26" s="413"/>
      <c r="N26" s="413"/>
      <c r="O26" s="90">
        <v>2.024427068166865E-3</v>
      </c>
      <c r="P26" s="413"/>
      <c r="Q26" s="413"/>
      <c r="R26" s="181">
        <v>0.28570000000000001</v>
      </c>
      <c r="S26" s="425"/>
      <c r="T26" s="425"/>
      <c r="U26" s="181">
        <v>0.88</v>
      </c>
      <c r="V26" s="425"/>
      <c r="W26" s="425"/>
    </row>
    <row r="27" spans="2:23" ht="14.45" customHeight="1">
      <c r="B27" s="411"/>
      <c r="C27" s="407"/>
      <c r="D27" s="331">
        <v>46104</v>
      </c>
      <c r="E27" s="331" t="s">
        <v>14</v>
      </c>
      <c r="F27" s="93">
        <v>112.3</v>
      </c>
      <c r="G27" s="426"/>
      <c r="H27" s="426"/>
      <c r="I27" s="90">
        <f t="shared" si="0"/>
        <v>0.88494877856579979</v>
      </c>
      <c r="J27" s="425"/>
      <c r="K27" s="425"/>
      <c r="L27" s="90">
        <v>1.6041065465446365E-3</v>
      </c>
      <c r="M27" s="413"/>
      <c r="N27" s="413"/>
      <c r="O27" s="90">
        <v>4.6384651784682555E-4</v>
      </c>
      <c r="P27" s="413"/>
      <c r="Q27" s="413"/>
      <c r="R27" s="181">
        <v>0.28570000000000001</v>
      </c>
      <c r="S27" s="425"/>
      <c r="T27" s="425"/>
      <c r="U27" s="181">
        <v>0.88</v>
      </c>
      <c r="V27" s="425"/>
      <c r="W27" s="425"/>
    </row>
    <row r="28" spans="2:23" ht="14.45" customHeight="1">
      <c r="B28" s="411">
        <v>46113</v>
      </c>
      <c r="C28" s="407"/>
      <c r="D28" s="331">
        <v>46105</v>
      </c>
      <c r="E28" s="332" t="s">
        <v>15</v>
      </c>
      <c r="F28" s="93">
        <v>116.2</v>
      </c>
      <c r="G28" s="426">
        <f>AVERAGE(F28:F34)</f>
        <v>116.12857142857142</v>
      </c>
      <c r="H28" s="426"/>
      <c r="I28" s="90">
        <f t="shared" si="0"/>
        <v>0.91568163908589439</v>
      </c>
      <c r="J28" s="425">
        <f>AVERAGE(I28:I34)</f>
        <v>0.91511876618259602</v>
      </c>
      <c r="K28" s="425"/>
      <c r="L28" s="90">
        <v>9.8421535863908488E-4</v>
      </c>
      <c r="M28" s="413">
        <f>AVERAGE(L28:L34)</f>
        <v>1.9191095549631087E-3</v>
      </c>
      <c r="N28" s="413"/>
      <c r="O28" s="90">
        <v>1.4532818333311802E-3</v>
      </c>
      <c r="P28" s="413">
        <f>AVERAGE(O28:O34)</f>
        <v>1.931096030969191E-3</v>
      </c>
      <c r="Q28" s="413"/>
      <c r="R28" s="181">
        <v>0.28570000000000001</v>
      </c>
      <c r="S28" s="425">
        <f>AVERAGE(R28:R34)</f>
        <v>0.28570000000000001</v>
      </c>
      <c r="T28" s="425"/>
      <c r="U28" s="181">
        <v>0.92759999999999998</v>
      </c>
      <c r="V28" s="425">
        <f>AVERAGE(U28:U34)</f>
        <v>0.92759999999999998</v>
      </c>
      <c r="W28" s="425"/>
    </row>
    <row r="29" spans="2:23" ht="14.45" customHeight="1">
      <c r="B29" s="411"/>
      <c r="C29" s="407"/>
      <c r="D29" s="331">
        <v>46106</v>
      </c>
      <c r="E29" s="332" t="s">
        <v>13</v>
      </c>
      <c r="F29" s="93">
        <v>116.6</v>
      </c>
      <c r="G29" s="426"/>
      <c r="H29" s="426"/>
      <c r="I29" s="90">
        <f t="shared" si="0"/>
        <v>0.91883372734436553</v>
      </c>
      <c r="J29" s="425"/>
      <c r="K29" s="425"/>
      <c r="L29" s="90">
        <v>5.3820316651893504E-4</v>
      </c>
      <c r="M29" s="413"/>
      <c r="N29" s="413"/>
      <c r="O29" s="90">
        <v>1.6706471326250686E-3</v>
      </c>
      <c r="P29" s="413"/>
      <c r="Q29" s="413"/>
      <c r="R29" s="181">
        <v>0.28570000000000001</v>
      </c>
      <c r="S29" s="425"/>
      <c r="T29" s="425"/>
      <c r="U29" s="181">
        <v>0.92759999999999998</v>
      </c>
      <c r="V29" s="425"/>
      <c r="W29" s="425"/>
    </row>
    <row r="30" spans="2:23" ht="14.45" customHeight="1">
      <c r="B30" s="411"/>
      <c r="C30" s="407"/>
      <c r="D30" s="331">
        <v>46107</v>
      </c>
      <c r="E30" s="332" t="s">
        <v>16</v>
      </c>
      <c r="F30" s="93">
        <v>113</v>
      </c>
      <c r="G30" s="426"/>
      <c r="H30" s="426"/>
      <c r="I30" s="90">
        <f t="shared" si="0"/>
        <v>0.89046493301812446</v>
      </c>
      <c r="J30" s="425"/>
      <c r="K30" s="425"/>
      <c r="L30" s="90">
        <v>8.3426917146583318E-4</v>
      </c>
      <c r="M30" s="413"/>
      <c r="N30" s="413"/>
      <c r="O30" s="90">
        <v>7.3892412329830935E-4</v>
      </c>
      <c r="P30" s="413"/>
      <c r="Q30" s="413"/>
      <c r="R30" s="181">
        <v>0.28570000000000001</v>
      </c>
      <c r="S30" s="425"/>
      <c r="T30" s="425"/>
      <c r="U30" s="181">
        <v>0.92759999999999998</v>
      </c>
      <c r="V30" s="425"/>
      <c r="W30" s="425"/>
    </row>
    <row r="31" spans="2:23" ht="14.45" customHeight="1">
      <c r="B31" s="411"/>
      <c r="C31" s="407"/>
      <c r="D31" s="331">
        <v>46108</v>
      </c>
      <c r="E31" s="332" t="s">
        <v>17</v>
      </c>
      <c r="F31" s="93">
        <v>115.5</v>
      </c>
      <c r="G31" s="426"/>
      <c r="H31" s="426"/>
      <c r="I31" s="90">
        <f t="shared" si="0"/>
        <v>0.91016548463356972</v>
      </c>
      <c r="J31" s="425"/>
      <c r="K31" s="425"/>
      <c r="L31" s="90">
        <v>3.9885045454493432E-3</v>
      </c>
      <c r="M31" s="413"/>
      <c r="N31" s="413"/>
      <c r="O31" s="90">
        <v>1.8979358503972616E-3</v>
      </c>
      <c r="P31" s="413"/>
      <c r="Q31" s="413"/>
      <c r="R31" s="181">
        <v>0.28570000000000001</v>
      </c>
      <c r="S31" s="425"/>
      <c r="T31" s="425"/>
      <c r="U31" s="181">
        <v>0.92759999999999998</v>
      </c>
      <c r="V31" s="425"/>
      <c r="W31" s="425"/>
    </row>
    <row r="32" spans="2:23" ht="14.45" customHeight="1">
      <c r="B32" s="411"/>
      <c r="C32" s="407"/>
      <c r="D32" s="331">
        <v>46109</v>
      </c>
      <c r="E32" s="332" t="s">
        <v>18</v>
      </c>
      <c r="F32" s="93">
        <v>115.5</v>
      </c>
      <c r="G32" s="426"/>
      <c r="H32" s="426"/>
      <c r="I32" s="90">
        <f t="shared" si="0"/>
        <v>0.91016548463356972</v>
      </c>
      <c r="J32" s="425"/>
      <c r="K32" s="425"/>
      <c r="L32" s="90">
        <v>2.1567242356842131E-3</v>
      </c>
      <c r="M32" s="413"/>
      <c r="N32" s="413"/>
      <c r="O32" s="90">
        <v>1.1742302139837902E-3</v>
      </c>
      <c r="P32" s="413"/>
      <c r="Q32" s="413"/>
      <c r="R32" s="181">
        <v>0.28570000000000001</v>
      </c>
      <c r="S32" s="425"/>
      <c r="T32" s="425"/>
      <c r="U32" s="181">
        <v>0.92759999999999998</v>
      </c>
      <c r="V32" s="425"/>
      <c r="W32" s="425"/>
    </row>
    <row r="33" spans="2:23" ht="14.45" customHeight="1">
      <c r="B33" s="411"/>
      <c r="C33" s="407"/>
      <c r="D33" s="331">
        <v>46110</v>
      </c>
      <c r="E33" s="332" t="s">
        <v>10</v>
      </c>
      <c r="F33" s="93">
        <v>119.9</v>
      </c>
      <c r="G33" s="426"/>
      <c r="H33" s="426"/>
      <c r="I33" s="90">
        <f t="shared" si="0"/>
        <v>0.94483845547675338</v>
      </c>
      <c r="J33" s="425"/>
      <c r="K33" s="233"/>
      <c r="L33" s="90">
        <v>2.3937629064033246E-3</v>
      </c>
      <c r="M33" s="413"/>
      <c r="N33" s="330"/>
      <c r="O33" s="90">
        <v>3.4967171365031832E-3</v>
      </c>
      <c r="P33" s="413"/>
      <c r="Q33" s="330"/>
      <c r="R33" s="181">
        <v>0.28570000000000001</v>
      </c>
      <c r="S33" s="425"/>
      <c r="T33" s="330"/>
      <c r="U33" s="181">
        <v>0.92759999999999998</v>
      </c>
      <c r="V33" s="425"/>
      <c r="W33" s="330"/>
    </row>
    <row r="34" spans="2:23" ht="14.45" customHeight="1">
      <c r="B34" s="411"/>
      <c r="C34" s="407"/>
      <c r="D34" s="331">
        <v>46111</v>
      </c>
      <c r="E34" s="331" t="s">
        <v>14</v>
      </c>
      <c r="F34" s="93">
        <v>116.2</v>
      </c>
      <c r="G34" s="426"/>
      <c r="H34" s="426"/>
      <c r="I34" s="90">
        <f t="shared" si="0"/>
        <v>0.91568163908589439</v>
      </c>
      <c r="J34" s="425"/>
      <c r="K34" s="233"/>
      <c r="L34" s="90">
        <v>2.5380875005810281E-3</v>
      </c>
      <c r="M34" s="413"/>
      <c r="N34" s="330"/>
      <c r="O34" s="90">
        <v>3.0859359266455443E-3</v>
      </c>
      <c r="P34" s="413"/>
      <c r="Q34" s="330"/>
      <c r="R34" s="181">
        <v>0.28570000000000001</v>
      </c>
      <c r="S34" s="425"/>
      <c r="T34" s="330"/>
      <c r="U34" s="181">
        <v>0.92759999999999998</v>
      </c>
      <c r="V34" s="425"/>
      <c r="W34" s="330"/>
    </row>
    <row r="35" spans="2:23">
      <c r="B35" s="336"/>
      <c r="C35" s="83"/>
      <c r="D35" s="331">
        <v>46112</v>
      </c>
      <c r="E35" s="332" t="s">
        <v>15</v>
      </c>
      <c r="F35" s="93"/>
      <c r="G35" s="379"/>
      <c r="H35" s="426"/>
      <c r="I35" s="90">
        <f>F35/$D$1</f>
        <v>0</v>
      </c>
      <c r="J35" s="233"/>
      <c r="K35" s="233"/>
      <c r="L35" s="90">
        <v>1.6224114580052223E-3</v>
      </c>
      <c r="M35" s="233"/>
      <c r="N35" s="330"/>
      <c r="O35" s="90">
        <v>2.1391704956215552E-3</v>
      </c>
      <c r="P35" s="233"/>
      <c r="Q35" s="330"/>
      <c r="R35" s="181">
        <v>0.28570000000000001</v>
      </c>
      <c r="S35" s="233"/>
      <c r="T35" s="233"/>
      <c r="U35" s="181">
        <v>0.92759999999999998</v>
      </c>
      <c r="V35" s="233"/>
      <c r="W35" s="233"/>
    </row>
    <row r="36" spans="2:23">
      <c r="B36" s="336"/>
      <c r="D36" s="331"/>
      <c r="E36" s="332"/>
      <c r="F36" s="93"/>
      <c r="G36" s="379"/>
      <c r="H36" s="93"/>
      <c r="I36" s="90"/>
      <c r="J36" s="233"/>
      <c r="K36" s="87"/>
      <c r="L36" s="90"/>
      <c r="M36" s="233"/>
      <c r="N36" s="181"/>
      <c r="O36" s="90"/>
      <c r="P36" s="233"/>
      <c r="Q36" s="181"/>
      <c r="R36" s="181"/>
      <c r="S36" s="233"/>
      <c r="T36" s="181"/>
      <c r="U36" s="181"/>
      <c r="V36" s="233"/>
      <c r="W36" s="181"/>
    </row>
    <row r="37" spans="2:23">
      <c r="B37" s="336"/>
      <c r="D37" s="331"/>
      <c r="E37" s="331"/>
      <c r="G37" s="379"/>
      <c r="I37" s="90"/>
      <c r="J37" s="233"/>
      <c r="M37" s="233"/>
      <c r="P37" s="233"/>
      <c r="R37" s="181"/>
      <c r="S37" s="233"/>
      <c r="U37" s="181"/>
      <c r="V37" s="233"/>
    </row>
    <row r="38" spans="2:23">
      <c r="B38" s="336"/>
      <c r="D38" s="331"/>
      <c r="E38" s="332"/>
      <c r="G38" s="379"/>
      <c r="I38" s="90"/>
      <c r="J38" s="233"/>
      <c r="M38" s="330"/>
      <c r="P38" s="330"/>
      <c r="R38" s="181"/>
      <c r="S38" s="233"/>
      <c r="U38" s="181"/>
      <c r="V38" s="233"/>
    </row>
    <row r="39" spans="2:23">
      <c r="B39" s="336"/>
      <c r="D39" s="331"/>
      <c r="E39" s="332"/>
      <c r="G39" s="379"/>
      <c r="I39" s="90"/>
      <c r="J39" s="233"/>
      <c r="M39" s="330"/>
      <c r="P39" s="330"/>
      <c r="R39" s="181"/>
      <c r="S39" s="233"/>
      <c r="U39" s="181"/>
      <c r="V39" s="233"/>
    </row>
    <row r="40" spans="2:23">
      <c r="B40" s="336"/>
      <c r="D40" s="331"/>
      <c r="E40" s="331"/>
      <c r="G40" s="379"/>
      <c r="I40" s="90"/>
      <c r="J40" s="233"/>
      <c r="M40" s="330"/>
      <c r="P40" s="330"/>
      <c r="R40" s="181"/>
      <c r="S40" s="233"/>
      <c r="U40" s="181"/>
      <c r="V40" s="233"/>
    </row>
  </sheetData>
  <mergeCells count="45">
    <mergeCell ref="B7:B13"/>
    <mergeCell ref="B14:B20"/>
    <mergeCell ref="B21:B27"/>
    <mergeCell ref="B28:B34"/>
    <mergeCell ref="C5:C34"/>
    <mergeCell ref="B2:U2"/>
    <mergeCell ref="F3:H3"/>
    <mergeCell ref="L3:N3"/>
    <mergeCell ref="R3:T3"/>
    <mergeCell ref="B3:B4"/>
    <mergeCell ref="C3:C4"/>
    <mergeCell ref="D3:E4"/>
    <mergeCell ref="I3:K3"/>
    <mergeCell ref="U3:W3"/>
    <mergeCell ref="O3:Q3"/>
    <mergeCell ref="M7:M13"/>
    <mergeCell ref="M14:M20"/>
    <mergeCell ref="M21:M27"/>
    <mergeCell ref="M28:M34"/>
    <mergeCell ref="K5:K32"/>
    <mergeCell ref="G7:G13"/>
    <mergeCell ref="G14:G20"/>
    <mergeCell ref="G21:G27"/>
    <mergeCell ref="G28:G34"/>
    <mergeCell ref="J7:J13"/>
    <mergeCell ref="J14:J20"/>
    <mergeCell ref="J21:J27"/>
    <mergeCell ref="J28:J34"/>
    <mergeCell ref="H5:H35"/>
    <mergeCell ref="N5:N32"/>
    <mergeCell ref="P7:P13"/>
    <mergeCell ref="P14:P20"/>
    <mergeCell ref="P21:P27"/>
    <mergeCell ref="P28:P34"/>
    <mergeCell ref="Q5:Q32"/>
    <mergeCell ref="T5:T32"/>
    <mergeCell ref="S7:S13"/>
    <mergeCell ref="S14:S20"/>
    <mergeCell ref="S21:S27"/>
    <mergeCell ref="S28:S34"/>
    <mergeCell ref="W5:W32"/>
    <mergeCell ref="V7:V13"/>
    <mergeCell ref="V14:V20"/>
    <mergeCell ref="V21:V27"/>
    <mergeCell ref="V28:V34"/>
  </mergeCells>
  <phoneticPr fontId="20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CC"/>
  </sheetPr>
  <dimension ref="A2:V102"/>
  <sheetViews>
    <sheetView topLeftCell="A6" zoomScale="85" zoomScaleNormal="85" workbookViewId="0">
      <selection activeCell="F10" sqref="F10"/>
    </sheetView>
  </sheetViews>
  <sheetFormatPr defaultColWidth="8.85546875" defaultRowHeight="16.5"/>
  <cols>
    <col min="1" max="1" width="8.85546875" style="79" customWidth="1"/>
    <col min="2" max="2" width="13.140625" style="79" customWidth="1"/>
    <col min="3" max="3" width="8.85546875" style="103" customWidth="1"/>
    <col min="4" max="4" width="17" style="103" customWidth="1"/>
    <col min="5" max="5" width="8.5703125" style="82" customWidth="1"/>
    <col min="6" max="6" width="20.28515625" style="102" bestFit="1" customWidth="1"/>
    <col min="7" max="8" width="21.7109375" style="102" bestFit="1" customWidth="1"/>
    <col min="9" max="9" width="20.28515625" style="97" bestFit="1" customWidth="1"/>
    <col min="10" max="10" width="10.42578125" style="90" customWidth="1"/>
    <col min="11" max="11" width="10.42578125" style="97" customWidth="1"/>
    <col min="12" max="12" width="10.42578125" style="90" customWidth="1"/>
    <col min="13" max="13" width="18.28515625" style="97" bestFit="1" customWidth="1"/>
    <col min="14" max="14" width="10.42578125" style="90" customWidth="1"/>
    <col min="15" max="34" width="8.85546875" style="79" customWidth="1"/>
    <col min="35" max="16384" width="8.85546875" style="79"/>
  </cols>
  <sheetData>
    <row r="2" spans="1:14" ht="38.1" customHeight="1">
      <c r="A2" s="78"/>
      <c r="B2" s="416" t="s">
        <v>28</v>
      </c>
      <c r="C2" s="416"/>
      <c r="D2" s="416"/>
      <c r="E2" s="416"/>
      <c r="F2" s="416"/>
      <c r="G2" s="416"/>
      <c r="H2" s="416"/>
      <c r="I2" s="416"/>
      <c r="J2" s="416"/>
      <c r="K2" s="416"/>
      <c r="L2" s="416"/>
      <c r="M2" s="416"/>
      <c r="N2" s="416"/>
    </row>
    <row r="3" spans="1:14" ht="25.35" customHeight="1">
      <c r="B3" s="432" t="s">
        <v>1</v>
      </c>
      <c r="C3" s="433" t="s">
        <v>29</v>
      </c>
      <c r="D3" s="434" t="s">
        <v>3</v>
      </c>
      <c r="E3" s="434"/>
      <c r="F3" s="435" t="s">
        <v>30</v>
      </c>
      <c r="G3" s="435"/>
      <c r="H3" s="435"/>
      <c r="I3" s="437" t="s">
        <v>31</v>
      </c>
      <c r="J3" s="438"/>
      <c r="K3" s="438"/>
      <c r="L3" s="438"/>
      <c r="M3" s="438"/>
      <c r="N3" s="439"/>
    </row>
    <row r="4" spans="1:14" ht="25.35" customHeight="1">
      <c r="B4" s="432"/>
      <c r="C4" s="433"/>
      <c r="D4" s="434"/>
      <c r="E4" s="434"/>
      <c r="F4" s="435"/>
      <c r="G4" s="435"/>
      <c r="H4" s="435"/>
      <c r="I4" s="431" t="s">
        <v>32</v>
      </c>
      <c r="J4" s="431"/>
      <c r="K4" s="431" t="s">
        <v>33</v>
      </c>
      <c r="L4" s="431"/>
      <c r="M4" s="431" t="s">
        <v>34</v>
      </c>
      <c r="N4" s="431"/>
    </row>
    <row r="5" spans="1:14" ht="25.35" customHeight="1">
      <c r="B5" s="432"/>
      <c r="C5" s="433"/>
      <c r="D5" s="434"/>
      <c r="E5" s="434"/>
      <c r="F5" s="436" t="s">
        <v>10</v>
      </c>
      <c r="G5" s="436" t="s">
        <v>11</v>
      </c>
      <c r="H5" s="436" t="s">
        <v>12</v>
      </c>
      <c r="I5" s="431" t="s">
        <v>35</v>
      </c>
      <c r="J5" s="431"/>
      <c r="K5" s="431" t="s">
        <v>35</v>
      </c>
      <c r="L5" s="431"/>
      <c r="M5" s="431" t="s">
        <v>35</v>
      </c>
      <c r="N5" s="431"/>
    </row>
    <row r="6" spans="1:14" s="82" customFormat="1" ht="23.45" customHeight="1">
      <c r="B6" s="432"/>
      <c r="C6" s="433"/>
      <c r="D6" s="434"/>
      <c r="E6" s="434"/>
      <c r="F6" s="436"/>
      <c r="G6" s="436"/>
      <c r="H6" s="436"/>
      <c r="I6" s="98" t="s">
        <v>36</v>
      </c>
      <c r="J6" s="99" t="s">
        <v>37</v>
      </c>
      <c r="K6" s="98" t="s">
        <v>36</v>
      </c>
      <c r="L6" s="99" t="s">
        <v>37</v>
      </c>
      <c r="M6" s="98" t="s">
        <v>36</v>
      </c>
      <c r="N6" s="99" t="s">
        <v>37</v>
      </c>
    </row>
    <row r="7" spans="1:14" ht="14.25">
      <c r="B7" s="336"/>
      <c r="C7" s="407" t="s">
        <v>13</v>
      </c>
      <c r="D7" s="331">
        <v>46082</v>
      </c>
      <c r="E7" s="332" t="s">
        <v>10</v>
      </c>
      <c r="F7" s="97">
        <f>I7+M7</f>
        <v>3086432.2100000004</v>
      </c>
      <c r="G7" s="337"/>
      <c r="H7" s="440">
        <f>SUM(F7:F37)</f>
        <v>82783016.289999992</v>
      </c>
      <c r="I7" s="100">
        <v>2884541.0300000003</v>
      </c>
      <c r="J7" s="101">
        <f t="shared" ref="J7:J36" si="0">I7/F7</f>
        <v>0.93458752168737891</v>
      </c>
      <c r="K7" s="100"/>
      <c r="L7" s="101">
        <f t="shared" ref="L7:L36" si="1">K7/F7</f>
        <v>0</v>
      </c>
      <c r="M7" s="100">
        <v>201891.18</v>
      </c>
      <c r="N7" s="101">
        <f t="shared" ref="N7:N36" si="2">M7/F7</f>
        <v>6.5412478312621022E-2</v>
      </c>
    </row>
    <row r="8" spans="1:14" ht="14.25">
      <c r="B8" s="336"/>
      <c r="C8" s="407"/>
      <c r="D8" s="331">
        <v>46083</v>
      </c>
      <c r="E8" s="331" t="s">
        <v>14</v>
      </c>
      <c r="F8" s="97">
        <f>I8+M8</f>
        <v>2915206.33</v>
      </c>
      <c r="G8" s="337"/>
      <c r="H8" s="441"/>
      <c r="I8" s="100">
        <v>2709898.5700000003</v>
      </c>
      <c r="J8" s="101">
        <f t="shared" si="0"/>
        <v>0.92957350638025005</v>
      </c>
      <c r="K8" s="100"/>
      <c r="L8" s="101">
        <f t="shared" si="1"/>
        <v>0</v>
      </c>
      <c r="M8" s="100">
        <v>205307.76</v>
      </c>
      <c r="N8" s="101">
        <f t="shared" si="2"/>
        <v>7.0426493619750064E-2</v>
      </c>
    </row>
    <row r="9" spans="1:14" ht="14.25">
      <c r="B9" s="411">
        <v>46092</v>
      </c>
      <c r="C9" s="407"/>
      <c r="D9" s="331">
        <v>46084</v>
      </c>
      <c r="E9" s="332" t="s">
        <v>15</v>
      </c>
      <c r="F9" s="97">
        <f t="shared" ref="F9:F37" si="3">I9+M9</f>
        <v>3337838.2</v>
      </c>
      <c r="G9" s="408">
        <f>SUM(F9:F15)</f>
        <v>19804479.899999999</v>
      </c>
      <c r="H9" s="441"/>
      <c r="I9" s="100">
        <v>2883186.04</v>
      </c>
      <c r="J9" s="101">
        <f t="shared" si="0"/>
        <v>0.86378843647963521</v>
      </c>
      <c r="K9" s="100"/>
      <c r="L9" s="101">
        <f t="shared" si="1"/>
        <v>0</v>
      </c>
      <c r="M9" s="100">
        <v>454652.15999999997</v>
      </c>
      <c r="N9" s="101">
        <f t="shared" si="2"/>
        <v>0.13621156352036476</v>
      </c>
    </row>
    <row r="10" spans="1:14" ht="14.25">
      <c r="B10" s="411"/>
      <c r="C10" s="407"/>
      <c r="D10" s="331">
        <v>46085</v>
      </c>
      <c r="E10" s="332" t="s">
        <v>13</v>
      </c>
      <c r="F10" s="97">
        <f t="shared" si="3"/>
        <v>2776992.83</v>
      </c>
      <c r="G10" s="408"/>
      <c r="H10" s="441"/>
      <c r="I10" s="100">
        <v>2448732.84</v>
      </c>
      <c r="J10" s="101">
        <f t="shared" si="0"/>
        <v>0.8817930005242397</v>
      </c>
      <c r="K10" s="100"/>
      <c r="L10" s="101">
        <f t="shared" si="1"/>
        <v>0</v>
      </c>
      <c r="M10" s="100">
        <v>328259.99</v>
      </c>
      <c r="N10" s="101">
        <f t="shared" si="2"/>
        <v>0.11820699947576026</v>
      </c>
    </row>
    <row r="11" spans="1:14" ht="14.25">
      <c r="B11" s="411"/>
      <c r="C11" s="407"/>
      <c r="D11" s="331">
        <v>46086</v>
      </c>
      <c r="E11" s="332" t="s">
        <v>16</v>
      </c>
      <c r="F11" s="97">
        <f t="shared" si="3"/>
        <v>2540968.65</v>
      </c>
      <c r="G11" s="408"/>
      <c r="H11" s="441"/>
      <c r="I11" s="100">
        <v>2229621.09</v>
      </c>
      <c r="J11" s="101">
        <f t="shared" si="0"/>
        <v>0.87746894870190539</v>
      </c>
      <c r="K11" s="100"/>
      <c r="L11" s="101">
        <f t="shared" si="1"/>
        <v>0</v>
      </c>
      <c r="M11" s="100">
        <v>311347.56</v>
      </c>
      <c r="N11" s="101">
        <f t="shared" si="2"/>
        <v>0.12253105129809454</v>
      </c>
    </row>
    <row r="12" spans="1:14" ht="14.25">
      <c r="B12" s="411"/>
      <c r="C12" s="407"/>
      <c r="D12" s="331">
        <v>46087</v>
      </c>
      <c r="E12" s="332" t="s">
        <v>17</v>
      </c>
      <c r="F12" s="97">
        <f t="shared" si="3"/>
        <v>2368939.65</v>
      </c>
      <c r="G12" s="408"/>
      <c r="H12" s="441"/>
      <c r="I12" s="100">
        <v>2090737.04</v>
      </c>
      <c r="J12" s="101">
        <f t="shared" si="0"/>
        <v>0.88256239030825467</v>
      </c>
      <c r="K12" s="100"/>
      <c r="L12" s="101">
        <f t="shared" si="1"/>
        <v>0</v>
      </c>
      <c r="M12" s="100">
        <v>278202.61</v>
      </c>
      <c r="N12" s="101">
        <f t="shared" si="2"/>
        <v>0.11743760969174542</v>
      </c>
    </row>
    <row r="13" spans="1:14" ht="14.25">
      <c r="B13" s="411"/>
      <c r="C13" s="407"/>
      <c r="D13" s="331">
        <v>46088</v>
      </c>
      <c r="E13" s="332" t="s">
        <v>18</v>
      </c>
      <c r="F13" s="97">
        <f t="shared" si="3"/>
        <v>2565603.7399999998</v>
      </c>
      <c r="G13" s="408"/>
      <c r="H13" s="441"/>
      <c r="I13" s="100">
        <v>2265447.15</v>
      </c>
      <c r="J13" s="101">
        <f t="shared" si="0"/>
        <v>0.88300742420963263</v>
      </c>
      <c r="K13" s="100"/>
      <c r="L13" s="101">
        <f t="shared" si="1"/>
        <v>0</v>
      </c>
      <c r="M13" s="100">
        <v>300156.59000000003</v>
      </c>
      <c r="N13" s="101">
        <f t="shared" si="2"/>
        <v>0.1169925757903674</v>
      </c>
    </row>
    <row r="14" spans="1:14" ht="14.25">
      <c r="B14" s="411"/>
      <c r="C14" s="407"/>
      <c r="D14" s="331">
        <v>46089</v>
      </c>
      <c r="E14" s="332" t="s">
        <v>10</v>
      </c>
      <c r="F14" s="97">
        <f t="shared" si="3"/>
        <v>3233667.09</v>
      </c>
      <c r="G14" s="408"/>
      <c r="H14" s="441"/>
      <c r="I14" s="100">
        <v>2856007.29</v>
      </c>
      <c r="J14" s="101">
        <f t="shared" si="0"/>
        <v>0.88321005549151943</v>
      </c>
      <c r="K14" s="100"/>
      <c r="L14" s="101">
        <f t="shared" si="1"/>
        <v>0</v>
      </c>
      <c r="M14" s="100">
        <v>377659.8</v>
      </c>
      <c r="N14" s="101">
        <f t="shared" si="2"/>
        <v>0.11678994450848063</v>
      </c>
    </row>
    <row r="15" spans="1:14" ht="14.25">
      <c r="B15" s="411"/>
      <c r="C15" s="407"/>
      <c r="D15" s="331">
        <v>46090</v>
      </c>
      <c r="E15" s="331" t="s">
        <v>14</v>
      </c>
      <c r="F15" s="97">
        <f t="shared" si="3"/>
        <v>2980469.7399999998</v>
      </c>
      <c r="G15" s="408"/>
      <c r="H15" s="441"/>
      <c r="I15" s="100">
        <v>2631141.5699999998</v>
      </c>
      <c r="J15" s="101">
        <f t="shared" si="0"/>
        <v>0.88279425712270443</v>
      </c>
      <c r="K15" s="100"/>
      <c r="L15" s="101">
        <f t="shared" si="1"/>
        <v>0</v>
      </c>
      <c r="M15" s="100">
        <v>349328.17</v>
      </c>
      <c r="N15" s="101">
        <f t="shared" si="2"/>
        <v>0.11720574287729559</v>
      </c>
    </row>
    <row r="16" spans="1:14" ht="14.25">
      <c r="B16" s="411">
        <v>46099</v>
      </c>
      <c r="C16" s="407"/>
      <c r="D16" s="331">
        <v>46091</v>
      </c>
      <c r="E16" s="332" t="s">
        <v>15</v>
      </c>
      <c r="F16" s="97">
        <f t="shared" si="3"/>
        <v>2748349.54</v>
      </c>
      <c r="G16" s="408">
        <f>SUM(F16:F22)</f>
        <v>17944671.689999998</v>
      </c>
      <c r="H16" s="441"/>
      <c r="I16" s="100">
        <v>2450009.41</v>
      </c>
      <c r="J16" s="101">
        <f t="shared" si="0"/>
        <v>0.89144753036034863</v>
      </c>
      <c r="K16" s="100"/>
      <c r="L16" s="101">
        <f t="shared" si="1"/>
        <v>0</v>
      </c>
      <c r="M16" s="100">
        <v>298340.13</v>
      </c>
      <c r="N16" s="101">
        <f t="shared" si="2"/>
        <v>0.10855246963965144</v>
      </c>
    </row>
    <row r="17" spans="2:14" ht="14.25">
      <c r="B17" s="411"/>
      <c r="C17" s="407"/>
      <c r="D17" s="331">
        <v>46092</v>
      </c>
      <c r="E17" s="332" t="s">
        <v>13</v>
      </c>
      <c r="F17" s="97">
        <f t="shared" si="3"/>
        <v>2487921.17</v>
      </c>
      <c r="G17" s="408"/>
      <c r="H17" s="441"/>
      <c r="I17" s="100">
        <v>2219603.31</v>
      </c>
      <c r="J17" s="101">
        <f t="shared" si="0"/>
        <v>0.89215178389273486</v>
      </c>
      <c r="K17" s="100"/>
      <c r="L17" s="101">
        <f t="shared" si="1"/>
        <v>0</v>
      </c>
      <c r="M17" s="100">
        <v>268317.86</v>
      </c>
      <c r="N17" s="101">
        <f t="shared" si="2"/>
        <v>0.10784821610726517</v>
      </c>
    </row>
    <row r="18" spans="2:14" ht="14.25">
      <c r="B18" s="411"/>
      <c r="C18" s="407"/>
      <c r="D18" s="331">
        <v>46093</v>
      </c>
      <c r="E18" s="332" t="s">
        <v>16</v>
      </c>
      <c r="F18" s="97">
        <f t="shared" si="3"/>
        <v>2263445.2800000003</v>
      </c>
      <c r="G18" s="408"/>
      <c r="H18" s="441"/>
      <c r="I18" s="100">
        <v>1980864.83</v>
      </c>
      <c r="J18" s="101">
        <f t="shared" si="0"/>
        <v>0.87515472430594821</v>
      </c>
      <c r="K18" s="100"/>
      <c r="L18" s="101">
        <f t="shared" si="1"/>
        <v>0</v>
      </c>
      <c r="M18" s="100">
        <v>282580.45</v>
      </c>
      <c r="N18" s="101">
        <f t="shared" si="2"/>
        <v>0.12484527569405167</v>
      </c>
    </row>
    <row r="19" spans="2:14" ht="14.25">
      <c r="B19" s="411"/>
      <c r="C19" s="407"/>
      <c r="D19" s="331">
        <v>46094</v>
      </c>
      <c r="E19" s="332" t="s">
        <v>17</v>
      </c>
      <c r="F19" s="97">
        <f t="shared" si="3"/>
        <v>2289733.19</v>
      </c>
      <c r="G19" s="408"/>
      <c r="H19" s="441"/>
      <c r="I19" s="100">
        <v>2018904.3</v>
      </c>
      <c r="J19" s="101">
        <f t="shared" si="0"/>
        <v>0.88172032829728952</v>
      </c>
      <c r="K19" s="100"/>
      <c r="L19" s="101">
        <f t="shared" si="1"/>
        <v>0</v>
      </c>
      <c r="M19" s="100">
        <v>270828.89</v>
      </c>
      <c r="N19" s="101">
        <f t="shared" si="2"/>
        <v>0.11827967170271049</v>
      </c>
    </row>
    <row r="20" spans="2:14" ht="14.25">
      <c r="B20" s="411"/>
      <c r="C20" s="407"/>
      <c r="D20" s="331">
        <v>46095</v>
      </c>
      <c r="E20" s="332" t="s">
        <v>18</v>
      </c>
      <c r="F20" s="97">
        <f t="shared" si="3"/>
        <v>2363381.0099999998</v>
      </c>
      <c r="G20" s="408"/>
      <c r="H20" s="441"/>
      <c r="I20" s="100">
        <v>2088211.21</v>
      </c>
      <c r="J20" s="101">
        <f t="shared" si="0"/>
        <v>0.88356942920515391</v>
      </c>
      <c r="K20" s="100"/>
      <c r="L20" s="101">
        <f t="shared" si="1"/>
        <v>0</v>
      </c>
      <c r="M20" s="100">
        <v>275169.8</v>
      </c>
      <c r="N20" s="101">
        <f t="shared" si="2"/>
        <v>0.11643057079484616</v>
      </c>
    </row>
    <row r="21" spans="2:14" ht="14.25">
      <c r="B21" s="411"/>
      <c r="C21" s="407"/>
      <c r="D21" s="331">
        <v>46096</v>
      </c>
      <c r="E21" s="332" t="s">
        <v>10</v>
      </c>
      <c r="F21" s="97">
        <f t="shared" si="3"/>
        <v>2928861.1</v>
      </c>
      <c r="G21" s="408"/>
      <c r="H21" s="441"/>
      <c r="I21" s="100">
        <v>2610805.81</v>
      </c>
      <c r="J21" s="101">
        <f t="shared" si="0"/>
        <v>0.89140649585601717</v>
      </c>
      <c r="K21" s="100"/>
      <c r="L21" s="101">
        <f t="shared" si="1"/>
        <v>0</v>
      </c>
      <c r="M21" s="100">
        <v>318055.28999999998</v>
      </c>
      <c r="N21" s="101">
        <f t="shared" si="2"/>
        <v>0.10859350414398278</v>
      </c>
    </row>
    <row r="22" spans="2:14" ht="14.25">
      <c r="B22" s="411"/>
      <c r="C22" s="407"/>
      <c r="D22" s="331">
        <v>46097</v>
      </c>
      <c r="E22" s="331" t="s">
        <v>14</v>
      </c>
      <c r="F22" s="97">
        <f t="shared" si="3"/>
        <v>2862980.4</v>
      </c>
      <c r="G22" s="408"/>
      <c r="H22" s="441"/>
      <c r="I22" s="100">
        <v>2518150.75</v>
      </c>
      <c r="J22" s="101">
        <f t="shared" si="0"/>
        <v>0.87955570705269237</v>
      </c>
      <c r="K22" s="100"/>
      <c r="L22" s="101">
        <f t="shared" si="1"/>
        <v>0</v>
      </c>
      <c r="M22" s="100">
        <v>344829.65</v>
      </c>
      <c r="N22" s="101">
        <f t="shared" si="2"/>
        <v>0.12044429294730764</v>
      </c>
    </row>
    <row r="23" spans="2:14" ht="14.25">
      <c r="B23" s="411">
        <v>46106</v>
      </c>
      <c r="C23" s="407"/>
      <c r="D23" s="331">
        <v>46098</v>
      </c>
      <c r="E23" s="332" t="s">
        <v>15</v>
      </c>
      <c r="F23" s="97">
        <f t="shared" si="3"/>
        <v>3035263.93</v>
      </c>
      <c r="G23" s="408">
        <f>SUM(F23:F29)</f>
        <v>18647708.969999999</v>
      </c>
      <c r="H23" s="441"/>
      <c r="I23" s="100">
        <v>2753961.83</v>
      </c>
      <c r="J23" s="101">
        <f t="shared" si="0"/>
        <v>0.90732202981768373</v>
      </c>
      <c r="K23" s="100"/>
      <c r="L23" s="101">
        <f t="shared" si="1"/>
        <v>0</v>
      </c>
      <c r="M23" s="100">
        <v>281302.09999999998</v>
      </c>
      <c r="N23" s="101">
        <f t="shared" si="2"/>
        <v>9.267797018231623E-2</v>
      </c>
    </row>
    <row r="24" spans="2:14" ht="14.25">
      <c r="B24" s="411"/>
      <c r="C24" s="407"/>
      <c r="D24" s="331">
        <v>46099</v>
      </c>
      <c r="E24" s="332" t="s">
        <v>13</v>
      </c>
      <c r="F24" s="97">
        <f t="shared" si="3"/>
        <v>2618615.98</v>
      </c>
      <c r="G24" s="408"/>
      <c r="H24" s="441"/>
      <c r="I24" s="100">
        <v>2333905.25</v>
      </c>
      <c r="J24" s="101">
        <f t="shared" si="0"/>
        <v>0.89127434790953963</v>
      </c>
      <c r="K24" s="100"/>
      <c r="L24" s="101">
        <f t="shared" si="1"/>
        <v>0</v>
      </c>
      <c r="M24" s="100">
        <v>284710.73</v>
      </c>
      <c r="N24" s="101">
        <f t="shared" si="2"/>
        <v>0.1087256520904604</v>
      </c>
    </row>
    <row r="25" spans="2:14" ht="14.25">
      <c r="B25" s="411"/>
      <c r="C25" s="407"/>
      <c r="D25" s="331">
        <v>46100</v>
      </c>
      <c r="E25" s="332" t="s">
        <v>16</v>
      </c>
      <c r="F25" s="97">
        <f t="shared" si="3"/>
        <v>2451921.79</v>
      </c>
      <c r="G25" s="408"/>
      <c r="H25" s="441"/>
      <c r="I25" s="100">
        <v>2193249.9900000002</v>
      </c>
      <c r="J25" s="101">
        <f t="shared" si="0"/>
        <v>0.89450242619688136</v>
      </c>
      <c r="K25" s="100"/>
      <c r="L25" s="101">
        <f t="shared" si="1"/>
        <v>0</v>
      </c>
      <c r="M25" s="100">
        <v>258671.8</v>
      </c>
      <c r="N25" s="101">
        <f t="shared" si="2"/>
        <v>0.10549757380311874</v>
      </c>
    </row>
    <row r="26" spans="2:14" ht="14.25">
      <c r="B26" s="411"/>
      <c r="C26" s="407"/>
      <c r="D26" s="331">
        <v>46101</v>
      </c>
      <c r="E26" s="332" t="s">
        <v>17</v>
      </c>
      <c r="F26" s="97">
        <f t="shared" si="3"/>
        <v>2235775.37</v>
      </c>
      <c r="G26" s="408"/>
      <c r="H26" s="441"/>
      <c r="I26" s="100">
        <v>2001389.91</v>
      </c>
      <c r="J26" s="101">
        <f t="shared" si="0"/>
        <v>0.89516591731663986</v>
      </c>
      <c r="K26" s="100"/>
      <c r="L26" s="101">
        <f t="shared" si="1"/>
        <v>0</v>
      </c>
      <c r="M26" s="100">
        <v>234385.46</v>
      </c>
      <c r="N26" s="101">
        <f t="shared" si="2"/>
        <v>0.10483408268336009</v>
      </c>
    </row>
    <row r="27" spans="2:14" ht="14.25">
      <c r="B27" s="411"/>
      <c r="C27" s="407"/>
      <c r="D27" s="331">
        <v>46102</v>
      </c>
      <c r="E27" s="332" t="s">
        <v>18</v>
      </c>
      <c r="F27" s="97">
        <f t="shared" si="3"/>
        <v>2420850.61</v>
      </c>
      <c r="G27" s="408"/>
      <c r="H27" s="441"/>
      <c r="I27" s="100">
        <v>2172423.42</v>
      </c>
      <c r="J27" s="101">
        <f t="shared" si="0"/>
        <v>0.89738020637299876</v>
      </c>
      <c r="K27" s="100"/>
      <c r="L27" s="101">
        <f t="shared" si="1"/>
        <v>0</v>
      </c>
      <c r="M27" s="100">
        <v>248427.19</v>
      </c>
      <c r="N27" s="101">
        <f t="shared" si="2"/>
        <v>0.10261979362700122</v>
      </c>
    </row>
    <row r="28" spans="2:14" ht="14.25">
      <c r="B28" s="411"/>
      <c r="C28" s="407"/>
      <c r="D28" s="331">
        <v>46103</v>
      </c>
      <c r="E28" s="332" t="s">
        <v>10</v>
      </c>
      <c r="F28" s="97">
        <f t="shared" si="3"/>
        <v>3043824.15</v>
      </c>
      <c r="G28" s="408"/>
      <c r="H28" s="441"/>
      <c r="I28" s="100">
        <v>2751015.23</v>
      </c>
      <c r="J28" s="101">
        <f t="shared" si="0"/>
        <v>0.90380228765843784</v>
      </c>
      <c r="K28" s="100"/>
      <c r="L28" s="101">
        <f t="shared" si="1"/>
        <v>0</v>
      </c>
      <c r="M28" s="100">
        <v>292808.92</v>
      </c>
      <c r="N28" s="101">
        <f t="shared" si="2"/>
        <v>9.6197712341562172E-2</v>
      </c>
    </row>
    <row r="29" spans="2:14" ht="14.25">
      <c r="B29" s="411"/>
      <c r="C29" s="407"/>
      <c r="D29" s="331">
        <v>46104</v>
      </c>
      <c r="E29" s="331" t="s">
        <v>14</v>
      </c>
      <c r="F29" s="97">
        <f t="shared" si="3"/>
        <v>2841457.14</v>
      </c>
      <c r="G29" s="408"/>
      <c r="H29" s="441"/>
      <c r="I29" s="100">
        <v>2551752.4500000002</v>
      </c>
      <c r="J29" s="101">
        <f t="shared" si="0"/>
        <v>0.89804361786009557</v>
      </c>
      <c r="K29" s="100"/>
      <c r="L29" s="101">
        <f t="shared" si="1"/>
        <v>0</v>
      </c>
      <c r="M29" s="100">
        <v>289704.69</v>
      </c>
      <c r="N29" s="101">
        <f t="shared" si="2"/>
        <v>0.10195638213990445</v>
      </c>
    </row>
    <row r="30" spans="2:14" ht="14.25">
      <c r="B30" s="411">
        <v>46113</v>
      </c>
      <c r="C30" s="407"/>
      <c r="D30" s="331">
        <v>46105</v>
      </c>
      <c r="E30" s="332" t="s">
        <v>15</v>
      </c>
      <c r="F30" s="97">
        <f t="shared" si="3"/>
        <v>2669131.2800000003</v>
      </c>
      <c r="G30" s="408">
        <f>SUM(F30:F36)</f>
        <v>17930762.330000002</v>
      </c>
      <c r="H30" s="441"/>
      <c r="I30" s="100">
        <v>2392839.5</v>
      </c>
      <c r="J30" s="101">
        <f t="shared" si="0"/>
        <v>0.8964862530103801</v>
      </c>
      <c r="K30" s="100"/>
      <c r="L30" s="101">
        <f t="shared" si="1"/>
        <v>0</v>
      </c>
      <c r="M30" s="100">
        <v>276291.78000000003</v>
      </c>
      <c r="N30" s="101">
        <f t="shared" si="2"/>
        <v>0.10351374698961978</v>
      </c>
    </row>
    <row r="31" spans="2:14" ht="14.25">
      <c r="B31" s="411"/>
      <c r="C31" s="407"/>
      <c r="D31" s="331">
        <v>46106</v>
      </c>
      <c r="E31" s="332" t="s">
        <v>13</v>
      </c>
      <c r="F31" s="97">
        <f t="shared" si="3"/>
        <v>2480475.9299999997</v>
      </c>
      <c r="G31" s="408"/>
      <c r="H31" s="441"/>
      <c r="I31" s="100">
        <v>2217252.7599999998</v>
      </c>
      <c r="J31" s="101">
        <f t="shared" si="0"/>
        <v>0.89388198981636557</v>
      </c>
      <c r="K31" s="100"/>
      <c r="L31" s="101">
        <f t="shared" si="1"/>
        <v>0</v>
      </c>
      <c r="M31" s="100">
        <v>263223.17</v>
      </c>
      <c r="N31" s="101">
        <f t="shared" si="2"/>
        <v>0.1061180101836344</v>
      </c>
    </row>
    <row r="32" spans="2:14" ht="14.25">
      <c r="B32" s="411"/>
      <c r="C32" s="407"/>
      <c r="D32" s="331">
        <v>46107</v>
      </c>
      <c r="E32" s="332" t="s">
        <v>16</v>
      </c>
      <c r="F32" s="97">
        <f t="shared" si="3"/>
        <v>2391314.54</v>
      </c>
      <c r="G32" s="408"/>
      <c r="H32" s="441"/>
      <c r="I32" s="100">
        <v>2129349.65</v>
      </c>
      <c r="J32" s="101">
        <f t="shared" si="0"/>
        <v>0.89045151291556979</v>
      </c>
      <c r="K32" s="100"/>
      <c r="L32" s="101">
        <f t="shared" si="1"/>
        <v>0</v>
      </c>
      <c r="M32" s="100">
        <v>261964.89</v>
      </c>
      <c r="N32" s="101">
        <f t="shared" si="2"/>
        <v>0.10954848708443014</v>
      </c>
    </row>
    <row r="33" spans="2:14" ht="14.25">
      <c r="B33" s="411"/>
      <c r="C33" s="407"/>
      <c r="D33" s="331">
        <v>46108</v>
      </c>
      <c r="E33" s="332" t="s">
        <v>17</v>
      </c>
      <c r="F33" s="97">
        <f t="shared" si="3"/>
        <v>2289329.2200000002</v>
      </c>
      <c r="G33" s="408"/>
      <c r="H33" s="441"/>
      <c r="I33" s="100">
        <v>2033931.59</v>
      </c>
      <c r="J33" s="101">
        <f t="shared" si="0"/>
        <v>0.88843997282313114</v>
      </c>
      <c r="K33" s="100"/>
      <c r="L33" s="101">
        <f t="shared" si="1"/>
        <v>0</v>
      </c>
      <c r="M33" s="100">
        <v>255397.63</v>
      </c>
      <c r="N33" s="101">
        <f t="shared" si="2"/>
        <v>0.11156002717686886</v>
      </c>
    </row>
    <row r="34" spans="2:14" ht="14.25">
      <c r="B34" s="411"/>
      <c r="C34" s="407"/>
      <c r="D34" s="331">
        <v>46109</v>
      </c>
      <c r="E34" s="332" t="s">
        <v>18</v>
      </c>
      <c r="F34" s="97">
        <f t="shared" si="3"/>
        <v>2435638.23</v>
      </c>
      <c r="G34" s="408"/>
      <c r="H34" s="441"/>
      <c r="I34" s="100">
        <v>2159571.6</v>
      </c>
      <c r="J34" s="101">
        <f t="shared" si="0"/>
        <v>0.88665532237108957</v>
      </c>
      <c r="K34" s="100"/>
      <c r="L34" s="101">
        <f t="shared" si="1"/>
        <v>0</v>
      </c>
      <c r="M34" s="100">
        <v>276066.63</v>
      </c>
      <c r="N34" s="101">
        <f t="shared" si="2"/>
        <v>0.11334467762891043</v>
      </c>
    </row>
    <row r="35" spans="2:14" ht="14.25">
      <c r="B35" s="411"/>
      <c r="C35" s="407"/>
      <c r="D35" s="331">
        <v>46110</v>
      </c>
      <c r="E35" s="332" t="s">
        <v>10</v>
      </c>
      <c r="F35" s="97">
        <f t="shared" si="3"/>
        <v>2895859.06</v>
      </c>
      <c r="G35" s="408"/>
      <c r="H35" s="391"/>
      <c r="I35" s="100">
        <v>2586954.42</v>
      </c>
      <c r="J35" s="101">
        <f t="shared" si="0"/>
        <v>0.89332884177035876</v>
      </c>
      <c r="K35" s="100"/>
      <c r="L35" s="101">
        <f t="shared" si="1"/>
        <v>0</v>
      </c>
      <c r="M35" s="100">
        <v>308904.64</v>
      </c>
      <c r="N35" s="101">
        <f t="shared" si="2"/>
        <v>0.1066711582296412</v>
      </c>
    </row>
    <row r="36" spans="2:14" ht="14.25">
      <c r="B36" s="411"/>
      <c r="C36" s="407"/>
      <c r="D36" s="331">
        <v>46111</v>
      </c>
      <c r="E36" s="331" t="s">
        <v>14</v>
      </c>
      <c r="F36" s="97">
        <f t="shared" si="3"/>
        <v>2769014.07</v>
      </c>
      <c r="G36" s="408"/>
      <c r="H36" s="391"/>
      <c r="I36" s="100">
        <v>2495095.65</v>
      </c>
      <c r="J36" s="101">
        <f t="shared" si="0"/>
        <v>0.90107727404938753</v>
      </c>
      <c r="K36" s="100"/>
      <c r="L36" s="101">
        <f t="shared" si="1"/>
        <v>0</v>
      </c>
      <c r="M36" s="100">
        <v>273918.42</v>
      </c>
      <c r="N36" s="101">
        <f t="shared" si="2"/>
        <v>9.8922725950612453E-2</v>
      </c>
    </row>
    <row r="37" spans="2:14" ht="14.25">
      <c r="B37" s="336"/>
      <c r="C37" s="83"/>
      <c r="D37" s="331">
        <v>46112</v>
      </c>
      <c r="E37" s="332" t="s">
        <v>15</v>
      </c>
      <c r="F37" s="97">
        <f t="shared" si="3"/>
        <v>2453754.86</v>
      </c>
      <c r="G37" s="337"/>
      <c r="H37" s="391"/>
      <c r="I37" s="100">
        <v>2193208.11</v>
      </c>
      <c r="J37" s="101">
        <f>I37/F37</f>
        <v>0.89381712319868822</v>
      </c>
      <c r="K37" s="100"/>
      <c r="L37" s="101">
        <f>K37/F37</f>
        <v>0</v>
      </c>
      <c r="M37" s="100">
        <v>260546.75</v>
      </c>
      <c r="N37" s="101">
        <f>M37/F37</f>
        <v>0.10618287680131178</v>
      </c>
    </row>
    <row r="38" spans="2:14" ht="14.25">
      <c r="B38" s="336"/>
      <c r="C38" s="79"/>
      <c r="D38" s="331"/>
      <c r="E38" s="332"/>
      <c r="F38" s="97"/>
      <c r="G38" s="337"/>
      <c r="H38" s="97"/>
      <c r="J38" s="101" t="e">
        <f t="shared" ref="J38:J39" si="4">I38/F38</f>
        <v>#DIV/0!</v>
      </c>
      <c r="N38" s="101" t="e">
        <f t="shared" ref="N38:N39" si="5">M38/F38</f>
        <v>#DIV/0!</v>
      </c>
    </row>
    <row r="39" spans="2:14" ht="14.25">
      <c r="B39" s="336"/>
      <c r="C39" s="79"/>
      <c r="D39" s="331"/>
      <c r="E39" s="331"/>
      <c r="F39" s="97"/>
      <c r="G39" s="337"/>
      <c r="H39" s="97"/>
      <c r="J39" s="101" t="e">
        <f t="shared" si="4"/>
        <v>#DIV/0!</v>
      </c>
      <c r="N39" s="101" t="e">
        <f t="shared" si="5"/>
        <v>#DIV/0!</v>
      </c>
    </row>
    <row r="40" spans="2:14" ht="14.25">
      <c r="B40" s="336"/>
      <c r="C40" s="79"/>
      <c r="D40" s="331"/>
      <c r="E40" s="332"/>
      <c r="F40" s="97"/>
      <c r="G40" s="337"/>
      <c r="H40" s="97"/>
      <c r="J40" s="101"/>
      <c r="N40" s="101"/>
    </row>
    <row r="41" spans="2:14" ht="14.25">
      <c r="B41" s="336"/>
      <c r="C41" s="79"/>
      <c r="D41" s="331"/>
      <c r="E41" s="332"/>
      <c r="F41" s="97"/>
      <c r="G41" s="337"/>
      <c r="H41" s="97"/>
      <c r="J41" s="101"/>
      <c r="N41" s="101"/>
    </row>
    <row r="42" spans="2:14" ht="14.25">
      <c r="B42" s="336"/>
      <c r="C42" s="79"/>
      <c r="D42" s="331"/>
      <c r="E42" s="331"/>
      <c r="F42" s="97"/>
      <c r="G42" s="337"/>
      <c r="H42" s="97"/>
      <c r="J42" s="101"/>
      <c r="N42" s="101"/>
    </row>
    <row r="43" spans="2:14" ht="14.25">
      <c r="B43" s="83"/>
      <c r="C43" s="79"/>
      <c r="D43" s="86"/>
      <c r="E43" s="86"/>
      <c r="F43" s="97"/>
      <c r="G43" s="97"/>
      <c r="H43" s="97"/>
    </row>
    <row r="44" spans="2:14" ht="14.25">
      <c r="B44" s="83"/>
      <c r="C44" s="79"/>
      <c r="D44" s="86"/>
      <c r="E44" s="86"/>
      <c r="F44" s="97"/>
      <c r="G44" s="97"/>
      <c r="H44" s="97"/>
    </row>
    <row r="45" spans="2:14" ht="14.25">
      <c r="B45" s="83"/>
      <c r="C45" s="79"/>
      <c r="D45" s="86"/>
      <c r="E45" s="86"/>
      <c r="F45" s="97"/>
      <c r="G45" s="97"/>
      <c r="H45" s="97"/>
    </row>
    <row r="46" spans="2:14" ht="14.25">
      <c r="B46" s="83"/>
      <c r="C46" s="79"/>
      <c r="D46" s="82"/>
      <c r="F46" s="97"/>
      <c r="G46" s="97"/>
      <c r="H46" s="97"/>
    </row>
    <row r="47" spans="2:14" ht="14.25">
      <c r="B47" s="83"/>
      <c r="C47" s="79"/>
      <c r="D47" s="82"/>
      <c r="F47" s="97"/>
      <c r="G47" s="97"/>
      <c r="H47" s="97"/>
    </row>
    <row r="48" spans="2:14" ht="14.25">
      <c r="B48" s="83"/>
      <c r="C48" s="79"/>
      <c r="D48" s="82"/>
      <c r="F48" s="97"/>
      <c r="G48" s="97"/>
      <c r="H48" s="97"/>
    </row>
    <row r="49" spans="1:22" ht="14.25">
      <c r="B49" s="83"/>
      <c r="C49" s="79"/>
      <c r="D49" s="82"/>
      <c r="F49" s="97"/>
      <c r="G49" s="97"/>
      <c r="H49" s="97"/>
    </row>
    <row r="50" spans="1:22" s="82" customFormat="1" ht="14.25">
      <c r="A50" s="79"/>
      <c r="B50" s="83"/>
      <c r="C50" s="79"/>
      <c r="F50" s="102"/>
      <c r="G50" s="102"/>
      <c r="H50" s="102"/>
      <c r="I50" s="97"/>
      <c r="J50" s="90"/>
      <c r="K50" s="97"/>
      <c r="L50" s="90"/>
      <c r="M50" s="97"/>
      <c r="N50" s="90"/>
      <c r="O50" s="79"/>
      <c r="P50" s="79"/>
      <c r="Q50" s="79"/>
      <c r="R50" s="79"/>
      <c r="S50" s="79"/>
      <c r="T50" s="79"/>
      <c r="U50" s="79"/>
      <c r="V50" s="79"/>
    </row>
    <row r="51" spans="1:22" s="82" customFormat="1" ht="14.25">
      <c r="A51" s="79"/>
      <c r="B51" s="83"/>
      <c r="C51" s="79"/>
      <c r="F51" s="102"/>
      <c r="G51" s="102"/>
      <c r="H51" s="102"/>
      <c r="I51" s="97"/>
      <c r="J51" s="90"/>
      <c r="K51" s="97"/>
      <c r="L51" s="90"/>
      <c r="M51" s="97"/>
      <c r="N51" s="90"/>
      <c r="O51" s="79"/>
      <c r="P51" s="79"/>
      <c r="Q51" s="79"/>
      <c r="R51" s="79"/>
      <c r="S51" s="79"/>
      <c r="T51" s="79"/>
      <c r="U51" s="79"/>
      <c r="V51" s="79"/>
    </row>
    <row r="52" spans="1:22" s="82" customFormat="1" ht="14.25">
      <c r="A52" s="79"/>
      <c r="B52" s="83"/>
      <c r="C52" s="79"/>
      <c r="F52" s="102"/>
      <c r="G52" s="102"/>
      <c r="H52" s="102"/>
      <c r="I52" s="97"/>
      <c r="J52" s="90"/>
      <c r="K52" s="97"/>
      <c r="L52" s="90"/>
      <c r="M52" s="97"/>
      <c r="N52" s="90"/>
      <c r="O52" s="79"/>
      <c r="P52" s="79"/>
      <c r="Q52" s="79"/>
      <c r="R52" s="79"/>
      <c r="S52" s="79"/>
      <c r="T52" s="79"/>
      <c r="U52" s="79"/>
      <c r="V52" s="79"/>
    </row>
    <row r="53" spans="1:22" s="82" customFormat="1" ht="14.25">
      <c r="A53" s="79"/>
      <c r="B53" s="83"/>
      <c r="C53" s="79"/>
      <c r="F53" s="102"/>
      <c r="G53" s="102"/>
      <c r="H53" s="102"/>
      <c r="I53" s="97"/>
      <c r="J53" s="90"/>
      <c r="K53" s="97"/>
      <c r="L53" s="90"/>
      <c r="M53" s="97"/>
      <c r="N53" s="90"/>
      <c r="O53" s="79"/>
      <c r="P53" s="79"/>
      <c r="Q53" s="79"/>
      <c r="R53" s="79"/>
      <c r="S53" s="79"/>
      <c r="T53" s="79"/>
      <c r="U53" s="79"/>
      <c r="V53" s="79"/>
    </row>
    <row r="54" spans="1:22" s="82" customFormat="1" ht="14.25">
      <c r="A54" s="79"/>
      <c r="B54" s="83"/>
      <c r="C54" s="79"/>
      <c r="F54" s="102"/>
      <c r="G54" s="102"/>
      <c r="H54" s="102"/>
      <c r="I54" s="97"/>
      <c r="J54" s="90"/>
      <c r="K54" s="97"/>
      <c r="L54" s="90"/>
      <c r="M54" s="97"/>
      <c r="N54" s="90"/>
      <c r="O54" s="79"/>
      <c r="P54" s="79"/>
      <c r="Q54" s="79"/>
      <c r="R54" s="79"/>
      <c r="S54" s="79"/>
      <c r="T54" s="79"/>
      <c r="U54" s="79"/>
      <c r="V54" s="79"/>
    </row>
    <row r="55" spans="1:22" s="82" customFormat="1" ht="14.25">
      <c r="A55" s="79"/>
      <c r="B55" s="83"/>
      <c r="C55" s="79"/>
      <c r="F55" s="102"/>
      <c r="G55" s="102"/>
      <c r="H55" s="102"/>
      <c r="I55" s="97"/>
      <c r="J55" s="90"/>
      <c r="K55" s="97"/>
      <c r="L55" s="90"/>
      <c r="M55" s="97"/>
      <c r="N55" s="90"/>
      <c r="O55" s="79"/>
      <c r="P55" s="79"/>
      <c r="Q55" s="79"/>
      <c r="R55" s="79"/>
      <c r="S55" s="79"/>
      <c r="T55" s="79"/>
      <c r="U55" s="79"/>
      <c r="V55" s="79"/>
    </row>
    <row r="56" spans="1:22" s="82" customFormat="1" ht="14.25">
      <c r="A56" s="79"/>
      <c r="B56" s="83"/>
      <c r="C56" s="79"/>
      <c r="F56" s="102"/>
      <c r="G56" s="102"/>
      <c r="H56" s="102"/>
      <c r="I56" s="97"/>
      <c r="J56" s="90"/>
      <c r="K56" s="97"/>
      <c r="L56" s="90"/>
      <c r="M56" s="97"/>
      <c r="N56" s="90"/>
      <c r="O56" s="79"/>
      <c r="P56" s="79"/>
      <c r="Q56" s="79"/>
      <c r="R56" s="79"/>
      <c r="S56" s="79"/>
      <c r="T56" s="79"/>
      <c r="U56" s="79"/>
      <c r="V56" s="79"/>
    </row>
    <row r="57" spans="1:22" s="82" customFormat="1" ht="14.25">
      <c r="A57" s="79"/>
      <c r="B57" s="83"/>
      <c r="C57" s="79"/>
      <c r="F57" s="102"/>
      <c r="G57" s="102"/>
      <c r="H57" s="102"/>
      <c r="I57" s="97"/>
      <c r="J57" s="90"/>
      <c r="K57" s="97"/>
      <c r="L57" s="90"/>
      <c r="M57" s="97"/>
      <c r="N57" s="90"/>
      <c r="O57" s="79"/>
      <c r="P57" s="79"/>
      <c r="Q57" s="79"/>
      <c r="R57" s="79"/>
      <c r="S57" s="79"/>
      <c r="T57" s="79"/>
      <c r="U57" s="79"/>
      <c r="V57" s="79"/>
    </row>
    <row r="58" spans="1:22" s="82" customFormat="1" ht="14.25">
      <c r="A58" s="79"/>
      <c r="B58" s="83"/>
      <c r="C58" s="79"/>
      <c r="F58" s="102"/>
      <c r="G58" s="102"/>
      <c r="H58" s="102"/>
      <c r="I58" s="97"/>
      <c r="J58" s="90"/>
      <c r="K58" s="97"/>
      <c r="L58" s="90"/>
      <c r="M58" s="97"/>
      <c r="N58" s="90"/>
      <c r="O58" s="79"/>
      <c r="P58" s="79"/>
      <c r="Q58" s="79"/>
      <c r="R58" s="79"/>
      <c r="S58" s="79"/>
      <c r="T58" s="79"/>
      <c r="U58" s="79"/>
      <c r="V58" s="79"/>
    </row>
    <row r="59" spans="1:22" s="82" customFormat="1" ht="14.25">
      <c r="A59" s="79"/>
      <c r="B59" s="83"/>
      <c r="C59" s="79"/>
      <c r="F59" s="102"/>
      <c r="G59" s="102"/>
      <c r="H59" s="102"/>
      <c r="I59" s="97"/>
      <c r="J59" s="90"/>
      <c r="K59" s="97"/>
      <c r="L59" s="90"/>
      <c r="M59" s="97"/>
      <c r="N59" s="90"/>
      <c r="O59" s="79"/>
      <c r="P59" s="79"/>
      <c r="Q59" s="79"/>
      <c r="R59" s="79"/>
      <c r="S59" s="79"/>
      <c r="T59" s="79"/>
      <c r="U59" s="79"/>
      <c r="V59" s="79"/>
    </row>
    <row r="60" spans="1:22" s="82" customFormat="1" ht="14.25">
      <c r="A60" s="79"/>
      <c r="B60" s="83"/>
      <c r="C60" s="79"/>
      <c r="F60" s="102"/>
      <c r="G60" s="102"/>
      <c r="H60" s="102"/>
      <c r="I60" s="97"/>
      <c r="J60" s="90"/>
      <c r="K60" s="97"/>
      <c r="L60" s="90"/>
      <c r="M60" s="97"/>
      <c r="N60" s="90"/>
      <c r="O60" s="79"/>
      <c r="P60" s="79"/>
      <c r="Q60" s="79"/>
      <c r="R60" s="79"/>
      <c r="S60" s="79"/>
      <c r="T60" s="79"/>
      <c r="U60" s="79"/>
      <c r="V60" s="79"/>
    </row>
    <row r="61" spans="1:22" s="82" customFormat="1" ht="14.25">
      <c r="A61" s="79"/>
      <c r="B61" s="83"/>
      <c r="C61" s="79"/>
      <c r="F61" s="102"/>
      <c r="G61" s="102"/>
      <c r="H61" s="102"/>
      <c r="I61" s="97"/>
      <c r="J61" s="90"/>
      <c r="K61" s="97"/>
      <c r="L61" s="90"/>
      <c r="M61" s="97"/>
      <c r="N61" s="90"/>
      <c r="O61" s="79"/>
      <c r="P61" s="79"/>
      <c r="Q61" s="79"/>
      <c r="R61" s="79"/>
      <c r="S61" s="79"/>
      <c r="T61" s="79"/>
      <c r="U61" s="79"/>
      <c r="V61" s="79"/>
    </row>
    <row r="62" spans="1:22" s="82" customFormat="1" ht="14.25">
      <c r="A62" s="79"/>
      <c r="B62" s="83"/>
      <c r="C62" s="79"/>
      <c r="F62" s="102"/>
      <c r="G62" s="102"/>
      <c r="H62" s="102"/>
      <c r="I62" s="97"/>
      <c r="J62" s="90"/>
      <c r="K62" s="97"/>
      <c r="L62" s="90"/>
      <c r="M62" s="97"/>
      <c r="N62" s="90"/>
      <c r="O62" s="79"/>
      <c r="P62" s="79"/>
      <c r="Q62" s="79"/>
      <c r="R62" s="79"/>
      <c r="S62" s="79"/>
      <c r="T62" s="79"/>
      <c r="U62" s="79"/>
      <c r="V62" s="79"/>
    </row>
    <row r="63" spans="1:22" s="82" customFormat="1" ht="14.25">
      <c r="A63" s="79"/>
      <c r="B63" s="83"/>
      <c r="C63" s="79"/>
      <c r="F63" s="102"/>
      <c r="G63" s="102"/>
      <c r="H63" s="102"/>
      <c r="I63" s="97"/>
      <c r="J63" s="90"/>
      <c r="K63" s="97"/>
      <c r="L63" s="90"/>
      <c r="M63" s="97"/>
      <c r="N63" s="90"/>
      <c r="O63" s="79"/>
      <c r="P63" s="79"/>
      <c r="Q63" s="79"/>
      <c r="R63" s="79"/>
      <c r="S63" s="79"/>
      <c r="T63" s="79"/>
      <c r="U63" s="79"/>
      <c r="V63" s="79"/>
    </row>
    <row r="64" spans="1:22" s="82" customFormat="1" ht="14.25">
      <c r="A64" s="79"/>
      <c r="B64" s="83"/>
      <c r="C64" s="79"/>
      <c r="F64" s="102"/>
      <c r="G64" s="102"/>
      <c r="H64" s="102"/>
      <c r="I64" s="97"/>
      <c r="J64" s="90"/>
      <c r="K64" s="97"/>
      <c r="L64" s="90"/>
      <c r="M64" s="97"/>
      <c r="N64" s="90"/>
      <c r="O64" s="79"/>
      <c r="P64" s="79"/>
      <c r="Q64" s="79"/>
      <c r="R64" s="79"/>
      <c r="S64" s="79"/>
      <c r="T64" s="79"/>
      <c r="U64" s="79"/>
      <c r="V64" s="79"/>
    </row>
    <row r="65" spans="1:22" s="82" customFormat="1" ht="14.25">
      <c r="A65" s="79"/>
      <c r="B65" s="83"/>
      <c r="C65" s="79"/>
      <c r="F65" s="102"/>
      <c r="G65" s="102"/>
      <c r="H65" s="102"/>
      <c r="I65" s="97"/>
      <c r="J65" s="90"/>
      <c r="K65" s="97"/>
      <c r="L65" s="90"/>
      <c r="M65" s="97"/>
      <c r="N65" s="90"/>
      <c r="O65" s="79"/>
      <c r="P65" s="79"/>
      <c r="Q65" s="79"/>
      <c r="R65" s="79"/>
      <c r="S65" s="79"/>
      <c r="T65" s="79"/>
      <c r="U65" s="79"/>
      <c r="V65" s="79"/>
    </row>
    <row r="66" spans="1:22" s="82" customFormat="1" ht="14.25">
      <c r="A66" s="79"/>
      <c r="B66" s="83"/>
      <c r="C66" s="79"/>
      <c r="F66" s="102"/>
      <c r="G66" s="102"/>
      <c r="H66" s="102"/>
      <c r="I66" s="97"/>
      <c r="J66" s="90"/>
      <c r="K66" s="97"/>
      <c r="L66" s="90"/>
      <c r="M66" s="97"/>
      <c r="N66" s="90"/>
      <c r="O66" s="79"/>
      <c r="P66" s="79"/>
      <c r="Q66" s="79"/>
      <c r="R66" s="79"/>
      <c r="S66" s="79"/>
      <c r="T66" s="79"/>
      <c r="U66" s="79"/>
      <c r="V66" s="79"/>
    </row>
    <row r="67" spans="1:22" s="82" customFormat="1" ht="14.25">
      <c r="A67" s="79"/>
      <c r="B67" s="83"/>
      <c r="C67" s="79"/>
      <c r="F67" s="102"/>
      <c r="G67" s="102"/>
      <c r="H67" s="102"/>
      <c r="I67" s="97"/>
      <c r="J67" s="90"/>
      <c r="K67" s="97"/>
      <c r="L67" s="90"/>
      <c r="M67" s="97"/>
      <c r="N67" s="90"/>
      <c r="O67" s="79"/>
      <c r="P67" s="79"/>
      <c r="Q67" s="79"/>
      <c r="R67" s="79"/>
      <c r="S67" s="79"/>
      <c r="T67" s="79"/>
      <c r="U67" s="79"/>
      <c r="V67" s="79"/>
    </row>
    <row r="68" spans="1:22" s="82" customFormat="1" ht="14.25">
      <c r="A68" s="79"/>
      <c r="B68" s="83"/>
      <c r="C68" s="79"/>
      <c r="F68" s="102"/>
      <c r="G68" s="102"/>
      <c r="H68" s="102"/>
      <c r="I68" s="97"/>
      <c r="J68" s="90"/>
      <c r="K68" s="97"/>
      <c r="L68" s="90"/>
      <c r="M68" s="97"/>
      <c r="N68" s="90"/>
      <c r="O68" s="79"/>
      <c r="P68" s="79"/>
      <c r="Q68" s="79"/>
      <c r="R68" s="79"/>
      <c r="S68" s="79"/>
      <c r="T68" s="79"/>
      <c r="U68" s="79"/>
      <c r="V68" s="79"/>
    </row>
    <row r="69" spans="1:22" s="82" customFormat="1" ht="14.25">
      <c r="A69" s="79"/>
      <c r="B69" s="83"/>
      <c r="C69" s="79"/>
      <c r="F69" s="102"/>
      <c r="G69" s="102"/>
      <c r="H69" s="102"/>
      <c r="I69" s="97"/>
      <c r="J69" s="90"/>
      <c r="K69" s="97"/>
      <c r="L69" s="90"/>
      <c r="M69" s="97"/>
      <c r="N69" s="90"/>
      <c r="O69" s="79"/>
      <c r="P69" s="79"/>
      <c r="Q69" s="79"/>
      <c r="R69" s="79"/>
      <c r="S69" s="79"/>
      <c r="T69" s="79"/>
      <c r="U69" s="79"/>
      <c r="V69" s="79"/>
    </row>
    <row r="70" spans="1:22" s="82" customFormat="1" ht="14.25">
      <c r="A70" s="79"/>
      <c r="B70" s="83"/>
      <c r="C70" s="79"/>
      <c r="F70" s="102"/>
      <c r="G70" s="102"/>
      <c r="H70" s="102"/>
      <c r="I70" s="97"/>
      <c r="J70" s="90"/>
      <c r="K70" s="97"/>
      <c r="L70" s="90"/>
      <c r="M70" s="97"/>
      <c r="N70" s="90"/>
      <c r="O70" s="79"/>
      <c r="P70" s="79"/>
      <c r="Q70" s="79"/>
      <c r="R70" s="79"/>
      <c r="S70" s="79"/>
      <c r="T70" s="79"/>
      <c r="U70" s="79"/>
      <c r="V70" s="79"/>
    </row>
    <row r="71" spans="1:22" s="82" customFormat="1" ht="14.25">
      <c r="A71" s="79"/>
      <c r="B71" s="83"/>
      <c r="C71" s="79"/>
      <c r="F71" s="102"/>
      <c r="G71" s="102"/>
      <c r="H71" s="102"/>
      <c r="I71" s="97"/>
      <c r="J71" s="90"/>
      <c r="K71" s="97"/>
      <c r="L71" s="90"/>
      <c r="M71" s="97"/>
      <c r="N71" s="90"/>
      <c r="O71" s="79"/>
      <c r="P71" s="79"/>
      <c r="Q71" s="79"/>
      <c r="R71" s="79"/>
      <c r="S71" s="79"/>
      <c r="T71" s="79"/>
      <c r="U71" s="79"/>
      <c r="V71" s="79"/>
    </row>
    <row r="72" spans="1:22" s="82" customFormat="1" ht="14.25">
      <c r="A72" s="79"/>
      <c r="B72" s="83"/>
      <c r="C72" s="79"/>
      <c r="F72" s="102"/>
      <c r="G72" s="102"/>
      <c r="H72" s="102"/>
      <c r="I72" s="97"/>
      <c r="J72" s="90"/>
      <c r="K72" s="97"/>
      <c r="L72" s="90"/>
      <c r="M72" s="97"/>
      <c r="N72" s="90"/>
      <c r="O72" s="79"/>
      <c r="P72" s="79"/>
      <c r="Q72" s="79"/>
      <c r="R72" s="79"/>
      <c r="S72" s="79"/>
      <c r="T72" s="79"/>
      <c r="U72" s="79"/>
      <c r="V72" s="79"/>
    </row>
    <row r="73" spans="1:22" s="82" customFormat="1" ht="14.25">
      <c r="A73" s="79"/>
      <c r="B73" s="83"/>
      <c r="C73" s="79"/>
      <c r="F73" s="102"/>
      <c r="G73" s="102"/>
      <c r="H73" s="102"/>
      <c r="I73" s="97"/>
      <c r="J73" s="90"/>
      <c r="K73" s="97"/>
      <c r="L73" s="90"/>
      <c r="M73" s="97"/>
      <c r="N73" s="90"/>
      <c r="O73" s="79"/>
      <c r="P73" s="79"/>
      <c r="Q73" s="79"/>
      <c r="R73" s="79"/>
      <c r="S73" s="79"/>
      <c r="T73" s="79"/>
      <c r="U73" s="79"/>
      <c r="V73" s="79"/>
    </row>
    <row r="74" spans="1:22" s="82" customFormat="1" ht="14.25">
      <c r="A74" s="79"/>
      <c r="B74" s="83"/>
      <c r="C74" s="79"/>
      <c r="F74" s="102"/>
      <c r="G74" s="102"/>
      <c r="H74" s="102"/>
      <c r="I74" s="97"/>
      <c r="J74" s="90"/>
      <c r="K74" s="97"/>
      <c r="L74" s="90"/>
      <c r="M74" s="97"/>
      <c r="N74" s="90"/>
      <c r="O74" s="79"/>
      <c r="P74" s="79"/>
      <c r="Q74" s="79"/>
      <c r="R74" s="79"/>
      <c r="S74" s="79"/>
      <c r="T74" s="79"/>
      <c r="U74" s="79"/>
      <c r="V74" s="79"/>
    </row>
    <row r="75" spans="1:22" s="82" customFormat="1" ht="14.25">
      <c r="A75" s="79"/>
      <c r="B75" s="83"/>
      <c r="C75" s="79"/>
      <c r="F75" s="102"/>
      <c r="G75" s="102"/>
      <c r="H75" s="102"/>
      <c r="I75" s="97"/>
      <c r="J75" s="90"/>
      <c r="K75" s="97"/>
      <c r="L75" s="90"/>
      <c r="M75" s="97"/>
      <c r="N75" s="90"/>
      <c r="O75" s="79"/>
      <c r="P75" s="79"/>
      <c r="Q75" s="79"/>
      <c r="R75" s="79"/>
      <c r="S75" s="79"/>
      <c r="T75" s="79"/>
      <c r="U75" s="79"/>
      <c r="V75" s="79"/>
    </row>
    <row r="76" spans="1:22" s="82" customFormat="1" ht="14.25">
      <c r="A76" s="79"/>
      <c r="B76" s="83"/>
      <c r="C76" s="79"/>
      <c r="F76" s="102"/>
      <c r="G76" s="102"/>
      <c r="H76" s="102"/>
      <c r="I76" s="97"/>
      <c r="J76" s="90"/>
      <c r="K76" s="97"/>
      <c r="L76" s="90"/>
      <c r="M76" s="97"/>
      <c r="N76" s="90"/>
      <c r="O76" s="79"/>
      <c r="P76" s="79"/>
      <c r="Q76" s="79"/>
      <c r="R76" s="79"/>
      <c r="S76" s="79"/>
      <c r="T76" s="79"/>
      <c r="U76" s="79"/>
      <c r="V76" s="79"/>
    </row>
    <row r="77" spans="1:22" s="82" customFormat="1" ht="14.25">
      <c r="A77" s="79"/>
      <c r="B77" s="83"/>
      <c r="C77" s="79"/>
      <c r="F77" s="102"/>
      <c r="G77" s="102"/>
      <c r="H77" s="102"/>
      <c r="I77" s="97"/>
      <c r="J77" s="90"/>
      <c r="K77" s="97"/>
      <c r="L77" s="90"/>
      <c r="M77" s="97"/>
      <c r="N77" s="90"/>
      <c r="O77" s="79"/>
      <c r="P77" s="79"/>
      <c r="Q77" s="79"/>
      <c r="R77" s="79"/>
      <c r="S77" s="79"/>
      <c r="T77" s="79"/>
      <c r="U77" s="79"/>
      <c r="V77" s="79"/>
    </row>
    <row r="78" spans="1:22" s="82" customFormat="1" ht="14.25">
      <c r="A78" s="79"/>
      <c r="B78" s="83"/>
      <c r="C78" s="79"/>
      <c r="F78" s="102"/>
      <c r="G78" s="102"/>
      <c r="H78" s="102"/>
      <c r="I78" s="97"/>
      <c r="J78" s="90"/>
      <c r="K78" s="97"/>
      <c r="L78" s="90"/>
      <c r="M78" s="97"/>
      <c r="N78" s="90"/>
      <c r="O78" s="79"/>
      <c r="P78" s="79"/>
      <c r="Q78" s="79"/>
      <c r="R78" s="79"/>
      <c r="S78" s="79"/>
      <c r="T78" s="79"/>
      <c r="U78" s="79"/>
      <c r="V78" s="79"/>
    </row>
    <row r="79" spans="1:22" s="82" customFormat="1" ht="14.25">
      <c r="A79" s="79"/>
      <c r="B79" s="83"/>
      <c r="C79" s="79"/>
      <c r="F79" s="102"/>
      <c r="G79" s="102"/>
      <c r="H79" s="102"/>
      <c r="I79" s="97"/>
      <c r="J79" s="90"/>
      <c r="K79" s="97"/>
      <c r="L79" s="90"/>
      <c r="M79" s="97"/>
      <c r="N79" s="90"/>
      <c r="O79" s="79"/>
      <c r="P79" s="79"/>
      <c r="Q79" s="79"/>
      <c r="R79" s="79"/>
      <c r="S79" s="79"/>
      <c r="T79" s="79"/>
      <c r="U79" s="79"/>
      <c r="V79" s="79"/>
    </row>
    <row r="80" spans="1:22" s="82" customFormat="1" ht="14.25">
      <c r="A80" s="79"/>
      <c r="B80" s="83"/>
      <c r="C80" s="79"/>
      <c r="F80" s="102"/>
      <c r="G80" s="102"/>
      <c r="H80" s="102"/>
      <c r="I80" s="97"/>
      <c r="J80" s="90"/>
      <c r="K80" s="97"/>
      <c r="L80" s="90"/>
      <c r="M80" s="97"/>
      <c r="N80" s="90"/>
      <c r="O80" s="79"/>
      <c r="P80" s="79"/>
      <c r="Q80" s="79"/>
      <c r="R80" s="79"/>
      <c r="S80" s="79"/>
      <c r="T80" s="79"/>
      <c r="U80" s="79"/>
      <c r="V80" s="79"/>
    </row>
    <row r="81" spans="1:22" s="82" customFormat="1" ht="14.25">
      <c r="A81" s="79"/>
      <c r="B81" s="83"/>
      <c r="C81" s="79"/>
      <c r="F81" s="102"/>
      <c r="G81" s="102"/>
      <c r="H81" s="102"/>
      <c r="I81" s="97"/>
      <c r="J81" s="90"/>
      <c r="K81" s="97"/>
      <c r="L81" s="90"/>
      <c r="M81" s="97"/>
      <c r="N81" s="90"/>
      <c r="O81" s="79"/>
      <c r="P81" s="79"/>
      <c r="Q81" s="79"/>
      <c r="R81" s="79"/>
      <c r="S81" s="79"/>
      <c r="T81" s="79"/>
      <c r="U81" s="79"/>
      <c r="V81" s="79"/>
    </row>
    <row r="82" spans="1:22" s="82" customFormat="1" ht="14.25">
      <c r="A82" s="79"/>
      <c r="B82" s="83"/>
      <c r="C82" s="79"/>
      <c r="F82" s="102"/>
      <c r="G82" s="102"/>
      <c r="H82" s="102"/>
      <c r="I82" s="97"/>
      <c r="J82" s="90"/>
      <c r="K82" s="97"/>
      <c r="L82" s="90"/>
      <c r="M82" s="97"/>
      <c r="N82" s="90"/>
      <c r="O82" s="79"/>
      <c r="P82" s="79"/>
      <c r="Q82" s="79"/>
      <c r="R82" s="79"/>
      <c r="S82" s="79"/>
      <c r="T82" s="79"/>
      <c r="U82" s="79"/>
      <c r="V82" s="79"/>
    </row>
    <row r="83" spans="1:22" s="82" customFormat="1" ht="14.25">
      <c r="A83" s="79"/>
      <c r="B83" s="83"/>
      <c r="C83" s="79"/>
      <c r="F83" s="102"/>
      <c r="G83" s="102"/>
      <c r="H83" s="102"/>
      <c r="I83" s="97"/>
      <c r="J83" s="90"/>
      <c r="K83" s="97"/>
      <c r="L83" s="90"/>
      <c r="M83" s="97"/>
      <c r="N83" s="90"/>
      <c r="O83" s="79"/>
      <c r="P83" s="79"/>
      <c r="Q83" s="79"/>
      <c r="R83" s="79"/>
      <c r="S83" s="79"/>
      <c r="T83" s="79"/>
      <c r="U83" s="79"/>
      <c r="V83" s="79"/>
    </row>
    <row r="84" spans="1:22" s="82" customFormat="1" ht="14.25">
      <c r="A84" s="79"/>
      <c r="B84" s="83"/>
      <c r="C84" s="79"/>
      <c r="F84" s="102"/>
      <c r="G84" s="102"/>
      <c r="H84" s="102"/>
      <c r="I84" s="97"/>
      <c r="J84" s="90"/>
      <c r="K84" s="97"/>
      <c r="L84" s="90"/>
      <c r="M84" s="97"/>
      <c r="N84" s="90"/>
      <c r="O84" s="79"/>
      <c r="P84" s="79"/>
      <c r="Q84" s="79"/>
      <c r="R84" s="79"/>
      <c r="S84" s="79"/>
      <c r="T84" s="79"/>
      <c r="U84" s="79"/>
      <c r="V84" s="79"/>
    </row>
    <row r="85" spans="1:22" s="82" customFormat="1" ht="14.25">
      <c r="A85" s="79"/>
      <c r="B85" s="83"/>
      <c r="C85" s="79"/>
      <c r="F85" s="102"/>
      <c r="G85" s="102"/>
      <c r="H85" s="102"/>
      <c r="I85" s="97"/>
      <c r="J85" s="90"/>
      <c r="K85" s="97"/>
      <c r="L85" s="90"/>
      <c r="M85" s="97"/>
      <c r="N85" s="90"/>
      <c r="O85" s="79"/>
      <c r="P85" s="79"/>
      <c r="Q85" s="79"/>
      <c r="R85" s="79"/>
      <c r="S85" s="79"/>
      <c r="T85" s="79"/>
      <c r="U85" s="79"/>
      <c r="V85" s="79"/>
    </row>
    <row r="86" spans="1:22" s="82" customFormat="1" ht="14.25">
      <c r="A86" s="79"/>
      <c r="B86" s="83"/>
      <c r="C86" s="79"/>
      <c r="F86" s="102"/>
      <c r="G86" s="102"/>
      <c r="H86" s="102"/>
      <c r="I86" s="97"/>
      <c r="J86" s="90"/>
      <c r="K86" s="97"/>
      <c r="L86" s="90"/>
      <c r="M86" s="97"/>
      <c r="N86" s="90"/>
      <c r="O86" s="79"/>
      <c r="P86" s="79"/>
      <c r="Q86" s="79"/>
      <c r="R86" s="79"/>
      <c r="S86" s="79"/>
      <c r="T86" s="79"/>
      <c r="U86" s="79"/>
      <c r="V86" s="79"/>
    </row>
    <row r="87" spans="1:22" s="82" customFormat="1" ht="14.25">
      <c r="A87" s="79"/>
      <c r="B87" s="83"/>
      <c r="C87" s="79"/>
      <c r="F87" s="102"/>
      <c r="G87" s="102"/>
      <c r="H87" s="102"/>
      <c r="I87" s="97"/>
      <c r="J87" s="90"/>
      <c r="K87" s="97"/>
      <c r="L87" s="90"/>
      <c r="M87" s="97"/>
      <c r="N87" s="90"/>
      <c r="O87" s="79"/>
      <c r="P87" s="79"/>
      <c r="Q87" s="79"/>
      <c r="R87" s="79"/>
      <c r="S87" s="79"/>
      <c r="T87" s="79"/>
      <c r="U87" s="79"/>
      <c r="V87" s="79"/>
    </row>
    <row r="88" spans="1:22" s="82" customFormat="1" ht="14.25">
      <c r="A88" s="79"/>
      <c r="B88" s="83"/>
      <c r="C88" s="79"/>
      <c r="F88" s="102"/>
      <c r="G88" s="102"/>
      <c r="H88" s="102"/>
      <c r="I88" s="97"/>
      <c r="J88" s="90"/>
      <c r="K88" s="97"/>
      <c r="L88" s="90"/>
      <c r="M88" s="97"/>
      <c r="N88" s="90"/>
      <c r="O88" s="79"/>
      <c r="P88" s="79"/>
      <c r="Q88" s="79"/>
      <c r="R88" s="79"/>
      <c r="S88" s="79"/>
      <c r="T88" s="79"/>
      <c r="U88" s="79"/>
      <c r="V88" s="79"/>
    </row>
    <row r="89" spans="1:22" s="82" customFormat="1" ht="14.25">
      <c r="A89" s="79"/>
      <c r="B89" s="83"/>
      <c r="C89" s="79"/>
      <c r="F89" s="102"/>
      <c r="G89" s="102"/>
      <c r="H89" s="102"/>
      <c r="I89" s="97"/>
      <c r="J89" s="90"/>
      <c r="K89" s="97"/>
      <c r="L89" s="90"/>
      <c r="M89" s="97"/>
      <c r="N89" s="90"/>
      <c r="O89" s="79"/>
      <c r="P89" s="79"/>
      <c r="Q89" s="79"/>
      <c r="R89" s="79"/>
      <c r="S89" s="79"/>
      <c r="T89" s="79"/>
      <c r="U89" s="79"/>
      <c r="V89" s="79"/>
    </row>
    <row r="90" spans="1:22" s="82" customFormat="1" ht="14.25">
      <c r="A90" s="79"/>
      <c r="B90" s="83"/>
      <c r="C90" s="79"/>
      <c r="F90" s="102"/>
      <c r="G90" s="102"/>
      <c r="H90" s="102"/>
      <c r="I90" s="97"/>
      <c r="J90" s="90"/>
      <c r="K90" s="97"/>
      <c r="L90" s="90"/>
      <c r="M90" s="97"/>
      <c r="N90" s="90"/>
      <c r="O90" s="79"/>
      <c r="P90" s="79"/>
      <c r="Q90" s="79"/>
      <c r="R90" s="79"/>
      <c r="S90" s="79"/>
      <c r="T90" s="79"/>
      <c r="U90" s="79"/>
      <c r="V90" s="79"/>
    </row>
    <row r="91" spans="1:22" s="82" customFormat="1" ht="14.25">
      <c r="A91" s="79"/>
      <c r="B91" s="83"/>
      <c r="C91" s="79"/>
      <c r="F91" s="102"/>
      <c r="G91" s="102"/>
      <c r="H91" s="102"/>
      <c r="I91" s="97"/>
      <c r="J91" s="90"/>
      <c r="K91" s="97"/>
      <c r="L91" s="90"/>
      <c r="M91" s="97"/>
      <c r="N91" s="90"/>
      <c r="O91" s="79"/>
      <c r="P91" s="79"/>
      <c r="Q91" s="79"/>
      <c r="R91" s="79"/>
      <c r="S91" s="79"/>
      <c r="T91" s="79"/>
      <c r="U91" s="79"/>
      <c r="V91" s="79"/>
    </row>
    <row r="92" spans="1:22" s="82" customFormat="1" ht="14.25">
      <c r="A92" s="79"/>
      <c r="B92" s="83"/>
      <c r="C92" s="79"/>
      <c r="F92" s="102"/>
      <c r="G92" s="102"/>
      <c r="H92" s="102"/>
      <c r="I92" s="97"/>
      <c r="J92" s="90"/>
      <c r="K92" s="97"/>
      <c r="L92" s="90"/>
      <c r="M92" s="97"/>
      <c r="N92" s="90"/>
      <c r="O92" s="79"/>
      <c r="P92" s="79"/>
      <c r="Q92" s="79"/>
      <c r="R92" s="79"/>
      <c r="S92" s="79"/>
      <c r="T92" s="79"/>
      <c r="U92" s="79"/>
      <c r="V92" s="79"/>
    </row>
    <row r="93" spans="1:22" s="82" customFormat="1" ht="14.25">
      <c r="A93" s="79"/>
      <c r="B93" s="83"/>
      <c r="C93" s="79"/>
      <c r="F93" s="102"/>
      <c r="G93" s="102"/>
      <c r="H93" s="102"/>
      <c r="I93" s="97"/>
      <c r="J93" s="90"/>
      <c r="K93" s="97"/>
      <c r="L93" s="90"/>
      <c r="M93" s="97"/>
      <c r="N93" s="90"/>
      <c r="O93" s="79"/>
      <c r="P93" s="79"/>
      <c r="Q93" s="79"/>
      <c r="R93" s="79"/>
      <c r="S93" s="79"/>
      <c r="T93" s="79"/>
      <c r="U93" s="79"/>
      <c r="V93" s="79"/>
    </row>
    <row r="94" spans="1:22" s="82" customFormat="1" ht="14.25">
      <c r="A94" s="79"/>
      <c r="B94" s="83"/>
      <c r="C94" s="79"/>
      <c r="F94" s="102"/>
      <c r="G94" s="102"/>
      <c r="H94" s="102"/>
      <c r="I94" s="97"/>
      <c r="J94" s="90"/>
      <c r="K94" s="97"/>
      <c r="L94" s="90"/>
      <c r="M94" s="97"/>
      <c r="N94" s="90"/>
      <c r="O94" s="79"/>
      <c r="P94" s="79"/>
      <c r="Q94" s="79"/>
      <c r="R94" s="79"/>
      <c r="S94" s="79"/>
      <c r="T94" s="79"/>
      <c r="U94" s="79"/>
      <c r="V94" s="79"/>
    </row>
    <row r="95" spans="1:22" s="82" customFormat="1" ht="14.25">
      <c r="A95" s="79"/>
      <c r="B95" s="83"/>
      <c r="C95" s="79"/>
      <c r="F95" s="102"/>
      <c r="G95" s="102"/>
      <c r="H95" s="102"/>
      <c r="I95" s="97"/>
      <c r="J95" s="90"/>
      <c r="K95" s="97"/>
      <c r="L95" s="90"/>
      <c r="M95" s="97"/>
      <c r="N95" s="90"/>
      <c r="O95" s="79"/>
      <c r="P95" s="79"/>
      <c r="Q95" s="79"/>
      <c r="R95" s="79"/>
      <c r="S95" s="79"/>
      <c r="T95" s="79"/>
      <c r="U95" s="79"/>
      <c r="V95" s="79"/>
    </row>
    <row r="96" spans="1:22" s="82" customFormat="1" ht="14.25">
      <c r="A96" s="79"/>
      <c r="B96" s="83"/>
      <c r="C96" s="79"/>
      <c r="F96" s="102"/>
      <c r="G96" s="102"/>
      <c r="H96" s="102"/>
      <c r="I96" s="97"/>
      <c r="J96" s="90"/>
      <c r="K96" s="97"/>
      <c r="L96" s="90"/>
      <c r="M96" s="97"/>
      <c r="N96" s="90"/>
      <c r="O96" s="79"/>
      <c r="P96" s="79"/>
      <c r="Q96" s="79"/>
      <c r="R96" s="79"/>
      <c r="S96" s="79"/>
      <c r="T96" s="79"/>
      <c r="U96" s="79"/>
      <c r="V96" s="79"/>
    </row>
    <row r="97" spans="1:22" s="82" customFormat="1" ht="14.25">
      <c r="A97" s="79"/>
      <c r="B97" s="83"/>
      <c r="C97" s="79"/>
      <c r="F97" s="102"/>
      <c r="G97" s="102"/>
      <c r="H97" s="102"/>
      <c r="I97" s="97"/>
      <c r="J97" s="90"/>
      <c r="K97" s="97"/>
      <c r="L97" s="90"/>
      <c r="M97" s="97"/>
      <c r="N97" s="90"/>
      <c r="O97" s="79"/>
      <c r="P97" s="79"/>
      <c r="Q97" s="79"/>
      <c r="R97" s="79"/>
      <c r="S97" s="79"/>
      <c r="T97" s="79"/>
      <c r="U97" s="79"/>
      <c r="V97" s="79"/>
    </row>
    <row r="98" spans="1:22" s="82" customFormat="1" ht="14.25">
      <c r="A98" s="79"/>
      <c r="B98" s="83"/>
      <c r="C98" s="79"/>
      <c r="F98" s="102"/>
      <c r="G98" s="102"/>
      <c r="H98" s="102"/>
      <c r="I98" s="97"/>
      <c r="J98" s="90"/>
      <c r="K98" s="97"/>
      <c r="L98" s="90"/>
      <c r="M98" s="97"/>
      <c r="N98" s="90"/>
      <c r="O98" s="79"/>
      <c r="P98" s="79"/>
      <c r="Q98" s="79"/>
      <c r="R98" s="79"/>
      <c r="S98" s="79"/>
      <c r="T98" s="79"/>
      <c r="U98" s="79"/>
      <c r="V98" s="79"/>
    </row>
    <row r="99" spans="1:22" s="82" customFormat="1" ht="14.25">
      <c r="A99" s="79"/>
      <c r="B99" s="83"/>
      <c r="C99" s="79"/>
      <c r="F99" s="102"/>
      <c r="G99" s="102"/>
      <c r="H99" s="102"/>
      <c r="I99" s="97"/>
      <c r="J99" s="90"/>
      <c r="K99" s="97"/>
      <c r="L99" s="90"/>
      <c r="M99" s="97"/>
      <c r="N99" s="90"/>
      <c r="O99" s="79"/>
      <c r="P99" s="79"/>
      <c r="Q99" s="79"/>
      <c r="R99" s="79"/>
      <c r="S99" s="79"/>
      <c r="T99" s="79"/>
      <c r="U99" s="79"/>
      <c r="V99" s="79"/>
    </row>
    <row r="100" spans="1:22" s="82" customFormat="1" ht="14.25">
      <c r="A100" s="79"/>
      <c r="B100" s="83"/>
      <c r="C100" s="79"/>
      <c r="F100" s="102"/>
      <c r="G100" s="102"/>
      <c r="H100" s="102"/>
      <c r="I100" s="97"/>
      <c r="J100" s="90"/>
      <c r="K100" s="97"/>
      <c r="L100" s="90"/>
      <c r="M100" s="97"/>
      <c r="N100" s="90"/>
      <c r="O100" s="79"/>
      <c r="P100" s="79"/>
      <c r="Q100" s="79"/>
      <c r="R100" s="79"/>
      <c r="S100" s="79"/>
      <c r="T100" s="79"/>
      <c r="U100" s="79"/>
      <c r="V100" s="79"/>
    </row>
    <row r="101" spans="1:22" s="82" customFormat="1" ht="14.25">
      <c r="A101" s="79"/>
      <c r="B101" s="83"/>
      <c r="C101" s="79"/>
      <c r="F101" s="102"/>
      <c r="G101" s="102"/>
      <c r="H101" s="102"/>
      <c r="I101" s="97"/>
      <c r="J101" s="90"/>
      <c r="K101" s="97"/>
      <c r="L101" s="90"/>
      <c r="M101" s="97"/>
      <c r="N101" s="90"/>
      <c r="O101" s="79"/>
      <c r="P101" s="79"/>
      <c r="Q101" s="79"/>
      <c r="R101" s="79"/>
      <c r="S101" s="79"/>
      <c r="T101" s="79"/>
      <c r="U101" s="79"/>
      <c r="V101" s="79"/>
    </row>
    <row r="102" spans="1:22" s="82" customFormat="1" ht="14.25">
      <c r="A102" s="79"/>
      <c r="B102" s="83"/>
      <c r="C102" s="79"/>
      <c r="F102" s="102"/>
      <c r="G102" s="102"/>
      <c r="H102" s="102"/>
      <c r="I102" s="97"/>
      <c r="J102" s="90"/>
      <c r="K102" s="97"/>
      <c r="L102" s="90"/>
      <c r="M102" s="97"/>
      <c r="N102" s="90"/>
      <c r="O102" s="79"/>
      <c r="P102" s="79"/>
      <c r="Q102" s="79"/>
      <c r="R102" s="79"/>
      <c r="S102" s="79"/>
      <c r="T102" s="79"/>
      <c r="U102" s="79"/>
      <c r="V102" s="79"/>
    </row>
  </sheetData>
  <mergeCells count="25">
    <mergeCell ref="H7:H34"/>
    <mergeCell ref="G9:G15"/>
    <mergeCell ref="G16:G22"/>
    <mergeCell ref="G23:G29"/>
    <mergeCell ref="G30:G36"/>
    <mergeCell ref="C7:C36"/>
    <mergeCell ref="B9:B15"/>
    <mergeCell ref="B16:B22"/>
    <mergeCell ref="B23:B29"/>
    <mergeCell ref="B30:B36"/>
    <mergeCell ref="B2:N2"/>
    <mergeCell ref="M5:N5"/>
    <mergeCell ref="K4:L4"/>
    <mergeCell ref="M4:N4"/>
    <mergeCell ref="B3:B6"/>
    <mergeCell ref="C3:C6"/>
    <mergeCell ref="D3:E6"/>
    <mergeCell ref="F3:H4"/>
    <mergeCell ref="I4:J4"/>
    <mergeCell ref="I5:J5"/>
    <mergeCell ref="K5:L5"/>
    <mergeCell ref="H5:H6"/>
    <mergeCell ref="F5:F6"/>
    <mergeCell ref="G5:G6"/>
    <mergeCell ref="I3:N3"/>
  </mergeCells>
  <phoneticPr fontId="20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A2:N99"/>
  <sheetViews>
    <sheetView zoomScale="85" zoomScaleNormal="85" workbookViewId="0">
      <selection sqref="A1:XFD1048576"/>
    </sheetView>
  </sheetViews>
  <sheetFormatPr defaultColWidth="8.85546875" defaultRowHeight="16.5"/>
  <cols>
    <col min="1" max="1" width="8.85546875" style="79" customWidth="1"/>
    <col min="2" max="2" width="13.140625" style="79" customWidth="1"/>
    <col min="3" max="3" width="8.85546875" style="103" customWidth="1"/>
    <col min="4" max="4" width="17" style="103" customWidth="1"/>
    <col min="5" max="5" width="8.5703125" style="82" customWidth="1"/>
    <col min="6" max="8" width="17.42578125" style="104" customWidth="1"/>
    <col min="9" max="9" width="10.42578125" style="88" customWidth="1"/>
    <col min="10" max="10" width="10.42578125" style="90" customWidth="1"/>
    <col min="11" max="11" width="10.42578125" style="88" customWidth="1"/>
    <col min="12" max="12" width="10.42578125" style="90" customWidth="1"/>
    <col min="13" max="13" width="10.42578125" style="88" customWidth="1"/>
    <col min="14" max="14" width="10.42578125" style="90" customWidth="1"/>
    <col min="15" max="34" width="8.85546875" style="79" customWidth="1"/>
    <col min="35" max="16384" width="8.85546875" style="79"/>
  </cols>
  <sheetData>
    <row r="2" spans="1:14" ht="38.1" customHeight="1">
      <c r="A2" s="78"/>
      <c r="B2" s="207" t="s">
        <v>38</v>
      </c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207"/>
    </row>
    <row r="3" spans="1:14" ht="25.35" customHeight="1">
      <c r="B3" s="432" t="s">
        <v>1</v>
      </c>
      <c r="C3" s="433" t="s">
        <v>29</v>
      </c>
      <c r="D3" s="434" t="s">
        <v>3</v>
      </c>
      <c r="E3" s="434"/>
      <c r="F3" s="449" t="s">
        <v>39</v>
      </c>
      <c r="G3" s="450"/>
      <c r="H3" s="450"/>
      <c r="I3" s="444" t="s">
        <v>40</v>
      </c>
      <c r="J3" s="445"/>
      <c r="K3" s="445"/>
      <c r="L3" s="445"/>
      <c r="M3" s="445"/>
      <c r="N3" s="446"/>
    </row>
    <row r="4" spans="1:14" ht="25.35" customHeight="1">
      <c r="B4" s="432"/>
      <c r="C4" s="433"/>
      <c r="D4" s="434"/>
      <c r="E4" s="434"/>
      <c r="F4" s="450"/>
      <c r="G4" s="450"/>
      <c r="H4" s="450"/>
      <c r="I4" s="447" t="s">
        <v>32</v>
      </c>
      <c r="J4" s="447"/>
      <c r="K4" s="447" t="s">
        <v>33</v>
      </c>
      <c r="L4" s="447"/>
      <c r="M4" s="447" t="s">
        <v>34</v>
      </c>
      <c r="N4" s="447"/>
    </row>
    <row r="5" spans="1:14" ht="25.35" customHeight="1">
      <c r="B5" s="432"/>
      <c r="C5" s="433"/>
      <c r="D5" s="434"/>
      <c r="E5" s="434"/>
      <c r="F5" s="448" t="s">
        <v>10</v>
      </c>
      <c r="G5" s="448" t="s">
        <v>11</v>
      </c>
      <c r="H5" s="448" t="s">
        <v>12</v>
      </c>
      <c r="I5" s="447" t="s">
        <v>35</v>
      </c>
      <c r="J5" s="447"/>
      <c r="K5" s="447" t="s">
        <v>35</v>
      </c>
      <c r="L5" s="447"/>
      <c r="M5" s="447" t="s">
        <v>35</v>
      </c>
      <c r="N5" s="447"/>
    </row>
    <row r="6" spans="1:14" s="82" customFormat="1" ht="23.45" customHeight="1">
      <c r="B6" s="432"/>
      <c r="C6" s="433"/>
      <c r="D6" s="434"/>
      <c r="E6" s="434"/>
      <c r="F6" s="448"/>
      <c r="G6" s="448"/>
      <c r="H6" s="448"/>
      <c r="I6" s="105" t="s">
        <v>41</v>
      </c>
      <c r="J6" s="99" t="s">
        <v>37</v>
      </c>
      <c r="K6" s="105" t="s">
        <v>41</v>
      </c>
      <c r="L6" s="99" t="s">
        <v>37</v>
      </c>
      <c r="M6" s="105" t="s">
        <v>41</v>
      </c>
      <c r="N6" s="99" t="s">
        <v>37</v>
      </c>
    </row>
    <row r="7" spans="1:14" ht="14.25">
      <c r="B7" s="336"/>
      <c r="C7" s="407" t="s">
        <v>13</v>
      </c>
      <c r="D7" s="331">
        <v>46082</v>
      </c>
      <c r="E7" s="332" t="s">
        <v>10</v>
      </c>
      <c r="F7" s="206">
        <f>SUM(I7,K7,M7)</f>
        <v>61259</v>
      </c>
      <c r="G7" s="337"/>
      <c r="H7" s="442">
        <f>SUM(F7:F37)</f>
        <v>1728171</v>
      </c>
      <c r="I7" s="256">
        <v>53927</v>
      </c>
      <c r="J7" s="101">
        <f t="shared" ref="J7:J36" si="0">I7/F7</f>
        <v>0.88031146443787855</v>
      </c>
      <c r="K7" s="106"/>
      <c r="L7" s="101">
        <f t="shared" ref="L7:L36" si="1">K7/F7</f>
        <v>0</v>
      </c>
      <c r="M7" s="256">
        <v>7332</v>
      </c>
      <c r="N7" s="101">
        <f t="shared" ref="N7:N36" si="2">M7/F7</f>
        <v>0.11968853556212149</v>
      </c>
    </row>
    <row r="8" spans="1:14" ht="14.25">
      <c r="B8" s="336"/>
      <c r="C8" s="407"/>
      <c r="D8" s="331">
        <v>46083</v>
      </c>
      <c r="E8" s="331" t="s">
        <v>14</v>
      </c>
      <c r="F8" s="206">
        <f t="shared" ref="F8:F36" si="3">SUM(I8,K8,M8)</f>
        <v>57720</v>
      </c>
      <c r="G8" s="337"/>
      <c r="H8" s="443"/>
      <c r="I8" s="256">
        <v>50276</v>
      </c>
      <c r="J8" s="101">
        <f t="shared" si="0"/>
        <v>0.87103257103257103</v>
      </c>
      <c r="K8" s="106"/>
      <c r="L8" s="101">
        <f t="shared" si="1"/>
        <v>0</v>
      </c>
      <c r="M8" s="256">
        <v>7444</v>
      </c>
      <c r="N8" s="101">
        <f t="shared" si="2"/>
        <v>0.12896742896742897</v>
      </c>
    </row>
    <row r="9" spans="1:14" ht="14.25">
      <c r="B9" s="411">
        <v>46092</v>
      </c>
      <c r="C9" s="407"/>
      <c r="D9" s="331">
        <v>46084</v>
      </c>
      <c r="E9" s="332" t="s">
        <v>15</v>
      </c>
      <c r="F9" s="206">
        <f t="shared" si="3"/>
        <v>73597</v>
      </c>
      <c r="G9" s="410">
        <f>SUM(F9:F15)</f>
        <v>433192</v>
      </c>
      <c r="H9" s="443"/>
      <c r="I9" s="256">
        <v>56901</v>
      </c>
      <c r="J9" s="101">
        <f t="shared" si="0"/>
        <v>0.77314292702148191</v>
      </c>
      <c r="K9" s="106"/>
      <c r="L9" s="101">
        <f t="shared" si="1"/>
        <v>0</v>
      </c>
      <c r="M9" s="256">
        <v>16696</v>
      </c>
      <c r="N9" s="101">
        <f t="shared" si="2"/>
        <v>0.22685707297851815</v>
      </c>
    </row>
    <row r="10" spans="1:14" ht="14.25">
      <c r="B10" s="411"/>
      <c r="C10" s="407"/>
      <c r="D10" s="331">
        <v>46085</v>
      </c>
      <c r="E10" s="332" t="s">
        <v>13</v>
      </c>
      <c r="F10" s="206">
        <f t="shared" si="3"/>
        <v>60633</v>
      </c>
      <c r="G10" s="410"/>
      <c r="H10" s="443"/>
      <c r="I10" s="256">
        <v>48627</v>
      </c>
      <c r="J10" s="101">
        <f t="shared" si="0"/>
        <v>0.8019890158824402</v>
      </c>
      <c r="K10" s="106"/>
      <c r="L10" s="101">
        <f t="shared" si="1"/>
        <v>0</v>
      </c>
      <c r="M10" s="256">
        <v>12006</v>
      </c>
      <c r="N10" s="101">
        <f t="shared" si="2"/>
        <v>0.19801098411755974</v>
      </c>
    </row>
    <row r="11" spans="1:14" ht="14.25">
      <c r="B11" s="411"/>
      <c r="C11" s="407"/>
      <c r="D11" s="331">
        <v>46086</v>
      </c>
      <c r="E11" s="332" t="s">
        <v>16</v>
      </c>
      <c r="F11" s="206">
        <f t="shared" si="3"/>
        <v>55438</v>
      </c>
      <c r="G11" s="410"/>
      <c r="H11" s="443"/>
      <c r="I11" s="256">
        <v>44046</v>
      </c>
      <c r="J11" s="101">
        <f t="shared" si="0"/>
        <v>0.79450918142790139</v>
      </c>
      <c r="K11" s="106"/>
      <c r="L11" s="101">
        <f t="shared" si="1"/>
        <v>0</v>
      </c>
      <c r="M11" s="256">
        <v>11392</v>
      </c>
      <c r="N11" s="101">
        <f t="shared" si="2"/>
        <v>0.20549081857209855</v>
      </c>
    </row>
    <row r="12" spans="1:14" ht="14.25">
      <c r="B12" s="411"/>
      <c r="C12" s="407"/>
      <c r="D12" s="331">
        <v>46087</v>
      </c>
      <c r="E12" s="332" t="s">
        <v>17</v>
      </c>
      <c r="F12" s="206">
        <f t="shared" si="3"/>
        <v>51832</v>
      </c>
      <c r="G12" s="410"/>
      <c r="H12" s="443"/>
      <c r="I12" s="256">
        <v>41655</v>
      </c>
      <c r="J12" s="101">
        <f t="shared" si="0"/>
        <v>0.80365411328908787</v>
      </c>
      <c r="K12" s="106"/>
      <c r="L12" s="101">
        <f t="shared" si="1"/>
        <v>0</v>
      </c>
      <c r="M12" s="256">
        <v>10177</v>
      </c>
      <c r="N12" s="101">
        <f t="shared" si="2"/>
        <v>0.19634588671091219</v>
      </c>
    </row>
    <row r="13" spans="1:14" ht="14.25">
      <c r="B13" s="411"/>
      <c r="C13" s="407"/>
      <c r="D13" s="331">
        <v>46088</v>
      </c>
      <c r="E13" s="332" t="s">
        <v>18</v>
      </c>
      <c r="F13" s="206">
        <f t="shared" si="3"/>
        <v>55948</v>
      </c>
      <c r="G13" s="410"/>
      <c r="H13" s="443"/>
      <c r="I13" s="256">
        <v>44973</v>
      </c>
      <c r="J13" s="101">
        <f t="shared" si="0"/>
        <v>0.80383570458282694</v>
      </c>
      <c r="K13" s="106"/>
      <c r="L13" s="101">
        <f t="shared" si="1"/>
        <v>0</v>
      </c>
      <c r="M13" s="256">
        <v>10975</v>
      </c>
      <c r="N13" s="101">
        <f t="shared" si="2"/>
        <v>0.19616429541717309</v>
      </c>
    </row>
    <row r="14" spans="1:14" ht="14.25">
      <c r="B14" s="411"/>
      <c r="C14" s="407"/>
      <c r="D14" s="331">
        <v>46089</v>
      </c>
      <c r="E14" s="332" t="s">
        <v>10</v>
      </c>
      <c r="F14" s="206">
        <f t="shared" si="3"/>
        <v>70541</v>
      </c>
      <c r="G14" s="410"/>
      <c r="H14" s="443"/>
      <c r="I14" s="256">
        <v>56690</v>
      </c>
      <c r="J14" s="101">
        <f t="shared" si="0"/>
        <v>0.80364610651961266</v>
      </c>
      <c r="K14" s="106"/>
      <c r="L14" s="101">
        <f t="shared" si="1"/>
        <v>0</v>
      </c>
      <c r="M14" s="256">
        <v>13851</v>
      </c>
      <c r="N14" s="101">
        <f t="shared" si="2"/>
        <v>0.19635389348038729</v>
      </c>
    </row>
    <row r="15" spans="1:14" ht="14.25">
      <c r="B15" s="411"/>
      <c r="C15" s="407"/>
      <c r="D15" s="331">
        <v>46090</v>
      </c>
      <c r="E15" s="331" t="s">
        <v>14</v>
      </c>
      <c r="F15" s="206">
        <f t="shared" si="3"/>
        <v>65203</v>
      </c>
      <c r="G15" s="410"/>
      <c r="H15" s="443"/>
      <c r="I15" s="256">
        <v>52413</v>
      </c>
      <c r="J15" s="101">
        <f t="shared" si="0"/>
        <v>0.80384338143950429</v>
      </c>
      <c r="K15" s="106"/>
      <c r="L15" s="101">
        <f t="shared" si="1"/>
        <v>0</v>
      </c>
      <c r="M15" s="256">
        <v>12790</v>
      </c>
      <c r="N15" s="101">
        <f t="shared" si="2"/>
        <v>0.19615661856049568</v>
      </c>
    </row>
    <row r="16" spans="1:14" ht="14.25">
      <c r="B16" s="411">
        <v>46099</v>
      </c>
      <c r="C16" s="407"/>
      <c r="D16" s="331">
        <v>46091</v>
      </c>
      <c r="E16" s="332" t="s">
        <v>15</v>
      </c>
      <c r="F16" s="206">
        <f t="shared" si="3"/>
        <v>59799</v>
      </c>
      <c r="G16" s="410">
        <f>SUM(F16:F22)</f>
        <v>390398</v>
      </c>
      <c r="H16" s="443"/>
      <c r="I16" s="256">
        <v>48894</v>
      </c>
      <c r="J16" s="101">
        <f t="shared" si="0"/>
        <v>0.81763909095469822</v>
      </c>
      <c r="K16" s="106"/>
      <c r="L16" s="101">
        <f t="shared" si="1"/>
        <v>0</v>
      </c>
      <c r="M16" s="256">
        <v>10905</v>
      </c>
      <c r="N16" s="101">
        <f t="shared" si="2"/>
        <v>0.18236090904530175</v>
      </c>
    </row>
    <row r="17" spans="2:14" ht="14.25">
      <c r="B17" s="411"/>
      <c r="C17" s="407"/>
      <c r="D17" s="331">
        <v>46092</v>
      </c>
      <c r="E17" s="332" t="s">
        <v>13</v>
      </c>
      <c r="F17" s="206">
        <f t="shared" si="3"/>
        <v>53821</v>
      </c>
      <c r="G17" s="410"/>
      <c r="H17" s="443"/>
      <c r="I17" s="256">
        <v>44022</v>
      </c>
      <c r="J17" s="101">
        <f t="shared" si="0"/>
        <v>0.81793352037308853</v>
      </c>
      <c r="K17" s="106"/>
      <c r="L17" s="101">
        <f t="shared" si="1"/>
        <v>0</v>
      </c>
      <c r="M17" s="256">
        <v>9799</v>
      </c>
      <c r="N17" s="101">
        <f t="shared" si="2"/>
        <v>0.18206647962691141</v>
      </c>
    </row>
    <row r="18" spans="2:14" ht="14.25">
      <c r="B18" s="411"/>
      <c r="C18" s="407"/>
      <c r="D18" s="331">
        <v>46093</v>
      </c>
      <c r="E18" s="332" t="s">
        <v>16</v>
      </c>
      <c r="F18" s="206">
        <f t="shared" si="3"/>
        <v>49504</v>
      </c>
      <c r="G18" s="410"/>
      <c r="H18" s="443"/>
      <c r="I18" s="256">
        <v>39176</v>
      </c>
      <c r="J18" s="101">
        <f t="shared" si="0"/>
        <v>0.79137039431157075</v>
      </c>
      <c r="K18" s="106"/>
      <c r="L18" s="101">
        <f t="shared" si="1"/>
        <v>0</v>
      </c>
      <c r="M18" s="256">
        <v>10328</v>
      </c>
      <c r="N18" s="101">
        <f t="shared" si="2"/>
        <v>0.20862960568842923</v>
      </c>
    </row>
    <row r="19" spans="2:14" ht="14.25">
      <c r="B19" s="411"/>
      <c r="C19" s="407"/>
      <c r="D19" s="331">
        <v>46094</v>
      </c>
      <c r="E19" s="332" t="s">
        <v>17</v>
      </c>
      <c r="F19" s="206">
        <f t="shared" si="3"/>
        <v>49829</v>
      </c>
      <c r="G19" s="410"/>
      <c r="H19" s="443"/>
      <c r="I19" s="256">
        <v>39928</v>
      </c>
      <c r="J19" s="101">
        <f t="shared" si="0"/>
        <v>0.80130044753055452</v>
      </c>
      <c r="K19" s="106"/>
      <c r="L19" s="101">
        <f t="shared" si="1"/>
        <v>0</v>
      </c>
      <c r="M19" s="256">
        <v>9901</v>
      </c>
      <c r="N19" s="101">
        <f t="shared" si="2"/>
        <v>0.19869955246944551</v>
      </c>
    </row>
    <row r="20" spans="2:14" ht="14.25">
      <c r="B20" s="411"/>
      <c r="C20" s="407"/>
      <c r="D20" s="331">
        <v>46095</v>
      </c>
      <c r="E20" s="332" t="s">
        <v>18</v>
      </c>
      <c r="F20" s="206">
        <f t="shared" si="3"/>
        <v>51404</v>
      </c>
      <c r="G20" s="410"/>
      <c r="H20" s="443"/>
      <c r="I20" s="256">
        <v>41352</v>
      </c>
      <c r="J20" s="101">
        <f t="shared" si="0"/>
        <v>0.80445101548517628</v>
      </c>
      <c r="K20" s="106"/>
      <c r="L20" s="101">
        <f t="shared" si="1"/>
        <v>0</v>
      </c>
      <c r="M20" s="256">
        <v>10052</v>
      </c>
      <c r="N20" s="101">
        <f t="shared" si="2"/>
        <v>0.19554898451482375</v>
      </c>
    </row>
    <row r="21" spans="2:14" ht="14.25">
      <c r="B21" s="411"/>
      <c r="C21" s="407"/>
      <c r="D21" s="331">
        <v>46096</v>
      </c>
      <c r="E21" s="332" t="s">
        <v>10</v>
      </c>
      <c r="F21" s="206">
        <f t="shared" si="3"/>
        <v>63491</v>
      </c>
      <c r="G21" s="410"/>
      <c r="H21" s="443"/>
      <c r="I21" s="256">
        <v>51847</v>
      </c>
      <c r="J21" s="101">
        <f t="shared" si="0"/>
        <v>0.81660392811579596</v>
      </c>
      <c r="K21" s="106"/>
      <c r="L21" s="101">
        <f t="shared" si="1"/>
        <v>0</v>
      </c>
      <c r="M21" s="256">
        <v>11644</v>
      </c>
      <c r="N21" s="101">
        <f t="shared" si="2"/>
        <v>0.18339607188420406</v>
      </c>
    </row>
    <row r="22" spans="2:14" ht="14.25">
      <c r="B22" s="411"/>
      <c r="C22" s="407"/>
      <c r="D22" s="331">
        <v>46097</v>
      </c>
      <c r="E22" s="331" t="s">
        <v>14</v>
      </c>
      <c r="F22" s="206">
        <f t="shared" si="3"/>
        <v>62550</v>
      </c>
      <c r="G22" s="410"/>
      <c r="H22" s="443"/>
      <c r="I22" s="256">
        <v>49921</v>
      </c>
      <c r="J22" s="101">
        <f t="shared" si="0"/>
        <v>0.79809752198241402</v>
      </c>
      <c r="K22" s="106"/>
      <c r="L22" s="101">
        <f t="shared" si="1"/>
        <v>0</v>
      </c>
      <c r="M22" s="256">
        <v>12629</v>
      </c>
      <c r="N22" s="101">
        <f t="shared" si="2"/>
        <v>0.20190247801758593</v>
      </c>
    </row>
    <row r="23" spans="2:14" ht="14.25">
      <c r="B23" s="411">
        <v>46106</v>
      </c>
      <c r="C23" s="407"/>
      <c r="D23" s="331">
        <v>46098</v>
      </c>
      <c r="E23" s="332" t="s">
        <v>15</v>
      </c>
      <c r="F23" s="206">
        <f t="shared" si="3"/>
        <v>64275</v>
      </c>
      <c r="G23" s="410">
        <f>SUM(F23:F29)</f>
        <v>398848</v>
      </c>
      <c r="H23" s="443"/>
      <c r="I23" s="256">
        <v>53993</v>
      </c>
      <c r="J23" s="101">
        <f t="shared" si="0"/>
        <v>0.84003111629716065</v>
      </c>
      <c r="K23" s="106"/>
      <c r="L23" s="101">
        <f t="shared" si="1"/>
        <v>0</v>
      </c>
      <c r="M23" s="256">
        <v>10282</v>
      </c>
      <c r="N23" s="101">
        <f t="shared" si="2"/>
        <v>0.15996888370283935</v>
      </c>
    </row>
    <row r="24" spans="2:14" ht="14.25">
      <c r="B24" s="411"/>
      <c r="C24" s="407"/>
      <c r="D24" s="331">
        <v>46099</v>
      </c>
      <c r="E24" s="332" t="s">
        <v>13</v>
      </c>
      <c r="F24" s="206">
        <f t="shared" si="3"/>
        <v>56324</v>
      </c>
      <c r="G24" s="410"/>
      <c r="H24" s="443"/>
      <c r="I24" s="256">
        <v>45906</v>
      </c>
      <c r="J24" s="101">
        <f t="shared" si="0"/>
        <v>0.8150344435764505</v>
      </c>
      <c r="K24" s="106"/>
      <c r="L24" s="101">
        <f t="shared" si="1"/>
        <v>0</v>
      </c>
      <c r="M24" s="256">
        <v>10418</v>
      </c>
      <c r="N24" s="101">
        <f t="shared" si="2"/>
        <v>0.18496555642354948</v>
      </c>
    </row>
    <row r="25" spans="2:14" ht="14.25">
      <c r="B25" s="411"/>
      <c r="C25" s="407"/>
      <c r="D25" s="331">
        <v>46100</v>
      </c>
      <c r="E25" s="332" t="s">
        <v>16</v>
      </c>
      <c r="F25" s="206">
        <f t="shared" si="3"/>
        <v>52529</v>
      </c>
      <c r="G25" s="410"/>
      <c r="H25" s="443"/>
      <c r="I25" s="256">
        <v>43074</v>
      </c>
      <c r="J25" s="101">
        <f t="shared" si="0"/>
        <v>0.82000418816272913</v>
      </c>
      <c r="K25" s="106"/>
      <c r="L25" s="101">
        <f t="shared" si="1"/>
        <v>0</v>
      </c>
      <c r="M25" s="256">
        <v>9455</v>
      </c>
      <c r="N25" s="101">
        <f t="shared" si="2"/>
        <v>0.17999581183727084</v>
      </c>
    </row>
    <row r="26" spans="2:14" ht="14.25">
      <c r="B26" s="411"/>
      <c r="C26" s="407"/>
      <c r="D26" s="331">
        <v>46101</v>
      </c>
      <c r="E26" s="332" t="s">
        <v>17</v>
      </c>
      <c r="F26" s="206">
        <f t="shared" si="3"/>
        <v>47947</v>
      </c>
      <c r="G26" s="410"/>
      <c r="H26" s="443"/>
      <c r="I26" s="256">
        <v>39471</v>
      </c>
      <c r="J26" s="101">
        <f t="shared" si="0"/>
        <v>0.82322147371055543</v>
      </c>
      <c r="K26" s="106"/>
      <c r="L26" s="101">
        <f t="shared" si="1"/>
        <v>0</v>
      </c>
      <c r="M26" s="256">
        <v>8476</v>
      </c>
      <c r="N26" s="101">
        <f t="shared" si="2"/>
        <v>0.1767785262894446</v>
      </c>
    </row>
    <row r="27" spans="2:14" ht="14.25">
      <c r="B27" s="411"/>
      <c r="C27" s="407"/>
      <c r="D27" s="331">
        <v>46102</v>
      </c>
      <c r="E27" s="332" t="s">
        <v>18</v>
      </c>
      <c r="F27" s="206">
        <f t="shared" si="3"/>
        <v>51828</v>
      </c>
      <c r="G27" s="410"/>
      <c r="H27" s="443"/>
      <c r="I27" s="256">
        <v>42756</v>
      </c>
      <c r="J27" s="101">
        <f t="shared" si="0"/>
        <v>0.82495948136142627</v>
      </c>
      <c r="K27" s="106"/>
      <c r="L27" s="101">
        <f t="shared" si="1"/>
        <v>0</v>
      </c>
      <c r="M27" s="256">
        <v>9072</v>
      </c>
      <c r="N27" s="101">
        <f t="shared" si="2"/>
        <v>0.17504051863857376</v>
      </c>
    </row>
    <row r="28" spans="2:14" ht="14.25">
      <c r="B28" s="411"/>
      <c r="C28" s="407"/>
      <c r="D28" s="331">
        <v>46103</v>
      </c>
      <c r="E28" s="332" t="s">
        <v>10</v>
      </c>
      <c r="F28" s="206">
        <f t="shared" si="3"/>
        <v>64946</v>
      </c>
      <c r="G28" s="410"/>
      <c r="H28" s="443"/>
      <c r="I28" s="256">
        <v>54226</v>
      </c>
      <c r="J28" s="101">
        <f t="shared" si="0"/>
        <v>0.83493979613833036</v>
      </c>
      <c r="K28" s="106"/>
      <c r="L28" s="101">
        <f t="shared" si="1"/>
        <v>0</v>
      </c>
      <c r="M28" s="256">
        <v>10720</v>
      </c>
      <c r="N28" s="101">
        <f t="shared" si="2"/>
        <v>0.1650602038616697</v>
      </c>
    </row>
    <row r="29" spans="2:14" ht="14.25">
      <c r="B29" s="411"/>
      <c r="C29" s="407"/>
      <c r="D29" s="331">
        <v>46104</v>
      </c>
      <c r="E29" s="331" t="s">
        <v>14</v>
      </c>
      <c r="F29" s="206">
        <f t="shared" si="3"/>
        <v>60999</v>
      </c>
      <c r="G29" s="410"/>
      <c r="H29" s="443"/>
      <c r="I29" s="256">
        <v>50405</v>
      </c>
      <c r="J29" s="101">
        <f t="shared" si="0"/>
        <v>0.82632502172166755</v>
      </c>
      <c r="K29" s="106"/>
      <c r="L29" s="101">
        <f t="shared" si="1"/>
        <v>0</v>
      </c>
      <c r="M29" s="256">
        <v>10594</v>
      </c>
      <c r="N29" s="101">
        <f t="shared" si="2"/>
        <v>0.17367497827833242</v>
      </c>
    </row>
    <row r="30" spans="2:14" ht="14.25">
      <c r="B30" s="411">
        <v>46113</v>
      </c>
      <c r="C30" s="407"/>
      <c r="D30" s="331">
        <v>46105</v>
      </c>
      <c r="E30" s="332" t="s">
        <v>15</v>
      </c>
      <c r="F30" s="206">
        <f t="shared" si="3"/>
        <v>57426</v>
      </c>
      <c r="G30" s="410">
        <f>SUM(F30:F36)</f>
        <v>386754</v>
      </c>
      <c r="H30" s="443"/>
      <c r="I30" s="256">
        <v>47323</v>
      </c>
      <c r="J30" s="101">
        <f t="shared" si="0"/>
        <v>0.82406923693100687</v>
      </c>
      <c r="K30" s="106"/>
      <c r="L30" s="101">
        <f t="shared" si="1"/>
        <v>0</v>
      </c>
      <c r="M30" s="256">
        <v>10103</v>
      </c>
      <c r="N30" s="101">
        <f t="shared" si="2"/>
        <v>0.17593076306899313</v>
      </c>
    </row>
    <row r="31" spans="2:14" ht="14.25">
      <c r="B31" s="411"/>
      <c r="C31" s="407"/>
      <c r="D31" s="331">
        <v>46106</v>
      </c>
      <c r="E31" s="332" t="s">
        <v>13</v>
      </c>
      <c r="F31" s="206">
        <f t="shared" si="3"/>
        <v>53463</v>
      </c>
      <c r="G31" s="410"/>
      <c r="H31" s="443"/>
      <c r="I31" s="256">
        <v>43833</v>
      </c>
      <c r="J31" s="101">
        <f t="shared" si="0"/>
        <v>0.81987542786600076</v>
      </c>
      <c r="K31" s="106"/>
      <c r="L31" s="101">
        <f t="shared" si="1"/>
        <v>0</v>
      </c>
      <c r="M31" s="256">
        <v>9630</v>
      </c>
      <c r="N31" s="101">
        <f t="shared" si="2"/>
        <v>0.18012457213399921</v>
      </c>
    </row>
    <row r="32" spans="2:14" ht="14.25">
      <c r="B32" s="411"/>
      <c r="C32" s="407"/>
      <c r="D32" s="331">
        <v>46107</v>
      </c>
      <c r="E32" s="332" t="s">
        <v>16</v>
      </c>
      <c r="F32" s="206">
        <f t="shared" si="3"/>
        <v>51604</v>
      </c>
      <c r="G32" s="410"/>
      <c r="H32" s="443"/>
      <c r="I32" s="256">
        <v>42017</v>
      </c>
      <c r="J32" s="101">
        <f t="shared" si="0"/>
        <v>0.81421982792031622</v>
      </c>
      <c r="K32" s="106"/>
      <c r="L32" s="101">
        <f t="shared" si="1"/>
        <v>0</v>
      </c>
      <c r="M32" s="256">
        <v>9587</v>
      </c>
      <c r="N32" s="101">
        <f t="shared" si="2"/>
        <v>0.18578017207968375</v>
      </c>
    </row>
    <row r="33" spans="2:14" ht="14.25">
      <c r="B33" s="411"/>
      <c r="C33" s="407"/>
      <c r="D33" s="331">
        <v>46108</v>
      </c>
      <c r="E33" s="332" t="s">
        <v>17</v>
      </c>
      <c r="F33" s="206">
        <f t="shared" si="3"/>
        <v>49468</v>
      </c>
      <c r="G33" s="410"/>
      <c r="H33" s="443"/>
      <c r="I33" s="256">
        <v>40119</v>
      </c>
      <c r="J33" s="101">
        <f t="shared" si="0"/>
        <v>0.81100913722002099</v>
      </c>
      <c r="K33" s="106"/>
      <c r="L33" s="101">
        <f t="shared" si="1"/>
        <v>0</v>
      </c>
      <c r="M33" s="256">
        <v>9349</v>
      </c>
      <c r="N33" s="101">
        <f t="shared" si="2"/>
        <v>0.18899086277997898</v>
      </c>
    </row>
    <row r="34" spans="2:14" ht="14.25">
      <c r="B34" s="411"/>
      <c r="C34" s="407"/>
      <c r="D34" s="331">
        <v>46109</v>
      </c>
      <c r="E34" s="332" t="s">
        <v>18</v>
      </c>
      <c r="F34" s="206">
        <f t="shared" si="3"/>
        <v>52737</v>
      </c>
      <c r="G34" s="410"/>
      <c r="H34" s="443"/>
      <c r="I34" s="256">
        <v>42639</v>
      </c>
      <c r="J34" s="101">
        <f t="shared" si="0"/>
        <v>0.80852153137266058</v>
      </c>
      <c r="K34" s="106"/>
      <c r="L34" s="101">
        <f t="shared" si="1"/>
        <v>0</v>
      </c>
      <c r="M34" s="256">
        <v>10098</v>
      </c>
      <c r="N34" s="101">
        <f t="shared" si="2"/>
        <v>0.19147846862733944</v>
      </c>
    </row>
    <row r="35" spans="2:14" ht="14.25">
      <c r="B35" s="411"/>
      <c r="C35" s="407"/>
      <c r="D35" s="331">
        <v>46110</v>
      </c>
      <c r="E35" s="332" t="s">
        <v>10</v>
      </c>
      <c r="F35" s="206">
        <f t="shared" si="3"/>
        <v>62601</v>
      </c>
      <c r="G35" s="410"/>
      <c r="H35" s="443"/>
      <c r="I35" s="256">
        <v>51283</v>
      </c>
      <c r="J35" s="101">
        <f t="shared" si="0"/>
        <v>0.81920416606763469</v>
      </c>
      <c r="K35" s="106"/>
      <c r="L35" s="101">
        <f t="shared" si="1"/>
        <v>0</v>
      </c>
      <c r="M35" s="256">
        <v>11318</v>
      </c>
      <c r="N35" s="101">
        <f t="shared" si="2"/>
        <v>0.18079583393236529</v>
      </c>
    </row>
    <row r="36" spans="2:14" ht="14.25">
      <c r="B36" s="411"/>
      <c r="C36" s="407"/>
      <c r="D36" s="331">
        <v>46111</v>
      </c>
      <c r="E36" s="331" t="s">
        <v>14</v>
      </c>
      <c r="F36" s="206">
        <f t="shared" si="3"/>
        <v>59455</v>
      </c>
      <c r="G36" s="410"/>
      <c r="H36" s="443"/>
      <c r="I36" s="256">
        <v>49390</v>
      </c>
      <c r="J36" s="101">
        <f t="shared" si="0"/>
        <v>0.8307123034227567</v>
      </c>
      <c r="K36" s="106"/>
      <c r="L36" s="101">
        <f t="shared" si="1"/>
        <v>0</v>
      </c>
      <c r="M36" s="256">
        <v>10065</v>
      </c>
      <c r="N36" s="101">
        <f t="shared" si="2"/>
        <v>0.1692876965772433</v>
      </c>
    </row>
    <row r="37" spans="2:14" ht="14.25">
      <c r="B37" s="336"/>
      <c r="C37" s="83"/>
      <c r="D37" s="331">
        <v>46112</v>
      </c>
      <c r="E37" s="332" t="s">
        <v>15</v>
      </c>
      <c r="F37" s="206"/>
      <c r="G37" s="329"/>
      <c r="H37" s="443"/>
      <c r="I37" s="256">
        <v>43782</v>
      </c>
      <c r="J37" s="101" t="e">
        <f>I37/F37</f>
        <v>#DIV/0!</v>
      </c>
      <c r="K37" s="106"/>
      <c r="L37" s="101" t="e">
        <f>K37/F37</f>
        <v>#DIV/0!</v>
      </c>
      <c r="M37" s="256">
        <v>9574</v>
      </c>
      <c r="N37" s="101" t="e">
        <f>M37/F37</f>
        <v>#DIV/0!</v>
      </c>
    </row>
    <row r="38" spans="2:14" ht="14.25">
      <c r="B38" s="336"/>
      <c r="C38" s="79"/>
      <c r="D38" s="331"/>
      <c r="E38" s="332"/>
      <c r="F38" s="206"/>
      <c r="G38" s="329"/>
      <c r="H38" s="206"/>
      <c r="I38" s="256"/>
      <c r="J38" s="101" t="e">
        <f t="shared" ref="J38:J39" si="4">I38/F38</f>
        <v>#DIV/0!</v>
      </c>
      <c r="M38" s="256"/>
      <c r="N38" s="101" t="e">
        <f t="shared" ref="N38:N39" si="5">M38/F38</f>
        <v>#DIV/0!</v>
      </c>
    </row>
    <row r="39" spans="2:14" ht="14.25">
      <c r="B39" s="336"/>
      <c r="C39" s="79"/>
      <c r="D39" s="331"/>
      <c r="E39" s="331"/>
      <c r="F39" s="206"/>
      <c r="G39" s="329"/>
      <c r="H39" s="206"/>
      <c r="I39" s="256"/>
      <c r="J39" s="101" t="e">
        <f t="shared" si="4"/>
        <v>#DIV/0!</v>
      </c>
      <c r="M39" s="256"/>
      <c r="N39" s="101" t="e">
        <f t="shared" si="5"/>
        <v>#DIV/0!</v>
      </c>
    </row>
    <row r="40" spans="2:14" ht="14.25">
      <c r="B40" s="83"/>
      <c r="C40" s="79"/>
      <c r="D40" s="86"/>
      <c r="E40" s="228"/>
      <c r="F40" s="206"/>
      <c r="G40" s="206"/>
      <c r="H40" s="206"/>
    </row>
    <row r="41" spans="2:14" ht="14.25">
      <c r="B41" s="83"/>
      <c r="C41" s="79"/>
      <c r="D41" s="86"/>
      <c r="E41" s="228"/>
      <c r="F41" s="206"/>
      <c r="G41" s="206"/>
      <c r="H41" s="206"/>
    </row>
    <row r="42" spans="2:14" ht="14.25">
      <c r="B42" s="83"/>
      <c r="C42" s="79"/>
      <c r="D42" s="86"/>
      <c r="E42" s="228"/>
      <c r="F42" s="206"/>
      <c r="G42" s="206"/>
      <c r="H42" s="206"/>
    </row>
    <row r="43" spans="2:14" ht="14.25">
      <c r="B43" s="83"/>
      <c r="C43" s="79"/>
      <c r="D43" s="82"/>
      <c r="F43" s="88"/>
      <c r="G43" s="88"/>
      <c r="H43" s="88"/>
    </row>
    <row r="44" spans="2:14" ht="14.25">
      <c r="B44" s="83"/>
      <c r="C44" s="79"/>
      <c r="D44" s="82"/>
      <c r="F44" s="88"/>
      <c r="G44" s="88"/>
      <c r="H44" s="88"/>
    </row>
    <row r="45" spans="2:14" ht="14.25">
      <c r="B45" s="83"/>
      <c r="C45" s="79"/>
      <c r="D45" s="82"/>
      <c r="F45" s="88"/>
      <c r="G45" s="88"/>
      <c r="H45" s="88"/>
    </row>
    <row r="46" spans="2:14" ht="14.25">
      <c r="B46" s="83"/>
      <c r="C46" s="79"/>
      <c r="D46" s="82"/>
      <c r="F46" s="88"/>
      <c r="G46" s="88"/>
      <c r="H46" s="88"/>
    </row>
    <row r="47" spans="2:14" ht="14.25">
      <c r="B47" s="83"/>
      <c r="C47" s="79"/>
      <c r="D47" s="82"/>
    </row>
    <row r="48" spans="2:14" ht="14.25">
      <c r="B48" s="83"/>
      <c r="C48" s="79"/>
      <c r="D48" s="82"/>
    </row>
    <row r="49" spans="2:4" ht="14.25">
      <c r="B49" s="83"/>
      <c r="C49" s="79"/>
      <c r="D49" s="82"/>
    </row>
    <row r="50" spans="2:4" ht="14.25">
      <c r="B50" s="83"/>
      <c r="C50" s="79"/>
      <c r="D50" s="82"/>
    </row>
    <row r="51" spans="2:4" ht="14.25">
      <c r="B51" s="83"/>
      <c r="C51" s="79"/>
      <c r="D51" s="82"/>
    </row>
    <row r="52" spans="2:4" ht="14.25">
      <c r="B52" s="83"/>
      <c r="C52" s="79"/>
      <c r="D52" s="82"/>
    </row>
    <row r="53" spans="2:4" ht="14.25">
      <c r="B53" s="83"/>
      <c r="C53" s="79"/>
      <c r="D53" s="82"/>
    </row>
    <row r="54" spans="2:4" ht="14.25">
      <c r="B54" s="83"/>
      <c r="C54" s="79"/>
      <c r="D54" s="82"/>
    </row>
    <row r="55" spans="2:4" ht="14.25">
      <c r="B55" s="83"/>
      <c r="C55" s="79"/>
      <c r="D55" s="82"/>
    </row>
    <row r="56" spans="2:4" ht="14.25">
      <c r="B56" s="83"/>
      <c r="C56" s="79"/>
      <c r="D56" s="82"/>
    </row>
    <row r="57" spans="2:4" ht="14.25">
      <c r="B57" s="83"/>
      <c r="C57" s="79"/>
      <c r="D57" s="82"/>
    </row>
    <row r="58" spans="2:4" ht="14.25">
      <c r="B58" s="83"/>
      <c r="C58" s="79"/>
      <c r="D58" s="82"/>
    </row>
    <row r="59" spans="2:4" ht="14.25">
      <c r="B59" s="83"/>
      <c r="C59" s="79"/>
      <c r="D59" s="82"/>
    </row>
    <row r="60" spans="2:4" ht="14.25">
      <c r="B60" s="83"/>
      <c r="C60" s="79"/>
      <c r="D60" s="82"/>
    </row>
    <row r="61" spans="2:4" ht="14.25">
      <c r="B61" s="83"/>
      <c r="C61" s="79"/>
      <c r="D61" s="82"/>
    </row>
    <row r="62" spans="2:4" ht="14.25">
      <c r="B62" s="83"/>
      <c r="C62" s="79"/>
      <c r="D62" s="82"/>
    </row>
    <row r="63" spans="2:4" ht="14.25">
      <c r="B63" s="83"/>
      <c r="C63" s="79"/>
      <c r="D63" s="82"/>
    </row>
    <row r="64" spans="2:4" ht="14.25">
      <c r="B64" s="83"/>
      <c r="C64" s="79"/>
      <c r="D64" s="82"/>
    </row>
    <row r="65" spans="2:4" ht="14.25">
      <c r="B65" s="83"/>
      <c r="C65" s="79"/>
      <c r="D65" s="82"/>
    </row>
    <row r="66" spans="2:4" ht="14.25">
      <c r="B66" s="83"/>
      <c r="C66" s="79"/>
      <c r="D66" s="82"/>
    </row>
    <row r="67" spans="2:4" ht="14.25">
      <c r="B67" s="83"/>
      <c r="C67" s="79"/>
      <c r="D67" s="82"/>
    </row>
    <row r="68" spans="2:4" ht="14.25">
      <c r="B68" s="83"/>
      <c r="C68" s="79"/>
      <c r="D68" s="82"/>
    </row>
    <row r="69" spans="2:4" ht="14.25">
      <c r="B69" s="83"/>
      <c r="C69" s="79"/>
      <c r="D69" s="82"/>
    </row>
    <row r="70" spans="2:4" ht="14.25">
      <c r="B70" s="83"/>
      <c r="C70" s="79"/>
      <c r="D70" s="82"/>
    </row>
    <row r="71" spans="2:4" ht="14.25">
      <c r="B71" s="83"/>
      <c r="C71" s="79"/>
      <c r="D71" s="82"/>
    </row>
    <row r="72" spans="2:4" ht="14.25">
      <c r="B72" s="83"/>
      <c r="C72" s="79"/>
      <c r="D72" s="82"/>
    </row>
    <row r="73" spans="2:4" ht="14.25">
      <c r="B73" s="83"/>
      <c r="C73" s="79"/>
      <c r="D73" s="82"/>
    </row>
    <row r="74" spans="2:4" ht="14.25">
      <c r="B74" s="83"/>
      <c r="C74" s="79"/>
      <c r="D74" s="82"/>
    </row>
    <row r="75" spans="2:4" ht="14.25">
      <c r="B75" s="83"/>
      <c r="C75" s="79"/>
      <c r="D75" s="82"/>
    </row>
    <row r="76" spans="2:4" ht="14.25">
      <c r="B76" s="83"/>
      <c r="C76" s="79"/>
      <c r="D76" s="82"/>
    </row>
    <row r="77" spans="2:4" ht="14.25">
      <c r="B77" s="83"/>
      <c r="C77" s="79"/>
      <c r="D77" s="82"/>
    </row>
    <row r="78" spans="2:4" ht="14.25">
      <c r="B78" s="83"/>
      <c r="C78" s="79"/>
      <c r="D78" s="82"/>
    </row>
    <row r="79" spans="2:4" ht="14.25">
      <c r="B79" s="83"/>
      <c r="C79" s="79"/>
      <c r="D79" s="82"/>
    </row>
    <row r="80" spans="2:4" ht="14.25">
      <c r="B80" s="83"/>
      <c r="C80" s="79"/>
      <c r="D80" s="82"/>
    </row>
    <row r="81" spans="2:4" ht="14.25">
      <c r="B81" s="83"/>
      <c r="C81" s="79"/>
      <c r="D81" s="82"/>
    </row>
    <row r="82" spans="2:4" ht="14.25">
      <c r="B82" s="83"/>
      <c r="C82" s="79"/>
      <c r="D82" s="82"/>
    </row>
    <row r="83" spans="2:4" ht="14.25">
      <c r="B83" s="83"/>
      <c r="C83" s="79"/>
      <c r="D83" s="82"/>
    </row>
    <row r="84" spans="2:4" ht="14.25">
      <c r="B84" s="83"/>
      <c r="C84" s="79"/>
      <c r="D84" s="82"/>
    </row>
    <row r="85" spans="2:4" ht="14.25">
      <c r="B85" s="83"/>
      <c r="C85" s="79"/>
      <c r="D85" s="82"/>
    </row>
    <row r="86" spans="2:4" ht="14.25">
      <c r="B86" s="83"/>
      <c r="C86" s="79"/>
      <c r="D86" s="82"/>
    </row>
    <row r="87" spans="2:4" ht="14.25">
      <c r="B87" s="83"/>
      <c r="C87" s="79"/>
      <c r="D87" s="82"/>
    </row>
    <row r="88" spans="2:4" ht="14.25">
      <c r="B88" s="83"/>
      <c r="C88" s="79"/>
      <c r="D88" s="82"/>
    </row>
    <row r="89" spans="2:4" ht="14.25">
      <c r="B89" s="83"/>
      <c r="C89" s="79"/>
      <c r="D89" s="82"/>
    </row>
    <row r="90" spans="2:4" ht="14.25">
      <c r="B90" s="83"/>
      <c r="C90" s="79"/>
      <c r="D90" s="82"/>
    </row>
    <row r="91" spans="2:4" ht="14.25">
      <c r="B91" s="83"/>
      <c r="C91" s="79"/>
      <c r="D91" s="82"/>
    </row>
    <row r="92" spans="2:4" ht="14.25">
      <c r="B92" s="83"/>
      <c r="C92" s="79"/>
      <c r="D92" s="82"/>
    </row>
    <row r="93" spans="2:4" ht="14.25">
      <c r="B93" s="83"/>
      <c r="C93" s="79"/>
      <c r="D93" s="82"/>
    </row>
    <row r="94" spans="2:4" ht="14.25">
      <c r="B94" s="83"/>
      <c r="C94" s="79"/>
      <c r="D94" s="82"/>
    </row>
    <row r="95" spans="2:4" ht="14.25">
      <c r="B95" s="83"/>
      <c r="C95" s="79"/>
      <c r="D95" s="82"/>
    </row>
    <row r="96" spans="2:4" ht="14.25">
      <c r="B96" s="83"/>
      <c r="C96" s="79"/>
      <c r="D96" s="82"/>
    </row>
    <row r="97" spans="2:4" ht="14.25">
      <c r="B97" s="83"/>
      <c r="C97" s="79"/>
      <c r="D97" s="82"/>
    </row>
    <row r="98" spans="2:4" ht="14.25">
      <c r="B98" s="83"/>
      <c r="C98" s="79"/>
      <c r="D98" s="82"/>
    </row>
    <row r="99" spans="2:4" ht="14.25">
      <c r="B99" s="83"/>
      <c r="C99" s="79"/>
      <c r="D99" s="82"/>
    </row>
  </sheetData>
  <mergeCells count="24">
    <mergeCell ref="B3:B6"/>
    <mergeCell ref="B9:B15"/>
    <mergeCell ref="B16:B22"/>
    <mergeCell ref="B23:B29"/>
    <mergeCell ref="B30:B36"/>
    <mergeCell ref="C3:C6"/>
    <mergeCell ref="G5:G6"/>
    <mergeCell ref="H5:H6"/>
    <mergeCell ref="F3:H4"/>
    <mergeCell ref="D3:E6"/>
    <mergeCell ref="F5:F6"/>
    <mergeCell ref="C7:C36"/>
    <mergeCell ref="G9:G15"/>
    <mergeCell ref="G16:G22"/>
    <mergeCell ref="G23:G29"/>
    <mergeCell ref="G30:G36"/>
    <mergeCell ref="H7:H37"/>
    <mergeCell ref="I3:N3"/>
    <mergeCell ref="K4:L4"/>
    <mergeCell ref="K5:L5"/>
    <mergeCell ref="M5:N5"/>
    <mergeCell ref="I5:J5"/>
    <mergeCell ref="I4:J4"/>
    <mergeCell ref="M4:N4"/>
  </mergeCells>
  <phoneticPr fontId="20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1:AX139"/>
  <sheetViews>
    <sheetView topLeftCell="A94" zoomScaleNormal="100" workbookViewId="0">
      <selection activeCell="I99" sqref="I99:K112"/>
    </sheetView>
  </sheetViews>
  <sheetFormatPr defaultColWidth="8.85546875" defaultRowHeight="12.75"/>
  <cols>
    <col min="1" max="1" width="5.5703125" style="212" customWidth="1"/>
    <col min="2" max="2" width="12.42578125" style="212" customWidth="1"/>
    <col min="3" max="3" width="8.85546875" style="211" customWidth="1"/>
    <col min="4" max="4" width="26.42578125" style="211" customWidth="1"/>
    <col min="5" max="7" width="8.42578125" style="211" customWidth="1"/>
    <col min="8" max="8" width="11.140625" style="211" bestFit="1" customWidth="1"/>
    <col min="9" max="12" width="11.140625" style="211" customWidth="1"/>
    <col min="13" max="13" width="13.5703125" style="211" customWidth="1"/>
    <col min="14" max="14" width="9.85546875" style="211" customWidth="1"/>
    <col min="15" max="15" width="7.140625" style="211" customWidth="1"/>
    <col min="16" max="18" width="12.85546875" style="211" customWidth="1"/>
    <col min="19" max="19" width="5.42578125" style="211" customWidth="1"/>
    <col min="20" max="20" width="12.85546875" style="211" customWidth="1"/>
    <col min="21" max="23" width="12.85546875" style="212" customWidth="1"/>
    <col min="24" max="24" width="5.42578125" style="211" customWidth="1"/>
    <col min="25" max="28" width="12.85546875" style="212" customWidth="1"/>
    <col min="29" max="29" width="7.7109375" style="211" bestFit="1" customWidth="1"/>
    <col min="30" max="30" width="12.85546875" style="212" customWidth="1"/>
    <col min="31" max="33" width="12.5703125" style="212" customWidth="1"/>
    <col min="34" max="34" width="7.7109375" style="211" bestFit="1" customWidth="1"/>
    <col min="35" max="35" width="13" style="212" customWidth="1"/>
    <col min="36" max="38" width="12.5703125" style="212" customWidth="1"/>
    <col min="39" max="39" width="5.42578125" style="211" customWidth="1"/>
    <col min="40" max="40" width="13" style="212" customWidth="1"/>
    <col min="41" max="43" width="13.140625" style="212" customWidth="1"/>
    <col min="44" max="44" width="5.42578125" style="212" customWidth="1"/>
    <col min="45" max="48" width="13.140625" style="212" customWidth="1"/>
    <col min="49" max="49" width="5.42578125" style="212" customWidth="1"/>
    <col min="50" max="50" width="13.140625" style="212" customWidth="1"/>
    <col min="51" max="70" width="8.85546875" style="212" customWidth="1"/>
    <col min="71" max="16384" width="8.85546875" style="212"/>
  </cols>
  <sheetData>
    <row r="1" spans="1:50" ht="24">
      <c r="A1" s="208"/>
      <c r="B1" s="209" t="s">
        <v>42</v>
      </c>
      <c r="C1" s="210">
        <f>AVERAGE(L7,L30,L53,L76,L99,L122)</f>
        <v>109.92453817342468</v>
      </c>
    </row>
    <row r="2" spans="1:50" ht="15.75" customHeight="1">
      <c r="A2" s="213"/>
      <c r="B2" s="464" t="s">
        <v>43</v>
      </c>
      <c r="C2" s="465"/>
      <c r="D2" s="465"/>
      <c r="E2" s="465"/>
      <c r="F2" s="465"/>
      <c r="G2" s="465"/>
      <c r="H2" s="465"/>
      <c r="I2" s="214"/>
      <c r="J2" s="214"/>
      <c r="K2" s="214"/>
      <c r="L2" s="214"/>
      <c r="M2" s="215"/>
      <c r="N2" s="455" t="s">
        <v>44</v>
      </c>
      <c r="O2" s="455" t="s">
        <v>3</v>
      </c>
      <c r="P2" s="457"/>
      <c r="Q2" s="458"/>
      <c r="R2" s="458"/>
      <c r="S2" s="458"/>
      <c r="T2" s="458"/>
      <c r="U2" s="457"/>
      <c r="V2" s="458"/>
      <c r="W2" s="458"/>
      <c r="X2" s="458"/>
      <c r="Y2" s="458"/>
      <c r="Z2" s="457"/>
      <c r="AA2" s="458"/>
      <c r="AB2" s="458"/>
      <c r="AC2" s="458"/>
      <c r="AD2" s="458"/>
      <c r="AE2" s="457"/>
      <c r="AF2" s="458"/>
      <c r="AG2" s="458"/>
      <c r="AH2" s="458"/>
      <c r="AI2" s="458"/>
      <c r="AJ2" s="457"/>
      <c r="AK2" s="458"/>
      <c r="AL2" s="458"/>
      <c r="AM2" s="458"/>
      <c r="AN2" s="458"/>
      <c r="AO2" s="457">
        <v>46082</v>
      </c>
      <c r="AP2" s="458"/>
      <c r="AQ2" s="458"/>
      <c r="AR2" s="458"/>
      <c r="AS2" s="458"/>
      <c r="AT2" s="457">
        <v>46083</v>
      </c>
      <c r="AU2" s="458"/>
      <c r="AV2" s="458"/>
      <c r="AW2" s="458"/>
      <c r="AX2" s="458"/>
    </row>
    <row r="3" spans="1:50" ht="15.75">
      <c r="A3" s="213"/>
      <c r="B3" s="466"/>
      <c r="C3" s="466"/>
      <c r="D3" s="466"/>
      <c r="E3" s="466"/>
      <c r="F3" s="466"/>
      <c r="G3" s="466"/>
      <c r="H3" s="466"/>
      <c r="I3" s="216"/>
      <c r="J3" s="216"/>
      <c r="K3" s="216"/>
      <c r="L3" s="216"/>
      <c r="M3" s="217"/>
      <c r="N3" s="456"/>
      <c r="O3" s="456"/>
      <c r="P3" s="457" t="s">
        <v>15</v>
      </c>
      <c r="Q3" s="458"/>
      <c r="R3" s="458"/>
      <c r="S3" s="458"/>
      <c r="T3" s="458"/>
      <c r="U3" s="457" t="s">
        <v>13</v>
      </c>
      <c r="V3" s="458"/>
      <c r="W3" s="458"/>
      <c r="X3" s="458"/>
      <c r="Y3" s="458"/>
      <c r="Z3" s="457" t="s">
        <v>16</v>
      </c>
      <c r="AA3" s="458"/>
      <c r="AB3" s="458"/>
      <c r="AC3" s="458"/>
      <c r="AD3" s="458"/>
      <c r="AE3" s="457" t="s">
        <v>17</v>
      </c>
      <c r="AF3" s="458"/>
      <c r="AG3" s="458"/>
      <c r="AH3" s="458"/>
      <c r="AI3" s="458"/>
      <c r="AJ3" s="457" t="s">
        <v>18</v>
      </c>
      <c r="AK3" s="458"/>
      <c r="AL3" s="458"/>
      <c r="AM3" s="458"/>
      <c r="AN3" s="458"/>
      <c r="AO3" s="457" t="s">
        <v>10</v>
      </c>
      <c r="AP3" s="458"/>
      <c r="AQ3" s="458"/>
      <c r="AR3" s="458"/>
      <c r="AS3" s="458"/>
      <c r="AT3" s="457" t="s">
        <v>14</v>
      </c>
      <c r="AU3" s="458"/>
      <c r="AV3" s="458"/>
      <c r="AW3" s="458"/>
      <c r="AX3" s="458"/>
    </row>
    <row r="4" spans="1:50" ht="14.25">
      <c r="A4" s="213"/>
      <c r="B4" s="454" t="s">
        <v>45</v>
      </c>
      <c r="C4" s="473" t="s">
        <v>46</v>
      </c>
      <c r="D4" s="454"/>
      <c r="E4" s="454" t="s">
        <v>47</v>
      </c>
      <c r="F4" s="454"/>
      <c r="G4" s="454"/>
      <c r="H4" s="470" t="s">
        <v>48</v>
      </c>
      <c r="I4" s="454" t="s">
        <v>49</v>
      </c>
      <c r="J4" s="454"/>
      <c r="K4" s="454"/>
      <c r="L4" s="470" t="s">
        <v>48</v>
      </c>
      <c r="M4" s="455" t="s">
        <v>50</v>
      </c>
      <c r="N4" s="454"/>
      <c r="O4" s="454" t="s">
        <v>51</v>
      </c>
      <c r="P4" s="451" t="s">
        <v>52</v>
      </c>
      <c r="Q4" s="452"/>
      <c r="R4" s="452"/>
      <c r="S4" s="453"/>
      <c r="T4" s="454" t="s">
        <v>48</v>
      </c>
      <c r="U4" s="451" t="s">
        <v>52</v>
      </c>
      <c r="V4" s="452"/>
      <c r="W4" s="452"/>
      <c r="X4" s="453"/>
      <c r="Y4" s="454" t="s">
        <v>48</v>
      </c>
      <c r="Z4" s="451" t="s">
        <v>52</v>
      </c>
      <c r="AA4" s="452"/>
      <c r="AB4" s="452"/>
      <c r="AC4" s="453"/>
      <c r="AD4" s="454" t="s">
        <v>48</v>
      </c>
      <c r="AE4" s="451" t="s">
        <v>52</v>
      </c>
      <c r="AF4" s="452"/>
      <c r="AG4" s="452"/>
      <c r="AH4" s="453"/>
      <c r="AI4" s="454" t="s">
        <v>48</v>
      </c>
      <c r="AJ4" s="451" t="s">
        <v>52</v>
      </c>
      <c r="AK4" s="452"/>
      <c r="AL4" s="452"/>
      <c r="AM4" s="453"/>
      <c r="AN4" s="454" t="s">
        <v>48</v>
      </c>
      <c r="AO4" s="451" t="s">
        <v>52</v>
      </c>
      <c r="AP4" s="452"/>
      <c r="AQ4" s="452"/>
      <c r="AR4" s="453"/>
      <c r="AS4" s="454" t="s">
        <v>48</v>
      </c>
      <c r="AT4" s="451" t="s">
        <v>52</v>
      </c>
      <c r="AU4" s="452"/>
      <c r="AV4" s="452"/>
      <c r="AW4" s="453"/>
      <c r="AX4" s="454" t="s">
        <v>48</v>
      </c>
    </row>
    <row r="5" spans="1:50" ht="14.25">
      <c r="A5" s="213"/>
      <c r="B5" s="454"/>
      <c r="C5" s="454"/>
      <c r="D5" s="454"/>
      <c r="E5" s="454" t="s">
        <v>53</v>
      </c>
      <c r="F5" s="454"/>
      <c r="G5" s="454"/>
      <c r="H5" s="471"/>
      <c r="I5" s="454" t="s">
        <v>53</v>
      </c>
      <c r="J5" s="454"/>
      <c r="K5" s="454"/>
      <c r="L5" s="471"/>
      <c r="M5" s="463"/>
      <c r="N5" s="454"/>
      <c r="O5" s="454"/>
      <c r="P5" s="451" t="s">
        <v>54</v>
      </c>
      <c r="Q5" s="452"/>
      <c r="R5" s="452"/>
      <c r="S5" s="453"/>
      <c r="T5" s="454"/>
      <c r="U5" s="451" t="s">
        <v>54</v>
      </c>
      <c r="V5" s="452"/>
      <c r="W5" s="452"/>
      <c r="X5" s="453"/>
      <c r="Y5" s="454"/>
      <c r="Z5" s="451" t="s">
        <v>54</v>
      </c>
      <c r="AA5" s="452"/>
      <c r="AB5" s="452"/>
      <c r="AC5" s="453"/>
      <c r="AD5" s="454"/>
      <c r="AE5" s="451" t="s">
        <v>54</v>
      </c>
      <c r="AF5" s="452"/>
      <c r="AG5" s="452"/>
      <c r="AH5" s="453"/>
      <c r="AI5" s="454"/>
      <c r="AJ5" s="451" t="s">
        <v>54</v>
      </c>
      <c r="AK5" s="452"/>
      <c r="AL5" s="452"/>
      <c r="AM5" s="453"/>
      <c r="AN5" s="454"/>
      <c r="AO5" s="451" t="s">
        <v>54</v>
      </c>
      <c r="AP5" s="452"/>
      <c r="AQ5" s="452"/>
      <c r="AR5" s="453"/>
      <c r="AS5" s="454"/>
      <c r="AT5" s="451" t="s">
        <v>54</v>
      </c>
      <c r="AU5" s="452"/>
      <c r="AV5" s="452"/>
      <c r="AW5" s="453"/>
      <c r="AX5" s="454"/>
    </row>
    <row r="6" spans="1:50" ht="14.25">
      <c r="A6" s="218"/>
      <c r="B6" s="454"/>
      <c r="C6" s="454"/>
      <c r="D6" s="454"/>
      <c r="E6" s="219" t="s">
        <v>55</v>
      </c>
      <c r="F6" s="219" t="s">
        <v>56</v>
      </c>
      <c r="G6" s="219" t="s">
        <v>57</v>
      </c>
      <c r="H6" s="472"/>
      <c r="I6" s="219" t="s">
        <v>55</v>
      </c>
      <c r="J6" s="219" t="s">
        <v>56</v>
      </c>
      <c r="K6" s="219" t="s">
        <v>57</v>
      </c>
      <c r="L6" s="472"/>
      <c r="M6" s="456"/>
      <c r="N6" s="454"/>
      <c r="O6" s="454"/>
      <c r="P6" s="219" t="s">
        <v>55</v>
      </c>
      <c r="Q6" s="219" t="s">
        <v>56</v>
      </c>
      <c r="R6" s="219" t="s">
        <v>57</v>
      </c>
      <c r="S6" s="219" t="s">
        <v>50</v>
      </c>
      <c r="T6" s="454"/>
      <c r="U6" s="219" t="s">
        <v>55</v>
      </c>
      <c r="V6" s="219" t="s">
        <v>56</v>
      </c>
      <c r="W6" s="219" t="s">
        <v>57</v>
      </c>
      <c r="X6" s="219" t="s">
        <v>50</v>
      </c>
      <c r="Y6" s="454"/>
      <c r="Z6" s="219" t="s">
        <v>55</v>
      </c>
      <c r="AA6" s="219" t="s">
        <v>56</v>
      </c>
      <c r="AB6" s="219" t="s">
        <v>57</v>
      </c>
      <c r="AC6" s="219" t="s">
        <v>50</v>
      </c>
      <c r="AD6" s="454"/>
      <c r="AE6" s="219" t="s">
        <v>55</v>
      </c>
      <c r="AF6" s="219" t="s">
        <v>56</v>
      </c>
      <c r="AG6" s="219" t="s">
        <v>57</v>
      </c>
      <c r="AH6" s="219" t="s">
        <v>50</v>
      </c>
      <c r="AI6" s="454"/>
      <c r="AJ6" s="219" t="s">
        <v>55</v>
      </c>
      <c r="AK6" s="219" t="s">
        <v>56</v>
      </c>
      <c r="AL6" s="219" t="s">
        <v>57</v>
      </c>
      <c r="AM6" s="219" t="s">
        <v>50</v>
      </c>
      <c r="AN6" s="454"/>
      <c r="AO6" s="219" t="s">
        <v>55</v>
      </c>
      <c r="AP6" s="219" t="s">
        <v>56</v>
      </c>
      <c r="AQ6" s="219" t="s">
        <v>57</v>
      </c>
      <c r="AR6" s="219" t="s">
        <v>50</v>
      </c>
      <c r="AS6" s="454"/>
      <c r="AT6" s="219" t="s">
        <v>55</v>
      </c>
      <c r="AU6" s="219" t="s">
        <v>56</v>
      </c>
      <c r="AV6" s="219" t="s">
        <v>57</v>
      </c>
      <c r="AW6" s="219" t="s">
        <v>50</v>
      </c>
      <c r="AX6" s="454"/>
    </row>
    <row r="7" spans="1:50" ht="14.25">
      <c r="A7" s="213"/>
      <c r="B7" s="458" t="s">
        <v>323</v>
      </c>
      <c r="C7" s="220">
        <v>1</v>
      </c>
      <c r="D7" s="224" t="s">
        <v>75</v>
      </c>
      <c r="E7" s="221">
        <f>VLOOKUP(D7,'12產線配置圖'!$A$2:$C$25,2,0)</f>
        <v>11</v>
      </c>
      <c r="F7" s="221">
        <f>VLOOKUP(D7,'12產線配置圖'!$A$2:$C$25,3,0)</f>
        <v>2118</v>
      </c>
      <c r="G7" s="222">
        <f>F7/E7</f>
        <v>192.54545454545453</v>
      </c>
      <c r="H7" s="467" t="e">
        <f>AVERAGE(G7:G24)</f>
        <v>#N/A</v>
      </c>
      <c r="I7" s="221">
        <f>AVERAGE(P7,U7,Z7,AE7,AJ7,AO7,AT7)</f>
        <v>13</v>
      </c>
      <c r="J7" s="221">
        <f>AVERAGE(Q7,V7,AA7,AF7,AK7,AP7,AU7)</f>
        <v>1993.5</v>
      </c>
      <c r="K7" s="221">
        <f>AVERAGE(AQ7,AV7)</f>
        <v>155.36060606060607</v>
      </c>
      <c r="L7" s="467">
        <f>IFERROR(AVERAGE(K7:K24),"-")</f>
        <v>106.91083579364761</v>
      </c>
      <c r="M7" s="223">
        <f>RANK(K7,$K$7:$K$22)</f>
        <v>1</v>
      </c>
      <c r="N7" s="454"/>
      <c r="O7" s="454"/>
      <c r="P7" s="221"/>
      <c r="Q7" s="221"/>
      <c r="R7" s="222" t="e">
        <f>Q7/P7</f>
        <v>#DIV/0!</v>
      </c>
      <c r="S7" s="220" t="e">
        <f>RANK(R7,R$7:R$22)</f>
        <v>#DIV/0!</v>
      </c>
      <c r="T7" s="459" t="e">
        <f>AVERAGE(R7:R24)</f>
        <v>#DIV/0!</v>
      </c>
      <c r="U7" s="221"/>
      <c r="V7" s="221"/>
      <c r="W7" s="222" t="e">
        <f>V7/U7</f>
        <v>#DIV/0!</v>
      </c>
      <c r="X7" s="220" t="e">
        <f>RANK(W7,W$7:W$22)</f>
        <v>#DIV/0!</v>
      </c>
      <c r="Y7" s="459" t="e">
        <f>AVERAGE(W7:W24)</f>
        <v>#DIV/0!</v>
      </c>
      <c r="Z7" s="220"/>
      <c r="AA7" s="221"/>
      <c r="AB7" s="222" t="e">
        <f>AA7/Z7</f>
        <v>#DIV/0!</v>
      </c>
      <c r="AC7" s="220" t="e">
        <f>RANK(AB7,AB$7:AB$22)</f>
        <v>#DIV/0!</v>
      </c>
      <c r="AD7" s="459" t="e">
        <f>AVERAGE(AB7:AB24)</f>
        <v>#DIV/0!</v>
      </c>
      <c r="AE7" s="221"/>
      <c r="AF7" s="221"/>
      <c r="AG7" s="222" t="e">
        <f>AF7/AE7</f>
        <v>#DIV/0!</v>
      </c>
      <c r="AH7" s="220" t="e">
        <f>RANK(AG7,AG$7:AG$22)</f>
        <v>#DIV/0!</v>
      </c>
      <c r="AI7" s="459" t="e">
        <f>AVERAGE(AG7:AG24)</f>
        <v>#DIV/0!</v>
      </c>
      <c r="AJ7" s="221"/>
      <c r="AK7" s="221"/>
      <c r="AL7" s="222" t="e">
        <f>AK7/AJ7</f>
        <v>#DIV/0!</v>
      </c>
      <c r="AM7" s="220" t="e">
        <f>RANK(AL7,AL$7:AL$22)</f>
        <v>#DIV/0!</v>
      </c>
      <c r="AN7" s="459" t="e">
        <f>AVERAGE(AL7:AL24)</f>
        <v>#DIV/0!</v>
      </c>
      <c r="AO7" s="383">
        <v>15</v>
      </c>
      <c r="AP7" s="221">
        <v>2134</v>
      </c>
      <c r="AQ7" s="222">
        <f>AP7/AO7</f>
        <v>142.26666666666668</v>
      </c>
      <c r="AR7" s="220" t="e">
        <f>RANK(AQ7,$AQ$99:$AQ$116)</f>
        <v>#N/A</v>
      </c>
      <c r="AS7" s="460">
        <f>AVERAGE(AQ7:AQ24)</f>
        <v>105.78077613820649</v>
      </c>
      <c r="AT7" s="221">
        <v>11</v>
      </c>
      <c r="AU7" s="221">
        <v>1853</v>
      </c>
      <c r="AV7" s="222">
        <f>AU7/AT7</f>
        <v>168.45454545454547</v>
      </c>
      <c r="AW7" s="220" t="e">
        <f>RANK(AV7,$AV$99:$AV$116)</f>
        <v>#N/A</v>
      </c>
      <c r="AX7" s="460">
        <f>AVERAGE(AV7:AV24)</f>
        <v>108.04089544908875</v>
      </c>
    </row>
    <row r="8" spans="1:50" ht="15" customHeight="1">
      <c r="A8" s="213"/>
      <c r="B8" s="458"/>
      <c r="C8" s="220">
        <v>2</v>
      </c>
      <c r="D8" s="220" t="s">
        <v>77</v>
      </c>
      <c r="E8" s="221">
        <f>VLOOKUP(D8,'12產線配置圖'!$A$2:$C$25,2,0)</f>
        <v>13</v>
      </c>
      <c r="F8" s="221">
        <f>VLOOKUP(D8,'12產線配置圖'!$A$2:$C$25,3,0)</f>
        <v>2118</v>
      </c>
      <c r="G8" s="222">
        <f t="shared" ref="G8:G20" si="0">F8/E8</f>
        <v>162.92307692307693</v>
      </c>
      <c r="H8" s="468"/>
      <c r="I8" s="221">
        <f t="shared" ref="I8:J11" si="1">AVERAGE(P8,U8,Z8,AE8,AJ8,AO8,AT8)</f>
        <v>14.5</v>
      </c>
      <c r="J8" s="221">
        <f t="shared" si="1"/>
        <v>1941.5</v>
      </c>
      <c r="K8" s="221">
        <f t="shared" ref="K8:K11" si="2">AVERAGE(AQ8,AV8)</f>
        <v>133.76904761904763</v>
      </c>
      <c r="L8" s="468"/>
      <c r="M8" s="223">
        <f t="shared" ref="M8:M20" si="3">RANK(K8,$K$7:$K$22)</f>
        <v>4</v>
      </c>
      <c r="N8" s="454"/>
      <c r="O8" s="454"/>
      <c r="P8" s="221"/>
      <c r="Q8" s="221"/>
      <c r="R8" s="222" t="e">
        <f t="shared" ref="R8:R22" si="4">Q8/P8</f>
        <v>#DIV/0!</v>
      </c>
      <c r="S8" s="220" t="e">
        <f t="shared" ref="S8:S22" si="5">RANK(R8,R$7:R$22)</f>
        <v>#DIV/0!</v>
      </c>
      <c r="T8" s="459"/>
      <c r="U8" s="221"/>
      <c r="V8" s="221"/>
      <c r="W8" s="222" t="e">
        <f t="shared" ref="W8:W16" si="6">V8/U8</f>
        <v>#DIV/0!</v>
      </c>
      <c r="X8" s="220" t="e">
        <f t="shared" ref="X8:X22" si="7">RANK(W8,W$7:W$22)</f>
        <v>#DIV/0!</v>
      </c>
      <c r="Y8" s="459"/>
      <c r="Z8" s="220"/>
      <c r="AA8" s="221"/>
      <c r="AB8" s="222" t="e">
        <f t="shared" ref="AB8:AB16" si="8">AA8/Z8</f>
        <v>#DIV/0!</v>
      </c>
      <c r="AC8" s="220" t="e">
        <f t="shared" ref="AC8:AC22" si="9">RANK(AB8,AB$7:AB$22)</f>
        <v>#DIV/0!</v>
      </c>
      <c r="AD8" s="459"/>
      <c r="AE8" s="221"/>
      <c r="AF8" s="221"/>
      <c r="AG8" s="222" t="e">
        <f t="shared" ref="AG8:AG16" si="10">AF8/AE8</f>
        <v>#DIV/0!</v>
      </c>
      <c r="AH8" s="220" t="e">
        <f t="shared" ref="AH8:AH22" si="11">RANK(AG8,AG$7:AG$22)</f>
        <v>#DIV/0!</v>
      </c>
      <c r="AI8" s="459"/>
      <c r="AJ8" s="221"/>
      <c r="AK8" s="221"/>
      <c r="AL8" s="222" t="e">
        <f t="shared" ref="AL8:AL22" si="12">AK8/AJ8</f>
        <v>#DIV/0!</v>
      </c>
      <c r="AM8" s="220" t="e">
        <f t="shared" ref="AM8:AM22" si="13">RANK(AL8,AL$7:AL$22)</f>
        <v>#DIV/0!</v>
      </c>
      <c r="AN8" s="459"/>
      <c r="AO8" s="383">
        <v>15</v>
      </c>
      <c r="AP8" s="221">
        <v>2062</v>
      </c>
      <c r="AQ8" s="222">
        <f t="shared" ref="AQ8:AQ11" si="14">AP8/AO8</f>
        <v>137.46666666666667</v>
      </c>
      <c r="AR8" s="220" t="e">
        <f t="shared" ref="AR8:AR11" si="15">RANK(AQ8,$AQ$99:$AQ$116)</f>
        <v>#N/A</v>
      </c>
      <c r="AS8" s="461"/>
      <c r="AT8" s="383">
        <v>14</v>
      </c>
      <c r="AU8" s="221">
        <v>1821</v>
      </c>
      <c r="AV8" s="222">
        <f t="shared" ref="AV8:AV11" si="16">AU8/AT8</f>
        <v>130.07142857142858</v>
      </c>
      <c r="AW8" s="220" t="e">
        <f t="shared" ref="AW8:AW11" si="17">RANK(AV8,$AV$99:$AV$116)</f>
        <v>#N/A</v>
      </c>
      <c r="AX8" s="461"/>
    </row>
    <row r="9" spans="1:50" ht="14.25">
      <c r="A9" s="213"/>
      <c r="B9" s="458"/>
      <c r="C9" s="220">
        <v>3</v>
      </c>
      <c r="D9" s="220" t="s">
        <v>76</v>
      </c>
      <c r="E9" s="221">
        <f>VLOOKUP(D9,'12產線配置圖'!$A$2:$C$25,2,0)</f>
        <v>12</v>
      </c>
      <c r="F9" s="221">
        <f>VLOOKUP(D9,'12產線配置圖'!$A$2:$C$25,3,0)</f>
        <v>2118</v>
      </c>
      <c r="G9" s="222">
        <f t="shared" si="0"/>
        <v>176.5</v>
      </c>
      <c r="H9" s="468"/>
      <c r="I9" s="221">
        <f t="shared" si="1"/>
        <v>14.5</v>
      </c>
      <c r="J9" s="221">
        <f t="shared" si="1"/>
        <v>2011</v>
      </c>
      <c r="K9" s="221">
        <f t="shared" si="2"/>
        <v>138.47619047619048</v>
      </c>
      <c r="L9" s="468"/>
      <c r="M9" s="223">
        <f t="shared" si="3"/>
        <v>3</v>
      </c>
      <c r="N9" s="454"/>
      <c r="O9" s="454"/>
      <c r="P9" s="221"/>
      <c r="Q9" s="221"/>
      <c r="R9" s="222" t="e">
        <f t="shared" si="4"/>
        <v>#DIV/0!</v>
      </c>
      <c r="S9" s="220" t="e">
        <f t="shared" si="5"/>
        <v>#DIV/0!</v>
      </c>
      <c r="T9" s="459"/>
      <c r="U9" s="221"/>
      <c r="V9" s="221"/>
      <c r="W9" s="222" t="e">
        <f t="shared" si="6"/>
        <v>#DIV/0!</v>
      </c>
      <c r="X9" s="220" t="e">
        <f t="shared" si="7"/>
        <v>#DIV/0!</v>
      </c>
      <c r="Y9" s="459"/>
      <c r="Z9" s="220"/>
      <c r="AA9" s="221"/>
      <c r="AB9" s="222" t="e">
        <f t="shared" si="8"/>
        <v>#DIV/0!</v>
      </c>
      <c r="AC9" s="220" t="e">
        <f t="shared" si="9"/>
        <v>#DIV/0!</v>
      </c>
      <c r="AD9" s="459"/>
      <c r="AE9" s="221"/>
      <c r="AF9" s="221"/>
      <c r="AG9" s="222" t="e">
        <f t="shared" si="10"/>
        <v>#DIV/0!</v>
      </c>
      <c r="AH9" s="220" t="e">
        <f t="shared" si="11"/>
        <v>#DIV/0!</v>
      </c>
      <c r="AI9" s="459"/>
      <c r="AJ9" s="221"/>
      <c r="AK9" s="221"/>
      <c r="AL9" s="222" t="e">
        <f t="shared" si="12"/>
        <v>#DIV/0!</v>
      </c>
      <c r="AM9" s="220" t="e">
        <f t="shared" si="13"/>
        <v>#DIV/0!</v>
      </c>
      <c r="AN9" s="459"/>
      <c r="AO9" s="383">
        <v>15</v>
      </c>
      <c r="AP9" s="221">
        <v>2170</v>
      </c>
      <c r="AQ9" s="222">
        <f t="shared" si="14"/>
        <v>144.66666666666666</v>
      </c>
      <c r="AR9" s="220" t="e">
        <f t="shared" si="15"/>
        <v>#N/A</v>
      </c>
      <c r="AS9" s="461"/>
      <c r="AT9" s="383">
        <v>14</v>
      </c>
      <c r="AU9" s="221">
        <v>1852</v>
      </c>
      <c r="AV9" s="222">
        <f t="shared" si="16"/>
        <v>132.28571428571428</v>
      </c>
      <c r="AW9" s="220" t="e">
        <f t="shared" si="17"/>
        <v>#N/A</v>
      </c>
      <c r="AX9" s="461"/>
    </row>
    <row r="10" spans="1:50" ht="14.25">
      <c r="A10" s="213"/>
      <c r="B10" s="458"/>
      <c r="C10" s="220">
        <v>4</v>
      </c>
      <c r="D10" s="220" t="s">
        <v>127</v>
      </c>
      <c r="E10" s="221">
        <f>VLOOKUP(D10,'12產線配置圖'!$A$2:$C$25,2,0)</f>
        <v>16</v>
      </c>
      <c r="F10" s="221">
        <f>VLOOKUP(D10,'12產線配置圖'!$A$2:$C$25,3,0)</f>
        <v>1800</v>
      </c>
      <c r="G10" s="222">
        <f t="shared" si="0"/>
        <v>112.5</v>
      </c>
      <c r="H10" s="468"/>
      <c r="I10" s="221">
        <f t="shared" si="1"/>
        <v>16</v>
      </c>
      <c r="J10" s="221">
        <f t="shared" si="1"/>
        <v>1685.5</v>
      </c>
      <c r="K10" s="221">
        <f t="shared" si="2"/>
        <v>105.34375</v>
      </c>
      <c r="L10" s="468"/>
      <c r="M10" s="223">
        <f t="shared" si="3"/>
        <v>6</v>
      </c>
      <c r="N10" s="454"/>
      <c r="O10" s="454"/>
      <c r="P10" s="221"/>
      <c r="Q10" s="221"/>
      <c r="R10" s="222" t="e">
        <f t="shared" si="4"/>
        <v>#DIV/0!</v>
      </c>
      <c r="S10" s="220" t="e">
        <f t="shared" si="5"/>
        <v>#DIV/0!</v>
      </c>
      <c r="T10" s="459"/>
      <c r="U10" s="221"/>
      <c r="V10" s="221"/>
      <c r="W10" s="222" t="e">
        <f t="shared" si="6"/>
        <v>#DIV/0!</v>
      </c>
      <c r="X10" s="220" t="e">
        <f t="shared" si="7"/>
        <v>#DIV/0!</v>
      </c>
      <c r="Y10" s="459"/>
      <c r="Z10" s="220"/>
      <c r="AA10" s="221"/>
      <c r="AB10" s="222" t="e">
        <f t="shared" si="8"/>
        <v>#DIV/0!</v>
      </c>
      <c r="AC10" s="220" t="e">
        <f t="shared" si="9"/>
        <v>#DIV/0!</v>
      </c>
      <c r="AD10" s="459"/>
      <c r="AE10" s="221"/>
      <c r="AF10" s="221"/>
      <c r="AG10" s="222" t="e">
        <f t="shared" si="10"/>
        <v>#DIV/0!</v>
      </c>
      <c r="AH10" s="220" t="e">
        <f t="shared" si="11"/>
        <v>#DIV/0!</v>
      </c>
      <c r="AI10" s="459"/>
      <c r="AJ10" s="221"/>
      <c r="AK10" s="221"/>
      <c r="AL10" s="222" t="e">
        <f t="shared" si="12"/>
        <v>#DIV/0!</v>
      </c>
      <c r="AM10" s="220" t="e">
        <f t="shared" si="13"/>
        <v>#DIV/0!</v>
      </c>
      <c r="AN10" s="459"/>
      <c r="AO10" s="383">
        <v>16</v>
      </c>
      <c r="AP10" s="221">
        <v>1697</v>
      </c>
      <c r="AQ10" s="222">
        <f t="shared" si="14"/>
        <v>106.0625</v>
      </c>
      <c r="AR10" s="220" t="e">
        <f t="shared" si="15"/>
        <v>#N/A</v>
      </c>
      <c r="AS10" s="461"/>
      <c r="AT10" s="383">
        <v>16</v>
      </c>
      <c r="AU10" s="221">
        <v>1674</v>
      </c>
      <c r="AV10" s="222">
        <f t="shared" si="16"/>
        <v>104.625</v>
      </c>
      <c r="AW10" s="220" t="e">
        <f t="shared" si="17"/>
        <v>#N/A</v>
      </c>
      <c r="AX10" s="461"/>
    </row>
    <row r="11" spans="1:50" ht="14.25">
      <c r="A11" s="213"/>
      <c r="B11" s="458"/>
      <c r="C11" s="220">
        <v>5</v>
      </c>
      <c r="D11" s="220" t="s">
        <v>178</v>
      </c>
      <c r="E11" s="221" t="e">
        <f>VLOOKUP(D11,'12產線配置圖'!$A$2:$C$25,2,0)</f>
        <v>#N/A</v>
      </c>
      <c r="F11" s="221" t="e">
        <f>VLOOKUP(D11,'12產線配置圖'!$A$2:$C$25,3,0)</f>
        <v>#N/A</v>
      </c>
      <c r="G11" s="222" t="e">
        <f t="shared" si="0"/>
        <v>#N/A</v>
      </c>
      <c r="H11" s="468"/>
      <c r="I11" s="221">
        <f t="shared" si="1"/>
        <v>15.5</v>
      </c>
      <c r="J11" s="221">
        <f t="shared" si="1"/>
        <v>2167.5</v>
      </c>
      <c r="K11" s="221">
        <f t="shared" si="2"/>
        <v>139.77708333333334</v>
      </c>
      <c r="L11" s="468"/>
      <c r="M11" s="223">
        <f t="shared" si="3"/>
        <v>2</v>
      </c>
      <c r="N11" s="454"/>
      <c r="O11" s="454"/>
      <c r="P11" s="221"/>
      <c r="Q11" s="221"/>
      <c r="R11" s="222" t="e">
        <f t="shared" si="4"/>
        <v>#DIV/0!</v>
      </c>
      <c r="S11" s="220" t="e">
        <f t="shared" si="5"/>
        <v>#DIV/0!</v>
      </c>
      <c r="T11" s="459"/>
      <c r="U11" s="221"/>
      <c r="V11" s="221"/>
      <c r="W11" s="222" t="e">
        <f t="shared" si="6"/>
        <v>#DIV/0!</v>
      </c>
      <c r="X11" s="220" t="e">
        <f t="shared" si="7"/>
        <v>#DIV/0!</v>
      </c>
      <c r="Y11" s="459"/>
      <c r="Z11" s="220"/>
      <c r="AA11" s="221"/>
      <c r="AB11" s="222" t="e">
        <f t="shared" si="8"/>
        <v>#DIV/0!</v>
      </c>
      <c r="AC11" s="220" t="e">
        <f t="shared" si="9"/>
        <v>#DIV/0!</v>
      </c>
      <c r="AD11" s="459"/>
      <c r="AE11" s="221"/>
      <c r="AF11" s="221"/>
      <c r="AG11" s="222" t="e">
        <f t="shared" si="10"/>
        <v>#DIV/0!</v>
      </c>
      <c r="AH11" s="220" t="e">
        <f t="shared" si="11"/>
        <v>#DIV/0!</v>
      </c>
      <c r="AI11" s="459"/>
      <c r="AJ11" s="221"/>
      <c r="AK11" s="221"/>
      <c r="AL11" s="222" t="e">
        <f t="shared" si="12"/>
        <v>#DIV/0!</v>
      </c>
      <c r="AM11" s="220" t="e">
        <f t="shared" si="13"/>
        <v>#DIV/0!</v>
      </c>
      <c r="AN11" s="459"/>
      <c r="AO11" s="383">
        <v>16</v>
      </c>
      <c r="AP11" s="221">
        <v>2267</v>
      </c>
      <c r="AQ11" s="222">
        <f t="shared" si="14"/>
        <v>141.6875</v>
      </c>
      <c r="AR11" s="220" t="e">
        <f t="shared" si="15"/>
        <v>#N/A</v>
      </c>
      <c r="AS11" s="461"/>
      <c r="AT11" s="383">
        <v>15</v>
      </c>
      <c r="AU11" s="221">
        <v>2068</v>
      </c>
      <c r="AV11" s="222">
        <f t="shared" si="16"/>
        <v>137.86666666666667</v>
      </c>
      <c r="AW11" s="220" t="e">
        <f t="shared" si="17"/>
        <v>#N/A</v>
      </c>
      <c r="AX11" s="461"/>
    </row>
    <row r="12" spans="1:50" ht="14.25">
      <c r="A12" s="213"/>
      <c r="B12" s="458"/>
      <c r="C12" s="220">
        <v>6</v>
      </c>
      <c r="D12" s="220" t="s">
        <v>205</v>
      </c>
      <c r="E12" s="221">
        <f>VLOOKUP(D12,'12產線配置圖'!$A$2:$C$25,2,0)</f>
        <v>15</v>
      </c>
      <c r="F12" s="221">
        <f>VLOOKUP(D12,'12產線配置圖'!$A$2:$C$25,3,0)</f>
        <v>1714</v>
      </c>
      <c r="G12" s="222">
        <f t="shared" si="0"/>
        <v>114.26666666666667</v>
      </c>
      <c r="H12" s="468"/>
      <c r="I12" s="221">
        <v>15</v>
      </c>
      <c r="J12" s="221">
        <v>1420</v>
      </c>
      <c r="K12" s="221">
        <v>94.666666666666671</v>
      </c>
      <c r="L12" s="468"/>
      <c r="M12" s="223">
        <f t="shared" si="3"/>
        <v>10</v>
      </c>
      <c r="N12" s="454"/>
      <c r="O12" s="454"/>
      <c r="P12" s="221"/>
      <c r="Q12" s="221"/>
      <c r="R12" s="222" t="e">
        <f t="shared" si="4"/>
        <v>#DIV/0!</v>
      </c>
      <c r="S12" s="220" t="e">
        <f t="shared" si="5"/>
        <v>#DIV/0!</v>
      </c>
      <c r="T12" s="459"/>
      <c r="U12" s="221"/>
      <c r="V12" s="221"/>
      <c r="W12" s="222" t="e">
        <f t="shared" si="6"/>
        <v>#DIV/0!</v>
      </c>
      <c r="X12" s="220" t="e">
        <f t="shared" si="7"/>
        <v>#DIV/0!</v>
      </c>
      <c r="Y12" s="459"/>
      <c r="Z12" s="220"/>
      <c r="AA12" s="221"/>
      <c r="AB12" s="222" t="e">
        <f t="shared" si="8"/>
        <v>#DIV/0!</v>
      </c>
      <c r="AC12" s="220" t="e">
        <f t="shared" si="9"/>
        <v>#DIV/0!</v>
      </c>
      <c r="AD12" s="459"/>
      <c r="AE12" s="221"/>
      <c r="AF12" s="221"/>
      <c r="AG12" s="222" t="e">
        <f t="shared" si="10"/>
        <v>#DIV/0!</v>
      </c>
      <c r="AH12" s="220" t="e">
        <f t="shared" si="11"/>
        <v>#DIV/0!</v>
      </c>
      <c r="AI12" s="459"/>
      <c r="AJ12" s="221"/>
      <c r="AK12" s="221"/>
      <c r="AL12" s="222" t="e">
        <f t="shared" si="12"/>
        <v>#DIV/0!</v>
      </c>
      <c r="AM12" s="220" t="e">
        <f t="shared" si="13"/>
        <v>#DIV/0!</v>
      </c>
      <c r="AN12" s="459"/>
      <c r="AO12" s="221">
        <v>15</v>
      </c>
      <c r="AP12" s="221">
        <v>1439</v>
      </c>
      <c r="AQ12" s="222">
        <v>95.933333333333337</v>
      </c>
      <c r="AR12" s="220">
        <v>9</v>
      </c>
      <c r="AS12" s="461"/>
      <c r="AT12" s="221">
        <v>15</v>
      </c>
      <c r="AU12" s="221">
        <v>1401</v>
      </c>
      <c r="AV12" s="222">
        <v>93.4</v>
      </c>
      <c r="AW12" s="220">
        <v>10</v>
      </c>
      <c r="AX12" s="461"/>
    </row>
    <row r="13" spans="1:50" ht="14.25">
      <c r="A13" s="213"/>
      <c r="B13" s="458"/>
      <c r="C13" s="220">
        <v>7</v>
      </c>
      <c r="D13" s="220" t="s">
        <v>366</v>
      </c>
      <c r="E13" s="221">
        <f>VLOOKUP(D13,'12產線配置圖'!$A$2:$C$25,2,0)</f>
        <v>17</v>
      </c>
      <c r="F13" s="221">
        <f>VLOOKUP(D13,'12產線配置圖'!$A$2:$C$25,3,0)</f>
        <v>1714</v>
      </c>
      <c r="G13" s="222">
        <f t="shared" si="0"/>
        <v>100.82352941176471</v>
      </c>
      <c r="H13" s="468"/>
      <c r="I13" s="221">
        <v>17.5</v>
      </c>
      <c r="J13" s="221">
        <v>1258.5</v>
      </c>
      <c r="K13" s="221">
        <v>72.22203947368422</v>
      </c>
      <c r="L13" s="468"/>
      <c r="M13" s="223">
        <f t="shared" si="3"/>
        <v>13</v>
      </c>
      <c r="N13" s="454"/>
      <c r="O13" s="454"/>
      <c r="P13" s="221"/>
      <c r="Q13" s="221"/>
      <c r="R13" s="222" t="e">
        <f t="shared" si="4"/>
        <v>#DIV/0!</v>
      </c>
      <c r="S13" s="220" t="e">
        <f t="shared" si="5"/>
        <v>#DIV/0!</v>
      </c>
      <c r="T13" s="459"/>
      <c r="U13" s="221"/>
      <c r="V13" s="221"/>
      <c r="W13" s="222" t="e">
        <f>V13/U12</f>
        <v>#DIV/0!</v>
      </c>
      <c r="X13" s="220" t="e">
        <f t="shared" si="7"/>
        <v>#DIV/0!</v>
      </c>
      <c r="Y13" s="459"/>
      <c r="Z13" s="220"/>
      <c r="AA13" s="221"/>
      <c r="AB13" s="222" t="e">
        <f t="shared" si="8"/>
        <v>#DIV/0!</v>
      </c>
      <c r="AC13" s="220" t="e">
        <f t="shared" si="9"/>
        <v>#DIV/0!</v>
      </c>
      <c r="AD13" s="459"/>
      <c r="AE13" s="221"/>
      <c r="AF13" s="221"/>
      <c r="AG13" s="222" t="e">
        <f t="shared" si="10"/>
        <v>#DIV/0!</v>
      </c>
      <c r="AH13" s="220" t="e">
        <f t="shared" si="11"/>
        <v>#DIV/0!</v>
      </c>
      <c r="AI13" s="459"/>
      <c r="AJ13" s="221"/>
      <c r="AK13" s="221"/>
      <c r="AL13" s="222" t="e">
        <f t="shared" si="12"/>
        <v>#DIV/0!</v>
      </c>
      <c r="AM13" s="220" t="e">
        <f t="shared" si="13"/>
        <v>#DIV/0!</v>
      </c>
      <c r="AN13" s="459"/>
      <c r="AO13" s="221">
        <v>19</v>
      </c>
      <c r="AP13" s="221">
        <v>1304</v>
      </c>
      <c r="AQ13" s="222">
        <v>68.631578947368425</v>
      </c>
      <c r="AR13" s="220">
        <v>14</v>
      </c>
      <c r="AS13" s="461"/>
      <c r="AT13" s="221">
        <v>16</v>
      </c>
      <c r="AU13" s="221">
        <v>1213</v>
      </c>
      <c r="AV13" s="222">
        <v>75.8125</v>
      </c>
      <c r="AW13" s="220">
        <v>13</v>
      </c>
      <c r="AX13" s="461"/>
    </row>
    <row r="14" spans="1:50" ht="14.25">
      <c r="A14" s="213"/>
      <c r="B14" s="458"/>
      <c r="C14" s="220">
        <v>8</v>
      </c>
      <c r="D14" s="220" t="s">
        <v>82</v>
      </c>
      <c r="E14" s="221">
        <f>VLOOKUP(D14,'12產線配置圖'!$A$2:$C$25,2,0)</f>
        <v>16</v>
      </c>
      <c r="F14" s="221">
        <f>VLOOKUP(D14,'12產線配置圖'!$A$2:$C$25,3,0)</f>
        <v>1406</v>
      </c>
      <c r="G14" s="222">
        <f t="shared" si="0"/>
        <v>87.875</v>
      </c>
      <c r="H14" s="468"/>
      <c r="I14" s="221">
        <v>13.5</v>
      </c>
      <c r="J14" s="221">
        <v>976</v>
      </c>
      <c r="K14" s="221">
        <v>72.099999999999994</v>
      </c>
      <c r="L14" s="468"/>
      <c r="M14" s="223">
        <f t="shared" si="3"/>
        <v>14</v>
      </c>
      <c r="N14" s="454"/>
      <c r="O14" s="454"/>
      <c r="P14" s="221"/>
      <c r="Q14" s="221"/>
      <c r="R14" s="222" t="e">
        <f t="shared" si="4"/>
        <v>#DIV/0!</v>
      </c>
      <c r="S14" s="220" t="e">
        <f t="shared" si="5"/>
        <v>#DIV/0!</v>
      </c>
      <c r="T14" s="459"/>
      <c r="U14" s="221"/>
      <c r="V14" s="221"/>
      <c r="W14" s="222" t="e">
        <f t="shared" si="6"/>
        <v>#DIV/0!</v>
      </c>
      <c r="X14" s="220" t="e">
        <f t="shared" si="7"/>
        <v>#DIV/0!</v>
      </c>
      <c r="Y14" s="459"/>
      <c r="Z14" s="220"/>
      <c r="AA14" s="221"/>
      <c r="AB14" s="222" t="e">
        <f t="shared" si="8"/>
        <v>#DIV/0!</v>
      </c>
      <c r="AC14" s="220" t="e">
        <f t="shared" si="9"/>
        <v>#DIV/0!</v>
      </c>
      <c r="AD14" s="459"/>
      <c r="AE14" s="221"/>
      <c r="AF14" s="221"/>
      <c r="AG14" s="222" t="e">
        <f t="shared" si="10"/>
        <v>#DIV/0!</v>
      </c>
      <c r="AH14" s="220" t="e">
        <f t="shared" si="11"/>
        <v>#DIV/0!</v>
      </c>
      <c r="AI14" s="459"/>
      <c r="AJ14" s="221"/>
      <c r="AK14" s="221"/>
      <c r="AL14" s="222" t="e">
        <f t="shared" si="12"/>
        <v>#DIV/0!</v>
      </c>
      <c r="AM14" s="220" t="e">
        <f t="shared" si="13"/>
        <v>#DIV/0!</v>
      </c>
      <c r="AN14" s="459"/>
      <c r="AO14" s="383">
        <v>15</v>
      </c>
      <c r="AP14" s="221">
        <v>1108</v>
      </c>
      <c r="AQ14" s="222">
        <v>73.86666666666666</v>
      </c>
      <c r="AR14" s="220">
        <v>13</v>
      </c>
      <c r="AS14" s="461"/>
      <c r="AT14" s="383">
        <v>12</v>
      </c>
      <c r="AU14" s="221">
        <v>844</v>
      </c>
      <c r="AV14" s="222">
        <v>70.333333333333329</v>
      </c>
      <c r="AW14" s="220">
        <v>14</v>
      </c>
      <c r="AX14" s="461"/>
    </row>
    <row r="15" spans="1:50" ht="14.25">
      <c r="A15" s="213"/>
      <c r="B15" s="458"/>
      <c r="C15" s="220">
        <v>9</v>
      </c>
      <c r="D15" s="220" t="s">
        <v>370</v>
      </c>
      <c r="E15" s="221" t="e">
        <f>VLOOKUP(D15,'12產線配置圖'!$A$2:$C$25,2,0)</f>
        <v>#N/A</v>
      </c>
      <c r="F15" s="221" t="e">
        <f>VLOOKUP(D15,'12產線配置圖'!$A$2:$C$25,3,0)</f>
        <v>#N/A</v>
      </c>
      <c r="G15" s="222" t="e">
        <f t="shared" si="0"/>
        <v>#N/A</v>
      </c>
      <c r="H15" s="468"/>
      <c r="I15" s="221">
        <v>16.5</v>
      </c>
      <c r="J15" s="221">
        <v>1653</v>
      </c>
      <c r="K15" s="221">
        <v>100.14154411764706</v>
      </c>
      <c r="L15" s="468"/>
      <c r="M15" s="223">
        <f t="shared" si="3"/>
        <v>9</v>
      </c>
      <c r="N15" s="454"/>
      <c r="O15" s="454"/>
      <c r="P15" s="221"/>
      <c r="Q15" s="221"/>
      <c r="R15" s="222" t="e">
        <f t="shared" si="4"/>
        <v>#DIV/0!</v>
      </c>
      <c r="S15" s="220" t="e">
        <f t="shared" si="5"/>
        <v>#DIV/0!</v>
      </c>
      <c r="T15" s="459"/>
      <c r="U15" s="221"/>
      <c r="V15" s="221"/>
      <c r="W15" s="222" t="e">
        <f t="shared" si="6"/>
        <v>#DIV/0!</v>
      </c>
      <c r="X15" s="220" t="e">
        <f t="shared" si="7"/>
        <v>#DIV/0!</v>
      </c>
      <c r="Y15" s="459"/>
      <c r="Z15" s="220"/>
      <c r="AA15" s="221"/>
      <c r="AB15" s="222" t="e">
        <f t="shared" si="8"/>
        <v>#DIV/0!</v>
      </c>
      <c r="AC15" s="220" t="e">
        <f t="shared" si="9"/>
        <v>#DIV/0!</v>
      </c>
      <c r="AD15" s="459"/>
      <c r="AE15" s="221"/>
      <c r="AF15" s="221"/>
      <c r="AG15" s="222" t="e">
        <f t="shared" si="10"/>
        <v>#DIV/0!</v>
      </c>
      <c r="AH15" s="220" t="e">
        <f t="shared" si="11"/>
        <v>#DIV/0!</v>
      </c>
      <c r="AI15" s="459"/>
      <c r="AJ15" s="221"/>
      <c r="AK15" s="221"/>
      <c r="AL15" s="222" t="e">
        <f t="shared" si="12"/>
        <v>#DIV/0!</v>
      </c>
      <c r="AM15" s="220" t="e">
        <f t="shared" si="13"/>
        <v>#DIV/0!</v>
      </c>
      <c r="AN15" s="459"/>
      <c r="AO15" s="383">
        <v>17</v>
      </c>
      <c r="AP15" s="221">
        <v>1725</v>
      </c>
      <c r="AQ15" s="382">
        <v>101.47058823529412</v>
      </c>
      <c r="AR15" s="220">
        <v>7</v>
      </c>
      <c r="AS15" s="461"/>
      <c r="AT15" s="383">
        <v>16</v>
      </c>
      <c r="AU15" s="221">
        <v>1581</v>
      </c>
      <c r="AV15" s="382">
        <v>98.8125</v>
      </c>
      <c r="AW15" s="220">
        <v>9</v>
      </c>
      <c r="AX15" s="461"/>
    </row>
    <row r="16" spans="1:50" ht="14.25">
      <c r="A16" s="213"/>
      <c r="B16" s="458"/>
      <c r="C16" s="220">
        <v>10</v>
      </c>
      <c r="D16" s="220" t="s">
        <v>371</v>
      </c>
      <c r="E16" s="221" t="e">
        <f>VLOOKUP(D16,'12產線配置圖'!$A$2:$C$25,2,0)</f>
        <v>#N/A</v>
      </c>
      <c r="F16" s="221" t="e">
        <f>VLOOKUP(D16,'12產線配置圖'!$A$2:$C$25,3,0)</f>
        <v>#N/A</v>
      </c>
      <c r="G16" s="222" t="e">
        <f t="shared" si="0"/>
        <v>#N/A</v>
      </c>
      <c r="H16" s="468"/>
      <c r="I16" s="221">
        <v>14.5</v>
      </c>
      <c r="J16" s="221">
        <v>1489</v>
      </c>
      <c r="K16" s="221">
        <v>102.82619047619048</v>
      </c>
      <c r="L16" s="468"/>
      <c r="M16" s="223">
        <f t="shared" si="3"/>
        <v>7</v>
      </c>
      <c r="N16" s="454"/>
      <c r="O16" s="454"/>
      <c r="P16" s="221"/>
      <c r="Q16" s="221"/>
      <c r="R16" s="222" t="e">
        <f t="shared" si="4"/>
        <v>#DIV/0!</v>
      </c>
      <c r="S16" s="220" t="e">
        <f t="shared" si="5"/>
        <v>#DIV/0!</v>
      </c>
      <c r="T16" s="459"/>
      <c r="U16" s="221"/>
      <c r="V16" s="221"/>
      <c r="W16" s="222" t="e">
        <f t="shared" si="6"/>
        <v>#DIV/0!</v>
      </c>
      <c r="X16" s="220" t="e">
        <f t="shared" si="7"/>
        <v>#DIV/0!</v>
      </c>
      <c r="Y16" s="459"/>
      <c r="Z16" s="220"/>
      <c r="AA16" s="221"/>
      <c r="AB16" s="222" t="e">
        <f t="shared" si="8"/>
        <v>#DIV/0!</v>
      </c>
      <c r="AC16" s="220" t="e">
        <f t="shared" si="9"/>
        <v>#DIV/0!</v>
      </c>
      <c r="AD16" s="459"/>
      <c r="AE16" s="221"/>
      <c r="AF16" s="221"/>
      <c r="AG16" s="222" t="e">
        <f t="shared" si="10"/>
        <v>#DIV/0!</v>
      </c>
      <c r="AH16" s="220" t="e">
        <f t="shared" si="11"/>
        <v>#DIV/0!</v>
      </c>
      <c r="AI16" s="459"/>
      <c r="AJ16" s="221"/>
      <c r="AK16" s="221"/>
      <c r="AL16" s="222" t="e">
        <f t="shared" si="12"/>
        <v>#DIV/0!</v>
      </c>
      <c r="AM16" s="220" t="e">
        <f t="shared" si="13"/>
        <v>#DIV/0!</v>
      </c>
      <c r="AN16" s="459"/>
      <c r="AO16" s="221">
        <v>15</v>
      </c>
      <c r="AP16" s="221">
        <v>1483</v>
      </c>
      <c r="AQ16" s="382">
        <v>98.86666666666666</v>
      </c>
      <c r="AR16" s="220">
        <v>8</v>
      </c>
      <c r="AS16" s="461"/>
      <c r="AT16" s="221">
        <v>14</v>
      </c>
      <c r="AU16" s="221">
        <v>1495</v>
      </c>
      <c r="AV16" s="382">
        <v>106.78571428571429</v>
      </c>
      <c r="AW16" s="220">
        <v>7</v>
      </c>
      <c r="AX16" s="461"/>
    </row>
    <row r="17" spans="2:50">
      <c r="B17" s="458"/>
      <c r="C17" s="220">
        <v>11</v>
      </c>
      <c r="D17" s="220" t="s">
        <v>84</v>
      </c>
      <c r="E17" s="221">
        <f>VLOOKUP(D17,'12產線配置圖'!$A$2:$C$25,2,0)</f>
        <v>17</v>
      </c>
      <c r="F17" s="221">
        <f>VLOOKUP(D17,'12產線配置圖'!$A$2:$C$25,3,0)</f>
        <v>1440</v>
      </c>
      <c r="G17" s="222">
        <f t="shared" si="0"/>
        <v>84.705882352941174</v>
      </c>
      <c r="H17" s="468"/>
      <c r="I17" s="221">
        <v>15.5</v>
      </c>
      <c r="J17" s="221">
        <v>1301</v>
      </c>
      <c r="K17" s="221">
        <v>83.908333333333331</v>
      </c>
      <c r="L17" s="468"/>
      <c r="M17" s="223">
        <f t="shared" si="3"/>
        <v>11</v>
      </c>
      <c r="N17" s="454"/>
      <c r="O17" s="454"/>
      <c r="P17" s="220"/>
      <c r="Q17" s="220"/>
      <c r="R17" s="222" t="e">
        <f t="shared" si="4"/>
        <v>#DIV/0!</v>
      </c>
      <c r="S17" s="220" t="e">
        <f t="shared" si="5"/>
        <v>#DIV/0!</v>
      </c>
      <c r="T17" s="459"/>
      <c r="U17" s="220"/>
      <c r="V17" s="220"/>
      <c r="W17" s="222" t="e">
        <f>V17/U17</f>
        <v>#DIV/0!</v>
      </c>
      <c r="X17" s="220" t="e">
        <f t="shared" si="7"/>
        <v>#DIV/0!</v>
      </c>
      <c r="Y17" s="459"/>
      <c r="Z17" s="220"/>
      <c r="AA17" s="220"/>
      <c r="AB17" s="222" t="e">
        <f>AA17/Z17</f>
        <v>#DIV/0!</v>
      </c>
      <c r="AC17" s="220" t="e">
        <f t="shared" si="9"/>
        <v>#DIV/0!</v>
      </c>
      <c r="AD17" s="459"/>
      <c r="AE17" s="220"/>
      <c r="AF17" s="220"/>
      <c r="AG17" s="222" t="e">
        <f>AF17/AE17</f>
        <v>#DIV/0!</v>
      </c>
      <c r="AH17" s="220" t="e">
        <f t="shared" si="11"/>
        <v>#DIV/0!</v>
      </c>
      <c r="AI17" s="459"/>
      <c r="AJ17" s="220"/>
      <c r="AK17" s="220"/>
      <c r="AL17" s="222" t="e">
        <f t="shared" si="12"/>
        <v>#DIV/0!</v>
      </c>
      <c r="AM17" s="220" t="e">
        <f t="shared" si="13"/>
        <v>#DIV/0!</v>
      </c>
      <c r="AN17" s="459"/>
      <c r="AO17" s="384">
        <v>16</v>
      </c>
      <c r="AP17" s="220">
        <v>1356</v>
      </c>
      <c r="AQ17" s="222">
        <v>84.75</v>
      </c>
      <c r="AR17" s="220">
        <v>11</v>
      </c>
      <c r="AS17" s="461"/>
      <c r="AT17" s="384">
        <v>15</v>
      </c>
      <c r="AU17" s="220">
        <v>1246</v>
      </c>
      <c r="AV17" s="222">
        <v>83.066666666666663</v>
      </c>
      <c r="AW17" s="220">
        <v>12</v>
      </c>
      <c r="AX17" s="461"/>
    </row>
    <row r="18" spans="2:50">
      <c r="B18" s="458"/>
      <c r="C18" s="220">
        <v>12</v>
      </c>
      <c r="D18" s="220" t="s">
        <v>86</v>
      </c>
      <c r="E18" s="221">
        <f>VLOOKUP(D18,'12產線配置圖'!$A$2:$C$25,2,0)</f>
        <v>17</v>
      </c>
      <c r="F18" s="221">
        <f>VLOOKUP(D18,'12產線配置圖'!$A$2:$C$25,3,0)</f>
        <v>1565</v>
      </c>
      <c r="G18" s="222">
        <f t="shared" si="0"/>
        <v>92.058823529411768</v>
      </c>
      <c r="H18" s="468"/>
      <c r="I18" s="221">
        <v>17</v>
      </c>
      <c r="J18" s="221">
        <v>1422.5</v>
      </c>
      <c r="K18" s="221">
        <v>83.67647058823529</v>
      </c>
      <c r="L18" s="468"/>
      <c r="M18" s="223">
        <f t="shared" si="3"/>
        <v>12</v>
      </c>
      <c r="N18" s="454"/>
      <c r="O18" s="454"/>
      <c r="P18" s="220"/>
      <c r="Q18" s="220"/>
      <c r="R18" s="222" t="e">
        <f t="shared" si="4"/>
        <v>#DIV/0!</v>
      </c>
      <c r="S18" s="220" t="e">
        <f t="shared" si="5"/>
        <v>#DIV/0!</v>
      </c>
      <c r="T18" s="459"/>
      <c r="U18" s="220"/>
      <c r="V18" s="220"/>
      <c r="W18" s="222" t="e">
        <f t="shared" ref="W18:W22" si="18">V18/U18</f>
        <v>#DIV/0!</v>
      </c>
      <c r="X18" s="220" t="e">
        <f t="shared" si="7"/>
        <v>#DIV/0!</v>
      </c>
      <c r="Y18" s="459"/>
      <c r="Z18" s="220"/>
      <c r="AA18" s="220"/>
      <c r="AB18" s="222" t="e">
        <f t="shared" ref="AB18:AB22" si="19">AA18/Z18</f>
        <v>#DIV/0!</v>
      </c>
      <c r="AC18" s="220" t="e">
        <f t="shared" si="9"/>
        <v>#DIV/0!</v>
      </c>
      <c r="AD18" s="459"/>
      <c r="AE18" s="220"/>
      <c r="AF18" s="220"/>
      <c r="AG18" s="222" t="e">
        <f>AF18/AE18</f>
        <v>#DIV/0!</v>
      </c>
      <c r="AH18" s="220" t="e">
        <f t="shared" si="11"/>
        <v>#DIV/0!</v>
      </c>
      <c r="AI18" s="459"/>
      <c r="AJ18" s="220"/>
      <c r="AK18" s="220"/>
      <c r="AL18" s="222" t="e">
        <f t="shared" si="12"/>
        <v>#DIV/0!</v>
      </c>
      <c r="AM18" s="220" t="e">
        <f t="shared" si="13"/>
        <v>#DIV/0!</v>
      </c>
      <c r="AN18" s="459"/>
      <c r="AO18" s="384">
        <v>17</v>
      </c>
      <c r="AP18" s="221">
        <v>1409</v>
      </c>
      <c r="AQ18" s="222">
        <v>82.882352941176464</v>
      </c>
      <c r="AR18" s="220">
        <v>12</v>
      </c>
      <c r="AS18" s="461"/>
      <c r="AT18" s="384">
        <v>17</v>
      </c>
      <c r="AU18" s="221">
        <v>1436</v>
      </c>
      <c r="AV18" s="222">
        <v>84.470588235294116</v>
      </c>
      <c r="AW18" s="220">
        <v>11</v>
      </c>
      <c r="AX18" s="461"/>
    </row>
    <row r="19" spans="2:50">
      <c r="B19" s="458"/>
      <c r="C19" s="220">
        <v>13</v>
      </c>
      <c r="D19" s="220" t="s">
        <v>368</v>
      </c>
      <c r="E19" s="221">
        <f>VLOOKUP(D19,'12產線配置圖'!$A$2:$C$25,2,0)</f>
        <v>13</v>
      </c>
      <c r="F19" s="221">
        <f>VLOOKUP(D19,'12產線配置圖'!$A$2:$C$25,3,0)</f>
        <v>1440</v>
      </c>
      <c r="G19" s="222">
        <f t="shared" si="0"/>
        <v>110.76923076923077</v>
      </c>
      <c r="H19" s="468"/>
      <c r="I19" s="221">
        <v>11</v>
      </c>
      <c r="J19" s="221">
        <v>1118.5</v>
      </c>
      <c r="K19" s="221">
        <v>101.68181818181819</v>
      </c>
      <c r="L19" s="468"/>
      <c r="M19" s="223">
        <f t="shared" si="3"/>
        <v>8</v>
      </c>
      <c r="N19" s="454"/>
      <c r="O19" s="454"/>
      <c r="P19" s="220"/>
      <c r="Q19" s="220"/>
      <c r="R19" s="222" t="e">
        <f t="shared" si="4"/>
        <v>#DIV/0!</v>
      </c>
      <c r="S19" s="220" t="e">
        <f t="shared" si="5"/>
        <v>#DIV/0!</v>
      </c>
      <c r="T19" s="459"/>
      <c r="U19" s="220"/>
      <c r="V19" s="220"/>
      <c r="W19" s="222" t="e">
        <f t="shared" si="18"/>
        <v>#DIV/0!</v>
      </c>
      <c r="X19" s="220" t="e">
        <f t="shared" si="7"/>
        <v>#DIV/0!</v>
      </c>
      <c r="Y19" s="459"/>
      <c r="Z19" s="220"/>
      <c r="AA19" s="220"/>
      <c r="AB19" s="222" t="e">
        <f t="shared" si="19"/>
        <v>#DIV/0!</v>
      </c>
      <c r="AC19" s="220" t="e">
        <f t="shared" si="9"/>
        <v>#DIV/0!</v>
      </c>
      <c r="AD19" s="459"/>
      <c r="AE19" s="220"/>
      <c r="AF19" s="220"/>
      <c r="AG19" s="222" t="e">
        <f>AF19/AE19</f>
        <v>#DIV/0!</v>
      </c>
      <c r="AH19" s="220" t="e">
        <f t="shared" si="11"/>
        <v>#DIV/0!</v>
      </c>
      <c r="AI19" s="459"/>
      <c r="AJ19" s="220"/>
      <c r="AK19" s="220"/>
      <c r="AL19" s="222" t="e">
        <f t="shared" si="12"/>
        <v>#DIV/0!</v>
      </c>
      <c r="AM19" s="220" t="e">
        <f t="shared" si="13"/>
        <v>#DIV/0!</v>
      </c>
      <c r="AN19" s="459"/>
      <c r="AO19" s="384">
        <v>11</v>
      </c>
      <c r="AP19" s="220">
        <v>1044</v>
      </c>
      <c r="AQ19" s="382">
        <v>94.909090909090907</v>
      </c>
      <c r="AR19" s="220">
        <v>10</v>
      </c>
      <c r="AS19" s="461"/>
      <c r="AT19" s="220">
        <v>11</v>
      </c>
      <c r="AU19" s="220">
        <v>1193</v>
      </c>
      <c r="AV19" s="382">
        <v>108.45454545454545</v>
      </c>
      <c r="AW19" s="220">
        <v>6</v>
      </c>
      <c r="AX19" s="461"/>
    </row>
    <row r="20" spans="2:50">
      <c r="B20" s="458"/>
      <c r="C20" s="220">
        <v>14</v>
      </c>
      <c r="D20" s="220" t="s">
        <v>187</v>
      </c>
      <c r="E20" s="221">
        <f>VLOOKUP(D20,'12產線配置圖'!$A$2:$C$25,2,0)</f>
        <v>15</v>
      </c>
      <c r="F20" s="221">
        <f>VLOOKUP(D20,'12產線配置圖'!$A$2:$C$25,3,0)</f>
        <v>1800</v>
      </c>
      <c r="G20" s="222">
        <f t="shared" si="0"/>
        <v>120</v>
      </c>
      <c r="H20" s="468"/>
      <c r="I20" s="221">
        <v>16</v>
      </c>
      <c r="J20" s="221">
        <v>1799.5</v>
      </c>
      <c r="K20" s="221">
        <v>112.80196078431374</v>
      </c>
      <c r="L20" s="468"/>
      <c r="M20" s="223">
        <f t="shared" si="3"/>
        <v>5</v>
      </c>
      <c r="N20" s="454"/>
      <c r="O20" s="454"/>
      <c r="P20" s="220"/>
      <c r="Q20" s="220"/>
      <c r="R20" s="222" t="e">
        <f t="shared" si="4"/>
        <v>#DIV/0!</v>
      </c>
      <c r="S20" s="220" t="e">
        <f t="shared" si="5"/>
        <v>#DIV/0!</v>
      </c>
      <c r="T20" s="459"/>
      <c r="U20" s="220"/>
      <c r="V20" s="220"/>
      <c r="W20" s="222" t="e">
        <f t="shared" si="18"/>
        <v>#DIV/0!</v>
      </c>
      <c r="X20" s="220" t="e">
        <f t="shared" si="7"/>
        <v>#DIV/0!</v>
      </c>
      <c r="Y20" s="459"/>
      <c r="Z20" s="220"/>
      <c r="AA20" s="220"/>
      <c r="AB20" s="222" t="e">
        <f t="shared" si="19"/>
        <v>#DIV/0!</v>
      </c>
      <c r="AC20" s="220" t="e">
        <f t="shared" si="9"/>
        <v>#DIV/0!</v>
      </c>
      <c r="AD20" s="459"/>
      <c r="AE20" s="220"/>
      <c r="AF20" s="220"/>
      <c r="AG20" s="222" t="e">
        <f>AF20/AE20</f>
        <v>#DIV/0!</v>
      </c>
      <c r="AH20" s="220" t="e">
        <f t="shared" si="11"/>
        <v>#DIV/0!</v>
      </c>
      <c r="AI20" s="459"/>
      <c r="AJ20" s="220"/>
      <c r="AK20" s="220"/>
      <c r="AL20" s="222" t="e">
        <f t="shared" si="12"/>
        <v>#DIV/0!</v>
      </c>
      <c r="AM20" s="220" t="e">
        <f t="shared" si="13"/>
        <v>#DIV/0!</v>
      </c>
      <c r="AN20" s="459"/>
      <c r="AO20" s="384">
        <v>17</v>
      </c>
      <c r="AP20" s="220">
        <v>1827</v>
      </c>
      <c r="AQ20" s="382">
        <v>107.47058823529412</v>
      </c>
      <c r="AR20" s="220">
        <v>5</v>
      </c>
      <c r="AS20" s="461"/>
      <c r="AT20" s="384">
        <v>15</v>
      </c>
      <c r="AU20" s="220">
        <v>1772</v>
      </c>
      <c r="AV20" s="382">
        <v>118.13333333333334</v>
      </c>
      <c r="AW20" s="220">
        <v>5</v>
      </c>
      <c r="AX20" s="461"/>
    </row>
    <row r="21" spans="2:50">
      <c r="B21" s="458"/>
      <c r="C21" s="220">
        <v>15</v>
      </c>
      <c r="D21" s="220"/>
      <c r="E21" s="221"/>
      <c r="F21" s="221"/>
      <c r="G21" s="222"/>
      <c r="H21" s="468"/>
      <c r="I21" s="221"/>
      <c r="J21" s="221"/>
      <c r="K21" s="221"/>
      <c r="L21" s="468"/>
      <c r="M21" s="223"/>
      <c r="N21" s="454"/>
      <c r="O21" s="454"/>
      <c r="P21" s="220"/>
      <c r="Q21" s="220"/>
      <c r="R21" s="222" t="e">
        <f t="shared" si="4"/>
        <v>#DIV/0!</v>
      </c>
      <c r="S21" s="220" t="e">
        <f t="shared" si="5"/>
        <v>#DIV/0!</v>
      </c>
      <c r="T21" s="459"/>
      <c r="U21" s="220"/>
      <c r="V21" s="220"/>
      <c r="W21" s="222" t="e">
        <f t="shared" si="18"/>
        <v>#DIV/0!</v>
      </c>
      <c r="X21" s="220" t="e">
        <f t="shared" si="7"/>
        <v>#DIV/0!</v>
      </c>
      <c r="Y21" s="459"/>
      <c r="Z21" s="220"/>
      <c r="AA21" s="220"/>
      <c r="AB21" s="222" t="e">
        <f t="shared" si="19"/>
        <v>#DIV/0!</v>
      </c>
      <c r="AC21" s="220" t="e">
        <f t="shared" si="9"/>
        <v>#DIV/0!</v>
      </c>
      <c r="AD21" s="459"/>
      <c r="AE21" s="220"/>
      <c r="AF21" s="220"/>
      <c r="AG21" s="222" t="e">
        <f t="shared" ref="AG21:AG22" si="20">AF21/AE21</f>
        <v>#DIV/0!</v>
      </c>
      <c r="AH21" s="220" t="e">
        <f t="shared" si="11"/>
        <v>#DIV/0!</v>
      </c>
      <c r="AI21" s="459"/>
      <c r="AJ21" s="220"/>
      <c r="AK21" s="220"/>
      <c r="AL21" s="222" t="e">
        <f t="shared" si="12"/>
        <v>#DIV/0!</v>
      </c>
      <c r="AM21" s="220" t="e">
        <f t="shared" si="13"/>
        <v>#DIV/0!</v>
      </c>
      <c r="AN21" s="459"/>
      <c r="AO21" s="220"/>
      <c r="AP21" s="220"/>
      <c r="AQ21" s="222"/>
      <c r="AR21" s="220"/>
      <c r="AS21" s="461"/>
      <c r="AT21" s="220"/>
      <c r="AU21" s="220"/>
      <c r="AV21" s="222"/>
      <c r="AW21" s="220"/>
      <c r="AX21" s="461"/>
    </row>
    <row r="22" spans="2:50">
      <c r="B22" s="458"/>
      <c r="C22" s="220">
        <v>16</v>
      </c>
      <c r="D22" s="220"/>
      <c r="E22" s="221"/>
      <c r="F22" s="221"/>
      <c r="G22" s="222"/>
      <c r="H22" s="468"/>
      <c r="I22" s="221"/>
      <c r="J22" s="221"/>
      <c r="K22" s="221"/>
      <c r="L22" s="468"/>
      <c r="M22" s="223"/>
      <c r="N22" s="454"/>
      <c r="O22" s="454"/>
      <c r="P22" s="220"/>
      <c r="Q22" s="220"/>
      <c r="R22" s="222" t="e">
        <f t="shared" si="4"/>
        <v>#DIV/0!</v>
      </c>
      <c r="S22" s="220" t="e">
        <f t="shared" si="5"/>
        <v>#DIV/0!</v>
      </c>
      <c r="T22" s="459"/>
      <c r="U22" s="220"/>
      <c r="V22" s="220"/>
      <c r="W22" s="222" t="e">
        <f t="shared" si="18"/>
        <v>#DIV/0!</v>
      </c>
      <c r="X22" s="220" t="e">
        <f t="shared" si="7"/>
        <v>#DIV/0!</v>
      </c>
      <c r="Y22" s="459"/>
      <c r="Z22" s="220"/>
      <c r="AA22" s="220"/>
      <c r="AB22" s="222" t="e">
        <f t="shared" si="19"/>
        <v>#DIV/0!</v>
      </c>
      <c r="AC22" s="220" t="e">
        <f t="shared" si="9"/>
        <v>#DIV/0!</v>
      </c>
      <c r="AD22" s="459"/>
      <c r="AE22" s="220"/>
      <c r="AF22" s="220"/>
      <c r="AG22" s="222" t="e">
        <f t="shared" si="20"/>
        <v>#DIV/0!</v>
      </c>
      <c r="AH22" s="220" t="e">
        <f t="shared" si="11"/>
        <v>#DIV/0!</v>
      </c>
      <c r="AI22" s="459"/>
      <c r="AJ22" s="220"/>
      <c r="AK22" s="220"/>
      <c r="AL22" s="222" t="e">
        <f t="shared" si="12"/>
        <v>#DIV/0!</v>
      </c>
      <c r="AM22" s="220" t="e">
        <f t="shared" si="13"/>
        <v>#DIV/0!</v>
      </c>
      <c r="AN22" s="459"/>
      <c r="AO22" s="384"/>
      <c r="AP22" s="220"/>
      <c r="AQ22" s="222"/>
      <c r="AR22" s="220"/>
      <c r="AS22" s="461"/>
      <c r="AT22" s="220"/>
      <c r="AU22" s="220"/>
      <c r="AV22" s="222"/>
      <c r="AW22" s="220"/>
      <c r="AX22" s="461"/>
    </row>
    <row r="23" spans="2:50">
      <c r="B23" s="458"/>
      <c r="C23" s="220">
        <v>17</v>
      </c>
      <c r="D23" s="220"/>
      <c r="E23" s="221"/>
      <c r="F23" s="221"/>
      <c r="G23" s="222"/>
      <c r="H23" s="468"/>
      <c r="I23" s="220"/>
      <c r="J23" s="220"/>
      <c r="K23" s="222"/>
      <c r="L23" s="468"/>
      <c r="M23" s="223"/>
      <c r="N23" s="454"/>
      <c r="O23" s="454"/>
      <c r="P23" s="220"/>
      <c r="Q23" s="220"/>
      <c r="R23" s="222"/>
      <c r="S23" s="220"/>
      <c r="T23" s="459"/>
      <c r="U23" s="220"/>
      <c r="V23" s="220"/>
      <c r="W23" s="222"/>
      <c r="X23" s="220"/>
      <c r="Y23" s="459"/>
      <c r="Z23" s="220"/>
      <c r="AA23" s="220"/>
      <c r="AB23" s="220"/>
      <c r="AC23" s="220"/>
      <c r="AD23" s="459"/>
      <c r="AE23" s="220"/>
      <c r="AF23" s="220"/>
      <c r="AG23" s="222"/>
      <c r="AH23" s="220"/>
      <c r="AI23" s="459"/>
      <c r="AJ23" s="220"/>
      <c r="AK23" s="220"/>
      <c r="AL23" s="220"/>
      <c r="AM23" s="220"/>
      <c r="AN23" s="459"/>
      <c r="AO23" s="220"/>
      <c r="AP23" s="220"/>
      <c r="AQ23" s="222"/>
      <c r="AR23" s="220"/>
      <c r="AS23" s="461"/>
      <c r="AT23" s="220"/>
      <c r="AU23" s="220"/>
      <c r="AV23" s="222"/>
      <c r="AW23" s="220"/>
      <c r="AX23" s="461"/>
    </row>
    <row r="24" spans="2:50">
      <c r="B24" s="458"/>
      <c r="C24" s="220">
        <v>18</v>
      </c>
      <c r="D24" s="220"/>
      <c r="E24" s="221"/>
      <c r="F24" s="221"/>
      <c r="G24" s="222"/>
      <c r="H24" s="469"/>
      <c r="I24" s="220"/>
      <c r="J24" s="220"/>
      <c r="K24" s="222"/>
      <c r="L24" s="469"/>
      <c r="M24" s="223"/>
      <c r="N24" s="454"/>
      <c r="O24" s="454"/>
      <c r="P24" s="220"/>
      <c r="Q24" s="220"/>
      <c r="R24" s="222"/>
      <c r="S24" s="220"/>
      <c r="T24" s="459"/>
      <c r="U24" s="220"/>
      <c r="V24" s="220"/>
      <c r="W24" s="222"/>
      <c r="X24" s="220"/>
      <c r="Y24" s="459"/>
      <c r="Z24" s="220"/>
      <c r="AA24" s="220"/>
      <c r="AB24" s="220"/>
      <c r="AC24" s="220"/>
      <c r="AD24" s="459"/>
      <c r="AE24" s="220"/>
      <c r="AF24" s="220"/>
      <c r="AG24" s="222"/>
      <c r="AH24" s="220"/>
      <c r="AI24" s="459"/>
      <c r="AJ24" s="220"/>
      <c r="AK24" s="220"/>
      <c r="AL24" s="220"/>
      <c r="AM24" s="220"/>
      <c r="AN24" s="459"/>
      <c r="AO24" s="220"/>
      <c r="AP24" s="220"/>
      <c r="AQ24" s="222"/>
      <c r="AR24" s="220"/>
      <c r="AS24" s="462"/>
      <c r="AT24" s="220"/>
      <c r="AU24" s="220"/>
      <c r="AV24" s="222"/>
      <c r="AW24" s="220"/>
      <c r="AX24" s="462"/>
    </row>
    <row r="25" spans="2:50" ht="15.75">
      <c r="B25" s="474" t="s">
        <v>43</v>
      </c>
      <c r="C25" s="475"/>
      <c r="D25" s="475"/>
      <c r="E25" s="475"/>
      <c r="F25" s="475"/>
      <c r="G25" s="475"/>
      <c r="H25" s="475"/>
      <c r="I25" s="214"/>
      <c r="J25" s="214"/>
      <c r="K25" s="214"/>
      <c r="L25" s="214"/>
      <c r="M25" s="215"/>
      <c r="N25" s="455" t="s">
        <v>44</v>
      </c>
      <c r="O25" s="455" t="s">
        <v>3</v>
      </c>
      <c r="P25" s="457">
        <v>46084</v>
      </c>
      <c r="Q25" s="458"/>
      <c r="R25" s="458"/>
      <c r="S25" s="458"/>
      <c r="T25" s="458"/>
      <c r="U25" s="457">
        <v>46085</v>
      </c>
      <c r="V25" s="458"/>
      <c r="W25" s="458"/>
      <c r="X25" s="458"/>
      <c r="Y25" s="458"/>
      <c r="Z25" s="457">
        <v>46086</v>
      </c>
      <c r="AA25" s="458"/>
      <c r="AB25" s="458"/>
      <c r="AC25" s="458"/>
      <c r="AD25" s="458"/>
      <c r="AE25" s="457">
        <v>46087</v>
      </c>
      <c r="AF25" s="458"/>
      <c r="AG25" s="458"/>
      <c r="AH25" s="458"/>
      <c r="AI25" s="458"/>
      <c r="AJ25" s="457">
        <v>46088</v>
      </c>
      <c r="AK25" s="458"/>
      <c r="AL25" s="458"/>
      <c r="AM25" s="458"/>
      <c r="AN25" s="458"/>
      <c r="AO25" s="457">
        <v>46089</v>
      </c>
      <c r="AP25" s="458"/>
      <c r="AQ25" s="458"/>
      <c r="AR25" s="458"/>
      <c r="AS25" s="458"/>
      <c r="AT25" s="457">
        <v>46090</v>
      </c>
      <c r="AU25" s="458"/>
      <c r="AV25" s="458"/>
      <c r="AW25" s="458"/>
      <c r="AX25" s="458"/>
    </row>
    <row r="26" spans="2:50" ht="15.75">
      <c r="B26" s="466"/>
      <c r="C26" s="466"/>
      <c r="D26" s="466"/>
      <c r="E26" s="466"/>
      <c r="F26" s="466"/>
      <c r="G26" s="466"/>
      <c r="H26" s="466"/>
      <c r="I26" s="216"/>
      <c r="J26" s="216"/>
      <c r="K26" s="216"/>
      <c r="L26" s="216"/>
      <c r="M26" s="217"/>
      <c r="N26" s="456"/>
      <c r="O26" s="456"/>
      <c r="P26" s="457" t="s">
        <v>15</v>
      </c>
      <c r="Q26" s="458"/>
      <c r="R26" s="458"/>
      <c r="S26" s="458"/>
      <c r="T26" s="458"/>
      <c r="U26" s="457" t="s">
        <v>13</v>
      </c>
      <c r="V26" s="458"/>
      <c r="W26" s="458"/>
      <c r="X26" s="458"/>
      <c r="Y26" s="458"/>
      <c r="Z26" s="457" t="s">
        <v>16</v>
      </c>
      <c r="AA26" s="458"/>
      <c r="AB26" s="458"/>
      <c r="AC26" s="458"/>
      <c r="AD26" s="458"/>
      <c r="AE26" s="457" t="s">
        <v>17</v>
      </c>
      <c r="AF26" s="458"/>
      <c r="AG26" s="458"/>
      <c r="AH26" s="458"/>
      <c r="AI26" s="458"/>
      <c r="AJ26" s="457" t="s">
        <v>18</v>
      </c>
      <c r="AK26" s="458"/>
      <c r="AL26" s="458"/>
      <c r="AM26" s="458"/>
      <c r="AN26" s="458"/>
      <c r="AO26" s="457" t="s">
        <v>10</v>
      </c>
      <c r="AP26" s="458"/>
      <c r="AQ26" s="458"/>
      <c r="AR26" s="458"/>
      <c r="AS26" s="458"/>
      <c r="AT26" s="457" t="s">
        <v>14</v>
      </c>
      <c r="AU26" s="458"/>
      <c r="AV26" s="458"/>
      <c r="AW26" s="458"/>
      <c r="AX26" s="458"/>
    </row>
    <row r="27" spans="2:50">
      <c r="B27" s="454" t="s">
        <v>45</v>
      </c>
      <c r="C27" s="473" t="s">
        <v>46</v>
      </c>
      <c r="D27" s="454"/>
      <c r="E27" s="454" t="s">
        <v>47</v>
      </c>
      <c r="F27" s="454"/>
      <c r="G27" s="454"/>
      <c r="H27" s="470" t="s">
        <v>48</v>
      </c>
      <c r="I27" s="454" t="s">
        <v>49</v>
      </c>
      <c r="J27" s="454"/>
      <c r="K27" s="454"/>
      <c r="L27" s="470" t="s">
        <v>48</v>
      </c>
      <c r="M27" s="455" t="s">
        <v>50</v>
      </c>
      <c r="N27" s="454"/>
      <c r="O27" s="454" t="s">
        <v>51</v>
      </c>
      <c r="P27" s="451" t="s">
        <v>52</v>
      </c>
      <c r="Q27" s="452"/>
      <c r="R27" s="452"/>
      <c r="S27" s="453"/>
      <c r="T27" s="454" t="s">
        <v>48</v>
      </c>
      <c r="U27" s="451" t="s">
        <v>52</v>
      </c>
      <c r="V27" s="452"/>
      <c r="W27" s="452"/>
      <c r="X27" s="453"/>
      <c r="Y27" s="454" t="s">
        <v>48</v>
      </c>
      <c r="Z27" s="451" t="s">
        <v>52</v>
      </c>
      <c r="AA27" s="452"/>
      <c r="AB27" s="452"/>
      <c r="AC27" s="453"/>
      <c r="AD27" s="454" t="s">
        <v>48</v>
      </c>
      <c r="AE27" s="451" t="s">
        <v>52</v>
      </c>
      <c r="AF27" s="452"/>
      <c r="AG27" s="452"/>
      <c r="AH27" s="453"/>
      <c r="AI27" s="454" t="s">
        <v>48</v>
      </c>
      <c r="AJ27" s="451" t="s">
        <v>52</v>
      </c>
      <c r="AK27" s="452"/>
      <c r="AL27" s="452"/>
      <c r="AM27" s="453"/>
      <c r="AN27" s="454" t="s">
        <v>48</v>
      </c>
      <c r="AO27" s="451" t="s">
        <v>52</v>
      </c>
      <c r="AP27" s="452"/>
      <c r="AQ27" s="452"/>
      <c r="AR27" s="453"/>
      <c r="AS27" s="454" t="s">
        <v>48</v>
      </c>
      <c r="AT27" s="451" t="s">
        <v>52</v>
      </c>
      <c r="AU27" s="452"/>
      <c r="AV27" s="452"/>
      <c r="AW27" s="453"/>
      <c r="AX27" s="454" t="s">
        <v>48</v>
      </c>
    </row>
    <row r="28" spans="2:50">
      <c r="B28" s="454"/>
      <c r="C28" s="454"/>
      <c r="D28" s="454"/>
      <c r="E28" s="454" t="s">
        <v>53</v>
      </c>
      <c r="F28" s="454"/>
      <c r="G28" s="454"/>
      <c r="H28" s="471"/>
      <c r="I28" s="454" t="s">
        <v>53</v>
      </c>
      <c r="J28" s="454"/>
      <c r="K28" s="454"/>
      <c r="L28" s="471"/>
      <c r="M28" s="463"/>
      <c r="N28" s="454"/>
      <c r="O28" s="454"/>
      <c r="P28" s="451" t="s">
        <v>54</v>
      </c>
      <c r="Q28" s="452"/>
      <c r="R28" s="452"/>
      <c r="S28" s="453"/>
      <c r="T28" s="454"/>
      <c r="U28" s="451" t="s">
        <v>54</v>
      </c>
      <c r="V28" s="452"/>
      <c r="W28" s="452"/>
      <c r="X28" s="453"/>
      <c r="Y28" s="454"/>
      <c r="Z28" s="451" t="s">
        <v>54</v>
      </c>
      <c r="AA28" s="452"/>
      <c r="AB28" s="452"/>
      <c r="AC28" s="453"/>
      <c r="AD28" s="454"/>
      <c r="AE28" s="451" t="s">
        <v>54</v>
      </c>
      <c r="AF28" s="452"/>
      <c r="AG28" s="452"/>
      <c r="AH28" s="453"/>
      <c r="AI28" s="454"/>
      <c r="AJ28" s="451" t="s">
        <v>54</v>
      </c>
      <c r="AK28" s="452"/>
      <c r="AL28" s="452"/>
      <c r="AM28" s="453"/>
      <c r="AN28" s="454"/>
      <c r="AO28" s="451" t="s">
        <v>54</v>
      </c>
      <c r="AP28" s="452"/>
      <c r="AQ28" s="452"/>
      <c r="AR28" s="453"/>
      <c r="AS28" s="454"/>
      <c r="AT28" s="451" t="s">
        <v>54</v>
      </c>
      <c r="AU28" s="452"/>
      <c r="AV28" s="452"/>
      <c r="AW28" s="453"/>
      <c r="AX28" s="454"/>
    </row>
    <row r="29" spans="2:50">
      <c r="B29" s="454"/>
      <c r="C29" s="454"/>
      <c r="D29" s="454"/>
      <c r="E29" s="219" t="s">
        <v>55</v>
      </c>
      <c r="F29" s="219" t="s">
        <v>56</v>
      </c>
      <c r="G29" s="219" t="s">
        <v>57</v>
      </c>
      <c r="H29" s="472"/>
      <c r="I29" s="219" t="s">
        <v>55</v>
      </c>
      <c r="J29" s="219" t="s">
        <v>56</v>
      </c>
      <c r="K29" s="219" t="s">
        <v>57</v>
      </c>
      <c r="L29" s="472"/>
      <c r="M29" s="456"/>
      <c r="N29" s="454"/>
      <c r="O29" s="454"/>
      <c r="P29" s="219" t="s">
        <v>55</v>
      </c>
      <c r="Q29" s="219" t="s">
        <v>56</v>
      </c>
      <c r="R29" s="219" t="s">
        <v>57</v>
      </c>
      <c r="S29" s="219" t="s">
        <v>50</v>
      </c>
      <c r="T29" s="454"/>
      <c r="U29" s="219" t="s">
        <v>55</v>
      </c>
      <c r="V29" s="219" t="s">
        <v>56</v>
      </c>
      <c r="W29" s="219" t="s">
        <v>57</v>
      </c>
      <c r="X29" s="219" t="s">
        <v>50</v>
      </c>
      <c r="Y29" s="454"/>
      <c r="Z29" s="219" t="s">
        <v>55</v>
      </c>
      <c r="AA29" s="219" t="s">
        <v>56</v>
      </c>
      <c r="AB29" s="219" t="s">
        <v>57</v>
      </c>
      <c r="AC29" s="219" t="s">
        <v>50</v>
      </c>
      <c r="AD29" s="454"/>
      <c r="AE29" s="219" t="s">
        <v>55</v>
      </c>
      <c r="AF29" s="219" t="s">
        <v>56</v>
      </c>
      <c r="AG29" s="219" t="s">
        <v>57</v>
      </c>
      <c r="AH29" s="219" t="s">
        <v>50</v>
      </c>
      <c r="AI29" s="454"/>
      <c r="AJ29" s="219" t="s">
        <v>55</v>
      </c>
      <c r="AK29" s="219" t="s">
        <v>56</v>
      </c>
      <c r="AL29" s="219" t="s">
        <v>57</v>
      </c>
      <c r="AM29" s="219" t="s">
        <v>50</v>
      </c>
      <c r="AN29" s="454"/>
      <c r="AO29" s="219" t="s">
        <v>55</v>
      </c>
      <c r="AP29" s="219" t="s">
        <v>56</v>
      </c>
      <c r="AQ29" s="219" t="s">
        <v>57</v>
      </c>
      <c r="AR29" s="219" t="s">
        <v>50</v>
      </c>
      <c r="AS29" s="454"/>
      <c r="AT29" s="219" t="s">
        <v>55</v>
      </c>
      <c r="AU29" s="219" t="s">
        <v>56</v>
      </c>
      <c r="AV29" s="219" t="s">
        <v>57</v>
      </c>
      <c r="AW29" s="219" t="s">
        <v>50</v>
      </c>
      <c r="AX29" s="454"/>
    </row>
    <row r="30" spans="2:50" ht="13.5">
      <c r="B30" s="458" t="s">
        <v>323</v>
      </c>
      <c r="C30" s="220">
        <v>1</v>
      </c>
      <c r="D30" s="224" t="s">
        <v>75</v>
      </c>
      <c r="E30" s="221">
        <f>VLOOKUP(D30,'12產線配置圖'!$A$2:$C$25,2,0)</f>
        <v>11</v>
      </c>
      <c r="F30" s="221">
        <f>VLOOKUP(D30,'12產線配置圖'!$A$2:$C$25,3,0)</f>
        <v>2118</v>
      </c>
      <c r="G30" s="222">
        <f>F30/E30</f>
        <v>192.54545454545453</v>
      </c>
      <c r="H30" s="467" t="e">
        <f>AVERAGE(G30:G47)</f>
        <v>#N/A</v>
      </c>
      <c r="I30" s="221">
        <f>AVERAGE(P30,U30,Z30,AE30,AJ30,AO30,AT30)</f>
        <v>11.428571428571429</v>
      </c>
      <c r="J30" s="221">
        <f>AVERAGE(Q30,V30,AA30,AF30,AK30,AP30,AU30)</f>
        <v>1840</v>
      </c>
      <c r="K30" s="222">
        <f>AVERAGE(R30,W30,AB30,AG30,AL30,AQ30,AV30)</f>
        <v>161.13394938394939</v>
      </c>
      <c r="L30" s="467">
        <f>IFERROR(AVERAGE(K30:K47),"-")</f>
        <v>107.18172620174724</v>
      </c>
      <c r="M30" s="223">
        <f>RANK(K30, K$30:$K$47)</f>
        <v>1</v>
      </c>
      <c r="N30" s="454"/>
      <c r="O30" s="454"/>
      <c r="P30" s="383">
        <v>12</v>
      </c>
      <c r="Q30" s="221">
        <v>1871</v>
      </c>
      <c r="R30" s="222">
        <f>Q30/P30</f>
        <v>155.91666666666666</v>
      </c>
      <c r="S30" s="220">
        <f>RANK(R30,$R$30:$R$47)</f>
        <v>1</v>
      </c>
      <c r="T30" s="459">
        <f>AVERAGE(R30:R47)</f>
        <v>107.02139985287043</v>
      </c>
      <c r="U30" s="221">
        <v>11</v>
      </c>
      <c r="V30" s="221">
        <v>1667</v>
      </c>
      <c r="W30" s="222">
        <f>V30/U30</f>
        <v>151.54545454545453</v>
      </c>
      <c r="X30" s="220">
        <f>RANK(W30, $W$30:$W$47)</f>
        <v>2</v>
      </c>
      <c r="Y30" s="459">
        <f>AVERAGE(W30:W47)</f>
        <v>103.58431073828133</v>
      </c>
      <c r="Z30" s="221">
        <v>11</v>
      </c>
      <c r="AA30" s="383">
        <v>1679</v>
      </c>
      <c r="AB30" s="382">
        <f>AA30/Z30</f>
        <v>152.63636363636363</v>
      </c>
      <c r="AC30" s="220">
        <f>RANK(AB30, $AB$30:$AB$47)</f>
        <v>2</v>
      </c>
      <c r="AD30" s="459">
        <f>AVERAGE(AB30:AB47)</f>
        <v>104.38408415114297</v>
      </c>
      <c r="AE30" s="383">
        <v>13</v>
      </c>
      <c r="AF30" s="221">
        <v>2059</v>
      </c>
      <c r="AG30" s="222">
        <f>AF30/AE30</f>
        <v>158.38461538461539</v>
      </c>
      <c r="AH30" s="220">
        <f>RANK(AG30, $AG$30:$AG$47)</f>
        <v>1</v>
      </c>
      <c r="AI30" s="459">
        <f>AVERAGE(AG30:AG47)</f>
        <v>105.42781769428827</v>
      </c>
      <c r="AJ30" s="221">
        <v>11</v>
      </c>
      <c r="AK30" s="221">
        <v>1757</v>
      </c>
      <c r="AL30" s="222">
        <f>AK30/AJ30</f>
        <v>159.72727272727272</v>
      </c>
      <c r="AM30" s="220">
        <f>RANK(AL30, $AL$30:$AL$47)</f>
        <v>2</v>
      </c>
      <c r="AN30" s="459">
        <f>AVERAGE(AL30:AL47)</f>
        <v>108.8649106285871</v>
      </c>
      <c r="AO30" s="221">
        <v>11</v>
      </c>
      <c r="AP30" s="221">
        <v>1882</v>
      </c>
      <c r="AQ30" s="222">
        <f>AP30/AO30</f>
        <v>171.09090909090909</v>
      </c>
      <c r="AR30" s="220">
        <f>RANK(AQ30,$AQ$30:$AQ$47)</f>
        <v>1</v>
      </c>
      <c r="AS30" s="459">
        <f>AVERAGE(AQ30:AQ47)</f>
        <v>109.90537642640585</v>
      </c>
      <c r="AT30" s="221">
        <v>11</v>
      </c>
      <c r="AU30" s="221">
        <v>1965</v>
      </c>
      <c r="AV30" s="222">
        <f>AU30/AT30</f>
        <v>178.63636363636363</v>
      </c>
      <c r="AW30" s="220">
        <f>RANK(AV30, $AV$30:$AV$47)</f>
        <v>1</v>
      </c>
      <c r="AX30" s="459">
        <f>AVERAGE(AV30:AV47)</f>
        <v>111.08418392065451</v>
      </c>
    </row>
    <row r="31" spans="2:50">
      <c r="B31" s="458"/>
      <c r="C31" s="220">
        <v>2</v>
      </c>
      <c r="D31" s="220" t="s">
        <v>77</v>
      </c>
      <c r="E31" s="221">
        <f>VLOOKUP(D31,'12產線配置圖'!$A$2:$C$25,2,0)</f>
        <v>13</v>
      </c>
      <c r="F31" s="221">
        <f>VLOOKUP(D31,'12產線配置圖'!$A$2:$C$25,3,0)</f>
        <v>2118</v>
      </c>
      <c r="G31" s="222">
        <f t="shared" ref="G31:G41" si="21">F31/E31</f>
        <v>162.92307692307693</v>
      </c>
      <c r="H31" s="468"/>
      <c r="I31" s="221">
        <f t="shared" ref="I31:K41" si="22">AVERAGE(P31,U31,Z31,AE31,AJ31,AO31,AT31)</f>
        <v>13.428571428571429</v>
      </c>
      <c r="J31" s="221">
        <f t="shared" si="22"/>
        <v>1853.1428571428571</v>
      </c>
      <c r="K31" s="222">
        <f t="shared" si="22"/>
        <v>138.18168498168501</v>
      </c>
      <c r="L31" s="468"/>
      <c r="M31" s="223">
        <f>RANK(K31, K$30:$K$47)</f>
        <v>4</v>
      </c>
      <c r="N31" s="454"/>
      <c r="O31" s="454"/>
      <c r="P31" s="383">
        <v>14</v>
      </c>
      <c r="Q31" s="221">
        <v>1848</v>
      </c>
      <c r="R31" s="222">
        <f t="shared" ref="R31:R39" si="23">Q31/P31</f>
        <v>132</v>
      </c>
      <c r="S31" s="220">
        <f t="shared" ref="S31:S41" si="24">RANK(R31,$R$30:$R$47)</f>
        <v>4</v>
      </c>
      <c r="T31" s="459"/>
      <c r="U31" s="221">
        <v>13</v>
      </c>
      <c r="V31" s="221">
        <v>1730</v>
      </c>
      <c r="W31" s="222">
        <f t="shared" ref="W31:W39" si="25">V31/U31</f>
        <v>133.07692307692307</v>
      </c>
      <c r="X31" s="220">
        <f t="shared" ref="X31:X41" si="26">RANK(W31, $W$30:$W$47)</f>
        <v>4</v>
      </c>
      <c r="Y31" s="459"/>
      <c r="Z31" s="221">
        <v>13</v>
      </c>
      <c r="AA31" s="383">
        <v>1665</v>
      </c>
      <c r="AB31" s="382">
        <f t="shared" ref="AB31:AB39" si="27">AA31/Z31</f>
        <v>128.07692307692307</v>
      </c>
      <c r="AC31" s="220">
        <f t="shared" ref="AC31:AC41" si="28">RANK(AB31, $AB$30:$AB$47)</f>
        <v>4</v>
      </c>
      <c r="AD31" s="459"/>
      <c r="AE31" s="383">
        <v>15</v>
      </c>
      <c r="AF31" s="221">
        <v>1991</v>
      </c>
      <c r="AG31" s="222">
        <f t="shared" ref="AG31:AG39" si="29">AF31/AE31</f>
        <v>132.73333333333332</v>
      </c>
      <c r="AH31" s="220">
        <f t="shared" ref="AH31:AH41" si="30">RANK(AG31, $AG$30:$AG$47)</f>
        <v>4</v>
      </c>
      <c r="AI31" s="459"/>
      <c r="AJ31" s="221">
        <v>13</v>
      </c>
      <c r="AK31" s="221">
        <v>1923</v>
      </c>
      <c r="AL31" s="222">
        <f t="shared" ref="AL31:AL39" si="31">AK31/AJ31</f>
        <v>147.92307692307693</v>
      </c>
      <c r="AM31" s="220">
        <f t="shared" ref="AM31:AM41" si="32">RANK(AL31, $AL$30:$AL$47)</f>
        <v>4</v>
      </c>
      <c r="AN31" s="459"/>
      <c r="AO31" s="221">
        <v>13</v>
      </c>
      <c r="AP31" s="221">
        <v>1926</v>
      </c>
      <c r="AQ31" s="222">
        <f>AP31/AO31</f>
        <v>148.15384615384616</v>
      </c>
      <c r="AR31" s="220">
        <f>RANK(AQ31,$AQ$30:$AQ$47)</f>
        <v>4</v>
      </c>
      <c r="AS31" s="459"/>
      <c r="AT31" s="221">
        <v>13</v>
      </c>
      <c r="AU31" s="221">
        <v>1889</v>
      </c>
      <c r="AV31" s="222">
        <f t="shared" ref="AV31:AV41" si="33">AU31/AT31</f>
        <v>145.30769230769232</v>
      </c>
      <c r="AW31" s="220">
        <f t="shared" ref="AW31:AW41" si="34">RANK(AV31, $AV$30:$AV$47)</f>
        <v>4</v>
      </c>
      <c r="AX31" s="459"/>
    </row>
    <row r="32" spans="2:50">
      <c r="B32" s="458"/>
      <c r="C32" s="220">
        <v>3</v>
      </c>
      <c r="D32" s="220" t="s">
        <v>76</v>
      </c>
      <c r="E32" s="221">
        <f>VLOOKUP(D32,'12產線配置圖'!$A$2:$C$25,2,0)</f>
        <v>12</v>
      </c>
      <c r="F32" s="221">
        <f>VLOOKUP(D32,'12產線配置圖'!$A$2:$C$25,3,0)</f>
        <v>2118</v>
      </c>
      <c r="G32" s="222">
        <f t="shared" si="21"/>
        <v>176.5</v>
      </c>
      <c r="H32" s="468"/>
      <c r="I32" s="221">
        <f t="shared" si="22"/>
        <v>12.571428571428571</v>
      </c>
      <c r="J32" s="221">
        <f t="shared" si="22"/>
        <v>1947.8571428571429</v>
      </c>
      <c r="K32" s="222">
        <f>AVERAGE(R32,W32,AB32,AG32,AL32,AQ32,AV32)</f>
        <v>154.88534798534801</v>
      </c>
      <c r="L32" s="468"/>
      <c r="M32" s="223">
        <f>RANK(K32, K$30:$K$47)</f>
        <v>2</v>
      </c>
      <c r="N32" s="454"/>
      <c r="O32" s="454"/>
      <c r="P32" s="383">
        <v>15</v>
      </c>
      <c r="Q32" s="221">
        <v>2327</v>
      </c>
      <c r="R32" s="222">
        <f t="shared" si="23"/>
        <v>155.13333333333333</v>
      </c>
      <c r="S32" s="220">
        <f t="shared" si="24"/>
        <v>3</v>
      </c>
      <c r="T32" s="459"/>
      <c r="U32" s="383">
        <v>13</v>
      </c>
      <c r="V32" s="221">
        <v>2070</v>
      </c>
      <c r="W32" s="222">
        <f t="shared" si="25"/>
        <v>159.23076923076923</v>
      </c>
      <c r="X32" s="220">
        <f t="shared" si="26"/>
        <v>1</v>
      </c>
      <c r="Y32" s="459"/>
      <c r="Z32" s="221">
        <v>12</v>
      </c>
      <c r="AA32" s="383">
        <v>1643</v>
      </c>
      <c r="AB32" s="382">
        <f t="shared" si="27"/>
        <v>136.91666666666666</v>
      </c>
      <c r="AC32" s="220">
        <f t="shared" si="28"/>
        <v>3</v>
      </c>
      <c r="AD32" s="459"/>
      <c r="AE32" s="221">
        <v>12</v>
      </c>
      <c r="AF32" s="221">
        <v>1702</v>
      </c>
      <c r="AG32" s="222">
        <f t="shared" si="29"/>
        <v>141.83333333333334</v>
      </c>
      <c r="AH32" s="220">
        <f t="shared" si="30"/>
        <v>3</v>
      </c>
      <c r="AI32" s="459"/>
      <c r="AJ32" s="221">
        <v>12</v>
      </c>
      <c r="AK32" s="221">
        <v>1984</v>
      </c>
      <c r="AL32" s="222">
        <f>AK32/AJ32</f>
        <v>165.33333333333334</v>
      </c>
      <c r="AM32" s="220">
        <f>RANK(AL32, $AL$30:$AL$47)</f>
        <v>1</v>
      </c>
      <c r="AN32" s="459"/>
      <c r="AO32" s="221">
        <v>12</v>
      </c>
      <c r="AP32" s="221">
        <v>1956</v>
      </c>
      <c r="AQ32" s="222">
        <f t="shared" ref="AQ32:AQ41" si="35">AP32/AO32</f>
        <v>163</v>
      </c>
      <c r="AR32" s="220">
        <f t="shared" ref="AR32:AR41" si="36">RANK(AQ32,$AQ$30:$AQ$47)</f>
        <v>2</v>
      </c>
      <c r="AS32" s="459"/>
      <c r="AT32" s="221">
        <v>12</v>
      </c>
      <c r="AU32" s="221">
        <v>1953</v>
      </c>
      <c r="AV32" s="222">
        <f t="shared" si="33"/>
        <v>162.75</v>
      </c>
      <c r="AW32" s="220">
        <f t="shared" si="34"/>
        <v>3</v>
      </c>
      <c r="AX32" s="459"/>
    </row>
    <row r="33" spans="2:50">
      <c r="B33" s="458"/>
      <c r="C33" s="220">
        <v>4</v>
      </c>
      <c r="D33" s="220" t="s">
        <v>127</v>
      </c>
      <c r="E33" s="221">
        <f>VLOOKUP(D33,'12產線配置圖'!$A$2:$C$25,2,0)</f>
        <v>16</v>
      </c>
      <c r="F33" s="221">
        <f>VLOOKUP(D33,'12產線配置圖'!$A$2:$C$25,3,0)</f>
        <v>1800</v>
      </c>
      <c r="G33" s="222">
        <f t="shared" si="21"/>
        <v>112.5</v>
      </c>
      <c r="H33" s="468"/>
      <c r="I33" s="221">
        <f t="shared" si="22"/>
        <v>16.428571428571427</v>
      </c>
      <c r="J33" s="221">
        <f t="shared" si="22"/>
        <v>1641.1428571428571</v>
      </c>
      <c r="K33" s="222">
        <f t="shared" si="22"/>
        <v>99.928571428571445</v>
      </c>
      <c r="L33" s="468"/>
      <c r="M33" s="223">
        <f>RANK(K33, K$30:$K$47)</f>
        <v>7</v>
      </c>
      <c r="N33" s="454"/>
      <c r="O33" s="454"/>
      <c r="P33" s="221">
        <v>16</v>
      </c>
      <c r="Q33" s="221">
        <v>1639</v>
      </c>
      <c r="R33" s="222">
        <f t="shared" si="23"/>
        <v>102.4375</v>
      </c>
      <c r="S33" s="220">
        <f t="shared" si="24"/>
        <v>7</v>
      </c>
      <c r="T33" s="459"/>
      <c r="U33" s="383">
        <v>17</v>
      </c>
      <c r="V33" s="221">
        <v>1686</v>
      </c>
      <c r="W33" s="222">
        <f t="shared" si="25"/>
        <v>99.17647058823529</v>
      </c>
      <c r="X33" s="220">
        <f t="shared" si="26"/>
        <v>7</v>
      </c>
      <c r="Y33" s="459"/>
      <c r="Z33" s="221">
        <v>16</v>
      </c>
      <c r="AA33" s="221">
        <v>1555</v>
      </c>
      <c r="AB33" s="386">
        <f t="shared" si="27"/>
        <v>97.1875</v>
      </c>
      <c r="AC33" s="220">
        <f t="shared" si="28"/>
        <v>6</v>
      </c>
      <c r="AD33" s="459"/>
      <c r="AE33" s="383">
        <v>17</v>
      </c>
      <c r="AF33" s="221">
        <v>1687</v>
      </c>
      <c r="AG33" s="222">
        <f t="shared" si="29"/>
        <v>99.235294117647058</v>
      </c>
      <c r="AH33" s="220">
        <f t="shared" si="30"/>
        <v>7</v>
      </c>
      <c r="AI33" s="459"/>
      <c r="AJ33" s="221">
        <v>16</v>
      </c>
      <c r="AK33" s="221">
        <v>1632</v>
      </c>
      <c r="AL33" s="222">
        <f t="shared" si="31"/>
        <v>102</v>
      </c>
      <c r="AM33" s="220">
        <f t="shared" si="32"/>
        <v>6</v>
      </c>
      <c r="AN33" s="459"/>
      <c r="AO33" s="221">
        <v>16</v>
      </c>
      <c r="AP33" s="221">
        <v>1630</v>
      </c>
      <c r="AQ33" s="222">
        <f t="shared" si="35"/>
        <v>101.875</v>
      </c>
      <c r="AR33" s="220">
        <f t="shared" si="36"/>
        <v>7</v>
      </c>
      <c r="AS33" s="459"/>
      <c r="AT33" s="221">
        <v>17</v>
      </c>
      <c r="AU33" s="221">
        <v>1659</v>
      </c>
      <c r="AV33" s="222">
        <f t="shared" si="33"/>
        <v>97.588235294117652</v>
      </c>
      <c r="AW33" s="220">
        <f t="shared" si="34"/>
        <v>10</v>
      </c>
      <c r="AX33" s="459"/>
    </row>
    <row r="34" spans="2:50">
      <c r="B34" s="458"/>
      <c r="C34" s="220">
        <v>5</v>
      </c>
      <c r="D34" s="220" t="s">
        <v>178</v>
      </c>
      <c r="E34" s="221" t="e">
        <f>VLOOKUP(D34,'12產線配置圖'!$A$2:$C$25,2,0)</f>
        <v>#N/A</v>
      </c>
      <c r="F34" s="221" t="e">
        <f>VLOOKUP(D34,'12產線配置圖'!$A$2:$C$25,3,0)</f>
        <v>#N/A</v>
      </c>
      <c r="G34" s="222" t="e">
        <f t="shared" si="21"/>
        <v>#N/A</v>
      </c>
      <c r="H34" s="468"/>
      <c r="I34" s="221">
        <f t="shared" si="22"/>
        <v>12.428571428571429</v>
      </c>
      <c r="J34" s="221">
        <f t="shared" si="22"/>
        <v>1922.7142857142858</v>
      </c>
      <c r="K34" s="222">
        <f t="shared" si="22"/>
        <v>154.85190999476714</v>
      </c>
      <c r="L34" s="468"/>
      <c r="M34" s="223">
        <f>RANK(K34, K$30:$K$47)</f>
        <v>3</v>
      </c>
      <c r="N34" s="454"/>
      <c r="O34" s="454"/>
      <c r="P34" s="383">
        <v>14</v>
      </c>
      <c r="Q34" s="221">
        <v>2179</v>
      </c>
      <c r="R34" s="222">
        <f t="shared" si="23"/>
        <v>155.64285714285714</v>
      </c>
      <c r="S34" s="220">
        <f t="shared" si="24"/>
        <v>2</v>
      </c>
      <c r="T34" s="459"/>
      <c r="U34" s="383">
        <v>13</v>
      </c>
      <c r="V34" s="221">
        <v>1822</v>
      </c>
      <c r="W34" s="222">
        <f t="shared" si="25"/>
        <v>140.15384615384616</v>
      </c>
      <c r="X34" s="220">
        <f t="shared" si="26"/>
        <v>3</v>
      </c>
      <c r="Y34" s="459"/>
      <c r="Z34" s="221">
        <v>12</v>
      </c>
      <c r="AA34" s="383">
        <v>1856</v>
      </c>
      <c r="AB34" s="382">
        <f t="shared" si="27"/>
        <v>154.66666666666666</v>
      </c>
      <c r="AC34" s="220">
        <f t="shared" si="28"/>
        <v>1</v>
      </c>
      <c r="AD34" s="459"/>
      <c r="AE34" s="221">
        <v>12</v>
      </c>
      <c r="AF34" s="221">
        <v>1884</v>
      </c>
      <c r="AG34" s="222">
        <f t="shared" si="29"/>
        <v>157</v>
      </c>
      <c r="AH34" s="220">
        <f t="shared" si="30"/>
        <v>2</v>
      </c>
      <c r="AI34" s="459"/>
      <c r="AJ34" s="221">
        <v>12</v>
      </c>
      <c r="AK34" s="221">
        <v>1832</v>
      </c>
      <c r="AL34" s="222">
        <f t="shared" si="31"/>
        <v>152.66666666666666</v>
      </c>
      <c r="AM34" s="220">
        <f t="shared" si="32"/>
        <v>3</v>
      </c>
      <c r="AN34" s="459"/>
      <c r="AO34" s="221">
        <v>12</v>
      </c>
      <c r="AP34" s="221">
        <v>1921</v>
      </c>
      <c r="AQ34" s="222">
        <f t="shared" si="35"/>
        <v>160.08333333333334</v>
      </c>
      <c r="AR34" s="220">
        <f t="shared" si="36"/>
        <v>3</v>
      </c>
      <c r="AS34" s="459"/>
      <c r="AT34" s="221">
        <v>12</v>
      </c>
      <c r="AU34" s="221">
        <v>1965</v>
      </c>
      <c r="AV34" s="222">
        <f t="shared" si="33"/>
        <v>163.75</v>
      </c>
      <c r="AW34" s="220">
        <f t="shared" si="34"/>
        <v>2</v>
      </c>
      <c r="AX34" s="459"/>
    </row>
    <row r="35" spans="2:50" ht="14.25" customHeight="1">
      <c r="B35" s="458"/>
      <c r="C35" s="220">
        <v>6</v>
      </c>
      <c r="D35" s="220" t="s">
        <v>205</v>
      </c>
      <c r="E35" s="221">
        <f>VLOOKUP(D35,'12產線配置圖'!$A$2:$C$25,2,0)</f>
        <v>15</v>
      </c>
      <c r="F35" s="221">
        <f>VLOOKUP(D35,'12產線配置圖'!$A$2:$C$25,3,0)</f>
        <v>1714</v>
      </c>
      <c r="G35" s="222">
        <f t="shared" si="21"/>
        <v>114.26666666666667</v>
      </c>
      <c r="H35" s="468"/>
      <c r="I35" s="221">
        <f t="shared" si="22"/>
        <v>16.142857142857142</v>
      </c>
      <c r="J35" s="221">
        <f t="shared" si="22"/>
        <v>1508.4285714285713</v>
      </c>
      <c r="K35" s="222">
        <f t="shared" si="22"/>
        <v>93.435924369747895</v>
      </c>
      <c r="L35" s="468"/>
      <c r="M35" s="223">
        <f>RANK(K35, K$30:$K$47)</f>
        <v>10</v>
      </c>
      <c r="N35" s="454"/>
      <c r="O35" s="454"/>
      <c r="P35" s="383">
        <v>16</v>
      </c>
      <c r="Q35" s="221">
        <v>1620</v>
      </c>
      <c r="R35" s="222">
        <f>Q35/P35</f>
        <v>101.25</v>
      </c>
      <c r="S35" s="220">
        <f t="shared" si="24"/>
        <v>9</v>
      </c>
      <c r="T35" s="459"/>
      <c r="U35" s="383">
        <v>17</v>
      </c>
      <c r="V35" s="221">
        <v>1450</v>
      </c>
      <c r="W35" s="222">
        <f t="shared" si="25"/>
        <v>85.294117647058826</v>
      </c>
      <c r="X35" s="220">
        <f t="shared" si="26"/>
        <v>11</v>
      </c>
      <c r="Y35" s="459"/>
      <c r="Z35" s="221">
        <v>15</v>
      </c>
      <c r="AA35" s="221">
        <v>1350</v>
      </c>
      <c r="AB35" s="386">
        <f t="shared" si="27"/>
        <v>90</v>
      </c>
      <c r="AC35" s="220">
        <f t="shared" si="28"/>
        <v>11</v>
      </c>
      <c r="AD35" s="459"/>
      <c r="AE35" s="383">
        <v>16</v>
      </c>
      <c r="AF35" s="221">
        <v>1551</v>
      </c>
      <c r="AG35" s="222">
        <f t="shared" si="29"/>
        <v>96.9375</v>
      </c>
      <c r="AH35" s="220">
        <f t="shared" si="30"/>
        <v>9</v>
      </c>
      <c r="AI35" s="459"/>
      <c r="AJ35" s="383">
        <v>16</v>
      </c>
      <c r="AK35" s="221">
        <v>1435</v>
      </c>
      <c r="AL35" s="222">
        <f t="shared" si="31"/>
        <v>89.6875</v>
      </c>
      <c r="AM35" s="220">
        <f t="shared" si="32"/>
        <v>11</v>
      </c>
      <c r="AN35" s="459"/>
      <c r="AO35" s="383">
        <v>16</v>
      </c>
      <c r="AP35" s="221">
        <v>1472</v>
      </c>
      <c r="AQ35" s="222">
        <f t="shared" si="35"/>
        <v>92</v>
      </c>
      <c r="AR35" s="220">
        <f t="shared" si="36"/>
        <v>10</v>
      </c>
      <c r="AS35" s="459"/>
      <c r="AT35" s="383">
        <v>17</v>
      </c>
      <c r="AU35" s="221">
        <v>1681</v>
      </c>
      <c r="AV35" s="222">
        <f t="shared" si="33"/>
        <v>98.882352941176464</v>
      </c>
      <c r="AW35" s="220">
        <f t="shared" si="34"/>
        <v>7</v>
      </c>
      <c r="AX35" s="459"/>
    </row>
    <row r="36" spans="2:50">
      <c r="B36" s="458"/>
      <c r="C36" s="220">
        <v>7</v>
      </c>
      <c r="D36" s="220" t="s">
        <v>366</v>
      </c>
      <c r="E36" s="221">
        <f>VLOOKUP(D36,'12產線配置圖'!$A$2:$C$25,2,0)</f>
        <v>17</v>
      </c>
      <c r="F36" s="221">
        <f>VLOOKUP(D36,'12產線配置圖'!$A$2:$C$25,3,0)</f>
        <v>1714</v>
      </c>
      <c r="G36" s="222">
        <f t="shared" si="21"/>
        <v>100.82352941176471</v>
      </c>
      <c r="H36" s="468"/>
      <c r="I36" s="221">
        <f t="shared" si="22"/>
        <v>16.857142857142858</v>
      </c>
      <c r="J36" s="221">
        <f t="shared" si="22"/>
        <v>1230.1428571428571</v>
      </c>
      <c r="K36" s="222">
        <f t="shared" si="22"/>
        <v>73.226457249566494</v>
      </c>
      <c r="L36" s="468"/>
      <c r="M36" s="223">
        <f>RANK(K36, K$30:$K$47)</f>
        <v>15</v>
      </c>
      <c r="N36" s="454"/>
      <c r="O36" s="454"/>
      <c r="P36" s="221">
        <v>19</v>
      </c>
      <c r="Q36" s="221">
        <v>1273</v>
      </c>
      <c r="R36" s="382">
        <f t="shared" si="23"/>
        <v>67</v>
      </c>
      <c r="S36" s="220">
        <f t="shared" si="24"/>
        <v>15</v>
      </c>
      <c r="T36" s="459"/>
      <c r="U36" s="398">
        <v>16</v>
      </c>
      <c r="V36" s="221">
        <v>1218</v>
      </c>
      <c r="W36" s="382">
        <f t="shared" si="25"/>
        <v>76.125</v>
      </c>
      <c r="X36" s="220">
        <f t="shared" si="26"/>
        <v>13</v>
      </c>
      <c r="Y36" s="459"/>
      <c r="Z36" s="398">
        <v>17</v>
      </c>
      <c r="AA36" s="221">
        <v>1142</v>
      </c>
      <c r="AB36" s="382">
        <f t="shared" si="27"/>
        <v>67.17647058823529</v>
      </c>
      <c r="AC36" s="220">
        <f t="shared" si="28"/>
        <v>15</v>
      </c>
      <c r="AD36" s="459"/>
      <c r="AE36" s="398">
        <v>18</v>
      </c>
      <c r="AF36" s="221">
        <v>1309</v>
      </c>
      <c r="AG36" s="382">
        <f t="shared" si="29"/>
        <v>72.722222222222229</v>
      </c>
      <c r="AH36" s="220">
        <f t="shared" si="30"/>
        <v>14</v>
      </c>
      <c r="AI36" s="459"/>
      <c r="AJ36" s="398">
        <v>14</v>
      </c>
      <c r="AK36" s="221">
        <v>1067</v>
      </c>
      <c r="AL36" s="382">
        <f t="shared" si="31"/>
        <v>76.214285714285708</v>
      </c>
      <c r="AM36" s="220">
        <f t="shared" si="32"/>
        <v>15</v>
      </c>
      <c r="AN36" s="459"/>
      <c r="AO36" s="398">
        <v>18</v>
      </c>
      <c r="AP36" s="221">
        <v>1336</v>
      </c>
      <c r="AQ36" s="382">
        <f t="shared" si="35"/>
        <v>74.222222222222229</v>
      </c>
      <c r="AR36" s="220">
        <f t="shared" si="36"/>
        <v>15</v>
      </c>
      <c r="AS36" s="459"/>
      <c r="AT36" s="398">
        <v>16</v>
      </c>
      <c r="AU36" s="221">
        <v>1266</v>
      </c>
      <c r="AV36" s="222">
        <f t="shared" si="33"/>
        <v>79.125</v>
      </c>
      <c r="AW36" s="220">
        <f t="shared" si="34"/>
        <v>14</v>
      </c>
      <c r="AX36" s="459"/>
    </row>
    <row r="37" spans="2:50">
      <c r="B37" s="458"/>
      <c r="C37" s="220">
        <v>8</v>
      </c>
      <c r="D37" s="220" t="s">
        <v>82</v>
      </c>
      <c r="E37" s="221">
        <f>VLOOKUP(D37,'12產線配置圖'!$A$2:$C$25,2,0)</f>
        <v>16</v>
      </c>
      <c r="F37" s="221">
        <f>VLOOKUP(D37,'12產線配置圖'!$A$2:$C$25,3,0)</f>
        <v>1406</v>
      </c>
      <c r="G37" s="222">
        <f t="shared" si="21"/>
        <v>87.875</v>
      </c>
      <c r="H37" s="468"/>
      <c r="I37" s="221">
        <f t="shared" si="22"/>
        <v>13.285714285714286</v>
      </c>
      <c r="J37" s="221">
        <f t="shared" si="22"/>
        <v>1046.5714285714287</v>
      </c>
      <c r="K37" s="222">
        <f t="shared" si="22"/>
        <v>78.760105965463111</v>
      </c>
      <c r="L37" s="468"/>
      <c r="M37" s="223">
        <f>RANK(K37, K$30:$K$47)</f>
        <v>13</v>
      </c>
      <c r="N37" s="454"/>
      <c r="O37" s="454"/>
      <c r="P37" s="398">
        <v>14</v>
      </c>
      <c r="Q37" s="221">
        <v>1021</v>
      </c>
      <c r="R37" s="382">
        <f t="shared" si="23"/>
        <v>72.928571428571431</v>
      </c>
      <c r="S37" s="220">
        <f t="shared" si="24"/>
        <v>14</v>
      </c>
      <c r="T37" s="459"/>
      <c r="U37" s="398">
        <v>14</v>
      </c>
      <c r="V37" s="221">
        <v>1207</v>
      </c>
      <c r="W37" s="392">
        <f t="shared" si="25"/>
        <v>86.214285714285708</v>
      </c>
      <c r="X37" s="220">
        <f t="shared" si="26"/>
        <v>10</v>
      </c>
      <c r="Y37" s="459"/>
      <c r="Z37" s="398">
        <v>12</v>
      </c>
      <c r="AA37" s="221">
        <v>997</v>
      </c>
      <c r="AB37" s="382">
        <f t="shared" si="27"/>
        <v>83.083333333333329</v>
      </c>
      <c r="AC37" s="220">
        <f t="shared" si="28"/>
        <v>13</v>
      </c>
      <c r="AD37" s="459"/>
      <c r="AE37" s="221">
        <v>16</v>
      </c>
      <c r="AF37" s="221">
        <v>1257</v>
      </c>
      <c r="AG37" s="382">
        <f t="shared" si="29"/>
        <v>78.5625</v>
      </c>
      <c r="AH37" s="220">
        <f t="shared" si="30"/>
        <v>12</v>
      </c>
      <c r="AI37" s="459"/>
      <c r="AJ37" s="398">
        <v>12</v>
      </c>
      <c r="AK37" s="221">
        <v>974</v>
      </c>
      <c r="AL37" s="382">
        <f>AK37/AJ37</f>
        <v>81.166666666666671</v>
      </c>
      <c r="AM37" s="220">
        <f>RANK(AL37, $AL$30:$AL$47)</f>
        <v>12</v>
      </c>
      <c r="AN37" s="459"/>
      <c r="AO37" s="398">
        <v>13</v>
      </c>
      <c r="AP37" s="221">
        <v>1009</v>
      </c>
      <c r="AQ37" s="382">
        <f t="shared" si="35"/>
        <v>77.615384615384613</v>
      </c>
      <c r="AR37" s="220">
        <f t="shared" si="36"/>
        <v>14</v>
      </c>
      <c r="AS37" s="459"/>
      <c r="AT37" s="398">
        <v>12</v>
      </c>
      <c r="AU37" s="221">
        <v>861</v>
      </c>
      <c r="AV37" s="222">
        <f t="shared" si="33"/>
        <v>71.75</v>
      </c>
      <c r="AW37" s="220">
        <f t="shared" si="34"/>
        <v>15</v>
      </c>
      <c r="AX37" s="459"/>
    </row>
    <row r="38" spans="2:50">
      <c r="B38" s="458"/>
      <c r="C38" s="220">
        <v>9</v>
      </c>
      <c r="D38" s="220" t="s">
        <v>370</v>
      </c>
      <c r="E38" s="221" t="e">
        <f>VLOOKUP(D38,'12產線配置圖'!$A$2:$C$25,2,0)</f>
        <v>#N/A</v>
      </c>
      <c r="F38" s="221" t="e">
        <f>VLOOKUP(D38,'12產線配置圖'!$A$2:$C$25,3,0)</f>
        <v>#N/A</v>
      </c>
      <c r="G38" s="222" t="e">
        <f t="shared" si="21"/>
        <v>#N/A</v>
      </c>
      <c r="H38" s="468"/>
      <c r="I38" s="221">
        <f t="shared" si="22"/>
        <v>16.142857142857142</v>
      </c>
      <c r="J38" s="221">
        <f t="shared" si="22"/>
        <v>1508.5714285714287</v>
      </c>
      <c r="K38" s="222">
        <f t="shared" si="22"/>
        <v>93.413865546218489</v>
      </c>
      <c r="L38" s="468"/>
      <c r="M38" s="223">
        <f>RANK(K38, K$30:$K$47)</f>
        <v>11</v>
      </c>
      <c r="N38" s="454"/>
      <c r="O38" s="454"/>
      <c r="P38" s="383">
        <v>17</v>
      </c>
      <c r="Q38" s="221">
        <v>1660</v>
      </c>
      <c r="R38" s="222">
        <f t="shared" si="23"/>
        <v>97.647058823529406</v>
      </c>
      <c r="S38" s="220">
        <f t="shared" si="24"/>
        <v>10</v>
      </c>
      <c r="T38" s="459"/>
      <c r="U38" s="221">
        <v>16</v>
      </c>
      <c r="V38" s="221">
        <v>1007</v>
      </c>
      <c r="W38" s="382">
        <f t="shared" si="25"/>
        <v>62.9375</v>
      </c>
      <c r="X38" s="220">
        <f t="shared" si="26"/>
        <v>15</v>
      </c>
      <c r="Y38" s="459"/>
      <c r="Z38" s="221">
        <v>16</v>
      </c>
      <c r="AA38" s="221">
        <v>1555</v>
      </c>
      <c r="AB38" s="386">
        <f t="shared" si="27"/>
        <v>97.1875</v>
      </c>
      <c r="AC38" s="220">
        <f t="shared" si="28"/>
        <v>6</v>
      </c>
      <c r="AD38" s="459"/>
      <c r="AE38" s="221">
        <v>16</v>
      </c>
      <c r="AF38" s="221">
        <v>1551</v>
      </c>
      <c r="AG38" s="222">
        <f t="shared" si="29"/>
        <v>96.9375</v>
      </c>
      <c r="AH38" s="220">
        <f t="shared" si="30"/>
        <v>9</v>
      </c>
      <c r="AI38" s="459"/>
      <c r="AJ38" s="221">
        <v>16</v>
      </c>
      <c r="AK38" s="221">
        <v>1616</v>
      </c>
      <c r="AL38" s="222">
        <f t="shared" si="31"/>
        <v>101</v>
      </c>
      <c r="AM38" s="220">
        <f t="shared" si="32"/>
        <v>8</v>
      </c>
      <c r="AN38" s="459"/>
      <c r="AO38" s="221">
        <v>16</v>
      </c>
      <c r="AP38" s="221">
        <v>1612</v>
      </c>
      <c r="AQ38" s="222">
        <f t="shared" si="35"/>
        <v>100.75</v>
      </c>
      <c r="AR38" s="220">
        <f t="shared" si="36"/>
        <v>8</v>
      </c>
      <c r="AS38" s="459"/>
      <c r="AT38" s="221">
        <v>16</v>
      </c>
      <c r="AU38" s="221">
        <v>1559</v>
      </c>
      <c r="AV38" s="222">
        <f t="shared" si="33"/>
        <v>97.4375</v>
      </c>
      <c r="AW38" s="220">
        <f t="shared" si="34"/>
        <v>11</v>
      </c>
      <c r="AX38" s="459"/>
    </row>
    <row r="39" spans="2:50">
      <c r="B39" s="458"/>
      <c r="C39" s="220">
        <v>10</v>
      </c>
      <c r="D39" s="220" t="s">
        <v>371</v>
      </c>
      <c r="E39" s="221" t="e">
        <f>VLOOKUP(D39,'12產線配置圖'!$A$2:$C$25,2,0)</f>
        <v>#N/A</v>
      </c>
      <c r="F39" s="221" t="e">
        <f>VLOOKUP(D39,'12產線配置圖'!$A$2:$C$25,3,0)</f>
        <v>#N/A</v>
      </c>
      <c r="G39" s="222" t="e">
        <f t="shared" si="21"/>
        <v>#N/A</v>
      </c>
      <c r="H39" s="468"/>
      <c r="I39" s="221">
        <f t="shared" si="22"/>
        <v>15.857142857142858</v>
      </c>
      <c r="J39" s="221">
        <f t="shared" si="22"/>
        <v>1575</v>
      </c>
      <c r="K39" s="222">
        <f t="shared" si="22"/>
        <v>99.12819627851141</v>
      </c>
      <c r="L39" s="468"/>
      <c r="M39" s="223">
        <f>RANK(K39, K$30:$K$47)</f>
        <v>8</v>
      </c>
      <c r="N39" s="454"/>
      <c r="O39" s="454"/>
      <c r="P39" s="383">
        <v>17</v>
      </c>
      <c r="Q39" s="221">
        <v>1738</v>
      </c>
      <c r="R39" s="222">
        <f t="shared" si="23"/>
        <v>102.23529411764706</v>
      </c>
      <c r="S39" s="220">
        <f t="shared" si="24"/>
        <v>8</v>
      </c>
      <c r="T39" s="459"/>
      <c r="U39" s="383">
        <v>16</v>
      </c>
      <c r="V39" s="221">
        <v>1709</v>
      </c>
      <c r="W39" s="222">
        <f t="shared" si="25"/>
        <v>106.8125</v>
      </c>
      <c r="X39" s="220">
        <f t="shared" si="26"/>
        <v>6</v>
      </c>
      <c r="Y39" s="459"/>
      <c r="Z39" s="221">
        <v>14</v>
      </c>
      <c r="AA39" s="221">
        <v>1277</v>
      </c>
      <c r="AB39" s="386">
        <f t="shared" si="27"/>
        <v>91.214285714285708</v>
      </c>
      <c r="AC39" s="220">
        <f t="shared" si="28"/>
        <v>10</v>
      </c>
      <c r="AD39" s="459"/>
      <c r="AE39" s="383">
        <v>16</v>
      </c>
      <c r="AF39" s="221">
        <v>1574</v>
      </c>
      <c r="AG39" s="222">
        <f t="shared" si="29"/>
        <v>98.375</v>
      </c>
      <c r="AH39" s="220">
        <f t="shared" si="30"/>
        <v>8</v>
      </c>
      <c r="AI39" s="459"/>
      <c r="AJ39" s="383">
        <v>17</v>
      </c>
      <c r="AK39" s="221">
        <v>1721</v>
      </c>
      <c r="AL39" s="222">
        <f t="shared" si="31"/>
        <v>101.23529411764706</v>
      </c>
      <c r="AM39" s="220">
        <f t="shared" si="32"/>
        <v>7</v>
      </c>
      <c r="AN39" s="459"/>
      <c r="AO39" s="383">
        <v>16</v>
      </c>
      <c r="AP39" s="221">
        <v>1530</v>
      </c>
      <c r="AQ39" s="222">
        <f t="shared" si="35"/>
        <v>95.625</v>
      </c>
      <c r="AR39" s="220">
        <f t="shared" si="36"/>
        <v>9</v>
      </c>
      <c r="AS39" s="459"/>
      <c r="AT39" s="383">
        <v>15</v>
      </c>
      <c r="AU39" s="221">
        <v>1476</v>
      </c>
      <c r="AV39" s="222">
        <f t="shared" si="33"/>
        <v>98.4</v>
      </c>
      <c r="AW39" s="220">
        <f t="shared" si="34"/>
        <v>8</v>
      </c>
      <c r="AX39" s="459"/>
    </row>
    <row r="40" spans="2:50">
      <c r="B40" s="458"/>
      <c r="C40" s="220">
        <v>11</v>
      </c>
      <c r="D40" s="220" t="s">
        <v>84</v>
      </c>
      <c r="E40" s="221">
        <f>VLOOKUP(D40,'12產線配置圖'!$A$2:$C$25,2,0)</f>
        <v>17</v>
      </c>
      <c r="F40" s="221">
        <f>VLOOKUP(D40,'12產線配置圖'!$A$2:$C$25,3,0)</f>
        <v>1440</v>
      </c>
      <c r="G40" s="222">
        <f t="shared" si="21"/>
        <v>84.705882352941174</v>
      </c>
      <c r="H40" s="468"/>
      <c r="I40" s="221">
        <f t="shared" si="22"/>
        <v>15.857142857142858</v>
      </c>
      <c r="J40" s="221">
        <f t="shared" si="22"/>
        <v>1223.1428571428571</v>
      </c>
      <c r="K40" s="222">
        <f t="shared" si="22"/>
        <v>77.38187351863823</v>
      </c>
      <c r="L40" s="468"/>
      <c r="M40" s="223">
        <f>RANK(K40, K$30:$K$47)</f>
        <v>14</v>
      </c>
      <c r="N40" s="454"/>
      <c r="O40" s="454"/>
      <c r="P40" s="397">
        <v>16</v>
      </c>
      <c r="Q40" s="220">
        <v>1235</v>
      </c>
      <c r="R40" s="382">
        <f>Q40/P40</f>
        <v>77.1875</v>
      </c>
      <c r="S40" s="220">
        <f t="shared" si="24"/>
        <v>13</v>
      </c>
      <c r="T40" s="459"/>
      <c r="U40" s="220">
        <v>17</v>
      </c>
      <c r="V40" s="220">
        <v>1200</v>
      </c>
      <c r="W40" s="382">
        <f>V40/U40</f>
        <v>70.588235294117652</v>
      </c>
      <c r="X40" s="220">
        <f t="shared" si="26"/>
        <v>14</v>
      </c>
      <c r="Y40" s="459"/>
      <c r="Z40" s="397">
        <v>15</v>
      </c>
      <c r="AA40" s="220">
        <v>1237</v>
      </c>
      <c r="AB40" s="382">
        <f>AA40/Z40</f>
        <v>82.466666666666669</v>
      </c>
      <c r="AC40" s="220">
        <f t="shared" si="28"/>
        <v>14</v>
      </c>
      <c r="AD40" s="459"/>
      <c r="AE40" s="220">
        <v>17</v>
      </c>
      <c r="AF40" s="220">
        <v>1226</v>
      </c>
      <c r="AG40" s="382">
        <f>AF40/AE40</f>
        <v>72.117647058823536</v>
      </c>
      <c r="AH40" s="220">
        <f t="shared" si="30"/>
        <v>15</v>
      </c>
      <c r="AI40" s="459"/>
      <c r="AJ40" s="220">
        <v>17</v>
      </c>
      <c r="AK40" s="220">
        <v>1318</v>
      </c>
      <c r="AL40" s="382">
        <f>AK40/AJ40</f>
        <v>77.529411764705884</v>
      </c>
      <c r="AM40" s="220">
        <f t="shared" si="32"/>
        <v>14</v>
      </c>
      <c r="AN40" s="459"/>
      <c r="AO40" s="397">
        <v>16</v>
      </c>
      <c r="AP40" s="220">
        <v>1295</v>
      </c>
      <c r="AQ40" s="382">
        <f t="shared" si="35"/>
        <v>80.9375</v>
      </c>
      <c r="AR40" s="220">
        <f t="shared" si="36"/>
        <v>12</v>
      </c>
      <c r="AS40" s="459"/>
      <c r="AT40" s="397">
        <v>13</v>
      </c>
      <c r="AU40" s="220">
        <v>1051</v>
      </c>
      <c r="AV40" s="382">
        <f t="shared" si="33"/>
        <v>80.84615384615384</v>
      </c>
      <c r="AW40" s="220">
        <f t="shared" si="34"/>
        <v>13</v>
      </c>
      <c r="AX40" s="459"/>
    </row>
    <row r="41" spans="2:50">
      <c r="B41" s="458"/>
      <c r="C41" s="220">
        <v>12</v>
      </c>
      <c r="D41" s="220" t="s">
        <v>86</v>
      </c>
      <c r="E41" s="221">
        <f>VLOOKUP(D41,'12產線配置圖'!$A$2:$C$25,2,0)</f>
        <v>17</v>
      </c>
      <c r="F41" s="221">
        <f>VLOOKUP(D41,'12產線配置圖'!$A$2:$C$25,3,0)</f>
        <v>1565</v>
      </c>
      <c r="G41" s="222">
        <f t="shared" si="21"/>
        <v>92.058823529411768</v>
      </c>
      <c r="H41" s="468"/>
      <c r="I41" s="221">
        <f t="shared" si="22"/>
        <v>16.857142857142858</v>
      </c>
      <c r="J41" s="221">
        <f t="shared" si="22"/>
        <v>1359.5714285714287</v>
      </c>
      <c r="K41" s="222">
        <f t="shared" si="22"/>
        <v>80.627100840336126</v>
      </c>
      <c r="L41" s="468"/>
      <c r="M41" s="223">
        <f>RANK(K41, K$30:$K$47)</f>
        <v>12</v>
      </c>
      <c r="N41" s="454"/>
      <c r="O41" s="454"/>
      <c r="P41" s="220">
        <v>17</v>
      </c>
      <c r="Q41" s="220">
        <v>1408</v>
      </c>
      <c r="R41" s="382">
        <f>Q41/P41</f>
        <v>82.82352941176471</v>
      </c>
      <c r="S41" s="220">
        <f t="shared" si="24"/>
        <v>12</v>
      </c>
      <c r="T41" s="459"/>
      <c r="U41" s="220">
        <v>17</v>
      </c>
      <c r="V41" s="220">
        <v>1405</v>
      </c>
      <c r="W41" s="382">
        <f>V41/U41</f>
        <v>82.647058823529406</v>
      </c>
      <c r="X41" s="220">
        <f t="shared" si="26"/>
        <v>12</v>
      </c>
      <c r="Y41" s="459"/>
      <c r="Z41" s="220">
        <v>17</v>
      </c>
      <c r="AA41" s="220">
        <v>1435</v>
      </c>
      <c r="AB41" s="386">
        <f>AA41/Z41</f>
        <v>84.411764705882348</v>
      </c>
      <c r="AC41" s="220">
        <f t="shared" si="28"/>
        <v>12</v>
      </c>
      <c r="AD41" s="459"/>
      <c r="AE41" s="220">
        <v>17</v>
      </c>
      <c r="AF41" s="220">
        <v>1281</v>
      </c>
      <c r="AG41" s="382">
        <f>AF41/AE41</f>
        <v>75.352941176470594</v>
      </c>
      <c r="AH41" s="220">
        <f t="shared" si="30"/>
        <v>13</v>
      </c>
      <c r="AI41" s="459"/>
      <c r="AJ41" s="397">
        <v>16</v>
      </c>
      <c r="AK41" s="220">
        <v>1242</v>
      </c>
      <c r="AL41" s="382">
        <f>AK41/AJ41</f>
        <v>77.625</v>
      </c>
      <c r="AM41" s="220">
        <f t="shared" si="32"/>
        <v>13</v>
      </c>
      <c r="AN41" s="459"/>
      <c r="AO41" s="220">
        <v>17</v>
      </c>
      <c r="AP41" s="220">
        <v>1348</v>
      </c>
      <c r="AQ41" s="382">
        <f t="shared" si="35"/>
        <v>79.294117647058826</v>
      </c>
      <c r="AR41" s="220">
        <f t="shared" si="36"/>
        <v>13</v>
      </c>
      <c r="AS41" s="459"/>
      <c r="AT41" s="220">
        <v>17</v>
      </c>
      <c r="AU41" s="220">
        <v>1398</v>
      </c>
      <c r="AV41" s="222">
        <f t="shared" si="33"/>
        <v>82.235294117647058</v>
      </c>
      <c r="AW41" s="220">
        <f t="shared" si="34"/>
        <v>12</v>
      </c>
      <c r="AX41" s="459"/>
    </row>
    <row r="42" spans="2:50">
      <c r="B42" s="458"/>
      <c r="C42" s="220">
        <v>13</v>
      </c>
      <c r="D42" s="220" t="s">
        <v>368</v>
      </c>
      <c r="E42" s="221">
        <f>VLOOKUP(D42,'12產線配置圖'!$A$2:$C$25,2,0)</f>
        <v>13</v>
      </c>
      <c r="F42" s="221">
        <f>VLOOKUP(D42,'12產線配置圖'!$A$2:$C$25,3,0)</f>
        <v>1440</v>
      </c>
      <c r="G42" s="222">
        <f>F42/E42</f>
        <v>110.76923076923077</v>
      </c>
      <c r="H42" s="468"/>
      <c r="I42" s="221">
        <f>AVERAGE(P42,U42,Z42,AE42,AJ42,AO42,AT42)</f>
        <v>10.857142857142858</v>
      </c>
      <c r="J42" s="221">
        <f>AVERAGE(Q42,V42,AA42,AF42,AK42,AP42,AU42)</f>
        <v>1122.7142857142858</v>
      </c>
      <c r="K42" s="222">
        <f>AVERAGE(R42,W42,AB42,AG42,AL42,AQ42,AV42)</f>
        <v>103.62705627705627</v>
      </c>
      <c r="L42" s="468"/>
      <c r="M42" s="223">
        <f>RANK(K42, K$30:$K$47)</f>
        <v>6</v>
      </c>
      <c r="N42" s="454"/>
      <c r="O42" s="454"/>
      <c r="P42" s="384">
        <v>11</v>
      </c>
      <c r="Q42" s="220">
        <v>1134</v>
      </c>
      <c r="R42" s="222">
        <f>Q42/P42</f>
        <v>103.09090909090909</v>
      </c>
      <c r="S42" s="220">
        <f>RANK(R42,$R$30:$R$47)</f>
        <v>5</v>
      </c>
      <c r="T42" s="459"/>
      <c r="U42" s="384">
        <v>12</v>
      </c>
      <c r="V42" s="220">
        <v>1139</v>
      </c>
      <c r="W42" s="222">
        <f>V42/U42</f>
        <v>94.916666666666671</v>
      </c>
      <c r="X42" s="220">
        <f>RANK(W42, $W$30:$W$47)</f>
        <v>8</v>
      </c>
      <c r="Y42" s="459"/>
      <c r="Z42" s="384">
        <v>11</v>
      </c>
      <c r="AA42" s="220">
        <v>1194</v>
      </c>
      <c r="AB42" s="386">
        <f>AA42/Z42</f>
        <v>108.54545454545455</v>
      </c>
      <c r="AC42" s="220">
        <f>RANK(AB42, $AB$30:$AB$47)</f>
        <v>5</v>
      </c>
      <c r="AD42" s="459"/>
      <c r="AE42" s="384">
        <v>11</v>
      </c>
      <c r="AF42" s="220">
        <v>1215</v>
      </c>
      <c r="AG42" s="222">
        <f>AF42/AE42</f>
        <v>110.45454545454545</v>
      </c>
      <c r="AH42" s="220">
        <f>RANK(AG42, $AG$30:$AG$47)</f>
        <v>5</v>
      </c>
      <c r="AI42" s="459"/>
      <c r="AJ42" s="397">
        <v>11</v>
      </c>
      <c r="AK42" s="220">
        <v>1025</v>
      </c>
      <c r="AL42" s="222">
        <f>AK42/AJ42</f>
        <v>93.181818181818187</v>
      </c>
      <c r="AM42" s="220">
        <f>RANK(AL42, $AL$30:$AL$47)</f>
        <v>9</v>
      </c>
      <c r="AN42" s="459"/>
      <c r="AO42" s="220">
        <v>10</v>
      </c>
      <c r="AP42" s="220">
        <v>1064</v>
      </c>
      <c r="AQ42" s="222">
        <f>AP42/AO42</f>
        <v>106.4</v>
      </c>
      <c r="AR42" s="220">
        <f>RANK(AQ42,$AQ$30:$AQ$47)</f>
        <v>6</v>
      </c>
      <c r="AS42" s="459"/>
      <c r="AT42" s="220">
        <v>10</v>
      </c>
      <c r="AU42" s="220">
        <v>1088</v>
      </c>
      <c r="AV42" s="222">
        <f>AU42/AT42</f>
        <v>108.8</v>
      </c>
      <c r="AW42" s="220">
        <f>RANK(AV42, $AV$30:$AV$47)</f>
        <v>5</v>
      </c>
      <c r="AX42" s="459"/>
    </row>
    <row r="43" spans="2:50">
      <c r="B43" s="458"/>
      <c r="C43" s="220">
        <v>14</v>
      </c>
      <c r="D43" s="220" t="s">
        <v>187</v>
      </c>
      <c r="E43" s="221">
        <f>VLOOKUP(D43,'12產線配置圖'!$A$2:$C$25,2,0)</f>
        <v>15</v>
      </c>
      <c r="F43" s="221">
        <f>VLOOKUP(D43,'12產線配置圖'!$A$2:$C$25,3,0)</f>
        <v>1800</v>
      </c>
      <c r="G43" s="222">
        <f t="shared" ref="G43:G44" si="37">F43/E43</f>
        <v>120</v>
      </c>
      <c r="H43" s="468"/>
      <c r="I43" s="221">
        <f t="shared" ref="I43:I44" si="38">AVERAGE(P43,U43,Z43,AE43,AJ43,AO43,AT43)</f>
        <v>15.428571428571429</v>
      </c>
      <c r="J43" s="221">
        <f t="shared" ref="J43:J44" si="39">AVERAGE(Q43,V43,AA43,AF43,AK43,AP43,AU43)</f>
        <v>1628.5714285714287</v>
      </c>
      <c r="K43" s="222">
        <f t="shared" ref="K43:K44" si="40">AVERAGE(R43,W43,AB43,AG43,AL43,AQ43,AV43)</f>
        <v>105.63492063492062</v>
      </c>
      <c r="L43" s="468"/>
      <c r="M43" s="223">
        <f>RANK(K43, K$30:$K$47)</f>
        <v>5</v>
      </c>
      <c r="N43" s="454"/>
      <c r="O43" s="454"/>
      <c r="P43" s="384">
        <v>18</v>
      </c>
      <c r="Q43" s="220">
        <v>1850</v>
      </c>
      <c r="R43" s="386">
        <f t="shared" ref="R43:R44" si="41">Q43/P43</f>
        <v>102.77777777777777</v>
      </c>
      <c r="S43" s="220">
        <f t="shared" ref="S43:S44" si="42">RANK(R43,$R$30:$R$47)</f>
        <v>6</v>
      </c>
      <c r="T43" s="459"/>
      <c r="U43" s="220">
        <v>15</v>
      </c>
      <c r="V43" s="220">
        <v>1661</v>
      </c>
      <c r="W43" s="392">
        <f t="shared" ref="W43:W44" si="43">V43/U43</f>
        <v>110.73333333333333</v>
      </c>
      <c r="X43" s="220">
        <f t="shared" ref="X43:X44" si="44">RANK(W43, $W$30:$W$47)</f>
        <v>5</v>
      </c>
      <c r="Y43" s="459"/>
      <c r="Z43" s="220">
        <v>15</v>
      </c>
      <c r="AA43" s="384">
        <v>1441</v>
      </c>
      <c r="AB43" s="382">
        <f t="shared" ref="AB43:AB44" si="45">AA43/Z43</f>
        <v>96.066666666666663</v>
      </c>
      <c r="AC43" s="220">
        <f t="shared" ref="AC43:AC44" si="46">RANK(AB43, $AB$30:$AB$47)</f>
        <v>9</v>
      </c>
      <c r="AD43" s="459"/>
      <c r="AE43" s="220">
        <v>15</v>
      </c>
      <c r="AF43" s="220">
        <v>1505</v>
      </c>
      <c r="AG43" s="222">
        <f t="shared" ref="AG43:AG44" si="47">AF43/AE43</f>
        <v>100.33333333333333</v>
      </c>
      <c r="AH43" s="220">
        <f t="shared" ref="AH43:AH44" si="48">RANK(AG43, $AG$30:$AG$47)</f>
        <v>6</v>
      </c>
      <c r="AI43" s="459"/>
      <c r="AJ43" s="220">
        <v>15</v>
      </c>
      <c r="AK43" s="220">
        <v>1739</v>
      </c>
      <c r="AL43" s="222">
        <f>AK43/AJ43</f>
        <v>115.93333333333334</v>
      </c>
      <c r="AM43" s="220">
        <f t="shared" ref="AM43:AM44" si="49">RANK(AL43, $AL$30:$AL$47)</f>
        <v>5</v>
      </c>
      <c r="AN43" s="459"/>
      <c r="AO43" s="220">
        <v>15</v>
      </c>
      <c r="AP43" s="220">
        <v>1658</v>
      </c>
      <c r="AQ43" s="222">
        <f t="shared" ref="AQ43:AQ44" si="50">AP43/AO43</f>
        <v>110.53333333333333</v>
      </c>
      <c r="AR43" s="220">
        <f t="shared" ref="AR43:AR44" si="51">RANK(AQ43,$AQ$30:$AQ$47)</f>
        <v>5</v>
      </c>
      <c r="AS43" s="459"/>
      <c r="AT43" s="220">
        <v>15</v>
      </c>
      <c r="AU43" s="220">
        <v>1546</v>
      </c>
      <c r="AV43" s="222">
        <f t="shared" ref="AV43:AV44" si="52">AU43/AT43</f>
        <v>103.06666666666666</v>
      </c>
      <c r="AW43" s="220">
        <f t="shared" ref="AW43:AW44" si="53">RANK(AV43, $AV$30:$AV$47)</f>
        <v>6</v>
      </c>
      <c r="AX43" s="459"/>
    </row>
    <row r="44" spans="2:50" ht="13.5">
      <c r="B44" s="458"/>
      <c r="C44" s="220">
        <v>15</v>
      </c>
      <c r="D44" s="224" t="s">
        <v>80</v>
      </c>
      <c r="E44" s="221">
        <f>VLOOKUP(D44,'12產線配置圖'!$A$2:$C$25,2,0)</f>
        <v>16</v>
      </c>
      <c r="F44" s="221">
        <f>VLOOKUP(D44,'12產線配置圖'!$A$2:$C$25,3,0)</f>
        <v>1714</v>
      </c>
      <c r="G44" s="222">
        <f t="shared" si="37"/>
        <v>107.125</v>
      </c>
      <c r="H44" s="468"/>
      <c r="I44" s="221">
        <f t="shared" si="38"/>
        <v>16</v>
      </c>
      <c r="J44" s="221">
        <f t="shared" si="39"/>
        <v>1496.1428571428571</v>
      </c>
      <c r="K44" s="222">
        <f t="shared" si="40"/>
        <v>93.508928571428569</v>
      </c>
      <c r="L44" s="468"/>
      <c r="M44" s="223">
        <f>RANK(K44, K$30:$K$47)</f>
        <v>9</v>
      </c>
      <c r="N44" s="454"/>
      <c r="O44" s="454"/>
      <c r="P44" s="220">
        <v>16</v>
      </c>
      <c r="Q44" s="220">
        <v>1556</v>
      </c>
      <c r="R44" s="392">
        <f t="shared" si="41"/>
        <v>97.25</v>
      </c>
      <c r="S44" s="220">
        <f t="shared" si="42"/>
        <v>11</v>
      </c>
      <c r="T44" s="459"/>
      <c r="U44" s="220">
        <v>16</v>
      </c>
      <c r="V44" s="220">
        <v>1509</v>
      </c>
      <c r="W44" s="392">
        <f t="shared" si="43"/>
        <v>94.3125</v>
      </c>
      <c r="X44" s="220">
        <f t="shared" si="44"/>
        <v>9</v>
      </c>
      <c r="Y44" s="459"/>
      <c r="Z44" s="220">
        <v>16</v>
      </c>
      <c r="AA44" s="220">
        <v>1538</v>
      </c>
      <c r="AB44" s="386">
        <f t="shared" si="45"/>
        <v>96.125</v>
      </c>
      <c r="AC44" s="220">
        <f t="shared" si="46"/>
        <v>8</v>
      </c>
      <c r="AD44" s="459"/>
      <c r="AE44" s="220">
        <v>16</v>
      </c>
      <c r="AF44" s="220">
        <v>1447</v>
      </c>
      <c r="AG44" s="222">
        <f t="shared" si="47"/>
        <v>90.4375</v>
      </c>
      <c r="AH44" s="220">
        <f t="shared" si="48"/>
        <v>11</v>
      </c>
      <c r="AI44" s="459"/>
      <c r="AJ44" s="220">
        <v>16</v>
      </c>
      <c r="AK44" s="220">
        <v>1468</v>
      </c>
      <c r="AL44" s="222">
        <f>AK44/AJ44</f>
        <v>91.75</v>
      </c>
      <c r="AM44" s="220">
        <f t="shared" si="49"/>
        <v>10</v>
      </c>
      <c r="AN44" s="459"/>
      <c r="AO44" s="220">
        <v>16</v>
      </c>
      <c r="AP44" s="220">
        <v>1392</v>
      </c>
      <c r="AQ44" s="222">
        <f t="shared" si="50"/>
        <v>87</v>
      </c>
      <c r="AR44" s="220">
        <f t="shared" si="51"/>
        <v>11</v>
      </c>
      <c r="AS44" s="459"/>
      <c r="AT44" s="220">
        <v>16</v>
      </c>
      <c r="AU44" s="220">
        <v>1563</v>
      </c>
      <c r="AV44" s="222">
        <f t="shared" si="52"/>
        <v>97.6875</v>
      </c>
      <c r="AW44" s="220">
        <f t="shared" si="53"/>
        <v>9</v>
      </c>
      <c r="AX44" s="459"/>
    </row>
    <row r="45" spans="2:50">
      <c r="B45" s="458"/>
      <c r="C45" s="220">
        <v>16</v>
      </c>
      <c r="D45" s="220"/>
      <c r="E45" s="221"/>
      <c r="F45" s="221"/>
      <c r="G45" s="222"/>
      <c r="H45" s="468"/>
      <c r="I45" s="221"/>
      <c r="J45" s="221"/>
      <c r="K45" s="222"/>
      <c r="L45" s="468"/>
      <c r="M45" s="223"/>
      <c r="N45" s="454"/>
      <c r="O45" s="454"/>
      <c r="P45" s="220"/>
      <c r="Q45" s="220"/>
      <c r="R45" s="222"/>
      <c r="S45" s="220"/>
      <c r="T45" s="459"/>
      <c r="U45" s="220"/>
      <c r="V45" s="220"/>
      <c r="W45" s="392"/>
      <c r="X45" s="220"/>
      <c r="Y45" s="459"/>
      <c r="Z45" s="220"/>
      <c r="AA45" s="220"/>
      <c r="AB45" s="386"/>
      <c r="AC45" s="220"/>
      <c r="AD45" s="459"/>
      <c r="AE45" s="220"/>
      <c r="AF45" s="220"/>
      <c r="AG45" s="222"/>
      <c r="AH45" s="220"/>
      <c r="AI45" s="459"/>
      <c r="AJ45" s="220"/>
      <c r="AK45" s="220"/>
      <c r="AL45" s="382"/>
      <c r="AM45" s="220"/>
      <c r="AN45" s="459"/>
      <c r="AO45" s="220"/>
      <c r="AP45" s="220"/>
      <c r="AQ45" s="222"/>
      <c r="AR45" s="220"/>
      <c r="AS45" s="459"/>
      <c r="AT45" s="220"/>
      <c r="AU45" s="220"/>
      <c r="AV45" s="222"/>
      <c r="AW45" s="220"/>
      <c r="AX45" s="459"/>
    </row>
    <row r="46" spans="2:50">
      <c r="B46" s="458"/>
      <c r="C46" s="220">
        <v>17</v>
      </c>
      <c r="D46" s="220"/>
      <c r="E46" s="221"/>
      <c r="F46" s="221"/>
      <c r="G46" s="222"/>
      <c r="H46" s="468"/>
      <c r="I46" s="220"/>
      <c r="J46" s="220"/>
      <c r="K46" s="220"/>
      <c r="L46" s="468"/>
      <c r="M46" s="221"/>
      <c r="N46" s="454"/>
      <c r="O46" s="454"/>
      <c r="P46" s="220"/>
      <c r="Q46" s="220"/>
      <c r="R46" s="220"/>
      <c r="S46" s="220"/>
      <c r="T46" s="459"/>
      <c r="U46" s="220"/>
      <c r="V46" s="220"/>
      <c r="W46" s="222"/>
      <c r="X46" s="220"/>
      <c r="Y46" s="459"/>
      <c r="Z46" s="220"/>
      <c r="AA46" s="220"/>
      <c r="AB46" s="220"/>
      <c r="AC46" s="220"/>
      <c r="AD46" s="459"/>
      <c r="AE46" s="220"/>
      <c r="AF46" s="220"/>
      <c r="AG46" s="220"/>
      <c r="AH46" s="220"/>
      <c r="AI46" s="459"/>
      <c r="AJ46" s="220"/>
      <c r="AK46" s="220"/>
      <c r="AL46" s="220"/>
      <c r="AM46" s="220"/>
      <c r="AN46" s="459"/>
      <c r="AO46" s="220"/>
      <c r="AP46" s="220"/>
      <c r="AQ46" s="220"/>
      <c r="AR46" s="220"/>
      <c r="AS46" s="459"/>
      <c r="AT46" s="220"/>
      <c r="AU46" s="220"/>
      <c r="AV46" s="222"/>
      <c r="AW46" s="220"/>
      <c r="AX46" s="459"/>
    </row>
    <row r="47" spans="2:50">
      <c r="B47" s="458"/>
      <c r="C47" s="220">
        <v>18</v>
      </c>
      <c r="D47" s="220"/>
      <c r="E47" s="221"/>
      <c r="F47" s="221"/>
      <c r="G47" s="222"/>
      <c r="H47" s="469"/>
      <c r="I47" s="220"/>
      <c r="J47" s="220"/>
      <c r="K47" s="220"/>
      <c r="L47" s="469"/>
      <c r="M47" s="221"/>
      <c r="N47" s="454"/>
      <c r="O47" s="454"/>
      <c r="P47" s="220"/>
      <c r="Q47" s="220"/>
      <c r="R47" s="220"/>
      <c r="S47" s="220"/>
      <c r="T47" s="459"/>
      <c r="U47" s="220"/>
      <c r="V47" s="220"/>
      <c r="W47" s="222"/>
      <c r="X47" s="220"/>
      <c r="Y47" s="459"/>
      <c r="Z47" s="220"/>
      <c r="AA47" s="220"/>
      <c r="AB47" s="220"/>
      <c r="AC47" s="220"/>
      <c r="AD47" s="459"/>
      <c r="AE47" s="220"/>
      <c r="AF47" s="220"/>
      <c r="AG47" s="220"/>
      <c r="AH47" s="220"/>
      <c r="AI47" s="459"/>
      <c r="AJ47" s="220"/>
      <c r="AK47" s="220"/>
      <c r="AL47" s="220"/>
      <c r="AM47" s="220"/>
      <c r="AN47" s="459"/>
      <c r="AO47" s="220"/>
      <c r="AP47" s="220"/>
      <c r="AQ47" s="220"/>
      <c r="AR47" s="220"/>
      <c r="AS47" s="459"/>
      <c r="AT47" s="220"/>
      <c r="AU47" s="220"/>
      <c r="AV47" s="222"/>
      <c r="AW47" s="220"/>
      <c r="AX47" s="459"/>
    </row>
    <row r="48" spans="2:50" ht="15.75">
      <c r="B48" s="474" t="s">
        <v>43</v>
      </c>
      <c r="C48" s="475"/>
      <c r="D48" s="475"/>
      <c r="E48" s="475"/>
      <c r="F48" s="475"/>
      <c r="G48" s="475"/>
      <c r="H48" s="475"/>
      <c r="I48" s="225"/>
      <c r="J48" s="214"/>
      <c r="K48" s="225"/>
      <c r="L48" s="225"/>
      <c r="M48" s="215"/>
      <c r="N48" s="455" t="s">
        <v>44</v>
      </c>
      <c r="O48" s="455" t="s">
        <v>3</v>
      </c>
      <c r="P48" s="457">
        <v>46091</v>
      </c>
      <c r="Q48" s="458"/>
      <c r="R48" s="458"/>
      <c r="S48" s="458"/>
      <c r="T48" s="458"/>
      <c r="U48" s="457">
        <v>46092</v>
      </c>
      <c r="V48" s="458"/>
      <c r="W48" s="458"/>
      <c r="X48" s="458"/>
      <c r="Y48" s="458"/>
      <c r="Z48" s="457">
        <v>46093</v>
      </c>
      <c r="AA48" s="458"/>
      <c r="AB48" s="458"/>
      <c r="AC48" s="458"/>
      <c r="AD48" s="458"/>
      <c r="AE48" s="457">
        <v>46094</v>
      </c>
      <c r="AF48" s="458"/>
      <c r="AG48" s="458"/>
      <c r="AH48" s="458"/>
      <c r="AI48" s="458"/>
      <c r="AJ48" s="457">
        <v>46095</v>
      </c>
      <c r="AK48" s="458"/>
      <c r="AL48" s="458"/>
      <c r="AM48" s="458"/>
      <c r="AN48" s="458"/>
      <c r="AO48" s="457">
        <v>46096</v>
      </c>
      <c r="AP48" s="458"/>
      <c r="AQ48" s="458"/>
      <c r="AR48" s="458"/>
      <c r="AS48" s="458"/>
      <c r="AT48" s="457">
        <v>46097</v>
      </c>
      <c r="AU48" s="458"/>
      <c r="AV48" s="458"/>
      <c r="AW48" s="458"/>
      <c r="AX48" s="458"/>
    </row>
    <row r="49" spans="2:50" ht="15.75">
      <c r="B49" s="466"/>
      <c r="C49" s="466"/>
      <c r="D49" s="466"/>
      <c r="E49" s="466"/>
      <c r="F49" s="466"/>
      <c r="G49" s="466"/>
      <c r="H49" s="466"/>
      <c r="I49" s="216"/>
      <c r="J49" s="216"/>
      <c r="K49" s="216"/>
      <c r="L49" s="216"/>
      <c r="M49" s="217"/>
      <c r="N49" s="456"/>
      <c r="O49" s="456"/>
      <c r="P49" s="457" t="s">
        <v>15</v>
      </c>
      <c r="Q49" s="458"/>
      <c r="R49" s="458"/>
      <c r="S49" s="458"/>
      <c r="T49" s="458"/>
      <c r="U49" s="457" t="s">
        <v>13</v>
      </c>
      <c r="V49" s="458"/>
      <c r="W49" s="458"/>
      <c r="X49" s="458"/>
      <c r="Y49" s="458"/>
      <c r="Z49" s="457" t="s">
        <v>16</v>
      </c>
      <c r="AA49" s="458"/>
      <c r="AB49" s="458"/>
      <c r="AC49" s="458"/>
      <c r="AD49" s="458"/>
      <c r="AE49" s="457" t="s">
        <v>17</v>
      </c>
      <c r="AF49" s="458"/>
      <c r="AG49" s="458"/>
      <c r="AH49" s="458"/>
      <c r="AI49" s="458"/>
      <c r="AJ49" s="457" t="s">
        <v>18</v>
      </c>
      <c r="AK49" s="458"/>
      <c r="AL49" s="458"/>
      <c r="AM49" s="458"/>
      <c r="AN49" s="458"/>
      <c r="AO49" s="457" t="s">
        <v>10</v>
      </c>
      <c r="AP49" s="458"/>
      <c r="AQ49" s="458"/>
      <c r="AR49" s="458"/>
      <c r="AS49" s="458"/>
      <c r="AT49" s="457" t="s">
        <v>14</v>
      </c>
      <c r="AU49" s="458"/>
      <c r="AV49" s="458"/>
      <c r="AW49" s="458"/>
      <c r="AX49" s="458"/>
    </row>
    <row r="50" spans="2:50">
      <c r="B50" s="454" t="s">
        <v>45</v>
      </c>
      <c r="C50" s="454" t="s">
        <v>46</v>
      </c>
      <c r="D50" s="454"/>
      <c r="E50" s="454" t="s">
        <v>47</v>
      </c>
      <c r="F50" s="454"/>
      <c r="G50" s="454"/>
      <c r="H50" s="470" t="s">
        <v>48</v>
      </c>
      <c r="I50" s="454" t="s">
        <v>49</v>
      </c>
      <c r="J50" s="454"/>
      <c r="K50" s="454"/>
      <c r="L50" s="470" t="s">
        <v>48</v>
      </c>
      <c r="M50" s="455" t="s">
        <v>50</v>
      </c>
      <c r="N50" s="454"/>
      <c r="O50" s="454" t="s">
        <v>51</v>
      </c>
      <c r="P50" s="451" t="s">
        <v>52</v>
      </c>
      <c r="Q50" s="452"/>
      <c r="R50" s="452"/>
      <c r="S50" s="453"/>
      <c r="T50" s="454" t="s">
        <v>48</v>
      </c>
      <c r="U50" s="451" t="s">
        <v>52</v>
      </c>
      <c r="V50" s="452"/>
      <c r="W50" s="452"/>
      <c r="X50" s="453"/>
      <c r="Y50" s="454" t="s">
        <v>48</v>
      </c>
      <c r="Z50" s="451" t="s">
        <v>52</v>
      </c>
      <c r="AA50" s="452"/>
      <c r="AB50" s="452"/>
      <c r="AC50" s="453"/>
      <c r="AD50" s="454" t="s">
        <v>48</v>
      </c>
      <c r="AE50" s="451" t="s">
        <v>52</v>
      </c>
      <c r="AF50" s="452"/>
      <c r="AG50" s="452"/>
      <c r="AH50" s="453"/>
      <c r="AI50" s="454" t="s">
        <v>48</v>
      </c>
      <c r="AJ50" s="451" t="s">
        <v>52</v>
      </c>
      <c r="AK50" s="452"/>
      <c r="AL50" s="452"/>
      <c r="AM50" s="453"/>
      <c r="AN50" s="454" t="s">
        <v>48</v>
      </c>
      <c r="AO50" s="451" t="s">
        <v>52</v>
      </c>
      <c r="AP50" s="452"/>
      <c r="AQ50" s="452"/>
      <c r="AR50" s="453"/>
      <c r="AS50" s="454" t="s">
        <v>48</v>
      </c>
      <c r="AT50" s="451" t="s">
        <v>52</v>
      </c>
      <c r="AU50" s="452"/>
      <c r="AV50" s="452"/>
      <c r="AW50" s="453"/>
      <c r="AX50" s="454" t="s">
        <v>48</v>
      </c>
    </row>
    <row r="51" spans="2:50">
      <c r="B51" s="454"/>
      <c r="C51" s="454"/>
      <c r="D51" s="454"/>
      <c r="E51" s="454" t="s">
        <v>53</v>
      </c>
      <c r="F51" s="454"/>
      <c r="G51" s="454"/>
      <c r="H51" s="471"/>
      <c r="I51" s="454" t="s">
        <v>53</v>
      </c>
      <c r="J51" s="454"/>
      <c r="K51" s="454"/>
      <c r="L51" s="471"/>
      <c r="M51" s="463"/>
      <c r="N51" s="454"/>
      <c r="O51" s="454"/>
      <c r="P51" s="451" t="s">
        <v>54</v>
      </c>
      <c r="Q51" s="452"/>
      <c r="R51" s="452"/>
      <c r="S51" s="453"/>
      <c r="T51" s="454"/>
      <c r="U51" s="451" t="s">
        <v>54</v>
      </c>
      <c r="V51" s="452"/>
      <c r="W51" s="452"/>
      <c r="X51" s="453"/>
      <c r="Y51" s="454"/>
      <c r="Z51" s="451" t="s">
        <v>54</v>
      </c>
      <c r="AA51" s="452"/>
      <c r="AB51" s="452"/>
      <c r="AC51" s="453"/>
      <c r="AD51" s="454"/>
      <c r="AE51" s="451" t="s">
        <v>54</v>
      </c>
      <c r="AF51" s="452"/>
      <c r="AG51" s="452"/>
      <c r="AH51" s="453"/>
      <c r="AI51" s="454"/>
      <c r="AJ51" s="451" t="s">
        <v>54</v>
      </c>
      <c r="AK51" s="452"/>
      <c r="AL51" s="452"/>
      <c r="AM51" s="453"/>
      <c r="AN51" s="454"/>
      <c r="AO51" s="451" t="s">
        <v>54</v>
      </c>
      <c r="AP51" s="452"/>
      <c r="AQ51" s="452"/>
      <c r="AR51" s="453"/>
      <c r="AS51" s="454"/>
      <c r="AT51" s="451" t="s">
        <v>54</v>
      </c>
      <c r="AU51" s="452"/>
      <c r="AV51" s="452"/>
      <c r="AW51" s="453"/>
      <c r="AX51" s="454"/>
    </row>
    <row r="52" spans="2:50">
      <c r="B52" s="454"/>
      <c r="C52" s="454"/>
      <c r="D52" s="454"/>
      <c r="E52" s="219" t="s">
        <v>55</v>
      </c>
      <c r="F52" s="219" t="s">
        <v>56</v>
      </c>
      <c r="G52" s="219" t="s">
        <v>57</v>
      </c>
      <c r="H52" s="472"/>
      <c r="I52" s="219" t="s">
        <v>55</v>
      </c>
      <c r="J52" s="219" t="s">
        <v>56</v>
      </c>
      <c r="K52" s="219" t="s">
        <v>57</v>
      </c>
      <c r="L52" s="472"/>
      <c r="M52" s="456"/>
      <c r="N52" s="454"/>
      <c r="O52" s="454"/>
      <c r="P52" s="219" t="s">
        <v>55</v>
      </c>
      <c r="Q52" s="219" t="s">
        <v>56</v>
      </c>
      <c r="R52" s="219" t="s">
        <v>57</v>
      </c>
      <c r="S52" s="219" t="s">
        <v>50</v>
      </c>
      <c r="T52" s="454"/>
      <c r="U52" s="219" t="s">
        <v>55</v>
      </c>
      <c r="V52" s="219" t="s">
        <v>56</v>
      </c>
      <c r="W52" s="219" t="s">
        <v>57</v>
      </c>
      <c r="X52" s="219" t="s">
        <v>50</v>
      </c>
      <c r="Y52" s="454"/>
      <c r="Z52" s="219" t="s">
        <v>55</v>
      </c>
      <c r="AA52" s="219" t="s">
        <v>56</v>
      </c>
      <c r="AB52" s="219" t="s">
        <v>57</v>
      </c>
      <c r="AC52" s="219" t="s">
        <v>50</v>
      </c>
      <c r="AD52" s="454"/>
      <c r="AE52" s="219" t="s">
        <v>55</v>
      </c>
      <c r="AF52" s="219" t="s">
        <v>56</v>
      </c>
      <c r="AG52" s="219" t="s">
        <v>57</v>
      </c>
      <c r="AH52" s="219" t="s">
        <v>50</v>
      </c>
      <c r="AI52" s="454"/>
      <c r="AJ52" s="219" t="s">
        <v>55</v>
      </c>
      <c r="AK52" s="219" t="s">
        <v>56</v>
      </c>
      <c r="AL52" s="219" t="s">
        <v>57</v>
      </c>
      <c r="AM52" s="219" t="s">
        <v>50</v>
      </c>
      <c r="AN52" s="454"/>
      <c r="AO52" s="219" t="s">
        <v>55</v>
      </c>
      <c r="AP52" s="219" t="s">
        <v>56</v>
      </c>
      <c r="AQ52" s="219" t="s">
        <v>57</v>
      </c>
      <c r="AR52" s="219" t="s">
        <v>50</v>
      </c>
      <c r="AS52" s="454"/>
      <c r="AT52" s="219" t="s">
        <v>55</v>
      </c>
      <c r="AU52" s="219" t="s">
        <v>56</v>
      </c>
      <c r="AV52" s="219" t="s">
        <v>57</v>
      </c>
      <c r="AW52" s="219" t="s">
        <v>50</v>
      </c>
      <c r="AX52" s="454"/>
    </row>
    <row r="53" spans="2:50" ht="13.5">
      <c r="B53" s="458" t="s">
        <v>323</v>
      </c>
      <c r="C53" s="220">
        <v>1</v>
      </c>
      <c r="D53" s="224" t="s">
        <v>75</v>
      </c>
      <c r="E53" s="221">
        <f>VLOOKUP(D53,'12產線配置圖'!$A$2:$C$25,2,0)</f>
        <v>11</v>
      </c>
      <c r="F53" s="221">
        <f>VLOOKUP(D53,'12產線配置圖'!$A$2:$C$25,3,0)</f>
        <v>2118</v>
      </c>
      <c r="G53" s="222">
        <f>F53/E53</f>
        <v>192.54545454545453</v>
      </c>
      <c r="H53" s="467" t="e">
        <f>AVERAGE(G53:G70)</f>
        <v>#N/A</v>
      </c>
      <c r="I53" s="221">
        <f>AVERAGE(P53,U53,Z53,AE53,AJ53,AO53,AT53)</f>
        <v>11</v>
      </c>
      <c r="J53" s="221">
        <f>AVERAGE(Q53,V53,AA53,AF53,AK53,AP53,AU53)</f>
        <v>1952.2857142857142</v>
      </c>
      <c r="K53" s="222">
        <f>AVERAGE(R53,W53,AB53,AG53,AL53,AQ53,AV53)</f>
        <v>177.48051948051946</v>
      </c>
      <c r="L53" s="467">
        <f>IFERROR(AVERAGE(K53:K70),"-")</f>
        <v>110.81281515403367</v>
      </c>
      <c r="M53" s="221">
        <f>RANK(K53, K$53:$K$70)</f>
        <v>1</v>
      </c>
      <c r="N53" s="454"/>
      <c r="O53" s="454"/>
      <c r="P53" s="221">
        <v>11</v>
      </c>
      <c r="Q53" s="221">
        <v>1914</v>
      </c>
      <c r="R53" s="222">
        <f>Q53/P53</f>
        <v>174</v>
      </c>
      <c r="S53" s="220">
        <f>RANK(R53, $R$53:$R$70)</f>
        <v>1</v>
      </c>
      <c r="T53" s="459">
        <f>AVERAGE(R53:R70)</f>
        <v>112.56874320668439</v>
      </c>
      <c r="U53" s="221">
        <v>11</v>
      </c>
      <c r="V53" s="221">
        <v>1953</v>
      </c>
      <c r="W53" s="222">
        <f>V53/U53</f>
        <v>177.54545454545453</v>
      </c>
      <c r="X53" s="220">
        <f>RANK(W53,$W$53:$W$70)</f>
        <v>1</v>
      </c>
      <c r="Y53" s="459">
        <f>AVERAGE(W53:W70)</f>
        <v>110.11838378708129</v>
      </c>
      <c r="Z53" s="221">
        <v>11</v>
      </c>
      <c r="AA53" s="221">
        <v>1892</v>
      </c>
      <c r="AB53" s="222">
        <f>AA53/Z53</f>
        <v>172</v>
      </c>
      <c r="AC53" s="220">
        <f>RANK(AB53, $AB$53:$AB$70)</f>
        <v>1</v>
      </c>
      <c r="AD53" s="459">
        <f>AVERAGE(AB53:AB70)</f>
        <v>109.03677780552782</v>
      </c>
      <c r="AE53" s="221">
        <v>11</v>
      </c>
      <c r="AF53" s="221">
        <v>1881</v>
      </c>
      <c r="AG53" s="222">
        <f>AF53/AE53</f>
        <v>171</v>
      </c>
      <c r="AH53" s="220" t="e">
        <f>RANK(AG53, $AG$53:$AG$70)</f>
        <v>#DIV/0!</v>
      </c>
      <c r="AI53" s="459" t="e">
        <f>AVERAGE(AG53:AG70)</f>
        <v>#DIV/0!</v>
      </c>
      <c r="AJ53" s="221">
        <v>11</v>
      </c>
      <c r="AK53" s="221">
        <v>1989</v>
      </c>
      <c r="AL53" s="222">
        <f>AK53/AJ53</f>
        <v>180.81818181818181</v>
      </c>
      <c r="AM53" s="220">
        <f>RANK(AL53,$AL$53:$AL$70)</f>
        <v>1</v>
      </c>
      <c r="AN53" s="459">
        <f>AVERAGE(AL53:AL70)</f>
        <v>113.62968755684093</v>
      </c>
      <c r="AO53" s="221">
        <v>11</v>
      </c>
      <c r="AP53" s="221">
        <v>1966</v>
      </c>
      <c r="AQ53" s="222">
        <f>AP53/AO53</f>
        <v>178.72727272727272</v>
      </c>
      <c r="AR53" s="220">
        <f>RANK(AQ53,$AQ$53:$AQ$70)</f>
        <v>1</v>
      </c>
      <c r="AS53" s="459">
        <f>AVERAGE(AQ53:AQ70)</f>
        <v>111.96268414125559</v>
      </c>
      <c r="AT53" s="221">
        <v>11</v>
      </c>
      <c r="AU53" s="221">
        <v>2071</v>
      </c>
      <c r="AV53" s="222">
        <f>AU53/AT53</f>
        <v>188.27272727272728</v>
      </c>
      <c r="AW53" s="220" t="e">
        <f>RANK(AV53,$AV$53:$AV$70)</f>
        <v>#DIV/0!</v>
      </c>
      <c r="AX53" s="459" t="e">
        <f>AVERAGE(AV53:AV70)</f>
        <v>#DIV/0!</v>
      </c>
    </row>
    <row r="54" spans="2:50">
      <c r="B54" s="458"/>
      <c r="C54" s="220">
        <v>2</v>
      </c>
      <c r="D54" s="220" t="s">
        <v>77</v>
      </c>
      <c r="E54" s="221">
        <f>VLOOKUP(D54,'12產線配置圖'!$A$2:$C$25,2,0)</f>
        <v>13</v>
      </c>
      <c r="F54" s="221">
        <f>VLOOKUP(D54,'12產線配置圖'!$A$2:$C$25,3,0)</f>
        <v>2118</v>
      </c>
      <c r="G54" s="222">
        <f t="shared" ref="G54:G62" si="54">F54/E54</f>
        <v>162.92307692307693</v>
      </c>
      <c r="H54" s="468"/>
      <c r="I54" s="221">
        <f t="shared" ref="I54:K62" si="55">AVERAGE(P54,U54,Z54,AE54,AJ54,AO54,AT54)</f>
        <v>13</v>
      </c>
      <c r="J54" s="221">
        <f t="shared" si="55"/>
        <v>1936.8571428571429</v>
      </c>
      <c r="K54" s="222">
        <f t="shared" si="55"/>
        <v>148.98901098901098</v>
      </c>
      <c r="L54" s="468"/>
      <c r="M54" s="221">
        <f>RANK(K54, K$53:$K$70)</f>
        <v>4</v>
      </c>
      <c r="N54" s="454"/>
      <c r="O54" s="454"/>
      <c r="P54" s="221">
        <v>13</v>
      </c>
      <c r="Q54" s="221">
        <v>1938</v>
      </c>
      <c r="R54" s="222">
        <f t="shared" ref="R54:R62" si="56">Q54/P54</f>
        <v>149.07692307692307</v>
      </c>
      <c r="S54" s="220">
        <f t="shared" ref="S54:S62" si="57">RANK(R54, $R$53:$R$70)</f>
        <v>4</v>
      </c>
      <c r="T54" s="459"/>
      <c r="U54" s="221">
        <v>13</v>
      </c>
      <c r="V54" s="221">
        <v>1822</v>
      </c>
      <c r="W54" s="222">
        <f t="shared" ref="W54:W62" si="58">V54/U54</f>
        <v>140.15384615384616</v>
      </c>
      <c r="X54" s="220">
        <f t="shared" ref="X54:X62" si="59">RANK(W54,$W$53:$W$70)</f>
        <v>4</v>
      </c>
      <c r="Y54" s="459"/>
      <c r="Z54" s="221">
        <v>13</v>
      </c>
      <c r="AA54" s="221">
        <v>1928</v>
      </c>
      <c r="AB54" s="222">
        <f t="shared" ref="AB54:AB62" si="60">AA54/Z54</f>
        <v>148.30769230769232</v>
      </c>
      <c r="AC54" s="220">
        <f t="shared" ref="AC54:AC62" si="61">RANK(AB54, $AB$53:$AB$70)</f>
        <v>4</v>
      </c>
      <c r="AD54" s="459"/>
      <c r="AE54" s="221">
        <v>13</v>
      </c>
      <c r="AF54" s="221">
        <v>1953</v>
      </c>
      <c r="AG54" s="222">
        <f t="shared" ref="AG54:AG62" si="62">AF54/AE54</f>
        <v>150.23076923076923</v>
      </c>
      <c r="AH54" s="220" t="e">
        <f t="shared" ref="AH54:AH62" si="63">RANK(AG54, $AG$53:$AG$70)</f>
        <v>#DIV/0!</v>
      </c>
      <c r="AI54" s="459"/>
      <c r="AJ54" s="221">
        <v>13</v>
      </c>
      <c r="AK54" s="221">
        <v>1963</v>
      </c>
      <c r="AL54" s="222">
        <f t="shared" ref="AL54:AL62" si="64">AK54/AJ54</f>
        <v>151</v>
      </c>
      <c r="AM54" s="220">
        <f t="shared" ref="AM54:AM62" si="65">RANK(AL54,$AL$53:$AL$70)</f>
        <v>4</v>
      </c>
      <c r="AN54" s="459"/>
      <c r="AO54" s="221">
        <v>13</v>
      </c>
      <c r="AP54" s="221">
        <v>1964</v>
      </c>
      <c r="AQ54" s="222">
        <f t="shared" ref="AQ54:AQ62" si="66">AP54/AO54</f>
        <v>151.07692307692307</v>
      </c>
      <c r="AR54" s="220">
        <f t="shared" ref="AR54:AR62" si="67">RANK(AQ54,$AQ$53:$AQ$70)</f>
        <v>4</v>
      </c>
      <c r="AS54" s="459"/>
      <c r="AT54" s="221">
        <v>13</v>
      </c>
      <c r="AU54" s="221">
        <v>1990</v>
      </c>
      <c r="AV54" s="222">
        <f t="shared" ref="AV54:AV62" si="68">AU54/AT54</f>
        <v>153.07692307692307</v>
      </c>
      <c r="AW54" s="220" t="e">
        <f t="shared" ref="AW54:AW62" si="69">RANK(AV54,$AV$53:$AV$70)</f>
        <v>#DIV/0!</v>
      </c>
      <c r="AX54" s="459"/>
    </row>
    <row r="55" spans="2:50">
      <c r="B55" s="458"/>
      <c r="C55" s="220">
        <v>3</v>
      </c>
      <c r="D55" s="220" t="s">
        <v>76</v>
      </c>
      <c r="E55" s="221">
        <f>VLOOKUP(D55,'12產線配置圖'!$A$2:$C$25,2,0)</f>
        <v>12</v>
      </c>
      <c r="F55" s="221">
        <f>VLOOKUP(D55,'12產線配置圖'!$A$2:$C$25,3,0)</f>
        <v>2118</v>
      </c>
      <c r="G55" s="222">
        <f t="shared" si="54"/>
        <v>176.5</v>
      </c>
      <c r="H55" s="468"/>
      <c r="I55" s="221">
        <f t="shared" si="55"/>
        <v>12</v>
      </c>
      <c r="J55" s="221">
        <f t="shared" si="55"/>
        <v>1912.8571428571429</v>
      </c>
      <c r="K55" s="222">
        <f t="shared" si="55"/>
        <v>159.4047619047619</v>
      </c>
      <c r="L55" s="468"/>
      <c r="M55" s="221">
        <f>RANK(K55, K$53:$K$70)</f>
        <v>3</v>
      </c>
      <c r="N55" s="454"/>
      <c r="O55" s="454"/>
      <c r="P55" s="221">
        <v>12</v>
      </c>
      <c r="Q55" s="221">
        <v>1964</v>
      </c>
      <c r="R55" s="222">
        <f>Q55/P55</f>
        <v>163.66666666666666</v>
      </c>
      <c r="S55" s="220">
        <f>RANK(R55, $R$53:$R$70)</f>
        <v>3</v>
      </c>
      <c r="T55" s="459"/>
      <c r="U55" s="221">
        <v>12</v>
      </c>
      <c r="V55" s="221">
        <v>1905</v>
      </c>
      <c r="W55" s="222">
        <f t="shared" si="58"/>
        <v>158.75</v>
      </c>
      <c r="X55" s="220">
        <f t="shared" si="59"/>
        <v>3</v>
      </c>
      <c r="Y55" s="459"/>
      <c r="Z55" s="221">
        <v>12</v>
      </c>
      <c r="AA55" s="221">
        <v>1850</v>
      </c>
      <c r="AB55" s="222">
        <f t="shared" si="60"/>
        <v>154.16666666666666</v>
      </c>
      <c r="AC55" s="220">
        <f t="shared" si="61"/>
        <v>3</v>
      </c>
      <c r="AD55" s="459"/>
      <c r="AE55" s="221">
        <v>12</v>
      </c>
      <c r="AF55" s="221">
        <v>1794</v>
      </c>
      <c r="AG55" s="222">
        <f t="shared" si="62"/>
        <v>149.5</v>
      </c>
      <c r="AH55" s="220" t="e">
        <f t="shared" si="63"/>
        <v>#DIV/0!</v>
      </c>
      <c r="AI55" s="459"/>
      <c r="AJ55" s="221">
        <v>12</v>
      </c>
      <c r="AK55" s="221">
        <v>1970</v>
      </c>
      <c r="AL55" s="222">
        <f t="shared" si="64"/>
        <v>164.16666666666666</v>
      </c>
      <c r="AM55" s="220">
        <f t="shared" si="65"/>
        <v>2</v>
      </c>
      <c r="AN55" s="459"/>
      <c r="AO55" s="221">
        <v>12</v>
      </c>
      <c r="AP55" s="221">
        <v>1841</v>
      </c>
      <c r="AQ55" s="222">
        <f t="shared" si="66"/>
        <v>153.41666666666666</v>
      </c>
      <c r="AR55" s="220">
        <f t="shared" si="67"/>
        <v>3</v>
      </c>
      <c r="AS55" s="459"/>
      <c r="AT55" s="221">
        <v>12</v>
      </c>
      <c r="AU55" s="221">
        <v>2066</v>
      </c>
      <c r="AV55" s="222">
        <f t="shared" si="68"/>
        <v>172.16666666666666</v>
      </c>
      <c r="AW55" s="220" t="e">
        <f t="shared" si="69"/>
        <v>#DIV/0!</v>
      </c>
      <c r="AX55" s="459"/>
    </row>
    <row r="56" spans="2:50">
      <c r="B56" s="458"/>
      <c r="C56" s="220">
        <v>4</v>
      </c>
      <c r="D56" s="220" t="s">
        <v>127</v>
      </c>
      <c r="E56" s="221">
        <f>VLOOKUP(D56,'12產線配置圖'!$A$2:$C$25,2,0)</f>
        <v>16</v>
      </c>
      <c r="F56" s="221">
        <f>VLOOKUP(D56,'12產線配置圖'!$A$2:$C$25,3,0)</f>
        <v>1800</v>
      </c>
      <c r="G56" s="222">
        <f t="shared" si="54"/>
        <v>112.5</v>
      </c>
      <c r="H56" s="468"/>
      <c r="I56" s="221">
        <f t="shared" si="55"/>
        <v>16.142857142857142</v>
      </c>
      <c r="J56" s="221">
        <f t="shared" si="55"/>
        <v>1602.1428571428571</v>
      </c>
      <c r="K56" s="222">
        <f t="shared" si="55"/>
        <v>99.227415966386545</v>
      </c>
      <c r="L56" s="468"/>
      <c r="M56" s="221">
        <f>RANK(K56, K$53:$K$70)</f>
        <v>9</v>
      </c>
      <c r="N56" s="454"/>
      <c r="O56" s="454"/>
      <c r="P56" s="221">
        <v>16</v>
      </c>
      <c r="Q56" s="221">
        <v>1583</v>
      </c>
      <c r="R56" s="222">
        <f t="shared" si="56"/>
        <v>98.9375</v>
      </c>
      <c r="S56" s="220">
        <f t="shared" si="57"/>
        <v>9</v>
      </c>
      <c r="T56" s="459"/>
      <c r="U56" s="221">
        <v>16</v>
      </c>
      <c r="V56" s="221">
        <v>1606</v>
      </c>
      <c r="W56" s="392">
        <f t="shared" si="58"/>
        <v>100.375</v>
      </c>
      <c r="X56" s="220">
        <f t="shared" si="59"/>
        <v>6</v>
      </c>
      <c r="Y56" s="459"/>
      <c r="Z56" s="221">
        <v>16</v>
      </c>
      <c r="AA56" s="221">
        <v>1503</v>
      </c>
      <c r="AB56" s="222">
        <f t="shared" si="60"/>
        <v>93.9375</v>
      </c>
      <c r="AC56" s="220">
        <f t="shared" si="61"/>
        <v>8</v>
      </c>
      <c r="AD56" s="459"/>
      <c r="AE56" s="383">
        <v>17</v>
      </c>
      <c r="AF56" s="221">
        <v>1726</v>
      </c>
      <c r="AG56" s="222">
        <f t="shared" si="62"/>
        <v>101.52941176470588</v>
      </c>
      <c r="AH56" s="220" t="e">
        <f t="shared" si="63"/>
        <v>#DIV/0!</v>
      </c>
      <c r="AI56" s="459"/>
      <c r="AJ56" s="221">
        <v>16</v>
      </c>
      <c r="AK56" s="221">
        <v>1582</v>
      </c>
      <c r="AL56" s="222">
        <f t="shared" si="64"/>
        <v>98.875</v>
      </c>
      <c r="AM56" s="220">
        <f t="shared" si="65"/>
        <v>9</v>
      </c>
      <c r="AN56" s="459"/>
      <c r="AO56" s="221">
        <v>16</v>
      </c>
      <c r="AP56" s="221">
        <v>1540</v>
      </c>
      <c r="AQ56" s="222">
        <f t="shared" si="66"/>
        <v>96.25</v>
      </c>
      <c r="AR56" s="220">
        <f t="shared" si="67"/>
        <v>9</v>
      </c>
      <c r="AS56" s="459"/>
      <c r="AT56" s="221">
        <v>16</v>
      </c>
      <c r="AU56" s="221">
        <v>1675</v>
      </c>
      <c r="AV56" s="222">
        <f t="shared" si="68"/>
        <v>104.6875</v>
      </c>
      <c r="AW56" s="220" t="e">
        <f t="shared" si="69"/>
        <v>#DIV/0!</v>
      </c>
      <c r="AX56" s="459"/>
    </row>
    <row r="57" spans="2:50">
      <c r="B57" s="458"/>
      <c r="C57" s="220">
        <v>5</v>
      </c>
      <c r="D57" s="220" t="s">
        <v>178</v>
      </c>
      <c r="E57" s="221" t="e">
        <f>VLOOKUP(D57,'12產線配置圖'!$A$2:$C$25,2,0)</f>
        <v>#N/A</v>
      </c>
      <c r="F57" s="221" t="e">
        <f>VLOOKUP(D57,'12產線配置圖'!$A$2:$C$25,3,0)</f>
        <v>#N/A</v>
      </c>
      <c r="G57" s="222" t="e">
        <f t="shared" si="54"/>
        <v>#N/A</v>
      </c>
      <c r="H57" s="468"/>
      <c r="I57" s="221">
        <f t="shared" si="55"/>
        <v>12</v>
      </c>
      <c r="J57" s="221">
        <f t="shared" si="55"/>
        <v>1969.4285714285713</v>
      </c>
      <c r="K57" s="222">
        <f t="shared" si="55"/>
        <v>164.11904761904765</v>
      </c>
      <c r="L57" s="468"/>
      <c r="M57" s="221">
        <f>RANK(K57, K$53:$K$70)</f>
        <v>2</v>
      </c>
      <c r="N57" s="454"/>
      <c r="O57" s="454"/>
      <c r="P57" s="221">
        <v>12</v>
      </c>
      <c r="Q57" s="221">
        <v>2071</v>
      </c>
      <c r="R57" s="222">
        <f t="shared" si="56"/>
        <v>172.58333333333334</v>
      </c>
      <c r="S57" s="220">
        <f t="shared" si="57"/>
        <v>2</v>
      </c>
      <c r="T57" s="459"/>
      <c r="U57" s="221">
        <v>12</v>
      </c>
      <c r="V57" s="221">
        <v>1972</v>
      </c>
      <c r="W57" s="222">
        <f t="shared" si="58"/>
        <v>164.33333333333334</v>
      </c>
      <c r="X57" s="220">
        <f t="shared" si="59"/>
        <v>2</v>
      </c>
      <c r="Y57" s="459"/>
      <c r="Z57" s="221">
        <v>12</v>
      </c>
      <c r="AA57" s="221">
        <v>2028</v>
      </c>
      <c r="AB57" s="222">
        <f t="shared" si="60"/>
        <v>169</v>
      </c>
      <c r="AC57" s="220">
        <f t="shared" si="61"/>
        <v>2</v>
      </c>
      <c r="AD57" s="459"/>
      <c r="AE57" s="221">
        <v>12</v>
      </c>
      <c r="AF57" s="221">
        <v>1782</v>
      </c>
      <c r="AG57" s="222">
        <f t="shared" si="62"/>
        <v>148.5</v>
      </c>
      <c r="AH57" s="220" t="e">
        <f t="shared" si="63"/>
        <v>#DIV/0!</v>
      </c>
      <c r="AI57" s="459"/>
      <c r="AJ57" s="221">
        <v>12</v>
      </c>
      <c r="AK57" s="221">
        <v>1911</v>
      </c>
      <c r="AL57" s="222">
        <f t="shared" si="64"/>
        <v>159.25</v>
      </c>
      <c r="AM57" s="220">
        <f t="shared" si="65"/>
        <v>3</v>
      </c>
      <c r="AN57" s="459"/>
      <c r="AO57" s="221">
        <v>12</v>
      </c>
      <c r="AP57" s="221">
        <v>2022</v>
      </c>
      <c r="AQ57" s="222">
        <f t="shared" si="66"/>
        <v>168.5</v>
      </c>
      <c r="AR57" s="220">
        <f t="shared" si="67"/>
        <v>2</v>
      </c>
      <c r="AS57" s="459"/>
      <c r="AT57" s="221">
        <v>12</v>
      </c>
      <c r="AU57" s="221">
        <v>2000</v>
      </c>
      <c r="AV57" s="222">
        <f t="shared" si="68"/>
        <v>166.66666666666666</v>
      </c>
      <c r="AW57" s="220" t="e">
        <f t="shared" si="69"/>
        <v>#DIV/0!</v>
      </c>
      <c r="AX57" s="459"/>
    </row>
    <row r="58" spans="2:50">
      <c r="B58" s="458"/>
      <c r="C58" s="220">
        <v>6</v>
      </c>
      <c r="D58" s="220" t="s">
        <v>205</v>
      </c>
      <c r="E58" s="221">
        <f>VLOOKUP(D58,'12產線配置圖'!$A$2:$C$25,2,0)</f>
        <v>15</v>
      </c>
      <c r="F58" s="221">
        <f>VLOOKUP(D58,'12產線配置圖'!$A$2:$C$25,3,0)</f>
        <v>1714</v>
      </c>
      <c r="G58" s="222">
        <f t="shared" si="54"/>
        <v>114.26666666666667</v>
      </c>
      <c r="H58" s="468"/>
      <c r="I58" s="221">
        <f t="shared" si="55"/>
        <v>15.428571428571429</v>
      </c>
      <c r="J58" s="221">
        <f t="shared" si="55"/>
        <v>1497</v>
      </c>
      <c r="K58" s="222">
        <f t="shared" si="55"/>
        <v>97.104586834733908</v>
      </c>
      <c r="L58" s="468"/>
      <c r="M58" s="221">
        <f>RANK(K58, K$53:$K$70)</f>
        <v>10</v>
      </c>
      <c r="N58" s="454"/>
      <c r="O58" s="454"/>
      <c r="P58" s="221">
        <v>15</v>
      </c>
      <c r="Q58" s="221">
        <v>1446</v>
      </c>
      <c r="R58" s="222">
        <f t="shared" si="56"/>
        <v>96.4</v>
      </c>
      <c r="S58" s="220">
        <f t="shared" si="57"/>
        <v>10</v>
      </c>
      <c r="T58" s="459"/>
      <c r="U58" s="383">
        <v>16</v>
      </c>
      <c r="V58" s="221">
        <v>1413</v>
      </c>
      <c r="W58" s="222">
        <f t="shared" si="58"/>
        <v>88.3125</v>
      </c>
      <c r="X58" s="220">
        <f t="shared" si="59"/>
        <v>10</v>
      </c>
      <c r="Y58" s="459"/>
      <c r="Z58" s="221">
        <v>15</v>
      </c>
      <c r="AA58" s="221">
        <v>1294</v>
      </c>
      <c r="AB58" s="222">
        <f t="shared" si="60"/>
        <v>86.266666666666666</v>
      </c>
      <c r="AC58" s="220">
        <f t="shared" si="61"/>
        <v>10</v>
      </c>
      <c r="AD58" s="459"/>
      <c r="AE58" s="383">
        <v>17</v>
      </c>
      <c r="AF58" s="221">
        <v>1655</v>
      </c>
      <c r="AG58" s="222">
        <f t="shared" si="62"/>
        <v>97.352941176470594</v>
      </c>
      <c r="AH58" s="220" t="e">
        <f t="shared" si="63"/>
        <v>#DIV/0!</v>
      </c>
      <c r="AI58" s="459"/>
      <c r="AJ58" s="221">
        <v>15</v>
      </c>
      <c r="AK58" s="221">
        <v>1554</v>
      </c>
      <c r="AL58" s="222">
        <f t="shared" si="64"/>
        <v>103.6</v>
      </c>
      <c r="AM58" s="220">
        <f t="shared" si="65"/>
        <v>7</v>
      </c>
      <c r="AN58" s="459"/>
      <c r="AO58" s="221">
        <v>15</v>
      </c>
      <c r="AP58" s="221">
        <v>1552</v>
      </c>
      <c r="AQ58" s="222">
        <f t="shared" si="66"/>
        <v>103.46666666666667</v>
      </c>
      <c r="AR58" s="220">
        <f t="shared" si="67"/>
        <v>7</v>
      </c>
      <c r="AS58" s="459"/>
      <c r="AT58" s="221">
        <v>15</v>
      </c>
      <c r="AU58" s="221">
        <v>1565</v>
      </c>
      <c r="AV58" s="222">
        <f t="shared" si="68"/>
        <v>104.33333333333333</v>
      </c>
      <c r="AW58" s="220" t="e">
        <f t="shared" si="69"/>
        <v>#DIV/0!</v>
      </c>
      <c r="AX58" s="459"/>
    </row>
    <row r="59" spans="2:50">
      <c r="B59" s="458"/>
      <c r="C59" s="220">
        <v>7</v>
      </c>
      <c r="D59" s="220" t="s">
        <v>366</v>
      </c>
      <c r="E59" s="221">
        <f>VLOOKUP(D59,'12產線配置圖'!$A$2:$C$25,2,0)</f>
        <v>17</v>
      </c>
      <c r="F59" s="221">
        <f>VLOOKUP(D59,'12產線配置圖'!$A$2:$C$25,3,0)</f>
        <v>1714</v>
      </c>
      <c r="G59" s="222">
        <f t="shared" si="54"/>
        <v>100.82352941176471</v>
      </c>
      <c r="H59" s="468"/>
      <c r="I59" s="221">
        <f>AVERAGE(P59,U59,Z59,AE59,AJ59,AO59,AT59)</f>
        <v>16.714285714285715</v>
      </c>
      <c r="J59" s="221">
        <f>AVERAGE(Q59,V59,AA59,AF59,AK59,AP59,AU59)</f>
        <v>1331.4285714285713</v>
      </c>
      <c r="K59" s="222">
        <f>AVERAGE(R59,W59,AB59,AG59,AL59,AQ59,AV59)</f>
        <v>79.688585434173675</v>
      </c>
      <c r="L59" s="468"/>
      <c r="M59" s="221">
        <f>RANK(K59, K$53:$K$70)</f>
        <v>13</v>
      </c>
      <c r="N59" s="454"/>
      <c r="O59" s="454"/>
      <c r="P59" s="398">
        <v>18</v>
      </c>
      <c r="Q59" s="221">
        <v>1408</v>
      </c>
      <c r="R59" s="382">
        <f>Q59/P59</f>
        <v>78.222222222222229</v>
      </c>
      <c r="S59" s="220">
        <f>RANK(R59, $R$53:$R$70)</f>
        <v>14</v>
      </c>
      <c r="T59" s="459"/>
      <c r="U59" s="398">
        <v>16</v>
      </c>
      <c r="V59" s="221">
        <v>1289</v>
      </c>
      <c r="W59" s="382">
        <f>V59/U59</f>
        <v>80.5625</v>
      </c>
      <c r="X59" s="220">
        <f>RANK(W59,$W$53:$W$70)</f>
        <v>11</v>
      </c>
      <c r="Y59" s="459"/>
      <c r="Z59" s="398">
        <v>17</v>
      </c>
      <c r="AA59" s="221">
        <v>1357</v>
      </c>
      <c r="AB59" s="382">
        <f t="shared" si="60"/>
        <v>79.82352941176471</v>
      </c>
      <c r="AC59" s="220">
        <f t="shared" si="61"/>
        <v>12</v>
      </c>
      <c r="AD59" s="459"/>
      <c r="AE59" s="398">
        <v>16</v>
      </c>
      <c r="AF59" s="221">
        <v>1197</v>
      </c>
      <c r="AG59" s="382">
        <f>AF59/AE59</f>
        <v>74.8125</v>
      </c>
      <c r="AH59" s="220" t="e">
        <f>RANK(AG59, $AG$53:$AG$70)</f>
        <v>#DIV/0!</v>
      </c>
      <c r="AI59" s="459"/>
      <c r="AJ59" s="398">
        <v>15</v>
      </c>
      <c r="AK59" s="221">
        <v>1218</v>
      </c>
      <c r="AL59" s="382">
        <f>AK59/AJ59</f>
        <v>81.2</v>
      </c>
      <c r="AM59" s="220">
        <f>RANK(AL59,$AL$53:$AL$70)</f>
        <v>13</v>
      </c>
      <c r="AN59" s="459"/>
      <c r="AO59" s="398">
        <v>18</v>
      </c>
      <c r="AP59" s="221">
        <v>1379</v>
      </c>
      <c r="AQ59" s="382">
        <f t="shared" si="66"/>
        <v>76.611111111111114</v>
      </c>
      <c r="AR59" s="220">
        <f t="shared" si="67"/>
        <v>13</v>
      </c>
      <c r="AS59" s="459"/>
      <c r="AT59" s="398">
        <v>17</v>
      </c>
      <c r="AU59" s="221">
        <v>1472</v>
      </c>
      <c r="AV59" s="222">
        <f t="shared" si="68"/>
        <v>86.588235294117652</v>
      </c>
      <c r="AW59" s="220" t="e">
        <f t="shared" si="69"/>
        <v>#DIV/0!</v>
      </c>
      <c r="AX59" s="459"/>
    </row>
    <row r="60" spans="2:50">
      <c r="B60" s="458"/>
      <c r="C60" s="220">
        <v>8</v>
      </c>
      <c r="D60" s="220" t="s">
        <v>82</v>
      </c>
      <c r="E60" s="221">
        <f>VLOOKUP(D60,'12產線配置圖'!$A$2:$C$25,2,0)</f>
        <v>16</v>
      </c>
      <c r="F60" s="221">
        <f>VLOOKUP(D60,'12產線配置圖'!$A$2:$C$25,3,0)</f>
        <v>1406</v>
      </c>
      <c r="G60" s="222">
        <f t="shared" si="54"/>
        <v>87.875</v>
      </c>
      <c r="H60" s="468"/>
      <c r="I60" s="221">
        <f t="shared" si="55"/>
        <v>14.285714285714286</v>
      </c>
      <c r="J60" s="221">
        <f t="shared" si="55"/>
        <v>977.28571428571433</v>
      </c>
      <c r="K60" s="222">
        <f t="shared" si="55"/>
        <v>68.731089743589749</v>
      </c>
      <c r="L60" s="468"/>
      <c r="M60" s="221">
        <f>RANK(K60, K$53:$K$70)</f>
        <v>15</v>
      </c>
      <c r="N60" s="454"/>
      <c r="O60" s="454"/>
      <c r="P60" s="398">
        <v>14</v>
      </c>
      <c r="Q60" s="221">
        <v>1060</v>
      </c>
      <c r="R60" s="382">
        <f t="shared" si="56"/>
        <v>75.714285714285708</v>
      </c>
      <c r="S60" s="220">
        <f t="shared" si="57"/>
        <v>15</v>
      </c>
      <c r="T60" s="459"/>
      <c r="U60" s="398">
        <v>14</v>
      </c>
      <c r="V60" s="221">
        <v>1035</v>
      </c>
      <c r="W60" s="382">
        <f t="shared" si="58"/>
        <v>73.928571428571431</v>
      </c>
      <c r="X60" s="220">
        <f t="shared" si="59"/>
        <v>14</v>
      </c>
      <c r="Y60" s="459"/>
      <c r="Z60" s="398">
        <v>15</v>
      </c>
      <c r="AA60" s="221">
        <v>1114</v>
      </c>
      <c r="AB60" s="382">
        <f t="shared" si="60"/>
        <v>74.266666666666666</v>
      </c>
      <c r="AC60" s="220">
        <f t="shared" si="61"/>
        <v>13</v>
      </c>
      <c r="AD60" s="459"/>
      <c r="AE60" s="398">
        <v>14</v>
      </c>
      <c r="AF60" s="221">
        <v>1090</v>
      </c>
      <c r="AG60" s="382">
        <f t="shared" si="62"/>
        <v>77.857142857142861</v>
      </c>
      <c r="AH60" s="220" t="e">
        <f t="shared" si="63"/>
        <v>#DIV/0!</v>
      </c>
      <c r="AI60" s="459"/>
      <c r="AJ60" s="398">
        <v>14</v>
      </c>
      <c r="AK60" s="221">
        <v>1022</v>
      </c>
      <c r="AL60" s="385">
        <f t="shared" si="64"/>
        <v>73</v>
      </c>
      <c r="AM60" s="220">
        <f t="shared" si="65"/>
        <v>14</v>
      </c>
      <c r="AN60" s="459"/>
      <c r="AO60" s="398">
        <v>13</v>
      </c>
      <c r="AP60" s="221">
        <v>787</v>
      </c>
      <c r="AQ60" s="382">
        <f t="shared" si="66"/>
        <v>60.53846153846154</v>
      </c>
      <c r="AR60" s="220">
        <f t="shared" si="67"/>
        <v>14</v>
      </c>
      <c r="AS60" s="459"/>
      <c r="AT60" s="398">
        <v>16</v>
      </c>
      <c r="AU60" s="221">
        <v>733</v>
      </c>
      <c r="AV60" s="222">
        <f t="shared" si="68"/>
        <v>45.8125</v>
      </c>
      <c r="AW60" s="220" t="e">
        <f t="shared" si="69"/>
        <v>#DIV/0!</v>
      </c>
      <c r="AX60" s="459"/>
    </row>
    <row r="61" spans="2:50">
      <c r="B61" s="458"/>
      <c r="C61" s="220">
        <v>9</v>
      </c>
      <c r="D61" s="220" t="s">
        <v>370</v>
      </c>
      <c r="E61" s="221" t="e">
        <f>VLOOKUP(D61,'12產線配置圖'!$A$2:$C$25,2,0)</f>
        <v>#N/A</v>
      </c>
      <c r="F61" s="221" t="e">
        <f>VLOOKUP(D61,'12產線配置圖'!$A$2:$C$25,3,0)</f>
        <v>#N/A</v>
      </c>
      <c r="G61" s="222" t="e">
        <f t="shared" si="54"/>
        <v>#N/A</v>
      </c>
      <c r="H61" s="468"/>
      <c r="I61" s="221">
        <f t="shared" si="55"/>
        <v>16</v>
      </c>
      <c r="J61" s="221">
        <f t="shared" si="55"/>
        <v>1619</v>
      </c>
      <c r="K61" s="222">
        <f t="shared" si="55"/>
        <v>101.1875</v>
      </c>
      <c r="L61" s="468"/>
      <c r="M61" s="221">
        <f>RANK(K61, K$53:$K$70)</f>
        <v>7</v>
      </c>
      <c r="N61" s="454"/>
      <c r="O61" s="454"/>
      <c r="P61" s="221">
        <v>16</v>
      </c>
      <c r="Q61" s="221">
        <v>1619</v>
      </c>
      <c r="R61" s="222">
        <f t="shared" si="56"/>
        <v>101.1875</v>
      </c>
      <c r="S61" s="220">
        <f t="shared" si="57"/>
        <v>7</v>
      </c>
      <c r="T61" s="459"/>
      <c r="U61" s="221"/>
      <c r="V61" s="221"/>
      <c r="W61" s="382"/>
      <c r="X61" s="220"/>
      <c r="Y61" s="459"/>
      <c r="Z61" s="221"/>
      <c r="AA61" s="221"/>
      <c r="AB61" s="222"/>
      <c r="AC61" s="220"/>
      <c r="AD61" s="459"/>
      <c r="AE61" s="221"/>
      <c r="AF61" s="221"/>
      <c r="AG61" s="222"/>
      <c r="AH61" s="220"/>
      <c r="AI61" s="459"/>
      <c r="AJ61" s="221"/>
      <c r="AK61" s="221"/>
      <c r="AL61" s="382"/>
      <c r="AM61" s="220"/>
      <c r="AN61" s="459"/>
      <c r="AO61" s="221"/>
      <c r="AP61" s="221"/>
      <c r="AQ61" s="222"/>
      <c r="AR61" s="220"/>
      <c r="AS61" s="459"/>
      <c r="AT61" s="221"/>
      <c r="AU61" s="221"/>
      <c r="AV61" s="385"/>
      <c r="AW61" s="220"/>
      <c r="AX61" s="459"/>
    </row>
    <row r="62" spans="2:50">
      <c r="B62" s="458"/>
      <c r="C62" s="220">
        <v>10</v>
      </c>
      <c r="D62" s="220" t="s">
        <v>371</v>
      </c>
      <c r="E62" s="221" t="e">
        <f>VLOOKUP(D62,'12產線配置圖'!$A$2:$C$25,2,0)</f>
        <v>#N/A</v>
      </c>
      <c r="F62" s="221" t="e">
        <f>VLOOKUP(D62,'12產線配置圖'!$A$2:$C$25,3,0)</f>
        <v>#N/A</v>
      </c>
      <c r="G62" s="222" t="e">
        <f t="shared" si="54"/>
        <v>#N/A</v>
      </c>
      <c r="H62" s="468"/>
      <c r="I62" s="221">
        <f t="shared" si="55"/>
        <v>15.142857142857142</v>
      </c>
      <c r="J62" s="221">
        <f t="shared" si="55"/>
        <v>1536.4285714285713</v>
      </c>
      <c r="K62" s="222">
        <f t="shared" si="55"/>
        <v>101.72561524609844</v>
      </c>
      <c r="L62" s="468"/>
      <c r="M62" s="221">
        <f>RANK(K62, K$53:$K$70)</f>
        <v>6</v>
      </c>
      <c r="N62" s="454"/>
      <c r="O62" s="454"/>
      <c r="P62" s="221">
        <v>14</v>
      </c>
      <c r="Q62" s="221">
        <v>1459</v>
      </c>
      <c r="R62" s="222">
        <f t="shared" si="56"/>
        <v>104.21428571428571</v>
      </c>
      <c r="S62" s="220">
        <f t="shared" si="57"/>
        <v>6</v>
      </c>
      <c r="T62" s="459"/>
      <c r="U62" s="383">
        <v>17</v>
      </c>
      <c r="V62" s="221">
        <v>1644</v>
      </c>
      <c r="W62" s="222">
        <f t="shared" si="58"/>
        <v>96.705882352941174</v>
      </c>
      <c r="X62" s="220">
        <f t="shared" si="59"/>
        <v>8</v>
      </c>
      <c r="Y62" s="459"/>
      <c r="Z62" s="383">
        <v>16</v>
      </c>
      <c r="AA62" s="221">
        <v>1473</v>
      </c>
      <c r="AB62" s="382">
        <f t="shared" si="60"/>
        <v>92.0625</v>
      </c>
      <c r="AC62" s="220">
        <f t="shared" si="61"/>
        <v>9</v>
      </c>
      <c r="AD62" s="459"/>
      <c r="AE62" s="383">
        <v>17</v>
      </c>
      <c r="AF62" s="221">
        <v>1766</v>
      </c>
      <c r="AG62" s="222">
        <f t="shared" si="62"/>
        <v>103.88235294117646</v>
      </c>
      <c r="AH62" s="220" t="e">
        <f t="shared" si="63"/>
        <v>#DIV/0!</v>
      </c>
      <c r="AI62" s="459"/>
      <c r="AJ62" s="221">
        <v>14</v>
      </c>
      <c r="AK62" s="221">
        <v>1392</v>
      </c>
      <c r="AL62" s="382">
        <f t="shared" si="64"/>
        <v>99.428571428571431</v>
      </c>
      <c r="AM62" s="220">
        <f t="shared" si="65"/>
        <v>8</v>
      </c>
      <c r="AN62" s="459"/>
      <c r="AO62" s="221">
        <v>14</v>
      </c>
      <c r="AP62" s="221">
        <v>1440</v>
      </c>
      <c r="AQ62" s="386">
        <f t="shared" si="66"/>
        <v>102.85714285714286</v>
      </c>
      <c r="AR62" s="220">
        <f t="shared" si="67"/>
        <v>8</v>
      </c>
      <c r="AS62" s="459"/>
      <c r="AT62" s="221">
        <v>14</v>
      </c>
      <c r="AU62" s="221">
        <v>1581</v>
      </c>
      <c r="AV62" s="222">
        <f t="shared" si="68"/>
        <v>112.92857142857143</v>
      </c>
      <c r="AW62" s="220" t="e">
        <f t="shared" si="69"/>
        <v>#DIV/0!</v>
      </c>
      <c r="AX62" s="459"/>
    </row>
    <row r="63" spans="2:50">
      <c r="B63" s="458"/>
      <c r="C63" s="220">
        <v>11</v>
      </c>
      <c r="D63" s="220" t="s">
        <v>84</v>
      </c>
      <c r="E63" s="221">
        <f>VLOOKUP(D63,'12產線配置圖'!$A$2:$C$25,2,0)</f>
        <v>17</v>
      </c>
      <c r="F63" s="221">
        <f>VLOOKUP(D63,'12產線配置圖'!$A$2:$C$25,3,0)</f>
        <v>1440</v>
      </c>
      <c r="G63" s="222">
        <f t="shared" ref="G63:G64" si="70">F63/E63</f>
        <v>84.705882352941174</v>
      </c>
      <c r="H63" s="468"/>
      <c r="I63" s="221">
        <f t="shared" ref="I63:I64" si="71">AVERAGE(P63,U63,Z63,AE63,AJ63,AO63,AT63)</f>
        <v>16.285714285714285</v>
      </c>
      <c r="J63" s="221">
        <f t="shared" ref="J63:J64" si="72">AVERAGE(Q63,V63,AA63,AF63,AK63,AP63,AU63)</f>
        <v>1275.4285714285713</v>
      </c>
      <c r="K63" s="222">
        <f t="shared" ref="K63:K64" si="73">AVERAGE(R63,W63,AB63,AG63,AL63,AQ63,AV63)</f>
        <v>78.225735294117641</v>
      </c>
      <c r="L63" s="468"/>
      <c r="M63" s="221">
        <f>RANK(K63, K$53:$K$70)</f>
        <v>14</v>
      </c>
      <c r="N63" s="454"/>
      <c r="O63" s="454"/>
      <c r="P63" s="220">
        <v>17</v>
      </c>
      <c r="Q63" s="220">
        <v>1427</v>
      </c>
      <c r="R63" s="222">
        <f t="shared" ref="R63:R64" si="74">Q63/P63</f>
        <v>83.941176470588232</v>
      </c>
      <c r="S63" s="220">
        <f t="shared" ref="S63:S64" si="75">RANK(R63, $R$53:$R$70)</f>
        <v>12</v>
      </c>
      <c r="T63" s="459"/>
      <c r="U63" s="397">
        <v>16</v>
      </c>
      <c r="V63" s="220">
        <v>1203</v>
      </c>
      <c r="W63" s="382">
        <f t="shared" ref="W63:W64" si="76">V63/U63</f>
        <v>75.1875</v>
      </c>
      <c r="X63" s="220">
        <f t="shared" ref="X63:X64" si="77">RANK(W63,$W$53:$W$70)</f>
        <v>13</v>
      </c>
      <c r="Y63" s="459"/>
      <c r="Z63" s="397">
        <v>16</v>
      </c>
      <c r="AA63" s="220">
        <v>1177</v>
      </c>
      <c r="AB63" s="382">
        <f t="shared" ref="AB63:AB64" si="78">AA63/Z63</f>
        <v>73.5625</v>
      </c>
      <c r="AC63" s="220">
        <f t="shared" ref="AC63:AC64" si="79">RANK(AB63, $AB$53:$AB$70)</f>
        <v>14</v>
      </c>
      <c r="AD63" s="459"/>
      <c r="AE63" s="397">
        <v>16</v>
      </c>
      <c r="AF63" s="220">
        <v>1237</v>
      </c>
      <c r="AG63" s="382">
        <f t="shared" ref="AG63:AG64" si="80">AF63/AE63</f>
        <v>77.3125</v>
      </c>
      <c r="AH63" s="220" t="e">
        <f t="shared" ref="AH63:AH64" si="81">RANK(AG63, $AG$53:$AG$70)</f>
        <v>#DIV/0!</v>
      </c>
      <c r="AI63" s="459"/>
      <c r="AJ63" s="220">
        <v>17</v>
      </c>
      <c r="AK63" s="220">
        <v>1402</v>
      </c>
      <c r="AL63" s="222">
        <f t="shared" ref="AL63:AL64" si="82">AK63/AJ63</f>
        <v>82.470588235294116</v>
      </c>
      <c r="AM63" s="220">
        <f t="shared" ref="AM63:AM64" si="83">RANK(AL63,$AL$53:$AL$70)</f>
        <v>12</v>
      </c>
      <c r="AN63" s="459"/>
      <c r="AO63" s="397">
        <v>15</v>
      </c>
      <c r="AP63" s="220">
        <v>1161</v>
      </c>
      <c r="AQ63" s="382">
        <f t="shared" ref="AQ63:AQ64" si="84">AP63/AO63</f>
        <v>77.400000000000006</v>
      </c>
      <c r="AR63" s="220">
        <f t="shared" ref="AR63:AR64" si="85">RANK(AQ63,$AQ$53:$AQ$70)</f>
        <v>12</v>
      </c>
      <c r="AS63" s="459"/>
      <c r="AT63" s="220">
        <v>17</v>
      </c>
      <c r="AU63" s="220">
        <v>1321</v>
      </c>
      <c r="AV63" s="382">
        <f t="shared" ref="AV63:AV64" si="86">AU63/AT63</f>
        <v>77.705882352941174</v>
      </c>
      <c r="AW63" s="220" t="e">
        <f t="shared" ref="AW63:AW64" si="87">RANK(AV63,$AV$53:$AV$70)</f>
        <v>#DIV/0!</v>
      </c>
      <c r="AX63" s="459"/>
    </row>
    <row r="64" spans="2:50">
      <c r="B64" s="458"/>
      <c r="C64" s="220">
        <v>12</v>
      </c>
      <c r="D64" s="220" t="s">
        <v>86</v>
      </c>
      <c r="E64" s="221">
        <f>VLOOKUP(D64,'12產線配置圖'!$A$2:$C$25,2,0)</f>
        <v>17</v>
      </c>
      <c r="F64" s="221">
        <f>VLOOKUP(D64,'12產線配置圖'!$A$2:$C$25,3,0)</f>
        <v>1565</v>
      </c>
      <c r="G64" s="222">
        <f t="shared" si="70"/>
        <v>92.058823529411768</v>
      </c>
      <c r="H64" s="468"/>
      <c r="I64" s="221">
        <f t="shared" si="71"/>
        <v>16.857142857142858</v>
      </c>
      <c r="J64" s="221">
        <f t="shared" si="72"/>
        <v>1370.7142857142858</v>
      </c>
      <c r="K64" s="222">
        <f t="shared" si="73"/>
        <v>81.327731092436991</v>
      </c>
      <c r="L64" s="468"/>
      <c r="M64" s="221">
        <f>RANK(K64, K$53:$K$70)</f>
        <v>12</v>
      </c>
      <c r="N64" s="454"/>
      <c r="O64" s="454"/>
      <c r="P64" s="220">
        <v>17</v>
      </c>
      <c r="Q64" s="220">
        <v>1419</v>
      </c>
      <c r="R64" s="382">
        <f t="shared" si="74"/>
        <v>83.470588235294116</v>
      </c>
      <c r="S64" s="220">
        <f t="shared" si="75"/>
        <v>13</v>
      </c>
      <c r="T64" s="459"/>
      <c r="U64" s="220">
        <v>17</v>
      </c>
      <c r="V64" s="220">
        <v>1300</v>
      </c>
      <c r="W64" s="382">
        <f t="shared" si="76"/>
        <v>76.470588235294116</v>
      </c>
      <c r="X64" s="220">
        <f t="shared" si="77"/>
        <v>12</v>
      </c>
      <c r="Y64" s="459"/>
      <c r="Z64" s="220">
        <v>17</v>
      </c>
      <c r="AA64" s="220">
        <v>1380</v>
      </c>
      <c r="AB64" s="222">
        <f t="shared" si="78"/>
        <v>81.17647058823529</v>
      </c>
      <c r="AC64" s="220">
        <f t="shared" si="79"/>
        <v>11</v>
      </c>
      <c r="AD64" s="459"/>
      <c r="AE64" s="220">
        <v>17</v>
      </c>
      <c r="AF64" s="220">
        <v>1336</v>
      </c>
      <c r="AG64" s="382">
        <f t="shared" si="80"/>
        <v>78.588235294117652</v>
      </c>
      <c r="AH64" s="220" t="e">
        <f t="shared" si="81"/>
        <v>#DIV/0!</v>
      </c>
      <c r="AI64" s="459"/>
      <c r="AJ64" s="220">
        <v>17</v>
      </c>
      <c r="AK64" s="220">
        <v>1433</v>
      </c>
      <c r="AL64" s="222">
        <f t="shared" si="82"/>
        <v>84.294117647058826</v>
      </c>
      <c r="AM64" s="220">
        <f t="shared" si="83"/>
        <v>11</v>
      </c>
      <c r="AN64" s="459"/>
      <c r="AO64" s="397">
        <v>16</v>
      </c>
      <c r="AP64" s="220">
        <v>1328</v>
      </c>
      <c r="AQ64" s="382">
        <f t="shared" si="84"/>
        <v>83</v>
      </c>
      <c r="AR64" s="220">
        <f t="shared" si="85"/>
        <v>11</v>
      </c>
      <c r="AS64" s="459"/>
      <c r="AT64" s="220">
        <v>17</v>
      </c>
      <c r="AU64" s="220">
        <v>1399</v>
      </c>
      <c r="AV64" s="222">
        <f t="shared" si="86"/>
        <v>82.294117647058826</v>
      </c>
      <c r="AW64" s="220" t="e">
        <f t="shared" si="87"/>
        <v>#DIV/0!</v>
      </c>
      <c r="AX64" s="459"/>
    </row>
    <row r="65" spans="2:50">
      <c r="B65" s="458"/>
      <c r="C65" s="220">
        <v>13</v>
      </c>
      <c r="D65" s="220" t="s">
        <v>368</v>
      </c>
      <c r="E65" s="221">
        <f>VLOOKUP(D65,'12產線配置圖'!$A$2:$C$25,2,0)</f>
        <v>13</v>
      </c>
      <c r="F65" s="221">
        <f>VLOOKUP(D65,'12產線配置圖'!$A$2:$C$25,3,0)</f>
        <v>1440</v>
      </c>
      <c r="G65" s="222">
        <f>F65/E65</f>
        <v>110.76923076923077</v>
      </c>
      <c r="H65" s="468"/>
      <c r="I65" s="221">
        <f t="shared" ref="I65:K67" si="88">AVERAGE(P65,U65,Z65,AE65,AJ65,AO65,AT65)</f>
        <v>10.857142857142858</v>
      </c>
      <c r="J65" s="221">
        <f t="shared" si="88"/>
        <v>1085.5714285714287</v>
      </c>
      <c r="K65" s="222">
        <f t="shared" si="88"/>
        <v>100.39848484848484</v>
      </c>
      <c r="L65" s="468"/>
      <c r="M65" s="221">
        <f>RANK(K65, K$53:$K$70)</f>
        <v>8</v>
      </c>
      <c r="N65" s="454"/>
      <c r="O65" s="454"/>
      <c r="P65" s="384">
        <v>12</v>
      </c>
      <c r="Q65" s="220">
        <v>1214</v>
      </c>
      <c r="R65" s="386">
        <f>Q65/P65</f>
        <v>101.16666666666667</v>
      </c>
      <c r="S65" s="220">
        <f>RANK(R65, $R$53:$R$70)</f>
        <v>8</v>
      </c>
      <c r="T65" s="459"/>
      <c r="U65" s="384">
        <v>11</v>
      </c>
      <c r="V65" s="220">
        <v>1074</v>
      </c>
      <c r="W65" s="392">
        <f t="shared" ref="W65:W67" si="89">V65/U65</f>
        <v>97.63636363636364</v>
      </c>
      <c r="X65" s="220">
        <f t="shared" ref="X65:X67" si="90">RANK(W65,$W$53:$W$70)</f>
        <v>7</v>
      </c>
      <c r="Y65" s="459"/>
      <c r="Z65" s="384">
        <v>11</v>
      </c>
      <c r="AA65" s="220">
        <v>1140</v>
      </c>
      <c r="AB65" s="222">
        <f t="shared" ref="AB65:AB67" si="91">AA65/Z65</f>
        <v>103.63636363636364</v>
      </c>
      <c r="AC65" s="220">
        <f t="shared" ref="AC65:AC67" si="92">RANK(AB65, $AB$53:$AB$70)</f>
        <v>5</v>
      </c>
      <c r="AD65" s="459"/>
      <c r="AE65" s="220">
        <v>10</v>
      </c>
      <c r="AF65" s="220">
        <v>998</v>
      </c>
      <c r="AG65" s="222">
        <f t="shared" ref="AG65:AG66" si="93">AF65/AE65</f>
        <v>99.8</v>
      </c>
      <c r="AH65" s="220" t="e">
        <f t="shared" ref="AH65:AH66" si="94">RANK(AG65, $AG$53:$AG$70)</f>
        <v>#DIV/0!</v>
      </c>
      <c r="AI65" s="459"/>
      <c r="AJ65" s="220">
        <v>10</v>
      </c>
      <c r="AK65" s="220">
        <v>1109</v>
      </c>
      <c r="AL65" s="222">
        <f t="shared" ref="AL65:AL67" si="95">AK65/AJ65</f>
        <v>110.9</v>
      </c>
      <c r="AM65" s="220">
        <f t="shared" ref="AM65:AM67" si="96">RANK(AL65,$AL$53:$AL$70)</f>
        <v>5</v>
      </c>
      <c r="AN65" s="459"/>
      <c r="AO65" s="220">
        <v>10</v>
      </c>
      <c r="AP65" s="220">
        <v>1059</v>
      </c>
      <c r="AQ65" s="386">
        <f t="shared" ref="AQ65:AQ66" si="97">AP65/AO65</f>
        <v>105.9</v>
      </c>
      <c r="AR65" s="220">
        <f t="shared" ref="AR65:AR66" si="98">RANK(AQ65,$AQ$53:$AQ$70)</f>
        <v>6</v>
      </c>
      <c r="AS65" s="459"/>
      <c r="AT65" s="384">
        <v>12</v>
      </c>
      <c r="AU65" s="220">
        <v>1005</v>
      </c>
      <c r="AV65" s="385">
        <f t="shared" ref="AV65:AV66" si="99">AU65/AT65</f>
        <v>83.75</v>
      </c>
      <c r="AW65" s="220" t="e">
        <f t="shared" ref="AW65:AW66" si="100">RANK(AV65,$AV$53:$AV$70)</f>
        <v>#DIV/0!</v>
      </c>
      <c r="AX65" s="459"/>
    </row>
    <row r="66" spans="2:50">
      <c r="B66" s="458"/>
      <c r="C66" s="220">
        <v>14</v>
      </c>
      <c r="D66" s="220" t="s">
        <v>187</v>
      </c>
      <c r="E66" s="221">
        <f>VLOOKUP(D66,'12產線配置圖'!$A$2:$C$25,2,0)</f>
        <v>15</v>
      </c>
      <c r="F66" s="221">
        <f>VLOOKUP(D66,'12產線配置圖'!$A$2:$C$25,3,0)</f>
        <v>1800</v>
      </c>
      <c r="G66" s="222">
        <f>F66/E66</f>
        <v>120</v>
      </c>
      <c r="H66" s="468"/>
      <c r="I66" s="221">
        <f t="shared" si="88"/>
        <v>15</v>
      </c>
      <c r="J66" s="221">
        <f t="shared" si="88"/>
        <v>1645</v>
      </c>
      <c r="K66" s="222">
        <f t="shared" si="88"/>
        <v>109.66666666666667</v>
      </c>
      <c r="L66" s="468"/>
      <c r="M66" s="221">
        <f>RANK(K66, K$53:$K$70)</f>
        <v>5</v>
      </c>
      <c r="N66" s="454"/>
      <c r="O66" s="454"/>
      <c r="P66" s="220">
        <v>15</v>
      </c>
      <c r="Q66" s="220">
        <v>1683</v>
      </c>
      <c r="R66" s="392">
        <f>Q66/P66</f>
        <v>112.2</v>
      </c>
      <c r="S66" s="220">
        <f>RANK(R66, $R$53:$R$70)</f>
        <v>5</v>
      </c>
      <c r="T66" s="459"/>
      <c r="U66" s="220">
        <v>15</v>
      </c>
      <c r="V66" s="220">
        <v>1727</v>
      </c>
      <c r="W66" s="386">
        <f t="shared" si="89"/>
        <v>115.13333333333334</v>
      </c>
      <c r="X66" s="220">
        <f t="shared" si="90"/>
        <v>5</v>
      </c>
      <c r="Y66" s="459"/>
      <c r="Z66" s="220">
        <v>15</v>
      </c>
      <c r="AA66" s="220">
        <v>1544</v>
      </c>
      <c r="AB66" s="392">
        <f t="shared" si="91"/>
        <v>102.93333333333334</v>
      </c>
      <c r="AC66" s="220">
        <f t="shared" si="92"/>
        <v>6</v>
      </c>
      <c r="AD66" s="459"/>
      <c r="AE66" s="220">
        <v>15</v>
      </c>
      <c r="AF66" s="220">
        <v>1485</v>
      </c>
      <c r="AG66" s="222">
        <f t="shared" si="93"/>
        <v>99</v>
      </c>
      <c r="AH66" s="220" t="e">
        <f t="shared" si="94"/>
        <v>#DIV/0!</v>
      </c>
      <c r="AI66" s="459"/>
      <c r="AJ66" s="220">
        <v>15</v>
      </c>
      <c r="AK66" s="220">
        <v>1560</v>
      </c>
      <c r="AL66" s="222">
        <f t="shared" si="95"/>
        <v>104</v>
      </c>
      <c r="AM66" s="220">
        <f t="shared" si="96"/>
        <v>6</v>
      </c>
      <c r="AN66" s="459"/>
      <c r="AO66" s="220">
        <v>15</v>
      </c>
      <c r="AP66" s="220">
        <v>1773</v>
      </c>
      <c r="AQ66" s="386">
        <f t="shared" si="97"/>
        <v>118.2</v>
      </c>
      <c r="AR66" s="220">
        <f t="shared" si="98"/>
        <v>5</v>
      </c>
      <c r="AS66" s="459"/>
      <c r="AT66" s="220">
        <v>15</v>
      </c>
      <c r="AU66" s="220">
        <v>1743</v>
      </c>
      <c r="AV66" s="222">
        <f t="shared" si="99"/>
        <v>116.2</v>
      </c>
      <c r="AW66" s="220" t="e">
        <f t="shared" si="100"/>
        <v>#DIV/0!</v>
      </c>
      <c r="AX66" s="459"/>
    </row>
    <row r="67" spans="2:50">
      <c r="B67" s="458"/>
      <c r="C67" s="220">
        <v>15</v>
      </c>
      <c r="D67" s="220" t="s">
        <v>80</v>
      </c>
      <c r="E67" s="221">
        <f>VLOOKUP(D67,'12產線配置圖'!$A$2:$C$25,2,0)</f>
        <v>16</v>
      </c>
      <c r="F67" s="221">
        <f>VLOOKUP(D67,'12產線配置圖'!$A$2:$C$25,3,0)</f>
        <v>1714</v>
      </c>
      <c r="G67" s="222">
        <f>F67/E67</f>
        <v>107.125</v>
      </c>
      <c r="H67" s="468"/>
      <c r="I67" s="221">
        <f t="shared" si="88"/>
        <v>15.857142857142858</v>
      </c>
      <c r="J67" s="221">
        <f t="shared" si="88"/>
        <v>1505.5714285714287</v>
      </c>
      <c r="K67" s="222">
        <f t="shared" si="88"/>
        <v>94.915476190476184</v>
      </c>
      <c r="L67" s="468"/>
      <c r="M67" s="221">
        <f>RANK(K67, K$53:$K$70)</f>
        <v>11</v>
      </c>
      <c r="N67" s="454"/>
      <c r="O67" s="454"/>
      <c r="P67" s="220">
        <v>16</v>
      </c>
      <c r="Q67" s="220">
        <v>1500</v>
      </c>
      <c r="R67" s="222">
        <f>Q67/P67</f>
        <v>93.75</v>
      </c>
      <c r="S67" s="220">
        <f>RANK(R67, $R$53:$R$70)</f>
        <v>11</v>
      </c>
      <c r="T67" s="459"/>
      <c r="U67" s="220">
        <v>16</v>
      </c>
      <c r="V67" s="220">
        <v>1545</v>
      </c>
      <c r="W67" s="222">
        <f t="shared" si="89"/>
        <v>96.5625</v>
      </c>
      <c r="X67" s="220">
        <f t="shared" si="90"/>
        <v>9</v>
      </c>
      <c r="Y67" s="459"/>
      <c r="Z67" s="220">
        <v>16</v>
      </c>
      <c r="AA67" s="220">
        <v>1526</v>
      </c>
      <c r="AB67" s="222">
        <f t="shared" si="91"/>
        <v>95.375</v>
      </c>
      <c r="AC67" s="220">
        <f t="shared" si="92"/>
        <v>7</v>
      </c>
      <c r="AD67" s="459"/>
      <c r="AE67" s="220">
        <v>16</v>
      </c>
      <c r="AF67" s="220">
        <v>1475</v>
      </c>
      <c r="AG67" s="222">
        <f t="shared" ref="AG67:AG68" si="101">AF67/AE67</f>
        <v>92.1875</v>
      </c>
      <c r="AH67" s="220" t="e">
        <f t="shared" ref="AH67:AH68" si="102">RANK(AG67, $AG$53:$AG$70)</f>
        <v>#DIV/0!</v>
      </c>
      <c r="AI67" s="459"/>
      <c r="AJ67" s="220">
        <v>16</v>
      </c>
      <c r="AK67" s="220">
        <v>1565</v>
      </c>
      <c r="AL67" s="222">
        <f t="shared" si="95"/>
        <v>97.8125</v>
      </c>
      <c r="AM67" s="220">
        <f t="shared" si="96"/>
        <v>10</v>
      </c>
      <c r="AN67" s="459"/>
      <c r="AO67" s="397">
        <v>15</v>
      </c>
      <c r="AP67" s="220">
        <v>1373</v>
      </c>
      <c r="AQ67" s="386">
        <f>AP67/AO67</f>
        <v>91.533333333333331</v>
      </c>
      <c r="AR67" s="220">
        <f>RANK(AQ67,$AQ$53:$AQ$70)</f>
        <v>10</v>
      </c>
      <c r="AS67" s="459"/>
      <c r="AT67" s="220">
        <v>16</v>
      </c>
      <c r="AU67" s="220">
        <v>1555</v>
      </c>
      <c r="AV67" s="222">
        <f t="shared" ref="AV67:AV68" si="103">AU67/AT67</f>
        <v>97.1875</v>
      </c>
      <c r="AW67" s="220" t="e">
        <f t="shared" ref="AW67:AW68" si="104">RANK(AV67,$AV$53:$AV$70)</f>
        <v>#DIV/0!</v>
      </c>
      <c r="AX67" s="459"/>
    </row>
    <row r="68" spans="2:50">
      <c r="B68" s="458"/>
      <c r="C68" s="220">
        <v>16</v>
      </c>
      <c r="D68" s="220"/>
      <c r="E68" s="221"/>
      <c r="F68" s="221"/>
      <c r="G68" s="222"/>
      <c r="H68" s="468"/>
      <c r="I68" s="221"/>
      <c r="J68" s="221"/>
      <c r="K68" s="222"/>
      <c r="L68" s="468"/>
      <c r="M68" s="221"/>
      <c r="N68" s="454"/>
      <c r="O68" s="454"/>
      <c r="P68" s="220"/>
      <c r="Q68" s="220"/>
      <c r="R68" s="222"/>
      <c r="S68" s="220"/>
      <c r="T68" s="459"/>
      <c r="U68" s="220"/>
      <c r="V68" s="220"/>
      <c r="W68" s="222"/>
      <c r="X68" s="220"/>
      <c r="Y68" s="459"/>
      <c r="Z68" s="220"/>
      <c r="AA68" s="220"/>
      <c r="AB68" s="222"/>
      <c r="AC68" s="220"/>
      <c r="AD68" s="459"/>
      <c r="AE68" s="220"/>
      <c r="AF68" s="220"/>
      <c r="AG68" s="222" t="e">
        <f t="shared" si="101"/>
        <v>#DIV/0!</v>
      </c>
      <c r="AH68" s="220" t="e">
        <f t="shared" si="102"/>
        <v>#DIV/0!</v>
      </c>
      <c r="AI68" s="459"/>
      <c r="AJ68" s="220"/>
      <c r="AK68" s="220"/>
      <c r="AL68" s="222"/>
      <c r="AM68" s="220"/>
      <c r="AN68" s="459"/>
      <c r="AO68" s="220"/>
      <c r="AP68" s="220"/>
      <c r="AQ68" s="222"/>
      <c r="AR68" s="220"/>
      <c r="AS68" s="459"/>
      <c r="AT68" s="220"/>
      <c r="AU68" s="220"/>
      <c r="AV68" s="222" t="e">
        <f t="shared" si="103"/>
        <v>#DIV/0!</v>
      </c>
      <c r="AW68" s="220" t="e">
        <f t="shared" si="104"/>
        <v>#DIV/0!</v>
      </c>
      <c r="AX68" s="459"/>
    </row>
    <row r="69" spans="2:50">
      <c r="B69" s="458"/>
      <c r="C69" s="220">
        <v>17</v>
      </c>
      <c r="D69" s="220"/>
      <c r="E69" s="220"/>
      <c r="F69" s="220"/>
      <c r="G69" s="222"/>
      <c r="H69" s="468"/>
      <c r="I69" s="220"/>
      <c r="J69" s="221"/>
      <c r="K69" s="222"/>
      <c r="L69" s="468"/>
      <c r="M69" s="221"/>
      <c r="N69" s="454"/>
      <c r="O69" s="454"/>
      <c r="P69" s="220"/>
      <c r="Q69" s="220"/>
      <c r="R69" s="222"/>
      <c r="S69" s="220"/>
      <c r="T69" s="459"/>
      <c r="U69" s="220"/>
      <c r="V69" s="220"/>
      <c r="W69" s="222"/>
      <c r="X69" s="220"/>
      <c r="Y69" s="459"/>
      <c r="Z69" s="220"/>
      <c r="AA69" s="220"/>
      <c r="AB69" s="222"/>
      <c r="AC69" s="220"/>
      <c r="AD69" s="459"/>
      <c r="AE69" s="220"/>
      <c r="AF69" s="220"/>
      <c r="AG69" s="222"/>
      <c r="AH69" s="220"/>
      <c r="AI69" s="459"/>
      <c r="AJ69" s="220"/>
      <c r="AK69" s="220"/>
      <c r="AL69" s="222"/>
      <c r="AM69" s="220"/>
      <c r="AN69" s="459"/>
      <c r="AO69" s="220"/>
      <c r="AP69" s="220"/>
      <c r="AQ69" s="222"/>
      <c r="AR69" s="220"/>
      <c r="AS69" s="459"/>
      <c r="AT69" s="220"/>
      <c r="AU69" s="220"/>
      <c r="AV69" s="222"/>
      <c r="AW69" s="220"/>
      <c r="AX69" s="459"/>
    </row>
    <row r="70" spans="2:50">
      <c r="B70" s="458"/>
      <c r="C70" s="220">
        <v>18</v>
      </c>
      <c r="D70" s="220"/>
      <c r="E70" s="220"/>
      <c r="F70" s="220"/>
      <c r="G70" s="222"/>
      <c r="H70" s="469"/>
      <c r="I70" s="220"/>
      <c r="J70" s="221"/>
      <c r="K70" s="222"/>
      <c r="L70" s="469"/>
      <c r="M70" s="221"/>
      <c r="N70" s="454"/>
      <c r="O70" s="454"/>
      <c r="P70" s="220"/>
      <c r="Q70" s="220"/>
      <c r="R70" s="222"/>
      <c r="S70" s="220"/>
      <c r="T70" s="459"/>
      <c r="U70" s="220"/>
      <c r="V70" s="220"/>
      <c r="W70" s="222"/>
      <c r="X70" s="220"/>
      <c r="Y70" s="459"/>
      <c r="Z70" s="220"/>
      <c r="AA70" s="220"/>
      <c r="AB70" s="222"/>
      <c r="AC70" s="220"/>
      <c r="AD70" s="459"/>
      <c r="AE70" s="220"/>
      <c r="AF70" s="220"/>
      <c r="AG70" s="222"/>
      <c r="AH70" s="220"/>
      <c r="AI70" s="459"/>
      <c r="AJ70" s="220"/>
      <c r="AK70" s="220"/>
      <c r="AL70" s="222"/>
      <c r="AM70" s="220"/>
      <c r="AN70" s="459"/>
      <c r="AO70" s="220"/>
      <c r="AP70" s="220"/>
      <c r="AQ70" s="222"/>
      <c r="AR70" s="220"/>
      <c r="AS70" s="459"/>
      <c r="AT70" s="220"/>
      <c r="AU70" s="220"/>
      <c r="AV70" s="222"/>
      <c r="AW70" s="220"/>
      <c r="AX70" s="459"/>
    </row>
    <row r="71" spans="2:50" ht="15.75">
      <c r="B71" s="477" t="s">
        <v>43</v>
      </c>
      <c r="C71" s="465"/>
      <c r="D71" s="465"/>
      <c r="E71" s="465"/>
      <c r="F71" s="465"/>
      <c r="G71" s="465"/>
      <c r="H71" s="465"/>
      <c r="I71" s="225"/>
      <c r="J71" s="225"/>
      <c r="K71" s="225"/>
      <c r="L71" s="225"/>
      <c r="M71" s="226"/>
      <c r="N71" s="455" t="s">
        <v>44</v>
      </c>
      <c r="O71" s="455" t="s">
        <v>3</v>
      </c>
      <c r="P71" s="457">
        <v>46098</v>
      </c>
      <c r="Q71" s="458"/>
      <c r="R71" s="458"/>
      <c r="S71" s="458"/>
      <c r="T71" s="458"/>
      <c r="U71" s="457">
        <v>46099</v>
      </c>
      <c r="V71" s="458"/>
      <c r="W71" s="458"/>
      <c r="X71" s="458"/>
      <c r="Y71" s="458"/>
      <c r="Z71" s="457">
        <v>46100</v>
      </c>
      <c r="AA71" s="458"/>
      <c r="AB71" s="458"/>
      <c r="AC71" s="458"/>
      <c r="AD71" s="458"/>
      <c r="AE71" s="457">
        <v>46101</v>
      </c>
      <c r="AF71" s="458"/>
      <c r="AG71" s="458"/>
      <c r="AH71" s="458"/>
      <c r="AI71" s="458"/>
      <c r="AJ71" s="457">
        <v>46102</v>
      </c>
      <c r="AK71" s="458"/>
      <c r="AL71" s="458"/>
      <c r="AM71" s="458"/>
      <c r="AN71" s="458"/>
      <c r="AO71" s="457">
        <v>46103</v>
      </c>
      <c r="AP71" s="458"/>
      <c r="AQ71" s="458"/>
      <c r="AR71" s="458"/>
      <c r="AS71" s="458"/>
      <c r="AT71" s="457">
        <v>46104</v>
      </c>
      <c r="AU71" s="458"/>
      <c r="AV71" s="458"/>
      <c r="AW71" s="458"/>
      <c r="AX71" s="458"/>
    </row>
    <row r="72" spans="2:50" ht="15.75">
      <c r="B72" s="466"/>
      <c r="C72" s="466"/>
      <c r="D72" s="466"/>
      <c r="E72" s="466"/>
      <c r="F72" s="466"/>
      <c r="G72" s="466"/>
      <c r="H72" s="466"/>
      <c r="I72" s="216"/>
      <c r="J72" s="216"/>
      <c r="K72" s="216"/>
      <c r="L72" s="216"/>
      <c r="M72" s="217"/>
      <c r="N72" s="456"/>
      <c r="O72" s="456"/>
      <c r="P72" s="457" t="s">
        <v>15</v>
      </c>
      <c r="Q72" s="458"/>
      <c r="R72" s="458"/>
      <c r="S72" s="458"/>
      <c r="T72" s="458"/>
      <c r="U72" s="457" t="s">
        <v>13</v>
      </c>
      <c r="V72" s="458"/>
      <c r="W72" s="458"/>
      <c r="X72" s="458"/>
      <c r="Y72" s="458"/>
      <c r="Z72" s="457" t="s">
        <v>16</v>
      </c>
      <c r="AA72" s="458"/>
      <c r="AB72" s="458"/>
      <c r="AC72" s="458"/>
      <c r="AD72" s="458"/>
      <c r="AE72" s="457" t="s">
        <v>17</v>
      </c>
      <c r="AF72" s="458"/>
      <c r="AG72" s="458"/>
      <c r="AH72" s="458"/>
      <c r="AI72" s="458"/>
      <c r="AJ72" s="457" t="s">
        <v>18</v>
      </c>
      <c r="AK72" s="458"/>
      <c r="AL72" s="458"/>
      <c r="AM72" s="458"/>
      <c r="AN72" s="458"/>
      <c r="AO72" s="457" t="s">
        <v>10</v>
      </c>
      <c r="AP72" s="458"/>
      <c r="AQ72" s="458"/>
      <c r="AR72" s="458"/>
      <c r="AS72" s="458"/>
      <c r="AT72" s="457" t="s">
        <v>14</v>
      </c>
      <c r="AU72" s="458"/>
      <c r="AV72" s="458"/>
      <c r="AW72" s="458"/>
      <c r="AX72" s="458"/>
    </row>
    <row r="73" spans="2:50">
      <c r="B73" s="454" t="s">
        <v>45</v>
      </c>
      <c r="C73" s="473" t="s">
        <v>46</v>
      </c>
      <c r="D73" s="454"/>
      <c r="E73" s="454" t="s">
        <v>47</v>
      </c>
      <c r="F73" s="454"/>
      <c r="G73" s="454"/>
      <c r="H73" s="470" t="s">
        <v>48</v>
      </c>
      <c r="I73" s="454" t="s">
        <v>49</v>
      </c>
      <c r="J73" s="454"/>
      <c r="K73" s="454"/>
      <c r="L73" s="470" t="s">
        <v>48</v>
      </c>
      <c r="M73" s="476" t="s">
        <v>50</v>
      </c>
      <c r="N73" s="455"/>
      <c r="O73" s="455" t="s">
        <v>51</v>
      </c>
      <c r="P73" s="451" t="s">
        <v>52</v>
      </c>
      <c r="Q73" s="452"/>
      <c r="R73" s="452"/>
      <c r="S73" s="453"/>
      <c r="T73" s="454" t="s">
        <v>48</v>
      </c>
      <c r="U73" s="451" t="s">
        <v>52</v>
      </c>
      <c r="V73" s="452"/>
      <c r="W73" s="452"/>
      <c r="X73" s="453"/>
      <c r="Y73" s="454" t="s">
        <v>48</v>
      </c>
      <c r="Z73" s="451" t="s">
        <v>52</v>
      </c>
      <c r="AA73" s="452"/>
      <c r="AB73" s="452"/>
      <c r="AC73" s="453"/>
      <c r="AD73" s="454" t="s">
        <v>48</v>
      </c>
      <c r="AE73" s="451" t="s">
        <v>52</v>
      </c>
      <c r="AF73" s="452"/>
      <c r="AG73" s="452"/>
      <c r="AH73" s="453"/>
      <c r="AI73" s="454" t="s">
        <v>48</v>
      </c>
      <c r="AJ73" s="451" t="s">
        <v>52</v>
      </c>
      <c r="AK73" s="452"/>
      <c r="AL73" s="452"/>
      <c r="AM73" s="453"/>
      <c r="AN73" s="454" t="s">
        <v>48</v>
      </c>
      <c r="AO73" s="451" t="s">
        <v>52</v>
      </c>
      <c r="AP73" s="452"/>
      <c r="AQ73" s="452"/>
      <c r="AR73" s="453"/>
      <c r="AS73" s="454" t="s">
        <v>48</v>
      </c>
      <c r="AT73" s="451" t="s">
        <v>52</v>
      </c>
      <c r="AU73" s="452"/>
      <c r="AV73" s="452"/>
      <c r="AW73" s="453"/>
      <c r="AX73" s="454" t="s">
        <v>48</v>
      </c>
    </row>
    <row r="74" spans="2:50">
      <c r="B74" s="454"/>
      <c r="C74" s="454"/>
      <c r="D74" s="454"/>
      <c r="E74" s="454" t="s">
        <v>53</v>
      </c>
      <c r="F74" s="454"/>
      <c r="G74" s="454"/>
      <c r="H74" s="471"/>
      <c r="I74" s="454" t="s">
        <v>53</v>
      </c>
      <c r="J74" s="454"/>
      <c r="K74" s="454"/>
      <c r="L74" s="471"/>
      <c r="M74" s="463"/>
      <c r="N74" s="463"/>
      <c r="O74" s="463"/>
      <c r="P74" s="451" t="s">
        <v>54</v>
      </c>
      <c r="Q74" s="452"/>
      <c r="R74" s="452"/>
      <c r="S74" s="453"/>
      <c r="T74" s="454"/>
      <c r="U74" s="451" t="s">
        <v>54</v>
      </c>
      <c r="V74" s="452"/>
      <c r="W74" s="452"/>
      <c r="X74" s="453"/>
      <c r="Y74" s="454"/>
      <c r="Z74" s="451" t="s">
        <v>54</v>
      </c>
      <c r="AA74" s="452"/>
      <c r="AB74" s="452"/>
      <c r="AC74" s="453"/>
      <c r="AD74" s="454"/>
      <c r="AE74" s="451" t="s">
        <v>54</v>
      </c>
      <c r="AF74" s="452"/>
      <c r="AG74" s="452"/>
      <c r="AH74" s="453"/>
      <c r="AI74" s="454"/>
      <c r="AJ74" s="451" t="s">
        <v>54</v>
      </c>
      <c r="AK74" s="452"/>
      <c r="AL74" s="452"/>
      <c r="AM74" s="453"/>
      <c r="AN74" s="454"/>
      <c r="AO74" s="451" t="s">
        <v>54</v>
      </c>
      <c r="AP74" s="452"/>
      <c r="AQ74" s="452"/>
      <c r="AR74" s="453"/>
      <c r="AS74" s="454"/>
      <c r="AT74" s="451" t="s">
        <v>54</v>
      </c>
      <c r="AU74" s="452"/>
      <c r="AV74" s="452"/>
      <c r="AW74" s="453"/>
      <c r="AX74" s="454"/>
    </row>
    <row r="75" spans="2:50">
      <c r="B75" s="454"/>
      <c r="C75" s="454"/>
      <c r="D75" s="454"/>
      <c r="E75" s="219" t="s">
        <v>55</v>
      </c>
      <c r="F75" s="219" t="s">
        <v>56</v>
      </c>
      <c r="G75" s="219" t="s">
        <v>57</v>
      </c>
      <c r="H75" s="472"/>
      <c r="I75" s="219" t="s">
        <v>55</v>
      </c>
      <c r="J75" s="219" t="s">
        <v>56</v>
      </c>
      <c r="K75" s="219" t="s">
        <v>57</v>
      </c>
      <c r="L75" s="472"/>
      <c r="M75" s="456"/>
      <c r="N75" s="463"/>
      <c r="O75" s="463"/>
      <c r="P75" s="219" t="s">
        <v>55</v>
      </c>
      <c r="Q75" s="219" t="s">
        <v>56</v>
      </c>
      <c r="R75" s="219" t="s">
        <v>57</v>
      </c>
      <c r="S75" s="219" t="s">
        <v>50</v>
      </c>
      <c r="T75" s="454"/>
      <c r="U75" s="219" t="s">
        <v>55</v>
      </c>
      <c r="V75" s="219" t="s">
        <v>56</v>
      </c>
      <c r="W75" s="219" t="s">
        <v>57</v>
      </c>
      <c r="X75" s="219" t="s">
        <v>50</v>
      </c>
      <c r="Y75" s="454"/>
      <c r="Z75" s="219" t="s">
        <v>55</v>
      </c>
      <c r="AA75" s="219" t="s">
        <v>56</v>
      </c>
      <c r="AB75" s="219" t="s">
        <v>57</v>
      </c>
      <c r="AC75" s="219" t="s">
        <v>50</v>
      </c>
      <c r="AD75" s="454"/>
      <c r="AE75" s="219" t="s">
        <v>55</v>
      </c>
      <c r="AF75" s="219" t="s">
        <v>56</v>
      </c>
      <c r="AG75" s="219" t="s">
        <v>57</v>
      </c>
      <c r="AH75" s="219" t="s">
        <v>50</v>
      </c>
      <c r="AI75" s="454"/>
      <c r="AJ75" s="219" t="s">
        <v>55</v>
      </c>
      <c r="AK75" s="219" t="s">
        <v>56</v>
      </c>
      <c r="AL75" s="219" t="s">
        <v>57</v>
      </c>
      <c r="AM75" s="219" t="s">
        <v>50</v>
      </c>
      <c r="AN75" s="454"/>
      <c r="AO75" s="219" t="s">
        <v>55</v>
      </c>
      <c r="AP75" s="219" t="s">
        <v>56</v>
      </c>
      <c r="AQ75" s="219" t="s">
        <v>57</v>
      </c>
      <c r="AR75" s="219" t="s">
        <v>50</v>
      </c>
      <c r="AS75" s="454"/>
      <c r="AT75" s="219" t="s">
        <v>55</v>
      </c>
      <c r="AU75" s="219" t="s">
        <v>56</v>
      </c>
      <c r="AV75" s="219" t="s">
        <v>57</v>
      </c>
      <c r="AW75" s="219" t="s">
        <v>50</v>
      </c>
      <c r="AX75" s="454"/>
    </row>
    <row r="76" spans="2:50" ht="13.5">
      <c r="B76" s="478" t="s">
        <v>323</v>
      </c>
      <c r="C76" s="220">
        <v>1</v>
      </c>
      <c r="D76" s="224" t="s">
        <v>75</v>
      </c>
      <c r="E76" s="221">
        <f>VLOOKUP(D76,'12產線配置圖'!$A$2:$C$25,2,0)</f>
        <v>11</v>
      </c>
      <c r="F76" s="221">
        <f>VLOOKUP(D76,'12產線配置圖'!$A$2:$C$25,3,0)</f>
        <v>2118</v>
      </c>
      <c r="G76" s="222">
        <f>F76/E76</f>
        <v>192.54545454545453</v>
      </c>
      <c r="H76" s="460">
        <f>AVERAGE(G76:G90)</f>
        <v>119.77243721587614</v>
      </c>
      <c r="I76" s="221">
        <f>AVERAGE(P76,U76,Z76,AE76,AJ76,AO76,AT76)</f>
        <v>11.142857142857142</v>
      </c>
      <c r="J76" s="221">
        <f>AVERAGE(Q76,V76,AA76,AF76,AK76,AP76,AU76)</f>
        <v>1917.1428571428571</v>
      </c>
      <c r="K76" s="222">
        <f>AVERAGE(R76,W76,AB76,AG76,AL76,AQ76,AV76)</f>
        <v>172.1699134199134</v>
      </c>
      <c r="L76" s="460">
        <f>IFERROR(AVERAGE(K76:K93),"-")</f>
        <v>110.74219155194547</v>
      </c>
      <c r="M76" s="221">
        <f>RANK(K76, $K$76:$K$93)</f>
        <v>1</v>
      </c>
      <c r="N76" s="463"/>
      <c r="O76" s="463"/>
      <c r="P76" s="221">
        <v>11</v>
      </c>
      <c r="Q76" s="221">
        <v>1830</v>
      </c>
      <c r="R76" s="158">
        <f>Q76/P76</f>
        <v>166.36363636363637</v>
      </c>
      <c r="S76" s="110">
        <f>RANK(R76, $R$76:$R$93)</f>
        <v>2</v>
      </c>
      <c r="T76" s="460">
        <f>AVERAGE(R76:R93)</f>
        <v>107.08017262849197</v>
      </c>
      <c r="U76" s="383">
        <v>12</v>
      </c>
      <c r="V76" s="221">
        <v>1955</v>
      </c>
      <c r="W76" s="382">
        <f>V76/U76</f>
        <v>162.91666666666666</v>
      </c>
      <c r="X76" s="220">
        <f>RANK(W76, $W$76:$W$93)</f>
        <v>1</v>
      </c>
      <c r="Y76" s="460">
        <f>AVERAGE(W76:W93)</f>
        <v>107.70409221380859</v>
      </c>
      <c r="Z76" s="221">
        <v>11</v>
      </c>
      <c r="AA76" s="221">
        <v>1934</v>
      </c>
      <c r="AB76" s="222">
        <f>AA76/Z76</f>
        <v>175.81818181818181</v>
      </c>
      <c r="AC76" s="220">
        <f>RANK(AB76, $AB$76:$AB$93)</f>
        <v>1</v>
      </c>
      <c r="AD76" s="460">
        <f>AVERAGE(AB76:AB93)</f>
        <v>109.86778029393577</v>
      </c>
      <c r="AE76" s="221">
        <v>11</v>
      </c>
      <c r="AF76" s="221">
        <v>1783</v>
      </c>
      <c r="AG76" s="382">
        <f>AF76/AE76</f>
        <v>162.09090909090909</v>
      </c>
      <c r="AH76" s="220">
        <f>RANK(AG76, $AG$76:$AG$93)</f>
        <v>2</v>
      </c>
      <c r="AI76" s="460">
        <f>AVERAGE(AG76:AG93)</f>
        <v>112.50916207392048</v>
      </c>
      <c r="AJ76" s="221">
        <v>11</v>
      </c>
      <c r="AK76" s="221">
        <v>1967</v>
      </c>
      <c r="AL76" s="222">
        <f>AK76/AJ76</f>
        <v>178.81818181818181</v>
      </c>
      <c r="AM76" s="220">
        <f>RANK(AL76, $AL$76:$AL$93)</f>
        <v>1</v>
      </c>
      <c r="AN76" s="460">
        <f>AVERAGE(AL76:AL93)</f>
        <v>112.68494427491275</v>
      </c>
      <c r="AO76" s="221">
        <v>11</v>
      </c>
      <c r="AP76" s="221">
        <v>2039</v>
      </c>
      <c r="AQ76" s="222">
        <f>AP76/AO76</f>
        <v>185.36363636363637</v>
      </c>
      <c r="AR76" s="220">
        <f>RANK(AQ76, $AQ$76:$AQ$93)</f>
        <v>1</v>
      </c>
      <c r="AS76" s="460">
        <f>AVERAGE(AQ76:AQ93)</f>
        <v>114.04961040360199</v>
      </c>
      <c r="AT76" s="221">
        <v>11</v>
      </c>
      <c r="AU76" s="221">
        <v>1912</v>
      </c>
      <c r="AV76" s="222">
        <f>AU76/AT76</f>
        <v>173.81818181818181</v>
      </c>
      <c r="AW76" s="220">
        <f>RANK(AV76, $AV$76:$AV$93)</f>
        <v>1</v>
      </c>
      <c r="AX76" s="460">
        <f>AVERAGE(AV76:AV93)</f>
        <v>111.2995789749466</v>
      </c>
    </row>
    <row r="77" spans="2:50">
      <c r="B77" s="479"/>
      <c r="C77" s="220">
        <v>2</v>
      </c>
      <c r="D77" s="220" t="s">
        <v>77</v>
      </c>
      <c r="E77" s="221">
        <f>VLOOKUP(D77,'12產線配置圖'!$A$2:$C$25,2,0)</f>
        <v>13</v>
      </c>
      <c r="F77" s="221">
        <f>VLOOKUP(D77,'12產線配置圖'!$A$2:$C$25,3,0)</f>
        <v>2118</v>
      </c>
      <c r="G77" s="222">
        <f t="shared" ref="G77:G87" si="105">F77/E77</f>
        <v>162.92307692307693</v>
      </c>
      <c r="H77" s="461"/>
      <c r="I77" s="221">
        <f t="shared" ref="I77:K83" si="106">AVERAGE(P77,U77,Z77,AE77,AJ77,AO77,AT77)</f>
        <v>13</v>
      </c>
      <c r="J77" s="221">
        <f t="shared" si="106"/>
        <v>1897</v>
      </c>
      <c r="K77" s="222">
        <f t="shared" si="106"/>
        <v>145.92307692307693</v>
      </c>
      <c r="L77" s="461"/>
      <c r="M77" s="221">
        <f t="shared" ref="M77:M91" si="107">RANK(K77, $K$76:$K$93)</f>
        <v>3</v>
      </c>
      <c r="N77" s="463"/>
      <c r="O77" s="463"/>
      <c r="P77" s="221">
        <v>13</v>
      </c>
      <c r="Q77" s="221">
        <v>1836</v>
      </c>
      <c r="R77" s="158">
        <f t="shared" ref="R77:R83" si="108">Q77/P77</f>
        <v>141.23076923076923</v>
      </c>
      <c r="S77" s="110">
        <f t="shared" ref="S77:S83" si="109">RANK(R77, $R$76:$R$93)</f>
        <v>3</v>
      </c>
      <c r="T77" s="461"/>
      <c r="U77" s="221">
        <v>13</v>
      </c>
      <c r="V77" s="221">
        <v>1817</v>
      </c>
      <c r="W77" s="382">
        <f t="shared" ref="W77:W83" si="110">V77/U77</f>
        <v>139.76923076923077</v>
      </c>
      <c r="X77" s="220">
        <f t="shared" ref="X77:X83" si="111">RANK(W77, $W$76:$W$93)</f>
        <v>2</v>
      </c>
      <c r="Y77" s="461"/>
      <c r="Z77" s="221">
        <v>13</v>
      </c>
      <c r="AA77" s="221">
        <v>1796</v>
      </c>
      <c r="AB77" s="382">
        <f t="shared" ref="AB77:AB83" si="112">AA77/Z77</f>
        <v>138.15384615384616</v>
      </c>
      <c r="AC77" s="220">
        <f t="shared" ref="AC77:AC83" si="113">RANK(AB77, $AB$76:$AB$93)</f>
        <v>3</v>
      </c>
      <c r="AD77" s="461"/>
      <c r="AE77" s="221">
        <v>13</v>
      </c>
      <c r="AF77" s="221">
        <v>1900</v>
      </c>
      <c r="AG77" s="222">
        <f t="shared" ref="AG77:AG83" si="114">AF77/AE77</f>
        <v>146.15384615384616</v>
      </c>
      <c r="AH77" s="220">
        <f t="shared" ref="AH77:AH83" si="115">RANK(AG77, $AG$76:$AG$93)</f>
        <v>3</v>
      </c>
      <c r="AI77" s="461"/>
      <c r="AJ77" s="221">
        <v>13</v>
      </c>
      <c r="AK77" s="221">
        <v>2069</v>
      </c>
      <c r="AL77" s="222">
        <f t="shared" ref="AL77:AL83" si="116">AK77/AJ77</f>
        <v>159.15384615384616</v>
      </c>
      <c r="AM77" s="220">
        <f t="shared" ref="AM77:AM83" si="117">RANK(AL77, $AL$76:$AL$93)</f>
        <v>3</v>
      </c>
      <c r="AN77" s="461"/>
      <c r="AO77" s="221">
        <v>13</v>
      </c>
      <c r="AP77" s="221">
        <v>1942</v>
      </c>
      <c r="AQ77" s="222">
        <f t="shared" ref="AQ77:AQ83" si="118">AP77/AO77</f>
        <v>149.38461538461539</v>
      </c>
      <c r="AR77" s="220">
        <f t="shared" ref="AR77:AR83" si="119">RANK(AQ77, $AQ$76:$AQ$93)</f>
        <v>3</v>
      </c>
      <c r="AS77" s="461"/>
      <c r="AT77" s="221">
        <v>13</v>
      </c>
      <c r="AU77" s="221">
        <v>1919</v>
      </c>
      <c r="AV77" s="222">
        <f t="shared" ref="AV77:AV83" si="120">AU77/AT77</f>
        <v>147.61538461538461</v>
      </c>
      <c r="AW77" s="220">
        <f t="shared" ref="AW77:AW83" si="121">RANK(AV77, $AV$76:$AV$93)</f>
        <v>3</v>
      </c>
      <c r="AX77" s="461"/>
    </row>
    <row r="78" spans="2:50">
      <c r="B78" s="479"/>
      <c r="C78" s="220">
        <v>3</v>
      </c>
      <c r="D78" s="220" t="s">
        <v>76</v>
      </c>
      <c r="E78" s="221">
        <f>VLOOKUP(D78,'12產線配置圖'!$A$2:$C$25,2,0)</f>
        <v>12</v>
      </c>
      <c r="F78" s="221">
        <f>VLOOKUP(D78,'12產線配置圖'!$A$2:$C$25,3,0)</f>
        <v>2118</v>
      </c>
      <c r="G78" s="222">
        <f t="shared" si="105"/>
        <v>176.5</v>
      </c>
      <c r="H78" s="461"/>
      <c r="I78" s="221">
        <f t="shared" si="106"/>
        <v>12</v>
      </c>
      <c r="J78" s="221">
        <f t="shared" si="106"/>
        <v>2001.1428571428571</v>
      </c>
      <c r="K78" s="222">
        <f t="shared" si="106"/>
        <v>166.76190476190476</v>
      </c>
      <c r="L78" s="461"/>
      <c r="M78" s="221">
        <f t="shared" si="107"/>
        <v>2</v>
      </c>
      <c r="N78" s="463"/>
      <c r="O78" s="463"/>
      <c r="P78" s="221">
        <v>12</v>
      </c>
      <c r="Q78" s="221">
        <v>2107</v>
      </c>
      <c r="R78" s="158">
        <f t="shared" si="108"/>
        <v>175.58333333333334</v>
      </c>
      <c r="S78" s="110">
        <f t="shared" si="109"/>
        <v>1</v>
      </c>
      <c r="T78" s="461"/>
      <c r="U78" s="221">
        <v>12</v>
      </c>
      <c r="V78" s="221">
        <v>1525</v>
      </c>
      <c r="W78" s="382">
        <f t="shared" si="110"/>
        <v>127.08333333333333</v>
      </c>
      <c r="X78" s="220">
        <f t="shared" si="111"/>
        <v>4</v>
      </c>
      <c r="Y78" s="461"/>
      <c r="Z78" s="221">
        <v>12</v>
      </c>
      <c r="AA78" s="221">
        <v>2064</v>
      </c>
      <c r="AB78" s="222">
        <f t="shared" si="112"/>
        <v>172</v>
      </c>
      <c r="AC78" s="220">
        <f t="shared" si="113"/>
        <v>2</v>
      </c>
      <c r="AD78" s="461"/>
      <c r="AE78" s="221">
        <v>12</v>
      </c>
      <c r="AF78" s="221">
        <v>2021</v>
      </c>
      <c r="AG78" s="222">
        <f t="shared" si="114"/>
        <v>168.41666666666666</v>
      </c>
      <c r="AH78" s="220">
        <f t="shared" si="115"/>
        <v>1</v>
      </c>
      <c r="AI78" s="461"/>
      <c r="AJ78" s="221">
        <v>12</v>
      </c>
      <c r="AK78" s="221">
        <v>2108</v>
      </c>
      <c r="AL78" s="222">
        <f t="shared" si="116"/>
        <v>175.66666666666666</v>
      </c>
      <c r="AM78" s="220">
        <f t="shared" si="117"/>
        <v>2</v>
      </c>
      <c r="AN78" s="461"/>
      <c r="AO78" s="221">
        <v>12</v>
      </c>
      <c r="AP78" s="221">
        <v>2099</v>
      </c>
      <c r="AQ78" s="222">
        <f t="shared" si="118"/>
        <v>174.91666666666666</v>
      </c>
      <c r="AR78" s="220">
        <f t="shared" si="119"/>
        <v>2</v>
      </c>
      <c r="AS78" s="461"/>
      <c r="AT78" s="221">
        <v>12</v>
      </c>
      <c r="AU78" s="221">
        <v>2084</v>
      </c>
      <c r="AV78" s="222">
        <f t="shared" si="120"/>
        <v>173.66666666666666</v>
      </c>
      <c r="AW78" s="220">
        <f t="shared" si="121"/>
        <v>2</v>
      </c>
      <c r="AX78" s="461"/>
    </row>
    <row r="79" spans="2:50">
      <c r="B79" s="479"/>
      <c r="C79" s="220">
        <v>4</v>
      </c>
      <c r="D79" s="220" t="s">
        <v>127</v>
      </c>
      <c r="E79" s="221">
        <f>VLOOKUP(D79,'12產線配置圖'!$A$2:$C$25,2,0)</f>
        <v>16</v>
      </c>
      <c r="F79" s="221">
        <f>VLOOKUP(D79,'12產線配置圖'!$A$2:$C$25,3,0)</f>
        <v>1800</v>
      </c>
      <c r="G79" s="222">
        <f t="shared" si="105"/>
        <v>112.5</v>
      </c>
      <c r="H79" s="461"/>
      <c r="I79" s="221">
        <f t="shared" si="106"/>
        <v>15.857142857142858</v>
      </c>
      <c r="J79" s="221">
        <f t="shared" si="106"/>
        <v>1604.8571428571429</v>
      </c>
      <c r="K79" s="222">
        <f t="shared" si="106"/>
        <v>101.20297619047619</v>
      </c>
      <c r="L79" s="461"/>
      <c r="M79" s="221">
        <f t="shared" si="107"/>
        <v>9</v>
      </c>
      <c r="N79" s="463"/>
      <c r="O79" s="463"/>
      <c r="P79" s="398">
        <v>15</v>
      </c>
      <c r="Q79" s="221">
        <v>1511</v>
      </c>
      <c r="R79" s="158">
        <f t="shared" si="108"/>
        <v>100.73333333333333</v>
      </c>
      <c r="S79" s="110">
        <f t="shared" si="109"/>
        <v>6</v>
      </c>
      <c r="T79" s="461"/>
      <c r="U79" s="221">
        <v>16</v>
      </c>
      <c r="V79" s="221">
        <v>1595</v>
      </c>
      <c r="W79" s="382">
        <f t="shared" si="110"/>
        <v>99.6875</v>
      </c>
      <c r="X79" s="220">
        <f t="shared" si="111"/>
        <v>10</v>
      </c>
      <c r="Y79" s="461"/>
      <c r="Z79" s="221">
        <v>16</v>
      </c>
      <c r="AA79" s="221">
        <v>1495</v>
      </c>
      <c r="AB79" s="222">
        <f t="shared" si="112"/>
        <v>93.4375</v>
      </c>
      <c r="AC79" s="220">
        <f t="shared" si="113"/>
        <v>9</v>
      </c>
      <c r="AD79" s="461"/>
      <c r="AE79" s="221">
        <v>16</v>
      </c>
      <c r="AF79" s="221">
        <v>1628</v>
      </c>
      <c r="AG79" s="222">
        <f t="shared" si="114"/>
        <v>101.75</v>
      </c>
      <c r="AH79" s="220">
        <f t="shared" si="115"/>
        <v>10</v>
      </c>
      <c r="AI79" s="461"/>
      <c r="AJ79" s="221">
        <v>16</v>
      </c>
      <c r="AK79" s="221">
        <v>1619</v>
      </c>
      <c r="AL79" s="222">
        <f t="shared" si="116"/>
        <v>101.1875</v>
      </c>
      <c r="AM79" s="220">
        <f t="shared" si="117"/>
        <v>9</v>
      </c>
      <c r="AN79" s="461"/>
      <c r="AO79" s="221">
        <v>16</v>
      </c>
      <c r="AP79" s="221">
        <v>1658</v>
      </c>
      <c r="AQ79" s="222">
        <f t="shared" si="118"/>
        <v>103.625</v>
      </c>
      <c r="AR79" s="220">
        <f t="shared" si="119"/>
        <v>7</v>
      </c>
      <c r="AS79" s="461"/>
      <c r="AT79" s="221">
        <v>16</v>
      </c>
      <c r="AU79" s="221">
        <v>1728</v>
      </c>
      <c r="AV79" s="222">
        <f t="shared" si="120"/>
        <v>108</v>
      </c>
      <c r="AW79" s="220">
        <f t="shared" si="121"/>
        <v>5</v>
      </c>
      <c r="AX79" s="461"/>
    </row>
    <row r="80" spans="2:50" ht="13.5">
      <c r="B80" s="479"/>
      <c r="C80" s="220">
        <v>5</v>
      </c>
      <c r="D80" s="402" t="s">
        <v>372</v>
      </c>
      <c r="E80" s="221">
        <f>VLOOKUP(D80,'12產線配置圖'!$A$2:$C$25,2,0)</f>
        <v>15</v>
      </c>
      <c r="F80" s="221">
        <f>VLOOKUP(D80,'12產線配置圖'!$A$2:$C$25,3,0)</f>
        <v>1636</v>
      </c>
      <c r="G80" s="222">
        <f>F80/E80</f>
        <v>109.06666666666666</v>
      </c>
      <c r="H80" s="461"/>
      <c r="I80" s="221">
        <f t="shared" si="106"/>
        <v>15</v>
      </c>
      <c r="J80" s="221">
        <f>AVERAGE(Q80,V80,AA80,AF80,AK80,AP80,AU80)</f>
        <v>1458.8571428571429</v>
      </c>
      <c r="K80" s="222">
        <f t="shared" si="106"/>
        <v>97.257142857142853</v>
      </c>
      <c r="L80" s="461"/>
      <c r="M80" s="221">
        <f t="shared" si="107"/>
        <v>10</v>
      </c>
      <c r="N80" s="463"/>
      <c r="O80" s="463"/>
      <c r="P80" s="221">
        <v>15</v>
      </c>
      <c r="Q80" s="221">
        <v>1303</v>
      </c>
      <c r="R80" s="401">
        <f t="shared" si="108"/>
        <v>86.86666666666666</v>
      </c>
      <c r="S80" s="110">
        <f t="shared" si="109"/>
        <v>11</v>
      </c>
      <c r="T80" s="461"/>
      <c r="U80" s="221">
        <v>15</v>
      </c>
      <c r="V80" s="221">
        <v>1514</v>
      </c>
      <c r="W80" s="222">
        <f t="shared" si="110"/>
        <v>100.93333333333334</v>
      </c>
      <c r="X80" s="220">
        <f t="shared" si="111"/>
        <v>9</v>
      </c>
      <c r="Y80" s="461"/>
      <c r="Z80" s="221">
        <v>15</v>
      </c>
      <c r="AA80" s="221">
        <v>1479</v>
      </c>
      <c r="AB80" s="222">
        <f t="shared" si="112"/>
        <v>98.6</v>
      </c>
      <c r="AC80" s="220">
        <f t="shared" si="113"/>
        <v>8</v>
      </c>
      <c r="AD80" s="461"/>
      <c r="AE80" s="221">
        <v>15</v>
      </c>
      <c r="AF80" s="221">
        <v>1625</v>
      </c>
      <c r="AG80" s="222">
        <f t="shared" si="114"/>
        <v>108.33333333333333</v>
      </c>
      <c r="AH80" s="220">
        <f t="shared" si="115"/>
        <v>6</v>
      </c>
      <c r="AI80" s="461"/>
      <c r="AJ80" s="221">
        <v>15</v>
      </c>
      <c r="AK80" s="221">
        <v>1392</v>
      </c>
      <c r="AL80" s="222">
        <f t="shared" si="116"/>
        <v>92.8</v>
      </c>
      <c r="AM80" s="220">
        <f t="shared" si="117"/>
        <v>11</v>
      </c>
      <c r="AN80" s="461"/>
      <c r="AO80" s="221">
        <v>15</v>
      </c>
      <c r="AP80" s="221">
        <v>1503</v>
      </c>
      <c r="AQ80" s="222">
        <f t="shared" si="118"/>
        <v>100.2</v>
      </c>
      <c r="AR80" s="220">
        <f t="shared" si="119"/>
        <v>8</v>
      </c>
      <c r="AS80" s="461"/>
      <c r="AT80" s="221">
        <v>15</v>
      </c>
      <c r="AU80" s="221">
        <v>1396</v>
      </c>
      <c r="AV80" s="222">
        <f t="shared" si="120"/>
        <v>93.066666666666663</v>
      </c>
      <c r="AW80" s="220">
        <f t="shared" si="121"/>
        <v>10</v>
      </c>
      <c r="AX80" s="461"/>
    </row>
    <row r="81" spans="2:50" ht="13.5" customHeight="1">
      <c r="B81" s="479"/>
      <c r="C81" s="220">
        <v>6</v>
      </c>
      <c r="D81" s="220" t="s">
        <v>205</v>
      </c>
      <c r="E81" s="221">
        <f>VLOOKUP(D81,'12產線配置圖'!$A$2:$C$25,2,0)</f>
        <v>15</v>
      </c>
      <c r="F81" s="221">
        <f>VLOOKUP(D81,'12產線配置圖'!$A$2:$C$25,3,0)</f>
        <v>1714</v>
      </c>
      <c r="G81" s="222">
        <f t="shared" si="105"/>
        <v>114.26666666666667</v>
      </c>
      <c r="H81" s="461"/>
      <c r="I81" s="221">
        <f>AVERAGE(P81,U81,Z81,AE81,AJ81,AO81,AT81)</f>
        <v>14.857142857142858</v>
      </c>
      <c r="J81" s="221">
        <f>AVERAGE(Q81,V81,AA81,AF81,AK81,AP81,AU81)</f>
        <v>1515</v>
      </c>
      <c r="K81" s="222">
        <f>AVERAGE(R81,W81,AB81,AG81,AL81,AQ81,AV81)</f>
        <v>102.06462585034014</v>
      </c>
      <c r="L81" s="461"/>
      <c r="M81" s="221"/>
      <c r="N81" s="463"/>
      <c r="O81" s="463"/>
      <c r="P81" s="221">
        <v>15</v>
      </c>
      <c r="Q81" s="221">
        <v>1403</v>
      </c>
      <c r="R81" s="158">
        <f t="shared" si="108"/>
        <v>93.533333333333331</v>
      </c>
      <c r="S81" s="110">
        <f t="shared" si="109"/>
        <v>9</v>
      </c>
      <c r="T81" s="461"/>
      <c r="U81" s="221">
        <v>15</v>
      </c>
      <c r="V81" s="221">
        <v>1560</v>
      </c>
      <c r="W81" s="222">
        <f>V81/U81</f>
        <v>104</v>
      </c>
      <c r="X81" s="220">
        <f>RANK(W81, $W$76:$W$93)</f>
        <v>6</v>
      </c>
      <c r="Y81" s="461"/>
      <c r="Z81" s="398">
        <v>14</v>
      </c>
      <c r="AA81" s="221">
        <v>1565</v>
      </c>
      <c r="AB81" s="222">
        <f>AA81/Z81</f>
        <v>111.78571428571429</v>
      </c>
      <c r="AC81" s="220">
        <f>RANK(AB81, $AB$76:$AB$93)</f>
        <v>5</v>
      </c>
      <c r="AD81" s="461"/>
      <c r="AE81" s="221">
        <v>15</v>
      </c>
      <c r="AF81" s="221">
        <v>1534</v>
      </c>
      <c r="AG81" s="222">
        <f t="shared" ref="AG81:AG82" si="122">AF81/AE81</f>
        <v>102.26666666666667</v>
      </c>
      <c r="AH81" s="220">
        <f t="shared" ref="AH81:AH82" si="123">RANK(AG81, $AG$76:$AG$93)</f>
        <v>9</v>
      </c>
      <c r="AI81" s="461"/>
      <c r="AJ81" s="221">
        <v>15</v>
      </c>
      <c r="AK81" s="221">
        <v>1533</v>
      </c>
      <c r="AL81" s="222">
        <f t="shared" ref="AL81:AL82" si="124">AK81/AJ81</f>
        <v>102.2</v>
      </c>
      <c r="AM81" s="220">
        <f t="shared" ref="AM81:AM82" si="125">RANK(AL81, $AL$76:$AL$93)</f>
        <v>8</v>
      </c>
      <c r="AN81" s="461"/>
      <c r="AO81" s="221">
        <v>15</v>
      </c>
      <c r="AP81" s="221">
        <v>1484</v>
      </c>
      <c r="AQ81" s="386">
        <f t="shared" si="118"/>
        <v>98.933333333333337</v>
      </c>
      <c r="AR81" s="220">
        <f t="shared" si="119"/>
        <v>9</v>
      </c>
      <c r="AS81" s="461"/>
      <c r="AT81" s="221">
        <v>15</v>
      </c>
      <c r="AU81" s="221">
        <v>1526</v>
      </c>
      <c r="AV81" s="222">
        <f t="shared" ref="AV81:AV82" si="126">AU81/AT81</f>
        <v>101.73333333333333</v>
      </c>
      <c r="AW81" s="220">
        <f t="shared" ref="AW81:AW82" si="127">RANK(AV81, $AV$76:$AV$93)</f>
        <v>8</v>
      </c>
      <c r="AX81" s="461"/>
    </row>
    <row r="82" spans="2:50">
      <c r="B82" s="479"/>
      <c r="C82" s="220">
        <v>7</v>
      </c>
      <c r="D82" s="220" t="s">
        <v>366</v>
      </c>
      <c r="E82" s="221">
        <f>VLOOKUP(D82,'12產線配置圖'!$A$2:$C$25,2,0)</f>
        <v>17</v>
      </c>
      <c r="F82" s="221">
        <f>VLOOKUP(D82,'12產線配置圖'!$A$2:$C$25,3,0)</f>
        <v>1714</v>
      </c>
      <c r="G82" s="222">
        <f>F82/E82</f>
        <v>100.82352941176471</v>
      </c>
      <c r="H82" s="461"/>
      <c r="I82" s="221">
        <f>AVERAGE(P82,U82,Z82,AE82,AJ82,AO82,AT82)</f>
        <v>16.714285714285715</v>
      </c>
      <c r="J82" s="221">
        <f>AVERAGE(Q82,V82,AA82,AF82,AK82,AP82,AU82)</f>
        <v>1547.4285714285713</v>
      </c>
      <c r="K82" s="222">
        <f>AVERAGE(R82,W82,AB82,AG82,AL82,AQ82,AV82)</f>
        <v>92.504726890756302</v>
      </c>
      <c r="L82" s="461"/>
      <c r="M82" s="221">
        <f t="shared" si="107"/>
        <v>11</v>
      </c>
      <c r="N82" s="463"/>
      <c r="O82" s="463"/>
      <c r="P82" s="398">
        <v>17</v>
      </c>
      <c r="Q82" s="221">
        <v>1606</v>
      </c>
      <c r="R82" s="158">
        <f>Q82/P82</f>
        <v>94.470588235294116</v>
      </c>
      <c r="S82" s="110">
        <f>RANK(R82, $R$76:$R$93)</f>
        <v>8</v>
      </c>
      <c r="T82" s="461"/>
      <c r="U82" s="398">
        <v>17</v>
      </c>
      <c r="V82" s="221">
        <v>1608</v>
      </c>
      <c r="W82" s="386">
        <f t="shared" si="110"/>
        <v>94.588235294117652</v>
      </c>
      <c r="X82" s="220">
        <f t="shared" si="111"/>
        <v>11</v>
      </c>
      <c r="Y82" s="461"/>
      <c r="Z82" s="398">
        <v>16</v>
      </c>
      <c r="AA82" s="221">
        <v>1358</v>
      </c>
      <c r="AB82" s="382">
        <f t="shared" si="112"/>
        <v>84.875</v>
      </c>
      <c r="AC82" s="220">
        <f t="shared" si="113"/>
        <v>11</v>
      </c>
      <c r="AD82" s="461"/>
      <c r="AE82" s="398">
        <v>17</v>
      </c>
      <c r="AF82" s="221">
        <v>1673</v>
      </c>
      <c r="AG82" s="222">
        <f t="shared" si="122"/>
        <v>98.411764705882348</v>
      </c>
      <c r="AH82" s="220">
        <f t="shared" si="123"/>
        <v>11</v>
      </c>
      <c r="AI82" s="461"/>
      <c r="AJ82" s="398">
        <v>17</v>
      </c>
      <c r="AK82" s="221">
        <v>1585</v>
      </c>
      <c r="AL82" s="222">
        <f t="shared" si="124"/>
        <v>93.235294117647058</v>
      </c>
      <c r="AM82" s="220">
        <f t="shared" si="125"/>
        <v>10</v>
      </c>
      <c r="AN82" s="461"/>
      <c r="AO82" s="398">
        <v>16</v>
      </c>
      <c r="AP82" s="221">
        <v>1459</v>
      </c>
      <c r="AQ82" s="222">
        <f t="shared" si="118"/>
        <v>91.1875</v>
      </c>
      <c r="AR82" s="220">
        <f t="shared" si="119"/>
        <v>11</v>
      </c>
      <c r="AS82" s="461"/>
      <c r="AT82" s="398">
        <v>17</v>
      </c>
      <c r="AU82" s="221">
        <v>1543</v>
      </c>
      <c r="AV82" s="222">
        <f t="shared" si="126"/>
        <v>90.764705882352942</v>
      </c>
      <c r="AW82" s="220">
        <f t="shared" si="127"/>
        <v>11</v>
      </c>
      <c r="AX82" s="461"/>
    </row>
    <row r="83" spans="2:50">
      <c r="B83" s="479"/>
      <c r="C83" s="220">
        <v>8</v>
      </c>
      <c r="D83" s="220" t="s">
        <v>82</v>
      </c>
      <c r="E83" s="221">
        <f>VLOOKUP(D83,'12產線配置圖'!$A$2:$C$25,2,0)</f>
        <v>16</v>
      </c>
      <c r="F83" s="221">
        <f>VLOOKUP(D83,'12產線配置圖'!$A$2:$C$25,3,0)</f>
        <v>1406</v>
      </c>
      <c r="G83" s="222">
        <f t="shared" si="105"/>
        <v>87.875</v>
      </c>
      <c r="H83" s="461"/>
      <c r="I83" s="221">
        <f t="shared" si="106"/>
        <v>13.142857142857142</v>
      </c>
      <c r="J83" s="221">
        <f t="shared" si="106"/>
        <v>894.42857142857144</v>
      </c>
      <c r="K83" s="222">
        <f t="shared" si="106"/>
        <v>68.295264259549967</v>
      </c>
      <c r="L83" s="461"/>
      <c r="M83" s="221">
        <f t="shared" si="107"/>
        <v>14</v>
      </c>
      <c r="N83" s="463"/>
      <c r="O83" s="463"/>
      <c r="P83" s="398">
        <v>12</v>
      </c>
      <c r="Q83" s="221">
        <v>915</v>
      </c>
      <c r="R83" s="401">
        <f t="shared" si="108"/>
        <v>76.25</v>
      </c>
      <c r="S83" s="110">
        <f t="shared" si="109"/>
        <v>14</v>
      </c>
      <c r="T83" s="461"/>
      <c r="U83" s="398">
        <v>13</v>
      </c>
      <c r="V83" s="221">
        <v>903</v>
      </c>
      <c r="W83" s="382">
        <f t="shared" si="110"/>
        <v>69.461538461538467</v>
      </c>
      <c r="X83" s="220">
        <f t="shared" si="111"/>
        <v>14</v>
      </c>
      <c r="Y83" s="461"/>
      <c r="Z83" s="398">
        <v>13</v>
      </c>
      <c r="AA83" s="221">
        <v>966</v>
      </c>
      <c r="AB83" s="382">
        <f t="shared" si="112"/>
        <v>74.307692307692307</v>
      </c>
      <c r="AC83" s="220">
        <f t="shared" si="113"/>
        <v>14</v>
      </c>
      <c r="AD83" s="461"/>
      <c r="AE83" s="398">
        <v>14</v>
      </c>
      <c r="AF83" s="221">
        <v>1023</v>
      </c>
      <c r="AG83" s="382">
        <f t="shared" si="114"/>
        <v>73.071428571428569</v>
      </c>
      <c r="AH83" s="220">
        <f t="shared" si="115"/>
        <v>14</v>
      </c>
      <c r="AI83" s="461"/>
      <c r="AJ83" s="398">
        <v>14</v>
      </c>
      <c r="AK83" s="221">
        <v>771</v>
      </c>
      <c r="AL83" s="382">
        <f t="shared" si="116"/>
        <v>55.071428571428569</v>
      </c>
      <c r="AM83" s="220">
        <f t="shared" si="117"/>
        <v>14</v>
      </c>
      <c r="AN83" s="461"/>
      <c r="AO83" s="398">
        <v>14</v>
      </c>
      <c r="AP83" s="221">
        <v>869</v>
      </c>
      <c r="AQ83" s="382">
        <f t="shared" si="118"/>
        <v>62.071428571428569</v>
      </c>
      <c r="AR83" s="220">
        <f t="shared" si="119"/>
        <v>14</v>
      </c>
      <c r="AS83" s="461"/>
      <c r="AT83" s="398">
        <v>12</v>
      </c>
      <c r="AU83" s="221">
        <v>814</v>
      </c>
      <c r="AV83" s="382">
        <f t="shared" si="120"/>
        <v>67.833333333333329</v>
      </c>
      <c r="AW83" s="220">
        <f t="shared" si="121"/>
        <v>14</v>
      </c>
      <c r="AX83" s="461"/>
    </row>
    <row r="84" spans="2:50">
      <c r="B84" s="479"/>
      <c r="C84" s="220">
        <v>9</v>
      </c>
      <c r="D84" s="220" t="s">
        <v>370</v>
      </c>
      <c r="E84" s="221"/>
      <c r="F84" s="221"/>
      <c r="G84" s="222"/>
      <c r="H84" s="461"/>
      <c r="I84" s="221"/>
      <c r="J84" s="221"/>
      <c r="K84" s="222"/>
      <c r="L84" s="461"/>
      <c r="M84" s="221"/>
      <c r="N84" s="463"/>
      <c r="O84" s="463"/>
      <c r="P84" s="221"/>
      <c r="Q84" s="221"/>
      <c r="R84" s="158"/>
      <c r="S84" s="110"/>
      <c r="T84" s="461"/>
      <c r="U84" s="221"/>
      <c r="V84" s="221"/>
      <c r="W84" s="382"/>
      <c r="X84" s="220"/>
      <c r="Y84" s="461"/>
      <c r="Z84" s="221"/>
      <c r="AA84" s="221"/>
      <c r="AB84" s="222"/>
      <c r="AC84" s="220"/>
      <c r="AD84" s="461"/>
      <c r="AE84" s="221"/>
      <c r="AF84" s="221"/>
      <c r="AG84" s="222"/>
      <c r="AH84" s="220"/>
      <c r="AI84" s="461"/>
      <c r="AJ84" s="221"/>
      <c r="AK84" s="221"/>
      <c r="AL84" s="222"/>
      <c r="AM84" s="220"/>
      <c r="AN84" s="461"/>
      <c r="AO84" s="221"/>
      <c r="AP84" s="221"/>
      <c r="AQ84" s="382"/>
      <c r="AR84" s="220"/>
      <c r="AS84" s="461"/>
      <c r="AT84" s="221"/>
      <c r="AU84" s="221"/>
      <c r="AV84" s="222"/>
      <c r="AW84" s="220"/>
      <c r="AX84" s="461"/>
    </row>
    <row r="85" spans="2:50">
      <c r="B85" s="479"/>
      <c r="C85" s="220">
        <v>10</v>
      </c>
      <c r="D85" s="220" t="s">
        <v>371</v>
      </c>
      <c r="E85" s="221"/>
      <c r="F85" s="221"/>
      <c r="G85" s="222"/>
      <c r="H85" s="461"/>
      <c r="I85" s="221"/>
      <c r="J85" s="221"/>
      <c r="K85" s="222"/>
      <c r="L85" s="461"/>
      <c r="M85" s="221"/>
      <c r="N85" s="463"/>
      <c r="O85" s="463"/>
      <c r="P85" s="221"/>
      <c r="Q85" s="221"/>
      <c r="R85" s="158"/>
      <c r="S85" s="110"/>
      <c r="T85" s="461"/>
      <c r="U85" s="221"/>
      <c r="V85" s="221"/>
      <c r="W85" s="382"/>
      <c r="X85" s="220"/>
      <c r="Y85" s="461"/>
      <c r="Z85" s="221"/>
      <c r="AA85" s="221"/>
      <c r="AB85" s="222"/>
      <c r="AC85" s="220"/>
      <c r="AD85" s="461"/>
      <c r="AE85" s="221"/>
      <c r="AF85" s="221"/>
      <c r="AG85" s="222"/>
      <c r="AH85" s="220"/>
      <c r="AI85" s="461"/>
      <c r="AJ85" s="221"/>
      <c r="AK85" s="221"/>
      <c r="AL85" s="382"/>
      <c r="AM85" s="220"/>
      <c r="AN85" s="461"/>
      <c r="AO85" s="221"/>
      <c r="AP85" s="221"/>
      <c r="AQ85" s="382"/>
      <c r="AR85" s="220"/>
      <c r="AS85" s="461"/>
      <c r="AT85" s="221"/>
      <c r="AU85" s="221"/>
      <c r="AV85" s="382"/>
      <c r="AW85" s="220"/>
      <c r="AX85" s="461"/>
    </row>
    <row r="86" spans="2:50">
      <c r="B86" s="479"/>
      <c r="C86" s="220">
        <v>11</v>
      </c>
      <c r="D86" s="220" t="s">
        <v>84</v>
      </c>
      <c r="E86" s="221">
        <f>VLOOKUP(D86,'12產線配置圖'!$A$2:$C$25,2,0)</f>
        <v>17</v>
      </c>
      <c r="F86" s="221">
        <f>VLOOKUP(D86,'12產線配置圖'!$A$2:$C$25,3,0)</f>
        <v>1440</v>
      </c>
      <c r="G86" s="222">
        <f t="shared" si="105"/>
        <v>84.705882352941174</v>
      </c>
      <c r="H86" s="461"/>
      <c r="I86" s="221">
        <f t="shared" ref="I86:I88" si="128">AVERAGE(P86,U86,Z86,AE86,AJ86,AO86,AT86)</f>
        <v>15.857142857142858</v>
      </c>
      <c r="J86" s="221">
        <f t="shared" ref="J86:J88" si="129">AVERAGE(Q86,V86,AA86,AF86,AK86,AP86,AU86)</f>
        <v>1264.1428571428571</v>
      </c>
      <c r="K86" s="222">
        <f t="shared" ref="K86:K88" si="130">AVERAGE(R86,W86,AB86,AG86,AL86,AQ86,AV86)</f>
        <v>79.753886554621857</v>
      </c>
      <c r="L86" s="461"/>
      <c r="M86" s="221">
        <f t="shared" si="107"/>
        <v>13</v>
      </c>
      <c r="N86" s="463"/>
      <c r="O86" s="463"/>
      <c r="P86" s="220">
        <v>17</v>
      </c>
      <c r="Q86" s="220">
        <v>1305</v>
      </c>
      <c r="R86" s="401">
        <f t="shared" ref="R86:R88" si="131">Q86/P86</f>
        <v>76.764705882352942</v>
      </c>
      <c r="S86" s="110">
        <f t="shared" ref="S86:S88" si="132">RANK(R86, $R$76:$R$93)</f>
        <v>13</v>
      </c>
      <c r="T86" s="461"/>
      <c r="U86" s="397">
        <v>16</v>
      </c>
      <c r="V86" s="220">
        <v>1248</v>
      </c>
      <c r="W86" s="382">
        <f t="shared" ref="W86:W88" si="133">V86/U86</f>
        <v>78</v>
      </c>
      <c r="X86" s="220">
        <f t="shared" ref="X86:X88" si="134">RANK(W86, $W$76:$W$93)</f>
        <v>13</v>
      </c>
      <c r="Y86" s="461"/>
      <c r="Z86" s="397">
        <v>15</v>
      </c>
      <c r="AA86" s="220">
        <v>1159</v>
      </c>
      <c r="AB86" s="382">
        <f t="shared" ref="AB86:AB88" si="135">AA86/Z86</f>
        <v>77.266666666666666</v>
      </c>
      <c r="AC86" s="220">
        <f t="shared" ref="AC86:AC88" si="136">RANK(AB86, $AB$76:$AB$93)</f>
        <v>13</v>
      </c>
      <c r="AD86" s="461"/>
      <c r="AE86" s="384">
        <v>16</v>
      </c>
      <c r="AF86" s="220">
        <v>1316</v>
      </c>
      <c r="AG86" s="382">
        <f t="shared" ref="AG86:AG88" si="137">AF86/AE86</f>
        <v>82.25</v>
      </c>
      <c r="AH86" s="220">
        <f t="shared" ref="AH86:AH88" si="138">RANK(AG86, $AG$76:$AG$93)</f>
        <v>12</v>
      </c>
      <c r="AI86" s="461"/>
      <c r="AJ86" s="397">
        <v>15</v>
      </c>
      <c r="AK86" s="220">
        <v>1244</v>
      </c>
      <c r="AL86" s="382">
        <f t="shared" ref="AL86:AL88" si="139">AK86/AJ86</f>
        <v>82.933333333333337</v>
      </c>
      <c r="AM86" s="220">
        <f t="shared" ref="AM86:AM88" si="140">RANK(AL86, $AL$76:$AL$93)</f>
        <v>13</v>
      </c>
      <c r="AN86" s="461"/>
      <c r="AO86" s="397">
        <v>16</v>
      </c>
      <c r="AP86" s="220">
        <v>1307</v>
      </c>
      <c r="AQ86" s="382">
        <f t="shared" ref="AQ86:AQ88" si="141">AP86/AO86</f>
        <v>81.6875</v>
      </c>
      <c r="AR86" s="220">
        <f t="shared" ref="AR86:AR88" si="142">RANK(AQ86, $AQ$76:$AQ$93)</f>
        <v>13</v>
      </c>
      <c r="AS86" s="461"/>
      <c r="AT86" s="397">
        <v>16</v>
      </c>
      <c r="AU86" s="220">
        <v>1270</v>
      </c>
      <c r="AV86" s="382">
        <f t="shared" ref="AV86:AV88" si="143">AU86/AT86</f>
        <v>79.375</v>
      </c>
      <c r="AW86" s="220">
        <f t="shared" ref="AW86:AW88" si="144">RANK(AV86, $AV$76:$AV$93)</f>
        <v>13</v>
      </c>
      <c r="AX86" s="461"/>
    </row>
    <row r="87" spans="2:50">
      <c r="B87" s="479"/>
      <c r="C87" s="220">
        <v>12</v>
      </c>
      <c r="D87" s="220" t="s">
        <v>86</v>
      </c>
      <c r="E87" s="221">
        <f>VLOOKUP(D87,'12產線配置圖'!$A$2:$C$25,2,0)</f>
        <v>17</v>
      </c>
      <c r="F87" s="221">
        <f>VLOOKUP(D87,'12產線配置圖'!$A$2:$C$25,3,0)</f>
        <v>1565</v>
      </c>
      <c r="G87" s="222">
        <f t="shared" si="105"/>
        <v>92.058823529411768</v>
      </c>
      <c r="H87" s="461"/>
      <c r="I87" s="221">
        <f t="shared" si="128"/>
        <v>16.857142857142858</v>
      </c>
      <c r="J87" s="221">
        <f t="shared" si="129"/>
        <v>1407.7142857142858</v>
      </c>
      <c r="K87" s="222">
        <f t="shared" si="130"/>
        <v>83.461134453781511</v>
      </c>
      <c r="L87" s="461"/>
      <c r="M87" s="221">
        <f t="shared" si="107"/>
        <v>12</v>
      </c>
      <c r="N87" s="463"/>
      <c r="O87" s="463"/>
      <c r="P87" s="220">
        <v>17</v>
      </c>
      <c r="Q87" s="220">
        <v>1350</v>
      </c>
      <c r="R87" s="401">
        <f t="shared" si="131"/>
        <v>79.411764705882348</v>
      </c>
      <c r="S87" s="110">
        <f t="shared" si="132"/>
        <v>12</v>
      </c>
      <c r="T87" s="461"/>
      <c r="U87" s="220">
        <v>17</v>
      </c>
      <c r="V87" s="220">
        <v>1407</v>
      </c>
      <c r="W87" s="382">
        <f t="shared" si="133"/>
        <v>82.764705882352942</v>
      </c>
      <c r="X87" s="220">
        <f t="shared" si="134"/>
        <v>12</v>
      </c>
      <c r="Y87" s="461"/>
      <c r="Z87" s="220">
        <v>17</v>
      </c>
      <c r="AA87" s="220">
        <v>1362</v>
      </c>
      <c r="AB87" s="382">
        <f t="shared" si="135"/>
        <v>80.117647058823536</v>
      </c>
      <c r="AC87" s="220">
        <f t="shared" si="136"/>
        <v>12</v>
      </c>
      <c r="AD87" s="461"/>
      <c r="AE87" s="397">
        <v>16</v>
      </c>
      <c r="AF87" s="220">
        <v>1246</v>
      </c>
      <c r="AG87" s="382">
        <f t="shared" si="137"/>
        <v>77.875</v>
      </c>
      <c r="AH87" s="220">
        <f t="shared" si="138"/>
        <v>13</v>
      </c>
      <c r="AI87" s="461"/>
      <c r="AJ87" s="220">
        <v>17</v>
      </c>
      <c r="AK87" s="220">
        <v>1470</v>
      </c>
      <c r="AL87" s="222">
        <f t="shared" si="139"/>
        <v>86.470588235294116</v>
      </c>
      <c r="AM87" s="220">
        <f t="shared" si="140"/>
        <v>12</v>
      </c>
      <c r="AN87" s="461"/>
      <c r="AO87" s="220">
        <v>17</v>
      </c>
      <c r="AP87" s="220">
        <v>1523</v>
      </c>
      <c r="AQ87" s="222">
        <f t="shared" si="141"/>
        <v>89.588235294117652</v>
      </c>
      <c r="AR87" s="220">
        <f t="shared" si="142"/>
        <v>12</v>
      </c>
      <c r="AS87" s="461"/>
      <c r="AT87" s="220">
        <v>17</v>
      </c>
      <c r="AU87" s="220">
        <v>1496</v>
      </c>
      <c r="AV87" s="222">
        <f t="shared" si="143"/>
        <v>88</v>
      </c>
      <c r="AW87" s="220">
        <f t="shared" si="144"/>
        <v>12</v>
      </c>
      <c r="AX87" s="461"/>
    </row>
    <row r="88" spans="2:50">
      <c r="B88" s="479"/>
      <c r="C88" s="220">
        <v>13</v>
      </c>
      <c r="D88" s="220" t="s">
        <v>368</v>
      </c>
      <c r="E88" s="221">
        <f>VLOOKUP(D88,'12產線配置圖'!$A$2:$C$25,2,0)</f>
        <v>13</v>
      </c>
      <c r="F88" s="221">
        <f>VLOOKUP(D88,'12產線配置圖'!$A$2:$C$25,3,0)</f>
        <v>1440</v>
      </c>
      <c r="G88" s="222">
        <f>F88/E88</f>
        <v>110.76923076923077</v>
      </c>
      <c r="H88" s="461"/>
      <c r="I88" s="221">
        <f t="shared" si="128"/>
        <v>12.857142857142858</v>
      </c>
      <c r="J88" s="221">
        <f t="shared" si="129"/>
        <v>1328.1428571428571</v>
      </c>
      <c r="K88" s="222">
        <f t="shared" si="130"/>
        <v>103.19492412349554</v>
      </c>
      <c r="L88" s="461"/>
      <c r="M88" s="221">
        <f t="shared" si="107"/>
        <v>7</v>
      </c>
      <c r="N88" s="463"/>
      <c r="O88" s="463"/>
      <c r="P88" s="384">
        <v>12</v>
      </c>
      <c r="Q88" s="220">
        <v>1179</v>
      </c>
      <c r="R88" s="158">
        <f t="shared" si="131"/>
        <v>98.25</v>
      </c>
      <c r="S88" s="110">
        <f t="shared" si="132"/>
        <v>7</v>
      </c>
      <c r="T88" s="461"/>
      <c r="U88" s="384">
        <v>13</v>
      </c>
      <c r="V88" s="220">
        <v>1333</v>
      </c>
      <c r="W88" s="386">
        <f t="shared" si="133"/>
        <v>102.53846153846153</v>
      </c>
      <c r="X88" s="220">
        <f t="shared" si="134"/>
        <v>7</v>
      </c>
      <c r="Y88" s="461"/>
      <c r="Z88" s="384">
        <v>13</v>
      </c>
      <c r="AA88" s="220">
        <v>1385</v>
      </c>
      <c r="AB88" s="222">
        <f t="shared" si="135"/>
        <v>106.53846153846153</v>
      </c>
      <c r="AC88" s="220">
        <f t="shared" si="136"/>
        <v>6</v>
      </c>
      <c r="AD88" s="461"/>
      <c r="AE88" s="384">
        <v>13</v>
      </c>
      <c r="AF88" s="220">
        <v>1376</v>
      </c>
      <c r="AG88" s="222">
        <f t="shared" si="137"/>
        <v>105.84615384615384</v>
      </c>
      <c r="AH88" s="220">
        <f t="shared" si="138"/>
        <v>7</v>
      </c>
      <c r="AI88" s="461"/>
      <c r="AJ88" s="384">
        <v>14</v>
      </c>
      <c r="AK88" s="220">
        <v>1511</v>
      </c>
      <c r="AL88" s="222">
        <f t="shared" si="139"/>
        <v>107.92857142857143</v>
      </c>
      <c r="AM88" s="220">
        <f t="shared" si="140"/>
        <v>5</v>
      </c>
      <c r="AN88" s="461"/>
      <c r="AO88" s="220">
        <v>13</v>
      </c>
      <c r="AP88" s="220">
        <v>1272</v>
      </c>
      <c r="AQ88" s="222">
        <f t="shared" si="141"/>
        <v>97.84615384615384</v>
      </c>
      <c r="AR88" s="220">
        <f t="shared" si="142"/>
        <v>10</v>
      </c>
      <c r="AS88" s="461"/>
      <c r="AT88" s="397">
        <v>12</v>
      </c>
      <c r="AU88" s="220">
        <v>1241</v>
      </c>
      <c r="AV88" s="222">
        <f t="shared" si="143"/>
        <v>103.41666666666667</v>
      </c>
      <c r="AW88" s="220">
        <f t="shared" si="144"/>
        <v>7</v>
      </c>
      <c r="AX88" s="461"/>
    </row>
    <row r="89" spans="2:50">
      <c r="B89" s="479"/>
      <c r="C89" s="220">
        <v>14</v>
      </c>
      <c r="D89" s="220" t="s">
        <v>187</v>
      </c>
      <c r="E89" s="221">
        <v>17</v>
      </c>
      <c r="F89" s="221">
        <f>VLOOKUP(D89,'12產線配置圖'!$A$2:$C$25,3,0)</f>
        <v>1800</v>
      </c>
      <c r="G89" s="222">
        <f>F89/E89</f>
        <v>105.88235294117646</v>
      </c>
      <c r="H89" s="461"/>
      <c r="I89" s="221">
        <f t="shared" ref="I89:I91" si="145">AVERAGE(P89,U89,Z89,AE89,AJ89,AO89,AT89)</f>
        <v>15</v>
      </c>
      <c r="J89" s="221">
        <f t="shared" ref="J89:J91" si="146">AVERAGE(Q89,V89,AA89,AF89,AK89,AP89,AU89)</f>
        <v>1559.2857142857142</v>
      </c>
      <c r="K89" s="222">
        <f t="shared" ref="K89:K91" si="147">AVERAGE(R89,W89,AB89,AG89,AL89,AQ89,AV89)</f>
        <v>103.95238095238096</v>
      </c>
      <c r="L89" s="461"/>
      <c r="M89" s="221">
        <f>RANK(K89, $K$76:$K$93)</f>
        <v>6</v>
      </c>
      <c r="N89" s="463"/>
      <c r="O89" s="463"/>
      <c r="P89" s="220">
        <v>15</v>
      </c>
      <c r="Q89" s="220">
        <v>1398</v>
      </c>
      <c r="R89" s="158">
        <f t="shared" ref="R89:R90" si="148">Q89/P89</f>
        <v>93.2</v>
      </c>
      <c r="S89" s="110">
        <f t="shared" ref="S89:S90" si="149">RANK(R89, $R$76:$R$93)</f>
        <v>10</v>
      </c>
      <c r="T89" s="461"/>
      <c r="U89" s="397">
        <v>15</v>
      </c>
      <c r="V89" s="220">
        <v>1524</v>
      </c>
      <c r="W89" s="386">
        <f t="shared" ref="W89:W91" si="150">V89/U89</f>
        <v>101.6</v>
      </c>
      <c r="X89" s="220">
        <f t="shared" ref="X89:X91" si="151">RANK(W89, $W$76:$W$93)</f>
        <v>8</v>
      </c>
      <c r="Y89" s="461"/>
      <c r="Z89" s="397">
        <v>15</v>
      </c>
      <c r="AA89" s="220">
        <v>1371</v>
      </c>
      <c r="AB89" s="222">
        <f t="shared" ref="AB89:AB91" si="152">AA89/Z89</f>
        <v>91.4</v>
      </c>
      <c r="AC89" s="220">
        <f t="shared" ref="AC89:AC91" si="153">RANK(AB89, $AB$76:$AB$93)</f>
        <v>10</v>
      </c>
      <c r="AD89" s="461"/>
      <c r="AE89" s="397">
        <v>15</v>
      </c>
      <c r="AF89" s="220">
        <v>1710</v>
      </c>
      <c r="AG89" s="222">
        <f t="shared" ref="AG89:AG91" si="154">AF89/AE89</f>
        <v>114</v>
      </c>
      <c r="AH89" s="220">
        <f t="shared" ref="AH89:AH91" si="155">RANK(AG89, $AG$76:$AG$93)</f>
        <v>5</v>
      </c>
      <c r="AI89" s="461"/>
      <c r="AJ89" s="397">
        <v>15</v>
      </c>
      <c r="AK89" s="220">
        <v>1569</v>
      </c>
      <c r="AL89" s="222">
        <f t="shared" ref="AL89:AL91" si="156">AK89/AJ89</f>
        <v>104.6</v>
      </c>
      <c r="AM89" s="220">
        <f t="shared" ref="AM89:AM91" si="157">RANK(AL89, $AL$76:$AL$93)</f>
        <v>7</v>
      </c>
      <c r="AN89" s="461"/>
      <c r="AO89" s="397">
        <v>15</v>
      </c>
      <c r="AP89" s="220">
        <v>1748</v>
      </c>
      <c r="AQ89" s="222">
        <f t="shared" ref="AQ89:AQ91" si="158">AP89/AO89</f>
        <v>116.53333333333333</v>
      </c>
      <c r="AR89" s="220">
        <f t="shared" ref="AR89:AR91" si="159">RANK(AQ89, $AQ$76:$AQ$93)</f>
        <v>5</v>
      </c>
      <c r="AS89" s="461"/>
      <c r="AT89" s="220">
        <v>15</v>
      </c>
      <c r="AU89" s="220">
        <v>1595</v>
      </c>
      <c r="AV89" s="386">
        <f t="shared" ref="AV89:AV91" si="160">AU89/AT89</f>
        <v>106.33333333333333</v>
      </c>
      <c r="AW89" s="220">
        <f t="shared" ref="AW89:AW91" si="161">RANK(AV89, $AV$76:$AV$93)</f>
        <v>6</v>
      </c>
      <c r="AX89" s="461"/>
    </row>
    <row r="90" spans="2:50">
      <c r="B90" s="479"/>
      <c r="C90" s="220">
        <v>15</v>
      </c>
      <c r="D90" s="220" t="s">
        <v>80</v>
      </c>
      <c r="E90" s="221">
        <f>VLOOKUP(D90,'12產線配置圖'!$A$2:$C$25,2,0)</f>
        <v>16</v>
      </c>
      <c r="F90" s="221">
        <f>VLOOKUP(D90,'12產線配置圖'!$A$2:$C$25,3,0)</f>
        <v>1714</v>
      </c>
      <c r="G90" s="222">
        <f>F90/E90</f>
        <v>107.125</v>
      </c>
      <c r="H90" s="461"/>
      <c r="I90" s="221">
        <f t="shared" si="145"/>
        <v>14.714285714285714</v>
      </c>
      <c r="J90" s="221">
        <f t="shared" si="146"/>
        <v>1570.2857142857142</v>
      </c>
      <c r="K90" s="222">
        <f t="shared" si="147"/>
        <v>107.19260204081634</v>
      </c>
      <c r="L90" s="461"/>
      <c r="M90" s="221">
        <f t="shared" si="107"/>
        <v>5</v>
      </c>
      <c r="N90" s="463"/>
      <c r="O90" s="463"/>
      <c r="P90" s="400">
        <v>14</v>
      </c>
      <c r="Q90" s="220">
        <v>1599</v>
      </c>
      <c r="R90" s="158">
        <f t="shared" si="148"/>
        <v>114.21428571428571</v>
      </c>
      <c r="S90" s="110">
        <f t="shared" si="149"/>
        <v>4</v>
      </c>
      <c r="T90" s="461"/>
      <c r="U90" s="397">
        <v>14</v>
      </c>
      <c r="V90" s="220">
        <v>1606</v>
      </c>
      <c r="W90" s="222">
        <f t="shared" si="150"/>
        <v>114.71428571428571</v>
      </c>
      <c r="X90" s="220">
        <f t="shared" si="151"/>
        <v>5</v>
      </c>
      <c r="Y90" s="461"/>
      <c r="Z90" s="220">
        <v>16</v>
      </c>
      <c r="AA90" s="220">
        <v>1617</v>
      </c>
      <c r="AB90" s="222">
        <f t="shared" si="152"/>
        <v>101.0625</v>
      </c>
      <c r="AC90" s="220">
        <f t="shared" si="153"/>
        <v>7</v>
      </c>
      <c r="AD90" s="461"/>
      <c r="AE90" s="220">
        <v>16</v>
      </c>
      <c r="AF90" s="220">
        <v>1649</v>
      </c>
      <c r="AG90" s="222">
        <f t="shared" si="154"/>
        <v>103.0625</v>
      </c>
      <c r="AH90" s="220">
        <f t="shared" si="155"/>
        <v>8</v>
      </c>
      <c r="AI90" s="461"/>
      <c r="AJ90" s="397">
        <v>14</v>
      </c>
      <c r="AK90" s="220">
        <v>1496</v>
      </c>
      <c r="AL90" s="222">
        <f t="shared" si="156"/>
        <v>106.85714285714286</v>
      </c>
      <c r="AM90" s="220">
        <f t="shared" si="157"/>
        <v>6</v>
      </c>
      <c r="AN90" s="461"/>
      <c r="AO90" s="397">
        <v>13</v>
      </c>
      <c r="AP90" s="220">
        <v>1482</v>
      </c>
      <c r="AQ90" s="222">
        <f t="shared" si="158"/>
        <v>114</v>
      </c>
      <c r="AR90" s="220">
        <f t="shared" si="159"/>
        <v>6</v>
      </c>
      <c r="AS90" s="461"/>
      <c r="AT90" s="220">
        <v>16</v>
      </c>
      <c r="AU90" s="220">
        <v>1543</v>
      </c>
      <c r="AV90" s="222">
        <f t="shared" si="160"/>
        <v>96.4375</v>
      </c>
      <c r="AW90" s="220">
        <f t="shared" si="161"/>
        <v>9</v>
      </c>
      <c r="AX90" s="461"/>
    </row>
    <row r="91" spans="2:50">
      <c r="B91" s="479"/>
      <c r="C91" s="220">
        <v>16</v>
      </c>
      <c r="D91" s="220" t="s">
        <v>78</v>
      </c>
      <c r="E91" s="221">
        <f>VLOOKUP(D91,'12產線配置圖'!$A$2:$C$25,2,0)</f>
        <v>14</v>
      </c>
      <c r="F91" s="221">
        <f>VLOOKUP(D91,'12產線配置圖'!$A$2:$C$25,3,0)</f>
        <v>2100</v>
      </c>
      <c r="G91" s="222">
        <f>F91/E91</f>
        <v>150</v>
      </c>
      <c r="H91" s="461"/>
      <c r="I91" s="221">
        <f t="shared" si="145"/>
        <v>14.857142857142858</v>
      </c>
      <c r="J91" s="221">
        <f t="shared" si="146"/>
        <v>1876.7142857142858</v>
      </c>
      <c r="K91" s="222">
        <f t="shared" si="147"/>
        <v>126.65612244897959</v>
      </c>
      <c r="L91" s="461"/>
      <c r="M91" s="221">
        <f t="shared" si="107"/>
        <v>4</v>
      </c>
      <c r="N91" s="463"/>
      <c r="O91" s="463"/>
      <c r="P91" s="384">
        <v>16</v>
      </c>
      <c r="Q91" s="220">
        <v>1636</v>
      </c>
      <c r="R91" s="158">
        <f>Q91/P91</f>
        <v>102.25</v>
      </c>
      <c r="S91" s="110">
        <f>RANK(R91, $R$76:$R$93)</f>
        <v>5</v>
      </c>
      <c r="T91" s="461"/>
      <c r="U91" s="220">
        <v>15</v>
      </c>
      <c r="V91" s="220">
        <v>1947</v>
      </c>
      <c r="W91" s="222">
        <f t="shared" si="150"/>
        <v>129.80000000000001</v>
      </c>
      <c r="X91" s="220">
        <f t="shared" si="151"/>
        <v>3</v>
      </c>
      <c r="Y91" s="461"/>
      <c r="Z91" s="397">
        <v>14</v>
      </c>
      <c r="AA91" s="220">
        <v>1859</v>
      </c>
      <c r="AB91" s="222">
        <f t="shared" si="152"/>
        <v>132.78571428571428</v>
      </c>
      <c r="AC91" s="220">
        <f t="shared" si="153"/>
        <v>4</v>
      </c>
      <c r="AD91" s="461"/>
      <c r="AE91" s="220">
        <v>15</v>
      </c>
      <c r="AF91" s="220">
        <v>1974</v>
      </c>
      <c r="AG91" s="222">
        <f t="shared" si="154"/>
        <v>131.6</v>
      </c>
      <c r="AH91" s="220">
        <f t="shared" si="155"/>
        <v>4</v>
      </c>
      <c r="AI91" s="461"/>
      <c r="AJ91" s="220">
        <v>15</v>
      </c>
      <c r="AK91" s="220">
        <v>1960</v>
      </c>
      <c r="AL91" s="222">
        <f t="shared" si="156"/>
        <v>130.66666666666666</v>
      </c>
      <c r="AM91" s="220">
        <f t="shared" si="157"/>
        <v>4</v>
      </c>
      <c r="AN91" s="461"/>
      <c r="AO91" s="397">
        <v>14</v>
      </c>
      <c r="AP91" s="220">
        <v>1839</v>
      </c>
      <c r="AQ91" s="222">
        <f t="shared" si="158"/>
        <v>131.35714285714286</v>
      </c>
      <c r="AR91" s="220">
        <f t="shared" si="159"/>
        <v>4</v>
      </c>
      <c r="AS91" s="461"/>
      <c r="AT91" s="220">
        <v>15</v>
      </c>
      <c r="AU91" s="220">
        <v>1922</v>
      </c>
      <c r="AV91" s="222">
        <f t="shared" si="160"/>
        <v>128.13333333333333</v>
      </c>
      <c r="AW91" s="220">
        <f t="shared" si="161"/>
        <v>4</v>
      </c>
      <c r="AX91" s="461"/>
    </row>
    <row r="92" spans="2:50">
      <c r="B92" s="479"/>
      <c r="C92" s="220">
        <v>17</v>
      </c>
      <c r="D92" s="220"/>
      <c r="E92" s="221"/>
      <c r="F92" s="221"/>
      <c r="G92" s="222"/>
      <c r="H92" s="461"/>
      <c r="I92" s="221"/>
      <c r="J92" s="221"/>
      <c r="K92" s="222"/>
      <c r="L92" s="461"/>
      <c r="M92" s="221"/>
      <c r="N92" s="463"/>
      <c r="O92" s="463"/>
      <c r="P92" s="220"/>
      <c r="Q92" s="220"/>
      <c r="R92" s="158"/>
      <c r="S92" s="110"/>
      <c r="T92" s="461"/>
      <c r="U92" s="220"/>
      <c r="V92" s="220"/>
      <c r="W92" s="222"/>
      <c r="X92" s="220"/>
      <c r="Y92" s="461"/>
      <c r="Z92" s="220"/>
      <c r="AA92" s="220"/>
      <c r="AB92" s="222"/>
      <c r="AC92" s="220"/>
      <c r="AD92" s="461"/>
      <c r="AE92" s="220"/>
      <c r="AF92" s="220"/>
      <c r="AG92" s="222"/>
      <c r="AH92" s="220"/>
      <c r="AI92" s="461"/>
      <c r="AJ92" s="220"/>
      <c r="AK92" s="220"/>
      <c r="AL92" s="222"/>
      <c r="AM92" s="220"/>
      <c r="AN92" s="461"/>
      <c r="AO92" s="220"/>
      <c r="AP92" s="220"/>
      <c r="AQ92" s="222"/>
      <c r="AR92" s="220"/>
      <c r="AS92" s="461"/>
      <c r="AT92" s="220"/>
      <c r="AU92" s="220"/>
      <c r="AV92" s="222"/>
      <c r="AW92" s="220"/>
      <c r="AX92" s="461"/>
    </row>
    <row r="93" spans="2:50">
      <c r="B93" s="480"/>
      <c r="C93" s="220">
        <v>18</v>
      </c>
      <c r="D93" s="220"/>
      <c r="E93" s="221"/>
      <c r="F93" s="221"/>
      <c r="G93" s="222"/>
      <c r="H93" s="461"/>
      <c r="I93" s="220"/>
      <c r="J93" s="220"/>
      <c r="K93" s="220"/>
      <c r="L93" s="462"/>
      <c r="M93" s="221"/>
      <c r="N93" s="456"/>
      <c r="O93" s="456"/>
      <c r="P93" s="220"/>
      <c r="Q93" s="220"/>
      <c r="R93" s="158"/>
      <c r="S93" s="110"/>
      <c r="T93" s="462"/>
      <c r="U93" s="220"/>
      <c r="V93" s="220"/>
      <c r="W93" s="222"/>
      <c r="X93" s="220"/>
      <c r="Y93" s="462"/>
      <c r="Z93" s="220"/>
      <c r="AA93" s="220"/>
      <c r="AB93" s="222"/>
      <c r="AC93" s="220"/>
      <c r="AD93" s="462"/>
      <c r="AE93" s="220"/>
      <c r="AF93" s="220"/>
      <c r="AG93" s="222"/>
      <c r="AH93" s="220"/>
      <c r="AI93" s="462"/>
      <c r="AJ93" s="220"/>
      <c r="AK93" s="220"/>
      <c r="AL93" s="222"/>
      <c r="AM93" s="220"/>
      <c r="AN93" s="462"/>
      <c r="AO93" s="220"/>
      <c r="AP93" s="220"/>
      <c r="AQ93" s="222"/>
      <c r="AR93" s="220"/>
      <c r="AS93" s="462"/>
      <c r="AT93" s="220"/>
      <c r="AU93" s="220"/>
      <c r="AV93" s="222"/>
      <c r="AW93" s="220"/>
      <c r="AX93" s="462"/>
    </row>
    <row r="94" spans="2:50" ht="15.75">
      <c r="B94" s="477" t="s">
        <v>43</v>
      </c>
      <c r="C94" s="465"/>
      <c r="D94" s="465"/>
      <c r="E94" s="465"/>
      <c r="F94" s="465"/>
      <c r="G94" s="465"/>
      <c r="H94" s="465"/>
      <c r="I94" s="225"/>
      <c r="J94" s="225"/>
      <c r="K94" s="225"/>
      <c r="L94" s="225"/>
      <c r="M94" s="226"/>
      <c r="N94" s="455" t="s">
        <v>44</v>
      </c>
      <c r="O94" s="455" t="s">
        <v>3</v>
      </c>
      <c r="P94" s="457">
        <v>46105</v>
      </c>
      <c r="Q94" s="458"/>
      <c r="R94" s="458"/>
      <c r="S94" s="458"/>
      <c r="T94" s="458"/>
      <c r="U94" s="457">
        <v>46106</v>
      </c>
      <c r="V94" s="458"/>
      <c r="W94" s="458"/>
      <c r="X94" s="458"/>
      <c r="Y94" s="458"/>
      <c r="Z94" s="457">
        <v>46107</v>
      </c>
      <c r="AA94" s="458"/>
      <c r="AB94" s="458"/>
      <c r="AC94" s="458"/>
      <c r="AD94" s="458"/>
      <c r="AE94" s="457">
        <v>46108</v>
      </c>
      <c r="AF94" s="458"/>
      <c r="AG94" s="458"/>
      <c r="AH94" s="458"/>
      <c r="AI94" s="458"/>
      <c r="AJ94" s="457">
        <v>46109</v>
      </c>
      <c r="AK94" s="458"/>
      <c r="AL94" s="458"/>
      <c r="AM94" s="458"/>
      <c r="AN94" s="458"/>
      <c r="AO94" s="457">
        <v>46110</v>
      </c>
      <c r="AP94" s="458"/>
      <c r="AQ94" s="458"/>
      <c r="AR94" s="458"/>
      <c r="AS94" s="458"/>
      <c r="AT94" s="457">
        <v>46111</v>
      </c>
      <c r="AU94" s="458"/>
      <c r="AV94" s="458"/>
      <c r="AW94" s="458"/>
      <c r="AX94" s="458"/>
    </row>
    <row r="95" spans="2:50" ht="15.75">
      <c r="B95" s="466"/>
      <c r="C95" s="466"/>
      <c r="D95" s="466"/>
      <c r="E95" s="466"/>
      <c r="F95" s="466"/>
      <c r="G95" s="466"/>
      <c r="H95" s="466"/>
      <c r="I95" s="216"/>
      <c r="J95" s="216"/>
      <c r="K95" s="216"/>
      <c r="L95" s="216"/>
      <c r="M95" s="217"/>
      <c r="N95" s="456"/>
      <c r="O95" s="456"/>
      <c r="P95" s="457" t="s">
        <v>15</v>
      </c>
      <c r="Q95" s="458"/>
      <c r="R95" s="458"/>
      <c r="S95" s="458"/>
      <c r="T95" s="458"/>
      <c r="U95" s="457" t="s">
        <v>13</v>
      </c>
      <c r="V95" s="458"/>
      <c r="W95" s="458"/>
      <c r="X95" s="458"/>
      <c r="Y95" s="458"/>
      <c r="Z95" s="457" t="s">
        <v>16</v>
      </c>
      <c r="AA95" s="458"/>
      <c r="AB95" s="458"/>
      <c r="AC95" s="458"/>
      <c r="AD95" s="458"/>
      <c r="AE95" s="457" t="s">
        <v>17</v>
      </c>
      <c r="AF95" s="458"/>
      <c r="AG95" s="458"/>
      <c r="AH95" s="458"/>
      <c r="AI95" s="458"/>
      <c r="AJ95" s="457" t="s">
        <v>18</v>
      </c>
      <c r="AK95" s="458"/>
      <c r="AL95" s="458"/>
      <c r="AM95" s="458"/>
      <c r="AN95" s="458"/>
      <c r="AO95" s="457" t="s">
        <v>10</v>
      </c>
      <c r="AP95" s="458"/>
      <c r="AQ95" s="458"/>
      <c r="AR95" s="458"/>
      <c r="AS95" s="458"/>
      <c r="AT95" s="457" t="s">
        <v>14</v>
      </c>
      <c r="AU95" s="458"/>
      <c r="AV95" s="458"/>
      <c r="AW95" s="458"/>
      <c r="AX95" s="458"/>
    </row>
    <row r="96" spans="2:50">
      <c r="B96" s="454" t="s">
        <v>45</v>
      </c>
      <c r="C96" s="454" t="s">
        <v>46</v>
      </c>
      <c r="D96" s="454"/>
      <c r="E96" s="454" t="s">
        <v>47</v>
      </c>
      <c r="F96" s="454"/>
      <c r="G96" s="454"/>
      <c r="H96" s="470" t="s">
        <v>48</v>
      </c>
      <c r="I96" s="454" t="s">
        <v>49</v>
      </c>
      <c r="J96" s="454"/>
      <c r="K96" s="454"/>
      <c r="L96" s="470" t="s">
        <v>48</v>
      </c>
      <c r="M96" s="455" t="s">
        <v>50</v>
      </c>
      <c r="N96" s="455"/>
      <c r="O96" s="455" t="s">
        <v>51</v>
      </c>
      <c r="P96" s="451" t="s">
        <v>52</v>
      </c>
      <c r="Q96" s="452"/>
      <c r="R96" s="452"/>
      <c r="S96" s="453"/>
      <c r="T96" s="454" t="s">
        <v>48</v>
      </c>
      <c r="U96" s="451" t="s">
        <v>52</v>
      </c>
      <c r="V96" s="452"/>
      <c r="W96" s="452"/>
      <c r="X96" s="453"/>
      <c r="Y96" s="454" t="s">
        <v>48</v>
      </c>
      <c r="Z96" s="451" t="s">
        <v>52</v>
      </c>
      <c r="AA96" s="452"/>
      <c r="AB96" s="452"/>
      <c r="AC96" s="453"/>
      <c r="AD96" s="454" t="s">
        <v>48</v>
      </c>
      <c r="AE96" s="451" t="s">
        <v>52</v>
      </c>
      <c r="AF96" s="452"/>
      <c r="AG96" s="452"/>
      <c r="AH96" s="453"/>
      <c r="AI96" s="454" t="s">
        <v>48</v>
      </c>
      <c r="AJ96" s="451" t="s">
        <v>52</v>
      </c>
      <c r="AK96" s="452"/>
      <c r="AL96" s="452"/>
      <c r="AM96" s="453"/>
      <c r="AN96" s="454" t="s">
        <v>48</v>
      </c>
      <c r="AO96" s="451" t="s">
        <v>52</v>
      </c>
      <c r="AP96" s="452"/>
      <c r="AQ96" s="452"/>
      <c r="AR96" s="453"/>
      <c r="AS96" s="454" t="s">
        <v>48</v>
      </c>
      <c r="AT96" s="451" t="s">
        <v>52</v>
      </c>
      <c r="AU96" s="452"/>
      <c r="AV96" s="452"/>
      <c r="AW96" s="453"/>
      <c r="AX96" s="454" t="s">
        <v>48</v>
      </c>
    </row>
    <row r="97" spans="1:50">
      <c r="B97" s="454"/>
      <c r="C97" s="454"/>
      <c r="D97" s="454"/>
      <c r="E97" s="454" t="s">
        <v>53</v>
      </c>
      <c r="F97" s="454"/>
      <c r="G97" s="454"/>
      <c r="H97" s="471"/>
      <c r="I97" s="454" t="s">
        <v>53</v>
      </c>
      <c r="J97" s="454"/>
      <c r="K97" s="454"/>
      <c r="L97" s="471"/>
      <c r="M97" s="463"/>
      <c r="N97" s="463"/>
      <c r="O97" s="463"/>
      <c r="P97" s="451" t="s">
        <v>54</v>
      </c>
      <c r="Q97" s="452"/>
      <c r="R97" s="452"/>
      <c r="S97" s="453"/>
      <c r="T97" s="454"/>
      <c r="U97" s="451" t="s">
        <v>54</v>
      </c>
      <c r="V97" s="452"/>
      <c r="W97" s="452"/>
      <c r="X97" s="453"/>
      <c r="Y97" s="454"/>
      <c r="Z97" s="451" t="s">
        <v>54</v>
      </c>
      <c r="AA97" s="452"/>
      <c r="AB97" s="452"/>
      <c r="AC97" s="453"/>
      <c r="AD97" s="454"/>
      <c r="AE97" s="451" t="s">
        <v>54</v>
      </c>
      <c r="AF97" s="452"/>
      <c r="AG97" s="452"/>
      <c r="AH97" s="453"/>
      <c r="AI97" s="454"/>
      <c r="AJ97" s="451" t="s">
        <v>54</v>
      </c>
      <c r="AK97" s="452"/>
      <c r="AL97" s="452"/>
      <c r="AM97" s="453"/>
      <c r="AN97" s="454"/>
      <c r="AO97" s="451" t="s">
        <v>54</v>
      </c>
      <c r="AP97" s="452"/>
      <c r="AQ97" s="452"/>
      <c r="AR97" s="453"/>
      <c r="AS97" s="454"/>
      <c r="AT97" s="451" t="s">
        <v>54</v>
      </c>
      <c r="AU97" s="452"/>
      <c r="AV97" s="452"/>
      <c r="AW97" s="453"/>
      <c r="AX97" s="454"/>
    </row>
    <row r="98" spans="1:50">
      <c r="B98" s="454"/>
      <c r="C98" s="454"/>
      <c r="D98" s="454"/>
      <c r="E98" s="219" t="s">
        <v>55</v>
      </c>
      <c r="F98" s="219" t="s">
        <v>56</v>
      </c>
      <c r="G98" s="219" t="s">
        <v>57</v>
      </c>
      <c r="H98" s="472"/>
      <c r="I98" s="219" t="s">
        <v>55</v>
      </c>
      <c r="J98" s="219" t="s">
        <v>56</v>
      </c>
      <c r="K98" s="219" t="s">
        <v>57</v>
      </c>
      <c r="L98" s="472"/>
      <c r="M98" s="456"/>
      <c r="N98" s="463"/>
      <c r="O98" s="463"/>
      <c r="P98" s="219" t="s">
        <v>55</v>
      </c>
      <c r="Q98" s="219" t="s">
        <v>56</v>
      </c>
      <c r="R98" s="219" t="s">
        <v>57</v>
      </c>
      <c r="S98" s="219" t="s">
        <v>50</v>
      </c>
      <c r="T98" s="454"/>
      <c r="U98" s="219" t="s">
        <v>55</v>
      </c>
      <c r="V98" s="219" t="s">
        <v>56</v>
      </c>
      <c r="W98" s="219" t="s">
        <v>57</v>
      </c>
      <c r="X98" s="219" t="s">
        <v>50</v>
      </c>
      <c r="Y98" s="454"/>
      <c r="Z98" s="219" t="s">
        <v>55</v>
      </c>
      <c r="AA98" s="219" t="s">
        <v>56</v>
      </c>
      <c r="AB98" s="219" t="s">
        <v>57</v>
      </c>
      <c r="AC98" s="219" t="s">
        <v>50</v>
      </c>
      <c r="AD98" s="454"/>
      <c r="AE98" s="219" t="s">
        <v>55</v>
      </c>
      <c r="AF98" s="219" t="s">
        <v>56</v>
      </c>
      <c r="AG98" s="219" t="s">
        <v>57</v>
      </c>
      <c r="AH98" s="219" t="s">
        <v>50</v>
      </c>
      <c r="AI98" s="454"/>
      <c r="AJ98" s="219" t="s">
        <v>55</v>
      </c>
      <c r="AK98" s="219" t="s">
        <v>56</v>
      </c>
      <c r="AL98" s="219" t="s">
        <v>57</v>
      </c>
      <c r="AM98" s="219" t="s">
        <v>50</v>
      </c>
      <c r="AN98" s="454"/>
      <c r="AO98" s="219" t="s">
        <v>55</v>
      </c>
      <c r="AP98" s="219" t="s">
        <v>56</v>
      </c>
      <c r="AQ98" s="219" t="s">
        <v>57</v>
      </c>
      <c r="AR98" s="219" t="s">
        <v>50</v>
      </c>
      <c r="AS98" s="454"/>
      <c r="AT98" s="219" t="s">
        <v>55</v>
      </c>
      <c r="AU98" s="219" t="s">
        <v>56</v>
      </c>
      <c r="AV98" s="219" t="s">
        <v>57</v>
      </c>
      <c r="AW98" s="219" t="s">
        <v>50</v>
      </c>
      <c r="AX98" s="454"/>
    </row>
    <row r="99" spans="1:50" ht="13.5">
      <c r="B99" s="481" t="s">
        <v>323</v>
      </c>
      <c r="C99" s="220">
        <v>1</v>
      </c>
      <c r="D99" s="224" t="s">
        <v>75</v>
      </c>
      <c r="E99" s="221">
        <f>VLOOKUP(D99,'12產線配置圖'!$A$2:$C$25,2,0)</f>
        <v>11</v>
      </c>
      <c r="F99" s="221">
        <f>VLOOKUP(D99,'12產線配置圖'!$A$2:$C$25,3,0)</f>
        <v>2118</v>
      </c>
      <c r="G99" s="222">
        <f>F99/E99</f>
        <v>192.54545454545453</v>
      </c>
      <c r="H99" s="460">
        <f>AVERAGE(G99:G113)</f>
        <v>122.93995220465808</v>
      </c>
      <c r="I99" s="221">
        <f>AVERAGE(P99,U99,Z99,AE99,AJ99,AO99,AT99)</f>
        <v>11</v>
      </c>
      <c r="J99" s="221">
        <f>AVERAGE(Q99,V99,AA99,AF99,AK99,AP99,AU99)</f>
        <v>2005.4285714285713</v>
      </c>
      <c r="K99" s="222">
        <f>AVERAGE(R99,W99,AB99,AG99,AL99,AQ99,AV99)</f>
        <v>182.3116883116883</v>
      </c>
      <c r="L99" s="460">
        <f>IFERROR(AVERAGE(K99:K116),"-")</f>
        <v>113.97512216574943</v>
      </c>
      <c r="M99" s="221">
        <f>RANK(K99, K$99:$K$116)</f>
        <v>1</v>
      </c>
      <c r="N99" s="463"/>
      <c r="O99" s="463"/>
      <c r="P99" s="221">
        <v>11</v>
      </c>
      <c r="Q99" s="221">
        <v>2041</v>
      </c>
      <c r="R99" s="222">
        <f>Q99/P99</f>
        <v>185.54545454545453</v>
      </c>
      <c r="S99" s="220">
        <f>RANK(R99,$R$99:$R$116)</f>
        <v>1</v>
      </c>
      <c r="T99" s="460">
        <f>AVERAGE(R99:R116)</f>
        <v>115.73104941277211</v>
      </c>
      <c r="U99" s="221">
        <v>11</v>
      </c>
      <c r="V99" s="221">
        <v>1934</v>
      </c>
      <c r="W99" s="382">
        <f>V99/U99</f>
        <v>175.81818181818181</v>
      </c>
      <c r="X99" s="220">
        <f>RANK(W99,$W$99:$W$116)</f>
        <v>1</v>
      </c>
      <c r="Y99" s="460">
        <f>AVERAGE(W99:W116)</f>
        <v>114.52490968415339</v>
      </c>
      <c r="Z99" s="221">
        <v>11</v>
      </c>
      <c r="AA99" s="221">
        <v>2038</v>
      </c>
      <c r="AB99" s="222">
        <f>AA99/Z99</f>
        <v>185.27272727272728</v>
      </c>
      <c r="AC99" s="220">
        <f>RANK(AB99, $AB$99:$AB$116)</f>
        <v>1</v>
      </c>
      <c r="AD99" s="460">
        <f>AVERAGE(AB99:AB116)</f>
        <v>114.21506837000537</v>
      </c>
      <c r="AE99" s="221">
        <v>11</v>
      </c>
      <c r="AF99" s="221">
        <v>1960</v>
      </c>
      <c r="AG99" s="382">
        <f>AF99/AE99</f>
        <v>178.18181818181819</v>
      </c>
      <c r="AH99" s="220">
        <f>RANK(AG99,$AG$99:$AG$116)</f>
        <v>1</v>
      </c>
      <c r="AI99" s="460">
        <f>AVERAGE(AG99:AG116)</f>
        <v>110.13670496170498</v>
      </c>
      <c r="AJ99" s="221">
        <v>11</v>
      </c>
      <c r="AK99" s="221">
        <v>2072</v>
      </c>
      <c r="AL99" s="222">
        <f>AK99/AJ99</f>
        <v>188.36363636363637</v>
      </c>
      <c r="AM99" s="220">
        <f>RANK(AL99,$AL$99:$AL$116)</f>
        <v>1</v>
      </c>
      <c r="AN99" s="460">
        <f>AVERAGE(AL99:AL116)</f>
        <v>115.87284912216637</v>
      </c>
      <c r="AO99" s="221">
        <v>11</v>
      </c>
      <c r="AP99" s="221">
        <v>2095</v>
      </c>
      <c r="AQ99" s="222">
        <f>AP99/AO99</f>
        <v>190.45454545454547</v>
      </c>
      <c r="AR99" s="220">
        <f>RANK(AQ99,$AQ$99:$AQ$116)</f>
        <v>1</v>
      </c>
      <c r="AS99" s="460">
        <f>AVERAGE(AQ99:AQ116)</f>
        <v>116.52854069007915</v>
      </c>
      <c r="AT99" s="221">
        <v>11</v>
      </c>
      <c r="AU99" s="221">
        <v>1898</v>
      </c>
      <c r="AV99" s="222">
        <f>AU99/AT99</f>
        <v>172.54545454545453</v>
      </c>
      <c r="AW99" s="220">
        <f>RANK(AV99,$AV$99:$AV$116)</f>
        <v>2</v>
      </c>
      <c r="AX99" s="460">
        <f>AVERAGE(AV99:AV116)</f>
        <v>114.56739830682139</v>
      </c>
    </row>
    <row r="100" spans="1:50">
      <c r="B100" s="482"/>
      <c r="C100" s="220">
        <v>2</v>
      </c>
      <c r="D100" s="220" t="s">
        <v>77</v>
      </c>
      <c r="E100" s="221">
        <f>VLOOKUP(D100,'12產線配置圖'!$A$2:$C$25,2,0)</f>
        <v>13</v>
      </c>
      <c r="F100" s="221">
        <f>VLOOKUP(D100,'12產線配置圖'!$A$2:$C$25,3,0)</f>
        <v>2118</v>
      </c>
      <c r="G100" s="222">
        <f t="shared" ref="G100:G108" si="162">F100/E100</f>
        <v>162.92307692307693</v>
      </c>
      <c r="H100" s="461"/>
      <c r="I100" s="221">
        <f t="shared" ref="I100:I109" si="163">AVERAGE(P100,U100,Z100,AE100,AJ100,AO100,AT100)</f>
        <v>13</v>
      </c>
      <c r="J100" s="221">
        <f t="shared" ref="J100:J109" si="164">AVERAGE(Q100,V100,AA100,AF100,AK100,AP100,AU100)</f>
        <v>1991.2857142857142</v>
      </c>
      <c r="K100" s="222">
        <f t="shared" ref="K100:K110" si="165">AVERAGE(R100,W100,AB100,AG100,AL100,AQ100,AV100)</f>
        <v>153.17582417582418</v>
      </c>
      <c r="L100" s="461"/>
      <c r="M100" s="221">
        <f>RANK(K100, K$99:$K$116)</f>
        <v>3</v>
      </c>
      <c r="N100" s="463"/>
      <c r="O100" s="463"/>
      <c r="P100" s="221">
        <v>13</v>
      </c>
      <c r="Q100" s="221">
        <v>1903</v>
      </c>
      <c r="R100" s="222">
        <f t="shared" ref="R100:R109" si="166">Q100/P100</f>
        <v>146.38461538461539</v>
      </c>
      <c r="S100" s="220">
        <f t="shared" ref="S100:S109" si="167">RANK(R100,$R$99:$R$116)</f>
        <v>4</v>
      </c>
      <c r="T100" s="461"/>
      <c r="U100" s="221">
        <v>13</v>
      </c>
      <c r="V100" s="221">
        <v>2039</v>
      </c>
      <c r="W100" s="222">
        <f t="shared" ref="W100:W109" si="168">V100/U100</f>
        <v>156.84615384615384</v>
      </c>
      <c r="X100" s="220">
        <f t="shared" ref="X100:X109" si="169">RANK(W100,$W$99:$W$116)</f>
        <v>3</v>
      </c>
      <c r="Y100" s="461"/>
      <c r="Z100" s="221">
        <v>13</v>
      </c>
      <c r="AA100" s="221">
        <v>2052</v>
      </c>
      <c r="AB100" s="222">
        <f t="shared" ref="AB100:AB111" si="170">AA100/Z100</f>
        <v>157.84615384615384</v>
      </c>
      <c r="AC100" s="220">
        <f t="shared" ref="AC100:AC111" si="171">RANK(AB100, $AB$99:$AB$116)</f>
        <v>3</v>
      </c>
      <c r="AD100" s="461"/>
      <c r="AE100" s="221">
        <v>13</v>
      </c>
      <c r="AF100" s="221">
        <v>1814</v>
      </c>
      <c r="AG100" s="382">
        <f t="shared" ref="AG100:AG103" si="172">AF100/AE100</f>
        <v>139.53846153846155</v>
      </c>
      <c r="AH100" s="220">
        <f t="shared" ref="AH100:AH103" si="173">RANK(AG100,$AG$99:$AG$116)</f>
        <v>4</v>
      </c>
      <c r="AI100" s="461"/>
      <c r="AJ100" s="221">
        <v>13</v>
      </c>
      <c r="AK100" s="221">
        <v>2085</v>
      </c>
      <c r="AL100" s="222">
        <f t="shared" ref="AL100:AL103" si="174">AK100/AJ100</f>
        <v>160.38461538461539</v>
      </c>
      <c r="AM100" s="220">
        <f t="shared" ref="AM100:AM103" si="175">RANK(AL100,$AL$99:$AL$116)</f>
        <v>3</v>
      </c>
      <c r="AN100" s="461"/>
      <c r="AO100" s="221">
        <v>13</v>
      </c>
      <c r="AP100" s="221">
        <v>2100</v>
      </c>
      <c r="AQ100" s="222">
        <f t="shared" ref="AQ100:AQ103" si="176">AP100/AO100</f>
        <v>161.53846153846155</v>
      </c>
      <c r="AR100" s="220">
        <f t="shared" ref="AR100:AR103" si="177">RANK(AQ100,$AQ$99:$AQ$116)</f>
        <v>3</v>
      </c>
      <c r="AS100" s="461"/>
      <c r="AT100" s="221">
        <v>13</v>
      </c>
      <c r="AU100" s="221">
        <v>1946</v>
      </c>
      <c r="AV100" s="222">
        <f t="shared" ref="AV100:AV103" si="178">AU100/AT100</f>
        <v>149.69230769230768</v>
      </c>
      <c r="AW100" s="220">
        <f t="shared" ref="AW100:AW103" si="179">RANK(AV100,$AV$99:$AV$116)</f>
        <v>3</v>
      </c>
      <c r="AX100" s="461"/>
    </row>
    <row r="101" spans="1:50">
      <c r="B101" s="482"/>
      <c r="C101" s="220">
        <v>3</v>
      </c>
      <c r="D101" s="220" t="s">
        <v>76</v>
      </c>
      <c r="E101" s="221">
        <f>VLOOKUP(D101,'12產線配置圖'!$A$2:$C$25,2,0)</f>
        <v>12</v>
      </c>
      <c r="F101" s="221">
        <f>VLOOKUP(D101,'12產線配置圖'!$A$2:$C$25,3,0)</f>
        <v>2118</v>
      </c>
      <c r="G101" s="222">
        <f t="shared" si="162"/>
        <v>176.5</v>
      </c>
      <c r="H101" s="461"/>
      <c r="I101" s="221">
        <f t="shared" si="163"/>
        <v>12</v>
      </c>
      <c r="J101" s="221">
        <f t="shared" si="164"/>
        <v>2040.4285714285713</v>
      </c>
      <c r="K101" s="222">
        <f t="shared" si="165"/>
        <v>170.03571428571425</v>
      </c>
      <c r="L101" s="461"/>
      <c r="M101" s="221">
        <f>RANK(K101, K$99:$K$116)</f>
        <v>2</v>
      </c>
      <c r="N101" s="463"/>
      <c r="O101" s="463"/>
      <c r="P101" s="221">
        <v>12</v>
      </c>
      <c r="Q101" s="221">
        <v>2093</v>
      </c>
      <c r="R101" s="222">
        <f t="shared" si="166"/>
        <v>174.41666666666666</v>
      </c>
      <c r="S101" s="220">
        <f t="shared" si="167"/>
        <v>2</v>
      </c>
      <c r="T101" s="461"/>
      <c r="U101" s="221">
        <v>12</v>
      </c>
      <c r="V101" s="221">
        <v>2098</v>
      </c>
      <c r="W101" s="222">
        <f t="shared" si="168"/>
        <v>174.83333333333334</v>
      </c>
      <c r="X101" s="220">
        <f t="shared" si="169"/>
        <v>2</v>
      </c>
      <c r="Y101" s="461"/>
      <c r="Z101" s="221">
        <v>12</v>
      </c>
      <c r="AA101" s="221">
        <v>2075</v>
      </c>
      <c r="AB101" s="222">
        <f>AA101/Z101</f>
        <v>172.91666666666666</v>
      </c>
      <c r="AC101" s="220">
        <f t="shared" si="171"/>
        <v>2</v>
      </c>
      <c r="AD101" s="461"/>
      <c r="AE101" s="221">
        <v>12</v>
      </c>
      <c r="AF101" s="221">
        <v>1895</v>
      </c>
      <c r="AG101" s="382">
        <f t="shared" si="172"/>
        <v>157.91666666666666</v>
      </c>
      <c r="AH101" s="220">
        <f t="shared" si="173"/>
        <v>2</v>
      </c>
      <c r="AI101" s="461"/>
      <c r="AJ101" s="221">
        <v>12</v>
      </c>
      <c r="AK101" s="221">
        <v>2084</v>
      </c>
      <c r="AL101" s="222">
        <f t="shared" si="174"/>
        <v>173.66666666666666</v>
      </c>
      <c r="AM101" s="220">
        <f t="shared" si="175"/>
        <v>2</v>
      </c>
      <c r="AN101" s="461"/>
      <c r="AO101" s="221">
        <v>12</v>
      </c>
      <c r="AP101" s="221">
        <v>1955</v>
      </c>
      <c r="AQ101" s="222">
        <f t="shared" si="176"/>
        <v>162.91666666666666</v>
      </c>
      <c r="AR101" s="220">
        <f t="shared" si="177"/>
        <v>2</v>
      </c>
      <c r="AS101" s="461"/>
      <c r="AT101" s="221">
        <v>12</v>
      </c>
      <c r="AU101" s="221">
        <v>2083</v>
      </c>
      <c r="AV101" s="222">
        <f t="shared" si="178"/>
        <v>173.58333333333334</v>
      </c>
      <c r="AW101" s="220">
        <f t="shared" si="179"/>
        <v>1</v>
      </c>
      <c r="AX101" s="461"/>
    </row>
    <row r="102" spans="1:50">
      <c r="A102" s="212">
        <v>18</v>
      </c>
      <c r="B102" s="482"/>
      <c r="C102" s="220">
        <v>4</v>
      </c>
      <c r="D102" s="220" t="s">
        <v>127</v>
      </c>
      <c r="E102" s="221">
        <f>VLOOKUP(D102,'12產線配置圖'!$A$2:$C$25,2,0)</f>
        <v>16</v>
      </c>
      <c r="F102" s="221">
        <f>VLOOKUP(D102,'12產線配置圖'!$A$2:$C$25,3,0)</f>
        <v>1800</v>
      </c>
      <c r="G102" s="222">
        <f t="shared" si="162"/>
        <v>112.5</v>
      </c>
      <c r="H102" s="461"/>
      <c r="I102" s="221">
        <f t="shared" si="163"/>
        <v>15.285714285714286</v>
      </c>
      <c r="J102" s="221">
        <f t="shared" si="164"/>
        <v>1616</v>
      </c>
      <c r="K102" s="222">
        <f t="shared" si="165"/>
        <v>105.84897959183674</v>
      </c>
      <c r="L102" s="461"/>
      <c r="M102" s="221">
        <f>RANK(K102, K$99:$K$116)</f>
        <v>6</v>
      </c>
      <c r="N102" s="463"/>
      <c r="O102" s="463"/>
      <c r="P102" s="398">
        <v>15</v>
      </c>
      <c r="Q102" s="221">
        <v>1650</v>
      </c>
      <c r="R102" s="222">
        <f t="shared" si="166"/>
        <v>110</v>
      </c>
      <c r="S102" s="220">
        <f t="shared" si="167"/>
        <v>6</v>
      </c>
      <c r="T102" s="461"/>
      <c r="U102" s="221">
        <v>16</v>
      </c>
      <c r="V102" s="221">
        <v>1649</v>
      </c>
      <c r="W102" s="222">
        <f t="shared" si="168"/>
        <v>103.0625</v>
      </c>
      <c r="X102" s="220">
        <f t="shared" si="169"/>
        <v>6</v>
      </c>
      <c r="Y102" s="461"/>
      <c r="Z102" s="398">
        <v>15</v>
      </c>
      <c r="AA102" s="221">
        <v>1608</v>
      </c>
      <c r="AB102" s="222">
        <f t="shared" si="170"/>
        <v>107.2</v>
      </c>
      <c r="AC102" s="220">
        <f t="shared" si="171"/>
        <v>5</v>
      </c>
      <c r="AD102" s="461"/>
      <c r="AE102" s="398">
        <v>14</v>
      </c>
      <c r="AF102" s="221">
        <v>1549</v>
      </c>
      <c r="AG102" s="222">
        <f t="shared" si="172"/>
        <v>110.64285714285714</v>
      </c>
      <c r="AH102" s="220">
        <f t="shared" si="173"/>
        <v>5</v>
      </c>
      <c r="AI102" s="461"/>
      <c r="AJ102" s="221">
        <v>16</v>
      </c>
      <c r="AK102" s="221">
        <v>1621</v>
      </c>
      <c r="AL102" s="222">
        <f t="shared" si="174"/>
        <v>101.3125</v>
      </c>
      <c r="AM102" s="220">
        <f t="shared" si="175"/>
        <v>8</v>
      </c>
      <c r="AN102" s="461"/>
      <c r="AO102" s="221">
        <v>16</v>
      </c>
      <c r="AP102" s="221">
        <v>1666</v>
      </c>
      <c r="AQ102" s="222">
        <f t="shared" si="176"/>
        <v>104.125</v>
      </c>
      <c r="AR102" s="220">
        <f t="shared" si="177"/>
        <v>6</v>
      </c>
      <c r="AS102" s="461"/>
      <c r="AT102" s="398">
        <v>15</v>
      </c>
      <c r="AU102" s="221">
        <v>1569</v>
      </c>
      <c r="AV102" s="222">
        <f t="shared" si="178"/>
        <v>104.6</v>
      </c>
      <c r="AW102" s="220">
        <f t="shared" si="179"/>
        <v>7</v>
      </c>
      <c r="AX102" s="461"/>
    </row>
    <row r="103" spans="1:50">
      <c r="B103" s="482"/>
      <c r="C103" s="220">
        <v>5</v>
      </c>
      <c r="D103" s="220" t="s">
        <v>90</v>
      </c>
      <c r="E103" s="221">
        <f>VLOOKUP(D103,'12產線配置圖'!$A$2:$C$25,2,0)</f>
        <v>15</v>
      </c>
      <c r="F103" s="221">
        <f>VLOOKUP(D103,'12產線配置圖'!$A$2:$C$25,3,0)</f>
        <v>1636</v>
      </c>
      <c r="G103" s="222">
        <f t="shared" si="162"/>
        <v>109.06666666666666</v>
      </c>
      <c r="H103" s="461"/>
      <c r="I103" s="221">
        <f t="shared" si="163"/>
        <v>15</v>
      </c>
      <c r="J103" s="221">
        <f t="shared" si="164"/>
        <v>1494.4285714285713</v>
      </c>
      <c r="K103" s="222">
        <f t="shared" si="165"/>
        <v>99.628571428571419</v>
      </c>
      <c r="L103" s="461"/>
      <c r="M103" s="221">
        <f>RANK(K103, K$99:$K$116)</f>
        <v>9</v>
      </c>
      <c r="N103" s="463"/>
      <c r="O103" s="463"/>
      <c r="P103" s="221">
        <v>15</v>
      </c>
      <c r="Q103" s="221">
        <v>1541</v>
      </c>
      <c r="R103" s="222">
        <f t="shared" si="166"/>
        <v>102.73333333333333</v>
      </c>
      <c r="S103" s="220">
        <f t="shared" si="167"/>
        <v>8</v>
      </c>
      <c r="T103" s="461"/>
      <c r="U103" s="221">
        <v>15</v>
      </c>
      <c r="V103" s="221">
        <v>1458</v>
      </c>
      <c r="W103" s="222">
        <f t="shared" si="168"/>
        <v>97.2</v>
      </c>
      <c r="X103" s="220">
        <f t="shared" si="169"/>
        <v>10</v>
      </c>
      <c r="Y103" s="461"/>
      <c r="Z103" s="221">
        <v>15</v>
      </c>
      <c r="AA103" s="221">
        <v>1552</v>
      </c>
      <c r="AB103" s="222">
        <f t="shared" si="170"/>
        <v>103.46666666666667</v>
      </c>
      <c r="AC103" s="220">
        <f t="shared" si="171"/>
        <v>7</v>
      </c>
      <c r="AD103" s="461"/>
      <c r="AE103" s="221">
        <v>15</v>
      </c>
      <c r="AF103" s="221">
        <v>1426</v>
      </c>
      <c r="AG103" s="382">
        <f t="shared" si="172"/>
        <v>95.066666666666663</v>
      </c>
      <c r="AH103" s="220">
        <f t="shared" si="173"/>
        <v>9</v>
      </c>
      <c r="AI103" s="461"/>
      <c r="AJ103" s="221">
        <v>15</v>
      </c>
      <c r="AK103" s="221">
        <v>1494</v>
      </c>
      <c r="AL103" s="222">
        <f t="shared" si="174"/>
        <v>99.6</v>
      </c>
      <c r="AM103" s="220">
        <f t="shared" si="175"/>
        <v>10</v>
      </c>
      <c r="AN103" s="461"/>
      <c r="AO103" s="221">
        <v>15</v>
      </c>
      <c r="AP103" s="221">
        <v>1513</v>
      </c>
      <c r="AQ103" s="222">
        <f t="shared" si="176"/>
        <v>100.86666666666666</v>
      </c>
      <c r="AR103" s="220">
        <f t="shared" si="177"/>
        <v>8</v>
      </c>
      <c r="AS103" s="461"/>
      <c r="AT103" s="221">
        <v>15</v>
      </c>
      <c r="AU103" s="221">
        <v>1477</v>
      </c>
      <c r="AV103" s="222">
        <f t="shared" si="178"/>
        <v>98.466666666666669</v>
      </c>
      <c r="AW103" s="220">
        <f t="shared" si="179"/>
        <v>8</v>
      </c>
      <c r="AX103" s="461"/>
    </row>
    <row r="104" spans="1:50">
      <c r="B104" s="482"/>
      <c r="C104" s="220">
        <v>6</v>
      </c>
      <c r="D104" s="220" t="s">
        <v>205</v>
      </c>
      <c r="E104" s="221">
        <f>VLOOKUP(D104,'12產線配置圖'!$A$2:$C$25,2,0)</f>
        <v>15</v>
      </c>
      <c r="F104" s="221">
        <f>VLOOKUP(D104,'12產線配置圖'!$A$2:$C$25,3,0)</f>
        <v>1714</v>
      </c>
      <c r="G104" s="222">
        <f t="shared" si="162"/>
        <v>114.26666666666667</v>
      </c>
      <c r="H104" s="461"/>
      <c r="I104" s="221">
        <f t="shared" ref="I104:I105" si="180">AVERAGE(P104,U104,Z104,AE104,AJ104,AO104,AT104)</f>
        <v>15.142857142857142</v>
      </c>
      <c r="J104" s="221">
        <f t="shared" ref="J104:J105" si="181">AVERAGE(Q104,V104,AA104,AF104,AK104,AP104,AU104)</f>
        <v>1450.7142857142858</v>
      </c>
      <c r="K104" s="222">
        <f t="shared" ref="K104:K105" si="182">AVERAGE(R104,W104,AB104,AG104,AL104,AQ104,AV104)</f>
        <v>95.834523809523816</v>
      </c>
      <c r="L104" s="461"/>
      <c r="M104" s="221">
        <f>RANK(K104, K$99:$K$116)</f>
        <v>10</v>
      </c>
      <c r="N104" s="463"/>
      <c r="O104" s="463"/>
      <c r="P104" s="221">
        <v>15</v>
      </c>
      <c r="Q104" s="221">
        <v>1424</v>
      </c>
      <c r="R104" s="382">
        <f t="shared" ref="R104:R105" si="183">Q104/P104</f>
        <v>94.933333333333337</v>
      </c>
      <c r="S104" s="220">
        <f t="shared" ref="S104:S105" si="184">RANK(R104,$R$99:$R$116)</f>
        <v>11</v>
      </c>
      <c r="T104" s="461"/>
      <c r="U104" s="383">
        <v>16</v>
      </c>
      <c r="V104" s="221">
        <v>1478</v>
      </c>
      <c r="W104" s="382">
        <f t="shared" ref="W104:W105" si="185">V104/U104</f>
        <v>92.375</v>
      </c>
      <c r="X104" s="220">
        <f t="shared" ref="X104:X105" si="186">RANK(W104,$W$99:$W$116)</f>
        <v>11</v>
      </c>
      <c r="Y104" s="461"/>
      <c r="Z104" s="221">
        <v>15</v>
      </c>
      <c r="AA104" s="221">
        <v>1492</v>
      </c>
      <c r="AB104" s="382">
        <f t="shared" si="170"/>
        <v>99.466666666666669</v>
      </c>
      <c r="AC104" s="220">
        <f t="shared" si="171"/>
        <v>10</v>
      </c>
      <c r="AD104" s="461"/>
      <c r="AE104" s="221">
        <v>15</v>
      </c>
      <c r="AF104" s="221">
        <v>1489</v>
      </c>
      <c r="AG104" s="382">
        <f t="shared" ref="AG104:AG112" si="187">AF104/AE104</f>
        <v>99.266666666666666</v>
      </c>
      <c r="AH104" s="220">
        <f t="shared" ref="AH104:AH112" si="188">RANK(AG104,$AG$99:$AG$116)</f>
        <v>8</v>
      </c>
      <c r="AI104" s="461"/>
      <c r="AJ104" s="221">
        <v>15</v>
      </c>
      <c r="AK104" s="221">
        <v>1395</v>
      </c>
      <c r="AL104" s="382">
        <f t="shared" ref="AL104:AL112" si="189">AK104/AJ104</f>
        <v>93</v>
      </c>
      <c r="AM104" s="220">
        <f t="shared" ref="AM104:AM112" si="190">RANK(AL104,$AL$99:$AL$116)</f>
        <v>11</v>
      </c>
      <c r="AN104" s="461"/>
      <c r="AO104" s="221">
        <v>15</v>
      </c>
      <c r="AP104" s="221">
        <v>1447</v>
      </c>
      <c r="AQ104" s="382">
        <f t="shared" ref="AQ104:AQ112" si="191">AP104/AO104</f>
        <v>96.466666666666669</v>
      </c>
      <c r="AR104" s="220">
        <f t="shared" ref="AR104:AR112" si="192">RANK(AQ104,$AQ$99:$AQ$116)</f>
        <v>10</v>
      </c>
      <c r="AS104" s="461"/>
      <c r="AT104" s="221">
        <v>15</v>
      </c>
      <c r="AU104" s="221">
        <v>1430</v>
      </c>
      <c r="AV104" s="382">
        <f t="shared" ref="AV104:AV112" si="193">AU104/AT104</f>
        <v>95.333333333333329</v>
      </c>
      <c r="AW104" s="220">
        <f t="shared" ref="AW104:AW112" si="194">RANK(AV104,$AV$99:$AV$116)</f>
        <v>10</v>
      </c>
      <c r="AX104" s="461"/>
    </row>
    <row r="105" spans="1:50">
      <c r="B105" s="482"/>
      <c r="C105" s="220">
        <v>7</v>
      </c>
      <c r="D105" s="220" t="s">
        <v>366</v>
      </c>
      <c r="E105" s="221">
        <f>VLOOKUP(D105,'12產線配置圖'!$A$2:$C$25,2,0)</f>
        <v>17</v>
      </c>
      <c r="F105" s="221">
        <f>VLOOKUP(D105,'12產線配置圖'!$A$2:$C$25,3,0)</f>
        <v>1714</v>
      </c>
      <c r="G105" s="222">
        <f t="shared" si="162"/>
        <v>100.82352941176471</v>
      </c>
      <c r="H105" s="461"/>
      <c r="I105" s="221">
        <f t="shared" si="180"/>
        <v>14.8</v>
      </c>
      <c r="J105" s="221">
        <f t="shared" si="181"/>
        <v>1330.4</v>
      </c>
      <c r="K105" s="222">
        <f t="shared" si="182"/>
        <v>89.293311786252971</v>
      </c>
      <c r="L105" s="461"/>
      <c r="M105" s="221">
        <f>RANK(K105, K$99:$K$116)</f>
        <v>11</v>
      </c>
      <c r="N105" s="463"/>
      <c r="O105" s="463"/>
      <c r="P105" s="398">
        <v>14</v>
      </c>
      <c r="Q105" s="221">
        <v>1341</v>
      </c>
      <c r="R105" s="222">
        <f t="shared" si="183"/>
        <v>95.785714285714292</v>
      </c>
      <c r="S105" s="220">
        <f t="shared" si="184"/>
        <v>10</v>
      </c>
      <c r="T105" s="461"/>
      <c r="U105" s="221">
        <v>17</v>
      </c>
      <c r="V105" s="221">
        <v>1691</v>
      </c>
      <c r="W105" s="222">
        <f t="shared" si="185"/>
        <v>99.470588235294116</v>
      </c>
      <c r="X105" s="220">
        <f t="shared" si="186"/>
        <v>9</v>
      </c>
      <c r="Y105" s="461"/>
      <c r="Z105" s="398">
        <v>15</v>
      </c>
      <c r="AA105" s="221">
        <v>1379</v>
      </c>
      <c r="AB105" s="222">
        <f>AA105/Z105</f>
        <v>91.933333333333337</v>
      </c>
      <c r="AC105" s="220">
        <f>RANK(AB105, $AB$99:$AB$116)</f>
        <v>11</v>
      </c>
      <c r="AD105" s="461"/>
      <c r="AE105" s="221">
        <v>15</v>
      </c>
      <c r="AF105" s="221">
        <v>1278</v>
      </c>
      <c r="AG105" s="382">
        <f t="shared" si="187"/>
        <v>85.2</v>
      </c>
      <c r="AH105" s="220">
        <f t="shared" si="188"/>
        <v>11</v>
      </c>
      <c r="AI105" s="461"/>
      <c r="AJ105" s="398">
        <v>13</v>
      </c>
      <c r="AK105" s="221">
        <v>963</v>
      </c>
      <c r="AL105" s="382">
        <f t="shared" si="189"/>
        <v>74.07692307692308</v>
      </c>
      <c r="AM105" s="220">
        <f t="shared" si="190"/>
        <v>13</v>
      </c>
      <c r="AN105" s="461"/>
      <c r="AO105" s="221"/>
      <c r="AP105" s="221"/>
      <c r="AQ105" s="222"/>
      <c r="AR105" s="220"/>
      <c r="AS105" s="461"/>
      <c r="AT105" s="221"/>
      <c r="AU105" s="221"/>
      <c r="AV105" s="222"/>
      <c r="AW105" s="220"/>
      <c r="AX105" s="461"/>
    </row>
    <row r="106" spans="1:50">
      <c r="B106" s="482"/>
      <c r="C106" s="220">
        <v>8</v>
      </c>
      <c r="D106" s="220" t="s">
        <v>82</v>
      </c>
      <c r="E106" s="221">
        <f>VLOOKUP(D106,'12產線配置圖'!$A$2:$C$25,2,0)</f>
        <v>16</v>
      </c>
      <c r="F106" s="221">
        <f>VLOOKUP(D106,'12產線配置圖'!$A$2:$C$25,3,0)</f>
        <v>1406</v>
      </c>
      <c r="G106" s="222">
        <f t="shared" si="162"/>
        <v>87.875</v>
      </c>
      <c r="H106" s="461"/>
      <c r="I106" s="221">
        <f t="shared" si="163"/>
        <v>13.285714285714286</v>
      </c>
      <c r="J106" s="221">
        <f t="shared" si="164"/>
        <v>1057.1428571428571</v>
      </c>
      <c r="K106" s="222">
        <f t="shared" si="165"/>
        <v>78.639248006895073</v>
      </c>
      <c r="L106" s="461"/>
      <c r="M106" s="221">
        <f>RANK(K106, K$99:$K$116)</f>
        <v>14</v>
      </c>
      <c r="N106" s="463"/>
      <c r="O106" s="463"/>
      <c r="P106" s="398">
        <v>12</v>
      </c>
      <c r="Q106" s="221">
        <v>1046</v>
      </c>
      <c r="R106" s="222">
        <f t="shared" si="166"/>
        <v>87.166666666666671</v>
      </c>
      <c r="S106" s="220">
        <f t="shared" si="167"/>
        <v>12</v>
      </c>
      <c r="T106" s="461"/>
      <c r="U106" s="398">
        <v>13</v>
      </c>
      <c r="V106" s="221">
        <v>943</v>
      </c>
      <c r="W106" s="382">
        <f t="shared" si="168"/>
        <v>72.538461538461533</v>
      </c>
      <c r="X106" s="220">
        <f t="shared" si="169"/>
        <v>14</v>
      </c>
      <c r="Y106" s="461"/>
      <c r="Z106" s="398">
        <v>13</v>
      </c>
      <c r="AA106" s="221">
        <v>928</v>
      </c>
      <c r="AB106" s="382">
        <f t="shared" si="170"/>
        <v>71.384615384615387</v>
      </c>
      <c r="AC106" s="220">
        <f t="shared" si="171"/>
        <v>14</v>
      </c>
      <c r="AD106" s="461"/>
      <c r="AE106" s="398">
        <v>13</v>
      </c>
      <c r="AF106" s="221">
        <v>982</v>
      </c>
      <c r="AG106" s="382">
        <f t="shared" si="187"/>
        <v>75.538461538461533</v>
      </c>
      <c r="AH106" s="220">
        <f t="shared" si="188"/>
        <v>14</v>
      </c>
      <c r="AI106" s="461"/>
      <c r="AJ106" s="221">
        <v>17</v>
      </c>
      <c r="AK106" s="221">
        <v>1706</v>
      </c>
      <c r="AL106" s="222">
        <f t="shared" si="189"/>
        <v>100.35294117647059</v>
      </c>
      <c r="AM106" s="220">
        <f t="shared" si="190"/>
        <v>9</v>
      </c>
      <c r="AN106" s="461"/>
      <c r="AO106" s="398">
        <v>12</v>
      </c>
      <c r="AP106" s="221">
        <v>845</v>
      </c>
      <c r="AQ106" s="382">
        <f t="shared" si="191"/>
        <v>70.416666666666671</v>
      </c>
      <c r="AR106" s="220">
        <f t="shared" si="192"/>
        <v>13</v>
      </c>
      <c r="AS106" s="461"/>
      <c r="AT106" s="398">
        <v>13</v>
      </c>
      <c r="AU106" s="221">
        <v>950</v>
      </c>
      <c r="AV106" s="382">
        <f t="shared" si="193"/>
        <v>73.07692307692308</v>
      </c>
      <c r="AW106" s="220">
        <f t="shared" si="194"/>
        <v>13</v>
      </c>
      <c r="AX106" s="461"/>
    </row>
    <row r="107" spans="1:50">
      <c r="B107" s="482"/>
      <c r="C107" s="220">
        <v>9</v>
      </c>
      <c r="D107" s="220" t="s">
        <v>84</v>
      </c>
      <c r="E107" s="221">
        <f>VLOOKUP(D107,'12產線配置圖'!$A$2:$C$25,2,0)</f>
        <v>17</v>
      </c>
      <c r="F107" s="221">
        <f>VLOOKUP(D107,'12產線配置圖'!$A$2:$C$25,3,0)</f>
        <v>1440</v>
      </c>
      <c r="G107" s="222">
        <f>F107/E107</f>
        <v>84.705882352941174</v>
      </c>
      <c r="H107" s="461"/>
      <c r="I107" s="221">
        <f t="shared" si="163"/>
        <v>15.142857142857142</v>
      </c>
      <c r="J107" s="221">
        <f t="shared" si="164"/>
        <v>1216.8571428571429</v>
      </c>
      <c r="K107" s="222">
        <f t="shared" si="165"/>
        <v>80.319242697078835</v>
      </c>
      <c r="L107" s="461"/>
      <c r="M107" s="221">
        <f>RANK(K107, K$99:$K$116)</f>
        <v>13</v>
      </c>
      <c r="N107" s="463"/>
      <c r="O107" s="463"/>
      <c r="P107" s="398">
        <v>15</v>
      </c>
      <c r="Q107" s="221">
        <v>1249</v>
      </c>
      <c r="R107" s="382">
        <f t="shared" si="166"/>
        <v>83.266666666666666</v>
      </c>
      <c r="S107" s="220">
        <f t="shared" si="167"/>
        <v>13</v>
      </c>
      <c r="T107" s="461"/>
      <c r="U107" s="221">
        <v>17</v>
      </c>
      <c r="V107" s="221">
        <v>1432</v>
      </c>
      <c r="W107" s="222">
        <f t="shared" si="168"/>
        <v>84.235294117647058</v>
      </c>
      <c r="X107" s="220">
        <f t="shared" si="169"/>
        <v>13</v>
      </c>
      <c r="Y107" s="461"/>
      <c r="Z107" s="398">
        <v>16</v>
      </c>
      <c r="AA107" s="221">
        <v>1279</v>
      </c>
      <c r="AB107" s="382">
        <f t="shared" si="170"/>
        <v>79.9375</v>
      </c>
      <c r="AC107" s="220">
        <f t="shared" si="171"/>
        <v>12</v>
      </c>
      <c r="AD107" s="461"/>
      <c r="AE107" s="398">
        <v>14</v>
      </c>
      <c r="AF107" s="221">
        <v>1139</v>
      </c>
      <c r="AG107" s="222">
        <f t="shared" si="187"/>
        <v>81.357142857142861</v>
      </c>
      <c r="AH107" s="220">
        <f t="shared" si="188"/>
        <v>12</v>
      </c>
      <c r="AI107" s="461"/>
      <c r="AJ107" s="398">
        <v>15</v>
      </c>
      <c r="AK107" s="221">
        <v>1084</v>
      </c>
      <c r="AL107" s="382">
        <f t="shared" si="189"/>
        <v>72.266666666666666</v>
      </c>
      <c r="AM107" s="220">
        <f t="shared" si="190"/>
        <v>14</v>
      </c>
      <c r="AN107" s="461"/>
      <c r="AO107" s="398">
        <v>15</v>
      </c>
      <c r="AP107" s="221">
        <v>1179</v>
      </c>
      <c r="AQ107" s="382">
        <f t="shared" si="191"/>
        <v>78.599999999999994</v>
      </c>
      <c r="AR107" s="220">
        <f t="shared" si="192"/>
        <v>12</v>
      </c>
      <c r="AS107" s="461"/>
      <c r="AT107" s="398">
        <v>14</v>
      </c>
      <c r="AU107" s="221">
        <v>1156</v>
      </c>
      <c r="AV107" s="382">
        <f t="shared" si="193"/>
        <v>82.571428571428569</v>
      </c>
      <c r="AW107" s="220">
        <f t="shared" si="194"/>
        <v>12</v>
      </c>
      <c r="AX107" s="461"/>
    </row>
    <row r="108" spans="1:50">
      <c r="B108" s="482"/>
      <c r="C108" s="220">
        <v>10</v>
      </c>
      <c r="D108" s="220" t="s">
        <v>86</v>
      </c>
      <c r="E108" s="221">
        <f>VLOOKUP(D108,'12產線配置圖'!$A$2:$C$25,2,0)</f>
        <v>17</v>
      </c>
      <c r="F108" s="221">
        <f>VLOOKUP(D108,'12產線配置圖'!$A$2:$C$25,3,0)</f>
        <v>1565</v>
      </c>
      <c r="G108" s="222">
        <f t="shared" si="162"/>
        <v>92.058823529411768</v>
      </c>
      <c r="H108" s="461"/>
      <c r="I108" s="221">
        <f t="shared" si="163"/>
        <v>16.428571428571427</v>
      </c>
      <c r="J108" s="221">
        <f t="shared" si="164"/>
        <v>1374.2857142857142</v>
      </c>
      <c r="K108" s="222">
        <f t="shared" si="165"/>
        <v>83.654166666666669</v>
      </c>
      <c r="L108" s="461"/>
      <c r="M108" s="221">
        <f>RANK(K108, K$99:$K$116)</f>
        <v>12</v>
      </c>
      <c r="N108" s="463"/>
      <c r="O108" s="463"/>
      <c r="P108" s="398">
        <v>17</v>
      </c>
      <c r="Q108" s="221">
        <v>1333</v>
      </c>
      <c r="R108" s="382">
        <f t="shared" si="166"/>
        <v>78.411764705882348</v>
      </c>
      <c r="S108" s="220">
        <f t="shared" si="167"/>
        <v>14</v>
      </c>
      <c r="T108" s="461"/>
      <c r="U108" s="221">
        <v>17</v>
      </c>
      <c r="V108" s="221">
        <v>1551</v>
      </c>
      <c r="W108" s="222">
        <f t="shared" si="168"/>
        <v>91.235294117647058</v>
      </c>
      <c r="X108" s="220">
        <f t="shared" si="169"/>
        <v>12</v>
      </c>
      <c r="Y108" s="461"/>
      <c r="Z108" s="221">
        <v>17</v>
      </c>
      <c r="AA108" s="221">
        <v>1299</v>
      </c>
      <c r="AB108" s="382">
        <f t="shared" si="170"/>
        <v>76.411764705882348</v>
      </c>
      <c r="AC108" s="220">
        <f t="shared" si="171"/>
        <v>13</v>
      </c>
      <c r="AD108" s="461"/>
      <c r="AE108" s="398">
        <v>15</v>
      </c>
      <c r="AF108" s="221">
        <v>1219</v>
      </c>
      <c r="AG108" s="222">
        <f t="shared" si="187"/>
        <v>81.266666666666666</v>
      </c>
      <c r="AH108" s="220">
        <f t="shared" si="188"/>
        <v>13</v>
      </c>
      <c r="AI108" s="461"/>
      <c r="AJ108" s="221">
        <v>17</v>
      </c>
      <c r="AK108" s="221">
        <v>1461</v>
      </c>
      <c r="AL108" s="222">
        <f t="shared" si="189"/>
        <v>85.941176470588232</v>
      </c>
      <c r="AM108" s="220">
        <f t="shared" si="190"/>
        <v>12</v>
      </c>
      <c r="AN108" s="461"/>
      <c r="AO108" s="398">
        <v>16</v>
      </c>
      <c r="AP108" s="221">
        <v>1406</v>
      </c>
      <c r="AQ108" s="222">
        <f t="shared" si="191"/>
        <v>87.875</v>
      </c>
      <c r="AR108" s="220">
        <f t="shared" si="192"/>
        <v>11</v>
      </c>
      <c r="AS108" s="461"/>
      <c r="AT108" s="398">
        <v>16</v>
      </c>
      <c r="AU108" s="221">
        <v>1351</v>
      </c>
      <c r="AV108" s="382">
        <f t="shared" si="193"/>
        <v>84.4375</v>
      </c>
      <c r="AW108" s="220">
        <f t="shared" si="194"/>
        <v>11</v>
      </c>
      <c r="AX108" s="461"/>
    </row>
    <row r="109" spans="1:50">
      <c r="B109" s="482"/>
      <c r="C109" s="220">
        <v>11</v>
      </c>
      <c r="D109" s="220" t="s">
        <v>368</v>
      </c>
      <c r="E109" s="221">
        <f>VLOOKUP(D109,'12產線配置圖'!$A$2:$C$25,2,0)</f>
        <v>13</v>
      </c>
      <c r="F109" s="221">
        <f>VLOOKUP(D109,'12產線配置圖'!$A$2:$C$25,3,0)</f>
        <v>1440</v>
      </c>
      <c r="G109" s="222">
        <f t="shared" ref="G109:G110" si="195">F109/E109</f>
        <v>110.76923076923077</v>
      </c>
      <c r="H109" s="461"/>
      <c r="I109" s="221">
        <f t="shared" si="163"/>
        <v>11.857142857142858</v>
      </c>
      <c r="J109" s="221">
        <f t="shared" si="164"/>
        <v>1250.1428571428571</v>
      </c>
      <c r="K109" s="222">
        <f t="shared" si="165"/>
        <v>105.66813186813188</v>
      </c>
      <c r="L109" s="461"/>
      <c r="M109" s="221">
        <f>RANK(K109, K$99:$K$116)</f>
        <v>7</v>
      </c>
      <c r="N109" s="463"/>
      <c r="O109" s="463"/>
      <c r="P109" s="397">
        <v>10</v>
      </c>
      <c r="Q109" s="220">
        <v>1106</v>
      </c>
      <c r="R109" s="222">
        <f t="shared" si="166"/>
        <v>110.6</v>
      </c>
      <c r="S109" s="220">
        <f t="shared" si="167"/>
        <v>5</v>
      </c>
      <c r="T109" s="461"/>
      <c r="U109" s="397">
        <v>12</v>
      </c>
      <c r="V109" s="220">
        <v>1293</v>
      </c>
      <c r="W109" s="222">
        <f t="shared" si="168"/>
        <v>107.75</v>
      </c>
      <c r="X109" s="220">
        <f t="shared" si="169"/>
        <v>5</v>
      </c>
      <c r="Y109" s="461"/>
      <c r="Z109" s="220">
        <v>13</v>
      </c>
      <c r="AA109" s="220">
        <v>1325</v>
      </c>
      <c r="AB109" s="222">
        <f t="shared" si="170"/>
        <v>101.92307692307692</v>
      </c>
      <c r="AC109" s="220">
        <f t="shared" si="171"/>
        <v>9</v>
      </c>
      <c r="AD109" s="461"/>
      <c r="AE109" s="220">
        <v>13</v>
      </c>
      <c r="AF109" s="220">
        <v>1332</v>
      </c>
      <c r="AG109" s="222">
        <f t="shared" si="187"/>
        <v>102.46153846153847</v>
      </c>
      <c r="AH109" s="220">
        <f t="shared" si="188"/>
        <v>6</v>
      </c>
      <c r="AI109" s="461"/>
      <c r="AJ109" s="397">
        <v>12</v>
      </c>
      <c r="AK109" s="220">
        <v>1305</v>
      </c>
      <c r="AL109" s="222">
        <f t="shared" si="189"/>
        <v>108.75</v>
      </c>
      <c r="AM109" s="220">
        <f t="shared" si="190"/>
        <v>6</v>
      </c>
      <c r="AN109" s="461"/>
      <c r="AO109" s="220">
        <v>13</v>
      </c>
      <c r="AP109" s="220">
        <v>1335</v>
      </c>
      <c r="AQ109" s="222">
        <f t="shared" si="191"/>
        <v>102.69230769230769</v>
      </c>
      <c r="AR109" s="220">
        <f t="shared" si="192"/>
        <v>7</v>
      </c>
      <c r="AS109" s="461"/>
      <c r="AT109" s="397">
        <v>10</v>
      </c>
      <c r="AU109" s="220">
        <v>1055</v>
      </c>
      <c r="AV109" s="222">
        <f t="shared" si="193"/>
        <v>105.5</v>
      </c>
      <c r="AW109" s="220">
        <f t="shared" si="194"/>
        <v>6</v>
      </c>
      <c r="AX109" s="461"/>
    </row>
    <row r="110" spans="1:50">
      <c r="B110" s="482"/>
      <c r="C110" s="220">
        <v>12</v>
      </c>
      <c r="D110" s="220" t="s">
        <v>187</v>
      </c>
      <c r="E110" s="221">
        <f>VLOOKUP(D110,'12產線配置圖'!$A$2:$C$25,2,0)</f>
        <v>15</v>
      </c>
      <c r="F110" s="221">
        <f>VLOOKUP(D110,'12產線配置圖'!$A$2:$C$25,3,0)</f>
        <v>1800</v>
      </c>
      <c r="G110" s="222">
        <f t="shared" si="195"/>
        <v>120</v>
      </c>
      <c r="H110" s="461"/>
      <c r="I110" s="221">
        <f>AVERAGE(P110,U110,Z110,AE110,AJ110,AO110,AT110)</f>
        <v>15</v>
      </c>
      <c r="J110" s="221">
        <f>AVERAGE(Q110,V110,AA110,AF110,AK110,AP110,AU110)</f>
        <v>1594.8571428571429</v>
      </c>
      <c r="K110" s="222">
        <f t="shared" si="165"/>
        <v>106.32380952380952</v>
      </c>
      <c r="L110" s="461"/>
      <c r="M110" s="221">
        <f>RANK(K110, K$99:$K$116)</f>
        <v>5</v>
      </c>
      <c r="N110" s="463"/>
      <c r="O110" s="463"/>
      <c r="P110" s="220">
        <v>15</v>
      </c>
      <c r="Q110" s="220">
        <v>1567</v>
      </c>
      <c r="R110" s="222">
        <f>Q110/P110</f>
        <v>104.46666666666667</v>
      </c>
      <c r="S110" s="220">
        <f>RANK(R110,$R$99:$R$116)</f>
        <v>7</v>
      </c>
      <c r="T110" s="461"/>
      <c r="U110" s="220">
        <v>15</v>
      </c>
      <c r="V110" s="220">
        <v>1539</v>
      </c>
      <c r="W110" s="382">
        <f>V110/U110</f>
        <v>102.6</v>
      </c>
      <c r="X110" s="220">
        <f>RANK(W110,$W$99:$W$116)</f>
        <v>7</v>
      </c>
      <c r="Y110" s="461"/>
      <c r="Z110" s="220">
        <v>15</v>
      </c>
      <c r="AA110" s="220">
        <v>1554</v>
      </c>
      <c r="AB110" s="382">
        <f>AA110/Z110</f>
        <v>103.6</v>
      </c>
      <c r="AC110" s="220">
        <f>RANK(AB110, $AB$99:$AB$116)</f>
        <v>6</v>
      </c>
      <c r="AD110" s="461"/>
      <c r="AE110" s="220">
        <v>15</v>
      </c>
      <c r="AF110" s="220">
        <v>1416</v>
      </c>
      <c r="AG110" s="382">
        <f t="shared" si="187"/>
        <v>94.4</v>
      </c>
      <c r="AH110" s="220">
        <f t="shared" si="188"/>
        <v>10</v>
      </c>
      <c r="AI110" s="461"/>
      <c r="AJ110" s="220">
        <v>15</v>
      </c>
      <c r="AK110" s="220">
        <v>1691</v>
      </c>
      <c r="AL110" s="222">
        <f t="shared" si="189"/>
        <v>112.73333333333333</v>
      </c>
      <c r="AM110" s="220">
        <f t="shared" si="190"/>
        <v>5</v>
      </c>
      <c r="AN110" s="461"/>
      <c r="AO110" s="220">
        <v>15</v>
      </c>
      <c r="AP110" s="220">
        <v>1740</v>
      </c>
      <c r="AQ110" s="222">
        <f t="shared" si="191"/>
        <v>116</v>
      </c>
      <c r="AR110" s="220">
        <f t="shared" si="192"/>
        <v>5</v>
      </c>
      <c r="AS110" s="461"/>
      <c r="AT110" s="220">
        <v>15</v>
      </c>
      <c r="AU110" s="220">
        <v>1657</v>
      </c>
      <c r="AV110" s="222">
        <f t="shared" si="193"/>
        <v>110.46666666666667</v>
      </c>
      <c r="AW110" s="220">
        <f t="shared" si="194"/>
        <v>5</v>
      </c>
      <c r="AX110" s="461"/>
    </row>
    <row r="111" spans="1:50">
      <c r="B111" s="482"/>
      <c r="C111" s="220">
        <v>13</v>
      </c>
      <c r="D111" s="220" t="s">
        <v>80</v>
      </c>
      <c r="E111" s="221">
        <f>VLOOKUP(D111,'12產線配置圖'!$A$2:$C$25,2,0)</f>
        <v>16</v>
      </c>
      <c r="F111" s="221">
        <f>VLOOKUP(D111,'12產線配置圖'!$A$2:$C$25,3,0)</f>
        <v>1714</v>
      </c>
      <c r="G111" s="222">
        <f>F111/E111</f>
        <v>107.125</v>
      </c>
      <c r="H111" s="461"/>
      <c r="I111" s="221">
        <f t="shared" ref="I111:I112" si="196">AVERAGE(P111,U111,Z111,AE111,AJ111,AO111,AT111)</f>
        <v>15</v>
      </c>
      <c r="J111" s="221">
        <f t="shared" ref="J111:J112" si="197">AVERAGE(Q111,V111,AA111,AF111,AK111,AP111,AU111)</f>
        <v>1499.5714285714287</v>
      </c>
      <c r="K111" s="222">
        <f t="shared" ref="K111:K112" si="198">AVERAGE(R111,W111,AB111,AG111,AL111,AQ111,AV111)</f>
        <v>99.96794871794873</v>
      </c>
      <c r="L111" s="461"/>
      <c r="M111" s="221">
        <f>RANK(K111, K$99:$K$116)</f>
        <v>8</v>
      </c>
      <c r="N111" s="463"/>
      <c r="O111" s="463"/>
      <c r="P111" s="397">
        <v>15</v>
      </c>
      <c r="Q111" s="220">
        <v>1495</v>
      </c>
      <c r="R111" s="222">
        <f>Q111/P111</f>
        <v>99.666666666666671</v>
      </c>
      <c r="S111" s="220">
        <f t="shared" ref="S111:S112" si="199">RANK(R111,$R$99:$R$116)</f>
        <v>9</v>
      </c>
      <c r="T111" s="461"/>
      <c r="U111" s="220">
        <v>16</v>
      </c>
      <c r="V111" s="220">
        <v>1597</v>
      </c>
      <c r="W111" s="392">
        <f>V111/U111</f>
        <v>99.8125</v>
      </c>
      <c r="X111" s="220">
        <f>RANK(W111,$W$99:$W$116)</f>
        <v>8</v>
      </c>
      <c r="Y111" s="461"/>
      <c r="Z111" s="220">
        <v>16</v>
      </c>
      <c r="AA111" s="220">
        <v>1631</v>
      </c>
      <c r="AB111" s="222">
        <f t="shared" si="170"/>
        <v>101.9375</v>
      </c>
      <c r="AC111" s="220">
        <f t="shared" si="171"/>
        <v>8</v>
      </c>
      <c r="AD111" s="461"/>
      <c r="AE111" s="397">
        <v>13</v>
      </c>
      <c r="AF111" s="220">
        <v>1309</v>
      </c>
      <c r="AG111" s="222">
        <f t="shared" si="187"/>
        <v>100.69230769230769</v>
      </c>
      <c r="AH111" s="220">
        <f t="shared" si="188"/>
        <v>7</v>
      </c>
      <c r="AI111" s="461"/>
      <c r="AJ111" s="397">
        <v>15</v>
      </c>
      <c r="AK111" s="220">
        <v>1533</v>
      </c>
      <c r="AL111" s="222">
        <f t="shared" si="189"/>
        <v>102.2</v>
      </c>
      <c r="AM111" s="220">
        <f t="shared" si="190"/>
        <v>7</v>
      </c>
      <c r="AN111" s="461"/>
      <c r="AO111" s="397">
        <v>15</v>
      </c>
      <c r="AP111" s="220">
        <v>1487</v>
      </c>
      <c r="AQ111" s="222">
        <f t="shared" si="191"/>
        <v>99.13333333333334</v>
      </c>
      <c r="AR111" s="220">
        <f t="shared" si="192"/>
        <v>9</v>
      </c>
      <c r="AS111" s="461"/>
      <c r="AT111" s="397">
        <v>15</v>
      </c>
      <c r="AU111" s="220">
        <v>1445</v>
      </c>
      <c r="AV111" s="222">
        <f t="shared" si="193"/>
        <v>96.333333333333329</v>
      </c>
      <c r="AW111" s="220">
        <f t="shared" si="194"/>
        <v>9</v>
      </c>
      <c r="AX111" s="461"/>
    </row>
    <row r="112" spans="1:50">
      <c r="B112" s="482"/>
      <c r="C112" s="220">
        <v>14</v>
      </c>
      <c r="D112" s="220" t="s">
        <v>78</v>
      </c>
      <c r="E112" s="221">
        <f>VLOOKUP(D112,'12產線配置圖'!$A$2:$C$25,2,0)</f>
        <v>14</v>
      </c>
      <c r="F112" s="221">
        <f>VLOOKUP(D112,'12產線配置圖'!$A$2:$C$25,3,0)</f>
        <v>2100</v>
      </c>
      <c r="G112" s="222">
        <f>F112/E112</f>
        <v>150</v>
      </c>
      <c r="H112" s="461"/>
      <c r="I112" s="221">
        <f t="shared" si="196"/>
        <v>13.714285714285714</v>
      </c>
      <c r="J112" s="221">
        <f t="shared" si="197"/>
        <v>1988.8571428571429</v>
      </c>
      <c r="K112" s="222">
        <f t="shared" si="198"/>
        <v>144.95054945054946</v>
      </c>
      <c r="L112" s="461"/>
      <c r="M112" s="221">
        <f>RANK(K112, K$99:$K$116)</f>
        <v>4</v>
      </c>
      <c r="N112" s="463"/>
      <c r="O112" s="463"/>
      <c r="P112" s="397">
        <v>14</v>
      </c>
      <c r="Q112" s="220">
        <v>2056</v>
      </c>
      <c r="R112" s="222">
        <f>Q112/P112</f>
        <v>146.85714285714286</v>
      </c>
      <c r="S112" s="220">
        <f t="shared" si="199"/>
        <v>3</v>
      </c>
      <c r="T112" s="461"/>
      <c r="U112" s="397">
        <v>14</v>
      </c>
      <c r="V112" s="220">
        <v>2038</v>
      </c>
      <c r="W112" s="392">
        <f>V112/U112</f>
        <v>145.57142857142858</v>
      </c>
      <c r="X112" s="220">
        <f>RANK(W112,$W$99:$W$116)</f>
        <v>4</v>
      </c>
      <c r="Y112" s="461"/>
      <c r="Z112" s="397">
        <v>14</v>
      </c>
      <c r="AA112" s="220">
        <v>2040</v>
      </c>
      <c r="AB112" s="222">
        <f>AA112/Z112</f>
        <v>145.71428571428572</v>
      </c>
      <c r="AC112" s="220">
        <f>RANK(AB112, $AB$99:$AB$116)</f>
        <v>4</v>
      </c>
      <c r="AD112" s="461"/>
      <c r="AE112" s="397">
        <v>13</v>
      </c>
      <c r="AF112" s="220">
        <v>1825</v>
      </c>
      <c r="AG112" s="222">
        <f t="shared" si="187"/>
        <v>140.38461538461539</v>
      </c>
      <c r="AH112" s="220">
        <f t="shared" si="188"/>
        <v>3</v>
      </c>
      <c r="AI112" s="461"/>
      <c r="AJ112" s="397">
        <v>14</v>
      </c>
      <c r="AK112" s="220">
        <v>2094</v>
      </c>
      <c r="AL112" s="222">
        <f t="shared" si="189"/>
        <v>149.57142857142858</v>
      </c>
      <c r="AM112" s="220">
        <f t="shared" si="190"/>
        <v>4</v>
      </c>
      <c r="AN112" s="461"/>
      <c r="AO112" s="397">
        <v>14</v>
      </c>
      <c r="AP112" s="220">
        <v>2013</v>
      </c>
      <c r="AQ112" s="222">
        <f t="shared" si="191"/>
        <v>143.78571428571428</v>
      </c>
      <c r="AR112" s="220">
        <f t="shared" si="192"/>
        <v>4</v>
      </c>
      <c r="AS112" s="461"/>
      <c r="AT112" s="397">
        <v>13</v>
      </c>
      <c r="AU112" s="220">
        <v>1856</v>
      </c>
      <c r="AV112" s="222">
        <f t="shared" si="193"/>
        <v>142.76923076923077</v>
      </c>
      <c r="AW112" s="220">
        <f t="shared" si="194"/>
        <v>4</v>
      </c>
      <c r="AX112" s="461"/>
    </row>
    <row r="113" spans="2:50">
      <c r="B113" s="482"/>
      <c r="C113" s="220">
        <v>15</v>
      </c>
      <c r="D113" s="220"/>
      <c r="E113" s="221"/>
      <c r="F113" s="221"/>
      <c r="G113" s="222"/>
      <c r="H113" s="461"/>
      <c r="I113" s="221"/>
      <c r="J113" s="221"/>
      <c r="K113" s="222"/>
      <c r="L113" s="461"/>
      <c r="M113" s="221"/>
      <c r="N113" s="463"/>
      <c r="O113" s="463"/>
      <c r="P113" s="220"/>
      <c r="Q113" s="220"/>
      <c r="R113" s="222"/>
      <c r="S113" s="220"/>
      <c r="T113" s="461"/>
      <c r="U113" s="220"/>
      <c r="V113" s="220"/>
      <c r="W113" s="222"/>
      <c r="X113" s="220"/>
      <c r="Y113" s="461"/>
      <c r="Z113" s="220"/>
      <c r="AA113" s="220"/>
      <c r="AB113" s="222"/>
      <c r="AC113" s="220"/>
      <c r="AD113" s="461"/>
      <c r="AE113" s="220"/>
      <c r="AF113" s="220"/>
      <c r="AG113" s="222"/>
      <c r="AH113" s="220"/>
      <c r="AI113" s="461"/>
      <c r="AJ113" s="220"/>
      <c r="AK113" s="220"/>
      <c r="AL113" s="222"/>
      <c r="AM113" s="220"/>
      <c r="AN113" s="461"/>
      <c r="AO113" s="220"/>
      <c r="AP113" s="220"/>
      <c r="AQ113" s="222"/>
      <c r="AR113" s="220"/>
      <c r="AS113" s="461"/>
      <c r="AT113" s="220"/>
      <c r="AU113" s="220"/>
      <c r="AV113" s="222"/>
      <c r="AW113" s="220"/>
      <c r="AX113" s="461"/>
    </row>
    <row r="114" spans="2:50">
      <c r="B114" s="482"/>
      <c r="C114" s="220">
        <v>16</v>
      </c>
      <c r="D114" s="220"/>
      <c r="E114" s="221"/>
      <c r="F114" s="221"/>
      <c r="G114" s="222"/>
      <c r="H114" s="461"/>
      <c r="I114" s="221"/>
      <c r="J114" s="221"/>
      <c r="K114" s="222"/>
      <c r="L114" s="461"/>
      <c r="M114" s="221"/>
      <c r="N114" s="463"/>
      <c r="O114" s="463"/>
      <c r="P114" s="220"/>
      <c r="Q114" s="220"/>
      <c r="R114" s="222"/>
      <c r="S114" s="220"/>
      <c r="T114" s="461"/>
      <c r="U114" s="220"/>
      <c r="V114" s="220"/>
      <c r="W114" s="222"/>
      <c r="X114" s="220"/>
      <c r="Y114" s="461"/>
      <c r="Z114" s="220"/>
      <c r="AA114" s="220"/>
      <c r="AB114" s="222"/>
      <c r="AC114" s="220"/>
      <c r="AD114" s="461"/>
      <c r="AE114" s="220"/>
      <c r="AF114" s="220"/>
      <c r="AG114" s="222"/>
      <c r="AH114" s="220"/>
      <c r="AI114" s="461"/>
      <c r="AJ114" s="220"/>
      <c r="AK114" s="220"/>
      <c r="AL114" s="222"/>
      <c r="AM114" s="220"/>
      <c r="AN114" s="461"/>
      <c r="AO114" s="220"/>
      <c r="AP114" s="220"/>
      <c r="AQ114" s="222"/>
      <c r="AR114" s="220"/>
      <c r="AS114" s="461"/>
      <c r="AT114" s="220"/>
      <c r="AU114" s="220"/>
      <c r="AV114" s="222"/>
      <c r="AW114" s="220"/>
      <c r="AX114" s="461"/>
    </row>
    <row r="115" spans="2:50">
      <c r="B115" s="482"/>
      <c r="C115" s="220">
        <v>17</v>
      </c>
      <c r="D115" s="220"/>
      <c r="E115" s="221"/>
      <c r="F115" s="221"/>
      <c r="G115" s="222"/>
      <c r="H115" s="461"/>
      <c r="I115" s="221"/>
      <c r="J115" s="221"/>
      <c r="K115" s="222"/>
      <c r="L115" s="461"/>
      <c r="M115" s="221"/>
      <c r="N115" s="463"/>
      <c r="O115" s="463"/>
      <c r="P115" s="220"/>
      <c r="Q115" s="220"/>
      <c r="R115" s="222"/>
      <c r="S115" s="220"/>
      <c r="T115" s="461"/>
      <c r="U115" s="220"/>
      <c r="V115" s="220"/>
      <c r="W115" s="222"/>
      <c r="X115" s="220"/>
      <c r="Y115" s="461"/>
      <c r="Z115" s="220"/>
      <c r="AA115" s="220"/>
      <c r="AB115" s="222"/>
      <c r="AC115" s="220"/>
      <c r="AD115" s="461"/>
      <c r="AE115" s="220"/>
      <c r="AF115" s="220"/>
      <c r="AG115" s="222"/>
      <c r="AH115" s="220"/>
      <c r="AI115" s="461"/>
      <c r="AJ115" s="220"/>
      <c r="AK115" s="220"/>
      <c r="AL115" s="222"/>
      <c r="AM115" s="220"/>
      <c r="AN115" s="461"/>
      <c r="AO115" s="220"/>
      <c r="AP115" s="220"/>
      <c r="AQ115" s="222"/>
      <c r="AR115" s="220"/>
      <c r="AS115" s="461"/>
      <c r="AT115" s="220"/>
      <c r="AU115" s="220"/>
      <c r="AV115" s="222"/>
      <c r="AW115" s="220"/>
      <c r="AX115" s="461"/>
    </row>
    <row r="116" spans="2:50">
      <c r="B116" s="482"/>
      <c r="C116" s="220">
        <v>18</v>
      </c>
      <c r="D116" s="220"/>
      <c r="E116" s="220"/>
      <c r="F116" s="220"/>
      <c r="G116" s="220"/>
      <c r="H116" s="461"/>
      <c r="I116" s="220"/>
      <c r="J116" s="220"/>
      <c r="K116" s="220"/>
      <c r="L116" s="462"/>
      <c r="M116" s="221"/>
      <c r="N116" s="456"/>
      <c r="O116" s="456"/>
      <c r="P116" s="220"/>
      <c r="Q116" s="220"/>
      <c r="R116" s="220"/>
      <c r="S116" s="220"/>
      <c r="T116" s="462"/>
      <c r="U116" s="220"/>
      <c r="V116" s="220"/>
      <c r="W116" s="222"/>
      <c r="X116" s="220"/>
      <c r="Y116" s="462"/>
      <c r="Z116" s="220"/>
      <c r="AA116" s="220"/>
      <c r="AB116" s="222"/>
      <c r="AC116" s="220"/>
      <c r="AD116" s="462"/>
      <c r="AE116" s="220"/>
      <c r="AF116" s="220"/>
      <c r="AG116" s="222"/>
      <c r="AH116" s="220"/>
      <c r="AI116" s="462"/>
      <c r="AJ116" s="220"/>
      <c r="AK116" s="220"/>
      <c r="AL116" s="222"/>
      <c r="AM116" s="220"/>
      <c r="AN116" s="462"/>
      <c r="AO116" s="220"/>
      <c r="AP116" s="220"/>
      <c r="AQ116" s="222"/>
      <c r="AR116" s="220"/>
      <c r="AS116" s="462"/>
      <c r="AT116" s="220"/>
      <c r="AU116" s="220"/>
      <c r="AV116" s="222"/>
      <c r="AW116" s="220"/>
      <c r="AX116" s="462"/>
    </row>
    <row r="117" spans="2:50" ht="15.75">
      <c r="B117" s="464" t="s">
        <v>43</v>
      </c>
      <c r="C117" s="465"/>
      <c r="D117" s="465"/>
      <c r="E117" s="465"/>
      <c r="F117" s="465"/>
      <c r="G117" s="465"/>
      <c r="H117" s="465"/>
      <c r="I117" s="214"/>
      <c r="J117" s="214"/>
      <c r="K117" s="214"/>
      <c r="L117" s="214"/>
      <c r="M117" s="215"/>
      <c r="N117" s="455" t="s">
        <v>44</v>
      </c>
      <c r="O117" s="455" t="s">
        <v>3</v>
      </c>
      <c r="P117" s="457">
        <v>46112</v>
      </c>
      <c r="Q117" s="458"/>
      <c r="R117" s="458"/>
      <c r="S117" s="458"/>
      <c r="T117" s="458"/>
      <c r="U117" s="457"/>
      <c r="V117" s="458"/>
      <c r="W117" s="458"/>
      <c r="X117" s="458"/>
      <c r="Y117" s="458"/>
      <c r="Z117" s="457"/>
      <c r="AA117" s="458"/>
      <c r="AB117" s="458"/>
      <c r="AC117" s="458"/>
      <c r="AD117" s="458"/>
      <c r="AE117" s="457"/>
      <c r="AF117" s="458"/>
      <c r="AG117" s="458"/>
      <c r="AH117" s="458"/>
      <c r="AI117" s="458"/>
      <c r="AJ117" s="457"/>
      <c r="AK117" s="458"/>
      <c r="AL117" s="458"/>
      <c r="AM117" s="458"/>
      <c r="AN117" s="458"/>
      <c r="AO117" s="457"/>
      <c r="AP117" s="458"/>
      <c r="AQ117" s="458"/>
      <c r="AR117" s="458"/>
      <c r="AS117" s="458"/>
      <c r="AT117" s="457"/>
      <c r="AU117" s="458"/>
      <c r="AV117" s="458"/>
      <c r="AW117" s="458"/>
      <c r="AX117" s="458"/>
    </row>
    <row r="118" spans="2:50" ht="15.75">
      <c r="B118" s="466"/>
      <c r="C118" s="466"/>
      <c r="D118" s="466"/>
      <c r="E118" s="466"/>
      <c r="F118" s="466"/>
      <c r="G118" s="466"/>
      <c r="H118" s="466"/>
      <c r="I118" s="216"/>
      <c r="J118" s="216"/>
      <c r="K118" s="216"/>
      <c r="L118" s="216"/>
      <c r="M118" s="217"/>
      <c r="N118" s="456"/>
      <c r="O118" s="456"/>
      <c r="P118" s="457" t="s">
        <v>15</v>
      </c>
      <c r="Q118" s="458"/>
      <c r="R118" s="458"/>
      <c r="S118" s="458"/>
      <c r="T118" s="458"/>
      <c r="U118" s="457" t="s">
        <v>13</v>
      </c>
      <c r="V118" s="458"/>
      <c r="W118" s="458"/>
      <c r="X118" s="458"/>
      <c r="Y118" s="458"/>
      <c r="Z118" s="457" t="s">
        <v>16</v>
      </c>
      <c r="AA118" s="458"/>
      <c r="AB118" s="458"/>
      <c r="AC118" s="458"/>
      <c r="AD118" s="458"/>
      <c r="AE118" s="457" t="s">
        <v>17</v>
      </c>
      <c r="AF118" s="458"/>
      <c r="AG118" s="458"/>
      <c r="AH118" s="458"/>
      <c r="AI118" s="458"/>
      <c r="AJ118" s="457" t="s">
        <v>18</v>
      </c>
      <c r="AK118" s="458"/>
      <c r="AL118" s="458"/>
      <c r="AM118" s="458"/>
      <c r="AN118" s="458"/>
      <c r="AO118" s="457" t="s">
        <v>10</v>
      </c>
      <c r="AP118" s="458"/>
      <c r="AQ118" s="458"/>
      <c r="AR118" s="458"/>
      <c r="AS118" s="458"/>
      <c r="AT118" s="457" t="s">
        <v>14</v>
      </c>
      <c r="AU118" s="458"/>
      <c r="AV118" s="458"/>
      <c r="AW118" s="458"/>
      <c r="AX118" s="458"/>
    </row>
    <row r="119" spans="2:50">
      <c r="B119" s="454" t="s">
        <v>45</v>
      </c>
      <c r="C119" s="473" t="s">
        <v>46</v>
      </c>
      <c r="D119" s="454"/>
      <c r="E119" s="454" t="s">
        <v>47</v>
      </c>
      <c r="F119" s="454"/>
      <c r="G119" s="454"/>
      <c r="H119" s="470" t="s">
        <v>48</v>
      </c>
      <c r="I119" s="454" t="s">
        <v>49</v>
      </c>
      <c r="J119" s="454"/>
      <c r="K119" s="454"/>
      <c r="L119" s="470" t="s">
        <v>48</v>
      </c>
      <c r="M119" s="455" t="s">
        <v>50</v>
      </c>
      <c r="N119" s="454"/>
      <c r="O119" s="454" t="s">
        <v>51</v>
      </c>
      <c r="P119" s="451" t="s">
        <v>52</v>
      </c>
      <c r="Q119" s="452"/>
      <c r="R119" s="452"/>
      <c r="S119" s="453"/>
      <c r="T119" s="454" t="s">
        <v>48</v>
      </c>
      <c r="U119" s="451" t="s">
        <v>52</v>
      </c>
      <c r="V119" s="452"/>
      <c r="W119" s="452"/>
      <c r="X119" s="453"/>
      <c r="Y119" s="454" t="s">
        <v>48</v>
      </c>
      <c r="Z119" s="451" t="s">
        <v>52</v>
      </c>
      <c r="AA119" s="452"/>
      <c r="AB119" s="452"/>
      <c r="AC119" s="453"/>
      <c r="AD119" s="454" t="s">
        <v>48</v>
      </c>
      <c r="AE119" s="451" t="s">
        <v>52</v>
      </c>
      <c r="AF119" s="452"/>
      <c r="AG119" s="452"/>
      <c r="AH119" s="453"/>
      <c r="AI119" s="454" t="s">
        <v>48</v>
      </c>
      <c r="AJ119" s="451" t="s">
        <v>52</v>
      </c>
      <c r="AK119" s="452"/>
      <c r="AL119" s="452"/>
      <c r="AM119" s="453"/>
      <c r="AN119" s="454" t="s">
        <v>48</v>
      </c>
      <c r="AO119" s="451" t="s">
        <v>52</v>
      </c>
      <c r="AP119" s="452"/>
      <c r="AQ119" s="452"/>
      <c r="AR119" s="453"/>
      <c r="AS119" s="454" t="s">
        <v>48</v>
      </c>
      <c r="AT119" s="451" t="s">
        <v>52</v>
      </c>
      <c r="AU119" s="452"/>
      <c r="AV119" s="452"/>
      <c r="AW119" s="453"/>
      <c r="AX119" s="454" t="s">
        <v>48</v>
      </c>
    </row>
    <row r="120" spans="2:50">
      <c r="B120" s="454"/>
      <c r="C120" s="454"/>
      <c r="D120" s="454"/>
      <c r="E120" s="454" t="s">
        <v>53</v>
      </c>
      <c r="F120" s="454"/>
      <c r="G120" s="454"/>
      <c r="H120" s="471"/>
      <c r="I120" s="454" t="s">
        <v>53</v>
      </c>
      <c r="J120" s="454"/>
      <c r="K120" s="454"/>
      <c r="L120" s="471"/>
      <c r="M120" s="463"/>
      <c r="N120" s="454"/>
      <c r="O120" s="454"/>
      <c r="P120" s="451" t="s">
        <v>54</v>
      </c>
      <c r="Q120" s="452"/>
      <c r="R120" s="452"/>
      <c r="S120" s="453"/>
      <c r="T120" s="454"/>
      <c r="U120" s="451" t="s">
        <v>54</v>
      </c>
      <c r="V120" s="452"/>
      <c r="W120" s="452"/>
      <c r="X120" s="453"/>
      <c r="Y120" s="454"/>
      <c r="Z120" s="451" t="s">
        <v>54</v>
      </c>
      <c r="AA120" s="452"/>
      <c r="AB120" s="452"/>
      <c r="AC120" s="453"/>
      <c r="AD120" s="454"/>
      <c r="AE120" s="451" t="s">
        <v>54</v>
      </c>
      <c r="AF120" s="452"/>
      <c r="AG120" s="452"/>
      <c r="AH120" s="453"/>
      <c r="AI120" s="454"/>
      <c r="AJ120" s="451" t="s">
        <v>54</v>
      </c>
      <c r="AK120" s="452"/>
      <c r="AL120" s="452"/>
      <c r="AM120" s="453"/>
      <c r="AN120" s="454"/>
      <c r="AO120" s="451" t="s">
        <v>54</v>
      </c>
      <c r="AP120" s="452"/>
      <c r="AQ120" s="452"/>
      <c r="AR120" s="453"/>
      <c r="AS120" s="454"/>
      <c r="AT120" s="451" t="s">
        <v>54</v>
      </c>
      <c r="AU120" s="452"/>
      <c r="AV120" s="452"/>
      <c r="AW120" s="453"/>
      <c r="AX120" s="454"/>
    </row>
    <row r="121" spans="2:50">
      <c r="B121" s="454"/>
      <c r="C121" s="454"/>
      <c r="D121" s="454"/>
      <c r="E121" s="219" t="s">
        <v>55</v>
      </c>
      <c r="F121" s="219" t="s">
        <v>56</v>
      </c>
      <c r="G121" s="219" t="s">
        <v>57</v>
      </c>
      <c r="H121" s="472"/>
      <c r="I121" s="219" t="s">
        <v>55</v>
      </c>
      <c r="J121" s="219" t="s">
        <v>56</v>
      </c>
      <c r="K121" s="219" t="s">
        <v>57</v>
      </c>
      <c r="L121" s="472"/>
      <c r="M121" s="456"/>
      <c r="N121" s="454"/>
      <c r="O121" s="454"/>
      <c r="P121" s="219" t="s">
        <v>55</v>
      </c>
      <c r="Q121" s="219" t="s">
        <v>56</v>
      </c>
      <c r="R121" s="219" t="s">
        <v>57</v>
      </c>
      <c r="S121" s="219" t="s">
        <v>50</v>
      </c>
      <c r="T121" s="454"/>
      <c r="U121" s="219" t="s">
        <v>55</v>
      </c>
      <c r="V121" s="219" t="s">
        <v>56</v>
      </c>
      <c r="W121" s="219" t="s">
        <v>57</v>
      </c>
      <c r="X121" s="219" t="s">
        <v>50</v>
      </c>
      <c r="Y121" s="454"/>
      <c r="Z121" s="219" t="s">
        <v>55</v>
      </c>
      <c r="AA121" s="219" t="s">
        <v>56</v>
      </c>
      <c r="AB121" s="219" t="s">
        <v>57</v>
      </c>
      <c r="AC121" s="219" t="s">
        <v>50</v>
      </c>
      <c r="AD121" s="454"/>
      <c r="AE121" s="219" t="s">
        <v>55</v>
      </c>
      <c r="AF121" s="219" t="s">
        <v>56</v>
      </c>
      <c r="AG121" s="219" t="s">
        <v>57</v>
      </c>
      <c r="AH121" s="219" t="s">
        <v>50</v>
      </c>
      <c r="AI121" s="454"/>
      <c r="AJ121" s="219" t="s">
        <v>55</v>
      </c>
      <c r="AK121" s="219" t="s">
        <v>56</v>
      </c>
      <c r="AL121" s="219" t="s">
        <v>57</v>
      </c>
      <c r="AM121" s="219" t="s">
        <v>50</v>
      </c>
      <c r="AN121" s="454"/>
      <c r="AO121" s="219" t="s">
        <v>55</v>
      </c>
      <c r="AP121" s="219" t="s">
        <v>56</v>
      </c>
      <c r="AQ121" s="219" t="s">
        <v>57</v>
      </c>
      <c r="AR121" s="219" t="s">
        <v>50</v>
      </c>
      <c r="AS121" s="454"/>
      <c r="AT121" s="219" t="s">
        <v>55</v>
      </c>
      <c r="AU121" s="219" t="s">
        <v>56</v>
      </c>
      <c r="AV121" s="219" t="s">
        <v>57</v>
      </c>
      <c r="AW121" s="219" t="s">
        <v>50</v>
      </c>
      <c r="AX121" s="454"/>
    </row>
    <row r="122" spans="2:50" ht="13.5">
      <c r="B122" s="458" t="s">
        <v>323</v>
      </c>
      <c r="C122" s="220">
        <v>1</v>
      </c>
      <c r="D122" s="224" t="s">
        <v>75</v>
      </c>
      <c r="E122" s="221">
        <f>VLOOKUP(D122,'12產線配置圖'!$A$2:$C$25,2,0)</f>
        <v>11</v>
      </c>
      <c r="F122" s="221">
        <f>VLOOKUP(D122,'12產線配置圖'!$A$2:$C$25,3,0)</f>
        <v>2118</v>
      </c>
      <c r="G122" s="222">
        <f>F122/E122</f>
        <v>192.54545454545453</v>
      </c>
      <c r="H122" s="467" t="e">
        <f>AVERAGE(G122:G139)</f>
        <v>#N/A</v>
      </c>
      <c r="I122" s="221" t="e">
        <f>AVERAGE(P122,U122,Z122,AE122,AJ122,AO122,AT122)</f>
        <v>#DIV/0!</v>
      </c>
      <c r="J122" s="221" t="e">
        <f>AVERAGE(Q122,V122,AA122,AF122,AK122,AP122,AU122)</f>
        <v>#DIV/0!</v>
      </c>
      <c r="K122" s="222" t="e">
        <f>AVERAGE(R122)</f>
        <v>#DIV/0!</v>
      </c>
      <c r="L122" s="467" t="str">
        <f>IFERROR(AVERAGE(K122:K139),"-")</f>
        <v>-</v>
      </c>
      <c r="M122" s="223" t="e">
        <f>RANK(K122,$K$122:$K$139)</f>
        <v>#DIV/0!</v>
      </c>
      <c r="N122" s="454"/>
      <c r="O122" s="454"/>
      <c r="P122" s="221"/>
      <c r="Q122" s="221"/>
      <c r="R122" s="222" t="e">
        <f>Q122/P122</f>
        <v>#DIV/0!</v>
      </c>
      <c r="S122" s="220" t="e">
        <f>RANK(R122,$R$122:$R$139)</f>
        <v>#DIV/0!</v>
      </c>
      <c r="T122" s="459" t="e">
        <f>AVERAGE(R122:R139)</f>
        <v>#DIV/0!</v>
      </c>
      <c r="U122" s="221"/>
      <c r="V122" s="221"/>
      <c r="W122" s="222" t="e">
        <f>V122/U122</f>
        <v>#DIV/0!</v>
      </c>
      <c r="X122" s="220" t="e">
        <f>RANK(W122,$W$122:$W$137)</f>
        <v>#DIV/0!</v>
      </c>
      <c r="Y122" s="459" t="e">
        <f>AVERAGE(W122:W139)</f>
        <v>#DIV/0!</v>
      </c>
      <c r="Z122" s="221"/>
      <c r="AA122" s="221"/>
      <c r="AB122" s="222" t="e">
        <f>AA122/Z122</f>
        <v>#DIV/0!</v>
      </c>
      <c r="AC122" s="220" t="e">
        <f>RANK(AB122,AB$122:AB$137)</f>
        <v>#DIV/0!</v>
      </c>
      <c r="AD122" s="459" t="e">
        <f>AVERAGE(AB122:AB139)</f>
        <v>#DIV/0!</v>
      </c>
      <c r="AE122" s="221"/>
      <c r="AF122" s="221"/>
      <c r="AG122" s="222" t="e">
        <f>AF122/AE122</f>
        <v>#DIV/0!</v>
      </c>
      <c r="AH122" s="220" t="e">
        <f>RANK(AG122,AG$122:AG$137)</f>
        <v>#DIV/0!</v>
      </c>
      <c r="AI122" s="459" t="e">
        <f>AVERAGE(AG122:AG139)</f>
        <v>#DIV/0!</v>
      </c>
      <c r="AJ122" s="221"/>
      <c r="AK122" s="221"/>
      <c r="AL122" s="222" t="e">
        <f>AK122/AJ122</f>
        <v>#DIV/0!</v>
      </c>
      <c r="AM122" s="220" t="e">
        <f t="shared" ref="AM122:AM137" si="200">RANK(AL122,AL$122:AL$137)</f>
        <v>#DIV/0!</v>
      </c>
      <c r="AN122" s="459" t="e">
        <f>AVERAGE(AL122:AL139)</f>
        <v>#DIV/0!</v>
      </c>
      <c r="AO122" s="221"/>
      <c r="AP122" s="221"/>
      <c r="AQ122" s="222" t="e">
        <f>AP122/AO122</f>
        <v>#DIV/0!</v>
      </c>
      <c r="AR122" s="220" t="e">
        <f t="shared" ref="AR122:AR137" si="201">RANK(AQ122,AQ$122:AQ$137)</f>
        <v>#DIV/0!</v>
      </c>
      <c r="AS122" s="459" t="e">
        <f>AVERAGE(AQ122:AQ139)</f>
        <v>#DIV/0!</v>
      </c>
      <c r="AT122" s="221"/>
      <c r="AU122" s="221"/>
      <c r="AV122" s="222" t="e">
        <f>AU122/AT122</f>
        <v>#DIV/0!</v>
      </c>
      <c r="AW122" s="220" t="e">
        <f t="shared" ref="AW122:AW137" si="202">RANK(AV122,AV$122:AV$137)</f>
        <v>#DIV/0!</v>
      </c>
      <c r="AX122" s="459" t="e">
        <f>AVERAGE(AV122:AV139)</f>
        <v>#DIV/0!</v>
      </c>
    </row>
    <row r="123" spans="2:50">
      <c r="B123" s="458"/>
      <c r="C123" s="220">
        <v>2</v>
      </c>
      <c r="D123" s="220" t="s">
        <v>77</v>
      </c>
      <c r="E123" s="221">
        <f>VLOOKUP(D123,'12產線配置圖'!$A$2:$C$25,2,0)</f>
        <v>13</v>
      </c>
      <c r="F123" s="221">
        <f>VLOOKUP(D123,'12產線配置圖'!$A$2:$C$25,3,0)</f>
        <v>2118</v>
      </c>
      <c r="G123" s="222">
        <f t="shared" ref="G123:G135" si="203">F123/E123</f>
        <v>162.92307692307693</v>
      </c>
      <c r="H123" s="468"/>
      <c r="I123" s="221" t="e">
        <f t="shared" ref="I123:I137" si="204">AVERAGE(P123,U123,Z123,AE123,AJ123,AO123,AT123)</f>
        <v>#DIV/0!</v>
      </c>
      <c r="J123" s="221" t="e">
        <f t="shared" ref="J123:J137" si="205">AVERAGE(Q123,V123,AA123,AF123,AK123,AP123,AU123)</f>
        <v>#DIV/0!</v>
      </c>
      <c r="K123" s="222" t="e">
        <f t="shared" ref="K123:K137" si="206">AVERAGE(R123)</f>
        <v>#DIV/0!</v>
      </c>
      <c r="L123" s="468"/>
      <c r="M123" s="223" t="e">
        <f t="shared" ref="M123:M137" si="207">RANK(K123,$K$122:$K$139)</f>
        <v>#DIV/0!</v>
      </c>
      <c r="N123" s="454"/>
      <c r="O123" s="454"/>
      <c r="P123" s="221"/>
      <c r="Q123" s="221"/>
      <c r="R123" s="222" t="e">
        <f t="shared" ref="R123:R127" si="208">Q123/P123</f>
        <v>#DIV/0!</v>
      </c>
      <c r="S123" s="220" t="e">
        <f t="shared" ref="S123:S127" si="209">RANK(R123,$R$122:$R$139)</f>
        <v>#DIV/0!</v>
      </c>
      <c r="T123" s="459"/>
      <c r="U123" s="221"/>
      <c r="V123" s="221"/>
      <c r="W123" s="222" t="e">
        <f t="shared" ref="W123:W131" si="210">V123/U123</f>
        <v>#DIV/0!</v>
      </c>
      <c r="X123" s="220" t="e">
        <f t="shared" ref="X123:X137" si="211">RANK(W123,$W$122:$W$137)</f>
        <v>#DIV/0!</v>
      </c>
      <c r="Y123" s="459"/>
      <c r="Z123" s="221"/>
      <c r="AA123" s="221"/>
      <c r="AB123" s="222" t="e">
        <f t="shared" ref="AB123:AB131" si="212">AA123/Z123</f>
        <v>#DIV/0!</v>
      </c>
      <c r="AC123" s="220" t="e">
        <f t="shared" ref="AC123:AC137" si="213">RANK(AB123,AB$122:AB$137)</f>
        <v>#DIV/0!</v>
      </c>
      <c r="AD123" s="459"/>
      <c r="AE123" s="221"/>
      <c r="AF123" s="221"/>
      <c r="AG123" s="222" t="e">
        <f t="shared" ref="AG123:AG131" si="214">AF123/AE123</f>
        <v>#DIV/0!</v>
      </c>
      <c r="AH123" s="220" t="e">
        <f t="shared" ref="AH123:AH137" si="215">RANK(AG123,AG$122:AG$137)</f>
        <v>#DIV/0!</v>
      </c>
      <c r="AI123" s="459"/>
      <c r="AJ123" s="221"/>
      <c r="AK123" s="221"/>
      <c r="AL123" s="222" t="e">
        <f t="shared" ref="AL123:AL131" si="216">AK123/AJ123</f>
        <v>#DIV/0!</v>
      </c>
      <c r="AM123" s="220" t="e">
        <f t="shared" si="200"/>
        <v>#DIV/0!</v>
      </c>
      <c r="AN123" s="459"/>
      <c r="AO123" s="221"/>
      <c r="AP123" s="221"/>
      <c r="AQ123" s="222" t="e">
        <f t="shared" ref="AQ123:AQ131" si="217">AP123/AO123</f>
        <v>#DIV/0!</v>
      </c>
      <c r="AR123" s="220" t="e">
        <f t="shared" si="201"/>
        <v>#DIV/0!</v>
      </c>
      <c r="AS123" s="459"/>
      <c r="AT123" s="221"/>
      <c r="AU123" s="221"/>
      <c r="AV123" s="222" t="e">
        <f t="shared" ref="AV123:AV135" si="218">AU123/AT123</f>
        <v>#DIV/0!</v>
      </c>
      <c r="AW123" s="220" t="e">
        <f t="shared" si="202"/>
        <v>#DIV/0!</v>
      </c>
      <c r="AX123" s="459"/>
    </row>
    <row r="124" spans="2:50">
      <c r="B124" s="458"/>
      <c r="C124" s="220">
        <v>3</v>
      </c>
      <c r="D124" s="220" t="s">
        <v>76</v>
      </c>
      <c r="E124" s="221">
        <f>VLOOKUP(D124,'12產線配置圖'!$A$2:$C$25,2,0)</f>
        <v>12</v>
      </c>
      <c r="F124" s="221">
        <f>VLOOKUP(D124,'12產線配置圖'!$A$2:$C$25,3,0)</f>
        <v>2118</v>
      </c>
      <c r="G124" s="222">
        <f t="shared" si="203"/>
        <v>176.5</v>
      </c>
      <c r="H124" s="468"/>
      <c r="I124" s="221" t="e">
        <f t="shared" si="204"/>
        <v>#DIV/0!</v>
      </c>
      <c r="J124" s="221" t="e">
        <f t="shared" si="205"/>
        <v>#DIV/0!</v>
      </c>
      <c r="K124" s="222" t="e">
        <f t="shared" si="206"/>
        <v>#DIV/0!</v>
      </c>
      <c r="L124" s="468"/>
      <c r="M124" s="223" t="e">
        <f t="shared" si="207"/>
        <v>#DIV/0!</v>
      </c>
      <c r="N124" s="454"/>
      <c r="O124" s="454"/>
      <c r="P124" s="221"/>
      <c r="Q124" s="221"/>
      <c r="R124" s="222" t="e">
        <f t="shared" si="208"/>
        <v>#DIV/0!</v>
      </c>
      <c r="S124" s="220" t="e">
        <f t="shared" si="209"/>
        <v>#DIV/0!</v>
      </c>
      <c r="T124" s="459"/>
      <c r="U124" s="221"/>
      <c r="V124" s="221"/>
      <c r="W124" s="222" t="e">
        <f t="shared" si="210"/>
        <v>#DIV/0!</v>
      </c>
      <c r="X124" s="220" t="e">
        <f t="shared" si="211"/>
        <v>#DIV/0!</v>
      </c>
      <c r="Y124" s="459"/>
      <c r="Z124" s="221"/>
      <c r="AA124" s="221"/>
      <c r="AB124" s="222" t="e">
        <f t="shared" si="212"/>
        <v>#DIV/0!</v>
      </c>
      <c r="AC124" s="220" t="e">
        <f t="shared" si="213"/>
        <v>#DIV/0!</v>
      </c>
      <c r="AD124" s="459"/>
      <c r="AE124" s="221"/>
      <c r="AF124" s="221"/>
      <c r="AG124" s="222" t="e">
        <f t="shared" si="214"/>
        <v>#DIV/0!</v>
      </c>
      <c r="AH124" s="220" t="e">
        <f t="shared" si="215"/>
        <v>#DIV/0!</v>
      </c>
      <c r="AI124" s="459"/>
      <c r="AJ124" s="221"/>
      <c r="AK124" s="221"/>
      <c r="AL124" s="222" t="e">
        <f t="shared" si="216"/>
        <v>#DIV/0!</v>
      </c>
      <c r="AM124" s="220" t="e">
        <f t="shared" si="200"/>
        <v>#DIV/0!</v>
      </c>
      <c r="AN124" s="459"/>
      <c r="AO124" s="221"/>
      <c r="AP124" s="221"/>
      <c r="AQ124" s="222" t="e">
        <f t="shared" si="217"/>
        <v>#DIV/0!</v>
      </c>
      <c r="AR124" s="220" t="e">
        <f t="shared" si="201"/>
        <v>#DIV/0!</v>
      </c>
      <c r="AS124" s="459"/>
      <c r="AT124" s="221"/>
      <c r="AU124" s="221"/>
      <c r="AV124" s="222" t="e">
        <f t="shared" si="218"/>
        <v>#DIV/0!</v>
      </c>
      <c r="AW124" s="220" t="e">
        <f t="shared" si="202"/>
        <v>#DIV/0!</v>
      </c>
      <c r="AX124" s="459"/>
    </row>
    <row r="125" spans="2:50">
      <c r="B125" s="458"/>
      <c r="C125" s="220">
        <v>4</v>
      </c>
      <c r="D125" s="220" t="s">
        <v>127</v>
      </c>
      <c r="E125" s="221">
        <f>VLOOKUP(D125,'12產線配置圖'!$A$2:$C$25,2,0)</f>
        <v>16</v>
      </c>
      <c r="F125" s="221">
        <f>VLOOKUP(D125,'12產線配置圖'!$A$2:$C$25,3,0)</f>
        <v>1800</v>
      </c>
      <c r="G125" s="222">
        <f t="shared" si="203"/>
        <v>112.5</v>
      </c>
      <c r="H125" s="468"/>
      <c r="I125" s="221" t="e">
        <f t="shared" si="204"/>
        <v>#DIV/0!</v>
      </c>
      <c r="J125" s="221" t="e">
        <f t="shared" si="205"/>
        <v>#DIV/0!</v>
      </c>
      <c r="K125" s="222" t="e">
        <f t="shared" si="206"/>
        <v>#DIV/0!</v>
      </c>
      <c r="L125" s="468"/>
      <c r="M125" s="223" t="e">
        <f t="shared" si="207"/>
        <v>#DIV/0!</v>
      </c>
      <c r="N125" s="454"/>
      <c r="O125" s="454"/>
      <c r="P125" s="221"/>
      <c r="Q125" s="221"/>
      <c r="R125" s="222" t="e">
        <f t="shared" si="208"/>
        <v>#DIV/0!</v>
      </c>
      <c r="S125" s="220" t="e">
        <f t="shared" si="209"/>
        <v>#DIV/0!</v>
      </c>
      <c r="T125" s="459"/>
      <c r="U125" s="221"/>
      <c r="V125" s="221"/>
      <c r="W125" s="222" t="e">
        <f t="shared" si="210"/>
        <v>#DIV/0!</v>
      </c>
      <c r="X125" s="220" t="e">
        <f t="shared" si="211"/>
        <v>#DIV/0!</v>
      </c>
      <c r="Y125" s="459"/>
      <c r="Z125" s="221"/>
      <c r="AA125" s="221"/>
      <c r="AB125" s="222" t="e">
        <f t="shared" si="212"/>
        <v>#DIV/0!</v>
      </c>
      <c r="AC125" s="220" t="e">
        <f t="shared" si="213"/>
        <v>#DIV/0!</v>
      </c>
      <c r="AD125" s="459"/>
      <c r="AE125" s="221"/>
      <c r="AF125" s="221"/>
      <c r="AG125" s="222" t="e">
        <f t="shared" si="214"/>
        <v>#DIV/0!</v>
      </c>
      <c r="AH125" s="220" t="e">
        <f t="shared" si="215"/>
        <v>#DIV/0!</v>
      </c>
      <c r="AI125" s="459"/>
      <c r="AJ125" s="221"/>
      <c r="AK125" s="221"/>
      <c r="AL125" s="222" t="e">
        <f t="shared" si="216"/>
        <v>#DIV/0!</v>
      </c>
      <c r="AM125" s="220" t="e">
        <f t="shared" si="200"/>
        <v>#DIV/0!</v>
      </c>
      <c r="AN125" s="459"/>
      <c r="AO125" s="221"/>
      <c r="AP125" s="221"/>
      <c r="AQ125" s="222" t="e">
        <f t="shared" si="217"/>
        <v>#DIV/0!</v>
      </c>
      <c r="AR125" s="220" t="e">
        <f t="shared" si="201"/>
        <v>#DIV/0!</v>
      </c>
      <c r="AS125" s="459"/>
      <c r="AT125" s="221"/>
      <c r="AU125" s="221"/>
      <c r="AV125" s="222" t="e">
        <f t="shared" si="218"/>
        <v>#DIV/0!</v>
      </c>
      <c r="AW125" s="220" t="e">
        <f t="shared" si="202"/>
        <v>#DIV/0!</v>
      </c>
      <c r="AX125" s="459"/>
    </row>
    <row r="126" spans="2:50">
      <c r="B126" s="458"/>
      <c r="C126" s="220">
        <v>5</v>
      </c>
      <c r="D126" s="220" t="s">
        <v>178</v>
      </c>
      <c r="E126" s="221" t="e">
        <f>VLOOKUP(D126,'12產線配置圖'!$A$2:$C$25,2,0)</f>
        <v>#N/A</v>
      </c>
      <c r="F126" s="221" t="e">
        <f>VLOOKUP(D126,'12產線配置圖'!$A$2:$C$25,3,0)</f>
        <v>#N/A</v>
      </c>
      <c r="G126" s="222" t="e">
        <f t="shared" si="203"/>
        <v>#N/A</v>
      </c>
      <c r="H126" s="468"/>
      <c r="I126" s="221" t="e">
        <f t="shared" si="204"/>
        <v>#DIV/0!</v>
      </c>
      <c r="J126" s="221" t="e">
        <f t="shared" si="205"/>
        <v>#DIV/0!</v>
      </c>
      <c r="K126" s="222" t="e">
        <f t="shared" si="206"/>
        <v>#DIV/0!</v>
      </c>
      <c r="L126" s="468"/>
      <c r="M126" s="223" t="e">
        <f t="shared" si="207"/>
        <v>#DIV/0!</v>
      </c>
      <c r="N126" s="454"/>
      <c r="O126" s="454"/>
      <c r="P126" s="221"/>
      <c r="Q126" s="221"/>
      <c r="R126" s="222" t="e">
        <f t="shared" si="208"/>
        <v>#DIV/0!</v>
      </c>
      <c r="S126" s="220" t="e">
        <f t="shared" si="209"/>
        <v>#DIV/0!</v>
      </c>
      <c r="T126" s="459"/>
      <c r="U126" s="221"/>
      <c r="V126" s="221"/>
      <c r="W126" s="222" t="e">
        <f t="shared" si="210"/>
        <v>#DIV/0!</v>
      </c>
      <c r="X126" s="220" t="e">
        <f t="shared" si="211"/>
        <v>#DIV/0!</v>
      </c>
      <c r="Y126" s="459"/>
      <c r="Z126" s="221"/>
      <c r="AA126" s="221"/>
      <c r="AB126" s="222" t="e">
        <f t="shared" si="212"/>
        <v>#DIV/0!</v>
      </c>
      <c r="AC126" s="220" t="e">
        <f t="shared" si="213"/>
        <v>#DIV/0!</v>
      </c>
      <c r="AD126" s="459"/>
      <c r="AE126" s="221"/>
      <c r="AF126" s="221"/>
      <c r="AG126" s="222" t="e">
        <f t="shared" si="214"/>
        <v>#DIV/0!</v>
      </c>
      <c r="AH126" s="220" t="e">
        <f t="shared" si="215"/>
        <v>#DIV/0!</v>
      </c>
      <c r="AI126" s="459"/>
      <c r="AJ126" s="221"/>
      <c r="AK126" s="221"/>
      <c r="AL126" s="222" t="e">
        <f t="shared" si="216"/>
        <v>#DIV/0!</v>
      </c>
      <c r="AM126" s="220" t="e">
        <f t="shared" si="200"/>
        <v>#DIV/0!</v>
      </c>
      <c r="AN126" s="459"/>
      <c r="AO126" s="221"/>
      <c r="AP126" s="221"/>
      <c r="AQ126" s="222" t="e">
        <f t="shared" si="217"/>
        <v>#DIV/0!</v>
      </c>
      <c r="AR126" s="220" t="e">
        <f t="shared" si="201"/>
        <v>#DIV/0!</v>
      </c>
      <c r="AS126" s="459"/>
      <c r="AT126" s="221"/>
      <c r="AU126" s="221"/>
      <c r="AV126" s="222" t="e">
        <f t="shared" si="218"/>
        <v>#DIV/0!</v>
      </c>
      <c r="AW126" s="220" t="e">
        <f t="shared" si="202"/>
        <v>#DIV/0!</v>
      </c>
      <c r="AX126" s="459"/>
    </row>
    <row r="127" spans="2:50">
      <c r="B127" s="458"/>
      <c r="C127" s="220">
        <v>6</v>
      </c>
      <c r="D127" s="220" t="s">
        <v>205</v>
      </c>
      <c r="E127" s="221">
        <f>VLOOKUP(D127,'12產線配置圖'!$A$2:$C$25,2,0)</f>
        <v>15</v>
      </c>
      <c r="F127" s="221">
        <f>VLOOKUP(D127,'12產線配置圖'!$A$2:$C$25,3,0)</f>
        <v>1714</v>
      </c>
      <c r="G127" s="222">
        <f t="shared" si="203"/>
        <v>114.26666666666667</v>
      </c>
      <c r="H127" s="468"/>
      <c r="I127" s="221" t="e">
        <f t="shared" si="204"/>
        <v>#DIV/0!</v>
      </c>
      <c r="J127" s="221" t="e">
        <f t="shared" si="205"/>
        <v>#DIV/0!</v>
      </c>
      <c r="K127" s="222" t="e">
        <f t="shared" si="206"/>
        <v>#DIV/0!</v>
      </c>
      <c r="L127" s="468"/>
      <c r="M127" s="223" t="e">
        <f t="shared" si="207"/>
        <v>#DIV/0!</v>
      </c>
      <c r="N127" s="454"/>
      <c r="O127" s="454"/>
      <c r="P127" s="221"/>
      <c r="Q127" s="221"/>
      <c r="R127" s="222" t="e">
        <f t="shared" si="208"/>
        <v>#DIV/0!</v>
      </c>
      <c r="S127" s="220" t="e">
        <f t="shared" si="209"/>
        <v>#DIV/0!</v>
      </c>
      <c r="T127" s="459"/>
      <c r="U127" s="221"/>
      <c r="V127" s="221"/>
      <c r="W127" s="222" t="e">
        <f t="shared" si="210"/>
        <v>#DIV/0!</v>
      </c>
      <c r="X127" s="220" t="e">
        <f t="shared" si="211"/>
        <v>#DIV/0!</v>
      </c>
      <c r="Y127" s="459"/>
      <c r="Z127" s="221"/>
      <c r="AA127" s="221"/>
      <c r="AB127" s="222" t="e">
        <f t="shared" si="212"/>
        <v>#DIV/0!</v>
      </c>
      <c r="AC127" s="220" t="e">
        <f t="shared" si="213"/>
        <v>#DIV/0!</v>
      </c>
      <c r="AD127" s="459"/>
      <c r="AE127" s="221"/>
      <c r="AF127" s="221"/>
      <c r="AG127" s="222" t="e">
        <f t="shared" si="214"/>
        <v>#DIV/0!</v>
      </c>
      <c r="AH127" s="220" t="e">
        <f t="shared" si="215"/>
        <v>#DIV/0!</v>
      </c>
      <c r="AI127" s="459"/>
      <c r="AJ127" s="221"/>
      <c r="AK127" s="221"/>
      <c r="AL127" s="222" t="e">
        <f t="shared" si="216"/>
        <v>#DIV/0!</v>
      </c>
      <c r="AM127" s="220" t="e">
        <f t="shared" si="200"/>
        <v>#DIV/0!</v>
      </c>
      <c r="AN127" s="459"/>
      <c r="AO127" s="221"/>
      <c r="AP127" s="221"/>
      <c r="AQ127" s="222" t="e">
        <f t="shared" si="217"/>
        <v>#DIV/0!</v>
      </c>
      <c r="AR127" s="220" t="e">
        <f t="shared" si="201"/>
        <v>#DIV/0!</v>
      </c>
      <c r="AS127" s="459"/>
      <c r="AT127" s="221"/>
      <c r="AU127" s="221"/>
      <c r="AV127" s="222" t="e">
        <f t="shared" si="218"/>
        <v>#DIV/0!</v>
      </c>
      <c r="AW127" s="220" t="e">
        <f t="shared" si="202"/>
        <v>#DIV/0!</v>
      </c>
      <c r="AX127" s="459"/>
    </row>
    <row r="128" spans="2:50">
      <c r="B128" s="458"/>
      <c r="C128" s="220">
        <v>7</v>
      </c>
      <c r="D128" s="220" t="s">
        <v>366</v>
      </c>
      <c r="E128" s="221">
        <f>VLOOKUP(D128,'12產線配置圖'!$A$2:$C$25,2,0)</f>
        <v>17</v>
      </c>
      <c r="F128" s="221">
        <f>VLOOKUP(D128,'12產線配置圖'!$A$2:$C$25,3,0)</f>
        <v>1714</v>
      </c>
      <c r="G128" s="222">
        <f t="shared" si="203"/>
        <v>100.82352941176471</v>
      </c>
      <c r="H128" s="468"/>
      <c r="I128" s="221" t="e">
        <f>AVERAGE(P128,U127,Z128,AE128,AJ128,AO128,AT128)</f>
        <v>#DIV/0!</v>
      </c>
      <c r="J128" s="221" t="e">
        <f t="shared" ref="J128:J135" si="219">AVERAGE(Q128,V128,AA128,AF128,AK128,AP128,AU128)</f>
        <v>#DIV/0!</v>
      </c>
      <c r="K128" s="222" t="e">
        <f t="shared" ref="K128:K135" si="220">AVERAGE(R128)</f>
        <v>#DIV/0!</v>
      </c>
      <c r="L128" s="468"/>
      <c r="M128" s="223" t="e">
        <f t="shared" si="207"/>
        <v>#DIV/0!</v>
      </c>
      <c r="N128" s="454"/>
      <c r="O128" s="454"/>
      <c r="P128" s="221"/>
      <c r="Q128" s="221"/>
      <c r="R128" s="222" t="e">
        <f t="shared" ref="R128:R137" si="221">Q128/P128</f>
        <v>#DIV/0!</v>
      </c>
      <c r="S128" s="220" t="e">
        <f t="shared" ref="S128:S137" si="222">RANK(R128,$R$122:$R$139)</f>
        <v>#DIV/0!</v>
      </c>
      <c r="T128" s="459"/>
      <c r="U128" s="221"/>
      <c r="V128" s="221"/>
      <c r="W128" s="222" t="e">
        <f>V128/U127</f>
        <v>#DIV/0!</v>
      </c>
      <c r="X128" s="220" t="e">
        <f t="shared" si="211"/>
        <v>#DIV/0!</v>
      </c>
      <c r="Y128" s="459"/>
      <c r="Z128" s="221"/>
      <c r="AA128" s="221"/>
      <c r="AB128" s="222" t="e">
        <f t="shared" si="212"/>
        <v>#DIV/0!</v>
      </c>
      <c r="AC128" s="220" t="e">
        <f t="shared" si="213"/>
        <v>#DIV/0!</v>
      </c>
      <c r="AD128" s="459"/>
      <c r="AE128" s="221"/>
      <c r="AF128" s="221"/>
      <c r="AG128" s="222" t="e">
        <f t="shared" si="214"/>
        <v>#DIV/0!</v>
      </c>
      <c r="AH128" s="220" t="e">
        <f t="shared" si="215"/>
        <v>#DIV/0!</v>
      </c>
      <c r="AI128" s="459"/>
      <c r="AJ128" s="221"/>
      <c r="AK128" s="221"/>
      <c r="AL128" s="222" t="e">
        <f t="shared" si="216"/>
        <v>#DIV/0!</v>
      </c>
      <c r="AM128" s="220" t="e">
        <f t="shared" si="200"/>
        <v>#DIV/0!</v>
      </c>
      <c r="AN128" s="459"/>
      <c r="AO128" s="221"/>
      <c r="AP128" s="221"/>
      <c r="AQ128" s="222" t="e">
        <f t="shared" si="217"/>
        <v>#DIV/0!</v>
      </c>
      <c r="AR128" s="220" t="e">
        <f t="shared" si="201"/>
        <v>#DIV/0!</v>
      </c>
      <c r="AS128" s="459"/>
      <c r="AT128" s="221"/>
      <c r="AU128" s="221"/>
      <c r="AV128" s="222" t="e">
        <f t="shared" si="218"/>
        <v>#DIV/0!</v>
      </c>
      <c r="AW128" s="220" t="e">
        <f t="shared" si="202"/>
        <v>#DIV/0!</v>
      </c>
      <c r="AX128" s="459"/>
    </row>
    <row r="129" spans="2:50">
      <c r="B129" s="458"/>
      <c r="C129" s="220">
        <v>8</v>
      </c>
      <c r="D129" s="220" t="s">
        <v>82</v>
      </c>
      <c r="E129" s="221">
        <f>VLOOKUP(D129,'12產線配置圖'!$A$2:$C$25,2,0)</f>
        <v>16</v>
      </c>
      <c r="F129" s="221">
        <f>VLOOKUP(D129,'12產線配置圖'!$A$2:$C$25,3,0)</f>
        <v>1406</v>
      </c>
      <c r="G129" s="222">
        <f t="shared" si="203"/>
        <v>87.875</v>
      </c>
      <c r="H129" s="468"/>
      <c r="I129" s="221" t="e">
        <f t="shared" ref="I129:I135" si="223">AVERAGE(P129,U129,Z129,AE129,AJ129,AO129,AT129)</f>
        <v>#DIV/0!</v>
      </c>
      <c r="J129" s="221" t="e">
        <f t="shared" si="219"/>
        <v>#DIV/0!</v>
      </c>
      <c r="K129" s="222" t="e">
        <f t="shared" si="220"/>
        <v>#DIV/0!</v>
      </c>
      <c r="L129" s="468"/>
      <c r="M129" s="223" t="e">
        <f t="shared" si="207"/>
        <v>#DIV/0!</v>
      </c>
      <c r="N129" s="454"/>
      <c r="O129" s="454"/>
      <c r="P129" s="221"/>
      <c r="Q129" s="221"/>
      <c r="R129" s="222" t="e">
        <f t="shared" si="221"/>
        <v>#DIV/0!</v>
      </c>
      <c r="S129" s="220" t="e">
        <f t="shared" si="222"/>
        <v>#DIV/0!</v>
      </c>
      <c r="T129" s="459"/>
      <c r="U129" s="221"/>
      <c r="V129" s="221"/>
      <c r="W129" s="222" t="e">
        <f t="shared" si="210"/>
        <v>#DIV/0!</v>
      </c>
      <c r="X129" s="220" t="e">
        <f t="shared" si="211"/>
        <v>#DIV/0!</v>
      </c>
      <c r="Y129" s="459"/>
      <c r="Z129" s="221"/>
      <c r="AA129" s="221"/>
      <c r="AB129" s="222" t="e">
        <f t="shared" si="212"/>
        <v>#DIV/0!</v>
      </c>
      <c r="AC129" s="220" t="e">
        <f t="shared" si="213"/>
        <v>#DIV/0!</v>
      </c>
      <c r="AD129" s="459"/>
      <c r="AE129" s="221"/>
      <c r="AF129" s="221"/>
      <c r="AG129" s="222" t="e">
        <f t="shared" si="214"/>
        <v>#DIV/0!</v>
      </c>
      <c r="AH129" s="220" t="e">
        <f t="shared" si="215"/>
        <v>#DIV/0!</v>
      </c>
      <c r="AI129" s="459"/>
      <c r="AJ129" s="221"/>
      <c r="AK129" s="221"/>
      <c r="AL129" s="222" t="e">
        <f t="shared" si="216"/>
        <v>#DIV/0!</v>
      </c>
      <c r="AM129" s="220" t="e">
        <f t="shared" si="200"/>
        <v>#DIV/0!</v>
      </c>
      <c r="AN129" s="459"/>
      <c r="AO129" s="221"/>
      <c r="AP129" s="221"/>
      <c r="AQ129" s="222" t="e">
        <f t="shared" si="217"/>
        <v>#DIV/0!</v>
      </c>
      <c r="AR129" s="220" t="e">
        <f t="shared" si="201"/>
        <v>#DIV/0!</v>
      </c>
      <c r="AS129" s="459"/>
      <c r="AT129" s="221"/>
      <c r="AU129" s="221"/>
      <c r="AV129" s="222" t="e">
        <f t="shared" si="218"/>
        <v>#DIV/0!</v>
      </c>
      <c r="AW129" s="220" t="e">
        <f t="shared" si="202"/>
        <v>#DIV/0!</v>
      </c>
      <c r="AX129" s="459"/>
    </row>
    <row r="130" spans="2:50">
      <c r="B130" s="458"/>
      <c r="C130" s="220">
        <v>9</v>
      </c>
      <c r="D130" s="220" t="s">
        <v>370</v>
      </c>
      <c r="E130" s="221" t="e">
        <f>VLOOKUP(D130,'12產線配置圖'!$A$2:$C$25,2,0)</f>
        <v>#N/A</v>
      </c>
      <c r="F130" s="221" t="e">
        <f>VLOOKUP(D130,'12產線配置圖'!$A$2:$C$25,3,0)</f>
        <v>#N/A</v>
      </c>
      <c r="G130" s="222" t="e">
        <f t="shared" si="203"/>
        <v>#N/A</v>
      </c>
      <c r="H130" s="468"/>
      <c r="I130" s="221" t="e">
        <f t="shared" si="223"/>
        <v>#DIV/0!</v>
      </c>
      <c r="J130" s="221" t="e">
        <f t="shared" si="219"/>
        <v>#DIV/0!</v>
      </c>
      <c r="K130" s="222" t="e">
        <f t="shared" si="220"/>
        <v>#DIV/0!</v>
      </c>
      <c r="L130" s="468"/>
      <c r="M130" s="223" t="e">
        <f t="shared" si="207"/>
        <v>#DIV/0!</v>
      </c>
      <c r="N130" s="454"/>
      <c r="O130" s="454"/>
      <c r="P130" s="221"/>
      <c r="Q130" s="221"/>
      <c r="R130" s="222" t="e">
        <f t="shared" si="221"/>
        <v>#DIV/0!</v>
      </c>
      <c r="S130" s="220" t="e">
        <f t="shared" si="222"/>
        <v>#DIV/0!</v>
      </c>
      <c r="T130" s="459"/>
      <c r="U130" s="221"/>
      <c r="V130" s="221"/>
      <c r="W130" s="222" t="e">
        <f t="shared" si="210"/>
        <v>#DIV/0!</v>
      </c>
      <c r="X130" s="220" t="e">
        <f t="shared" si="211"/>
        <v>#DIV/0!</v>
      </c>
      <c r="Y130" s="459"/>
      <c r="Z130" s="221"/>
      <c r="AA130" s="221"/>
      <c r="AB130" s="222" t="e">
        <f t="shared" si="212"/>
        <v>#DIV/0!</v>
      </c>
      <c r="AC130" s="220" t="e">
        <f t="shared" si="213"/>
        <v>#DIV/0!</v>
      </c>
      <c r="AD130" s="459"/>
      <c r="AE130" s="221"/>
      <c r="AF130" s="221"/>
      <c r="AG130" s="222" t="e">
        <f t="shared" si="214"/>
        <v>#DIV/0!</v>
      </c>
      <c r="AH130" s="220" t="e">
        <f t="shared" si="215"/>
        <v>#DIV/0!</v>
      </c>
      <c r="AI130" s="459"/>
      <c r="AJ130" s="221"/>
      <c r="AK130" s="221"/>
      <c r="AL130" s="222" t="e">
        <f t="shared" si="216"/>
        <v>#DIV/0!</v>
      </c>
      <c r="AM130" s="220" t="e">
        <f t="shared" si="200"/>
        <v>#DIV/0!</v>
      </c>
      <c r="AN130" s="459"/>
      <c r="AO130" s="221"/>
      <c r="AP130" s="221"/>
      <c r="AQ130" s="222" t="e">
        <f t="shared" si="217"/>
        <v>#DIV/0!</v>
      </c>
      <c r="AR130" s="220" t="e">
        <f t="shared" si="201"/>
        <v>#DIV/0!</v>
      </c>
      <c r="AS130" s="459"/>
      <c r="AT130" s="221"/>
      <c r="AU130" s="221"/>
      <c r="AV130" s="222" t="e">
        <f t="shared" si="218"/>
        <v>#DIV/0!</v>
      </c>
      <c r="AW130" s="220" t="e">
        <f t="shared" si="202"/>
        <v>#DIV/0!</v>
      </c>
      <c r="AX130" s="459"/>
    </row>
    <row r="131" spans="2:50">
      <c r="B131" s="458"/>
      <c r="C131" s="220">
        <v>10</v>
      </c>
      <c r="D131" s="220" t="s">
        <v>371</v>
      </c>
      <c r="E131" s="221" t="e">
        <f>VLOOKUP(D131,'12產線配置圖'!$A$2:$C$25,2,0)</f>
        <v>#N/A</v>
      </c>
      <c r="F131" s="221" t="e">
        <f>VLOOKUP(D131,'12產線配置圖'!$A$2:$C$25,3,0)</f>
        <v>#N/A</v>
      </c>
      <c r="G131" s="222" t="e">
        <f t="shared" si="203"/>
        <v>#N/A</v>
      </c>
      <c r="H131" s="468"/>
      <c r="I131" s="221" t="e">
        <f t="shared" si="223"/>
        <v>#DIV/0!</v>
      </c>
      <c r="J131" s="221" t="e">
        <f t="shared" si="219"/>
        <v>#DIV/0!</v>
      </c>
      <c r="K131" s="222" t="e">
        <f t="shared" si="220"/>
        <v>#DIV/0!</v>
      </c>
      <c r="L131" s="468"/>
      <c r="M131" s="223" t="e">
        <f t="shared" si="207"/>
        <v>#DIV/0!</v>
      </c>
      <c r="N131" s="454"/>
      <c r="O131" s="454"/>
      <c r="P131" s="221"/>
      <c r="Q131" s="221"/>
      <c r="R131" s="222" t="e">
        <f t="shared" si="221"/>
        <v>#DIV/0!</v>
      </c>
      <c r="S131" s="220" t="e">
        <f t="shared" si="222"/>
        <v>#DIV/0!</v>
      </c>
      <c r="T131" s="459"/>
      <c r="U131" s="221"/>
      <c r="V131" s="221"/>
      <c r="W131" s="222" t="e">
        <f t="shared" si="210"/>
        <v>#DIV/0!</v>
      </c>
      <c r="X131" s="220" t="e">
        <f t="shared" si="211"/>
        <v>#DIV/0!</v>
      </c>
      <c r="Y131" s="459"/>
      <c r="Z131" s="221"/>
      <c r="AA131" s="221"/>
      <c r="AB131" s="222" t="e">
        <f t="shared" si="212"/>
        <v>#DIV/0!</v>
      </c>
      <c r="AC131" s="220" t="e">
        <f t="shared" si="213"/>
        <v>#DIV/0!</v>
      </c>
      <c r="AD131" s="459"/>
      <c r="AE131" s="221"/>
      <c r="AF131" s="221"/>
      <c r="AG131" s="222" t="e">
        <f t="shared" si="214"/>
        <v>#DIV/0!</v>
      </c>
      <c r="AH131" s="220" t="e">
        <f t="shared" si="215"/>
        <v>#DIV/0!</v>
      </c>
      <c r="AI131" s="459"/>
      <c r="AJ131" s="221"/>
      <c r="AK131" s="221"/>
      <c r="AL131" s="222" t="e">
        <f t="shared" si="216"/>
        <v>#DIV/0!</v>
      </c>
      <c r="AM131" s="220" t="e">
        <f t="shared" si="200"/>
        <v>#DIV/0!</v>
      </c>
      <c r="AN131" s="459"/>
      <c r="AO131" s="221"/>
      <c r="AP131" s="221"/>
      <c r="AQ131" s="222" t="e">
        <f t="shared" si="217"/>
        <v>#DIV/0!</v>
      </c>
      <c r="AR131" s="220" t="e">
        <f t="shared" si="201"/>
        <v>#DIV/0!</v>
      </c>
      <c r="AS131" s="459"/>
      <c r="AT131" s="221"/>
      <c r="AU131" s="221"/>
      <c r="AV131" s="222" t="e">
        <f t="shared" si="218"/>
        <v>#DIV/0!</v>
      </c>
      <c r="AW131" s="220" t="e">
        <f t="shared" si="202"/>
        <v>#DIV/0!</v>
      </c>
      <c r="AX131" s="459"/>
    </row>
    <row r="132" spans="2:50">
      <c r="B132" s="458"/>
      <c r="C132" s="220">
        <v>11</v>
      </c>
      <c r="D132" s="220" t="s">
        <v>84</v>
      </c>
      <c r="E132" s="221">
        <f>VLOOKUP(D132,'12產線配置圖'!$A$2:$C$25,2,0)</f>
        <v>17</v>
      </c>
      <c r="F132" s="221">
        <f>VLOOKUP(D132,'12產線配置圖'!$A$2:$C$25,3,0)</f>
        <v>1440</v>
      </c>
      <c r="G132" s="222">
        <f t="shared" si="203"/>
        <v>84.705882352941174</v>
      </c>
      <c r="H132" s="468"/>
      <c r="I132" s="221" t="e">
        <f t="shared" si="223"/>
        <v>#DIV/0!</v>
      </c>
      <c r="J132" s="221" t="e">
        <f t="shared" si="219"/>
        <v>#DIV/0!</v>
      </c>
      <c r="K132" s="222" t="e">
        <f t="shared" si="220"/>
        <v>#DIV/0!</v>
      </c>
      <c r="L132" s="468"/>
      <c r="M132" s="223" t="e">
        <f t="shared" si="207"/>
        <v>#DIV/0!</v>
      </c>
      <c r="N132" s="454"/>
      <c r="O132" s="454"/>
      <c r="P132" s="220"/>
      <c r="Q132" s="220"/>
      <c r="R132" s="222" t="e">
        <f t="shared" si="221"/>
        <v>#DIV/0!</v>
      </c>
      <c r="S132" s="220" t="e">
        <f t="shared" si="222"/>
        <v>#DIV/0!</v>
      </c>
      <c r="T132" s="459"/>
      <c r="U132" s="220"/>
      <c r="V132" s="220"/>
      <c r="W132" s="222" t="e">
        <f>V132/U132</f>
        <v>#DIV/0!</v>
      </c>
      <c r="X132" s="220" t="e">
        <f t="shared" si="211"/>
        <v>#DIV/0!</v>
      </c>
      <c r="Y132" s="459"/>
      <c r="Z132" s="220"/>
      <c r="AA132" s="220"/>
      <c r="AB132" s="222" t="e">
        <f>AA132/Z132</f>
        <v>#DIV/0!</v>
      </c>
      <c r="AC132" s="220" t="e">
        <f t="shared" si="213"/>
        <v>#DIV/0!</v>
      </c>
      <c r="AD132" s="459"/>
      <c r="AE132" s="220"/>
      <c r="AF132" s="220"/>
      <c r="AG132" s="222" t="e">
        <f>AF132/AE132</f>
        <v>#DIV/0!</v>
      </c>
      <c r="AH132" s="220" t="e">
        <f t="shared" si="215"/>
        <v>#DIV/0!</v>
      </c>
      <c r="AI132" s="459"/>
      <c r="AJ132" s="220"/>
      <c r="AK132" s="220"/>
      <c r="AL132" s="222" t="e">
        <f t="shared" ref="AL132:AL137" si="224">AK132/AJ132</f>
        <v>#DIV/0!</v>
      </c>
      <c r="AM132" s="220" t="e">
        <f t="shared" si="200"/>
        <v>#DIV/0!</v>
      </c>
      <c r="AN132" s="459"/>
      <c r="AO132" s="220"/>
      <c r="AP132" s="220"/>
      <c r="AQ132" s="222" t="e">
        <f t="shared" ref="AQ132:AQ137" si="225">AP132/AO132</f>
        <v>#DIV/0!</v>
      </c>
      <c r="AR132" s="220" t="e">
        <f t="shared" si="201"/>
        <v>#DIV/0!</v>
      </c>
      <c r="AS132" s="459"/>
      <c r="AT132" s="220"/>
      <c r="AU132" s="220"/>
      <c r="AV132" s="222" t="e">
        <f t="shared" si="218"/>
        <v>#DIV/0!</v>
      </c>
      <c r="AW132" s="220" t="e">
        <f t="shared" si="202"/>
        <v>#DIV/0!</v>
      </c>
      <c r="AX132" s="459"/>
    </row>
    <row r="133" spans="2:50">
      <c r="B133" s="458"/>
      <c r="C133" s="220">
        <v>12</v>
      </c>
      <c r="D133" s="220" t="s">
        <v>86</v>
      </c>
      <c r="E133" s="221">
        <f>VLOOKUP(D133,'12產線配置圖'!$A$2:$C$25,2,0)</f>
        <v>17</v>
      </c>
      <c r="F133" s="221">
        <f>VLOOKUP(D133,'12產線配置圖'!$A$2:$C$25,3,0)</f>
        <v>1565</v>
      </c>
      <c r="G133" s="222">
        <f t="shared" si="203"/>
        <v>92.058823529411768</v>
      </c>
      <c r="H133" s="468"/>
      <c r="I133" s="221" t="e">
        <f t="shared" si="223"/>
        <v>#DIV/0!</v>
      </c>
      <c r="J133" s="221" t="e">
        <f t="shared" si="219"/>
        <v>#DIV/0!</v>
      </c>
      <c r="K133" s="222" t="e">
        <f t="shared" si="220"/>
        <v>#DIV/0!</v>
      </c>
      <c r="L133" s="468"/>
      <c r="M133" s="223" t="e">
        <f t="shared" si="207"/>
        <v>#DIV/0!</v>
      </c>
      <c r="N133" s="454"/>
      <c r="O133" s="454"/>
      <c r="P133" s="220"/>
      <c r="Q133" s="221"/>
      <c r="R133" s="222" t="e">
        <f t="shared" si="221"/>
        <v>#DIV/0!</v>
      </c>
      <c r="S133" s="220" t="e">
        <f t="shared" si="222"/>
        <v>#DIV/0!</v>
      </c>
      <c r="T133" s="459"/>
      <c r="U133" s="220"/>
      <c r="V133" s="221"/>
      <c r="W133" s="222" t="e">
        <f t="shared" ref="W133:W137" si="226">V133/U133</f>
        <v>#DIV/0!</v>
      </c>
      <c r="X133" s="220" t="e">
        <f t="shared" si="211"/>
        <v>#DIV/0!</v>
      </c>
      <c r="Y133" s="459"/>
      <c r="Z133" s="220"/>
      <c r="AA133" s="221"/>
      <c r="AB133" s="222" t="e">
        <f t="shared" ref="AB133:AB137" si="227">AA133/Z133</f>
        <v>#DIV/0!</v>
      </c>
      <c r="AC133" s="220" t="e">
        <f t="shared" si="213"/>
        <v>#DIV/0!</v>
      </c>
      <c r="AD133" s="459"/>
      <c r="AE133" s="220"/>
      <c r="AF133" s="221"/>
      <c r="AG133" s="222" t="e">
        <f>AF133/AE133</f>
        <v>#DIV/0!</v>
      </c>
      <c r="AH133" s="220" t="e">
        <f t="shared" si="215"/>
        <v>#DIV/0!</v>
      </c>
      <c r="AI133" s="459"/>
      <c r="AJ133" s="220"/>
      <c r="AK133" s="221"/>
      <c r="AL133" s="222" t="e">
        <f t="shared" si="224"/>
        <v>#DIV/0!</v>
      </c>
      <c r="AM133" s="220" t="e">
        <f t="shared" si="200"/>
        <v>#DIV/0!</v>
      </c>
      <c r="AN133" s="459"/>
      <c r="AO133" s="220"/>
      <c r="AP133" s="221"/>
      <c r="AQ133" s="222" t="e">
        <f t="shared" si="225"/>
        <v>#DIV/0!</v>
      </c>
      <c r="AR133" s="220" t="e">
        <f t="shared" si="201"/>
        <v>#DIV/0!</v>
      </c>
      <c r="AS133" s="459"/>
      <c r="AT133" s="220"/>
      <c r="AU133" s="221"/>
      <c r="AV133" s="222" t="e">
        <f t="shared" si="218"/>
        <v>#DIV/0!</v>
      </c>
      <c r="AW133" s="220" t="e">
        <f t="shared" si="202"/>
        <v>#DIV/0!</v>
      </c>
      <c r="AX133" s="459"/>
    </row>
    <row r="134" spans="2:50">
      <c r="B134" s="458"/>
      <c r="C134" s="220">
        <v>13</v>
      </c>
      <c r="D134" s="220" t="s">
        <v>368</v>
      </c>
      <c r="E134" s="221">
        <f>VLOOKUP(D134,'12產線配置圖'!$A$2:$C$25,2,0)</f>
        <v>13</v>
      </c>
      <c r="F134" s="221">
        <f>VLOOKUP(D134,'12產線配置圖'!$A$2:$C$25,3,0)</f>
        <v>1440</v>
      </c>
      <c r="G134" s="222">
        <f t="shared" si="203"/>
        <v>110.76923076923077</v>
      </c>
      <c r="H134" s="468"/>
      <c r="I134" s="221" t="e">
        <f t="shared" si="223"/>
        <v>#DIV/0!</v>
      </c>
      <c r="J134" s="221" t="e">
        <f t="shared" si="219"/>
        <v>#DIV/0!</v>
      </c>
      <c r="K134" s="222" t="e">
        <f t="shared" si="220"/>
        <v>#DIV/0!</v>
      </c>
      <c r="L134" s="468"/>
      <c r="M134" s="223" t="e">
        <f t="shared" si="207"/>
        <v>#DIV/0!</v>
      </c>
      <c r="N134" s="454"/>
      <c r="O134" s="454"/>
      <c r="P134" s="220"/>
      <c r="Q134" s="220"/>
      <c r="R134" s="222" t="e">
        <f t="shared" si="221"/>
        <v>#DIV/0!</v>
      </c>
      <c r="S134" s="220" t="e">
        <f t="shared" si="222"/>
        <v>#DIV/0!</v>
      </c>
      <c r="T134" s="459"/>
      <c r="U134" s="220"/>
      <c r="V134" s="220"/>
      <c r="W134" s="222" t="e">
        <f t="shared" si="226"/>
        <v>#DIV/0!</v>
      </c>
      <c r="X134" s="220" t="e">
        <f t="shared" si="211"/>
        <v>#DIV/0!</v>
      </c>
      <c r="Y134" s="459"/>
      <c r="Z134" s="220"/>
      <c r="AA134" s="220"/>
      <c r="AB134" s="222" t="e">
        <f t="shared" si="227"/>
        <v>#DIV/0!</v>
      </c>
      <c r="AC134" s="220" t="e">
        <f t="shared" si="213"/>
        <v>#DIV/0!</v>
      </c>
      <c r="AD134" s="459"/>
      <c r="AE134" s="220"/>
      <c r="AF134" s="220"/>
      <c r="AG134" s="222" t="e">
        <f>AF134/AE134</f>
        <v>#DIV/0!</v>
      </c>
      <c r="AH134" s="220" t="e">
        <f t="shared" si="215"/>
        <v>#DIV/0!</v>
      </c>
      <c r="AI134" s="459"/>
      <c r="AJ134" s="220"/>
      <c r="AK134" s="220"/>
      <c r="AL134" s="222" t="e">
        <f t="shared" si="224"/>
        <v>#DIV/0!</v>
      </c>
      <c r="AM134" s="220" t="e">
        <f t="shared" si="200"/>
        <v>#DIV/0!</v>
      </c>
      <c r="AN134" s="459"/>
      <c r="AO134" s="220"/>
      <c r="AP134" s="220"/>
      <c r="AQ134" s="222" t="e">
        <f t="shared" si="225"/>
        <v>#DIV/0!</v>
      </c>
      <c r="AR134" s="220" t="e">
        <f t="shared" si="201"/>
        <v>#DIV/0!</v>
      </c>
      <c r="AS134" s="459"/>
      <c r="AT134" s="220"/>
      <c r="AU134" s="220"/>
      <c r="AV134" s="222" t="e">
        <f t="shared" si="218"/>
        <v>#DIV/0!</v>
      </c>
      <c r="AW134" s="220" t="e">
        <f t="shared" si="202"/>
        <v>#DIV/0!</v>
      </c>
      <c r="AX134" s="459"/>
    </row>
    <row r="135" spans="2:50">
      <c r="B135" s="458"/>
      <c r="C135" s="220">
        <v>14</v>
      </c>
      <c r="D135" s="220" t="s">
        <v>187</v>
      </c>
      <c r="E135" s="221">
        <f>VLOOKUP(D135,'12產線配置圖'!$A$2:$C$25,2,0)</f>
        <v>15</v>
      </c>
      <c r="F135" s="221">
        <f>VLOOKUP(D135,'12產線配置圖'!$A$2:$C$25,3,0)</f>
        <v>1800</v>
      </c>
      <c r="G135" s="222">
        <f t="shared" si="203"/>
        <v>120</v>
      </c>
      <c r="H135" s="468"/>
      <c r="I135" s="221" t="e">
        <f t="shared" si="223"/>
        <v>#DIV/0!</v>
      </c>
      <c r="J135" s="221" t="e">
        <f t="shared" si="219"/>
        <v>#DIV/0!</v>
      </c>
      <c r="K135" s="222" t="e">
        <f t="shared" si="220"/>
        <v>#DIV/0!</v>
      </c>
      <c r="L135" s="468"/>
      <c r="M135" s="223" t="e">
        <f t="shared" si="207"/>
        <v>#DIV/0!</v>
      </c>
      <c r="N135" s="454"/>
      <c r="O135" s="454"/>
      <c r="P135" s="220"/>
      <c r="Q135" s="220"/>
      <c r="R135" s="222" t="e">
        <f t="shared" si="221"/>
        <v>#DIV/0!</v>
      </c>
      <c r="S135" s="220" t="e">
        <f t="shared" si="222"/>
        <v>#DIV/0!</v>
      </c>
      <c r="T135" s="459"/>
      <c r="U135" s="220"/>
      <c r="V135" s="220"/>
      <c r="W135" s="222" t="e">
        <f t="shared" si="226"/>
        <v>#DIV/0!</v>
      </c>
      <c r="X135" s="220" t="e">
        <f t="shared" si="211"/>
        <v>#DIV/0!</v>
      </c>
      <c r="Y135" s="459"/>
      <c r="Z135" s="220"/>
      <c r="AA135" s="220"/>
      <c r="AB135" s="222" t="e">
        <f t="shared" si="227"/>
        <v>#DIV/0!</v>
      </c>
      <c r="AC135" s="220" t="e">
        <f t="shared" si="213"/>
        <v>#DIV/0!</v>
      </c>
      <c r="AD135" s="459"/>
      <c r="AE135" s="220"/>
      <c r="AF135" s="220"/>
      <c r="AG135" s="222" t="e">
        <f>AF135/AE135</f>
        <v>#DIV/0!</v>
      </c>
      <c r="AH135" s="220" t="e">
        <f t="shared" si="215"/>
        <v>#DIV/0!</v>
      </c>
      <c r="AI135" s="459"/>
      <c r="AJ135" s="220"/>
      <c r="AK135" s="220"/>
      <c r="AL135" s="222" t="e">
        <f t="shared" si="224"/>
        <v>#DIV/0!</v>
      </c>
      <c r="AM135" s="220" t="e">
        <f t="shared" si="200"/>
        <v>#DIV/0!</v>
      </c>
      <c r="AN135" s="459"/>
      <c r="AO135" s="220"/>
      <c r="AP135" s="220"/>
      <c r="AQ135" s="222" t="e">
        <f t="shared" si="225"/>
        <v>#DIV/0!</v>
      </c>
      <c r="AR135" s="220" t="e">
        <f t="shared" si="201"/>
        <v>#DIV/0!</v>
      </c>
      <c r="AS135" s="459"/>
      <c r="AT135" s="220"/>
      <c r="AU135" s="220"/>
      <c r="AV135" s="222" t="e">
        <f t="shared" si="218"/>
        <v>#DIV/0!</v>
      </c>
      <c r="AW135" s="220" t="e">
        <f t="shared" si="202"/>
        <v>#DIV/0!</v>
      </c>
      <c r="AX135" s="459"/>
    </row>
    <row r="136" spans="2:50">
      <c r="B136" s="458"/>
      <c r="C136" s="220">
        <v>15</v>
      </c>
      <c r="D136" s="220"/>
      <c r="E136" s="221" t="e">
        <f>VLOOKUP(D136,'12產線配置圖'!$A$2:$C$25,2,0)</f>
        <v>#N/A</v>
      </c>
      <c r="F136" s="221" t="e">
        <f>VLOOKUP(D136,'12產線配置圖'!$A$2:$C$25,3,0)</f>
        <v>#N/A</v>
      </c>
      <c r="G136" s="222" t="e">
        <f t="shared" ref="G136:G137" si="228">F136/E136</f>
        <v>#N/A</v>
      </c>
      <c r="H136" s="468"/>
      <c r="I136" s="221" t="e">
        <f t="shared" si="204"/>
        <v>#DIV/0!</v>
      </c>
      <c r="J136" s="221" t="e">
        <f t="shared" si="205"/>
        <v>#DIV/0!</v>
      </c>
      <c r="K136" s="222" t="e">
        <f t="shared" si="206"/>
        <v>#DIV/0!</v>
      </c>
      <c r="L136" s="468"/>
      <c r="M136" s="223" t="e">
        <f t="shared" si="207"/>
        <v>#DIV/0!</v>
      </c>
      <c r="N136" s="454"/>
      <c r="O136" s="454"/>
      <c r="P136" s="220"/>
      <c r="Q136" s="220"/>
      <c r="R136" s="222" t="e">
        <f t="shared" si="221"/>
        <v>#DIV/0!</v>
      </c>
      <c r="S136" s="220" t="e">
        <f t="shared" si="222"/>
        <v>#DIV/0!</v>
      </c>
      <c r="T136" s="459"/>
      <c r="U136" s="220"/>
      <c r="V136" s="220"/>
      <c r="W136" s="222" t="e">
        <f t="shared" si="226"/>
        <v>#DIV/0!</v>
      </c>
      <c r="X136" s="220" t="e">
        <f t="shared" si="211"/>
        <v>#DIV/0!</v>
      </c>
      <c r="Y136" s="459"/>
      <c r="Z136" s="220"/>
      <c r="AA136" s="220"/>
      <c r="AB136" s="222" t="e">
        <f t="shared" si="227"/>
        <v>#DIV/0!</v>
      </c>
      <c r="AC136" s="220" t="e">
        <f t="shared" si="213"/>
        <v>#DIV/0!</v>
      </c>
      <c r="AD136" s="459"/>
      <c r="AE136" s="220"/>
      <c r="AF136" s="220"/>
      <c r="AG136" s="222" t="e">
        <f t="shared" ref="AG136:AG137" si="229">AF136/AE136</f>
        <v>#DIV/0!</v>
      </c>
      <c r="AH136" s="220" t="e">
        <f t="shared" si="215"/>
        <v>#DIV/0!</v>
      </c>
      <c r="AI136" s="459"/>
      <c r="AJ136" s="220"/>
      <c r="AK136" s="220"/>
      <c r="AL136" s="222" t="e">
        <f t="shared" si="224"/>
        <v>#DIV/0!</v>
      </c>
      <c r="AM136" s="220" t="e">
        <f t="shared" si="200"/>
        <v>#DIV/0!</v>
      </c>
      <c r="AN136" s="459"/>
      <c r="AO136" s="220"/>
      <c r="AP136" s="220"/>
      <c r="AQ136" s="222" t="e">
        <f t="shared" si="225"/>
        <v>#DIV/0!</v>
      </c>
      <c r="AR136" s="220" t="e">
        <f t="shared" si="201"/>
        <v>#DIV/0!</v>
      </c>
      <c r="AS136" s="459"/>
      <c r="AT136" s="220"/>
      <c r="AU136" s="220"/>
      <c r="AV136" s="222" t="e">
        <f>AU136/AT136</f>
        <v>#DIV/0!</v>
      </c>
      <c r="AW136" s="220" t="e">
        <f t="shared" si="202"/>
        <v>#DIV/0!</v>
      </c>
      <c r="AX136" s="459"/>
    </row>
    <row r="137" spans="2:50">
      <c r="B137" s="458"/>
      <c r="C137" s="220">
        <v>16</v>
      </c>
      <c r="D137" s="220"/>
      <c r="E137" s="221" t="e">
        <f>VLOOKUP(D137,'12產線配置圖'!$A$2:$C$25,2,0)</f>
        <v>#N/A</v>
      </c>
      <c r="F137" s="221" t="e">
        <f>VLOOKUP(D137,'12產線配置圖'!$A$2:$C$25,3,0)</f>
        <v>#N/A</v>
      </c>
      <c r="G137" s="222" t="e">
        <f t="shared" si="228"/>
        <v>#N/A</v>
      </c>
      <c r="H137" s="468"/>
      <c r="I137" s="221" t="e">
        <f t="shared" si="204"/>
        <v>#DIV/0!</v>
      </c>
      <c r="J137" s="221" t="e">
        <f t="shared" si="205"/>
        <v>#DIV/0!</v>
      </c>
      <c r="K137" s="222" t="e">
        <f t="shared" si="206"/>
        <v>#DIV/0!</v>
      </c>
      <c r="L137" s="468"/>
      <c r="M137" s="223" t="e">
        <f t="shared" si="207"/>
        <v>#DIV/0!</v>
      </c>
      <c r="N137" s="454"/>
      <c r="O137" s="454"/>
      <c r="P137" s="220"/>
      <c r="Q137" s="220"/>
      <c r="R137" s="222" t="e">
        <f t="shared" si="221"/>
        <v>#DIV/0!</v>
      </c>
      <c r="S137" s="220" t="e">
        <f t="shared" si="222"/>
        <v>#DIV/0!</v>
      </c>
      <c r="T137" s="459"/>
      <c r="U137" s="220"/>
      <c r="V137" s="220"/>
      <c r="W137" s="222" t="e">
        <f t="shared" si="226"/>
        <v>#DIV/0!</v>
      </c>
      <c r="X137" s="220" t="e">
        <f t="shared" si="211"/>
        <v>#DIV/0!</v>
      </c>
      <c r="Y137" s="459"/>
      <c r="Z137" s="220"/>
      <c r="AA137" s="220"/>
      <c r="AB137" s="222" t="e">
        <f t="shared" si="227"/>
        <v>#DIV/0!</v>
      </c>
      <c r="AC137" s="220" t="e">
        <f t="shared" si="213"/>
        <v>#DIV/0!</v>
      </c>
      <c r="AD137" s="459"/>
      <c r="AE137" s="220"/>
      <c r="AF137" s="220"/>
      <c r="AG137" s="222" t="e">
        <f t="shared" si="229"/>
        <v>#DIV/0!</v>
      </c>
      <c r="AH137" s="220" t="e">
        <f t="shared" si="215"/>
        <v>#DIV/0!</v>
      </c>
      <c r="AI137" s="459"/>
      <c r="AJ137" s="220"/>
      <c r="AK137" s="220"/>
      <c r="AL137" s="222" t="e">
        <f t="shared" si="224"/>
        <v>#DIV/0!</v>
      </c>
      <c r="AM137" s="220" t="e">
        <f t="shared" si="200"/>
        <v>#DIV/0!</v>
      </c>
      <c r="AN137" s="459"/>
      <c r="AO137" s="220"/>
      <c r="AP137" s="220"/>
      <c r="AQ137" s="222" t="e">
        <f t="shared" si="225"/>
        <v>#DIV/0!</v>
      </c>
      <c r="AR137" s="220" t="e">
        <f t="shared" si="201"/>
        <v>#DIV/0!</v>
      </c>
      <c r="AS137" s="459"/>
      <c r="AT137" s="220"/>
      <c r="AU137" s="220"/>
      <c r="AV137" s="222" t="e">
        <f>AU137/AT137</f>
        <v>#DIV/0!</v>
      </c>
      <c r="AW137" s="220" t="e">
        <f t="shared" si="202"/>
        <v>#DIV/0!</v>
      </c>
      <c r="AX137" s="459"/>
    </row>
    <row r="138" spans="2:50">
      <c r="B138" s="458"/>
      <c r="C138" s="220">
        <v>17</v>
      </c>
      <c r="D138" s="220"/>
      <c r="E138" s="221"/>
      <c r="F138" s="221"/>
      <c r="G138" s="222"/>
      <c r="H138" s="468"/>
      <c r="I138" s="220"/>
      <c r="J138" s="220"/>
      <c r="K138" s="222"/>
      <c r="L138" s="468"/>
      <c r="M138" s="223"/>
      <c r="N138" s="454"/>
      <c r="O138" s="454"/>
      <c r="P138" s="220"/>
      <c r="Q138" s="220"/>
      <c r="R138" s="222"/>
      <c r="S138" s="220"/>
      <c r="T138" s="459"/>
      <c r="U138" s="220"/>
      <c r="V138" s="220"/>
      <c r="W138" s="222"/>
      <c r="X138" s="220"/>
      <c r="Y138" s="459"/>
      <c r="Z138" s="220"/>
      <c r="AA138" s="220"/>
      <c r="AB138" s="220"/>
      <c r="AC138" s="220"/>
      <c r="AD138" s="459"/>
      <c r="AE138" s="220"/>
      <c r="AF138" s="220"/>
      <c r="AG138" s="222"/>
      <c r="AH138" s="220"/>
      <c r="AI138" s="459"/>
      <c r="AJ138" s="220"/>
      <c r="AK138" s="220"/>
      <c r="AL138" s="220"/>
      <c r="AM138" s="220"/>
      <c r="AN138" s="459"/>
      <c r="AO138" s="220"/>
      <c r="AP138" s="220"/>
      <c r="AQ138" s="220"/>
      <c r="AR138" s="220"/>
      <c r="AS138" s="459"/>
      <c r="AT138" s="220"/>
      <c r="AU138" s="220"/>
      <c r="AV138" s="220"/>
      <c r="AW138" s="220"/>
      <c r="AX138" s="459"/>
    </row>
    <row r="139" spans="2:50">
      <c r="B139" s="458"/>
      <c r="C139" s="220">
        <v>18</v>
      </c>
      <c r="D139" s="220"/>
      <c r="E139" s="221"/>
      <c r="F139" s="221"/>
      <c r="G139" s="222"/>
      <c r="H139" s="469"/>
      <c r="I139" s="220"/>
      <c r="J139" s="220"/>
      <c r="K139" s="222"/>
      <c r="L139" s="469"/>
      <c r="M139" s="223"/>
      <c r="N139" s="454"/>
      <c r="O139" s="454"/>
      <c r="P139" s="220"/>
      <c r="Q139" s="220"/>
      <c r="R139" s="222"/>
      <c r="S139" s="220"/>
      <c r="T139" s="459"/>
      <c r="U139" s="220"/>
      <c r="V139" s="220"/>
      <c r="W139" s="222"/>
      <c r="X139" s="220"/>
      <c r="Y139" s="459"/>
      <c r="Z139" s="220"/>
      <c r="AA139" s="220"/>
      <c r="AB139" s="220"/>
      <c r="AC139" s="220"/>
      <c r="AD139" s="459"/>
      <c r="AE139" s="220"/>
      <c r="AF139" s="220"/>
      <c r="AG139" s="222"/>
      <c r="AH139" s="220"/>
      <c r="AI139" s="459"/>
      <c r="AJ139" s="220"/>
      <c r="AK139" s="220"/>
      <c r="AL139" s="220"/>
      <c r="AM139" s="220"/>
      <c r="AN139" s="459"/>
      <c r="AO139" s="220"/>
      <c r="AP139" s="220"/>
      <c r="AQ139" s="220"/>
      <c r="AR139" s="220"/>
      <c r="AS139" s="459"/>
      <c r="AT139" s="220"/>
      <c r="AU139" s="220"/>
      <c r="AV139" s="220"/>
      <c r="AW139" s="220"/>
      <c r="AX139" s="459"/>
    </row>
  </sheetData>
  <mergeCells count="354">
    <mergeCell ref="P120:S120"/>
    <mergeCell ref="C119:D121"/>
    <mergeCell ref="E119:G119"/>
    <mergeCell ref="H119:H121"/>
    <mergeCell ref="I119:K119"/>
    <mergeCell ref="E120:G120"/>
    <mergeCell ref="I120:K120"/>
    <mergeCell ref="AX122:AX139"/>
    <mergeCell ref="B122:B139"/>
    <mergeCell ref="H122:H139"/>
    <mergeCell ref="L122:L139"/>
    <mergeCell ref="T122:T139"/>
    <mergeCell ref="Y122:Y139"/>
    <mergeCell ref="AD122:AD139"/>
    <mergeCell ref="AI122:AI139"/>
    <mergeCell ref="AN122:AN139"/>
    <mergeCell ref="AS122:AS139"/>
    <mergeCell ref="N119:N139"/>
    <mergeCell ref="O119:O139"/>
    <mergeCell ref="L119:L121"/>
    <mergeCell ref="M119:M121"/>
    <mergeCell ref="P119:S119"/>
    <mergeCell ref="B119:B121"/>
    <mergeCell ref="AT120:AW120"/>
    <mergeCell ref="AE119:AH119"/>
    <mergeCell ref="AT119:AW119"/>
    <mergeCell ref="T119:T121"/>
    <mergeCell ref="U119:X119"/>
    <mergeCell ref="AD119:AD121"/>
    <mergeCell ref="AI119:AI121"/>
    <mergeCell ref="AJ119:AM119"/>
    <mergeCell ref="AN119:AN121"/>
    <mergeCell ref="Y119:Y121"/>
    <mergeCell ref="Z119:AC119"/>
    <mergeCell ref="AS119:AS121"/>
    <mergeCell ref="U120:X120"/>
    <mergeCell ref="Z120:AC120"/>
    <mergeCell ref="AE120:AH120"/>
    <mergeCell ref="AJ120:AM120"/>
    <mergeCell ref="AO120:AR120"/>
    <mergeCell ref="AJ117:AN117"/>
    <mergeCell ref="AO117:AS117"/>
    <mergeCell ref="AO71:AS71"/>
    <mergeCell ref="AJ71:AN71"/>
    <mergeCell ref="AO73:AR73"/>
    <mergeCell ref="AJ94:AN94"/>
    <mergeCell ref="AN99:AN116"/>
    <mergeCell ref="AT117:AX117"/>
    <mergeCell ref="AX99:AX116"/>
    <mergeCell ref="AS99:AS116"/>
    <mergeCell ref="AN96:AN98"/>
    <mergeCell ref="AX76:AX93"/>
    <mergeCell ref="AT95:AX95"/>
    <mergeCell ref="AT72:AX72"/>
    <mergeCell ref="AO95:AS95"/>
    <mergeCell ref="AO119:AR119"/>
    <mergeCell ref="AI99:AI116"/>
    <mergeCell ref="AT118:AX118"/>
    <mergeCell ref="AO118:AS118"/>
    <mergeCell ref="AX119:AX121"/>
    <mergeCell ref="AX53:AX70"/>
    <mergeCell ref="AX96:AX98"/>
    <mergeCell ref="AT96:AW96"/>
    <mergeCell ref="AT97:AW97"/>
    <mergeCell ref="AN73:AN75"/>
    <mergeCell ref="AE71:AI71"/>
    <mergeCell ref="AO72:AS72"/>
    <mergeCell ref="AS76:AS93"/>
    <mergeCell ref="AN76:AN93"/>
    <mergeCell ref="AT74:AW74"/>
    <mergeCell ref="AJ72:AN72"/>
    <mergeCell ref="AO74:AR74"/>
    <mergeCell ref="AT94:AX94"/>
    <mergeCell ref="AO94:AS94"/>
    <mergeCell ref="AS73:AS75"/>
    <mergeCell ref="AT73:AW73"/>
    <mergeCell ref="AT71:AX71"/>
    <mergeCell ref="AX73:AX75"/>
    <mergeCell ref="AJ4:AM4"/>
    <mergeCell ref="AJ5:AM5"/>
    <mergeCell ref="AX4:AX6"/>
    <mergeCell ref="AN4:AN6"/>
    <mergeCell ref="AT5:AW5"/>
    <mergeCell ref="AT4:AW4"/>
    <mergeCell ref="AJ49:AN49"/>
    <mergeCell ref="AN53:AN70"/>
    <mergeCell ref="AO49:AS49"/>
    <mergeCell ref="AT48:AX48"/>
    <mergeCell ref="AX50:AX52"/>
    <mergeCell ref="AT50:AW50"/>
    <mergeCell ref="AO51:AR51"/>
    <mergeCell ref="AO50:AR50"/>
    <mergeCell ref="AT49:AX49"/>
    <mergeCell ref="AJ50:AM50"/>
    <mergeCell ref="AJ51:AM51"/>
    <mergeCell ref="AN50:AN52"/>
    <mergeCell ref="AT51:AW51"/>
    <mergeCell ref="AX30:AX47"/>
    <mergeCell ref="AS30:AS47"/>
    <mergeCell ref="AJ27:AM27"/>
    <mergeCell ref="AJ28:AM28"/>
    <mergeCell ref="AT28:AW28"/>
    <mergeCell ref="AX7:AX24"/>
    <mergeCell ref="AS27:AS29"/>
    <mergeCell ref="AJ26:AN26"/>
    <mergeCell ref="AN27:AN29"/>
    <mergeCell ref="AJ25:AN25"/>
    <mergeCell ref="AX27:AX29"/>
    <mergeCell ref="AO28:AR28"/>
    <mergeCell ref="AT26:AX26"/>
    <mergeCell ref="AT27:AW27"/>
    <mergeCell ref="AT25:AX25"/>
    <mergeCell ref="AN7:AN24"/>
    <mergeCell ref="AS7:AS24"/>
    <mergeCell ref="AO25:AS25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AO2:AS2"/>
    <mergeCell ref="AJ2:AN2"/>
    <mergeCell ref="AO97:AR97"/>
    <mergeCell ref="AO96:AR96"/>
    <mergeCell ref="AS96:AS98"/>
    <mergeCell ref="AI76:AI93"/>
    <mergeCell ref="AJ73:AM73"/>
    <mergeCell ref="H76:H93"/>
    <mergeCell ref="H73:H75"/>
    <mergeCell ref="E74:G74"/>
    <mergeCell ref="AI4:AI6"/>
    <mergeCell ref="AS4:AS6"/>
    <mergeCell ref="AO4:AR4"/>
    <mergeCell ref="N25:N26"/>
    <mergeCell ref="AI50:AI52"/>
    <mergeCell ref="AE48:AI48"/>
    <mergeCell ref="Y27:Y29"/>
    <mergeCell ref="Y30:Y47"/>
    <mergeCell ref="U28:X28"/>
    <mergeCell ref="AD50:AD52"/>
    <mergeCell ref="Z28:AC28"/>
    <mergeCell ref="Z50:AC50"/>
    <mergeCell ref="Y50:Y52"/>
    <mergeCell ref="U50:X50"/>
    <mergeCell ref="U27:X27"/>
    <mergeCell ref="N50:N70"/>
    <mergeCell ref="AO5:AR5"/>
    <mergeCell ref="O50:O70"/>
    <mergeCell ref="AE5:AH5"/>
    <mergeCell ref="AO27:AR27"/>
    <mergeCell ref="AO26:AS26"/>
    <mergeCell ref="AO48:AS48"/>
    <mergeCell ref="U48:Y48"/>
    <mergeCell ref="AE49:AI49"/>
    <mergeCell ref="Z48:AD48"/>
    <mergeCell ref="AJ48:AN48"/>
    <mergeCell ref="AE51:AH51"/>
    <mergeCell ref="Z49:AD49"/>
    <mergeCell ref="AD53:AD70"/>
    <mergeCell ref="AS53:AS70"/>
    <mergeCell ref="AI53:AI70"/>
    <mergeCell ref="AS50:AS52"/>
    <mergeCell ref="AE50:AH50"/>
    <mergeCell ref="Z51:AC51"/>
    <mergeCell ref="T53:T70"/>
    <mergeCell ref="Y53:Y70"/>
    <mergeCell ref="P117:T117"/>
    <mergeCell ref="U117:Y117"/>
    <mergeCell ref="Z118:AD118"/>
    <mergeCell ref="I97:K97"/>
    <mergeCell ref="E97:G97"/>
    <mergeCell ref="AI96:AI98"/>
    <mergeCell ref="AJ96:AM96"/>
    <mergeCell ref="T99:T116"/>
    <mergeCell ref="H99:H116"/>
    <mergeCell ref="B117:H118"/>
    <mergeCell ref="L99:L116"/>
    <mergeCell ref="Z117:AD117"/>
    <mergeCell ref="AE117:AI117"/>
    <mergeCell ref="AJ118:AN118"/>
    <mergeCell ref="AE118:AI118"/>
    <mergeCell ref="AD99:AD116"/>
    <mergeCell ref="B99:B116"/>
    <mergeCell ref="P118:T118"/>
    <mergeCell ref="U118:Y118"/>
    <mergeCell ref="N117:N118"/>
    <mergeCell ref="O117:O118"/>
    <mergeCell ref="B96:B98"/>
    <mergeCell ref="E96:G96"/>
    <mergeCell ref="AE96:AH96"/>
    <mergeCell ref="Y99:Y116"/>
    <mergeCell ref="AJ97:AM97"/>
    <mergeCell ref="Y73:Y75"/>
    <mergeCell ref="AI73:AI75"/>
    <mergeCell ref="AE73:AH73"/>
    <mergeCell ref="AD76:AD93"/>
    <mergeCell ref="AJ74:AM74"/>
    <mergeCell ref="U73:X73"/>
    <mergeCell ref="AE94:AI94"/>
    <mergeCell ref="AE95:AI95"/>
    <mergeCell ref="AJ95:AN95"/>
    <mergeCell ref="P48:T48"/>
    <mergeCell ref="P49:T49"/>
    <mergeCell ref="U51:X51"/>
    <mergeCell ref="B73:B75"/>
    <mergeCell ref="E73:G73"/>
    <mergeCell ref="C73:D75"/>
    <mergeCell ref="B94:H95"/>
    <mergeCell ref="L73:L75"/>
    <mergeCell ref="O96:O116"/>
    <mergeCell ref="N96:N116"/>
    <mergeCell ref="B76:B93"/>
    <mergeCell ref="I74:K74"/>
    <mergeCell ref="I73:K73"/>
    <mergeCell ref="L76:L93"/>
    <mergeCell ref="M96:M98"/>
    <mergeCell ref="P96:S96"/>
    <mergeCell ref="T96:T98"/>
    <mergeCell ref="P95:T95"/>
    <mergeCell ref="C96:D98"/>
    <mergeCell ref="H96:H98"/>
    <mergeCell ref="I96:K96"/>
    <mergeCell ref="L96:L98"/>
    <mergeCell ref="C50:D52"/>
    <mergeCell ref="E51:G51"/>
    <mergeCell ref="H50:H52"/>
    <mergeCell ref="B53:B70"/>
    <mergeCell ref="E50:G50"/>
    <mergeCell ref="P72:T72"/>
    <mergeCell ref="H53:H70"/>
    <mergeCell ref="L53:L70"/>
    <mergeCell ref="B71:H72"/>
    <mergeCell ref="N71:N72"/>
    <mergeCell ref="I50:K50"/>
    <mergeCell ref="L50:L52"/>
    <mergeCell ref="B50:B52"/>
    <mergeCell ref="M73:M75"/>
    <mergeCell ref="N73:N93"/>
    <mergeCell ref="T76:T93"/>
    <mergeCell ref="C27:D29"/>
    <mergeCell ref="I51:K51"/>
    <mergeCell ref="P51:S51"/>
    <mergeCell ref="M50:M52"/>
    <mergeCell ref="P74:S74"/>
    <mergeCell ref="P73:S73"/>
    <mergeCell ref="P50:S50"/>
    <mergeCell ref="T50:T52"/>
    <mergeCell ref="E28:G28"/>
    <mergeCell ref="M27:M29"/>
    <mergeCell ref="T27:T29"/>
    <mergeCell ref="I28:K28"/>
    <mergeCell ref="B48:H49"/>
    <mergeCell ref="N48:N49"/>
    <mergeCell ref="O48:O49"/>
    <mergeCell ref="E27:G27"/>
    <mergeCell ref="H27:H29"/>
    <mergeCell ref="I27:K27"/>
    <mergeCell ref="L27:L29"/>
    <mergeCell ref="B25:H26"/>
    <mergeCell ref="T4:T6"/>
    <mergeCell ref="T7:T24"/>
    <mergeCell ref="P26:T26"/>
    <mergeCell ref="B30:B47"/>
    <mergeCell ref="M4:M6"/>
    <mergeCell ref="N4:N24"/>
    <mergeCell ref="P28:S28"/>
    <mergeCell ref="H30:H47"/>
    <mergeCell ref="N27:N47"/>
    <mergeCell ref="O27:O47"/>
    <mergeCell ref="B27:B29"/>
    <mergeCell ref="L30:L47"/>
    <mergeCell ref="P25:T25"/>
    <mergeCell ref="P4:S4"/>
    <mergeCell ref="B2:H3"/>
    <mergeCell ref="B4:B6"/>
    <mergeCell ref="B7:B24"/>
    <mergeCell ref="H7:H24"/>
    <mergeCell ref="L7:L24"/>
    <mergeCell ref="H4:H6"/>
    <mergeCell ref="I4:K4"/>
    <mergeCell ref="L4:L6"/>
    <mergeCell ref="E5:G5"/>
    <mergeCell ref="I5:K5"/>
    <mergeCell ref="C4:D6"/>
    <mergeCell ref="E4:G4"/>
    <mergeCell ref="Z73:AC73"/>
    <mergeCell ref="AD73:AD75"/>
    <mergeCell ref="N2:N3"/>
    <mergeCell ref="Z25:AD25"/>
    <mergeCell ref="AE25:AI25"/>
    <mergeCell ref="O4:O24"/>
    <mergeCell ref="Y4:Y6"/>
    <mergeCell ref="Z4:AC4"/>
    <mergeCell ref="P5:S5"/>
    <mergeCell ref="U5:X5"/>
    <mergeCell ref="Z5:AC5"/>
    <mergeCell ref="AD7:AD24"/>
    <mergeCell ref="AI7:AI24"/>
    <mergeCell ref="O25:O26"/>
    <mergeCell ref="AE27:AH27"/>
    <mergeCell ref="Y7:Y24"/>
    <mergeCell ref="AD4:AD6"/>
    <mergeCell ref="Z72:AD72"/>
    <mergeCell ref="Z71:AD71"/>
    <mergeCell ref="P71:T71"/>
    <mergeCell ref="O71:O72"/>
    <mergeCell ref="U72:Y72"/>
    <mergeCell ref="U71:Y71"/>
    <mergeCell ref="U49:Y49"/>
    <mergeCell ref="AE72:AI72"/>
    <mergeCell ref="AD30:AD47"/>
    <mergeCell ref="AI30:AI47"/>
    <mergeCell ref="AN30:AN47"/>
    <mergeCell ref="Y76:Y93"/>
    <mergeCell ref="T73:T75"/>
    <mergeCell ref="O2:O3"/>
    <mergeCell ref="AE2:AI2"/>
    <mergeCell ref="P27:S27"/>
    <mergeCell ref="T30:T47"/>
    <mergeCell ref="AE26:AI26"/>
    <mergeCell ref="O73:O93"/>
    <mergeCell ref="U74:X74"/>
    <mergeCell ref="U26:Y26"/>
    <mergeCell ref="Z26:AD26"/>
    <mergeCell ref="AE28:AH28"/>
    <mergeCell ref="Z27:AC27"/>
    <mergeCell ref="AD27:AD29"/>
    <mergeCell ref="AI27:AI29"/>
    <mergeCell ref="U25:Y25"/>
    <mergeCell ref="U4:X4"/>
    <mergeCell ref="AE4:AH4"/>
    <mergeCell ref="Z74:AC74"/>
    <mergeCell ref="AE74:AH74"/>
    <mergeCell ref="AE97:AH97"/>
    <mergeCell ref="AD96:AD98"/>
    <mergeCell ref="Z96:AC96"/>
    <mergeCell ref="Y96:Y98"/>
    <mergeCell ref="N94:N95"/>
    <mergeCell ref="O94:O95"/>
    <mergeCell ref="P94:T94"/>
    <mergeCell ref="P97:S97"/>
    <mergeCell ref="Z94:AD94"/>
    <mergeCell ref="U97:X97"/>
    <mergeCell ref="U96:X96"/>
    <mergeCell ref="U94:Y94"/>
    <mergeCell ref="U95:Y95"/>
    <mergeCell ref="Z95:AD95"/>
    <mergeCell ref="Z97:AC97"/>
  </mergeCells>
  <phoneticPr fontId="20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'12產線配置圖'!$A$2:$A$24</xm:f>
          </x14:formula1>
          <xm:sqref>D53:D70 D76:D93 D30:D47 D7:D22 D122:D139 D99:D116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1:AX101"/>
  <sheetViews>
    <sheetView zoomScaleNormal="100" workbookViewId="0">
      <selection activeCell="AL51" sqref="AL5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 customWidth="1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70" width="8.85546875" style="108" customWidth="1"/>
    <col min="71" max="16384" width="8.85546875" style="108"/>
  </cols>
  <sheetData>
    <row r="1" spans="1:50" ht="24">
      <c r="A1" s="78"/>
      <c r="B1" s="182" t="s">
        <v>42</v>
      </c>
      <c r="C1" s="107" t="e">
        <f>AVERAGE(L7,L27,L47,L67,L87)</f>
        <v>#DIV/0!</v>
      </c>
    </row>
    <row r="2" spans="1:50" ht="15.75">
      <c r="A2" s="83"/>
      <c r="B2" s="498" t="s">
        <v>43</v>
      </c>
      <c r="C2" s="499"/>
      <c r="D2" s="499"/>
      <c r="E2" s="499"/>
      <c r="F2" s="499"/>
      <c r="G2" s="499"/>
      <c r="H2" s="499"/>
      <c r="I2" s="159"/>
      <c r="J2" s="159"/>
      <c r="K2" s="159"/>
      <c r="L2" s="159"/>
      <c r="M2" s="155"/>
      <c r="N2" s="488" t="s">
        <v>44</v>
      </c>
      <c r="O2" s="488" t="s">
        <v>3</v>
      </c>
      <c r="P2" s="491"/>
      <c r="Q2" s="486"/>
      <c r="R2" s="486"/>
      <c r="S2" s="486"/>
      <c r="T2" s="486"/>
      <c r="U2" s="491"/>
      <c r="V2" s="486"/>
      <c r="W2" s="486"/>
      <c r="X2" s="486"/>
      <c r="Y2" s="486"/>
      <c r="Z2" s="491"/>
      <c r="AA2" s="486"/>
      <c r="AB2" s="486"/>
      <c r="AC2" s="486"/>
      <c r="AD2" s="486"/>
      <c r="AE2" s="491">
        <v>45870</v>
      </c>
      <c r="AF2" s="486"/>
      <c r="AG2" s="486"/>
      <c r="AH2" s="486"/>
      <c r="AI2" s="486"/>
      <c r="AJ2" s="491">
        <v>45871</v>
      </c>
      <c r="AK2" s="486"/>
      <c r="AL2" s="486"/>
      <c r="AM2" s="486"/>
      <c r="AN2" s="486"/>
      <c r="AO2" s="491">
        <v>45872</v>
      </c>
      <c r="AP2" s="486"/>
      <c r="AQ2" s="486"/>
      <c r="AR2" s="486"/>
      <c r="AS2" s="486"/>
      <c r="AT2" s="491">
        <v>45873</v>
      </c>
      <c r="AU2" s="486"/>
      <c r="AV2" s="486"/>
      <c r="AW2" s="486"/>
      <c r="AX2" s="486"/>
    </row>
    <row r="3" spans="1:50" ht="15.75">
      <c r="A3" s="83"/>
      <c r="B3" s="500"/>
      <c r="C3" s="500"/>
      <c r="D3" s="500"/>
      <c r="E3" s="500"/>
      <c r="F3" s="500"/>
      <c r="G3" s="500"/>
      <c r="H3" s="500"/>
      <c r="I3" s="156"/>
      <c r="J3" s="156"/>
      <c r="K3" s="156"/>
      <c r="L3" s="156"/>
      <c r="M3" s="157"/>
      <c r="N3" s="490"/>
      <c r="O3" s="490"/>
      <c r="P3" s="491" t="s">
        <v>15</v>
      </c>
      <c r="Q3" s="486"/>
      <c r="R3" s="486"/>
      <c r="S3" s="486"/>
      <c r="T3" s="486"/>
      <c r="U3" s="491" t="s">
        <v>13</v>
      </c>
      <c r="V3" s="486"/>
      <c r="W3" s="486"/>
      <c r="X3" s="486"/>
      <c r="Y3" s="486"/>
      <c r="Z3" s="491" t="s">
        <v>16</v>
      </c>
      <c r="AA3" s="486"/>
      <c r="AB3" s="486"/>
      <c r="AC3" s="486"/>
      <c r="AD3" s="486"/>
      <c r="AE3" s="491" t="s">
        <v>17</v>
      </c>
      <c r="AF3" s="486"/>
      <c r="AG3" s="486"/>
      <c r="AH3" s="486"/>
      <c r="AI3" s="486"/>
      <c r="AJ3" s="491" t="s">
        <v>18</v>
      </c>
      <c r="AK3" s="486"/>
      <c r="AL3" s="486"/>
      <c r="AM3" s="486"/>
      <c r="AN3" s="486"/>
      <c r="AO3" s="491" t="s">
        <v>10</v>
      </c>
      <c r="AP3" s="486"/>
      <c r="AQ3" s="486"/>
      <c r="AR3" s="486"/>
      <c r="AS3" s="486"/>
      <c r="AT3" s="491" t="s">
        <v>14</v>
      </c>
      <c r="AU3" s="486"/>
      <c r="AV3" s="486"/>
      <c r="AW3" s="486"/>
      <c r="AX3" s="486"/>
    </row>
    <row r="4" spans="1:50" ht="14.25">
      <c r="A4" s="83"/>
      <c r="B4" s="487" t="s">
        <v>45</v>
      </c>
      <c r="C4" s="487" t="s">
        <v>46</v>
      </c>
      <c r="D4" s="487"/>
      <c r="E4" s="487" t="s">
        <v>47</v>
      </c>
      <c r="F4" s="487"/>
      <c r="G4" s="487"/>
      <c r="H4" s="501" t="s">
        <v>48</v>
      </c>
      <c r="I4" s="487" t="s">
        <v>49</v>
      </c>
      <c r="J4" s="487"/>
      <c r="K4" s="487"/>
      <c r="L4" s="501" t="s">
        <v>48</v>
      </c>
      <c r="M4" s="488" t="s">
        <v>50</v>
      </c>
      <c r="N4" s="487"/>
      <c r="O4" s="487" t="s">
        <v>51</v>
      </c>
      <c r="P4" s="483" t="s">
        <v>52</v>
      </c>
      <c r="Q4" s="484"/>
      <c r="R4" s="484"/>
      <c r="S4" s="485"/>
      <c r="T4" s="487" t="s">
        <v>48</v>
      </c>
      <c r="U4" s="483" t="s">
        <v>52</v>
      </c>
      <c r="V4" s="484"/>
      <c r="W4" s="484"/>
      <c r="X4" s="485"/>
      <c r="Y4" s="487" t="s">
        <v>48</v>
      </c>
      <c r="Z4" s="483" t="s">
        <v>52</v>
      </c>
      <c r="AA4" s="484"/>
      <c r="AB4" s="484"/>
      <c r="AC4" s="485"/>
      <c r="AD4" s="487" t="s">
        <v>48</v>
      </c>
      <c r="AE4" s="483" t="s">
        <v>52</v>
      </c>
      <c r="AF4" s="484"/>
      <c r="AG4" s="484"/>
      <c r="AH4" s="485"/>
      <c r="AI4" s="487" t="s">
        <v>48</v>
      </c>
      <c r="AJ4" s="483" t="s">
        <v>52</v>
      </c>
      <c r="AK4" s="484"/>
      <c r="AL4" s="484"/>
      <c r="AM4" s="485"/>
      <c r="AN4" s="487" t="s">
        <v>48</v>
      </c>
      <c r="AO4" s="483" t="s">
        <v>52</v>
      </c>
      <c r="AP4" s="484"/>
      <c r="AQ4" s="484"/>
      <c r="AR4" s="485"/>
      <c r="AS4" s="487" t="s">
        <v>48</v>
      </c>
      <c r="AT4" s="483" t="s">
        <v>52</v>
      </c>
      <c r="AU4" s="484"/>
      <c r="AV4" s="484"/>
      <c r="AW4" s="485"/>
      <c r="AX4" s="487" t="s">
        <v>48</v>
      </c>
    </row>
    <row r="5" spans="1:50" ht="14.25">
      <c r="A5" s="83"/>
      <c r="B5" s="487"/>
      <c r="C5" s="487"/>
      <c r="D5" s="487"/>
      <c r="E5" s="487" t="s">
        <v>53</v>
      </c>
      <c r="F5" s="487"/>
      <c r="G5" s="487"/>
      <c r="H5" s="502"/>
      <c r="I5" s="487" t="s">
        <v>53</v>
      </c>
      <c r="J5" s="487"/>
      <c r="K5" s="487"/>
      <c r="L5" s="502"/>
      <c r="M5" s="489"/>
      <c r="N5" s="487"/>
      <c r="O5" s="487"/>
      <c r="P5" s="483" t="s">
        <v>54</v>
      </c>
      <c r="Q5" s="484"/>
      <c r="R5" s="484"/>
      <c r="S5" s="485"/>
      <c r="T5" s="487"/>
      <c r="U5" s="483" t="s">
        <v>54</v>
      </c>
      <c r="V5" s="484"/>
      <c r="W5" s="484"/>
      <c r="X5" s="485"/>
      <c r="Y5" s="487"/>
      <c r="Z5" s="483" t="s">
        <v>54</v>
      </c>
      <c r="AA5" s="484"/>
      <c r="AB5" s="484"/>
      <c r="AC5" s="485"/>
      <c r="AD5" s="487"/>
      <c r="AE5" s="483" t="s">
        <v>54</v>
      </c>
      <c r="AF5" s="484"/>
      <c r="AG5" s="484"/>
      <c r="AH5" s="485"/>
      <c r="AI5" s="487"/>
      <c r="AJ5" s="483" t="s">
        <v>54</v>
      </c>
      <c r="AK5" s="484"/>
      <c r="AL5" s="484"/>
      <c r="AM5" s="485"/>
      <c r="AN5" s="487"/>
      <c r="AO5" s="483" t="s">
        <v>54</v>
      </c>
      <c r="AP5" s="484"/>
      <c r="AQ5" s="484"/>
      <c r="AR5" s="485"/>
      <c r="AS5" s="487"/>
      <c r="AT5" s="483" t="s">
        <v>54</v>
      </c>
      <c r="AU5" s="484"/>
      <c r="AV5" s="484"/>
      <c r="AW5" s="485"/>
      <c r="AX5" s="487"/>
    </row>
    <row r="6" spans="1:50" ht="14.25">
      <c r="A6" s="81"/>
      <c r="B6" s="487"/>
      <c r="C6" s="487"/>
      <c r="D6" s="487"/>
      <c r="E6" s="109" t="s">
        <v>55</v>
      </c>
      <c r="F6" s="109" t="s">
        <v>56</v>
      </c>
      <c r="G6" s="109" t="s">
        <v>57</v>
      </c>
      <c r="H6" s="503"/>
      <c r="I6" s="109" t="s">
        <v>55</v>
      </c>
      <c r="J6" s="109" t="s">
        <v>56</v>
      </c>
      <c r="K6" s="109" t="s">
        <v>57</v>
      </c>
      <c r="L6" s="503"/>
      <c r="M6" s="490"/>
      <c r="N6" s="487"/>
      <c r="O6" s="487"/>
      <c r="P6" s="109" t="s">
        <v>55</v>
      </c>
      <c r="Q6" s="109" t="s">
        <v>56</v>
      </c>
      <c r="R6" s="109" t="s">
        <v>57</v>
      </c>
      <c r="S6" s="109" t="s">
        <v>50</v>
      </c>
      <c r="T6" s="487"/>
      <c r="U6" s="109" t="s">
        <v>55</v>
      </c>
      <c r="V6" s="109" t="s">
        <v>56</v>
      </c>
      <c r="W6" s="109" t="s">
        <v>57</v>
      </c>
      <c r="X6" s="109" t="s">
        <v>50</v>
      </c>
      <c r="Y6" s="487"/>
      <c r="Z6" s="109" t="s">
        <v>55</v>
      </c>
      <c r="AA6" s="109" t="s">
        <v>56</v>
      </c>
      <c r="AB6" s="109" t="s">
        <v>57</v>
      </c>
      <c r="AC6" s="109" t="s">
        <v>50</v>
      </c>
      <c r="AD6" s="487"/>
      <c r="AE6" s="109" t="s">
        <v>55</v>
      </c>
      <c r="AF6" s="109" t="s">
        <v>56</v>
      </c>
      <c r="AG6" s="109" t="s">
        <v>57</v>
      </c>
      <c r="AH6" s="109" t="s">
        <v>50</v>
      </c>
      <c r="AI6" s="487"/>
      <c r="AJ6" s="109" t="s">
        <v>55</v>
      </c>
      <c r="AK6" s="109" t="s">
        <v>56</v>
      </c>
      <c r="AL6" s="109" t="s">
        <v>57</v>
      </c>
      <c r="AM6" s="109" t="s">
        <v>50</v>
      </c>
      <c r="AN6" s="487"/>
      <c r="AO6" s="109" t="s">
        <v>55</v>
      </c>
      <c r="AP6" s="109" t="s">
        <v>56</v>
      </c>
      <c r="AQ6" s="109" t="s">
        <v>57</v>
      </c>
      <c r="AR6" s="109" t="s">
        <v>50</v>
      </c>
      <c r="AS6" s="487"/>
      <c r="AT6" s="109" t="s">
        <v>55</v>
      </c>
      <c r="AU6" s="109" t="s">
        <v>56</v>
      </c>
      <c r="AV6" s="109" t="s">
        <v>57</v>
      </c>
      <c r="AW6" s="109" t="s">
        <v>50</v>
      </c>
      <c r="AX6" s="487"/>
    </row>
    <row r="7" spans="1:50" ht="14.25">
      <c r="A7" s="83"/>
      <c r="B7" s="504" t="s">
        <v>58</v>
      </c>
      <c r="C7" s="110">
        <v>1</v>
      </c>
      <c r="D7" s="110"/>
      <c r="E7" s="160"/>
      <c r="F7" s="110"/>
      <c r="G7" s="158"/>
      <c r="H7" s="495" t="e">
        <f>AVERAGE(G7:G21)</f>
        <v>#DIV/0!</v>
      </c>
      <c r="I7" s="160" t="e">
        <f>AVERAGE(P7,U7,Z7,AE7,AJ7,AO7,AT7)</f>
        <v>#DIV/0!</v>
      </c>
      <c r="J7" s="160" t="e">
        <f>AVERAGE(Q7,V7,AA7,AF7,AK7,AP7,AU7)</f>
        <v>#DIV/0!</v>
      </c>
      <c r="K7" s="158" t="e">
        <f>AVERAGE(R7,W7,AB7,AG7,AL7,AQ7,AV7)</f>
        <v>#DIV/0!</v>
      </c>
      <c r="L7" s="495" t="e">
        <f>AVERAGE(K7:K21)</f>
        <v>#DIV/0!</v>
      </c>
      <c r="M7" s="173" t="e">
        <f>RANK(K7, K$7:$K$21)</f>
        <v>#DIV/0!</v>
      </c>
      <c r="N7" s="487"/>
      <c r="O7" s="487"/>
      <c r="P7" s="160"/>
      <c r="Q7" s="160"/>
      <c r="R7" s="158"/>
      <c r="S7" s="110" t="e">
        <f>RANK(R7, R$7:R$21)</f>
        <v>#N/A</v>
      </c>
      <c r="T7" s="507" t="e">
        <f>AVERAGE(R7:R21)</f>
        <v>#DIV/0!</v>
      </c>
      <c r="U7" s="160"/>
      <c r="V7" s="160"/>
      <c r="W7" s="158"/>
      <c r="X7" s="110" t="e">
        <f>RANK(W7, W$7:W$21)</f>
        <v>#N/A</v>
      </c>
      <c r="Y7" s="507" t="e">
        <f>AVERAGE(W7:W21)</f>
        <v>#DIV/0!</v>
      </c>
      <c r="Z7" s="110"/>
      <c r="AA7" s="160"/>
      <c r="AB7" s="158"/>
      <c r="AC7" s="110" t="e">
        <f>RANK(AB7, AB$7:AB$21)</f>
        <v>#N/A</v>
      </c>
      <c r="AD7" s="507" t="e">
        <f>AVERAGE(AB7:AB21)</f>
        <v>#DIV/0!</v>
      </c>
      <c r="AE7" s="160"/>
      <c r="AF7" s="160"/>
      <c r="AG7" s="158"/>
      <c r="AH7" s="110" t="e">
        <f>RANK(AG7, AG$7:AG$21)</f>
        <v>#N/A</v>
      </c>
      <c r="AI7" s="507" t="e">
        <f>AVERAGE(AG7:AG21)</f>
        <v>#DIV/0!</v>
      </c>
      <c r="AJ7" s="110"/>
      <c r="AK7" s="160"/>
      <c r="AL7" s="158"/>
      <c r="AM7" s="110" t="e">
        <f>RANK(AL7, AL$7:AL$21)</f>
        <v>#N/A</v>
      </c>
      <c r="AN7" s="507" t="e">
        <f>AVERAGE(AL7:AL21)</f>
        <v>#DIV/0!</v>
      </c>
      <c r="AO7" s="110"/>
      <c r="AP7" s="160"/>
      <c r="AQ7" s="158"/>
      <c r="AR7" s="110" t="e">
        <f>RANK(AQ7, AQ$7:AQ$21)</f>
        <v>#N/A</v>
      </c>
      <c r="AS7" s="507" t="e">
        <f>AVERAGE(AQ7:AQ21)</f>
        <v>#DIV/0!</v>
      </c>
      <c r="AT7" s="110"/>
      <c r="AU7" s="160"/>
      <c r="AV7" s="158"/>
      <c r="AW7" s="110" t="e">
        <f>RANK(AV7, AV$7:AV$21)</f>
        <v>#N/A</v>
      </c>
      <c r="AX7" s="507" t="e">
        <f>AVERAGE(AV7:AV21)</f>
        <v>#DIV/0!</v>
      </c>
    </row>
    <row r="8" spans="1:50" ht="15" customHeight="1">
      <c r="A8" s="83"/>
      <c r="B8" s="486"/>
      <c r="C8" s="110">
        <v>2</v>
      </c>
      <c r="D8" s="110"/>
      <c r="E8" s="160"/>
      <c r="F8" s="110"/>
      <c r="G8" s="158"/>
      <c r="H8" s="496"/>
      <c r="I8" s="160" t="e">
        <f t="shared" ref="I8:K16" si="0">AVERAGE(P8,U8,Z8,AE8,AJ8,AO8,AT8)</f>
        <v>#DIV/0!</v>
      </c>
      <c r="J8" s="160" t="e">
        <f t="shared" si="0"/>
        <v>#DIV/0!</v>
      </c>
      <c r="K8" s="158" t="e">
        <f t="shared" si="0"/>
        <v>#DIV/0!</v>
      </c>
      <c r="L8" s="496"/>
      <c r="M8" s="173" t="e">
        <f>RANK(K8, K$7:$K$21)</f>
        <v>#DIV/0!</v>
      </c>
      <c r="N8" s="487"/>
      <c r="O8" s="487"/>
      <c r="P8" s="160"/>
      <c r="Q8" s="160"/>
      <c r="R8" s="158"/>
      <c r="S8" s="110" t="e">
        <f t="shared" ref="S8:S21" si="1">RANK(R8, R$7:R$21)</f>
        <v>#N/A</v>
      </c>
      <c r="T8" s="507"/>
      <c r="U8" s="160"/>
      <c r="V8" s="160"/>
      <c r="W8" s="158"/>
      <c r="X8" s="110" t="e">
        <f t="shared" ref="X8:X21" si="2">RANK(W8, W$7:W$21)</f>
        <v>#N/A</v>
      </c>
      <c r="Y8" s="507"/>
      <c r="Z8" s="110"/>
      <c r="AA8" s="160"/>
      <c r="AB8" s="158"/>
      <c r="AC8" s="110" t="e">
        <f t="shared" ref="AC8:AC21" si="3">RANK(AB8, AB$7:AB$21)</f>
        <v>#N/A</v>
      </c>
      <c r="AD8" s="507"/>
      <c r="AE8" s="160"/>
      <c r="AF8" s="160"/>
      <c r="AG8" s="158"/>
      <c r="AH8" s="110" t="e">
        <f t="shared" ref="AH8:AH21" si="4">RANK(AG8, AG$7:AG$21)</f>
        <v>#N/A</v>
      </c>
      <c r="AI8" s="507"/>
      <c r="AJ8" s="110"/>
      <c r="AK8" s="160"/>
      <c r="AL8" s="158"/>
      <c r="AM8" s="110" t="e">
        <f t="shared" ref="AM8:AM21" si="5">RANK(AL8, AL$7:AL$21)</f>
        <v>#N/A</v>
      </c>
      <c r="AN8" s="507"/>
      <c r="AO8" s="110"/>
      <c r="AP8" s="160"/>
      <c r="AQ8" s="158"/>
      <c r="AR8" s="110" t="e">
        <f t="shared" ref="AR8:AR21" si="6">RANK(AQ8, AQ$7:AQ$21)</f>
        <v>#N/A</v>
      </c>
      <c r="AS8" s="507"/>
      <c r="AT8" s="110"/>
      <c r="AU8" s="160"/>
      <c r="AV8" s="158"/>
      <c r="AW8" s="110" t="e">
        <f t="shared" ref="AW8:AW21" si="7">RANK(AV8, AV$7:AV$21)</f>
        <v>#N/A</v>
      </c>
      <c r="AX8" s="507"/>
    </row>
    <row r="9" spans="1:50" ht="14.25">
      <c r="A9" s="83"/>
      <c r="B9" s="486"/>
      <c r="C9" s="110">
        <v>3</v>
      </c>
      <c r="D9" s="110"/>
      <c r="E9" s="160"/>
      <c r="F9" s="110"/>
      <c r="G9" s="158"/>
      <c r="H9" s="496"/>
      <c r="I9" s="160" t="e">
        <f t="shared" si="0"/>
        <v>#DIV/0!</v>
      </c>
      <c r="J9" s="160" t="e">
        <f t="shared" si="0"/>
        <v>#DIV/0!</v>
      </c>
      <c r="K9" s="158" t="e">
        <f t="shared" si="0"/>
        <v>#DIV/0!</v>
      </c>
      <c r="L9" s="496"/>
      <c r="M9" s="173" t="e">
        <f>RANK(K9, K$7:$K$21)</f>
        <v>#DIV/0!</v>
      </c>
      <c r="N9" s="487"/>
      <c r="O9" s="487"/>
      <c r="P9" s="160"/>
      <c r="Q9" s="160"/>
      <c r="R9" s="158"/>
      <c r="S9" s="110" t="e">
        <f t="shared" si="1"/>
        <v>#N/A</v>
      </c>
      <c r="T9" s="507"/>
      <c r="U9" s="160"/>
      <c r="V9" s="160"/>
      <c r="W9" s="158"/>
      <c r="X9" s="110" t="e">
        <f t="shared" si="2"/>
        <v>#N/A</v>
      </c>
      <c r="Y9" s="507"/>
      <c r="Z9" s="110"/>
      <c r="AA9" s="160"/>
      <c r="AB9" s="158"/>
      <c r="AC9" s="110" t="e">
        <f t="shared" si="3"/>
        <v>#N/A</v>
      </c>
      <c r="AD9" s="507"/>
      <c r="AE9" s="160"/>
      <c r="AF9" s="160"/>
      <c r="AG9" s="158"/>
      <c r="AH9" s="110" t="e">
        <f t="shared" si="4"/>
        <v>#N/A</v>
      </c>
      <c r="AI9" s="507"/>
      <c r="AJ9" s="110"/>
      <c r="AK9" s="160"/>
      <c r="AL9" s="158"/>
      <c r="AM9" s="110" t="e">
        <f t="shared" si="5"/>
        <v>#N/A</v>
      </c>
      <c r="AN9" s="507"/>
      <c r="AO9" s="110"/>
      <c r="AP9" s="160"/>
      <c r="AQ9" s="158"/>
      <c r="AR9" s="110" t="e">
        <f t="shared" si="6"/>
        <v>#N/A</v>
      </c>
      <c r="AS9" s="507"/>
      <c r="AT9" s="110"/>
      <c r="AU9" s="160"/>
      <c r="AV9" s="158"/>
      <c r="AW9" s="110" t="e">
        <f t="shared" si="7"/>
        <v>#N/A</v>
      </c>
      <c r="AX9" s="507"/>
    </row>
    <row r="10" spans="1:50" ht="14.25">
      <c r="A10" s="83"/>
      <c r="B10" s="486"/>
      <c r="C10" s="110">
        <v>4</v>
      </c>
      <c r="D10" s="110"/>
      <c r="E10" s="160"/>
      <c r="F10" s="110"/>
      <c r="G10" s="158"/>
      <c r="H10" s="496"/>
      <c r="I10" s="160" t="e">
        <f t="shared" si="0"/>
        <v>#DIV/0!</v>
      </c>
      <c r="J10" s="160" t="e">
        <f t="shared" si="0"/>
        <v>#DIV/0!</v>
      </c>
      <c r="K10" s="158" t="e">
        <f t="shared" si="0"/>
        <v>#DIV/0!</v>
      </c>
      <c r="L10" s="496"/>
      <c r="M10" s="173" t="e">
        <f>RANK(K10, K$7:$K$21)</f>
        <v>#DIV/0!</v>
      </c>
      <c r="N10" s="487"/>
      <c r="O10" s="487"/>
      <c r="P10" s="160"/>
      <c r="Q10" s="160"/>
      <c r="R10" s="158"/>
      <c r="S10" s="110" t="e">
        <f t="shared" si="1"/>
        <v>#N/A</v>
      </c>
      <c r="T10" s="507"/>
      <c r="U10" s="160"/>
      <c r="V10" s="160"/>
      <c r="W10" s="158"/>
      <c r="X10" s="110" t="e">
        <f t="shared" si="2"/>
        <v>#N/A</v>
      </c>
      <c r="Y10" s="507"/>
      <c r="Z10" s="110"/>
      <c r="AA10" s="160"/>
      <c r="AB10" s="158"/>
      <c r="AC10" s="110" t="e">
        <f t="shared" si="3"/>
        <v>#N/A</v>
      </c>
      <c r="AD10" s="507"/>
      <c r="AE10" s="160"/>
      <c r="AF10" s="160"/>
      <c r="AG10" s="158"/>
      <c r="AH10" s="110" t="e">
        <f t="shared" si="4"/>
        <v>#N/A</v>
      </c>
      <c r="AI10" s="507"/>
      <c r="AJ10" s="110"/>
      <c r="AK10" s="160"/>
      <c r="AL10" s="158"/>
      <c r="AM10" s="110" t="e">
        <f t="shared" si="5"/>
        <v>#N/A</v>
      </c>
      <c r="AN10" s="507"/>
      <c r="AO10" s="110"/>
      <c r="AP10" s="160"/>
      <c r="AQ10" s="158"/>
      <c r="AR10" s="110" t="e">
        <f t="shared" si="6"/>
        <v>#N/A</v>
      </c>
      <c r="AS10" s="507"/>
      <c r="AT10" s="110"/>
      <c r="AU10" s="160"/>
      <c r="AV10" s="158"/>
      <c r="AW10" s="110" t="e">
        <f t="shared" si="7"/>
        <v>#N/A</v>
      </c>
      <c r="AX10" s="507"/>
    </row>
    <row r="11" spans="1:50" ht="14.25">
      <c r="A11" s="83"/>
      <c r="B11" s="486"/>
      <c r="C11" s="110">
        <v>5</v>
      </c>
      <c r="D11" s="110"/>
      <c r="E11" s="160"/>
      <c r="F11" s="110"/>
      <c r="G11" s="158"/>
      <c r="H11" s="496"/>
      <c r="I11" s="160" t="e">
        <f t="shared" si="0"/>
        <v>#DIV/0!</v>
      </c>
      <c r="J11" s="160" t="e">
        <f t="shared" si="0"/>
        <v>#DIV/0!</v>
      </c>
      <c r="K11" s="158" t="e">
        <f t="shared" si="0"/>
        <v>#DIV/0!</v>
      </c>
      <c r="L11" s="496"/>
      <c r="M11" s="173" t="e">
        <f>RANK(K11, K$7:$K$21)</f>
        <v>#DIV/0!</v>
      </c>
      <c r="N11" s="487"/>
      <c r="O11" s="487"/>
      <c r="P11" s="160"/>
      <c r="Q11" s="160"/>
      <c r="R11" s="158"/>
      <c r="S11" s="110" t="e">
        <f t="shared" si="1"/>
        <v>#N/A</v>
      </c>
      <c r="T11" s="507"/>
      <c r="U11" s="160"/>
      <c r="V11" s="160"/>
      <c r="W11" s="158"/>
      <c r="X11" s="110" t="e">
        <f t="shared" si="2"/>
        <v>#N/A</v>
      </c>
      <c r="Y11" s="507"/>
      <c r="Z11" s="110"/>
      <c r="AA11" s="160"/>
      <c r="AB11" s="158"/>
      <c r="AC11" s="110" t="e">
        <f t="shared" si="3"/>
        <v>#N/A</v>
      </c>
      <c r="AD11" s="507"/>
      <c r="AE11" s="160"/>
      <c r="AF11" s="160"/>
      <c r="AG11" s="158"/>
      <c r="AH11" s="110" t="e">
        <f t="shared" si="4"/>
        <v>#N/A</v>
      </c>
      <c r="AI11" s="507"/>
      <c r="AJ11" s="110"/>
      <c r="AK11" s="160"/>
      <c r="AL11" s="158"/>
      <c r="AM11" s="110" t="e">
        <f t="shared" si="5"/>
        <v>#N/A</v>
      </c>
      <c r="AN11" s="507"/>
      <c r="AO11" s="110"/>
      <c r="AP11" s="160"/>
      <c r="AQ11" s="158"/>
      <c r="AR11" s="110" t="e">
        <f t="shared" si="6"/>
        <v>#N/A</v>
      </c>
      <c r="AS11" s="507"/>
      <c r="AT11" s="110"/>
      <c r="AU11" s="160"/>
      <c r="AV11" s="158"/>
      <c r="AW11" s="110" t="e">
        <f t="shared" si="7"/>
        <v>#N/A</v>
      </c>
      <c r="AX11" s="507"/>
    </row>
    <row r="12" spans="1:50" ht="14.25">
      <c r="A12" s="83"/>
      <c r="B12" s="486"/>
      <c r="C12" s="110">
        <v>6</v>
      </c>
      <c r="D12" s="110"/>
      <c r="E12" s="160"/>
      <c r="F12" s="110"/>
      <c r="G12" s="158"/>
      <c r="H12" s="496"/>
      <c r="I12" s="160" t="e">
        <f t="shared" si="0"/>
        <v>#DIV/0!</v>
      </c>
      <c r="J12" s="160" t="e">
        <f t="shared" si="0"/>
        <v>#DIV/0!</v>
      </c>
      <c r="K12" s="158" t="e">
        <f t="shared" si="0"/>
        <v>#DIV/0!</v>
      </c>
      <c r="L12" s="496"/>
      <c r="M12" s="173" t="e">
        <f>RANK(K12, K$7:$K$21)</f>
        <v>#DIV/0!</v>
      </c>
      <c r="N12" s="487"/>
      <c r="O12" s="487"/>
      <c r="P12" s="160"/>
      <c r="Q12" s="160"/>
      <c r="R12" s="158"/>
      <c r="S12" s="110" t="e">
        <f t="shared" si="1"/>
        <v>#N/A</v>
      </c>
      <c r="T12" s="507"/>
      <c r="U12" s="160"/>
      <c r="V12" s="160"/>
      <c r="W12" s="158"/>
      <c r="X12" s="110" t="e">
        <f t="shared" si="2"/>
        <v>#N/A</v>
      </c>
      <c r="Y12" s="507"/>
      <c r="Z12" s="110"/>
      <c r="AA12" s="160"/>
      <c r="AB12" s="158"/>
      <c r="AC12" s="110" t="e">
        <f t="shared" si="3"/>
        <v>#N/A</v>
      </c>
      <c r="AD12" s="507"/>
      <c r="AE12" s="160"/>
      <c r="AF12" s="160"/>
      <c r="AG12" s="158"/>
      <c r="AH12" s="110" t="e">
        <f t="shared" si="4"/>
        <v>#N/A</v>
      </c>
      <c r="AI12" s="507"/>
      <c r="AJ12" s="110"/>
      <c r="AK12" s="160"/>
      <c r="AL12" s="158"/>
      <c r="AM12" s="110" t="e">
        <f t="shared" si="5"/>
        <v>#N/A</v>
      </c>
      <c r="AN12" s="507"/>
      <c r="AO12" s="110"/>
      <c r="AP12" s="160"/>
      <c r="AQ12" s="158"/>
      <c r="AR12" s="110" t="e">
        <f t="shared" si="6"/>
        <v>#N/A</v>
      </c>
      <c r="AS12" s="507"/>
      <c r="AT12" s="110"/>
      <c r="AU12" s="160"/>
      <c r="AV12" s="158"/>
      <c r="AW12" s="110" t="e">
        <f t="shared" si="7"/>
        <v>#N/A</v>
      </c>
      <c r="AX12" s="507"/>
    </row>
    <row r="13" spans="1:50" ht="14.25">
      <c r="A13" s="83"/>
      <c r="B13" s="486"/>
      <c r="C13" s="110">
        <v>7</v>
      </c>
      <c r="D13" s="110"/>
      <c r="E13" s="160"/>
      <c r="F13" s="110"/>
      <c r="G13" s="158"/>
      <c r="H13" s="496"/>
      <c r="I13" s="160" t="e">
        <f t="shared" si="0"/>
        <v>#DIV/0!</v>
      </c>
      <c r="J13" s="160" t="e">
        <f t="shared" si="0"/>
        <v>#DIV/0!</v>
      </c>
      <c r="K13" s="158" t="e">
        <f t="shared" si="0"/>
        <v>#DIV/0!</v>
      </c>
      <c r="L13" s="496"/>
      <c r="M13" s="173" t="e">
        <f>RANK(K13, K$7:$K$21)</f>
        <v>#DIV/0!</v>
      </c>
      <c r="N13" s="487"/>
      <c r="O13" s="487"/>
      <c r="P13" s="160"/>
      <c r="Q13" s="160"/>
      <c r="R13" s="158"/>
      <c r="S13" s="110" t="e">
        <f t="shared" si="1"/>
        <v>#N/A</v>
      </c>
      <c r="T13" s="507"/>
      <c r="U13" s="160"/>
      <c r="V13" s="160"/>
      <c r="W13" s="158"/>
      <c r="X13" s="110" t="e">
        <f t="shared" si="2"/>
        <v>#N/A</v>
      </c>
      <c r="Y13" s="507"/>
      <c r="Z13" s="110"/>
      <c r="AA13" s="160"/>
      <c r="AB13" s="158"/>
      <c r="AC13" s="110" t="e">
        <f t="shared" si="3"/>
        <v>#N/A</v>
      </c>
      <c r="AD13" s="507"/>
      <c r="AE13" s="160"/>
      <c r="AF13" s="160"/>
      <c r="AG13" s="158"/>
      <c r="AH13" s="110" t="e">
        <f t="shared" si="4"/>
        <v>#N/A</v>
      </c>
      <c r="AI13" s="507"/>
      <c r="AJ13" s="110"/>
      <c r="AK13" s="160"/>
      <c r="AL13" s="158"/>
      <c r="AM13" s="110" t="e">
        <f t="shared" si="5"/>
        <v>#N/A</v>
      </c>
      <c r="AN13" s="507"/>
      <c r="AO13" s="110"/>
      <c r="AP13" s="160"/>
      <c r="AQ13" s="158"/>
      <c r="AR13" s="110" t="e">
        <f t="shared" si="6"/>
        <v>#N/A</v>
      </c>
      <c r="AS13" s="507"/>
      <c r="AT13" s="110"/>
      <c r="AU13" s="160"/>
      <c r="AV13" s="158"/>
      <c r="AW13" s="110" t="e">
        <f t="shared" si="7"/>
        <v>#N/A</v>
      </c>
      <c r="AX13" s="507"/>
    </row>
    <row r="14" spans="1:50" ht="14.25">
      <c r="A14" s="83"/>
      <c r="B14" s="486"/>
      <c r="C14" s="110">
        <v>8</v>
      </c>
      <c r="D14" s="110"/>
      <c r="E14" s="160"/>
      <c r="F14" s="110"/>
      <c r="G14" s="158"/>
      <c r="H14" s="496"/>
      <c r="I14" s="160" t="e">
        <f t="shared" si="0"/>
        <v>#DIV/0!</v>
      </c>
      <c r="J14" s="160" t="e">
        <f t="shared" si="0"/>
        <v>#DIV/0!</v>
      </c>
      <c r="K14" s="158" t="e">
        <f t="shared" si="0"/>
        <v>#DIV/0!</v>
      </c>
      <c r="L14" s="496"/>
      <c r="M14" s="173" t="e">
        <f>RANK(K14, K$7:$K$21)</f>
        <v>#DIV/0!</v>
      </c>
      <c r="N14" s="487"/>
      <c r="O14" s="487"/>
      <c r="P14" s="160"/>
      <c r="Q14" s="160"/>
      <c r="R14" s="158"/>
      <c r="S14" s="110" t="e">
        <f t="shared" si="1"/>
        <v>#N/A</v>
      </c>
      <c r="T14" s="507"/>
      <c r="U14" s="160"/>
      <c r="V14" s="160"/>
      <c r="W14" s="158"/>
      <c r="X14" s="110" t="e">
        <f t="shared" si="2"/>
        <v>#N/A</v>
      </c>
      <c r="Y14" s="507"/>
      <c r="Z14" s="110"/>
      <c r="AA14" s="160"/>
      <c r="AB14" s="158"/>
      <c r="AC14" s="110" t="e">
        <f t="shared" si="3"/>
        <v>#N/A</v>
      </c>
      <c r="AD14" s="507"/>
      <c r="AE14" s="160"/>
      <c r="AF14" s="160"/>
      <c r="AG14" s="158"/>
      <c r="AH14" s="110" t="e">
        <f t="shared" si="4"/>
        <v>#N/A</v>
      </c>
      <c r="AI14" s="507"/>
      <c r="AJ14" s="110"/>
      <c r="AK14" s="160"/>
      <c r="AL14" s="158"/>
      <c r="AM14" s="110" t="e">
        <f t="shared" si="5"/>
        <v>#N/A</v>
      </c>
      <c r="AN14" s="507"/>
      <c r="AO14" s="110"/>
      <c r="AP14" s="160"/>
      <c r="AQ14" s="158"/>
      <c r="AR14" s="110" t="e">
        <f t="shared" si="6"/>
        <v>#N/A</v>
      </c>
      <c r="AS14" s="507"/>
      <c r="AT14" s="110"/>
      <c r="AU14" s="160"/>
      <c r="AV14" s="158"/>
      <c r="AW14" s="110" t="e">
        <f t="shared" si="7"/>
        <v>#N/A</v>
      </c>
      <c r="AX14" s="507"/>
    </row>
    <row r="15" spans="1:50" ht="14.25">
      <c r="A15" s="83"/>
      <c r="B15" s="486"/>
      <c r="C15" s="110">
        <v>9</v>
      </c>
      <c r="D15" s="110"/>
      <c r="E15" s="160"/>
      <c r="F15" s="110"/>
      <c r="G15" s="158"/>
      <c r="H15" s="496"/>
      <c r="I15" s="160" t="e">
        <f t="shared" si="0"/>
        <v>#DIV/0!</v>
      </c>
      <c r="J15" s="160" t="e">
        <f t="shared" si="0"/>
        <v>#DIV/0!</v>
      </c>
      <c r="K15" s="158" t="e">
        <f t="shared" si="0"/>
        <v>#DIV/0!</v>
      </c>
      <c r="L15" s="496"/>
      <c r="M15" s="173" t="e">
        <f>RANK(K15, K$7:$K$21)</f>
        <v>#DIV/0!</v>
      </c>
      <c r="N15" s="487"/>
      <c r="O15" s="487"/>
      <c r="P15" s="160"/>
      <c r="Q15" s="160"/>
      <c r="R15" s="158"/>
      <c r="S15" s="110" t="e">
        <f t="shared" si="1"/>
        <v>#N/A</v>
      </c>
      <c r="T15" s="507"/>
      <c r="U15" s="160"/>
      <c r="V15" s="160"/>
      <c r="W15" s="158"/>
      <c r="X15" s="110" t="e">
        <f t="shared" si="2"/>
        <v>#N/A</v>
      </c>
      <c r="Y15" s="507"/>
      <c r="Z15" s="110"/>
      <c r="AA15" s="160"/>
      <c r="AB15" s="158"/>
      <c r="AC15" s="110" t="e">
        <f t="shared" si="3"/>
        <v>#N/A</v>
      </c>
      <c r="AD15" s="507"/>
      <c r="AE15" s="160"/>
      <c r="AF15" s="160"/>
      <c r="AG15" s="158"/>
      <c r="AH15" s="110" t="e">
        <f t="shared" si="4"/>
        <v>#N/A</v>
      </c>
      <c r="AI15" s="507"/>
      <c r="AJ15" s="110"/>
      <c r="AK15" s="160"/>
      <c r="AL15" s="158"/>
      <c r="AM15" s="110" t="e">
        <f t="shared" si="5"/>
        <v>#N/A</v>
      </c>
      <c r="AN15" s="507"/>
      <c r="AO15" s="110"/>
      <c r="AP15" s="160"/>
      <c r="AQ15" s="158"/>
      <c r="AR15" s="110" t="e">
        <f t="shared" si="6"/>
        <v>#N/A</v>
      </c>
      <c r="AS15" s="507"/>
      <c r="AT15" s="110"/>
      <c r="AU15" s="160"/>
      <c r="AV15" s="158"/>
      <c r="AW15" s="110" t="e">
        <f t="shared" si="7"/>
        <v>#N/A</v>
      </c>
      <c r="AX15" s="507"/>
    </row>
    <row r="16" spans="1:50" ht="14.25">
      <c r="A16" s="83"/>
      <c r="B16" s="486"/>
      <c r="C16" s="110">
        <v>10</v>
      </c>
      <c r="D16" s="110"/>
      <c r="E16" s="160"/>
      <c r="F16" s="110"/>
      <c r="G16" s="158"/>
      <c r="H16" s="496"/>
      <c r="I16" s="160" t="e">
        <f t="shared" si="0"/>
        <v>#DIV/0!</v>
      </c>
      <c r="J16" s="160" t="e">
        <f t="shared" si="0"/>
        <v>#DIV/0!</v>
      </c>
      <c r="K16" s="158" t="e">
        <f t="shared" si="0"/>
        <v>#DIV/0!</v>
      </c>
      <c r="L16" s="496"/>
      <c r="M16" s="173" t="e">
        <f>RANK(K16, K$7:$K$21)</f>
        <v>#DIV/0!</v>
      </c>
      <c r="N16" s="487"/>
      <c r="O16" s="487"/>
      <c r="P16" s="160"/>
      <c r="Q16" s="160"/>
      <c r="R16" s="158"/>
      <c r="S16" s="110" t="e">
        <f t="shared" si="1"/>
        <v>#N/A</v>
      </c>
      <c r="T16" s="507"/>
      <c r="U16" s="160"/>
      <c r="V16" s="160"/>
      <c r="W16" s="158"/>
      <c r="X16" s="110" t="e">
        <f t="shared" si="2"/>
        <v>#N/A</v>
      </c>
      <c r="Y16" s="507"/>
      <c r="Z16" s="110"/>
      <c r="AA16" s="160"/>
      <c r="AB16" s="158"/>
      <c r="AC16" s="110" t="e">
        <f t="shared" si="3"/>
        <v>#N/A</v>
      </c>
      <c r="AD16" s="507"/>
      <c r="AE16" s="160"/>
      <c r="AF16" s="160"/>
      <c r="AG16" s="158"/>
      <c r="AH16" s="110" t="e">
        <f t="shared" si="4"/>
        <v>#N/A</v>
      </c>
      <c r="AI16" s="507"/>
      <c r="AJ16" s="110"/>
      <c r="AK16" s="160"/>
      <c r="AL16" s="158"/>
      <c r="AM16" s="110" t="e">
        <f t="shared" si="5"/>
        <v>#N/A</v>
      </c>
      <c r="AN16" s="507"/>
      <c r="AO16" s="110"/>
      <c r="AP16" s="160"/>
      <c r="AQ16" s="158"/>
      <c r="AR16" s="110" t="e">
        <f t="shared" si="6"/>
        <v>#N/A</v>
      </c>
      <c r="AS16" s="507"/>
      <c r="AT16" s="110"/>
      <c r="AU16" s="160"/>
      <c r="AV16" s="158"/>
      <c r="AW16" s="110" t="e">
        <f t="shared" si="7"/>
        <v>#N/A</v>
      </c>
      <c r="AX16" s="507"/>
    </row>
    <row r="17" spans="2:50">
      <c r="B17" s="486"/>
      <c r="C17" s="110">
        <v>11</v>
      </c>
      <c r="D17" s="110"/>
      <c r="E17" s="110"/>
      <c r="F17" s="110"/>
      <c r="G17" s="110"/>
      <c r="H17" s="496"/>
      <c r="I17" s="110"/>
      <c r="J17" s="110"/>
      <c r="K17" s="110"/>
      <c r="L17" s="496"/>
      <c r="M17" s="173" t="e">
        <f>RANK(K17, K$7:$K$21)</f>
        <v>#DIV/0!</v>
      </c>
      <c r="N17" s="487"/>
      <c r="O17" s="487"/>
      <c r="P17" s="110"/>
      <c r="Q17" s="110"/>
      <c r="R17" s="110"/>
      <c r="S17" s="110" t="e">
        <f t="shared" si="1"/>
        <v>#N/A</v>
      </c>
      <c r="T17" s="507"/>
      <c r="U17" s="110"/>
      <c r="V17" s="110"/>
      <c r="W17" s="110"/>
      <c r="X17" s="110" t="e">
        <f t="shared" si="2"/>
        <v>#N/A</v>
      </c>
      <c r="Y17" s="507"/>
      <c r="Z17" s="110"/>
      <c r="AA17" s="110"/>
      <c r="AB17" s="110"/>
      <c r="AC17" s="110" t="e">
        <f t="shared" si="3"/>
        <v>#N/A</v>
      </c>
      <c r="AD17" s="507"/>
      <c r="AE17" s="110"/>
      <c r="AF17" s="110"/>
      <c r="AG17" s="110"/>
      <c r="AH17" s="110" t="e">
        <f t="shared" si="4"/>
        <v>#N/A</v>
      </c>
      <c r="AI17" s="507"/>
      <c r="AJ17" s="110"/>
      <c r="AK17" s="110"/>
      <c r="AL17" s="110"/>
      <c r="AM17" s="110" t="e">
        <f t="shared" si="5"/>
        <v>#N/A</v>
      </c>
      <c r="AN17" s="507"/>
      <c r="AO17" s="110"/>
      <c r="AP17" s="110"/>
      <c r="AQ17" s="110"/>
      <c r="AR17" s="110" t="e">
        <f t="shared" si="6"/>
        <v>#N/A</v>
      </c>
      <c r="AS17" s="507"/>
      <c r="AT17" s="110"/>
      <c r="AU17" s="110"/>
      <c r="AV17" s="110"/>
      <c r="AW17" s="110" t="e">
        <f t="shared" si="7"/>
        <v>#N/A</v>
      </c>
      <c r="AX17" s="507"/>
    </row>
    <row r="18" spans="2:50">
      <c r="B18" s="486"/>
      <c r="C18" s="110">
        <v>12</v>
      </c>
      <c r="D18" s="110"/>
      <c r="E18" s="110"/>
      <c r="F18" s="110"/>
      <c r="G18" s="110"/>
      <c r="H18" s="496"/>
      <c r="I18" s="110"/>
      <c r="J18" s="110"/>
      <c r="K18" s="110"/>
      <c r="L18" s="496"/>
      <c r="M18" s="173" t="e">
        <f>RANK(K18, K$7:$K$21)</f>
        <v>#DIV/0!</v>
      </c>
      <c r="N18" s="487"/>
      <c r="O18" s="487"/>
      <c r="P18" s="110"/>
      <c r="Q18" s="110"/>
      <c r="R18" s="110"/>
      <c r="S18" s="110" t="e">
        <f t="shared" si="1"/>
        <v>#N/A</v>
      </c>
      <c r="T18" s="507"/>
      <c r="U18" s="110"/>
      <c r="V18" s="110"/>
      <c r="W18" s="110"/>
      <c r="X18" s="110" t="e">
        <f t="shared" si="2"/>
        <v>#N/A</v>
      </c>
      <c r="Y18" s="507"/>
      <c r="Z18" s="110"/>
      <c r="AA18" s="110"/>
      <c r="AB18" s="110"/>
      <c r="AC18" s="110" t="e">
        <f t="shared" si="3"/>
        <v>#N/A</v>
      </c>
      <c r="AD18" s="507"/>
      <c r="AE18" s="110"/>
      <c r="AF18" s="110"/>
      <c r="AG18" s="110"/>
      <c r="AH18" s="110" t="e">
        <f t="shared" si="4"/>
        <v>#N/A</v>
      </c>
      <c r="AI18" s="507"/>
      <c r="AJ18" s="110"/>
      <c r="AK18" s="110"/>
      <c r="AL18" s="110"/>
      <c r="AM18" s="110" t="e">
        <f t="shared" si="5"/>
        <v>#N/A</v>
      </c>
      <c r="AN18" s="507"/>
      <c r="AO18" s="110"/>
      <c r="AP18" s="110"/>
      <c r="AQ18" s="110"/>
      <c r="AR18" s="110" t="e">
        <f t="shared" si="6"/>
        <v>#N/A</v>
      </c>
      <c r="AS18" s="507"/>
      <c r="AT18" s="110"/>
      <c r="AU18" s="110"/>
      <c r="AV18" s="110"/>
      <c r="AW18" s="110" t="e">
        <f t="shared" si="7"/>
        <v>#N/A</v>
      </c>
      <c r="AX18" s="507"/>
    </row>
    <row r="19" spans="2:50">
      <c r="B19" s="486"/>
      <c r="C19" s="110">
        <v>13</v>
      </c>
      <c r="D19" s="110"/>
      <c r="E19" s="110"/>
      <c r="F19" s="110"/>
      <c r="G19" s="110"/>
      <c r="H19" s="496"/>
      <c r="I19" s="110"/>
      <c r="J19" s="110"/>
      <c r="K19" s="110"/>
      <c r="L19" s="496"/>
      <c r="M19" s="173" t="e">
        <f>RANK(K19, K$7:$K$21)</f>
        <v>#DIV/0!</v>
      </c>
      <c r="N19" s="487"/>
      <c r="O19" s="487"/>
      <c r="P19" s="110"/>
      <c r="Q19" s="110"/>
      <c r="R19" s="110"/>
      <c r="S19" s="110" t="e">
        <f t="shared" si="1"/>
        <v>#N/A</v>
      </c>
      <c r="T19" s="507"/>
      <c r="U19" s="110"/>
      <c r="V19" s="110"/>
      <c r="W19" s="110"/>
      <c r="X19" s="110" t="e">
        <f t="shared" si="2"/>
        <v>#N/A</v>
      </c>
      <c r="Y19" s="507"/>
      <c r="Z19" s="110"/>
      <c r="AA19" s="110"/>
      <c r="AB19" s="110"/>
      <c r="AC19" s="110" t="e">
        <f t="shared" si="3"/>
        <v>#N/A</v>
      </c>
      <c r="AD19" s="507"/>
      <c r="AE19" s="110"/>
      <c r="AF19" s="110"/>
      <c r="AG19" s="110"/>
      <c r="AH19" s="110" t="e">
        <f t="shared" si="4"/>
        <v>#N/A</v>
      </c>
      <c r="AI19" s="507"/>
      <c r="AJ19" s="110"/>
      <c r="AK19" s="110"/>
      <c r="AL19" s="110"/>
      <c r="AM19" s="110" t="e">
        <f t="shared" si="5"/>
        <v>#N/A</v>
      </c>
      <c r="AN19" s="507"/>
      <c r="AO19" s="110"/>
      <c r="AP19" s="110"/>
      <c r="AQ19" s="110"/>
      <c r="AR19" s="110" t="e">
        <f t="shared" si="6"/>
        <v>#N/A</v>
      </c>
      <c r="AS19" s="507"/>
      <c r="AT19" s="110"/>
      <c r="AU19" s="110"/>
      <c r="AV19" s="110"/>
      <c r="AW19" s="110" t="e">
        <f t="shared" si="7"/>
        <v>#N/A</v>
      </c>
      <c r="AX19" s="507"/>
    </row>
    <row r="20" spans="2:50">
      <c r="B20" s="486"/>
      <c r="C20" s="110">
        <v>14</v>
      </c>
      <c r="D20" s="110"/>
      <c r="E20" s="110"/>
      <c r="F20" s="110"/>
      <c r="G20" s="110"/>
      <c r="H20" s="496"/>
      <c r="I20" s="110"/>
      <c r="J20" s="110"/>
      <c r="K20" s="110"/>
      <c r="L20" s="496"/>
      <c r="M20" s="173" t="e">
        <f>RANK(K20, K$7:$K$21)</f>
        <v>#DIV/0!</v>
      </c>
      <c r="N20" s="487"/>
      <c r="O20" s="487"/>
      <c r="P20" s="110"/>
      <c r="Q20" s="110"/>
      <c r="R20" s="110"/>
      <c r="S20" s="110" t="e">
        <f t="shared" si="1"/>
        <v>#N/A</v>
      </c>
      <c r="T20" s="507"/>
      <c r="U20" s="110"/>
      <c r="V20" s="110"/>
      <c r="W20" s="110"/>
      <c r="X20" s="110" t="e">
        <f t="shared" si="2"/>
        <v>#N/A</v>
      </c>
      <c r="Y20" s="507"/>
      <c r="Z20" s="110"/>
      <c r="AA20" s="110"/>
      <c r="AB20" s="110"/>
      <c r="AC20" s="110" t="e">
        <f t="shared" si="3"/>
        <v>#N/A</v>
      </c>
      <c r="AD20" s="507"/>
      <c r="AE20" s="110"/>
      <c r="AF20" s="110"/>
      <c r="AG20" s="110"/>
      <c r="AH20" s="110" t="e">
        <f t="shared" si="4"/>
        <v>#N/A</v>
      </c>
      <c r="AI20" s="507"/>
      <c r="AJ20" s="110"/>
      <c r="AK20" s="110"/>
      <c r="AL20" s="110"/>
      <c r="AM20" s="110" t="e">
        <f t="shared" si="5"/>
        <v>#N/A</v>
      </c>
      <c r="AN20" s="507"/>
      <c r="AO20" s="110"/>
      <c r="AP20" s="110"/>
      <c r="AQ20" s="110"/>
      <c r="AR20" s="110" t="e">
        <f t="shared" si="6"/>
        <v>#N/A</v>
      </c>
      <c r="AS20" s="507"/>
      <c r="AT20" s="110"/>
      <c r="AU20" s="110"/>
      <c r="AV20" s="110"/>
      <c r="AW20" s="110" t="e">
        <f t="shared" si="7"/>
        <v>#N/A</v>
      </c>
      <c r="AX20" s="507"/>
    </row>
    <row r="21" spans="2:50">
      <c r="B21" s="486"/>
      <c r="C21" s="110">
        <v>15</v>
      </c>
      <c r="D21" s="110"/>
      <c r="E21" s="110"/>
      <c r="F21" s="110"/>
      <c r="G21" s="110"/>
      <c r="H21" s="497"/>
      <c r="I21" s="110"/>
      <c r="J21" s="110"/>
      <c r="K21" s="110"/>
      <c r="L21" s="497"/>
      <c r="M21" s="160" t="e">
        <f>RANK(K21, K$7:$K$21)</f>
        <v>#DIV/0!</v>
      </c>
      <c r="N21" s="487"/>
      <c r="O21" s="487"/>
      <c r="P21" s="110"/>
      <c r="Q21" s="110"/>
      <c r="R21" s="110"/>
      <c r="S21" s="110" t="e">
        <f t="shared" si="1"/>
        <v>#N/A</v>
      </c>
      <c r="T21" s="507"/>
      <c r="U21" s="110"/>
      <c r="V21" s="110"/>
      <c r="W21" s="110"/>
      <c r="X21" s="110" t="e">
        <f t="shared" si="2"/>
        <v>#N/A</v>
      </c>
      <c r="Y21" s="507"/>
      <c r="Z21" s="110"/>
      <c r="AA21" s="110"/>
      <c r="AB21" s="110"/>
      <c r="AC21" s="110" t="e">
        <f t="shared" si="3"/>
        <v>#N/A</v>
      </c>
      <c r="AD21" s="507"/>
      <c r="AE21" s="110"/>
      <c r="AF21" s="110"/>
      <c r="AG21" s="110"/>
      <c r="AH21" s="110" t="e">
        <f t="shared" si="4"/>
        <v>#N/A</v>
      </c>
      <c r="AI21" s="507"/>
      <c r="AJ21" s="110"/>
      <c r="AK21" s="110"/>
      <c r="AL21" s="110"/>
      <c r="AM21" s="110" t="e">
        <f t="shared" si="5"/>
        <v>#N/A</v>
      </c>
      <c r="AN21" s="507"/>
      <c r="AO21" s="110"/>
      <c r="AP21" s="110"/>
      <c r="AQ21" s="110"/>
      <c r="AR21" s="110" t="e">
        <f t="shared" si="6"/>
        <v>#N/A</v>
      </c>
      <c r="AS21" s="507"/>
      <c r="AT21" s="110"/>
      <c r="AU21" s="110"/>
      <c r="AV21" s="110"/>
      <c r="AW21" s="110" t="e">
        <f t="shared" si="7"/>
        <v>#N/A</v>
      </c>
      <c r="AX21" s="507"/>
    </row>
    <row r="22" spans="2:50" ht="15.75">
      <c r="B22" s="505" t="s">
        <v>43</v>
      </c>
      <c r="C22" s="506"/>
      <c r="D22" s="506"/>
      <c r="E22" s="506"/>
      <c r="F22" s="506"/>
      <c r="G22" s="506"/>
      <c r="H22" s="506"/>
      <c r="I22" s="159"/>
      <c r="J22" s="159"/>
      <c r="K22" s="159"/>
      <c r="L22" s="159"/>
      <c r="M22" s="155"/>
      <c r="N22" s="488" t="s">
        <v>44</v>
      </c>
      <c r="O22" s="488" t="s">
        <v>3</v>
      </c>
      <c r="P22" s="491">
        <v>45874</v>
      </c>
      <c r="Q22" s="486"/>
      <c r="R22" s="486"/>
      <c r="S22" s="486"/>
      <c r="T22" s="486"/>
      <c r="U22" s="491">
        <v>45875</v>
      </c>
      <c r="V22" s="486"/>
      <c r="W22" s="486"/>
      <c r="X22" s="486"/>
      <c r="Y22" s="486"/>
      <c r="Z22" s="491">
        <v>45876</v>
      </c>
      <c r="AA22" s="486"/>
      <c r="AB22" s="486"/>
      <c r="AC22" s="486"/>
      <c r="AD22" s="486"/>
      <c r="AE22" s="491">
        <v>45877</v>
      </c>
      <c r="AF22" s="486"/>
      <c r="AG22" s="486"/>
      <c r="AH22" s="486"/>
      <c r="AI22" s="486"/>
      <c r="AJ22" s="491">
        <v>45878</v>
      </c>
      <c r="AK22" s="486"/>
      <c r="AL22" s="486"/>
      <c r="AM22" s="486"/>
      <c r="AN22" s="486"/>
      <c r="AO22" s="491">
        <v>45879</v>
      </c>
      <c r="AP22" s="486"/>
      <c r="AQ22" s="486"/>
      <c r="AR22" s="486"/>
      <c r="AS22" s="486"/>
      <c r="AT22" s="491">
        <v>45880</v>
      </c>
      <c r="AU22" s="486"/>
      <c r="AV22" s="486"/>
      <c r="AW22" s="486"/>
      <c r="AX22" s="486"/>
    </row>
    <row r="23" spans="2:50" ht="15.75">
      <c r="B23" s="500"/>
      <c r="C23" s="500"/>
      <c r="D23" s="500"/>
      <c r="E23" s="500"/>
      <c r="F23" s="500"/>
      <c r="G23" s="500"/>
      <c r="H23" s="500"/>
      <c r="I23" s="156"/>
      <c r="J23" s="156"/>
      <c r="K23" s="156"/>
      <c r="L23" s="156"/>
      <c r="M23" s="157"/>
      <c r="N23" s="490"/>
      <c r="O23" s="490"/>
      <c r="P23" s="491" t="s">
        <v>15</v>
      </c>
      <c r="Q23" s="486"/>
      <c r="R23" s="486"/>
      <c r="S23" s="486"/>
      <c r="T23" s="486"/>
      <c r="U23" s="491" t="s">
        <v>13</v>
      </c>
      <c r="V23" s="486"/>
      <c r="W23" s="486"/>
      <c r="X23" s="486"/>
      <c r="Y23" s="486"/>
      <c r="Z23" s="491" t="s">
        <v>16</v>
      </c>
      <c r="AA23" s="486"/>
      <c r="AB23" s="486"/>
      <c r="AC23" s="486"/>
      <c r="AD23" s="486"/>
      <c r="AE23" s="491" t="s">
        <v>17</v>
      </c>
      <c r="AF23" s="486"/>
      <c r="AG23" s="486"/>
      <c r="AH23" s="486"/>
      <c r="AI23" s="486"/>
      <c r="AJ23" s="491" t="s">
        <v>18</v>
      </c>
      <c r="AK23" s="486"/>
      <c r="AL23" s="486"/>
      <c r="AM23" s="486"/>
      <c r="AN23" s="486"/>
      <c r="AO23" s="491" t="s">
        <v>10</v>
      </c>
      <c r="AP23" s="486"/>
      <c r="AQ23" s="486"/>
      <c r="AR23" s="486"/>
      <c r="AS23" s="486"/>
      <c r="AT23" s="491" t="s">
        <v>14</v>
      </c>
      <c r="AU23" s="486"/>
      <c r="AV23" s="486"/>
      <c r="AW23" s="486"/>
      <c r="AX23" s="486"/>
    </row>
    <row r="24" spans="2:50">
      <c r="B24" s="487" t="s">
        <v>45</v>
      </c>
      <c r="C24" s="487" t="s">
        <v>46</v>
      </c>
      <c r="D24" s="487"/>
      <c r="E24" s="487" t="s">
        <v>47</v>
      </c>
      <c r="F24" s="487"/>
      <c r="G24" s="487"/>
      <c r="H24" s="501" t="s">
        <v>48</v>
      </c>
      <c r="I24" s="487" t="s">
        <v>49</v>
      </c>
      <c r="J24" s="487"/>
      <c r="K24" s="487"/>
      <c r="L24" s="501" t="s">
        <v>48</v>
      </c>
      <c r="M24" s="488" t="s">
        <v>50</v>
      </c>
      <c r="N24" s="487"/>
      <c r="O24" s="487" t="s">
        <v>51</v>
      </c>
      <c r="P24" s="483" t="s">
        <v>52</v>
      </c>
      <c r="Q24" s="484"/>
      <c r="R24" s="484"/>
      <c r="S24" s="485"/>
      <c r="T24" s="487" t="s">
        <v>48</v>
      </c>
      <c r="U24" s="483" t="s">
        <v>52</v>
      </c>
      <c r="V24" s="484"/>
      <c r="W24" s="484"/>
      <c r="X24" s="485"/>
      <c r="Y24" s="487" t="s">
        <v>48</v>
      </c>
      <c r="Z24" s="483" t="s">
        <v>52</v>
      </c>
      <c r="AA24" s="484"/>
      <c r="AB24" s="484"/>
      <c r="AC24" s="485"/>
      <c r="AD24" s="487" t="s">
        <v>48</v>
      </c>
      <c r="AE24" s="483" t="s">
        <v>52</v>
      </c>
      <c r="AF24" s="484"/>
      <c r="AG24" s="484"/>
      <c r="AH24" s="485"/>
      <c r="AI24" s="487" t="s">
        <v>48</v>
      </c>
      <c r="AJ24" s="483" t="s">
        <v>52</v>
      </c>
      <c r="AK24" s="484"/>
      <c r="AL24" s="484"/>
      <c r="AM24" s="485"/>
      <c r="AN24" s="487" t="s">
        <v>48</v>
      </c>
      <c r="AO24" s="483" t="s">
        <v>52</v>
      </c>
      <c r="AP24" s="484"/>
      <c r="AQ24" s="484"/>
      <c r="AR24" s="485"/>
      <c r="AS24" s="487" t="s">
        <v>48</v>
      </c>
      <c r="AT24" s="483" t="s">
        <v>52</v>
      </c>
      <c r="AU24" s="484"/>
      <c r="AV24" s="484"/>
      <c r="AW24" s="485"/>
      <c r="AX24" s="487" t="s">
        <v>48</v>
      </c>
    </row>
    <row r="25" spans="2:50">
      <c r="B25" s="487"/>
      <c r="C25" s="487"/>
      <c r="D25" s="487"/>
      <c r="E25" s="487" t="s">
        <v>53</v>
      </c>
      <c r="F25" s="487"/>
      <c r="G25" s="487"/>
      <c r="H25" s="502"/>
      <c r="I25" s="487" t="s">
        <v>53</v>
      </c>
      <c r="J25" s="487"/>
      <c r="K25" s="487"/>
      <c r="L25" s="502"/>
      <c r="M25" s="489"/>
      <c r="N25" s="487"/>
      <c r="O25" s="487"/>
      <c r="P25" s="483" t="s">
        <v>54</v>
      </c>
      <c r="Q25" s="484"/>
      <c r="R25" s="484"/>
      <c r="S25" s="485"/>
      <c r="T25" s="487"/>
      <c r="U25" s="483" t="s">
        <v>54</v>
      </c>
      <c r="V25" s="484"/>
      <c r="W25" s="484"/>
      <c r="X25" s="485"/>
      <c r="Y25" s="487"/>
      <c r="Z25" s="483" t="s">
        <v>54</v>
      </c>
      <c r="AA25" s="484"/>
      <c r="AB25" s="484"/>
      <c r="AC25" s="485"/>
      <c r="AD25" s="487"/>
      <c r="AE25" s="483" t="s">
        <v>54</v>
      </c>
      <c r="AF25" s="484"/>
      <c r="AG25" s="484"/>
      <c r="AH25" s="485"/>
      <c r="AI25" s="487"/>
      <c r="AJ25" s="483" t="s">
        <v>54</v>
      </c>
      <c r="AK25" s="484"/>
      <c r="AL25" s="484"/>
      <c r="AM25" s="485"/>
      <c r="AN25" s="487"/>
      <c r="AO25" s="483" t="s">
        <v>54</v>
      </c>
      <c r="AP25" s="484"/>
      <c r="AQ25" s="484"/>
      <c r="AR25" s="485"/>
      <c r="AS25" s="487"/>
      <c r="AT25" s="483" t="s">
        <v>54</v>
      </c>
      <c r="AU25" s="484"/>
      <c r="AV25" s="484"/>
      <c r="AW25" s="485"/>
      <c r="AX25" s="487"/>
    </row>
    <row r="26" spans="2:50">
      <c r="B26" s="487"/>
      <c r="C26" s="487"/>
      <c r="D26" s="487"/>
      <c r="E26" s="109" t="s">
        <v>55</v>
      </c>
      <c r="F26" s="109" t="s">
        <v>56</v>
      </c>
      <c r="G26" s="109" t="s">
        <v>57</v>
      </c>
      <c r="H26" s="503"/>
      <c r="I26" s="109" t="s">
        <v>55</v>
      </c>
      <c r="J26" s="109" t="s">
        <v>56</v>
      </c>
      <c r="K26" s="109" t="s">
        <v>57</v>
      </c>
      <c r="L26" s="503"/>
      <c r="M26" s="490"/>
      <c r="N26" s="487"/>
      <c r="O26" s="487"/>
      <c r="P26" s="109" t="s">
        <v>55</v>
      </c>
      <c r="Q26" s="109" t="s">
        <v>56</v>
      </c>
      <c r="R26" s="109" t="s">
        <v>57</v>
      </c>
      <c r="S26" s="109" t="s">
        <v>50</v>
      </c>
      <c r="T26" s="487"/>
      <c r="U26" s="109" t="s">
        <v>55</v>
      </c>
      <c r="V26" s="109" t="s">
        <v>56</v>
      </c>
      <c r="W26" s="109" t="s">
        <v>57</v>
      </c>
      <c r="X26" s="109" t="s">
        <v>50</v>
      </c>
      <c r="Y26" s="487"/>
      <c r="Z26" s="109" t="s">
        <v>55</v>
      </c>
      <c r="AA26" s="109" t="s">
        <v>56</v>
      </c>
      <c r="AB26" s="109" t="s">
        <v>57</v>
      </c>
      <c r="AC26" s="109" t="s">
        <v>50</v>
      </c>
      <c r="AD26" s="487"/>
      <c r="AE26" s="109" t="s">
        <v>55</v>
      </c>
      <c r="AF26" s="109" t="s">
        <v>56</v>
      </c>
      <c r="AG26" s="109" t="s">
        <v>57</v>
      </c>
      <c r="AH26" s="109" t="s">
        <v>50</v>
      </c>
      <c r="AI26" s="487"/>
      <c r="AJ26" s="109" t="s">
        <v>55</v>
      </c>
      <c r="AK26" s="109" t="s">
        <v>56</v>
      </c>
      <c r="AL26" s="109" t="s">
        <v>57</v>
      </c>
      <c r="AM26" s="109" t="s">
        <v>50</v>
      </c>
      <c r="AN26" s="487"/>
      <c r="AO26" s="109" t="s">
        <v>55</v>
      </c>
      <c r="AP26" s="109" t="s">
        <v>56</v>
      </c>
      <c r="AQ26" s="109" t="s">
        <v>57</v>
      </c>
      <c r="AR26" s="109" t="s">
        <v>50</v>
      </c>
      <c r="AS26" s="487"/>
      <c r="AT26" s="109" t="s">
        <v>55</v>
      </c>
      <c r="AU26" s="109" t="s">
        <v>56</v>
      </c>
      <c r="AV26" s="109" t="s">
        <v>57</v>
      </c>
      <c r="AW26" s="109" t="s">
        <v>50</v>
      </c>
      <c r="AX26" s="487"/>
    </row>
    <row r="27" spans="2:50">
      <c r="B27" s="487" t="s">
        <v>59</v>
      </c>
      <c r="C27" s="110">
        <v>1</v>
      </c>
      <c r="D27" s="110"/>
      <c r="E27" s="110"/>
      <c r="F27" s="110"/>
      <c r="G27" s="110"/>
      <c r="H27" s="492" t="e">
        <f>AVERAGE(G27:G41)</f>
        <v>#DIV/0!</v>
      </c>
      <c r="I27" s="160" t="e">
        <f>AVERAGE(P27,U27,Z27,AE27,AJ27,AO27,AT27)</f>
        <v>#DIV/0!</v>
      </c>
      <c r="J27" s="160" t="e">
        <f>AVERAGE(Q27,V27,AA27,AF27,AK27,AP27,AU27)</f>
        <v>#DIV/0!</v>
      </c>
      <c r="K27" s="158" t="e">
        <f>AVERAGE(R27,W27,AB27,AG27,AL27,AQ27,AV27)</f>
        <v>#DIV/0!</v>
      </c>
      <c r="L27" s="495" t="e">
        <f>AVERAGE(K27:K41)</f>
        <v>#DIV/0!</v>
      </c>
      <c r="M27" s="173" t="e">
        <f>RANK(K27, K$27:$K$41)</f>
        <v>#DIV/0!</v>
      </c>
      <c r="N27" s="487"/>
      <c r="O27" s="487"/>
      <c r="P27" s="110"/>
      <c r="Q27" s="110"/>
      <c r="R27" s="110"/>
      <c r="S27" s="110"/>
      <c r="T27" s="486" t="e">
        <f>AVERAGE(R27:R41)</f>
        <v>#DIV/0!</v>
      </c>
      <c r="U27" s="110"/>
      <c r="V27" s="110"/>
      <c r="W27" s="110"/>
      <c r="X27" s="110"/>
      <c r="Y27" s="486" t="e">
        <f>AVERAGE(W27:W41)</f>
        <v>#DIV/0!</v>
      </c>
      <c r="Z27" s="110"/>
      <c r="AA27" s="110"/>
      <c r="AB27" s="110"/>
      <c r="AC27" s="110"/>
      <c r="AD27" s="486" t="e">
        <f>AVERAGE(AB27:AB41)</f>
        <v>#DIV/0!</v>
      </c>
      <c r="AE27" s="110"/>
      <c r="AF27" s="110"/>
      <c r="AG27" s="110"/>
      <c r="AH27" s="110"/>
      <c r="AI27" s="486" t="e">
        <f>AVERAGE(AG27:AG41)</f>
        <v>#DIV/0!</v>
      </c>
      <c r="AJ27" s="110"/>
      <c r="AK27" s="110"/>
      <c r="AL27" s="110"/>
      <c r="AM27" s="110"/>
      <c r="AN27" s="486" t="e">
        <f>AVERAGE(AL27:AL41)</f>
        <v>#DIV/0!</v>
      </c>
      <c r="AO27" s="110"/>
      <c r="AP27" s="110"/>
      <c r="AQ27" s="110"/>
      <c r="AR27" s="110"/>
      <c r="AS27" s="486" t="e">
        <f>AVERAGE(AQ27:AQ41)</f>
        <v>#DIV/0!</v>
      </c>
      <c r="AT27" s="110"/>
      <c r="AU27" s="110"/>
      <c r="AV27" s="110"/>
      <c r="AW27" s="110"/>
      <c r="AX27" s="486" t="e">
        <f>AVERAGE(AV27:AV41)</f>
        <v>#DIV/0!</v>
      </c>
    </row>
    <row r="28" spans="2:50">
      <c r="B28" s="486"/>
      <c r="C28" s="110">
        <v>2</v>
      </c>
      <c r="D28" s="110"/>
      <c r="E28" s="110"/>
      <c r="F28" s="110"/>
      <c r="G28" s="110"/>
      <c r="H28" s="493"/>
      <c r="I28" s="160" t="e">
        <f t="shared" ref="I28:K36" si="8">AVERAGE(P28,U28,Z28,AE28,AJ28,AO28,AT28)</f>
        <v>#DIV/0!</v>
      </c>
      <c r="J28" s="160" t="e">
        <f t="shared" si="8"/>
        <v>#DIV/0!</v>
      </c>
      <c r="K28" s="158" t="e">
        <f t="shared" si="8"/>
        <v>#DIV/0!</v>
      </c>
      <c r="L28" s="496"/>
      <c r="M28" s="173" t="e">
        <f>RANK(K28, K$27:$K$41)</f>
        <v>#DIV/0!</v>
      </c>
      <c r="N28" s="487"/>
      <c r="O28" s="487"/>
      <c r="P28" s="110"/>
      <c r="Q28" s="110"/>
      <c r="R28" s="110"/>
      <c r="S28" s="110"/>
      <c r="T28" s="486"/>
      <c r="U28" s="110"/>
      <c r="V28" s="110"/>
      <c r="W28" s="110"/>
      <c r="X28" s="110"/>
      <c r="Y28" s="486"/>
      <c r="Z28" s="110"/>
      <c r="AA28" s="110"/>
      <c r="AB28" s="110"/>
      <c r="AC28" s="110"/>
      <c r="AD28" s="486"/>
      <c r="AE28" s="110"/>
      <c r="AF28" s="110"/>
      <c r="AG28" s="110"/>
      <c r="AH28" s="110"/>
      <c r="AI28" s="486"/>
      <c r="AJ28" s="110"/>
      <c r="AK28" s="110"/>
      <c r="AL28" s="110"/>
      <c r="AM28" s="110"/>
      <c r="AN28" s="486"/>
      <c r="AO28" s="110"/>
      <c r="AP28" s="110"/>
      <c r="AQ28" s="110"/>
      <c r="AR28" s="110"/>
      <c r="AS28" s="486"/>
      <c r="AT28" s="110"/>
      <c r="AU28" s="110"/>
      <c r="AV28" s="110"/>
      <c r="AW28" s="110"/>
      <c r="AX28" s="486"/>
    </row>
    <row r="29" spans="2:50">
      <c r="B29" s="486"/>
      <c r="C29" s="110">
        <v>3</v>
      </c>
      <c r="D29" s="110"/>
      <c r="E29" s="110"/>
      <c r="F29" s="110"/>
      <c r="G29" s="110"/>
      <c r="H29" s="493"/>
      <c r="I29" s="160" t="e">
        <f t="shared" si="8"/>
        <v>#DIV/0!</v>
      </c>
      <c r="J29" s="160" t="e">
        <f t="shared" si="8"/>
        <v>#DIV/0!</v>
      </c>
      <c r="K29" s="158" t="e">
        <f t="shared" si="8"/>
        <v>#DIV/0!</v>
      </c>
      <c r="L29" s="496"/>
      <c r="M29" s="173" t="e">
        <f>RANK(K29, K$27:$K$41)</f>
        <v>#DIV/0!</v>
      </c>
      <c r="N29" s="487"/>
      <c r="O29" s="487"/>
      <c r="P29" s="110"/>
      <c r="Q29" s="110"/>
      <c r="R29" s="110"/>
      <c r="S29" s="110"/>
      <c r="T29" s="486"/>
      <c r="U29" s="110"/>
      <c r="V29" s="110"/>
      <c r="W29" s="110"/>
      <c r="X29" s="110"/>
      <c r="Y29" s="486"/>
      <c r="Z29" s="110"/>
      <c r="AA29" s="110"/>
      <c r="AB29" s="110"/>
      <c r="AC29" s="110"/>
      <c r="AD29" s="486"/>
      <c r="AE29" s="110"/>
      <c r="AF29" s="110"/>
      <c r="AG29" s="110"/>
      <c r="AH29" s="110"/>
      <c r="AI29" s="486"/>
      <c r="AJ29" s="110"/>
      <c r="AK29" s="110"/>
      <c r="AL29" s="110"/>
      <c r="AM29" s="110"/>
      <c r="AN29" s="486"/>
      <c r="AO29" s="110"/>
      <c r="AP29" s="110"/>
      <c r="AQ29" s="110"/>
      <c r="AR29" s="110"/>
      <c r="AS29" s="486"/>
      <c r="AT29" s="110"/>
      <c r="AU29" s="110"/>
      <c r="AV29" s="110"/>
      <c r="AW29" s="110"/>
      <c r="AX29" s="486"/>
    </row>
    <row r="30" spans="2:50">
      <c r="B30" s="486"/>
      <c r="C30" s="110">
        <v>4</v>
      </c>
      <c r="D30" s="110"/>
      <c r="E30" s="110"/>
      <c r="F30" s="110"/>
      <c r="G30" s="110"/>
      <c r="H30" s="493"/>
      <c r="I30" s="160" t="e">
        <f t="shared" si="8"/>
        <v>#DIV/0!</v>
      </c>
      <c r="J30" s="160" t="e">
        <f t="shared" si="8"/>
        <v>#DIV/0!</v>
      </c>
      <c r="K30" s="158" t="e">
        <f t="shared" si="8"/>
        <v>#DIV/0!</v>
      </c>
      <c r="L30" s="496"/>
      <c r="M30" s="173" t="e">
        <f>RANK(K30, K$27:$K$41)</f>
        <v>#DIV/0!</v>
      </c>
      <c r="N30" s="487"/>
      <c r="O30" s="487"/>
      <c r="P30" s="110"/>
      <c r="Q30" s="110"/>
      <c r="R30" s="110"/>
      <c r="S30" s="110"/>
      <c r="T30" s="486"/>
      <c r="U30" s="110"/>
      <c r="V30" s="110"/>
      <c r="W30" s="110"/>
      <c r="X30" s="110"/>
      <c r="Y30" s="486"/>
      <c r="Z30" s="110"/>
      <c r="AA30" s="110"/>
      <c r="AB30" s="110"/>
      <c r="AC30" s="110"/>
      <c r="AD30" s="486"/>
      <c r="AE30" s="110"/>
      <c r="AF30" s="110"/>
      <c r="AG30" s="110"/>
      <c r="AH30" s="110"/>
      <c r="AI30" s="486"/>
      <c r="AJ30" s="110"/>
      <c r="AK30" s="110"/>
      <c r="AL30" s="110"/>
      <c r="AM30" s="110"/>
      <c r="AN30" s="486"/>
      <c r="AO30" s="110"/>
      <c r="AP30" s="110"/>
      <c r="AQ30" s="110"/>
      <c r="AR30" s="110"/>
      <c r="AS30" s="486"/>
      <c r="AT30" s="110"/>
      <c r="AU30" s="110"/>
      <c r="AV30" s="110"/>
      <c r="AW30" s="110"/>
      <c r="AX30" s="486"/>
    </row>
    <row r="31" spans="2:50">
      <c r="B31" s="486"/>
      <c r="C31" s="110">
        <v>5</v>
      </c>
      <c r="D31" s="110"/>
      <c r="E31" s="110"/>
      <c r="F31" s="110"/>
      <c r="G31" s="110"/>
      <c r="H31" s="493"/>
      <c r="I31" s="160" t="e">
        <f t="shared" si="8"/>
        <v>#DIV/0!</v>
      </c>
      <c r="J31" s="160" t="e">
        <f t="shared" si="8"/>
        <v>#DIV/0!</v>
      </c>
      <c r="K31" s="158" t="e">
        <f t="shared" si="8"/>
        <v>#DIV/0!</v>
      </c>
      <c r="L31" s="496"/>
      <c r="M31" s="173" t="e">
        <f>RANK(K31, K$27:$K$41)</f>
        <v>#DIV/0!</v>
      </c>
      <c r="N31" s="487"/>
      <c r="O31" s="487"/>
      <c r="P31" s="110"/>
      <c r="Q31" s="110"/>
      <c r="R31" s="110"/>
      <c r="S31" s="110"/>
      <c r="T31" s="486"/>
      <c r="U31" s="110"/>
      <c r="V31" s="110"/>
      <c r="W31" s="110"/>
      <c r="X31" s="110"/>
      <c r="Y31" s="486"/>
      <c r="Z31" s="110"/>
      <c r="AA31" s="110"/>
      <c r="AB31" s="110"/>
      <c r="AC31" s="110"/>
      <c r="AD31" s="486"/>
      <c r="AE31" s="110"/>
      <c r="AF31" s="110"/>
      <c r="AG31" s="110"/>
      <c r="AH31" s="110"/>
      <c r="AI31" s="486"/>
      <c r="AJ31" s="110"/>
      <c r="AK31" s="110"/>
      <c r="AL31" s="110"/>
      <c r="AM31" s="110"/>
      <c r="AN31" s="486"/>
      <c r="AO31" s="110"/>
      <c r="AP31" s="110"/>
      <c r="AQ31" s="110"/>
      <c r="AR31" s="110"/>
      <c r="AS31" s="486"/>
      <c r="AT31" s="110"/>
      <c r="AU31" s="110"/>
      <c r="AV31" s="110"/>
      <c r="AW31" s="110"/>
      <c r="AX31" s="486"/>
    </row>
    <row r="32" spans="2:50">
      <c r="B32" s="486"/>
      <c r="C32" s="110">
        <v>6</v>
      </c>
      <c r="D32" s="110"/>
      <c r="E32" s="110"/>
      <c r="F32" s="110"/>
      <c r="G32" s="110"/>
      <c r="H32" s="493"/>
      <c r="I32" s="160" t="e">
        <f t="shared" si="8"/>
        <v>#DIV/0!</v>
      </c>
      <c r="J32" s="160" t="e">
        <f t="shared" si="8"/>
        <v>#DIV/0!</v>
      </c>
      <c r="K32" s="158" t="e">
        <f t="shared" si="8"/>
        <v>#DIV/0!</v>
      </c>
      <c r="L32" s="496"/>
      <c r="M32" s="173" t="e">
        <f>RANK(K32, K$27:$K$41)</f>
        <v>#DIV/0!</v>
      </c>
      <c r="N32" s="487"/>
      <c r="O32" s="487"/>
      <c r="P32" s="110"/>
      <c r="Q32" s="110"/>
      <c r="R32" s="110"/>
      <c r="S32" s="110"/>
      <c r="T32" s="486"/>
      <c r="U32" s="110"/>
      <c r="V32" s="110"/>
      <c r="W32" s="110"/>
      <c r="X32" s="110"/>
      <c r="Y32" s="486"/>
      <c r="Z32" s="110"/>
      <c r="AA32" s="110"/>
      <c r="AB32" s="110"/>
      <c r="AC32" s="110"/>
      <c r="AD32" s="486"/>
      <c r="AE32" s="110"/>
      <c r="AF32" s="110"/>
      <c r="AG32" s="110"/>
      <c r="AH32" s="110"/>
      <c r="AI32" s="486"/>
      <c r="AJ32" s="110"/>
      <c r="AK32" s="110"/>
      <c r="AL32" s="110"/>
      <c r="AM32" s="110"/>
      <c r="AN32" s="486"/>
      <c r="AO32" s="110"/>
      <c r="AP32" s="110"/>
      <c r="AQ32" s="110"/>
      <c r="AR32" s="110"/>
      <c r="AS32" s="486"/>
      <c r="AT32" s="110"/>
      <c r="AU32" s="110"/>
      <c r="AV32" s="110"/>
      <c r="AW32" s="110"/>
      <c r="AX32" s="486"/>
    </row>
    <row r="33" spans="2:50">
      <c r="B33" s="486"/>
      <c r="C33" s="110">
        <v>7</v>
      </c>
      <c r="D33" s="110"/>
      <c r="E33" s="110"/>
      <c r="F33" s="110"/>
      <c r="G33" s="110"/>
      <c r="H33" s="493"/>
      <c r="I33" s="160" t="e">
        <f t="shared" si="8"/>
        <v>#DIV/0!</v>
      </c>
      <c r="J33" s="160" t="e">
        <f t="shared" si="8"/>
        <v>#DIV/0!</v>
      </c>
      <c r="K33" s="158" t="e">
        <f t="shared" si="8"/>
        <v>#DIV/0!</v>
      </c>
      <c r="L33" s="496"/>
      <c r="M33" s="173" t="e">
        <f>RANK(K33, K$27:$K$41)</f>
        <v>#DIV/0!</v>
      </c>
      <c r="N33" s="487"/>
      <c r="O33" s="487"/>
      <c r="P33" s="110"/>
      <c r="Q33" s="110"/>
      <c r="R33" s="110"/>
      <c r="S33" s="110"/>
      <c r="T33" s="486"/>
      <c r="U33" s="110"/>
      <c r="V33" s="110"/>
      <c r="W33" s="110"/>
      <c r="X33" s="110"/>
      <c r="Y33" s="486"/>
      <c r="Z33" s="110"/>
      <c r="AA33" s="110"/>
      <c r="AB33" s="110"/>
      <c r="AC33" s="110"/>
      <c r="AD33" s="486"/>
      <c r="AE33" s="110"/>
      <c r="AF33" s="110"/>
      <c r="AG33" s="110"/>
      <c r="AH33" s="110"/>
      <c r="AI33" s="486"/>
      <c r="AJ33" s="110"/>
      <c r="AK33" s="110"/>
      <c r="AL33" s="110"/>
      <c r="AM33" s="110"/>
      <c r="AN33" s="486"/>
      <c r="AO33" s="110"/>
      <c r="AP33" s="110"/>
      <c r="AQ33" s="110"/>
      <c r="AR33" s="110"/>
      <c r="AS33" s="486"/>
      <c r="AT33" s="110"/>
      <c r="AU33" s="110"/>
      <c r="AV33" s="110"/>
      <c r="AW33" s="110"/>
      <c r="AX33" s="486"/>
    </row>
    <row r="34" spans="2:50">
      <c r="B34" s="486"/>
      <c r="C34" s="110">
        <v>8</v>
      </c>
      <c r="D34" s="110"/>
      <c r="E34" s="110"/>
      <c r="F34" s="110"/>
      <c r="G34" s="110"/>
      <c r="H34" s="493"/>
      <c r="I34" s="160" t="e">
        <f t="shared" si="8"/>
        <v>#DIV/0!</v>
      </c>
      <c r="J34" s="160" t="e">
        <f t="shared" si="8"/>
        <v>#DIV/0!</v>
      </c>
      <c r="K34" s="158" t="e">
        <f t="shared" si="8"/>
        <v>#DIV/0!</v>
      </c>
      <c r="L34" s="496"/>
      <c r="M34" s="173" t="e">
        <f>RANK(K34, K$27:$K$41)</f>
        <v>#DIV/0!</v>
      </c>
      <c r="N34" s="487"/>
      <c r="O34" s="487"/>
      <c r="P34" s="110"/>
      <c r="Q34" s="110"/>
      <c r="R34" s="110"/>
      <c r="S34" s="110"/>
      <c r="T34" s="486"/>
      <c r="U34" s="110"/>
      <c r="V34" s="110"/>
      <c r="W34" s="110"/>
      <c r="X34" s="110"/>
      <c r="Y34" s="486"/>
      <c r="Z34" s="110"/>
      <c r="AA34" s="110"/>
      <c r="AB34" s="110"/>
      <c r="AC34" s="110"/>
      <c r="AD34" s="486"/>
      <c r="AE34" s="110"/>
      <c r="AF34" s="110"/>
      <c r="AG34" s="110"/>
      <c r="AH34" s="110"/>
      <c r="AI34" s="486"/>
      <c r="AJ34" s="110"/>
      <c r="AK34" s="110"/>
      <c r="AL34" s="110"/>
      <c r="AM34" s="110"/>
      <c r="AN34" s="486"/>
      <c r="AO34" s="110"/>
      <c r="AP34" s="110"/>
      <c r="AQ34" s="110"/>
      <c r="AR34" s="110"/>
      <c r="AS34" s="486"/>
      <c r="AT34" s="110"/>
      <c r="AU34" s="110"/>
      <c r="AV34" s="110"/>
      <c r="AW34" s="110"/>
      <c r="AX34" s="486"/>
    </row>
    <row r="35" spans="2:50">
      <c r="B35" s="486"/>
      <c r="C35" s="110">
        <v>9</v>
      </c>
      <c r="D35" s="110"/>
      <c r="E35" s="110"/>
      <c r="F35" s="110"/>
      <c r="G35" s="110"/>
      <c r="H35" s="493"/>
      <c r="I35" s="160" t="e">
        <f t="shared" si="8"/>
        <v>#DIV/0!</v>
      </c>
      <c r="J35" s="160" t="e">
        <f t="shared" si="8"/>
        <v>#DIV/0!</v>
      </c>
      <c r="K35" s="158" t="e">
        <f t="shared" si="8"/>
        <v>#DIV/0!</v>
      </c>
      <c r="L35" s="496"/>
      <c r="M35" s="173" t="e">
        <f>RANK(K35, K$27:$K$41)</f>
        <v>#DIV/0!</v>
      </c>
      <c r="N35" s="487"/>
      <c r="O35" s="487"/>
      <c r="P35" s="110"/>
      <c r="Q35" s="110"/>
      <c r="R35" s="110"/>
      <c r="S35" s="110"/>
      <c r="T35" s="486"/>
      <c r="U35" s="110"/>
      <c r="V35" s="110"/>
      <c r="W35" s="110"/>
      <c r="X35" s="110"/>
      <c r="Y35" s="486"/>
      <c r="Z35" s="110"/>
      <c r="AA35" s="110"/>
      <c r="AB35" s="110"/>
      <c r="AC35" s="110"/>
      <c r="AD35" s="486"/>
      <c r="AE35" s="110"/>
      <c r="AF35" s="110"/>
      <c r="AG35" s="110"/>
      <c r="AH35" s="110"/>
      <c r="AI35" s="486"/>
      <c r="AJ35" s="110"/>
      <c r="AK35" s="110"/>
      <c r="AL35" s="110"/>
      <c r="AM35" s="110"/>
      <c r="AN35" s="486"/>
      <c r="AO35" s="110"/>
      <c r="AP35" s="110"/>
      <c r="AQ35" s="110"/>
      <c r="AR35" s="110"/>
      <c r="AS35" s="486"/>
      <c r="AT35" s="110"/>
      <c r="AU35" s="110"/>
      <c r="AV35" s="110"/>
      <c r="AW35" s="110"/>
      <c r="AX35" s="486"/>
    </row>
    <row r="36" spans="2:50">
      <c r="B36" s="486"/>
      <c r="C36" s="110">
        <v>10</v>
      </c>
      <c r="D36" s="110"/>
      <c r="E36" s="110"/>
      <c r="F36" s="110"/>
      <c r="G36" s="110"/>
      <c r="H36" s="493"/>
      <c r="I36" s="160" t="e">
        <f t="shared" si="8"/>
        <v>#DIV/0!</v>
      </c>
      <c r="J36" s="160" t="e">
        <f t="shared" si="8"/>
        <v>#DIV/0!</v>
      </c>
      <c r="K36" s="158" t="e">
        <f t="shared" si="8"/>
        <v>#DIV/0!</v>
      </c>
      <c r="L36" s="496"/>
      <c r="M36" s="173" t="e">
        <f>RANK(K36, K$27:$K$41)</f>
        <v>#DIV/0!</v>
      </c>
      <c r="N36" s="487"/>
      <c r="O36" s="487"/>
      <c r="P36" s="110"/>
      <c r="Q36" s="110"/>
      <c r="R36" s="110"/>
      <c r="S36" s="110"/>
      <c r="T36" s="486"/>
      <c r="U36" s="110"/>
      <c r="V36" s="110"/>
      <c r="W36" s="110"/>
      <c r="X36" s="110"/>
      <c r="Y36" s="486"/>
      <c r="Z36" s="110"/>
      <c r="AA36" s="110"/>
      <c r="AB36" s="110"/>
      <c r="AC36" s="110"/>
      <c r="AD36" s="486"/>
      <c r="AE36" s="110"/>
      <c r="AF36" s="110"/>
      <c r="AG36" s="110"/>
      <c r="AH36" s="110"/>
      <c r="AI36" s="486"/>
      <c r="AJ36" s="110"/>
      <c r="AK36" s="110"/>
      <c r="AL36" s="110"/>
      <c r="AM36" s="110"/>
      <c r="AN36" s="486"/>
      <c r="AO36" s="110"/>
      <c r="AP36" s="110"/>
      <c r="AQ36" s="110"/>
      <c r="AR36" s="110"/>
      <c r="AS36" s="486"/>
      <c r="AT36" s="110"/>
      <c r="AU36" s="110"/>
      <c r="AV36" s="110"/>
      <c r="AW36" s="110"/>
      <c r="AX36" s="486"/>
    </row>
    <row r="37" spans="2:50">
      <c r="B37" s="486"/>
      <c r="C37" s="110">
        <v>11</v>
      </c>
      <c r="D37" s="110"/>
      <c r="E37" s="110"/>
      <c r="F37" s="110"/>
      <c r="G37" s="110"/>
      <c r="H37" s="493"/>
      <c r="I37" s="110"/>
      <c r="J37" s="110"/>
      <c r="K37" s="110"/>
      <c r="L37" s="496"/>
      <c r="M37" s="173" t="e">
        <f>RANK(K37, K$27:$K$41)</f>
        <v>#DIV/0!</v>
      </c>
      <c r="N37" s="487"/>
      <c r="O37" s="487"/>
      <c r="P37" s="110"/>
      <c r="Q37" s="110"/>
      <c r="R37" s="110"/>
      <c r="S37" s="110"/>
      <c r="T37" s="486"/>
      <c r="U37" s="110"/>
      <c r="V37" s="110"/>
      <c r="W37" s="110"/>
      <c r="X37" s="110"/>
      <c r="Y37" s="486"/>
      <c r="Z37" s="110"/>
      <c r="AA37" s="110"/>
      <c r="AB37" s="110"/>
      <c r="AC37" s="110"/>
      <c r="AD37" s="486"/>
      <c r="AE37" s="110"/>
      <c r="AF37" s="110"/>
      <c r="AG37" s="110"/>
      <c r="AH37" s="110"/>
      <c r="AI37" s="486"/>
      <c r="AJ37" s="110"/>
      <c r="AK37" s="110"/>
      <c r="AL37" s="110"/>
      <c r="AM37" s="110"/>
      <c r="AN37" s="486"/>
      <c r="AO37" s="110"/>
      <c r="AP37" s="110"/>
      <c r="AQ37" s="110"/>
      <c r="AR37" s="110"/>
      <c r="AS37" s="486"/>
      <c r="AT37" s="110"/>
      <c r="AU37" s="110"/>
      <c r="AV37" s="110"/>
      <c r="AW37" s="110"/>
      <c r="AX37" s="486"/>
    </row>
    <row r="38" spans="2:50">
      <c r="B38" s="486"/>
      <c r="C38" s="110">
        <v>12</v>
      </c>
      <c r="D38" s="110"/>
      <c r="E38" s="110"/>
      <c r="F38" s="110"/>
      <c r="G38" s="110"/>
      <c r="H38" s="493"/>
      <c r="I38" s="110"/>
      <c r="J38" s="110"/>
      <c r="K38" s="110"/>
      <c r="L38" s="496"/>
      <c r="M38" s="173" t="e">
        <f>RANK(K38, K$27:$K$41)</f>
        <v>#DIV/0!</v>
      </c>
      <c r="N38" s="487"/>
      <c r="O38" s="487"/>
      <c r="P38" s="110"/>
      <c r="Q38" s="110"/>
      <c r="R38" s="110"/>
      <c r="S38" s="110"/>
      <c r="T38" s="486"/>
      <c r="U38" s="110"/>
      <c r="V38" s="110"/>
      <c r="W38" s="110"/>
      <c r="X38" s="110"/>
      <c r="Y38" s="486"/>
      <c r="Z38" s="110"/>
      <c r="AA38" s="110"/>
      <c r="AB38" s="110"/>
      <c r="AC38" s="110"/>
      <c r="AD38" s="486"/>
      <c r="AE38" s="110"/>
      <c r="AF38" s="110"/>
      <c r="AG38" s="110"/>
      <c r="AH38" s="110"/>
      <c r="AI38" s="486"/>
      <c r="AJ38" s="110"/>
      <c r="AK38" s="110"/>
      <c r="AL38" s="110"/>
      <c r="AM38" s="110"/>
      <c r="AN38" s="486"/>
      <c r="AO38" s="110"/>
      <c r="AP38" s="110"/>
      <c r="AQ38" s="110"/>
      <c r="AR38" s="110"/>
      <c r="AS38" s="486"/>
      <c r="AT38" s="110"/>
      <c r="AU38" s="110"/>
      <c r="AV38" s="110"/>
      <c r="AW38" s="110"/>
      <c r="AX38" s="486"/>
    </row>
    <row r="39" spans="2:50">
      <c r="B39" s="486"/>
      <c r="C39" s="110">
        <v>13</v>
      </c>
      <c r="D39" s="110"/>
      <c r="E39" s="110"/>
      <c r="F39" s="110"/>
      <c r="G39" s="110"/>
      <c r="H39" s="493"/>
      <c r="I39" s="110"/>
      <c r="J39" s="110"/>
      <c r="K39" s="110"/>
      <c r="L39" s="496"/>
      <c r="M39" s="173" t="e">
        <f>RANK(K39, K$27:$K$41)</f>
        <v>#DIV/0!</v>
      </c>
      <c r="N39" s="487"/>
      <c r="O39" s="487"/>
      <c r="P39" s="110"/>
      <c r="Q39" s="110"/>
      <c r="R39" s="110"/>
      <c r="S39" s="110"/>
      <c r="T39" s="486"/>
      <c r="U39" s="110"/>
      <c r="V39" s="110"/>
      <c r="W39" s="110"/>
      <c r="X39" s="110"/>
      <c r="Y39" s="486"/>
      <c r="Z39" s="110"/>
      <c r="AA39" s="110"/>
      <c r="AB39" s="110"/>
      <c r="AC39" s="110"/>
      <c r="AD39" s="486"/>
      <c r="AE39" s="110"/>
      <c r="AF39" s="110"/>
      <c r="AG39" s="110"/>
      <c r="AH39" s="110"/>
      <c r="AI39" s="486"/>
      <c r="AJ39" s="110"/>
      <c r="AK39" s="110"/>
      <c r="AL39" s="110"/>
      <c r="AM39" s="110"/>
      <c r="AN39" s="486"/>
      <c r="AO39" s="110"/>
      <c r="AP39" s="110"/>
      <c r="AQ39" s="110"/>
      <c r="AR39" s="110"/>
      <c r="AS39" s="486"/>
      <c r="AT39" s="110"/>
      <c r="AU39" s="110"/>
      <c r="AV39" s="110"/>
      <c r="AW39" s="110"/>
      <c r="AX39" s="486"/>
    </row>
    <row r="40" spans="2:50">
      <c r="B40" s="486"/>
      <c r="C40" s="110">
        <v>14</v>
      </c>
      <c r="D40" s="110"/>
      <c r="E40" s="110"/>
      <c r="F40" s="110"/>
      <c r="G40" s="110"/>
      <c r="H40" s="493"/>
      <c r="I40" s="110"/>
      <c r="J40" s="110"/>
      <c r="K40" s="110"/>
      <c r="L40" s="496"/>
      <c r="M40" s="173" t="e">
        <f>RANK(K40, K$27:$K$41)</f>
        <v>#DIV/0!</v>
      </c>
      <c r="N40" s="487"/>
      <c r="O40" s="487"/>
      <c r="P40" s="110"/>
      <c r="Q40" s="110"/>
      <c r="R40" s="110"/>
      <c r="S40" s="110"/>
      <c r="T40" s="486"/>
      <c r="U40" s="110"/>
      <c r="V40" s="110"/>
      <c r="W40" s="110"/>
      <c r="X40" s="110"/>
      <c r="Y40" s="486"/>
      <c r="Z40" s="110"/>
      <c r="AA40" s="110"/>
      <c r="AB40" s="110"/>
      <c r="AC40" s="110"/>
      <c r="AD40" s="486"/>
      <c r="AE40" s="110"/>
      <c r="AF40" s="110"/>
      <c r="AG40" s="110"/>
      <c r="AH40" s="110"/>
      <c r="AI40" s="486"/>
      <c r="AJ40" s="110"/>
      <c r="AK40" s="110"/>
      <c r="AL40" s="110"/>
      <c r="AM40" s="110"/>
      <c r="AN40" s="486"/>
      <c r="AO40" s="110"/>
      <c r="AP40" s="110"/>
      <c r="AQ40" s="110"/>
      <c r="AR40" s="110"/>
      <c r="AS40" s="486"/>
      <c r="AT40" s="110"/>
      <c r="AU40" s="110"/>
      <c r="AV40" s="110"/>
      <c r="AW40" s="110"/>
      <c r="AX40" s="486"/>
    </row>
    <row r="41" spans="2:50">
      <c r="B41" s="486"/>
      <c r="C41" s="110">
        <v>15</v>
      </c>
      <c r="D41" s="110"/>
      <c r="E41" s="110"/>
      <c r="F41" s="110"/>
      <c r="G41" s="110"/>
      <c r="H41" s="494"/>
      <c r="I41" s="110"/>
      <c r="J41" s="110"/>
      <c r="K41" s="110"/>
      <c r="L41" s="497"/>
      <c r="M41" s="160" t="e">
        <f>RANK(K41, K$27:$K$41)</f>
        <v>#DIV/0!</v>
      </c>
      <c r="N41" s="487"/>
      <c r="O41" s="487"/>
      <c r="P41" s="110"/>
      <c r="Q41" s="110"/>
      <c r="R41" s="110"/>
      <c r="S41" s="110"/>
      <c r="T41" s="486"/>
      <c r="U41" s="110"/>
      <c r="V41" s="110"/>
      <c r="W41" s="110"/>
      <c r="X41" s="110"/>
      <c r="Y41" s="486"/>
      <c r="Z41" s="110"/>
      <c r="AA41" s="110"/>
      <c r="AB41" s="110"/>
      <c r="AC41" s="110"/>
      <c r="AD41" s="486"/>
      <c r="AE41" s="110"/>
      <c r="AF41" s="110"/>
      <c r="AG41" s="110"/>
      <c r="AH41" s="110"/>
      <c r="AI41" s="486"/>
      <c r="AJ41" s="110"/>
      <c r="AK41" s="110"/>
      <c r="AL41" s="110"/>
      <c r="AM41" s="110"/>
      <c r="AN41" s="486"/>
      <c r="AO41" s="110"/>
      <c r="AP41" s="110"/>
      <c r="AQ41" s="110"/>
      <c r="AR41" s="110"/>
      <c r="AS41" s="486"/>
      <c r="AT41" s="110"/>
      <c r="AU41" s="110"/>
      <c r="AV41" s="110"/>
      <c r="AW41" s="110"/>
      <c r="AX41" s="486"/>
    </row>
    <row r="42" spans="2:50" ht="15.75">
      <c r="B42" s="505" t="s">
        <v>43</v>
      </c>
      <c r="C42" s="506"/>
      <c r="D42" s="506"/>
      <c r="E42" s="506"/>
      <c r="F42" s="506"/>
      <c r="G42" s="506"/>
      <c r="H42" s="506"/>
      <c r="I42" s="175"/>
      <c r="J42" s="159"/>
      <c r="K42" s="175"/>
      <c r="L42" s="175"/>
      <c r="M42" s="155"/>
      <c r="N42" s="488" t="s">
        <v>44</v>
      </c>
      <c r="O42" s="488" t="s">
        <v>3</v>
      </c>
      <c r="P42" s="491">
        <v>45881</v>
      </c>
      <c r="Q42" s="486"/>
      <c r="R42" s="486"/>
      <c r="S42" s="486"/>
      <c r="T42" s="486"/>
      <c r="U42" s="491">
        <v>45882</v>
      </c>
      <c r="V42" s="486"/>
      <c r="W42" s="486"/>
      <c r="X42" s="486"/>
      <c r="Y42" s="486"/>
      <c r="Z42" s="491">
        <v>45883</v>
      </c>
      <c r="AA42" s="486"/>
      <c r="AB42" s="486"/>
      <c r="AC42" s="486"/>
      <c r="AD42" s="486"/>
      <c r="AE42" s="491">
        <v>45884</v>
      </c>
      <c r="AF42" s="486"/>
      <c r="AG42" s="486"/>
      <c r="AH42" s="486"/>
      <c r="AI42" s="486"/>
      <c r="AJ42" s="491">
        <v>45885</v>
      </c>
      <c r="AK42" s="486"/>
      <c r="AL42" s="486"/>
      <c r="AM42" s="486"/>
      <c r="AN42" s="486"/>
      <c r="AO42" s="491">
        <v>45886</v>
      </c>
      <c r="AP42" s="486"/>
      <c r="AQ42" s="486"/>
      <c r="AR42" s="486"/>
      <c r="AS42" s="486"/>
      <c r="AT42" s="491">
        <v>45887</v>
      </c>
      <c r="AU42" s="486"/>
      <c r="AV42" s="486"/>
      <c r="AW42" s="486"/>
      <c r="AX42" s="486"/>
    </row>
    <row r="43" spans="2:50" ht="15.75">
      <c r="B43" s="500"/>
      <c r="C43" s="500"/>
      <c r="D43" s="500"/>
      <c r="E43" s="500"/>
      <c r="F43" s="500"/>
      <c r="G43" s="500"/>
      <c r="H43" s="500"/>
      <c r="I43" s="156"/>
      <c r="J43" s="156"/>
      <c r="K43" s="156"/>
      <c r="L43" s="156"/>
      <c r="M43" s="157"/>
      <c r="N43" s="490"/>
      <c r="O43" s="490"/>
      <c r="P43" s="491" t="s">
        <v>15</v>
      </c>
      <c r="Q43" s="486"/>
      <c r="R43" s="486"/>
      <c r="S43" s="486"/>
      <c r="T43" s="486"/>
      <c r="U43" s="491" t="s">
        <v>13</v>
      </c>
      <c r="V43" s="486"/>
      <c r="W43" s="486"/>
      <c r="X43" s="486"/>
      <c r="Y43" s="486"/>
      <c r="Z43" s="491" t="s">
        <v>16</v>
      </c>
      <c r="AA43" s="486"/>
      <c r="AB43" s="486"/>
      <c r="AC43" s="486"/>
      <c r="AD43" s="486"/>
      <c r="AE43" s="491" t="s">
        <v>17</v>
      </c>
      <c r="AF43" s="486"/>
      <c r="AG43" s="486"/>
      <c r="AH43" s="486"/>
      <c r="AI43" s="486"/>
      <c r="AJ43" s="491" t="s">
        <v>18</v>
      </c>
      <c r="AK43" s="486"/>
      <c r="AL43" s="486"/>
      <c r="AM43" s="486"/>
      <c r="AN43" s="486"/>
      <c r="AO43" s="491" t="s">
        <v>10</v>
      </c>
      <c r="AP43" s="486"/>
      <c r="AQ43" s="486"/>
      <c r="AR43" s="486"/>
      <c r="AS43" s="486"/>
      <c r="AT43" s="491" t="s">
        <v>14</v>
      </c>
      <c r="AU43" s="486"/>
      <c r="AV43" s="486"/>
      <c r="AW43" s="486"/>
      <c r="AX43" s="486"/>
    </row>
    <row r="44" spans="2:50">
      <c r="B44" s="487" t="s">
        <v>45</v>
      </c>
      <c r="C44" s="487" t="s">
        <v>46</v>
      </c>
      <c r="D44" s="487"/>
      <c r="E44" s="487" t="s">
        <v>47</v>
      </c>
      <c r="F44" s="487"/>
      <c r="G44" s="487"/>
      <c r="H44" s="501" t="s">
        <v>48</v>
      </c>
      <c r="I44" s="487" t="s">
        <v>49</v>
      </c>
      <c r="J44" s="487"/>
      <c r="K44" s="487"/>
      <c r="L44" s="501" t="s">
        <v>48</v>
      </c>
      <c r="M44" s="488" t="s">
        <v>50</v>
      </c>
      <c r="N44" s="487"/>
      <c r="O44" s="487" t="s">
        <v>51</v>
      </c>
      <c r="P44" s="483" t="s">
        <v>52</v>
      </c>
      <c r="Q44" s="484"/>
      <c r="R44" s="484"/>
      <c r="S44" s="485"/>
      <c r="T44" s="487" t="s">
        <v>48</v>
      </c>
      <c r="U44" s="483" t="s">
        <v>52</v>
      </c>
      <c r="V44" s="484"/>
      <c r="W44" s="484"/>
      <c r="X44" s="485"/>
      <c r="Y44" s="487" t="s">
        <v>48</v>
      </c>
      <c r="Z44" s="483" t="s">
        <v>52</v>
      </c>
      <c r="AA44" s="484"/>
      <c r="AB44" s="484"/>
      <c r="AC44" s="485"/>
      <c r="AD44" s="487" t="s">
        <v>48</v>
      </c>
      <c r="AE44" s="483" t="s">
        <v>52</v>
      </c>
      <c r="AF44" s="484"/>
      <c r="AG44" s="484"/>
      <c r="AH44" s="485"/>
      <c r="AI44" s="487" t="s">
        <v>48</v>
      </c>
      <c r="AJ44" s="483" t="s">
        <v>52</v>
      </c>
      <c r="AK44" s="484"/>
      <c r="AL44" s="484"/>
      <c r="AM44" s="485"/>
      <c r="AN44" s="487" t="s">
        <v>48</v>
      </c>
      <c r="AO44" s="483" t="s">
        <v>52</v>
      </c>
      <c r="AP44" s="484"/>
      <c r="AQ44" s="484"/>
      <c r="AR44" s="485"/>
      <c r="AS44" s="487" t="s">
        <v>48</v>
      </c>
      <c r="AT44" s="483" t="s">
        <v>52</v>
      </c>
      <c r="AU44" s="484"/>
      <c r="AV44" s="484"/>
      <c r="AW44" s="485"/>
      <c r="AX44" s="487" t="s">
        <v>48</v>
      </c>
    </row>
    <row r="45" spans="2:50">
      <c r="B45" s="487"/>
      <c r="C45" s="487"/>
      <c r="D45" s="487"/>
      <c r="E45" s="487" t="s">
        <v>53</v>
      </c>
      <c r="F45" s="487"/>
      <c r="G45" s="487"/>
      <c r="H45" s="502"/>
      <c r="I45" s="487" t="s">
        <v>53</v>
      </c>
      <c r="J45" s="487"/>
      <c r="K45" s="487"/>
      <c r="L45" s="502"/>
      <c r="M45" s="489"/>
      <c r="N45" s="487"/>
      <c r="O45" s="487"/>
      <c r="P45" s="483" t="s">
        <v>54</v>
      </c>
      <c r="Q45" s="484"/>
      <c r="R45" s="484"/>
      <c r="S45" s="485"/>
      <c r="T45" s="487"/>
      <c r="U45" s="483" t="s">
        <v>54</v>
      </c>
      <c r="V45" s="484"/>
      <c r="W45" s="484"/>
      <c r="X45" s="485"/>
      <c r="Y45" s="487"/>
      <c r="Z45" s="483" t="s">
        <v>54</v>
      </c>
      <c r="AA45" s="484"/>
      <c r="AB45" s="484"/>
      <c r="AC45" s="485"/>
      <c r="AD45" s="487"/>
      <c r="AE45" s="483" t="s">
        <v>54</v>
      </c>
      <c r="AF45" s="484"/>
      <c r="AG45" s="484"/>
      <c r="AH45" s="485"/>
      <c r="AI45" s="487"/>
      <c r="AJ45" s="483" t="s">
        <v>54</v>
      </c>
      <c r="AK45" s="484"/>
      <c r="AL45" s="484"/>
      <c r="AM45" s="485"/>
      <c r="AN45" s="487"/>
      <c r="AO45" s="483" t="s">
        <v>54</v>
      </c>
      <c r="AP45" s="484"/>
      <c r="AQ45" s="484"/>
      <c r="AR45" s="485"/>
      <c r="AS45" s="487"/>
      <c r="AT45" s="483" t="s">
        <v>54</v>
      </c>
      <c r="AU45" s="484"/>
      <c r="AV45" s="484"/>
      <c r="AW45" s="485"/>
      <c r="AX45" s="487"/>
    </row>
    <row r="46" spans="2:50">
      <c r="B46" s="487"/>
      <c r="C46" s="487"/>
      <c r="D46" s="487"/>
      <c r="E46" s="109" t="s">
        <v>55</v>
      </c>
      <c r="F46" s="109" t="s">
        <v>56</v>
      </c>
      <c r="G46" s="109" t="s">
        <v>57</v>
      </c>
      <c r="H46" s="503"/>
      <c r="I46" s="109" t="s">
        <v>55</v>
      </c>
      <c r="J46" s="109" t="s">
        <v>56</v>
      </c>
      <c r="K46" s="109" t="s">
        <v>57</v>
      </c>
      <c r="L46" s="503"/>
      <c r="M46" s="490"/>
      <c r="N46" s="487"/>
      <c r="O46" s="487"/>
      <c r="P46" s="109" t="s">
        <v>55</v>
      </c>
      <c r="Q46" s="109" t="s">
        <v>56</v>
      </c>
      <c r="R46" s="109" t="s">
        <v>57</v>
      </c>
      <c r="S46" s="109" t="s">
        <v>50</v>
      </c>
      <c r="T46" s="487"/>
      <c r="U46" s="109" t="s">
        <v>55</v>
      </c>
      <c r="V46" s="109" t="s">
        <v>56</v>
      </c>
      <c r="W46" s="109" t="s">
        <v>57</v>
      </c>
      <c r="X46" s="109" t="s">
        <v>50</v>
      </c>
      <c r="Y46" s="487"/>
      <c r="Z46" s="109" t="s">
        <v>55</v>
      </c>
      <c r="AA46" s="109" t="s">
        <v>56</v>
      </c>
      <c r="AB46" s="109" t="s">
        <v>57</v>
      </c>
      <c r="AC46" s="109" t="s">
        <v>50</v>
      </c>
      <c r="AD46" s="487"/>
      <c r="AE46" s="109" t="s">
        <v>55</v>
      </c>
      <c r="AF46" s="109" t="s">
        <v>56</v>
      </c>
      <c r="AG46" s="109" t="s">
        <v>57</v>
      </c>
      <c r="AH46" s="109" t="s">
        <v>50</v>
      </c>
      <c r="AI46" s="487"/>
      <c r="AJ46" s="109" t="s">
        <v>55</v>
      </c>
      <c r="AK46" s="109" t="s">
        <v>56</v>
      </c>
      <c r="AL46" s="109" t="s">
        <v>57</v>
      </c>
      <c r="AM46" s="109" t="s">
        <v>50</v>
      </c>
      <c r="AN46" s="487"/>
      <c r="AO46" s="109" t="s">
        <v>55</v>
      </c>
      <c r="AP46" s="109" t="s">
        <v>56</v>
      </c>
      <c r="AQ46" s="109" t="s">
        <v>57</v>
      </c>
      <c r="AR46" s="109" t="s">
        <v>50</v>
      </c>
      <c r="AS46" s="487"/>
      <c r="AT46" s="109" t="s">
        <v>55</v>
      </c>
      <c r="AU46" s="109" t="s">
        <v>56</v>
      </c>
      <c r="AV46" s="109" t="s">
        <v>57</v>
      </c>
      <c r="AW46" s="109" t="s">
        <v>50</v>
      </c>
      <c r="AX46" s="487"/>
    </row>
    <row r="47" spans="2:50">
      <c r="B47" s="487" t="s">
        <v>59</v>
      </c>
      <c r="C47" s="110">
        <v>1</v>
      </c>
      <c r="D47" s="110"/>
      <c r="E47" s="110"/>
      <c r="F47" s="110"/>
      <c r="G47" s="110"/>
      <c r="H47" s="492" t="e">
        <f>AVERAGE(G47:G61)</f>
        <v>#DIV/0!</v>
      </c>
      <c r="I47" s="160" t="e">
        <f>AVERAGE(P47,U47,Z47,AE47,AJ47,AO47,AT47)</f>
        <v>#DIV/0!</v>
      </c>
      <c r="J47" s="160" t="e">
        <f>AVERAGE(Q47,V47,AA47,AF47,AK47,AP47,AU47)</f>
        <v>#DIV/0!</v>
      </c>
      <c r="K47" s="158" t="e">
        <f>AVERAGE(R47,W47,AB47,AG47,AL47,AQ47,AV47)</f>
        <v>#DIV/0!</v>
      </c>
      <c r="L47" s="495" t="e">
        <f>AVERAGE(K47:K61)</f>
        <v>#DIV/0!</v>
      </c>
      <c r="M47" s="160" t="e">
        <f>RANK(K47, K$47:$K$61)</f>
        <v>#DIV/0!</v>
      </c>
      <c r="N47" s="487"/>
      <c r="O47" s="487"/>
      <c r="P47" s="110"/>
      <c r="Q47" s="110"/>
      <c r="R47" s="110"/>
      <c r="S47" s="110"/>
      <c r="T47" s="486" t="e">
        <f>AVERAGE(R47:R61)</f>
        <v>#DIV/0!</v>
      </c>
      <c r="U47" s="110"/>
      <c r="V47" s="110"/>
      <c r="W47" s="110"/>
      <c r="X47" s="110"/>
      <c r="Y47" s="486" t="e">
        <f>AVERAGE(W47:W61)</f>
        <v>#DIV/0!</v>
      </c>
      <c r="Z47" s="110"/>
      <c r="AA47" s="110"/>
      <c r="AB47" s="110"/>
      <c r="AC47" s="110"/>
      <c r="AD47" s="486" t="e">
        <f>AVERAGE(AB47:AB61)</f>
        <v>#DIV/0!</v>
      </c>
      <c r="AE47" s="110"/>
      <c r="AF47" s="110"/>
      <c r="AG47" s="110"/>
      <c r="AH47" s="110"/>
      <c r="AI47" s="486" t="e">
        <f>AVERAGE(AG47:AG61)</f>
        <v>#DIV/0!</v>
      </c>
      <c r="AJ47" s="110"/>
      <c r="AK47" s="110"/>
      <c r="AL47" s="110"/>
      <c r="AM47" s="110"/>
      <c r="AN47" s="486" t="e">
        <f>AVERAGE(AL47:AL61)</f>
        <v>#DIV/0!</v>
      </c>
      <c r="AO47" s="110"/>
      <c r="AP47" s="110"/>
      <c r="AQ47" s="110"/>
      <c r="AR47" s="110"/>
      <c r="AS47" s="486" t="e">
        <f>AVERAGE(AQ47:AQ61)</f>
        <v>#DIV/0!</v>
      </c>
      <c r="AT47" s="110"/>
      <c r="AU47" s="110"/>
      <c r="AV47" s="110"/>
      <c r="AW47" s="110"/>
      <c r="AX47" s="486" t="e">
        <f>AVERAGE(AV47:AV61)</f>
        <v>#DIV/0!</v>
      </c>
    </row>
    <row r="48" spans="2:50">
      <c r="B48" s="486"/>
      <c r="C48" s="110">
        <v>2</v>
      </c>
      <c r="D48" s="110"/>
      <c r="E48" s="110"/>
      <c r="F48" s="110"/>
      <c r="G48" s="110"/>
      <c r="H48" s="493"/>
      <c r="I48" s="160" t="e">
        <f t="shared" ref="I48:K56" si="9">AVERAGE(P48,U48,Z48,AE48,AJ48,AO48,AT48)</f>
        <v>#DIV/0!</v>
      </c>
      <c r="J48" s="160" t="e">
        <f t="shared" si="9"/>
        <v>#DIV/0!</v>
      </c>
      <c r="K48" s="158" t="e">
        <f t="shared" si="9"/>
        <v>#DIV/0!</v>
      </c>
      <c r="L48" s="496"/>
      <c r="M48" s="160" t="e">
        <f>RANK(K48, K$47:$K$61)</f>
        <v>#DIV/0!</v>
      </c>
      <c r="N48" s="487"/>
      <c r="O48" s="487"/>
      <c r="P48" s="110"/>
      <c r="Q48" s="110"/>
      <c r="R48" s="110"/>
      <c r="S48" s="110"/>
      <c r="T48" s="486"/>
      <c r="U48" s="110"/>
      <c r="V48" s="110"/>
      <c r="W48" s="110"/>
      <c r="X48" s="110"/>
      <c r="Y48" s="486"/>
      <c r="Z48" s="110"/>
      <c r="AA48" s="110"/>
      <c r="AB48" s="110"/>
      <c r="AC48" s="110"/>
      <c r="AD48" s="486"/>
      <c r="AE48" s="110"/>
      <c r="AF48" s="110"/>
      <c r="AG48" s="110"/>
      <c r="AH48" s="110"/>
      <c r="AI48" s="486"/>
      <c r="AJ48" s="110"/>
      <c r="AK48" s="110"/>
      <c r="AL48" s="110"/>
      <c r="AM48" s="110"/>
      <c r="AN48" s="486"/>
      <c r="AO48" s="110"/>
      <c r="AP48" s="110"/>
      <c r="AQ48" s="110"/>
      <c r="AR48" s="110"/>
      <c r="AS48" s="486"/>
      <c r="AT48" s="110"/>
      <c r="AU48" s="110"/>
      <c r="AV48" s="110"/>
      <c r="AW48" s="110"/>
      <c r="AX48" s="486"/>
    </row>
    <row r="49" spans="2:50">
      <c r="B49" s="486"/>
      <c r="C49" s="110">
        <v>3</v>
      </c>
      <c r="D49" s="110"/>
      <c r="E49" s="110"/>
      <c r="F49" s="110"/>
      <c r="G49" s="110"/>
      <c r="H49" s="493"/>
      <c r="I49" s="160" t="e">
        <f t="shared" si="9"/>
        <v>#DIV/0!</v>
      </c>
      <c r="J49" s="160" t="e">
        <f t="shared" si="9"/>
        <v>#DIV/0!</v>
      </c>
      <c r="K49" s="158" t="e">
        <f t="shared" si="9"/>
        <v>#DIV/0!</v>
      </c>
      <c r="L49" s="496"/>
      <c r="M49" s="160" t="e">
        <f>RANK(K49, K$47:$K$61)</f>
        <v>#DIV/0!</v>
      </c>
      <c r="N49" s="487"/>
      <c r="O49" s="487"/>
      <c r="P49" s="110"/>
      <c r="Q49" s="110"/>
      <c r="R49" s="110"/>
      <c r="S49" s="110"/>
      <c r="T49" s="486"/>
      <c r="U49" s="110"/>
      <c r="V49" s="110"/>
      <c r="W49" s="110"/>
      <c r="X49" s="110"/>
      <c r="Y49" s="486"/>
      <c r="Z49" s="110"/>
      <c r="AA49" s="110"/>
      <c r="AB49" s="110"/>
      <c r="AC49" s="110"/>
      <c r="AD49" s="486"/>
      <c r="AE49" s="110"/>
      <c r="AF49" s="110"/>
      <c r="AG49" s="110"/>
      <c r="AH49" s="110"/>
      <c r="AI49" s="486"/>
      <c r="AJ49" s="110"/>
      <c r="AK49" s="110"/>
      <c r="AL49" s="110"/>
      <c r="AM49" s="110"/>
      <c r="AN49" s="486"/>
      <c r="AO49" s="110"/>
      <c r="AP49" s="110"/>
      <c r="AQ49" s="110"/>
      <c r="AR49" s="110"/>
      <c r="AS49" s="486"/>
      <c r="AT49" s="110"/>
      <c r="AU49" s="110"/>
      <c r="AV49" s="110"/>
      <c r="AW49" s="110"/>
      <c r="AX49" s="486"/>
    </row>
    <row r="50" spans="2:50">
      <c r="B50" s="486"/>
      <c r="C50" s="110">
        <v>4</v>
      </c>
      <c r="D50" s="110"/>
      <c r="E50" s="110"/>
      <c r="F50" s="110"/>
      <c r="G50" s="110"/>
      <c r="H50" s="493"/>
      <c r="I50" s="160" t="e">
        <f t="shared" si="9"/>
        <v>#DIV/0!</v>
      </c>
      <c r="J50" s="160" t="e">
        <f t="shared" si="9"/>
        <v>#DIV/0!</v>
      </c>
      <c r="K50" s="158" t="e">
        <f t="shared" si="9"/>
        <v>#DIV/0!</v>
      </c>
      <c r="L50" s="496"/>
      <c r="M50" s="160" t="e">
        <f>RANK(K50, K$47:$K$61)</f>
        <v>#DIV/0!</v>
      </c>
      <c r="N50" s="487"/>
      <c r="O50" s="487"/>
      <c r="P50" s="110"/>
      <c r="Q50" s="110"/>
      <c r="R50" s="110"/>
      <c r="S50" s="110"/>
      <c r="T50" s="486"/>
      <c r="U50" s="110"/>
      <c r="V50" s="110"/>
      <c r="W50" s="110"/>
      <c r="X50" s="110"/>
      <c r="Y50" s="486"/>
      <c r="Z50" s="110"/>
      <c r="AA50" s="110"/>
      <c r="AB50" s="110"/>
      <c r="AC50" s="110"/>
      <c r="AD50" s="486"/>
      <c r="AE50" s="110"/>
      <c r="AF50" s="110"/>
      <c r="AG50" s="110"/>
      <c r="AH50" s="110"/>
      <c r="AI50" s="486"/>
      <c r="AJ50" s="110"/>
      <c r="AK50" s="110"/>
      <c r="AL50" s="110"/>
      <c r="AM50" s="110"/>
      <c r="AN50" s="486"/>
      <c r="AO50" s="110"/>
      <c r="AP50" s="110"/>
      <c r="AQ50" s="110"/>
      <c r="AR50" s="110"/>
      <c r="AS50" s="486"/>
      <c r="AT50" s="110"/>
      <c r="AU50" s="110"/>
      <c r="AV50" s="110"/>
      <c r="AW50" s="110"/>
      <c r="AX50" s="486"/>
    </row>
    <row r="51" spans="2:50">
      <c r="B51" s="486"/>
      <c r="C51" s="110">
        <v>5</v>
      </c>
      <c r="D51" s="110"/>
      <c r="E51" s="110"/>
      <c r="F51" s="110"/>
      <c r="G51" s="110"/>
      <c r="H51" s="493"/>
      <c r="I51" s="160" t="e">
        <f t="shared" si="9"/>
        <v>#DIV/0!</v>
      </c>
      <c r="J51" s="160" t="e">
        <f t="shared" si="9"/>
        <v>#DIV/0!</v>
      </c>
      <c r="K51" s="158" t="e">
        <f t="shared" si="9"/>
        <v>#DIV/0!</v>
      </c>
      <c r="L51" s="496"/>
      <c r="M51" s="160" t="e">
        <f>RANK(K51, K$47:$K$61)</f>
        <v>#DIV/0!</v>
      </c>
      <c r="N51" s="487"/>
      <c r="O51" s="487"/>
      <c r="P51" s="110"/>
      <c r="Q51" s="110"/>
      <c r="R51" s="110"/>
      <c r="S51" s="110"/>
      <c r="T51" s="486"/>
      <c r="U51" s="110"/>
      <c r="V51" s="110"/>
      <c r="W51" s="110"/>
      <c r="X51" s="110"/>
      <c r="Y51" s="486"/>
      <c r="Z51" s="110"/>
      <c r="AA51" s="110"/>
      <c r="AB51" s="110"/>
      <c r="AC51" s="110"/>
      <c r="AD51" s="486"/>
      <c r="AE51" s="110"/>
      <c r="AF51" s="110"/>
      <c r="AG51" s="110"/>
      <c r="AH51" s="110"/>
      <c r="AI51" s="486"/>
      <c r="AJ51" s="110"/>
      <c r="AK51" s="110"/>
      <c r="AL51" s="110"/>
      <c r="AM51" s="110"/>
      <c r="AN51" s="486"/>
      <c r="AO51" s="110"/>
      <c r="AP51" s="110"/>
      <c r="AQ51" s="110"/>
      <c r="AR51" s="110"/>
      <c r="AS51" s="486"/>
      <c r="AT51" s="110"/>
      <c r="AU51" s="110"/>
      <c r="AV51" s="110"/>
      <c r="AW51" s="110"/>
      <c r="AX51" s="486"/>
    </row>
    <row r="52" spans="2:50">
      <c r="B52" s="486"/>
      <c r="C52" s="110">
        <v>6</v>
      </c>
      <c r="D52" s="110"/>
      <c r="E52" s="110"/>
      <c r="F52" s="110"/>
      <c r="G52" s="110"/>
      <c r="H52" s="493"/>
      <c r="I52" s="160" t="e">
        <f t="shared" si="9"/>
        <v>#DIV/0!</v>
      </c>
      <c r="J52" s="160" t="e">
        <f t="shared" si="9"/>
        <v>#DIV/0!</v>
      </c>
      <c r="K52" s="158" t="e">
        <f t="shared" si="9"/>
        <v>#DIV/0!</v>
      </c>
      <c r="L52" s="496"/>
      <c r="M52" s="160" t="e">
        <f>RANK(K52, K$47:$K$61)</f>
        <v>#DIV/0!</v>
      </c>
      <c r="N52" s="487"/>
      <c r="O52" s="487"/>
      <c r="P52" s="110"/>
      <c r="Q52" s="110"/>
      <c r="R52" s="110"/>
      <c r="S52" s="110"/>
      <c r="T52" s="486"/>
      <c r="U52" s="110"/>
      <c r="V52" s="110"/>
      <c r="W52" s="110"/>
      <c r="X52" s="110"/>
      <c r="Y52" s="486"/>
      <c r="Z52" s="110"/>
      <c r="AA52" s="110"/>
      <c r="AB52" s="110"/>
      <c r="AC52" s="110"/>
      <c r="AD52" s="486"/>
      <c r="AE52" s="110"/>
      <c r="AF52" s="110"/>
      <c r="AG52" s="110"/>
      <c r="AH52" s="110"/>
      <c r="AI52" s="486"/>
      <c r="AJ52" s="110"/>
      <c r="AK52" s="110"/>
      <c r="AL52" s="110"/>
      <c r="AM52" s="110"/>
      <c r="AN52" s="486"/>
      <c r="AO52" s="110"/>
      <c r="AP52" s="110"/>
      <c r="AQ52" s="110"/>
      <c r="AR52" s="110"/>
      <c r="AS52" s="486"/>
      <c r="AT52" s="110"/>
      <c r="AU52" s="110"/>
      <c r="AV52" s="110"/>
      <c r="AW52" s="110"/>
      <c r="AX52" s="486"/>
    </row>
    <row r="53" spans="2:50">
      <c r="B53" s="486"/>
      <c r="C53" s="110">
        <v>7</v>
      </c>
      <c r="D53" s="110"/>
      <c r="E53" s="110"/>
      <c r="F53" s="110"/>
      <c r="G53" s="110"/>
      <c r="H53" s="493"/>
      <c r="I53" s="160" t="e">
        <f t="shared" si="9"/>
        <v>#DIV/0!</v>
      </c>
      <c r="J53" s="160" t="e">
        <f t="shared" si="9"/>
        <v>#DIV/0!</v>
      </c>
      <c r="K53" s="158" t="e">
        <f t="shared" si="9"/>
        <v>#DIV/0!</v>
      </c>
      <c r="L53" s="496"/>
      <c r="M53" s="160" t="e">
        <f>RANK(K53, K$47:$K$61)</f>
        <v>#DIV/0!</v>
      </c>
      <c r="N53" s="487"/>
      <c r="O53" s="487"/>
      <c r="P53" s="110"/>
      <c r="Q53" s="110"/>
      <c r="R53" s="110"/>
      <c r="S53" s="110"/>
      <c r="T53" s="486"/>
      <c r="U53" s="110"/>
      <c r="V53" s="110"/>
      <c r="W53" s="110"/>
      <c r="X53" s="110"/>
      <c r="Y53" s="486"/>
      <c r="Z53" s="110"/>
      <c r="AA53" s="110"/>
      <c r="AB53" s="110"/>
      <c r="AC53" s="110"/>
      <c r="AD53" s="486"/>
      <c r="AE53" s="110"/>
      <c r="AF53" s="110"/>
      <c r="AG53" s="110"/>
      <c r="AH53" s="110"/>
      <c r="AI53" s="486"/>
      <c r="AJ53" s="110"/>
      <c r="AK53" s="110"/>
      <c r="AL53" s="110"/>
      <c r="AM53" s="110"/>
      <c r="AN53" s="486"/>
      <c r="AO53" s="110"/>
      <c r="AP53" s="110"/>
      <c r="AQ53" s="110"/>
      <c r="AR53" s="110"/>
      <c r="AS53" s="486"/>
      <c r="AT53" s="110"/>
      <c r="AU53" s="110"/>
      <c r="AV53" s="110"/>
      <c r="AW53" s="110"/>
      <c r="AX53" s="486"/>
    </row>
    <row r="54" spans="2:50">
      <c r="B54" s="486"/>
      <c r="C54" s="110">
        <v>8</v>
      </c>
      <c r="D54" s="110"/>
      <c r="E54" s="110"/>
      <c r="F54" s="110"/>
      <c r="G54" s="110"/>
      <c r="H54" s="493"/>
      <c r="I54" s="160" t="e">
        <f t="shared" si="9"/>
        <v>#DIV/0!</v>
      </c>
      <c r="J54" s="160" t="e">
        <f t="shared" si="9"/>
        <v>#DIV/0!</v>
      </c>
      <c r="K54" s="158" t="e">
        <f t="shared" si="9"/>
        <v>#DIV/0!</v>
      </c>
      <c r="L54" s="496"/>
      <c r="M54" s="160" t="e">
        <f>RANK(K54, K$47:$K$61)</f>
        <v>#DIV/0!</v>
      </c>
      <c r="N54" s="487"/>
      <c r="O54" s="487"/>
      <c r="P54" s="110"/>
      <c r="Q54" s="110"/>
      <c r="R54" s="110"/>
      <c r="S54" s="110"/>
      <c r="T54" s="486"/>
      <c r="U54" s="110"/>
      <c r="V54" s="110"/>
      <c r="W54" s="110"/>
      <c r="X54" s="110"/>
      <c r="Y54" s="486"/>
      <c r="Z54" s="110"/>
      <c r="AA54" s="110"/>
      <c r="AB54" s="110"/>
      <c r="AC54" s="110"/>
      <c r="AD54" s="486"/>
      <c r="AE54" s="110"/>
      <c r="AF54" s="110"/>
      <c r="AG54" s="110"/>
      <c r="AH54" s="110"/>
      <c r="AI54" s="486"/>
      <c r="AJ54" s="110"/>
      <c r="AK54" s="110"/>
      <c r="AL54" s="110"/>
      <c r="AM54" s="110"/>
      <c r="AN54" s="486"/>
      <c r="AO54" s="110"/>
      <c r="AP54" s="110"/>
      <c r="AQ54" s="110"/>
      <c r="AR54" s="110"/>
      <c r="AS54" s="486"/>
      <c r="AT54" s="110"/>
      <c r="AU54" s="110"/>
      <c r="AV54" s="110"/>
      <c r="AW54" s="110"/>
      <c r="AX54" s="486"/>
    </row>
    <row r="55" spans="2:50">
      <c r="B55" s="486"/>
      <c r="C55" s="110">
        <v>9</v>
      </c>
      <c r="D55" s="110"/>
      <c r="E55" s="110"/>
      <c r="F55" s="110"/>
      <c r="G55" s="110"/>
      <c r="H55" s="493"/>
      <c r="I55" s="160" t="e">
        <f t="shared" si="9"/>
        <v>#DIV/0!</v>
      </c>
      <c r="J55" s="160" t="e">
        <f t="shared" si="9"/>
        <v>#DIV/0!</v>
      </c>
      <c r="K55" s="158" t="e">
        <f t="shared" si="9"/>
        <v>#DIV/0!</v>
      </c>
      <c r="L55" s="496"/>
      <c r="M55" s="160" t="e">
        <f>RANK(K55, K$47:$K$61)</f>
        <v>#DIV/0!</v>
      </c>
      <c r="N55" s="487"/>
      <c r="O55" s="487"/>
      <c r="P55" s="110"/>
      <c r="Q55" s="110"/>
      <c r="R55" s="110"/>
      <c r="S55" s="110"/>
      <c r="T55" s="486"/>
      <c r="U55" s="110"/>
      <c r="V55" s="110"/>
      <c r="W55" s="110"/>
      <c r="X55" s="110"/>
      <c r="Y55" s="486"/>
      <c r="Z55" s="110"/>
      <c r="AA55" s="110"/>
      <c r="AB55" s="110"/>
      <c r="AC55" s="110"/>
      <c r="AD55" s="486"/>
      <c r="AE55" s="110"/>
      <c r="AF55" s="110"/>
      <c r="AG55" s="110"/>
      <c r="AH55" s="110"/>
      <c r="AI55" s="486"/>
      <c r="AJ55" s="110"/>
      <c r="AK55" s="110"/>
      <c r="AL55" s="110"/>
      <c r="AM55" s="110"/>
      <c r="AN55" s="486"/>
      <c r="AO55" s="110"/>
      <c r="AP55" s="110"/>
      <c r="AQ55" s="110"/>
      <c r="AR55" s="110"/>
      <c r="AS55" s="486"/>
      <c r="AT55" s="110"/>
      <c r="AU55" s="110"/>
      <c r="AV55" s="110"/>
      <c r="AW55" s="110"/>
      <c r="AX55" s="486"/>
    </row>
    <row r="56" spans="2:50">
      <c r="B56" s="486"/>
      <c r="C56" s="110">
        <v>10</v>
      </c>
      <c r="D56" s="110"/>
      <c r="E56" s="110"/>
      <c r="F56" s="110"/>
      <c r="G56" s="110"/>
      <c r="H56" s="493"/>
      <c r="I56" s="160" t="e">
        <f t="shared" si="9"/>
        <v>#DIV/0!</v>
      </c>
      <c r="J56" s="160" t="e">
        <f t="shared" si="9"/>
        <v>#DIV/0!</v>
      </c>
      <c r="K56" s="158" t="e">
        <f t="shared" si="9"/>
        <v>#DIV/0!</v>
      </c>
      <c r="L56" s="496"/>
      <c r="M56" s="160" t="e">
        <f>RANK(K56, K$47:$K$61)</f>
        <v>#DIV/0!</v>
      </c>
      <c r="N56" s="487"/>
      <c r="O56" s="487"/>
      <c r="P56" s="110"/>
      <c r="Q56" s="110"/>
      <c r="R56" s="110"/>
      <c r="S56" s="110"/>
      <c r="T56" s="486"/>
      <c r="U56" s="110"/>
      <c r="V56" s="110"/>
      <c r="W56" s="110"/>
      <c r="X56" s="110"/>
      <c r="Y56" s="486"/>
      <c r="Z56" s="110"/>
      <c r="AA56" s="110"/>
      <c r="AB56" s="110"/>
      <c r="AC56" s="110"/>
      <c r="AD56" s="486"/>
      <c r="AE56" s="110"/>
      <c r="AF56" s="110"/>
      <c r="AG56" s="110"/>
      <c r="AH56" s="110"/>
      <c r="AI56" s="486"/>
      <c r="AJ56" s="110"/>
      <c r="AK56" s="110"/>
      <c r="AL56" s="110"/>
      <c r="AM56" s="110"/>
      <c r="AN56" s="486"/>
      <c r="AO56" s="110"/>
      <c r="AP56" s="110"/>
      <c r="AQ56" s="110"/>
      <c r="AR56" s="110"/>
      <c r="AS56" s="486"/>
      <c r="AT56" s="110"/>
      <c r="AU56" s="110"/>
      <c r="AV56" s="110"/>
      <c r="AW56" s="110"/>
      <c r="AX56" s="486"/>
    </row>
    <row r="57" spans="2:50">
      <c r="B57" s="486"/>
      <c r="C57" s="110">
        <v>11</v>
      </c>
      <c r="D57" s="110"/>
      <c r="E57" s="110"/>
      <c r="F57" s="110"/>
      <c r="G57" s="110"/>
      <c r="H57" s="493"/>
      <c r="I57" s="110"/>
      <c r="J57" s="110"/>
      <c r="K57" s="110"/>
      <c r="L57" s="496"/>
      <c r="M57" s="160" t="e">
        <f>RANK(K57, K$47:$K$61)</f>
        <v>#DIV/0!</v>
      </c>
      <c r="N57" s="487"/>
      <c r="O57" s="487"/>
      <c r="P57" s="110"/>
      <c r="Q57" s="110"/>
      <c r="R57" s="110"/>
      <c r="S57" s="110"/>
      <c r="T57" s="486"/>
      <c r="U57" s="110"/>
      <c r="V57" s="110"/>
      <c r="W57" s="110"/>
      <c r="X57" s="110"/>
      <c r="Y57" s="486"/>
      <c r="Z57" s="110"/>
      <c r="AA57" s="110"/>
      <c r="AB57" s="110"/>
      <c r="AC57" s="110"/>
      <c r="AD57" s="486"/>
      <c r="AE57" s="110"/>
      <c r="AF57" s="110"/>
      <c r="AG57" s="110"/>
      <c r="AH57" s="110"/>
      <c r="AI57" s="486"/>
      <c r="AJ57" s="110"/>
      <c r="AK57" s="110"/>
      <c r="AL57" s="110"/>
      <c r="AM57" s="110"/>
      <c r="AN57" s="486"/>
      <c r="AO57" s="110"/>
      <c r="AP57" s="110"/>
      <c r="AQ57" s="110"/>
      <c r="AR57" s="110"/>
      <c r="AS57" s="486"/>
      <c r="AT57" s="110"/>
      <c r="AU57" s="110"/>
      <c r="AV57" s="110"/>
      <c r="AW57" s="110"/>
      <c r="AX57" s="486"/>
    </row>
    <row r="58" spans="2:50">
      <c r="B58" s="486"/>
      <c r="C58" s="110">
        <v>12</v>
      </c>
      <c r="D58" s="110"/>
      <c r="E58" s="110"/>
      <c r="F58" s="110"/>
      <c r="G58" s="110"/>
      <c r="H58" s="493"/>
      <c r="I58" s="110"/>
      <c r="J58" s="110"/>
      <c r="K58" s="110"/>
      <c r="L58" s="496"/>
      <c r="M58" s="160" t="e">
        <f>RANK(K58, K$47:$K$61)</f>
        <v>#DIV/0!</v>
      </c>
      <c r="N58" s="487"/>
      <c r="O58" s="487"/>
      <c r="P58" s="110"/>
      <c r="Q58" s="110"/>
      <c r="R58" s="110"/>
      <c r="S58" s="110"/>
      <c r="T58" s="486"/>
      <c r="U58" s="110"/>
      <c r="V58" s="110"/>
      <c r="W58" s="110"/>
      <c r="X58" s="110"/>
      <c r="Y58" s="486"/>
      <c r="Z58" s="110"/>
      <c r="AA58" s="110"/>
      <c r="AB58" s="110"/>
      <c r="AC58" s="110"/>
      <c r="AD58" s="486"/>
      <c r="AE58" s="110"/>
      <c r="AF58" s="110"/>
      <c r="AG58" s="110"/>
      <c r="AH58" s="110"/>
      <c r="AI58" s="486"/>
      <c r="AJ58" s="110"/>
      <c r="AK58" s="110"/>
      <c r="AL58" s="110"/>
      <c r="AM58" s="110"/>
      <c r="AN58" s="486"/>
      <c r="AO58" s="110"/>
      <c r="AP58" s="110"/>
      <c r="AQ58" s="110"/>
      <c r="AR58" s="110"/>
      <c r="AS58" s="486"/>
      <c r="AT58" s="110"/>
      <c r="AU58" s="110"/>
      <c r="AV58" s="110"/>
      <c r="AW58" s="110"/>
      <c r="AX58" s="486"/>
    </row>
    <row r="59" spans="2:50">
      <c r="B59" s="486"/>
      <c r="C59" s="110">
        <v>13</v>
      </c>
      <c r="D59" s="110"/>
      <c r="E59" s="110"/>
      <c r="F59" s="110"/>
      <c r="G59" s="110"/>
      <c r="H59" s="493"/>
      <c r="I59" s="110"/>
      <c r="J59" s="110"/>
      <c r="K59" s="110"/>
      <c r="L59" s="496"/>
      <c r="M59" s="160" t="e">
        <f>RANK(K59, K$47:$K$61)</f>
        <v>#DIV/0!</v>
      </c>
      <c r="N59" s="487"/>
      <c r="O59" s="487"/>
      <c r="P59" s="110"/>
      <c r="Q59" s="110"/>
      <c r="R59" s="110"/>
      <c r="S59" s="110"/>
      <c r="T59" s="486"/>
      <c r="U59" s="110"/>
      <c r="V59" s="110"/>
      <c r="W59" s="110"/>
      <c r="X59" s="110"/>
      <c r="Y59" s="486"/>
      <c r="Z59" s="110"/>
      <c r="AA59" s="110"/>
      <c r="AB59" s="110"/>
      <c r="AC59" s="110"/>
      <c r="AD59" s="486"/>
      <c r="AE59" s="110"/>
      <c r="AF59" s="110"/>
      <c r="AG59" s="110"/>
      <c r="AH59" s="110"/>
      <c r="AI59" s="486"/>
      <c r="AJ59" s="110"/>
      <c r="AK59" s="110"/>
      <c r="AL59" s="110"/>
      <c r="AM59" s="110"/>
      <c r="AN59" s="486"/>
      <c r="AO59" s="110"/>
      <c r="AP59" s="110"/>
      <c r="AQ59" s="110"/>
      <c r="AR59" s="110"/>
      <c r="AS59" s="486"/>
      <c r="AT59" s="110"/>
      <c r="AU59" s="110"/>
      <c r="AV59" s="110"/>
      <c r="AW59" s="110"/>
      <c r="AX59" s="486"/>
    </row>
    <row r="60" spans="2:50">
      <c r="B60" s="486"/>
      <c r="C60" s="110">
        <v>14</v>
      </c>
      <c r="D60" s="110"/>
      <c r="E60" s="110"/>
      <c r="F60" s="110"/>
      <c r="G60" s="110"/>
      <c r="H60" s="493"/>
      <c r="I60" s="110"/>
      <c r="J60" s="110"/>
      <c r="K60" s="110"/>
      <c r="L60" s="496"/>
      <c r="M60" s="160" t="e">
        <f>RANK(K60, K$47:$K$61)</f>
        <v>#DIV/0!</v>
      </c>
      <c r="N60" s="487"/>
      <c r="O60" s="487"/>
      <c r="P60" s="110"/>
      <c r="Q60" s="110"/>
      <c r="R60" s="110"/>
      <c r="S60" s="110"/>
      <c r="T60" s="486"/>
      <c r="U60" s="110"/>
      <c r="V60" s="110"/>
      <c r="W60" s="110"/>
      <c r="X60" s="110"/>
      <c r="Y60" s="486"/>
      <c r="Z60" s="110"/>
      <c r="AA60" s="110"/>
      <c r="AB60" s="110"/>
      <c r="AC60" s="110"/>
      <c r="AD60" s="486"/>
      <c r="AE60" s="110"/>
      <c r="AF60" s="110"/>
      <c r="AG60" s="110"/>
      <c r="AH60" s="110"/>
      <c r="AI60" s="486"/>
      <c r="AJ60" s="110"/>
      <c r="AK60" s="110"/>
      <c r="AL60" s="110"/>
      <c r="AM60" s="110"/>
      <c r="AN60" s="486"/>
      <c r="AO60" s="110"/>
      <c r="AP60" s="110"/>
      <c r="AQ60" s="110"/>
      <c r="AR60" s="110"/>
      <c r="AS60" s="486"/>
      <c r="AT60" s="110"/>
      <c r="AU60" s="110"/>
      <c r="AV60" s="110"/>
      <c r="AW60" s="110"/>
      <c r="AX60" s="486"/>
    </row>
    <row r="61" spans="2:50">
      <c r="B61" s="486"/>
      <c r="C61" s="110">
        <v>15</v>
      </c>
      <c r="D61" s="110"/>
      <c r="E61" s="110"/>
      <c r="F61" s="110"/>
      <c r="G61" s="110"/>
      <c r="H61" s="494"/>
      <c r="I61" s="110"/>
      <c r="J61" s="110"/>
      <c r="K61" s="110"/>
      <c r="L61" s="497"/>
      <c r="M61" s="160" t="e">
        <f>RANK(K61, K$47:$K$61)</f>
        <v>#DIV/0!</v>
      </c>
      <c r="N61" s="487"/>
      <c r="O61" s="487"/>
      <c r="P61" s="110"/>
      <c r="Q61" s="110"/>
      <c r="R61" s="110"/>
      <c r="S61" s="110"/>
      <c r="T61" s="486"/>
      <c r="U61" s="110"/>
      <c r="V61" s="110"/>
      <c r="W61" s="110"/>
      <c r="X61" s="110"/>
      <c r="Y61" s="486"/>
      <c r="Z61" s="110"/>
      <c r="AA61" s="110"/>
      <c r="AB61" s="110"/>
      <c r="AC61" s="110"/>
      <c r="AD61" s="486"/>
      <c r="AE61" s="110"/>
      <c r="AF61" s="110"/>
      <c r="AG61" s="110"/>
      <c r="AH61" s="110"/>
      <c r="AI61" s="486"/>
      <c r="AJ61" s="110"/>
      <c r="AK61" s="110"/>
      <c r="AL61" s="110"/>
      <c r="AM61" s="110"/>
      <c r="AN61" s="486"/>
      <c r="AO61" s="110"/>
      <c r="AP61" s="110"/>
      <c r="AQ61" s="110"/>
      <c r="AR61" s="110"/>
      <c r="AS61" s="486"/>
      <c r="AT61" s="110"/>
      <c r="AU61" s="110"/>
      <c r="AV61" s="110"/>
      <c r="AW61" s="110"/>
      <c r="AX61" s="486"/>
    </row>
    <row r="62" spans="2:50" ht="15.75">
      <c r="B62" s="498" t="s">
        <v>43</v>
      </c>
      <c r="C62" s="499"/>
      <c r="D62" s="499"/>
      <c r="E62" s="499"/>
      <c r="F62" s="499"/>
      <c r="G62" s="499"/>
      <c r="H62" s="499"/>
      <c r="I62" s="175"/>
      <c r="J62" s="175"/>
      <c r="K62" s="175"/>
      <c r="L62" s="175"/>
      <c r="M62" s="174"/>
      <c r="N62" s="488" t="s">
        <v>44</v>
      </c>
      <c r="O62" s="488" t="s">
        <v>3</v>
      </c>
      <c r="P62" s="491">
        <v>45888</v>
      </c>
      <c r="Q62" s="486"/>
      <c r="R62" s="486"/>
      <c r="S62" s="486"/>
      <c r="T62" s="486"/>
      <c r="U62" s="491">
        <v>45889</v>
      </c>
      <c r="V62" s="486"/>
      <c r="W62" s="486"/>
      <c r="X62" s="486"/>
      <c r="Y62" s="486"/>
      <c r="Z62" s="491">
        <v>45890</v>
      </c>
      <c r="AA62" s="486"/>
      <c r="AB62" s="486"/>
      <c r="AC62" s="486"/>
      <c r="AD62" s="486"/>
      <c r="AE62" s="491">
        <v>45891</v>
      </c>
      <c r="AF62" s="486"/>
      <c r="AG62" s="486"/>
      <c r="AH62" s="486"/>
      <c r="AI62" s="486"/>
      <c r="AJ62" s="491">
        <v>45892</v>
      </c>
      <c r="AK62" s="486"/>
      <c r="AL62" s="486"/>
      <c r="AM62" s="486"/>
      <c r="AN62" s="486"/>
      <c r="AO62" s="491">
        <v>45893</v>
      </c>
      <c r="AP62" s="486"/>
      <c r="AQ62" s="486"/>
      <c r="AR62" s="486"/>
      <c r="AS62" s="486"/>
      <c r="AT62" s="491">
        <v>45894</v>
      </c>
      <c r="AU62" s="486"/>
      <c r="AV62" s="486"/>
      <c r="AW62" s="486"/>
      <c r="AX62" s="486"/>
    </row>
    <row r="63" spans="2:50" ht="15.75">
      <c r="B63" s="500"/>
      <c r="C63" s="500"/>
      <c r="D63" s="500"/>
      <c r="E63" s="500"/>
      <c r="F63" s="500"/>
      <c r="G63" s="500"/>
      <c r="H63" s="500"/>
      <c r="I63" s="156"/>
      <c r="J63" s="156"/>
      <c r="K63" s="156"/>
      <c r="L63" s="156"/>
      <c r="M63" s="157"/>
      <c r="N63" s="490"/>
      <c r="O63" s="490"/>
      <c r="P63" s="491" t="s">
        <v>15</v>
      </c>
      <c r="Q63" s="486"/>
      <c r="R63" s="486"/>
      <c r="S63" s="486"/>
      <c r="T63" s="486"/>
      <c r="U63" s="491" t="s">
        <v>13</v>
      </c>
      <c r="V63" s="486"/>
      <c r="W63" s="486"/>
      <c r="X63" s="486"/>
      <c r="Y63" s="486"/>
      <c r="Z63" s="491" t="s">
        <v>16</v>
      </c>
      <c r="AA63" s="486"/>
      <c r="AB63" s="486"/>
      <c r="AC63" s="486"/>
      <c r="AD63" s="486"/>
      <c r="AE63" s="491" t="s">
        <v>17</v>
      </c>
      <c r="AF63" s="486"/>
      <c r="AG63" s="486"/>
      <c r="AH63" s="486"/>
      <c r="AI63" s="486"/>
      <c r="AJ63" s="491" t="s">
        <v>18</v>
      </c>
      <c r="AK63" s="486"/>
      <c r="AL63" s="486"/>
      <c r="AM63" s="486"/>
      <c r="AN63" s="486"/>
      <c r="AO63" s="491" t="s">
        <v>10</v>
      </c>
      <c r="AP63" s="486"/>
      <c r="AQ63" s="486"/>
      <c r="AR63" s="486"/>
      <c r="AS63" s="486"/>
      <c r="AT63" s="491" t="s">
        <v>14</v>
      </c>
      <c r="AU63" s="486"/>
      <c r="AV63" s="486"/>
      <c r="AW63" s="486"/>
      <c r="AX63" s="486"/>
    </row>
    <row r="64" spans="2:50">
      <c r="B64" s="487" t="s">
        <v>45</v>
      </c>
      <c r="C64" s="487" t="s">
        <v>46</v>
      </c>
      <c r="D64" s="487"/>
      <c r="E64" s="487" t="s">
        <v>47</v>
      </c>
      <c r="F64" s="487"/>
      <c r="G64" s="487"/>
      <c r="H64" s="501" t="s">
        <v>48</v>
      </c>
      <c r="I64" s="487" t="s">
        <v>49</v>
      </c>
      <c r="J64" s="487"/>
      <c r="K64" s="487"/>
      <c r="L64" s="501" t="s">
        <v>48</v>
      </c>
      <c r="M64" s="488" t="s">
        <v>50</v>
      </c>
      <c r="N64" s="487"/>
      <c r="O64" s="487" t="s">
        <v>51</v>
      </c>
      <c r="P64" s="483" t="s">
        <v>52</v>
      </c>
      <c r="Q64" s="484"/>
      <c r="R64" s="484"/>
      <c r="S64" s="485"/>
      <c r="T64" s="487" t="s">
        <v>48</v>
      </c>
      <c r="U64" s="483" t="s">
        <v>52</v>
      </c>
      <c r="V64" s="484"/>
      <c r="W64" s="484"/>
      <c r="X64" s="485"/>
      <c r="Y64" s="487" t="s">
        <v>48</v>
      </c>
      <c r="Z64" s="483" t="s">
        <v>52</v>
      </c>
      <c r="AA64" s="484"/>
      <c r="AB64" s="484"/>
      <c r="AC64" s="485"/>
      <c r="AD64" s="487" t="s">
        <v>48</v>
      </c>
      <c r="AE64" s="483" t="s">
        <v>52</v>
      </c>
      <c r="AF64" s="484"/>
      <c r="AG64" s="484"/>
      <c r="AH64" s="485"/>
      <c r="AI64" s="487" t="s">
        <v>48</v>
      </c>
      <c r="AJ64" s="483" t="s">
        <v>52</v>
      </c>
      <c r="AK64" s="484"/>
      <c r="AL64" s="484"/>
      <c r="AM64" s="485"/>
      <c r="AN64" s="487" t="s">
        <v>48</v>
      </c>
      <c r="AO64" s="483" t="s">
        <v>52</v>
      </c>
      <c r="AP64" s="484"/>
      <c r="AQ64" s="484"/>
      <c r="AR64" s="485"/>
      <c r="AS64" s="487" t="s">
        <v>48</v>
      </c>
      <c r="AT64" s="483" t="s">
        <v>52</v>
      </c>
      <c r="AU64" s="484"/>
      <c r="AV64" s="484"/>
      <c r="AW64" s="485"/>
      <c r="AX64" s="487" t="s">
        <v>48</v>
      </c>
    </row>
    <row r="65" spans="2:50">
      <c r="B65" s="487"/>
      <c r="C65" s="487"/>
      <c r="D65" s="487"/>
      <c r="E65" s="487" t="s">
        <v>53</v>
      </c>
      <c r="F65" s="487"/>
      <c r="G65" s="487"/>
      <c r="H65" s="502"/>
      <c r="I65" s="487" t="s">
        <v>53</v>
      </c>
      <c r="J65" s="487"/>
      <c r="K65" s="487"/>
      <c r="L65" s="502"/>
      <c r="M65" s="489"/>
      <c r="N65" s="487"/>
      <c r="O65" s="487"/>
      <c r="P65" s="483" t="s">
        <v>54</v>
      </c>
      <c r="Q65" s="484"/>
      <c r="R65" s="484"/>
      <c r="S65" s="485"/>
      <c r="T65" s="487"/>
      <c r="U65" s="483" t="s">
        <v>54</v>
      </c>
      <c r="V65" s="484"/>
      <c r="W65" s="484"/>
      <c r="X65" s="485"/>
      <c r="Y65" s="487"/>
      <c r="Z65" s="483" t="s">
        <v>54</v>
      </c>
      <c r="AA65" s="484"/>
      <c r="AB65" s="484"/>
      <c r="AC65" s="485"/>
      <c r="AD65" s="487"/>
      <c r="AE65" s="483" t="s">
        <v>54</v>
      </c>
      <c r="AF65" s="484"/>
      <c r="AG65" s="484"/>
      <c r="AH65" s="485"/>
      <c r="AI65" s="487"/>
      <c r="AJ65" s="483" t="s">
        <v>54</v>
      </c>
      <c r="AK65" s="484"/>
      <c r="AL65" s="484"/>
      <c r="AM65" s="485"/>
      <c r="AN65" s="487"/>
      <c r="AO65" s="483" t="s">
        <v>54</v>
      </c>
      <c r="AP65" s="484"/>
      <c r="AQ65" s="484"/>
      <c r="AR65" s="485"/>
      <c r="AS65" s="487"/>
      <c r="AT65" s="483" t="s">
        <v>54</v>
      </c>
      <c r="AU65" s="484"/>
      <c r="AV65" s="484"/>
      <c r="AW65" s="485"/>
      <c r="AX65" s="487"/>
    </row>
    <row r="66" spans="2:50">
      <c r="B66" s="487"/>
      <c r="C66" s="487"/>
      <c r="D66" s="487"/>
      <c r="E66" s="109" t="s">
        <v>55</v>
      </c>
      <c r="F66" s="109" t="s">
        <v>56</v>
      </c>
      <c r="G66" s="109" t="s">
        <v>57</v>
      </c>
      <c r="H66" s="503"/>
      <c r="I66" s="109" t="s">
        <v>55</v>
      </c>
      <c r="J66" s="109" t="s">
        <v>56</v>
      </c>
      <c r="K66" s="109" t="s">
        <v>57</v>
      </c>
      <c r="L66" s="503"/>
      <c r="M66" s="490"/>
      <c r="N66" s="487"/>
      <c r="O66" s="487"/>
      <c r="P66" s="109" t="s">
        <v>55</v>
      </c>
      <c r="Q66" s="109" t="s">
        <v>56</v>
      </c>
      <c r="R66" s="109" t="s">
        <v>57</v>
      </c>
      <c r="S66" s="109" t="s">
        <v>50</v>
      </c>
      <c r="T66" s="487"/>
      <c r="U66" s="109" t="s">
        <v>55</v>
      </c>
      <c r="V66" s="109" t="s">
        <v>56</v>
      </c>
      <c r="W66" s="109" t="s">
        <v>57</v>
      </c>
      <c r="X66" s="109" t="s">
        <v>50</v>
      </c>
      <c r="Y66" s="487"/>
      <c r="Z66" s="109" t="s">
        <v>55</v>
      </c>
      <c r="AA66" s="109" t="s">
        <v>56</v>
      </c>
      <c r="AB66" s="109" t="s">
        <v>57</v>
      </c>
      <c r="AC66" s="109" t="s">
        <v>50</v>
      </c>
      <c r="AD66" s="487"/>
      <c r="AE66" s="109" t="s">
        <v>55</v>
      </c>
      <c r="AF66" s="109" t="s">
        <v>56</v>
      </c>
      <c r="AG66" s="109" t="s">
        <v>57</v>
      </c>
      <c r="AH66" s="109" t="s">
        <v>50</v>
      </c>
      <c r="AI66" s="487"/>
      <c r="AJ66" s="109" t="s">
        <v>55</v>
      </c>
      <c r="AK66" s="109" t="s">
        <v>56</v>
      </c>
      <c r="AL66" s="109" t="s">
        <v>57</v>
      </c>
      <c r="AM66" s="109" t="s">
        <v>50</v>
      </c>
      <c r="AN66" s="487"/>
      <c r="AO66" s="109" t="s">
        <v>55</v>
      </c>
      <c r="AP66" s="109" t="s">
        <v>56</v>
      </c>
      <c r="AQ66" s="109" t="s">
        <v>57</v>
      </c>
      <c r="AR66" s="109" t="s">
        <v>50</v>
      </c>
      <c r="AS66" s="487"/>
      <c r="AT66" s="109" t="s">
        <v>55</v>
      </c>
      <c r="AU66" s="109" t="s">
        <v>56</v>
      </c>
      <c r="AV66" s="109" t="s">
        <v>57</v>
      </c>
      <c r="AW66" s="109" t="s">
        <v>50</v>
      </c>
      <c r="AX66" s="487"/>
    </row>
    <row r="67" spans="2:50" ht="13.5">
      <c r="B67" s="487" t="s">
        <v>59</v>
      </c>
      <c r="C67" s="110">
        <v>1</v>
      </c>
      <c r="D67" s="227"/>
      <c r="E67" s="160"/>
      <c r="F67" s="160"/>
      <c r="G67" s="158"/>
      <c r="H67" s="495" t="e">
        <f>AVERAGE(G67:G81)</f>
        <v>#DIV/0!</v>
      </c>
      <c r="I67" s="160" t="e">
        <f>AVERAGE(P67,U67,Z67,AE67,AJ67,AO67,AT67)</f>
        <v>#DIV/0!</v>
      </c>
      <c r="J67" s="160" t="e">
        <f>AVERAGE(Q67,V67,AA67,AF67,AK67,AP67,AU67)</f>
        <v>#DIV/0!</v>
      </c>
      <c r="K67" s="158" t="e">
        <f>AVERAGE(R67,W67,AB67,AG67,AL67,AQ67,AV67)</f>
        <v>#DIV/0!</v>
      </c>
      <c r="L67" s="495" t="e">
        <f>AVERAGE(K67:K81)</f>
        <v>#DIV/0!</v>
      </c>
      <c r="M67" s="160" t="e">
        <f>RANK(K67, K$67:$K$81)</f>
        <v>#DIV/0!</v>
      </c>
      <c r="N67" s="487"/>
      <c r="O67" s="487"/>
      <c r="P67" s="110"/>
      <c r="Q67" s="110"/>
      <c r="R67" s="158"/>
      <c r="S67" s="110"/>
      <c r="T67" s="495" t="e">
        <f>AVERAGE(R67:R81)</f>
        <v>#DIV/0!</v>
      </c>
      <c r="U67" s="110"/>
      <c r="V67" s="110"/>
      <c r="W67" s="110"/>
      <c r="X67" s="110"/>
      <c r="Y67" s="486" t="e">
        <f>AVERAGE(W67:W81)</f>
        <v>#DIV/0!</v>
      </c>
      <c r="Z67" s="110"/>
      <c r="AA67" s="110"/>
      <c r="AB67" s="110"/>
      <c r="AC67" s="110"/>
      <c r="AD67" s="486" t="e">
        <f>AVERAGE(AB67:AB81)</f>
        <v>#DIV/0!</v>
      </c>
      <c r="AE67" s="110"/>
      <c r="AF67" s="110"/>
      <c r="AG67" s="110"/>
      <c r="AH67" s="110"/>
      <c r="AI67" s="486" t="e">
        <f>AVERAGE(AG67:AG81)</f>
        <v>#DIV/0!</v>
      </c>
      <c r="AJ67" s="110"/>
      <c r="AK67" s="110"/>
      <c r="AL67" s="110"/>
      <c r="AM67" s="110"/>
      <c r="AN67" s="486" t="e">
        <f>AVERAGE(AL67:AL81)</f>
        <v>#DIV/0!</v>
      </c>
      <c r="AO67" s="110"/>
      <c r="AP67" s="110"/>
      <c r="AQ67" s="110"/>
      <c r="AR67" s="110"/>
      <c r="AS67" s="486" t="e">
        <f>AVERAGE(AQ67:AQ81)</f>
        <v>#DIV/0!</v>
      </c>
      <c r="AT67" s="110"/>
      <c r="AU67" s="110"/>
      <c r="AV67" s="110"/>
      <c r="AW67" s="110"/>
      <c r="AX67" s="486" t="e">
        <f>AVERAGE(AV67:AV81)</f>
        <v>#DIV/0!</v>
      </c>
    </row>
    <row r="68" spans="2:50">
      <c r="B68" s="486"/>
      <c r="C68" s="110">
        <v>2</v>
      </c>
      <c r="D68" s="110"/>
      <c r="E68" s="160"/>
      <c r="F68" s="160"/>
      <c r="G68" s="158"/>
      <c r="H68" s="496"/>
      <c r="I68" s="160" t="e">
        <f t="shared" ref="I68:I76" si="10">AVERAGE(P68,U68,Z68,AE68,AJ68,AO68,AT68)</f>
        <v>#DIV/0!</v>
      </c>
      <c r="J68" s="160" t="e">
        <f t="shared" ref="J68:J76" si="11">AVERAGE(Q68,V68,AA68,AF68,AK68,AP68,AU68)</f>
        <v>#DIV/0!</v>
      </c>
      <c r="K68" s="158" t="e">
        <f t="shared" ref="K68:K76" si="12">AVERAGE(R68,W68,AB68,AG68,AL68,AQ68,AV68)</f>
        <v>#DIV/0!</v>
      </c>
      <c r="L68" s="496"/>
      <c r="M68" s="160" t="e">
        <f>RANK(K68, K$67:$K$81)</f>
        <v>#DIV/0!</v>
      </c>
      <c r="N68" s="487"/>
      <c r="O68" s="487"/>
      <c r="P68" s="110"/>
      <c r="Q68" s="110"/>
      <c r="R68" s="158"/>
      <c r="S68" s="110"/>
      <c r="T68" s="496"/>
      <c r="U68" s="110"/>
      <c r="V68" s="110"/>
      <c r="W68" s="110"/>
      <c r="X68" s="110"/>
      <c r="Y68" s="486"/>
      <c r="Z68" s="110"/>
      <c r="AA68" s="110"/>
      <c r="AB68" s="110"/>
      <c r="AC68" s="110"/>
      <c r="AD68" s="486"/>
      <c r="AE68" s="110"/>
      <c r="AF68" s="110"/>
      <c r="AG68" s="110"/>
      <c r="AH68" s="110"/>
      <c r="AI68" s="486"/>
      <c r="AJ68" s="110"/>
      <c r="AK68" s="110"/>
      <c r="AL68" s="110"/>
      <c r="AM68" s="110"/>
      <c r="AN68" s="486"/>
      <c r="AO68" s="110"/>
      <c r="AP68" s="110"/>
      <c r="AQ68" s="110"/>
      <c r="AR68" s="110"/>
      <c r="AS68" s="486"/>
      <c r="AT68" s="110"/>
      <c r="AU68" s="110"/>
      <c r="AV68" s="110"/>
      <c r="AW68" s="110"/>
      <c r="AX68" s="486"/>
    </row>
    <row r="69" spans="2:50">
      <c r="B69" s="486"/>
      <c r="C69" s="110">
        <v>3</v>
      </c>
      <c r="D69" s="110"/>
      <c r="E69" s="160"/>
      <c r="F69" s="160"/>
      <c r="G69" s="158"/>
      <c r="H69" s="496"/>
      <c r="I69" s="160" t="e">
        <f t="shared" si="10"/>
        <v>#DIV/0!</v>
      </c>
      <c r="J69" s="160" t="e">
        <f t="shared" si="11"/>
        <v>#DIV/0!</v>
      </c>
      <c r="K69" s="158" t="e">
        <f t="shared" si="12"/>
        <v>#DIV/0!</v>
      </c>
      <c r="L69" s="496"/>
      <c r="M69" s="160" t="e">
        <f>RANK(K69, K$67:$K$81)</f>
        <v>#DIV/0!</v>
      </c>
      <c r="N69" s="487"/>
      <c r="O69" s="487"/>
      <c r="P69" s="110"/>
      <c r="Q69" s="110"/>
      <c r="R69" s="158"/>
      <c r="S69" s="110"/>
      <c r="T69" s="496"/>
      <c r="U69" s="110"/>
      <c r="V69" s="110"/>
      <c r="W69" s="110"/>
      <c r="X69" s="110"/>
      <c r="Y69" s="486"/>
      <c r="Z69" s="110"/>
      <c r="AA69" s="110"/>
      <c r="AB69" s="110"/>
      <c r="AC69" s="110"/>
      <c r="AD69" s="486"/>
      <c r="AE69" s="110"/>
      <c r="AF69" s="110"/>
      <c r="AG69" s="110"/>
      <c r="AH69" s="110"/>
      <c r="AI69" s="486"/>
      <c r="AJ69" s="110"/>
      <c r="AK69" s="110"/>
      <c r="AL69" s="110"/>
      <c r="AM69" s="110"/>
      <c r="AN69" s="486"/>
      <c r="AO69" s="110"/>
      <c r="AP69" s="110"/>
      <c r="AQ69" s="110"/>
      <c r="AR69" s="110"/>
      <c r="AS69" s="486"/>
      <c r="AT69" s="110"/>
      <c r="AU69" s="110"/>
      <c r="AV69" s="110"/>
      <c r="AW69" s="110"/>
      <c r="AX69" s="486"/>
    </row>
    <row r="70" spans="2:50">
      <c r="B70" s="486"/>
      <c r="C70" s="110">
        <v>4</v>
      </c>
      <c r="D70" s="110"/>
      <c r="E70" s="160"/>
      <c r="F70" s="160"/>
      <c r="G70" s="158"/>
      <c r="H70" s="496"/>
      <c r="I70" s="160" t="e">
        <f t="shared" si="10"/>
        <v>#DIV/0!</v>
      </c>
      <c r="J70" s="160" t="e">
        <f t="shared" si="11"/>
        <v>#DIV/0!</v>
      </c>
      <c r="K70" s="158" t="e">
        <f t="shared" si="12"/>
        <v>#DIV/0!</v>
      </c>
      <c r="L70" s="496"/>
      <c r="M70" s="160" t="e">
        <f>RANK(K70, K$67:$K$81)</f>
        <v>#DIV/0!</v>
      </c>
      <c r="N70" s="487"/>
      <c r="O70" s="487"/>
      <c r="P70" s="110"/>
      <c r="Q70" s="110"/>
      <c r="R70" s="158"/>
      <c r="S70" s="110"/>
      <c r="T70" s="496"/>
      <c r="U70" s="110"/>
      <c r="V70" s="110"/>
      <c r="W70" s="110"/>
      <c r="X70" s="110"/>
      <c r="Y70" s="486"/>
      <c r="Z70" s="110"/>
      <c r="AA70" s="110"/>
      <c r="AB70" s="110"/>
      <c r="AC70" s="110"/>
      <c r="AD70" s="486"/>
      <c r="AE70" s="110"/>
      <c r="AF70" s="110"/>
      <c r="AG70" s="110"/>
      <c r="AH70" s="110"/>
      <c r="AI70" s="486"/>
      <c r="AJ70" s="110"/>
      <c r="AK70" s="110"/>
      <c r="AL70" s="110"/>
      <c r="AM70" s="110"/>
      <c r="AN70" s="486"/>
      <c r="AO70" s="110"/>
      <c r="AP70" s="110"/>
      <c r="AQ70" s="110"/>
      <c r="AR70" s="110"/>
      <c r="AS70" s="486"/>
      <c r="AT70" s="110"/>
      <c r="AU70" s="110"/>
      <c r="AV70" s="110"/>
      <c r="AW70" s="110"/>
      <c r="AX70" s="486"/>
    </row>
    <row r="71" spans="2:50">
      <c r="B71" s="486"/>
      <c r="C71" s="110">
        <v>5</v>
      </c>
      <c r="D71" s="110"/>
      <c r="E71" s="160"/>
      <c r="F71" s="160"/>
      <c r="G71" s="158"/>
      <c r="H71" s="496"/>
      <c r="I71" s="160" t="e">
        <f t="shared" si="10"/>
        <v>#DIV/0!</v>
      </c>
      <c r="J71" s="160" t="e">
        <f t="shared" si="11"/>
        <v>#DIV/0!</v>
      </c>
      <c r="K71" s="158" t="e">
        <f t="shared" si="12"/>
        <v>#DIV/0!</v>
      </c>
      <c r="L71" s="496"/>
      <c r="M71" s="160" t="e">
        <f>RANK(K71, K$67:$K$81)</f>
        <v>#DIV/0!</v>
      </c>
      <c r="N71" s="487"/>
      <c r="O71" s="487"/>
      <c r="P71" s="110"/>
      <c r="Q71" s="110"/>
      <c r="R71" s="158"/>
      <c r="S71" s="110"/>
      <c r="T71" s="496"/>
      <c r="U71" s="110"/>
      <c r="V71" s="110"/>
      <c r="W71" s="110"/>
      <c r="X71" s="110"/>
      <c r="Y71" s="486"/>
      <c r="Z71" s="110"/>
      <c r="AA71" s="110"/>
      <c r="AB71" s="110"/>
      <c r="AC71" s="110"/>
      <c r="AD71" s="486"/>
      <c r="AE71" s="110"/>
      <c r="AF71" s="110"/>
      <c r="AG71" s="110"/>
      <c r="AH71" s="110"/>
      <c r="AI71" s="486"/>
      <c r="AJ71" s="110"/>
      <c r="AK71" s="110"/>
      <c r="AL71" s="110"/>
      <c r="AM71" s="110"/>
      <c r="AN71" s="486"/>
      <c r="AO71" s="110"/>
      <c r="AP71" s="110"/>
      <c r="AQ71" s="110"/>
      <c r="AR71" s="110"/>
      <c r="AS71" s="486"/>
      <c r="AT71" s="110"/>
      <c r="AU71" s="110"/>
      <c r="AV71" s="110"/>
      <c r="AW71" s="110"/>
      <c r="AX71" s="486"/>
    </row>
    <row r="72" spans="2:50">
      <c r="B72" s="486"/>
      <c r="C72" s="110">
        <v>6</v>
      </c>
      <c r="D72" s="110"/>
      <c r="E72" s="160"/>
      <c r="F72" s="160"/>
      <c r="G72" s="158"/>
      <c r="H72" s="496"/>
      <c r="I72" s="160" t="e">
        <f t="shared" si="10"/>
        <v>#DIV/0!</v>
      </c>
      <c r="J72" s="160" t="e">
        <f t="shared" si="11"/>
        <v>#DIV/0!</v>
      </c>
      <c r="K72" s="158" t="e">
        <f t="shared" si="12"/>
        <v>#DIV/0!</v>
      </c>
      <c r="L72" s="496"/>
      <c r="M72" s="160" t="e">
        <f>RANK(K72, K$67:$K$81)</f>
        <v>#DIV/0!</v>
      </c>
      <c r="N72" s="487"/>
      <c r="O72" s="487"/>
      <c r="P72" s="110"/>
      <c r="Q72" s="110"/>
      <c r="R72" s="158"/>
      <c r="S72" s="110"/>
      <c r="T72" s="496"/>
      <c r="U72" s="110"/>
      <c r="V72" s="110"/>
      <c r="W72" s="110"/>
      <c r="X72" s="110"/>
      <c r="Y72" s="486"/>
      <c r="Z72" s="110"/>
      <c r="AA72" s="110"/>
      <c r="AB72" s="110"/>
      <c r="AC72" s="110"/>
      <c r="AD72" s="486"/>
      <c r="AE72" s="110"/>
      <c r="AF72" s="110"/>
      <c r="AG72" s="110"/>
      <c r="AH72" s="110"/>
      <c r="AI72" s="486"/>
      <c r="AJ72" s="110"/>
      <c r="AK72" s="110"/>
      <c r="AL72" s="110"/>
      <c r="AM72" s="110"/>
      <c r="AN72" s="486"/>
      <c r="AO72" s="110"/>
      <c r="AP72" s="110"/>
      <c r="AQ72" s="110"/>
      <c r="AR72" s="110"/>
      <c r="AS72" s="486"/>
      <c r="AT72" s="110"/>
      <c r="AU72" s="110"/>
      <c r="AV72" s="110"/>
      <c r="AW72" s="110"/>
      <c r="AX72" s="486"/>
    </row>
    <row r="73" spans="2:50">
      <c r="B73" s="486"/>
      <c r="C73" s="110">
        <v>7</v>
      </c>
      <c r="D73" s="110"/>
      <c r="E73" s="160"/>
      <c r="F73" s="160"/>
      <c r="G73" s="158"/>
      <c r="H73" s="496"/>
      <c r="I73" s="160" t="e">
        <f t="shared" si="10"/>
        <v>#DIV/0!</v>
      </c>
      <c r="J73" s="160" t="e">
        <f t="shared" si="11"/>
        <v>#DIV/0!</v>
      </c>
      <c r="K73" s="158" t="e">
        <f t="shared" si="12"/>
        <v>#DIV/0!</v>
      </c>
      <c r="L73" s="496"/>
      <c r="M73" s="160" t="e">
        <f>RANK(K73, K$67:$K$81)</f>
        <v>#DIV/0!</v>
      </c>
      <c r="N73" s="487"/>
      <c r="O73" s="487"/>
      <c r="P73" s="110"/>
      <c r="Q73" s="110"/>
      <c r="R73" s="158"/>
      <c r="S73" s="110"/>
      <c r="T73" s="496"/>
      <c r="U73" s="110"/>
      <c r="V73" s="110"/>
      <c r="W73" s="110"/>
      <c r="X73" s="110"/>
      <c r="Y73" s="486"/>
      <c r="Z73" s="110"/>
      <c r="AA73" s="110"/>
      <c r="AB73" s="110"/>
      <c r="AC73" s="110"/>
      <c r="AD73" s="486"/>
      <c r="AE73" s="110"/>
      <c r="AF73" s="110"/>
      <c r="AG73" s="110"/>
      <c r="AH73" s="110"/>
      <c r="AI73" s="486"/>
      <c r="AJ73" s="110"/>
      <c r="AK73" s="110"/>
      <c r="AL73" s="110"/>
      <c r="AM73" s="110"/>
      <c r="AN73" s="486"/>
      <c r="AO73" s="110"/>
      <c r="AP73" s="110"/>
      <c r="AQ73" s="110"/>
      <c r="AR73" s="110"/>
      <c r="AS73" s="486"/>
      <c r="AT73" s="110"/>
      <c r="AU73" s="110"/>
      <c r="AV73" s="110"/>
      <c r="AW73" s="110"/>
      <c r="AX73" s="486"/>
    </row>
    <row r="74" spans="2:50">
      <c r="B74" s="486"/>
      <c r="C74" s="110">
        <v>8</v>
      </c>
      <c r="D74" s="110"/>
      <c r="E74" s="160"/>
      <c r="F74" s="160"/>
      <c r="G74" s="158"/>
      <c r="H74" s="496"/>
      <c r="I74" s="160" t="e">
        <f t="shared" si="10"/>
        <v>#DIV/0!</v>
      </c>
      <c r="J74" s="160" t="e">
        <f t="shared" si="11"/>
        <v>#DIV/0!</v>
      </c>
      <c r="K74" s="158" t="e">
        <f t="shared" si="12"/>
        <v>#DIV/0!</v>
      </c>
      <c r="L74" s="496"/>
      <c r="M74" s="160" t="e">
        <f>RANK(K74, K$67:$K$81)</f>
        <v>#DIV/0!</v>
      </c>
      <c r="N74" s="487"/>
      <c r="O74" s="487"/>
      <c r="P74" s="110"/>
      <c r="Q74" s="110"/>
      <c r="R74" s="158"/>
      <c r="S74" s="110"/>
      <c r="T74" s="496"/>
      <c r="U74" s="110"/>
      <c r="V74" s="110"/>
      <c r="W74" s="110"/>
      <c r="X74" s="110"/>
      <c r="Y74" s="486"/>
      <c r="Z74" s="110"/>
      <c r="AA74" s="110"/>
      <c r="AB74" s="110"/>
      <c r="AC74" s="110"/>
      <c r="AD74" s="486"/>
      <c r="AE74" s="110"/>
      <c r="AF74" s="110"/>
      <c r="AG74" s="110"/>
      <c r="AH74" s="110"/>
      <c r="AI74" s="486"/>
      <c r="AJ74" s="110"/>
      <c r="AK74" s="110"/>
      <c r="AL74" s="110"/>
      <c r="AM74" s="110"/>
      <c r="AN74" s="486"/>
      <c r="AO74" s="110"/>
      <c r="AP74" s="110"/>
      <c r="AQ74" s="110"/>
      <c r="AR74" s="110"/>
      <c r="AS74" s="486"/>
      <c r="AT74" s="110"/>
      <c r="AU74" s="110"/>
      <c r="AV74" s="110"/>
      <c r="AW74" s="110"/>
      <c r="AX74" s="486"/>
    </row>
    <row r="75" spans="2:50">
      <c r="B75" s="486"/>
      <c r="C75" s="110">
        <v>9</v>
      </c>
      <c r="D75" s="110"/>
      <c r="E75" s="160"/>
      <c r="F75" s="160"/>
      <c r="G75" s="158"/>
      <c r="H75" s="496"/>
      <c r="I75" s="160" t="e">
        <f t="shared" si="10"/>
        <v>#DIV/0!</v>
      </c>
      <c r="J75" s="160" t="e">
        <f t="shared" si="11"/>
        <v>#DIV/0!</v>
      </c>
      <c r="K75" s="158" t="e">
        <f t="shared" si="12"/>
        <v>#DIV/0!</v>
      </c>
      <c r="L75" s="496"/>
      <c r="M75" s="160" t="e">
        <f>RANK(K75, K$67:$K$81)</f>
        <v>#DIV/0!</v>
      </c>
      <c r="N75" s="487"/>
      <c r="O75" s="487"/>
      <c r="P75" s="110"/>
      <c r="Q75" s="110"/>
      <c r="R75" s="158"/>
      <c r="S75" s="110"/>
      <c r="T75" s="496"/>
      <c r="U75" s="110"/>
      <c r="V75" s="110"/>
      <c r="W75" s="110"/>
      <c r="X75" s="110"/>
      <c r="Y75" s="486"/>
      <c r="Z75" s="110"/>
      <c r="AA75" s="110"/>
      <c r="AB75" s="110"/>
      <c r="AC75" s="110"/>
      <c r="AD75" s="486"/>
      <c r="AE75" s="110"/>
      <c r="AF75" s="110"/>
      <c r="AG75" s="110"/>
      <c r="AH75" s="110"/>
      <c r="AI75" s="486"/>
      <c r="AJ75" s="110"/>
      <c r="AK75" s="110"/>
      <c r="AL75" s="110"/>
      <c r="AM75" s="110"/>
      <c r="AN75" s="486"/>
      <c r="AO75" s="110"/>
      <c r="AP75" s="110"/>
      <c r="AQ75" s="110"/>
      <c r="AR75" s="110"/>
      <c r="AS75" s="486"/>
      <c r="AT75" s="110"/>
      <c r="AU75" s="110"/>
      <c r="AV75" s="110"/>
      <c r="AW75" s="110"/>
      <c r="AX75" s="486"/>
    </row>
    <row r="76" spans="2:50">
      <c r="B76" s="486"/>
      <c r="C76" s="110">
        <v>10</v>
      </c>
      <c r="D76" s="110"/>
      <c r="E76" s="160"/>
      <c r="F76" s="160"/>
      <c r="G76" s="158"/>
      <c r="H76" s="496"/>
      <c r="I76" s="160" t="e">
        <f t="shared" si="10"/>
        <v>#DIV/0!</v>
      </c>
      <c r="J76" s="160" t="e">
        <f t="shared" si="11"/>
        <v>#DIV/0!</v>
      </c>
      <c r="K76" s="158" t="e">
        <f t="shared" si="12"/>
        <v>#DIV/0!</v>
      </c>
      <c r="L76" s="496"/>
      <c r="M76" s="160" t="e">
        <f>RANK(K76, K$67:$K$81)</f>
        <v>#DIV/0!</v>
      </c>
      <c r="N76" s="487"/>
      <c r="O76" s="487"/>
      <c r="P76" s="110"/>
      <c r="Q76" s="110"/>
      <c r="R76" s="158"/>
      <c r="S76" s="110"/>
      <c r="T76" s="496"/>
      <c r="U76" s="110"/>
      <c r="V76" s="110"/>
      <c r="W76" s="110"/>
      <c r="X76" s="110"/>
      <c r="Y76" s="486"/>
      <c r="Z76" s="110"/>
      <c r="AA76" s="110"/>
      <c r="AB76" s="110"/>
      <c r="AC76" s="110"/>
      <c r="AD76" s="486"/>
      <c r="AE76" s="110"/>
      <c r="AF76" s="110"/>
      <c r="AG76" s="110"/>
      <c r="AH76" s="110"/>
      <c r="AI76" s="486"/>
      <c r="AJ76" s="110"/>
      <c r="AK76" s="110"/>
      <c r="AL76" s="110"/>
      <c r="AM76" s="110"/>
      <c r="AN76" s="486"/>
      <c r="AO76" s="110"/>
      <c r="AP76" s="110"/>
      <c r="AQ76" s="110"/>
      <c r="AR76" s="110"/>
      <c r="AS76" s="486"/>
      <c r="AT76" s="110"/>
      <c r="AU76" s="110"/>
      <c r="AV76" s="110"/>
      <c r="AW76" s="110"/>
      <c r="AX76" s="486"/>
    </row>
    <row r="77" spans="2:50">
      <c r="B77" s="486"/>
      <c r="C77" s="110">
        <v>11</v>
      </c>
      <c r="D77" s="110"/>
      <c r="E77" s="160"/>
      <c r="F77" s="160"/>
      <c r="G77" s="158"/>
      <c r="H77" s="496"/>
      <c r="I77" s="160" t="e">
        <f t="shared" ref="I77:K80" si="13">AVERAGE(P77,U77,Z77,AE77,AJ77,AO77,AT77)</f>
        <v>#DIV/0!</v>
      </c>
      <c r="J77" s="160" t="e">
        <f t="shared" si="13"/>
        <v>#DIV/0!</v>
      </c>
      <c r="K77" s="158" t="e">
        <f t="shared" si="13"/>
        <v>#DIV/0!</v>
      </c>
      <c r="L77" s="496"/>
      <c r="M77" s="160" t="e">
        <f>RANK(K77, K$67:$K$81)</f>
        <v>#DIV/0!</v>
      </c>
      <c r="N77" s="487"/>
      <c r="O77" s="487"/>
      <c r="P77" s="110"/>
      <c r="Q77" s="110"/>
      <c r="R77" s="158"/>
      <c r="S77" s="110"/>
      <c r="T77" s="496"/>
      <c r="U77" s="110"/>
      <c r="V77" s="110"/>
      <c r="W77" s="110"/>
      <c r="X77" s="110"/>
      <c r="Y77" s="486"/>
      <c r="Z77" s="110"/>
      <c r="AA77" s="110"/>
      <c r="AB77" s="110"/>
      <c r="AC77" s="110"/>
      <c r="AD77" s="486"/>
      <c r="AE77" s="110"/>
      <c r="AF77" s="110"/>
      <c r="AG77" s="110"/>
      <c r="AH77" s="110"/>
      <c r="AI77" s="486"/>
      <c r="AJ77" s="110"/>
      <c r="AK77" s="110"/>
      <c r="AL77" s="110"/>
      <c r="AM77" s="110"/>
      <c r="AN77" s="486"/>
      <c r="AO77" s="110"/>
      <c r="AP77" s="110"/>
      <c r="AQ77" s="110"/>
      <c r="AR77" s="110"/>
      <c r="AS77" s="486"/>
      <c r="AT77" s="110"/>
      <c r="AU77" s="110"/>
      <c r="AV77" s="110"/>
      <c r="AW77" s="110"/>
      <c r="AX77" s="486"/>
    </row>
    <row r="78" spans="2:50">
      <c r="B78" s="486"/>
      <c r="C78" s="110">
        <v>12</v>
      </c>
      <c r="D78" s="110"/>
      <c r="E78" s="160"/>
      <c r="F78" s="160"/>
      <c r="G78" s="158"/>
      <c r="H78" s="496"/>
      <c r="I78" s="160" t="e">
        <f t="shared" si="13"/>
        <v>#DIV/0!</v>
      </c>
      <c r="J78" s="160" t="e">
        <f t="shared" si="13"/>
        <v>#DIV/0!</v>
      </c>
      <c r="K78" s="158" t="e">
        <f t="shared" si="13"/>
        <v>#DIV/0!</v>
      </c>
      <c r="L78" s="496"/>
      <c r="M78" s="160" t="e">
        <f>RANK(K78, K$67:$K$81)</f>
        <v>#DIV/0!</v>
      </c>
      <c r="N78" s="487"/>
      <c r="O78" s="487"/>
      <c r="P78" s="110"/>
      <c r="Q78" s="110"/>
      <c r="R78" s="158"/>
      <c r="S78" s="110"/>
      <c r="T78" s="496"/>
      <c r="U78" s="110"/>
      <c r="V78" s="110"/>
      <c r="W78" s="110"/>
      <c r="X78" s="110"/>
      <c r="Y78" s="486"/>
      <c r="Z78" s="110"/>
      <c r="AA78" s="110"/>
      <c r="AB78" s="110"/>
      <c r="AC78" s="110"/>
      <c r="AD78" s="486"/>
      <c r="AE78" s="110"/>
      <c r="AF78" s="110"/>
      <c r="AG78" s="110"/>
      <c r="AH78" s="110"/>
      <c r="AI78" s="486"/>
      <c r="AJ78" s="110"/>
      <c r="AK78" s="110"/>
      <c r="AL78" s="110"/>
      <c r="AM78" s="110"/>
      <c r="AN78" s="486"/>
      <c r="AO78" s="110"/>
      <c r="AP78" s="110"/>
      <c r="AQ78" s="110"/>
      <c r="AR78" s="110"/>
      <c r="AS78" s="486"/>
      <c r="AT78" s="110"/>
      <c r="AU78" s="110"/>
      <c r="AV78" s="110"/>
      <c r="AW78" s="110"/>
      <c r="AX78" s="486"/>
    </row>
    <row r="79" spans="2:50">
      <c r="B79" s="486"/>
      <c r="C79" s="110">
        <v>13</v>
      </c>
      <c r="D79" s="110"/>
      <c r="E79" s="160"/>
      <c r="F79" s="160"/>
      <c r="G79" s="158"/>
      <c r="H79" s="496"/>
      <c r="I79" s="160" t="e">
        <f t="shared" si="13"/>
        <v>#DIV/0!</v>
      </c>
      <c r="J79" s="160" t="e">
        <f t="shared" si="13"/>
        <v>#DIV/0!</v>
      </c>
      <c r="K79" s="158" t="e">
        <f t="shared" si="13"/>
        <v>#DIV/0!</v>
      </c>
      <c r="L79" s="496"/>
      <c r="M79" s="160" t="e">
        <f>RANK(K79, K$67:$K$81)</f>
        <v>#DIV/0!</v>
      </c>
      <c r="N79" s="487"/>
      <c r="O79" s="487"/>
      <c r="P79" s="110"/>
      <c r="Q79" s="110"/>
      <c r="R79" s="158"/>
      <c r="S79" s="110"/>
      <c r="T79" s="496"/>
      <c r="U79" s="110"/>
      <c r="V79" s="110"/>
      <c r="W79" s="110"/>
      <c r="X79" s="110"/>
      <c r="Y79" s="486"/>
      <c r="Z79" s="110"/>
      <c r="AA79" s="110"/>
      <c r="AB79" s="110"/>
      <c r="AC79" s="110"/>
      <c r="AD79" s="486"/>
      <c r="AE79" s="110"/>
      <c r="AF79" s="110"/>
      <c r="AG79" s="110"/>
      <c r="AH79" s="110"/>
      <c r="AI79" s="486"/>
      <c r="AJ79" s="110"/>
      <c r="AK79" s="110"/>
      <c r="AL79" s="110"/>
      <c r="AM79" s="110"/>
      <c r="AN79" s="486"/>
      <c r="AO79" s="110"/>
      <c r="AP79" s="110"/>
      <c r="AQ79" s="110"/>
      <c r="AR79" s="110"/>
      <c r="AS79" s="486"/>
      <c r="AT79" s="110"/>
      <c r="AU79" s="110"/>
      <c r="AV79" s="110"/>
      <c r="AW79" s="110"/>
      <c r="AX79" s="486"/>
    </row>
    <row r="80" spans="2:50">
      <c r="B80" s="486"/>
      <c r="C80" s="110">
        <v>14</v>
      </c>
      <c r="D80" s="110"/>
      <c r="E80" s="160"/>
      <c r="F80" s="160"/>
      <c r="G80" s="158"/>
      <c r="H80" s="496"/>
      <c r="I80" s="160" t="e">
        <f t="shared" si="13"/>
        <v>#DIV/0!</v>
      </c>
      <c r="J80" s="160" t="e">
        <f t="shared" si="13"/>
        <v>#DIV/0!</v>
      </c>
      <c r="K80" s="158" t="e">
        <f t="shared" si="13"/>
        <v>#DIV/0!</v>
      </c>
      <c r="L80" s="496"/>
      <c r="M80" s="160" t="e">
        <f>RANK(K80, K$67:$K$81)</f>
        <v>#DIV/0!</v>
      </c>
      <c r="N80" s="487"/>
      <c r="O80" s="487"/>
      <c r="P80" s="110"/>
      <c r="Q80" s="110"/>
      <c r="R80" s="110"/>
      <c r="S80" s="110"/>
      <c r="T80" s="496"/>
      <c r="U80" s="110"/>
      <c r="V80" s="110"/>
      <c r="W80" s="110"/>
      <c r="X80" s="110"/>
      <c r="Y80" s="486"/>
      <c r="Z80" s="110"/>
      <c r="AA80" s="110"/>
      <c r="AB80" s="110"/>
      <c r="AC80" s="110"/>
      <c r="AD80" s="486"/>
      <c r="AE80" s="110"/>
      <c r="AF80" s="110"/>
      <c r="AG80" s="110"/>
      <c r="AH80" s="110"/>
      <c r="AI80" s="486"/>
      <c r="AJ80" s="110"/>
      <c r="AK80" s="110"/>
      <c r="AL80" s="110"/>
      <c r="AM80" s="110"/>
      <c r="AN80" s="486"/>
      <c r="AO80" s="110"/>
      <c r="AP80" s="110"/>
      <c r="AQ80" s="110"/>
      <c r="AR80" s="110"/>
      <c r="AS80" s="486"/>
      <c r="AT80" s="110"/>
      <c r="AU80" s="110"/>
      <c r="AV80" s="110"/>
      <c r="AW80" s="110"/>
      <c r="AX80" s="486"/>
    </row>
    <row r="81" spans="2:50">
      <c r="B81" s="486"/>
      <c r="C81" s="110">
        <v>15</v>
      </c>
      <c r="D81" s="110"/>
      <c r="E81" s="110"/>
      <c r="F81" s="110"/>
      <c r="G81" s="110"/>
      <c r="H81" s="497"/>
      <c r="I81" s="110"/>
      <c r="J81" s="110"/>
      <c r="K81" s="110"/>
      <c r="L81" s="497"/>
      <c r="M81" s="160" t="e">
        <f>RANK(K81, K$67:$K$81)</f>
        <v>#DIV/0!</v>
      </c>
      <c r="N81" s="487"/>
      <c r="O81" s="487"/>
      <c r="P81" s="110"/>
      <c r="Q81" s="110"/>
      <c r="R81" s="110"/>
      <c r="S81" s="110"/>
      <c r="T81" s="497"/>
      <c r="U81" s="110"/>
      <c r="V81" s="110"/>
      <c r="W81" s="110"/>
      <c r="X81" s="110"/>
      <c r="Y81" s="486"/>
      <c r="Z81" s="110"/>
      <c r="AA81" s="110"/>
      <c r="AB81" s="110"/>
      <c r="AC81" s="110"/>
      <c r="AD81" s="486"/>
      <c r="AE81" s="110"/>
      <c r="AF81" s="110"/>
      <c r="AG81" s="110"/>
      <c r="AH81" s="110"/>
      <c r="AI81" s="486"/>
      <c r="AJ81" s="110"/>
      <c r="AK81" s="110"/>
      <c r="AL81" s="110"/>
      <c r="AM81" s="110"/>
      <c r="AN81" s="486"/>
      <c r="AO81" s="110"/>
      <c r="AP81" s="110"/>
      <c r="AQ81" s="110"/>
      <c r="AR81" s="110"/>
      <c r="AS81" s="486"/>
      <c r="AT81" s="110"/>
      <c r="AU81" s="110"/>
      <c r="AV81" s="110"/>
      <c r="AW81" s="110"/>
      <c r="AX81" s="486"/>
    </row>
    <row r="82" spans="2:50" ht="15.75">
      <c r="B82" s="498" t="s">
        <v>43</v>
      </c>
      <c r="C82" s="499"/>
      <c r="D82" s="499"/>
      <c r="E82" s="499"/>
      <c r="F82" s="499"/>
      <c r="G82" s="499"/>
      <c r="H82" s="499"/>
      <c r="I82" s="175"/>
      <c r="J82" s="175"/>
      <c r="K82" s="175"/>
      <c r="L82" s="175"/>
      <c r="M82" s="174"/>
      <c r="N82" s="488" t="s">
        <v>44</v>
      </c>
      <c r="O82" s="488" t="s">
        <v>3</v>
      </c>
      <c r="P82" s="491">
        <v>45895</v>
      </c>
      <c r="Q82" s="486"/>
      <c r="R82" s="486"/>
      <c r="S82" s="486"/>
      <c r="T82" s="486"/>
      <c r="U82" s="491">
        <v>45896</v>
      </c>
      <c r="V82" s="486"/>
      <c r="W82" s="486"/>
      <c r="X82" s="486"/>
      <c r="Y82" s="486"/>
      <c r="Z82" s="491">
        <v>45897</v>
      </c>
      <c r="AA82" s="486"/>
      <c r="AB82" s="486"/>
      <c r="AC82" s="486"/>
      <c r="AD82" s="486"/>
      <c r="AE82" s="491">
        <v>45898</v>
      </c>
      <c r="AF82" s="486"/>
      <c r="AG82" s="486"/>
      <c r="AH82" s="486"/>
      <c r="AI82" s="486"/>
      <c r="AJ82" s="491">
        <v>45899</v>
      </c>
      <c r="AK82" s="486"/>
      <c r="AL82" s="486"/>
      <c r="AM82" s="486"/>
      <c r="AN82" s="486"/>
      <c r="AO82" s="491">
        <v>45900</v>
      </c>
      <c r="AP82" s="486"/>
      <c r="AQ82" s="486"/>
      <c r="AR82" s="486"/>
      <c r="AS82" s="486"/>
      <c r="AT82" s="491"/>
      <c r="AU82" s="486"/>
      <c r="AV82" s="486"/>
      <c r="AW82" s="486"/>
      <c r="AX82" s="486"/>
    </row>
    <row r="83" spans="2:50" ht="15.75">
      <c r="B83" s="500"/>
      <c r="C83" s="500"/>
      <c r="D83" s="500"/>
      <c r="E83" s="500"/>
      <c r="F83" s="500"/>
      <c r="G83" s="500"/>
      <c r="H83" s="500"/>
      <c r="I83" s="156"/>
      <c r="J83" s="156"/>
      <c r="K83" s="156"/>
      <c r="L83" s="156"/>
      <c r="M83" s="157"/>
      <c r="N83" s="490"/>
      <c r="O83" s="490"/>
      <c r="P83" s="491" t="s">
        <v>15</v>
      </c>
      <c r="Q83" s="486"/>
      <c r="R83" s="486"/>
      <c r="S83" s="486"/>
      <c r="T83" s="486"/>
      <c r="U83" s="491" t="s">
        <v>13</v>
      </c>
      <c r="V83" s="486"/>
      <c r="W83" s="486"/>
      <c r="X83" s="486"/>
      <c r="Y83" s="486"/>
      <c r="Z83" s="491" t="s">
        <v>16</v>
      </c>
      <c r="AA83" s="486"/>
      <c r="AB83" s="486"/>
      <c r="AC83" s="486"/>
      <c r="AD83" s="486"/>
      <c r="AE83" s="491" t="s">
        <v>17</v>
      </c>
      <c r="AF83" s="486"/>
      <c r="AG83" s="486"/>
      <c r="AH83" s="486"/>
      <c r="AI83" s="486"/>
      <c r="AJ83" s="491" t="s">
        <v>18</v>
      </c>
      <c r="AK83" s="486"/>
      <c r="AL83" s="486"/>
      <c r="AM83" s="486"/>
      <c r="AN83" s="486"/>
      <c r="AO83" s="491" t="s">
        <v>10</v>
      </c>
      <c r="AP83" s="486"/>
      <c r="AQ83" s="486"/>
      <c r="AR83" s="486"/>
      <c r="AS83" s="486"/>
      <c r="AT83" s="491" t="s">
        <v>14</v>
      </c>
      <c r="AU83" s="486"/>
      <c r="AV83" s="486"/>
      <c r="AW83" s="486"/>
      <c r="AX83" s="486"/>
    </row>
    <row r="84" spans="2:50">
      <c r="B84" s="487" t="s">
        <v>45</v>
      </c>
      <c r="C84" s="487" t="s">
        <v>46</v>
      </c>
      <c r="D84" s="487"/>
      <c r="E84" s="487" t="s">
        <v>47</v>
      </c>
      <c r="F84" s="487"/>
      <c r="G84" s="487"/>
      <c r="H84" s="501" t="s">
        <v>48</v>
      </c>
      <c r="I84" s="487" t="s">
        <v>49</v>
      </c>
      <c r="J84" s="487"/>
      <c r="K84" s="487"/>
      <c r="L84" s="501" t="s">
        <v>48</v>
      </c>
      <c r="M84" s="488" t="s">
        <v>50</v>
      </c>
      <c r="N84" s="487"/>
      <c r="O84" s="487" t="s">
        <v>51</v>
      </c>
      <c r="P84" s="483" t="s">
        <v>52</v>
      </c>
      <c r="Q84" s="484"/>
      <c r="R84" s="484"/>
      <c r="S84" s="485"/>
      <c r="T84" s="487" t="s">
        <v>48</v>
      </c>
      <c r="U84" s="483" t="s">
        <v>52</v>
      </c>
      <c r="V84" s="484"/>
      <c r="W84" s="484"/>
      <c r="X84" s="485"/>
      <c r="Y84" s="487" t="s">
        <v>48</v>
      </c>
      <c r="Z84" s="483" t="s">
        <v>52</v>
      </c>
      <c r="AA84" s="484"/>
      <c r="AB84" s="484"/>
      <c r="AC84" s="485"/>
      <c r="AD84" s="487" t="s">
        <v>48</v>
      </c>
      <c r="AE84" s="483" t="s">
        <v>52</v>
      </c>
      <c r="AF84" s="484"/>
      <c r="AG84" s="484"/>
      <c r="AH84" s="485"/>
      <c r="AI84" s="487" t="s">
        <v>48</v>
      </c>
      <c r="AJ84" s="483" t="s">
        <v>52</v>
      </c>
      <c r="AK84" s="484"/>
      <c r="AL84" s="484"/>
      <c r="AM84" s="485"/>
      <c r="AN84" s="487" t="s">
        <v>48</v>
      </c>
      <c r="AO84" s="483" t="s">
        <v>52</v>
      </c>
      <c r="AP84" s="484"/>
      <c r="AQ84" s="484"/>
      <c r="AR84" s="485"/>
      <c r="AS84" s="487" t="s">
        <v>48</v>
      </c>
      <c r="AT84" s="483" t="s">
        <v>52</v>
      </c>
      <c r="AU84" s="484"/>
      <c r="AV84" s="484"/>
      <c r="AW84" s="485"/>
      <c r="AX84" s="487" t="s">
        <v>48</v>
      </c>
    </row>
    <row r="85" spans="2:50">
      <c r="B85" s="487"/>
      <c r="C85" s="487"/>
      <c r="D85" s="487"/>
      <c r="E85" s="487" t="s">
        <v>53</v>
      </c>
      <c r="F85" s="487"/>
      <c r="G85" s="487"/>
      <c r="H85" s="502"/>
      <c r="I85" s="487" t="s">
        <v>53</v>
      </c>
      <c r="J85" s="487"/>
      <c r="K85" s="487"/>
      <c r="L85" s="502"/>
      <c r="M85" s="489"/>
      <c r="N85" s="487"/>
      <c r="O85" s="487"/>
      <c r="P85" s="483" t="s">
        <v>54</v>
      </c>
      <c r="Q85" s="484"/>
      <c r="R85" s="484"/>
      <c r="S85" s="485"/>
      <c r="T85" s="487"/>
      <c r="U85" s="483" t="s">
        <v>54</v>
      </c>
      <c r="V85" s="484"/>
      <c r="W85" s="484"/>
      <c r="X85" s="485"/>
      <c r="Y85" s="487"/>
      <c r="Z85" s="483" t="s">
        <v>54</v>
      </c>
      <c r="AA85" s="484"/>
      <c r="AB85" s="484"/>
      <c r="AC85" s="485"/>
      <c r="AD85" s="487"/>
      <c r="AE85" s="483" t="s">
        <v>54</v>
      </c>
      <c r="AF85" s="484"/>
      <c r="AG85" s="484"/>
      <c r="AH85" s="485"/>
      <c r="AI85" s="487"/>
      <c r="AJ85" s="483" t="s">
        <v>54</v>
      </c>
      <c r="AK85" s="484"/>
      <c r="AL85" s="484"/>
      <c r="AM85" s="485"/>
      <c r="AN85" s="487"/>
      <c r="AO85" s="483" t="s">
        <v>54</v>
      </c>
      <c r="AP85" s="484"/>
      <c r="AQ85" s="484"/>
      <c r="AR85" s="485"/>
      <c r="AS85" s="487"/>
      <c r="AT85" s="483" t="s">
        <v>54</v>
      </c>
      <c r="AU85" s="484"/>
      <c r="AV85" s="484"/>
      <c r="AW85" s="485"/>
      <c r="AX85" s="487"/>
    </row>
    <row r="86" spans="2:50">
      <c r="B86" s="487"/>
      <c r="C86" s="487"/>
      <c r="D86" s="487"/>
      <c r="E86" s="109" t="s">
        <v>55</v>
      </c>
      <c r="F86" s="109" t="s">
        <v>56</v>
      </c>
      <c r="G86" s="109" t="s">
        <v>57</v>
      </c>
      <c r="H86" s="503"/>
      <c r="I86" s="109" t="s">
        <v>55</v>
      </c>
      <c r="J86" s="109" t="s">
        <v>56</v>
      </c>
      <c r="K86" s="109" t="s">
        <v>57</v>
      </c>
      <c r="L86" s="503"/>
      <c r="M86" s="490"/>
      <c r="N86" s="487"/>
      <c r="O86" s="487"/>
      <c r="P86" s="109" t="s">
        <v>55</v>
      </c>
      <c r="Q86" s="109" t="s">
        <v>56</v>
      </c>
      <c r="R86" s="109" t="s">
        <v>57</v>
      </c>
      <c r="S86" s="109" t="s">
        <v>50</v>
      </c>
      <c r="T86" s="487"/>
      <c r="U86" s="109" t="s">
        <v>55</v>
      </c>
      <c r="V86" s="109" t="s">
        <v>56</v>
      </c>
      <c r="W86" s="109" t="s">
        <v>57</v>
      </c>
      <c r="X86" s="109" t="s">
        <v>50</v>
      </c>
      <c r="Y86" s="487"/>
      <c r="Z86" s="109" t="s">
        <v>55</v>
      </c>
      <c r="AA86" s="109" t="s">
        <v>56</v>
      </c>
      <c r="AB86" s="109" t="s">
        <v>57</v>
      </c>
      <c r="AC86" s="109" t="s">
        <v>50</v>
      </c>
      <c r="AD86" s="487"/>
      <c r="AE86" s="109" t="s">
        <v>55</v>
      </c>
      <c r="AF86" s="109" t="s">
        <v>56</v>
      </c>
      <c r="AG86" s="109" t="s">
        <v>57</v>
      </c>
      <c r="AH86" s="109" t="s">
        <v>50</v>
      </c>
      <c r="AI86" s="487"/>
      <c r="AJ86" s="109" t="s">
        <v>55</v>
      </c>
      <c r="AK86" s="109" t="s">
        <v>56</v>
      </c>
      <c r="AL86" s="109" t="s">
        <v>57</v>
      </c>
      <c r="AM86" s="109" t="s">
        <v>50</v>
      </c>
      <c r="AN86" s="487"/>
      <c r="AO86" s="109" t="s">
        <v>55</v>
      </c>
      <c r="AP86" s="109" t="s">
        <v>56</v>
      </c>
      <c r="AQ86" s="109" t="s">
        <v>57</v>
      </c>
      <c r="AR86" s="109" t="s">
        <v>50</v>
      </c>
      <c r="AS86" s="487"/>
      <c r="AT86" s="109" t="s">
        <v>55</v>
      </c>
      <c r="AU86" s="109" t="s">
        <v>56</v>
      </c>
      <c r="AV86" s="109" t="s">
        <v>57</v>
      </c>
      <c r="AW86" s="109" t="s">
        <v>50</v>
      </c>
      <c r="AX86" s="487"/>
    </row>
    <row r="87" spans="2:50">
      <c r="B87" s="487" t="s">
        <v>59</v>
      </c>
      <c r="C87" s="110">
        <v>1</v>
      </c>
      <c r="D87" s="110"/>
      <c r="E87" s="110"/>
      <c r="F87" s="110"/>
      <c r="G87" s="110"/>
      <c r="H87" s="492" t="e">
        <f>AVERAGE(G87:G101)</f>
        <v>#DIV/0!</v>
      </c>
      <c r="I87" s="160" t="e">
        <f>AVERAGE(P87,U87,Z87,AE87,AJ87,AO87,AT87)</f>
        <v>#DIV/0!</v>
      </c>
      <c r="J87" s="160" t="e">
        <f>AVERAGE(Q87,V87,AA87,AF87,AK87,AP87,AU87)</f>
        <v>#DIV/0!</v>
      </c>
      <c r="K87" s="158" t="e">
        <f>AVERAGE(R87,W87,AB87,AG87,AL87,AQ87,AV87)</f>
        <v>#DIV/0!</v>
      </c>
      <c r="L87" s="495" t="e">
        <f>AVERAGE(K87:K101)</f>
        <v>#DIV/0!</v>
      </c>
      <c r="M87" s="160" t="e">
        <f>RANK(K87, K$87:$K$101)</f>
        <v>#DIV/0!</v>
      </c>
      <c r="N87" s="487"/>
      <c r="O87" s="487"/>
      <c r="P87" s="110"/>
      <c r="Q87" s="110"/>
      <c r="R87" s="110"/>
      <c r="S87" s="110"/>
      <c r="T87" s="486" t="e">
        <f>AVERAGE(R87:R101)</f>
        <v>#DIV/0!</v>
      </c>
      <c r="U87" s="110"/>
      <c r="V87" s="110"/>
      <c r="W87" s="110"/>
      <c r="X87" s="110"/>
      <c r="Y87" s="486" t="e">
        <f>AVERAGE(W87:W101)</f>
        <v>#DIV/0!</v>
      </c>
      <c r="Z87" s="110"/>
      <c r="AA87" s="110"/>
      <c r="AB87" s="110"/>
      <c r="AC87" s="110"/>
      <c r="AD87" s="486" t="e">
        <f>AVERAGE(AB87:AB101)</f>
        <v>#DIV/0!</v>
      </c>
      <c r="AE87" s="110"/>
      <c r="AF87" s="110"/>
      <c r="AG87" s="110"/>
      <c r="AH87" s="110"/>
      <c r="AI87" s="486" t="e">
        <f>AVERAGE(AG87:AG101)</f>
        <v>#DIV/0!</v>
      </c>
      <c r="AJ87" s="110"/>
      <c r="AK87" s="110"/>
      <c r="AL87" s="110"/>
      <c r="AM87" s="110"/>
      <c r="AN87" s="486" t="e">
        <f>AVERAGE(AL87:AL101)</f>
        <v>#DIV/0!</v>
      </c>
      <c r="AO87" s="110"/>
      <c r="AP87" s="110"/>
      <c r="AQ87" s="110"/>
      <c r="AR87" s="110"/>
      <c r="AS87" s="486" t="e">
        <f>AVERAGE(AQ87:AQ101)</f>
        <v>#DIV/0!</v>
      </c>
      <c r="AT87" s="110"/>
      <c r="AU87" s="110"/>
      <c r="AV87" s="110"/>
      <c r="AW87" s="110"/>
      <c r="AX87" s="486" t="e">
        <f>AVERAGE(AV87:AV101)</f>
        <v>#DIV/0!</v>
      </c>
    </row>
    <row r="88" spans="2:50">
      <c r="B88" s="486"/>
      <c r="C88" s="110">
        <v>2</v>
      </c>
      <c r="D88" s="110"/>
      <c r="E88" s="110"/>
      <c r="F88" s="110"/>
      <c r="G88" s="110"/>
      <c r="H88" s="493"/>
      <c r="I88" s="160" t="e">
        <f t="shared" ref="I88:K96" si="14">AVERAGE(P88,U88,Z88,AE88,AJ88,AO88,AT88)</f>
        <v>#DIV/0!</v>
      </c>
      <c r="J88" s="160" t="e">
        <f t="shared" si="14"/>
        <v>#DIV/0!</v>
      </c>
      <c r="K88" s="158" t="e">
        <f t="shared" si="14"/>
        <v>#DIV/0!</v>
      </c>
      <c r="L88" s="496"/>
      <c r="M88" s="160" t="e">
        <f>RANK(K88, K$87:$K$101)</f>
        <v>#DIV/0!</v>
      </c>
      <c r="N88" s="487"/>
      <c r="O88" s="487"/>
      <c r="P88" s="110"/>
      <c r="Q88" s="110"/>
      <c r="R88" s="110"/>
      <c r="S88" s="110"/>
      <c r="T88" s="486"/>
      <c r="U88" s="110"/>
      <c r="V88" s="110"/>
      <c r="W88" s="110"/>
      <c r="X88" s="110"/>
      <c r="Y88" s="486"/>
      <c r="Z88" s="110"/>
      <c r="AA88" s="110"/>
      <c r="AB88" s="110"/>
      <c r="AC88" s="110"/>
      <c r="AD88" s="486"/>
      <c r="AE88" s="110"/>
      <c r="AF88" s="110"/>
      <c r="AG88" s="110"/>
      <c r="AH88" s="110"/>
      <c r="AI88" s="486"/>
      <c r="AJ88" s="110"/>
      <c r="AK88" s="110"/>
      <c r="AL88" s="110"/>
      <c r="AM88" s="110"/>
      <c r="AN88" s="486"/>
      <c r="AO88" s="110"/>
      <c r="AP88" s="110"/>
      <c r="AQ88" s="110"/>
      <c r="AR88" s="110"/>
      <c r="AS88" s="486"/>
      <c r="AT88" s="110"/>
      <c r="AU88" s="110"/>
      <c r="AV88" s="110"/>
      <c r="AW88" s="110"/>
      <c r="AX88" s="486"/>
    </row>
    <row r="89" spans="2:50">
      <c r="B89" s="486"/>
      <c r="C89" s="110">
        <v>3</v>
      </c>
      <c r="D89" s="110"/>
      <c r="E89" s="110"/>
      <c r="F89" s="110"/>
      <c r="G89" s="110"/>
      <c r="H89" s="493"/>
      <c r="I89" s="160" t="e">
        <f t="shared" si="14"/>
        <v>#DIV/0!</v>
      </c>
      <c r="J89" s="160" t="e">
        <f t="shared" si="14"/>
        <v>#DIV/0!</v>
      </c>
      <c r="K89" s="158" t="e">
        <f t="shared" si="14"/>
        <v>#DIV/0!</v>
      </c>
      <c r="L89" s="496"/>
      <c r="M89" s="160" t="e">
        <f>RANK(K89, K$87:$K$101)</f>
        <v>#DIV/0!</v>
      </c>
      <c r="N89" s="487"/>
      <c r="O89" s="487"/>
      <c r="P89" s="110"/>
      <c r="Q89" s="110"/>
      <c r="R89" s="110"/>
      <c r="S89" s="110"/>
      <c r="T89" s="486"/>
      <c r="U89" s="110"/>
      <c r="V89" s="110"/>
      <c r="W89" s="110"/>
      <c r="X89" s="110"/>
      <c r="Y89" s="486"/>
      <c r="Z89" s="110"/>
      <c r="AA89" s="110"/>
      <c r="AB89" s="110"/>
      <c r="AC89" s="110"/>
      <c r="AD89" s="486"/>
      <c r="AE89" s="110"/>
      <c r="AF89" s="110"/>
      <c r="AG89" s="110"/>
      <c r="AH89" s="110"/>
      <c r="AI89" s="486"/>
      <c r="AJ89" s="110"/>
      <c r="AK89" s="110"/>
      <c r="AL89" s="110"/>
      <c r="AM89" s="110"/>
      <c r="AN89" s="486"/>
      <c r="AO89" s="110"/>
      <c r="AP89" s="110"/>
      <c r="AQ89" s="110"/>
      <c r="AR89" s="110"/>
      <c r="AS89" s="486"/>
      <c r="AT89" s="110"/>
      <c r="AU89" s="110"/>
      <c r="AV89" s="110"/>
      <c r="AW89" s="110"/>
      <c r="AX89" s="486"/>
    </row>
    <row r="90" spans="2:50">
      <c r="B90" s="486"/>
      <c r="C90" s="110">
        <v>4</v>
      </c>
      <c r="D90" s="110"/>
      <c r="E90" s="110"/>
      <c r="F90" s="110"/>
      <c r="G90" s="110"/>
      <c r="H90" s="493"/>
      <c r="I90" s="160" t="e">
        <f t="shared" si="14"/>
        <v>#DIV/0!</v>
      </c>
      <c r="J90" s="160" t="e">
        <f t="shared" si="14"/>
        <v>#DIV/0!</v>
      </c>
      <c r="K90" s="158" t="e">
        <f t="shared" si="14"/>
        <v>#DIV/0!</v>
      </c>
      <c r="L90" s="496"/>
      <c r="M90" s="160" t="e">
        <f>RANK(K90, K$87:$K$101)</f>
        <v>#DIV/0!</v>
      </c>
      <c r="N90" s="487"/>
      <c r="O90" s="487"/>
      <c r="P90" s="110"/>
      <c r="Q90" s="110"/>
      <c r="R90" s="110"/>
      <c r="S90" s="110"/>
      <c r="T90" s="486"/>
      <c r="U90" s="110"/>
      <c r="V90" s="110"/>
      <c r="W90" s="110"/>
      <c r="X90" s="110"/>
      <c r="Y90" s="486"/>
      <c r="Z90" s="110"/>
      <c r="AA90" s="110"/>
      <c r="AB90" s="110"/>
      <c r="AC90" s="110"/>
      <c r="AD90" s="486"/>
      <c r="AE90" s="110"/>
      <c r="AF90" s="110"/>
      <c r="AG90" s="110"/>
      <c r="AH90" s="110"/>
      <c r="AI90" s="486"/>
      <c r="AJ90" s="110"/>
      <c r="AK90" s="110"/>
      <c r="AL90" s="110"/>
      <c r="AM90" s="110"/>
      <c r="AN90" s="486"/>
      <c r="AO90" s="110"/>
      <c r="AP90" s="110"/>
      <c r="AQ90" s="110"/>
      <c r="AR90" s="110"/>
      <c r="AS90" s="486"/>
      <c r="AT90" s="110"/>
      <c r="AU90" s="110"/>
      <c r="AV90" s="110"/>
      <c r="AW90" s="110"/>
      <c r="AX90" s="486"/>
    </row>
    <row r="91" spans="2:50">
      <c r="B91" s="486"/>
      <c r="C91" s="110">
        <v>5</v>
      </c>
      <c r="D91" s="110"/>
      <c r="E91" s="110"/>
      <c r="F91" s="110"/>
      <c r="G91" s="110"/>
      <c r="H91" s="493"/>
      <c r="I91" s="160" t="e">
        <f t="shared" si="14"/>
        <v>#DIV/0!</v>
      </c>
      <c r="J91" s="160" t="e">
        <f t="shared" si="14"/>
        <v>#DIV/0!</v>
      </c>
      <c r="K91" s="158" t="e">
        <f t="shared" si="14"/>
        <v>#DIV/0!</v>
      </c>
      <c r="L91" s="496"/>
      <c r="M91" s="160" t="e">
        <f>RANK(K91, K$87:$K$101)</f>
        <v>#DIV/0!</v>
      </c>
      <c r="N91" s="487"/>
      <c r="O91" s="487"/>
      <c r="P91" s="110"/>
      <c r="Q91" s="110"/>
      <c r="R91" s="110"/>
      <c r="S91" s="110"/>
      <c r="T91" s="486"/>
      <c r="U91" s="110"/>
      <c r="V91" s="110"/>
      <c r="W91" s="110"/>
      <c r="X91" s="110"/>
      <c r="Y91" s="486"/>
      <c r="Z91" s="110"/>
      <c r="AA91" s="110"/>
      <c r="AB91" s="110"/>
      <c r="AC91" s="110"/>
      <c r="AD91" s="486"/>
      <c r="AE91" s="110"/>
      <c r="AF91" s="110"/>
      <c r="AG91" s="110"/>
      <c r="AH91" s="110"/>
      <c r="AI91" s="486"/>
      <c r="AJ91" s="110"/>
      <c r="AK91" s="110"/>
      <c r="AL91" s="110"/>
      <c r="AM91" s="110"/>
      <c r="AN91" s="486"/>
      <c r="AO91" s="110"/>
      <c r="AP91" s="110"/>
      <c r="AQ91" s="110"/>
      <c r="AR91" s="110"/>
      <c r="AS91" s="486"/>
      <c r="AT91" s="110"/>
      <c r="AU91" s="110"/>
      <c r="AV91" s="110"/>
      <c r="AW91" s="110"/>
      <c r="AX91" s="486"/>
    </row>
    <row r="92" spans="2:50">
      <c r="B92" s="486"/>
      <c r="C92" s="110">
        <v>6</v>
      </c>
      <c r="D92" s="110"/>
      <c r="E92" s="110"/>
      <c r="F92" s="110"/>
      <c r="G92" s="110"/>
      <c r="H92" s="493"/>
      <c r="I92" s="160" t="e">
        <f t="shared" si="14"/>
        <v>#DIV/0!</v>
      </c>
      <c r="J92" s="160" t="e">
        <f t="shared" si="14"/>
        <v>#DIV/0!</v>
      </c>
      <c r="K92" s="158" t="e">
        <f t="shared" si="14"/>
        <v>#DIV/0!</v>
      </c>
      <c r="L92" s="496"/>
      <c r="M92" s="160" t="e">
        <f>RANK(K92, K$87:$K$101)</f>
        <v>#DIV/0!</v>
      </c>
      <c r="N92" s="487"/>
      <c r="O92" s="487"/>
      <c r="P92" s="110"/>
      <c r="Q92" s="110"/>
      <c r="R92" s="110"/>
      <c r="S92" s="110"/>
      <c r="T92" s="486"/>
      <c r="U92" s="110"/>
      <c r="V92" s="110"/>
      <c r="W92" s="110"/>
      <c r="X92" s="110"/>
      <c r="Y92" s="486"/>
      <c r="Z92" s="110"/>
      <c r="AA92" s="110"/>
      <c r="AB92" s="110"/>
      <c r="AC92" s="110"/>
      <c r="AD92" s="486"/>
      <c r="AE92" s="110"/>
      <c r="AF92" s="110"/>
      <c r="AG92" s="110"/>
      <c r="AH92" s="110"/>
      <c r="AI92" s="486"/>
      <c r="AJ92" s="110"/>
      <c r="AK92" s="110"/>
      <c r="AL92" s="110"/>
      <c r="AM92" s="110"/>
      <c r="AN92" s="486"/>
      <c r="AO92" s="110"/>
      <c r="AP92" s="110"/>
      <c r="AQ92" s="110"/>
      <c r="AR92" s="110"/>
      <c r="AS92" s="486"/>
      <c r="AT92" s="110"/>
      <c r="AU92" s="110"/>
      <c r="AV92" s="110"/>
      <c r="AW92" s="110"/>
      <c r="AX92" s="486"/>
    </row>
    <row r="93" spans="2:50">
      <c r="B93" s="486"/>
      <c r="C93" s="110">
        <v>7</v>
      </c>
      <c r="D93" s="110"/>
      <c r="E93" s="110"/>
      <c r="F93" s="110"/>
      <c r="G93" s="110"/>
      <c r="H93" s="493"/>
      <c r="I93" s="160" t="e">
        <f t="shared" si="14"/>
        <v>#DIV/0!</v>
      </c>
      <c r="J93" s="160" t="e">
        <f t="shared" si="14"/>
        <v>#DIV/0!</v>
      </c>
      <c r="K93" s="158" t="e">
        <f t="shared" si="14"/>
        <v>#DIV/0!</v>
      </c>
      <c r="L93" s="496"/>
      <c r="M93" s="160" t="e">
        <f>RANK(K93, K$87:$K$101)</f>
        <v>#DIV/0!</v>
      </c>
      <c r="N93" s="487"/>
      <c r="O93" s="487"/>
      <c r="P93" s="110"/>
      <c r="Q93" s="110"/>
      <c r="R93" s="110"/>
      <c r="S93" s="110"/>
      <c r="T93" s="486"/>
      <c r="U93" s="110"/>
      <c r="V93" s="110"/>
      <c r="W93" s="110"/>
      <c r="X93" s="110"/>
      <c r="Y93" s="486"/>
      <c r="Z93" s="110"/>
      <c r="AA93" s="110"/>
      <c r="AB93" s="110"/>
      <c r="AC93" s="110"/>
      <c r="AD93" s="486"/>
      <c r="AE93" s="110"/>
      <c r="AF93" s="110"/>
      <c r="AG93" s="110"/>
      <c r="AH93" s="110"/>
      <c r="AI93" s="486"/>
      <c r="AJ93" s="110"/>
      <c r="AK93" s="110"/>
      <c r="AL93" s="110"/>
      <c r="AM93" s="110"/>
      <c r="AN93" s="486"/>
      <c r="AO93" s="110"/>
      <c r="AP93" s="110"/>
      <c r="AQ93" s="110"/>
      <c r="AR93" s="110"/>
      <c r="AS93" s="486"/>
      <c r="AT93" s="110"/>
      <c r="AU93" s="110"/>
      <c r="AV93" s="110"/>
      <c r="AW93" s="110"/>
      <c r="AX93" s="486"/>
    </row>
    <row r="94" spans="2:50">
      <c r="B94" s="486"/>
      <c r="C94" s="110">
        <v>8</v>
      </c>
      <c r="D94" s="110"/>
      <c r="E94" s="110"/>
      <c r="F94" s="110"/>
      <c r="G94" s="110"/>
      <c r="H94" s="493"/>
      <c r="I94" s="160" t="e">
        <f t="shared" si="14"/>
        <v>#DIV/0!</v>
      </c>
      <c r="J94" s="160" t="e">
        <f t="shared" si="14"/>
        <v>#DIV/0!</v>
      </c>
      <c r="K94" s="158" t="e">
        <f t="shared" si="14"/>
        <v>#DIV/0!</v>
      </c>
      <c r="L94" s="496"/>
      <c r="M94" s="160" t="e">
        <f>RANK(K94, K$87:$K$101)</f>
        <v>#DIV/0!</v>
      </c>
      <c r="N94" s="487"/>
      <c r="O94" s="487"/>
      <c r="P94" s="110"/>
      <c r="Q94" s="110"/>
      <c r="R94" s="110"/>
      <c r="S94" s="110"/>
      <c r="T94" s="486"/>
      <c r="U94" s="110"/>
      <c r="V94" s="110"/>
      <c r="W94" s="110"/>
      <c r="X94" s="110"/>
      <c r="Y94" s="486"/>
      <c r="Z94" s="110"/>
      <c r="AA94" s="110"/>
      <c r="AB94" s="110"/>
      <c r="AC94" s="110"/>
      <c r="AD94" s="486"/>
      <c r="AE94" s="110"/>
      <c r="AF94" s="110"/>
      <c r="AG94" s="110"/>
      <c r="AH94" s="110"/>
      <c r="AI94" s="486"/>
      <c r="AJ94" s="110"/>
      <c r="AK94" s="110"/>
      <c r="AL94" s="110"/>
      <c r="AM94" s="110"/>
      <c r="AN94" s="486"/>
      <c r="AO94" s="110"/>
      <c r="AP94" s="110"/>
      <c r="AQ94" s="110"/>
      <c r="AR94" s="110"/>
      <c r="AS94" s="486"/>
      <c r="AT94" s="110"/>
      <c r="AU94" s="110"/>
      <c r="AV94" s="110"/>
      <c r="AW94" s="110"/>
      <c r="AX94" s="486"/>
    </row>
    <row r="95" spans="2:50">
      <c r="B95" s="486"/>
      <c r="C95" s="110">
        <v>9</v>
      </c>
      <c r="D95" s="110"/>
      <c r="E95" s="110"/>
      <c r="F95" s="110"/>
      <c r="G95" s="110"/>
      <c r="H95" s="493"/>
      <c r="I95" s="160" t="e">
        <f t="shared" si="14"/>
        <v>#DIV/0!</v>
      </c>
      <c r="J95" s="160" t="e">
        <f t="shared" si="14"/>
        <v>#DIV/0!</v>
      </c>
      <c r="K95" s="158" t="e">
        <f t="shared" si="14"/>
        <v>#DIV/0!</v>
      </c>
      <c r="L95" s="496"/>
      <c r="M95" s="160" t="e">
        <f>RANK(K95, K$87:$K$101)</f>
        <v>#DIV/0!</v>
      </c>
      <c r="N95" s="487"/>
      <c r="O95" s="487"/>
      <c r="P95" s="110"/>
      <c r="Q95" s="110"/>
      <c r="R95" s="110"/>
      <c r="S95" s="110"/>
      <c r="T95" s="486"/>
      <c r="U95" s="110"/>
      <c r="V95" s="110"/>
      <c r="W95" s="110"/>
      <c r="X95" s="110"/>
      <c r="Y95" s="486"/>
      <c r="Z95" s="110"/>
      <c r="AA95" s="110"/>
      <c r="AB95" s="110"/>
      <c r="AC95" s="110"/>
      <c r="AD95" s="486"/>
      <c r="AE95" s="110"/>
      <c r="AF95" s="110"/>
      <c r="AG95" s="110"/>
      <c r="AH95" s="110"/>
      <c r="AI95" s="486"/>
      <c r="AJ95" s="110"/>
      <c r="AK95" s="110"/>
      <c r="AL95" s="110"/>
      <c r="AM95" s="110"/>
      <c r="AN95" s="486"/>
      <c r="AO95" s="110"/>
      <c r="AP95" s="110"/>
      <c r="AQ95" s="110"/>
      <c r="AR95" s="110"/>
      <c r="AS95" s="486"/>
      <c r="AT95" s="110"/>
      <c r="AU95" s="110"/>
      <c r="AV95" s="110"/>
      <c r="AW95" s="110"/>
      <c r="AX95" s="486"/>
    </row>
    <row r="96" spans="2:50">
      <c r="B96" s="486"/>
      <c r="C96" s="110">
        <v>10</v>
      </c>
      <c r="D96" s="110"/>
      <c r="E96" s="110"/>
      <c r="F96" s="110"/>
      <c r="G96" s="110"/>
      <c r="H96" s="493"/>
      <c r="I96" s="160" t="e">
        <f t="shared" si="14"/>
        <v>#DIV/0!</v>
      </c>
      <c r="J96" s="160" t="e">
        <f t="shared" si="14"/>
        <v>#DIV/0!</v>
      </c>
      <c r="K96" s="158" t="e">
        <f t="shared" si="14"/>
        <v>#DIV/0!</v>
      </c>
      <c r="L96" s="496"/>
      <c r="M96" s="160" t="e">
        <f>RANK(K96, K$87:$K$101)</f>
        <v>#DIV/0!</v>
      </c>
      <c r="N96" s="487"/>
      <c r="O96" s="487"/>
      <c r="P96" s="110"/>
      <c r="Q96" s="110"/>
      <c r="R96" s="110"/>
      <c r="S96" s="110"/>
      <c r="T96" s="486"/>
      <c r="U96" s="110"/>
      <c r="V96" s="110"/>
      <c r="W96" s="110"/>
      <c r="X96" s="110"/>
      <c r="Y96" s="486"/>
      <c r="Z96" s="110"/>
      <c r="AA96" s="110"/>
      <c r="AB96" s="110"/>
      <c r="AC96" s="110"/>
      <c r="AD96" s="486"/>
      <c r="AE96" s="110"/>
      <c r="AF96" s="110"/>
      <c r="AG96" s="110"/>
      <c r="AH96" s="110"/>
      <c r="AI96" s="486"/>
      <c r="AJ96" s="110"/>
      <c r="AK96" s="110"/>
      <c r="AL96" s="110"/>
      <c r="AM96" s="110"/>
      <c r="AN96" s="486"/>
      <c r="AO96" s="110"/>
      <c r="AP96" s="110"/>
      <c r="AQ96" s="110"/>
      <c r="AR96" s="110"/>
      <c r="AS96" s="486"/>
      <c r="AT96" s="110"/>
      <c r="AU96" s="110"/>
      <c r="AV96" s="110"/>
      <c r="AW96" s="110"/>
      <c r="AX96" s="486"/>
    </row>
    <row r="97" spans="2:50">
      <c r="B97" s="486"/>
      <c r="C97" s="110">
        <v>11</v>
      </c>
      <c r="D97" s="110"/>
      <c r="E97" s="110"/>
      <c r="F97" s="110"/>
      <c r="G97" s="110"/>
      <c r="H97" s="493"/>
      <c r="I97" s="110"/>
      <c r="J97" s="110"/>
      <c r="K97" s="110"/>
      <c r="L97" s="496"/>
      <c r="M97" s="160" t="e">
        <f>RANK(K97, K$87:$K$101)</f>
        <v>#DIV/0!</v>
      </c>
      <c r="N97" s="487"/>
      <c r="O97" s="487"/>
      <c r="P97" s="110"/>
      <c r="Q97" s="110"/>
      <c r="R97" s="110"/>
      <c r="S97" s="110"/>
      <c r="T97" s="486"/>
      <c r="U97" s="110"/>
      <c r="V97" s="110"/>
      <c r="W97" s="110"/>
      <c r="X97" s="110"/>
      <c r="Y97" s="486"/>
      <c r="Z97" s="110"/>
      <c r="AA97" s="110"/>
      <c r="AB97" s="110"/>
      <c r="AC97" s="110"/>
      <c r="AD97" s="486"/>
      <c r="AE97" s="110"/>
      <c r="AF97" s="110"/>
      <c r="AG97" s="110"/>
      <c r="AH97" s="110"/>
      <c r="AI97" s="486"/>
      <c r="AJ97" s="110"/>
      <c r="AK97" s="110"/>
      <c r="AL97" s="110"/>
      <c r="AM97" s="110"/>
      <c r="AN97" s="486"/>
      <c r="AO97" s="110"/>
      <c r="AP97" s="110"/>
      <c r="AQ97" s="110"/>
      <c r="AR97" s="110"/>
      <c r="AS97" s="486"/>
      <c r="AT97" s="110"/>
      <c r="AU97" s="110"/>
      <c r="AV97" s="110"/>
      <c r="AW97" s="110"/>
      <c r="AX97" s="486"/>
    </row>
    <row r="98" spans="2:50">
      <c r="B98" s="486"/>
      <c r="C98" s="110">
        <v>12</v>
      </c>
      <c r="D98" s="110"/>
      <c r="E98" s="110"/>
      <c r="F98" s="110"/>
      <c r="G98" s="110"/>
      <c r="H98" s="493"/>
      <c r="I98" s="110"/>
      <c r="J98" s="110"/>
      <c r="K98" s="110"/>
      <c r="L98" s="496"/>
      <c r="M98" s="160" t="e">
        <f>RANK(K98, K$87:$K$101)</f>
        <v>#DIV/0!</v>
      </c>
      <c r="N98" s="487"/>
      <c r="O98" s="487"/>
      <c r="P98" s="110"/>
      <c r="Q98" s="110"/>
      <c r="R98" s="110"/>
      <c r="S98" s="110"/>
      <c r="T98" s="486"/>
      <c r="U98" s="110"/>
      <c r="V98" s="110"/>
      <c r="W98" s="110"/>
      <c r="X98" s="110"/>
      <c r="Y98" s="486"/>
      <c r="Z98" s="110"/>
      <c r="AA98" s="110"/>
      <c r="AB98" s="110"/>
      <c r="AC98" s="110"/>
      <c r="AD98" s="486"/>
      <c r="AE98" s="110"/>
      <c r="AF98" s="110"/>
      <c r="AG98" s="110"/>
      <c r="AH98" s="110"/>
      <c r="AI98" s="486"/>
      <c r="AJ98" s="110"/>
      <c r="AK98" s="110"/>
      <c r="AL98" s="110"/>
      <c r="AM98" s="110"/>
      <c r="AN98" s="486"/>
      <c r="AO98" s="110"/>
      <c r="AP98" s="110"/>
      <c r="AQ98" s="110"/>
      <c r="AR98" s="110"/>
      <c r="AS98" s="486"/>
      <c r="AT98" s="110"/>
      <c r="AU98" s="110"/>
      <c r="AV98" s="110"/>
      <c r="AW98" s="110"/>
      <c r="AX98" s="486"/>
    </row>
    <row r="99" spans="2:50">
      <c r="B99" s="486"/>
      <c r="C99" s="110">
        <v>13</v>
      </c>
      <c r="D99" s="110"/>
      <c r="E99" s="110"/>
      <c r="F99" s="110"/>
      <c r="G99" s="110"/>
      <c r="H99" s="493"/>
      <c r="I99" s="110"/>
      <c r="J99" s="110"/>
      <c r="K99" s="110"/>
      <c r="L99" s="496"/>
      <c r="M99" s="160" t="e">
        <f>RANK(K99, K$87:$K$101)</f>
        <v>#DIV/0!</v>
      </c>
      <c r="N99" s="487"/>
      <c r="O99" s="487"/>
      <c r="P99" s="110"/>
      <c r="Q99" s="110"/>
      <c r="R99" s="110"/>
      <c r="S99" s="110"/>
      <c r="T99" s="486"/>
      <c r="U99" s="110"/>
      <c r="V99" s="110"/>
      <c r="W99" s="110"/>
      <c r="X99" s="110"/>
      <c r="Y99" s="486"/>
      <c r="Z99" s="110"/>
      <c r="AA99" s="110"/>
      <c r="AB99" s="110"/>
      <c r="AC99" s="110"/>
      <c r="AD99" s="486"/>
      <c r="AE99" s="110"/>
      <c r="AF99" s="110"/>
      <c r="AG99" s="110"/>
      <c r="AH99" s="110"/>
      <c r="AI99" s="486"/>
      <c r="AJ99" s="110"/>
      <c r="AK99" s="110"/>
      <c r="AL99" s="110"/>
      <c r="AM99" s="110"/>
      <c r="AN99" s="486"/>
      <c r="AO99" s="110"/>
      <c r="AP99" s="110"/>
      <c r="AQ99" s="110"/>
      <c r="AR99" s="110"/>
      <c r="AS99" s="486"/>
      <c r="AT99" s="110"/>
      <c r="AU99" s="110"/>
      <c r="AV99" s="110"/>
      <c r="AW99" s="110"/>
      <c r="AX99" s="486"/>
    </row>
    <row r="100" spans="2:50">
      <c r="B100" s="486"/>
      <c r="C100" s="110">
        <v>14</v>
      </c>
      <c r="D100" s="110"/>
      <c r="E100" s="110"/>
      <c r="F100" s="110"/>
      <c r="G100" s="110"/>
      <c r="H100" s="493"/>
      <c r="I100" s="110"/>
      <c r="J100" s="110"/>
      <c r="K100" s="110"/>
      <c r="L100" s="496"/>
      <c r="M100" s="160" t="e">
        <f>RANK(K100, K$87:$K$101)</f>
        <v>#DIV/0!</v>
      </c>
      <c r="N100" s="487"/>
      <c r="O100" s="487"/>
      <c r="P100" s="110"/>
      <c r="Q100" s="110"/>
      <c r="R100" s="110"/>
      <c r="S100" s="110"/>
      <c r="T100" s="486"/>
      <c r="U100" s="110"/>
      <c r="V100" s="110"/>
      <c r="W100" s="110"/>
      <c r="X100" s="110"/>
      <c r="Y100" s="486"/>
      <c r="Z100" s="110"/>
      <c r="AA100" s="110"/>
      <c r="AB100" s="110"/>
      <c r="AC100" s="110"/>
      <c r="AD100" s="486"/>
      <c r="AE100" s="110"/>
      <c r="AF100" s="110"/>
      <c r="AG100" s="110"/>
      <c r="AH100" s="110"/>
      <c r="AI100" s="486"/>
      <c r="AJ100" s="110"/>
      <c r="AK100" s="110"/>
      <c r="AL100" s="110"/>
      <c r="AM100" s="110"/>
      <c r="AN100" s="486"/>
      <c r="AO100" s="110"/>
      <c r="AP100" s="110"/>
      <c r="AQ100" s="110"/>
      <c r="AR100" s="110"/>
      <c r="AS100" s="486"/>
      <c r="AT100" s="110"/>
      <c r="AU100" s="110"/>
      <c r="AV100" s="110"/>
      <c r="AW100" s="110"/>
      <c r="AX100" s="486"/>
    </row>
    <row r="101" spans="2:50">
      <c r="B101" s="486"/>
      <c r="C101" s="110">
        <v>15</v>
      </c>
      <c r="D101" s="110"/>
      <c r="E101" s="110"/>
      <c r="F101" s="110"/>
      <c r="G101" s="110"/>
      <c r="H101" s="494"/>
      <c r="I101" s="110"/>
      <c r="J101" s="110"/>
      <c r="K101" s="110"/>
      <c r="L101" s="497"/>
      <c r="M101" s="160" t="e">
        <f>RANK(K101, K$87:$K$101)</f>
        <v>#DIV/0!</v>
      </c>
      <c r="N101" s="487"/>
      <c r="O101" s="487"/>
      <c r="P101" s="110"/>
      <c r="Q101" s="110"/>
      <c r="R101" s="110"/>
      <c r="S101" s="110"/>
      <c r="T101" s="486"/>
      <c r="U101" s="110"/>
      <c r="V101" s="110"/>
      <c r="W101" s="110"/>
      <c r="X101" s="110"/>
      <c r="Y101" s="486"/>
      <c r="Z101" s="110"/>
      <c r="AA101" s="110"/>
      <c r="AB101" s="110"/>
      <c r="AC101" s="110"/>
      <c r="AD101" s="486"/>
      <c r="AE101" s="110"/>
      <c r="AF101" s="110"/>
      <c r="AG101" s="110"/>
      <c r="AH101" s="110"/>
      <c r="AI101" s="486"/>
      <c r="AJ101" s="110"/>
      <c r="AK101" s="110"/>
      <c r="AL101" s="110"/>
      <c r="AM101" s="110"/>
      <c r="AN101" s="486"/>
      <c r="AO101" s="110"/>
      <c r="AP101" s="110"/>
      <c r="AQ101" s="110"/>
      <c r="AR101" s="110"/>
      <c r="AS101" s="486"/>
      <c r="AT101" s="110"/>
      <c r="AU101" s="110"/>
      <c r="AV101" s="110"/>
      <c r="AW101" s="110"/>
      <c r="AX101" s="486"/>
    </row>
  </sheetData>
  <mergeCells count="295">
    <mergeCell ref="Z5:AC5"/>
    <mergeCell ref="AT22:AX22"/>
    <mergeCell ref="P23:T23"/>
    <mergeCell ref="AT23:AX23"/>
    <mergeCell ref="U4:X4"/>
    <mergeCell ref="P22:T22"/>
    <mergeCell ref="U22:Y22"/>
    <mergeCell ref="AN4:AN6"/>
    <mergeCell ref="AX4:AX6"/>
    <mergeCell ref="AS4:AS6"/>
    <mergeCell ref="AI4:AI6"/>
    <mergeCell ref="AD4:AD6"/>
    <mergeCell ref="AE4:AH4"/>
    <mergeCell ref="AO22:AS22"/>
    <mergeCell ref="Z22:AD22"/>
    <mergeCell ref="AJ22:AN22"/>
    <mergeCell ref="AE22:AI22"/>
    <mergeCell ref="AX7:AX21"/>
    <mergeCell ref="B2:H3"/>
    <mergeCell ref="N2:N3"/>
    <mergeCell ref="O2:O3"/>
    <mergeCell ref="P2:T2"/>
    <mergeCell ref="U2:Y2"/>
    <mergeCell ref="AT2:AX2"/>
    <mergeCell ref="AT3:AX3"/>
    <mergeCell ref="AO2:AS2"/>
    <mergeCell ref="AO3:AS3"/>
    <mergeCell ref="AE2:AI2"/>
    <mergeCell ref="AJ2:AN2"/>
    <mergeCell ref="Z2:AD2"/>
    <mergeCell ref="Z3:AD3"/>
    <mergeCell ref="AE3:AI3"/>
    <mergeCell ref="AJ3:AN3"/>
    <mergeCell ref="P3:T3"/>
    <mergeCell ref="U3:Y3"/>
    <mergeCell ref="B22:H23"/>
    <mergeCell ref="N22:N23"/>
    <mergeCell ref="O22:O23"/>
    <mergeCell ref="AS7:AS21"/>
    <mergeCell ref="AO4:AR4"/>
    <mergeCell ref="L4:L6"/>
    <mergeCell ref="Y7:Y21"/>
    <mergeCell ref="AD7:AD21"/>
    <mergeCell ref="U5:X5"/>
    <mergeCell ref="AO5:AR5"/>
    <mergeCell ref="AN7:AN21"/>
    <mergeCell ref="AE5:AH5"/>
    <mergeCell ref="AJ5:AM5"/>
    <mergeCell ref="Y4:Y6"/>
    <mergeCell ref="Z4:AC4"/>
    <mergeCell ref="AJ4:AM4"/>
    <mergeCell ref="U23:Y23"/>
    <mergeCell ref="Z23:AD23"/>
    <mergeCell ref="AE23:AI23"/>
    <mergeCell ref="AJ23:AN23"/>
    <mergeCell ref="AO23:AS23"/>
    <mergeCell ref="B4:B6"/>
    <mergeCell ref="L7:L21"/>
    <mergeCell ref="AI7:AI21"/>
    <mergeCell ref="O4:O21"/>
    <mergeCell ref="C4:D6"/>
    <mergeCell ref="E4:G4"/>
    <mergeCell ref="E5:G5"/>
    <mergeCell ref="I5:K5"/>
    <mergeCell ref="M4:M6"/>
    <mergeCell ref="N4:N21"/>
    <mergeCell ref="T7:T21"/>
    <mergeCell ref="P5:S5"/>
    <mergeCell ref="H4:H6"/>
    <mergeCell ref="I4:K4"/>
    <mergeCell ref="H7:H21"/>
    <mergeCell ref="T4:T6"/>
    <mergeCell ref="AT5:AW5"/>
    <mergeCell ref="AT4:AW4"/>
    <mergeCell ref="P4:S4"/>
    <mergeCell ref="B7:B21"/>
    <mergeCell ref="AO24:AR24"/>
    <mergeCell ref="Z24:AC24"/>
    <mergeCell ref="B42:H43"/>
    <mergeCell ref="N42:N43"/>
    <mergeCell ref="P42:T42"/>
    <mergeCell ref="U42:Y42"/>
    <mergeCell ref="P43:T43"/>
    <mergeCell ref="T27:T41"/>
    <mergeCell ref="T24:T26"/>
    <mergeCell ref="B27:B41"/>
    <mergeCell ref="N24:N41"/>
    <mergeCell ref="H27:H41"/>
    <mergeCell ref="L27:L41"/>
    <mergeCell ref="I24:K24"/>
    <mergeCell ref="C24:D26"/>
    <mergeCell ref="AT43:AX43"/>
    <mergeCell ref="B24:B26"/>
    <mergeCell ref="AT25:AW25"/>
    <mergeCell ref="O24:O41"/>
    <mergeCell ref="P24:S24"/>
    <mergeCell ref="AO25:AR25"/>
    <mergeCell ref="Y27:Y41"/>
    <mergeCell ref="AS44:AS46"/>
    <mergeCell ref="AJ43:AN43"/>
    <mergeCell ref="AJ44:AM44"/>
    <mergeCell ref="AE45:AH45"/>
    <mergeCell ref="AD27:AD41"/>
    <mergeCell ref="AI24:AI26"/>
    <mergeCell ref="AE25:AH25"/>
    <mergeCell ref="AD24:AD26"/>
    <mergeCell ref="AO45:AR45"/>
    <mergeCell ref="U43:Y43"/>
    <mergeCell ref="AO42:AS42"/>
    <mergeCell ref="Z25:AC25"/>
    <mergeCell ref="U24:X24"/>
    <mergeCell ref="AS27:AS41"/>
    <mergeCell ref="AI27:AI41"/>
    <mergeCell ref="Z42:AD42"/>
    <mergeCell ref="AS47:AS61"/>
    <mergeCell ref="Z43:AD43"/>
    <mergeCell ref="AJ42:AN42"/>
    <mergeCell ref="AE42:AI42"/>
    <mergeCell ref="AI47:AI61"/>
    <mergeCell ref="AO43:AS43"/>
    <mergeCell ref="AI44:AI46"/>
    <mergeCell ref="AD47:AD61"/>
    <mergeCell ref="L24:L26"/>
    <mergeCell ref="E24:G24"/>
    <mergeCell ref="H24:H26"/>
    <mergeCell ref="I25:K25"/>
    <mergeCell ref="M24:M26"/>
    <mergeCell ref="E25:G25"/>
    <mergeCell ref="Y24:Y26"/>
    <mergeCell ref="AE44:AH44"/>
    <mergeCell ref="AX44:AX46"/>
    <mergeCell ref="AD44:AD46"/>
    <mergeCell ref="Z45:AC45"/>
    <mergeCell ref="Z44:AC44"/>
    <mergeCell ref="AJ45:AM45"/>
    <mergeCell ref="AE24:AH24"/>
    <mergeCell ref="AN27:AN41"/>
    <mergeCell ref="AO44:AR44"/>
    <mergeCell ref="I44:K44"/>
    <mergeCell ref="U44:X44"/>
    <mergeCell ref="U45:X45"/>
    <mergeCell ref="AT24:AW24"/>
    <mergeCell ref="AJ25:AM25"/>
    <mergeCell ref="AN24:AN26"/>
    <mergeCell ref="AT42:AX42"/>
    <mergeCell ref="AX27:AX41"/>
    <mergeCell ref="O42:O43"/>
    <mergeCell ref="AE43:AI43"/>
    <mergeCell ref="AX24:AX26"/>
    <mergeCell ref="AJ24:AM24"/>
    <mergeCell ref="AS24:AS26"/>
    <mergeCell ref="P25:S25"/>
    <mergeCell ref="U25:X25"/>
    <mergeCell ref="B62:H63"/>
    <mergeCell ref="T47:T61"/>
    <mergeCell ref="Z62:AD62"/>
    <mergeCell ref="AE62:AI62"/>
    <mergeCell ref="E44:G44"/>
    <mergeCell ref="H44:H46"/>
    <mergeCell ref="L47:L61"/>
    <mergeCell ref="B47:B61"/>
    <mergeCell ref="N44:N61"/>
    <mergeCell ref="O44:O61"/>
    <mergeCell ref="H47:H61"/>
    <mergeCell ref="M44:M46"/>
    <mergeCell ref="B44:B46"/>
    <mergeCell ref="C44:D46"/>
    <mergeCell ref="E45:G45"/>
    <mergeCell ref="I45:K45"/>
    <mergeCell ref="Y44:Y46"/>
    <mergeCell ref="L44:L46"/>
    <mergeCell ref="T44:T46"/>
    <mergeCell ref="P45:S45"/>
    <mergeCell ref="P44:S44"/>
    <mergeCell ref="AT62:AX62"/>
    <mergeCell ref="Z63:AD63"/>
    <mergeCell ref="AE63:AI63"/>
    <mergeCell ref="N62:N63"/>
    <mergeCell ref="O62:O63"/>
    <mergeCell ref="P62:T62"/>
    <mergeCell ref="U62:Y62"/>
    <mergeCell ref="P63:T63"/>
    <mergeCell ref="U63:Y63"/>
    <mergeCell ref="AT63:AX63"/>
    <mergeCell ref="AJ63:AN63"/>
    <mergeCell ref="AO63:AS63"/>
    <mergeCell ref="AO62:AS62"/>
    <mergeCell ref="AJ62:AN62"/>
    <mergeCell ref="AT44:AW44"/>
    <mergeCell ref="AX47:AX61"/>
    <mergeCell ref="AN44:AN46"/>
    <mergeCell ref="AN47:AN61"/>
    <mergeCell ref="AT45:AW45"/>
    <mergeCell ref="Y47:Y61"/>
    <mergeCell ref="L64:L66"/>
    <mergeCell ref="P64:S64"/>
    <mergeCell ref="AX64:AX66"/>
    <mergeCell ref="AD64:AD66"/>
    <mergeCell ref="AE64:AH64"/>
    <mergeCell ref="AI64:AI66"/>
    <mergeCell ref="AJ64:AM64"/>
    <mergeCell ref="AT65:AW65"/>
    <mergeCell ref="AS64:AS66"/>
    <mergeCell ref="AT64:AW64"/>
    <mergeCell ref="AJ65:AM65"/>
    <mergeCell ref="AO65:AR65"/>
    <mergeCell ref="AN64:AN66"/>
    <mergeCell ref="AO64:AR64"/>
    <mergeCell ref="AE65:AH65"/>
    <mergeCell ref="B67:B81"/>
    <mergeCell ref="H67:H81"/>
    <mergeCell ref="P85:S85"/>
    <mergeCell ref="N82:N83"/>
    <mergeCell ref="L67:L81"/>
    <mergeCell ref="I84:K84"/>
    <mergeCell ref="L84:L86"/>
    <mergeCell ref="E85:G85"/>
    <mergeCell ref="I85:K85"/>
    <mergeCell ref="B87:B101"/>
    <mergeCell ref="B84:B86"/>
    <mergeCell ref="O84:O101"/>
    <mergeCell ref="H87:H101"/>
    <mergeCell ref="L87:L101"/>
    <mergeCell ref="B82:H83"/>
    <mergeCell ref="T67:T81"/>
    <mergeCell ref="M84:M86"/>
    <mergeCell ref="N84:N101"/>
    <mergeCell ref="O64:O81"/>
    <mergeCell ref="T87:T101"/>
    <mergeCell ref="O82:O83"/>
    <mergeCell ref="P83:T83"/>
    <mergeCell ref="T64:T66"/>
    <mergeCell ref="C84:D86"/>
    <mergeCell ref="E84:G84"/>
    <mergeCell ref="H84:H86"/>
    <mergeCell ref="I64:K64"/>
    <mergeCell ref="I65:K65"/>
    <mergeCell ref="E65:G65"/>
    <mergeCell ref="E64:G64"/>
    <mergeCell ref="H64:H66"/>
    <mergeCell ref="B64:B66"/>
    <mergeCell ref="C64:D66"/>
    <mergeCell ref="AX67:AX81"/>
    <mergeCell ref="AT82:AX82"/>
    <mergeCell ref="AO83:AS83"/>
    <mergeCell ref="AO82:AS82"/>
    <mergeCell ref="AI67:AI81"/>
    <mergeCell ref="AE82:AI82"/>
    <mergeCell ref="AJ82:AN82"/>
    <mergeCell ref="AS67:AS81"/>
    <mergeCell ref="AN67:AN81"/>
    <mergeCell ref="AJ83:AN83"/>
    <mergeCell ref="AE83:AI83"/>
    <mergeCell ref="U84:X84"/>
    <mergeCell ref="AX87:AX101"/>
    <mergeCell ref="AO85:AR85"/>
    <mergeCell ref="AT85:AW85"/>
    <mergeCell ref="AT83:AX83"/>
    <mergeCell ref="AO84:AR84"/>
    <mergeCell ref="AS84:AS86"/>
    <mergeCell ref="AT84:AW84"/>
    <mergeCell ref="AX84:AX86"/>
    <mergeCell ref="AS87:AS101"/>
    <mergeCell ref="AD87:AD101"/>
    <mergeCell ref="M64:M66"/>
    <mergeCell ref="N64:N81"/>
    <mergeCell ref="U64:X64"/>
    <mergeCell ref="P65:S65"/>
    <mergeCell ref="U65:X65"/>
    <mergeCell ref="AD67:AD81"/>
    <mergeCell ref="P82:T82"/>
    <mergeCell ref="P84:S84"/>
    <mergeCell ref="T84:T86"/>
    <mergeCell ref="Y67:Y81"/>
    <mergeCell ref="Z85:AC85"/>
    <mergeCell ref="U83:Y83"/>
    <mergeCell ref="Z83:AD83"/>
    <mergeCell ref="Z65:AC65"/>
    <mergeCell ref="Y64:Y66"/>
    <mergeCell ref="AD84:AD86"/>
    <mergeCell ref="U85:X85"/>
    <mergeCell ref="Z64:AC64"/>
    <mergeCell ref="U82:Y82"/>
    <mergeCell ref="Z82:AD82"/>
    <mergeCell ref="AJ84:AM84"/>
    <mergeCell ref="Y87:Y101"/>
    <mergeCell ref="Y84:Y86"/>
    <mergeCell ref="AJ85:AM85"/>
    <mergeCell ref="Z84:AC84"/>
    <mergeCell ref="AN87:AN101"/>
    <mergeCell ref="AN84:AN86"/>
    <mergeCell ref="AI87:AI101"/>
    <mergeCell ref="AE84:AH84"/>
    <mergeCell ref="AI84:AI86"/>
    <mergeCell ref="AE85:AH85"/>
  </mergeCells>
  <phoneticPr fontId="20" type="noConversion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AX121"/>
  <sheetViews>
    <sheetView topLeftCell="AH75" zoomScaleNormal="100" workbookViewId="0">
      <selection activeCell="M87" sqref="M87"/>
    </sheetView>
  </sheetViews>
  <sheetFormatPr defaultColWidth="8.85546875" defaultRowHeight="12.75"/>
  <cols>
    <col min="1" max="1" width="5.5703125" style="212" customWidth="1"/>
    <col min="2" max="2" width="12.42578125" style="212" customWidth="1"/>
    <col min="3" max="3" width="8.85546875" style="211" customWidth="1"/>
    <col min="4" max="4" width="31.42578125" style="211" customWidth="1"/>
    <col min="5" max="7" width="8.42578125" style="211" customWidth="1"/>
    <col min="8" max="8" width="11.140625" style="211" bestFit="1" customWidth="1"/>
    <col min="9" max="12" width="11.140625" style="211" customWidth="1"/>
    <col min="13" max="13" width="13.5703125" style="211" customWidth="1"/>
    <col min="14" max="14" width="9.85546875" style="211" customWidth="1"/>
    <col min="15" max="15" width="7.140625" style="211" customWidth="1"/>
    <col min="16" max="18" width="12.85546875" style="211" customWidth="1"/>
    <col min="19" max="19" width="7.7109375" style="211" bestFit="1" customWidth="1"/>
    <col min="20" max="20" width="12.85546875" style="211" customWidth="1"/>
    <col min="21" max="23" width="12.85546875" style="212" customWidth="1"/>
    <col min="24" max="24" width="5.42578125" style="211" customWidth="1"/>
    <col min="25" max="28" width="12.85546875" style="212" customWidth="1"/>
    <col min="29" max="29" width="5.42578125" style="211" customWidth="1"/>
    <col min="30" max="30" width="12.85546875" style="212" customWidth="1"/>
    <col min="31" max="33" width="12.5703125" style="212" customWidth="1"/>
    <col min="34" max="34" width="5.42578125" style="211" customWidth="1"/>
    <col min="35" max="35" width="13" style="212" customWidth="1"/>
    <col min="36" max="38" width="12.5703125" style="212" customWidth="1"/>
    <col min="39" max="39" width="5.42578125" style="211" customWidth="1"/>
    <col min="40" max="40" width="13" style="212" customWidth="1"/>
    <col min="41" max="43" width="13.140625" style="212" customWidth="1"/>
    <col min="44" max="44" width="5.42578125" style="212" customWidth="1"/>
    <col min="45" max="48" width="13.140625" style="212" customWidth="1"/>
    <col min="49" max="49" width="5.42578125" style="212" customWidth="1"/>
    <col min="50" max="50" width="13.140625" style="212" customWidth="1"/>
    <col min="51" max="70" width="8.85546875" style="212" customWidth="1"/>
    <col min="71" max="16384" width="8.85546875" style="212"/>
  </cols>
  <sheetData>
    <row r="1" spans="1:50" ht="24">
      <c r="A1" s="208"/>
      <c r="B1" s="209" t="s">
        <v>42</v>
      </c>
      <c r="C1" s="210">
        <f>AVERAGE(L7,L27,L47,L67,L87,L107)</f>
        <v>120.02125144696572</v>
      </c>
    </row>
    <row r="2" spans="1:50" ht="15.75">
      <c r="A2" s="213"/>
      <c r="B2" s="477" t="s">
        <v>43</v>
      </c>
      <c r="C2" s="465"/>
      <c r="D2" s="465"/>
      <c r="E2" s="465"/>
      <c r="F2" s="465"/>
      <c r="G2" s="465"/>
      <c r="H2" s="465"/>
      <c r="I2" s="214"/>
      <c r="J2" s="214"/>
      <c r="K2" s="214"/>
      <c r="L2" s="214"/>
      <c r="M2" s="215"/>
      <c r="N2" s="455" t="s">
        <v>44</v>
      </c>
      <c r="O2" s="455" t="s">
        <v>3</v>
      </c>
      <c r="P2" s="457"/>
      <c r="Q2" s="458"/>
      <c r="R2" s="458"/>
      <c r="S2" s="458"/>
      <c r="T2" s="458"/>
      <c r="U2" s="457"/>
      <c r="V2" s="458"/>
      <c r="W2" s="458"/>
      <c r="X2" s="458"/>
      <c r="Y2" s="458"/>
      <c r="Z2" s="457"/>
      <c r="AA2" s="458"/>
      <c r="AB2" s="458"/>
      <c r="AC2" s="458"/>
      <c r="AD2" s="458"/>
      <c r="AE2" s="457"/>
      <c r="AF2" s="458"/>
      <c r="AG2" s="458"/>
      <c r="AH2" s="458"/>
      <c r="AI2" s="458"/>
      <c r="AJ2" s="457"/>
      <c r="AK2" s="458"/>
      <c r="AL2" s="458"/>
      <c r="AM2" s="458"/>
      <c r="AN2" s="458"/>
      <c r="AO2" s="457">
        <v>46082</v>
      </c>
      <c r="AP2" s="458"/>
      <c r="AQ2" s="458"/>
      <c r="AR2" s="458"/>
      <c r="AS2" s="458"/>
      <c r="AT2" s="457">
        <v>46083</v>
      </c>
      <c r="AU2" s="458"/>
      <c r="AV2" s="458"/>
      <c r="AW2" s="458"/>
      <c r="AX2" s="458"/>
    </row>
    <row r="3" spans="1:50" ht="15.75">
      <c r="A3" s="213"/>
      <c r="B3" s="466"/>
      <c r="C3" s="466"/>
      <c r="D3" s="466"/>
      <c r="E3" s="466"/>
      <c r="F3" s="466"/>
      <c r="G3" s="466"/>
      <c r="H3" s="466"/>
      <c r="I3" s="216"/>
      <c r="J3" s="216"/>
      <c r="K3" s="216"/>
      <c r="L3" s="216"/>
      <c r="M3" s="217"/>
      <c r="N3" s="456"/>
      <c r="O3" s="456"/>
      <c r="P3" s="457" t="s">
        <v>15</v>
      </c>
      <c r="Q3" s="458"/>
      <c r="R3" s="458"/>
      <c r="S3" s="458"/>
      <c r="T3" s="458"/>
      <c r="U3" s="457" t="s">
        <v>13</v>
      </c>
      <c r="V3" s="458"/>
      <c r="W3" s="458"/>
      <c r="X3" s="458"/>
      <c r="Y3" s="458"/>
      <c r="Z3" s="457" t="s">
        <v>16</v>
      </c>
      <c r="AA3" s="458"/>
      <c r="AB3" s="458"/>
      <c r="AC3" s="458"/>
      <c r="AD3" s="458"/>
      <c r="AE3" s="457" t="s">
        <v>17</v>
      </c>
      <c r="AF3" s="458"/>
      <c r="AG3" s="458"/>
      <c r="AH3" s="458"/>
      <c r="AI3" s="458"/>
      <c r="AJ3" s="457" t="s">
        <v>18</v>
      </c>
      <c r="AK3" s="458"/>
      <c r="AL3" s="458"/>
      <c r="AM3" s="458"/>
      <c r="AN3" s="458"/>
      <c r="AO3" s="457" t="s">
        <v>10</v>
      </c>
      <c r="AP3" s="458"/>
      <c r="AQ3" s="458"/>
      <c r="AR3" s="458"/>
      <c r="AS3" s="458"/>
      <c r="AT3" s="457" t="s">
        <v>14</v>
      </c>
      <c r="AU3" s="458"/>
      <c r="AV3" s="458"/>
      <c r="AW3" s="458"/>
      <c r="AX3" s="458"/>
    </row>
    <row r="4" spans="1:50" ht="14.25">
      <c r="A4" s="213"/>
      <c r="B4" s="454" t="s">
        <v>45</v>
      </c>
      <c r="C4" s="454" t="s">
        <v>46</v>
      </c>
      <c r="D4" s="454"/>
      <c r="E4" s="454" t="s">
        <v>47</v>
      </c>
      <c r="F4" s="454"/>
      <c r="G4" s="454"/>
      <c r="H4" s="470" t="s">
        <v>48</v>
      </c>
      <c r="I4" s="454" t="s">
        <v>49</v>
      </c>
      <c r="J4" s="454"/>
      <c r="K4" s="454"/>
      <c r="L4" s="470" t="s">
        <v>48</v>
      </c>
      <c r="M4" s="455" t="s">
        <v>50</v>
      </c>
      <c r="N4" s="454"/>
      <c r="O4" s="454" t="s">
        <v>51</v>
      </c>
      <c r="P4" s="451" t="s">
        <v>52</v>
      </c>
      <c r="Q4" s="452"/>
      <c r="R4" s="452"/>
      <c r="S4" s="453"/>
      <c r="T4" s="454" t="s">
        <v>48</v>
      </c>
      <c r="U4" s="451" t="s">
        <v>52</v>
      </c>
      <c r="V4" s="452"/>
      <c r="W4" s="452"/>
      <c r="X4" s="453"/>
      <c r="Y4" s="454" t="s">
        <v>48</v>
      </c>
      <c r="Z4" s="451" t="s">
        <v>52</v>
      </c>
      <c r="AA4" s="452"/>
      <c r="AB4" s="452"/>
      <c r="AC4" s="453"/>
      <c r="AD4" s="454" t="s">
        <v>48</v>
      </c>
      <c r="AE4" s="451" t="s">
        <v>52</v>
      </c>
      <c r="AF4" s="452"/>
      <c r="AG4" s="452"/>
      <c r="AH4" s="453"/>
      <c r="AI4" s="454" t="s">
        <v>48</v>
      </c>
      <c r="AJ4" s="451" t="s">
        <v>52</v>
      </c>
      <c r="AK4" s="452"/>
      <c r="AL4" s="452"/>
      <c r="AM4" s="453"/>
      <c r="AN4" s="454" t="s">
        <v>48</v>
      </c>
      <c r="AO4" s="451" t="s">
        <v>52</v>
      </c>
      <c r="AP4" s="452"/>
      <c r="AQ4" s="452"/>
      <c r="AR4" s="453"/>
      <c r="AS4" s="454" t="s">
        <v>48</v>
      </c>
      <c r="AT4" s="451" t="s">
        <v>52</v>
      </c>
      <c r="AU4" s="452"/>
      <c r="AV4" s="452"/>
      <c r="AW4" s="453"/>
      <c r="AX4" s="454" t="s">
        <v>48</v>
      </c>
    </row>
    <row r="5" spans="1:50" ht="14.25">
      <c r="A5" s="213"/>
      <c r="B5" s="454"/>
      <c r="C5" s="454"/>
      <c r="D5" s="454"/>
      <c r="E5" s="454" t="s">
        <v>53</v>
      </c>
      <c r="F5" s="454"/>
      <c r="G5" s="454"/>
      <c r="H5" s="471"/>
      <c r="I5" s="454" t="s">
        <v>53</v>
      </c>
      <c r="J5" s="454"/>
      <c r="K5" s="454"/>
      <c r="L5" s="471"/>
      <c r="M5" s="463"/>
      <c r="N5" s="454"/>
      <c r="O5" s="454"/>
      <c r="P5" s="451" t="s">
        <v>54</v>
      </c>
      <c r="Q5" s="452"/>
      <c r="R5" s="452"/>
      <c r="S5" s="453"/>
      <c r="T5" s="454"/>
      <c r="U5" s="451" t="s">
        <v>54</v>
      </c>
      <c r="V5" s="452"/>
      <c r="W5" s="452"/>
      <c r="X5" s="453"/>
      <c r="Y5" s="454"/>
      <c r="Z5" s="451" t="s">
        <v>54</v>
      </c>
      <c r="AA5" s="452"/>
      <c r="AB5" s="452"/>
      <c r="AC5" s="453"/>
      <c r="AD5" s="454"/>
      <c r="AE5" s="451" t="s">
        <v>54</v>
      </c>
      <c r="AF5" s="452"/>
      <c r="AG5" s="452"/>
      <c r="AH5" s="453"/>
      <c r="AI5" s="454"/>
      <c r="AJ5" s="451" t="s">
        <v>54</v>
      </c>
      <c r="AK5" s="452"/>
      <c r="AL5" s="452"/>
      <c r="AM5" s="453"/>
      <c r="AN5" s="454"/>
      <c r="AO5" s="451" t="s">
        <v>54</v>
      </c>
      <c r="AP5" s="452"/>
      <c r="AQ5" s="452"/>
      <c r="AR5" s="453"/>
      <c r="AS5" s="454"/>
      <c r="AT5" s="451" t="s">
        <v>54</v>
      </c>
      <c r="AU5" s="452"/>
      <c r="AV5" s="452"/>
      <c r="AW5" s="453"/>
      <c r="AX5" s="454"/>
    </row>
    <row r="6" spans="1:50" ht="14.25">
      <c r="A6" s="218"/>
      <c r="B6" s="454"/>
      <c r="C6" s="454"/>
      <c r="D6" s="454"/>
      <c r="E6" s="219" t="s">
        <v>55</v>
      </c>
      <c r="F6" s="219" t="s">
        <v>56</v>
      </c>
      <c r="G6" s="219" t="s">
        <v>57</v>
      </c>
      <c r="H6" s="472"/>
      <c r="I6" s="219" t="s">
        <v>55</v>
      </c>
      <c r="J6" s="219" t="s">
        <v>56</v>
      </c>
      <c r="K6" s="219" t="s">
        <v>57</v>
      </c>
      <c r="L6" s="472"/>
      <c r="M6" s="456"/>
      <c r="N6" s="454"/>
      <c r="O6" s="454"/>
      <c r="P6" s="219" t="s">
        <v>55</v>
      </c>
      <c r="Q6" s="219" t="s">
        <v>56</v>
      </c>
      <c r="R6" s="219" t="s">
        <v>57</v>
      </c>
      <c r="S6" s="219" t="s">
        <v>50</v>
      </c>
      <c r="T6" s="454"/>
      <c r="U6" s="219" t="s">
        <v>55</v>
      </c>
      <c r="V6" s="219" t="s">
        <v>56</v>
      </c>
      <c r="W6" s="219" t="s">
        <v>57</v>
      </c>
      <c r="X6" s="219" t="s">
        <v>50</v>
      </c>
      <c r="Y6" s="454"/>
      <c r="Z6" s="219" t="s">
        <v>55</v>
      </c>
      <c r="AA6" s="219" t="s">
        <v>56</v>
      </c>
      <c r="AB6" s="219" t="s">
        <v>57</v>
      </c>
      <c r="AC6" s="219" t="s">
        <v>50</v>
      </c>
      <c r="AD6" s="454"/>
      <c r="AE6" s="219" t="s">
        <v>55</v>
      </c>
      <c r="AF6" s="219" t="s">
        <v>56</v>
      </c>
      <c r="AG6" s="219" t="s">
        <v>57</v>
      </c>
      <c r="AH6" s="219" t="s">
        <v>50</v>
      </c>
      <c r="AI6" s="454"/>
      <c r="AJ6" s="219" t="s">
        <v>55</v>
      </c>
      <c r="AK6" s="219" t="s">
        <v>56</v>
      </c>
      <c r="AL6" s="219" t="s">
        <v>57</v>
      </c>
      <c r="AM6" s="219" t="s">
        <v>50</v>
      </c>
      <c r="AN6" s="454"/>
      <c r="AO6" s="219" t="s">
        <v>55</v>
      </c>
      <c r="AP6" s="219" t="s">
        <v>56</v>
      </c>
      <c r="AQ6" s="219" t="s">
        <v>57</v>
      </c>
      <c r="AR6" s="219" t="s">
        <v>50</v>
      </c>
      <c r="AS6" s="454"/>
      <c r="AT6" s="219" t="s">
        <v>55</v>
      </c>
      <c r="AU6" s="219" t="s">
        <v>56</v>
      </c>
      <c r="AV6" s="219" t="s">
        <v>57</v>
      </c>
      <c r="AW6" s="219" t="s">
        <v>50</v>
      </c>
      <c r="AX6" s="454"/>
    </row>
    <row r="7" spans="1:50" ht="14.25">
      <c r="A7" s="213"/>
      <c r="B7" s="454" t="s">
        <v>34</v>
      </c>
      <c r="C7" s="220">
        <v>1</v>
      </c>
      <c r="D7" s="224" t="s">
        <v>60</v>
      </c>
      <c r="E7" s="221">
        <f>VLOOKUP(D7,'12產線配置圖'!$A$2:$C$30,2,0)</f>
        <v>13</v>
      </c>
      <c r="F7" s="221">
        <f>VLOOKUP(D7,'12產線配置圖'!$A$2:$C$30,3,0)</f>
        <v>1565</v>
      </c>
      <c r="G7" s="222">
        <f>F7/E7</f>
        <v>120.38461538461539</v>
      </c>
      <c r="H7" s="467">
        <f>AVERAGE(G7:G21)</f>
        <v>127.07264957264958</v>
      </c>
      <c r="I7" s="221">
        <f t="shared" ref="I7:J9" si="0">AVERAGE(P7,U7,Z7,AE7,AJ7,AO7,AT7)</f>
        <v>13.5</v>
      </c>
      <c r="J7" s="221">
        <f t="shared" si="0"/>
        <v>1555</v>
      </c>
      <c r="K7" s="222">
        <f>AVERAGE(AQ7,AV7)</f>
        <v>115.30769230769231</v>
      </c>
      <c r="L7" s="467">
        <f>IFERROR(AVERAGE(K7:K21),"-")</f>
        <v>112.126221001221</v>
      </c>
      <c r="M7" s="223">
        <f>RANK(K7,$K$7:$K$21)</f>
        <v>2</v>
      </c>
      <c r="N7" s="454"/>
      <c r="O7" s="454"/>
      <c r="P7" s="221"/>
      <c r="Q7" s="221"/>
      <c r="R7" s="222" t="e">
        <f>Q7/P7</f>
        <v>#DIV/0!</v>
      </c>
      <c r="S7" s="220" t="e">
        <f>RANK(R7, R$7:R$21)</f>
        <v>#DIV/0!</v>
      </c>
      <c r="T7" s="459" t="e">
        <f>AVERAGE(R7:R21)</f>
        <v>#DIV/0!</v>
      </c>
      <c r="U7" s="221"/>
      <c r="V7" s="221"/>
      <c r="W7" s="222" t="e">
        <f>V7/U7</f>
        <v>#DIV/0!</v>
      </c>
      <c r="X7" s="220" t="e">
        <f>RANK(W7,W$107:W$109)</f>
        <v>#DIV/0!</v>
      </c>
      <c r="Y7" s="459" t="e">
        <f>AVERAGE(W7:W21)</f>
        <v>#DIV/0!</v>
      </c>
      <c r="Z7" s="221"/>
      <c r="AA7" s="221"/>
      <c r="AB7" s="222" t="e">
        <f>AA7/Z7</f>
        <v>#DIV/0!</v>
      </c>
      <c r="AC7" s="220" t="e">
        <f>RANK(AB7,AB$7:AB$9)</f>
        <v>#DIV/0!</v>
      </c>
      <c r="AD7" s="459" t="e">
        <f>AVERAGE(AB7:AB21)</f>
        <v>#DIV/0!</v>
      </c>
      <c r="AE7" s="221"/>
      <c r="AF7" s="221"/>
      <c r="AG7" s="222" t="e">
        <f>AF7/AE7</f>
        <v>#DIV/0!</v>
      </c>
      <c r="AH7" s="220" t="e">
        <f>RANK(AG7,AG$7:AG$9)</f>
        <v>#DIV/0!</v>
      </c>
      <c r="AI7" s="459" t="e">
        <f>AVERAGE(AG7:AG21)</f>
        <v>#DIV/0!</v>
      </c>
      <c r="AJ7" s="221"/>
      <c r="AK7" s="221"/>
      <c r="AL7" s="222" t="e">
        <f>AK7/AJ7</f>
        <v>#DIV/0!</v>
      </c>
      <c r="AM7" s="220" t="e">
        <f>RANK(AL7,AL$7:AL$9)</f>
        <v>#DIV/0!</v>
      </c>
      <c r="AN7" s="459" t="e">
        <f>AVERAGE(AL7:AL21)</f>
        <v>#DIV/0!</v>
      </c>
      <c r="AO7" s="221">
        <v>14</v>
      </c>
      <c r="AP7" s="221">
        <v>1568</v>
      </c>
      <c r="AQ7" s="222">
        <f>AP7/AO7</f>
        <v>112</v>
      </c>
      <c r="AR7" s="220">
        <f>RANK(AQ7,AQ$7:AQ$9)</f>
        <v>2</v>
      </c>
      <c r="AS7" s="459">
        <f>AVERAGE(AQ7:AQ21)</f>
        <v>112.32936507936508</v>
      </c>
      <c r="AT7" s="221">
        <v>13</v>
      </c>
      <c r="AU7" s="221">
        <v>1542</v>
      </c>
      <c r="AV7" s="222">
        <f>AU7/AT7</f>
        <v>118.61538461538461</v>
      </c>
      <c r="AW7" s="220">
        <f>RANK(AV7,AV$7:AV$9)</f>
        <v>2</v>
      </c>
      <c r="AX7" s="459">
        <f>AVERAGE(AV7:AV21)</f>
        <v>111.92307692307692</v>
      </c>
    </row>
    <row r="8" spans="1:50" ht="15" customHeight="1">
      <c r="A8" s="213"/>
      <c r="B8" s="458"/>
      <c r="C8" s="220">
        <v>2</v>
      </c>
      <c r="D8" s="224" t="s">
        <v>61</v>
      </c>
      <c r="E8" s="221">
        <f>VLOOKUP(D8,'12產線配置圖'!$A$2:$C$30,2,0)</f>
        <v>12</v>
      </c>
      <c r="F8" s="221">
        <f>VLOOKUP(D8,'12產線配置圖'!$A$2:$C$30,3,0)</f>
        <v>1565</v>
      </c>
      <c r="G8" s="222">
        <f>F8/E8</f>
        <v>130.41666666666666</v>
      </c>
      <c r="H8" s="468"/>
      <c r="I8" s="221">
        <f t="shared" si="0"/>
        <v>13.5</v>
      </c>
      <c r="J8" s="221">
        <f t="shared" si="0"/>
        <v>1631</v>
      </c>
      <c r="K8" s="222">
        <f t="shared" ref="K8:K9" si="1">AVERAGE(AQ8,AV8)</f>
        <v>120.97802197802199</v>
      </c>
      <c r="L8" s="468"/>
      <c r="M8" s="223">
        <f t="shared" ref="M8:M9" si="2">RANK(K8,$K$7:$K$21)</f>
        <v>1</v>
      </c>
      <c r="N8" s="454"/>
      <c r="O8" s="454"/>
      <c r="P8" s="221"/>
      <c r="Q8" s="221"/>
      <c r="R8" s="222" t="e">
        <f t="shared" ref="R8:R9" si="3">Q8/P8</f>
        <v>#DIV/0!</v>
      </c>
      <c r="S8" s="220" t="e">
        <f t="shared" ref="S8:S9" si="4">RANK(R8, R$7:R$21)</f>
        <v>#DIV/0!</v>
      </c>
      <c r="T8" s="459"/>
      <c r="U8" s="221"/>
      <c r="V8" s="221"/>
      <c r="W8" s="222" t="e">
        <f t="shared" ref="W8:W9" si="5">V8/U8</f>
        <v>#DIV/0!</v>
      </c>
      <c r="X8" s="220" t="e">
        <f t="shared" ref="X8:X9" si="6">RANK(W8,W$107:W$109)</f>
        <v>#DIV/0!</v>
      </c>
      <c r="Y8" s="459"/>
      <c r="Z8" s="221"/>
      <c r="AA8" s="221"/>
      <c r="AB8" s="222" t="e">
        <f t="shared" ref="AB8:AB9" si="7">AA8/Z8</f>
        <v>#DIV/0!</v>
      </c>
      <c r="AC8" s="220" t="e">
        <f t="shared" ref="AC8:AC9" si="8">RANK(AB8,AB$7:AB$9)</f>
        <v>#DIV/0!</v>
      </c>
      <c r="AD8" s="459"/>
      <c r="AE8" s="221"/>
      <c r="AF8" s="221"/>
      <c r="AG8" s="222" t="e">
        <f>AF8/AE8</f>
        <v>#DIV/0!</v>
      </c>
      <c r="AH8" s="220" t="e">
        <f t="shared" ref="AH8:AH9" si="9">RANK(AG8,AG$7:AG$9)</f>
        <v>#DIV/0!</v>
      </c>
      <c r="AI8" s="459"/>
      <c r="AJ8" s="221"/>
      <c r="AK8" s="221"/>
      <c r="AL8" s="222" t="e">
        <f>AK8/AJ8</f>
        <v>#DIV/0!</v>
      </c>
      <c r="AM8" s="220" t="e">
        <f t="shared" ref="AM8:AM9" si="10">RANK(AL8,AL$7:AL$9)</f>
        <v>#DIV/0!</v>
      </c>
      <c r="AN8" s="459"/>
      <c r="AO8" s="221">
        <v>14</v>
      </c>
      <c r="AP8" s="221">
        <v>1632</v>
      </c>
      <c r="AQ8" s="222">
        <f>AP8/AO8</f>
        <v>116.57142857142857</v>
      </c>
      <c r="AR8" s="220">
        <f t="shared" ref="AR8:AR9" si="11">RANK(AQ8,AQ$7:AQ$9)</f>
        <v>1</v>
      </c>
      <c r="AS8" s="459"/>
      <c r="AT8" s="221">
        <v>13</v>
      </c>
      <c r="AU8" s="221">
        <v>1630</v>
      </c>
      <c r="AV8" s="222">
        <f>AU8/AT8</f>
        <v>125.38461538461539</v>
      </c>
      <c r="AW8" s="220">
        <f t="shared" ref="AW8:AW9" si="12">RANK(AV8,AV$7:AV$9)</f>
        <v>1</v>
      </c>
      <c r="AX8" s="459"/>
    </row>
    <row r="9" spans="1:50" ht="14.25">
      <c r="A9" s="213"/>
      <c r="B9" s="458"/>
      <c r="C9" s="220">
        <v>3</v>
      </c>
      <c r="D9" s="224" t="s">
        <v>62</v>
      </c>
      <c r="E9" s="221">
        <f>VLOOKUP(D9,'12產線配置圖'!$A$2:$C$30,2,0)</f>
        <v>12</v>
      </c>
      <c r="F9" s="221">
        <f>VLOOKUP(D9,'12產線配置圖'!$A$2:$C$30,3,0)</f>
        <v>1565</v>
      </c>
      <c r="G9" s="222">
        <f>F9/E9</f>
        <v>130.41666666666666</v>
      </c>
      <c r="H9" s="468"/>
      <c r="I9" s="221">
        <f t="shared" si="0"/>
        <v>12.5</v>
      </c>
      <c r="J9" s="221">
        <f t="shared" si="0"/>
        <v>1247</v>
      </c>
      <c r="K9" s="222">
        <f t="shared" si="1"/>
        <v>100.09294871794873</v>
      </c>
      <c r="L9" s="468"/>
      <c r="M9" s="223">
        <f t="shared" si="2"/>
        <v>3</v>
      </c>
      <c r="N9" s="454"/>
      <c r="O9" s="454"/>
      <c r="P9" s="221"/>
      <c r="Q9" s="221"/>
      <c r="R9" s="222" t="e">
        <f t="shared" si="3"/>
        <v>#DIV/0!</v>
      </c>
      <c r="S9" s="220" t="e">
        <f t="shared" si="4"/>
        <v>#DIV/0!</v>
      </c>
      <c r="T9" s="459"/>
      <c r="U9" s="221"/>
      <c r="V9" s="221"/>
      <c r="W9" s="222" t="e">
        <f t="shared" si="5"/>
        <v>#DIV/0!</v>
      </c>
      <c r="X9" s="220" t="e">
        <f t="shared" si="6"/>
        <v>#DIV/0!</v>
      </c>
      <c r="Y9" s="459"/>
      <c r="Z9" s="221"/>
      <c r="AA9" s="221"/>
      <c r="AB9" s="222" t="e">
        <f t="shared" si="7"/>
        <v>#DIV/0!</v>
      </c>
      <c r="AC9" s="220" t="e">
        <f t="shared" si="8"/>
        <v>#DIV/0!</v>
      </c>
      <c r="AD9" s="459"/>
      <c r="AE9" s="221"/>
      <c r="AF9" s="221"/>
      <c r="AG9" s="222" t="e">
        <f>AF9/AE9</f>
        <v>#DIV/0!</v>
      </c>
      <c r="AH9" s="220" t="e">
        <f t="shared" si="9"/>
        <v>#DIV/0!</v>
      </c>
      <c r="AI9" s="459"/>
      <c r="AJ9" s="221"/>
      <c r="AK9" s="221"/>
      <c r="AL9" s="222" t="e">
        <f>AK9/AJ9</f>
        <v>#DIV/0!</v>
      </c>
      <c r="AM9" s="220" t="e">
        <f t="shared" si="10"/>
        <v>#DIV/0!</v>
      </c>
      <c r="AN9" s="459"/>
      <c r="AO9" s="221">
        <v>12</v>
      </c>
      <c r="AP9" s="221">
        <v>1301</v>
      </c>
      <c r="AQ9" s="222">
        <f>AP9/AO9</f>
        <v>108.41666666666667</v>
      </c>
      <c r="AR9" s="220">
        <f t="shared" si="11"/>
        <v>3</v>
      </c>
      <c r="AS9" s="459"/>
      <c r="AT9" s="221">
        <v>13</v>
      </c>
      <c r="AU9" s="221">
        <v>1193</v>
      </c>
      <c r="AV9" s="222">
        <f>AU9/AT9</f>
        <v>91.769230769230774</v>
      </c>
      <c r="AW9" s="220">
        <f t="shared" si="12"/>
        <v>3</v>
      </c>
      <c r="AX9" s="459"/>
    </row>
    <row r="10" spans="1:50" ht="14.25">
      <c r="A10" s="213"/>
      <c r="B10" s="458"/>
      <c r="C10" s="220">
        <v>4</v>
      </c>
      <c r="D10" s="224"/>
      <c r="E10" s="221"/>
      <c r="F10" s="221"/>
      <c r="G10" s="222"/>
      <c r="H10" s="468"/>
      <c r="I10" s="221"/>
      <c r="J10" s="221"/>
      <c r="K10" s="222"/>
      <c r="L10" s="468"/>
      <c r="M10" s="223"/>
      <c r="N10" s="454"/>
      <c r="O10" s="454"/>
      <c r="P10" s="221"/>
      <c r="Q10" s="221"/>
      <c r="R10" s="222"/>
      <c r="S10" s="220"/>
      <c r="T10" s="459"/>
      <c r="U10" s="221"/>
      <c r="V10" s="221"/>
      <c r="W10" s="222"/>
      <c r="X10" s="220"/>
      <c r="Y10" s="459"/>
      <c r="Z10" s="221"/>
      <c r="AA10" s="221"/>
      <c r="AB10" s="222"/>
      <c r="AC10" s="220"/>
      <c r="AD10" s="459"/>
      <c r="AE10" s="221"/>
      <c r="AF10" s="221"/>
      <c r="AG10" s="222"/>
      <c r="AH10" s="220"/>
      <c r="AI10" s="459"/>
      <c r="AJ10" s="221"/>
      <c r="AK10" s="221"/>
      <c r="AL10" s="222"/>
      <c r="AM10" s="220"/>
      <c r="AN10" s="459"/>
      <c r="AO10" s="221"/>
      <c r="AP10" s="221"/>
      <c r="AQ10" s="222"/>
      <c r="AR10" s="220"/>
      <c r="AS10" s="459"/>
      <c r="AT10" s="221"/>
      <c r="AU10" s="221"/>
      <c r="AV10" s="222"/>
      <c r="AW10" s="220"/>
      <c r="AX10" s="459"/>
    </row>
    <row r="11" spans="1:50" ht="14.25">
      <c r="A11" s="213"/>
      <c r="B11" s="458"/>
      <c r="C11" s="220">
        <v>5</v>
      </c>
      <c r="D11" s="224"/>
      <c r="E11" s="221"/>
      <c r="F11" s="221"/>
      <c r="G11" s="222"/>
      <c r="H11" s="468"/>
      <c r="I11" s="221"/>
      <c r="J11" s="221"/>
      <c r="K11" s="222"/>
      <c r="L11" s="468"/>
      <c r="M11" s="223"/>
      <c r="N11" s="454"/>
      <c r="O11" s="454"/>
      <c r="P11" s="221"/>
      <c r="Q11" s="221"/>
      <c r="R11" s="222"/>
      <c r="S11" s="220"/>
      <c r="T11" s="459"/>
      <c r="U11" s="221"/>
      <c r="V11" s="221"/>
      <c r="W11" s="222"/>
      <c r="X11" s="220"/>
      <c r="Y11" s="459"/>
      <c r="Z11" s="221"/>
      <c r="AA11" s="221"/>
      <c r="AB11" s="222"/>
      <c r="AC11" s="220"/>
      <c r="AD11" s="459"/>
      <c r="AE11" s="221"/>
      <c r="AF11" s="221"/>
      <c r="AG11" s="222"/>
      <c r="AH11" s="220"/>
      <c r="AI11" s="459"/>
      <c r="AJ11" s="221"/>
      <c r="AK11" s="221"/>
      <c r="AL11" s="222"/>
      <c r="AM11" s="220"/>
      <c r="AN11" s="459"/>
      <c r="AO11" s="221"/>
      <c r="AP11" s="221"/>
      <c r="AQ11" s="222"/>
      <c r="AR11" s="220"/>
      <c r="AS11" s="459"/>
      <c r="AT11" s="221"/>
      <c r="AU11" s="221"/>
      <c r="AV11" s="222"/>
      <c r="AW11" s="220"/>
      <c r="AX11" s="459"/>
    </row>
    <row r="12" spans="1:50" ht="14.25">
      <c r="A12" s="213"/>
      <c r="B12" s="458"/>
      <c r="C12" s="220">
        <v>6</v>
      </c>
      <c r="D12" s="224"/>
      <c r="E12" s="221"/>
      <c r="F12" s="221"/>
      <c r="G12" s="222"/>
      <c r="H12" s="468"/>
      <c r="I12" s="221"/>
      <c r="J12" s="221"/>
      <c r="K12" s="222"/>
      <c r="L12" s="468"/>
      <c r="M12" s="223"/>
      <c r="N12" s="454"/>
      <c r="O12" s="454"/>
      <c r="P12" s="221"/>
      <c r="Q12" s="221"/>
      <c r="R12" s="222"/>
      <c r="S12" s="220"/>
      <c r="T12" s="459"/>
      <c r="U12" s="221"/>
      <c r="V12" s="221"/>
      <c r="W12" s="222"/>
      <c r="X12" s="220"/>
      <c r="Y12" s="459"/>
      <c r="Z12" s="221"/>
      <c r="AA12" s="221"/>
      <c r="AB12" s="222"/>
      <c r="AC12" s="220"/>
      <c r="AD12" s="459"/>
      <c r="AE12" s="221"/>
      <c r="AF12" s="221"/>
      <c r="AG12" s="222"/>
      <c r="AH12" s="220"/>
      <c r="AI12" s="459"/>
      <c r="AJ12" s="221"/>
      <c r="AK12" s="221"/>
      <c r="AL12" s="222"/>
      <c r="AM12" s="220"/>
      <c r="AN12" s="459"/>
      <c r="AO12" s="221"/>
      <c r="AP12" s="221"/>
      <c r="AQ12" s="222"/>
      <c r="AR12" s="220"/>
      <c r="AS12" s="459"/>
      <c r="AT12" s="221"/>
      <c r="AU12" s="221"/>
      <c r="AV12" s="222"/>
      <c r="AW12" s="220"/>
      <c r="AX12" s="459"/>
    </row>
    <row r="13" spans="1:50" ht="14.25">
      <c r="A13" s="213"/>
      <c r="B13" s="458"/>
      <c r="C13" s="220">
        <v>7</v>
      </c>
      <c r="D13" s="224"/>
      <c r="E13" s="221"/>
      <c r="F13" s="221"/>
      <c r="G13" s="222"/>
      <c r="H13" s="468"/>
      <c r="I13" s="221"/>
      <c r="J13" s="221"/>
      <c r="K13" s="222"/>
      <c r="L13" s="468"/>
      <c r="M13" s="223"/>
      <c r="N13" s="454"/>
      <c r="O13" s="454"/>
      <c r="P13" s="221"/>
      <c r="Q13" s="221"/>
      <c r="R13" s="222"/>
      <c r="S13" s="220"/>
      <c r="T13" s="459"/>
      <c r="U13" s="221"/>
      <c r="V13" s="221"/>
      <c r="W13" s="222"/>
      <c r="X13" s="220"/>
      <c r="Y13" s="459"/>
      <c r="Z13" s="221"/>
      <c r="AA13" s="221"/>
      <c r="AB13" s="222"/>
      <c r="AC13" s="220"/>
      <c r="AD13" s="459"/>
      <c r="AE13" s="221"/>
      <c r="AF13" s="221"/>
      <c r="AG13" s="222"/>
      <c r="AH13" s="220"/>
      <c r="AI13" s="459"/>
      <c r="AJ13" s="221"/>
      <c r="AK13" s="221"/>
      <c r="AL13" s="222"/>
      <c r="AM13" s="220"/>
      <c r="AN13" s="459"/>
      <c r="AO13" s="221"/>
      <c r="AP13" s="221"/>
      <c r="AQ13" s="222"/>
      <c r="AR13" s="220"/>
      <c r="AS13" s="459"/>
      <c r="AT13" s="221"/>
      <c r="AU13" s="221"/>
      <c r="AV13" s="222"/>
      <c r="AW13" s="220"/>
      <c r="AX13" s="459"/>
    </row>
    <row r="14" spans="1:50" ht="14.25">
      <c r="A14" s="213"/>
      <c r="B14" s="458"/>
      <c r="C14" s="220">
        <v>8</v>
      </c>
      <c r="D14" s="224"/>
      <c r="E14" s="221"/>
      <c r="F14" s="221"/>
      <c r="G14" s="222"/>
      <c r="H14" s="468"/>
      <c r="I14" s="221"/>
      <c r="J14" s="221"/>
      <c r="K14" s="222"/>
      <c r="L14" s="468"/>
      <c r="M14" s="223"/>
      <c r="N14" s="454"/>
      <c r="O14" s="454"/>
      <c r="P14" s="221"/>
      <c r="Q14" s="221"/>
      <c r="R14" s="222"/>
      <c r="S14" s="220"/>
      <c r="T14" s="459"/>
      <c r="U14" s="221"/>
      <c r="V14" s="221"/>
      <c r="W14" s="222"/>
      <c r="X14" s="220"/>
      <c r="Y14" s="459"/>
      <c r="Z14" s="221"/>
      <c r="AA14" s="221"/>
      <c r="AB14" s="222"/>
      <c r="AC14" s="220"/>
      <c r="AD14" s="459"/>
      <c r="AE14" s="221"/>
      <c r="AF14" s="221"/>
      <c r="AG14" s="222"/>
      <c r="AH14" s="220"/>
      <c r="AI14" s="459"/>
      <c r="AJ14" s="221"/>
      <c r="AK14" s="221"/>
      <c r="AL14" s="222"/>
      <c r="AM14" s="220"/>
      <c r="AN14" s="459"/>
      <c r="AO14" s="221"/>
      <c r="AP14" s="221"/>
      <c r="AQ14" s="222"/>
      <c r="AR14" s="220"/>
      <c r="AS14" s="459"/>
      <c r="AT14" s="221"/>
      <c r="AU14" s="221"/>
      <c r="AV14" s="222"/>
      <c r="AW14" s="220"/>
      <c r="AX14" s="459"/>
    </row>
    <row r="15" spans="1:50" ht="14.25">
      <c r="A15" s="213"/>
      <c r="B15" s="458"/>
      <c r="C15" s="220">
        <v>9</v>
      </c>
      <c r="D15" s="224"/>
      <c r="E15" s="221"/>
      <c r="F15" s="221"/>
      <c r="G15" s="222"/>
      <c r="H15" s="468"/>
      <c r="I15" s="221"/>
      <c r="J15" s="221"/>
      <c r="K15" s="222"/>
      <c r="L15" s="468"/>
      <c r="M15" s="223"/>
      <c r="N15" s="454"/>
      <c r="O15" s="454"/>
      <c r="P15" s="221"/>
      <c r="Q15" s="221"/>
      <c r="R15" s="222"/>
      <c r="S15" s="220"/>
      <c r="T15" s="459"/>
      <c r="U15" s="221"/>
      <c r="V15" s="221"/>
      <c r="W15" s="222"/>
      <c r="X15" s="220"/>
      <c r="Y15" s="459"/>
      <c r="Z15" s="221"/>
      <c r="AA15" s="221"/>
      <c r="AB15" s="222"/>
      <c r="AC15" s="220"/>
      <c r="AD15" s="459"/>
      <c r="AE15" s="221"/>
      <c r="AF15" s="221"/>
      <c r="AG15" s="222"/>
      <c r="AH15" s="220"/>
      <c r="AI15" s="459"/>
      <c r="AJ15" s="221"/>
      <c r="AK15" s="221"/>
      <c r="AL15" s="222"/>
      <c r="AM15" s="220"/>
      <c r="AN15" s="459"/>
      <c r="AO15" s="221"/>
      <c r="AP15" s="221"/>
      <c r="AQ15" s="222"/>
      <c r="AR15" s="220"/>
      <c r="AS15" s="459"/>
      <c r="AT15" s="221"/>
      <c r="AU15" s="221"/>
      <c r="AV15" s="222"/>
      <c r="AW15" s="220"/>
      <c r="AX15" s="459"/>
    </row>
    <row r="16" spans="1:50" ht="14.25">
      <c r="A16" s="213"/>
      <c r="B16" s="458"/>
      <c r="C16" s="220">
        <v>10</v>
      </c>
      <c r="D16" s="224"/>
      <c r="E16" s="221"/>
      <c r="F16" s="221"/>
      <c r="G16" s="222"/>
      <c r="H16" s="468"/>
      <c r="I16" s="221"/>
      <c r="J16" s="221"/>
      <c r="K16" s="222"/>
      <c r="L16" s="468"/>
      <c r="M16" s="223"/>
      <c r="N16" s="454"/>
      <c r="O16" s="454"/>
      <c r="P16" s="221"/>
      <c r="Q16" s="221"/>
      <c r="R16" s="222"/>
      <c r="S16" s="220"/>
      <c r="T16" s="459"/>
      <c r="U16" s="221"/>
      <c r="V16" s="221"/>
      <c r="W16" s="222"/>
      <c r="X16" s="220"/>
      <c r="Y16" s="459"/>
      <c r="Z16" s="221"/>
      <c r="AA16" s="221"/>
      <c r="AB16" s="222"/>
      <c r="AC16" s="220"/>
      <c r="AD16" s="459"/>
      <c r="AE16" s="221"/>
      <c r="AF16" s="221"/>
      <c r="AG16" s="222"/>
      <c r="AH16" s="220"/>
      <c r="AI16" s="459"/>
      <c r="AJ16" s="221"/>
      <c r="AK16" s="221"/>
      <c r="AL16" s="222"/>
      <c r="AM16" s="220"/>
      <c r="AN16" s="459"/>
      <c r="AO16" s="221"/>
      <c r="AP16" s="221"/>
      <c r="AQ16" s="222"/>
      <c r="AR16" s="220"/>
      <c r="AS16" s="459"/>
      <c r="AT16" s="221"/>
      <c r="AU16" s="221"/>
      <c r="AV16" s="222"/>
      <c r="AW16" s="220"/>
      <c r="AX16" s="459"/>
    </row>
    <row r="17" spans="2:50" ht="13.5">
      <c r="B17" s="458"/>
      <c r="C17" s="220">
        <v>11</v>
      </c>
      <c r="D17" s="224"/>
      <c r="E17" s="221"/>
      <c r="F17" s="221"/>
      <c r="G17" s="222"/>
      <c r="H17" s="468"/>
      <c r="I17" s="221"/>
      <c r="J17" s="221"/>
      <c r="K17" s="222"/>
      <c r="L17" s="468"/>
      <c r="M17" s="223"/>
      <c r="N17" s="454"/>
      <c r="O17" s="454"/>
      <c r="P17" s="220"/>
      <c r="Q17" s="220"/>
      <c r="R17" s="222"/>
      <c r="S17" s="220"/>
      <c r="T17" s="459"/>
      <c r="U17" s="220"/>
      <c r="V17" s="220"/>
      <c r="W17" s="222"/>
      <c r="X17" s="220"/>
      <c r="Y17" s="459"/>
      <c r="Z17" s="220"/>
      <c r="AA17" s="220"/>
      <c r="AB17" s="222"/>
      <c r="AC17" s="220"/>
      <c r="AD17" s="459"/>
      <c r="AE17" s="220"/>
      <c r="AF17" s="220"/>
      <c r="AG17" s="222"/>
      <c r="AH17" s="220"/>
      <c r="AI17" s="459"/>
      <c r="AJ17" s="220"/>
      <c r="AK17" s="220"/>
      <c r="AL17" s="220"/>
      <c r="AM17" s="220"/>
      <c r="AN17" s="459"/>
      <c r="AO17" s="220"/>
      <c r="AP17" s="220"/>
      <c r="AQ17" s="222"/>
      <c r="AR17" s="220"/>
      <c r="AS17" s="459"/>
      <c r="AT17" s="220"/>
      <c r="AU17" s="220"/>
      <c r="AV17" s="222"/>
      <c r="AW17" s="220"/>
      <c r="AX17" s="459"/>
    </row>
    <row r="18" spans="2:50" ht="13.5">
      <c r="B18" s="458"/>
      <c r="C18" s="220">
        <v>12</v>
      </c>
      <c r="D18" s="224"/>
      <c r="E18" s="221"/>
      <c r="F18" s="221"/>
      <c r="G18" s="222"/>
      <c r="H18" s="468"/>
      <c r="I18" s="221"/>
      <c r="J18" s="221"/>
      <c r="K18" s="222"/>
      <c r="L18" s="468"/>
      <c r="M18" s="223"/>
      <c r="N18" s="454"/>
      <c r="O18" s="454"/>
      <c r="P18" s="220"/>
      <c r="Q18" s="220"/>
      <c r="R18" s="222"/>
      <c r="S18" s="220"/>
      <c r="T18" s="459"/>
      <c r="U18" s="220"/>
      <c r="V18" s="220"/>
      <c r="W18" s="222"/>
      <c r="X18" s="220"/>
      <c r="Y18" s="459"/>
      <c r="Z18" s="220"/>
      <c r="AA18" s="220"/>
      <c r="AB18" s="222"/>
      <c r="AC18" s="220"/>
      <c r="AD18" s="459"/>
      <c r="AE18" s="220"/>
      <c r="AF18" s="220"/>
      <c r="AG18" s="222"/>
      <c r="AH18" s="220"/>
      <c r="AI18" s="459"/>
      <c r="AJ18" s="220"/>
      <c r="AK18" s="220"/>
      <c r="AL18" s="220"/>
      <c r="AM18" s="220"/>
      <c r="AN18" s="459"/>
      <c r="AO18" s="220"/>
      <c r="AP18" s="220"/>
      <c r="AQ18" s="222"/>
      <c r="AR18" s="220"/>
      <c r="AS18" s="459"/>
      <c r="AT18" s="220"/>
      <c r="AU18" s="220"/>
      <c r="AV18" s="222"/>
      <c r="AW18" s="220"/>
      <c r="AX18" s="459"/>
    </row>
    <row r="19" spans="2:50" ht="13.5">
      <c r="B19" s="458"/>
      <c r="C19" s="220">
        <v>13</v>
      </c>
      <c r="D19" s="224"/>
      <c r="E19" s="221"/>
      <c r="F19" s="221"/>
      <c r="G19" s="222"/>
      <c r="H19" s="468"/>
      <c r="I19" s="221"/>
      <c r="J19" s="221"/>
      <c r="K19" s="222"/>
      <c r="L19" s="468"/>
      <c r="M19" s="223"/>
      <c r="N19" s="454"/>
      <c r="O19" s="454"/>
      <c r="P19" s="220"/>
      <c r="Q19" s="220"/>
      <c r="R19" s="222"/>
      <c r="S19" s="220"/>
      <c r="T19" s="459"/>
      <c r="U19" s="220"/>
      <c r="V19" s="220"/>
      <c r="W19" s="222"/>
      <c r="X19" s="220"/>
      <c r="Y19" s="459"/>
      <c r="Z19" s="220"/>
      <c r="AA19" s="220"/>
      <c r="AB19" s="222"/>
      <c r="AC19" s="220"/>
      <c r="AD19" s="459"/>
      <c r="AE19" s="220"/>
      <c r="AF19" s="220"/>
      <c r="AG19" s="222"/>
      <c r="AH19" s="220"/>
      <c r="AI19" s="459"/>
      <c r="AJ19" s="220"/>
      <c r="AK19" s="220"/>
      <c r="AL19" s="220"/>
      <c r="AM19" s="220"/>
      <c r="AN19" s="459"/>
      <c r="AO19" s="220"/>
      <c r="AP19" s="220"/>
      <c r="AQ19" s="222"/>
      <c r="AR19" s="220"/>
      <c r="AS19" s="459"/>
      <c r="AT19" s="220"/>
      <c r="AU19" s="220"/>
      <c r="AV19" s="222"/>
      <c r="AW19" s="220"/>
      <c r="AX19" s="459"/>
    </row>
    <row r="20" spans="2:50" ht="13.5">
      <c r="B20" s="458"/>
      <c r="C20" s="220">
        <v>14</v>
      </c>
      <c r="D20" s="224"/>
      <c r="E20" s="221"/>
      <c r="F20" s="221"/>
      <c r="G20" s="222"/>
      <c r="H20" s="468"/>
      <c r="I20" s="221"/>
      <c r="J20" s="221"/>
      <c r="K20" s="222"/>
      <c r="L20" s="468"/>
      <c r="M20" s="223"/>
      <c r="N20" s="454"/>
      <c r="O20" s="454"/>
      <c r="P20" s="220"/>
      <c r="Q20" s="220"/>
      <c r="R20" s="222"/>
      <c r="S20" s="220"/>
      <c r="T20" s="459"/>
      <c r="U20" s="220"/>
      <c r="V20" s="220"/>
      <c r="W20" s="222"/>
      <c r="X20" s="220"/>
      <c r="Y20" s="459"/>
      <c r="Z20" s="220"/>
      <c r="AA20" s="220"/>
      <c r="AB20" s="222"/>
      <c r="AC20" s="220"/>
      <c r="AD20" s="459"/>
      <c r="AE20" s="220"/>
      <c r="AF20" s="220"/>
      <c r="AG20" s="222"/>
      <c r="AH20" s="220"/>
      <c r="AI20" s="459"/>
      <c r="AJ20" s="220"/>
      <c r="AK20" s="220"/>
      <c r="AL20" s="220"/>
      <c r="AM20" s="220"/>
      <c r="AN20" s="459"/>
      <c r="AO20" s="220"/>
      <c r="AP20" s="220"/>
      <c r="AQ20" s="222"/>
      <c r="AR20" s="220"/>
      <c r="AS20" s="459"/>
      <c r="AT20" s="220"/>
      <c r="AU20" s="220"/>
      <c r="AV20" s="222"/>
      <c r="AW20" s="220"/>
      <c r="AX20" s="459"/>
    </row>
    <row r="21" spans="2:50" ht="13.5">
      <c r="B21" s="458"/>
      <c r="C21" s="220">
        <v>15</v>
      </c>
      <c r="D21" s="224"/>
      <c r="E21" s="221"/>
      <c r="F21" s="221"/>
      <c r="G21" s="222"/>
      <c r="H21" s="469"/>
      <c r="I21" s="221"/>
      <c r="J21" s="221"/>
      <c r="K21" s="222"/>
      <c r="L21" s="469"/>
      <c r="M21" s="221"/>
      <c r="N21" s="454"/>
      <c r="O21" s="454"/>
      <c r="P21" s="220"/>
      <c r="Q21" s="220"/>
      <c r="R21" s="222"/>
      <c r="S21" s="220"/>
      <c r="T21" s="459"/>
      <c r="U21" s="220"/>
      <c r="V21" s="220"/>
      <c r="W21" s="222"/>
      <c r="X21" s="220"/>
      <c r="Y21" s="459"/>
      <c r="Z21" s="220"/>
      <c r="AA21" s="220"/>
      <c r="AB21" s="222"/>
      <c r="AC21" s="220"/>
      <c r="AD21" s="459"/>
      <c r="AE21" s="220"/>
      <c r="AF21" s="220"/>
      <c r="AG21" s="222"/>
      <c r="AH21" s="220"/>
      <c r="AI21" s="459"/>
      <c r="AJ21" s="220"/>
      <c r="AK21" s="220"/>
      <c r="AL21" s="220"/>
      <c r="AM21" s="220"/>
      <c r="AN21" s="459"/>
      <c r="AO21" s="220"/>
      <c r="AP21" s="220"/>
      <c r="AQ21" s="222"/>
      <c r="AR21" s="220"/>
      <c r="AS21" s="459"/>
      <c r="AT21" s="220"/>
      <c r="AU21" s="220"/>
      <c r="AV21" s="222"/>
      <c r="AW21" s="220"/>
      <c r="AX21" s="459"/>
    </row>
    <row r="22" spans="2:50" ht="15.75">
      <c r="B22" s="474" t="s">
        <v>43</v>
      </c>
      <c r="C22" s="475"/>
      <c r="D22" s="475"/>
      <c r="E22" s="475"/>
      <c r="F22" s="475"/>
      <c r="G22" s="475"/>
      <c r="H22" s="475"/>
      <c r="I22" s="214"/>
      <c r="J22" s="214"/>
      <c r="K22" s="214"/>
      <c r="L22" s="214"/>
      <c r="M22" s="215"/>
      <c r="N22" s="455" t="s">
        <v>44</v>
      </c>
      <c r="O22" s="455" t="s">
        <v>3</v>
      </c>
      <c r="P22" s="457">
        <v>46084</v>
      </c>
      <c r="Q22" s="458"/>
      <c r="R22" s="458"/>
      <c r="S22" s="458"/>
      <c r="T22" s="458"/>
      <c r="U22" s="457">
        <v>46085</v>
      </c>
      <c r="V22" s="458"/>
      <c r="W22" s="458"/>
      <c r="X22" s="458"/>
      <c r="Y22" s="458"/>
      <c r="Z22" s="457">
        <v>46086</v>
      </c>
      <c r="AA22" s="458"/>
      <c r="AB22" s="458"/>
      <c r="AC22" s="458"/>
      <c r="AD22" s="458"/>
      <c r="AE22" s="457">
        <v>46087</v>
      </c>
      <c r="AF22" s="458"/>
      <c r="AG22" s="458"/>
      <c r="AH22" s="458"/>
      <c r="AI22" s="458"/>
      <c r="AJ22" s="457">
        <v>46088</v>
      </c>
      <c r="AK22" s="458"/>
      <c r="AL22" s="458"/>
      <c r="AM22" s="458"/>
      <c r="AN22" s="458"/>
      <c r="AO22" s="457">
        <v>46089</v>
      </c>
      <c r="AP22" s="458"/>
      <c r="AQ22" s="458"/>
      <c r="AR22" s="458"/>
      <c r="AS22" s="458"/>
      <c r="AT22" s="457">
        <v>46090</v>
      </c>
      <c r="AU22" s="458"/>
      <c r="AV22" s="458"/>
      <c r="AW22" s="458"/>
      <c r="AX22" s="458"/>
    </row>
    <row r="23" spans="2:50" ht="15.75">
      <c r="B23" s="466"/>
      <c r="C23" s="466"/>
      <c r="D23" s="466"/>
      <c r="E23" s="466"/>
      <c r="F23" s="466"/>
      <c r="G23" s="466"/>
      <c r="H23" s="466"/>
      <c r="I23" s="216"/>
      <c r="J23" s="216"/>
      <c r="K23" s="216"/>
      <c r="L23" s="216"/>
      <c r="M23" s="217"/>
      <c r="N23" s="456"/>
      <c r="O23" s="456"/>
      <c r="P23" s="457" t="s">
        <v>15</v>
      </c>
      <c r="Q23" s="458"/>
      <c r="R23" s="458"/>
      <c r="S23" s="458"/>
      <c r="T23" s="458"/>
      <c r="U23" s="457" t="s">
        <v>13</v>
      </c>
      <c r="V23" s="458"/>
      <c r="W23" s="458"/>
      <c r="X23" s="458"/>
      <c r="Y23" s="458"/>
      <c r="Z23" s="457" t="s">
        <v>16</v>
      </c>
      <c r="AA23" s="458"/>
      <c r="AB23" s="458"/>
      <c r="AC23" s="458"/>
      <c r="AD23" s="458"/>
      <c r="AE23" s="457" t="s">
        <v>17</v>
      </c>
      <c r="AF23" s="458"/>
      <c r="AG23" s="458"/>
      <c r="AH23" s="458"/>
      <c r="AI23" s="458"/>
      <c r="AJ23" s="457" t="s">
        <v>18</v>
      </c>
      <c r="AK23" s="458"/>
      <c r="AL23" s="458"/>
      <c r="AM23" s="458"/>
      <c r="AN23" s="458"/>
      <c r="AO23" s="457" t="s">
        <v>10</v>
      </c>
      <c r="AP23" s="458"/>
      <c r="AQ23" s="458"/>
      <c r="AR23" s="458"/>
      <c r="AS23" s="458"/>
      <c r="AT23" s="457" t="s">
        <v>14</v>
      </c>
      <c r="AU23" s="458"/>
      <c r="AV23" s="458"/>
      <c r="AW23" s="458"/>
      <c r="AX23" s="458"/>
    </row>
    <row r="24" spans="2:50">
      <c r="B24" s="454" t="s">
        <v>45</v>
      </c>
      <c r="C24" s="454" t="s">
        <v>46</v>
      </c>
      <c r="D24" s="454"/>
      <c r="E24" s="454" t="s">
        <v>47</v>
      </c>
      <c r="F24" s="454"/>
      <c r="G24" s="454"/>
      <c r="H24" s="470" t="s">
        <v>48</v>
      </c>
      <c r="I24" s="454" t="s">
        <v>49</v>
      </c>
      <c r="J24" s="454"/>
      <c r="K24" s="454"/>
      <c r="L24" s="470" t="s">
        <v>48</v>
      </c>
      <c r="M24" s="455" t="s">
        <v>50</v>
      </c>
      <c r="N24" s="454"/>
      <c r="O24" s="454" t="s">
        <v>51</v>
      </c>
      <c r="P24" s="451" t="s">
        <v>52</v>
      </c>
      <c r="Q24" s="452"/>
      <c r="R24" s="452"/>
      <c r="S24" s="453"/>
      <c r="T24" s="454" t="s">
        <v>48</v>
      </c>
      <c r="U24" s="451" t="s">
        <v>52</v>
      </c>
      <c r="V24" s="452"/>
      <c r="W24" s="452"/>
      <c r="X24" s="453"/>
      <c r="Y24" s="454" t="s">
        <v>48</v>
      </c>
      <c r="Z24" s="451" t="s">
        <v>52</v>
      </c>
      <c r="AA24" s="452"/>
      <c r="AB24" s="452"/>
      <c r="AC24" s="453"/>
      <c r="AD24" s="454" t="s">
        <v>48</v>
      </c>
      <c r="AE24" s="451" t="s">
        <v>52</v>
      </c>
      <c r="AF24" s="452"/>
      <c r="AG24" s="452"/>
      <c r="AH24" s="453"/>
      <c r="AI24" s="454" t="s">
        <v>48</v>
      </c>
      <c r="AJ24" s="451" t="s">
        <v>52</v>
      </c>
      <c r="AK24" s="452"/>
      <c r="AL24" s="452"/>
      <c r="AM24" s="453"/>
      <c r="AN24" s="454" t="s">
        <v>48</v>
      </c>
      <c r="AO24" s="451" t="s">
        <v>52</v>
      </c>
      <c r="AP24" s="452"/>
      <c r="AQ24" s="452"/>
      <c r="AR24" s="453"/>
      <c r="AS24" s="454" t="s">
        <v>48</v>
      </c>
      <c r="AT24" s="451" t="s">
        <v>52</v>
      </c>
      <c r="AU24" s="452"/>
      <c r="AV24" s="452"/>
      <c r="AW24" s="453"/>
      <c r="AX24" s="454" t="s">
        <v>48</v>
      </c>
    </row>
    <row r="25" spans="2:50">
      <c r="B25" s="454"/>
      <c r="C25" s="454"/>
      <c r="D25" s="454"/>
      <c r="E25" s="454" t="s">
        <v>53</v>
      </c>
      <c r="F25" s="454"/>
      <c r="G25" s="454"/>
      <c r="H25" s="471"/>
      <c r="I25" s="454" t="s">
        <v>53</v>
      </c>
      <c r="J25" s="454"/>
      <c r="K25" s="454"/>
      <c r="L25" s="471"/>
      <c r="M25" s="463"/>
      <c r="N25" s="454"/>
      <c r="O25" s="454"/>
      <c r="P25" s="451" t="s">
        <v>54</v>
      </c>
      <c r="Q25" s="452"/>
      <c r="R25" s="452"/>
      <c r="S25" s="453"/>
      <c r="T25" s="454"/>
      <c r="U25" s="451" t="s">
        <v>54</v>
      </c>
      <c r="V25" s="452"/>
      <c r="W25" s="452"/>
      <c r="X25" s="453"/>
      <c r="Y25" s="454"/>
      <c r="Z25" s="451" t="s">
        <v>54</v>
      </c>
      <c r="AA25" s="452"/>
      <c r="AB25" s="452"/>
      <c r="AC25" s="453"/>
      <c r="AD25" s="454"/>
      <c r="AE25" s="451" t="s">
        <v>54</v>
      </c>
      <c r="AF25" s="452"/>
      <c r="AG25" s="452"/>
      <c r="AH25" s="453"/>
      <c r="AI25" s="454"/>
      <c r="AJ25" s="451" t="s">
        <v>54</v>
      </c>
      <c r="AK25" s="452"/>
      <c r="AL25" s="452"/>
      <c r="AM25" s="453"/>
      <c r="AN25" s="454"/>
      <c r="AO25" s="451" t="s">
        <v>54</v>
      </c>
      <c r="AP25" s="452"/>
      <c r="AQ25" s="452"/>
      <c r="AR25" s="453"/>
      <c r="AS25" s="454"/>
      <c r="AT25" s="451" t="s">
        <v>54</v>
      </c>
      <c r="AU25" s="452"/>
      <c r="AV25" s="452"/>
      <c r="AW25" s="453"/>
      <c r="AX25" s="454"/>
    </row>
    <row r="26" spans="2:50">
      <c r="B26" s="454"/>
      <c r="C26" s="454"/>
      <c r="D26" s="454"/>
      <c r="E26" s="219" t="s">
        <v>55</v>
      </c>
      <c r="F26" s="219" t="s">
        <v>56</v>
      </c>
      <c r="G26" s="219" t="s">
        <v>57</v>
      </c>
      <c r="H26" s="472"/>
      <c r="I26" s="219" t="s">
        <v>55</v>
      </c>
      <c r="J26" s="219" t="s">
        <v>56</v>
      </c>
      <c r="K26" s="219" t="s">
        <v>57</v>
      </c>
      <c r="L26" s="472"/>
      <c r="M26" s="456"/>
      <c r="N26" s="454"/>
      <c r="O26" s="454"/>
      <c r="P26" s="219" t="s">
        <v>55</v>
      </c>
      <c r="Q26" s="219" t="s">
        <v>56</v>
      </c>
      <c r="R26" s="219" t="s">
        <v>57</v>
      </c>
      <c r="S26" s="219" t="s">
        <v>50</v>
      </c>
      <c r="T26" s="454"/>
      <c r="U26" s="219" t="s">
        <v>55</v>
      </c>
      <c r="V26" s="219" t="s">
        <v>56</v>
      </c>
      <c r="W26" s="219" t="s">
        <v>57</v>
      </c>
      <c r="X26" s="219" t="s">
        <v>50</v>
      </c>
      <c r="Y26" s="454"/>
      <c r="Z26" s="219" t="s">
        <v>55</v>
      </c>
      <c r="AA26" s="219" t="s">
        <v>56</v>
      </c>
      <c r="AB26" s="219" t="s">
        <v>57</v>
      </c>
      <c r="AC26" s="219" t="s">
        <v>50</v>
      </c>
      <c r="AD26" s="454"/>
      <c r="AE26" s="219" t="s">
        <v>55</v>
      </c>
      <c r="AF26" s="219" t="s">
        <v>56</v>
      </c>
      <c r="AG26" s="219" t="s">
        <v>57</v>
      </c>
      <c r="AH26" s="219" t="s">
        <v>50</v>
      </c>
      <c r="AI26" s="454"/>
      <c r="AJ26" s="219" t="s">
        <v>55</v>
      </c>
      <c r="AK26" s="219" t="s">
        <v>56</v>
      </c>
      <c r="AL26" s="219" t="s">
        <v>57</v>
      </c>
      <c r="AM26" s="219" t="s">
        <v>50</v>
      </c>
      <c r="AN26" s="454"/>
      <c r="AO26" s="219" t="s">
        <v>55</v>
      </c>
      <c r="AP26" s="219" t="s">
        <v>56</v>
      </c>
      <c r="AQ26" s="219" t="s">
        <v>57</v>
      </c>
      <c r="AR26" s="219" t="s">
        <v>50</v>
      </c>
      <c r="AS26" s="454"/>
      <c r="AT26" s="219" t="s">
        <v>55</v>
      </c>
      <c r="AU26" s="219" t="s">
        <v>56</v>
      </c>
      <c r="AV26" s="219" t="s">
        <v>57</v>
      </c>
      <c r="AW26" s="219" t="s">
        <v>50</v>
      </c>
      <c r="AX26" s="454"/>
    </row>
    <row r="27" spans="2:50" ht="13.5">
      <c r="B27" s="454" t="s">
        <v>34</v>
      </c>
      <c r="C27" s="220">
        <v>1</v>
      </c>
      <c r="D27" s="224" t="s">
        <v>60</v>
      </c>
      <c r="E27" s="221">
        <f>VLOOKUP(D27,'12產線配置圖'!$A$2:$C$30,2,0)</f>
        <v>13</v>
      </c>
      <c r="F27" s="221">
        <f>VLOOKUP(D27,'12產線配置圖'!$A$2:$C$30,3,0)</f>
        <v>1565</v>
      </c>
      <c r="G27" s="222">
        <f>F27/E27</f>
        <v>120.38461538461539</v>
      </c>
      <c r="H27" s="467">
        <f>AVERAGE(G27:G41)</f>
        <v>140.74893162393164</v>
      </c>
      <c r="I27" s="221">
        <f>AVERAGE(P27,U27,Z27,AE27,AJ27,AO27,AT27)</f>
        <v>13.285714285714286</v>
      </c>
      <c r="J27" s="221">
        <f>AVERAGE(Q27,V27,AA27,AF27,AK27,AP27,AU27)</f>
        <v>1508.4285714285713</v>
      </c>
      <c r="K27" s="222">
        <f>AVERAGE(R27,W27,AB27,AG27,AL27,AQ27,AV27)</f>
        <v>113.45839874411304</v>
      </c>
      <c r="L27" s="467">
        <f>IFERROR(AVERAGE(K27:K41),"-")</f>
        <v>124.31407104799962</v>
      </c>
      <c r="M27" s="223">
        <f>RANK(K27, K$27:$K$41)</f>
        <v>3</v>
      </c>
      <c r="N27" s="454"/>
      <c r="O27" s="454"/>
      <c r="P27" s="221">
        <v>13</v>
      </c>
      <c r="Q27" s="221">
        <v>1547</v>
      </c>
      <c r="R27" s="222">
        <f>Q27/P27</f>
        <v>119</v>
      </c>
      <c r="S27" s="220">
        <f>RANK(R27, $R$27:$R$41)</f>
        <v>3</v>
      </c>
      <c r="T27" s="459">
        <f>AVERAGE(R27:R41)</f>
        <v>126.05235042735042</v>
      </c>
      <c r="U27" s="383">
        <v>14</v>
      </c>
      <c r="V27" s="221">
        <v>1604</v>
      </c>
      <c r="W27" s="222">
        <f>V27/U27</f>
        <v>114.57142857142857</v>
      </c>
      <c r="X27" s="220">
        <f>RANK(W27, $W$27:$W$41)</f>
        <v>3</v>
      </c>
      <c r="Y27" s="459">
        <f>AVERAGE(W27:W41)</f>
        <v>124.1143315018315</v>
      </c>
      <c r="Z27" s="383">
        <v>14</v>
      </c>
      <c r="AA27" s="221">
        <v>1676</v>
      </c>
      <c r="AB27" s="222">
        <f>AA27/Z27</f>
        <v>119.71428571428571</v>
      </c>
      <c r="AC27" s="220">
        <f>RANK(AB27,$AB$27:$AB$41)</f>
        <v>2</v>
      </c>
      <c r="AD27" s="459">
        <f>AVERAGE(AB27:AB41)</f>
        <v>117.1299603174603</v>
      </c>
      <c r="AE27" s="221">
        <v>13</v>
      </c>
      <c r="AF27" s="221">
        <v>1258</v>
      </c>
      <c r="AG27" s="382">
        <f>AF27/AE27</f>
        <v>96.769230769230774</v>
      </c>
      <c r="AH27" s="220">
        <f>RANK(AG27, $AG$27:$AG$41)</f>
        <v>4</v>
      </c>
      <c r="AI27" s="459">
        <f>AVERAGE(AG27:AG41)</f>
        <v>115.24533799533801</v>
      </c>
      <c r="AJ27" s="221">
        <v>13</v>
      </c>
      <c r="AK27" s="221">
        <v>1543</v>
      </c>
      <c r="AL27" s="222">
        <f>AK27/AJ27</f>
        <v>118.69230769230769</v>
      </c>
      <c r="AM27" s="220">
        <f>RANK(AL27, $AL$27:$AL$41)</f>
        <v>3</v>
      </c>
      <c r="AN27" s="459">
        <f>AVERAGE(AL27:AL41)</f>
        <v>129.43002136752136</v>
      </c>
      <c r="AO27" s="221">
        <v>13</v>
      </c>
      <c r="AP27" s="221">
        <v>1411</v>
      </c>
      <c r="AQ27" s="222">
        <f>AP27/AO27</f>
        <v>108.53846153846153</v>
      </c>
      <c r="AR27" s="220">
        <f>RANK(AQ27, $AQ$27:$AQ$41)</f>
        <v>3</v>
      </c>
      <c r="AS27" s="459">
        <f>AVERAGE(AQ27:AQ41)</f>
        <v>126.48878205128204</v>
      </c>
      <c r="AT27" s="221">
        <v>13</v>
      </c>
      <c r="AU27" s="221">
        <v>1520</v>
      </c>
      <c r="AV27" s="222">
        <f>AU27/AT27</f>
        <v>116.92307692307692</v>
      </c>
      <c r="AW27" s="220">
        <f>RANK(AV27, $AV$27:$AV$41)</f>
        <v>4</v>
      </c>
      <c r="AX27" s="459">
        <f>AVERAGE(AV27:AV41)</f>
        <v>131.73771367521368</v>
      </c>
    </row>
    <row r="28" spans="2:50" ht="13.5">
      <c r="B28" s="458"/>
      <c r="C28" s="220">
        <v>2</v>
      </c>
      <c r="D28" s="224" t="s">
        <v>61</v>
      </c>
      <c r="E28" s="221">
        <f>VLOOKUP(D28,'12產線配置圖'!$A$2:$C$30,2,0)</f>
        <v>12</v>
      </c>
      <c r="F28" s="221">
        <f>VLOOKUP(D28,'12產線配置圖'!$A$2:$C$30,3,0)</f>
        <v>1565</v>
      </c>
      <c r="G28" s="222">
        <f>F28/E28</f>
        <v>130.41666666666666</v>
      </c>
      <c r="H28" s="468"/>
      <c r="I28" s="221">
        <f t="shared" ref="I28:K29" si="13">AVERAGE(P28,U28,Z28,AE28,AJ28,AO28,AT28)</f>
        <v>12.142857142857142</v>
      </c>
      <c r="J28" s="221">
        <f t="shared" si="13"/>
        <v>1493.4285714285713</v>
      </c>
      <c r="K28" s="222">
        <f t="shared" si="13"/>
        <v>122.96703296703296</v>
      </c>
      <c r="L28" s="468"/>
      <c r="M28" s="223">
        <f>RANK(K28, K$27:$K$41)</f>
        <v>2</v>
      </c>
      <c r="N28" s="454"/>
      <c r="O28" s="454"/>
      <c r="P28" s="221">
        <v>12</v>
      </c>
      <c r="Q28" s="221">
        <v>1522</v>
      </c>
      <c r="R28" s="222">
        <f>Q28/P28</f>
        <v>126.83333333333333</v>
      </c>
      <c r="S28" s="220">
        <f>RANK(R28, $R$27:$R$41)</f>
        <v>2</v>
      </c>
      <c r="T28" s="459"/>
      <c r="U28" s="383">
        <v>13</v>
      </c>
      <c r="V28" s="221">
        <v>1622</v>
      </c>
      <c r="W28" s="222">
        <f>V28/U28</f>
        <v>124.76923076923077</v>
      </c>
      <c r="X28" s="220">
        <f>RANK(W28, $W$27:$W$41)</f>
        <v>2</v>
      </c>
      <c r="Y28" s="459"/>
      <c r="Z28" s="221">
        <v>12</v>
      </c>
      <c r="AA28" s="221">
        <v>1393</v>
      </c>
      <c r="AB28" s="222">
        <f>AA28/Z28</f>
        <v>116.08333333333333</v>
      </c>
      <c r="AC28" s="220">
        <f t="shared" ref="AC28:AC30" si="14">RANK(AB28,$AB$27:$AB$41)</f>
        <v>3</v>
      </c>
      <c r="AD28" s="459"/>
      <c r="AE28" s="221">
        <v>12</v>
      </c>
      <c r="AF28" s="221">
        <v>1316</v>
      </c>
      <c r="AG28" s="382">
        <f>AF28/AE28</f>
        <v>109.66666666666667</v>
      </c>
      <c r="AH28" s="220">
        <f t="shared" ref="AH28:AH30" si="15">RANK(AG28, $AG$27:$AG$41)</f>
        <v>2</v>
      </c>
      <c r="AI28" s="459"/>
      <c r="AJ28" s="221">
        <v>12</v>
      </c>
      <c r="AK28" s="221">
        <v>1515</v>
      </c>
      <c r="AL28" s="222">
        <f>AK28/AJ28</f>
        <v>126.25</v>
      </c>
      <c r="AM28" s="220">
        <f t="shared" ref="AM28:AM30" si="16">RANK(AL28, $AL$27:$AL$41)</f>
        <v>2</v>
      </c>
      <c r="AN28" s="459"/>
      <c r="AO28" s="221">
        <v>12</v>
      </c>
      <c r="AP28" s="221">
        <v>1559</v>
      </c>
      <c r="AQ28" s="222">
        <f>AP28/AO28</f>
        <v>129.91666666666666</v>
      </c>
      <c r="AR28" s="220">
        <f>RANK(AQ28, $AQ$27:$AQ$41)</f>
        <v>2</v>
      </c>
      <c r="AS28" s="459"/>
      <c r="AT28" s="221">
        <v>12</v>
      </c>
      <c r="AU28" s="221">
        <v>1527</v>
      </c>
      <c r="AV28" s="222">
        <f>AU28/AT28</f>
        <v>127.25</v>
      </c>
      <c r="AW28" s="220">
        <f>RANK(AV28, $AV$27:$AV$41)</f>
        <v>2</v>
      </c>
      <c r="AX28" s="459"/>
    </row>
    <row r="29" spans="2:50" ht="13.5">
      <c r="B29" s="458"/>
      <c r="C29" s="220">
        <v>3</v>
      </c>
      <c r="D29" s="224" t="s">
        <v>62</v>
      </c>
      <c r="E29" s="221">
        <f>VLOOKUP(D29,'12產線配置圖'!$A$2:$C$30,2,0)</f>
        <v>12</v>
      </c>
      <c r="F29" s="221">
        <f>VLOOKUP(D29,'12產線配置圖'!$A$2:$C$30,3,0)</f>
        <v>1565</v>
      </c>
      <c r="G29" s="222">
        <f>F29/E29</f>
        <v>130.41666666666666</v>
      </c>
      <c r="H29" s="468"/>
      <c r="I29" s="221">
        <f t="shared" si="13"/>
        <v>11.571428571428571</v>
      </c>
      <c r="J29" s="221">
        <f t="shared" si="13"/>
        <v>1193.1428571428571</v>
      </c>
      <c r="K29" s="222">
        <f t="shared" si="13"/>
        <v>103.27847152847151</v>
      </c>
      <c r="L29" s="468"/>
      <c r="M29" s="223">
        <f>RANK(K29, K$27:$K$41)</f>
        <v>4</v>
      </c>
      <c r="N29" s="454"/>
      <c r="O29" s="454"/>
      <c r="P29" s="383">
        <v>13</v>
      </c>
      <c r="Q29" s="221">
        <v>1380</v>
      </c>
      <c r="R29" s="222">
        <f>Q29/P29</f>
        <v>106.15384615384616</v>
      </c>
      <c r="S29" s="220">
        <f>RANK(R29, $R$27:$R$41)</f>
        <v>4</v>
      </c>
      <c r="T29" s="459"/>
      <c r="U29" s="398">
        <v>12</v>
      </c>
      <c r="V29" s="221">
        <v>1121</v>
      </c>
      <c r="W29" s="386">
        <f>V29/U29</f>
        <v>93.416666666666671</v>
      </c>
      <c r="X29" s="399">
        <f>RANK(W29, $W$27:$W$41)</f>
        <v>4</v>
      </c>
      <c r="Y29" s="459"/>
      <c r="Z29" s="221">
        <v>12</v>
      </c>
      <c r="AA29" s="221">
        <v>946</v>
      </c>
      <c r="AB29" s="382">
        <f>AA29/Z29</f>
        <v>78.833333333333329</v>
      </c>
      <c r="AC29" s="220">
        <f t="shared" si="14"/>
        <v>4</v>
      </c>
      <c r="AD29" s="459"/>
      <c r="AE29" s="398">
        <v>11</v>
      </c>
      <c r="AF29" s="221">
        <v>1161</v>
      </c>
      <c r="AG29" s="382">
        <f>AF29/AE29</f>
        <v>105.54545454545455</v>
      </c>
      <c r="AH29" s="220">
        <f t="shared" si="15"/>
        <v>3</v>
      </c>
      <c r="AI29" s="459"/>
      <c r="AJ29" s="221">
        <v>12</v>
      </c>
      <c r="AK29" s="221">
        <v>1312</v>
      </c>
      <c r="AL29" s="222">
        <f>AK29/AJ29</f>
        <v>109.33333333333333</v>
      </c>
      <c r="AM29" s="220">
        <f t="shared" si="16"/>
        <v>4</v>
      </c>
      <c r="AN29" s="459"/>
      <c r="AO29" s="398">
        <v>9</v>
      </c>
      <c r="AP29" s="221">
        <v>972</v>
      </c>
      <c r="AQ29" s="222">
        <f>AP29/AO29</f>
        <v>108</v>
      </c>
      <c r="AR29" s="220">
        <f>RANK(AQ29, $AQ$27:$AQ$41)</f>
        <v>4</v>
      </c>
      <c r="AS29" s="459"/>
      <c r="AT29" s="221">
        <v>12</v>
      </c>
      <c r="AU29" s="221">
        <v>1460</v>
      </c>
      <c r="AV29" s="222">
        <f>AU29/AT29</f>
        <v>121.66666666666667</v>
      </c>
      <c r="AW29" s="220">
        <f>RANK(AV29, $AV$27:$AV$41)</f>
        <v>3</v>
      </c>
      <c r="AX29" s="459"/>
    </row>
    <row r="30" spans="2:50" ht="13.5">
      <c r="B30" s="458"/>
      <c r="C30" s="220">
        <v>4</v>
      </c>
      <c r="D30" s="224" t="s">
        <v>63</v>
      </c>
      <c r="E30" s="221">
        <f>VLOOKUP(D30,'12產線配置圖'!$A$2:$C$30,2,0)</f>
        <v>9</v>
      </c>
      <c r="F30" s="221">
        <f>VLOOKUP(D30,'12產線配置圖'!$A$2:$C$30,3,0)</f>
        <v>1636</v>
      </c>
      <c r="G30" s="222">
        <f>F30/E30</f>
        <v>181.77777777777777</v>
      </c>
      <c r="H30" s="468"/>
      <c r="I30" s="221">
        <f>AVERAGE(P30,U30,Z30,AE30,AJ30,AO30,AT30)</f>
        <v>9</v>
      </c>
      <c r="J30" s="221">
        <f>AVERAGE(Q30,V30,AA30,AF30,AK30,AP30,AU30)</f>
        <v>1418.5714285714287</v>
      </c>
      <c r="K30" s="222">
        <f>AVERAGE(R30,W30,AB30,AG30,AL30,AQ30,AV30)</f>
        <v>157.55238095238096</v>
      </c>
      <c r="L30" s="468"/>
      <c r="M30" s="223">
        <f>RANK(K30, K$27:$K$41)</f>
        <v>1</v>
      </c>
      <c r="N30" s="454"/>
      <c r="O30" s="454"/>
      <c r="P30" s="221">
        <v>9</v>
      </c>
      <c r="Q30" s="221">
        <v>1370</v>
      </c>
      <c r="R30" s="222">
        <f>Q30/P30</f>
        <v>152.22222222222223</v>
      </c>
      <c r="S30" s="220">
        <f>RANK(R30, $R$27:$R$41)</f>
        <v>1</v>
      </c>
      <c r="T30" s="459"/>
      <c r="U30" s="383">
        <v>10</v>
      </c>
      <c r="V30" s="221">
        <v>1637</v>
      </c>
      <c r="W30" s="386">
        <f>V30/U30</f>
        <v>163.69999999999999</v>
      </c>
      <c r="X30" s="399">
        <f>RANK(W30, $W$27:$W$41)</f>
        <v>1</v>
      </c>
      <c r="Y30" s="459"/>
      <c r="Z30" s="221">
        <v>9</v>
      </c>
      <c r="AA30" s="221">
        <v>1385</v>
      </c>
      <c r="AB30" s="222">
        <f>AA30/Z30</f>
        <v>153.88888888888889</v>
      </c>
      <c r="AC30" s="220">
        <f t="shared" si="14"/>
        <v>1</v>
      </c>
      <c r="AD30" s="459"/>
      <c r="AE30" s="221">
        <v>9</v>
      </c>
      <c r="AF30" s="221">
        <v>1341</v>
      </c>
      <c r="AG30" s="222">
        <f>AF30/AE30</f>
        <v>149</v>
      </c>
      <c r="AH30" s="220">
        <f t="shared" si="15"/>
        <v>1</v>
      </c>
      <c r="AI30" s="459"/>
      <c r="AJ30" s="221">
        <v>9</v>
      </c>
      <c r="AK30" s="221">
        <v>1471</v>
      </c>
      <c r="AL30" s="222">
        <f>AK30/AJ30</f>
        <v>163.44444444444446</v>
      </c>
      <c r="AM30" s="220">
        <f t="shared" si="16"/>
        <v>1</v>
      </c>
      <c r="AN30" s="459"/>
      <c r="AO30" s="398">
        <v>8</v>
      </c>
      <c r="AP30" s="221">
        <v>1276</v>
      </c>
      <c r="AQ30" s="222">
        <f>AP30/AO30</f>
        <v>159.5</v>
      </c>
      <c r="AR30" s="220">
        <f>RANK(AQ30, $AQ$27:$AQ$41)</f>
        <v>1</v>
      </c>
      <c r="AS30" s="459"/>
      <c r="AT30" s="221">
        <v>9</v>
      </c>
      <c r="AU30" s="221">
        <v>1450</v>
      </c>
      <c r="AV30" s="222">
        <f>AU30/AT30</f>
        <v>161.11111111111111</v>
      </c>
      <c r="AW30" s="220">
        <f>RANK(AV30, $AV$27:$AV$41)</f>
        <v>1</v>
      </c>
      <c r="AX30" s="459"/>
    </row>
    <row r="31" spans="2:50" ht="13.5">
      <c r="B31" s="458"/>
      <c r="C31" s="220">
        <v>5</v>
      </c>
      <c r="D31" s="224"/>
      <c r="E31" s="221"/>
      <c r="F31" s="221"/>
      <c r="G31" s="222"/>
      <c r="H31" s="468"/>
      <c r="I31" s="221"/>
      <c r="J31" s="221"/>
      <c r="K31" s="222"/>
      <c r="L31" s="468"/>
      <c r="M31" s="223"/>
      <c r="N31" s="454"/>
      <c r="O31" s="454"/>
      <c r="P31" s="221"/>
      <c r="Q31" s="221"/>
      <c r="R31" s="220"/>
      <c r="S31" s="220"/>
      <c r="T31" s="459"/>
      <c r="U31" s="221"/>
      <c r="V31" s="221"/>
      <c r="W31" s="220"/>
      <c r="X31" s="220"/>
      <c r="Y31" s="459"/>
      <c r="Z31" s="221"/>
      <c r="AA31" s="221"/>
      <c r="AB31" s="220"/>
      <c r="AC31" s="220"/>
      <c r="AD31" s="459"/>
      <c r="AE31" s="221"/>
      <c r="AF31" s="221"/>
      <c r="AG31" s="220"/>
      <c r="AH31" s="220"/>
      <c r="AI31" s="459"/>
      <c r="AJ31" s="221"/>
      <c r="AK31" s="221"/>
      <c r="AL31" s="220"/>
      <c r="AM31" s="220"/>
      <c r="AN31" s="459"/>
      <c r="AO31" s="221"/>
      <c r="AP31" s="221"/>
      <c r="AQ31" s="220"/>
      <c r="AR31" s="220"/>
      <c r="AS31" s="459"/>
      <c r="AT31" s="221"/>
      <c r="AU31" s="221"/>
      <c r="AV31" s="220"/>
      <c r="AW31" s="220"/>
      <c r="AX31" s="459"/>
    </row>
    <row r="32" spans="2:50" ht="13.5">
      <c r="B32" s="458"/>
      <c r="C32" s="220">
        <v>6</v>
      </c>
      <c r="D32" s="224"/>
      <c r="E32" s="221"/>
      <c r="F32" s="221"/>
      <c r="G32" s="222"/>
      <c r="H32" s="468"/>
      <c r="I32" s="221"/>
      <c r="J32" s="221"/>
      <c r="K32" s="222"/>
      <c r="L32" s="468"/>
      <c r="M32" s="223"/>
      <c r="N32" s="454"/>
      <c r="O32" s="454"/>
      <c r="P32" s="221"/>
      <c r="Q32" s="221"/>
      <c r="R32" s="220"/>
      <c r="S32" s="220"/>
      <c r="T32" s="459"/>
      <c r="U32" s="221"/>
      <c r="V32" s="221"/>
      <c r="W32" s="220"/>
      <c r="X32" s="220"/>
      <c r="Y32" s="459"/>
      <c r="Z32" s="221"/>
      <c r="AA32" s="221"/>
      <c r="AB32" s="220"/>
      <c r="AC32" s="220"/>
      <c r="AD32" s="459"/>
      <c r="AE32" s="221"/>
      <c r="AF32" s="221"/>
      <c r="AG32" s="220"/>
      <c r="AH32" s="220"/>
      <c r="AI32" s="459"/>
      <c r="AJ32" s="221"/>
      <c r="AK32" s="221"/>
      <c r="AL32" s="220"/>
      <c r="AM32" s="220"/>
      <c r="AN32" s="459"/>
      <c r="AO32" s="221"/>
      <c r="AP32" s="221"/>
      <c r="AQ32" s="220"/>
      <c r="AR32" s="220"/>
      <c r="AS32" s="459"/>
      <c r="AT32" s="221"/>
      <c r="AU32" s="221"/>
      <c r="AV32" s="220"/>
      <c r="AW32" s="220"/>
      <c r="AX32" s="459"/>
    </row>
    <row r="33" spans="2:50" ht="13.5">
      <c r="B33" s="458"/>
      <c r="C33" s="220">
        <v>7</v>
      </c>
      <c r="D33" s="224"/>
      <c r="E33" s="221"/>
      <c r="F33" s="221"/>
      <c r="G33" s="222"/>
      <c r="H33" s="468"/>
      <c r="I33" s="221"/>
      <c r="J33" s="221"/>
      <c r="K33" s="222"/>
      <c r="L33" s="468"/>
      <c r="M33" s="223"/>
      <c r="N33" s="454"/>
      <c r="O33" s="454"/>
      <c r="P33" s="221"/>
      <c r="Q33" s="221"/>
      <c r="R33" s="220"/>
      <c r="S33" s="220"/>
      <c r="T33" s="459"/>
      <c r="U33" s="221"/>
      <c r="V33" s="221"/>
      <c r="W33" s="220"/>
      <c r="X33" s="220"/>
      <c r="Y33" s="459"/>
      <c r="Z33" s="221"/>
      <c r="AA33" s="221"/>
      <c r="AB33" s="220"/>
      <c r="AC33" s="220"/>
      <c r="AD33" s="459"/>
      <c r="AE33" s="221"/>
      <c r="AF33" s="221"/>
      <c r="AG33" s="220"/>
      <c r="AH33" s="220"/>
      <c r="AI33" s="459"/>
      <c r="AJ33" s="221"/>
      <c r="AK33" s="221"/>
      <c r="AL33" s="220"/>
      <c r="AM33" s="220"/>
      <c r="AN33" s="459"/>
      <c r="AO33" s="221"/>
      <c r="AP33" s="221"/>
      <c r="AQ33" s="220"/>
      <c r="AR33" s="220"/>
      <c r="AS33" s="459"/>
      <c r="AT33" s="221"/>
      <c r="AU33" s="221"/>
      <c r="AV33" s="220"/>
      <c r="AW33" s="220"/>
      <c r="AX33" s="459"/>
    </row>
    <row r="34" spans="2:50" ht="13.5">
      <c r="B34" s="458"/>
      <c r="C34" s="220">
        <v>8</v>
      </c>
      <c r="D34" s="224"/>
      <c r="E34" s="220"/>
      <c r="F34" s="220"/>
      <c r="G34" s="220"/>
      <c r="H34" s="468"/>
      <c r="I34" s="221"/>
      <c r="J34" s="221"/>
      <c r="K34" s="222"/>
      <c r="L34" s="468"/>
      <c r="M34" s="223"/>
      <c r="N34" s="454"/>
      <c r="O34" s="454"/>
      <c r="P34" s="221"/>
      <c r="Q34" s="221"/>
      <c r="R34" s="220"/>
      <c r="S34" s="220"/>
      <c r="T34" s="459"/>
      <c r="U34" s="221"/>
      <c r="V34" s="221"/>
      <c r="W34" s="220"/>
      <c r="X34" s="220"/>
      <c r="Y34" s="459"/>
      <c r="Z34" s="221"/>
      <c r="AA34" s="221"/>
      <c r="AB34" s="220"/>
      <c r="AC34" s="220"/>
      <c r="AD34" s="459"/>
      <c r="AE34" s="221"/>
      <c r="AF34" s="221"/>
      <c r="AG34" s="220"/>
      <c r="AH34" s="220"/>
      <c r="AI34" s="459"/>
      <c r="AJ34" s="221"/>
      <c r="AK34" s="221"/>
      <c r="AL34" s="220"/>
      <c r="AM34" s="220"/>
      <c r="AN34" s="459"/>
      <c r="AO34" s="221"/>
      <c r="AP34" s="221"/>
      <c r="AQ34" s="220"/>
      <c r="AR34" s="220"/>
      <c r="AS34" s="459"/>
      <c r="AT34" s="221"/>
      <c r="AU34" s="221"/>
      <c r="AV34" s="220"/>
      <c r="AW34" s="220"/>
      <c r="AX34" s="459"/>
    </row>
    <row r="35" spans="2:50" ht="13.5">
      <c r="B35" s="458"/>
      <c r="C35" s="220">
        <v>9</v>
      </c>
      <c r="D35" s="224"/>
      <c r="E35" s="220"/>
      <c r="F35" s="220"/>
      <c r="G35" s="220"/>
      <c r="H35" s="468"/>
      <c r="I35" s="221"/>
      <c r="J35" s="221"/>
      <c r="K35" s="222"/>
      <c r="L35" s="468"/>
      <c r="M35" s="223"/>
      <c r="N35" s="454"/>
      <c r="O35" s="454"/>
      <c r="P35" s="221"/>
      <c r="Q35" s="221"/>
      <c r="R35" s="220"/>
      <c r="S35" s="220"/>
      <c r="T35" s="459"/>
      <c r="U35" s="221"/>
      <c r="V35" s="221"/>
      <c r="W35" s="220"/>
      <c r="X35" s="220"/>
      <c r="Y35" s="459"/>
      <c r="Z35" s="221"/>
      <c r="AA35" s="221"/>
      <c r="AB35" s="220"/>
      <c r="AC35" s="220"/>
      <c r="AD35" s="459"/>
      <c r="AE35" s="221"/>
      <c r="AF35" s="221"/>
      <c r="AG35" s="220"/>
      <c r="AH35" s="220"/>
      <c r="AI35" s="459"/>
      <c r="AJ35" s="221"/>
      <c r="AK35" s="221"/>
      <c r="AL35" s="220"/>
      <c r="AM35" s="220"/>
      <c r="AN35" s="459"/>
      <c r="AO35" s="221"/>
      <c r="AP35" s="221"/>
      <c r="AQ35" s="220"/>
      <c r="AR35" s="220"/>
      <c r="AS35" s="459"/>
      <c r="AT35" s="221"/>
      <c r="AU35" s="221"/>
      <c r="AV35" s="220"/>
      <c r="AW35" s="220"/>
      <c r="AX35" s="459"/>
    </row>
    <row r="36" spans="2:50" ht="13.5">
      <c r="B36" s="458"/>
      <c r="C36" s="220">
        <v>10</v>
      </c>
      <c r="D36" s="224"/>
      <c r="E36" s="220"/>
      <c r="F36" s="220"/>
      <c r="G36" s="220"/>
      <c r="H36" s="468"/>
      <c r="I36" s="221"/>
      <c r="J36" s="221"/>
      <c r="K36" s="222"/>
      <c r="L36" s="468"/>
      <c r="M36" s="223"/>
      <c r="N36" s="454"/>
      <c r="O36" s="454"/>
      <c r="P36" s="221"/>
      <c r="Q36" s="221"/>
      <c r="R36" s="220"/>
      <c r="S36" s="220"/>
      <c r="T36" s="459"/>
      <c r="U36" s="221"/>
      <c r="V36" s="221"/>
      <c r="W36" s="220"/>
      <c r="X36" s="220"/>
      <c r="Y36" s="459"/>
      <c r="Z36" s="221"/>
      <c r="AA36" s="221"/>
      <c r="AB36" s="220"/>
      <c r="AC36" s="220"/>
      <c r="AD36" s="459"/>
      <c r="AE36" s="221"/>
      <c r="AF36" s="221"/>
      <c r="AG36" s="220"/>
      <c r="AH36" s="220"/>
      <c r="AI36" s="459"/>
      <c r="AJ36" s="221"/>
      <c r="AK36" s="221"/>
      <c r="AL36" s="220"/>
      <c r="AM36" s="220"/>
      <c r="AN36" s="459"/>
      <c r="AO36" s="221"/>
      <c r="AP36" s="221"/>
      <c r="AQ36" s="220"/>
      <c r="AR36" s="220"/>
      <c r="AS36" s="459"/>
      <c r="AT36" s="221"/>
      <c r="AU36" s="221"/>
      <c r="AV36" s="220"/>
      <c r="AW36" s="220"/>
      <c r="AX36" s="459"/>
    </row>
    <row r="37" spans="2:50" ht="13.5">
      <c r="B37" s="458"/>
      <c r="C37" s="220">
        <v>11</v>
      </c>
      <c r="D37" s="224"/>
      <c r="E37" s="220"/>
      <c r="F37" s="220"/>
      <c r="G37" s="220"/>
      <c r="H37" s="468"/>
      <c r="I37" s="221"/>
      <c r="J37" s="221"/>
      <c r="K37" s="222"/>
      <c r="L37" s="468"/>
      <c r="M37" s="223"/>
      <c r="N37" s="454"/>
      <c r="O37" s="454"/>
      <c r="P37" s="220"/>
      <c r="Q37" s="220"/>
      <c r="R37" s="220"/>
      <c r="S37" s="220"/>
      <c r="T37" s="459"/>
      <c r="U37" s="220"/>
      <c r="V37" s="220"/>
      <c r="W37" s="220"/>
      <c r="X37" s="220"/>
      <c r="Y37" s="459"/>
      <c r="Z37" s="220"/>
      <c r="AA37" s="220"/>
      <c r="AB37" s="220"/>
      <c r="AC37" s="220"/>
      <c r="AD37" s="459"/>
      <c r="AE37" s="220"/>
      <c r="AF37" s="220"/>
      <c r="AG37" s="220"/>
      <c r="AH37" s="220"/>
      <c r="AI37" s="459"/>
      <c r="AJ37" s="220"/>
      <c r="AK37" s="220"/>
      <c r="AL37" s="220"/>
      <c r="AM37" s="220"/>
      <c r="AN37" s="459"/>
      <c r="AO37" s="220"/>
      <c r="AP37" s="220"/>
      <c r="AQ37" s="220"/>
      <c r="AR37" s="220"/>
      <c r="AS37" s="459"/>
      <c r="AT37" s="220"/>
      <c r="AU37" s="220"/>
      <c r="AV37" s="220"/>
      <c r="AW37" s="220"/>
      <c r="AX37" s="459"/>
    </row>
    <row r="38" spans="2:50" ht="13.5">
      <c r="B38" s="458"/>
      <c r="C38" s="220">
        <v>12</v>
      </c>
      <c r="D38" s="224"/>
      <c r="E38" s="220"/>
      <c r="F38" s="220"/>
      <c r="G38" s="220"/>
      <c r="H38" s="468"/>
      <c r="I38" s="221"/>
      <c r="J38" s="221"/>
      <c r="K38" s="222"/>
      <c r="L38" s="468"/>
      <c r="M38" s="223"/>
      <c r="N38" s="454"/>
      <c r="O38" s="454"/>
      <c r="P38" s="220"/>
      <c r="Q38" s="220"/>
      <c r="R38" s="220"/>
      <c r="S38" s="220"/>
      <c r="T38" s="459"/>
      <c r="U38" s="220"/>
      <c r="V38" s="220"/>
      <c r="W38" s="220"/>
      <c r="X38" s="220"/>
      <c r="Y38" s="459"/>
      <c r="Z38" s="220"/>
      <c r="AA38" s="220"/>
      <c r="AB38" s="220"/>
      <c r="AC38" s="220"/>
      <c r="AD38" s="459"/>
      <c r="AE38" s="220"/>
      <c r="AF38" s="220"/>
      <c r="AG38" s="220"/>
      <c r="AH38" s="220"/>
      <c r="AI38" s="459"/>
      <c r="AJ38" s="220"/>
      <c r="AK38" s="220"/>
      <c r="AL38" s="220"/>
      <c r="AM38" s="220"/>
      <c r="AN38" s="459"/>
      <c r="AO38" s="220"/>
      <c r="AP38" s="220"/>
      <c r="AQ38" s="220"/>
      <c r="AR38" s="220"/>
      <c r="AS38" s="459"/>
      <c r="AT38" s="220"/>
      <c r="AU38" s="220"/>
      <c r="AV38" s="220"/>
      <c r="AW38" s="220"/>
      <c r="AX38" s="459"/>
    </row>
    <row r="39" spans="2:50" ht="13.5">
      <c r="B39" s="458"/>
      <c r="C39" s="220">
        <v>13</v>
      </c>
      <c r="D39" s="224"/>
      <c r="E39" s="220"/>
      <c r="F39" s="220"/>
      <c r="G39" s="220"/>
      <c r="H39" s="468"/>
      <c r="I39" s="221"/>
      <c r="J39" s="221"/>
      <c r="K39" s="222"/>
      <c r="L39" s="468"/>
      <c r="M39" s="223"/>
      <c r="N39" s="454"/>
      <c r="O39" s="454"/>
      <c r="P39" s="220"/>
      <c r="Q39" s="220"/>
      <c r="R39" s="220"/>
      <c r="S39" s="220"/>
      <c r="T39" s="459"/>
      <c r="U39" s="220"/>
      <c r="V39" s="220"/>
      <c r="W39" s="220"/>
      <c r="X39" s="220"/>
      <c r="Y39" s="459"/>
      <c r="Z39" s="220"/>
      <c r="AA39" s="220"/>
      <c r="AB39" s="220"/>
      <c r="AC39" s="220"/>
      <c r="AD39" s="459"/>
      <c r="AE39" s="220"/>
      <c r="AF39" s="220"/>
      <c r="AG39" s="220"/>
      <c r="AH39" s="220"/>
      <c r="AI39" s="459"/>
      <c r="AJ39" s="220"/>
      <c r="AK39" s="220"/>
      <c r="AL39" s="220"/>
      <c r="AM39" s="220"/>
      <c r="AN39" s="459"/>
      <c r="AO39" s="220"/>
      <c r="AP39" s="220"/>
      <c r="AQ39" s="220"/>
      <c r="AR39" s="220"/>
      <c r="AS39" s="459"/>
      <c r="AT39" s="220"/>
      <c r="AU39" s="220"/>
      <c r="AV39" s="220"/>
      <c r="AW39" s="220"/>
      <c r="AX39" s="459"/>
    </row>
    <row r="40" spans="2:50" ht="13.5">
      <c r="B40" s="458"/>
      <c r="C40" s="220">
        <v>14</v>
      </c>
      <c r="D40" s="224"/>
      <c r="E40" s="220"/>
      <c r="F40" s="220"/>
      <c r="G40" s="220"/>
      <c r="H40" s="468"/>
      <c r="I40" s="221"/>
      <c r="J40" s="221"/>
      <c r="K40" s="222"/>
      <c r="L40" s="468"/>
      <c r="M40" s="223"/>
      <c r="N40" s="454"/>
      <c r="O40" s="454"/>
      <c r="P40" s="220"/>
      <c r="Q40" s="220"/>
      <c r="R40" s="220"/>
      <c r="S40" s="220"/>
      <c r="T40" s="459"/>
      <c r="U40" s="220"/>
      <c r="V40" s="220"/>
      <c r="W40" s="220"/>
      <c r="X40" s="220"/>
      <c r="Y40" s="459"/>
      <c r="Z40" s="220"/>
      <c r="AA40" s="220"/>
      <c r="AB40" s="220"/>
      <c r="AC40" s="220"/>
      <c r="AD40" s="459"/>
      <c r="AE40" s="220"/>
      <c r="AF40" s="220"/>
      <c r="AG40" s="220"/>
      <c r="AH40" s="220"/>
      <c r="AI40" s="459"/>
      <c r="AJ40" s="220"/>
      <c r="AK40" s="220"/>
      <c r="AL40" s="220"/>
      <c r="AM40" s="220"/>
      <c r="AN40" s="459"/>
      <c r="AO40" s="220"/>
      <c r="AP40" s="220"/>
      <c r="AQ40" s="220"/>
      <c r="AR40" s="220"/>
      <c r="AS40" s="459"/>
      <c r="AT40" s="220"/>
      <c r="AU40" s="220"/>
      <c r="AV40" s="220"/>
      <c r="AW40" s="220"/>
      <c r="AX40" s="459"/>
    </row>
    <row r="41" spans="2:50" ht="13.5">
      <c r="B41" s="458"/>
      <c r="C41" s="220">
        <v>15</v>
      </c>
      <c r="D41" s="224"/>
      <c r="E41" s="220"/>
      <c r="F41" s="220"/>
      <c r="G41" s="220"/>
      <c r="H41" s="469"/>
      <c r="I41" s="221"/>
      <c r="J41" s="221"/>
      <c r="K41" s="222"/>
      <c r="L41" s="469"/>
      <c r="M41" s="221"/>
      <c r="N41" s="454"/>
      <c r="O41" s="454"/>
      <c r="P41" s="220"/>
      <c r="Q41" s="220"/>
      <c r="R41" s="220"/>
      <c r="S41" s="220"/>
      <c r="T41" s="459"/>
      <c r="U41" s="220"/>
      <c r="V41" s="220"/>
      <c r="W41" s="220"/>
      <c r="X41" s="220"/>
      <c r="Y41" s="459"/>
      <c r="Z41" s="220"/>
      <c r="AA41" s="220"/>
      <c r="AB41" s="220"/>
      <c r="AC41" s="220"/>
      <c r="AD41" s="459"/>
      <c r="AE41" s="220"/>
      <c r="AF41" s="220"/>
      <c r="AG41" s="220"/>
      <c r="AH41" s="220"/>
      <c r="AI41" s="459"/>
      <c r="AJ41" s="220"/>
      <c r="AK41" s="220"/>
      <c r="AL41" s="220"/>
      <c r="AM41" s="220"/>
      <c r="AN41" s="459"/>
      <c r="AO41" s="220"/>
      <c r="AP41" s="220"/>
      <c r="AQ41" s="220"/>
      <c r="AR41" s="220"/>
      <c r="AS41" s="459"/>
      <c r="AT41" s="220"/>
      <c r="AU41" s="220"/>
      <c r="AV41" s="220"/>
      <c r="AW41" s="220"/>
      <c r="AX41" s="459"/>
    </row>
    <row r="42" spans="2:50" ht="15.75">
      <c r="B42" s="474" t="s">
        <v>43</v>
      </c>
      <c r="C42" s="475"/>
      <c r="D42" s="475"/>
      <c r="E42" s="475"/>
      <c r="F42" s="475"/>
      <c r="G42" s="475"/>
      <c r="H42" s="475"/>
      <c r="I42" s="225"/>
      <c r="J42" s="214"/>
      <c r="K42" s="225"/>
      <c r="L42" s="225"/>
      <c r="M42" s="215"/>
      <c r="N42" s="455" t="s">
        <v>44</v>
      </c>
      <c r="O42" s="455" t="s">
        <v>3</v>
      </c>
      <c r="P42" s="457">
        <v>46091</v>
      </c>
      <c r="Q42" s="458"/>
      <c r="R42" s="458"/>
      <c r="S42" s="458"/>
      <c r="T42" s="458"/>
      <c r="U42" s="457">
        <v>46092</v>
      </c>
      <c r="V42" s="458"/>
      <c r="W42" s="458"/>
      <c r="X42" s="458"/>
      <c r="Y42" s="458"/>
      <c r="Z42" s="457">
        <v>46093</v>
      </c>
      <c r="AA42" s="458"/>
      <c r="AB42" s="458"/>
      <c r="AC42" s="458"/>
      <c r="AD42" s="458"/>
      <c r="AE42" s="457">
        <v>46094</v>
      </c>
      <c r="AF42" s="458"/>
      <c r="AG42" s="458"/>
      <c r="AH42" s="458"/>
      <c r="AI42" s="458"/>
      <c r="AJ42" s="457">
        <v>46095</v>
      </c>
      <c r="AK42" s="458"/>
      <c r="AL42" s="458"/>
      <c r="AM42" s="458"/>
      <c r="AN42" s="458"/>
      <c r="AO42" s="457">
        <v>46096</v>
      </c>
      <c r="AP42" s="458"/>
      <c r="AQ42" s="458"/>
      <c r="AR42" s="458"/>
      <c r="AS42" s="458"/>
      <c r="AT42" s="457">
        <v>46097</v>
      </c>
      <c r="AU42" s="458"/>
      <c r="AV42" s="458"/>
      <c r="AW42" s="458"/>
      <c r="AX42" s="458"/>
    </row>
    <row r="43" spans="2:50" ht="15.75">
      <c r="B43" s="466"/>
      <c r="C43" s="466"/>
      <c r="D43" s="466"/>
      <c r="E43" s="466"/>
      <c r="F43" s="466"/>
      <c r="G43" s="466"/>
      <c r="H43" s="466"/>
      <c r="I43" s="216"/>
      <c r="J43" s="216"/>
      <c r="K43" s="216"/>
      <c r="L43" s="216"/>
      <c r="M43" s="217"/>
      <c r="N43" s="456"/>
      <c r="O43" s="456"/>
      <c r="P43" s="457" t="s">
        <v>15</v>
      </c>
      <c r="Q43" s="458"/>
      <c r="R43" s="458"/>
      <c r="S43" s="458"/>
      <c r="T43" s="458"/>
      <c r="U43" s="457" t="s">
        <v>13</v>
      </c>
      <c r="V43" s="458"/>
      <c r="W43" s="458"/>
      <c r="X43" s="458"/>
      <c r="Y43" s="458"/>
      <c r="Z43" s="457" t="s">
        <v>16</v>
      </c>
      <c r="AA43" s="458"/>
      <c r="AB43" s="458"/>
      <c r="AC43" s="458"/>
      <c r="AD43" s="458"/>
      <c r="AE43" s="457" t="s">
        <v>17</v>
      </c>
      <c r="AF43" s="458"/>
      <c r="AG43" s="458"/>
      <c r="AH43" s="458"/>
      <c r="AI43" s="458"/>
      <c r="AJ43" s="457" t="s">
        <v>18</v>
      </c>
      <c r="AK43" s="458"/>
      <c r="AL43" s="458"/>
      <c r="AM43" s="458"/>
      <c r="AN43" s="458"/>
      <c r="AO43" s="457" t="s">
        <v>10</v>
      </c>
      <c r="AP43" s="458"/>
      <c r="AQ43" s="458"/>
      <c r="AR43" s="458"/>
      <c r="AS43" s="458"/>
      <c r="AT43" s="457" t="s">
        <v>14</v>
      </c>
      <c r="AU43" s="458"/>
      <c r="AV43" s="458"/>
      <c r="AW43" s="458"/>
      <c r="AX43" s="458"/>
    </row>
    <row r="44" spans="2:50">
      <c r="B44" s="454" t="s">
        <v>45</v>
      </c>
      <c r="C44" s="454" t="s">
        <v>46</v>
      </c>
      <c r="D44" s="454"/>
      <c r="E44" s="454" t="s">
        <v>47</v>
      </c>
      <c r="F44" s="454"/>
      <c r="G44" s="454"/>
      <c r="H44" s="470" t="s">
        <v>48</v>
      </c>
      <c r="I44" s="454" t="s">
        <v>49</v>
      </c>
      <c r="J44" s="454"/>
      <c r="K44" s="454"/>
      <c r="L44" s="470" t="s">
        <v>48</v>
      </c>
      <c r="M44" s="455" t="s">
        <v>50</v>
      </c>
      <c r="N44" s="454"/>
      <c r="O44" s="454" t="s">
        <v>51</v>
      </c>
      <c r="P44" s="451" t="s">
        <v>52</v>
      </c>
      <c r="Q44" s="452"/>
      <c r="R44" s="452"/>
      <c r="S44" s="453"/>
      <c r="T44" s="454" t="s">
        <v>48</v>
      </c>
      <c r="U44" s="451" t="s">
        <v>52</v>
      </c>
      <c r="V44" s="452"/>
      <c r="W44" s="452"/>
      <c r="X44" s="453"/>
      <c r="Y44" s="454" t="s">
        <v>48</v>
      </c>
      <c r="Z44" s="451" t="s">
        <v>52</v>
      </c>
      <c r="AA44" s="452"/>
      <c r="AB44" s="452"/>
      <c r="AC44" s="453"/>
      <c r="AD44" s="454" t="s">
        <v>48</v>
      </c>
      <c r="AE44" s="451" t="s">
        <v>52</v>
      </c>
      <c r="AF44" s="452"/>
      <c r="AG44" s="452"/>
      <c r="AH44" s="453"/>
      <c r="AI44" s="454" t="s">
        <v>48</v>
      </c>
      <c r="AJ44" s="451" t="s">
        <v>52</v>
      </c>
      <c r="AK44" s="452"/>
      <c r="AL44" s="452"/>
      <c r="AM44" s="453"/>
      <c r="AN44" s="454" t="s">
        <v>48</v>
      </c>
      <c r="AO44" s="451" t="s">
        <v>52</v>
      </c>
      <c r="AP44" s="452"/>
      <c r="AQ44" s="452"/>
      <c r="AR44" s="453"/>
      <c r="AS44" s="454" t="s">
        <v>48</v>
      </c>
      <c r="AT44" s="451" t="s">
        <v>52</v>
      </c>
      <c r="AU44" s="452"/>
      <c r="AV44" s="452"/>
      <c r="AW44" s="453"/>
      <c r="AX44" s="454" t="s">
        <v>48</v>
      </c>
    </row>
    <row r="45" spans="2:50">
      <c r="B45" s="454"/>
      <c r="C45" s="454"/>
      <c r="D45" s="454"/>
      <c r="E45" s="454" t="s">
        <v>53</v>
      </c>
      <c r="F45" s="454"/>
      <c r="G45" s="454"/>
      <c r="H45" s="471"/>
      <c r="I45" s="454" t="s">
        <v>53</v>
      </c>
      <c r="J45" s="454"/>
      <c r="K45" s="454"/>
      <c r="L45" s="471"/>
      <c r="M45" s="463"/>
      <c r="N45" s="454"/>
      <c r="O45" s="454"/>
      <c r="P45" s="451" t="s">
        <v>54</v>
      </c>
      <c r="Q45" s="452"/>
      <c r="R45" s="452"/>
      <c r="S45" s="453"/>
      <c r="T45" s="454"/>
      <c r="U45" s="451" t="s">
        <v>54</v>
      </c>
      <c r="V45" s="452"/>
      <c r="W45" s="452"/>
      <c r="X45" s="453"/>
      <c r="Y45" s="454"/>
      <c r="Z45" s="451" t="s">
        <v>54</v>
      </c>
      <c r="AA45" s="452"/>
      <c r="AB45" s="452"/>
      <c r="AC45" s="453"/>
      <c r="AD45" s="454"/>
      <c r="AE45" s="451" t="s">
        <v>54</v>
      </c>
      <c r="AF45" s="452"/>
      <c r="AG45" s="452"/>
      <c r="AH45" s="453"/>
      <c r="AI45" s="454"/>
      <c r="AJ45" s="451" t="s">
        <v>54</v>
      </c>
      <c r="AK45" s="452"/>
      <c r="AL45" s="452"/>
      <c r="AM45" s="453"/>
      <c r="AN45" s="454"/>
      <c r="AO45" s="451" t="s">
        <v>54</v>
      </c>
      <c r="AP45" s="452"/>
      <c r="AQ45" s="452"/>
      <c r="AR45" s="453"/>
      <c r="AS45" s="454"/>
      <c r="AT45" s="451" t="s">
        <v>54</v>
      </c>
      <c r="AU45" s="452"/>
      <c r="AV45" s="452"/>
      <c r="AW45" s="453"/>
      <c r="AX45" s="454"/>
    </row>
    <row r="46" spans="2:50">
      <c r="B46" s="454"/>
      <c r="C46" s="454"/>
      <c r="D46" s="454"/>
      <c r="E46" s="219" t="s">
        <v>55</v>
      </c>
      <c r="F46" s="219" t="s">
        <v>56</v>
      </c>
      <c r="G46" s="219" t="s">
        <v>57</v>
      </c>
      <c r="H46" s="472"/>
      <c r="I46" s="219" t="s">
        <v>55</v>
      </c>
      <c r="J46" s="219" t="s">
        <v>56</v>
      </c>
      <c r="K46" s="219" t="s">
        <v>57</v>
      </c>
      <c r="L46" s="472"/>
      <c r="M46" s="456"/>
      <c r="N46" s="454"/>
      <c r="O46" s="454"/>
      <c r="P46" s="219" t="s">
        <v>55</v>
      </c>
      <c r="Q46" s="219" t="s">
        <v>56</v>
      </c>
      <c r="R46" s="219" t="s">
        <v>57</v>
      </c>
      <c r="S46" s="219" t="s">
        <v>50</v>
      </c>
      <c r="T46" s="454"/>
      <c r="U46" s="219" t="s">
        <v>55</v>
      </c>
      <c r="V46" s="219" t="s">
        <v>56</v>
      </c>
      <c r="W46" s="219" t="s">
        <v>57</v>
      </c>
      <c r="X46" s="219" t="s">
        <v>50</v>
      </c>
      <c r="Y46" s="454"/>
      <c r="Z46" s="219" t="s">
        <v>55</v>
      </c>
      <c r="AA46" s="219" t="s">
        <v>56</v>
      </c>
      <c r="AB46" s="219" t="s">
        <v>57</v>
      </c>
      <c r="AC46" s="219" t="s">
        <v>50</v>
      </c>
      <c r="AD46" s="454"/>
      <c r="AE46" s="219" t="s">
        <v>55</v>
      </c>
      <c r="AF46" s="219" t="s">
        <v>56</v>
      </c>
      <c r="AG46" s="219" t="s">
        <v>57</v>
      </c>
      <c r="AH46" s="219" t="s">
        <v>50</v>
      </c>
      <c r="AI46" s="454"/>
      <c r="AJ46" s="219" t="s">
        <v>55</v>
      </c>
      <c r="AK46" s="219" t="s">
        <v>56</v>
      </c>
      <c r="AL46" s="219" t="s">
        <v>57</v>
      </c>
      <c r="AM46" s="219" t="s">
        <v>50</v>
      </c>
      <c r="AN46" s="454"/>
      <c r="AO46" s="219" t="s">
        <v>55</v>
      </c>
      <c r="AP46" s="219" t="s">
        <v>56</v>
      </c>
      <c r="AQ46" s="219" t="s">
        <v>57</v>
      </c>
      <c r="AR46" s="219" t="s">
        <v>50</v>
      </c>
      <c r="AS46" s="454"/>
      <c r="AT46" s="219" t="s">
        <v>55</v>
      </c>
      <c r="AU46" s="219" t="s">
        <v>56</v>
      </c>
      <c r="AV46" s="219" t="s">
        <v>57</v>
      </c>
      <c r="AW46" s="219" t="s">
        <v>50</v>
      </c>
      <c r="AX46" s="454"/>
    </row>
    <row r="47" spans="2:50" ht="13.5">
      <c r="B47" s="454" t="s">
        <v>34</v>
      </c>
      <c r="C47" s="220">
        <v>1</v>
      </c>
      <c r="D47" s="224" t="s">
        <v>60</v>
      </c>
      <c r="E47" s="221">
        <f>VLOOKUP(D47,'12產線配置圖'!$A$2:$C$30,2,0)</f>
        <v>13</v>
      </c>
      <c r="F47" s="221">
        <f>VLOOKUP(D47,'12產線配置圖'!$A$2:$C$30,3,0)</f>
        <v>1565</v>
      </c>
      <c r="G47" s="222">
        <f>F47/E47</f>
        <v>120.38461538461539</v>
      </c>
      <c r="H47" s="467">
        <f>AVERAGE(G47:G61)</f>
        <v>140.74893162393164</v>
      </c>
      <c r="I47" s="221">
        <f>AVERAGE(P47,U47,Z47,AE47,AJ47,AO47,AT47)</f>
        <v>13</v>
      </c>
      <c r="J47" s="221">
        <f>AVERAGE(Q47,V47,AA47,AF47,AK47,AP47,AU47)</f>
        <v>1503</v>
      </c>
      <c r="K47" s="222">
        <f>AVERAGE(R47,W47,AB47,AG47,AL47,AQ47,AV47)</f>
        <v>115.61538461538461</v>
      </c>
      <c r="L47" s="467">
        <f>IFERROR(AVERAGE(K47:K61),"-")</f>
        <v>127.10821123321125</v>
      </c>
      <c r="M47" s="221">
        <f>RANK(K47, K$47:$K$61)</f>
        <v>3</v>
      </c>
      <c r="N47" s="454"/>
      <c r="O47" s="454"/>
      <c r="P47" s="221">
        <v>13</v>
      </c>
      <c r="Q47" s="221">
        <v>1530</v>
      </c>
      <c r="R47" s="222">
        <f>Q47/P47</f>
        <v>117.69230769230769</v>
      </c>
      <c r="S47" s="220">
        <f>RANK(R47,$R$47:$R$61)</f>
        <v>4</v>
      </c>
      <c r="T47" s="459">
        <f>AVERAGE(R47:R61)</f>
        <v>131.19391025641025</v>
      </c>
      <c r="U47" s="221">
        <v>13</v>
      </c>
      <c r="V47" s="221">
        <v>1557</v>
      </c>
      <c r="W47" s="222">
        <f>V47/U47</f>
        <v>119.76923076923077</v>
      </c>
      <c r="X47" s="220">
        <f>RANK(W47,$W$47:$W$61)</f>
        <v>2</v>
      </c>
      <c r="Y47" s="459">
        <f>AVERAGE(W47:W61)</f>
        <v>124.58814102564102</v>
      </c>
      <c r="Z47" s="221">
        <v>13</v>
      </c>
      <c r="AA47" s="221">
        <v>1542</v>
      </c>
      <c r="AB47" s="222">
        <f>AA47/Z47</f>
        <v>118.61538461538461</v>
      </c>
      <c r="AC47" s="220">
        <f>RANK(AB47,$AB$47:$AB$61)</f>
        <v>3</v>
      </c>
      <c r="AD47" s="459">
        <f>AVERAGE(AB47:AB61)</f>
        <v>127.03579059829059</v>
      </c>
      <c r="AE47" s="221">
        <v>13</v>
      </c>
      <c r="AF47" s="221">
        <v>1545</v>
      </c>
      <c r="AG47" s="222">
        <f>AF47/AE47</f>
        <v>118.84615384615384</v>
      </c>
      <c r="AH47" s="220">
        <f>RANK(AG47,$AG$47:$AG$61)</f>
        <v>3</v>
      </c>
      <c r="AI47" s="459">
        <f>AVERAGE(AG47:AG61)</f>
        <v>124.9823717948718</v>
      </c>
      <c r="AJ47" s="221">
        <v>13</v>
      </c>
      <c r="AK47" s="221">
        <v>1553</v>
      </c>
      <c r="AL47" s="222">
        <f>AK47/AJ47</f>
        <v>119.46153846153847</v>
      </c>
      <c r="AM47" s="220">
        <f>RANK(AL47, $AL$47:$AL$61)</f>
        <v>3</v>
      </c>
      <c r="AN47" s="459">
        <f>AVERAGE(AL47:AL61)</f>
        <v>129.07371794871796</v>
      </c>
      <c r="AO47" s="221">
        <v>13</v>
      </c>
      <c r="AP47" s="221">
        <v>1446</v>
      </c>
      <c r="AQ47" s="222">
        <f>AP47/AO47</f>
        <v>111.23076923076923</v>
      </c>
      <c r="AR47" s="220">
        <f>RANK(AQ47,$AQ$47:$AQ$61)</f>
        <v>3</v>
      </c>
      <c r="AS47" s="459">
        <f>AVERAGE(AQ47:AQ61)</f>
        <v>124.14102564102564</v>
      </c>
      <c r="AT47" s="221">
        <v>13</v>
      </c>
      <c r="AU47" s="221">
        <v>1348</v>
      </c>
      <c r="AV47" s="222">
        <f>AU47/AT47</f>
        <v>103.69230769230769</v>
      </c>
      <c r="AW47" s="220">
        <f>RANK(AV47,$AV$47:$AV$61)</f>
        <v>4</v>
      </c>
      <c r="AX47" s="459">
        <f>AVERAGE(AV47:AV61)</f>
        <v>128.74252136752136</v>
      </c>
    </row>
    <row r="48" spans="2:50" ht="13.5">
      <c r="B48" s="458"/>
      <c r="C48" s="220">
        <v>2</v>
      </c>
      <c r="D48" s="224" t="s">
        <v>61</v>
      </c>
      <c r="E48" s="221">
        <f>VLOOKUP(D48,'12產線配置圖'!$A$2:$C$30,2,0)</f>
        <v>12</v>
      </c>
      <c r="F48" s="221">
        <f>VLOOKUP(D48,'12產線配置圖'!$A$2:$C$30,3,0)</f>
        <v>1565</v>
      </c>
      <c r="G48" s="222">
        <f>F48/E48</f>
        <v>130.41666666666666</v>
      </c>
      <c r="H48" s="468"/>
      <c r="I48" s="221">
        <f t="shared" ref="I48:K49" si="17">AVERAGE(P48,U48,Z48,AE48,AJ48,AO48,AT48)</f>
        <v>12</v>
      </c>
      <c r="J48" s="221">
        <f t="shared" si="17"/>
        <v>1491.4285714285713</v>
      </c>
      <c r="K48" s="222">
        <f t="shared" si="17"/>
        <v>124.28571428571429</v>
      </c>
      <c r="L48" s="468"/>
      <c r="M48" s="221">
        <f>RANK(K48, K$47:$K$61)</f>
        <v>2</v>
      </c>
      <c r="N48" s="454"/>
      <c r="O48" s="454"/>
      <c r="P48" s="221">
        <v>12</v>
      </c>
      <c r="Q48" s="221">
        <v>1556</v>
      </c>
      <c r="R48" s="222">
        <f>Q48/P48</f>
        <v>129.66666666666666</v>
      </c>
      <c r="S48" s="220">
        <f t="shared" ref="S48:S50" si="18">RANK(R48,$R$47:$R$61)</f>
        <v>2</v>
      </c>
      <c r="T48" s="459"/>
      <c r="U48" s="221">
        <v>12</v>
      </c>
      <c r="V48" s="221">
        <v>1416</v>
      </c>
      <c r="W48" s="222">
        <f>V48/U48</f>
        <v>118</v>
      </c>
      <c r="X48" s="220">
        <f t="shared" ref="X48:X50" si="19">RANK(W48,$W$47:$W$61)</f>
        <v>3</v>
      </c>
      <c r="Y48" s="459"/>
      <c r="Z48" s="221">
        <v>12</v>
      </c>
      <c r="AA48" s="221">
        <v>1558</v>
      </c>
      <c r="AB48" s="222">
        <f>AA48/Z48</f>
        <v>129.83333333333334</v>
      </c>
      <c r="AC48" s="220">
        <f t="shared" ref="AC48:AC50" si="20">RANK(AB48,$AB$47:$AB$61)</f>
        <v>2</v>
      </c>
      <c r="AD48" s="459"/>
      <c r="AE48" s="221">
        <v>12</v>
      </c>
      <c r="AF48" s="221">
        <v>1438</v>
      </c>
      <c r="AG48" s="222">
        <f>AF48/AE48</f>
        <v>119.83333333333333</v>
      </c>
      <c r="AH48" s="220">
        <f t="shared" ref="AH48:AH50" si="21">RANK(AG48,$AG$47:$AG$61)</f>
        <v>2</v>
      </c>
      <c r="AI48" s="459"/>
      <c r="AJ48" s="221">
        <v>12</v>
      </c>
      <c r="AK48" s="221">
        <v>1451</v>
      </c>
      <c r="AL48" s="222">
        <f>AK48/AJ48</f>
        <v>120.91666666666667</v>
      </c>
      <c r="AM48" s="220">
        <f t="shared" ref="AM48:AM50" si="22">RANK(AL48, $AL$47:$AL$61)</f>
        <v>2</v>
      </c>
      <c r="AN48" s="459"/>
      <c r="AO48" s="221">
        <v>12</v>
      </c>
      <c r="AP48" s="221">
        <v>1536</v>
      </c>
      <c r="AQ48" s="386">
        <f>AP48/AO48</f>
        <v>128</v>
      </c>
      <c r="AR48" s="220">
        <f t="shared" ref="AR48:AR50" si="23">RANK(AQ48,$AQ$47:$AQ$61)</f>
        <v>2</v>
      </c>
      <c r="AS48" s="459"/>
      <c r="AT48" s="221">
        <v>12</v>
      </c>
      <c r="AU48" s="221">
        <v>1485</v>
      </c>
      <c r="AV48" s="222">
        <f>AU48/AT48</f>
        <v>123.75</v>
      </c>
      <c r="AW48" s="220">
        <f t="shared" ref="AW48:AW50" si="24">RANK(AV48,$AV$47:$AV$61)</f>
        <v>2</v>
      </c>
      <c r="AX48" s="459"/>
    </row>
    <row r="49" spans="2:50" ht="13.5">
      <c r="B49" s="458"/>
      <c r="C49" s="220">
        <v>3</v>
      </c>
      <c r="D49" s="224" t="s">
        <v>62</v>
      </c>
      <c r="E49" s="221">
        <f>VLOOKUP(D49,'12產線配置圖'!$A$2:$C$30,2,0)</f>
        <v>12</v>
      </c>
      <c r="F49" s="221">
        <f>VLOOKUP(D49,'12產線配置圖'!$A$2:$C$30,3,0)</f>
        <v>1565</v>
      </c>
      <c r="G49" s="222">
        <f>F49/E49</f>
        <v>130.41666666666666</v>
      </c>
      <c r="H49" s="468"/>
      <c r="I49" s="221">
        <f t="shared" si="17"/>
        <v>12</v>
      </c>
      <c r="J49" s="221">
        <f t="shared" si="17"/>
        <v>1376.8571428571429</v>
      </c>
      <c r="K49" s="222">
        <f t="shared" si="17"/>
        <v>114.73809523809523</v>
      </c>
      <c r="L49" s="468"/>
      <c r="M49" s="221">
        <f>RANK(K49, K$47:$K$61)</f>
        <v>4</v>
      </c>
      <c r="N49" s="454"/>
      <c r="O49" s="454"/>
      <c r="P49" s="221">
        <v>12</v>
      </c>
      <c r="Q49" s="221">
        <v>1501</v>
      </c>
      <c r="R49" s="392">
        <f>Q49/P49</f>
        <v>125.08333333333333</v>
      </c>
      <c r="S49" s="220">
        <f t="shared" si="18"/>
        <v>3</v>
      </c>
      <c r="T49" s="459"/>
      <c r="U49" s="221">
        <v>12</v>
      </c>
      <c r="V49" s="221">
        <v>1347</v>
      </c>
      <c r="W49" s="222">
        <f>V49/U49</f>
        <v>112.25</v>
      </c>
      <c r="X49" s="220">
        <f t="shared" si="19"/>
        <v>4</v>
      </c>
      <c r="Y49" s="459"/>
      <c r="Z49" s="221">
        <v>12</v>
      </c>
      <c r="AA49" s="221">
        <v>1303</v>
      </c>
      <c r="AB49" s="222">
        <f>AA49/Z49</f>
        <v>108.58333333333333</v>
      </c>
      <c r="AC49" s="220">
        <f t="shared" si="20"/>
        <v>4</v>
      </c>
      <c r="AD49" s="459"/>
      <c r="AE49" s="221">
        <v>12</v>
      </c>
      <c r="AF49" s="221">
        <v>1295</v>
      </c>
      <c r="AG49" s="222">
        <f>AF49/AE49</f>
        <v>107.91666666666667</v>
      </c>
      <c r="AH49" s="220">
        <f t="shared" si="21"/>
        <v>4</v>
      </c>
      <c r="AI49" s="459"/>
      <c r="AJ49" s="221">
        <v>12</v>
      </c>
      <c r="AK49" s="221">
        <v>1427</v>
      </c>
      <c r="AL49" s="222">
        <f>AK49/AJ49</f>
        <v>118.91666666666667</v>
      </c>
      <c r="AM49" s="220">
        <f t="shared" si="22"/>
        <v>4</v>
      </c>
      <c r="AN49" s="459"/>
      <c r="AO49" s="221">
        <v>12</v>
      </c>
      <c r="AP49" s="221">
        <v>1332</v>
      </c>
      <c r="AQ49" s="386">
        <f>AP49/AO49</f>
        <v>111</v>
      </c>
      <c r="AR49" s="220">
        <f t="shared" si="23"/>
        <v>4</v>
      </c>
      <c r="AS49" s="459"/>
      <c r="AT49" s="221">
        <v>12</v>
      </c>
      <c r="AU49" s="221">
        <v>1433</v>
      </c>
      <c r="AV49" s="222">
        <f>AU49/AT49</f>
        <v>119.41666666666667</v>
      </c>
      <c r="AW49" s="220">
        <f t="shared" si="24"/>
        <v>3</v>
      </c>
      <c r="AX49" s="459"/>
    </row>
    <row r="50" spans="2:50" ht="13.5">
      <c r="B50" s="458"/>
      <c r="C50" s="220">
        <v>4</v>
      </c>
      <c r="D50" s="224" t="s">
        <v>63</v>
      </c>
      <c r="E50" s="221">
        <f>VLOOKUP(D50,'12產線配置圖'!$A$2:$C$30,2,0)</f>
        <v>9</v>
      </c>
      <c r="F50" s="221">
        <f>VLOOKUP(D50,'12產線配置圖'!$A$2:$C$30,3,0)</f>
        <v>1636</v>
      </c>
      <c r="G50" s="222">
        <f>F50/E50</f>
        <v>181.77777777777777</v>
      </c>
      <c r="H50" s="468"/>
      <c r="I50" s="221">
        <f>AVERAGE(P50,U50,Z50,AE50,AJ50,AO50,AT50)</f>
        <v>9</v>
      </c>
      <c r="J50" s="221">
        <f>AVERAGE(Q50,V50,AA50,AF50,AK50,AP50,AU50)</f>
        <v>1384.1428571428571</v>
      </c>
      <c r="K50" s="222">
        <f>AVERAGE(R50,W50,AB50,AG50,AL50,AQ50,AV50)</f>
        <v>153.79365079365081</v>
      </c>
      <c r="L50" s="468"/>
      <c r="M50" s="221">
        <f>RANK(K50, K$47:$K$61)</f>
        <v>1</v>
      </c>
      <c r="N50" s="454"/>
      <c r="O50" s="454"/>
      <c r="P50" s="221">
        <v>9</v>
      </c>
      <c r="Q50" s="221">
        <v>1371</v>
      </c>
      <c r="R50" s="392">
        <f>Q50/P50</f>
        <v>152.33333333333334</v>
      </c>
      <c r="S50" s="220">
        <f t="shared" si="18"/>
        <v>1</v>
      </c>
      <c r="T50" s="459"/>
      <c r="U50" s="221">
        <v>9</v>
      </c>
      <c r="V50" s="221">
        <v>1335</v>
      </c>
      <c r="W50" s="222">
        <f>V50/U50</f>
        <v>148.33333333333334</v>
      </c>
      <c r="X50" s="220">
        <f t="shared" si="19"/>
        <v>1</v>
      </c>
      <c r="Y50" s="459"/>
      <c r="Z50" s="221">
        <v>9</v>
      </c>
      <c r="AA50" s="221">
        <v>1360</v>
      </c>
      <c r="AB50" s="222">
        <f>AA50/Z50</f>
        <v>151.11111111111111</v>
      </c>
      <c r="AC50" s="220">
        <f t="shared" si="20"/>
        <v>1</v>
      </c>
      <c r="AD50" s="459"/>
      <c r="AE50" s="221">
        <v>9</v>
      </c>
      <c r="AF50" s="221">
        <v>1380</v>
      </c>
      <c r="AG50" s="222">
        <f>AF50/AE50</f>
        <v>153.33333333333334</v>
      </c>
      <c r="AH50" s="220">
        <f t="shared" si="21"/>
        <v>1</v>
      </c>
      <c r="AI50" s="459"/>
      <c r="AJ50" s="221">
        <v>9</v>
      </c>
      <c r="AK50" s="221">
        <v>1413</v>
      </c>
      <c r="AL50" s="222">
        <f>AK50/AJ50</f>
        <v>157</v>
      </c>
      <c r="AM50" s="220">
        <f t="shared" si="22"/>
        <v>1</v>
      </c>
      <c r="AN50" s="459"/>
      <c r="AO50" s="221">
        <v>9</v>
      </c>
      <c r="AP50" s="221">
        <v>1317</v>
      </c>
      <c r="AQ50" s="386">
        <f>AP50/AO50</f>
        <v>146.33333333333334</v>
      </c>
      <c r="AR50" s="220">
        <f t="shared" si="23"/>
        <v>1</v>
      </c>
      <c r="AS50" s="459"/>
      <c r="AT50" s="221">
        <v>9</v>
      </c>
      <c r="AU50" s="221">
        <v>1513</v>
      </c>
      <c r="AV50" s="222">
        <f>AU50/AT50</f>
        <v>168.11111111111111</v>
      </c>
      <c r="AW50" s="220">
        <f t="shared" si="24"/>
        <v>1</v>
      </c>
      <c r="AX50" s="459"/>
    </row>
    <row r="51" spans="2:50" ht="13.5">
      <c r="B51" s="458"/>
      <c r="C51" s="220">
        <v>5</v>
      </c>
      <c r="D51" s="224"/>
      <c r="E51" s="221"/>
      <c r="F51" s="221"/>
      <c r="G51" s="222"/>
      <c r="H51" s="468"/>
      <c r="I51" s="221"/>
      <c r="J51" s="221"/>
      <c r="K51" s="222"/>
      <c r="L51" s="468"/>
      <c r="M51" s="221"/>
      <c r="N51" s="454"/>
      <c r="O51" s="454"/>
      <c r="P51" s="221"/>
      <c r="Q51" s="221"/>
      <c r="R51" s="220"/>
      <c r="S51" s="220"/>
      <c r="T51" s="459"/>
      <c r="U51" s="221"/>
      <c r="V51" s="221"/>
      <c r="W51" s="220"/>
      <c r="X51" s="220"/>
      <c r="Y51" s="459"/>
      <c r="Z51" s="221"/>
      <c r="AA51" s="221"/>
      <c r="AB51" s="220"/>
      <c r="AC51" s="220"/>
      <c r="AD51" s="459"/>
      <c r="AE51" s="221"/>
      <c r="AF51" s="221"/>
      <c r="AG51" s="220"/>
      <c r="AH51" s="220"/>
      <c r="AI51" s="459"/>
      <c r="AJ51" s="221"/>
      <c r="AK51" s="221"/>
      <c r="AL51" s="220"/>
      <c r="AM51" s="220"/>
      <c r="AN51" s="459"/>
      <c r="AO51" s="221"/>
      <c r="AP51" s="221"/>
      <c r="AQ51" s="220"/>
      <c r="AR51" s="220"/>
      <c r="AS51" s="459"/>
      <c r="AT51" s="221"/>
      <c r="AU51" s="221"/>
      <c r="AV51" s="220"/>
      <c r="AW51" s="220"/>
      <c r="AX51" s="459"/>
    </row>
    <row r="52" spans="2:50" ht="13.5">
      <c r="B52" s="458"/>
      <c r="C52" s="220">
        <v>6</v>
      </c>
      <c r="D52" s="224"/>
      <c r="E52" s="221"/>
      <c r="F52" s="221"/>
      <c r="G52" s="222"/>
      <c r="H52" s="468"/>
      <c r="I52" s="221"/>
      <c r="J52" s="221"/>
      <c r="K52" s="222"/>
      <c r="L52" s="468"/>
      <c r="M52" s="221"/>
      <c r="N52" s="454"/>
      <c r="O52" s="454"/>
      <c r="P52" s="221"/>
      <c r="Q52" s="221"/>
      <c r="R52" s="220"/>
      <c r="S52" s="220"/>
      <c r="T52" s="459"/>
      <c r="U52" s="221"/>
      <c r="V52" s="221"/>
      <c r="W52" s="220"/>
      <c r="X52" s="220"/>
      <c r="Y52" s="459"/>
      <c r="Z52" s="221"/>
      <c r="AA52" s="221"/>
      <c r="AB52" s="220"/>
      <c r="AC52" s="220"/>
      <c r="AD52" s="459"/>
      <c r="AE52" s="221"/>
      <c r="AF52" s="221"/>
      <c r="AG52" s="220"/>
      <c r="AH52" s="220"/>
      <c r="AI52" s="459"/>
      <c r="AJ52" s="221"/>
      <c r="AK52" s="221"/>
      <c r="AL52" s="220"/>
      <c r="AM52" s="220"/>
      <c r="AN52" s="459"/>
      <c r="AO52" s="221"/>
      <c r="AP52" s="221"/>
      <c r="AQ52" s="220"/>
      <c r="AR52" s="220"/>
      <c r="AS52" s="459"/>
      <c r="AT52" s="221"/>
      <c r="AU52" s="221"/>
      <c r="AV52" s="220"/>
      <c r="AW52" s="220"/>
      <c r="AX52" s="459"/>
    </row>
    <row r="53" spans="2:50" ht="13.5">
      <c r="B53" s="458"/>
      <c r="C53" s="220">
        <v>7</v>
      </c>
      <c r="D53" s="224"/>
      <c r="E53" s="221"/>
      <c r="F53" s="221"/>
      <c r="G53" s="222"/>
      <c r="H53" s="468"/>
      <c r="I53" s="221"/>
      <c r="J53" s="221"/>
      <c r="K53" s="222"/>
      <c r="L53" s="468"/>
      <c r="M53" s="221"/>
      <c r="N53" s="454"/>
      <c r="O53" s="454"/>
      <c r="P53" s="221"/>
      <c r="Q53" s="221"/>
      <c r="R53" s="220"/>
      <c r="S53" s="220"/>
      <c r="T53" s="459"/>
      <c r="U53" s="221"/>
      <c r="V53" s="221"/>
      <c r="W53" s="220"/>
      <c r="X53" s="220"/>
      <c r="Y53" s="459"/>
      <c r="Z53" s="221"/>
      <c r="AA53" s="221"/>
      <c r="AB53" s="220"/>
      <c r="AC53" s="220"/>
      <c r="AD53" s="459"/>
      <c r="AE53" s="221"/>
      <c r="AF53" s="221"/>
      <c r="AG53" s="220"/>
      <c r="AH53" s="220"/>
      <c r="AI53" s="459"/>
      <c r="AJ53" s="221"/>
      <c r="AK53" s="221"/>
      <c r="AL53" s="220"/>
      <c r="AM53" s="220"/>
      <c r="AN53" s="459"/>
      <c r="AO53" s="221"/>
      <c r="AP53" s="221"/>
      <c r="AQ53" s="220"/>
      <c r="AR53" s="220"/>
      <c r="AS53" s="459"/>
      <c r="AT53" s="221"/>
      <c r="AU53" s="221"/>
      <c r="AV53" s="220"/>
      <c r="AW53" s="220"/>
      <c r="AX53" s="459"/>
    </row>
    <row r="54" spans="2:50" ht="13.5">
      <c r="B54" s="458"/>
      <c r="C54" s="220">
        <v>8</v>
      </c>
      <c r="D54" s="224"/>
      <c r="E54" s="220"/>
      <c r="F54" s="220"/>
      <c r="G54" s="220"/>
      <c r="H54" s="468"/>
      <c r="I54" s="221"/>
      <c r="J54" s="221"/>
      <c r="K54" s="222"/>
      <c r="L54" s="468"/>
      <c r="M54" s="221"/>
      <c r="N54" s="454"/>
      <c r="O54" s="454"/>
      <c r="P54" s="221"/>
      <c r="Q54" s="221"/>
      <c r="R54" s="220"/>
      <c r="S54" s="220"/>
      <c r="T54" s="459"/>
      <c r="U54" s="221"/>
      <c r="V54" s="221"/>
      <c r="W54" s="220"/>
      <c r="X54" s="220"/>
      <c r="Y54" s="459"/>
      <c r="Z54" s="221"/>
      <c r="AA54" s="221"/>
      <c r="AB54" s="220"/>
      <c r="AC54" s="220"/>
      <c r="AD54" s="459"/>
      <c r="AE54" s="221"/>
      <c r="AF54" s="221"/>
      <c r="AG54" s="220"/>
      <c r="AH54" s="220"/>
      <c r="AI54" s="459"/>
      <c r="AJ54" s="221"/>
      <c r="AK54" s="221"/>
      <c r="AL54" s="220"/>
      <c r="AM54" s="220"/>
      <c r="AN54" s="459"/>
      <c r="AO54" s="221"/>
      <c r="AP54" s="221"/>
      <c r="AQ54" s="220"/>
      <c r="AR54" s="220"/>
      <c r="AS54" s="459"/>
      <c r="AT54" s="221"/>
      <c r="AU54" s="221"/>
      <c r="AV54" s="220"/>
      <c r="AW54" s="220"/>
      <c r="AX54" s="459"/>
    </row>
    <row r="55" spans="2:50" ht="13.5">
      <c r="B55" s="458"/>
      <c r="C55" s="220">
        <v>9</v>
      </c>
      <c r="D55" s="224"/>
      <c r="E55" s="220"/>
      <c r="F55" s="220"/>
      <c r="G55" s="220"/>
      <c r="H55" s="468"/>
      <c r="I55" s="221"/>
      <c r="J55" s="221"/>
      <c r="K55" s="222"/>
      <c r="L55" s="468"/>
      <c r="M55" s="221"/>
      <c r="N55" s="454"/>
      <c r="O55" s="454"/>
      <c r="P55" s="221"/>
      <c r="Q55" s="221"/>
      <c r="R55" s="220"/>
      <c r="S55" s="220"/>
      <c r="T55" s="459"/>
      <c r="U55" s="221"/>
      <c r="V55" s="221"/>
      <c r="W55" s="220"/>
      <c r="X55" s="220"/>
      <c r="Y55" s="459"/>
      <c r="Z55" s="221"/>
      <c r="AA55" s="221"/>
      <c r="AB55" s="220"/>
      <c r="AC55" s="220"/>
      <c r="AD55" s="459"/>
      <c r="AE55" s="221"/>
      <c r="AF55" s="221"/>
      <c r="AG55" s="220"/>
      <c r="AH55" s="220"/>
      <c r="AI55" s="459"/>
      <c r="AJ55" s="221"/>
      <c r="AK55" s="221"/>
      <c r="AL55" s="220"/>
      <c r="AM55" s="220"/>
      <c r="AN55" s="459"/>
      <c r="AO55" s="221"/>
      <c r="AP55" s="221"/>
      <c r="AQ55" s="220"/>
      <c r="AR55" s="220"/>
      <c r="AS55" s="459"/>
      <c r="AT55" s="221"/>
      <c r="AU55" s="221"/>
      <c r="AV55" s="220"/>
      <c r="AW55" s="220"/>
      <c r="AX55" s="459"/>
    </row>
    <row r="56" spans="2:50" ht="13.5">
      <c r="B56" s="458"/>
      <c r="C56" s="220">
        <v>10</v>
      </c>
      <c r="D56" s="224"/>
      <c r="E56" s="220"/>
      <c r="F56" s="220"/>
      <c r="G56" s="220"/>
      <c r="H56" s="468"/>
      <c r="I56" s="221"/>
      <c r="J56" s="221"/>
      <c r="K56" s="222"/>
      <c r="L56" s="468"/>
      <c r="M56" s="221"/>
      <c r="N56" s="454"/>
      <c r="O56" s="454"/>
      <c r="P56" s="221"/>
      <c r="Q56" s="221"/>
      <c r="R56" s="220"/>
      <c r="S56" s="220"/>
      <c r="T56" s="459"/>
      <c r="U56" s="221"/>
      <c r="V56" s="221"/>
      <c r="W56" s="220"/>
      <c r="X56" s="220"/>
      <c r="Y56" s="459"/>
      <c r="Z56" s="221"/>
      <c r="AA56" s="221"/>
      <c r="AB56" s="220"/>
      <c r="AC56" s="220"/>
      <c r="AD56" s="459"/>
      <c r="AE56" s="221"/>
      <c r="AF56" s="221"/>
      <c r="AG56" s="220"/>
      <c r="AH56" s="220"/>
      <c r="AI56" s="459"/>
      <c r="AJ56" s="221"/>
      <c r="AK56" s="221"/>
      <c r="AL56" s="220"/>
      <c r="AM56" s="220"/>
      <c r="AN56" s="459"/>
      <c r="AO56" s="221"/>
      <c r="AP56" s="221"/>
      <c r="AQ56" s="220"/>
      <c r="AR56" s="220"/>
      <c r="AS56" s="459"/>
      <c r="AT56" s="221"/>
      <c r="AU56" s="221"/>
      <c r="AV56" s="220"/>
      <c r="AW56" s="220"/>
      <c r="AX56" s="459"/>
    </row>
    <row r="57" spans="2:50" ht="13.5">
      <c r="B57" s="458"/>
      <c r="C57" s="220">
        <v>11</v>
      </c>
      <c r="D57" s="224"/>
      <c r="E57" s="220"/>
      <c r="F57" s="220"/>
      <c r="G57" s="220"/>
      <c r="H57" s="468"/>
      <c r="I57" s="221"/>
      <c r="J57" s="221"/>
      <c r="K57" s="222"/>
      <c r="L57" s="468"/>
      <c r="M57" s="221"/>
      <c r="N57" s="454"/>
      <c r="O57" s="454"/>
      <c r="P57" s="220"/>
      <c r="Q57" s="220"/>
      <c r="R57" s="220"/>
      <c r="S57" s="220"/>
      <c r="T57" s="459"/>
      <c r="U57" s="220"/>
      <c r="V57" s="220"/>
      <c r="W57" s="220"/>
      <c r="X57" s="220"/>
      <c r="Y57" s="459"/>
      <c r="Z57" s="220"/>
      <c r="AA57" s="220"/>
      <c r="AB57" s="220"/>
      <c r="AC57" s="220"/>
      <c r="AD57" s="459"/>
      <c r="AE57" s="220"/>
      <c r="AF57" s="220"/>
      <c r="AG57" s="220"/>
      <c r="AH57" s="220"/>
      <c r="AI57" s="459"/>
      <c r="AJ57" s="220"/>
      <c r="AK57" s="220"/>
      <c r="AL57" s="220"/>
      <c r="AM57" s="220"/>
      <c r="AN57" s="459"/>
      <c r="AO57" s="220"/>
      <c r="AP57" s="220"/>
      <c r="AQ57" s="220"/>
      <c r="AR57" s="220"/>
      <c r="AS57" s="459"/>
      <c r="AT57" s="220"/>
      <c r="AU57" s="220"/>
      <c r="AV57" s="220"/>
      <c r="AW57" s="220"/>
      <c r="AX57" s="459"/>
    </row>
    <row r="58" spans="2:50" ht="13.5">
      <c r="B58" s="458"/>
      <c r="C58" s="220">
        <v>12</v>
      </c>
      <c r="D58" s="224"/>
      <c r="E58" s="220"/>
      <c r="F58" s="220"/>
      <c r="G58" s="220"/>
      <c r="H58" s="468"/>
      <c r="I58" s="221"/>
      <c r="J58" s="221"/>
      <c r="K58" s="222"/>
      <c r="L58" s="468"/>
      <c r="M58" s="221"/>
      <c r="N58" s="454"/>
      <c r="O58" s="454"/>
      <c r="P58" s="220"/>
      <c r="Q58" s="220"/>
      <c r="R58" s="220"/>
      <c r="S58" s="220"/>
      <c r="T58" s="459"/>
      <c r="U58" s="220"/>
      <c r="V58" s="220"/>
      <c r="W58" s="220"/>
      <c r="X58" s="220"/>
      <c r="Y58" s="459"/>
      <c r="Z58" s="220"/>
      <c r="AA58" s="220"/>
      <c r="AB58" s="220"/>
      <c r="AC58" s="220"/>
      <c r="AD58" s="459"/>
      <c r="AE58" s="220"/>
      <c r="AF58" s="220"/>
      <c r="AG58" s="220"/>
      <c r="AH58" s="220"/>
      <c r="AI58" s="459"/>
      <c r="AJ58" s="220"/>
      <c r="AK58" s="220"/>
      <c r="AL58" s="220"/>
      <c r="AM58" s="220"/>
      <c r="AN58" s="459"/>
      <c r="AO58" s="220"/>
      <c r="AP58" s="220"/>
      <c r="AQ58" s="220"/>
      <c r="AR58" s="220"/>
      <c r="AS58" s="459"/>
      <c r="AT58" s="220"/>
      <c r="AU58" s="220"/>
      <c r="AV58" s="220"/>
      <c r="AW58" s="220"/>
      <c r="AX58" s="459"/>
    </row>
    <row r="59" spans="2:50" ht="13.5">
      <c r="B59" s="458"/>
      <c r="C59" s="220">
        <v>13</v>
      </c>
      <c r="D59" s="224"/>
      <c r="E59" s="220"/>
      <c r="F59" s="220"/>
      <c r="G59" s="220"/>
      <c r="H59" s="468"/>
      <c r="I59" s="221"/>
      <c r="J59" s="221"/>
      <c r="K59" s="222"/>
      <c r="L59" s="468"/>
      <c r="M59" s="221"/>
      <c r="N59" s="454"/>
      <c r="O59" s="454"/>
      <c r="P59" s="220"/>
      <c r="Q59" s="220"/>
      <c r="R59" s="220"/>
      <c r="S59" s="220"/>
      <c r="T59" s="459"/>
      <c r="U59" s="220"/>
      <c r="V59" s="220"/>
      <c r="W59" s="220"/>
      <c r="X59" s="220"/>
      <c r="Y59" s="459"/>
      <c r="Z59" s="220"/>
      <c r="AA59" s="220"/>
      <c r="AB59" s="220"/>
      <c r="AC59" s="220"/>
      <c r="AD59" s="459"/>
      <c r="AE59" s="220"/>
      <c r="AF59" s="220"/>
      <c r="AG59" s="220"/>
      <c r="AH59" s="220"/>
      <c r="AI59" s="459"/>
      <c r="AJ59" s="220"/>
      <c r="AK59" s="220"/>
      <c r="AL59" s="220"/>
      <c r="AM59" s="220"/>
      <c r="AN59" s="459"/>
      <c r="AO59" s="220"/>
      <c r="AP59" s="220"/>
      <c r="AQ59" s="220"/>
      <c r="AR59" s="220"/>
      <c r="AS59" s="459"/>
      <c r="AT59" s="220"/>
      <c r="AU59" s="220"/>
      <c r="AV59" s="220"/>
      <c r="AW59" s="220"/>
      <c r="AX59" s="459"/>
    </row>
    <row r="60" spans="2:50" ht="13.5">
      <c r="B60" s="458"/>
      <c r="C60" s="220">
        <v>14</v>
      </c>
      <c r="D60" s="224"/>
      <c r="E60" s="220"/>
      <c r="F60" s="220"/>
      <c r="G60" s="220"/>
      <c r="H60" s="468"/>
      <c r="I60" s="221"/>
      <c r="J60" s="221"/>
      <c r="K60" s="222"/>
      <c r="L60" s="468"/>
      <c r="M60" s="221"/>
      <c r="N60" s="454"/>
      <c r="O60" s="454"/>
      <c r="P60" s="220"/>
      <c r="Q60" s="220"/>
      <c r="R60" s="220"/>
      <c r="S60" s="220"/>
      <c r="T60" s="459"/>
      <c r="U60" s="220"/>
      <c r="V60" s="220"/>
      <c r="W60" s="220"/>
      <c r="X60" s="220"/>
      <c r="Y60" s="459"/>
      <c r="Z60" s="220"/>
      <c r="AA60" s="220"/>
      <c r="AB60" s="220"/>
      <c r="AC60" s="220"/>
      <c r="AD60" s="459"/>
      <c r="AE60" s="220"/>
      <c r="AF60" s="220"/>
      <c r="AG60" s="220"/>
      <c r="AH60" s="220"/>
      <c r="AI60" s="459"/>
      <c r="AJ60" s="220"/>
      <c r="AK60" s="220"/>
      <c r="AL60" s="220"/>
      <c r="AM60" s="220"/>
      <c r="AN60" s="459"/>
      <c r="AO60" s="220"/>
      <c r="AP60" s="220"/>
      <c r="AQ60" s="220"/>
      <c r="AR60" s="220"/>
      <c r="AS60" s="459"/>
      <c r="AT60" s="220"/>
      <c r="AU60" s="220"/>
      <c r="AV60" s="220"/>
      <c r="AW60" s="220"/>
      <c r="AX60" s="459"/>
    </row>
    <row r="61" spans="2:50" ht="13.5">
      <c r="B61" s="458"/>
      <c r="C61" s="220">
        <v>15</v>
      </c>
      <c r="D61" s="224"/>
      <c r="E61" s="220"/>
      <c r="F61" s="220"/>
      <c r="G61" s="220"/>
      <c r="H61" s="469"/>
      <c r="I61" s="221"/>
      <c r="J61" s="221"/>
      <c r="K61" s="222"/>
      <c r="L61" s="469"/>
      <c r="M61" s="221"/>
      <c r="N61" s="454"/>
      <c r="O61" s="454"/>
      <c r="P61" s="220"/>
      <c r="Q61" s="220"/>
      <c r="R61" s="220"/>
      <c r="S61" s="220"/>
      <c r="T61" s="459"/>
      <c r="U61" s="220"/>
      <c r="V61" s="220"/>
      <c r="W61" s="220"/>
      <c r="X61" s="220"/>
      <c r="Y61" s="459"/>
      <c r="Z61" s="220"/>
      <c r="AA61" s="220"/>
      <c r="AB61" s="220"/>
      <c r="AC61" s="220"/>
      <c r="AD61" s="459"/>
      <c r="AE61" s="220"/>
      <c r="AF61" s="220"/>
      <c r="AG61" s="220"/>
      <c r="AH61" s="220"/>
      <c r="AI61" s="459"/>
      <c r="AJ61" s="220"/>
      <c r="AK61" s="220"/>
      <c r="AL61" s="220"/>
      <c r="AM61" s="220"/>
      <c r="AN61" s="459"/>
      <c r="AO61" s="220"/>
      <c r="AP61" s="220"/>
      <c r="AQ61" s="220"/>
      <c r="AR61" s="220"/>
      <c r="AS61" s="459"/>
      <c r="AT61" s="220"/>
      <c r="AU61" s="220"/>
      <c r="AV61" s="220"/>
      <c r="AW61" s="220"/>
      <c r="AX61" s="459"/>
    </row>
    <row r="62" spans="2:50" ht="15.75">
      <c r="B62" s="477" t="s">
        <v>43</v>
      </c>
      <c r="C62" s="465"/>
      <c r="D62" s="465"/>
      <c r="E62" s="465"/>
      <c r="F62" s="465"/>
      <c r="G62" s="465"/>
      <c r="H62" s="465"/>
      <c r="I62" s="225"/>
      <c r="J62" s="225"/>
      <c r="K62" s="225"/>
      <c r="L62" s="225"/>
      <c r="M62" s="226"/>
      <c r="N62" s="455" t="s">
        <v>44</v>
      </c>
      <c r="O62" s="455" t="s">
        <v>3</v>
      </c>
      <c r="P62" s="457">
        <v>46098</v>
      </c>
      <c r="Q62" s="458"/>
      <c r="R62" s="458"/>
      <c r="S62" s="458"/>
      <c r="T62" s="458"/>
      <c r="U62" s="457">
        <v>46099</v>
      </c>
      <c r="V62" s="458"/>
      <c r="W62" s="458"/>
      <c r="X62" s="458"/>
      <c r="Y62" s="458"/>
      <c r="Z62" s="457">
        <v>46100</v>
      </c>
      <c r="AA62" s="458"/>
      <c r="AB62" s="458"/>
      <c r="AC62" s="458"/>
      <c r="AD62" s="458"/>
      <c r="AE62" s="457">
        <v>46101</v>
      </c>
      <c r="AF62" s="458"/>
      <c r="AG62" s="458"/>
      <c r="AH62" s="458"/>
      <c r="AI62" s="458"/>
      <c r="AJ62" s="457">
        <v>46102</v>
      </c>
      <c r="AK62" s="458"/>
      <c r="AL62" s="458"/>
      <c r="AM62" s="458"/>
      <c r="AN62" s="458"/>
      <c r="AO62" s="457">
        <v>46103</v>
      </c>
      <c r="AP62" s="458"/>
      <c r="AQ62" s="458"/>
      <c r="AR62" s="458"/>
      <c r="AS62" s="458"/>
      <c r="AT62" s="457">
        <v>46104</v>
      </c>
      <c r="AU62" s="458"/>
      <c r="AV62" s="458"/>
      <c r="AW62" s="458"/>
      <c r="AX62" s="458"/>
    </row>
    <row r="63" spans="2:50" ht="15.75">
      <c r="B63" s="466"/>
      <c r="C63" s="466"/>
      <c r="D63" s="466"/>
      <c r="E63" s="466"/>
      <c r="F63" s="466"/>
      <c r="G63" s="466"/>
      <c r="H63" s="466"/>
      <c r="I63" s="216"/>
      <c r="J63" s="216"/>
      <c r="K63" s="216"/>
      <c r="L63" s="216"/>
      <c r="M63" s="217"/>
      <c r="N63" s="456"/>
      <c r="O63" s="456"/>
      <c r="P63" s="457" t="s">
        <v>15</v>
      </c>
      <c r="Q63" s="458"/>
      <c r="R63" s="458"/>
      <c r="S63" s="458"/>
      <c r="T63" s="458"/>
      <c r="U63" s="457" t="s">
        <v>13</v>
      </c>
      <c r="V63" s="458"/>
      <c r="W63" s="458"/>
      <c r="X63" s="458"/>
      <c r="Y63" s="458"/>
      <c r="Z63" s="457" t="s">
        <v>16</v>
      </c>
      <c r="AA63" s="458"/>
      <c r="AB63" s="458"/>
      <c r="AC63" s="458"/>
      <c r="AD63" s="458"/>
      <c r="AE63" s="457" t="s">
        <v>17</v>
      </c>
      <c r="AF63" s="458"/>
      <c r="AG63" s="458"/>
      <c r="AH63" s="458"/>
      <c r="AI63" s="458"/>
      <c r="AJ63" s="457" t="s">
        <v>18</v>
      </c>
      <c r="AK63" s="458"/>
      <c r="AL63" s="458"/>
      <c r="AM63" s="458"/>
      <c r="AN63" s="458"/>
      <c r="AO63" s="457" t="s">
        <v>10</v>
      </c>
      <c r="AP63" s="458"/>
      <c r="AQ63" s="458"/>
      <c r="AR63" s="458"/>
      <c r="AS63" s="458"/>
      <c r="AT63" s="457" t="s">
        <v>14</v>
      </c>
      <c r="AU63" s="458"/>
      <c r="AV63" s="458"/>
      <c r="AW63" s="458"/>
      <c r="AX63" s="458"/>
    </row>
    <row r="64" spans="2:50">
      <c r="B64" s="454" t="s">
        <v>45</v>
      </c>
      <c r="C64" s="454" t="s">
        <v>46</v>
      </c>
      <c r="D64" s="454"/>
      <c r="E64" s="454" t="s">
        <v>47</v>
      </c>
      <c r="F64" s="454"/>
      <c r="G64" s="454"/>
      <c r="H64" s="470" t="s">
        <v>48</v>
      </c>
      <c r="I64" s="454" t="s">
        <v>49</v>
      </c>
      <c r="J64" s="454"/>
      <c r="K64" s="454"/>
      <c r="L64" s="470" t="s">
        <v>48</v>
      </c>
      <c r="M64" s="455" t="s">
        <v>50</v>
      </c>
      <c r="N64" s="454"/>
      <c r="O64" s="454" t="s">
        <v>51</v>
      </c>
      <c r="P64" s="451" t="s">
        <v>52</v>
      </c>
      <c r="Q64" s="452"/>
      <c r="R64" s="452"/>
      <c r="S64" s="453"/>
      <c r="T64" s="454" t="s">
        <v>48</v>
      </c>
      <c r="U64" s="451" t="s">
        <v>52</v>
      </c>
      <c r="V64" s="452"/>
      <c r="W64" s="452"/>
      <c r="X64" s="453"/>
      <c r="Y64" s="454" t="s">
        <v>48</v>
      </c>
      <c r="Z64" s="451" t="s">
        <v>52</v>
      </c>
      <c r="AA64" s="452"/>
      <c r="AB64" s="452"/>
      <c r="AC64" s="453"/>
      <c r="AD64" s="454" t="s">
        <v>48</v>
      </c>
      <c r="AE64" s="451" t="s">
        <v>52</v>
      </c>
      <c r="AF64" s="452"/>
      <c r="AG64" s="452"/>
      <c r="AH64" s="453"/>
      <c r="AI64" s="454" t="s">
        <v>48</v>
      </c>
      <c r="AJ64" s="451" t="s">
        <v>52</v>
      </c>
      <c r="AK64" s="452"/>
      <c r="AL64" s="452"/>
      <c r="AM64" s="453"/>
      <c r="AN64" s="454" t="s">
        <v>48</v>
      </c>
      <c r="AO64" s="451" t="s">
        <v>52</v>
      </c>
      <c r="AP64" s="452"/>
      <c r="AQ64" s="452"/>
      <c r="AR64" s="453"/>
      <c r="AS64" s="454" t="s">
        <v>48</v>
      </c>
      <c r="AT64" s="451" t="s">
        <v>52</v>
      </c>
      <c r="AU64" s="452"/>
      <c r="AV64" s="452"/>
      <c r="AW64" s="453"/>
      <c r="AX64" s="454" t="s">
        <v>48</v>
      </c>
    </row>
    <row r="65" spans="2:50">
      <c r="B65" s="454"/>
      <c r="C65" s="454"/>
      <c r="D65" s="454"/>
      <c r="E65" s="454" t="s">
        <v>53</v>
      </c>
      <c r="F65" s="454"/>
      <c r="G65" s="454"/>
      <c r="H65" s="471"/>
      <c r="I65" s="454" t="s">
        <v>53</v>
      </c>
      <c r="J65" s="454"/>
      <c r="K65" s="454"/>
      <c r="L65" s="471"/>
      <c r="M65" s="463"/>
      <c r="N65" s="454"/>
      <c r="O65" s="454"/>
      <c r="P65" s="451" t="s">
        <v>54</v>
      </c>
      <c r="Q65" s="452"/>
      <c r="R65" s="452"/>
      <c r="S65" s="453"/>
      <c r="T65" s="454"/>
      <c r="U65" s="451" t="s">
        <v>54</v>
      </c>
      <c r="V65" s="452"/>
      <c r="W65" s="452"/>
      <c r="X65" s="453"/>
      <c r="Y65" s="454"/>
      <c r="Z65" s="451" t="s">
        <v>54</v>
      </c>
      <c r="AA65" s="452"/>
      <c r="AB65" s="452"/>
      <c r="AC65" s="453"/>
      <c r="AD65" s="454"/>
      <c r="AE65" s="451" t="s">
        <v>54</v>
      </c>
      <c r="AF65" s="452"/>
      <c r="AG65" s="452"/>
      <c r="AH65" s="453"/>
      <c r="AI65" s="454"/>
      <c r="AJ65" s="451" t="s">
        <v>54</v>
      </c>
      <c r="AK65" s="452"/>
      <c r="AL65" s="452"/>
      <c r="AM65" s="453"/>
      <c r="AN65" s="454"/>
      <c r="AO65" s="451" t="s">
        <v>54</v>
      </c>
      <c r="AP65" s="452"/>
      <c r="AQ65" s="452"/>
      <c r="AR65" s="453"/>
      <c r="AS65" s="454"/>
      <c r="AT65" s="451" t="s">
        <v>54</v>
      </c>
      <c r="AU65" s="452"/>
      <c r="AV65" s="452"/>
      <c r="AW65" s="453"/>
      <c r="AX65" s="454"/>
    </row>
    <row r="66" spans="2:50">
      <c r="B66" s="454"/>
      <c r="C66" s="454"/>
      <c r="D66" s="454"/>
      <c r="E66" s="219" t="s">
        <v>55</v>
      </c>
      <c r="F66" s="219" t="s">
        <v>56</v>
      </c>
      <c r="G66" s="219" t="s">
        <v>57</v>
      </c>
      <c r="H66" s="472"/>
      <c r="I66" s="219" t="s">
        <v>55</v>
      </c>
      <c r="J66" s="219" t="s">
        <v>56</v>
      </c>
      <c r="K66" s="219" t="s">
        <v>57</v>
      </c>
      <c r="L66" s="472"/>
      <c r="M66" s="456"/>
      <c r="N66" s="454"/>
      <c r="O66" s="454"/>
      <c r="P66" s="219" t="s">
        <v>55</v>
      </c>
      <c r="Q66" s="219" t="s">
        <v>56</v>
      </c>
      <c r="R66" s="219" t="s">
        <v>57</v>
      </c>
      <c r="S66" s="219" t="s">
        <v>50</v>
      </c>
      <c r="T66" s="454"/>
      <c r="U66" s="219" t="s">
        <v>55</v>
      </c>
      <c r="V66" s="219" t="s">
        <v>56</v>
      </c>
      <c r="W66" s="219" t="s">
        <v>57</v>
      </c>
      <c r="X66" s="219" t="s">
        <v>50</v>
      </c>
      <c r="Y66" s="454"/>
      <c r="Z66" s="219" t="s">
        <v>55</v>
      </c>
      <c r="AA66" s="219" t="s">
        <v>56</v>
      </c>
      <c r="AB66" s="219" t="s">
        <v>57</v>
      </c>
      <c r="AC66" s="219" t="s">
        <v>50</v>
      </c>
      <c r="AD66" s="454"/>
      <c r="AE66" s="219" t="s">
        <v>55</v>
      </c>
      <c r="AF66" s="219" t="s">
        <v>56</v>
      </c>
      <c r="AG66" s="219" t="s">
        <v>57</v>
      </c>
      <c r="AH66" s="219" t="s">
        <v>50</v>
      </c>
      <c r="AI66" s="454"/>
      <c r="AJ66" s="219" t="s">
        <v>55</v>
      </c>
      <c r="AK66" s="219" t="s">
        <v>56</v>
      </c>
      <c r="AL66" s="219" t="s">
        <v>57</v>
      </c>
      <c r="AM66" s="219" t="s">
        <v>50</v>
      </c>
      <c r="AN66" s="454"/>
      <c r="AO66" s="219" t="s">
        <v>55</v>
      </c>
      <c r="AP66" s="219" t="s">
        <v>56</v>
      </c>
      <c r="AQ66" s="219" t="s">
        <v>57</v>
      </c>
      <c r="AR66" s="219" t="s">
        <v>50</v>
      </c>
      <c r="AS66" s="454"/>
      <c r="AT66" s="219" t="s">
        <v>55</v>
      </c>
      <c r="AU66" s="219" t="s">
        <v>56</v>
      </c>
      <c r="AV66" s="219" t="s">
        <v>57</v>
      </c>
      <c r="AW66" s="219" t="s">
        <v>50</v>
      </c>
      <c r="AX66" s="454"/>
    </row>
    <row r="67" spans="2:50" ht="13.5">
      <c r="B67" s="454" t="s">
        <v>34</v>
      </c>
      <c r="C67" s="220">
        <v>1</v>
      </c>
      <c r="D67" s="224" t="s">
        <v>60</v>
      </c>
      <c r="E67" s="221">
        <f>VLOOKUP(D67,'12產線配置圖'!$A$2:$C$30,2,0)</f>
        <v>13</v>
      </c>
      <c r="F67" s="221">
        <f>VLOOKUP(D67,'12產線配置圖'!$A$2:$C$30,3,0)</f>
        <v>1565</v>
      </c>
      <c r="G67" s="222">
        <f>F67/E67</f>
        <v>120.38461538461539</v>
      </c>
      <c r="H67" s="467" t="e">
        <f>AVERAGE(G67:G81)</f>
        <v>#N/A</v>
      </c>
      <c r="I67" s="221">
        <f>AVERAGE(P67,U67,Z66,AE67,AJ67,AO67,AT67)</f>
        <v>13</v>
      </c>
      <c r="J67" s="221">
        <f t="shared" ref="J67:K68" si="25">AVERAGE(Q67,V67,AA67,AF67,AK67,AP67,AU67)</f>
        <v>1502.4285714285713</v>
      </c>
      <c r="K67" s="222">
        <f t="shared" si="25"/>
        <v>115.57142857142857</v>
      </c>
      <c r="L67" s="467">
        <f>IFERROR(AVERAGE(K67:K81),"-")</f>
        <v>114.61275252525253</v>
      </c>
      <c r="M67" s="221">
        <f>RANK(K67, K$67:$K$81)</f>
        <v>3</v>
      </c>
      <c r="N67" s="454"/>
      <c r="O67" s="454"/>
      <c r="P67" s="221">
        <v>13</v>
      </c>
      <c r="Q67" s="221">
        <v>1434</v>
      </c>
      <c r="R67" s="222">
        <f>Q67/P67</f>
        <v>110.30769230769231</v>
      </c>
      <c r="S67" s="220">
        <f>RANK(R67,$R$67:$R$81)</f>
        <v>2</v>
      </c>
      <c r="T67" s="459">
        <f>AVERAGE(R67:R81)</f>
        <v>111.65836247086247</v>
      </c>
      <c r="U67" s="221">
        <v>13</v>
      </c>
      <c r="V67" s="221">
        <v>1533</v>
      </c>
      <c r="W67" s="222">
        <f>V67/U67</f>
        <v>117.92307692307692</v>
      </c>
      <c r="X67" s="220">
        <f>RANK(W67,$W$67:$W$81)</f>
        <v>2</v>
      </c>
      <c r="Y67" s="459">
        <f>AVERAGE(W67:W81)</f>
        <v>113.28758741258741</v>
      </c>
      <c r="Z67" s="221">
        <v>13</v>
      </c>
      <c r="AA67" s="221">
        <v>1540</v>
      </c>
      <c r="AB67" s="222">
        <f>AA67/Z67</f>
        <v>118.46153846153847</v>
      </c>
      <c r="AC67" s="220">
        <f>RANK(AB67, $AB$67:$AB$81)</f>
        <v>3</v>
      </c>
      <c r="AD67" s="459">
        <f>AVERAGE(AB67:AB81)</f>
        <v>111.64455128205128</v>
      </c>
      <c r="AE67" s="221">
        <v>13</v>
      </c>
      <c r="AF67" s="221">
        <v>1539</v>
      </c>
      <c r="AG67" s="222">
        <f>AF67/AE67</f>
        <v>118.38461538461539</v>
      </c>
      <c r="AH67" s="220">
        <f>RANK(AG67, $AG$67:$AG$81)</f>
        <v>1</v>
      </c>
      <c r="AI67" s="459">
        <f>AVERAGE(AG67:AG81)</f>
        <v>105.32595182595183</v>
      </c>
      <c r="AJ67" s="221">
        <v>13</v>
      </c>
      <c r="AK67" s="221">
        <v>1536</v>
      </c>
      <c r="AL67" s="222">
        <f>AK67/AJ67</f>
        <v>118.15384615384616</v>
      </c>
      <c r="AM67" s="220">
        <f>RANK(AL67, $AL$67:$AL$81)</f>
        <v>3</v>
      </c>
      <c r="AN67" s="459">
        <f>AVERAGE(AL67:AL81)</f>
        <v>125.85096153846155</v>
      </c>
      <c r="AO67" s="221">
        <v>13</v>
      </c>
      <c r="AP67" s="221">
        <v>1388</v>
      </c>
      <c r="AQ67" s="222">
        <f>AP67/AO67</f>
        <v>106.76923076923077</v>
      </c>
      <c r="AR67" s="220">
        <f>RANK(AQ67, $AQ$67:$AQ$81)</f>
        <v>4</v>
      </c>
      <c r="AS67" s="459">
        <f>AVERAGE(AQ67:AQ81)</f>
        <v>118.74723193473193</v>
      </c>
      <c r="AT67" s="221">
        <v>13</v>
      </c>
      <c r="AU67" s="221">
        <v>1547</v>
      </c>
      <c r="AV67" s="386">
        <f>AU67/AT67</f>
        <v>119</v>
      </c>
      <c r="AW67" s="220">
        <f>RANK(AV67, $AV$67:$AV$81)</f>
        <v>3</v>
      </c>
      <c r="AX67" s="459">
        <f>AVERAGE(AV67:AV81)</f>
        <v>115.77462121212122</v>
      </c>
    </row>
    <row r="68" spans="2:50" ht="13.5">
      <c r="B68" s="458"/>
      <c r="C68" s="220">
        <v>2</v>
      </c>
      <c r="D68" s="224" t="s">
        <v>61</v>
      </c>
      <c r="E68" s="221">
        <f>VLOOKUP(D68,'12產線配置圖'!$A$2:$C$30,2,0)</f>
        <v>12</v>
      </c>
      <c r="F68" s="221">
        <f>VLOOKUP(D68,'12產線配置圖'!$A$2:$C$30,3,0)</f>
        <v>1565</v>
      </c>
      <c r="G68" s="222">
        <f>F68/E68</f>
        <v>130.41666666666666</v>
      </c>
      <c r="H68" s="468"/>
      <c r="I68" s="221">
        <f>AVERAGE(P68,U68,Z67,AE68,AJ68,AO68,AT68)</f>
        <v>12.142857142857142</v>
      </c>
      <c r="J68" s="221">
        <f t="shared" si="25"/>
        <v>1408.5714285714287</v>
      </c>
      <c r="K68" s="222">
        <f t="shared" si="25"/>
        <v>117.38095238095238</v>
      </c>
      <c r="L68" s="468"/>
      <c r="M68" s="221">
        <f>RANK(K68, K$67:$K$81)</f>
        <v>2</v>
      </c>
      <c r="N68" s="454"/>
      <c r="O68" s="454"/>
      <c r="P68" s="221">
        <v>12</v>
      </c>
      <c r="Q68" s="221">
        <v>1285</v>
      </c>
      <c r="R68" s="222">
        <f>Q68/P68</f>
        <v>107.08333333333333</v>
      </c>
      <c r="S68" s="220">
        <f>RANK(R68,$R$67:$R$81)</f>
        <v>3</v>
      </c>
      <c r="T68" s="459"/>
      <c r="U68" s="221">
        <v>12</v>
      </c>
      <c r="V68" s="221">
        <v>1384</v>
      </c>
      <c r="W68" s="222">
        <f>V68/U68</f>
        <v>115.33333333333333</v>
      </c>
      <c r="X68" s="220">
        <f>RANK(W68,$W$67:$W$81)</f>
        <v>3</v>
      </c>
      <c r="Y68" s="459"/>
      <c r="Z68" s="221">
        <v>12</v>
      </c>
      <c r="AA68" s="221">
        <v>1473</v>
      </c>
      <c r="AB68" s="222">
        <f>AA68/Z68</f>
        <v>122.75</v>
      </c>
      <c r="AC68" s="220">
        <f t="shared" ref="AC68:AC70" si="26">RANK(AB68, $AB$67:$AB$81)</f>
        <v>2</v>
      </c>
      <c r="AD68" s="459"/>
      <c r="AE68" s="221">
        <v>12</v>
      </c>
      <c r="AF68" s="221">
        <v>1288</v>
      </c>
      <c r="AG68" s="222">
        <f>AF68/AE68</f>
        <v>107.33333333333333</v>
      </c>
      <c r="AH68" s="220">
        <f t="shared" ref="AH68:AH70" si="27">RANK(AG68, $AG$67:$AG$81)</f>
        <v>3</v>
      </c>
      <c r="AI68" s="459"/>
      <c r="AJ68" s="221">
        <v>12</v>
      </c>
      <c r="AK68" s="221">
        <v>1522</v>
      </c>
      <c r="AL68" s="222">
        <f>AK68/AJ68</f>
        <v>126.83333333333333</v>
      </c>
      <c r="AM68" s="220">
        <f t="shared" ref="AM68:AM70" si="28">RANK(AL68, $AL$67:$AL$81)</f>
        <v>2</v>
      </c>
      <c r="AN68" s="459"/>
      <c r="AO68" s="221">
        <v>12</v>
      </c>
      <c r="AP68" s="221">
        <v>1363</v>
      </c>
      <c r="AQ68" s="222">
        <f>AP68/AO68</f>
        <v>113.58333333333333</v>
      </c>
      <c r="AR68" s="220">
        <f t="shared" ref="AR68:AR70" si="29">RANK(AQ68, $AQ$67:$AQ$81)</f>
        <v>3</v>
      </c>
      <c r="AS68" s="459"/>
      <c r="AT68" s="221">
        <v>12</v>
      </c>
      <c r="AU68" s="221">
        <v>1545</v>
      </c>
      <c r="AV68" s="222">
        <f>AU68/AT68</f>
        <v>128.75</v>
      </c>
      <c r="AW68" s="220">
        <f t="shared" ref="AW68:AW70" si="30">RANK(AV68, $AV$67:$AV$81)</f>
        <v>1</v>
      </c>
      <c r="AX68" s="459"/>
    </row>
    <row r="69" spans="2:50" ht="13.5">
      <c r="B69" s="458"/>
      <c r="C69" s="220">
        <v>3</v>
      </c>
      <c r="D69" s="224" t="s">
        <v>64</v>
      </c>
      <c r="E69" s="221" t="e">
        <f>VLOOKUP(D69,'12產線配置圖'!$A$2:$C$30,2,0)</f>
        <v>#N/A</v>
      </c>
      <c r="F69" s="221" t="e">
        <f>VLOOKUP(D69,'12產線配置圖'!$A$2:$C$30,3,0)</f>
        <v>#N/A</v>
      </c>
      <c r="G69" s="222" t="e">
        <f>F69/E69</f>
        <v>#N/A</v>
      </c>
      <c r="H69" s="468"/>
      <c r="I69" s="221"/>
      <c r="J69" s="221"/>
      <c r="K69" s="222"/>
      <c r="L69" s="468"/>
      <c r="M69" s="221"/>
      <c r="N69" s="454"/>
      <c r="O69" s="454"/>
      <c r="P69" s="221"/>
      <c r="Q69" s="221"/>
      <c r="R69" s="222"/>
      <c r="S69" s="220"/>
      <c r="T69" s="459"/>
      <c r="U69" s="221"/>
      <c r="V69" s="221"/>
      <c r="W69" s="222"/>
      <c r="X69" s="220"/>
      <c r="Y69" s="459"/>
      <c r="Z69" s="221"/>
      <c r="AA69" s="221"/>
      <c r="AB69" s="222"/>
      <c r="AC69" s="220"/>
      <c r="AD69" s="459"/>
      <c r="AE69" s="221"/>
      <c r="AF69" s="221"/>
      <c r="AG69" s="222"/>
      <c r="AH69" s="220"/>
      <c r="AI69" s="459"/>
      <c r="AJ69" s="221"/>
      <c r="AK69" s="221"/>
      <c r="AL69" s="222"/>
      <c r="AM69" s="220"/>
      <c r="AN69" s="459"/>
      <c r="AO69" s="221"/>
      <c r="AP69" s="221"/>
      <c r="AQ69" s="222"/>
      <c r="AR69" s="220"/>
      <c r="AS69" s="459"/>
      <c r="AT69" s="221"/>
      <c r="AU69" s="221"/>
      <c r="AV69" s="222"/>
      <c r="AW69" s="220"/>
      <c r="AX69" s="459"/>
    </row>
    <row r="70" spans="2:50" ht="13.5">
      <c r="B70" s="458"/>
      <c r="C70" s="220">
        <v>4</v>
      </c>
      <c r="D70" s="224" t="s">
        <v>62</v>
      </c>
      <c r="E70" s="221">
        <f>VLOOKUP(D70,'12產線配置圖'!$A$2:$C$30,2,0)</f>
        <v>12</v>
      </c>
      <c r="F70" s="221">
        <f>VLOOKUP(D70,'12產線配置圖'!$A$2:$C$30,3,0)</f>
        <v>1565</v>
      </c>
      <c r="G70" s="222">
        <f>F70/E70</f>
        <v>130.41666666666666</v>
      </c>
      <c r="H70" s="468"/>
      <c r="I70" s="221">
        <f t="shared" ref="I70:K71" si="31">AVERAGE(P70,U70,Z70,AE70,AJ70,AO70,AT70)</f>
        <v>11.571428571428571</v>
      </c>
      <c r="J70" s="221">
        <f t="shared" si="31"/>
        <v>1036.5714285714287</v>
      </c>
      <c r="K70" s="222">
        <f t="shared" si="31"/>
        <v>89.1388888888889</v>
      </c>
      <c r="L70" s="468"/>
      <c r="M70" s="221">
        <f>RANK(K70, K$67:$K$81)</f>
        <v>4</v>
      </c>
      <c r="N70" s="454"/>
      <c r="O70" s="454"/>
      <c r="P70" s="221">
        <v>12</v>
      </c>
      <c r="Q70" s="221">
        <v>1276</v>
      </c>
      <c r="R70" s="222">
        <f>Q70/P70</f>
        <v>106.33333333333333</v>
      </c>
      <c r="S70" s="220">
        <f>RANK(R70,$R$67:$R$81)</f>
        <v>4</v>
      </c>
      <c r="T70" s="459"/>
      <c r="U70" s="221">
        <v>12</v>
      </c>
      <c r="V70" s="221">
        <v>962</v>
      </c>
      <c r="W70" s="222">
        <f>V70/U70</f>
        <v>80.166666666666671</v>
      </c>
      <c r="X70" s="220">
        <f>RANK(W70,$W$67:$W$81)</f>
        <v>4</v>
      </c>
      <c r="Y70" s="459"/>
      <c r="Z70" s="221">
        <v>12</v>
      </c>
      <c r="AA70" s="221">
        <v>740</v>
      </c>
      <c r="AB70" s="222">
        <f>AA70/Z70</f>
        <v>61.666666666666664</v>
      </c>
      <c r="AC70" s="220">
        <f t="shared" si="26"/>
        <v>4</v>
      </c>
      <c r="AD70" s="459"/>
      <c r="AE70" s="221">
        <v>9</v>
      </c>
      <c r="AF70" s="221">
        <v>695</v>
      </c>
      <c r="AG70" s="222">
        <f>AF70/AE70</f>
        <v>77.222222222222229</v>
      </c>
      <c r="AH70" s="220">
        <f t="shared" si="27"/>
        <v>4</v>
      </c>
      <c r="AI70" s="459"/>
      <c r="AJ70" s="221">
        <v>12</v>
      </c>
      <c r="AK70" s="221">
        <v>1097</v>
      </c>
      <c r="AL70" s="222">
        <f>AK70/AJ70</f>
        <v>91.416666666666671</v>
      </c>
      <c r="AM70" s="220">
        <f t="shared" si="28"/>
        <v>4</v>
      </c>
      <c r="AN70" s="459"/>
      <c r="AO70" s="221">
        <v>12</v>
      </c>
      <c r="AP70" s="221">
        <v>1416</v>
      </c>
      <c r="AQ70" s="222">
        <f>AP70/AO70</f>
        <v>118</v>
      </c>
      <c r="AR70" s="220">
        <f t="shared" si="29"/>
        <v>2</v>
      </c>
      <c r="AS70" s="459"/>
      <c r="AT70" s="221">
        <v>12</v>
      </c>
      <c r="AU70" s="221">
        <v>1070</v>
      </c>
      <c r="AV70" s="222">
        <f>AU70/AT70</f>
        <v>89.166666666666671</v>
      </c>
      <c r="AW70" s="220">
        <f t="shared" si="30"/>
        <v>4</v>
      </c>
      <c r="AX70" s="459"/>
    </row>
    <row r="71" spans="2:50" ht="13.5">
      <c r="B71" s="458"/>
      <c r="C71" s="220">
        <v>5</v>
      </c>
      <c r="D71" s="224" t="s">
        <v>63</v>
      </c>
      <c r="E71" s="221">
        <f>VLOOKUP(D71,'12產線配置圖'!$A$2:$C$30,2,0)</f>
        <v>9</v>
      </c>
      <c r="F71" s="221">
        <f>VLOOKUP(D71,'12產線配置圖'!$A$2:$C$30,3,0)</f>
        <v>1636</v>
      </c>
      <c r="G71" s="222">
        <f>F71/E71</f>
        <v>181.77777777777777</v>
      </c>
      <c r="H71" s="468"/>
      <c r="I71" s="221">
        <f t="shared" si="31"/>
        <v>10.857142857142858</v>
      </c>
      <c r="J71" s="221">
        <f t="shared" si="31"/>
        <v>1479.4285714285713</v>
      </c>
      <c r="K71" s="222">
        <f t="shared" si="31"/>
        <v>136.35974025974025</v>
      </c>
      <c r="L71" s="468"/>
      <c r="M71" s="221">
        <f>RANK(K71, K$67:$K$81)</f>
        <v>1</v>
      </c>
      <c r="N71" s="454"/>
      <c r="O71" s="454"/>
      <c r="P71" s="383">
        <v>11</v>
      </c>
      <c r="Q71" s="221">
        <v>1352</v>
      </c>
      <c r="R71" s="222">
        <f>Q71/P71</f>
        <v>122.90909090909091</v>
      </c>
      <c r="S71" s="220">
        <f>RANK(R71,$R$67:$R$81)</f>
        <v>1</v>
      </c>
      <c r="T71" s="459"/>
      <c r="U71" s="221">
        <v>11</v>
      </c>
      <c r="V71" s="221">
        <v>1537</v>
      </c>
      <c r="W71" s="222">
        <f>V71/U71</f>
        <v>139.72727272727272</v>
      </c>
      <c r="X71" s="220">
        <f>RANK(W71,$W$67:$W$81)</f>
        <v>1</v>
      </c>
      <c r="Y71" s="459"/>
      <c r="Z71" s="383">
        <v>10</v>
      </c>
      <c r="AA71" s="221">
        <v>1437</v>
      </c>
      <c r="AB71" s="382">
        <f>AA71/Z71</f>
        <v>143.69999999999999</v>
      </c>
      <c r="AC71" s="220">
        <f>RANK(AB71, $AB$67:$AB$81)</f>
        <v>1</v>
      </c>
      <c r="AD71" s="459"/>
      <c r="AE71" s="221">
        <v>11</v>
      </c>
      <c r="AF71" s="221">
        <v>1302</v>
      </c>
      <c r="AG71" s="222">
        <f>AF71/AE71</f>
        <v>118.36363636363636</v>
      </c>
      <c r="AH71" s="220">
        <f>RANK(AG71, $AG$67:$AG$81)</f>
        <v>2</v>
      </c>
      <c r="AI71" s="459"/>
      <c r="AJ71" s="383">
        <v>11</v>
      </c>
      <c r="AK71" s="221">
        <v>1837</v>
      </c>
      <c r="AL71" s="222">
        <f>AK71/AJ71</f>
        <v>167</v>
      </c>
      <c r="AM71" s="220">
        <f>RANK(AL71, $AL$67:$AL$81)</f>
        <v>1</v>
      </c>
      <c r="AN71" s="459"/>
      <c r="AO71" s="383">
        <v>11</v>
      </c>
      <c r="AP71" s="221">
        <v>1503</v>
      </c>
      <c r="AQ71" s="222">
        <f>AP71/AO71</f>
        <v>136.63636363636363</v>
      </c>
      <c r="AR71" s="220">
        <f>RANK(AQ71, $AQ$67:$AQ$81)</f>
        <v>1</v>
      </c>
      <c r="AS71" s="459"/>
      <c r="AT71" s="221">
        <v>11</v>
      </c>
      <c r="AU71" s="221">
        <v>1388</v>
      </c>
      <c r="AV71" s="222">
        <f>AU71/AT71</f>
        <v>126.18181818181819</v>
      </c>
      <c r="AW71" s="220">
        <f>RANK(AV71, $AV$67:$AV$81)</f>
        <v>2</v>
      </c>
      <c r="AX71" s="459"/>
    </row>
    <row r="72" spans="2:50" ht="13.5">
      <c r="B72" s="458"/>
      <c r="C72" s="220">
        <v>6</v>
      </c>
      <c r="D72" s="224"/>
      <c r="E72" s="221"/>
      <c r="F72" s="221"/>
      <c r="G72" s="222"/>
      <c r="H72" s="468"/>
      <c r="I72" s="221"/>
      <c r="J72" s="221"/>
      <c r="K72" s="222"/>
      <c r="L72" s="468"/>
      <c r="M72" s="221"/>
      <c r="N72" s="454"/>
      <c r="O72" s="454"/>
      <c r="P72" s="221"/>
      <c r="Q72" s="221"/>
      <c r="R72" s="220"/>
      <c r="S72" s="220"/>
      <c r="T72" s="459"/>
      <c r="U72" s="221"/>
      <c r="V72" s="221"/>
      <c r="W72" s="220"/>
      <c r="X72" s="220"/>
      <c r="Y72" s="459"/>
      <c r="Z72" s="221"/>
      <c r="AA72" s="221"/>
      <c r="AB72" s="220"/>
      <c r="AC72" s="220"/>
      <c r="AD72" s="459"/>
      <c r="AE72" s="221"/>
      <c r="AF72" s="221"/>
      <c r="AG72" s="220"/>
      <c r="AH72" s="220"/>
      <c r="AI72" s="459"/>
      <c r="AJ72" s="221"/>
      <c r="AK72" s="221"/>
      <c r="AL72" s="220"/>
      <c r="AM72" s="220"/>
      <c r="AN72" s="459"/>
      <c r="AO72" s="221"/>
      <c r="AP72" s="221"/>
      <c r="AQ72" s="220"/>
      <c r="AR72" s="220"/>
      <c r="AS72" s="459"/>
      <c r="AT72" s="221"/>
      <c r="AU72" s="221"/>
      <c r="AV72" s="220"/>
      <c r="AW72" s="220"/>
      <c r="AX72" s="459"/>
    </row>
    <row r="73" spans="2:50" ht="13.5">
      <c r="B73" s="458"/>
      <c r="C73" s="220">
        <v>7</v>
      </c>
      <c r="D73" s="224"/>
      <c r="E73" s="221"/>
      <c r="F73" s="221"/>
      <c r="G73" s="222"/>
      <c r="H73" s="468"/>
      <c r="I73" s="221"/>
      <c r="J73" s="221"/>
      <c r="K73" s="222"/>
      <c r="L73" s="468"/>
      <c r="M73" s="221"/>
      <c r="N73" s="454"/>
      <c r="O73" s="454"/>
      <c r="P73" s="221"/>
      <c r="Q73" s="221"/>
      <c r="R73" s="220"/>
      <c r="S73" s="220"/>
      <c r="T73" s="459"/>
      <c r="U73" s="221"/>
      <c r="V73" s="221"/>
      <c r="W73" s="220"/>
      <c r="X73" s="220"/>
      <c r="Y73" s="459"/>
      <c r="Z73" s="221"/>
      <c r="AA73" s="221"/>
      <c r="AB73" s="220"/>
      <c r="AC73" s="220"/>
      <c r="AD73" s="459"/>
      <c r="AE73" s="221"/>
      <c r="AF73" s="221"/>
      <c r="AG73" s="220"/>
      <c r="AH73" s="220"/>
      <c r="AI73" s="459"/>
      <c r="AJ73" s="221"/>
      <c r="AK73" s="221"/>
      <c r="AL73" s="220"/>
      <c r="AM73" s="220"/>
      <c r="AN73" s="459"/>
      <c r="AO73" s="221"/>
      <c r="AP73" s="221"/>
      <c r="AQ73" s="220"/>
      <c r="AR73" s="220"/>
      <c r="AS73" s="459"/>
      <c r="AT73" s="221"/>
      <c r="AU73" s="221"/>
      <c r="AV73" s="220"/>
      <c r="AW73" s="220"/>
      <c r="AX73" s="459"/>
    </row>
    <row r="74" spans="2:50" ht="13.5">
      <c r="B74" s="458"/>
      <c r="C74" s="220">
        <v>8</v>
      </c>
      <c r="D74" s="224"/>
      <c r="E74" s="220"/>
      <c r="F74" s="220"/>
      <c r="G74" s="220"/>
      <c r="H74" s="468"/>
      <c r="I74" s="221"/>
      <c r="J74" s="221"/>
      <c r="K74" s="222"/>
      <c r="L74" s="468"/>
      <c r="M74" s="221"/>
      <c r="N74" s="454"/>
      <c r="O74" s="454"/>
      <c r="P74" s="221"/>
      <c r="Q74" s="221"/>
      <c r="R74" s="220"/>
      <c r="S74" s="220"/>
      <c r="T74" s="459"/>
      <c r="U74" s="221"/>
      <c r="V74" s="221"/>
      <c r="W74" s="220"/>
      <c r="X74" s="220"/>
      <c r="Y74" s="459"/>
      <c r="Z74" s="221"/>
      <c r="AA74" s="221"/>
      <c r="AB74" s="220"/>
      <c r="AC74" s="220"/>
      <c r="AD74" s="459"/>
      <c r="AE74" s="221"/>
      <c r="AF74" s="221"/>
      <c r="AG74" s="220"/>
      <c r="AH74" s="220"/>
      <c r="AI74" s="459"/>
      <c r="AJ74" s="221"/>
      <c r="AK74" s="221"/>
      <c r="AL74" s="220"/>
      <c r="AM74" s="220"/>
      <c r="AN74" s="459"/>
      <c r="AO74" s="221"/>
      <c r="AP74" s="221"/>
      <c r="AQ74" s="220"/>
      <c r="AR74" s="220"/>
      <c r="AS74" s="459"/>
      <c r="AT74" s="221"/>
      <c r="AU74" s="221"/>
      <c r="AV74" s="220"/>
      <c r="AW74" s="220"/>
      <c r="AX74" s="459"/>
    </row>
    <row r="75" spans="2:50" ht="13.5">
      <c r="B75" s="458"/>
      <c r="C75" s="220">
        <v>9</v>
      </c>
      <c r="D75" s="224"/>
      <c r="E75" s="220"/>
      <c r="F75" s="220"/>
      <c r="G75" s="220"/>
      <c r="H75" s="468"/>
      <c r="I75" s="221"/>
      <c r="J75" s="221"/>
      <c r="K75" s="222"/>
      <c r="L75" s="468"/>
      <c r="M75" s="221"/>
      <c r="N75" s="454"/>
      <c r="O75" s="454"/>
      <c r="P75" s="221"/>
      <c r="Q75" s="221"/>
      <c r="R75" s="220"/>
      <c r="S75" s="220"/>
      <c r="T75" s="459"/>
      <c r="U75" s="221"/>
      <c r="V75" s="221"/>
      <c r="W75" s="220"/>
      <c r="X75" s="220"/>
      <c r="Y75" s="459"/>
      <c r="Z75" s="221"/>
      <c r="AA75" s="221"/>
      <c r="AB75" s="220"/>
      <c r="AC75" s="220"/>
      <c r="AD75" s="459"/>
      <c r="AE75" s="221"/>
      <c r="AF75" s="221"/>
      <c r="AG75" s="220"/>
      <c r="AH75" s="220"/>
      <c r="AI75" s="459"/>
      <c r="AJ75" s="221"/>
      <c r="AK75" s="221"/>
      <c r="AL75" s="220"/>
      <c r="AM75" s="220"/>
      <c r="AN75" s="459"/>
      <c r="AO75" s="221"/>
      <c r="AP75" s="221"/>
      <c r="AQ75" s="220"/>
      <c r="AR75" s="220"/>
      <c r="AS75" s="459"/>
      <c r="AT75" s="221"/>
      <c r="AU75" s="221"/>
      <c r="AV75" s="220"/>
      <c r="AW75" s="220"/>
      <c r="AX75" s="459"/>
    </row>
    <row r="76" spans="2:50" ht="13.5">
      <c r="B76" s="458"/>
      <c r="C76" s="220">
        <v>10</v>
      </c>
      <c r="D76" s="224"/>
      <c r="E76" s="220"/>
      <c r="F76" s="220"/>
      <c r="G76" s="220"/>
      <c r="H76" s="468"/>
      <c r="I76" s="221"/>
      <c r="J76" s="221"/>
      <c r="K76" s="222"/>
      <c r="L76" s="468"/>
      <c r="M76" s="221"/>
      <c r="N76" s="454"/>
      <c r="O76" s="454"/>
      <c r="P76" s="221"/>
      <c r="Q76" s="221"/>
      <c r="R76" s="220"/>
      <c r="S76" s="220"/>
      <c r="T76" s="459"/>
      <c r="U76" s="221"/>
      <c r="V76" s="221"/>
      <c r="W76" s="220"/>
      <c r="X76" s="220"/>
      <c r="Y76" s="459"/>
      <c r="Z76" s="221"/>
      <c r="AA76" s="221"/>
      <c r="AB76" s="220"/>
      <c r="AC76" s="220"/>
      <c r="AD76" s="459"/>
      <c r="AE76" s="221"/>
      <c r="AF76" s="221"/>
      <c r="AG76" s="220"/>
      <c r="AH76" s="220"/>
      <c r="AI76" s="459"/>
      <c r="AJ76" s="221"/>
      <c r="AK76" s="221"/>
      <c r="AL76" s="220"/>
      <c r="AM76" s="220"/>
      <c r="AN76" s="459"/>
      <c r="AO76" s="221"/>
      <c r="AP76" s="221"/>
      <c r="AQ76" s="220"/>
      <c r="AR76" s="220"/>
      <c r="AS76" s="459"/>
      <c r="AT76" s="221"/>
      <c r="AU76" s="221"/>
      <c r="AV76" s="220"/>
      <c r="AW76" s="220"/>
      <c r="AX76" s="459"/>
    </row>
    <row r="77" spans="2:50" ht="13.5">
      <c r="B77" s="458"/>
      <c r="C77" s="220">
        <v>11</v>
      </c>
      <c r="D77" s="224"/>
      <c r="E77" s="220"/>
      <c r="F77" s="220"/>
      <c r="G77" s="220"/>
      <c r="H77" s="468"/>
      <c r="I77" s="221"/>
      <c r="J77" s="221"/>
      <c r="K77" s="222"/>
      <c r="L77" s="468"/>
      <c r="M77" s="221"/>
      <c r="N77" s="454"/>
      <c r="O77" s="454"/>
      <c r="P77" s="220"/>
      <c r="Q77" s="220"/>
      <c r="R77" s="220"/>
      <c r="S77" s="220"/>
      <c r="T77" s="459"/>
      <c r="U77" s="220"/>
      <c r="V77" s="220"/>
      <c r="W77" s="220"/>
      <c r="X77" s="220"/>
      <c r="Y77" s="459"/>
      <c r="Z77" s="220"/>
      <c r="AA77" s="220"/>
      <c r="AB77" s="220"/>
      <c r="AC77" s="220"/>
      <c r="AD77" s="459"/>
      <c r="AE77" s="220"/>
      <c r="AF77" s="220"/>
      <c r="AG77" s="220"/>
      <c r="AH77" s="220"/>
      <c r="AI77" s="459"/>
      <c r="AJ77" s="220"/>
      <c r="AK77" s="220"/>
      <c r="AL77" s="220"/>
      <c r="AM77" s="220"/>
      <c r="AN77" s="459"/>
      <c r="AO77" s="220"/>
      <c r="AP77" s="220"/>
      <c r="AQ77" s="220"/>
      <c r="AR77" s="220"/>
      <c r="AS77" s="459"/>
      <c r="AT77" s="220"/>
      <c r="AU77" s="220"/>
      <c r="AV77" s="220"/>
      <c r="AW77" s="220"/>
      <c r="AX77" s="459"/>
    </row>
    <row r="78" spans="2:50" ht="13.5">
      <c r="B78" s="458"/>
      <c r="C78" s="220">
        <v>12</v>
      </c>
      <c r="D78" s="224"/>
      <c r="E78" s="220"/>
      <c r="F78" s="220"/>
      <c r="G78" s="220"/>
      <c r="H78" s="468"/>
      <c r="I78" s="221"/>
      <c r="J78" s="221"/>
      <c r="K78" s="222"/>
      <c r="L78" s="468"/>
      <c r="M78" s="221"/>
      <c r="N78" s="454"/>
      <c r="O78" s="454"/>
      <c r="P78" s="220"/>
      <c r="Q78" s="220"/>
      <c r="R78" s="220"/>
      <c r="S78" s="220"/>
      <c r="T78" s="459"/>
      <c r="U78" s="220"/>
      <c r="V78" s="220"/>
      <c r="W78" s="220"/>
      <c r="X78" s="220"/>
      <c r="Y78" s="459"/>
      <c r="Z78" s="220"/>
      <c r="AA78" s="220"/>
      <c r="AB78" s="220"/>
      <c r="AC78" s="220"/>
      <c r="AD78" s="459"/>
      <c r="AE78" s="220"/>
      <c r="AF78" s="220"/>
      <c r="AG78" s="220"/>
      <c r="AH78" s="220"/>
      <c r="AI78" s="459"/>
      <c r="AJ78" s="220"/>
      <c r="AK78" s="220"/>
      <c r="AL78" s="220"/>
      <c r="AM78" s="220"/>
      <c r="AN78" s="459"/>
      <c r="AO78" s="220"/>
      <c r="AP78" s="220"/>
      <c r="AQ78" s="220"/>
      <c r="AR78" s="220"/>
      <c r="AS78" s="459"/>
      <c r="AT78" s="220"/>
      <c r="AU78" s="220"/>
      <c r="AV78" s="220"/>
      <c r="AW78" s="220"/>
      <c r="AX78" s="459"/>
    </row>
    <row r="79" spans="2:50" ht="13.5">
      <c r="B79" s="458"/>
      <c r="C79" s="220">
        <v>13</v>
      </c>
      <c r="D79" s="224"/>
      <c r="E79" s="220"/>
      <c r="F79" s="220"/>
      <c r="G79" s="220"/>
      <c r="H79" s="468"/>
      <c r="I79" s="221"/>
      <c r="J79" s="221"/>
      <c r="K79" s="222"/>
      <c r="L79" s="468"/>
      <c r="M79" s="221"/>
      <c r="N79" s="454"/>
      <c r="O79" s="454"/>
      <c r="P79" s="220"/>
      <c r="Q79" s="220"/>
      <c r="R79" s="220"/>
      <c r="S79" s="220"/>
      <c r="T79" s="459"/>
      <c r="U79" s="220"/>
      <c r="V79" s="220"/>
      <c r="W79" s="220"/>
      <c r="X79" s="220"/>
      <c r="Y79" s="459"/>
      <c r="Z79" s="220"/>
      <c r="AA79" s="220"/>
      <c r="AB79" s="220"/>
      <c r="AC79" s="220"/>
      <c r="AD79" s="459"/>
      <c r="AE79" s="220"/>
      <c r="AF79" s="220"/>
      <c r="AG79" s="220"/>
      <c r="AH79" s="220"/>
      <c r="AI79" s="459"/>
      <c r="AJ79" s="220"/>
      <c r="AK79" s="220"/>
      <c r="AL79" s="220"/>
      <c r="AM79" s="220"/>
      <c r="AN79" s="459"/>
      <c r="AO79" s="220"/>
      <c r="AP79" s="220"/>
      <c r="AQ79" s="220"/>
      <c r="AR79" s="220"/>
      <c r="AS79" s="459"/>
      <c r="AT79" s="220"/>
      <c r="AU79" s="220"/>
      <c r="AV79" s="220"/>
      <c r="AW79" s="220"/>
      <c r="AX79" s="459"/>
    </row>
    <row r="80" spans="2:50" ht="13.5">
      <c r="B80" s="458"/>
      <c r="C80" s="220">
        <v>14</v>
      </c>
      <c r="D80" s="224"/>
      <c r="E80" s="220"/>
      <c r="F80" s="220"/>
      <c r="G80" s="220"/>
      <c r="H80" s="468"/>
      <c r="I80" s="221"/>
      <c r="J80" s="221"/>
      <c r="K80" s="222"/>
      <c r="L80" s="468"/>
      <c r="M80" s="221"/>
      <c r="N80" s="454"/>
      <c r="O80" s="454"/>
      <c r="P80" s="220"/>
      <c r="Q80" s="220"/>
      <c r="R80" s="220"/>
      <c r="S80" s="220"/>
      <c r="T80" s="459"/>
      <c r="U80" s="220"/>
      <c r="V80" s="220"/>
      <c r="W80" s="220"/>
      <c r="X80" s="220"/>
      <c r="Y80" s="459"/>
      <c r="Z80" s="220"/>
      <c r="AA80" s="220"/>
      <c r="AB80" s="220"/>
      <c r="AC80" s="220"/>
      <c r="AD80" s="459"/>
      <c r="AE80" s="220"/>
      <c r="AF80" s="220"/>
      <c r="AG80" s="220"/>
      <c r="AH80" s="220"/>
      <c r="AI80" s="459"/>
      <c r="AJ80" s="220"/>
      <c r="AK80" s="220"/>
      <c r="AL80" s="220"/>
      <c r="AM80" s="220"/>
      <c r="AN80" s="459"/>
      <c r="AO80" s="220"/>
      <c r="AP80" s="220"/>
      <c r="AQ80" s="220"/>
      <c r="AR80" s="220"/>
      <c r="AS80" s="459"/>
      <c r="AT80" s="220"/>
      <c r="AU80" s="220"/>
      <c r="AV80" s="220"/>
      <c r="AW80" s="220"/>
      <c r="AX80" s="459"/>
    </row>
    <row r="81" spans="2:50" ht="13.5">
      <c r="B81" s="458"/>
      <c r="C81" s="220">
        <v>15</v>
      </c>
      <c r="D81" s="224"/>
      <c r="E81" s="220"/>
      <c r="F81" s="220"/>
      <c r="G81" s="220"/>
      <c r="H81" s="469"/>
      <c r="I81" s="221"/>
      <c r="J81" s="221"/>
      <c r="K81" s="222"/>
      <c r="L81" s="469"/>
      <c r="M81" s="221"/>
      <c r="N81" s="454"/>
      <c r="O81" s="454"/>
      <c r="P81" s="220"/>
      <c r="Q81" s="220"/>
      <c r="R81" s="220"/>
      <c r="S81" s="220"/>
      <c r="T81" s="459"/>
      <c r="U81" s="220"/>
      <c r="V81" s="220"/>
      <c r="W81" s="220"/>
      <c r="X81" s="220"/>
      <c r="Y81" s="459"/>
      <c r="Z81" s="220"/>
      <c r="AA81" s="220"/>
      <c r="AB81" s="220"/>
      <c r="AC81" s="220"/>
      <c r="AD81" s="459"/>
      <c r="AE81" s="220"/>
      <c r="AF81" s="220"/>
      <c r="AG81" s="220"/>
      <c r="AH81" s="220"/>
      <c r="AI81" s="459"/>
      <c r="AJ81" s="220"/>
      <c r="AK81" s="220"/>
      <c r="AL81" s="220"/>
      <c r="AM81" s="220"/>
      <c r="AN81" s="459"/>
      <c r="AO81" s="220"/>
      <c r="AP81" s="220"/>
      <c r="AQ81" s="220"/>
      <c r="AR81" s="220"/>
      <c r="AS81" s="459"/>
      <c r="AT81" s="220"/>
      <c r="AU81" s="220"/>
      <c r="AV81" s="220"/>
      <c r="AW81" s="220"/>
      <c r="AX81" s="459"/>
    </row>
    <row r="82" spans="2:50" ht="15.75">
      <c r="B82" s="477" t="s">
        <v>43</v>
      </c>
      <c r="C82" s="465"/>
      <c r="D82" s="465"/>
      <c r="E82" s="465"/>
      <c r="F82" s="465"/>
      <c r="G82" s="465"/>
      <c r="H82" s="465"/>
      <c r="I82" s="225"/>
      <c r="J82" s="225"/>
      <c r="K82" s="225"/>
      <c r="L82" s="225"/>
      <c r="M82" s="226"/>
      <c r="N82" s="455" t="s">
        <v>44</v>
      </c>
      <c r="O82" s="455" t="s">
        <v>3</v>
      </c>
      <c r="P82" s="457">
        <v>46105</v>
      </c>
      <c r="Q82" s="458"/>
      <c r="R82" s="458"/>
      <c r="S82" s="458"/>
      <c r="T82" s="458"/>
      <c r="U82" s="457">
        <v>46106</v>
      </c>
      <c r="V82" s="458"/>
      <c r="W82" s="458"/>
      <c r="X82" s="458"/>
      <c r="Y82" s="458"/>
      <c r="Z82" s="457">
        <v>46107</v>
      </c>
      <c r="AA82" s="458"/>
      <c r="AB82" s="458"/>
      <c r="AC82" s="458"/>
      <c r="AD82" s="458"/>
      <c r="AE82" s="457">
        <v>46108</v>
      </c>
      <c r="AF82" s="458"/>
      <c r="AG82" s="458"/>
      <c r="AH82" s="458"/>
      <c r="AI82" s="458"/>
      <c r="AJ82" s="457">
        <v>46109</v>
      </c>
      <c r="AK82" s="458"/>
      <c r="AL82" s="458"/>
      <c r="AM82" s="458"/>
      <c r="AN82" s="458"/>
      <c r="AO82" s="457">
        <v>46110</v>
      </c>
      <c r="AP82" s="458"/>
      <c r="AQ82" s="458"/>
      <c r="AR82" s="458"/>
      <c r="AS82" s="458"/>
      <c r="AT82" s="457">
        <v>46111</v>
      </c>
      <c r="AU82" s="458"/>
      <c r="AV82" s="458"/>
      <c r="AW82" s="458"/>
      <c r="AX82" s="458"/>
    </row>
    <row r="83" spans="2:50" ht="15.75">
      <c r="B83" s="466"/>
      <c r="C83" s="466"/>
      <c r="D83" s="466"/>
      <c r="E83" s="466"/>
      <c r="F83" s="466"/>
      <c r="G83" s="466"/>
      <c r="H83" s="466"/>
      <c r="I83" s="216"/>
      <c r="J83" s="216"/>
      <c r="K83" s="216"/>
      <c r="L83" s="216"/>
      <c r="M83" s="217"/>
      <c r="N83" s="456"/>
      <c r="O83" s="456"/>
      <c r="P83" s="457" t="s">
        <v>15</v>
      </c>
      <c r="Q83" s="458"/>
      <c r="R83" s="458"/>
      <c r="S83" s="458"/>
      <c r="T83" s="458"/>
      <c r="U83" s="457" t="s">
        <v>13</v>
      </c>
      <c r="V83" s="458"/>
      <c r="W83" s="458"/>
      <c r="X83" s="458"/>
      <c r="Y83" s="458"/>
      <c r="Z83" s="457" t="s">
        <v>16</v>
      </c>
      <c r="AA83" s="458"/>
      <c r="AB83" s="458"/>
      <c r="AC83" s="458"/>
      <c r="AD83" s="458"/>
      <c r="AE83" s="457" t="s">
        <v>17</v>
      </c>
      <c r="AF83" s="458"/>
      <c r="AG83" s="458"/>
      <c r="AH83" s="458"/>
      <c r="AI83" s="458"/>
      <c r="AJ83" s="457" t="s">
        <v>18</v>
      </c>
      <c r="AK83" s="458"/>
      <c r="AL83" s="458"/>
      <c r="AM83" s="458"/>
      <c r="AN83" s="458"/>
      <c r="AO83" s="457" t="s">
        <v>10</v>
      </c>
      <c r="AP83" s="458"/>
      <c r="AQ83" s="458"/>
      <c r="AR83" s="458"/>
      <c r="AS83" s="458"/>
      <c r="AT83" s="457" t="s">
        <v>14</v>
      </c>
      <c r="AU83" s="458"/>
      <c r="AV83" s="458"/>
      <c r="AW83" s="458"/>
      <c r="AX83" s="458"/>
    </row>
    <row r="84" spans="2:50">
      <c r="B84" s="454" t="s">
        <v>45</v>
      </c>
      <c r="C84" s="454" t="s">
        <v>46</v>
      </c>
      <c r="D84" s="454"/>
      <c r="E84" s="454" t="s">
        <v>47</v>
      </c>
      <c r="F84" s="454"/>
      <c r="G84" s="454"/>
      <c r="H84" s="470" t="s">
        <v>48</v>
      </c>
      <c r="I84" s="454" t="s">
        <v>49</v>
      </c>
      <c r="J84" s="454"/>
      <c r="K84" s="454"/>
      <c r="L84" s="470" t="s">
        <v>48</v>
      </c>
      <c r="M84" s="455" t="s">
        <v>50</v>
      </c>
      <c r="N84" s="454"/>
      <c r="O84" s="454" t="s">
        <v>51</v>
      </c>
      <c r="P84" s="451" t="s">
        <v>52</v>
      </c>
      <c r="Q84" s="452"/>
      <c r="R84" s="452"/>
      <c r="S84" s="453"/>
      <c r="T84" s="454" t="s">
        <v>48</v>
      </c>
      <c r="U84" s="451" t="s">
        <v>52</v>
      </c>
      <c r="V84" s="452"/>
      <c r="W84" s="452"/>
      <c r="X84" s="453"/>
      <c r="Y84" s="454" t="s">
        <v>48</v>
      </c>
      <c r="Z84" s="451" t="s">
        <v>52</v>
      </c>
      <c r="AA84" s="452"/>
      <c r="AB84" s="452"/>
      <c r="AC84" s="453"/>
      <c r="AD84" s="454" t="s">
        <v>48</v>
      </c>
      <c r="AE84" s="451" t="s">
        <v>52</v>
      </c>
      <c r="AF84" s="452"/>
      <c r="AG84" s="452"/>
      <c r="AH84" s="453"/>
      <c r="AI84" s="454" t="s">
        <v>48</v>
      </c>
      <c r="AJ84" s="451" t="s">
        <v>52</v>
      </c>
      <c r="AK84" s="452"/>
      <c r="AL84" s="452"/>
      <c r="AM84" s="453"/>
      <c r="AN84" s="454" t="s">
        <v>48</v>
      </c>
      <c r="AO84" s="451" t="s">
        <v>52</v>
      </c>
      <c r="AP84" s="452"/>
      <c r="AQ84" s="452"/>
      <c r="AR84" s="453"/>
      <c r="AS84" s="454" t="s">
        <v>48</v>
      </c>
      <c r="AT84" s="451" t="s">
        <v>52</v>
      </c>
      <c r="AU84" s="452"/>
      <c r="AV84" s="452"/>
      <c r="AW84" s="453"/>
      <c r="AX84" s="454" t="s">
        <v>48</v>
      </c>
    </row>
    <row r="85" spans="2:50">
      <c r="B85" s="454"/>
      <c r="C85" s="454"/>
      <c r="D85" s="454"/>
      <c r="E85" s="454" t="s">
        <v>53</v>
      </c>
      <c r="F85" s="454"/>
      <c r="G85" s="454"/>
      <c r="H85" s="471"/>
      <c r="I85" s="454" t="s">
        <v>53</v>
      </c>
      <c r="J85" s="454"/>
      <c r="K85" s="454"/>
      <c r="L85" s="471"/>
      <c r="M85" s="463"/>
      <c r="N85" s="454"/>
      <c r="O85" s="454"/>
      <c r="P85" s="451" t="s">
        <v>54</v>
      </c>
      <c r="Q85" s="452"/>
      <c r="R85" s="452"/>
      <c r="S85" s="453"/>
      <c r="T85" s="454"/>
      <c r="U85" s="451" t="s">
        <v>54</v>
      </c>
      <c r="V85" s="452"/>
      <c r="W85" s="452"/>
      <c r="X85" s="453"/>
      <c r="Y85" s="454"/>
      <c r="Z85" s="451" t="s">
        <v>54</v>
      </c>
      <c r="AA85" s="452"/>
      <c r="AB85" s="452"/>
      <c r="AC85" s="453"/>
      <c r="AD85" s="454"/>
      <c r="AE85" s="451" t="s">
        <v>54</v>
      </c>
      <c r="AF85" s="452"/>
      <c r="AG85" s="452"/>
      <c r="AH85" s="453"/>
      <c r="AI85" s="454"/>
      <c r="AJ85" s="451" t="s">
        <v>54</v>
      </c>
      <c r="AK85" s="452"/>
      <c r="AL85" s="452"/>
      <c r="AM85" s="453"/>
      <c r="AN85" s="454"/>
      <c r="AO85" s="451" t="s">
        <v>54</v>
      </c>
      <c r="AP85" s="452"/>
      <c r="AQ85" s="452"/>
      <c r="AR85" s="453"/>
      <c r="AS85" s="454"/>
      <c r="AT85" s="451" t="s">
        <v>54</v>
      </c>
      <c r="AU85" s="452"/>
      <c r="AV85" s="452"/>
      <c r="AW85" s="453"/>
      <c r="AX85" s="454"/>
    </row>
    <row r="86" spans="2:50">
      <c r="B86" s="454"/>
      <c r="C86" s="454"/>
      <c r="D86" s="454"/>
      <c r="E86" s="219" t="s">
        <v>55</v>
      </c>
      <c r="F86" s="219" t="s">
        <v>56</v>
      </c>
      <c r="G86" s="219" t="s">
        <v>57</v>
      </c>
      <c r="H86" s="472"/>
      <c r="I86" s="219" t="s">
        <v>55</v>
      </c>
      <c r="J86" s="219" t="s">
        <v>56</v>
      </c>
      <c r="K86" s="219" t="s">
        <v>57</v>
      </c>
      <c r="L86" s="472"/>
      <c r="M86" s="456"/>
      <c r="N86" s="454"/>
      <c r="O86" s="454"/>
      <c r="P86" s="219" t="s">
        <v>55</v>
      </c>
      <c r="Q86" s="219" t="s">
        <v>56</v>
      </c>
      <c r="R86" s="219" t="s">
        <v>57</v>
      </c>
      <c r="S86" s="219" t="s">
        <v>50</v>
      </c>
      <c r="T86" s="454"/>
      <c r="U86" s="219" t="s">
        <v>55</v>
      </c>
      <c r="V86" s="219" t="s">
        <v>56</v>
      </c>
      <c r="W86" s="219" t="s">
        <v>57</v>
      </c>
      <c r="X86" s="219" t="s">
        <v>50</v>
      </c>
      <c r="Y86" s="454"/>
      <c r="Z86" s="219" t="s">
        <v>55</v>
      </c>
      <c r="AA86" s="219" t="s">
        <v>56</v>
      </c>
      <c r="AB86" s="219" t="s">
        <v>57</v>
      </c>
      <c r="AC86" s="219" t="s">
        <v>50</v>
      </c>
      <c r="AD86" s="454"/>
      <c r="AE86" s="219" t="s">
        <v>55</v>
      </c>
      <c r="AF86" s="219" t="s">
        <v>56</v>
      </c>
      <c r="AG86" s="219" t="s">
        <v>57</v>
      </c>
      <c r="AH86" s="219" t="s">
        <v>50</v>
      </c>
      <c r="AI86" s="454"/>
      <c r="AJ86" s="219" t="s">
        <v>55</v>
      </c>
      <c r="AK86" s="219" t="s">
        <v>56</v>
      </c>
      <c r="AL86" s="219" t="s">
        <v>57</v>
      </c>
      <c r="AM86" s="219" t="s">
        <v>50</v>
      </c>
      <c r="AN86" s="454"/>
      <c r="AO86" s="219" t="s">
        <v>55</v>
      </c>
      <c r="AP86" s="219" t="s">
        <v>56</v>
      </c>
      <c r="AQ86" s="219" t="s">
        <v>57</v>
      </c>
      <c r="AR86" s="219" t="s">
        <v>50</v>
      </c>
      <c r="AS86" s="454"/>
      <c r="AT86" s="219" t="s">
        <v>55</v>
      </c>
      <c r="AU86" s="219" t="s">
        <v>56</v>
      </c>
      <c r="AV86" s="219" t="s">
        <v>57</v>
      </c>
      <c r="AW86" s="219" t="s">
        <v>50</v>
      </c>
      <c r="AX86" s="454"/>
    </row>
    <row r="87" spans="2:50" ht="13.5">
      <c r="B87" s="454" t="s">
        <v>34</v>
      </c>
      <c r="C87" s="220">
        <v>1</v>
      </c>
      <c r="D87" s="224" t="s">
        <v>60</v>
      </c>
      <c r="E87" s="221">
        <f>VLOOKUP(D87,'12產線配置圖'!$A$2:$C$30,2,0)</f>
        <v>13</v>
      </c>
      <c r="F87" s="221">
        <f>VLOOKUP(D87,'12產線配置圖'!$A$2:$C$30,3,0)</f>
        <v>1565</v>
      </c>
      <c r="G87" s="222">
        <f>F87/E87</f>
        <v>120.38461538461539</v>
      </c>
      <c r="H87" s="467">
        <f>AVERAGE(G87:G101)</f>
        <v>140.74893162393164</v>
      </c>
      <c r="I87" s="221">
        <f>AVERAGE(P87,U87,Z86,AE87,AJ87,AO87,AT87)</f>
        <v>12.666666666666666</v>
      </c>
      <c r="J87" s="221">
        <f t="shared" ref="J87:J90" si="32">AVERAGE(Q87,V87,AA87,AF87,AK87,AP87,AU87)</f>
        <v>1448.4285714285713</v>
      </c>
      <c r="K87" s="222">
        <f t="shared" ref="K87:K90" si="33">AVERAGE(R87,W87,AB87,AG87,AL87,AQ87,AV87)</f>
        <v>113.91575091575091</v>
      </c>
      <c r="L87" s="467">
        <f>IFERROR(AVERAGE(K87:K101),"-")</f>
        <v>121.94500142714428</v>
      </c>
      <c r="M87" s="221">
        <f>RANK(K87,$K$87:$K$101)</f>
        <v>3</v>
      </c>
      <c r="N87" s="454"/>
      <c r="O87" s="454"/>
      <c r="P87" s="221">
        <v>13</v>
      </c>
      <c r="Q87" s="221">
        <v>1430</v>
      </c>
      <c r="R87" s="222">
        <f>Q87/P87</f>
        <v>110</v>
      </c>
      <c r="S87" s="220">
        <f>RANK(R87,$R$87:$R$101)</f>
        <v>3</v>
      </c>
      <c r="T87" s="459">
        <f>AVERAGE(R87:R101)</f>
        <v>118.46130952380952</v>
      </c>
      <c r="U87" s="221">
        <v>13</v>
      </c>
      <c r="V87" s="221">
        <v>1557</v>
      </c>
      <c r="W87" s="222">
        <f>V87/U87</f>
        <v>119.76923076923077</v>
      </c>
      <c r="X87" s="220">
        <f>RANK(W87,$W$87:$W$101)</f>
        <v>3</v>
      </c>
      <c r="Y87" s="459">
        <f>AVERAGE(W87:W101)</f>
        <v>126.08435314685315</v>
      </c>
      <c r="Z87" s="221">
        <v>13</v>
      </c>
      <c r="AA87" s="221">
        <v>1518</v>
      </c>
      <c r="AB87" s="222">
        <f>AA87/Z87</f>
        <v>116.76923076923077</v>
      </c>
      <c r="AC87" s="220">
        <f>RANK(AB87,$AB$87:$AB$100)</f>
        <v>3</v>
      </c>
      <c r="AD87" s="459">
        <f>AVERAGE(AB87:AB101)</f>
        <v>117.98397435897436</v>
      </c>
      <c r="AE87" s="398">
        <v>12</v>
      </c>
      <c r="AF87" s="221">
        <v>1372</v>
      </c>
      <c r="AG87" s="222">
        <f>AF87/AE87</f>
        <v>114.33333333333333</v>
      </c>
      <c r="AH87" s="220">
        <f>RANK(AG87,$AG$87:$AG$101)</f>
        <v>3</v>
      </c>
      <c r="AI87" s="459">
        <f>AVERAGE(AG87:AG101)</f>
        <v>125.20138888888889</v>
      </c>
      <c r="AJ87" s="221">
        <v>13</v>
      </c>
      <c r="AK87" s="221">
        <v>1393</v>
      </c>
      <c r="AL87" s="382">
        <f>AK87/AJ87</f>
        <v>107.15384615384616</v>
      </c>
      <c r="AM87" s="220">
        <f>RANK(AL87,$AL$87:$AL$101)</f>
        <v>3</v>
      </c>
      <c r="AN87" s="459">
        <f>AVERAGE(AL87:AL101)</f>
        <v>115.62179487179486</v>
      </c>
      <c r="AO87" s="398">
        <v>12</v>
      </c>
      <c r="AP87" s="221">
        <v>1356</v>
      </c>
      <c r="AQ87" s="222">
        <f>AP87/AO87</f>
        <v>113</v>
      </c>
      <c r="AR87" s="220">
        <f>RANK(AQ87,$AQ$87:$AQ$101)</f>
        <v>3</v>
      </c>
      <c r="AS87" s="459">
        <f>AVERAGE(AQ87:AQ101)</f>
        <v>123.15972222222221</v>
      </c>
      <c r="AT87" s="221">
        <v>13</v>
      </c>
      <c r="AU87" s="221">
        <v>1513</v>
      </c>
      <c r="AV87" s="222">
        <f>AU87/AT87</f>
        <v>116.38461538461539</v>
      </c>
      <c r="AW87" s="220">
        <f>RANK(AV87,$AV$87:$AV$101)</f>
        <v>3</v>
      </c>
      <c r="AX87" s="459">
        <f>AVERAGE(AV87:AV101)</f>
        <v>137.65598290598291</v>
      </c>
    </row>
    <row r="88" spans="2:50" ht="13.5">
      <c r="B88" s="458"/>
      <c r="C88" s="220">
        <v>2</v>
      </c>
      <c r="D88" s="224" t="s">
        <v>61</v>
      </c>
      <c r="E88" s="221">
        <f>VLOOKUP(D88,'12產線配置圖'!$A$2:$C$30,2,0)</f>
        <v>12</v>
      </c>
      <c r="F88" s="221">
        <f>VLOOKUP(D88,'12產線配置圖'!$A$2:$C$30,3,0)</f>
        <v>1565</v>
      </c>
      <c r="G88" s="222">
        <f>F88/E88</f>
        <v>130.41666666666666</v>
      </c>
      <c r="H88" s="468"/>
      <c r="I88" s="221">
        <f>AVERAGE(P88,U88,Z87,AE88,AJ88,AO88,AT88)</f>
        <v>12.142857142857142</v>
      </c>
      <c r="J88" s="221">
        <f t="shared" si="32"/>
        <v>1499.2857142857142</v>
      </c>
      <c r="K88" s="222">
        <f t="shared" si="33"/>
        <v>124.94047619047618</v>
      </c>
      <c r="L88" s="468"/>
      <c r="M88" s="221">
        <f t="shared" ref="M88:M90" si="34">RANK(K88,$K$87:$K$101)</f>
        <v>2</v>
      </c>
      <c r="N88" s="454"/>
      <c r="O88" s="454"/>
      <c r="P88" s="221">
        <v>12</v>
      </c>
      <c r="Q88" s="221">
        <v>1556</v>
      </c>
      <c r="R88" s="222">
        <f>Q88/P88</f>
        <v>129.66666666666666</v>
      </c>
      <c r="S88" s="220">
        <f>RANK(R88,$R$87:$R$101)</f>
        <v>2</v>
      </c>
      <c r="T88" s="459"/>
      <c r="U88" s="221">
        <v>12</v>
      </c>
      <c r="V88" s="221">
        <v>1515</v>
      </c>
      <c r="W88" s="222">
        <f>V88/U88</f>
        <v>126.25</v>
      </c>
      <c r="X88" s="220">
        <f>RANK(W88,$W$87:$W$101)</f>
        <v>2</v>
      </c>
      <c r="Y88" s="459"/>
      <c r="Z88" s="221">
        <v>12</v>
      </c>
      <c r="AA88" s="221">
        <v>1516</v>
      </c>
      <c r="AB88" s="222">
        <f>AA88/Z88</f>
        <v>126.33333333333333</v>
      </c>
      <c r="AC88" s="220">
        <f>RANK(AB88,$AB$87:$AB$100)</f>
        <v>2</v>
      </c>
      <c r="AD88" s="459"/>
      <c r="AE88" s="221">
        <v>12</v>
      </c>
      <c r="AF88" s="221">
        <v>1512</v>
      </c>
      <c r="AG88" s="222">
        <f>AF88/AE88</f>
        <v>126</v>
      </c>
      <c r="AH88" s="220">
        <f>RANK(AG88,$AG$87:$AG$101)</f>
        <v>2</v>
      </c>
      <c r="AI88" s="459"/>
      <c r="AJ88" s="221">
        <v>12</v>
      </c>
      <c r="AK88" s="221">
        <v>1403</v>
      </c>
      <c r="AL88" s="382">
        <f>AK88/AJ88</f>
        <v>116.91666666666667</v>
      </c>
      <c r="AM88" s="220">
        <f>RANK(AL88,$AL$87:$AL$101)</f>
        <v>2</v>
      </c>
      <c r="AN88" s="459"/>
      <c r="AO88" s="221">
        <v>12</v>
      </c>
      <c r="AP88" s="221">
        <v>1458</v>
      </c>
      <c r="AQ88" s="222">
        <f>AP88/AO88</f>
        <v>121.5</v>
      </c>
      <c r="AR88" s="220">
        <f>RANK(AQ88,$AQ$87:$AQ$101)</f>
        <v>2</v>
      </c>
      <c r="AS88" s="459"/>
      <c r="AT88" s="221">
        <v>12</v>
      </c>
      <c r="AU88" s="221">
        <v>1535</v>
      </c>
      <c r="AV88" s="222">
        <f>AU88/AT88</f>
        <v>127.91666666666667</v>
      </c>
      <c r="AW88" s="220">
        <f t="shared" ref="AW88:AW90" si="35">RANK(AV88,$AV$87:$AV$101)</f>
        <v>2</v>
      </c>
      <c r="AX88" s="459"/>
    </row>
    <row r="89" spans="2:50" ht="13.5">
      <c r="B89" s="458"/>
      <c r="C89" s="220">
        <v>3</v>
      </c>
      <c r="D89" s="224" t="s">
        <v>62</v>
      </c>
      <c r="E89" s="221">
        <f>VLOOKUP(D89,'12產線配置圖'!$A$2:$C$30,2,0)</f>
        <v>12</v>
      </c>
      <c r="F89" s="221">
        <f>VLOOKUP(D89,'12產線配置圖'!$A$2:$C$30,3,0)</f>
        <v>1565</v>
      </c>
      <c r="G89" s="222">
        <f>F89/E89</f>
        <v>130.41666666666666</v>
      </c>
      <c r="H89" s="468"/>
      <c r="I89" s="221">
        <f>AVERAGE(P89,U89,Z88,AE89,AJ89,AO89,AT89)</f>
        <v>11.833333333333334</v>
      </c>
      <c r="J89" s="221">
        <f>AVERAGE(Q89,V89,AA89,AF89,AK89,AP89,AU89)</f>
        <v>1126.3333333333333</v>
      </c>
      <c r="K89" s="222">
        <f>AVERAGE(R89,W89,AB89,AG89,AL89,AQ89,AV89)</f>
        <v>95.441919191919183</v>
      </c>
      <c r="L89" s="468"/>
      <c r="M89" s="221">
        <f t="shared" si="34"/>
        <v>4</v>
      </c>
      <c r="N89" s="454"/>
      <c r="O89" s="454"/>
      <c r="P89" s="221">
        <v>12</v>
      </c>
      <c r="Q89" s="221">
        <v>1173</v>
      </c>
      <c r="R89" s="382">
        <f>Q89/P89</f>
        <v>97.75</v>
      </c>
      <c r="S89" s="220">
        <f>RANK(R89,$R$87:$R$101)</f>
        <v>4</v>
      </c>
      <c r="T89" s="459"/>
      <c r="U89" s="221">
        <v>11</v>
      </c>
      <c r="V89" s="221">
        <v>1252</v>
      </c>
      <c r="W89" s="382">
        <f>V89/U89</f>
        <v>113.81818181818181</v>
      </c>
      <c r="X89" s="220">
        <f>RANK(W89,$W$87:$W$101)</f>
        <v>4</v>
      </c>
      <c r="Y89" s="459"/>
      <c r="Z89" s="221">
        <v>12</v>
      </c>
      <c r="AA89" s="221">
        <v>854</v>
      </c>
      <c r="AB89" s="382">
        <f>AA89/Z89</f>
        <v>71.166666666666671</v>
      </c>
      <c r="AC89" s="220">
        <f>RANK(AB89,$AB$87:$AB$100)</f>
        <v>4</v>
      </c>
      <c r="AD89" s="459"/>
      <c r="AE89" s="221">
        <v>12</v>
      </c>
      <c r="AF89" s="221">
        <v>1311</v>
      </c>
      <c r="AG89" s="222">
        <f>AF89/AE89</f>
        <v>109.25</v>
      </c>
      <c r="AH89" s="220">
        <f>RANK(AG89,$AG$87:$AG$101)</f>
        <v>4</v>
      </c>
      <c r="AI89" s="459"/>
      <c r="AJ89" s="221">
        <v>12</v>
      </c>
      <c r="AK89" s="221">
        <v>985</v>
      </c>
      <c r="AL89" s="382">
        <f>AK89/AJ89</f>
        <v>82.083333333333329</v>
      </c>
      <c r="AM89" s="220">
        <f>RANK(AL89,$AL$87:$AL$101)</f>
        <v>4</v>
      </c>
      <c r="AN89" s="459"/>
      <c r="AO89" s="221">
        <v>12</v>
      </c>
      <c r="AP89" s="221">
        <v>1183</v>
      </c>
      <c r="AQ89" s="382">
        <f>AP89/AO89</f>
        <v>98.583333333333329</v>
      </c>
      <c r="AR89" s="220">
        <f>RANK(AQ89,$AQ$87:$AQ$101)</f>
        <v>4</v>
      </c>
      <c r="AS89" s="459"/>
      <c r="AT89" s="221"/>
      <c r="AU89" s="221"/>
      <c r="AV89" s="222"/>
      <c r="AW89" s="220"/>
      <c r="AX89" s="459"/>
    </row>
    <row r="90" spans="2:50" ht="13.5">
      <c r="B90" s="458"/>
      <c r="C90" s="220">
        <v>4</v>
      </c>
      <c r="D90" s="224" t="s">
        <v>63</v>
      </c>
      <c r="E90" s="221">
        <f>VLOOKUP(D90,'12產線配置圖'!$A$2:$C$30,2,0)</f>
        <v>9</v>
      </c>
      <c r="F90" s="221">
        <f>VLOOKUP(D90,'12產線配置圖'!$A$2:$C$30,3,0)</f>
        <v>1636</v>
      </c>
      <c r="G90" s="222">
        <f>F90/E90</f>
        <v>181.77777777777777</v>
      </c>
      <c r="H90" s="468"/>
      <c r="I90" s="221">
        <f>AVERAGE(P90,U90,Z90,AE90,AJ90,AO90,AT90)</f>
        <v>8.5714285714285712</v>
      </c>
      <c r="J90" s="221">
        <f t="shared" si="32"/>
        <v>1321.7142857142858</v>
      </c>
      <c r="K90" s="222">
        <f t="shared" si="33"/>
        <v>153.48185941043084</v>
      </c>
      <c r="L90" s="468"/>
      <c r="M90" s="221">
        <f t="shared" si="34"/>
        <v>1</v>
      </c>
      <c r="N90" s="454"/>
      <c r="O90" s="454"/>
      <c r="P90" s="398">
        <v>7</v>
      </c>
      <c r="Q90" s="221">
        <v>955</v>
      </c>
      <c r="R90" s="382">
        <f>Q90/P90</f>
        <v>136.42857142857142</v>
      </c>
      <c r="S90" s="220">
        <f>RANK(R90,$R$87:$R$101)</f>
        <v>1</v>
      </c>
      <c r="T90" s="459"/>
      <c r="U90" s="398">
        <v>8</v>
      </c>
      <c r="V90" s="221">
        <v>1156</v>
      </c>
      <c r="W90" s="382">
        <f>V90/U90</f>
        <v>144.5</v>
      </c>
      <c r="X90" s="220">
        <f>RANK(W90,$W$87:$W$101)</f>
        <v>1</v>
      </c>
      <c r="Y90" s="459"/>
      <c r="Z90" s="221">
        <v>9</v>
      </c>
      <c r="AA90" s="221">
        <v>1419</v>
      </c>
      <c r="AB90" s="222">
        <f>AA90/Z90</f>
        <v>157.66666666666666</v>
      </c>
      <c r="AC90" s="220">
        <f>RANK(AB90,$AB$87:$AB$100)</f>
        <v>1</v>
      </c>
      <c r="AD90" s="459"/>
      <c r="AE90" s="221">
        <v>9</v>
      </c>
      <c r="AF90" s="221">
        <v>1361</v>
      </c>
      <c r="AG90" s="382">
        <f>AF90/AE90</f>
        <v>151.22222222222223</v>
      </c>
      <c r="AH90" s="220">
        <f>RANK(AG90,$AG$87:$AG$101)</f>
        <v>1</v>
      </c>
      <c r="AI90" s="459"/>
      <c r="AJ90" s="221">
        <v>9</v>
      </c>
      <c r="AK90" s="221">
        <v>1407</v>
      </c>
      <c r="AL90" s="382">
        <f>AK90/AJ90</f>
        <v>156.33333333333334</v>
      </c>
      <c r="AM90" s="220">
        <f>RANK(AL90,$AL$87:$AL$101)</f>
        <v>1</v>
      </c>
      <c r="AN90" s="459"/>
      <c r="AO90" s="221">
        <v>9</v>
      </c>
      <c r="AP90" s="221">
        <v>1436</v>
      </c>
      <c r="AQ90" s="382">
        <f>AP90/AO90</f>
        <v>159.55555555555554</v>
      </c>
      <c r="AR90" s="220">
        <f>RANK(AQ90,$AQ$87:$AQ$101)</f>
        <v>1</v>
      </c>
      <c r="AS90" s="459"/>
      <c r="AT90" s="221">
        <v>9</v>
      </c>
      <c r="AU90" s="221">
        <v>1518</v>
      </c>
      <c r="AV90" s="382">
        <f>AU90/AT90</f>
        <v>168.66666666666666</v>
      </c>
      <c r="AW90" s="220">
        <f t="shared" si="35"/>
        <v>1</v>
      </c>
      <c r="AX90" s="459"/>
    </row>
    <row r="91" spans="2:50" ht="13.5">
      <c r="B91" s="458"/>
      <c r="C91" s="220">
        <v>5</v>
      </c>
      <c r="D91" s="224"/>
      <c r="E91" s="221"/>
      <c r="F91" s="221"/>
      <c r="G91" s="222"/>
      <c r="H91" s="468"/>
      <c r="I91" s="221"/>
      <c r="J91" s="221"/>
      <c r="K91" s="222"/>
      <c r="L91" s="468"/>
      <c r="M91" s="221"/>
      <c r="N91" s="454"/>
      <c r="O91" s="454"/>
      <c r="P91" s="221"/>
      <c r="Q91" s="221"/>
      <c r="R91" s="220"/>
      <c r="S91" s="220"/>
      <c r="T91" s="459"/>
      <c r="U91" s="221"/>
      <c r="V91" s="221"/>
      <c r="W91" s="220"/>
      <c r="X91" s="220"/>
      <c r="Y91" s="459"/>
      <c r="Z91" s="221"/>
      <c r="AA91" s="221"/>
      <c r="AB91" s="220"/>
      <c r="AC91" s="220"/>
      <c r="AD91" s="459"/>
      <c r="AE91" s="221"/>
      <c r="AF91" s="221"/>
      <c r="AG91" s="220"/>
      <c r="AH91" s="220"/>
      <c r="AI91" s="459"/>
      <c r="AJ91" s="221"/>
      <c r="AK91" s="221"/>
      <c r="AL91" s="220"/>
      <c r="AM91" s="220"/>
      <c r="AN91" s="459"/>
      <c r="AO91" s="221"/>
      <c r="AP91" s="221"/>
      <c r="AQ91" s="220"/>
      <c r="AR91" s="220"/>
      <c r="AS91" s="459"/>
      <c r="AT91" s="221"/>
      <c r="AU91" s="221"/>
      <c r="AV91" s="220"/>
      <c r="AW91" s="220"/>
      <c r="AX91" s="459"/>
    </row>
    <row r="92" spans="2:50" ht="13.5">
      <c r="B92" s="458"/>
      <c r="C92" s="220">
        <v>6</v>
      </c>
      <c r="D92" s="224"/>
      <c r="E92" s="221"/>
      <c r="F92" s="221"/>
      <c r="G92" s="222"/>
      <c r="H92" s="468"/>
      <c r="I92" s="221"/>
      <c r="J92" s="221"/>
      <c r="K92" s="222"/>
      <c r="L92" s="468"/>
      <c r="M92" s="221"/>
      <c r="N92" s="454"/>
      <c r="O92" s="454"/>
      <c r="P92" s="221"/>
      <c r="Q92" s="221"/>
      <c r="R92" s="220"/>
      <c r="S92" s="220"/>
      <c r="T92" s="459"/>
      <c r="U92" s="221"/>
      <c r="V92" s="221"/>
      <c r="W92" s="220"/>
      <c r="X92" s="220"/>
      <c r="Y92" s="459"/>
      <c r="Z92" s="221"/>
      <c r="AA92" s="221"/>
      <c r="AB92" s="220"/>
      <c r="AC92" s="220"/>
      <c r="AD92" s="459"/>
      <c r="AE92" s="221"/>
      <c r="AF92" s="221"/>
      <c r="AG92" s="220"/>
      <c r="AH92" s="220"/>
      <c r="AI92" s="459"/>
      <c r="AJ92" s="221"/>
      <c r="AK92" s="221"/>
      <c r="AL92" s="220"/>
      <c r="AM92" s="220"/>
      <c r="AN92" s="459"/>
      <c r="AO92" s="221"/>
      <c r="AP92" s="221"/>
      <c r="AQ92" s="220"/>
      <c r="AR92" s="220"/>
      <c r="AS92" s="459"/>
      <c r="AT92" s="221"/>
      <c r="AU92" s="221"/>
      <c r="AV92" s="220"/>
      <c r="AW92" s="220"/>
      <c r="AX92" s="459"/>
    </row>
    <row r="93" spans="2:50" ht="13.5">
      <c r="B93" s="458"/>
      <c r="C93" s="220">
        <v>7</v>
      </c>
      <c r="D93" s="224"/>
      <c r="E93" s="221"/>
      <c r="F93" s="221"/>
      <c r="G93" s="222"/>
      <c r="H93" s="468"/>
      <c r="I93" s="221"/>
      <c r="J93" s="221"/>
      <c r="K93" s="222"/>
      <c r="L93" s="468"/>
      <c r="M93" s="221"/>
      <c r="N93" s="454"/>
      <c r="O93" s="454"/>
      <c r="P93" s="221"/>
      <c r="Q93" s="221"/>
      <c r="R93" s="220"/>
      <c r="S93" s="220"/>
      <c r="T93" s="459"/>
      <c r="U93" s="221"/>
      <c r="V93" s="221"/>
      <c r="W93" s="220"/>
      <c r="X93" s="220"/>
      <c r="Y93" s="459"/>
      <c r="Z93" s="221"/>
      <c r="AA93" s="221"/>
      <c r="AB93" s="220"/>
      <c r="AC93" s="220"/>
      <c r="AD93" s="459"/>
      <c r="AE93" s="221"/>
      <c r="AF93" s="221"/>
      <c r="AG93" s="220"/>
      <c r="AH93" s="220"/>
      <c r="AI93" s="459"/>
      <c r="AJ93" s="221"/>
      <c r="AK93" s="221"/>
      <c r="AL93" s="220"/>
      <c r="AM93" s="220"/>
      <c r="AN93" s="459"/>
      <c r="AO93" s="221"/>
      <c r="AP93" s="221"/>
      <c r="AQ93" s="220"/>
      <c r="AR93" s="220"/>
      <c r="AS93" s="459"/>
      <c r="AT93" s="221"/>
      <c r="AU93" s="221"/>
      <c r="AV93" s="220"/>
      <c r="AW93" s="220"/>
      <c r="AX93" s="459"/>
    </row>
    <row r="94" spans="2:50" ht="13.5">
      <c r="B94" s="458"/>
      <c r="C94" s="220">
        <v>8</v>
      </c>
      <c r="D94" s="224"/>
      <c r="E94" s="220"/>
      <c r="F94" s="220"/>
      <c r="G94" s="220"/>
      <c r="H94" s="468"/>
      <c r="I94" s="221"/>
      <c r="J94" s="221"/>
      <c r="K94" s="222"/>
      <c r="L94" s="468"/>
      <c r="M94" s="221"/>
      <c r="N94" s="454"/>
      <c r="O94" s="454"/>
      <c r="P94" s="221"/>
      <c r="Q94" s="221"/>
      <c r="R94" s="220"/>
      <c r="S94" s="220"/>
      <c r="T94" s="459"/>
      <c r="U94" s="221"/>
      <c r="V94" s="221"/>
      <c r="W94" s="220"/>
      <c r="X94" s="220"/>
      <c r="Y94" s="459"/>
      <c r="Z94" s="221"/>
      <c r="AA94" s="221"/>
      <c r="AB94" s="220"/>
      <c r="AC94" s="220"/>
      <c r="AD94" s="459"/>
      <c r="AE94" s="221"/>
      <c r="AF94" s="221"/>
      <c r="AG94" s="220"/>
      <c r="AH94" s="220"/>
      <c r="AI94" s="459"/>
      <c r="AJ94" s="221"/>
      <c r="AK94" s="221"/>
      <c r="AL94" s="220"/>
      <c r="AM94" s="220"/>
      <c r="AN94" s="459"/>
      <c r="AO94" s="221"/>
      <c r="AP94" s="221"/>
      <c r="AQ94" s="220"/>
      <c r="AR94" s="220"/>
      <c r="AS94" s="459"/>
      <c r="AT94" s="221"/>
      <c r="AU94" s="221"/>
      <c r="AV94" s="220"/>
      <c r="AW94" s="220"/>
      <c r="AX94" s="459"/>
    </row>
    <row r="95" spans="2:50" ht="13.5">
      <c r="B95" s="458"/>
      <c r="C95" s="220">
        <v>9</v>
      </c>
      <c r="D95" s="224"/>
      <c r="E95" s="220"/>
      <c r="F95" s="220"/>
      <c r="G95" s="220"/>
      <c r="H95" s="468"/>
      <c r="I95" s="221"/>
      <c r="J95" s="221"/>
      <c r="K95" s="222"/>
      <c r="L95" s="468"/>
      <c r="M95" s="221"/>
      <c r="N95" s="454"/>
      <c r="O95" s="454"/>
      <c r="P95" s="221"/>
      <c r="Q95" s="221"/>
      <c r="R95" s="220"/>
      <c r="S95" s="220"/>
      <c r="T95" s="459"/>
      <c r="U95" s="221"/>
      <c r="V95" s="221"/>
      <c r="W95" s="220"/>
      <c r="X95" s="220"/>
      <c r="Y95" s="459"/>
      <c r="Z95" s="221"/>
      <c r="AA95" s="221"/>
      <c r="AB95" s="220"/>
      <c r="AC95" s="220"/>
      <c r="AD95" s="459"/>
      <c r="AE95" s="221"/>
      <c r="AF95" s="221"/>
      <c r="AG95" s="220"/>
      <c r="AH95" s="220"/>
      <c r="AI95" s="459"/>
      <c r="AJ95" s="221"/>
      <c r="AK95" s="221"/>
      <c r="AL95" s="220"/>
      <c r="AM95" s="220"/>
      <c r="AN95" s="459"/>
      <c r="AO95" s="221"/>
      <c r="AP95" s="221"/>
      <c r="AQ95" s="220"/>
      <c r="AR95" s="220"/>
      <c r="AS95" s="459"/>
      <c r="AT95" s="221"/>
      <c r="AU95" s="221"/>
      <c r="AV95" s="220"/>
      <c r="AW95" s="220"/>
      <c r="AX95" s="459"/>
    </row>
    <row r="96" spans="2:50" ht="13.5">
      <c r="B96" s="458"/>
      <c r="C96" s="220">
        <v>10</v>
      </c>
      <c r="D96" s="224"/>
      <c r="E96" s="220"/>
      <c r="F96" s="220"/>
      <c r="G96" s="220"/>
      <c r="H96" s="468"/>
      <c r="I96" s="221"/>
      <c r="J96" s="221"/>
      <c r="K96" s="222"/>
      <c r="L96" s="468"/>
      <c r="M96" s="221"/>
      <c r="N96" s="454"/>
      <c r="O96" s="454"/>
      <c r="P96" s="221"/>
      <c r="Q96" s="221"/>
      <c r="R96" s="220"/>
      <c r="S96" s="220"/>
      <c r="T96" s="459"/>
      <c r="U96" s="221"/>
      <c r="V96" s="221"/>
      <c r="W96" s="220"/>
      <c r="X96" s="220"/>
      <c r="Y96" s="459"/>
      <c r="Z96" s="221"/>
      <c r="AA96" s="221"/>
      <c r="AB96" s="220"/>
      <c r="AC96" s="220"/>
      <c r="AD96" s="459"/>
      <c r="AE96" s="221"/>
      <c r="AF96" s="221"/>
      <c r="AG96" s="220"/>
      <c r="AH96" s="220"/>
      <c r="AI96" s="459"/>
      <c r="AJ96" s="221"/>
      <c r="AK96" s="221"/>
      <c r="AL96" s="220"/>
      <c r="AM96" s="220"/>
      <c r="AN96" s="459"/>
      <c r="AO96" s="221"/>
      <c r="AP96" s="221"/>
      <c r="AQ96" s="220"/>
      <c r="AR96" s="220"/>
      <c r="AS96" s="459"/>
      <c r="AT96" s="221"/>
      <c r="AU96" s="221"/>
      <c r="AV96" s="220"/>
      <c r="AW96" s="220"/>
      <c r="AX96" s="459"/>
    </row>
    <row r="97" spans="2:50" ht="13.5">
      <c r="B97" s="458"/>
      <c r="C97" s="220">
        <v>11</v>
      </c>
      <c r="D97" s="224"/>
      <c r="E97" s="220"/>
      <c r="F97" s="220"/>
      <c r="G97" s="220"/>
      <c r="H97" s="468"/>
      <c r="I97" s="221"/>
      <c r="J97" s="221"/>
      <c r="K97" s="222"/>
      <c r="L97" s="468"/>
      <c r="M97" s="221"/>
      <c r="N97" s="454"/>
      <c r="O97" s="454"/>
      <c r="P97" s="220"/>
      <c r="Q97" s="220"/>
      <c r="R97" s="220"/>
      <c r="S97" s="220"/>
      <c r="T97" s="459"/>
      <c r="U97" s="220"/>
      <c r="V97" s="220"/>
      <c r="W97" s="220"/>
      <c r="X97" s="220"/>
      <c r="Y97" s="459"/>
      <c r="Z97" s="220"/>
      <c r="AA97" s="220"/>
      <c r="AB97" s="220"/>
      <c r="AC97" s="220"/>
      <c r="AD97" s="459"/>
      <c r="AE97" s="220"/>
      <c r="AF97" s="220"/>
      <c r="AG97" s="220"/>
      <c r="AH97" s="220"/>
      <c r="AI97" s="459"/>
      <c r="AJ97" s="220"/>
      <c r="AK97" s="220"/>
      <c r="AL97" s="220"/>
      <c r="AM97" s="220"/>
      <c r="AN97" s="459"/>
      <c r="AO97" s="220"/>
      <c r="AP97" s="220"/>
      <c r="AQ97" s="220"/>
      <c r="AR97" s="220"/>
      <c r="AS97" s="459"/>
      <c r="AT97" s="220"/>
      <c r="AU97" s="220"/>
      <c r="AV97" s="220"/>
      <c r="AW97" s="220"/>
      <c r="AX97" s="459"/>
    </row>
    <row r="98" spans="2:50" ht="13.5">
      <c r="B98" s="458"/>
      <c r="C98" s="220">
        <v>12</v>
      </c>
      <c r="D98" s="224"/>
      <c r="E98" s="220"/>
      <c r="F98" s="220"/>
      <c r="G98" s="220"/>
      <c r="H98" s="468"/>
      <c r="I98" s="221"/>
      <c r="J98" s="221"/>
      <c r="K98" s="222"/>
      <c r="L98" s="468"/>
      <c r="M98" s="221"/>
      <c r="N98" s="454"/>
      <c r="O98" s="454"/>
      <c r="P98" s="220"/>
      <c r="Q98" s="220"/>
      <c r="R98" s="220"/>
      <c r="S98" s="220"/>
      <c r="T98" s="459"/>
      <c r="U98" s="220"/>
      <c r="V98" s="220"/>
      <c r="W98" s="220"/>
      <c r="X98" s="220"/>
      <c r="Y98" s="459"/>
      <c r="Z98" s="220"/>
      <c r="AA98" s="220"/>
      <c r="AB98" s="220"/>
      <c r="AC98" s="220"/>
      <c r="AD98" s="459"/>
      <c r="AE98" s="220"/>
      <c r="AF98" s="220"/>
      <c r="AG98" s="220"/>
      <c r="AH98" s="220"/>
      <c r="AI98" s="459"/>
      <c r="AJ98" s="220"/>
      <c r="AK98" s="220"/>
      <c r="AL98" s="220"/>
      <c r="AM98" s="220"/>
      <c r="AN98" s="459"/>
      <c r="AO98" s="220"/>
      <c r="AP98" s="220"/>
      <c r="AQ98" s="220"/>
      <c r="AR98" s="220"/>
      <c r="AS98" s="459"/>
      <c r="AT98" s="220"/>
      <c r="AU98" s="220"/>
      <c r="AV98" s="220"/>
      <c r="AW98" s="220"/>
      <c r="AX98" s="459"/>
    </row>
    <row r="99" spans="2:50" ht="13.5">
      <c r="B99" s="458"/>
      <c r="C99" s="220">
        <v>13</v>
      </c>
      <c r="D99" s="224"/>
      <c r="E99" s="220"/>
      <c r="F99" s="220"/>
      <c r="G99" s="220"/>
      <c r="H99" s="468"/>
      <c r="I99" s="221"/>
      <c r="J99" s="221"/>
      <c r="K99" s="222"/>
      <c r="L99" s="468"/>
      <c r="M99" s="221"/>
      <c r="N99" s="454"/>
      <c r="O99" s="454"/>
      <c r="P99" s="220"/>
      <c r="Q99" s="220"/>
      <c r="R99" s="220"/>
      <c r="S99" s="220"/>
      <c r="T99" s="459"/>
      <c r="U99" s="220"/>
      <c r="V99" s="220"/>
      <c r="W99" s="220"/>
      <c r="X99" s="220"/>
      <c r="Y99" s="459"/>
      <c r="Z99" s="220"/>
      <c r="AA99" s="220"/>
      <c r="AB99" s="220"/>
      <c r="AC99" s="220"/>
      <c r="AD99" s="459"/>
      <c r="AE99" s="220"/>
      <c r="AF99" s="220"/>
      <c r="AG99" s="220"/>
      <c r="AH99" s="220"/>
      <c r="AI99" s="459"/>
      <c r="AJ99" s="220"/>
      <c r="AK99" s="220"/>
      <c r="AL99" s="220"/>
      <c r="AM99" s="220"/>
      <c r="AN99" s="459"/>
      <c r="AO99" s="220"/>
      <c r="AP99" s="220"/>
      <c r="AQ99" s="220"/>
      <c r="AR99" s="220"/>
      <c r="AS99" s="459"/>
      <c r="AT99" s="220"/>
      <c r="AU99" s="220"/>
      <c r="AV99" s="220"/>
      <c r="AW99" s="220"/>
      <c r="AX99" s="459"/>
    </row>
    <row r="100" spans="2:50" ht="13.5">
      <c r="B100" s="458"/>
      <c r="C100" s="220">
        <v>14</v>
      </c>
      <c r="D100" s="224"/>
      <c r="E100" s="220"/>
      <c r="F100" s="220"/>
      <c r="G100" s="220"/>
      <c r="H100" s="468"/>
      <c r="I100" s="221"/>
      <c r="J100" s="221"/>
      <c r="K100" s="222"/>
      <c r="L100" s="468"/>
      <c r="M100" s="221"/>
      <c r="N100" s="454"/>
      <c r="O100" s="454"/>
      <c r="P100" s="220"/>
      <c r="Q100" s="220"/>
      <c r="R100" s="220"/>
      <c r="S100" s="220"/>
      <c r="T100" s="459"/>
      <c r="U100" s="220"/>
      <c r="V100" s="220"/>
      <c r="W100" s="220"/>
      <c r="X100" s="220"/>
      <c r="Y100" s="459"/>
      <c r="Z100" s="220"/>
      <c r="AA100" s="220"/>
      <c r="AB100" s="220"/>
      <c r="AC100" s="220"/>
      <c r="AD100" s="459"/>
      <c r="AE100" s="220"/>
      <c r="AF100" s="220"/>
      <c r="AG100" s="220"/>
      <c r="AH100" s="220"/>
      <c r="AI100" s="459"/>
      <c r="AJ100" s="220"/>
      <c r="AK100" s="220"/>
      <c r="AL100" s="220"/>
      <c r="AM100" s="220"/>
      <c r="AN100" s="459"/>
      <c r="AO100" s="220"/>
      <c r="AP100" s="220"/>
      <c r="AQ100" s="220"/>
      <c r="AR100" s="220"/>
      <c r="AS100" s="459"/>
      <c r="AT100" s="220"/>
      <c r="AU100" s="220"/>
      <c r="AV100" s="220"/>
      <c r="AW100" s="220"/>
      <c r="AX100" s="459"/>
    </row>
    <row r="101" spans="2:50" ht="13.5">
      <c r="B101" s="458"/>
      <c r="C101" s="220">
        <v>15</v>
      </c>
      <c r="D101" s="224"/>
      <c r="E101" s="220"/>
      <c r="F101" s="220"/>
      <c r="G101" s="220"/>
      <c r="H101" s="469"/>
      <c r="I101" s="221"/>
      <c r="J101" s="221"/>
      <c r="K101" s="222"/>
      <c r="L101" s="469"/>
      <c r="M101" s="221"/>
      <c r="N101" s="454"/>
      <c r="O101" s="454"/>
      <c r="P101" s="220"/>
      <c r="Q101" s="220"/>
      <c r="R101" s="220"/>
      <c r="S101" s="220"/>
      <c r="T101" s="459"/>
      <c r="U101" s="220"/>
      <c r="V101" s="220"/>
      <c r="W101" s="220"/>
      <c r="X101" s="220"/>
      <c r="Y101" s="459"/>
      <c r="Z101" s="220"/>
      <c r="AA101" s="220"/>
      <c r="AB101" s="220"/>
      <c r="AC101" s="220"/>
      <c r="AD101" s="459"/>
      <c r="AE101" s="220"/>
      <c r="AF101" s="220"/>
      <c r="AG101" s="220"/>
      <c r="AH101" s="220"/>
      <c r="AI101" s="459"/>
      <c r="AJ101" s="220"/>
      <c r="AK101" s="220"/>
      <c r="AL101" s="220"/>
      <c r="AM101" s="220"/>
      <c r="AN101" s="459"/>
      <c r="AO101" s="220"/>
      <c r="AP101" s="220"/>
      <c r="AQ101" s="220"/>
      <c r="AR101" s="220"/>
      <c r="AS101" s="459"/>
      <c r="AT101" s="220"/>
      <c r="AU101" s="220"/>
      <c r="AV101" s="220"/>
      <c r="AW101" s="220"/>
      <c r="AX101" s="459"/>
    </row>
    <row r="102" spans="2:50" ht="15.75">
      <c r="B102" s="477" t="s">
        <v>43</v>
      </c>
      <c r="C102" s="465"/>
      <c r="D102" s="465"/>
      <c r="E102" s="465"/>
      <c r="F102" s="465"/>
      <c r="G102" s="465"/>
      <c r="H102" s="465"/>
      <c r="I102" s="214"/>
      <c r="J102" s="214"/>
      <c r="K102" s="214"/>
      <c r="L102" s="214"/>
      <c r="M102" s="215"/>
      <c r="N102" s="455" t="s">
        <v>44</v>
      </c>
      <c r="O102" s="455" t="s">
        <v>3</v>
      </c>
      <c r="P102" s="457">
        <v>46112</v>
      </c>
      <c r="Q102" s="458"/>
      <c r="R102" s="458"/>
      <c r="S102" s="458"/>
      <c r="T102" s="458"/>
      <c r="U102" s="457"/>
      <c r="V102" s="458"/>
      <c r="W102" s="458"/>
      <c r="X102" s="458"/>
      <c r="Y102" s="458"/>
      <c r="Z102" s="457"/>
      <c r="AA102" s="458"/>
      <c r="AB102" s="458"/>
      <c r="AC102" s="458"/>
      <c r="AD102" s="458"/>
      <c r="AE102" s="457"/>
      <c r="AF102" s="458"/>
      <c r="AG102" s="458"/>
      <c r="AH102" s="458"/>
      <c r="AI102" s="458"/>
      <c r="AJ102" s="457"/>
      <c r="AK102" s="458"/>
      <c r="AL102" s="458"/>
      <c r="AM102" s="458"/>
      <c r="AN102" s="458"/>
      <c r="AO102" s="457"/>
      <c r="AP102" s="458"/>
      <c r="AQ102" s="458"/>
      <c r="AR102" s="458"/>
      <c r="AS102" s="458"/>
      <c r="AT102" s="457"/>
      <c r="AU102" s="458"/>
      <c r="AV102" s="458"/>
      <c r="AW102" s="458"/>
      <c r="AX102" s="458"/>
    </row>
    <row r="103" spans="2:50" ht="15.75">
      <c r="B103" s="466"/>
      <c r="C103" s="466"/>
      <c r="D103" s="466"/>
      <c r="E103" s="466"/>
      <c r="F103" s="466"/>
      <c r="G103" s="466"/>
      <c r="H103" s="466"/>
      <c r="I103" s="216"/>
      <c r="J103" s="216"/>
      <c r="K103" s="216"/>
      <c r="L103" s="216"/>
      <c r="M103" s="217"/>
      <c r="N103" s="456"/>
      <c r="O103" s="456"/>
      <c r="P103" s="457" t="s">
        <v>15</v>
      </c>
      <c r="Q103" s="458"/>
      <c r="R103" s="458"/>
      <c r="S103" s="458"/>
      <c r="T103" s="458"/>
      <c r="U103" s="457" t="s">
        <v>13</v>
      </c>
      <c r="V103" s="458"/>
      <c r="W103" s="458"/>
      <c r="X103" s="458"/>
      <c r="Y103" s="458"/>
      <c r="Z103" s="457" t="s">
        <v>16</v>
      </c>
      <c r="AA103" s="458"/>
      <c r="AB103" s="458"/>
      <c r="AC103" s="458"/>
      <c r="AD103" s="458"/>
      <c r="AE103" s="457" t="s">
        <v>17</v>
      </c>
      <c r="AF103" s="458"/>
      <c r="AG103" s="458"/>
      <c r="AH103" s="458"/>
      <c r="AI103" s="458"/>
      <c r="AJ103" s="457" t="s">
        <v>18</v>
      </c>
      <c r="AK103" s="458"/>
      <c r="AL103" s="458"/>
      <c r="AM103" s="458"/>
      <c r="AN103" s="458"/>
      <c r="AO103" s="457" t="s">
        <v>10</v>
      </c>
      <c r="AP103" s="458"/>
      <c r="AQ103" s="458"/>
      <c r="AR103" s="458"/>
      <c r="AS103" s="458"/>
      <c r="AT103" s="457" t="s">
        <v>14</v>
      </c>
      <c r="AU103" s="458"/>
      <c r="AV103" s="458"/>
      <c r="AW103" s="458"/>
      <c r="AX103" s="458"/>
    </row>
    <row r="104" spans="2:50">
      <c r="B104" s="454" t="s">
        <v>45</v>
      </c>
      <c r="C104" s="454" t="s">
        <v>46</v>
      </c>
      <c r="D104" s="454"/>
      <c r="E104" s="454" t="s">
        <v>47</v>
      </c>
      <c r="F104" s="454"/>
      <c r="G104" s="454"/>
      <c r="H104" s="470" t="s">
        <v>48</v>
      </c>
      <c r="I104" s="454" t="s">
        <v>49</v>
      </c>
      <c r="J104" s="454"/>
      <c r="K104" s="454"/>
      <c r="L104" s="470" t="s">
        <v>48</v>
      </c>
      <c r="M104" s="455" t="s">
        <v>50</v>
      </c>
      <c r="N104" s="454"/>
      <c r="O104" s="454" t="s">
        <v>51</v>
      </c>
      <c r="P104" s="451" t="s">
        <v>52</v>
      </c>
      <c r="Q104" s="452"/>
      <c r="R104" s="452"/>
      <c r="S104" s="453"/>
      <c r="T104" s="454" t="s">
        <v>48</v>
      </c>
      <c r="U104" s="451" t="s">
        <v>52</v>
      </c>
      <c r="V104" s="452"/>
      <c r="W104" s="452"/>
      <c r="X104" s="453"/>
      <c r="Y104" s="454" t="s">
        <v>48</v>
      </c>
      <c r="Z104" s="451" t="s">
        <v>52</v>
      </c>
      <c r="AA104" s="452"/>
      <c r="AB104" s="452"/>
      <c r="AC104" s="453"/>
      <c r="AD104" s="454" t="s">
        <v>48</v>
      </c>
      <c r="AE104" s="451" t="s">
        <v>52</v>
      </c>
      <c r="AF104" s="452"/>
      <c r="AG104" s="452"/>
      <c r="AH104" s="453"/>
      <c r="AI104" s="454" t="s">
        <v>48</v>
      </c>
      <c r="AJ104" s="451" t="s">
        <v>52</v>
      </c>
      <c r="AK104" s="452"/>
      <c r="AL104" s="452"/>
      <c r="AM104" s="453"/>
      <c r="AN104" s="454" t="s">
        <v>48</v>
      </c>
      <c r="AO104" s="451" t="s">
        <v>52</v>
      </c>
      <c r="AP104" s="452"/>
      <c r="AQ104" s="452"/>
      <c r="AR104" s="453"/>
      <c r="AS104" s="454" t="s">
        <v>48</v>
      </c>
      <c r="AT104" s="451" t="s">
        <v>52</v>
      </c>
      <c r="AU104" s="452"/>
      <c r="AV104" s="452"/>
      <c r="AW104" s="453"/>
      <c r="AX104" s="454" t="s">
        <v>48</v>
      </c>
    </row>
    <row r="105" spans="2:50">
      <c r="B105" s="454"/>
      <c r="C105" s="454"/>
      <c r="D105" s="454"/>
      <c r="E105" s="454" t="s">
        <v>53</v>
      </c>
      <c r="F105" s="454"/>
      <c r="G105" s="454"/>
      <c r="H105" s="471"/>
      <c r="I105" s="454" t="s">
        <v>53</v>
      </c>
      <c r="J105" s="454"/>
      <c r="K105" s="454"/>
      <c r="L105" s="471"/>
      <c r="M105" s="463"/>
      <c r="N105" s="454"/>
      <c r="O105" s="454"/>
      <c r="P105" s="451" t="s">
        <v>54</v>
      </c>
      <c r="Q105" s="452"/>
      <c r="R105" s="452"/>
      <c r="S105" s="453"/>
      <c r="T105" s="454"/>
      <c r="U105" s="451" t="s">
        <v>54</v>
      </c>
      <c r="V105" s="452"/>
      <c r="W105" s="452"/>
      <c r="X105" s="453"/>
      <c r="Y105" s="454"/>
      <c r="Z105" s="451" t="s">
        <v>54</v>
      </c>
      <c r="AA105" s="452"/>
      <c r="AB105" s="452"/>
      <c r="AC105" s="453"/>
      <c r="AD105" s="454"/>
      <c r="AE105" s="451" t="s">
        <v>54</v>
      </c>
      <c r="AF105" s="452"/>
      <c r="AG105" s="452"/>
      <c r="AH105" s="453"/>
      <c r="AI105" s="454"/>
      <c r="AJ105" s="451" t="s">
        <v>54</v>
      </c>
      <c r="AK105" s="452"/>
      <c r="AL105" s="452"/>
      <c r="AM105" s="453"/>
      <c r="AN105" s="454"/>
      <c r="AO105" s="451" t="s">
        <v>54</v>
      </c>
      <c r="AP105" s="452"/>
      <c r="AQ105" s="452"/>
      <c r="AR105" s="453"/>
      <c r="AS105" s="454"/>
      <c r="AT105" s="451" t="s">
        <v>54</v>
      </c>
      <c r="AU105" s="452"/>
      <c r="AV105" s="452"/>
      <c r="AW105" s="453"/>
      <c r="AX105" s="454"/>
    </row>
    <row r="106" spans="2:50">
      <c r="B106" s="454"/>
      <c r="C106" s="454"/>
      <c r="D106" s="454"/>
      <c r="E106" s="219" t="s">
        <v>55</v>
      </c>
      <c r="F106" s="219" t="s">
        <v>56</v>
      </c>
      <c r="G106" s="219" t="s">
        <v>57</v>
      </c>
      <c r="H106" s="472"/>
      <c r="I106" s="219" t="s">
        <v>55</v>
      </c>
      <c r="J106" s="219" t="s">
        <v>56</v>
      </c>
      <c r="K106" s="219" t="s">
        <v>57</v>
      </c>
      <c r="L106" s="472"/>
      <c r="M106" s="456"/>
      <c r="N106" s="454"/>
      <c r="O106" s="454"/>
      <c r="P106" s="219" t="s">
        <v>55</v>
      </c>
      <c r="Q106" s="219" t="s">
        <v>56</v>
      </c>
      <c r="R106" s="219" t="s">
        <v>57</v>
      </c>
      <c r="S106" s="219" t="s">
        <v>50</v>
      </c>
      <c r="T106" s="454"/>
      <c r="U106" s="219" t="s">
        <v>55</v>
      </c>
      <c r="V106" s="219" t="s">
        <v>56</v>
      </c>
      <c r="W106" s="219" t="s">
        <v>57</v>
      </c>
      <c r="X106" s="219" t="s">
        <v>50</v>
      </c>
      <c r="Y106" s="454"/>
      <c r="Z106" s="219" t="s">
        <v>55</v>
      </c>
      <c r="AA106" s="219" t="s">
        <v>56</v>
      </c>
      <c r="AB106" s="219" t="s">
        <v>57</v>
      </c>
      <c r="AC106" s="219" t="s">
        <v>50</v>
      </c>
      <c r="AD106" s="454"/>
      <c r="AE106" s="219" t="s">
        <v>55</v>
      </c>
      <c r="AF106" s="219" t="s">
        <v>56</v>
      </c>
      <c r="AG106" s="219" t="s">
        <v>57</v>
      </c>
      <c r="AH106" s="219" t="s">
        <v>50</v>
      </c>
      <c r="AI106" s="454"/>
      <c r="AJ106" s="219" t="s">
        <v>55</v>
      </c>
      <c r="AK106" s="219" t="s">
        <v>56</v>
      </c>
      <c r="AL106" s="219" t="s">
        <v>57</v>
      </c>
      <c r="AM106" s="219" t="s">
        <v>50</v>
      </c>
      <c r="AN106" s="454"/>
      <c r="AO106" s="219" t="s">
        <v>55</v>
      </c>
      <c r="AP106" s="219" t="s">
        <v>56</v>
      </c>
      <c r="AQ106" s="219" t="s">
        <v>57</v>
      </c>
      <c r="AR106" s="219" t="s">
        <v>50</v>
      </c>
      <c r="AS106" s="454"/>
      <c r="AT106" s="219" t="s">
        <v>55</v>
      </c>
      <c r="AU106" s="219" t="s">
        <v>56</v>
      </c>
      <c r="AV106" s="219" t="s">
        <v>57</v>
      </c>
      <c r="AW106" s="219" t="s">
        <v>50</v>
      </c>
      <c r="AX106" s="454"/>
    </row>
    <row r="107" spans="2:50">
      <c r="B107" s="454" t="s">
        <v>34</v>
      </c>
      <c r="C107" s="220">
        <v>1</v>
      </c>
      <c r="D107" s="220" t="s">
        <v>60</v>
      </c>
      <c r="E107" s="221">
        <f>VLOOKUP(D107,'12產線配置圖'!$A$2:$C$30,2,0)</f>
        <v>13</v>
      </c>
      <c r="F107" s="221">
        <f>VLOOKUP(D107,'12產線配置圖'!$A$2:$C$30,3,0)</f>
        <v>1565</v>
      </c>
      <c r="G107" s="222">
        <f>F107/E107</f>
        <v>120.38461538461539</v>
      </c>
      <c r="H107" s="467" t="e">
        <f>AVERAGE(G107:G121)</f>
        <v>#N/A</v>
      </c>
      <c r="I107" s="221" t="e">
        <f t="shared" ref="I107:J109" si="36">AVERAGE(P107,U107,Z107,AE107,AJ107,AO107,AT107)</f>
        <v>#DIV/0!</v>
      </c>
      <c r="J107" s="221" t="e">
        <f t="shared" si="36"/>
        <v>#DIV/0!</v>
      </c>
      <c r="K107" s="222" t="e">
        <f>AVERAGE(AG107,AL107,AQ107,AV107)</f>
        <v>#DIV/0!</v>
      </c>
      <c r="L107" s="467" t="str">
        <f>IFERROR(AVERAGE(K107:K121),"-")</f>
        <v>-</v>
      </c>
      <c r="M107" s="223" t="e">
        <f>RANK(K107,$K$107:$K$109)</f>
        <v>#DIV/0!</v>
      </c>
      <c r="N107" s="454"/>
      <c r="O107" s="454"/>
      <c r="P107" s="221"/>
      <c r="Q107" s="221"/>
      <c r="R107" s="222" t="e">
        <f>Q107/P107</f>
        <v>#DIV/0!</v>
      </c>
      <c r="S107" s="220" t="e">
        <f>RANK(R107, R$7:R$21)</f>
        <v>#DIV/0!</v>
      </c>
      <c r="T107" s="459" t="e">
        <f>AVERAGE(R107:R121)</f>
        <v>#DIV/0!</v>
      </c>
      <c r="U107" s="221"/>
      <c r="V107" s="221"/>
      <c r="W107" s="222" t="e">
        <f>V107/U107</f>
        <v>#DIV/0!</v>
      </c>
      <c r="X107" s="220" t="e">
        <f>RANK(W107,W$107:W$109)</f>
        <v>#DIV/0!</v>
      </c>
      <c r="Y107" s="459" t="e">
        <f>AVERAGE(W107:W121)</f>
        <v>#DIV/0!</v>
      </c>
      <c r="Z107" s="221"/>
      <c r="AA107" s="221"/>
      <c r="AB107" s="222" t="e">
        <f>AA107/Z107</f>
        <v>#DIV/0!</v>
      </c>
      <c r="AC107" s="220" t="e">
        <f>RANK(AB107,AB$107:AB$109)</f>
        <v>#DIV/0!</v>
      </c>
      <c r="AD107" s="459" t="e">
        <f>AVERAGE(AB107:AB121)</f>
        <v>#DIV/0!</v>
      </c>
      <c r="AE107" s="221"/>
      <c r="AF107" s="221"/>
      <c r="AG107" s="222" t="e">
        <f>AF107/AE107</f>
        <v>#DIV/0!</v>
      </c>
      <c r="AH107" s="220" t="e">
        <f>RANK(AG107,AG$107:AG$109)</f>
        <v>#DIV/0!</v>
      </c>
      <c r="AI107" s="459" t="e">
        <f>AVERAGE(AG107:AG121)</f>
        <v>#DIV/0!</v>
      </c>
      <c r="AJ107" s="221"/>
      <c r="AK107" s="221"/>
      <c r="AL107" s="222" t="e">
        <f>AK107/AJ107</f>
        <v>#DIV/0!</v>
      </c>
      <c r="AM107" s="220" t="e">
        <f t="shared" ref="AM107:AM109" si="37">RANK(AL107,AL$107:AL$109)</f>
        <v>#DIV/0!</v>
      </c>
      <c r="AN107" s="459" t="e">
        <f>AVERAGE(AL107:AL121)</f>
        <v>#DIV/0!</v>
      </c>
      <c r="AO107" s="221"/>
      <c r="AP107" s="221"/>
      <c r="AQ107" s="222" t="e">
        <f>AP107/AO107</f>
        <v>#DIV/0!</v>
      </c>
      <c r="AR107" s="220" t="e">
        <f t="shared" ref="AR107:AR109" si="38">RANK(AQ107,AQ$107:AQ$109)</f>
        <v>#DIV/0!</v>
      </c>
      <c r="AS107" s="459" t="e">
        <f>AVERAGE(AQ107:AQ121)</f>
        <v>#DIV/0!</v>
      </c>
      <c r="AT107" s="221"/>
      <c r="AU107" s="221"/>
      <c r="AV107" s="222" t="e">
        <f>AU107/AT107</f>
        <v>#DIV/0!</v>
      </c>
      <c r="AW107" s="220" t="e">
        <f t="shared" ref="AW107:AW109" si="39">RANK(AV107,AV$107:AV$109)</f>
        <v>#DIV/0!</v>
      </c>
      <c r="AX107" s="459" t="e">
        <f>AVERAGE(AV107:AV121)</f>
        <v>#DIV/0!</v>
      </c>
    </row>
    <row r="108" spans="2:50">
      <c r="B108" s="458"/>
      <c r="C108" s="220">
        <v>2</v>
      </c>
      <c r="D108" s="220" t="s">
        <v>61</v>
      </c>
      <c r="E108" s="221">
        <f>VLOOKUP(D108,'12產線配置圖'!$A$2:$C$30,2,0)</f>
        <v>12</v>
      </c>
      <c r="F108" s="221">
        <f>VLOOKUP(D108,'12產線配置圖'!$A$2:$C$30,3,0)</f>
        <v>1565</v>
      </c>
      <c r="G108" s="222">
        <f>F108/E108</f>
        <v>130.41666666666666</v>
      </c>
      <c r="H108" s="468"/>
      <c r="I108" s="221" t="e">
        <f t="shared" si="36"/>
        <v>#DIV/0!</v>
      </c>
      <c r="J108" s="221" t="e">
        <f t="shared" si="36"/>
        <v>#DIV/0!</v>
      </c>
      <c r="K108" s="222" t="e">
        <f>AVERAGE(AG108,AL108,AQ108,AV108)</f>
        <v>#DIV/0!</v>
      </c>
      <c r="L108" s="468"/>
      <c r="M108" s="223" t="e">
        <f t="shared" ref="M108:M109" si="40">RANK(K108,$K$107:$K$109)</f>
        <v>#DIV/0!</v>
      </c>
      <c r="N108" s="454"/>
      <c r="O108" s="454"/>
      <c r="P108" s="221"/>
      <c r="Q108" s="221"/>
      <c r="R108" s="222" t="e">
        <f t="shared" ref="R108:R109" si="41">Q108/P108</f>
        <v>#DIV/0!</v>
      </c>
      <c r="S108" s="220" t="e">
        <f t="shared" ref="S108:S109" si="42">RANK(R108, R$7:R$21)</f>
        <v>#DIV/0!</v>
      </c>
      <c r="T108" s="459"/>
      <c r="U108" s="221"/>
      <c r="V108" s="221"/>
      <c r="W108" s="222" t="e">
        <f t="shared" ref="W108:W109" si="43">V108/U108</f>
        <v>#DIV/0!</v>
      </c>
      <c r="X108" s="220" t="e">
        <f t="shared" ref="X108:X109" si="44">RANK(W108,W$107:W$109)</f>
        <v>#DIV/0!</v>
      </c>
      <c r="Y108" s="459"/>
      <c r="Z108" s="221"/>
      <c r="AA108" s="221"/>
      <c r="AB108" s="222" t="e">
        <f t="shared" ref="AB108:AB109" si="45">AA108/Z108</f>
        <v>#DIV/0!</v>
      </c>
      <c r="AC108" s="220" t="e">
        <f t="shared" ref="AC108:AC109" si="46">RANK(AB108,AB$107:AB$109)</f>
        <v>#DIV/0!</v>
      </c>
      <c r="AD108" s="459"/>
      <c r="AE108" s="221"/>
      <c r="AF108" s="221"/>
      <c r="AG108" s="222" t="e">
        <f>AF108/AE108</f>
        <v>#DIV/0!</v>
      </c>
      <c r="AH108" s="220" t="e">
        <f t="shared" ref="AH108:AH109" si="47">RANK(AG108,AG$107:AG$109)</f>
        <v>#DIV/0!</v>
      </c>
      <c r="AI108" s="459"/>
      <c r="AJ108" s="221"/>
      <c r="AK108" s="221"/>
      <c r="AL108" s="222" t="e">
        <f>AK108/AJ108</f>
        <v>#DIV/0!</v>
      </c>
      <c r="AM108" s="220" t="e">
        <f t="shared" si="37"/>
        <v>#DIV/0!</v>
      </c>
      <c r="AN108" s="459"/>
      <c r="AO108" s="221"/>
      <c r="AP108" s="221"/>
      <c r="AQ108" s="222" t="e">
        <f>AP108/AO108</f>
        <v>#DIV/0!</v>
      </c>
      <c r="AR108" s="220" t="e">
        <f t="shared" si="38"/>
        <v>#DIV/0!</v>
      </c>
      <c r="AS108" s="459"/>
      <c r="AT108" s="221"/>
      <c r="AU108" s="221"/>
      <c r="AV108" s="222" t="e">
        <f>AU108/AT108</f>
        <v>#DIV/0!</v>
      </c>
      <c r="AW108" s="220" t="e">
        <f t="shared" si="39"/>
        <v>#DIV/0!</v>
      </c>
      <c r="AX108" s="459"/>
    </row>
    <row r="109" spans="2:50">
      <c r="B109" s="458"/>
      <c r="C109" s="220">
        <v>3</v>
      </c>
      <c r="D109" s="220" t="s">
        <v>64</v>
      </c>
      <c r="E109" s="221" t="e">
        <f>VLOOKUP(D109,'12產線配置圖'!$A$2:$C$30,2,0)</f>
        <v>#N/A</v>
      </c>
      <c r="F109" s="221" t="e">
        <f>VLOOKUP(D109,'12產線配置圖'!$A$2:$C$30,3,0)</f>
        <v>#N/A</v>
      </c>
      <c r="G109" s="222" t="e">
        <f>F109/E109</f>
        <v>#N/A</v>
      </c>
      <c r="H109" s="468"/>
      <c r="I109" s="221" t="e">
        <f t="shared" si="36"/>
        <v>#DIV/0!</v>
      </c>
      <c r="J109" s="221" t="e">
        <f t="shared" si="36"/>
        <v>#DIV/0!</v>
      </c>
      <c r="K109" s="222" t="e">
        <f>AVERAGE(AG109,AL109,AQ109,AV109)</f>
        <v>#DIV/0!</v>
      </c>
      <c r="L109" s="468"/>
      <c r="M109" s="223" t="e">
        <f t="shared" si="40"/>
        <v>#DIV/0!</v>
      </c>
      <c r="N109" s="454"/>
      <c r="O109" s="454"/>
      <c r="P109" s="221"/>
      <c r="Q109" s="221"/>
      <c r="R109" s="222" t="e">
        <f t="shared" si="41"/>
        <v>#DIV/0!</v>
      </c>
      <c r="S109" s="220" t="e">
        <f t="shared" si="42"/>
        <v>#DIV/0!</v>
      </c>
      <c r="T109" s="459"/>
      <c r="U109" s="221"/>
      <c r="V109" s="221"/>
      <c r="W109" s="222" t="e">
        <f t="shared" si="43"/>
        <v>#DIV/0!</v>
      </c>
      <c r="X109" s="220" t="e">
        <f t="shared" si="44"/>
        <v>#DIV/0!</v>
      </c>
      <c r="Y109" s="459"/>
      <c r="Z109" s="221"/>
      <c r="AA109" s="221"/>
      <c r="AB109" s="222" t="e">
        <f t="shared" si="45"/>
        <v>#DIV/0!</v>
      </c>
      <c r="AC109" s="220" t="e">
        <f t="shared" si="46"/>
        <v>#DIV/0!</v>
      </c>
      <c r="AD109" s="459"/>
      <c r="AE109" s="221"/>
      <c r="AF109" s="221"/>
      <c r="AG109" s="222" t="e">
        <f>AF109/AE109</f>
        <v>#DIV/0!</v>
      </c>
      <c r="AH109" s="220" t="e">
        <f t="shared" si="47"/>
        <v>#DIV/0!</v>
      </c>
      <c r="AI109" s="459"/>
      <c r="AJ109" s="221"/>
      <c r="AK109" s="221"/>
      <c r="AL109" s="222" t="e">
        <f>AK109/AJ109</f>
        <v>#DIV/0!</v>
      </c>
      <c r="AM109" s="220" t="e">
        <f t="shared" si="37"/>
        <v>#DIV/0!</v>
      </c>
      <c r="AN109" s="459"/>
      <c r="AO109" s="221"/>
      <c r="AP109" s="221"/>
      <c r="AQ109" s="222" t="e">
        <f>AP109/AO109</f>
        <v>#DIV/0!</v>
      </c>
      <c r="AR109" s="220" t="e">
        <f t="shared" si="38"/>
        <v>#DIV/0!</v>
      </c>
      <c r="AS109" s="459"/>
      <c r="AT109" s="221"/>
      <c r="AU109" s="221"/>
      <c r="AV109" s="222" t="e">
        <f>AU109/AT109</f>
        <v>#DIV/0!</v>
      </c>
      <c r="AW109" s="220" t="e">
        <f t="shared" si="39"/>
        <v>#DIV/0!</v>
      </c>
      <c r="AX109" s="459"/>
    </row>
    <row r="110" spans="2:50">
      <c r="B110" s="458"/>
      <c r="C110" s="220">
        <v>4</v>
      </c>
      <c r="D110" s="220"/>
      <c r="E110" s="221"/>
      <c r="F110" s="221"/>
      <c r="G110" s="222"/>
      <c r="H110" s="468"/>
      <c r="I110" s="221"/>
      <c r="J110" s="221"/>
      <c r="K110" s="222"/>
      <c r="L110" s="468"/>
      <c r="M110" s="223"/>
      <c r="N110" s="454"/>
      <c r="O110" s="454"/>
      <c r="P110" s="221"/>
      <c r="Q110" s="221"/>
      <c r="R110" s="222"/>
      <c r="S110" s="220"/>
      <c r="T110" s="459"/>
      <c r="U110" s="221"/>
      <c r="V110" s="221"/>
      <c r="W110" s="222"/>
      <c r="X110" s="220"/>
      <c r="Y110" s="459"/>
      <c r="Z110" s="220"/>
      <c r="AA110" s="221"/>
      <c r="AB110" s="222"/>
      <c r="AC110" s="220"/>
      <c r="AD110" s="459"/>
      <c r="AE110" s="221"/>
      <c r="AF110" s="221"/>
      <c r="AG110" s="222"/>
      <c r="AH110" s="220"/>
      <c r="AI110" s="459"/>
      <c r="AJ110" s="221"/>
      <c r="AK110" s="221"/>
      <c r="AL110" s="222"/>
      <c r="AM110" s="220"/>
      <c r="AN110" s="459"/>
      <c r="AO110" s="221"/>
      <c r="AP110" s="221"/>
      <c r="AQ110" s="222"/>
      <c r="AR110" s="220"/>
      <c r="AS110" s="459"/>
      <c r="AT110" s="221"/>
      <c r="AU110" s="221"/>
      <c r="AV110" s="222"/>
      <c r="AW110" s="220"/>
      <c r="AX110" s="459"/>
    </row>
    <row r="111" spans="2:50">
      <c r="B111" s="458"/>
      <c r="C111" s="220">
        <v>5</v>
      </c>
      <c r="D111" s="220"/>
      <c r="E111" s="221"/>
      <c r="F111" s="221"/>
      <c r="G111" s="222"/>
      <c r="H111" s="468"/>
      <c r="I111" s="221"/>
      <c r="J111" s="221"/>
      <c r="K111" s="222"/>
      <c r="L111" s="468"/>
      <c r="M111" s="223"/>
      <c r="N111" s="454"/>
      <c r="O111" s="454"/>
      <c r="P111" s="221"/>
      <c r="Q111" s="221"/>
      <c r="R111" s="222"/>
      <c r="S111" s="220"/>
      <c r="T111" s="459"/>
      <c r="U111" s="221"/>
      <c r="V111" s="221"/>
      <c r="W111" s="222"/>
      <c r="X111" s="220"/>
      <c r="Y111" s="459"/>
      <c r="Z111" s="220"/>
      <c r="AA111" s="221"/>
      <c r="AB111" s="222"/>
      <c r="AC111" s="220"/>
      <c r="AD111" s="459"/>
      <c r="AE111" s="221"/>
      <c r="AF111" s="221"/>
      <c r="AG111" s="222"/>
      <c r="AH111" s="220"/>
      <c r="AI111" s="459"/>
      <c r="AJ111" s="221"/>
      <c r="AK111" s="221"/>
      <c r="AL111" s="222"/>
      <c r="AM111" s="220"/>
      <c r="AN111" s="459"/>
      <c r="AO111" s="221"/>
      <c r="AP111" s="221"/>
      <c r="AQ111" s="222"/>
      <c r="AR111" s="220"/>
      <c r="AS111" s="459"/>
      <c r="AT111" s="221"/>
      <c r="AU111" s="221"/>
      <c r="AV111" s="222"/>
      <c r="AW111" s="220"/>
      <c r="AX111" s="459"/>
    </row>
    <row r="112" spans="2:50">
      <c r="B112" s="458"/>
      <c r="C112" s="220">
        <v>6</v>
      </c>
      <c r="D112" s="220"/>
      <c r="E112" s="221"/>
      <c r="F112" s="221"/>
      <c r="G112" s="222"/>
      <c r="H112" s="468"/>
      <c r="I112" s="221"/>
      <c r="J112" s="221"/>
      <c r="K112" s="222"/>
      <c r="L112" s="468"/>
      <c r="M112" s="223"/>
      <c r="N112" s="454"/>
      <c r="O112" s="454"/>
      <c r="P112" s="221"/>
      <c r="Q112" s="221"/>
      <c r="R112" s="222"/>
      <c r="S112" s="220"/>
      <c r="T112" s="459"/>
      <c r="U112" s="221"/>
      <c r="V112" s="221"/>
      <c r="W112" s="222"/>
      <c r="X112" s="220"/>
      <c r="Y112" s="459"/>
      <c r="Z112" s="220"/>
      <c r="AA112" s="221"/>
      <c r="AB112" s="222"/>
      <c r="AC112" s="220"/>
      <c r="AD112" s="459"/>
      <c r="AE112" s="221"/>
      <c r="AF112" s="221"/>
      <c r="AG112" s="222"/>
      <c r="AH112" s="220"/>
      <c r="AI112" s="459"/>
      <c r="AJ112" s="221"/>
      <c r="AK112" s="221"/>
      <c r="AL112" s="222"/>
      <c r="AM112" s="220"/>
      <c r="AN112" s="459"/>
      <c r="AO112" s="221"/>
      <c r="AP112" s="221"/>
      <c r="AQ112" s="222"/>
      <c r="AR112" s="220"/>
      <c r="AS112" s="459"/>
      <c r="AT112" s="221"/>
      <c r="AU112" s="221"/>
      <c r="AV112" s="222"/>
      <c r="AW112" s="220"/>
      <c r="AX112" s="459"/>
    </row>
    <row r="113" spans="2:50">
      <c r="B113" s="458"/>
      <c r="C113" s="220">
        <v>7</v>
      </c>
      <c r="D113" s="220"/>
      <c r="E113" s="221"/>
      <c r="F113" s="221"/>
      <c r="G113" s="222"/>
      <c r="H113" s="468"/>
      <c r="I113" s="221"/>
      <c r="J113" s="221"/>
      <c r="K113" s="222"/>
      <c r="L113" s="468"/>
      <c r="M113" s="223"/>
      <c r="N113" s="454"/>
      <c r="O113" s="454"/>
      <c r="P113" s="221"/>
      <c r="Q113" s="221"/>
      <c r="R113" s="222"/>
      <c r="S113" s="220"/>
      <c r="T113" s="459"/>
      <c r="U113" s="221"/>
      <c r="V113" s="221"/>
      <c r="W113" s="222"/>
      <c r="X113" s="220"/>
      <c r="Y113" s="459"/>
      <c r="Z113" s="220"/>
      <c r="AA113" s="221"/>
      <c r="AB113" s="222"/>
      <c r="AC113" s="220"/>
      <c r="AD113" s="459"/>
      <c r="AE113" s="221"/>
      <c r="AF113" s="221"/>
      <c r="AG113" s="222"/>
      <c r="AH113" s="220"/>
      <c r="AI113" s="459"/>
      <c r="AJ113" s="221"/>
      <c r="AK113" s="221"/>
      <c r="AL113" s="222"/>
      <c r="AM113" s="220"/>
      <c r="AN113" s="459"/>
      <c r="AO113" s="221"/>
      <c r="AP113" s="221"/>
      <c r="AQ113" s="222"/>
      <c r="AR113" s="220"/>
      <c r="AS113" s="459"/>
      <c r="AT113" s="221"/>
      <c r="AU113" s="221"/>
      <c r="AV113" s="222"/>
      <c r="AW113" s="220"/>
      <c r="AX113" s="459"/>
    </row>
    <row r="114" spans="2:50">
      <c r="B114" s="458"/>
      <c r="C114" s="220">
        <v>8</v>
      </c>
      <c r="D114" s="220"/>
      <c r="E114" s="221"/>
      <c r="F114" s="221"/>
      <c r="G114" s="222"/>
      <c r="H114" s="468"/>
      <c r="I114" s="221"/>
      <c r="J114" s="221"/>
      <c r="K114" s="222"/>
      <c r="L114" s="468"/>
      <c r="M114" s="223"/>
      <c r="N114" s="454"/>
      <c r="O114" s="454"/>
      <c r="P114" s="221"/>
      <c r="Q114" s="221"/>
      <c r="R114" s="222"/>
      <c r="S114" s="220"/>
      <c r="T114" s="459"/>
      <c r="U114" s="221"/>
      <c r="V114" s="221"/>
      <c r="W114" s="222"/>
      <c r="X114" s="220"/>
      <c r="Y114" s="459"/>
      <c r="Z114" s="220"/>
      <c r="AA114" s="221"/>
      <c r="AB114" s="222"/>
      <c r="AC114" s="220"/>
      <c r="AD114" s="459"/>
      <c r="AE114" s="221"/>
      <c r="AF114" s="221"/>
      <c r="AG114" s="222"/>
      <c r="AH114" s="220"/>
      <c r="AI114" s="459"/>
      <c r="AJ114" s="221"/>
      <c r="AK114" s="221"/>
      <c r="AL114" s="222"/>
      <c r="AM114" s="220"/>
      <c r="AN114" s="459"/>
      <c r="AO114" s="221"/>
      <c r="AP114" s="221"/>
      <c r="AQ114" s="222"/>
      <c r="AR114" s="220"/>
      <c r="AS114" s="459"/>
      <c r="AT114" s="221"/>
      <c r="AU114" s="221"/>
      <c r="AV114" s="222"/>
      <c r="AW114" s="220"/>
      <c r="AX114" s="459"/>
    </row>
    <row r="115" spans="2:50">
      <c r="B115" s="458"/>
      <c r="C115" s="220">
        <v>9</v>
      </c>
      <c r="D115" s="220"/>
      <c r="E115" s="221"/>
      <c r="F115" s="221"/>
      <c r="G115" s="222"/>
      <c r="H115" s="468"/>
      <c r="I115" s="221"/>
      <c r="J115" s="221"/>
      <c r="K115" s="222"/>
      <c r="L115" s="468"/>
      <c r="M115" s="223"/>
      <c r="N115" s="454"/>
      <c r="O115" s="454"/>
      <c r="P115" s="221"/>
      <c r="Q115" s="221"/>
      <c r="R115" s="222"/>
      <c r="S115" s="220"/>
      <c r="T115" s="459"/>
      <c r="U115" s="221"/>
      <c r="V115" s="221"/>
      <c r="W115" s="222"/>
      <c r="X115" s="220"/>
      <c r="Y115" s="459"/>
      <c r="Z115" s="220"/>
      <c r="AA115" s="221"/>
      <c r="AB115" s="222"/>
      <c r="AC115" s="220"/>
      <c r="AD115" s="459"/>
      <c r="AE115" s="221"/>
      <c r="AF115" s="221"/>
      <c r="AG115" s="222"/>
      <c r="AH115" s="220"/>
      <c r="AI115" s="459"/>
      <c r="AJ115" s="221"/>
      <c r="AK115" s="221"/>
      <c r="AL115" s="222"/>
      <c r="AM115" s="220"/>
      <c r="AN115" s="459"/>
      <c r="AO115" s="221"/>
      <c r="AP115" s="221"/>
      <c r="AQ115" s="222"/>
      <c r="AR115" s="220"/>
      <c r="AS115" s="459"/>
      <c r="AT115" s="221"/>
      <c r="AU115" s="221"/>
      <c r="AV115" s="222"/>
      <c r="AW115" s="220"/>
      <c r="AX115" s="459"/>
    </row>
    <row r="116" spans="2:50">
      <c r="B116" s="458"/>
      <c r="C116" s="220">
        <v>10</v>
      </c>
      <c r="D116" s="220"/>
      <c r="E116" s="221"/>
      <c r="F116" s="221"/>
      <c r="G116" s="222"/>
      <c r="H116" s="468"/>
      <c r="I116" s="221"/>
      <c r="J116" s="221"/>
      <c r="K116" s="222"/>
      <c r="L116" s="468"/>
      <c r="M116" s="223"/>
      <c r="N116" s="454"/>
      <c r="O116" s="454"/>
      <c r="P116" s="221"/>
      <c r="Q116" s="221"/>
      <c r="R116" s="222"/>
      <c r="S116" s="220"/>
      <c r="T116" s="459"/>
      <c r="U116" s="221"/>
      <c r="V116" s="221"/>
      <c r="W116" s="222"/>
      <c r="X116" s="220"/>
      <c r="Y116" s="459"/>
      <c r="Z116" s="220"/>
      <c r="AA116" s="221"/>
      <c r="AB116" s="222"/>
      <c r="AC116" s="220"/>
      <c r="AD116" s="459"/>
      <c r="AE116" s="221"/>
      <c r="AF116" s="221"/>
      <c r="AG116" s="222"/>
      <c r="AH116" s="220"/>
      <c r="AI116" s="459"/>
      <c r="AJ116" s="221"/>
      <c r="AK116" s="221"/>
      <c r="AL116" s="222"/>
      <c r="AM116" s="220"/>
      <c r="AN116" s="459"/>
      <c r="AO116" s="221"/>
      <c r="AP116" s="221"/>
      <c r="AQ116" s="222"/>
      <c r="AR116" s="220"/>
      <c r="AS116" s="459"/>
      <c r="AT116" s="221"/>
      <c r="AU116" s="221"/>
      <c r="AV116" s="222"/>
      <c r="AW116" s="220"/>
      <c r="AX116" s="459"/>
    </row>
    <row r="117" spans="2:50">
      <c r="B117" s="458"/>
      <c r="C117" s="220">
        <v>11</v>
      </c>
      <c r="D117" s="220"/>
      <c r="E117" s="221"/>
      <c r="F117" s="221"/>
      <c r="G117" s="222"/>
      <c r="H117" s="468"/>
      <c r="I117" s="221"/>
      <c r="J117" s="221"/>
      <c r="K117" s="222"/>
      <c r="L117" s="468"/>
      <c r="M117" s="223"/>
      <c r="N117" s="454"/>
      <c r="O117" s="454"/>
      <c r="P117" s="220"/>
      <c r="Q117" s="220"/>
      <c r="R117" s="222"/>
      <c r="S117" s="220"/>
      <c r="T117" s="459"/>
      <c r="U117" s="220"/>
      <c r="V117" s="220"/>
      <c r="W117" s="222"/>
      <c r="X117" s="220"/>
      <c r="Y117" s="459"/>
      <c r="Z117" s="220"/>
      <c r="AA117" s="220"/>
      <c r="AB117" s="222"/>
      <c r="AC117" s="220"/>
      <c r="AD117" s="459"/>
      <c r="AE117" s="220"/>
      <c r="AF117" s="220"/>
      <c r="AG117" s="222"/>
      <c r="AH117" s="220"/>
      <c r="AI117" s="459"/>
      <c r="AJ117" s="220"/>
      <c r="AK117" s="220"/>
      <c r="AL117" s="220"/>
      <c r="AM117" s="220"/>
      <c r="AN117" s="459"/>
      <c r="AO117" s="220"/>
      <c r="AP117" s="220"/>
      <c r="AQ117" s="222"/>
      <c r="AR117" s="220"/>
      <c r="AS117" s="459"/>
      <c r="AT117" s="220"/>
      <c r="AU117" s="220"/>
      <c r="AV117" s="222"/>
      <c r="AW117" s="220"/>
      <c r="AX117" s="459"/>
    </row>
    <row r="118" spans="2:50">
      <c r="B118" s="458"/>
      <c r="C118" s="220">
        <v>12</v>
      </c>
      <c r="D118" s="220"/>
      <c r="E118" s="221"/>
      <c r="F118" s="221"/>
      <c r="G118" s="222"/>
      <c r="H118" s="468"/>
      <c r="I118" s="221"/>
      <c r="J118" s="221"/>
      <c r="K118" s="222"/>
      <c r="L118" s="468"/>
      <c r="M118" s="223"/>
      <c r="N118" s="454"/>
      <c r="O118" s="454"/>
      <c r="P118" s="220"/>
      <c r="Q118" s="220"/>
      <c r="R118" s="222"/>
      <c r="S118" s="220"/>
      <c r="T118" s="459"/>
      <c r="U118" s="220"/>
      <c r="V118" s="220"/>
      <c r="W118" s="222"/>
      <c r="X118" s="220"/>
      <c r="Y118" s="459"/>
      <c r="Z118" s="220"/>
      <c r="AA118" s="220"/>
      <c r="AB118" s="222"/>
      <c r="AC118" s="220"/>
      <c r="AD118" s="459"/>
      <c r="AE118" s="220"/>
      <c r="AF118" s="220"/>
      <c r="AG118" s="222"/>
      <c r="AH118" s="220"/>
      <c r="AI118" s="459"/>
      <c r="AJ118" s="220"/>
      <c r="AK118" s="220"/>
      <c r="AL118" s="220"/>
      <c r="AM118" s="220"/>
      <c r="AN118" s="459"/>
      <c r="AO118" s="220"/>
      <c r="AP118" s="220"/>
      <c r="AQ118" s="222"/>
      <c r="AR118" s="220"/>
      <c r="AS118" s="459"/>
      <c r="AT118" s="220"/>
      <c r="AU118" s="220"/>
      <c r="AV118" s="222"/>
      <c r="AW118" s="220"/>
      <c r="AX118" s="459"/>
    </row>
    <row r="119" spans="2:50">
      <c r="B119" s="458"/>
      <c r="C119" s="220">
        <v>13</v>
      </c>
      <c r="D119" s="220"/>
      <c r="E119" s="221"/>
      <c r="F119" s="221"/>
      <c r="G119" s="222"/>
      <c r="H119" s="468"/>
      <c r="I119" s="221"/>
      <c r="J119" s="221"/>
      <c r="K119" s="222"/>
      <c r="L119" s="468"/>
      <c r="M119" s="223"/>
      <c r="N119" s="454"/>
      <c r="O119" s="454"/>
      <c r="P119" s="220"/>
      <c r="Q119" s="220"/>
      <c r="R119" s="222"/>
      <c r="S119" s="220"/>
      <c r="T119" s="459"/>
      <c r="U119" s="220"/>
      <c r="V119" s="220"/>
      <c r="W119" s="222"/>
      <c r="X119" s="220"/>
      <c r="Y119" s="459"/>
      <c r="Z119" s="220"/>
      <c r="AA119" s="220"/>
      <c r="AB119" s="222"/>
      <c r="AC119" s="220"/>
      <c r="AD119" s="459"/>
      <c r="AE119" s="220"/>
      <c r="AF119" s="220"/>
      <c r="AG119" s="222"/>
      <c r="AH119" s="220"/>
      <c r="AI119" s="459"/>
      <c r="AJ119" s="220"/>
      <c r="AK119" s="220"/>
      <c r="AL119" s="220"/>
      <c r="AM119" s="220"/>
      <c r="AN119" s="459"/>
      <c r="AO119" s="220"/>
      <c r="AP119" s="220"/>
      <c r="AQ119" s="222"/>
      <c r="AR119" s="220"/>
      <c r="AS119" s="459"/>
      <c r="AT119" s="220"/>
      <c r="AU119" s="220"/>
      <c r="AV119" s="222"/>
      <c r="AW119" s="220"/>
      <c r="AX119" s="459"/>
    </row>
    <row r="120" spans="2:50">
      <c r="B120" s="458"/>
      <c r="C120" s="220">
        <v>14</v>
      </c>
      <c r="D120" s="220"/>
      <c r="E120" s="221"/>
      <c r="F120" s="221"/>
      <c r="G120" s="222"/>
      <c r="H120" s="468"/>
      <c r="I120" s="221"/>
      <c r="J120" s="221"/>
      <c r="K120" s="222"/>
      <c r="L120" s="468"/>
      <c r="M120" s="223"/>
      <c r="N120" s="454"/>
      <c r="O120" s="454"/>
      <c r="P120" s="220"/>
      <c r="Q120" s="220"/>
      <c r="R120" s="222"/>
      <c r="S120" s="220"/>
      <c r="T120" s="459"/>
      <c r="U120" s="220"/>
      <c r="V120" s="220"/>
      <c r="W120" s="222"/>
      <c r="X120" s="220"/>
      <c r="Y120" s="459"/>
      <c r="Z120" s="220"/>
      <c r="AA120" s="220"/>
      <c r="AB120" s="222"/>
      <c r="AC120" s="220"/>
      <c r="AD120" s="459"/>
      <c r="AE120" s="220"/>
      <c r="AF120" s="220"/>
      <c r="AG120" s="222"/>
      <c r="AH120" s="220"/>
      <c r="AI120" s="459"/>
      <c r="AJ120" s="220"/>
      <c r="AK120" s="220"/>
      <c r="AL120" s="220"/>
      <c r="AM120" s="220"/>
      <c r="AN120" s="459"/>
      <c r="AO120" s="220"/>
      <c r="AP120" s="220"/>
      <c r="AQ120" s="222"/>
      <c r="AR120" s="220"/>
      <c r="AS120" s="459"/>
      <c r="AT120" s="220"/>
      <c r="AU120" s="220"/>
      <c r="AV120" s="222"/>
      <c r="AW120" s="220"/>
      <c r="AX120" s="459"/>
    </row>
    <row r="121" spans="2:50">
      <c r="B121" s="458"/>
      <c r="C121" s="220">
        <v>15</v>
      </c>
      <c r="D121" s="220"/>
      <c r="E121" s="221"/>
      <c r="F121" s="221"/>
      <c r="G121" s="222"/>
      <c r="H121" s="469"/>
      <c r="I121" s="221"/>
      <c r="J121" s="221"/>
      <c r="K121" s="222"/>
      <c r="L121" s="469"/>
      <c r="M121" s="221"/>
      <c r="N121" s="454"/>
      <c r="O121" s="454"/>
      <c r="P121" s="220"/>
      <c r="Q121" s="220"/>
      <c r="R121" s="222"/>
      <c r="S121" s="220"/>
      <c r="T121" s="459"/>
      <c r="U121" s="220"/>
      <c r="V121" s="220"/>
      <c r="W121" s="222"/>
      <c r="X121" s="220"/>
      <c r="Y121" s="459"/>
      <c r="Z121" s="220"/>
      <c r="AA121" s="220"/>
      <c r="AB121" s="222"/>
      <c r="AC121" s="220"/>
      <c r="AD121" s="459"/>
      <c r="AE121" s="220"/>
      <c r="AF121" s="220"/>
      <c r="AG121" s="222"/>
      <c r="AH121" s="220"/>
      <c r="AI121" s="459"/>
      <c r="AJ121" s="220"/>
      <c r="AK121" s="220"/>
      <c r="AL121" s="220"/>
      <c r="AM121" s="220"/>
      <c r="AN121" s="459"/>
      <c r="AO121" s="220"/>
      <c r="AP121" s="220"/>
      <c r="AQ121" s="222"/>
      <c r="AR121" s="220"/>
      <c r="AS121" s="459"/>
      <c r="AT121" s="220"/>
      <c r="AU121" s="220"/>
      <c r="AV121" s="222"/>
      <c r="AW121" s="220"/>
      <c r="AX121" s="459"/>
    </row>
  </sheetData>
  <mergeCells count="354">
    <mergeCell ref="Z103:AD103"/>
    <mergeCell ref="AX107:AX121"/>
    <mergeCell ref="AT105:AW105"/>
    <mergeCell ref="AE104:AH104"/>
    <mergeCell ref="B107:B121"/>
    <mergeCell ref="H107:H121"/>
    <mergeCell ref="L107:L121"/>
    <mergeCell ref="L104:L106"/>
    <mergeCell ref="M104:M106"/>
    <mergeCell ref="N104:N121"/>
    <mergeCell ref="T107:T121"/>
    <mergeCell ref="Y107:Y121"/>
    <mergeCell ref="AD107:AD121"/>
    <mergeCell ref="AI107:AI121"/>
    <mergeCell ref="AJ104:AM104"/>
    <mergeCell ref="AN104:AN106"/>
    <mergeCell ref="AS107:AS121"/>
    <mergeCell ref="AS104:AS106"/>
    <mergeCell ref="AN107:AN121"/>
    <mergeCell ref="B102:H103"/>
    <mergeCell ref="C104:D106"/>
    <mergeCell ref="E104:G104"/>
    <mergeCell ref="H104:H106"/>
    <mergeCell ref="T104:T106"/>
    <mergeCell ref="U102:Y102"/>
    <mergeCell ref="U103:Y103"/>
    <mergeCell ref="AJ103:AN103"/>
    <mergeCell ref="AT103:AX103"/>
    <mergeCell ref="Y104:Y106"/>
    <mergeCell ref="AE105:AH105"/>
    <mergeCell ref="AO103:AS103"/>
    <mergeCell ref="AX104:AX106"/>
    <mergeCell ref="AE103:AI103"/>
    <mergeCell ref="Z102:AD102"/>
    <mergeCell ref="AE102:AI102"/>
    <mergeCell ref="AT102:AX102"/>
    <mergeCell ref="AO102:AS102"/>
    <mergeCell ref="AJ102:AN102"/>
    <mergeCell ref="AT104:AW104"/>
    <mergeCell ref="Z105:AC105"/>
    <mergeCell ref="AI104:AI106"/>
    <mergeCell ref="AJ105:AM105"/>
    <mergeCell ref="U105:X105"/>
    <mergeCell ref="U104:X104"/>
    <mergeCell ref="Z104:AC104"/>
    <mergeCell ref="AD104:AD106"/>
    <mergeCell ref="AO104:AR104"/>
    <mergeCell ref="AO105:AR105"/>
    <mergeCell ref="I104:K104"/>
    <mergeCell ref="P104:S104"/>
    <mergeCell ref="O104:O121"/>
    <mergeCell ref="E105:G105"/>
    <mergeCell ref="I105:K105"/>
    <mergeCell ref="P105:S105"/>
    <mergeCell ref="N102:N103"/>
    <mergeCell ref="B104:B106"/>
    <mergeCell ref="P103:T103"/>
    <mergeCell ref="O102:O103"/>
    <mergeCell ref="P102:T102"/>
    <mergeCell ref="U84:X84"/>
    <mergeCell ref="Y87:Y101"/>
    <mergeCell ref="Y84:Y86"/>
    <mergeCell ref="U85:X85"/>
    <mergeCell ref="AN87:AN101"/>
    <mergeCell ref="AJ85:AM85"/>
    <mergeCell ref="AS87:AS101"/>
    <mergeCell ref="AI87:AI101"/>
    <mergeCell ref="AO83:AS83"/>
    <mergeCell ref="AE83:AI83"/>
    <mergeCell ref="Z85:AC85"/>
    <mergeCell ref="AO84:AR84"/>
    <mergeCell ref="AS84:AS86"/>
    <mergeCell ref="AN84:AN86"/>
    <mergeCell ref="AJ84:AM84"/>
    <mergeCell ref="AJ83:AN83"/>
    <mergeCell ref="Y7:Y21"/>
    <mergeCell ref="AS4:AS6"/>
    <mergeCell ref="AT5:AW5"/>
    <mergeCell ref="AJ4:AM4"/>
    <mergeCell ref="AO5:AR5"/>
    <mergeCell ref="AO22:AS22"/>
    <mergeCell ref="AX87:AX101"/>
    <mergeCell ref="AX84:AX86"/>
    <mergeCell ref="AX67:AX81"/>
    <mergeCell ref="AT82:AX82"/>
    <mergeCell ref="AT85:AW85"/>
    <mergeCell ref="AN67:AN81"/>
    <mergeCell ref="AJ82:AN82"/>
    <mergeCell ref="P2:T2"/>
    <mergeCell ref="U2:Y2"/>
    <mergeCell ref="Z2:AD2"/>
    <mergeCell ref="AO2:AS2"/>
    <mergeCell ref="AE2:AI2"/>
    <mergeCell ref="AJ2:AN2"/>
    <mergeCell ref="AT2:AX2"/>
    <mergeCell ref="AT3:AX3"/>
    <mergeCell ref="AJ5:AM5"/>
    <mergeCell ref="Z3:AD3"/>
    <mergeCell ref="AE3:AI3"/>
    <mergeCell ref="AJ3:AN3"/>
    <mergeCell ref="Y4:Y6"/>
    <mergeCell ref="AO3:AS3"/>
    <mergeCell ref="P3:T3"/>
    <mergeCell ref="U3:Y3"/>
    <mergeCell ref="P5:S5"/>
    <mergeCell ref="P4:S4"/>
    <mergeCell ref="T4:T6"/>
    <mergeCell ref="U4:X4"/>
    <mergeCell ref="U5:X5"/>
    <mergeCell ref="AX4:AX6"/>
    <mergeCell ref="AX7:AX21"/>
    <mergeCell ref="AX24:AX26"/>
    <mergeCell ref="AT4:AW4"/>
    <mergeCell ref="AT44:AW44"/>
    <mergeCell ref="AT43:AX43"/>
    <mergeCell ref="AT84:AW84"/>
    <mergeCell ref="AO4:AR4"/>
    <mergeCell ref="AS7:AS21"/>
    <mergeCell ref="AO25:AR25"/>
    <mergeCell ref="AO24:AR24"/>
    <mergeCell ref="AT25:AW25"/>
    <mergeCell ref="AT24:AW24"/>
    <mergeCell ref="AT22:AX22"/>
    <mergeCell ref="AO85:AR85"/>
    <mergeCell ref="AO65:AR65"/>
    <mergeCell ref="AS67:AS81"/>
    <mergeCell ref="AO63:AS63"/>
    <mergeCell ref="AO62:AS62"/>
    <mergeCell ref="AS47:AS61"/>
    <mergeCell ref="AT65:AW65"/>
    <mergeCell ref="AT64:AW64"/>
    <mergeCell ref="AT63:AX63"/>
    <mergeCell ref="AD64:AD66"/>
    <mergeCell ref="AT83:AX83"/>
    <mergeCell ref="AO82:AS82"/>
    <mergeCell ref="AI44:AI46"/>
    <mergeCell ref="AE63:AI63"/>
    <mergeCell ref="AE64:AH64"/>
    <mergeCell ref="AJ44:AM44"/>
    <mergeCell ref="AE45:AH45"/>
    <mergeCell ref="AE44:AH44"/>
    <mergeCell ref="AE62:AI62"/>
    <mergeCell ref="AI47:AI61"/>
    <mergeCell ref="AE65:AH65"/>
    <mergeCell ref="AJ63:AN63"/>
    <mergeCell ref="AJ65:AM65"/>
    <mergeCell ref="AX64:AX66"/>
    <mergeCell ref="AS64:AS66"/>
    <mergeCell ref="AD44:AD46"/>
    <mergeCell ref="AO64:AR64"/>
    <mergeCell ref="AS44:AS46"/>
    <mergeCell ref="AO44:AR44"/>
    <mergeCell ref="AX44:AX46"/>
    <mergeCell ref="AJ22:AN22"/>
    <mergeCell ref="AE4:AH4"/>
    <mergeCell ref="AI4:AI6"/>
    <mergeCell ref="AN4:AN6"/>
    <mergeCell ref="AE5:AH5"/>
    <mergeCell ref="AE43:AI43"/>
    <mergeCell ref="AE42:AI42"/>
    <mergeCell ref="AJ62:AN62"/>
    <mergeCell ref="AN44:AN46"/>
    <mergeCell ref="AN47:AN61"/>
    <mergeCell ref="AJ45:AM45"/>
    <mergeCell ref="AN27:AN41"/>
    <mergeCell ref="AN7:AN21"/>
    <mergeCell ref="AI7:AI21"/>
    <mergeCell ref="AE23:AI23"/>
    <mergeCell ref="AE24:AH24"/>
    <mergeCell ref="AE25:AH25"/>
    <mergeCell ref="AI24:AI26"/>
    <mergeCell ref="AJ42:AN42"/>
    <mergeCell ref="AJ43:AN43"/>
    <mergeCell ref="AO23:AS23"/>
    <mergeCell ref="AJ23:AN23"/>
    <mergeCell ref="AJ64:AM64"/>
    <mergeCell ref="AN64:AN66"/>
    <mergeCell ref="AJ25:AM25"/>
    <mergeCell ref="AN24:AN26"/>
    <mergeCell ref="AS27:AS41"/>
    <mergeCell ref="AO45:AR45"/>
    <mergeCell ref="AT62:AX62"/>
    <mergeCell ref="AT45:AW45"/>
    <mergeCell ref="AX47:AX61"/>
    <mergeCell ref="AT42:AX42"/>
    <mergeCell ref="AX27:AX41"/>
    <mergeCell ref="AO42:AS42"/>
    <mergeCell ref="AO43:AS43"/>
    <mergeCell ref="AT23:AX23"/>
    <mergeCell ref="Z4:AC4"/>
    <mergeCell ref="AD7:AD21"/>
    <mergeCell ref="Z45:AC45"/>
    <mergeCell ref="Z44:AC44"/>
    <mergeCell ref="H7:H21"/>
    <mergeCell ref="L7:L21"/>
    <mergeCell ref="I4:K4"/>
    <mergeCell ref="L4:L6"/>
    <mergeCell ref="O4:O21"/>
    <mergeCell ref="Z23:AD23"/>
    <mergeCell ref="U24:X24"/>
    <mergeCell ref="Z22:AD22"/>
    <mergeCell ref="Z42:AD42"/>
    <mergeCell ref="O24:O41"/>
    <mergeCell ref="O42:O43"/>
    <mergeCell ref="P25:S25"/>
    <mergeCell ref="P24:S24"/>
    <mergeCell ref="T24:T26"/>
    <mergeCell ref="T27:T41"/>
    <mergeCell ref="Y27:Y41"/>
    <mergeCell ref="AD27:AD41"/>
    <mergeCell ref="Z25:AC25"/>
    <mergeCell ref="P22:T22"/>
    <mergeCell ref="T7:T21"/>
    <mergeCell ref="AJ24:AM24"/>
    <mergeCell ref="AS24:AS26"/>
    <mergeCell ref="Z43:AD43"/>
    <mergeCell ref="AI27:AI41"/>
    <mergeCell ref="H24:H26"/>
    <mergeCell ref="B27:B41"/>
    <mergeCell ref="E24:G24"/>
    <mergeCell ref="U43:Y43"/>
    <mergeCell ref="B2:H3"/>
    <mergeCell ref="N2:N3"/>
    <mergeCell ref="O2:O3"/>
    <mergeCell ref="E5:G5"/>
    <mergeCell ref="I5:K5"/>
    <mergeCell ref="M4:M6"/>
    <mergeCell ref="N4:N21"/>
    <mergeCell ref="B4:B6"/>
    <mergeCell ref="C4:D6"/>
    <mergeCell ref="E4:G4"/>
    <mergeCell ref="H4:H6"/>
    <mergeCell ref="B7:B21"/>
    <mergeCell ref="Z24:AC24"/>
    <mergeCell ref="AD24:AD26"/>
    <mergeCell ref="AD4:AD6"/>
    <mergeCell ref="Z5:AC5"/>
    <mergeCell ref="U62:Y62"/>
    <mergeCell ref="P63:T63"/>
    <mergeCell ref="Z63:AD63"/>
    <mergeCell ref="Y47:Y61"/>
    <mergeCell ref="T47:T61"/>
    <mergeCell ref="AD47:AD61"/>
    <mergeCell ref="U22:Y22"/>
    <mergeCell ref="U42:Y42"/>
    <mergeCell ref="B22:H23"/>
    <mergeCell ref="N22:N23"/>
    <mergeCell ref="U23:Y23"/>
    <mergeCell ref="B24:B26"/>
    <mergeCell ref="O22:O23"/>
    <mergeCell ref="P23:T23"/>
    <mergeCell ref="P42:T42"/>
    <mergeCell ref="Y24:Y26"/>
    <mergeCell ref="U25:X25"/>
    <mergeCell ref="AE22:AI22"/>
    <mergeCell ref="C24:D26"/>
    <mergeCell ref="E25:G25"/>
    <mergeCell ref="I25:K25"/>
    <mergeCell ref="P43:T43"/>
    <mergeCell ref="N24:N41"/>
    <mergeCell ref="I24:K24"/>
    <mergeCell ref="L24:L26"/>
    <mergeCell ref="M24:M26"/>
    <mergeCell ref="N42:N43"/>
    <mergeCell ref="L27:L41"/>
    <mergeCell ref="B42:H43"/>
    <mergeCell ref="H27:H41"/>
    <mergeCell ref="Z62:AD62"/>
    <mergeCell ref="N44:N61"/>
    <mergeCell ref="B64:B66"/>
    <mergeCell ref="I45:K45"/>
    <mergeCell ref="I44:K44"/>
    <mergeCell ref="B47:B61"/>
    <mergeCell ref="B44:B46"/>
    <mergeCell ref="C44:D46"/>
    <mergeCell ref="E64:G64"/>
    <mergeCell ref="C64:D66"/>
    <mergeCell ref="E65:G65"/>
    <mergeCell ref="I64:K64"/>
    <mergeCell ref="E45:G45"/>
    <mergeCell ref="H44:H46"/>
    <mergeCell ref="O62:O63"/>
    <mergeCell ref="H64:H66"/>
    <mergeCell ref="I65:K65"/>
    <mergeCell ref="Z65:AC65"/>
    <mergeCell ref="T64:T66"/>
    <mergeCell ref="B62:H63"/>
    <mergeCell ref="E44:G44"/>
    <mergeCell ref="O44:O61"/>
    <mergeCell ref="H47:H61"/>
    <mergeCell ref="P62:T62"/>
    <mergeCell ref="B67:B81"/>
    <mergeCell ref="H67:H81"/>
    <mergeCell ref="L64:L66"/>
    <mergeCell ref="L44:L46"/>
    <mergeCell ref="M44:M46"/>
    <mergeCell ref="U44:X44"/>
    <mergeCell ref="P45:S45"/>
    <mergeCell ref="P44:S44"/>
    <mergeCell ref="T44:T46"/>
    <mergeCell ref="L47:L61"/>
    <mergeCell ref="U63:Y63"/>
    <mergeCell ref="N62:N63"/>
    <mergeCell ref="Y44:Y46"/>
    <mergeCell ref="U45:X45"/>
    <mergeCell ref="M64:M66"/>
    <mergeCell ref="N64:N81"/>
    <mergeCell ref="O64:O81"/>
    <mergeCell ref="L67:L81"/>
    <mergeCell ref="T67:T81"/>
    <mergeCell ref="Y64:Y66"/>
    <mergeCell ref="U64:X64"/>
    <mergeCell ref="P65:S65"/>
    <mergeCell ref="U65:X65"/>
    <mergeCell ref="P64:S64"/>
    <mergeCell ref="E85:G85"/>
    <mergeCell ref="I84:K84"/>
    <mergeCell ref="L84:L86"/>
    <mergeCell ref="B82:H83"/>
    <mergeCell ref="N82:N83"/>
    <mergeCell ref="M84:M86"/>
    <mergeCell ref="N84:N101"/>
    <mergeCell ref="B87:B101"/>
    <mergeCell ref="B84:B86"/>
    <mergeCell ref="L87:L101"/>
    <mergeCell ref="C84:D86"/>
    <mergeCell ref="E84:G84"/>
    <mergeCell ref="I85:K85"/>
    <mergeCell ref="H87:H101"/>
    <mergeCell ref="H84:H86"/>
    <mergeCell ref="P85:S85"/>
    <mergeCell ref="AI64:AI66"/>
    <mergeCell ref="AD67:AD81"/>
    <mergeCell ref="O84:O101"/>
    <mergeCell ref="T87:T101"/>
    <mergeCell ref="T84:T86"/>
    <mergeCell ref="AD87:AD101"/>
    <mergeCell ref="P84:S84"/>
    <mergeCell ref="U82:Y82"/>
    <mergeCell ref="Y67:Y81"/>
    <mergeCell ref="P82:T82"/>
    <mergeCell ref="AD84:AD86"/>
    <mergeCell ref="Z64:AC64"/>
    <mergeCell ref="O82:O83"/>
    <mergeCell ref="U83:Y83"/>
    <mergeCell ref="P83:T83"/>
    <mergeCell ref="Z82:AD82"/>
    <mergeCell ref="AE84:AH84"/>
    <mergeCell ref="AI84:AI86"/>
    <mergeCell ref="AE85:AH85"/>
    <mergeCell ref="Z84:AC84"/>
    <mergeCell ref="Z83:AD83"/>
    <mergeCell ref="AI67:AI81"/>
    <mergeCell ref="AE82:AI82"/>
  </mergeCells>
  <phoneticPr fontId="20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700-000000000000}">
          <x14:formula1>
            <xm:f>'C:\Users\CHENG191\AppData\Local\Microsoft\Windows\INetCache\Content.Outlook\V6WXUMHR\[長家廠生產管理報表(8月).xlsx]0801-0804產線配置圖'!#REF!</xm:f>
          </x14:formula1>
          <xm:sqref>D107:D121</xm:sqref>
        </x14:dataValidation>
        <x14:dataValidation type="list" allowBlank="1" showInputMessage="1" showErrorMessage="1" xr:uid="{1A252C58-7B3C-4683-80C0-46CFA527ED66}">
          <x14:formula1>
            <xm:f>'12產線配置圖'!$A$25:$A$31</xm:f>
          </x14:formula1>
          <xm:sqref>D7:D21 D27:D41 D47:D61 D67:D81 D87:D101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  <outlinePr summaryBelow="0" summaryRight="0"/>
  </sheetPr>
  <dimension ref="A1:M39"/>
  <sheetViews>
    <sheetView view="pageBreakPreview" topLeftCell="A7" zoomScale="112" zoomScaleNormal="60" zoomScaleSheetLayoutView="112" workbookViewId="0">
      <selection activeCell="K22" sqref="K22:L22"/>
    </sheetView>
  </sheetViews>
  <sheetFormatPr defaultColWidth="12.5703125" defaultRowHeight="15.75" customHeight="1"/>
  <cols>
    <col min="1" max="1" width="6.42578125" style="161" customWidth="1"/>
    <col min="2" max="10" width="11.5703125" style="161" customWidth="1"/>
    <col min="11" max="12" width="12.85546875" style="161" customWidth="1"/>
    <col min="13" max="13" width="12.5703125" style="162" customWidth="1"/>
    <col min="14" max="33" width="12.5703125" style="161" customWidth="1"/>
    <col min="34" max="16384" width="12.5703125" style="161"/>
  </cols>
  <sheetData>
    <row r="1" spans="1:13" ht="15.75" customHeight="1">
      <c r="A1" s="403" t="s">
        <v>65</v>
      </c>
      <c r="B1" s="403"/>
      <c r="C1" s="403"/>
      <c r="D1" s="403"/>
      <c r="E1" s="403"/>
      <c r="F1" s="403"/>
      <c r="G1" s="403"/>
      <c r="H1" s="403"/>
      <c r="I1" s="403"/>
      <c r="J1" s="403"/>
      <c r="K1" s="403"/>
      <c r="L1" s="403"/>
      <c r="M1" s="161"/>
    </row>
    <row r="2" spans="1:13" s="162" customFormat="1" ht="15.75" customHeight="1">
      <c r="A2" s="403"/>
      <c r="B2" s="403"/>
      <c r="C2" s="403"/>
      <c r="D2" s="403"/>
      <c r="E2" s="403"/>
      <c r="F2" s="403"/>
      <c r="G2" s="403"/>
      <c r="H2" s="403"/>
      <c r="I2" s="403"/>
      <c r="J2" s="403"/>
      <c r="K2" s="403"/>
      <c r="L2" s="403"/>
    </row>
    <row r="3" spans="1:13" ht="15.75" customHeight="1">
      <c r="A3" s="522" t="s">
        <v>66</v>
      </c>
      <c r="B3" s="523"/>
      <c r="C3" s="523"/>
      <c r="D3" s="523"/>
      <c r="E3" s="523"/>
      <c r="F3" s="523"/>
      <c r="G3" s="523"/>
      <c r="H3" s="523"/>
      <c r="I3" s="523"/>
      <c r="J3" s="523"/>
      <c r="K3" s="523"/>
      <c r="L3" s="523"/>
      <c r="M3" s="161"/>
    </row>
    <row r="4" spans="1:13" s="162" customFormat="1" ht="15.75" customHeight="1">
      <c r="A4" s="523"/>
      <c r="B4" s="523"/>
      <c r="C4" s="523"/>
      <c r="D4" s="523"/>
      <c r="E4" s="523"/>
      <c r="F4" s="523"/>
      <c r="G4" s="523"/>
      <c r="H4" s="523"/>
      <c r="I4" s="523"/>
      <c r="J4" s="523"/>
      <c r="K4" s="523"/>
      <c r="L4" s="523"/>
    </row>
    <row r="5" spans="1:13" s="186" customFormat="1" ht="16.350000000000001" customHeight="1">
      <c r="A5" s="513" t="s">
        <v>45</v>
      </c>
      <c r="B5" s="184">
        <v>1</v>
      </c>
      <c r="C5" s="184">
        <v>2</v>
      </c>
      <c r="D5" s="184">
        <v>3</v>
      </c>
      <c r="E5" s="185"/>
      <c r="F5" s="185"/>
      <c r="G5" s="185"/>
    </row>
    <row r="6" spans="1:13" ht="16.350000000000001" customHeight="1">
      <c r="A6" s="513"/>
      <c r="B6" s="187" t="s">
        <v>67</v>
      </c>
      <c r="C6" s="187" t="s">
        <v>68</v>
      </c>
      <c r="D6" s="187" t="s">
        <v>34</v>
      </c>
      <c r="E6" s="188"/>
      <c r="F6" s="188"/>
      <c r="G6" s="162"/>
      <c r="M6" s="161"/>
    </row>
    <row r="7" spans="1:13" s="186" customFormat="1" ht="15.75" customHeight="1">
      <c r="A7" s="517" t="s">
        <v>45</v>
      </c>
      <c r="B7" s="517"/>
      <c r="C7" s="189" t="s">
        <v>50</v>
      </c>
      <c r="D7" s="517" t="s">
        <v>69</v>
      </c>
      <c r="E7" s="524"/>
      <c r="F7" s="524"/>
      <c r="G7" s="189" t="s">
        <v>55</v>
      </c>
      <c r="H7" s="189" t="s">
        <v>70</v>
      </c>
      <c r="I7" s="189" t="s">
        <v>71</v>
      </c>
      <c r="J7" s="190" t="s">
        <v>72</v>
      </c>
      <c r="K7" s="517" t="s">
        <v>73</v>
      </c>
      <c r="L7" s="524"/>
      <c r="M7" s="185"/>
    </row>
    <row r="8" spans="1:13" ht="15.75" customHeight="1">
      <c r="A8" s="513">
        <v>1</v>
      </c>
      <c r="B8" s="517" t="s">
        <v>74</v>
      </c>
      <c r="C8" s="191">
        <v>1</v>
      </c>
      <c r="D8" s="518" t="s">
        <v>75</v>
      </c>
      <c r="E8" s="519"/>
      <c r="F8" s="520"/>
      <c r="G8" s="197">
        <v>11</v>
      </c>
      <c r="H8" s="197">
        <v>2005.4285714285713</v>
      </c>
      <c r="I8" s="198">
        <v>182.3116883116883</v>
      </c>
      <c r="J8" s="230">
        <v>1.1100000000000001</v>
      </c>
      <c r="K8" s="516" t="s">
        <v>408</v>
      </c>
      <c r="L8" s="509"/>
    </row>
    <row r="9" spans="1:13" ht="15.75" customHeight="1">
      <c r="A9" s="513"/>
      <c r="B9" s="517"/>
      <c r="C9" s="191">
        <v>2</v>
      </c>
      <c r="D9" s="521" t="s">
        <v>76</v>
      </c>
      <c r="E9" s="519"/>
      <c r="F9" s="520"/>
      <c r="G9" s="197">
        <v>12</v>
      </c>
      <c r="H9" s="197">
        <v>2040.4285714285713</v>
      </c>
      <c r="I9" s="198">
        <v>170.03571428571425</v>
      </c>
      <c r="J9" s="230">
        <v>1.089</v>
      </c>
      <c r="K9" s="516"/>
      <c r="L9" s="509"/>
    </row>
    <row r="10" spans="1:13" ht="15.75" customHeight="1">
      <c r="A10" s="513"/>
      <c r="B10" s="517"/>
      <c r="C10" s="191">
        <v>3</v>
      </c>
      <c r="D10" s="521" t="s">
        <v>77</v>
      </c>
      <c r="E10" s="519"/>
      <c r="F10" s="520"/>
      <c r="G10" s="197">
        <v>13</v>
      </c>
      <c r="H10" s="197">
        <v>1991.2857142857142</v>
      </c>
      <c r="I10" s="198">
        <v>153.17582417582418</v>
      </c>
      <c r="J10" s="230">
        <v>1.0680000000000001</v>
      </c>
      <c r="K10" s="516"/>
      <c r="L10" s="509"/>
    </row>
    <row r="11" spans="1:13" ht="15.75" customHeight="1">
      <c r="A11" s="513"/>
      <c r="B11" s="517"/>
      <c r="C11" s="191">
        <v>4</v>
      </c>
      <c r="D11" s="521" t="s">
        <v>78</v>
      </c>
      <c r="E11" s="519"/>
      <c r="F11" s="520"/>
      <c r="G11" s="197">
        <v>13.714285714285714</v>
      </c>
      <c r="H11" s="197">
        <v>1988.8571428571429</v>
      </c>
      <c r="I11" s="198">
        <v>144.95054945054946</v>
      </c>
      <c r="J11" s="230"/>
      <c r="K11" s="516" t="s">
        <v>79</v>
      </c>
      <c r="L11" s="509"/>
    </row>
    <row r="12" spans="1:13" ht="15.75" customHeight="1">
      <c r="A12" s="513"/>
      <c r="B12" s="517"/>
      <c r="C12" s="191">
        <v>5</v>
      </c>
      <c r="D12" s="518" t="s">
        <v>409</v>
      </c>
      <c r="E12" s="519"/>
      <c r="F12" s="520"/>
      <c r="G12" s="197">
        <v>15</v>
      </c>
      <c r="H12" s="197">
        <v>1594.8571428571429</v>
      </c>
      <c r="I12" s="198">
        <v>106.32380952380952</v>
      </c>
      <c r="J12" s="230">
        <v>0.92200000000000004</v>
      </c>
      <c r="K12" s="516" t="s">
        <v>410</v>
      </c>
      <c r="L12" s="509"/>
    </row>
    <row r="13" spans="1:13" ht="15.75" customHeight="1">
      <c r="A13" s="513"/>
      <c r="B13" s="517"/>
      <c r="C13" s="193" t="s">
        <v>81</v>
      </c>
      <c r="D13" s="518" t="s">
        <v>82</v>
      </c>
      <c r="E13" s="519"/>
      <c r="F13" s="520"/>
      <c r="G13" s="197">
        <v>13.285714285714286</v>
      </c>
      <c r="H13" s="197">
        <v>1057.1428571428571</v>
      </c>
      <c r="I13" s="198">
        <v>78.639248006895073</v>
      </c>
      <c r="J13" s="230">
        <v>1.0429999999999999</v>
      </c>
      <c r="K13" s="516"/>
      <c r="L13" s="509"/>
    </row>
    <row r="14" spans="1:13" ht="15.75" customHeight="1">
      <c r="A14" s="513"/>
      <c r="B14" s="517"/>
      <c r="C14" s="193" t="s">
        <v>83</v>
      </c>
      <c r="D14" s="521" t="s">
        <v>84</v>
      </c>
      <c r="E14" s="519"/>
      <c r="F14" s="520"/>
      <c r="G14" s="197">
        <v>15.142857142857142</v>
      </c>
      <c r="H14" s="197">
        <v>1216.8571428571429</v>
      </c>
      <c r="I14" s="198">
        <v>80.319242697078835</v>
      </c>
      <c r="J14" s="230">
        <v>0.98899999999999999</v>
      </c>
      <c r="K14" s="516"/>
      <c r="L14" s="509"/>
    </row>
    <row r="15" spans="1:13" ht="15.75" customHeight="1">
      <c r="A15" s="513"/>
      <c r="B15" s="517"/>
      <c r="C15" s="193" t="s">
        <v>85</v>
      </c>
      <c r="D15" s="518" t="s">
        <v>86</v>
      </c>
      <c r="E15" s="519"/>
      <c r="F15" s="520"/>
      <c r="G15" s="197">
        <v>16.428571428571427</v>
      </c>
      <c r="H15" s="197">
        <v>1374.2857142857142</v>
      </c>
      <c r="I15" s="198">
        <v>83.654166666666669</v>
      </c>
      <c r="J15" s="230">
        <v>1.04</v>
      </c>
      <c r="K15" s="516"/>
      <c r="L15" s="509"/>
    </row>
    <row r="16" spans="1:13" ht="15.75" customHeight="1">
      <c r="A16" s="513"/>
      <c r="B16" s="517"/>
      <c r="C16" s="193" t="s">
        <v>87</v>
      </c>
      <c r="D16" s="521" t="s">
        <v>88</v>
      </c>
      <c r="E16" s="519"/>
      <c r="F16" s="520"/>
      <c r="G16" s="197">
        <v>14.8</v>
      </c>
      <c r="H16" s="197">
        <v>1330.4</v>
      </c>
      <c r="I16" s="198">
        <v>89.293311786252971</v>
      </c>
      <c r="J16" s="230">
        <v>1.05</v>
      </c>
      <c r="K16" s="516"/>
      <c r="L16" s="509"/>
      <c r="M16" s="161"/>
    </row>
    <row r="17" spans="1:13" ht="15.75" customHeight="1">
      <c r="A17" s="513"/>
      <c r="B17" s="517"/>
      <c r="C17" s="193" t="s">
        <v>89</v>
      </c>
      <c r="D17" s="518" t="s">
        <v>411</v>
      </c>
      <c r="E17" s="519"/>
      <c r="F17" s="520"/>
      <c r="G17" s="197">
        <v>15.142857142857142</v>
      </c>
      <c r="H17" s="197">
        <v>1450.7142857142858</v>
      </c>
      <c r="I17" s="198">
        <v>95.834523809523816</v>
      </c>
      <c r="J17" s="230">
        <v>1.075</v>
      </c>
      <c r="K17" s="516"/>
      <c r="L17" s="509"/>
      <c r="M17" s="161"/>
    </row>
    <row r="18" spans="1:13" s="196" customFormat="1" ht="15.75" customHeight="1">
      <c r="A18" s="511" t="s">
        <v>45</v>
      </c>
      <c r="B18" s="511"/>
      <c r="C18" s="194" t="s">
        <v>50</v>
      </c>
      <c r="D18" s="511" t="s">
        <v>69</v>
      </c>
      <c r="E18" s="512"/>
      <c r="F18" s="512"/>
      <c r="G18" s="194" t="s">
        <v>55</v>
      </c>
      <c r="H18" s="194" t="s">
        <v>70</v>
      </c>
      <c r="I18" s="194" t="s">
        <v>71</v>
      </c>
      <c r="J18" s="195" t="s">
        <v>72</v>
      </c>
      <c r="K18" s="511" t="s">
        <v>73</v>
      </c>
      <c r="L18" s="512"/>
      <c r="M18" s="188"/>
    </row>
    <row r="19" spans="1:13" ht="15.75" customHeight="1">
      <c r="A19" s="513">
        <v>2</v>
      </c>
      <c r="B19" s="517" t="s">
        <v>91</v>
      </c>
      <c r="C19" s="191">
        <v>1</v>
      </c>
      <c r="D19" s="510"/>
      <c r="E19" s="509"/>
      <c r="F19" s="509"/>
      <c r="G19" s="192"/>
      <c r="H19" s="192"/>
      <c r="I19" s="192"/>
      <c r="J19" s="192"/>
      <c r="K19" s="510"/>
      <c r="L19" s="509"/>
      <c r="M19" s="161"/>
    </row>
    <row r="20" spans="1:13" ht="15.75" customHeight="1">
      <c r="A20" s="513"/>
      <c r="B20" s="517"/>
      <c r="C20" s="191">
        <v>2</v>
      </c>
      <c r="D20" s="508"/>
      <c r="E20" s="509"/>
      <c r="F20" s="509"/>
      <c r="G20" s="192"/>
      <c r="H20" s="192"/>
      <c r="I20" s="192"/>
      <c r="J20" s="192"/>
      <c r="K20" s="508"/>
      <c r="L20" s="509"/>
      <c r="M20" s="161"/>
    </row>
    <row r="21" spans="1:13" ht="15.75" customHeight="1">
      <c r="A21" s="513"/>
      <c r="B21" s="517"/>
      <c r="C21" s="191">
        <v>3</v>
      </c>
      <c r="D21" s="508"/>
      <c r="E21" s="509"/>
      <c r="F21" s="509"/>
      <c r="G21" s="192"/>
      <c r="H21" s="192"/>
      <c r="I21" s="192"/>
      <c r="J21" s="192"/>
      <c r="K21" s="508"/>
      <c r="L21" s="509"/>
      <c r="M21" s="161"/>
    </row>
    <row r="22" spans="1:13" ht="15.75" customHeight="1">
      <c r="A22" s="513"/>
      <c r="B22" s="517"/>
      <c r="C22" s="191">
        <v>4</v>
      </c>
      <c r="D22" s="508"/>
      <c r="E22" s="509"/>
      <c r="F22" s="509"/>
      <c r="G22" s="192"/>
      <c r="H22" s="192"/>
      <c r="I22" s="192"/>
      <c r="J22" s="192"/>
      <c r="K22" s="508"/>
      <c r="L22" s="509"/>
      <c r="M22" s="161"/>
    </row>
    <row r="23" spans="1:13" ht="15.75" customHeight="1">
      <c r="A23" s="513"/>
      <c r="B23" s="517"/>
      <c r="C23" s="191">
        <v>5</v>
      </c>
      <c r="D23" s="508"/>
      <c r="E23" s="509"/>
      <c r="F23" s="509"/>
      <c r="G23" s="192"/>
      <c r="H23" s="192"/>
      <c r="I23" s="192"/>
      <c r="J23" s="192"/>
      <c r="K23" s="508"/>
      <c r="L23" s="509"/>
      <c r="M23" s="161"/>
    </row>
    <row r="24" spans="1:13" ht="15.75" customHeight="1">
      <c r="A24" s="513"/>
      <c r="B24" s="517"/>
      <c r="C24" s="193" t="s">
        <v>81</v>
      </c>
      <c r="D24" s="510"/>
      <c r="E24" s="509"/>
      <c r="F24" s="509"/>
      <c r="G24" s="192"/>
      <c r="H24" s="192"/>
      <c r="I24" s="192"/>
      <c r="J24" s="192"/>
      <c r="K24" s="510"/>
      <c r="L24" s="509"/>
      <c r="M24" s="161"/>
    </row>
    <row r="25" spans="1:13" ht="15.75" customHeight="1">
      <c r="A25" s="513"/>
      <c r="B25" s="517"/>
      <c r="C25" s="193" t="s">
        <v>83</v>
      </c>
      <c r="D25" s="508"/>
      <c r="E25" s="509"/>
      <c r="F25" s="509"/>
      <c r="G25" s="192"/>
      <c r="H25" s="192"/>
      <c r="I25" s="192"/>
      <c r="J25" s="192"/>
      <c r="K25" s="508"/>
      <c r="L25" s="509"/>
      <c r="M25" s="161"/>
    </row>
    <row r="26" spans="1:13" ht="15.75" customHeight="1">
      <c r="A26" s="513"/>
      <c r="B26" s="517"/>
      <c r="C26" s="193" t="s">
        <v>85</v>
      </c>
      <c r="D26" s="508"/>
      <c r="E26" s="509"/>
      <c r="F26" s="509"/>
      <c r="G26" s="192"/>
      <c r="H26" s="192"/>
      <c r="I26" s="192"/>
      <c r="J26" s="192"/>
      <c r="K26" s="508"/>
      <c r="L26" s="509"/>
      <c r="M26" s="161"/>
    </row>
    <row r="27" spans="1:13" ht="15.75" customHeight="1">
      <c r="A27" s="513"/>
      <c r="B27" s="517"/>
      <c r="C27" s="193" t="s">
        <v>87</v>
      </c>
      <c r="D27" s="508"/>
      <c r="E27" s="509"/>
      <c r="F27" s="509"/>
      <c r="G27" s="192"/>
      <c r="H27" s="192"/>
      <c r="I27" s="192"/>
      <c r="J27" s="192"/>
      <c r="K27" s="508"/>
      <c r="L27" s="509"/>
      <c r="M27" s="161"/>
    </row>
    <row r="28" spans="1:13" ht="15.75" customHeight="1">
      <c r="A28" s="513"/>
      <c r="B28" s="517"/>
      <c r="C28" s="193" t="s">
        <v>89</v>
      </c>
      <c r="D28" s="508"/>
      <c r="E28" s="509"/>
      <c r="F28" s="509"/>
      <c r="G28" s="192"/>
      <c r="H28" s="192"/>
      <c r="I28" s="192"/>
      <c r="J28" s="192"/>
      <c r="K28" s="508"/>
      <c r="L28" s="509"/>
      <c r="M28" s="161"/>
    </row>
    <row r="29" spans="1:13" ht="15.75" customHeight="1">
      <c r="A29" s="511" t="s">
        <v>45</v>
      </c>
      <c r="B29" s="511"/>
      <c r="C29" s="194" t="s">
        <v>50</v>
      </c>
      <c r="D29" s="511" t="s">
        <v>69</v>
      </c>
      <c r="E29" s="512"/>
      <c r="F29" s="512"/>
      <c r="G29" s="194" t="s">
        <v>55</v>
      </c>
      <c r="H29" s="194" t="s">
        <v>70</v>
      </c>
      <c r="I29" s="194" t="s">
        <v>71</v>
      </c>
      <c r="J29" s="195" t="s">
        <v>72</v>
      </c>
      <c r="K29" s="511" t="s">
        <v>73</v>
      </c>
      <c r="L29" s="512"/>
    </row>
    <row r="30" spans="1:13" ht="15.75" customHeight="1">
      <c r="A30" s="513">
        <v>3</v>
      </c>
      <c r="B30" s="514" t="s">
        <v>34</v>
      </c>
      <c r="C30" s="191">
        <v>1</v>
      </c>
      <c r="D30" s="510" t="s">
        <v>63</v>
      </c>
      <c r="E30" s="509"/>
      <c r="F30" s="509"/>
      <c r="G30" s="197">
        <v>8.5714285714285712</v>
      </c>
      <c r="H30" s="198">
        <v>1321.7142857142858</v>
      </c>
      <c r="I30" s="198">
        <v>153.48185941043084</v>
      </c>
      <c r="J30" s="230"/>
      <c r="K30" s="515"/>
      <c r="L30" s="509"/>
    </row>
    <row r="31" spans="1:13" ht="15.75" customHeight="1">
      <c r="A31" s="513"/>
      <c r="B31" s="514"/>
      <c r="C31" s="191">
        <v>2</v>
      </c>
      <c r="D31" s="510" t="s">
        <v>61</v>
      </c>
      <c r="E31" s="509"/>
      <c r="F31" s="509"/>
      <c r="G31" s="197">
        <v>12.142857142857142</v>
      </c>
      <c r="H31" s="198">
        <v>1499.2857142857142</v>
      </c>
      <c r="I31" s="198">
        <v>124.94047619047618</v>
      </c>
      <c r="J31" s="230">
        <v>1.03</v>
      </c>
      <c r="K31" s="515"/>
      <c r="L31" s="509"/>
    </row>
    <row r="32" spans="1:13" ht="15.75" customHeight="1">
      <c r="A32" s="513"/>
      <c r="B32" s="514"/>
      <c r="C32" s="191">
        <v>3</v>
      </c>
      <c r="D32" s="510" t="s">
        <v>60</v>
      </c>
      <c r="E32" s="509"/>
      <c r="F32" s="509"/>
      <c r="G32" s="197">
        <v>12.666666666666666</v>
      </c>
      <c r="H32" s="198">
        <v>1448.4285714285713</v>
      </c>
      <c r="I32" s="198">
        <v>113.91575091575091</v>
      </c>
      <c r="J32" s="230">
        <v>0.98</v>
      </c>
      <c r="K32" s="515"/>
      <c r="L32" s="509"/>
    </row>
    <row r="33" spans="1:12" ht="15.75" customHeight="1">
      <c r="A33" s="513"/>
      <c r="B33" s="514"/>
      <c r="C33" s="191">
        <v>4</v>
      </c>
      <c r="D33" s="510" t="s">
        <v>62</v>
      </c>
      <c r="E33" s="509"/>
      <c r="F33" s="509"/>
      <c r="G33" s="197">
        <v>11.833333333333334</v>
      </c>
      <c r="H33" s="198">
        <v>1126.3333333333333</v>
      </c>
      <c r="I33" s="198">
        <v>95.441919191919183</v>
      </c>
      <c r="J33" s="230">
        <v>0.873</v>
      </c>
      <c r="K33" s="516" t="s">
        <v>92</v>
      </c>
      <c r="L33" s="509"/>
    </row>
    <row r="34" spans="1:12" ht="15.75" customHeight="1">
      <c r="A34" s="513"/>
      <c r="B34" s="514"/>
      <c r="C34" s="191">
        <v>5</v>
      </c>
      <c r="D34" s="508"/>
      <c r="E34" s="509"/>
      <c r="F34" s="509"/>
      <c r="G34" s="192"/>
      <c r="H34" s="192"/>
      <c r="I34" s="192"/>
      <c r="J34" s="192"/>
      <c r="K34" s="508"/>
      <c r="L34" s="509"/>
    </row>
    <row r="35" spans="1:12" ht="15.75" customHeight="1">
      <c r="A35" s="513"/>
      <c r="B35" s="514"/>
      <c r="C35" s="193" t="s">
        <v>81</v>
      </c>
      <c r="D35" s="510"/>
      <c r="E35" s="509"/>
      <c r="F35" s="509"/>
      <c r="G35" s="192"/>
      <c r="H35" s="192"/>
      <c r="I35" s="192"/>
      <c r="J35" s="192"/>
      <c r="K35" s="510"/>
      <c r="L35" s="509"/>
    </row>
    <row r="36" spans="1:12" ht="15.75" customHeight="1">
      <c r="A36" s="513"/>
      <c r="B36" s="514"/>
      <c r="C36" s="193" t="s">
        <v>83</v>
      </c>
      <c r="D36" s="508"/>
      <c r="E36" s="509"/>
      <c r="F36" s="509"/>
      <c r="G36" s="192"/>
      <c r="H36" s="192"/>
      <c r="I36" s="192"/>
      <c r="J36" s="192"/>
      <c r="K36" s="508"/>
      <c r="L36" s="509"/>
    </row>
    <row r="37" spans="1:12" ht="15.75" customHeight="1">
      <c r="A37" s="513"/>
      <c r="B37" s="514"/>
      <c r="C37" s="193" t="s">
        <v>85</v>
      </c>
      <c r="D37" s="508"/>
      <c r="E37" s="509"/>
      <c r="F37" s="509"/>
      <c r="G37" s="192"/>
      <c r="H37" s="192"/>
      <c r="I37" s="192"/>
      <c r="J37" s="192"/>
      <c r="K37" s="508"/>
      <c r="L37" s="509"/>
    </row>
    <row r="38" spans="1:12" ht="15.75" customHeight="1">
      <c r="A38" s="513"/>
      <c r="B38" s="514"/>
      <c r="C38" s="193" t="s">
        <v>87</v>
      </c>
      <c r="D38" s="508"/>
      <c r="E38" s="509"/>
      <c r="F38" s="509"/>
      <c r="G38" s="192"/>
      <c r="H38" s="192"/>
      <c r="I38" s="192"/>
      <c r="J38" s="192"/>
      <c r="K38" s="508"/>
      <c r="L38" s="509"/>
    </row>
    <row r="39" spans="1:12" ht="15.75" customHeight="1">
      <c r="A39" s="513"/>
      <c r="B39" s="514"/>
      <c r="C39" s="193" t="s">
        <v>89</v>
      </c>
      <c r="D39" s="508"/>
      <c r="E39" s="509"/>
      <c r="F39" s="509"/>
      <c r="G39" s="192"/>
      <c r="H39" s="192"/>
      <c r="I39" s="192"/>
      <c r="J39" s="192"/>
      <c r="K39" s="508"/>
      <c r="L39" s="509"/>
    </row>
  </sheetData>
  <mergeCells count="78"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5:F25"/>
    <mergeCell ref="K25:L25"/>
    <mergeCell ref="D26:F26"/>
    <mergeCell ref="K26:L26"/>
    <mergeCell ref="D24:F24"/>
    <mergeCell ref="K24:L24"/>
    <mergeCell ref="D27:F27"/>
    <mergeCell ref="K27:L27"/>
    <mergeCell ref="D34:F34"/>
    <mergeCell ref="K34:L34"/>
    <mergeCell ref="D28:F28"/>
    <mergeCell ref="K28:L28"/>
    <mergeCell ref="A29:B29"/>
    <mergeCell ref="D29:F29"/>
    <mergeCell ref="K29:L29"/>
    <mergeCell ref="A30:A39"/>
    <mergeCell ref="B30:B39"/>
    <mergeCell ref="D30:F30"/>
    <mergeCell ref="K30:L30"/>
    <mergeCell ref="D31:F31"/>
    <mergeCell ref="K31:L31"/>
    <mergeCell ref="D32:F32"/>
    <mergeCell ref="K32:L32"/>
    <mergeCell ref="D33:F33"/>
    <mergeCell ref="K33:L33"/>
    <mergeCell ref="D38:F38"/>
    <mergeCell ref="K38:L38"/>
    <mergeCell ref="D39:F39"/>
    <mergeCell ref="K39:L39"/>
    <mergeCell ref="D35:F35"/>
    <mergeCell ref="K35:L35"/>
    <mergeCell ref="D36:F36"/>
    <mergeCell ref="K36:L36"/>
    <mergeCell ref="D37:F37"/>
    <mergeCell ref="K37:L37"/>
  </mergeCells>
  <phoneticPr fontId="20" type="noConversion"/>
  <printOptions horizontalCentered="1" gridLines="1"/>
  <pageMargins left="0.39370078740157483" right="0.39370078740157483" top="0.39370078740157483" bottom="0.39370078740157483" header="0" footer="0"/>
  <pageSetup paperSize="9" scale="88" fitToWidth="0" fitToHeight="0" pageOrder="overThenDown" orientation="landscape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  <outlinePr summaryBelow="0" summaryRight="0"/>
  </sheetPr>
  <dimension ref="A1:M15"/>
  <sheetViews>
    <sheetView view="pageBreakPreview" zoomScaleNormal="60" zoomScaleSheetLayoutView="100" workbookViewId="0">
      <selection activeCell="C10" sqref="C10"/>
    </sheetView>
  </sheetViews>
  <sheetFormatPr defaultColWidth="12.5703125" defaultRowHeight="15.75" customHeight="1"/>
  <cols>
    <col min="1" max="1" width="7.5703125" style="161" customWidth="1"/>
    <col min="2" max="2" width="14.85546875" style="161" customWidth="1"/>
    <col min="3" max="3" width="12.85546875" style="161" customWidth="1"/>
    <col min="4" max="4" width="2.5703125" style="161" customWidth="1"/>
    <col min="5" max="5" width="7.5703125" style="161" customWidth="1"/>
    <col min="6" max="6" width="12.85546875" style="161" customWidth="1"/>
    <col min="7" max="7" width="9.42578125" style="161" customWidth="1"/>
    <col min="8" max="8" width="12.85546875" style="161" customWidth="1"/>
    <col min="9" max="9" width="9.42578125" style="161" customWidth="1"/>
    <col min="10" max="10" width="12.85546875" style="161" customWidth="1"/>
    <col min="11" max="11" width="9.42578125" style="161" customWidth="1"/>
    <col min="12" max="12" width="12.85546875" style="161" customWidth="1"/>
    <col min="13" max="13" width="9.42578125" style="161" customWidth="1"/>
    <col min="14" max="33" width="12.5703125" style="161" customWidth="1"/>
    <col min="34" max="16384" width="12.5703125" style="161"/>
  </cols>
  <sheetData>
    <row r="1" spans="1:13" ht="15.75" customHeight="1">
      <c r="A1" s="403" t="s">
        <v>65</v>
      </c>
      <c r="B1" s="403"/>
      <c r="C1" s="403"/>
      <c r="D1" s="403"/>
      <c r="E1" s="403"/>
      <c r="F1" s="403"/>
      <c r="G1" s="403"/>
      <c r="H1" s="403"/>
      <c r="I1" s="403"/>
      <c r="J1" s="403"/>
      <c r="K1" s="403"/>
      <c r="L1" s="403"/>
      <c r="M1" s="403"/>
    </row>
    <row r="2" spans="1:13" s="162" customFormat="1" ht="15.75" customHeight="1">
      <c r="A2" s="403"/>
      <c r="B2" s="403"/>
      <c r="C2" s="403"/>
      <c r="D2" s="403"/>
      <c r="E2" s="403"/>
      <c r="F2" s="403"/>
      <c r="G2" s="403"/>
      <c r="H2" s="403"/>
      <c r="I2" s="403"/>
      <c r="J2" s="403"/>
      <c r="K2" s="403"/>
      <c r="L2" s="403"/>
      <c r="M2" s="403"/>
    </row>
    <row r="3" spans="1:13" ht="15.75" customHeight="1">
      <c r="A3" s="522" t="s">
        <v>93</v>
      </c>
      <c r="B3" s="522"/>
      <c r="C3" s="522"/>
      <c r="D3" s="522"/>
      <c r="E3" s="522"/>
      <c r="F3" s="522"/>
      <c r="G3" s="522"/>
      <c r="H3" s="522"/>
      <c r="I3" s="522"/>
      <c r="J3" s="522"/>
      <c r="K3" s="522"/>
      <c r="L3" s="522"/>
      <c r="M3" s="522"/>
    </row>
    <row r="4" spans="1:13" s="162" customFormat="1" ht="15.75" customHeight="1">
      <c r="A4" s="522"/>
      <c r="B4" s="522"/>
      <c r="C4" s="522"/>
      <c r="D4" s="522"/>
      <c r="E4" s="522"/>
      <c r="F4" s="522"/>
      <c r="G4" s="522"/>
      <c r="H4" s="522"/>
      <c r="I4" s="522"/>
      <c r="J4" s="522"/>
      <c r="K4" s="522"/>
      <c r="L4" s="522"/>
      <c r="M4" s="522"/>
    </row>
    <row r="5" spans="1:13" ht="15.75" customHeight="1">
      <c r="A5" s="351" t="s">
        <v>94</v>
      </c>
      <c r="B5" s="352">
        <v>17930762</v>
      </c>
      <c r="C5" s="353"/>
      <c r="D5" s="353"/>
      <c r="E5" s="530" t="s">
        <v>95</v>
      </c>
      <c r="F5" s="530"/>
      <c r="G5" s="530"/>
      <c r="H5" s="530"/>
      <c r="I5" s="530"/>
      <c r="J5" s="530"/>
      <c r="K5" s="530"/>
      <c r="L5" s="530"/>
      <c r="M5" s="531"/>
    </row>
    <row r="6" spans="1:13" ht="15.75" customHeight="1">
      <c r="A6" s="532" t="s">
        <v>96</v>
      </c>
      <c r="B6" s="533" t="s">
        <v>97</v>
      </c>
      <c r="C6" s="533"/>
      <c r="D6" s="534"/>
      <c r="E6" s="537" t="s">
        <v>96</v>
      </c>
      <c r="F6" s="513">
        <v>1</v>
      </c>
      <c r="G6" s="513"/>
      <c r="H6" s="513">
        <v>2</v>
      </c>
      <c r="I6" s="513"/>
      <c r="J6" s="513">
        <v>3</v>
      </c>
      <c r="K6" s="513"/>
      <c r="L6" s="513">
        <v>4</v>
      </c>
      <c r="M6" s="538"/>
    </row>
    <row r="7" spans="1:13" ht="31.35" customHeight="1">
      <c r="A7" s="532"/>
      <c r="B7" s="533"/>
      <c r="C7" s="533"/>
      <c r="D7" s="535"/>
      <c r="E7" s="537"/>
      <c r="F7" s="525" t="s">
        <v>98</v>
      </c>
      <c r="G7" s="525"/>
      <c r="H7" s="525" t="s">
        <v>99</v>
      </c>
      <c r="I7" s="525"/>
      <c r="J7" s="525" t="s">
        <v>100</v>
      </c>
      <c r="K7" s="525"/>
      <c r="L7" s="528" t="s">
        <v>101</v>
      </c>
      <c r="M7" s="529"/>
    </row>
    <row r="8" spans="1:13" ht="15.75" customHeight="1">
      <c r="A8" s="532"/>
      <c r="B8" s="349" t="s">
        <v>102</v>
      </c>
      <c r="C8" s="349" t="s">
        <v>103</v>
      </c>
      <c r="D8" s="535"/>
      <c r="E8" s="537"/>
      <c r="F8" s="349" t="s">
        <v>102</v>
      </c>
      <c r="G8" s="349" t="s">
        <v>103</v>
      </c>
      <c r="H8" s="349" t="s">
        <v>102</v>
      </c>
      <c r="I8" s="349" t="s">
        <v>103</v>
      </c>
      <c r="J8" s="349" t="s">
        <v>102</v>
      </c>
      <c r="K8" s="349" t="s">
        <v>103</v>
      </c>
      <c r="L8" s="349" t="s">
        <v>102</v>
      </c>
      <c r="M8" s="354" t="s">
        <v>103</v>
      </c>
    </row>
    <row r="9" spans="1:13" ht="19.350000000000001" customHeight="1">
      <c r="A9" s="355" t="s">
        <v>104</v>
      </c>
      <c r="B9" s="164">
        <v>34031</v>
      </c>
      <c r="C9" s="165">
        <f>B9/$B$5</f>
        <v>1.8979115332633382E-3</v>
      </c>
      <c r="D9" s="535"/>
      <c r="E9" s="163" t="s">
        <v>104</v>
      </c>
      <c r="F9" s="166">
        <f>'報廢－原因別分析 (週)'!AB8</f>
        <v>0</v>
      </c>
      <c r="G9" s="167">
        <f>'報廢－原因別分析 (週)'!AB9</f>
        <v>0</v>
      </c>
      <c r="H9" s="166">
        <f>'報廢－原因別分析 (週)'!AC8</f>
        <v>253.8</v>
      </c>
      <c r="I9" s="167">
        <f>'報廢－原因別分析 (週)'!AC9</f>
        <v>7.6923076923076927E-2</v>
      </c>
      <c r="J9" s="166">
        <f ca="1">'報廢－原因別分析 (週)'!AD8</f>
        <v>0</v>
      </c>
      <c r="K9" s="167">
        <f ca="1">'報廢－原因別分析 (週)'!AD9</f>
        <v>0</v>
      </c>
      <c r="L9" s="166">
        <f ca="1">'報廢－原因別分析 (週)'!AE8</f>
        <v>2437.4</v>
      </c>
      <c r="M9" s="356">
        <f ca="1">'報廢－原因別分析 (週)'!AE9</f>
        <v>0.23076923076923078</v>
      </c>
    </row>
    <row r="10" spans="1:13" ht="19.350000000000001" customHeight="1">
      <c r="A10" s="357" t="s">
        <v>105</v>
      </c>
      <c r="B10" s="169">
        <v>35666</v>
      </c>
      <c r="C10" s="165">
        <f>B10/$B$5</f>
        <v>1.9890956112183075E-3</v>
      </c>
      <c r="D10" s="535"/>
      <c r="E10" s="168" t="s">
        <v>105</v>
      </c>
      <c r="F10" s="166">
        <f>'超用－原因別分析 (週) '!AB8</f>
        <v>0</v>
      </c>
      <c r="G10" s="167">
        <f>'超用－原因別分析 (週) '!AB9</f>
        <v>0</v>
      </c>
      <c r="H10" s="166">
        <f>'超用－原因別分析 (週) '!AC8</f>
        <v>0</v>
      </c>
      <c r="I10" s="167">
        <f>'超用－原因別分析 (週) '!AC9</f>
        <v>0</v>
      </c>
      <c r="J10" s="166">
        <f>'超用－原因別分析 (週) '!AD8</f>
        <v>0</v>
      </c>
      <c r="K10" s="167">
        <f ca="1">'超用－原因別分析 (週) '!AD9</f>
        <v>0</v>
      </c>
      <c r="L10" s="166">
        <f>'超用－原因別分析 (週) '!AE8</f>
        <v>34479.299999999996</v>
      </c>
      <c r="M10" s="356">
        <f ca="1">'超用－原因別分析 (週) '!AE9</f>
        <v>0.95</v>
      </c>
    </row>
    <row r="11" spans="1:13" ht="15.75" customHeight="1">
      <c r="A11" s="358"/>
      <c r="D11" s="535"/>
      <c r="E11" s="537" t="s">
        <v>96</v>
      </c>
      <c r="F11" s="513">
        <v>5</v>
      </c>
      <c r="G11" s="513"/>
      <c r="H11" s="513">
        <v>6</v>
      </c>
      <c r="I11" s="513"/>
      <c r="J11" s="513">
        <v>7</v>
      </c>
      <c r="K11" s="513"/>
      <c r="L11" s="539">
        <v>8</v>
      </c>
      <c r="M11" s="540"/>
    </row>
    <row r="12" spans="1:13" ht="31.35" customHeight="1">
      <c r="A12" s="358"/>
      <c r="D12" s="535"/>
      <c r="E12" s="537"/>
      <c r="F12" s="525" t="s">
        <v>106</v>
      </c>
      <c r="G12" s="525"/>
      <c r="H12" s="525" t="s">
        <v>107</v>
      </c>
      <c r="I12" s="525"/>
      <c r="J12" s="525" t="s">
        <v>108</v>
      </c>
      <c r="K12" s="525"/>
      <c r="L12" s="526" t="s">
        <v>109</v>
      </c>
      <c r="M12" s="527"/>
    </row>
    <row r="13" spans="1:13" ht="15.75" customHeight="1">
      <c r="A13" s="358"/>
      <c r="D13" s="535"/>
      <c r="E13" s="537"/>
      <c r="F13" s="349" t="s">
        <v>102</v>
      </c>
      <c r="G13" s="349" t="s">
        <v>103</v>
      </c>
      <c r="H13" s="349" t="s">
        <v>102</v>
      </c>
      <c r="I13" s="349" t="s">
        <v>103</v>
      </c>
      <c r="J13" s="349" t="s">
        <v>102</v>
      </c>
      <c r="K13" s="349" t="s">
        <v>103</v>
      </c>
      <c r="L13" s="349" t="s">
        <v>102</v>
      </c>
      <c r="M13" s="354" t="s">
        <v>103</v>
      </c>
    </row>
    <row r="14" spans="1:13" ht="19.350000000000001" customHeight="1">
      <c r="A14" s="358"/>
      <c r="D14" s="535"/>
      <c r="E14" s="163" t="s">
        <v>104</v>
      </c>
      <c r="F14" s="166">
        <f ca="1">'報廢－原因別分析 (週)'!AF8</f>
        <v>0</v>
      </c>
      <c r="G14" s="167">
        <f ca="1">'報廢－原因別分析 (週)'!AF9</f>
        <v>0</v>
      </c>
      <c r="H14" s="166">
        <f ca="1">'報廢－原因別分析 (週)'!AG8</f>
        <v>194.5</v>
      </c>
      <c r="I14" s="167">
        <f ca="1">'報廢－原因別分析 (週)'!AG9</f>
        <v>7.6923076923076927E-2</v>
      </c>
      <c r="J14" s="166">
        <f ca="1">'報廢－原因別分析 (週)'!AH8</f>
        <v>12791.599999999999</v>
      </c>
      <c r="K14" s="167">
        <f ca="1">'報廢－原因別分析 (週)'!AH9</f>
        <v>0.61538461538461542</v>
      </c>
      <c r="L14" s="166">
        <f ca="1">'報廢－原因別分析 (週)'!AI8</f>
        <v>0</v>
      </c>
      <c r="M14" s="356">
        <f ca="1">'報廢－原因別分析 (週)'!AI9</f>
        <v>0</v>
      </c>
    </row>
    <row r="15" spans="1:13" ht="19.350000000000001" customHeight="1">
      <c r="A15" s="359"/>
      <c r="B15" s="360"/>
      <c r="C15" s="360"/>
      <c r="D15" s="536"/>
      <c r="E15" s="361" t="s">
        <v>105</v>
      </c>
      <c r="F15" s="362">
        <f>'超用－原因別分析 (週) '!AF8</f>
        <v>0</v>
      </c>
      <c r="G15" s="363">
        <f ca="1">'超用－原因別分析 (週) '!AF9</f>
        <v>0</v>
      </c>
      <c r="H15" s="362">
        <f>'超用－原因別分析 (週) '!AG8</f>
        <v>1158.4000000000001</v>
      </c>
      <c r="I15" s="363">
        <f ca="1">'超用－原因別分析 (週) '!AG9</f>
        <v>0.05</v>
      </c>
      <c r="J15" s="362">
        <f>'超用－原因別分析 (週) '!AH8</f>
        <v>0</v>
      </c>
      <c r="K15" s="363">
        <f ca="1">'超用－原因別分析 (週) '!AH9</f>
        <v>0</v>
      </c>
      <c r="L15" s="362">
        <f>'超用－原因別分析 (週) '!AI8</f>
        <v>0</v>
      </c>
      <c r="M15" s="364">
        <f ca="1">'超用－原因別分析 (週) '!AI9</f>
        <v>0</v>
      </c>
    </row>
  </sheetData>
  <mergeCells count="24">
    <mergeCell ref="E5:M5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20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  <outlinePr summaryBelow="0" summaryRight="0"/>
  </sheetPr>
  <dimension ref="A1:Q30"/>
  <sheetViews>
    <sheetView view="pageBreakPreview" topLeftCell="A4" zoomScale="115" zoomScaleNormal="60" zoomScaleSheetLayoutView="115" workbookViewId="0">
      <selection activeCell="G19" sqref="G19:I19"/>
    </sheetView>
  </sheetViews>
  <sheetFormatPr defaultColWidth="12.5703125" defaultRowHeight="15.75" customHeight="1"/>
  <cols>
    <col min="1" max="1" width="5.42578125" style="122" customWidth="1"/>
    <col min="2" max="2" width="11.42578125" style="149" customWidth="1"/>
    <col min="3" max="3" width="4" style="128" customWidth="1"/>
    <col min="4" max="17" width="9.5703125" style="122" customWidth="1"/>
    <col min="18" max="37" width="12.5703125" style="122" customWidth="1"/>
    <col min="38" max="16384" width="12.5703125" style="122"/>
  </cols>
  <sheetData>
    <row r="1" spans="1:17" ht="15.75" customHeight="1">
      <c r="A1" s="562" t="s">
        <v>65</v>
      </c>
      <c r="B1" s="562"/>
      <c r="C1" s="562"/>
      <c r="D1" s="562"/>
      <c r="E1" s="562"/>
      <c r="F1" s="562"/>
      <c r="G1" s="562"/>
      <c r="H1" s="562"/>
      <c r="I1" s="562"/>
      <c r="J1" s="562"/>
      <c r="K1" s="562"/>
      <c r="L1" s="562"/>
      <c r="M1" s="562"/>
      <c r="N1" s="562"/>
      <c r="O1" s="562"/>
      <c r="P1" s="562"/>
      <c r="Q1" s="562"/>
    </row>
    <row r="2" spans="1:17" s="123" customFormat="1" ht="15.75" customHeight="1">
      <c r="A2" s="562"/>
      <c r="B2" s="562"/>
      <c r="C2" s="562"/>
      <c r="D2" s="562"/>
      <c r="E2" s="562"/>
      <c r="F2" s="562"/>
      <c r="G2" s="562"/>
      <c r="H2" s="562"/>
      <c r="I2" s="562"/>
      <c r="J2" s="562"/>
      <c r="K2" s="562"/>
      <c r="L2" s="562"/>
      <c r="M2" s="562"/>
      <c r="N2" s="562"/>
      <c r="O2" s="562"/>
      <c r="P2" s="562"/>
      <c r="Q2" s="562"/>
    </row>
    <row r="3" spans="1:17" ht="15.75" customHeight="1">
      <c r="A3" s="563" t="s">
        <v>110</v>
      </c>
      <c r="B3" s="564"/>
      <c r="C3" s="564"/>
      <c r="D3" s="564"/>
      <c r="E3" s="564"/>
      <c r="F3" s="564"/>
      <c r="G3" s="564"/>
      <c r="H3" s="564"/>
      <c r="I3" s="564"/>
      <c r="J3" s="564"/>
      <c r="K3" s="564"/>
      <c r="L3" s="564"/>
      <c r="M3" s="564"/>
    </row>
    <row r="4" spans="1:17" s="123" customFormat="1" ht="15.75" customHeight="1">
      <c r="A4" s="564"/>
      <c r="B4" s="564"/>
      <c r="C4" s="564"/>
      <c r="D4" s="564"/>
      <c r="E4" s="564"/>
      <c r="F4" s="564"/>
      <c r="G4" s="564"/>
      <c r="H4" s="564"/>
      <c r="I4" s="564"/>
      <c r="J4" s="564"/>
      <c r="K4" s="564"/>
      <c r="L4" s="564"/>
      <c r="M4" s="564"/>
    </row>
    <row r="5" spans="1:17" ht="15.75" customHeight="1">
      <c r="A5" s="434" t="s">
        <v>111</v>
      </c>
      <c r="B5" s="565">
        <v>1</v>
      </c>
      <c r="C5" s="565"/>
      <c r="D5" s="565">
        <v>2</v>
      </c>
      <c r="E5" s="565"/>
      <c r="F5" s="565">
        <v>3</v>
      </c>
      <c r="G5" s="565"/>
      <c r="H5" s="551">
        <v>4</v>
      </c>
      <c r="I5" s="551"/>
      <c r="J5" s="551">
        <v>5</v>
      </c>
      <c r="K5" s="551"/>
      <c r="L5" s="551">
        <v>6</v>
      </c>
      <c r="M5" s="551"/>
      <c r="N5" s="551">
        <v>7</v>
      </c>
      <c r="O5" s="551"/>
      <c r="P5" s="551">
        <v>8</v>
      </c>
      <c r="Q5" s="551"/>
    </row>
    <row r="6" spans="1:17" ht="15.75" customHeight="1">
      <c r="A6" s="434"/>
      <c r="B6" s="566" t="s">
        <v>98</v>
      </c>
      <c r="C6" s="566"/>
      <c r="D6" s="566" t="s">
        <v>112</v>
      </c>
      <c r="E6" s="566"/>
      <c r="F6" s="566" t="s">
        <v>100</v>
      </c>
      <c r="G6" s="566"/>
      <c r="H6" s="561" t="s">
        <v>101</v>
      </c>
      <c r="I6" s="434"/>
      <c r="J6" s="434" t="s">
        <v>106</v>
      </c>
      <c r="K6" s="434"/>
      <c r="L6" s="434" t="s">
        <v>107</v>
      </c>
      <c r="M6" s="434"/>
      <c r="N6" s="434" t="s">
        <v>108</v>
      </c>
      <c r="O6" s="434"/>
      <c r="P6" s="561" t="s">
        <v>113</v>
      </c>
      <c r="Q6" s="434"/>
    </row>
    <row r="8" spans="1:17" s="124" customFormat="1" ht="15.75" customHeight="1">
      <c r="A8" s="551" t="s">
        <v>111</v>
      </c>
      <c r="B8" s="551"/>
      <c r="C8" s="130" t="s">
        <v>50</v>
      </c>
      <c r="D8" s="556" t="s">
        <v>69</v>
      </c>
      <c r="E8" s="557"/>
      <c r="F8" s="558"/>
      <c r="G8" s="131" t="s">
        <v>114</v>
      </c>
      <c r="H8" s="132"/>
      <c r="I8" s="130"/>
      <c r="J8" s="133" t="s">
        <v>115</v>
      </c>
      <c r="K8" s="133" t="s">
        <v>116</v>
      </c>
      <c r="L8" s="133" t="s">
        <v>117</v>
      </c>
      <c r="M8" s="133" t="s">
        <v>102</v>
      </c>
      <c r="N8" s="133" t="s">
        <v>118</v>
      </c>
      <c r="O8" s="559" t="s">
        <v>73</v>
      </c>
      <c r="P8" s="560"/>
    </row>
    <row r="9" spans="1:17" ht="15.75" customHeight="1">
      <c r="A9" s="551">
        <v>1</v>
      </c>
      <c r="B9" s="552" t="s">
        <v>98</v>
      </c>
      <c r="C9" s="134">
        <v>1</v>
      </c>
      <c r="D9" s="541"/>
      <c r="E9" s="548"/>
      <c r="F9" s="549"/>
      <c r="G9" s="541"/>
      <c r="H9" s="548"/>
      <c r="I9" s="549"/>
      <c r="J9" s="135"/>
      <c r="K9" s="136"/>
      <c r="L9" s="135"/>
      <c r="M9" s="199">
        <f>L9*J9</f>
        <v>0</v>
      </c>
      <c r="N9" s="380"/>
      <c r="O9" s="541" t="s">
        <v>120</v>
      </c>
      <c r="P9" s="542"/>
    </row>
    <row r="10" spans="1:17" ht="15.75" customHeight="1">
      <c r="A10" s="551"/>
      <c r="B10" s="552"/>
      <c r="C10" s="134">
        <v>2</v>
      </c>
      <c r="D10" s="541"/>
      <c r="E10" s="548"/>
      <c r="F10" s="549"/>
      <c r="G10" s="541"/>
      <c r="H10" s="548"/>
      <c r="I10" s="549"/>
      <c r="J10" s="135"/>
      <c r="K10" s="136"/>
      <c r="L10" s="135"/>
      <c r="M10" s="199">
        <f>L10*J10</f>
        <v>0</v>
      </c>
      <c r="N10" s="380"/>
      <c r="O10" s="541" t="s">
        <v>121</v>
      </c>
      <c r="P10" s="542"/>
    </row>
    <row r="11" spans="1:17" ht="15.75" customHeight="1">
      <c r="A11" s="551"/>
      <c r="B11" s="552"/>
      <c r="C11" s="134">
        <v>3</v>
      </c>
      <c r="D11" s="541"/>
      <c r="E11" s="548"/>
      <c r="F11" s="549"/>
      <c r="G11" s="541"/>
      <c r="H11" s="548"/>
      <c r="I11" s="549"/>
      <c r="J11" s="135"/>
      <c r="K11" s="136"/>
      <c r="L11" s="135"/>
      <c r="M11" s="199">
        <f>L11*J11</f>
        <v>0</v>
      </c>
      <c r="N11" s="380"/>
      <c r="O11" s="541" t="s">
        <v>121</v>
      </c>
      <c r="P11" s="542"/>
    </row>
    <row r="12" spans="1:17" ht="15.75" customHeight="1">
      <c r="A12" s="551"/>
      <c r="B12" s="552"/>
      <c r="C12" s="134">
        <v>4</v>
      </c>
      <c r="D12" s="541"/>
      <c r="E12" s="548"/>
      <c r="F12" s="549"/>
      <c r="G12" s="550"/>
      <c r="H12" s="548"/>
      <c r="I12" s="549"/>
      <c r="J12" s="135"/>
      <c r="K12" s="136"/>
      <c r="L12" s="135"/>
      <c r="M12" s="199">
        <f>L12*J12</f>
        <v>0</v>
      </c>
      <c r="N12" s="380"/>
      <c r="O12" s="541"/>
      <c r="P12" s="542"/>
    </row>
    <row r="13" spans="1:17" ht="15.75" customHeight="1">
      <c r="A13" s="551"/>
      <c r="B13" s="552"/>
      <c r="C13" s="140">
        <v>5</v>
      </c>
      <c r="D13" s="541"/>
      <c r="E13" s="548"/>
      <c r="F13" s="549"/>
      <c r="G13" s="550"/>
      <c r="H13" s="548"/>
      <c r="I13" s="549"/>
      <c r="J13" s="135"/>
      <c r="K13" s="142"/>
      <c r="L13" s="141"/>
      <c r="M13" s="200">
        <f>L13*J13</f>
        <v>0</v>
      </c>
      <c r="N13" s="380"/>
      <c r="O13" s="541"/>
      <c r="P13" s="542"/>
    </row>
    <row r="14" spans="1:17" ht="15.75" customHeight="1">
      <c r="A14" s="551"/>
      <c r="B14" s="552"/>
      <c r="C14" s="543"/>
      <c r="D14" s="543"/>
      <c r="E14" s="543"/>
      <c r="F14" s="543"/>
      <c r="G14" s="543"/>
      <c r="H14" s="543"/>
      <c r="I14" s="544"/>
      <c r="J14" s="146" t="s">
        <v>122</v>
      </c>
      <c r="K14" s="147" t="e">
        <f>M14/#REF!</f>
        <v>#REF!</v>
      </c>
      <c r="L14" s="146" t="s">
        <v>123</v>
      </c>
      <c r="M14" s="148">
        <f>SUM(M9:M13)</f>
        <v>0</v>
      </c>
      <c r="N14" s="545"/>
      <c r="O14" s="546"/>
      <c r="P14" s="547"/>
    </row>
    <row r="16" spans="1:17" ht="15.75" customHeight="1">
      <c r="A16" s="551" t="s">
        <v>111</v>
      </c>
      <c r="B16" s="551"/>
      <c r="C16" s="130" t="s">
        <v>50</v>
      </c>
      <c r="D16" s="556" t="s">
        <v>69</v>
      </c>
      <c r="E16" s="557"/>
      <c r="F16" s="558"/>
      <c r="G16" s="131" t="s">
        <v>114</v>
      </c>
      <c r="H16" s="132"/>
      <c r="I16" s="130"/>
      <c r="J16" s="133" t="s">
        <v>115</v>
      </c>
      <c r="K16" s="133" t="s">
        <v>116</v>
      </c>
      <c r="L16" s="133" t="s">
        <v>117</v>
      </c>
      <c r="M16" s="133" t="s">
        <v>102</v>
      </c>
      <c r="N16" s="133" t="s">
        <v>118</v>
      </c>
      <c r="O16" s="559" t="s">
        <v>73</v>
      </c>
      <c r="P16" s="560"/>
    </row>
    <row r="17" spans="1:16" ht="15.75" customHeight="1">
      <c r="A17" s="551">
        <v>2</v>
      </c>
      <c r="B17" s="552" t="s">
        <v>124</v>
      </c>
      <c r="C17" s="134">
        <v>1</v>
      </c>
      <c r="D17" s="541" t="s">
        <v>399</v>
      </c>
      <c r="E17" s="548"/>
      <c r="F17" s="549"/>
      <c r="G17" s="541" t="s">
        <v>400</v>
      </c>
      <c r="H17" s="548"/>
      <c r="I17" s="549"/>
      <c r="J17" s="135">
        <v>1.8</v>
      </c>
      <c r="K17" s="136">
        <v>4.0000000000000001E-3</v>
      </c>
      <c r="L17" s="135">
        <v>141</v>
      </c>
      <c r="M17" s="199">
        <f>J17*L17</f>
        <v>253.8</v>
      </c>
      <c r="N17" s="232"/>
      <c r="O17" s="541" t="s">
        <v>391</v>
      </c>
      <c r="P17" s="542"/>
    </row>
    <row r="18" spans="1:16" ht="15.75" customHeight="1">
      <c r="A18" s="551"/>
      <c r="B18" s="552"/>
      <c r="C18" s="134">
        <v>2</v>
      </c>
      <c r="D18" s="541"/>
      <c r="E18" s="548"/>
      <c r="F18" s="549"/>
      <c r="G18" s="541"/>
      <c r="H18" s="548"/>
      <c r="I18" s="549"/>
      <c r="J18" s="135"/>
      <c r="K18" s="136"/>
      <c r="L18" s="135"/>
      <c r="M18" s="199">
        <f t="shared" ref="M18:M21" si="0">J18*L18</f>
        <v>0</v>
      </c>
      <c r="N18" s="232"/>
      <c r="O18" s="541"/>
      <c r="P18" s="542"/>
    </row>
    <row r="19" spans="1:16" ht="15.75" customHeight="1">
      <c r="A19" s="551"/>
      <c r="B19" s="552"/>
      <c r="C19" s="134">
        <v>3</v>
      </c>
      <c r="D19" s="541"/>
      <c r="E19" s="548"/>
      <c r="F19" s="549"/>
      <c r="G19" s="541"/>
      <c r="H19" s="548"/>
      <c r="I19" s="549"/>
      <c r="J19" s="135"/>
      <c r="K19" s="136"/>
      <c r="L19" s="135"/>
      <c r="M19" s="199">
        <f t="shared" si="0"/>
        <v>0</v>
      </c>
      <c r="N19" s="232"/>
      <c r="O19" s="541"/>
      <c r="P19" s="542"/>
    </row>
    <row r="20" spans="1:16" ht="15.75" customHeight="1">
      <c r="A20" s="551"/>
      <c r="B20" s="552"/>
      <c r="C20" s="134">
        <v>4</v>
      </c>
      <c r="D20" s="541"/>
      <c r="E20" s="548"/>
      <c r="F20" s="549"/>
      <c r="G20" s="550"/>
      <c r="H20" s="548"/>
      <c r="I20" s="549"/>
      <c r="J20" s="135"/>
      <c r="K20" s="136"/>
      <c r="L20" s="135"/>
      <c r="M20" s="199">
        <f t="shared" si="0"/>
        <v>0</v>
      </c>
      <c r="N20" s="232"/>
      <c r="O20" s="541"/>
      <c r="P20" s="542"/>
    </row>
    <row r="21" spans="1:16" ht="15.75" customHeight="1">
      <c r="A21" s="551"/>
      <c r="B21" s="552"/>
      <c r="C21" s="140">
        <v>5</v>
      </c>
      <c r="D21" s="541"/>
      <c r="E21" s="548"/>
      <c r="F21" s="549"/>
      <c r="G21" s="550"/>
      <c r="H21" s="548"/>
      <c r="I21" s="549"/>
      <c r="J21" s="135"/>
      <c r="K21" s="142"/>
      <c r="L21" s="141"/>
      <c r="M21" s="199">
        <f t="shared" si="0"/>
        <v>0</v>
      </c>
      <c r="N21" s="232"/>
      <c r="O21" s="541"/>
      <c r="P21" s="542"/>
    </row>
    <row r="22" spans="1:16" ht="15.75" customHeight="1">
      <c r="A22" s="551"/>
      <c r="B22" s="552"/>
      <c r="C22" s="543"/>
      <c r="D22" s="543"/>
      <c r="E22" s="543"/>
      <c r="F22" s="543"/>
      <c r="G22" s="543"/>
      <c r="H22" s="543"/>
      <c r="I22" s="544"/>
      <c r="J22" s="146" t="s">
        <v>122</v>
      </c>
      <c r="K22" s="147" t="e">
        <f>M22/#REF!</f>
        <v>#REF!</v>
      </c>
      <c r="L22" s="146" t="s">
        <v>123</v>
      </c>
      <c r="M22" s="231">
        <f>SUM(M17:M21)</f>
        <v>253.8</v>
      </c>
      <c r="N22" s="545"/>
      <c r="O22" s="546"/>
      <c r="P22" s="547"/>
    </row>
    <row r="24" spans="1:16" ht="15.75" customHeight="1">
      <c r="A24" s="551" t="s">
        <v>111</v>
      </c>
      <c r="B24" s="551"/>
      <c r="C24" s="130" t="s">
        <v>50</v>
      </c>
      <c r="D24" s="556" t="s">
        <v>69</v>
      </c>
      <c r="E24" s="557"/>
      <c r="F24" s="558"/>
      <c r="G24" s="131" t="s">
        <v>114</v>
      </c>
      <c r="H24" s="132"/>
      <c r="I24" s="130"/>
      <c r="J24" s="133" t="s">
        <v>115</v>
      </c>
      <c r="K24" s="133" t="s">
        <v>116</v>
      </c>
      <c r="L24" s="133" t="s">
        <v>117</v>
      </c>
      <c r="M24" s="133" t="s">
        <v>102</v>
      </c>
      <c r="N24" s="133" t="s">
        <v>72</v>
      </c>
      <c r="O24" s="559" t="s">
        <v>73</v>
      </c>
      <c r="P24" s="560"/>
    </row>
    <row r="25" spans="1:16" ht="15.75" customHeight="1">
      <c r="A25" s="551">
        <v>3</v>
      </c>
      <c r="B25" s="552" t="s">
        <v>100</v>
      </c>
      <c r="C25" s="134">
        <v>1</v>
      </c>
      <c r="D25" s="541"/>
      <c r="E25" s="548"/>
      <c r="F25" s="549"/>
      <c r="G25" s="541"/>
      <c r="H25" s="548"/>
      <c r="I25" s="549"/>
      <c r="J25" s="135"/>
      <c r="K25" s="136"/>
      <c r="L25" s="135"/>
      <c r="M25" s="137">
        <f>L25*J25</f>
        <v>0</v>
      </c>
      <c r="N25" s="135"/>
      <c r="O25" s="541"/>
      <c r="P25" s="542"/>
    </row>
    <row r="26" spans="1:16" ht="15.75" customHeight="1">
      <c r="A26" s="551"/>
      <c r="B26" s="552"/>
      <c r="C26" s="134">
        <v>2</v>
      </c>
      <c r="D26" s="541"/>
      <c r="E26" s="548"/>
      <c r="F26" s="549"/>
      <c r="G26" s="541"/>
      <c r="H26" s="548"/>
      <c r="I26" s="549"/>
      <c r="J26" s="135"/>
      <c r="K26" s="136"/>
      <c r="L26" s="135"/>
      <c r="M26" s="137">
        <f>L26*J26</f>
        <v>0</v>
      </c>
      <c r="N26" s="135"/>
      <c r="O26" s="138"/>
      <c r="P26" s="139"/>
    </row>
    <row r="27" spans="1:16" ht="15.75" customHeight="1">
      <c r="A27" s="551"/>
      <c r="B27" s="552"/>
      <c r="C27" s="134">
        <v>3</v>
      </c>
      <c r="D27" s="550"/>
      <c r="E27" s="548"/>
      <c r="F27" s="549"/>
      <c r="G27" s="550"/>
      <c r="H27" s="548"/>
      <c r="I27" s="549"/>
      <c r="J27" s="135"/>
      <c r="K27" s="136"/>
      <c r="L27" s="135"/>
      <c r="M27" s="137">
        <f>L27*J27</f>
        <v>0</v>
      </c>
      <c r="N27" s="135"/>
      <c r="O27" s="138"/>
      <c r="P27" s="139"/>
    </row>
    <row r="28" spans="1:16" ht="15.75" customHeight="1">
      <c r="A28" s="551"/>
      <c r="B28" s="552"/>
      <c r="C28" s="134">
        <v>4</v>
      </c>
      <c r="D28" s="550"/>
      <c r="E28" s="548"/>
      <c r="F28" s="549"/>
      <c r="G28" s="550"/>
      <c r="H28" s="548"/>
      <c r="I28" s="549"/>
      <c r="J28" s="135"/>
      <c r="K28" s="136"/>
      <c r="L28" s="135"/>
      <c r="M28" s="137">
        <f>L28*J28</f>
        <v>0</v>
      </c>
      <c r="N28" s="135"/>
      <c r="O28" s="138"/>
      <c r="P28" s="139"/>
    </row>
    <row r="29" spans="1:16" ht="15.75" customHeight="1">
      <c r="A29" s="551"/>
      <c r="B29" s="552"/>
      <c r="C29" s="140">
        <v>5</v>
      </c>
      <c r="D29" s="553"/>
      <c r="E29" s="554"/>
      <c r="F29" s="555"/>
      <c r="G29" s="553"/>
      <c r="H29" s="554"/>
      <c r="I29" s="555"/>
      <c r="J29" s="141"/>
      <c r="K29" s="142"/>
      <c r="L29" s="141"/>
      <c r="M29" s="143">
        <f>L29*J29</f>
        <v>0</v>
      </c>
      <c r="N29" s="135"/>
      <c r="O29" s="144"/>
      <c r="P29" s="145"/>
    </row>
    <row r="30" spans="1:16" ht="15.75" customHeight="1">
      <c r="A30" s="551"/>
      <c r="B30" s="552"/>
      <c r="C30" s="543"/>
      <c r="D30" s="543"/>
      <c r="E30" s="543"/>
      <c r="F30" s="543"/>
      <c r="G30" s="543"/>
      <c r="H30" s="543"/>
      <c r="I30" s="544"/>
      <c r="J30" s="146" t="s">
        <v>122</v>
      </c>
      <c r="K30" s="147" t="e">
        <f>M30/#REF!</f>
        <v>#REF!</v>
      </c>
      <c r="L30" s="146" t="s">
        <v>123</v>
      </c>
      <c r="M30" s="148">
        <f>SUM(M25:M29)</f>
        <v>0</v>
      </c>
      <c r="N30" s="545"/>
      <c r="O30" s="546"/>
      <c r="P30" s="547"/>
    </row>
  </sheetData>
  <mergeCells count="81"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9:F29"/>
    <mergeCell ref="G29:I29"/>
    <mergeCell ref="O25:P25"/>
    <mergeCell ref="O17:P17"/>
    <mergeCell ref="O18:P18"/>
    <mergeCell ref="C30:I30"/>
    <mergeCell ref="N30:P30"/>
    <mergeCell ref="D21:F21"/>
    <mergeCell ref="G21:I21"/>
    <mergeCell ref="C22:I22"/>
    <mergeCell ref="N22:P22"/>
    <mergeCell ref="O21:P21"/>
    <mergeCell ref="O19:P19"/>
    <mergeCell ref="O20:P20"/>
  </mergeCells>
  <phoneticPr fontId="20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outlinePr summaryBelow="0" summaryRight="0"/>
  </sheetPr>
  <dimension ref="A1:Q38"/>
  <sheetViews>
    <sheetView view="pageBreakPreview" topLeftCell="A7" zoomScaleNormal="60" zoomScaleSheetLayoutView="100" workbookViewId="0">
      <selection activeCell="G27" sqref="G27:I27"/>
    </sheetView>
  </sheetViews>
  <sheetFormatPr defaultColWidth="12.5703125" defaultRowHeight="15.75" customHeight="1"/>
  <cols>
    <col min="1" max="1" width="5.42578125" style="2" customWidth="1"/>
    <col min="2" max="2" width="11.42578125" style="113" customWidth="1"/>
    <col min="3" max="3" width="4" style="111" customWidth="1"/>
    <col min="4" max="17" width="9.5703125" style="2" customWidth="1"/>
    <col min="18" max="37" width="12.5703125" style="2" customWidth="1"/>
    <col min="38" max="16384" width="12.5703125" style="2"/>
  </cols>
  <sheetData>
    <row r="1" spans="1:17" s="122" customFormat="1" ht="15.75" customHeight="1">
      <c r="A1" s="562" t="s">
        <v>65</v>
      </c>
      <c r="B1" s="562"/>
      <c r="C1" s="562"/>
      <c r="D1" s="562"/>
      <c r="E1" s="562"/>
      <c r="F1" s="562"/>
      <c r="G1" s="562"/>
      <c r="H1" s="562"/>
      <c r="I1" s="562"/>
      <c r="J1" s="562"/>
      <c r="K1" s="562"/>
      <c r="L1" s="562"/>
      <c r="M1" s="562"/>
      <c r="N1" s="562"/>
      <c r="O1" s="562"/>
      <c r="P1" s="562"/>
      <c r="Q1" s="562"/>
    </row>
    <row r="2" spans="1:17" s="123" customFormat="1" ht="15.75" customHeight="1">
      <c r="A2" s="562"/>
      <c r="B2" s="562"/>
      <c r="C2" s="562"/>
      <c r="D2" s="562"/>
      <c r="E2" s="562"/>
      <c r="F2" s="562"/>
      <c r="G2" s="562"/>
      <c r="H2" s="562"/>
      <c r="I2" s="562"/>
      <c r="J2" s="562"/>
      <c r="K2" s="562"/>
      <c r="L2" s="562"/>
      <c r="M2" s="562"/>
      <c r="N2" s="562"/>
      <c r="O2" s="562"/>
      <c r="P2" s="562"/>
      <c r="Q2" s="562"/>
    </row>
    <row r="3" spans="1:17" s="122" customFormat="1" ht="15.75" customHeight="1">
      <c r="A3" s="563" t="s">
        <v>110</v>
      </c>
      <c r="B3" s="564"/>
      <c r="C3" s="564"/>
      <c r="D3" s="564"/>
      <c r="E3" s="564"/>
      <c r="F3" s="564"/>
      <c r="G3" s="564"/>
      <c r="H3" s="564"/>
      <c r="I3" s="564"/>
      <c r="J3" s="564"/>
      <c r="K3" s="564"/>
      <c r="L3" s="564"/>
      <c r="M3" s="564"/>
    </row>
    <row r="4" spans="1:17" s="123" customFormat="1" ht="15.75" customHeight="1">
      <c r="A4" s="564"/>
      <c r="B4" s="564"/>
      <c r="C4" s="564"/>
      <c r="D4" s="564"/>
      <c r="E4" s="564"/>
      <c r="F4" s="564"/>
      <c r="G4" s="564"/>
      <c r="H4" s="564"/>
      <c r="I4" s="564"/>
      <c r="J4" s="564"/>
      <c r="K4" s="564"/>
      <c r="L4" s="564"/>
      <c r="M4" s="564"/>
    </row>
    <row r="5" spans="1:17" s="122" customFormat="1" ht="15.75" customHeight="1">
      <c r="A5" s="434" t="s">
        <v>111</v>
      </c>
      <c r="B5" s="551">
        <v>1</v>
      </c>
      <c r="C5" s="551"/>
      <c r="D5" s="551">
        <v>2</v>
      </c>
      <c r="E5" s="551"/>
      <c r="F5" s="551">
        <v>3</v>
      </c>
      <c r="G5" s="551"/>
      <c r="H5" s="565">
        <v>4</v>
      </c>
      <c r="I5" s="565"/>
      <c r="J5" s="565">
        <v>5</v>
      </c>
      <c r="K5" s="565"/>
      <c r="L5" s="565">
        <v>6</v>
      </c>
      <c r="M5" s="565"/>
      <c r="N5" s="565">
        <v>7</v>
      </c>
      <c r="O5" s="565"/>
      <c r="P5" s="551">
        <v>8</v>
      </c>
      <c r="Q5" s="551"/>
    </row>
    <row r="6" spans="1:17" s="122" customFormat="1" ht="15.75" customHeight="1">
      <c r="A6" s="434"/>
      <c r="B6" s="434" t="s">
        <v>98</v>
      </c>
      <c r="C6" s="434"/>
      <c r="D6" s="434" t="s">
        <v>112</v>
      </c>
      <c r="E6" s="434"/>
      <c r="F6" s="434" t="s">
        <v>100</v>
      </c>
      <c r="G6" s="434"/>
      <c r="H6" s="593" t="s">
        <v>101</v>
      </c>
      <c r="I6" s="566"/>
      <c r="J6" s="566" t="s">
        <v>106</v>
      </c>
      <c r="K6" s="566"/>
      <c r="L6" s="566" t="s">
        <v>107</v>
      </c>
      <c r="M6" s="566"/>
      <c r="N6" s="566" t="s">
        <v>108</v>
      </c>
      <c r="O6" s="566"/>
      <c r="P6" s="561" t="s">
        <v>113</v>
      </c>
      <c r="Q6" s="434"/>
    </row>
    <row r="7" spans="1:17" s="122" customFormat="1" ht="15.75" customHeight="1">
      <c r="B7" s="149"/>
      <c r="C7" s="128"/>
    </row>
    <row r="8" spans="1:17" s="112" customFormat="1" ht="15.75" customHeight="1">
      <c r="A8" s="574" t="s">
        <v>111</v>
      </c>
      <c r="B8" s="575"/>
      <c r="C8" s="119" t="s">
        <v>50</v>
      </c>
      <c r="D8" s="576" t="s">
        <v>69</v>
      </c>
      <c r="E8" s="577"/>
      <c r="F8" s="578"/>
      <c r="G8" s="117" t="s">
        <v>114</v>
      </c>
      <c r="H8" s="118"/>
      <c r="I8" s="119"/>
      <c r="J8" s="116" t="s">
        <v>115</v>
      </c>
      <c r="K8" s="116" t="s">
        <v>116</v>
      </c>
      <c r="L8" s="116" t="s">
        <v>117</v>
      </c>
      <c r="M8" s="120" t="s">
        <v>102</v>
      </c>
      <c r="N8" s="120" t="s">
        <v>118</v>
      </c>
      <c r="O8" s="579" t="s">
        <v>73</v>
      </c>
      <c r="P8" s="580"/>
    </row>
    <row r="9" spans="1:17" ht="15.75" customHeight="1">
      <c r="A9" s="575">
        <v>4</v>
      </c>
      <c r="B9" s="589" t="s">
        <v>101</v>
      </c>
      <c r="C9" s="114">
        <v>1</v>
      </c>
      <c r="D9" s="592" t="s">
        <v>60</v>
      </c>
      <c r="E9" s="584"/>
      <c r="F9" s="585"/>
      <c r="G9" s="541" t="s">
        <v>125</v>
      </c>
      <c r="H9" s="584"/>
      <c r="I9" s="585"/>
      <c r="J9" s="4">
        <v>85</v>
      </c>
      <c r="K9" s="14">
        <v>7.0000000000000001E-3</v>
      </c>
      <c r="L9" s="4">
        <v>17</v>
      </c>
      <c r="M9" s="202">
        <f>L9*J9</f>
        <v>1445</v>
      </c>
      <c r="N9" s="229">
        <v>0.63900000000000001</v>
      </c>
      <c r="O9" s="567" t="s">
        <v>126</v>
      </c>
      <c r="P9" s="568"/>
    </row>
    <row r="10" spans="1:17" ht="15.75" customHeight="1">
      <c r="A10" s="575"/>
      <c r="B10" s="590"/>
      <c r="C10" s="114">
        <v>2</v>
      </c>
      <c r="D10" s="591" t="s">
        <v>395</v>
      </c>
      <c r="E10" s="587"/>
      <c r="F10" s="588"/>
      <c r="G10" s="592" t="s">
        <v>394</v>
      </c>
      <c r="H10" s="584"/>
      <c r="I10" s="585"/>
      <c r="J10" s="4">
        <v>153.80000000000001</v>
      </c>
      <c r="K10" s="14">
        <v>2E-3</v>
      </c>
      <c r="L10" s="4">
        <v>5.8</v>
      </c>
      <c r="M10" s="202">
        <f>L10*J10</f>
        <v>892.04000000000008</v>
      </c>
      <c r="N10" s="229"/>
      <c r="O10" s="567" t="s">
        <v>126</v>
      </c>
      <c r="P10" s="568"/>
    </row>
    <row r="11" spans="1:17" ht="15.75" customHeight="1">
      <c r="A11" s="575"/>
      <c r="B11" s="590"/>
      <c r="C11" s="114">
        <v>3</v>
      </c>
      <c r="D11" s="592" t="s">
        <v>397</v>
      </c>
      <c r="E11" s="584"/>
      <c r="F11" s="585"/>
      <c r="G11" s="592" t="s">
        <v>396</v>
      </c>
      <c r="H11" s="584"/>
      <c r="I11" s="585"/>
      <c r="J11" s="4">
        <v>39.200000000000003</v>
      </c>
      <c r="K11" s="14">
        <v>6.0000000000000001E-3</v>
      </c>
      <c r="L11" s="4">
        <v>2.4</v>
      </c>
      <c r="M11" s="202">
        <f>L11*J11</f>
        <v>94.08</v>
      </c>
      <c r="N11" s="229"/>
      <c r="O11" s="567" t="s">
        <v>126</v>
      </c>
      <c r="P11" s="568"/>
    </row>
    <row r="12" spans="1:17" ht="15.75" customHeight="1">
      <c r="A12" s="575"/>
      <c r="B12" s="590"/>
      <c r="C12" s="114">
        <v>4</v>
      </c>
      <c r="D12" s="592"/>
      <c r="E12" s="584"/>
      <c r="F12" s="585"/>
      <c r="G12" s="541"/>
      <c r="H12" s="584"/>
      <c r="I12" s="585"/>
      <c r="J12" s="4"/>
      <c r="K12" s="14"/>
      <c r="L12" s="4"/>
      <c r="M12" s="202">
        <f>L12*J12</f>
        <v>0</v>
      </c>
      <c r="N12" s="229"/>
      <c r="O12" s="567"/>
      <c r="P12" s="568"/>
    </row>
    <row r="13" spans="1:17" ht="15.75" customHeight="1">
      <c r="A13" s="575"/>
      <c r="B13" s="590"/>
      <c r="C13" s="115">
        <v>5</v>
      </c>
      <c r="D13" s="591"/>
      <c r="E13" s="587"/>
      <c r="F13" s="588"/>
      <c r="G13" s="591"/>
      <c r="H13" s="587"/>
      <c r="I13" s="588"/>
      <c r="J13" s="27"/>
      <c r="K13" s="30"/>
      <c r="L13" s="27"/>
      <c r="M13" s="202">
        <f>L13*J13</f>
        <v>0</v>
      </c>
      <c r="N13" s="229"/>
      <c r="O13" s="567"/>
      <c r="P13" s="568"/>
    </row>
    <row r="14" spans="1:17" ht="15.75" customHeight="1">
      <c r="A14" s="575"/>
      <c r="B14" s="590"/>
      <c r="C14" s="581"/>
      <c r="D14" s="581"/>
      <c r="E14" s="581"/>
      <c r="F14" s="581"/>
      <c r="G14" s="581"/>
      <c r="H14" s="581"/>
      <c r="I14" s="582"/>
      <c r="J14" s="121" t="s">
        <v>122</v>
      </c>
      <c r="K14" s="147" t="e">
        <f>M14/#REF!</f>
        <v>#REF!</v>
      </c>
      <c r="L14" s="121" t="s">
        <v>123</v>
      </c>
      <c r="M14" s="34">
        <v>0</v>
      </c>
      <c r="N14" s="569"/>
      <c r="O14" s="570"/>
      <c r="P14" s="571"/>
    </row>
    <row r="16" spans="1:17" ht="15.75" customHeight="1">
      <c r="A16" s="574" t="s">
        <v>111</v>
      </c>
      <c r="B16" s="575"/>
      <c r="C16" s="119" t="s">
        <v>50</v>
      </c>
      <c r="D16" s="576" t="s">
        <v>69</v>
      </c>
      <c r="E16" s="577"/>
      <c r="F16" s="578"/>
      <c r="G16" s="117" t="s">
        <v>114</v>
      </c>
      <c r="H16" s="118"/>
      <c r="I16" s="119"/>
      <c r="J16" s="116" t="s">
        <v>115</v>
      </c>
      <c r="K16" s="116" t="s">
        <v>116</v>
      </c>
      <c r="L16" s="116" t="s">
        <v>117</v>
      </c>
      <c r="M16" s="120" t="s">
        <v>102</v>
      </c>
      <c r="N16" s="120" t="s">
        <v>118</v>
      </c>
      <c r="O16" s="579" t="s">
        <v>73</v>
      </c>
      <c r="P16" s="580"/>
    </row>
    <row r="17" spans="1:16" ht="15.75" customHeight="1">
      <c r="A17" s="575">
        <v>5</v>
      </c>
      <c r="B17" s="589" t="s">
        <v>106</v>
      </c>
      <c r="C17" s="114">
        <v>1</v>
      </c>
      <c r="D17" s="592"/>
      <c r="E17" s="584"/>
      <c r="F17" s="585"/>
      <c r="G17" s="541"/>
      <c r="H17" s="584"/>
      <c r="I17" s="585"/>
      <c r="J17" s="4"/>
      <c r="K17" s="14"/>
      <c r="L17" s="4"/>
      <c r="M17" s="202">
        <f>L17*J17</f>
        <v>0</v>
      </c>
      <c r="N17" s="4"/>
      <c r="O17" s="567"/>
      <c r="P17" s="568"/>
    </row>
    <row r="18" spans="1:16" ht="15.75" customHeight="1">
      <c r="A18" s="575"/>
      <c r="B18" s="590"/>
      <c r="C18" s="114">
        <v>2</v>
      </c>
      <c r="D18" s="591"/>
      <c r="E18" s="587"/>
      <c r="F18" s="588"/>
      <c r="G18" s="592"/>
      <c r="H18" s="584"/>
      <c r="I18" s="585"/>
      <c r="J18" s="4"/>
      <c r="K18" s="14"/>
      <c r="L18" s="4"/>
      <c r="M18" s="202">
        <f>L18*J18</f>
        <v>0</v>
      </c>
      <c r="N18" s="4"/>
      <c r="O18" s="567"/>
      <c r="P18" s="568"/>
    </row>
    <row r="19" spans="1:16" ht="15.75" customHeight="1">
      <c r="A19" s="575"/>
      <c r="B19" s="590"/>
      <c r="C19" s="114">
        <v>3</v>
      </c>
      <c r="D19" s="592"/>
      <c r="E19" s="584"/>
      <c r="F19" s="585"/>
      <c r="G19" s="592"/>
      <c r="H19" s="584"/>
      <c r="I19" s="585"/>
      <c r="J19" s="4"/>
      <c r="K19" s="14"/>
      <c r="L19" s="4"/>
      <c r="M19" s="202">
        <f>L19*J19</f>
        <v>0</v>
      </c>
      <c r="N19" s="4"/>
      <c r="O19" s="567"/>
      <c r="P19" s="568"/>
    </row>
    <row r="20" spans="1:16" ht="15.75" customHeight="1">
      <c r="A20" s="575"/>
      <c r="B20" s="590"/>
      <c r="C20" s="114">
        <v>4</v>
      </c>
      <c r="D20" s="592"/>
      <c r="E20" s="584"/>
      <c r="F20" s="585"/>
      <c r="G20" s="541"/>
      <c r="H20" s="584"/>
      <c r="I20" s="585"/>
      <c r="J20" s="4"/>
      <c r="K20" s="14"/>
      <c r="L20" s="4"/>
      <c r="M20" s="202">
        <f>L20*J20</f>
        <v>0</v>
      </c>
      <c r="N20" s="4"/>
      <c r="O20" s="76"/>
      <c r="P20" s="74"/>
    </row>
    <row r="21" spans="1:16" ht="15.75" customHeight="1">
      <c r="A21" s="575"/>
      <c r="B21" s="590"/>
      <c r="C21" s="115">
        <v>5</v>
      </c>
      <c r="D21" s="591"/>
      <c r="E21" s="587"/>
      <c r="F21" s="588"/>
      <c r="G21" s="591"/>
      <c r="H21" s="587"/>
      <c r="I21" s="588"/>
      <c r="J21" s="27"/>
      <c r="K21" s="30"/>
      <c r="L21" s="27"/>
      <c r="M21" s="201">
        <f>L21*J21</f>
        <v>0</v>
      </c>
      <c r="N21" s="4"/>
      <c r="O21" s="77"/>
      <c r="P21" s="75"/>
    </row>
    <row r="22" spans="1:16" ht="15.75" customHeight="1">
      <c r="A22" s="575"/>
      <c r="B22" s="590"/>
      <c r="C22" s="581"/>
      <c r="D22" s="581"/>
      <c r="E22" s="581"/>
      <c r="F22" s="581"/>
      <c r="G22" s="581"/>
      <c r="H22" s="581"/>
      <c r="I22" s="582"/>
      <c r="J22" s="121" t="s">
        <v>122</v>
      </c>
      <c r="K22" s="147" t="e">
        <f>M22/#REF!</f>
        <v>#REF!</v>
      </c>
      <c r="L22" s="121" t="s">
        <v>123</v>
      </c>
      <c r="M22" s="34">
        <v>0</v>
      </c>
      <c r="N22" s="569"/>
      <c r="O22" s="570"/>
      <c r="P22" s="571"/>
    </row>
    <row r="24" spans="1:16" ht="15.75" customHeight="1">
      <c r="A24" s="574" t="s">
        <v>111</v>
      </c>
      <c r="B24" s="575"/>
      <c r="C24" s="119" t="s">
        <v>50</v>
      </c>
      <c r="D24" s="576" t="s">
        <v>69</v>
      </c>
      <c r="E24" s="577"/>
      <c r="F24" s="578"/>
      <c r="G24" s="117" t="s">
        <v>114</v>
      </c>
      <c r="H24" s="118"/>
      <c r="I24" s="119"/>
      <c r="J24" s="116" t="s">
        <v>115</v>
      </c>
      <c r="K24" s="116" t="s">
        <v>116</v>
      </c>
      <c r="L24" s="116" t="s">
        <v>117</v>
      </c>
      <c r="M24" s="120" t="s">
        <v>102</v>
      </c>
      <c r="N24" s="120" t="s">
        <v>72</v>
      </c>
      <c r="O24" s="579" t="s">
        <v>73</v>
      </c>
      <c r="P24" s="580"/>
    </row>
    <row r="25" spans="1:16" ht="15.75" customHeight="1">
      <c r="A25" s="575">
        <v>6</v>
      </c>
      <c r="B25" s="589" t="s">
        <v>107</v>
      </c>
      <c r="C25" s="114">
        <v>1</v>
      </c>
      <c r="D25" s="591" t="s">
        <v>399</v>
      </c>
      <c r="E25" s="587"/>
      <c r="F25" s="588"/>
      <c r="G25" s="541" t="s">
        <v>398</v>
      </c>
      <c r="H25" s="584"/>
      <c r="I25" s="585"/>
      <c r="J25" s="4">
        <v>432.2</v>
      </c>
      <c r="K25" s="14">
        <v>1E-3</v>
      </c>
      <c r="L25" s="4">
        <v>0.4</v>
      </c>
      <c r="M25" s="202">
        <f>L25*J25</f>
        <v>172.88</v>
      </c>
      <c r="N25" s="229">
        <v>0.5</v>
      </c>
      <c r="O25" s="541" t="s">
        <v>130</v>
      </c>
      <c r="P25" s="542"/>
    </row>
    <row r="26" spans="1:16" ht="15.75" customHeight="1">
      <c r="A26" s="575"/>
      <c r="B26" s="590"/>
      <c r="C26" s="114">
        <v>2</v>
      </c>
      <c r="D26" s="591"/>
      <c r="E26" s="587"/>
      <c r="F26" s="588"/>
      <c r="G26" s="541"/>
      <c r="H26" s="584"/>
      <c r="I26" s="585"/>
      <c r="J26" s="4"/>
      <c r="K26" s="14"/>
      <c r="L26" s="4"/>
      <c r="M26" s="202">
        <f>L26*J26</f>
        <v>0</v>
      </c>
      <c r="N26" s="229"/>
      <c r="O26" s="541"/>
      <c r="P26" s="542"/>
    </row>
    <row r="27" spans="1:16" ht="15.75" customHeight="1">
      <c r="A27" s="575"/>
      <c r="B27" s="590"/>
      <c r="C27" s="114">
        <v>3</v>
      </c>
      <c r="D27" s="592"/>
      <c r="E27" s="584"/>
      <c r="F27" s="585"/>
      <c r="G27" s="592"/>
      <c r="H27" s="584"/>
      <c r="I27" s="585"/>
      <c r="J27" s="4"/>
      <c r="K27" s="14"/>
      <c r="L27" s="4"/>
      <c r="M27" s="199"/>
      <c r="N27" s="229"/>
      <c r="O27" s="541"/>
      <c r="P27" s="542"/>
    </row>
    <row r="28" spans="1:16" ht="15.75" customHeight="1">
      <c r="A28" s="575"/>
      <c r="B28" s="590"/>
      <c r="C28" s="114">
        <v>4</v>
      </c>
      <c r="D28" s="592"/>
      <c r="E28" s="584"/>
      <c r="F28" s="585"/>
      <c r="G28" s="541"/>
      <c r="H28" s="584"/>
      <c r="I28" s="585"/>
      <c r="J28" s="4"/>
      <c r="K28" s="14"/>
      <c r="L28" s="4"/>
      <c r="M28" s="201"/>
      <c r="N28" s="229"/>
      <c r="O28" s="567"/>
      <c r="P28" s="572"/>
    </row>
    <row r="29" spans="1:16" ht="15.75" customHeight="1">
      <c r="A29" s="575"/>
      <c r="B29" s="590"/>
      <c r="C29" s="115">
        <v>5</v>
      </c>
      <c r="D29" s="591"/>
      <c r="E29" s="587"/>
      <c r="F29" s="588"/>
      <c r="G29" s="591"/>
      <c r="H29" s="587"/>
      <c r="I29" s="588"/>
      <c r="J29" s="27"/>
      <c r="K29" s="30"/>
      <c r="L29" s="27"/>
      <c r="M29" s="202"/>
      <c r="N29" s="229"/>
      <c r="O29" s="573"/>
      <c r="P29" s="568"/>
    </row>
    <row r="30" spans="1:16" ht="15.75" customHeight="1">
      <c r="A30" s="575"/>
      <c r="B30" s="590"/>
      <c r="C30" s="581"/>
      <c r="D30" s="581"/>
      <c r="E30" s="581"/>
      <c r="F30" s="581"/>
      <c r="G30" s="581"/>
      <c r="H30" s="581"/>
      <c r="I30" s="582"/>
      <c r="J30" s="121" t="s">
        <v>122</v>
      </c>
      <c r="K30" s="147" t="e">
        <f>M30/#REF!</f>
        <v>#REF!</v>
      </c>
      <c r="L30" s="121" t="s">
        <v>123</v>
      </c>
      <c r="M30" s="34">
        <v>0</v>
      </c>
      <c r="N30" s="569"/>
      <c r="O30" s="570"/>
      <c r="P30" s="571"/>
    </row>
    <row r="32" spans="1:16" ht="15.75" customHeight="1">
      <c r="A32" s="574" t="s">
        <v>111</v>
      </c>
      <c r="B32" s="575"/>
      <c r="C32" s="119" t="s">
        <v>50</v>
      </c>
      <c r="D32" s="576" t="s">
        <v>69</v>
      </c>
      <c r="E32" s="577"/>
      <c r="F32" s="578"/>
      <c r="G32" s="117" t="s">
        <v>114</v>
      </c>
      <c r="H32" s="118"/>
      <c r="I32" s="119"/>
      <c r="J32" s="116" t="s">
        <v>115</v>
      </c>
      <c r="K32" s="116" t="s">
        <v>116</v>
      </c>
      <c r="L32" s="116" t="s">
        <v>117</v>
      </c>
      <c r="M32" s="120" t="s">
        <v>102</v>
      </c>
      <c r="N32" s="120" t="s">
        <v>72</v>
      </c>
      <c r="O32" s="579" t="s">
        <v>73</v>
      </c>
      <c r="P32" s="580"/>
    </row>
    <row r="33" spans="1:16" ht="15.75" customHeight="1">
      <c r="A33" s="575">
        <v>7</v>
      </c>
      <c r="B33" s="589" t="s">
        <v>100</v>
      </c>
      <c r="C33" s="114">
        <v>1</v>
      </c>
      <c r="D33" s="591"/>
      <c r="E33" s="587"/>
      <c r="F33" s="588"/>
      <c r="G33" s="541"/>
      <c r="H33" s="584"/>
      <c r="I33" s="585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575"/>
      <c r="B34" s="590"/>
      <c r="C34" s="114">
        <v>2</v>
      </c>
      <c r="D34" s="583"/>
      <c r="E34" s="584"/>
      <c r="F34" s="585"/>
      <c r="G34" s="583"/>
      <c r="H34" s="584"/>
      <c r="I34" s="585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75"/>
      <c r="B35" s="590"/>
      <c r="C35" s="114">
        <v>3</v>
      </c>
      <c r="D35" s="583"/>
      <c r="E35" s="584"/>
      <c r="F35" s="585"/>
      <c r="G35" s="583"/>
      <c r="H35" s="584"/>
      <c r="I35" s="585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75"/>
      <c r="B36" s="590"/>
      <c r="C36" s="114">
        <v>4</v>
      </c>
      <c r="D36" s="583"/>
      <c r="E36" s="584"/>
      <c r="F36" s="585"/>
      <c r="G36" s="583"/>
      <c r="H36" s="584"/>
      <c r="I36" s="585"/>
      <c r="J36" s="4"/>
      <c r="K36" s="14"/>
      <c r="L36" s="4"/>
      <c r="M36" s="16">
        <v>0</v>
      </c>
      <c r="N36" s="4"/>
      <c r="O36" s="76"/>
      <c r="P36" s="74"/>
    </row>
    <row r="37" spans="1:16" ht="15.75" customHeight="1">
      <c r="A37" s="575"/>
      <c r="B37" s="590"/>
      <c r="C37" s="115">
        <v>5</v>
      </c>
      <c r="D37" s="586"/>
      <c r="E37" s="587"/>
      <c r="F37" s="588"/>
      <c r="G37" s="586"/>
      <c r="H37" s="587"/>
      <c r="I37" s="588"/>
      <c r="J37" s="27"/>
      <c r="K37" s="30"/>
      <c r="L37" s="27"/>
      <c r="M37" s="31">
        <v>0</v>
      </c>
      <c r="N37" s="4"/>
      <c r="O37" s="77"/>
      <c r="P37" s="75"/>
    </row>
    <row r="38" spans="1:16" ht="15.75" customHeight="1">
      <c r="A38" s="575"/>
      <c r="B38" s="590"/>
      <c r="C38" s="581"/>
      <c r="D38" s="581"/>
      <c r="E38" s="581"/>
      <c r="F38" s="581"/>
      <c r="G38" s="581"/>
      <c r="H38" s="581"/>
      <c r="I38" s="582"/>
      <c r="J38" s="121" t="s">
        <v>122</v>
      </c>
      <c r="K38" s="147" t="e">
        <f>M38/#REF!</f>
        <v>#REF!</v>
      </c>
      <c r="L38" s="121" t="s">
        <v>123</v>
      </c>
      <c r="M38" s="34">
        <v>0</v>
      </c>
      <c r="N38" s="569"/>
      <c r="O38" s="570"/>
      <c r="P38" s="571"/>
    </row>
  </sheetData>
  <mergeCells count="100"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11:P11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O25:P25"/>
    <mergeCell ref="O26:P26"/>
    <mergeCell ref="O9:P9"/>
    <mergeCell ref="O10:P10"/>
    <mergeCell ref="N30:P30"/>
    <mergeCell ref="O27:P27"/>
    <mergeCell ref="O28:P28"/>
    <mergeCell ref="O29:P29"/>
    <mergeCell ref="O17:P17"/>
    <mergeCell ref="O18:P18"/>
    <mergeCell ref="O19:P19"/>
    <mergeCell ref="O12:P12"/>
    <mergeCell ref="O13:P13"/>
  </mergeCells>
  <phoneticPr fontId="20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outlinePr summaryBelow="0" summaryRight="0"/>
  </sheetPr>
  <dimension ref="A1:Q30"/>
  <sheetViews>
    <sheetView view="pageBreakPreview" zoomScaleNormal="60" zoomScaleSheetLayoutView="100" workbookViewId="0">
      <selection activeCell="O9" sqref="O9:P11"/>
    </sheetView>
  </sheetViews>
  <sheetFormatPr defaultColWidth="12.5703125" defaultRowHeight="15.75" customHeight="1"/>
  <cols>
    <col min="1" max="1" width="5.42578125" style="122" customWidth="1"/>
    <col min="2" max="2" width="11.42578125" style="149" customWidth="1"/>
    <col min="3" max="3" width="4" style="128" customWidth="1"/>
    <col min="4" max="17" width="9.5703125" style="122" customWidth="1"/>
    <col min="18" max="37" width="12.5703125" style="122" customWidth="1"/>
    <col min="38" max="16384" width="12.5703125" style="122"/>
  </cols>
  <sheetData>
    <row r="1" spans="1:17" ht="15.75" customHeight="1">
      <c r="A1" s="562" t="s">
        <v>65</v>
      </c>
      <c r="B1" s="562"/>
      <c r="C1" s="562"/>
      <c r="D1" s="562"/>
      <c r="E1" s="562"/>
      <c r="F1" s="562"/>
      <c r="G1" s="562"/>
      <c r="H1" s="562"/>
      <c r="I1" s="562"/>
      <c r="J1" s="562"/>
      <c r="K1" s="562"/>
      <c r="L1" s="562"/>
      <c r="M1" s="562"/>
      <c r="N1" s="562"/>
      <c r="O1" s="562"/>
      <c r="P1" s="562"/>
      <c r="Q1" s="562"/>
    </row>
    <row r="2" spans="1:17" s="123" customFormat="1" ht="15.75" customHeight="1">
      <c r="A2" s="562"/>
      <c r="B2" s="562"/>
      <c r="C2" s="562"/>
      <c r="D2" s="562"/>
      <c r="E2" s="562"/>
      <c r="F2" s="562"/>
      <c r="G2" s="562"/>
      <c r="H2" s="562"/>
      <c r="I2" s="562"/>
      <c r="J2" s="562"/>
      <c r="K2" s="562"/>
      <c r="L2" s="562"/>
      <c r="M2" s="562"/>
      <c r="N2" s="562"/>
      <c r="O2" s="562"/>
      <c r="P2" s="562"/>
      <c r="Q2" s="562"/>
    </row>
    <row r="3" spans="1:17" ht="15.75" customHeight="1">
      <c r="A3" s="563" t="s">
        <v>131</v>
      </c>
      <c r="B3" s="564"/>
      <c r="C3" s="564"/>
      <c r="D3" s="564"/>
      <c r="E3" s="564"/>
      <c r="F3" s="564"/>
      <c r="G3" s="564"/>
      <c r="H3" s="564"/>
      <c r="I3" s="564"/>
      <c r="J3" s="564"/>
      <c r="K3" s="564"/>
      <c r="L3" s="564"/>
      <c r="M3" s="564"/>
    </row>
    <row r="4" spans="1:17" s="123" customFormat="1" ht="15.75" customHeight="1">
      <c r="A4" s="564"/>
      <c r="B4" s="564"/>
      <c r="C4" s="564"/>
      <c r="D4" s="564"/>
      <c r="E4" s="564"/>
      <c r="F4" s="564"/>
      <c r="G4" s="564"/>
      <c r="H4" s="564"/>
      <c r="I4" s="564"/>
      <c r="J4" s="564"/>
      <c r="K4" s="564"/>
      <c r="L4" s="564"/>
      <c r="M4" s="564"/>
    </row>
    <row r="5" spans="1:17" ht="15.75" customHeight="1">
      <c r="A5" s="434" t="s">
        <v>111</v>
      </c>
      <c r="B5" s="565">
        <v>1</v>
      </c>
      <c r="C5" s="565"/>
      <c r="D5" s="565">
        <v>2</v>
      </c>
      <c r="E5" s="565"/>
      <c r="F5" s="565">
        <v>3</v>
      </c>
      <c r="G5" s="565"/>
      <c r="H5" s="551">
        <v>4</v>
      </c>
      <c r="I5" s="551"/>
      <c r="J5" s="551">
        <v>5</v>
      </c>
      <c r="K5" s="551"/>
      <c r="L5" s="551">
        <v>6</v>
      </c>
      <c r="M5" s="551"/>
      <c r="N5" s="551">
        <v>7</v>
      </c>
      <c r="O5" s="551"/>
      <c r="P5" s="551">
        <v>8</v>
      </c>
      <c r="Q5" s="551"/>
    </row>
    <row r="6" spans="1:17" ht="15.75" customHeight="1">
      <c r="A6" s="434"/>
      <c r="B6" s="566" t="s">
        <v>98</v>
      </c>
      <c r="C6" s="566"/>
      <c r="D6" s="566" t="s">
        <v>112</v>
      </c>
      <c r="E6" s="566"/>
      <c r="F6" s="566" t="s">
        <v>100</v>
      </c>
      <c r="G6" s="566"/>
      <c r="H6" s="561" t="s">
        <v>101</v>
      </c>
      <c r="I6" s="561"/>
      <c r="J6" s="434" t="s">
        <v>106</v>
      </c>
      <c r="K6" s="434"/>
      <c r="L6" s="434" t="s">
        <v>107</v>
      </c>
      <c r="M6" s="434"/>
      <c r="N6" s="434" t="s">
        <v>108</v>
      </c>
      <c r="O6" s="434"/>
      <c r="P6" s="561" t="s">
        <v>113</v>
      </c>
      <c r="Q6" s="434"/>
    </row>
    <row r="8" spans="1:17" s="124" customFormat="1" ht="15.75" customHeight="1">
      <c r="A8" s="551" t="s">
        <v>111</v>
      </c>
      <c r="B8" s="551"/>
      <c r="C8" s="130" t="s">
        <v>50</v>
      </c>
      <c r="D8" s="556" t="s">
        <v>69</v>
      </c>
      <c r="E8" s="557"/>
      <c r="F8" s="558"/>
      <c r="G8" s="131" t="s">
        <v>114</v>
      </c>
      <c r="H8" s="132"/>
      <c r="I8" s="130"/>
      <c r="J8" s="133" t="s">
        <v>115</v>
      </c>
      <c r="K8" s="328" t="s">
        <v>132</v>
      </c>
      <c r="L8" s="133" t="s">
        <v>117</v>
      </c>
      <c r="M8" s="133" t="s">
        <v>102</v>
      </c>
      <c r="N8" s="133" t="s">
        <v>118</v>
      </c>
      <c r="O8" s="559" t="s">
        <v>73</v>
      </c>
      <c r="P8" s="560"/>
    </row>
    <row r="9" spans="1:17" ht="15.75" customHeight="1">
      <c r="A9" s="551">
        <v>1</v>
      </c>
      <c r="B9" s="552" t="s">
        <v>98</v>
      </c>
      <c r="C9" s="134">
        <v>1</v>
      </c>
      <c r="D9" s="550"/>
      <c r="E9" s="548"/>
      <c r="F9" s="549"/>
      <c r="G9" s="550"/>
      <c r="H9" s="548"/>
      <c r="I9" s="549"/>
      <c r="J9" s="135"/>
      <c r="K9" s="136"/>
      <c r="L9" s="135"/>
      <c r="M9" s="199">
        <f>L9*J9</f>
        <v>0</v>
      </c>
      <c r="N9" s="135"/>
      <c r="O9" s="541"/>
      <c r="P9" s="542"/>
    </row>
    <row r="10" spans="1:17" ht="15.75" customHeight="1">
      <c r="A10" s="551"/>
      <c r="B10" s="552"/>
      <c r="C10" s="134">
        <v>2</v>
      </c>
      <c r="D10" s="550"/>
      <c r="E10" s="548"/>
      <c r="F10" s="549"/>
      <c r="G10" s="550"/>
      <c r="H10" s="548"/>
      <c r="I10" s="549"/>
      <c r="J10" s="135"/>
      <c r="K10" s="136"/>
      <c r="L10" s="135"/>
      <c r="M10" s="199">
        <f>L10*J10</f>
        <v>0</v>
      </c>
      <c r="N10" s="135"/>
      <c r="O10" s="541"/>
      <c r="P10" s="542"/>
    </row>
    <row r="11" spans="1:17" ht="15.75" customHeight="1">
      <c r="A11" s="551"/>
      <c r="B11" s="552"/>
      <c r="C11" s="134">
        <v>3</v>
      </c>
      <c r="D11" s="541"/>
      <c r="E11" s="548"/>
      <c r="F11" s="549"/>
      <c r="G11" s="550"/>
      <c r="H11" s="548"/>
      <c r="I11" s="549"/>
      <c r="J11" s="135"/>
      <c r="K11" s="136"/>
      <c r="L11" s="135"/>
      <c r="M11" s="199">
        <f>L11*J11</f>
        <v>0</v>
      </c>
      <c r="N11" s="135"/>
      <c r="O11" s="541"/>
      <c r="P11" s="542"/>
    </row>
    <row r="12" spans="1:17" ht="15.75" customHeight="1">
      <c r="A12" s="551"/>
      <c r="B12" s="552"/>
      <c r="C12" s="134">
        <v>4</v>
      </c>
      <c r="D12" s="550"/>
      <c r="E12" s="548"/>
      <c r="F12" s="549"/>
      <c r="G12" s="550"/>
      <c r="H12" s="548"/>
      <c r="I12" s="549"/>
      <c r="J12" s="135"/>
      <c r="K12" s="136"/>
      <c r="L12" s="135"/>
      <c r="M12" s="199">
        <f>L12*J12</f>
        <v>0</v>
      </c>
      <c r="N12" s="135"/>
      <c r="O12" s="138"/>
      <c r="P12" s="139"/>
    </row>
    <row r="13" spans="1:17" ht="15.75" customHeight="1">
      <c r="A13" s="551"/>
      <c r="B13" s="552"/>
      <c r="C13" s="140">
        <v>5</v>
      </c>
      <c r="D13" s="553"/>
      <c r="E13" s="554"/>
      <c r="F13" s="555"/>
      <c r="G13" s="553"/>
      <c r="H13" s="554"/>
      <c r="I13" s="555"/>
      <c r="J13" s="141"/>
      <c r="K13" s="142"/>
      <c r="L13" s="141"/>
      <c r="M13" s="200">
        <f>L13*J13</f>
        <v>0</v>
      </c>
      <c r="N13" s="135"/>
      <c r="O13" s="144"/>
      <c r="P13" s="145"/>
    </row>
    <row r="14" spans="1:17" ht="15.75" customHeight="1">
      <c r="A14" s="551"/>
      <c r="B14" s="552"/>
      <c r="C14" s="543"/>
      <c r="D14" s="543"/>
      <c r="E14" s="543"/>
      <c r="F14" s="543"/>
      <c r="G14" s="543"/>
      <c r="H14" s="543"/>
      <c r="I14" s="544"/>
      <c r="J14" s="146" t="s">
        <v>122</v>
      </c>
      <c r="K14" s="147" t="e">
        <f>M14/#REF!</f>
        <v>#REF!</v>
      </c>
      <c r="L14" s="146" t="s">
        <v>123</v>
      </c>
      <c r="M14" s="148">
        <f>SUM(M9:M13)</f>
        <v>0</v>
      </c>
      <c r="N14" s="545"/>
      <c r="O14" s="546"/>
      <c r="P14" s="547"/>
    </row>
    <row r="16" spans="1:17" ht="15.75" customHeight="1">
      <c r="A16" s="551" t="s">
        <v>111</v>
      </c>
      <c r="B16" s="551"/>
      <c r="C16" s="130" t="s">
        <v>50</v>
      </c>
      <c r="D16" s="556" t="s">
        <v>69</v>
      </c>
      <c r="E16" s="557"/>
      <c r="F16" s="558"/>
      <c r="G16" s="131" t="s">
        <v>114</v>
      </c>
      <c r="H16" s="132"/>
      <c r="I16" s="130"/>
      <c r="J16" s="133" t="s">
        <v>115</v>
      </c>
      <c r="K16" s="328" t="s">
        <v>132</v>
      </c>
      <c r="L16" s="133" t="s">
        <v>117</v>
      </c>
      <c r="M16" s="133" t="s">
        <v>102</v>
      </c>
      <c r="N16" s="133" t="s">
        <v>118</v>
      </c>
      <c r="O16" s="559" t="s">
        <v>73</v>
      </c>
      <c r="P16" s="560"/>
    </row>
    <row r="17" spans="1:16" ht="15.75" customHeight="1">
      <c r="A17" s="551">
        <v>2</v>
      </c>
      <c r="B17" s="552" t="s">
        <v>124</v>
      </c>
      <c r="C17" s="134">
        <v>1</v>
      </c>
      <c r="D17" s="550"/>
      <c r="E17" s="548"/>
      <c r="F17" s="549"/>
      <c r="G17" s="550"/>
      <c r="H17" s="548"/>
      <c r="I17" s="549"/>
      <c r="J17" s="135"/>
      <c r="K17" s="136"/>
      <c r="L17" s="135"/>
      <c r="M17" s="199"/>
      <c r="N17" s="232"/>
      <c r="O17" s="594"/>
      <c r="P17" s="595"/>
    </row>
    <row r="18" spans="1:16" ht="15.75" customHeight="1">
      <c r="A18" s="551"/>
      <c r="B18" s="552"/>
      <c r="C18" s="134">
        <v>2</v>
      </c>
      <c r="D18" s="550"/>
      <c r="E18" s="548"/>
      <c r="F18" s="549"/>
      <c r="G18" s="550"/>
      <c r="H18" s="548"/>
      <c r="I18" s="549"/>
      <c r="J18" s="135"/>
      <c r="K18" s="136"/>
      <c r="L18" s="135"/>
      <c r="M18" s="199"/>
      <c r="N18" s="232"/>
      <c r="O18" s="594"/>
      <c r="P18" s="595"/>
    </row>
    <row r="19" spans="1:16" ht="15.75" customHeight="1">
      <c r="A19" s="551"/>
      <c r="B19" s="552"/>
      <c r="C19" s="134">
        <v>3</v>
      </c>
      <c r="D19" s="541"/>
      <c r="E19" s="548"/>
      <c r="F19" s="549"/>
      <c r="G19" s="550"/>
      <c r="H19" s="548"/>
      <c r="I19" s="549"/>
      <c r="J19" s="135"/>
      <c r="K19" s="136"/>
      <c r="L19" s="135"/>
      <c r="M19" s="199"/>
      <c r="N19" s="232"/>
      <c r="O19" s="594"/>
      <c r="P19" s="595"/>
    </row>
    <row r="20" spans="1:16" ht="15.75" customHeight="1">
      <c r="A20" s="551"/>
      <c r="B20" s="552"/>
      <c r="C20" s="134">
        <v>4</v>
      </c>
      <c r="D20" s="596"/>
      <c r="E20" s="548"/>
      <c r="F20" s="549"/>
      <c r="G20" s="550"/>
      <c r="H20" s="548"/>
      <c r="I20" s="549"/>
      <c r="J20" s="135"/>
      <c r="K20" s="136"/>
      <c r="L20" s="135"/>
      <c r="M20" s="199"/>
      <c r="N20" s="232"/>
      <c r="O20" s="594"/>
      <c r="P20" s="595"/>
    </row>
    <row r="21" spans="1:16" ht="15.75" customHeight="1">
      <c r="A21" s="551"/>
      <c r="B21" s="552"/>
      <c r="C21" s="140">
        <v>5</v>
      </c>
      <c r="D21" s="550"/>
      <c r="E21" s="548"/>
      <c r="F21" s="549"/>
      <c r="G21" s="550"/>
      <c r="H21" s="548"/>
      <c r="I21" s="549"/>
      <c r="J21" s="135"/>
      <c r="K21" s="136"/>
      <c r="L21" s="135"/>
      <c r="M21" s="199"/>
      <c r="N21" s="232"/>
      <c r="O21" s="594"/>
      <c r="P21" s="595"/>
    </row>
    <row r="22" spans="1:16" ht="15.75" customHeight="1">
      <c r="A22" s="551"/>
      <c r="B22" s="552"/>
      <c r="C22" s="543"/>
      <c r="D22" s="543"/>
      <c r="E22" s="543"/>
      <c r="F22" s="543"/>
      <c r="G22" s="543"/>
      <c r="H22" s="543"/>
      <c r="I22" s="544"/>
      <c r="J22" s="146" t="s">
        <v>122</v>
      </c>
      <c r="K22" s="147" t="e">
        <f>M22/#REF!</f>
        <v>#REF!</v>
      </c>
      <c r="L22" s="146" t="s">
        <v>123</v>
      </c>
      <c r="M22" s="231">
        <f>SUM(M17:M21)</f>
        <v>0</v>
      </c>
      <c r="N22" s="545"/>
      <c r="O22" s="546"/>
      <c r="P22" s="547"/>
    </row>
    <row r="24" spans="1:16" ht="15.75" customHeight="1">
      <c r="A24" s="551" t="s">
        <v>111</v>
      </c>
      <c r="B24" s="551"/>
      <c r="C24" s="130" t="s">
        <v>50</v>
      </c>
      <c r="D24" s="556" t="s">
        <v>69</v>
      </c>
      <c r="E24" s="557"/>
      <c r="F24" s="558"/>
      <c r="G24" s="131" t="s">
        <v>114</v>
      </c>
      <c r="H24" s="132"/>
      <c r="I24" s="130"/>
      <c r="J24" s="133" t="s">
        <v>115</v>
      </c>
      <c r="K24" s="328" t="s">
        <v>132</v>
      </c>
      <c r="L24" s="133" t="s">
        <v>117</v>
      </c>
      <c r="M24" s="133" t="s">
        <v>102</v>
      </c>
      <c r="N24" s="133" t="s">
        <v>72</v>
      </c>
      <c r="O24" s="559" t="s">
        <v>73</v>
      </c>
      <c r="P24" s="560"/>
    </row>
    <row r="25" spans="1:16" ht="15.75" customHeight="1">
      <c r="A25" s="551">
        <v>3</v>
      </c>
      <c r="B25" s="552" t="s">
        <v>100</v>
      </c>
      <c r="C25" s="134">
        <v>1</v>
      </c>
      <c r="D25" s="550"/>
      <c r="E25" s="548"/>
      <c r="F25" s="549"/>
      <c r="G25" s="550"/>
      <c r="H25" s="548"/>
      <c r="I25" s="549"/>
      <c r="J25" s="135"/>
      <c r="K25" s="136"/>
      <c r="L25" s="135"/>
      <c r="M25" s="137">
        <f>L25*J25</f>
        <v>0</v>
      </c>
      <c r="N25" s="135"/>
      <c r="O25" s="594"/>
      <c r="P25" s="595"/>
    </row>
    <row r="26" spans="1:16" ht="15.75" customHeight="1">
      <c r="A26" s="551"/>
      <c r="B26" s="552"/>
      <c r="C26" s="134">
        <v>2</v>
      </c>
      <c r="D26" s="550"/>
      <c r="E26" s="548"/>
      <c r="F26" s="549"/>
      <c r="G26" s="550"/>
      <c r="H26" s="548"/>
      <c r="I26" s="549"/>
      <c r="J26" s="135"/>
      <c r="K26" s="136"/>
      <c r="L26" s="135"/>
      <c r="M26" s="137">
        <f>L26*J26</f>
        <v>0</v>
      </c>
      <c r="N26" s="135"/>
      <c r="O26" s="594"/>
      <c r="P26" s="595"/>
    </row>
    <row r="27" spans="1:16" ht="15.75" customHeight="1">
      <c r="A27" s="551"/>
      <c r="B27" s="552"/>
      <c r="C27" s="134">
        <v>3</v>
      </c>
      <c r="D27" s="550"/>
      <c r="E27" s="548"/>
      <c r="F27" s="549"/>
      <c r="G27" s="550"/>
      <c r="H27" s="548"/>
      <c r="I27" s="549"/>
      <c r="J27" s="135"/>
      <c r="K27" s="136"/>
      <c r="L27" s="135"/>
      <c r="M27" s="137">
        <f>L27*J27</f>
        <v>0</v>
      </c>
      <c r="N27" s="135"/>
      <c r="O27" s="594"/>
      <c r="P27" s="595"/>
    </row>
    <row r="28" spans="1:16" ht="15.75" customHeight="1">
      <c r="A28" s="551"/>
      <c r="B28" s="552"/>
      <c r="C28" s="134">
        <v>4</v>
      </c>
      <c r="D28" s="550"/>
      <c r="E28" s="548"/>
      <c r="F28" s="549"/>
      <c r="G28" s="550"/>
      <c r="H28" s="548"/>
      <c r="I28" s="549"/>
      <c r="J28" s="135"/>
      <c r="K28" s="136"/>
      <c r="L28" s="135"/>
      <c r="M28" s="137">
        <f>L28*J28</f>
        <v>0</v>
      </c>
      <c r="N28" s="135"/>
      <c r="O28" s="594"/>
      <c r="P28" s="595"/>
    </row>
    <row r="29" spans="1:16" ht="15.75" customHeight="1">
      <c r="A29" s="551"/>
      <c r="B29" s="552"/>
      <c r="C29" s="140">
        <v>5</v>
      </c>
      <c r="D29" s="553"/>
      <c r="E29" s="554"/>
      <c r="F29" s="555"/>
      <c r="G29" s="553"/>
      <c r="H29" s="554"/>
      <c r="I29" s="555"/>
      <c r="J29" s="141"/>
      <c r="K29" s="142"/>
      <c r="L29" s="141"/>
      <c r="M29" s="143">
        <f>L29*J29</f>
        <v>0</v>
      </c>
      <c r="N29" s="135"/>
      <c r="O29" s="594"/>
      <c r="P29" s="595"/>
    </row>
    <row r="30" spans="1:16" ht="15.75" customHeight="1">
      <c r="A30" s="551"/>
      <c r="B30" s="552"/>
      <c r="C30" s="543"/>
      <c r="D30" s="543"/>
      <c r="E30" s="543"/>
      <c r="F30" s="543"/>
      <c r="G30" s="543"/>
      <c r="H30" s="543"/>
      <c r="I30" s="544"/>
      <c r="J30" s="146" t="s">
        <v>122</v>
      </c>
      <c r="K30" s="147" t="e">
        <f>M30/#REF!</f>
        <v>#REF!</v>
      </c>
      <c r="L30" s="146" t="s">
        <v>123</v>
      </c>
      <c r="M30" s="148">
        <f>SUM(M25:M29)</f>
        <v>0</v>
      </c>
      <c r="N30" s="545"/>
      <c r="O30" s="546"/>
      <c r="P30" s="547"/>
    </row>
  </sheetData>
  <mergeCells count="83">
    <mergeCell ref="N30:P30"/>
    <mergeCell ref="G26:I26"/>
    <mergeCell ref="D27:F27"/>
    <mergeCell ref="G27:I27"/>
    <mergeCell ref="D28:F28"/>
    <mergeCell ref="G28:I28"/>
    <mergeCell ref="D29:F29"/>
    <mergeCell ref="G29:I29"/>
    <mergeCell ref="C22:I22"/>
    <mergeCell ref="N22:P22"/>
    <mergeCell ref="A24:B24"/>
    <mergeCell ref="D24:F24"/>
    <mergeCell ref="O24:P24"/>
    <mergeCell ref="A17:A22"/>
    <mergeCell ref="B17:B22"/>
    <mergeCell ref="D17:F17"/>
    <mergeCell ref="G17:I17"/>
    <mergeCell ref="O17:P17"/>
    <mergeCell ref="D18:F18"/>
    <mergeCell ref="G18:I18"/>
    <mergeCell ref="O18:P18"/>
    <mergeCell ref="D20:F20"/>
    <mergeCell ref="G20:I20"/>
    <mergeCell ref="O20:P20"/>
    <mergeCell ref="A25:A30"/>
    <mergeCell ref="B25:B30"/>
    <mergeCell ref="D25:F25"/>
    <mergeCell ref="G25:I25"/>
    <mergeCell ref="D26:F26"/>
    <mergeCell ref="C30:I30"/>
    <mergeCell ref="D21:F21"/>
    <mergeCell ref="G21:I21"/>
    <mergeCell ref="O21:P21"/>
    <mergeCell ref="N14:P14"/>
    <mergeCell ref="A16:B16"/>
    <mergeCell ref="D16:F16"/>
    <mergeCell ref="O16:P16"/>
    <mergeCell ref="O19:P19"/>
    <mergeCell ref="D19:F19"/>
    <mergeCell ref="G19:I19"/>
    <mergeCell ref="A9:A14"/>
    <mergeCell ref="B9:B14"/>
    <mergeCell ref="D9:F9"/>
    <mergeCell ref="G9:I9"/>
    <mergeCell ref="O9:P9"/>
    <mergeCell ref="D10:F10"/>
    <mergeCell ref="G10:I10"/>
    <mergeCell ref="O10:P10"/>
    <mergeCell ref="D11:F11"/>
    <mergeCell ref="G11:I11"/>
    <mergeCell ref="O11:P11"/>
    <mergeCell ref="D12:F12"/>
    <mergeCell ref="G12:I12"/>
    <mergeCell ref="D13:F13"/>
    <mergeCell ref="G13:I13"/>
    <mergeCell ref="C14:I14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O25:P25"/>
    <mergeCell ref="O26:P26"/>
    <mergeCell ref="O27:P27"/>
    <mergeCell ref="O28:P28"/>
    <mergeCell ref="O29:P29"/>
  </mergeCells>
  <phoneticPr fontId="20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  <outlinePr summaryBelow="0" summaryRight="0"/>
  </sheetPr>
  <dimension ref="A1:Q38"/>
  <sheetViews>
    <sheetView view="pageBreakPreview" topLeftCell="A7" zoomScaleNormal="60" zoomScaleSheetLayoutView="100" workbookViewId="0">
      <selection activeCell="M25" sqref="M25"/>
    </sheetView>
  </sheetViews>
  <sheetFormatPr defaultColWidth="12.5703125" defaultRowHeight="15.75" customHeight="1"/>
  <cols>
    <col min="1" max="1" width="5.42578125" style="2" customWidth="1"/>
    <col min="2" max="2" width="11.42578125" style="113" customWidth="1"/>
    <col min="3" max="3" width="4" style="111" customWidth="1"/>
    <col min="4" max="17" width="9.5703125" style="2" customWidth="1"/>
    <col min="18" max="37" width="12.5703125" style="2" customWidth="1"/>
    <col min="38" max="16384" width="12.5703125" style="2"/>
  </cols>
  <sheetData>
    <row r="1" spans="1:17" s="122" customFormat="1" ht="15.75" customHeight="1">
      <c r="A1" s="562" t="s">
        <v>65</v>
      </c>
      <c r="B1" s="562"/>
      <c r="C1" s="562"/>
      <c r="D1" s="562"/>
      <c r="E1" s="562"/>
      <c r="F1" s="562"/>
      <c r="G1" s="562"/>
      <c r="H1" s="562"/>
      <c r="I1" s="562"/>
      <c r="J1" s="562"/>
      <c r="K1" s="562"/>
      <c r="L1" s="562"/>
      <c r="M1" s="562"/>
      <c r="N1" s="562"/>
      <c r="O1" s="562"/>
      <c r="P1" s="562"/>
      <c r="Q1" s="562"/>
    </row>
    <row r="2" spans="1:17" s="123" customFormat="1" ht="15.75" customHeight="1">
      <c r="A2" s="562"/>
      <c r="B2" s="562"/>
      <c r="C2" s="562"/>
      <c r="D2" s="562"/>
      <c r="E2" s="562"/>
      <c r="F2" s="562"/>
      <c r="G2" s="562"/>
      <c r="H2" s="562"/>
      <c r="I2" s="562"/>
      <c r="J2" s="562"/>
      <c r="K2" s="562"/>
      <c r="L2" s="562"/>
      <c r="M2" s="562"/>
      <c r="N2" s="562"/>
      <c r="O2" s="562"/>
      <c r="P2" s="562"/>
      <c r="Q2" s="562"/>
    </row>
    <row r="3" spans="1:17" s="122" customFormat="1" ht="15.75" customHeight="1">
      <c r="A3" s="563" t="s">
        <v>133</v>
      </c>
      <c r="B3" s="563"/>
      <c r="C3" s="563"/>
      <c r="D3" s="563"/>
      <c r="E3" s="563"/>
      <c r="F3" s="563"/>
      <c r="G3" s="563"/>
      <c r="H3" s="563"/>
      <c r="I3" s="563"/>
      <c r="J3" s="563"/>
      <c r="K3" s="563"/>
      <c r="L3" s="563"/>
      <c r="M3" s="563"/>
    </row>
    <row r="4" spans="1:17" s="123" customFormat="1" ht="15.75" customHeight="1">
      <c r="A4" s="563"/>
      <c r="B4" s="563"/>
      <c r="C4" s="563"/>
      <c r="D4" s="563"/>
      <c r="E4" s="563"/>
      <c r="F4" s="563"/>
      <c r="G4" s="563"/>
      <c r="H4" s="563"/>
      <c r="I4" s="563"/>
      <c r="J4" s="563"/>
      <c r="K4" s="563"/>
      <c r="L4" s="563"/>
      <c r="M4" s="563"/>
    </row>
    <row r="5" spans="1:17" s="122" customFormat="1" ht="15.75" customHeight="1">
      <c r="A5" s="434" t="s">
        <v>111</v>
      </c>
      <c r="B5" s="551">
        <v>1</v>
      </c>
      <c r="C5" s="551"/>
      <c r="D5" s="551">
        <v>2</v>
      </c>
      <c r="E5" s="551"/>
      <c r="F5" s="551">
        <v>3</v>
      </c>
      <c r="G5" s="551"/>
      <c r="H5" s="565">
        <v>4</v>
      </c>
      <c r="I5" s="565"/>
      <c r="J5" s="565">
        <v>5</v>
      </c>
      <c r="K5" s="565"/>
      <c r="L5" s="565">
        <v>6</v>
      </c>
      <c r="M5" s="565"/>
      <c r="N5" s="565">
        <v>7</v>
      </c>
      <c r="O5" s="565"/>
      <c r="P5" s="551">
        <v>8</v>
      </c>
      <c r="Q5" s="551"/>
    </row>
    <row r="6" spans="1:17" s="122" customFormat="1" ht="15.75" customHeight="1">
      <c r="A6" s="434"/>
      <c r="B6" s="434" t="s">
        <v>98</v>
      </c>
      <c r="C6" s="434"/>
      <c r="D6" s="434" t="s">
        <v>112</v>
      </c>
      <c r="E6" s="434"/>
      <c r="F6" s="434" t="s">
        <v>100</v>
      </c>
      <c r="G6" s="434"/>
      <c r="H6" s="566" t="s">
        <v>101</v>
      </c>
      <c r="I6" s="566"/>
      <c r="J6" s="566" t="s">
        <v>106</v>
      </c>
      <c r="K6" s="566"/>
      <c r="L6" s="566" t="s">
        <v>107</v>
      </c>
      <c r="M6" s="566"/>
      <c r="N6" s="566" t="s">
        <v>108</v>
      </c>
      <c r="O6" s="566"/>
      <c r="P6" s="561" t="s">
        <v>113</v>
      </c>
      <c r="Q6" s="434"/>
    </row>
    <row r="7" spans="1:17" s="122" customFormat="1" ht="15.75" customHeight="1">
      <c r="B7" s="149"/>
      <c r="C7" s="128"/>
    </row>
    <row r="8" spans="1:17" s="112" customFormat="1" ht="15.75" customHeight="1">
      <c r="A8" s="574" t="s">
        <v>111</v>
      </c>
      <c r="B8" s="575"/>
      <c r="C8" s="119" t="s">
        <v>50</v>
      </c>
      <c r="D8" s="576" t="s">
        <v>69</v>
      </c>
      <c r="E8" s="577"/>
      <c r="F8" s="578"/>
      <c r="G8" s="117" t="s">
        <v>114</v>
      </c>
      <c r="H8" s="118"/>
      <c r="I8" s="119"/>
      <c r="J8" s="116" t="s">
        <v>115</v>
      </c>
      <c r="K8" s="116" t="s">
        <v>132</v>
      </c>
      <c r="L8" s="116" t="s">
        <v>117</v>
      </c>
      <c r="M8" s="120" t="s">
        <v>102</v>
      </c>
      <c r="N8" s="120" t="s">
        <v>118</v>
      </c>
      <c r="O8" s="579" t="s">
        <v>73</v>
      </c>
      <c r="P8" s="580"/>
    </row>
    <row r="9" spans="1:17" ht="15.75" customHeight="1">
      <c r="A9" s="575">
        <v>4</v>
      </c>
      <c r="B9" s="589" t="s">
        <v>101</v>
      </c>
      <c r="C9" s="114">
        <v>1</v>
      </c>
      <c r="D9" s="541" t="s">
        <v>403</v>
      </c>
      <c r="E9" s="548"/>
      <c r="F9" s="549"/>
      <c r="G9" s="550" t="s">
        <v>402</v>
      </c>
      <c r="H9" s="548"/>
      <c r="I9" s="549"/>
      <c r="J9" s="4">
        <v>200</v>
      </c>
      <c r="K9" s="136">
        <v>9.1909741331865719E-2</v>
      </c>
      <c r="L9" s="135">
        <v>83.5</v>
      </c>
      <c r="M9" s="202">
        <f>L9*J9</f>
        <v>16700</v>
      </c>
      <c r="N9" s="229">
        <v>2</v>
      </c>
      <c r="O9" s="567" t="s">
        <v>134</v>
      </c>
      <c r="P9" s="568"/>
    </row>
    <row r="10" spans="1:17" ht="15.75" customHeight="1">
      <c r="A10" s="575"/>
      <c r="B10" s="590"/>
      <c r="C10" s="114">
        <v>2</v>
      </c>
      <c r="D10" s="550" t="s">
        <v>404</v>
      </c>
      <c r="E10" s="548"/>
      <c r="F10" s="549"/>
      <c r="G10" s="550" t="s">
        <v>402</v>
      </c>
      <c r="H10" s="548"/>
      <c r="I10" s="549"/>
      <c r="J10" s="4">
        <v>200</v>
      </c>
      <c r="K10" s="14">
        <v>5.0642479213907694E-2</v>
      </c>
      <c r="L10" s="4">
        <v>13.399999999999977</v>
      </c>
      <c r="M10" s="202">
        <f>L10*J10</f>
        <v>2679.9999999999955</v>
      </c>
      <c r="N10" s="229">
        <v>0.56299999999999994</v>
      </c>
      <c r="O10" s="567" t="s">
        <v>134</v>
      </c>
      <c r="P10" s="568"/>
    </row>
    <row r="11" spans="1:17" ht="15.75" customHeight="1">
      <c r="A11" s="575"/>
      <c r="B11" s="590"/>
      <c r="C11" s="114">
        <v>3</v>
      </c>
      <c r="D11" s="550" t="s">
        <v>405</v>
      </c>
      <c r="E11" s="548"/>
      <c r="F11" s="549"/>
      <c r="G11" s="550" t="s">
        <v>402</v>
      </c>
      <c r="H11" s="548"/>
      <c r="I11" s="549"/>
      <c r="J11" s="4">
        <v>200</v>
      </c>
      <c r="K11" s="14">
        <v>8.9552238805970144E-2</v>
      </c>
      <c r="L11" s="4">
        <v>12</v>
      </c>
      <c r="M11" s="202">
        <f>L11*J11</f>
        <v>2400</v>
      </c>
      <c r="N11" s="229"/>
      <c r="O11" s="567" t="s">
        <v>134</v>
      </c>
      <c r="P11" s="568"/>
    </row>
    <row r="12" spans="1:17" ht="15.75" customHeight="1">
      <c r="A12" s="575"/>
      <c r="B12" s="590"/>
      <c r="C12" s="114">
        <v>4</v>
      </c>
      <c r="D12" s="550" t="s">
        <v>395</v>
      </c>
      <c r="E12" s="548"/>
      <c r="F12" s="549"/>
      <c r="G12" s="541" t="s">
        <v>394</v>
      </c>
      <c r="H12" s="584"/>
      <c r="I12" s="585"/>
      <c r="J12" s="4">
        <v>153.80000000000001</v>
      </c>
      <c r="K12" s="14">
        <v>6.0000000000000001E-3</v>
      </c>
      <c r="L12" s="333">
        <v>14.3</v>
      </c>
      <c r="M12" s="202">
        <f>L12*J12</f>
        <v>2199.34</v>
      </c>
      <c r="N12" s="229"/>
      <c r="O12" s="567" t="s">
        <v>134</v>
      </c>
      <c r="P12" s="568"/>
    </row>
    <row r="13" spans="1:17" ht="15.75" customHeight="1">
      <c r="A13" s="575"/>
      <c r="B13" s="590"/>
      <c r="C13" s="115">
        <v>5</v>
      </c>
      <c r="D13" s="592" t="s">
        <v>406</v>
      </c>
      <c r="E13" s="584"/>
      <c r="F13" s="585"/>
      <c r="G13" s="541" t="s">
        <v>407</v>
      </c>
      <c r="H13" s="584"/>
      <c r="I13" s="585"/>
      <c r="J13" s="4">
        <v>304.8</v>
      </c>
      <c r="K13" s="14">
        <v>0.03</v>
      </c>
      <c r="L13" s="333">
        <v>6.8</v>
      </c>
      <c r="M13" s="202">
        <f>L13*J13</f>
        <v>2072.64</v>
      </c>
      <c r="N13" s="229"/>
      <c r="O13" s="567" t="s">
        <v>134</v>
      </c>
      <c r="P13" s="568"/>
    </row>
    <row r="14" spans="1:17" ht="15.75" customHeight="1">
      <c r="A14" s="575"/>
      <c r="B14" s="590"/>
      <c r="C14" s="581"/>
      <c r="D14" s="581"/>
      <c r="E14" s="581"/>
      <c r="F14" s="581"/>
      <c r="G14" s="581"/>
      <c r="H14" s="581"/>
      <c r="I14" s="582"/>
      <c r="J14" s="121" t="s">
        <v>122</v>
      </c>
      <c r="K14" s="147" t="e">
        <f>M14/#REF!</f>
        <v>#REF!</v>
      </c>
      <c r="L14" s="121" t="s">
        <v>123</v>
      </c>
      <c r="M14" s="34">
        <v>0</v>
      </c>
      <c r="N14" s="569"/>
      <c r="O14" s="570"/>
      <c r="P14" s="571"/>
    </row>
    <row r="16" spans="1:17" ht="15.75" customHeight="1">
      <c r="A16" s="574" t="s">
        <v>111</v>
      </c>
      <c r="B16" s="575"/>
      <c r="C16" s="119" t="s">
        <v>50</v>
      </c>
      <c r="D16" s="576" t="s">
        <v>69</v>
      </c>
      <c r="E16" s="577"/>
      <c r="F16" s="578"/>
      <c r="G16" s="117" t="s">
        <v>114</v>
      </c>
      <c r="H16" s="118"/>
      <c r="I16" s="119"/>
      <c r="J16" s="116" t="s">
        <v>115</v>
      </c>
      <c r="K16" s="116" t="s">
        <v>132</v>
      </c>
      <c r="L16" s="116" t="s">
        <v>117</v>
      </c>
      <c r="M16" s="120" t="s">
        <v>102</v>
      </c>
      <c r="N16" s="120" t="s">
        <v>118</v>
      </c>
      <c r="O16" s="579" t="s">
        <v>73</v>
      </c>
      <c r="P16" s="580"/>
    </row>
    <row r="17" spans="1:16" ht="15.75" customHeight="1">
      <c r="A17" s="575">
        <v>5</v>
      </c>
      <c r="B17" s="589" t="s">
        <v>106</v>
      </c>
      <c r="C17" s="114">
        <v>1</v>
      </c>
      <c r="D17" s="550"/>
      <c r="E17" s="548"/>
      <c r="F17" s="549"/>
      <c r="G17" s="550"/>
      <c r="H17" s="548"/>
      <c r="I17" s="549"/>
      <c r="J17" s="135"/>
      <c r="K17" s="136"/>
      <c r="L17" s="135"/>
      <c r="M17" s="201">
        <f>L17*J17</f>
        <v>0</v>
      </c>
      <c r="N17" s="229"/>
      <c r="O17" s="567"/>
      <c r="P17" s="568"/>
    </row>
    <row r="18" spans="1:16" ht="15.75" customHeight="1">
      <c r="A18" s="575"/>
      <c r="B18" s="590"/>
      <c r="C18" s="114">
        <v>2</v>
      </c>
      <c r="D18" s="592"/>
      <c r="E18" s="584"/>
      <c r="F18" s="585"/>
      <c r="G18" s="541"/>
      <c r="H18" s="584"/>
      <c r="I18" s="585"/>
      <c r="J18" s="4"/>
      <c r="K18" s="14"/>
      <c r="L18" s="4"/>
      <c r="M18" s="201">
        <f>L18*J18</f>
        <v>0</v>
      </c>
      <c r="N18" s="4"/>
      <c r="O18" s="567"/>
      <c r="P18" s="568"/>
    </row>
    <row r="19" spans="1:16" ht="15.75" customHeight="1">
      <c r="A19" s="575"/>
      <c r="B19" s="590"/>
      <c r="C19" s="114">
        <v>3</v>
      </c>
      <c r="D19" s="592"/>
      <c r="E19" s="584"/>
      <c r="F19" s="585"/>
      <c r="G19" s="541"/>
      <c r="H19" s="584"/>
      <c r="I19" s="585"/>
      <c r="J19" s="4"/>
      <c r="K19" s="14"/>
      <c r="L19" s="4"/>
      <c r="M19" s="201">
        <f>L19*J19</f>
        <v>0</v>
      </c>
      <c r="N19" s="4"/>
      <c r="O19" s="567"/>
      <c r="P19" s="568"/>
    </row>
    <row r="20" spans="1:16" ht="15.75" customHeight="1">
      <c r="A20" s="575"/>
      <c r="B20" s="590"/>
      <c r="C20" s="114">
        <v>4</v>
      </c>
      <c r="D20" s="550"/>
      <c r="E20" s="548"/>
      <c r="F20" s="549"/>
      <c r="G20" s="541"/>
      <c r="H20" s="584"/>
      <c r="I20" s="585"/>
      <c r="J20" s="4"/>
      <c r="K20" s="14"/>
      <c r="L20" s="333"/>
      <c r="M20" s="201">
        <f>L20*J20</f>
        <v>0</v>
      </c>
      <c r="N20" s="4"/>
      <c r="O20" s="567"/>
      <c r="P20" s="568"/>
    </row>
    <row r="21" spans="1:16" ht="15.75" customHeight="1">
      <c r="A21" s="575"/>
      <c r="B21" s="590"/>
      <c r="C21" s="115">
        <v>5</v>
      </c>
      <c r="D21" s="592"/>
      <c r="E21" s="584"/>
      <c r="F21" s="585"/>
      <c r="G21" s="541"/>
      <c r="H21" s="584"/>
      <c r="I21" s="585"/>
      <c r="J21" s="4"/>
      <c r="K21" s="14"/>
      <c r="L21" s="333"/>
      <c r="M21" s="201">
        <f>L21*J21</f>
        <v>0</v>
      </c>
      <c r="N21" s="4"/>
      <c r="O21" s="567"/>
      <c r="P21" s="568"/>
    </row>
    <row r="22" spans="1:16" ht="15.75" customHeight="1">
      <c r="A22" s="575"/>
      <c r="B22" s="590"/>
      <c r="C22" s="581"/>
      <c r="D22" s="581"/>
      <c r="E22" s="581"/>
      <c r="F22" s="581"/>
      <c r="G22" s="581"/>
      <c r="H22" s="581"/>
      <c r="I22" s="582"/>
      <c r="J22" s="121" t="s">
        <v>122</v>
      </c>
      <c r="K22" s="147" t="e">
        <f>M22/#REF!</f>
        <v>#REF!</v>
      </c>
      <c r="L22" s="121" t="s">
        <v>123</v>
      </c>
      <c r="M22" s="34">
        <v>0</v>
      </c>
      <c r="N22" s="569"/>
      <c r="O22" s="570"/>
      <c r="P22" s="571"/>
    </row>
    <row r="24" spans="1:16" ht="15.75" customHeight="1">
      <c r="A24" s="574" t="s">
        <v>111</v>
      </c>
      <c r="B24" s="575"/>
      <c r="C24" s="119" t="s">
        <v>50</v>
      </c>
      <c r="D24" s="576" t="s">
        <v>69</v>
      </c>
      <c r="E24" s="577"/>
      <c r="F24" s="578"/>
      <c r="G24" s="117" t="s">
        <v>114</v>
      </c>
      <c r="H24" s="118"/>
      <c r="I24" s="119"/>
      <c r="J24" s="116" t="s">
        <v>115</v>
      </c>
      <c r="K24" s="116" t="s">
        <v>132</v>
      </c>
      <c r="L24" s="116" t="s">
        <v>117</v>
      </c>
      <c r="M24" s="120" t="s">
        <v>102</v>
      </c>
      <c r="N24" s="120" t="s">
        <v>72</v>
      </c>
      <c r="O24" s="579" t="s">
        <v>73</v>
      </c>
      <c r="P24" s="580"/>
    </row>
    <row r="25" spans="1:16" ht="15.75" customHeight="1">
      <c r="A25" s="575">
        <v>6</v>
      </c>
      <c r="B25" s="589" t="s">
        <v>107</v>
      </c>
      <c r="C25" s="114">
        <v>1</v>
      </c>
      <c r="D25" s="592" t="s">
        <v>86</v>
      </c>
      <c r="E25" s="584"/>
      <c r="F25" s="585"/>
      <c r="G25" s="541" t="s">
        <v>135</v>
      </c>
      <c r="H25" s="584"/>
      <c r="I25" s="585"/>
      <c r="J25" s="4">
        <v>432.2</v>
      </c>
      <c r="K25" s="14">
        <v>8.9999999999999993E-3</v>
      </c>
      <c r="L25" s="4">
        <v>2.7</v>
      </c>
      <c r="M25" s="201">
        <f>L25*J25</f>
        <v>1166.94</v>
      </c>
      <c r="N25" s="229">
        <v>0.58689999999999998</v>
      </c>
      <c r="O25" s="541"/>
      <c r="P25" s="542"/>
    </row>
    <row r="26" spans="1:16" ht="15.75" customHeight="1">
      <c r="A26" s="575"/>
      <c r="B26" s="590"/>
      <c r="C26" s="114">
        <v>2</v>
      </c>
      <c r="D26" s="596"/>
      <c r="E26" s="584"/>
      <c r="F26" s="585"/>
      <c r="G26" s="592"/>
      <c r="H26" s="584"/>
      <c r="I26" s="585"/>
      <c r="J26" s="4"/>
      <c r="K26" s="14"/>
      <c r="L26" s="4"/>
      <c r="M26" s="201">
        <f>L26*J26</f>
        <v>0</v>
      </c>
      <c r="N26" s="229"/>
      <c r="O26" s="541"/>
      <c r="P26" s="542"/>
    </row>
    <row r="27" spans="1:16" ht="15.75" customHeight="1">
      <c r="A27" s="575"/>
      <c r="B27" s="590"/>
      <c r="C27" s="114">
        <v>3</v>
      </c>
      <c r="D27" s="596"/>
      <c r="E27" s="584"/>
      <c r="F27" s="585"/>
      <c r="G27" s="592"/>
      <c r="H27" s="584"/>
      <c r="I27" s="585"/>
      <c r="J27" s="4"/>
      <c r="K27" s="14"/>
      <c r="L27" s="4"/>
      <c r="M27" s="199"/>
      <c r="N27" s="229"/>
      <c r="O27" s="541"/>
      <c r="P27" s="542"/>
    </row>
    <row r="28" spans="1:16" ht="15.75" customHeight="1">
      <c r="A28" s="575"/>
      <c r="B28" s="590"/>
      <c r="C28" s="114">
        <v>4</v>
      </c>
      <c r="D28" s="592"/>
      <c r="E28" s="584"/>
      <c r="F28" s="585"/>
      <c r="G28" s="541"/>
      <c r="H28" s="584"/>
      <c r="I28" s="585"/>
      <c r="J28" s="4"/>
      <c r="K28" s="14"/>
      <c r="L28" s="333"/>
      <c r="M28" s="201"/>
      <c r="N28" s="229"/>
      <c r="O28" s="567"/>
      <c r="P28" s="572"/>
    </row>
    <row r="29" spans="1:16" ht="15.75" customHeight="1">
      <c r="A29" s="575"/>
      <c r="B29" s="590"/>
      <c r="C29" s="115">
        <v>5</v>
      </c>
      <c r="D29" s="586"/>
      <c r="E29" s="587"/>
      <c r="F29" s="588"/>
      <c r="G29" s="586"/>
      <c r="H29" s="587"/>
      <c r="I29" s="588"/>
      <c r="J29" s="27"/>
      <c r="K29" s="30"/>
      <c r="L29" s="27"/>
      <c r="M29" s="202"/>
      <c r="N29" s="229"/>
      <c r="O29" s="573"/>
      <c r="P29" s="568"/>
    </row>
    <row r="30" spans="1:16" ht="15.75" customHeight="1">
      <c r="A30" s="575"/>
      <c r="B30" s="590"/>
      <c r="C30" s="581"/>
      <c r="D30" s="581"/>
      <c r="E30" s="581"/>
      <c r="F30" s="581"/>
      <c r="G30" s="581"/>
      <c r="H30" s="581"/>
      <c r="I30" s="582"/>
      <c r="J30" s="121" t="s">
        <v>122</v>
      </c>
      <c r="K30" s="147" t="e">
        <f>M30/#REF!</f>
        <v>#REF!</v>
      </c>
      <c r="L30" s="121" t="s">
        <v>123</v>
      </c>
      <c r="M30" s="34">
        <v>0</v>
      </c>
      <c r="N30" s="569"/>
      <c r="O30" s="570"/>
      <c r="P30" s="571"/>
    </row>
    <row r="32" spans="1:16" ht="15.75" customHeight="1">
      <c r="A32" s="574" t="s">
        <v>111</v>
      </c>
      <c r="B32" s="575"/>
      <c r="C32" s="119" t="s">
        <v>50</v>
      </c>
      <c r="D32" s="576" t="s">
        <v>69</v>
      </c>
      <c r="E32" s="577"/>
      <c r="F32" s="578"/>
      <c r="G32" s="117" t="s">
        <v>114</v>
      </c>
      <c r="H32" s="118"/>
      <c r="I32" s="119"/>
      <c r="J32" s="116" t="s">
        <v>115</v>
      </c>
      <c r="K32" s="116" t="s">
        <v>132</v>
      </c>
      <c r="L32" s="116" t="s">
        <v>117</v>
      </c>
      <c r="M32" s="120" t="s">
        <v>102</v>
      </c>
      <c r="N32" s="120" t="s">
        <v>72</v>
      </c>
      <c r="O32" s="579" t="s">
        <v>73</v>
      </c>
      <c r="P32" s="580"/>
    </row>
    <row r="33" spans="1:16" ht="15.75" customHeight="1">
      <c r="A33" s="575">
        <v>7</v>
      </c>
      <c r="B33" s="589" t="s">
        <v>100</v>
      </c>
      <c r="C33" s="114">
        <v>1</v>
      </c>
      <c r="D33" s="583"/>
      <c r="E33" s="584"/>
      <c r="F33" s="585"/>
      <c r="G33" s="583"/>
      <c r="H33" s="584"/>
      <c r="I33" s="585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575"/>
      <c r="B34" s="590"/>
      <c r="C34" s="114">
        <v>2</v>
      </c>
      <c r="D34" s="583"/>
      <c r="E34" s="584"/>
      <c r="F34" s="585"/>
      <c r="G34" s="583"/>
      <c r="H34" s="584"/>
      <c r="I34" s="585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75"/>
      <c r="B35" s="590"/>
      <c r="C35" s="114">
        <v>3</v>
      </c>
      <c r="D35" s="583"/>
      <c r="E35" s="584"/>
      <c r="F35" s="585"/>
      <c r="G35" s="583"/>
      <c r="H35" s="584"/>
      <c r="I35" s="585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75"/>
      <c r="B36" s="590"/>
      <c r="C36" s="114">
        <v>4</v>
      </c>
      <c r="D36" s="583"/>
      <c r="E36" s="584"/>
      <c r="F36" s="585"/>
      <c r="G36" s="583"/>
      <c r="H36" s="584"/>
      <c r="I36" s="585"/>
      <c r="J36" s="4"/>
      <c r="K36" s="14"/>
      <c r="L36" s="4"/>
      <c r="M36" s="16">
        <v>0</v>
      </c>
      <c r="N36" s="4"/>
      <c r="O36" s="76"/>
      <c r="P36" s="74"/>
    </row>
    <row r="37" spans="1:16" ht="15.75" customHeight="1">
      <c r="A37" s="575"/>
      <c r="B37" s="590"/>
      <c r="C37" s="115">
        <v>5</v>
      </c>
      <c r="D37" s="586"/>
      <c r="E37" s="587"/>
      <c r="F37" s="588"/>
      <c r="G37" s="586"/>
      <c r="H37" s="587"/>
      <c r="I37" s="588"/>
      <c r="J37" s="27"/>
      <c r="K37" s="30"/>
      <c r="L37" s="27"/>
      <c r="M37" s="31">
        <v>0</v>
      </c>
      <c r="N37" s="4"/>
      <c r="O37" s="77"/>
      <c r="P37" s="75"/>
    </row>
    <row r="38" spans="1:16" ht="15.75" customHeight="1">
      <c r="A38" s="575"/>
      <c r="B38" s="590"/>
      <c r="C38" s="581"/>
      <c r="D38" s="581"/>
      <c r="E38" s="581"/>
      <c r="F38" s="581"/>
      <c r="G38" s="581"/>
      <c r="H38" s="581"/>
      <c r="I38" s="582"/>
      <c r="J38" s="121" t="s">
        <v>122</v>
      </c>
      <c r="K38" s="147" t="e">
        <f>M38/#REF!</f>
        <v>#REF!</v>
      </c>
      <c r="L38" s="121" t="s">
        <v>123</v>
      </c>
      <c r="M38" s="34">
        <v>0</v>
      </c>
      <c r="N38" s="569"/>
      <c r="O38" s="570"/>
      <c r="P38" s="571"/>
    </row>
  </sheetData>
  <mergeCells count="102">
    <mergeCell ref="A32:B32"/>
    <mergeCell ref="D26:F26"/>
    <mergeCell ref="D27:F27"/>
    <mergeCell ref="G29:I29"/>
    <mergeCell ref="C30:I30"/>
    <mergeCell ref="D32:F32"/>
    <mergeCell ref="O21:P21"/>
    <mergeCell ref="C22:I22"/>
    <mergeCell ref="G25:I25"/>
    <mergeCell ref="O25:P25"/>
    <mergeCell ref="G26:I26"/>
    <mergeCell ref="O26:P26"/>
    <mergeCell ref="G28:I28"/>
    <mergeCell ref="D29:F29"/>
    <mergeCell ref="A24:B24"/>
    <mergeCell ref="D24:F24"/>
    <mergeCell ref="A25:A30"/>
    <mergeCell ref="B25:B30"/>
    <mergeCell ref="D25:F25"/>
    <mergeCell ref="O28:P28"/>
    <mergeCell ref="N22:P22"/>
    <mergeCell ref="D28:F28"/>
    <mergeCell ref="A33:A38"/>
    <mergeCell ref="B33:B38"/>
    <mergeCell ref="D33:F33"/>
    <mergeCell ref="G33:I33"/>
    <mergeCell ref="D34:F34"/>
    <mergeCell ref="G34:I34"/>
    <mergeCell ref="D35:F35"/>
    <mergeCell ref="G35:I35"/>
    <mergeCell ref="D36:F36"/>
    <mergeCell ref="G36:I36"/>
    <mergeCell ref="D37:F37"/>
    <mergeCell ref="G37:I37"/>
    <mergeCell ref="C38:I38"/>
    <mergeCell ref="O32:P32"/>
    <mergeCell ref="O24:P24"/>
    <mergeCell ref="N38:P38"/>
    <mergeCell ref="G27:I27"/>
    <mergeCell ref="O27:P27"/>
    <mergeCell ref="G21:I21"/>
    <mergeCell ref="D21:F21"/>
    <mergeCell ref="N14:P14"/>
    <mergeCell ref="O18:P18"/>
    <mergeCell ref="O19:P19"/>
    <mergeCell ref="O20:P20"/>
    <mergeCell ref="O16:P16"/>
    <mergeCell ref="O17:P17"/>
    <mergeCell ref="O29:P29"/>
    <mergeCell ref="N30:P30"/>
    <mergeCell ref="D20:F20"/>
    <mergeCell ref="G20:I20"/>
    <mergeCell ref="G17:I17"/>
    <mergeCell ref="G18:I18"/>
    <mergeCell ref="D19:F19"/>
    <mergeCell ref="G19:I19"/>
    <mergeCell ref="D16:F16"/>
    <mergeCell ref="J6:K6"/>
    <mergeCell ref="L6:M6"/>
    <mergeCell ref="N6:O6"/>
    <mergeCell ref="G13:I13"/>
    <mergeCell ref="O13:P13"/>
    <mergeCell ref="G10:I10"/>
    <mergeCell ref="A9:A14"/>
    <mergeCell ref="B9:B14"/>
    <mergeCell ref="D9:F9"/>
    <mergeCell ref="G9:I9"/>
    <mergeCell ref="O10:P10"/>
    <mergeCell ref="G12:I12"/>
    <mergeCell ref="O12:P12"/>
    <mergeCell ref="D11:F11"/>
    <mergeCell ref="G11:I11"/>
    <mergeCell ref="O11:P11"/>
    <mergeCell ref="D12:F12"/>
    <mergeCell ref="C14:I14"/>
    <mergeCell ref="O9:P9"/>
    <mergeCell ref="D10:F10"/>
    <mergeCell ref="D13:F13"/>
    <mergeCell ref="A8:B8"/>
    <mergeCell ref="D8:F8"/>
    <mergeCell ref="O8:P8"/>
    <mergeCell ref="A16:B16"/>
    <mergeCell ref="D18:F18"/>
    <mergeCell ref="A17:A22"/>
    <mergeCell ref="B17:B22"/>
    <mergeCell ref="D17:F17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P6:Q6"/>
    <mergeCell ref="F6:G6"/>
    <mergeCell ref="H6:I6"/>
  </mergeCells>
  <phoneticPr fontId="20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F19" sqref="F19:H19"/>
    </sheetView>
  </sheetViews>
  <sheetFormatPr defaultColWidth="12.5703125" defaultRowHeight="15.75" customHeight="1"/>
  <cols>
    <col min="1" max="1" width="5.42578125" style="122" customWidth="1"/>
    <col min="2" max="2" width="7.85546875" style="150" customWidth="1"/>
    <col min="3" max="3" width="4" style="128" customWidth="1"/>
    <col min="4" max="17" width="8.5703125" style="122" customWidth="1"/>
    <col min="18" max="37" width="12.5703125" style="122" customWidth="1"/>
    <col min="38" max="16384" width="12.5703125" style="122"/>
  </cols>
  <sheetData>
    <row r="1" spans="1:17" ht="15.75" customHeight="1">
      <c r="A1" s="562" t="s">
        <v>65</v>
      </c>
      <c r="B1" s="562"/>
      <c r="C1" s="562"/>
      <c r="D1" s="562"/>
      <c r="E1" s="562"/>
      <c r="F1" s="562"/>
      <c r="G1" s="562"/>
      <c r="H1" s="562"/>
      <c r="I1" s="562"/>
      <c r="J1" s="562"/>
      <c r="K1" s="562"/>
      <c r="L1" s="562"/>
      <c r="M1" s="562"/>
      <c r="N1" s="562"/>
      <c r="O1" s="562"/>
      <c r="P1" s="562"/>
      <c r="Q1" s="562"/>
    </row>
    <row r="2" spans="1:17" s="123" customFormat="1" ht="15.75" customHeight="1">
      <c r="A2" s="562"/>
      <c r="B2" s="562"/>
      <c r="C2" s="562"/>
      <c r="D2" s="562"/>
      <c r="E2" s="562"/>
      <c r="F2" s="562"/>
      <c r="G2" s="562"/>
      <c r="H2" s="562"/>
      <c r="I2" s="562"/>
      <c r="J2" s="562"/>
      <c r="K2" s="562"/>
      <c r="L2" s="562"/>
      <c r="M2" s="562"/>
      <c r="N2" s="562"/>
      <c r="O2" s="562"/>
      <c r="P2" s="562"/>
      <c r="Q2" s="562"/>
    </row>
    <row r="3" spans="1:17" ht="15.75" customHeight="1">
      <c r="A3" s="563" t="s">
        <v>136</v>
      </c>
      <c r="B3" s="563"/>
      <c r="C3" s="563"/>
      <c r="D3" s="563"/>
      <c r="E3" s="563"/>
      <c r="F3" s="563"/>
      <c r="G3" s="563"/>
      <c r="H3" s="563"/>
      <c r="I3" s="563"/>
      <c r="J3" s="563"/>
      <c r="K3" s="563"/>
      <c r="L3" s="563"/>
      <c r="M3" s="563"/>
      <c r="N3" s="563"/>
      <c r="O3" s="563"/>
      <c r="P3" s="563"/>
      <c r="Q3" s="563"/>
    </row>
    <row r="4" spans="1:17" s="123" customFormat="1" ht="15.75" customHeight="1">
      <c r="A4" s="604"/>
      <c r="B4" s="604"/>
      <c r="C4" s="604"/>
      <c r="D4" s="604"/>
      <c r="E4" s="604"/>
      <c r="F4" s="604"/>
      <c r="G4" s="604"/>
      <c r="H4" s="604"/>
      <c r="I4" s="604"/>
      <c r="J4" s="604"/>
      <c r="K4" s="604"/>
      <c r="L4" s="604"/>
      <c r="M4" s="604"/>
      <c r="N4" s="604"/>
      <c r="O4" s="604"/>
      <c r="P4" s="604"/>
      <c r="Q4" s="604"/>
    </row>
    <row r="5" spans="1:17" ht="15.75" customHeight="1">
      <c r="A5" s="434" t="s">
        <v>111</v>
      </c>
      <c r="B5" s="551">
        <v>1</v>
      </c>
      <c r="C5" s="551"/>
      <c r="D5" s="551">
        <v>2</v>
      </c>
      <c r="E5" s="551"/>
      <c r="F5" s="551">
        <v>3</v>
      </c>
      <c r="G5" s="551"/>
      <c r="H5" s="551">
        <v>4</v>
      </c>
      <c r="I5" s="551"/>
      <c r="J5" s="551">
        <v>5</v>
      </c>
      <c r="K5" s="551"/>
      <c r="L5" s="551">
        <v>6</v>
      </c>
      <c r="M5" s="551"/>
      <c r="N5" s="551">
        <v>7</v>
      </c>
      <c r="O5" s="551"/>
      <c r="P5" s="565">
        <v>8</v>
      </c>
      <c r="Q5" s="565"/>
    </row>
    <row r="6" spans="1:17" ht="15.75" customHeight="1">
      <c r="A6" s="434"/>
      <c r="B6" s="434" t="s">
        <v>98</v>
      </c>
      <c r="C6" s="434"/>
      <c r="D6" s="434" t="s">
        <v>112</v>
      </c>
      <c r="E6" s="434"/>
      <c r="F6" s="434" t="s">
        <v>100</v>
      </c>
      <c r="G6" s="434"/>
      <c r="H6" s="561" t="s">
        <v>101</v>
      </c>
      <c r="I6" s="561"/>
      <c r="J6" s="434" t="s">
        <v>106</v>
      </c>
      <c r="K6" s="434"/>
      <c r="L6" s="434" t="s">
        <v>107</v>
      </c>
      <c r="M6" s="434"/>
      <c r="N6" s="434" t="s">
        <v>108</v>
      </c>
      <c r="O6" s="434"/>
      <c r="P6" s="566" t="s">
        <v>113</v>
      </c>
      <c r="Q6" s="566"/>
    </row>
    <row r="8" spans="1:17" s="124" customFormat="1" ht="15.75" customHeight="1">
      <c r="A8" s="129" t="s">
        <v>111</v>
      </c>
      <c r="B8" s="153" t="s">
        <v>137</v>
      </c>
      <c r="C8" s="602" t="s">
        <v>69</v>
      </c>
      <c r="D8" s="602"/>
      <c r="E8" s="602"/>
      <c r="F8" s="602" t="s">
        <v>114</v>
      </c>
      <c r="G8" s="602"/>
      <c r="H8" s="602"/>
      <c r="I8" s="153" t="s">
        <v>115</v>
      </c>
      <c r="J8" s="154" t="s">
        <v>138</v>
      </c>
      <c r="K8" s="153" t="s">
        <v>49</v>
      </c>
      <c r="L8" s="153" t="s">
        <v>139</v>
      </c>
      <c r="M8" s="605" t="s">
        <v>73</v>
      </c>
      <c r="N8" s="543"/>
      <c r="O8" s="543"/>
      <c r="P8" s="543"/>
      <c r="Q8" s="543"/>
    </row>
    <row r="9" spans="1:17" ht="15.75" customHeight="1">
      <c r="A9" s="602" t="s">
        <v>140</v>
      </c>
      <c r="B9" s="127">
        <v>1</v>
      </c>
      <c r="C9" s="597"/>
      <c r="D9" s="598"/>
      <c r="E9" s="598"/>
      <c r="F9" s="597"/>
      <c r="G9" s="598"/>
      <c r="H9" s="598"/>
      <c r="I9" s="125"/>
      <c r="J9" s="126"/>
      <c r="K9" s="126"/>
      <c r="L9" s="152">
        <f>K9-J9</f>
        <v>0</v>
      </c>
      <c r="M9" s="597"/>
      <c r="N9" s="597"/>
      <c r="O9" s="597"/>
      <c r="P9" s="597"/>
      <c r="Q9" s="597"/>
    </row>
    <row r="10" spans="1:17" ht="15.75" customHeight="1">
      <c r="A10" s="603"/>
      <c r="B10" s="127">
        <v>2</v>
      </c>
      <c r="C10" s="597"/>
      <c r="D10" s="598"/>
      <c r="E10" s="598"/>
      <c r="F10" s="597"/>
      <c r="G10" s="598"/>
      <c r="H10" s="598"/>
      <c r="I10" s="125"/>
      <c r="J10" s="126"/>
      <c r="K10" s="126"/>
      <c r="L10" s="152">
        <f>K10-J10</f>
        <v>0</v>
      </c>
      <c r="M10" s="597"/>
      <c r="N10" s="597"/>
      <c r="O10" s="597"/>
      <c r="P10" s="597"/>
      <c r="Q10" s="597"/>
    </row>
    <row r="11" spans="1:17" ht="15.75" customHeight="1">
      <c r="A11" s="603"/>
      <c r="B11" s="127">
        <v>3</v>
      </c>
      <c r="C11" s="597"/>
      <c r="D11" s="598"/>
      <c r="E11" s="598"/>
      <c r="F11" s="597"/>
      <c r="G11" s="598"/>
      <c r="H11" s="598"/>
      <c r="I11" s="125"/>
      <c r="J11" s="126"/>
      <c r="K11" s="126"/>
      <c r="L11" s="152">
        <f>K11-J11</f>
        <v>0</v>
      </c>
      <c r="M11" s="597"/>
      <c r="N11" s="597"/>
      <c r="O11" s="597"/>
      <c r="P11" s="597"/>
      <c r="Q11" s="597"/>
    </row>
    <row r="12" spans="1:17" ht="15.75" customHeight="1">
      <c r="A12" s="603"/>
      <c r="B12" s="127">
        <v>4</v>
      </c>
      <c r="C12" s="597"/>
      <c r="D12" s="598"/>
      <c r="E12" s="598"/>
      <c r="F12" s="597"/>
      <c r="G12" s="598"/>
      <c r="H12" s="598"/>
      <c r="I12" s="125"/>
      <c r="J12" s="126"/>
      <c r="K12" s="126"/>
      <c r="L12" s="152">
        <f>K12-J12</f>
        <v>0</v>
      </c>
      <c r="M12" s="597"/>
      <c r="N12" s="597"/>
      <c r="O12" s="597"/>
      <c r="P12" s="597"/>
      <c r="Q12" s="597"/>
    </row>
    <row r="13" spans="1:17" ht="15.75" customHeight="1">
      <c r="A13" s="603"/>
      <c r="B13" s="127">
        <v>5</v>
      </c>
      <c r="C13" s="597"/>
      <c r="D13" s="598"/>
      <c r="E13" s="598"/>
      <c r="F13" s="597"/>
      <c r="G13" s="598"/>
      <c r="H13" s="598"/>
      <c r="I13" s="125"/>
      <c r="J13" s="126"/>
      <c r="K13" s="126"/>
      <c r="L13" s="152">
        <f>K13-J13</f>
        <v>0</v>
      </c>
      <c r="M13" s="597"/>
      <c r="N13" s="597"/>
      <c r="O13" s="597"/>
      <c r="P13" s="597"/>
      <c r="Q13" s="597"/>
    </row>
    <row r="14" spans="1:17" ht="15.75" customHeight="1">
      <c r="A14" s="600"/>
      <c r="B14" s="600"/>
      <c r="C14" s="600"/>
      <c r="D14" s="600"/>
      <c r="E14" s="600"/>
      <c r="F14" s="600"/>
      <c r="G14" s="600"/>
      <c r="H14" s="600"/>
      <c r="I14" s="600"/>
      <c r="J14" s="600"/>
      <c r="K14" s="600"/>
      <c r="L14" s="600"/>
      <c r="M14" s="600"/>
      <c r="N14" s="600"/>
      <c r="O14" s="601"/>
    </row>
    <row r="15" spans="1:17" s="124" customFormat="1" ht="15.75" customHeight="1">
      <c r="A15" s="129" t="s">
        <v>111</v>
      </c>
      <c r="B15" s="129" t="s">
        <v>137</v>
      </c>
      <c r="C15" s="599" t="s">
        <v>69</v>
      </c>
      <c r="D15" s="599"/>
      <c r="E15" s="599"/>
      <c r="F15" s="599" t="s">
        <v>114</v>
      </c>
      <c r="G15" s="599"/>
      <c r="H15" s="599"/>
      <c r="I15" s="129" t="s">
        <v>115</v>
      </c>
      <c r="J15" s="151" t="s">
        <v>138</v>
      </c>
      <c r="K15" s="129" t="s">
        <v>49</v>
      </c>
      <c r="L15" s="129" t="s">
        <v>139</v>
      </c>
      <c r="M15" s="599" t="s">
        <v>73</v>
      </c>
      <c r="N15" s="599"/>
      <c r="O15" s="599"/>
      <c r="P15" s="599"/>
      <c r="Q15" s="599"/>
    </row>
    <row r="16" spans="1:17" ht="15.75" customHeight="1">
      <c r="A16" s="599" t="s">
        <v>141</v>
      </c>
      <c r="B16" s="127">
        <v>1</v>
      </c>
      <c r="C16" s="597"/>
      <c r="D16" s="598"/>
      <c r="E16" s="598"/>
      <c r="F16" s="597"/>
      <c r="G16" s="598"/>
      <c r="H16" s="598"/>
      <c r="I16" s="125"/>
      <c r="J16" s="126"/>
      <c r="K16" s="126"/>
      <c r="L16" s="152">
        <f>K16-J16</f>
        <v>0</v>
      </c>
      <c r="M16" s="597"/>
      <c r="N16" s="597"/>
      <c r="O16" s="597"/>
      <c r="P16" s="597"/>
      <c r="Q16" s="597"/>
    </row>
    <row r="17" spans="1:17" ht="15.75" customHeight="1">
      <c r="A17" s="599"/>
      <c r="B17" s="127">
        <v>2</v>
      </c>
      <c r="C17" s="597"/>
      <c r="D17" s="598"/>
      <c r="E17" s="598"/>
      <c r="F17" s="597"/>
      <c r="G17" s="598"/>
      <c r="H17" s="598"/>
      <c r="I17" s="125"/>
      <c r="J17" s="126"/>
      <c r="K17" s="126"/>
      <c r="L17" s="152">
        <f>K17-J17</f>
        <v>0</v>
      </c>
      <c r="M17" s="597"/>
      <c r="N17" s="597"/>
      <c r="O17" s="597"/>
      <c r="P17" s="597"/>
      <c r="Q17" s="597"/>
    </row>
    <row r="18" spans="1:17" ht="15.75" customHeight="1">
      <c r="A18" s="599"/>
      <c r="B18" s="127">
        <v>3</v>
      </c>
      <c r="C18" s="597"/>
      <c r="D18" s="598"/>
      <c r="E18" s="598"/>
      <c r="F18" s="597"/>
      <c r="G18" s="598"/>
      <c r="H18" s="598"/>
      <c r="I18" s="125"/>
      <c r="J18" s="126"/>
      <c r="K18" s="126"/>
      <c r="L18" s="152">
        <f>K18-J18</f>
        <v>0</v>
      </c>
      <c r="M18" s="597"/>
      <c r="N18" s="597"/>
      <c r="O18" s="597"/>
      <c r="P18" s="597"/>
      <c r="Q18" s="597"/>
    </row>
    <row r="19" spans="1:17" ht="15.75" customHeight="1">
      <c r="A19" s="599"/>
      <c r="B19" s="127">
        <v>4</v>
      </c>
      <c r="C19" s="597"/>
      <c r="D19" s="598"/>
      <c r="E19" s="598"/>
      <c r="F19" s="597"/>
      <c r="G19" s="598"/>
      <c r="H19" s="598"/>
      <c r="I19" s="125"/>
      <c r="J19" s="126"/>
      <c r="K19" s="126"/>
      <c r="L19" s="152">
        <f>K19-J19</f>
        <v>0</v>
      </c>
      <c r="M19" s="597"/>
      <c r="N19" s="597"/>
      <c r="O19" s="597"/>
      <c r="P19" s="597"/>
      <c r="Q19" s="597"/>
    </row>
    <row r="20" spans="1:17" ht="15.75" customHeight="1">
      <c r="A20" s="599"/>
      <c r="B20" s="127">
        <v>5</v>
      </c>
      <c r="C20" s="597"/>
      <c r="D20" s="598"/>
      <c r="E20" s="598"/>
      <c r="F20" s="597"/>
      <c r="G20" s="598"/>
      <c r="H20" s="598"/>
      <c r="I20" s="125"/>
      <c r="J20" s="126"/>
      <c r="K20" s="126"/>
      <c r="L20" s="152">
        <f>K20-J20</f>
        <v>0</v>
      </c>
      <c r="M20" s="597"/>
      <c r="N20" s="597"/>
      <c r="O20" s="597"/>
      <c r="P20" s="597"/>
      <c r="Q20" s="597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20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  <pageSetUpPr fitToPage="1"/>
  </sheetPr>
  <dimension ref="B2:AI297"/>
  <sheetViews>
    <sheetView zoomScale="70" zoomScaleNormal="70" workbookViewId="0">
      <pane xSplit="5" ySplit="4" topLeftCell="Y5" activePane="bottomRight" state="frozen"/>
      <selection pane="topRight" activeCell="F1" sqref="F1"/>
      <selection pane="bottomLeft" activeCell="A5" sqref="A5"/>
      <selection pane="bottomRight" sqref="A1:XFD1048576"/>
    </sheetView>
  </sheetViews>
  <sheetFormatPr defaultColWidth="8.85546875" defaultRowHeight="16.5"/>
  <cols>
    <col min="1" max="1" width="8.85546875" style="170" customWidth="1"/>
    <col min="2" max="2" width="12.42578125" style="170" customWidth="1"/>
    <col min="3" max="3" width="8.85546875" style="170" customWidth="1"/>
    <col min="4" max="4" width="11.5703125" style="170" customWidth="1"/>
    <col min="5" max="5" width="39.28515625" style="170" bestFit="1" customWidth="1"/>
    <col min="6" max="6" width="13.28515625" style="170" bestFit="1" customWidth="1"/>
    <col min="7" max="7" width="14.140625" style="170" customWidth="1"/>
    <col min="8" max="8" width="14" style="170" customWidth="1"/>
    <col min="9" max="9" width="16.85546875" style="170" customWidth="1"/>
    <col min="10" max="10" width="14" style="170" customWidth="1"/>
    <col min="11" max="11" width="11.5703125" style="170" bestFit="1" customWidth="1"/>
    <col min="12" max="12" width="12.140625" style="170" bestFit="1" customWidth="1"/>
    <col min="13" max="13" width="19.140625" style="170" bestFit="1" customWidth="1"/>
    <col min="14" max="14" width="15.28515625" style="170" bestFit="1" customWidth="1"/>
    <col min="15" max="15" width="10.28515625" style="170" bestFit="1" customWidth="1"/>
    <col min="16" max="17" width="8.28515625" style="170" bestFit="1" customWidth="1"/>
    <col min="18" max="18" width="10.7109375" style="170" customWidth="1"/>
    <col min="19" max="19" width="10.28515625" style="170" bestFit="1" customWidth="1"/>
    <col min="20" max="20" width="12.42578125" style="170" bestFit="1" customWidth="1"/>
    <col min="21" max="21" width="25.28515625" style="170" bestFit="1" customWidth="1"/>
    <col min="22" max="22" width="27.28515625" style="170" bestFit="1" customWidth="1"/>
    <col min="23" max="23" width="74.28515625" style="170" bestFit="1" customWidth="1"/>
    <col min="24" max="24" width="7.42578125" style="170" bestFit="1" customWidth="1"/>
    <col min="25" max="25" width="27.28515625" style="170" bestFit="1" customWidth="1"/>
    <col min="26" max="26" width="11.42578125" style="170" bestFit="1" customWidth="1"/>
    <col min="27" max="28" width="21.5703125" style="170" customWidth="1"/>
    <col min="29" max="34" width="14.42578125" style="170" customWidth="1"/>
    <col min="35" max="35" width="11.42578125" style="170" bestFit="1" customWidth="1"/>
    <col min="36" max="55" width="8.85546875" style="170" customWidth="1"/>
    <col min="56" max="16384" width="8.85546875" style="170"/>
  </cols>
  <sheetData>
    <row r="2" spans="2:35" ht="41.1" customHeight="1">
      <c r="B2" s="606" t="s">
        <v>142</v>
      </c>
      <c r="C2" s="607"/>
      <c r="D2" s="607"/>
      <c r="E2" s="607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AA2" s="171"/>
      <c r="AB2" s="171"/>
    </row>
    <row r="3" spans="2:35" ht="17.100000000000001" customHeight="1">
      <c r="B3" s="608" t="s">
        <v>143</v>
      </c>
      <c r="C3" s="609"/>
      <c r="D3" s="614" t="s">
        <v>144</v>
      </c>
      <c r="E3" s="614"/>
      <c r="F3" s="614"/>
      <c r="G3" s="614" t="s">
        <v>145</v>
      </c>
      <c r="H3" s="614"/>
      <c r="I3" s="614"/>
      <c r="J3" s="614"/>
      <c r="K3" s="614"/>
      <c r="L3" s="614"/>
      <c r="M3" s="614"/>
      <c r="N3" s="614"/>
      <c r="O3" s="614"/>
      <c r="P3" s="614"/>
      <c r="Q3" s="614"/>
      <c r="R3" s="614"/>
      <c r="S3" s="614"/>
      <c r="T3" s="614" t="s">
        <v>146</v>
      </c>
      <c r="U3" s="615" t="s">
        <v>147</v>
      </c>
      <c r="V3" s="618" t="s">
        <v>148</v>
      </c>
      <c r="W3" s="618" t="s">
        <v>149</v>
      </c>
      <c r="X3" s="621" t="s">
        <v>150</v>
      </c>
      <c r="Y3" s="622" t="s">
        <v>151</v>
      </c>
      <c r="AA3" s="614" t="s">
        <v>152</v>
      </c>
      <c r="AB3" s="614"/>
      <c r="AC3" s="614"/>
      <c r="AD3" s="614"/>
      <c r="AE3" s="614"/>
      <c r="AF3" s="614"/>
      <c r="AG3" s="614"/>
      <c r="AH3" s="614"/>
      <c r="AI3" s="614"/>
    </row>
    <row r="4" spans="2:35" ht="17.100000000000001" customHeight="1">
      <c r="B4" s="610"/>
      <c r="C4" s="611"/>
      <c r="D4" s="632" t="s">
        <v>153</v>
      </c>
      <c r="E4" s="614" t="s">
        <v>154</v>
      </c>
      <c r="F4" s="614"/>
      <c r="G4" s="614" t="s">
        <v>155</v>
      </c>
      <c r="H4" s="614"/>
      <c r="I4" s="614"/>
      <c r="J4" s="614"/>
      <c r="K4" s="614"/>
      <c r="L4" s="614"/>
      <c r="M4" s="614"/>
      <c r="N4" s="614"/>
      <c r="O4" s="614" t="s">
        <v>156</v>
      </c>
      <c r="P4" s="614"/>
      <c r="Q4" s="614"/>
      <c r="R4" s="614"/>
      <c r="S4" s="614"/>
      <c r="T4" s="614"/>
      <c r="U4" s="616"/>
      <c r="V4" s="619"/>
      <c r="W4" s="630"/>
      <c r="X4" s="619"/>
      <c r="Y4" s="622"/>
      <c r="AA4" s="614"/>
      <c r="AB4" s="614"/>
      <c r="AC4" s="614"/>
      <c r="AD4" s="614"/>
      <c r="AE4" s="614"/>
      <c r="AF4" s="614"/>
      <c r="AG4" s="614"/>
      <c r="AH4" s="614"/>
      <c r="AI4" s="614"/>
    </row>
    <row r="5" spans="2:35" ht="17.100000000000001" customHeight="1">
      <c r="B5" s="610"/>
      <c r="C5" s="611"/>
      <c r="D5" s="632"/>
      <c r="E5" s="632" t="s">
        <v>157</v>
      </c>
      <c r="F5" s="622" t="s">
        <v>158</v>
      </c>
      <c r="G5" s="633" t="s">
        <v>159</v>
      </c>
      <c r="H5" s="633"/>
      <c r="I5" s="633"/>
      <c r="J5" s="633"/>
      <c r="K5" s="633"/>
      <c r="L5" s="633"/>
      <c r="M5" s="633"/>
      <c r="N5" s="633"/>
      <c r="O5" s="633" t="s">
        <v>104</v>
      </c>
      <c r="P5" s="633"/>
      <c r="Q5" s="633" t="s">
        <v>105</v>
      </c>
      <c r="R5" s="633"/>
      <c r="S5" s="633"/>
      <c r="T5" s="614"/>
      <c r="U5" s="616"/>
      <c r="V5" s="619"/>
      <c r="W5" s="630"/>
      <c r="X5" s="619"/>
      <c r="Y5" s="622"/>
      <c r="AA5" s="614"/>
      <c r="AB5" s="614"/>
      <c r="AC5" s="614"/>
      <c r="AD5" s="614"/>
      <c r="AE5" s="614"/>
      <c r="AF5" s="614"/>
      <c r="AG5" s="614"/>
      <c r="AH5" s="614"/>
      <c r="AI5" s="614"/>
    </row>
    <row r="6" spans="2:35" ht="38.450000000000003" customHeight="1">
      <c r="B6" s="612"/>
      <c r="C6" s="613"/>
      <c r="D6" s="632"/>
      <c r="E6" s="632"/>
      <c r="F6" s="622"/>
      <c r="G6" s="237" t="s">
        <v>160</v>
      </c>
      <c r="H6" s="237" t="s">
        <v>161</v>
      </c>
      <c r="I6" s="237" t="s">
        <v>162</v>
      </c>
      <c r="J6" s="237" t="s">
        <v>163</v>
      </c>
      <c r="K6" s="237" t="s">
        <v>164</v>
      </c>
      <c r="L6" s="237" t="s">
        <v>165</v>
      </c>
      <c r="M6" s="237" t="s">
        <v>166</v>
      </c>
      <c r="N6" s="237" t="s">
        <v>167</v>
      </c>
      <c r="O6" s="235" t="s">
        <v>168</v>
      </c>
      <c r="P6" s="235" t="s">
        <v>169</v>
      </c>
      <c r="Q6" s="235" t="s">
        <v>168</v>
      </c>
      <c r="R6" s="235" t="s">
        <v>169</v>
      </c>
      <c r="S6" s="237" t="s">
        <v>170</v>
      </c>
      <c r="T6" s="614"/>
      <c r="U6" s="617"/>
      <c r="V6" s="620"/>
      <c r="W6" s="631"/>
      <c r="X6" s="620"/>
      <c r="Y6" s="622"/>
      <c r="AA6" s="183" t="s">
        <v>171</v>
      </c>
      <c r="AB6" s="183" t="s">
        <v>98</v>
      </c>
      <c r="AC6" s="236" t="s">
        <v>172</v>
      </c>
      <c r="AD6" s="236" t="s">
        <v>100</v>
      </c>
      <c r="AE6" s="236" t="s">
        <v>101</v>
      </c>
      <c r="AF6" s="236" t="s">
        <v>106</v>
      </c>
      <c r="AG6" s="236" t="s">
        <v>107</v>
      </c>
      <c r="AH6" s="236" t="s">
        <v>108</v>
      </c>
      <c r="AI6" s="236" t="s">
        <v>173</v>
      </c>
    </row>
    <row r="7" spans="2:35" s="238" customFormat="1" ht="27" customHeight="1">
      <c r="B7" s="624" t="s">
        <v>393</v>
      </c>
      <c r="C7" s="625"/>
      <c r="D7" s="234">
        <v>1</v>
      </c>
      <c r="E7" s="251" t="s">
        <v>174</v>
      </c>
      <c r="F7" s="365">
        <v>3861.4</v>
      </c>
      <c r="G7" s="365">
        <v>1355.6</v>
      </c>
      <c r="H7" s="365">
        <v>1387.5</v>
      </c>
      <c r="I7" s="239">
        <f>H7/G7</f>
        <v>1.0235320153437593</v>
      </c>
      <c r="J7" s="365">
        <v>0</v>
      </c>
      <c r="K7" s="239">
        <f>J7/G7</f>
        <v>0</v>
      </c>
      <c r="L7" s="365">
        <v>140.6</v>
      </c>
      <c r="M7" s="240">
        <f>(H7+J7)/G7</f>
        <v>1.0235320153437593</v>
      </c>
      <c r="N7" s="366">
        <v>31.8</v>
      </c>
      <c r="O7" s="365">
        <v>27.5</v>
      </c>
      <c r="P7" s="239">
        <f>O7/G7</f>
        <v>2.0286220123930363E-2</v>
      </c>
      <c r="Q7" s="241">
        <f>((H7+J7)-G7)-O7</f>
        <v>4.4000000000000909</v>
      </c>
      <c r="R7" s="239">
        <f>Q7/G7</f>
        <v>3.2457952198289256E-3</v>
      </c>
      <c r="S7" s="365">
        <v>613.4</v>
      </c>
      <c r="T7" s="253" t="s">
        <v>175</v>
      </c>
      <c r="U7" s="253" t="s">
        <v>108</v>
      </c>
      <c r="V7" s="252" t="s">
        <v>176</v>
      </c>
      <c r="W7" s="242" t="s">
        <v>182</v>
      </c>
      <c r="X7" s="243">
        <v>1</v>
      </c>
      <c r="Y7" s="252" t="s">
        <v>178</v>
      </c>
      <c r="Z7" s="244" t="s">
        <v>179</v>
      </c>
      <c r="AA7" s="245">
        <v>13</v>
      </c>
      <c r="AB7" s="246">
        <f>SUMIF($U$7:$U$26,TRIM(AB6),$X$7:$X$26)</f>
        <v>0</v>
      </c>
      <c r="AC7" s="246">
        <f>SUMIF($U$7:$U$26,TRIM(AC6),$X$7:$X$26)</f>
        <v>1</v>
      </c>
      <c r="AD7" s="246">
        <f t="shared" ref="AD7:AI7" ca="1" si="0">SUMIF($U$7:$U$9710,TRIM(AD6),$X$7:$X$26)</f>
        <v>0</v>
      </c>
      <c r="AE7" s="246">
        <f t="shared" ca="1" si="0"/>
        <v>3</v>
      </c>
      <c r="AF7" s="246">
        <f t="shared" ca="1" si="0"/>
        <v>0</v>
      </c>
      <c r="AG7" s="246">
        <f t="shared" ca="1" si="0"/>
        <v>1</v>
      </c>
      <c r="AH7" s="246">
        <f t="shared" ca="1" si="0"/>
        <v>8</v>
      </c>
      <c r="AI7" s="246">
        <f t="shared" ca="1" si="0"/>
        <v>0</v>
      </c>
    </row>
    <row r="8" spans="2:35" s="238" customFormat="1" ht="27" customHeight="1">
      <c r="B8" s="626"/>
      <c r="C8" s="627"/>
      <c r="D8" s="234">
        <v>2</v>
      </c>
      <c r="E8" s="381" t="s">
        <v>180</v>
      </c>
      <c r="F8" s="365">
        <v>3299.7</v>
      </c>
      <c r="G8" s="365">
        <v>1633.2</v>
      </c>
      <c r="H8" s="365">
        <v>1664.1</v>
      </c>
      <c r="I8" s="239">
        <f t="shared" ref="I8:I25" si="1">H8/G8</f>
        <v>1.0189199118295371</v>
      </c>
      <c r="J8" s="365">
        <v>0</v>
      </c>
      <c r="K8" s="239">
        <f t="shared" ref="K8:K25" si="2">J8/G8</f>
        <v>0</v>
      </c>
      <c r="L8" s="365">
        <v>118.5</v>
      </c>
      <c r="M8" s="240">
        <f t="shared" ref="M8:M25" si="3">(H8+J8)/G8</f>
        <v>1.0189199118295371</v>
      </c>
      <c r="N8" s="366">
        <v>30.9</v>
      </c>
      <c r="O8" s="365">
        <v>27.8</v>
      </c>
      <c r="P8" s="239">
        <f t="shared" ref="P8:P18" si="4">O8/G8</f>
        <v>1.7021797697771245E-2</v>
      </c>
      <c r="Q8" s="241">
        <f t="shared" ref="Q8:Q18" si="5">((H8+J8)-G8)-O8</f>
        <v>3.0999999999998629</v>
      </c>
      <c r="R8" s="239">
        <f t="shared" ref="R8:R18" si="6">Q8/G8</f>
        <v>1.8981141317657745E-3</v>
      </c>
      <c r="S8" s="365">
        <v>361.4</v>
      </c>
      <c r="T8" s="253" t="s">
        <v>175</v>
      </c>
      <c r="U8" s="253" t="s">
        <v>108</v>
      </c>
      <c r="V8" s="252" t="s">
        <v>176</v>
      </c>
      <c r="W8" s="242" t="s">
        <v>177</v>
      </c>
      <c r="X8" s="243">
        <v>1</v>
      </c>
      <c r="Y8" s="252" t="s">
        <v>78</v>
      </c>
      <c r="AA8" s="245"/>
      <c r="AB8" s="248">
        <f>SUMIF($U$7:$U$26,TRIM(AB6),$F$7:$F$26)</f>
        <v>0</v>
      </c>
      <c r="AC8" s="248">
        <f>SUMIF($U$7:$U$26,TRIM(AC6),$F$7:$F$26)</f>
        <v>253.8</v>
      </c>
      <c r="AD8" s="248">
        <f t="shared" ref="AD8:AI8" ca="1" si="7">SUMIF($U$7:$U$176,TRIM(AD6),$F$7:$F$26)</f>
        <v>0</v>
      </c>
      <c r="AE8" s="248">
        <f t="shared" ca="1" si="7"/>
        <v>2437.4</v>
      </c>
      <c r="AF8" s="248">
        <f t="shared" ca="1" si="7"/>
        <v>0</v>
      </c>
      <c r="AG8" s="248">
        <f t="shared" ca="1" si="7"/>
        <v>194.5</v>
      </c>
      <c r="AH8" s="248">
        <f t="shared" ca="1" si="7"/>
        <v>12791.599999999999</v>
      </c>
      <c r="AI8" s="248">
        <f t="shared" ca="1" si="7"/>
        <v>0</v>
      </c>
    </row>
    <row r="9" spans="2:35" s="238" customFormat="1" ht="27" customHeight="1">
      <c r="B9" s="626"/>
      <c r="C9" s="627"/>
      <c r="D9" s="234">
        <v>3</v>
      </c>
      <c r="E9" s="381" t="s">
        <v>181</v>
      </c>
      <c r="F9" s="365">
        <v>2018.9</v>
      </c>
      <c r="G9" s="365">
        <v>2506.6</v>
      </c>
      <c r="H9" s="365">
        <v>2527.3000000000002</v>
      </c>
      <c r="I9" s="239">
        <f t="shared" si="1"/>
        <v>1.0082581983563395</v>
      </c>
      <c r="J9" s="365">
        <v>0</v>
      </c>
      <c r="K9" s="239">
        <f t="shared" si="2"/>
        <v>0</v>
      </c>
      <c r="L9" s="365">
        <v>125.6</v>
      </c>
      <c r="M9" s="240">
        <f t="shared" si="3"/>
        <v>1.0082581983563395</v>
      </c>
      <c r="N9" s="366">
        <v>20.8</v>
      </c>
      <c r="O9" s="365">
        <v>16.100000000000001</v>
      </c>
      <c r="P9" s="239">
        <f t="shared" si="4"/>
        <v>6.4230431660416507E-3</v>
      </c>
      <c r="Q9" s="241">
        <f t="shared" si="5"/>
        <v>4.6000000000002714</v>
      </c>
      <c r="R9" s="239">
        <f t="shared" si="6"/>
        <v>1.8351551902977227E-3</v>
      </c>
      <c r="S9" s="365">
        <v>591.70000000000005</v>
      </c>
      <c r="T9" s="253" t="s">
        <v>175</v>
      </c>
      <c r="U9" s="253" t="s">
        <v>108</v>
      </c>
      <c r="V9" s="252" t="s">
        <v>176</v>
      </c>
      <c r="W9" s="242" t="s">
        <v>182</v>
      </c>
      <c r="X9" s="243">
        <v>1</v>
      </c>
      <c r="Y9" s="334" t="s">
        <v>86</v>
      </c>
      <c r="AB9" s="350">
        <f>AB7/$AA$7</f>
        <v>0</v>
      </c>
      <c r="AC9" s="350">
        <f t="shared" ref="AC9:AI9" si="8">AC7/$AA$7</f>
        <v>7.6923076923076927E-2</v>
      </c>
      <c r="AD9" s="350">
        <f t="shared" ca="1" si="8"/>
        <v>0</v>
      </c>
      <c r="AE9" s="350">
        <f t="shared" ca="1" si="8"/>
        <v>0.23076923076923078</v>
      </c>
      <c r="AF9" s="350">
        <f t="shared" ca="1" si="8"/>
        <v>0</v>
      </c>
      <c r="AG9" s="350">
        <f t="shared" ca="1" si="8"/>
        <v>7.6923076923076927E-2</v>
      </c>
      <c r="AH9" s="350">
        <f t="shared" ca="1" si="8"/>
        <v>0.61538461538461542</v>
      </c>
      <c r="AI9" s="350">
        <f t="shared" ca="1" si="8"/>
        <v>0</v>
      </c>
    </row>
    <row r="10" spans="2:35" s="238" customFormat="1" ht="25.5" customHeight="1">
      <c r="B10" s="626"/>
      <c r="C10" s="627"/>
      <c r="D10" s="234">
        <v>4</v>
      </c>
      <c r="E10" s="381" t="s">
        <v>119</v>
      </c>
      <c r="F10" s="365">
        <v>1975.9</v>
      </c>
      <c r="G10" s="365">
        <v>1108.0999999999999</v>
      </c>
      <c r="H10" s="365">
        <v>1139.5</v>
      </c>
      <c r="I10" s="239">
        <f t="shared" si="1"/>
        <v>1.0283367927082394</v>
      </c>
      <c r="J10" s="365">
        <v>0</v>
      </c>
      <c r="K10" s="239">
        <f t="shared" si="2"/>
        <v>0</v>
      </c>
      <c r="L10" s="365">
        <v>66.5</v>
      </c>
      <c r="M10" s="240">
        <f t="shared" si="3"/>
        <v>1.0283367927082394</v>
      </c>
      <c r="N10" s="366">
        <v>31.4</v>
      </c>
      <c r="O10" s="365">
        <v>29.7</v>
      </c>
      <c r="P10" s="239">
        <f t="shared" si="4"/>
        <v>2.6802635141232743E-2</v>
      </c>
      <c r="Q10" s="241">
        <f t="shared" si="5"/>
        <v>1.7000000000000917</v>
      </c>
      <c r="R10" s="239">
        <f t="shared" si="6"/>
        <v>1.5341575670066708E-3</v>
      </c>
      <c r="S10" s="365">
        <v>112.4</v>
      </c>
      <c r="T10" s="253" t="s">
        <v>175</v>
      </c>
      <c r="U10" s="253" t="s">
        <v>108</v>
      </c>
      <c r="V10" s="252" t="s">
        <v>176</v>
      </c>
      <c r="W10" s="242" t="s">
        <v>182</v>
      </c>
      <c r="X10" s="243">
        <v>1</v>
      </c>
      <c r="Y10" s="334" t="s">
        <v>80</v>
      </c>
    </row>
    <row r="11" spans="2:35" s="238" customFormat="1" ht="27" customHeight="1">
      <c r="B11" s="626"/>
      <c r="C11" s="627"/>
      <c r="D11" s="234">
        <v>5</v>
      </c>
      <c r="E11" s="251" t="s">
        <v>125</v>
      </c>
      <c r="F11" s="365">
        <v>1445.8</v>
      </c>
      <c r="G11" s="365">
        <v>2299.6999999999998</v>
      </c>
      <c r="H11" s="365">
        <v>2321.9</v>
      </c>
      <c r="I11" s="239">
        <f t="shared" si="1"/>
        <v>1.0096534330564857</v>
      </c>
      <c r="J11" s="365">
        <v>18.600000000000001</v>
      </c>
      <c r="K11" s="239">
        <f t="shared" si="2"/>
        <v>8.0880114797582305E-3</v>
      </c>
      <c r="L11" s="365">
        <v>85</v>
      </c>
      <c r="M11" s="240">
        <f t="shared" si="3"/>
        <v>1.017741444536244</v>
      </c>
      <c r="N11" s="366">
        <v>40.9</v>
      </c>
      <c r="O11" s="365">
        <v>17</v>
      </c>
      <c r="P11" s="239">
        <f t="shared" si="4"/>
        <v>7.3922685567682743E-3</v>
      </c>
      <c r="Q11" s="241">
        <f t="shared" si="5"/>
        <v>23.800000000000182</v>
      </c>
      <c r="R11" s="239">
        <f t="shared" si="6"/>
        <v>1.0349175979475664E-2</v>
      </c>
      <c r="S11" s="365">
        <v>2028.1</v>
      </c>
      <c r="T11" s="253" t="s">
        <v>189</v>
      </c>
      <c r="U11" s="253" t="s">
        <v>101</v>
      </c>
      <c r="V11" s="253" t="s">
        <v>190</v>
      </c>
      <c r="W11" s="242" t="s">
        <v>191</v>
      </c>
      <c r="X11" s="243">
        <v>1</v>
      </c>
      <c r="Y11" s="334" t="s">
        <v>60</v>
      </c>
    </row>
    <row r="12" spans="2:35" s="238" customFormat="1" ht="27" customHeight="1">
      <c r="B12" s="626"/>
      <c r="C12" s="627"/>
      <c r="D12" s="234">
        <v>6</v>
      </c>
      <c r="E12" s="381" t="s">
        <v>183</v>
      </c>
      <c r="F12" s="365">
        <v>899.5</v>
      </c>
      <c r="G12" s="365">
        <v>2427.3000000000002</v>
      </c>
      <c r="H12" s="365">
        <v>2437.6</v>
      </c>
      <c r="I12" s="239">
        <f t="shared" si="1"/>
        <v>1.0042433980142544</v>
      </c>
      <c r="J12" s="365">
        <v>9.8000000000000007</v>
      </c>
      <c r="K12" s="239">
        <f t="shared" si="2"/>
        <v>4.037407819387797E-3</v>
      </c>
      <c r="L12" s="365">
        <v>153.80000000000001</v>
      </c>
      <c r="M12" s="240">
        <f t="shared" si="3"/>
        <v>1.0082808058336423</v>
      </c>
      <c r="N12" s="366">
        <v>20.100000000000001</v>
      </c>
      <c r="O12" s="365">
        <v>5.8</v>
      </c>
      <c r="P12" s="239">
        <f t="shared" si="4"/>
        <v>2.3894862604540022E-3</v>
      </c>
      <c r="Q12" s="241">
        <f t="shared" si="5"/>
        <v>14.299999999999908</v>
      </c>
      <c r="R12" s="239">
        <f t="shared" si="6"/>
        <v>5.891319573188278E-3</v>
      </c>
      <c r="S12" s="365">
        <v>2191.1</v>
      </c>
      <c r="T12" s="253" t="s">
        <v>189</v>
      </c>
      <c r="U12" s="253" t="s">
        <v>101</v>
      </c>
      <c r="V12" s="253" t="s">
        <v>190</v>
      </c>
      <c r="W12" s="242" t="s">
        <v>191</v>
      </c>
      <c r="X12" s="243">
        <v>1</v>
      </c>
      <c r="Y12" s="252" t="s">
        <v>76</v>
      </c>
    </row>
    <row r="13" spans="2:35" s="238" customFormat="1" ht="27" customHeight="1">
      <c r="B13" s="626"/>
      <c r="C13" s="627"/>
      <c r="D13" s="234">
        <v>7</v>
      </c>
      <c r="E13" s="251" t="s">
        <v>186</v>
      </c>
      <c r="F13" s="365">
        <v>705.4</v>
      </c>
      <c r="G13" s="365">
        <v>69.3</v>
      </c>
      <c r="H13" s="365">
        <v>71.5</v>
      </c>
      <c r="I13" s="239">
        <f t="shared" si="1"/>
        <v>1.0317460317460319</v>
      </c>
      <c r="J13" s="365">
        <v>0</v>
      </c>
      <c r="K13" s="239">
        <f t="shared" si="2"/>
        <v>0</v>
      </c>
      <c r="L13" s="365">
        <v>403.1</v>
      </c>
      <c r="M13" s="240">
        <f t="shared" si="3"/>
        <v>1.0317460317460319</v>
      </c>
      <c r="N13" s="366">
        <v>2.2000000000000002</v>
      </c>
      <c r="O13" s="365">
        <v>1.8</v>
      </c>
      <c r="P13" s="239">
        <f t="shared" si="4"/>
        <v>2.5974025974025976E-2</v>
      </c>
      <c r="Q13" s="241">
        <f t="shared" si="5"/>
        <v>0.4000000000000028</v>
      </c>
      <c r="R13" s="239">
        <f t="shared" si="6"/>
        <v>5.7720057720058128E-3</v>
      </c>
      <c r="S13" s="365">
        <v>168.5</v>
      </c>
      <c r="T13" s="253" t="s">
        <v>175</v>
      </c>
      <c r="U13" s="253" t="s">
        <v>108</v>
      </c>
      <c r="V13" s="252" t="s">
        <v>176</v>
      </c>
      <c r="W13" s="242" t="s">
        <v>182</v>
      </c>
      <c r="X13" s="243">
        <v>1</v>
      </c>
      <c r="Y13" s="253" t="s">
        <v>187</v>
      </c>
      <c r="AB13" s="238">
        <v>1</v>
      </c>
      <c r="AC13" s="254" t="s">
        <v>98</v>
      </c>
    </row>
    <row r="14" spans="2:35" s="238" customFormat="1" ht="27" customHeight="1">
      <c r="B14" s="626"/>
      <c r="C14" s="627"/>
      <c r="D14" s="234">
        <v>8</v>
      </c>
      <c r="E14" s="251" t="s">
        <v>188</v>
      </c>
      <c r="F14" s="365">
        <v>631.9</v>
      </c>
      <c r="G14" s="365">
        <v>829.2</v>
      </c>
      <c r="H14" s="365">
        <v>851.2</v>
      </c>
      <c r="I14" s="239">
        <f t="shared" si="1"/>
        <v>1.0265315967197299</v>
      </c>
      <c r="J14" s="365">
        <v>0</v>
      </c>
      <c r="K14" s="239">
        <f t="shared" si="2"/>
        <v>0</v>
      </c>
      <c r="L14" s="365">
        <v>89</v>
      </c>
      <c r="M14" s="240">
        <f t="shared" si="3"/>
        <v>1.0265315967197299</v>
      </c>
      <c r="N14" s="366">
        <v>22</v>
      </c>
      <c r="O14" s="365">
        <v>7.1</v>
      </c>
      <c r="P14" s="239">
        <f t="shared" si="4"/>
        <v>8.5624698504582729E-3</v>
      </c>
      <c r="Q14" s="241">
        <f t="shared" si="5"/>
        <v>14.9</v>
      </c>
      <c r="R14" s="239">
        <f t="shared" si="6"/>
        <v>1.7969126869271587E-2</v>
      </c>
      <c r="S14" s="365">
        <v>1330.6</v>
      </c>
      <c r="T14" s="253" t="s">
        <v>175</v>
      </c>
      <c r="U14" s="253" t="s">
        <v>108</v>
      </c>
      <c r="V14" s="252" t="s">
        <v>176</v>
      </c>
      <c r="W14" s="242" t="s">
        <v>182</v>
      </c>
      <c r="X14" s="243">
        <v>1</v>
      </c>
      <c r="Y14" s="252" t="s">
        <v>192</v>
      </c>
      <c r="AB14" s="238">
        <v>2</v>
      </c>
      <c r="AC14" s="254" t="s">
        <v>185</v>
      </c>
    </row>
    <row r="15" spans="2:35" s="238" customFormat="1" ht="27" customHeight="1">
      <c r="B15" s="626"/>
      <c r="C15" s="627"/>
      <c r="D15" s="234">
        <v>9</v>
      </c>
      <c r="E15" s="251" t="s">
        <v>193</v>
      </c>
      <c r="F15" s="365">
        <v>253.8</v>
      </c>
      <c r="G15" s="365">
        <v>35808</v>
      </c>
      <c r="H15" s="365">
        <v>35970</v>
      </c>
      <c r="I15" s="239">
        <f t="shared" si="1"/>
        <v>1.0045241286863271</v>
      </c>
      <c r="J15" s="365">
        <v>0</v>
      </c>
      <c r="K15" s="239">
        <f t="shared" si="2"/>
        <v>0</v>
      </c>
      <c r="L15" s="365">
        <v>1.8</v>
      </c>
      <c r="M15" s="240">
        <f t="shared" si="3"/>
        <v>1.0045241286863271</v>
      </c>
      <c r="N15" s="366">
        <v>162</v>
      </c>
      <c r="O15" s="365">
        <v>141</v>
      </c>
      <c r="P15" s="239">
        <f t="shared" si="4"/>
        <v>3.9376675603217158E-3</v>
      </c>
      <c r="Q15" s="241">
        <f t="shared" si="5"/>
        <v>21</v>
      </c>
      <c r="R15" s="239">
        <f t="shared" si="6"/>
        <v>5.8646112600536189E-4</v>
      </c>
      <c r="S15" s="365">
        <v>37.799999999999997</v>
      </c>
      <c r="T15" s="253" t="s">
        <v>184</v>
      </c>
      <c r="U15" s="253" t="s">
        <v>185</v>
      </c>
      <c r="V15" s="253" t="s">
        <v>391</v>
      </c>
      <c r="W15" s="242"/>
      <c r="X15" s="243">
        <v>1</v>
      </c>
      <c r="Y15" s="334" t="s">
        <v>86</v>
      </c>
      <c r="AB15" s="238">
        <v>3</v>
      </c>
      <c r="AC15" s="254" t="s">
        <v>100</v>
      </c>
    </row>
    <row r="16" spans="2:35" s="238" customFormat="1" ht="27" customHeight="1">
      <c r="B16" s="626"/>
      <c r="C16" s="627"/>
      <c r="D16" s="234">
        <v>10</v>
      </c>
      <c r="E16" s="251" t="s">
        <v>135</v>
      </c>
      <c r="F16" s="365">
        <v>194.5</v>
      </c>
      <c r="G16" s="365">
        <v>286.5</v>
      </c>
      <c r="H16" s="365">
        <v>287.3</v>
      </c>
      <c r="I16" s="239">
        <f t="shared" si="1"/>
        <v>1.0027923211169285</v>
      </c>
      <c r="J16" s="365">
        <v>2.2999999999999998</v>
      </c>
      <c r="K16" s="239">
        <f t="shared" si="2"/>
        <v>8.0279232111692845E-3</v>
      </c>
      <c r="L16" s="365">
        <v>432.2</v>
      </c>
      <c r="M16" s="240">
        <f t="shared" si="3"/>
        <v>1.0108202443280978</v>
      </c>
      <c r="N16" s="366">
        <v>3.1</v>
      </c>
      <c r="O16" s="365">
        <v>0.4</v>
      </c>
      <c r="P16" s="239">
        <f t="shared" si="4"/>
        <v>1.3961605584642235E-3</v>
      </c>
      <c r="Q16" s="241">
        <f t="shared" si="5"/>
        <v>2.7000000000000228</v>
      </c>
      <c r="R16" s="239">
        <f t="shared" si="6"/>
        <v>9.4240837696335875E-3</v>
      </c>
      <c r="S16" s="365">
        <v>1158.4000000000001</v>
      </c>
      <c r="T16" s="253" t="s">
        <v>198</v>
      </c>
      <c r="U16" s="253" t="s">
        <v>107</v>
      </c>
      <c r="V16" s="253" t="s">
        <v>392</v>
      </c>
      <c r="W16" s="242"/>
      <c r="X16" s="243">
        <v>1</v>
      </c>
      <c r="Y16" s="334" t="s">
        <v>86</v>
      </c>
      <c r="AB16" s="238">
        <v>4</v>
      </c>
      <c r="AC16" s="254" t="s">
        <v>194</v>
      </c>
    </row>
    <row r="17" spans="2:29" s="238" customFormat="1" ht="27" customHeight="1">
      <c r="B17" s="626"/>
      <c r="C17" s="627"/>
      <c r="D17" s="234">
        <v>11</v>
      </c>
      <c r="E17" s="381" t="s">
        <v>195</v>
      </c>
      <c r="F17" s="365">
        <v>150.9</v>
      </c>
      <c r="G17" s="365">
        <v>58</v>
      </c>
      <c r="H17" s="365">
        <v>58.9</v>
      </c>
      <c r="I17" s="239">
        <f t="shared" si="1"/>
        <v>1.0155172413793103</v>
      </c>
      <c r="J17" s="365">
        <v>0</v>
      </c>
      <c r="K17" s="239">
        <f t="shared" si="2"/>
        <v>0</v>
      </c>
      <c r="L17" s="365">
        <v>201.2</v>
      </c>
      <c r="M17" s="240">
        <f t="shared" si="3"/>
        <v>1.0155172413793103</v>
      </c>
      <c r="N17" s="366">
        <v>0.9</v>
      </c>
      <c r="O17" s="365">
        <v>0.8</v>
      </c>
      <c r="P17" s="239">
        <f t="shared" si="4"/>
        <v>1.3793103448275864E-2</v>
      </c>
      <c r="Q17" s="241">
        <f t="shared" si="5"/>
        <v>9.9999999999998535E-2</v>
      </c>
      <c r="R17" s="239">
        <f t="shared" si="6"/>
        <v>1.7241379310344576E-3</v>
      </c>
      <c r="S17" s="365">
        <v>27.8</v>
      </c>
      <c r="T17" s="253" t="s">
        <v>175</v>
      </c>
      <c r="U17" s="253" t="s">
        <v>108</v>
      </c>
      <c r="V17" s="252" t="s">
        <v>176</v>
      </c>
      <c r="W17" s="242" t="s">
        <v>182</v>
      </c>
      <c r="X17" s="243">
        <v>1</v>
      </c>
      <c r="Y17" s="252" t="s">
        <v>192</v>
      </c>
      <c r="AB17" s="238">
        <v>5</v>
      </c>
      <c r="AC17" s="254" t="s">
        <v>106</v>
      </c>
    </row>
    <row r="18" spans="2:29" s="238" customFormat="1" ht="27" customHeight="1">
      <c r="B18" s="626"/>
      <c r="C18" s="627"/>
      <c r="D18" s="234">
        <v>12</v>
      </c>
      <c r="E18" s="251" t="s">
        <v>129</v>
      </c>
      <c r="F18" s="365">
        <v>147.5</v>
      </c>
      <c r="G18" s="365">
        <v>358.1</v>
      </c>
      <c r="H18" s="365">
        <v>361.6</v>
      </c>
      <c r="I18" s="239">
        <f t="shared" si="1"/>
        <v>1.0097738061993857</v>
      </c>
      <c r="J18" s="365">
        <v>0</v>
      </c>
      <c r="K18" s="239">
        <f t="shared" si="2"/>
        <v>0</v>
      </c>
      <c r="L18" s="365">
        <v>140.4</v>
      </c>
      <c r="M18" s="240">
        <f t="shared" si="3"/>
        <v>1.0097738061993857</v>
      </c>
      <c r="N18" s="366">
        <v>3.6</v>
      </c>
      <c r="O18" s="365">
        <v>1</v>
      </c>
      <c r="P18" s="239">
        <f t="shared" si="4"/>
        <v>2.7925160569673272E-3</v>
      </c>
      <c r="Q18" s="241">
        <f t="shared" si="5"/>
        <v>2.5</v>
      </c>
      <c r="R18" s="239">
        <f t="shared" si="6"/>
        <v>6.9812901424183187E-3</v>
      </c>
      <c r="S18" s="365">
        <v>352.5</v>
      </c>
      <c r="T18" s="253" t="s">
        <v>175</v>
      </c>
      <c r="U18" s="253" t="s">
        <v>108</v>
      </c>
      <c r="V18" s="252" t="s">
        <v>176</v>
      </c>
      <c r="W18" s="242" t="s">
        <v>182</v>
      </c>
      <c r="X18" s="243">
        <v>1</v>
      </c>
      <c r="Y18" s="252" t="s">
        <v>86</v>
      </c>
      <c r="AB18" s="238">
        <v>6</v>
      </c>
      <c r="AC18" s="254" t="s">
        <v>107</v>
      </c>
    </row>
    <row r="19" spans="2:29" s="238" customFormat="1" ht="27" customHeight="1">
      <c r="B19" s="626"/>
      <c r="C19" s="627"/>
      <c r="D19" s="234">
        <v>13</v>
      </c>
      <c r="E19" s="251" t="s">
        <v>196</v>
      </c>
      <c r="F19" s="365">
        <v>92.1</v>
      </c>
      <c r="G19" s="365">
        <v>638.79999999999995</v>
      </c>
      <c r="H19" s="365">
        <v>643.9</v>
      </c>
      <c r="I19" s="239">
        <f>H19/G19</f>
        <v>1.0079837194740138</v>
      </c>
      <c r="J19" s="365">
        <v>3.8</v>
      </c>
      <c r="K19" s="239">
        <f>J19/G19</f>
        <v>5.9486537257357544E-3</v>
      </c>
      <c r="L19" s="365">
        <v>39.200000000000003</v>
      </c>
      <c r="M19" s="240">
        <f>(H19+J19)/G19</f>
        <v>1.0139323731997496</v>
      </c>
      <c r="N19" s="366">
        <v>9</v>
      </c>
      <c r="O19" s="365">
        <v>2.4</v>
      </c>
      <c r="P19" s="239">
        <f>O19/G19</f>
        <v>3.7570444583594239E-3</v>
      </c>
      <c r="Q19" s="241">
        <f>((H19+J19)-G19)-O19</f>
        <v>6.4999999999999769</v>
      </c>
      <c r="R19" s="239">
        <f>Q19/G19</f>
        <v>1.0175328741390072E-2</v>
      </c>
      <c r="S19" s="365">
        <v>258.7</v>
      </c>
      <c r="T19" s="253" t="s">
        <v>189</v>
      </c>
      <c r="U19" s="253" t="s">
        <v>101</v>
      </c>
      <c r="V19" s="253" t="s">
        <v>190</v>
      </c>
      <c r="W19" s="242" t="s">
        <v>191</v>
      </c>
      <c r="X19" s="243">
        <v>1</v>
      </c>
      <c r="Y19" s="252" t="s">
        <v>60</v>
      </c>
      <c r="AB19" s="238">
        <v>7</v>
      </c>
      <c r="AC19" s="254" t="s">
        <v>108</v>
      </c>
    </row>
    <row r="20" spans="2:29" s="238" customFormat="1" ht="27" customHeight="1">
      <c r="B20" s="626"/>
      <c r="C20" s="627"/>
      <c r="D20" s="234">
        <v>14</v>
      </c>
      <c r="E20" s="251"/>
      <c r="F20" s="365"/>
      <c r="G20" s="365"/>
      <c r="H20" s="365"/>
      <c r="I20" s="239" t="e">
        <f t="shared" si="1"/>
        <v>#DIV/0!</v>
      </c>
      <c r="J20" s="365"/>
      <c r="K20" s="239" t="e">
        <f t="shared" si="2"/>
        <v>#DIV/0!</v>
      </c>
      <c r="L20" s="365"/>
      <c r="M20" s="240" t="e">
        <f t="shared" si="3"/>
        <v>#DIV/0!</v>
      </c>
      <c r="N20" s="366"/>
      <c r="O20" s="365"/>
      <c r="P20" s="239" t="e">
        <f t="shared" ref="P20:P21" si="9">O20/G20</f>
        <v>#DIV/0!</v>
      </c>
      <c r="Q20" s="241">
        <f t="shared" ref="Q20:Q21" si="10">((H20+J20)-G20)-O20</f>
        <v>0</v>
      </c>
      <c r="R20" s="239" t="e">
        <f t="shared" ref="R20:R21" si="11">Q20/G20</f>
        <v>#DIV/0!</v>
      </c>
      <c r="S20" s="365"/>
      <c r="T20" s="253"/>
      <c r="U20" s="253"/>
      <c r="V20" s="253"/>
      <c r="W20" s="242"/>
      <c r="X20" s="243"/>
      <c r="Y20" s="252"/>
      <c r="AB20" s="238">
        <v>8</v>
      </c>
      <c r="AC20" s="255" t="s">
        <v>197</v>
      </c>
    </row>
    <row r="21" spans="2:29" s="238" customFormat="1" ht="27" customHeight="1">
      <c r="B21" s="626"/>
      <c r="C21" s="627"/>
      <c r="D21" s="234">
        <v>15</v>
      </c>
      <c r="E21" s="251"/>
      <c r="F21" s="365"/>
      <c r="G21" s="365"/>
      <c r="H21" s="365"/>
      <c r="I21" s="239" t="e">
        <f t="shared" si="1"/>
        <v>#DIV/0!</v>
      </c>
      <c r="J21" s="365"/>
      <c r="K21" s="239" t="e">
        <f t="shared" si="2"/>
        <v>#DIV/0!</v>
      </c>
      <c r="L21" s="365"/>
      <c r="M21" s="240" t="e">
        <f t="shared" si="3"/>
        <v>#DIV/0!</v>
      </c>
      <c r="N21" s="366"/>
      <c r="O21" s="365"/>
      <c r="P21" s="239" t="e">
        <f t="shared" si="9"/>
        <v>#DIV/0!</v>
      </c>
      <c r="Q21" s="241">
        <f t="shared" si="10"/>
        <v>0</v>
      </c>
      <c r="R21" s="239" t="e">
        <f t="shared" si="11"/>
        <v>#DIV/0!</v>
      </c>
      <c r="S21" s="365"/>
      <c r="T21" s="253"/>
      <c r="U21" s="253"/>
      <c r="V21" s="253"/>
      <c r="W21" s="242"/>
      <c r="X21" s="243"/>
      <c r="Y21" s="252"/>
      <c r="AC21" s="254"/>
    </row>
    <row r="22" spans="2:29" s="238" customFormat="1" ht="27" customHeight="1">
      <c r="B22" s="626"/>
      <c r="C22" s="627"/>
      <c r="D22" s="234">
        <v>16</v>
      </c>
      <c r="E22" s="251"/>
      <c r="F22" s="365"/>
      <c r="G22" s="365"/>
      <c r="H22" s="365"/>
      <c r="I22" s="239" t="e">
        <f t="shared" si="1"/>
        <v>#DIV/0!</v>
      </c>
      <c r="J22" s="365"/>
      <c r="K22" s="239" t="e">
        <f t="shared" si="2"/>
        <v>#DIV/0!</v>
      </c>
      <c r="L22" s="365"/>
      <c r="M22" s="240" t="e">
        <f t="shared" si="3"/>
        <v>#DIV/0!</v>
      </c>
      <c r="N22" s="366"/>
      <c r="O22" s="365"/>
      <c r="P22" s="239" t="e">
        <f t="shared" ref="P22:P23" si="12">O22/G22</f>
        <v>#DIV/0!</v>
      </c>
      <c r="Q22" s="241">
        <f t="shared" ref="Q22:Q23" si="13">((H22+J22)-G22)-O22</f>
        <v>0</v>
      </c>
      <c r="R22" s="239" t="e">
        <f t="shared" ref="R22:R23" si="14">Q22/G22</f>
        <v>#DIV/0!</v>
      </c>
      <c r="S22" s="365"/>
      <c r="T22" s="253"/>
      <c r="U22" s="253"/>
      <c r="V22" s="253"/>
      <c r="W22" s="242"/>
      <c r="X22" s="243"/>
      <c r="Y22" s="252"/>
      <c r="AC22" s="254"/>
    </row>
    <row r="23" spans="2:29" s="238" customFormat="1" ht="27" customHeight="1">
      <c r="B23" s="626"/>
      <c r="C23" s="627"/>
      <c r="D23" s="234">
        <v>17</v>
      </c>
      <c r="E23" s="251"/>
      <c r="F23" s="365"/>
      <c r="G23" s="365"/>
      <c r="H23" s="365"/>
      <c r="I23" s="239" t="e">
        <f t="shared" si="1"/>
        <v>#DIV/0!</v>
      </c>
      <c r="J23" s="365"/>
      <c r="K23" s="239" t="e">
        <f t="shared" si="2"/>
        <v>#DIV/0!</v>
      </c>
      <c r="L23" s="365"/>
      <c r="M23" s="240" t="e">
        <f t="shared" si="3"/>
        <v>#DIV/0!</v>
      </c>
      <c r="N23" s="366"/>
      <c r="O23" s="365"/>
      <c r="P23" s="239" t="e">
        <f t="shared" si="12"/>
        <v>#DIV/0!</v>
      </c>
      <c r="Q23" s="241">
        <f t="shared" si="13"/>
        <v>0</v>
      </c>
      <c r="R23" s="239" t="e">
        <f t="shared" si="14"/>
        <v>#DIV/0!</v>
      </c>
      <c r="S23" s="365"/>
      <c r="T23" s="253"/>
      <c r="U23" s="253"/>
      <c r="V23" s="253"/>
      <c r="W23" s="242"/>
      <c r="X23" s="243"/>
      <c r="Y23" s="252"/>
      <c r="AB23" s="249">
        <v>1</v>
      </c>
      <c r="AC23" s="254" t="s">
        <v>184</v>
      </c>
    </row>
    <row r="24" spans="2:29" s="238" customFormat="1" ht="27" customHeight="1">
      <c r="B24" s="626"/>
      <c r="C24" s="627"/>
      <c r="D24" s="234">
        <v>18</v>
      </c>
      <c r="E24" s="251"/>
      <c r="F24" s="365"/>
      <c r="G24" s="365"/>
      <c r="H24" s="365"/>
      <c r="I24" s="239" t="e">
        <f t="shared" si="1"/>
        <v>#DIV/0!</v>
      </c>
      <c r="J24" s="365"/>
      <c r="K24" s="239" t="e">
        <f t="shared" si="2"/>
        <v>#DIV/0!</v>
      </c>
      <c r="L24" s="365"/>
      <c r="M24" s="240" t="e">
        <f t="shared" si="3"/>
        <v>#DIV/0!</v>
      </c>
      <c r="N24" s="366"/>
      <c r="O24" s="365"/>
      <c r="P24" s="239" t="e">
        <f t="shared" ref="P24:P25" si="15">O24/G24</f>
        <v>#DIV/0!</v>
      </c>
      <c r="Q24" s="241">
        <f t="shared" ref="Q24:Q25" si="16">((H24+J24)-G24)-O24</f>
        <v>0</v>
      </c>
      <c r="R24" s="239" t="e">
        <f t="shared" ref="R24:R25" si="17">Q24/G24</f>
        <v>#DIV/0!</v>
      </c>
      <c r="S24" s="365"/>
      <c r="T24" s="253"/>
      <c r="U24" s="253"/>
      <c r="V24" s="252"/>
      <c r="W24" s="242"/>
      <c r="X24" s="243"/>
      <c r="Y24" s="252"/>
      <c r="AB24" s="238">
        <v>2</v>
      </c>
      <c r="AC24" s="254" t="s">
        <v>189</v>
      </c>
    </row>
    <row r="25" spans="2:29" s="238" customFormat="1" ht="27" customHeight="1">
      <c r="B25" s="626"/>
      <c r="C25" s="627"/>
      <c r="D25" s="234">
        <v>19</v>
      </c>
      <c r="E25" s="251"/>
      <c r="F25" s="365"/>
      <c r="G25" s="365"/>
      <c r="H25" s="365"/>
      <c r="I25" s="239" t="e">
        <f t="shared" si="1"/>
        <v>#DIV/0!</v>
      </c>
      <c r="J25" s="365"/>
      <c r="K25" s="239" t="e">
        <f t="shared" si="2"/>
        <v>#DIV/0!</v>
      </c>
      <c r="L25" s="365"/>
      <c r="M25" s="240" t="e">
        <f t="shared" si="3"/>
        <v>#DIV/0!</v>
      </c>
      <c r="N25" s="366"/>
      <c r="O25" s="365"/>
      <c r="P25" s="239" t="e">
        <f t="shared" si="15"/>
        <v>#DIV/0!</v>
      </c>
      <c r="Q25" s="241">
        <f t="shared" si="16"/>
        <v>0</v>
      </c>
      <c r="R25" s="239" t="e">
        <f t="shared" si="17"/>
        <v>#DIV/0!</v>
      </c>
      <c r="S25" s="365"/>
      <c r="T25" s="253"/>
      <c r="U25" s="253"/>
      <c r="V25" s="253"/>
      <c r="W25" s="242"/>
      <c r="X25" s="243"/>
      <c r="Y25" s="252"/>
      <c r="AB25" s="250">
        <v>3</v>
      </c>
      <c r="AC25" s="254" t="s">
        <v>198</v>
      </c>
    </row>
    <row r="26" spans="2:29" s="238" customFormat="1" ht="27" customHeight="1">
      <c r="B26" s="628"/>
      <c r="C26" s="629"/>
      <c r="D26" s="234">
        <v>20</v>
      </c>
      <c r="E26" s="251"/>
      <c r="F26" s="365"/>
      <c r="G26" s="365"/>
      <c r="H26" s="365"/>
      <c r="I26" s="239"/>
      <c r="J26" s="365"/>
      <c r="K26" s="239"/>
      <c r="L26" s="365"/>
      <c r="M26" s="240"/>
      <c r="N26" s="366"/>
      <c r="O26" s="365"/>
      <c r="P26" s="239"/>
      <c r="Q26" s="241"/>
      <c r="R26" s="239"/>
      <c r="S26" s="365"/>
      <c r="T26" s="253"/>
      <c r="U26" s="253"/>
      <c r="V26" s="252"/>
      <c r="W26" s="242"/>
      <c r="X26" s="243"/>
      <c r="Y26" s="252"/>
      <c r="AB26" s="250">
        <v>4</v>
      </c>
      <c r="AC26" s="254" t="s">
        <v>175</v>
      </c>
    </row>
    <row r="27" spans="2:29" ht="29.45" customHeight="1">
      <c r="C27" s="623"/>
      <c r="X27" s="243"/>
      <c r="AB27" s="238">
        <v>5</v>
      </c>
      <c r="AC27" s="254" t="s">
        <v>199</v>
      </c>
    </row>
    <row r="28" spans="2:29">
      <c r="C28" s="623"/>
    </row>
    <row r="29" spans="2:29">
      <c r="C29" s="623"/>
    </row>
    <row r="30" spans="2:29">
      <c r="C30" s="623"/>
    </row>
    <row r="31" spans="2:29">
      <c r="C31" s="623"/>
    </row>
    <row r="32" spans="2:29">
      <c r="C32" s="623"/>
    </row>
    <row r="33" spans="3:3">
      <c r="C33" s="623"/>
    </row>
    <row r="34" spans="3:3">
      <c r="C34" s="623"/>
    </row>
    <row r="35" spans="3:3">
      <c r="C35" s="623"/>
    </row>
    <row r="36" spans="3:3">
      <c r="C36" s="623"/>
    </row>
    <row r="67" s="170" customFormat="1" ht="14.1" customHeight="1"/>
    <row r="77" s="170" customFormat="1" ht="14.1" customHeight="1"/>
    <row r="87" s="170" customFormat="1" ht="14.1" customHeight="1"/>
    <row r="112" spans="26:26">
      <c r="Z112" s="172" t="s">
        <v>169</v>
      </c>
    </row>
    <row r="113" spans="26:26">
      <c r="Z113" s="238" t="s">
        <v>102</v>
      </c>
    </row>
    <row r="116" spans="26:26" ht="18.75" customHeight="1"/>
    <row r="117" spans="26:26" ht="14.1" customHeight="1"/>
    <row r="127" spans="26:26" ht="14.1" customHeight="1"/>
    <row r="137" s="170" customFormat="1" ht="14.1" customHeight="1"/>
    <row r="147" s="170" customFormat="1" ht="14.1" customHeight="1"/>
    <row r="167" s="170" customFormat="1" ht="14.1" customHeight="1"/>
    <row r="187" s="170" customFormat="1" ht="14.1" customHeight="1"/>
    <row r="197" s="170" customFormat="1" ht="14.1" customHeight="1"/>
    <row r="207" s="170" customFormat="1" ht="14.1" customHeight="1"/>
    <row r="217" s="170" customFormat="1" ht="14.1" customHeight="1"/>
    <row r="227" s="170" customFormat="1" ht="14.1" customHeight="1"/>
    <row r="237" s="170" customFormat="1" ht="14.1" customHeight="1"/>
    <row r="247" s="170" customFormat="1" ht="14.1" customHeight="1"/>
    <row r="257" s="170" customFormat="1" ht="14.1" customHeight="1"/>
    <row r="267" s="170" customFormat="1" ht="14.1" customHeight="1"/>
    <row r="277" s="170" customFormat="1" ht="14.1" customHeight="1"/>
    <row r="287" s="170" customFormat="1" ht="14.1" customHeight="1"/>
    <row r="297" s="170" customFormat="1" ht="14.1" customHeight="1"/>
  </sheetData>
  <mergeCells count="22">
    <mergeCell ref="C27:C36"/>
    <mergeCell ref="B7:C26"/>
    <mergeCell ref="W3:W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X3:X6"/>
    <mergeCell ref="Y3:Y6"/>
  </mergeCells>
  <phoneticPr fontId="20" type="noConversion"/>
  <dataValidations count="2">
    <dataValidation type="list" allowBlank="1" showInputMessage="1" showErrorMessage="1" sqref="T1:T1048576" xr:uid="{00000000-0002-0000-0F00-000000000000}">
      <formula1>$AC$23:$AC$27</formula1>
    </dataValidation>
    <dataValidation type="list" allowBlank="1" showInputMessage="1" showErrorMessage="1" sqref="U1:U1048576" xr:uid="{00000000-0002-0000-0F00-000001000000}">
      <formula1>$AC$13:$AC$20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pageSetUpPr fitToPage="1"/>
  </sheetPr>
  <dimension ref="B2:AI297"/>
  <sheetViews>
    <sheetView zoomScale="70" zoomScaleNormal="70" workbookViewId="0">
      <pane xSplit="5" ySplit="4" topLeftCell="S5" activePane="bottomRight" state="frozen"/>
      <selection pane="topRight" activeCell="F1" sqref="F1"/>
      <selection pane="bottomLeft" activeCell="A5" sqref="A5"/>
      <selection pane="bottomRight" sqref="A1:XFD1048576"/>
    </sheetView>
  </sheetViews>
  <sheetFormatPr defaultColWidth="8.85546875" defaultRowHeight="16.5"/>
  <cols>
    <col min="1" max="1" width="8.85546875" style="170" customWidth="1"/>
    <col min="2" max="2" width="12.42578125" style="170" customWidth="1"/>
    <col min="3" max="3" width="8.85546875" style="170" customWidth="1"/>
    <col min="4" max="4" width="11.5703125" style="170" customWidth="1"/>
    <col min="5" max="5" width="39.28515625" style="170" bestFit="1" customWidth="1"/>
    <col min="6" max="6" width="12.7109375" style="170" customWidth="1"/>
    <col min="7" max="7" width="14.140625" style="170" customWidth="1"/>
    <col min="8" max="8" width="14" style="170" customWidth="1"/>
    <col min="9" max="9" width="16.85546875" style="170" customWidth="1"/>
    <col min="10" max="10" width="14" style="170" customWidth="1"/>
    <col min="11" max="11" width="11.5703125" style="170" bestFit="1" customWidth="1"/>
    <col min="12" max="12" width="12.140625" style="170" bestFit="1" customWidth="1"/>
    <col min="13" max="13" width="19.140625" style="170" bestFit="1" customWidth="1"/>
    <col min="14" max="14" width="15.28515625" style="170" bestFit="1" customWidth="1"/>
    <col min="15" max="15" width="12.5703125" style="170" bestFit="1" customWidth="1"/>
    <col min="16" max="16" width="9.7109375" style="170" bestFit="1" customWidth="1"/>
    <col min="17" max="17" width="12.140625" style="170" bestFit="1" customWidth="1"/>
    <col min="18" max="18" width="10.7109375" style="170" customWidth="1"/>
    <col min="19" max="19" width="13.85546875" style="170" customWidth="1"/>
    <col min="20" max="20" width="12.42578125" style="170" bestFit="1" customWidth="1"/>
    <col min="21" max="21" width="25.28515625" style="170" bestFit="1" customWidth="1"/>
    <col min="22" max="22" width="23.85546875" style="170" bestFit="1" customWidth="1"/>
    <col min="23" max="23" width="67.7109375" style="170" bestFit="1" customWidth="1"/>
    <col min="24" max="24" width="7.42578125" style="170" bestFit="1" customWidth="1"/>
    <col min="25" max="25" width="69.5703125" style="170" bestFit="1" customWidth="1"/>
    <col min="26" max="26" width="11.42578125" style="170" bestFit="1" customWidth="1"/>
    <col min="27" max="28" width="21.5703125" style="170" customWidth="1"/>
    <col min="29" max="34" width="14.42578125" style="170" customWidth="1"/>
    <col min="35" max="35" width="11.42578125" style="170" bestFit="1" customWidth="1"/>
    <col min="36" max="55" width="8.85546875" style="170" customWidth="1"/>
    <col min="56" max="16384" width="8.85546875" style="170"/>
  </cols>
  <sheetData>
    <row r="2" spans="2:35" ht="41.1" customHeight="1">
      <c r="B2" s="606" t="s">
        <v>200</v>
      </c>
      <c r="C2" s="607"/>
      <c r="D2" s="607"/>
      <c r="E2" s="607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AA2" s="171"/>
      <c r="AB2" s="171"/>
    </row>
    <row r="3" spans="2:35" ht="17.100000000000001" customHeight="1">
      <c r="B3" s="608" t="s">
        <v>143</v>
      </c>
      <c r="C3" s="609"/>
      <c r="D3" s="614" t="s">
        <v>144</v>
      </c>
      <c r="E3" s="614"/>
      <c r="F3" s="614"/>
      <c r="G3" s="614" t="s">
        <v>145</v>
      </c>
      <c r="H3" s="614"/>
      <c r="I3" s="614"/>
      <c r="J3" s="614"/>
      <c r="K3" s="614"/>
      <c r="L3" s="614"/>
      <c r="M3" s="614"/>
      <c r="N3" s="614"/>
      <c r="O3" s="614"/>
      <c r="P3" s="614"/>
      <c r="Q3" s="614"/>
      <c r="R3" s="614"/>
      <c r="S3" s="614"/>
      <c r="T3" s="614" t="s">
        <v>146</v>
      </c>
      <c r="U3" s="615" t="s">
        <v>147</v>
      </c>
      <c r="V3" s="618" t="s">
        <v>148</v>
      </c>
      <c r="W3" s="618" t="s">
        <v>149</v>
      </c>
      <c r="X3" s="621" t="s">
        <v>150</v>
      </c>
      <c r="Y3" s="622" t="s">
        <v>151</v>
      </c>
      <c r="AA3" s="614" t="s">
        <v>152</v>
      </c>
      <c r="AB3" s="614"/>
      <c r="AC3" s="614"/>
      <c r="AD3" s="614"/>
      <c r="AE3" s="614"/>
      <c r="AF3" s="614"/>
      <c r="AG3" s="614"/>
      <c r="AH3" s="614"/>
      <c r="AI3" s="614"/>
    </row>
    <row r="4" spans="2:35" ht="17.100000000000001" customHeight="1">
      <c r="B4" s="610"/>
      <c r="C4" s="611"/>
      <c r="D4" s="632" t="s">
        <v>153</v>
      </c>
      <c r="E4" s="614" t="s">
        <v>154</v>
      </c>
      <c r="F4" s="614"/>
      <c r="G4" s="614" t="s">
        <v>155</v>
      </c>
      <c r="H4" s="614"/>
      <c r="I4" s="614"/>
      <c r="J4" s="614"/>
      <c r="K4" s="614"/>
      <c r="L4" s="614"/>
      <c r="M4" s="614"/>
      <c r="N4" s="614"/>
      <c r="O4" s="614" t="s">
        <v>156</v>
      </c>
      <c r="P4" s="614"/>
      <c r="Q4" s="614"/>
      <c r="R4" s="614"/>
      <c r="S4" s="614"/>
      <c r="T4" s="614"/>
      <c r="U4" s="616"/>
      <c r="V4" s="619"/>
      <c r="W4" s="630"/>
      <c r="X4" s="619"/>
      <c r="Y4" s="622"/>
      <c r="AA4" s="614"/>
      <c r="AB4" s="614"/>
      <c r="AC4" s="614"/>
      <c r="AD4" s="614"/>
      <c r="AE4" s="614"/>
      <c r="AF4" s="614"/>
      <c r="AG4" s="614"/>
      <c r="AH4" s="614"/>
      <c r="AI4" s="614"/>
    </row>
    <row r="5" spans="2:35" ht="17.100000000000001" customHeight="1">
      <c r="B5" s="610"/>
      <c r="C5" s="611"/>
      <c r="D5" s="632"/>
      <c r="E5" s="632" t="s">
        <v>157</v>
      </c>
      <c r="F5" s="622" t="s">
        <v>201</v>
      </c>
      <c r="G5" s="633" t="s">
        <v>159</v>
      </c>
      <c r="H5" s="633"/>
      <c r="I5" s="633"/>
      <c r="J5" s="633"/>
      <c r="K5" s="633"/>
      <c r="L5" s="633"/>
      <c r="M5" s="633"/>
      <c r="N5" s="633"/>
      <c r="O5" s="634" t="s">
        <v>104</v>
      </c>
      <c r="P5" s="633"/>
      <c r="Q5" s="635" t="s">
        <v>105</v>
      </c>
      <c r="R5" s="633"/>
      <c r="S5" s="633"/>
      <c r="T5" s="614"/>
      <c r="U5" s="616"/>
      <c r="V5" s="619"/>
      <c r="W5" s="630"/>
      <c r="X5" s="619"/>
      <c r="Y5" s="622"/>
      <c r="AA5" s="614"/>
      <c r="AB5" s="614"/>
      <c r="AC5" s="614"/>
      <c r="AD5" s="614"/>
      <c r="AE5" s="614"/>
      <c r="AF5" s="614"/>
      <c r="AG5" s="614"/>
      <c r="AH5" s="614"/>
      <c r="AI5" s="614"/>
    </row>
    <row r="6" spans="2:35" ht="38.450000000000003" customHeight="1">
      <c r="B6" s="612"/>
      <c r="C6" s="613"/>
      <c r="D6" s="632"/>
      <c r="E6" s="632"/>
      <c r="F6" s="622"/>
      <c r="G6" s="237" t="s">
        <v>160</v>
      </c>
      <c r="H6" s="237" t="s">
        <v>161</v>
      </c>
      <c r="I6" s="237" t="s">
        <v>162</v>
      </c>
      <c r="J6" s="237" t="s">
        <v>163</v>
      </c>
      <c r="K6" s="237" t="s">
        <v>164</v>
      </c>
      <c r="L6" s="237" t="s">
        <v>165</v>
      </c>
      <c r="M6" s="237" t="s">
        <v>166</v>
      </c>
      <c r="N6" s="237" t="s">
        <v>167</v>
      </c>
      <c r="O6" s="235" t="s">
        <v>168</v>
      </c>
      <c r="P6" s="235" t="s">
        <v>169</v>
      </c>
      <c r="Q6" s="235" t="s">
        <v>168</v>
      </c>
      <c r="R6" s="235" t="s">
        <v>169</v>
      </c>
      <c r="S6" s="237" t="s">
        <v>170</v>
      </c>
      <c r="T6" s="614"/>
      <c r="U6" s="617"/>
      <c r="V6" s="620"/>
      <c r="W6" s="631"/>
      <c r="X6" s="620"/>
      <c r="Y6" s="622"/>
      <c r="AA6" s="183" t="s">
        <v>171</v>
      </c>
      <c r="AB6" s="183" t="s">
        <v>98</v>
      </c>
      <c r="AC6" s="236" t="s">
        <v>172</v>
      </c>
      <c r="AD6" s="236" t="s">
        <v>100</v>
      </c>
      <c r="AE6" s="236" t="s">
        <v>101</v>
      </c>
      <c r="AF6" s="236" t="s">
        <v>106</v>
      </c>
      <c r="AG6" s="236" t="s">
        <v>107</v>
      </c>
      <c r="AH6" s="236" t="s">
        <v>108</v>
      </c>
      <c r="AI6" s="236" t="s">
        <v>173</v>
      </c>
    </row>
    <row r="7" spans="2:35" s="238" customFormat="1" ht="27" customHeight="1">
      <c r="B7" s="624" t="s">
        <v>393</v>
      </c>
      <c r="C7" s="625"/>
      <c r="D7" s="234">
        <v>1</v>
      </c>
      <c r="E7" s="251" t="s">
        <v>128</v>
      </c>
      <c r="F7" s="365">
        <v>0</v>
      </c>
      <c r="G7" s="365">
        <v>908.5</v>
      </c>
      <c r="H7" s="365">
        <v>992</v>
      </c>
      <c r="I7" s="239">
        <f>H7/G7</f>
        <v>1.0919097413318657</v>
      </c>
      <c r="J7" s="365">
        <v>0</v>
      </c>
      <c r="K7" s="239">
        <f>J7/G7</f>
        <v>0</v>
      </c>
      <c r="L7" s="365">
        <v>200</v>
      </c>
      <c r="M7" s="240">
        <f>(H7+J7)/G7</f>
        <v>1.0919097413318657</v>
      </c>
      <c r="N7" s="366">
        <v>83.5</v>
      </c>
      <c r="O7" s="365">
        <v>0</v>
      </c>
      <c r="P7" s="239">
        <f>O7/G7</f>
        <v>0</v>
      </c>
      <c r="Q7" s="241">
        <f>((H7+J7)-G7)-O7</f>
        <v>83.5</v>
      </c>
      <c r="R7" s="239">
        <f>Q7/G7</f>
        <v>9.1909741331865719E-2</v>
      </c>
      <c r="S7" s="365">
        <v>16708</v>
      </c>
      <c r="T7" s="247" t="s">
        <v>189</v>
      </c>
      <c r="U7" s="242" t="s">
        <v>101</v>
      </c>
      <c r="V7" s="242" t="s">
        <v>105</v>
      </c>
      <c r="W7" s="243" t="s">
        <v>202</v>
      </c>
      <c r="X7" s="243">
        <v>1</v>
      </c>
      <c r="Y7" s="252" t="s">
        <v>127</v>
      </c>
      <c r="Z7" s="244" t="s">
        <v>179</v>
      </c>
      <c r="AA7" s="245">
        <v>20</v>
      </c>
      <c r="AB7" s="246">
        <f>SUMIF($U$7:$U$26,TRIM(AB6),$X$7:$X$26)</f>
        <v>0</v>
      </c>
      <c r="AC7" s="246">
        <f>SUMIF($U$7:$U$26,TRIM(AC6),$X$7:$X$26)</f>
        <v>0</v>
      </c>
      <c r="AD7" s="246">
        <f t="shared" ref="AD7:AI7" ca="1" si="0">SUMIF($U$7:$U$9710,TRIM(AD6),$X$7:$X$26)</f>
        <v>0</v>
      </c>
      <c r="AE7" s="246">
        <f t="shared" ca="1" si="0"/>
        <v>19</v>
      </c>
      <c r="AF7" s="246">
        <f t="shared" ca="1" si="0"/>
        <v>0</v>
      </c>
      <c r="AG7" s="246">
        <f t="shared" ca="1" si="0"/>
        <v>1</v>
      </c>
      <c r="AH7" s="246">
        <f t="shared" ca="1" si="0"/>
        <v>0</v>
      </c>
      <c r="AI7" s="246">
        <f t="shared" ca="1" si="0"/>
        <v>0</v>
      </c>
    </row>
    <row r="8" spans="2:35" s="238" customFormat="1" ht="27" customHeight="1">
      <c r="B8" s="626"/>
      <c r="C8" s="627"/>
      <c r="D8" s="234">
        <v>2</v>
      </c>
      <c r="E8" s="251" t="s">
        <v>128</v>
      </c>
      <c r="F8" s="365">
        <v>0</v>
      </c>
      <c r="G8" s="365">
        <v>264.60000000000002</v>
      </c>
      <c r="H8" s="365">
        <v>278</v>
      </c>
      <c r="I8" s="239">
        <f t="shared" ref="I8:I26" si="1">H8/G8</f>
        <v>1.0506424792139077</v>
      </c>
      <c r="J8" s="365">
        <v>0</v>
      </c>
      <c r="K8" s="239">
        <f t="shared" ref="K8:K26" si="2">J8/G8</f>
        <v>0</v>
      </c>
      <c r="L8" s="365">
        <v>200</v>
      </c>
      <c r="M8" s="240">
        <f t="shared" ref="M8:M26" si="3">(H8+J8)/G8</f>
        <v>1.0506424792139077</v>
      </c>
      <c r="N8" s="366">
        <v>13.4</v>
      </c>
      <c r="O8" s="365">
        <v>0</v>
      </c>
      <c r="P8" s="239">
        <f t="shared" ref="P8:P19" si="4">O8/G8</f>
        <v>0</v>
      </c>
      <c r="Q8" s="241">
        <f t="shared" ref="Q8:Q19" si="5">((H8+J8)-G8)-O8</f>
        <v>13.399999999999977</v>
      </c>
      <c r="R8" s="239">
        <f t="shared" ref="R8:R19" si="6">Q8/G8</f>
        <v>5.0642479213907694E-2</v>
      </c>
      <c r="S8" s="365">
        <v>2688</v>
      </c>
      <c r="T8" s="247" t="s">
        <v>189</v>
      </c>
      <c r="U8" s="242" t="s">
        <v>101</v>
      </c>
      <c r="V8" s="242" t="s">
        <v>105</v>
      </c>
      <c r="W8" s="243" t="s">
        <v>202</v>
      </c>
      <c r="X8" s="243">
        <v>1</v>
      </c>
      <c r="Y8" s="334" t="s">
        <v>75</v>
      </c>
      <c r="AA8" s="245"/>
      <c r="AB8" s="248">
        <f>SUMIF($U$7:$U$26,TRIM(AB6),$S$7:$S$26)</f>
        <v>0</v>
      </c>
      <c r="AC8" s="248">
        <f t="shared" ref="AC8:AI8" si="7">SUMIF($U$7:$U$26,TRIM(AC6),$S$7:$S$26)</f>
        <v>0</v>
      </c>
      <c r="AD8" s="248">
        <f t="shared" si="7"/>
        <v>0</v>
      </c>
      <c r="AE8" s="248">
        <f t="shared" si="7"/>
        <v>34479.299999999996</v>
      </c>
      <c r="AF8" s="248">
        <f t="shared" si="7"/>
        <v>0</v>
      </c>
      <c r="AG8" s="248">
        <f t="shared" si="7"/>
        <v>1158.4000000000001</v>
      </c>
      <c r="AH8" s="248">
        <f t="shared" si="7"/>
        <v>0</v>
      </c>
      <c r="AI8" s="248">
        <f t="shared" si="7"/>
        <v>0</v>
      </c>
    </row>
    <row r="9" spans="2:35" s="238" customFormat="1" ht="25.5" customHeight="1">
      <c r="B9" s="626"/>
      <c r="C9" s="627"/>
      <c r="D9" s="234">
        <v>3</v>
      </c>
      <c r="E9" s="251" t="s">
        <v>128</v>
      </c>
      <c r="F9" s="365">
        <v>0</v>
      </c>
      <c r="G9" s="365">
        <v>134</v>
      </c>
      <c r="H9" s="365">
        <v>146</v>
      </c>
      <c r="I9" s="239">
        <f t="shared" si="1"/>
        <v>1.0895522388059702</v>
      </c>
      <c r="J9" s="365">
        <v>0</v>
      </c>
      <c r="K9" s="239">
        <f t="shared" si="2"/>
        <v>0</v>
      </c>
      <c r="L9" s="365">
        <v>200</v>
      </c>
      <c r="M9" s="240">
        <f t="shared" si="3"/>
        <v>1.0895522388059702</v>
      </c>
      <c r="N9" s="366">
        <v>12</v>
      </c>
      <c r="O9" s="365">
        <v>0</v>
      </c>
      <c r="P9" s="239">
        <f t="shared" si="4"/>
        <v>0</v>
      </c>
      <c r="Q9" s="241">
        <f t="shared" si="5"/>
        <v>12</v>
      </c>
      <c r="R9" s="239">
        <f t="shared" si="6"/>
        <v>8.9552238805970144E-2</v>
      </c>
      <c r="S9" s="365">
        <v>2392</v>
      </c>
      <c r="T9" s="247" t="s">
        <v>189</v>
      </c>
      <c r="U9" s="242" t="s">
        <v>101</v>
      </c>
      <c r="V9" s="242" t="s">
        <v>105</v>
      </c>
      <c r="W9" s="243" t="s">
        <v>202</v>
      </c>
      <c r="X9" s="243">
        <v>1</v>
      </c>
      <c r="Y9" s="252" t="s">
        <v>80</v>
      </c>
      <c r="AB9" s="350">
        <f t="shared" ref="AB9:AI9" si="8">AB7/$AA$7</f>
        <v>0</v>
      </c>
      <c r="AC9" s="350">
        <f t="shared" si="8"/>
        <v>0</v>
      </c>
      <c r="AD9" s="350">
        <f t="shared" ca="1" si="8"/>
        <v>0</v>
      </c>
      <c r="AE9" s="350">
        <f t="shared" ca="1" si="8"/>
        <v>0.95</v>
      </c>
      <c r="AF9" s="350">
        <f t="shared" ca="1" si="8"/>
        <v>0</v>
      </c>
      <c r="AG9" s="350">
        <f t="shared" ca="1" si="8"/>
        <v>0.05</v>
      </c>
      <c r="AH9" s="350">
        <f ca="1">AH7/$AA$7</f>
        <v>0</v>
      </c>
      <c r="AI9" s="350">
        <f t="shared" ca="1" si="8"/>
        <v>0</v>
      </c>
    </row>
    <row r="10" spans="2:35" s="238" customFormat="1" ht="27" customHeight="1">
      <c r="B10" s="626"/>
      <c r="C10" s="627"/>
      <c r="D10" s="234">
        <v>4</v>
      </c>
      <c r="E10" s="251" t="s">
        <v>183</v>
      </c>
      <c r="F10" s="365">
        <v>899.5</v>
      </c>
      <c r="G10" s="365">
        <v>2427.3000000000002</v>
      </c>
      <c r="H10" s="365">
        <v>2437.6</v>
      </c>
      <c r="I10" s="239">
        <f>H10/G10</f>
        <v>1.0042433980142544</v>
      </c>
      <c r="J10" s="365">
        <v>9.8000000000000007</v>
      </c>
      <c r="K10" s="239">
        <f t="shared" si="2"/>
        <v>4.037407819387797E-3</v>
      </c>
      <c r="L10" s="365">
        <v>153.80000000000001</v>
      </c>
      <c r="M10" s="240">
        <f t="shared" si="3"/>
        <v>1.0082808058336423</v>
      </c>
      <c r="N10" s="366">
        <v>20.100000000000001</v>
      </c>
      <c r="O10" s="365">
        <v>5.8</v>
      </c>
      <c r="P10" s="239">
        <f t="shared" si="4"/>
        <v>2.3894862604540022E-3</v>
      </c>
      <c r="Q10" s="241">
        <f t="shared" si="5"/>
        <v>14.299999999999908</v>
      </c>
      <c r="R10" s="239">
        <f t="shared" si="6"/>
        <v>5.891319573188278E-3</v>
      </c>
      <c r="S10" s="365">
        <v>2191.1</v>
      </c>
      <c r="T10" s="247" t="s">
        <v>189</v>
      </c>
      <c r="U10" s="242" t="s">
        <v>101</v>
      </c>
      <c r="V10" s="242" t="s">
        <v>105</v>
      </c>
      <c r="W10" s="243" t="s">
        <v>202</v>
      </c>
      <c r="X10" s="243">
        <v>1</v>
      </c>
      <c r="Y10" s="252" t="s">
        <v>76</v>
      </c>
    </row>
    <row r="11" spans="2:35" s="238" customFormat="1" ht="27" customHeight="1">
      <c r="B11" s="626"/>
      <c r="C11" s="627"/>
      <c r="D11" s="234">
        <v>5</v>
      </c>
      <c r="E11" s="251" t="s">
        <v>203</v>
      </c>
      <c r="F11" s="365">
        <v>0</v>
      </c>
      <c r="G11" s="365">
        <v>224.5</v>
      </c>
      <c r="H11" s="365">
        <v>231.3</v>
      </c>
      <c r="I11" s="239">
        <f t="shared" si="1"/>
        <v>1.0302895322939867</v>
      </c>
      <c r="J11" s="365">
        <v>0</v>
      </c>
      <c r="K11" s="239">
        <f t="shared" si="2"/>
        <v>0</v>
      </c>
      <c r="L11" s="365">
        <v>304.8</v>
      </c>
      <c r="M11" s="240">
        <f t="shared" si="3"/>
        <v>1.0302895322939867</v>
      </c>
      <c r="N11" s="366">
        <v>6.8</v>
      </c>
      <c r="O11" s="365">
        <v>0</v>
      </c>
      <c r="P11" s="239">
        <f t="shared" si="4"/>
        <v>0</v>
      </c>
      <c r="Q11" s="241">
        <f t="shared" si="5"/>
        <v>6.8000000000000114</v>
      </c>
      <c r="R11" s="239">
        <f t="shared" si="6"/>
        <v>3.0289532293986687E-2</v>
      </c>
      <c r="S11" s="365">
        <v>2082.1</v>
      </c>
      <c r="T11" s="247" t="s">
        <v>189</v>
      </c>
      <c r="U11" s="242" t="s">
        <v>101</v>
      </c>
      <c r="V11" s="242" t="s">
        <v>105</v>
      </c>
      <c r="W11" s="243" t="s">
        <v>202</v>
      </c>
      <c r="X11" s="243">
        <v>1</v>
      </c>
      <c r="Y11" s="334" t="s">
        <v>77</v>
      </c>
    </row>
    <row r="12" spans="2:35" s="238" customFormat="1" ht="27" customHeight="1">
      <c r="B12" s="626"/>
      <c r="C12" s="627"/>
      <c r="D12" s="234">
        <v>6</v>
      </c>
      <c r="E12" s="251" t="s">
        <v>125</v>
      </c>
      <c r="F12" s="365">
        <v>1445.8</v>
      </c>
      <c r="G12" s="365">
        <v>2299.6999999999998</v>
      </c>
      <c r="H12" s="365">
        <v>2321.9</v>
      </c>
      <c r="I12" s="239">
        <f t="shared" si="1"/>
        <v>1.0096534330564857</v>
      </c>
      <c r="J12" s="365">
        <v>18.600000000000001</v>
      </c>
      <c r="K12" s="239">
        <f t="shared" si="2"/>
        <v>8.0880114797582305E-3</v>
      </c>
      <c r="L12" s="365">
        <v>85</v>
      </c>
      <c r="M12" s="240">
        <f t="shared" si="3"/>
        <v>1.017741444536244</v>
      </c>
      <c r="N12" s="366">
        <v>40.9</v>
      </c>
      <c r="O12" s="365">
        <v>17</v>
      </c>
      <c r="P12" s="239">
        <f t="shared" si="4"/>
        <v>7.3922685567682743E-3</v>
      </c>
      <c r="Q12" s="241">
        <f t="shared" si="5"/>
        <v>23.800000000000182</v>
      </c>
      <c r="R12" s="239">
        <f t="shared" si="6"/>
        <v>1.0349175979475664E-2</v>
      </c>
      <c r="S12" s="365">
        <v>2028.1</v>
      </c>
      <c r="T12" s="247" t="s">
        <v>189</v>
      </c>
      <c r="U12" s="242" t="s">
        <v>101</v>
      </c>
      <c r="V12" s="242" t="s">
        <v>105</v>
      </c>
      <c r="W12" s="243" t="s">
        <v>202</v>
      </c>
      <c r="X12" s="243">
        <v>1</v>
      </c>
      <c r="Y12" s="334" t="s">
        <v>60</v>
      </c>
    </row>
    <row r="13" spans="2:35" s="238" customFormat="1" ht="27" customHeight="1">
      <c r="B13" s="626"/>
      <c r="C13" s="627"/>
      <c r="D13" s="234">
        <v>7</v>
      </c>
      <c r="E13" s="251" t="s">
        <v>188</v>
      </c>
      <c r="F13" s="365">
        <v>631.9</v>
      </c>
      <c r="G13" s="365">
        <v>829.2</v>
      </c>
      <c r="H13" s="365">
        <v>851.2</v>
      </c>
      <c r="I13" s="239">
        <f t="shared" si="1"/>
        <v>1.0265315967197299</v>
      </c>
      <c r="J13" s="365">
        <v>0</v>
      </c>
      <c r="K13" s="239">
        <f t="shared" si="2"/>
        <v>0</v>
      </c>
      <c r="L13" s="365">
        <v>89</v>
      </c>
      <c r="M13" s="240">
        <f t="shared" si="3"/>
        <v>1.0265315967197299</v>
      </c>
      <c r="N13" s="366">
        <v>22</v>
      </c>
      <c r="O13" s="365">
        <v>7.1</v>
      </c>
      <c r="P13" s="239">
        <f t="shared" si="4"/>
        <v>8.5624698504582729E-3</v>
      </c>
      <c r="Q13" s="241">
        <f t="shared" si="5"/>
        <v>14.9</v>
      </c>
      <c r="R13" s="239">
        <f t="shared" si="6"/>
        <v>1.7969126869271587E-2</v>
      </c>
      <c r="S13" s="365">
        <v>1330.6</v>
      </c>
      <c r="T13" s="247" t="s">
        <v>189</v>
      </c>
      <c r="U13" s="242" t="s">
        <v>101</v>
      </c>
      <c r="V13" s="242" t="s">
        <v>105</v>
      </c>
      <c r="W13" s="243" t="s">
        <v>202</v>
      </c>
      <c r="X13" s="243">
        <v>1</v>
      </c>
      <c r="Y13" s="253" t="s">
        <v>192</v>
      </c>
      <c r="AB13" s="238">
        <v>1</v>
      </c>
      <c r="AC13" s="254" t="s">
        <v>98</v>
      </c>
    </row>
    <row r="14" spans="2:35" s="238" customFormat="1" ht="27" customHeight="1">
      <c r="B14" s="626"/>
      <c r="C14" s="627"/>
      <c r="D14" s="234">
        <v>8</v>
      </c>
      <c r="E14" s="381" t="s">
        <v>204</v>
      </c>
      <c r="F14" s="365">
        <v>0</v>
      </c>
      <c r="G14" s="365">
        <v>281.2</v>
      </c>
      <c r="H14" s="365">
        <v>282.60000000000002</v>
      </c>
      <c r="I14" s="239">
        <f t="shared" si="1"/>
        <v>1.0049786628733999</v>
      </c>
      <c r="J14" s="365">
        <v>7</v>
      </c>
      <c r="K14" s="239">
        <f>J14/G14</f>
        <v>2.4893314366998577E-2</v>
      </c>
      <c r="L14" s="365">
        <v>155.69999999999999</v>
      </c>
      <c r="M14" s="240">
        <f>(H14+J14)/G14</f>
        <v>1.0298719772403984</v>
      </c>
      <c r="N14" s="366">
        <v>8.3000000000000007</v>
      </c>
      <c r="O14" s="365">
        <v>0</v>
      </c>
      <c r="P14" s="239">
        <f t="shared" si="4"/>
        <v>0</v>
      </c>
      <c r="Q14" s="241">
        <f t="shared" si="5"/>
        <v>8.4000000000000341</v>
      </c>
      <c r="R14" s="239">
        <f t="shared" si="6"/>
        <v>2.9871977240398414E-2</v>
      </c>
      <c r="S14" s="365">
        <v>1300</v>
      </c>
      <c r="T14" s="247" t="s">
        <v>189</v>
      </c>
      <c r="U14" s="242" t="s">
        <v>101</v>
      </c>
      <c r="V14" s="242" t="s">
        <v>105</v>
      </c>
      <c r="W14" s="243" t="s">
        <v>202</v>
      </c>
      <c r="X14" s="243">
        <v>1</v>
      </c>
      <c r="Y14" s="334" t="s">
        <v>205</v>
      </c>
      <c r="AB14" s="238">
        <v>2</v>
      </c>
      <c r="AC14" s="254" t="s">
        <v>185</v>
      </c>
    </row>
    <row r="15" spans="2:35" s="238" customFormat="1" ht="27" customHeight="1">
      <c r="B15" s="626"/>
      <c r="C15" s="627"/>
      <c r="D15" s="234">
        <v>9</v>
      </c>
      <c r="E15" s="251" t="s">
        <v>135</v>
      </c>
      <c r="F15" s="365">
        <v>194.5</v>
      </c>
      <c r="G15" s="365">
        <v>286.5</v>
      </c>
      <c r="H15" s="365">
        <v>287.3</v>
      </c>
      <c r="I15" s="239">
        <f t="shared" si="1"/>
        <v>1.0027923211169285</v>
      </c>
      <c r="J15" s="365">
        <v>2.2999999999999998</v>
      </c>
      <c r="K15" s="239">
        <f t="shared" si="2"/>
        <v>8.0279232111692845E-3</v>
      </c>
      <c r="L15" s="365">
        <v>432.2</v>
      </c>
      <c r="M15" s="240">
        <f t="shared" si="3"/>
        <v>1.0108202443280978</v>
      </c>
      <c r="N15" s="366">
        <v>3.1</v>
      </c>
      <c r="O15" s="365">
        <v>0.4</v>
      </c>
      <c r="P15" s="239">
        <f t="shared" si="4"/>
        <v>1.3961605584642235E-3</v>
      </c>
      <c r="Q15" s="241">
        <f t="shared" si="5"/>
        <v>2.7000000000000228</v>
      </c>
      <c r="R15" s="239">
        <f t="shared" si="6"/>
        <v>9.4240837696335875E-3</v>
      </c>
      <c r="S15" s="365">
        <v>1158.4000000000001</v>
      </c>
      <c r="T15" s="247" t="s">
        <v>198</v>
      </c>
      <c r="U15" s="242" t="s">
        <v>107</v>
      </c>
      <c r="V15" s="242" t="s">
        <v>401</v>
      </c>
      <c r="W15" s="243"/>
      <c r="X15" s="243">
        <v>1</v>
      </c>
      <c r="Y15" s="252" t="s">
        <v>86</v>
      </c>
      <c r="AB15" s="238">
        <v>3</v>
      </c>
      <c r="AC15" s="254" t="s">
        <v>100</v>
      </c>
    </row>
    <row r="16" spans="2:35" s="238" customFormat="1" ht="27" customHeight="1">
      <c r="B16" s="626"/>
      <c r="C16" s="627"/>
      <c r="D16" s="234">
        <v>10</v>
      </c>
      <c r="E16" s="251" t="s">
        <v>206</v>
      </c>
      <c r="F16" s="365">
        <v>0</v>
      </c>
      <c r="G16" s="365">
        <v>64.8</v>
      </c>
      <c r="H16" s="365">
        <v>68</v>
      </c>
      <c r="I16" s="239">
        <f t="shared" si="1"/>
        <v>1.0493827160493827</v>
      </c>
      <c r="J16" s="365">
        <v>0</v>
      </c>
      <c r="K16" s="239">
        <f t="shared" si="2"/>
        <v>0</v>
      </c>
      <c r="L16" s="365">
        <v>235</v>
      </c>
      <c r="M16" s="240">
        <f t="shared" si="3"/>
        <v>1.0493827160493827</v>
      </c>
      <c r="N16" s="366">
        <v>3.2</v>
      </c>
      <c r="O16" s="365">
        <v>0</v>
      </c>
      <c r="P16" s="239">
        <f t="shared" si="4"/>
        <v>0</v>
      </c>
      <c r="Q16" s="241">
        <f t="shared" si="5"/>
        <v>3.2000000000000028</v>
      </c>
      <c r="R16" s="239">
        <f t="shared" si="6"/>
        <v>4.9382716049382762E-2</v>
      </c>
      <c r="S16" s="365">
        <v>762.6</v>
      </c>
      <c r="T16" s="247" t="s">
        <v>189</v>
      </c>
      <c r="U16" s="242" t="s">
        <v>101</v>
      </c>
      <c r="V16" s="242" t="s">
        <v>105</v>
      </c>
      <c r="W16" s="243" t="s">
        <v>202</v>
      </c>
      <c r="X16" s="243">
        <v>1</v>
      </c>
      <c r="Y16" s="252" t="s">
        <v>77</v>
      </c>
      <c r="AB16" s="238">
        <v>4</v>
      </c>
      <c r="AC16" s="254" t="s">
        <v>194</v>
      </c>
    </row>
    <row r="17" spans="2:29" s="238" customFormat="1" ht="27" customHeight="1">
      <c r="B17" s="626"/>
      <c r="C17" s="627"/>
      <c r="D17" s="234">
        <v>11</v>
      </c>
      <c r="E17" s="251" t="s">
        <v>174</v>
      </c>
      <c r="F17" s="365">
        <v>3861.4</v>
      </c>
      <c r="G17" s="365">
        <v>1355.6</v>
      </c>
      <c r="H17" s="365">
        <v>1387.5</v>
      </c>
      <c r="I17" s="239">
        <f t="shared" si="1"/>
        <v>1.0235320153437593</v>
      </c>
      <c r="J17" s="365">
        <v>0</v>
      </c>
      <c r="K17" s="239">
        <f t="shared" si="2"/>
        <v>0</v>
      </c>
      <c r="L17" s="365">
        <v>140.6</v>
      </c>
      <c r="M17" s="240">
        <f t="shared" si="3"/>
        <v>1.0235320153437593</v>
      </c>
      <c r="N17" s="366">
        <v>31.8</v>
      </c>
      <c r="O17" s="365">
        <v>27.5</v>
      </c>
      <c r="P17" s="239">
        <f t="shared" si="4"/>
        <v>2.0286220123930363E-2</v>
      </c>
      <c r="Q17" s="241">
        <f t="shared" si="5"/>
        <v>4.4000000000000909</v>
      </c>
      <c r="R17" s="239">
        <f t="shared" si="6"/>
        <v>3.2457952198289256E-3</v>
      </c>
      <c r="S17" s="365">
        <v>613.4</v>
      </c>
      <c r="T17" s="247" t="s">
        <v>189</v>
      </c>
      <c r="U17" s="242" t="s">
        <v>101</v>
      </c>
      <c r="V17" s="242" t="s">
        <v>105</v>
      </c>
      <c r="W17" s="243" t="s">
        <v>202</v>
      </c>
      <c r="X17" s="243">
        <v>1</v>
      </c>
      <c r="Y17" s="252" t="s">
        <v>178</v>
      </c>
      <c r="AB17" s="238">
        <v>5</v>
      </c>
      <c r="AC17" s="254" t="s">
        <v>106</v>
      </c>
    </row>
    <row r="18" spans="2:29" s="238" customFormat="1" ht="27" customHeight="1">
      <c r="B18" s="626"/>
      <c r="C18" s="627"/>
      <c r="D18" s="234">
        <v>12</v>
      </c>
      <c r="E18" s="251" t="s">
        <v>181</v>
      </c>
      <c r="F18" s="365">
        <v>2018.9</v>
      </c>
      <c r="G18" s="365">
        <v>2506.6</v>
      </c>
      <c r="H18" s="365">
        <v>2527.3000000000002</v>
      </c>
      <c r="I18" s="239">
        <f t="shared" si="1"/>
        <v>1.0082581983563395</v>
      </c>
      <c r="J18" s="365">
        <v>0</v>
      </c>
      <c r="K18" s="239">
        <f t="shared" si="2"/>
        <v>0</v>
      </c>
      <c r="L18" s="365">
        <v>125.6</v>
      </c>
      <c r="M18" s="240">
        <f t="shared" si="3"/>
        <v>1.0082581983563395</v>
      </c>
      <c r="N18" s="366">
        <v>20.8</v>
      </c>
      <c r="O18" s="365">
        <v>16.100000000000001</v>
      </c>
      <c r="P18" s="239">
        <f t="shared" si="4"/>
        <v>6.4230431660416507E-3</v>
      </c>
      <c r="Q18" s="241">
        <f t="shared" si="5"/>
        <v>4.6000000000002714</v>
      </c>
      <c r="R18" s="239">
        <f t="shared" si="6"/>
        <v>1.8351551902977227E-3</v>
      </c>
      <c r="S18" s="365">
        <v>591.70000000000005</v>
      </c>
      <c r="T18" s="247" t="s">
        <v>189</v>
      </c>
      <c r="U18" s="242" t="s">
        <v>101</v>
      </c>
      <c r="V18" s="242" t="s">
        <v>105</v>
      </c>
      <c r="W18" s="243" t="s">
        <v>202</v>
      </c>
      <c r="X18" s="243">
        <v>1</v>
      </c>
      <c r="Y18" s="334" t="s">
        <v>86</v>
      </c>
      <c r="AB18" s="238">
        <v>6</v>
      </c>
      <c r="AC18" s="254" t="s">
        <v>107</v>
      </c>
    </row>
    <row r="19" spans="2:29" s="238" customFormat="1" ht="27" customHeight="1">
      <c r="B19" s="626"/>
      <c r="C19" s="627"/>
      <c r="D19" s="234">
        <v>13</v>
      </c>
      <c r="E19" s="251" t="s">
        <v>128</v>
      </c>
      <c r="F19" s="365">
        <v>0</v>
      </c>
      <c r="G19" s="365">
        <v>29.2</v>
      </c>
      <c r="H19" s="365">
        <v>31</v>
      </c>
      <c r="I19" s="239">
        <f t="shared" si="1"/>
        <v>1.0616438356164384</v>
      </c>
      <c r="J19" s="365">
        <v>0</v>
      </c>
      <c r="K19" s="239">
        <f t="shared" si="2"/>
        <v>0</v>
      </c>
      <c r="L19" s="365">
        <v>206</v>
      </c>
      <c r="M19" s="240">
        <f t="shared" si="3"/>
        <v>1.0616438356164384</v>
      </c>
      <c r="N19" s="366">
        <v>1.8</v>
      </c>
      <c r="O19" s="365">
        <v>0</v>
      </c>
      <c r="P19" s="239">
        <f t="shared" si="4"/>
        <v>0</v>
      </c>
      <c r="Q19" s="241">
        <f t="shared" si="5"/>
        <v>1.8000000000000007</v>
      </c>
      <c r="R19" s="239">
        <f t="shared" si="6"/>
        <v>6.164383561643838E-2</v>
      </c>
      <c r="S19" s="365">
        <v>367.9</v>
      </c>
      <c r="T19" s="247" t="s">
        <v>189</v>
      </c>
      <c r="U19" s="242" t="s">
        <v>101</v>
      </c>
      <c r="V19" s="242" t="s">
        <v>105</v>
      </c>
      <c r="W19" s="243" t="s">
        <v>202</v>
      </c>
      <c r="X19" s="243">
        <v>1</v>
      </c>
      <c r="Y19" s="252" t="s">
        <v>207</v>
      </c>
      <c r="AB19" s="238">
        <v>7</v>
      </c>
      <c r="AC19" s="254" t="s">
        <v>108</v>
      </c>
    </row>
    <row r="20" spans="2:29" s="238" customFormat="1" ht="27" customHeight="1">
      <c r="B20" s="626"/>
      <c r="C20" s="627"/>
      <c r="D20" s="234">
        <v>14</v>
      </c>
      <c r="E20" s="251" t="s">
        <v>180</v>
      </c>
      <c r="F20" s="365">
        <v>3299.7</v>
      </c>
      <c r="G20" s="365">
        <v>1633.2</v>
      </c>
      <c r="H20" s="365">
        <v>1664.1</v>
      </c>
      <c r="I20" s="239">
        <f t="shared" si="1"/>
        <v>1.0189199118295371</v>
      </c>
      <c r="J20" s="365">
        <v>0</v>
      </c>
      <c r="K20" s="239">
        <f t="shared" si="2"/>
        <v>0</v>
      </c>
      <c r="L20" s="365">
        <v>118.5</v>
      </c>
      <c r="M20" s="240">
        <f t="shared" si="3"/>
        <v>1.0189199118295371</v>
      </c>
      <c r="N20" s="366">
        <v>30.9</v>
      </c>
      <c r="O20" s="365">
        <v>27.8</v>
      </c>
      <c r="P20" s="239">
        <f t="shared" ref="P20:P25" si="9">O20/G20</f>
        <v>1.7021797697771245E-2</v>
      </c>
      <c r="Q20" s="241">
        <f t="shared" ref="Q20:Q25" si="10">((H20+J20)-G20)-O20</f>
        <v>3.0999999999998629</v>
      </c>
      <c r="R20" s="239">
        <f t="shared" ref="R20:R25" si="11">Q20/G20</f>
        <v>1.8981141317657745E-3</v>
      </c>
      <c r="S20" s="365">
        <v>361.4</v>
      </c>
      <c r="T20" s="247" t="s">
        <v>189</v>
      </c>
      <c r="U20" s="242" t="s">
        <v>101</v>
      </c>
      <c r="V20" s="242" t="s">
        <v>105</v>
      </c>
      <c r="W20" s="243" t="s">
        <v>202</v>
      </c>
      <c r="X20" s="243">
        <v>1</v>
      </c>
      <c r="Y20" s="252" t="s">
        <v>78</v>
      </c>
      <c r="AB20" s="238">
        <v>8</v>
      </c>
      <c r="AC20" s="255" t="s">
        <v>197</v>
      </c>
    </row>
    <row r="21" spans="2:29" s="238" customFormat="1" ht="27" customHeight="1">
      <c r="B21" s="626"/>
      <c r="C21" s="627"/>
      <c r="D21" s="234">
        <v>15</v>
      </c>
      <c r="E21" s="251" t="s">
        <v>129</v>
      </c>
      <c r="F21" s="365">
        <v>147.5</v>
      </c>
      <c r="G21" s="365">
        <v>358.1</v>
      </c>
      <c r="H21" s="365">
        <v>361.6</v>
      </c>
      <c r="I21" s="239">
        <f t="shared" si="1"/>
        <v>1.0097738061993857</v>
      </c>
      <c r="J21" s="365">
        <v>0</v>
      </c>
      <c r="K21" s="239">
        <f t="shared" si="2"/>
        <v>0</v>
      </c>
      <c r="L21" s="365">
        <v>140.4</v>
      </c>
      <c r="M21" s="240">
        <f t="shared" si="3"/>
        <v>1.0097738061993857</v>
      </c>
      <c r="N21" s="366">
        <v>3.6</v>
      </c>
      <c r="O21" s="365">
        <v>1</v>
      </c>
      <c r="P21" s="239">
        <f t="shared" si="9"/>
        <v>2.7925160569673272E-3</v>
      </c>
      <c r="Q21" s="241">
        <f t="shared" si="10"/>
        <v>2.5</v>
      </c>
      <c r="R21" s="239">
        <f t="shared" si="11"/>
        <v>6.9812901424183187E-3</v>
      </c>
      <c r="S21" s="365">
        <v>352.5</v>
      </c>
      <c r="T21" s="247" t="s">
        <v>189</v>
      </c>
      <c r="U21" s="242" t="s">
        <v>101</v>
      </c>
      <c r="V21" s="242" t="s">
        <v>105</v>
      </c>
      <c r="W21" s="243" t="s">
        <v>202</v>
      </c>
      <c r="X21" s="243">
        <v>1</v>
      </c>
      <c r="Y21" s="252" t="s">
        <v>86</v>
      </c>
      <c r="AC21" s="254"/>
    </row>
    <row r="22" spans="2:29" s="238" customFormat="1" ht="27" customHeight="1">
      <c r="B22" s="626"/>
      <c r="C22" s="627"/>
      <c r="D22" s="234">
        <v>16</v>
      </c>
      <c r="E22" s="251" t="s">
        <v>196</v>
      </c>
      <c r="F22" s="365">
        <v>92.1</v>
      </c>
      <c r="G22" s="365">
        <v>638.79999999999995</v>
      </c>
      <c r="H22" s="365">
        <v>643.9</v>
      </c>
      <c r="I22" s="239">
        <f t="shared" si="1"/>
        <v>1.0079837194740138</v>
      </c>
      <c r="J22" s="365">
        <v>3.8</v>
      </c>
      <c r="K22" s="239">
        <f t="shared" si="2"/>
        <v>5.9486537257357544E-3</v>
      </c>
      <c r="L22" s="365">
        <v>39.200000000000003</v>
      </c>
      <c r="M22" s="240">
        <f t="shared" si="3"/>
        <v>1.0139323731997496</v>
      </c>
      <c r="N22" s="366">
        <v>9</v>
      </c>
      <c r="O22" s="365">
        <v>2.4</v>
      </c>
      <c r="P22" s="239">
        <f t="shared" si="9"/>
        <v>3.7570444583594239E-3</v>
      </c>
      <c r="Q22" s="241">
        <f t="shared" si="10"/>
        <v>6.4999999999999769</v>
      </c>
      <c r="R22" s="239">
        <f t="shared" si="11"/>
        <v>1.0175328741390072E-2</v>
      </c>
      <c r="S22" s="365">
        <v>258.7</v>
      </c>
      <c r="T22" s="247" t="s">
        <v>189</v>
      </c>
      <c r="U22" s="242" t="s">
        <v>101</v>
      </c>
      <c r="V22" s="242" t="s">
        <v>105</v>
      </c>
      <c r="W22" s="243" t="s">
        <v>202</v>
      </c>
      <c r="X22" s="243">
        <v>1</v>
      </c>
      <c r="Y22" s="252" t="s">
        <v>60</v>
      </c>
      <c r="AC22" s="254"/>
    </row>
    <row r="23" spans="2:29" s="238" customFormat="1" ht="27" customHeight="1">
      <c r="B23" s="626"/>
      <c r="C23" s="627"/>
      <c r="D23" s="234">
        <v>17</v>
      </c>
      <c r="E23" s="251" t="s">
        <v>186</v>
      </c>
      <c r="F23" s="365">
        <v>705.4</v>
      </c>
      <c r="G23" s="365">
        <v>69.3</v>
      </c>
      <c r="H23" s="365">
        <v>71.5</v>
      </c>
      <c r="I23" s="239">
        <f t="shared" si="1"/>
        <v>1.0317460317460319</v>
      </c>
      <c r="J23" s="365">
        <v>0</v>
      </c>
      <c r="K23" s="239">
        <f t="shared" si="2"/>
        <v>0</v>
      </c>
      <c r="L23" s="365">
        <v>403.1</v>
      </c>
      <c r="M23" s="240">
        <f t="shared" si="3"/>
        <v>1.0317460317460319</v>
      </c>
      <c r="N23" s="366">
        <v>2.2000000000000002</v>
      </c>
      <c r="O23" s="365">
        <v>1.8</v>
      </c>
      <c r="P23" s="239">
        <f t="shared" si="9"/>
        <v>2.5974025974025976E-2</v>
      </c>
      <c r="Q23" s="241">
        <f t="shared" si="10"/>
        <v>0.4000000000000028</v>
      </c>
      <c r="R23" s="239">
        <f t="shared" si="11"/>
        <v>5.7720057720058128E-3</v>
      </c>
      <c r="S23" s="365">
        <v>168.5</v>
      </c>
      <c r="T23" s="247" t="s">
        <v>189</v>
      </c>
      <c r="U23" s="242" t="s">
        <v>101</v>
      </c>
      <c r="V23" s="242" t="s">
        <v>105</v>
      </c>
      <c r="W23" s="243" t="s">
        <v>202</v>
      </c>
      <c r="X23" s="243">
        <v>1</v>
      </c>
      <c r="Y23" s="252" t="s">
        <v>187</v>
      </c>
      <c r="AB23" s="249">
        <v>1</v>
      </c>
      <c r="AC23" s="254" t="s">
        <v>184</v>
      </c>
    </row>
    <row r="24" spans="2:29" s="238" customFormat="1" ht="27" customHeight="1">
      <c r="B24" s="626"/>
      <c r="C24" s="627"/>
      <c r="D24" s="234">
        <v>18</v>
      </c>
      <c r="E24" s="251" t="s">
        <v>208</v>
      </c>
      <c r="F24" s="365">
        <v>0</v>
      </c>
      <c r="G24" s="365">
        <v>27.8</v>
      </c>
      <c r="H24" s="365">
        <v>29.6</v>
      </c>
      <c r="I24" s="239">
        <f t="shared" si="1"/>
        <v>1.064748201438849</v>
      </c>
      <c r="J24" s="365">
        <v>0</v>
      </c>
      <c r="K24" s="239">
        <f t="shared" si="2"/>
        <v>0</v>
      </c>
      <c r="L24" s="365">
        <v>72</v>
      </c>
      <c r="M24" s="240">
        <f t="shared" si="3"/>
        <v>1.064748201438849</v>
      </c>
      <c r="N24" s="366">
        <v>1.8</v>
      </c>
      <c r="O24" s="365">
        <v>0</v>
      </c>
      <c r="P24" s="239">
        <f t="shared" si="9"/>
        <v>0</v>
      </c>
      <c r="Q24" s="241">
        <f t="shared" si="10"/>
        <v>1.8000000000000007</v>
      </c>
      <c r="R24" s="239">
        <f t="shared" si="11"/>
        <v>6.4748201438848949E-2</v>
      </c>
      <c r="S24" s="365">
        <v>132.5</v>
      </c>
      <c r="T24" s="247" t="s">
        <v>189</v>
      </c>
      <c r="U24" s="242" t="s">
        <v>101</v>
      </c>
      <c r="V24" s="242" t="s">
        <v>105</v>
      </c>
      <c r="W24" s="243" t="s">
        <v>202</v>
      </c>
      <c r="X24" s="243">
        <v>1</v>
      </c>
      <c r="Y24" s="252" t="s">
        <v>207</v>
      </c>
      <c r="AB24" s="238">
        <v>2</v>
      </c>
      <c r="AC24" s="254" t="s">
        <v>189</v>
      </c>
    </row>
    <row r="25" spans="2:29" s="238" customFormat="1" ht="27" customHeight="1">
      <c r="B25" s="626"/>
      <c r="C25" s="627"/>
      <c r="D25" s="234">
        <v>19</v>
      </c>
      <c r="E25" s="251" t="s">
        <v>119</v>
      </c>
      <c r="F25" s="365">
        <v>1975.9</v>
      </c>
      <c r="G25" s="365">
        <v>1108.0999999999999</v>
      </c>
      <c r="H25" s="365">
        <v>1139.5</v>
      </c>
      <c r="I25" s="239">
        <f t="shared" si="1"/>
        <v>1.0283367927082394</v>
      </c>
      <c r="J25" s="365">
        <v>0</v>
      </c>
      <c r="K25" s="239">
        <f t="shared" si="2"/>
        <v>0</v>
      </c>
      <c r="L25" s="365">
        <v>66.5</v>
      </c>
      <c r="M25" s="240">
        <f t="shared" si="3"/>
        <v>1.0283367927082394</v>
      </c>
      <c r="N25" s="366">
        <v>31.4</v>
      </c>
      <c r="O25" s="365">
        <v>29.7</v>
      </c>
      <c r="P25" s="239">
        <f t="shared" si="9"/>
        <v>2.6802635141232743E-2</v>
      </c>
      <c r="Q25" s="241">
        <f t="shared" si="10"/>
        <v>1.7000000000000917</v>
      </c>
      <c r="R25" s="239">
        <f t="shared" si="11"/>
        <v>1.5341575670066708E-3</v>
      </c>
      <c r="S25" s="365">
        <v>112.4</v>
      </c>
      <c r="T25" s="247" t="s">
        <v>189</v>
      </c>
      <c r="U25" s="242" t="s">
        <v>101</v>
      </c>
      <c r="V25" s="242" t="s">
        <v>105</v>
      </c>
      <c r="W25" s="243" t="s">
        <v>202</v>
      </c>
      <c r="X25" s="243">
        <v>1</v>
      </c>
      <c r="Y25" s="252" t="s">
        <v>80</v>
      </c>
      <c r="AB25" s="250">
        <v>3</v>
      </c>
      <c r="AC25" s="254" t="s">
        <v>198</v>
      </c>
    </row>
    <row r="26" spans="2:29" s="238" customFormat="1" ht="27" customHeight="1">
      <c r="B26" s="628"/>
      <c r="C26" s="629"/>
      <c r="D26" s="234">
        <v>20</v>
      </c>
      <c r="E26" s="251" t="s">
        <v>193</v>
      </c>
      <c r="F26" s="365">
        <v>253.8</v>
      </c>
      <c r="G26" s="365">
        <v>35808</v>
      </c>
      <c r="H26" s="365">
        <v>35970</v>
      </c>
      <c r="I26" s="239">
        <f t="shared" si="1"/>
        <v>1.0045241286863271</v>
      </c>
      <c r="J26" s="365">
        <v>0</v>
      </c>
      <c r="K26" s="239">
        <f t="shared" si="2"/>
        <v>0</v>
      </c>
      <c r="L26" s="365">
        <v>1.8</v>
      </c>
      <c r="M26" s="240">
        <f t="shared" si="3"/>
        <v>1.0045241286863271</v>
      </c>
      <c r="N26" s="366">
        <v>162</v>
      </c>
      <c r="O26" s="365">
        <v>141</v>
      </c>
      <c r="P26" s="239">
        <f>O26/G26</f>
        <v>3.9376675603217158E-3</v>
      </c>
      <c r="Q26" s="241">
        <f>((H26+J26)-G26)-O26</f>
        <v>21</v>
      </c>
      <c r="R26" s="239">
        <f>Q26/G26</f>
        <v>5.8646112600536189E-4</v>
      </c>
      <c r="S26" s="365">
        <v>37.799999999999997</v>
      </c>
      <c r="T26" s="247" t="s">
        <v>189</v>
      </c>
      <c r="U26" s="242" t="s">
        <v>101</v>
      </c>
      <c r="V26" s="242" t="s">
        <v>105</v>
      </c>
      <c r="W26" s="243" t="s">
        <v>202</v>
      </c>
      <c r="X26" s="243">
        <v>1</v>
      </c>
      <c r="Y26" s="252" t="s">
        <v>86</v>
      </c>
      <c r="AB26" s="250">
        <v>4</v>
      </c>
      <c r="AC26" s="254" t="s">
        <v>175</v>
      </c>
    </row>
    <row r="27" spans="2:29" ht="29.45" customHeight="1">
      <c r="C27" s="623"/>
      <c r="D27" s="393"/>
      <c r="AB27" s="238">
        <v>5</v>
      </c>
      <c r="AC27" s="254" t="s">
        <v>199</v>
      </c>
    </row>
    <row r="28" spans="2:29">
      <c r="C28" s="623"/>
    </row>
    <row r="29" spans="2:29">
      <c r="C29" s="623"/>
    </row>
    <row r="30" spans="2:29">
      <c r="C30" s="623"/>
    </row>
    <row r="31" spans="2:29">
      <c r="C31" s="623"/>
    </row>
    <row r="32" spans="2:29">
      <c r="C32" s="623"/>
    </row>
    <row r="33" spans="3:3">
      <c r="C33" s="623"/>
    </row>
    <row r="34" spans="3:3">
      <c r="C34" s="623"/>
    </row>
    <row r="35" spans="3:3">
      <c r="C35" s="623"/>
    </row>
    <row r="36" spans="3:3">
      <c r="C36" s="623"/>
    </row>
    <row r="67" s="170" customFormat="1" ht="14.1" customHeight="1"/>
    <row r="77" s="170" customFormat="1" ht="14.1" customHeight="1"/>
    <row r="87" s="170" customFormat="1" ht="14.1" customHeight="1"/>
    <row r="112" spans="26:26">
      <c r="Z112" s="172" t="s">
        <v>169</v>
      </c>
    </row>
    <row r="113" spans="26:26">
      <c r="Z113" s="238" t="s">
        <v>102</v>
      </c>
    </row>
    <row r="116" spans="26:26" ht="18.75" customHeight="1"/>
    <row r="117" spans="26:26" ht="14.1" customHeight="1"/>
    <row r="127" spans="26:26" ht="14.1" customHeight="1"/>
    <row r="137" s="170" customFormat="1" ht="14.1" customHeight="1"/>
    <row r="147" s="170" customFormat="1" ht="14.1" customHeight="1"/>
    <row r="167" s="170" customFormat="1" ht="14.1" customHeight="1"/>
    <row r="187" s="170" customFormat="1" ht="14.1" customHeight="1"/>
    <row r="197" s="170" customFormat="1" ht="14.1" customHeight="1"/>
    <row r="207" s="170" customFormat="1" ht="14.1" customHeight="1"/>
    <row r="217" s="170" customFormat="1" ht="14.1" customHeight="1"/>
    <row r="227" s="170" customFormat="1" ht="14.1" customHeight="1"/>
    <row r="237" s="170" customFormat="1" ht="14.1" customHeight="1"/>
    <row r="247" s="170" customFormat="1" ht="14.1" customHeight="1"/>
    <row r="257" s="170" customFormat="1" ht="14.1" customHeight="1"/>
    <row r="267" s="170" customFormat="1" ht="14.1" customHeight="1"/>
    <row r="277" s="170" customFormat="1" ht="14.1" customHeight="1"/>
    <row r="287" s="170" customFormat="1" ht="14.1" customHeight="1"/>
    <row r="297" s="170" customFormat="1" ht="14.1" customHeight="1"/>
  </sheetData>
  <mergeCells count="22"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</mergeCells>
  <phoneticPr fontId="20" type="noConversion"/>
  <dataValidations count="2">
    <dataValidation type="list" allowBlank="1" showInputMessage="1" showErrorMessage="1" sqref="U1:U1048576" xr:uid="{00000000-0002-0000-1000-000000000000}">
      <formula1>$AC$13:$AC$20</formula1>
    </dataValidation>
    <dataValidation type="list" allowBlank="1" showInputMessage="1" showErrorMessage="1" sqref="T1:T1048576" xr:uid="{00000000-0002-0000-1000-000001000000}">
      <formula1>$AC$23:$AC$27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R67"/>
  <sheetViews>
    <sheetView tabSelected="1" topLeftCell="A23" zoomScale="70" zoomScaleNormal="70" workbookViewId="0">
      <selection activeCell="A23" sqref="A1:XFD1048576"/>
    </sheetView>
  </sheetViews>
  <sheetFormatPr defaultColWidth="8.28515625" defaultRowHeight="15"/>
  <cols>
    <col min="1" max="1" width="18.42578125" style="257" customWidth="1"/>
    <col min="2" max="2" width="18.85546875" style="257" bestFit="1" customWidth="1"/>
    <col min="3" max="4" width="14.28515625" style="257" customWidth="1"/>
    <col min="5" max="5" width="17.140625" style="257" bestFit="1" customWidth="1"/>
    <col min="6" max="6" width="14.28515625" style="257" customWidth="1"/>
    <col min="7" max="10" width="18.42578125" style="257" customWidth="1"/>
    <col min="11" max="11" width="17.140625" style="257" bestFit="1" customWidth="1"/>
    <col min="12" max="12" width="16" style="257" customWidth="1"/>
    <col min="13" max="13" width="18.28515625" style="257" bestFit="1" customWidth="1"/>
    <col min="14" max="15" width="12.7109375" style="257" bestFit="1" customWidth="1"/>
    <col min="16" max="35" width="8.28515625" style="257" customWidth="1"/>
    <col min="36" max="16384" width="8.28515625" style="257"/>
  </cols>
  <sheetData>
    <row r="1" spans="1:18" ht="25.5" customHeight="1">
      <c r="A1" s="636" t="s">
        <v>209</v>
      </c>
      <c r="B1" s="637"/>
      <c r="C1" s="637"/>
      <c r="D1" s="637"/>
      <c r="E1" s="637"/>
      <c r="F1" s="637"/>
      <c r="G1" s="637"/>
      <c r="H1" s="637"/>
      <c r="I1" s="637"/>
      <c r="J1" s="637"/>
      <c r="K1" s="637"/>
      <c r="L1" s="637"/>
      <c r="M1" s="637"/>
      <c r="N1" s="637"/>
      <c r="O1" s="638"/>
    </row>
    <row r="2" spans="1:18" ht="16.5" customHeight="1">
      <c r="A2" s="639" t="s">
        <v>3</v>
      </c>
      <c r="B2" s="641" t="s">
        <v>30</v>
      </c>
      <c r="C2" s="641" t="s">
        <v>210</v>
      </c>
      <c r="D2" s="641" t="s">
        <v>211</v>
      </c>
      <c r="E2" s="641" t="s">
        <v>212</v>
      </c>
      <c r="F2" s="641" t="s">
        <v>132</v>
      </c>
      <c r="G2" s="641" t="s">
        <v>213</v>
      </c>
      <c r="H2" s="641"/>
      <c r="I2" s="641" t="s">
        <v>214</v>
      </c>
      <c r="J2" s="641"/>
      <c r="K2" s="641" t="s">
        <v>215</v>
      </c>
      <c r="L2" s="641"/>
      <c r="M2" s="643" t="s">
        <v>11</v>
      </c>
      <c r="N2" s="644"/>
      <c r="O2" s="645"/>
    </row>
    <row r="3" spans="1:18" ht="37.5" customHeight="1">
      <c r="A3" s="640"/>
      <c r="B3" s="642"/>
      <c r="C3" s="642"/>
      <c r="D3" s="642"/>
      <c r="E3" s="642"/>
      <c r="F3" s="642"/>
      <c r="G3" s="326" t="s">
        <v>216</v>
      </c>
      <c r="H3" s="326" t="s">
        <v>217</v>
      </c>
      <c r="I3" s="326" t="s">
        <v>216</v>
      </c>
      <c r="J3" s="326" t="s">
        <v>217</v>
      </c>
      <c r="K3" s="326" t="s">
        <v>216</v>
      </c>
      <c r="L3" s="326" t="s">
        <v>218</v>
      </c>
      <c r="M3" s="326" t="s">
        <v>30</v>
      </c>
      <c r="N3" s="327" t="s">
        <v>219</v>
      </c>
      <c r="O3" s="375" t="s">
        <v>220</v>
      </c>
    </row>
    <row r="4" spans="1:18" ht="18.75">
      <c r="A4" s="373">
        <v>46082</v>
      </c>
      <c r="B4" s="340">
        <v>2884541.0300000003</v>
      </c>
      <c r="C4" s="340">
        <v>5552</v>
      </c>
      <c r="D4" s="341">
        <f>C4/B4</f>
        <v>1.9247429460207746E-3</v>
      </c>
      <c r="E4" s="342">
        <v>1276</v>
      </c>
      <c r="F4" s="343">
        <f t="shared" ref="F4:F34" si="0">E4/B4</f>
        <v>4.4235806900621546E-4</v>
      </c>
      <c r="G4" s="340">
        <v>5552</v>
      </c>
      <c r="H4" s="343">
        <f t="shared" ref="H4:H34" si="1">G4/C4</f>
        <v>1</v>
      </c>
      <c r="I4" s="344">
        <v>1276</v>
      </c>
      <c r="J4" s="343">
        <f>I4/E4</f>
        <v>1</v>
      </c>
      <c r="K4" s="345">
        <v>0</v>
      </c>
      <c r="L4" s="346">
        <f>K4/C4</f>
        <v>0</v>
      </c>
      <c r="M4" s="347"/>
      <c r="N4" s="348"/>
      <c r="O4" s="376"/>
    </row>
    <row r="5" spans="1:18" ht="18.75">
      <c r="A5" s="283">
        <f>A4+1</f>
        <v>46083</v>
      </c>
      <c r="B5" s="258">
        <v>2709898.5700000003</v>
      </c>
      <c r="C5" s="258">
        <v>14608</v>
      </c>
      <c r="D5" s="259">
        <f t="shared" ref="D5:D34" si="2">C5/B5</f>
        <v>5.3906076639613854E-3</v>
      </c>
      <c r="E5" s="260">
        <v>7313</v>
      </c>
      <c r="F5" s="261">
        <f t="shared" si="0"/>
        <v>2.6986249894954554E-3</v>
      </c>
      <c r="G5" s="258">
        <v>14608</v>
      </c>
      <c r="H5" s="261">
        <f t="shared" si="1"/>
        <v>1</v>
      </c>
      <c r="I5" s="262">
        <v>7313</v>
      </c>
      <c r="J5" s="261">
        <f t="shared" ref="J5:J34" si="3">I5/E5</f>
        <v>1</v>
      </c>
      <c r="K5" s="263">
        <v>0</v>
      </c>
      <c r="L5" s="264">
        <f t="shared" ref="L5:L34" si="4">K5/C5</f>
        <v>0</v>
      </c>
      <c r="M5" s="646">
        <f>SUM(B5:B11)</f>
        <v>19533908.730000004</v>
      </c>
      <c r="N5" s="646">
        <f>SUM(C5:C11)</f>
        <v>83028</v>
      </c>
      <c r="O5" s="649">
        <f>SUM(E5:E11)</f>
        <v>35674</v>
      </c>
    </row>
    <row r="6" spans="1:18" ht="18.75">
      <c r="A6" s="370">
        <f t="shared" ref="A6:A34" si="5">A5+1</f>
        <v>46084</v>
      </c>
      <c r="B6" s="265">
        <v>3337838.2</v>
      </c>
      <c r="C6" s="265">
        <v>10317</v>
      </c>
      <c r="D6" s="266">
        <f t="shared" si="2"/>
        <v>3.0909227415517023E-3</v>
      </c>
      <c r="E6" s="267">
        <v>5562</v>
      </c>
      <c r="F6" s="268">
        <f t="shared" si="0"/>
        <v>1.6663479973355209E-3</v>
      </c>
      <c r="G6" s="265">
        <v>10317</v>
      </c>
      <c r="H6" s="268">
        <f t="shared" si="1"/>
        <v>1</v>
      </c>
      <c r="I6" s="269">
        <v>5562</v>
      </c>
      <c r="J6" s="268">
        <f t="shared" si="3"/>
        <v>1</v>
      </c>
      <c r="K6" s="270">
        <v>0</v>
      </c>
      <c r="L6" s="271">
        <f t="shared" si="4"/>
        <v>0</v>
      </c>
      <c r="M6" s="647"/>
      <c r="N6" s="647"/>
      <c r="O6" s="650"/>
    </row>
    <row r="7" spans="1:18" ht="18.75">
      <c r="A7" s="273">
        <f t="shared" si="5"/>
        <v>46085</v>
      </c>
      <c r="B7" s="265">
        <v>2776992.83</v>
      </c>
      <c r="C7" s="265">
        <v>6705</v>
      </c>
      <c r="D7" s="266">
        <f t="shared" si="2"/>
        <v>2.4144822873021247E-3</v>
      </c>
      <c r="E7" s="267">
        <v>1946</v>
      </c>
      <c r="F7" s="268">
        <f t="shared" si="0"/>
        <v>7.0075802104249576E-4</v>
      </c>
      <c r="G7" s="265">
        <v>6705</v>
      </c>
      <c r="H7" s="268">
        <f t="shared" si="1"/>
        <v>1</v>
      </c>
      <c r="I7" s="269">
        <v>1946</v>
      </c>
      <c r="J7" s="268">
        <f t="shared" si="3"/>
        <v>1</v>
      </c>
      <c r="K7" s="270">
        <v>0</v>
      </c>
      <c r="L7" s="271">
        <f t="shared" si="4"/>
        <v>0</v>
      </c>
      <c r="M7" s="647"/>
      <c r="N7" s="647"/>
      <c r="O7" s="650"/>
    </row>
    <row r="8" spans="1:18" ht="18.75">
      <c r="A8" s="273">
        <f t="shared" si="5"/>
        <v>46086</v>
      </c>
      <c r="B8" s="265">
        <v>2540968.65</v>
      </c>
      <c r="C8" s="265">
        <v>9495</v>
      </c>
      <c r="D8" s="266">
        <f t="shared" si="2"/>
        <v>3.7367639305585293E-3</v>
      </c>
      <c r="E8" s="267">
        <v>4097</v>
      </c>
      <c r="F8" s="268">
        <f t="shared" si="0"/>
        <v>1.6123772325959238E-3</v>
      </c>
      <c r="G8" s="265">
        <v>9495</v>
      </c>
      <c r="H8" s="268">
        <f t="shared" si="1"/>
        <v>1</v>
      </c>
      <c r="I8" s="269">
        <v>4097</v>
      </c>
      <c r="J8" s="268">
        <f t="shared" si="3"/>
        <v>1</v>
      </c>
      <c r="K8" s="270">
        <v>0</v>
      </c>
      <c r="L8" s="271">
        <f t="shared" si="4"/>
        <v>0</v>
      </c>
      <c r="M8" s="647"/>
      <c r="N8" s="647"/>
      <c r="O8" s="650"/>
      <c r="P8" s="272"/>
      <c r="Q8" s="272"/>
    </row>
    <row r="9" spans="1:18" ht="18.75">
      <c r="A9" s="273">
        <f t="shared" si="5"/>
        <v>46087</v>
      </c>
      <c r="B9" s="265">
        <v>2368939.65</v>
      </c>
      <c r="C9" s="265">
        <v>1822</v>
      </c>
      <c r="D9" s="266">
        <f t="shared" si="2"/>
        <v>7.6912047970491781E-4</v>
      </c>
      <c r="E9" s="267">
        <v>5400</v>
      </c>
      <c r="F9" s="268">
        <f t="shared" si="0"/>
        <v>2.2795008728905357E-3</v>
      </c>
      <c r="G9" s="265">
        <v>1822</v>
      </c>
      <c r="H9" s="268">
        <f t="shared" si="1"/>
        <v>1</v>
      </c>
      <c r="I9" s="269">
        <v>5400</v>
      </c>
      <c r="J9" s="268">
        <f t="shared" si="3"/>
        <v>1</v>
      </c>
      <c r="K9" s="270">
        <v>0</v>
      </c>
      <c r="L9" s="271">
        <f t="shared" si="4"/>
        <v>0</v>
      </c>
      <c r="M9" s="647"/>
      <c r="N9" s="647"/>
      <c r="O9" s="650"/>
    </row>
    <row r="10" spans="1:18" ht="18.75">
      <c r="A10" s="273">
        <f t="shared" si="5"/>
        <v>46088</v>
      </c>
      <c r="B10" s="265">
        <v>2565603.7399999998</v>
      </c>
      <c r="C10" s="265">
        <v>6044</v>
      </c>
      <c r="D10" s="266">
        <f t="shared" si="2"/>
        <v>2.3557807878780224E-3</v>
      </c>
      <c r="E10" s="267">
        <v>3204</v>
      </c>
      <c r="F10" s="268">
        <f t="shared" si="0"/>
        <v>1.2488288624025784E-3</v>
      </c>
      <c r="G10" s="265">
        <v>6044</v>
      </c>
      <c r="H10" s="268">
        <f t="shared" si="1"/>
        <v>1</v>
      </c>
      <c r="I10" s="269">
        <v>3204</v>
      </c>
      <c r="J10" s="268">
        <f t="shared" si="3"/>
        <v>1</v>
      </c>
      <c r="K10" s="270">
        <v>0</v>
      </c>
      <c r="L10" s="271">
        <f t="shared" si="4"/>
        <v>0</v>
      </c>
      <c r="M10" s="647"/>
      <c r="N10" s="647"/>
      <c r="O10" s="650"/>
    </row>
    <row r="11" spans="1:18" ht="18.75">
      <c r="A11" s="372">
        <f t="shared" si="5"/>
        <v>46089</v>
      </c>
      <c r="B11" s="274">
        <v>3233667.09</v>
      </c>
      <c r="C11" s="274">
        <v>34037</v>
      </c>
      <c r="D11" s="275">
        <f t="shared" si="2"/>
        <v>1.0525820702217062E-2</v>
      </c>
      <c r="E11" s="274">
        <v>8152</v>
      </c>
      <c r="F11" s="276">
        <f t="shared" si="0"/>
        <v>2.5209768888113959E-3</v>
      </c>
      <c r="G11" s="274">
        <v>34037</v>
      </c>
      <c r="H11" s="276">
        <f t="shared" si="1"/>
        <v>1</v>
      </c>
      <c r="I11" s="274">
        <v>8152</v>
      </c>
      <c r="J11" s="276">
        <f t="shared" si="3"/>
        <v>1</v>
      </c>
      <c r="K11" s="274">
        <v>0</v>
      </c>
      <c r="L11" s="277">
        <f t="shared" si="4"/>
        <v>0</v>
      </c>
      <c r="M11" s="648"/>
      <c r="N11" s="648"/>
      <c r="O11" s="651"/>
    </row>
    <row r="12" spans="1:18" ht="18.75">
      <c r="A12" s="283">
        <f t="shared" si="5"/>
        <v>46090</v>
      </c>
      <c r="B12" s="258">
        <v>2980469.7399999998</v>
      </c>
      <c r="C12" s="374">
        <v>1336</v>
      </c>
      <c r="D12" s="259">
        <f t="shared" si="2"/>
        <v>4.4825148937764424E-4</v>
      </c>
      <c r="E12" s="260">
        <v>2577</v>
      </c>
      <c r="F12" s="261">
        <f t="shared" si="0"/>
        <v>8.6462880847768659E-4</v>
      </c>
      <c r="G12" s="258">
        <v>1336</v>
      </c>
      <c r="H12" s="261">
        <f t="shared" si="1"/>
        <v>1</v>
      </c>
      <c r="I12" s="262">
        <v>2577</v>
      </c>
      <c r="J12" s="261">
        <f t="shared" si="3"/>
        <v>1</v>
      </c>
      <c r="K12" s="263">
        <v>0</v>
      </c>
      <c r="L12" s="264">
        <f t="shared" si="4"/>
        <v>0</v>
      </c>
      <c r="M12" s="646">
        <f t="shared" ref="M12:N12" si="6">SUM(B12:B18)</f>
        <v>18062161.030000001</v>
      </c>
      <c r="N12" s="646">
        <f t="shared" si="6"/>
        <v>48870</v>
      </c>
      <c r="O12" s="649">
        <f>SUM(E12:E18)</f>
        <v>36032</v>
      </c>
    </row>
    <row r="13" spans="1:18" ht="18.75">
      <c r="A13" s="370">
        <f t="shared" si="5"/>
        <v>46091</v>
      </c>
      <c r="B13" s="265">
        <v>2748349.54</v>
      </c>
      <c r="C13" s="265">
        <v>7594</v>
      </c>
      <c r="D13" s="266">
        <f t="shared" si="2"/>
        <v>2.7631128753731957E-3</v>
      </c>
      <c r="E13" s="267">
        <v>6397</v>
      </c>
      <c r="F13" s="268">
        <f t="shared" si="0"/>
        <v>2.3275787547751294E-3</v>
      </c>
      <c r="G13" s="265">
        <v>7594</v>
      </c>
      <c r="H13" s="268">
        <f t="shared" si="1"/>
        <v>1</v>
      </c>
      <c r="I13" s="269">
        <v>6397</v>
      </c>
      <c r="J13" s="268">
        <f t="shared" si="3"/>
        <v>1</v>
      </c>
      <c r="K13" s="270">
        <v>0</v>
      </c>
      <c r="L13" s="271">
        <f t="shared" si="4"/>
        <v>0</v>
      </c>
      <c r="M13" s="647"/>
      <c r="N13" s="647"/>
      <c r="O13" s="650"/>
    </row>
    <row r="14" spans="1:18" ht="18.75">
      <c r="A14" s="273">
        <f t="shared" si="5"/>
        <v>46092</v>
      </c>
      <c r="B14" s="265">
        <v>2487921.17</v>
      </c>
      <c r="C14" s="265">
        <v>7383</v>
      </c>
      <c r="D14" s="266">
        <f t="shared" si="2"/>
        <v>2.9675377536178128E-3</v>
      </c>
      <c r="E14" s="267">
        <v>3198</v>
      </c>
      <c r="F14" s="268">
        <f t="shared" si="0"/>
        <v>1.2854105019734206E-3</v>
      </c>
      <c r="G14" s="265">
        <v>7383</v>
      </c>
      <c r="H14" s="268">
        <f t="shared" si="1"/>
        <v>1</v>
      </c>
      <c r="I14" s="269">
        <v>3198</v>
      </c>
      <c r="J14" s="268">
        <f t="shared" si="3"/>
        <v>1</v>
      </c>
      <c r="K14" s="270">
        <v>0</v>
      </c>
      <c r="L14" s="271">
        <f t="shared" si="4"/>
        <v>0</v>
      </c>
      <c r="M14" s="647"/>
      <c r="N14" s="647"/>
      <c r="O14" s="650"/>
    </row>
    <row r="15" spans="1:18" ht="18.75">
      <c r="A15" s="273">
        <f t="shared" si="5"/>
        <v>46093</v>
      </c>
      <c r="B15" s="265">
        <v>2263445.2800000003</v>
      </c>
      <c r="C15" s="265">
        <v>11821</v>
      </c>
      <c r="D15" s="266">
        <f t="shared" si="2"/>
        <v>5.2225693744184527E-3</v>
      </c>
      <c r="E15" s="267">
        <v>1015</v>
      </c>
      <c r="F15" s="268">
        <f t="shared" si="0"/>
        <v>4.4843142839309102E-4</v>
      </c>
      <c r="G15" s="265">
        <v>11821</v>
      </c>
      <c r="H15" s="268">
        <f t="shared" si="1"/>
        <v>1</v>
      </c>
      <c r="I15" s="269">
        <v>1015</v>
      </c>
      <c r="J15" s="268">
        <f t="shared" si="3"/>
        <v>1</v>
      </c>
      <c r="K15" s="270">
        <v>0</v>
      </c>
      <c r="L15" s="271">
        <f t="shared" si="4"/>
        <v>0</v>
      </c>
      <c r="M15" s="647"/>
      <c r="N15" s="647"/>
      <c r="O15" s="650"/>
      <c r="P15" s="272"/>
      <c r="Q15" s="278"/>
      <c r="R15" s="278"/>
    </row>
    <row r="16" spans="1:18" ht="18.75">
      <c r="A16" s="273">
        <f t="shared" si="5"/>
        <v>46094</v>
      </c>
      <c r="B16" s="265">
        <v>2289733.19</v>
      </c>
      <c r="C16" s="265">
        <v>4716</v>
      </c>
      <c r="D16" s="266">
        <f t="shared" si="2"/>
        <v>2.0596286155069449E-3</v>
      </c>
      <c r="E16" s="267">
        <v>3193</v>
      </c>
      <c r="F16" s="268">
        <f t="shared" si="0"/>
        <v>1.3944856169028149E-3</v>
      </c>
      <c r="G16" s="265">
        <v>4716</v>
      </c>
      <c r="H16" s="268">
        <f t="shared" si="1"/>
        <v>1</v>
      </c>
      <c r="I16" s="269">
        <v>3193</v>
      </c>
      <c r="J16" s="268">
        <f t="shared" si="3"/>
        <v>1</v>
      </c>
      <c r="K16" s="270">
        <v>0</v>
      </c>
      <c r="L16" s="271">
        <f t="shared" si="4"/>
        <v>0</v>
      </c>
      <c r="M16" s="647"/>
      <c r="N16" s="647"/>
      <c r="O16" s="650"/>
    </row>
    <row r="17" spans="1:17" ht="18.75">
      <c r="A17" s="273">
        <f t="shared" si="5"/>
        <v>46095</v>
      </c>
      <c r="B17" s="265">
        <v>2363381.0099999998</v>
      </c>
      <c r="C17" s="265">
        <v>9051</v>
      </c>
      <c r="D17" s="266">
        <f t="shared" si="2"/>
        <v>3.8296829676227281E-3</v>
      </c>
      <c r="E17" s="339">
        <v>12477</v>
      </c>
      <c r="F17" s="268">
        <f t="shared" si="0"/>
        <v>5.2793011144656706E-3</v>
      </c>
      <c r="G17" s="265">
        <v>9051</v>
      </c>
      <c r="H17" s="268">
        <f t="shared" si="1"/>
        <v>1</v>
      </c>
      <c r="I17" s="269">
        <v>12477</v>
      </c>
      <c r="J17" s="268">
        <f t="shared" si="3"/>
        <v>1</v>
      </c>
      <c r="K17" s="270">
        <v>0</v>
      </c>
      <c r="L17" s="271">
        <f t="shared" si="4"/>
        <v>0</v>
      </c>
      <c r="M17" s="647"/>
      <c r="N17" s="647"/>
      <c r="O17" s="650"/>
      <c r="Q17" s="279"/>
    </row>
    <row r="18" spans="1:17" ht="18.75">
      <c r="A18" s="372">
        <f t="shared" si="5"/>
        <v>46096</v>
      </c>
      <c r="B18" s="274">
        <v>2928861.1</v>
      </c>
      <c r="C18" s="274">
        <v>6969</v>
      </c>
      <c r="D18" s="275">
        <f t="shared" si="2"/>
        <v>2.3794231826152492E-3</v>
      </c>
      <c r="E18" s="280">
        <v>7175</v>
      </c>
      <c r="F18" s="276">
        <f t="shared" si="0"/>
        <v>2.4497576890894551E-3</v>
      </c>
      <c r="G18" s="274">
        <v>6969</v>
      </c>
      <c r="H18" s="276">
        <f t="shared" si="1"/>
        <v>1</v>
      </c>
      <c r="I18" s="281">
        <v>7175</v>
      </c>
      <c r="J18" s="276">
        <f t="shared" si="3"/>
        <v>1</v>
      </c>
      <c r="K18" s="282">
        <v>0</v>
      </c>
      <c r="L18" s="277">
        <f t="shared" si="4"/>
        <v>0</v>
      </c>
      <c r="M18" s="648"/>
      <c r="N18" s="648"/>
      <c r="O18" s="651"/>
    </row>
    <row r="19" spans="1:17" ht="18.75">
      <c r="A19" s="283">
        <f t="shared" si="5"/>
        <v>46097</v>
      </c>
      <c r="B19" s="258">
        <v>2862980.4</v>
      </c>
      <c r="C19" s="258">
        <v>5854</v>
      </c>
      <c r="D19" s="259">
        <f t="shared" si="2"/>
        <v>2.0447223459860221E-3</v>
      </c>
      <c r="E19" s="260">
        <v>7622</v>
      </c>
      <c r="F19" s="261">
        <f t="shared" si="0"/>
        <v>2.6622606288188352E-3</v>
      </c>
      <c r="G19" s="258">
        <v>5854</v>
      </c>
      <c r="H19" s="261">
        <f t="shared" si="1"/>
        <v>1</v>
      </c>
      <c r="I19" s="262">
        <v>7622</v>
      </c>
      <c r="J19" s="261">
        <f t="shared" si="3"/>
        <v>1</v>
      </c>
      <c r="K19" s="263">
        <v>0</v>
      </c>
      <c r="L19" s="264">
        <f t="shared" si="4"/>
        <v>0</v>
      </c>
      <c r="M19" s="646">
        <f t="shared" ref="M19:N19" si="7">SUM(B19:B25)</f>
        <v>18669232.23</v>
      </c>
      <c r="N19" s="646">
        <f t="shared" si="7"/>
        <v>77741</v>
      </c>
      <c r="O19" s="649">
        <f>SUM(E19:E25)</f>
        <v>53008</v>
      </c>
    </row>
    <row r="20" spans="1:17" ht="18.75">
      <c r="A20" s="370">
        <f t="shared" si="5"/>
        <v>46098</v>
      </c>
      <c r="B20" s="265">
        <v>3035263.93</v>
      </c>
      <c r="C20" s="265">
        <v>13105</v>
      </c>
      <c r="D20" s="266">
        <f t="shared" si="2"/>
        <v>4.3175817003828065E-3</v>
      </c>
      <c r="E20" s="267">
        <v>7331</v>
      </c>
      <c r="F20" s="268">
        <f t="shared" si="0"/>
        <v>2.4152759592145252E-3</v>
      </c>
      <c r="G20" s="265">
        <v>13105</v>
      </c>
      <c r="H20" s="268">
        <f t="shared" si="1"/>
        <v>1</v>
      </c>
      <c r="I20" s="269">
        <v>7331</v>
      </c>
      <c r="J20" s="268">
        <f t="shared" si="3"/>
        <v>1</v>
      </c>
      <c r="K20" s="270">
        <v>0</v>
      </c>
      <c r="L20" s="271">
        <f t="shared" si="4"/>
        <v>0</v>
      </c>
      <c r="M20" s="647"/>
      <c r="N20" s="647"/>
      <c r="O20" s="650"/>
    </row>
    <row r="21" spans="1:17" ht="18.75">
      <c r="A21" s="273">
        <f t="shared" si="5"/>
        <v>46099</v>
      </c>
      <c r="B21" s="265">
        <v>2618615.98</v>
      </c>
      <c r="C21" s="265">
        <v>26281</v>
      </c>
      <c r="D21" s="266">
        <f t="shared" si="2"/>
        <v>1.0036217681677785E-2</v>
      </c>
      <c r="E21" s="267">
        <v>9885</v>
      </c>
      <c r="F21" s="268">
        <f t="shared" si="0"/>
        <v>3.7748948587719229E-3</v>
      </c>
      <c r="G21" s="265">
        <v>26281</v>
      </c>
      <c r="H21" s="268">
        <f t="shared" si="1"/>
        <v>1</v>
      </c>
      <c r="I21" s="269">
        <v>9885</v>
      </c>
      <c r="J21" s="268">
        <f t="shared" si="3"/>
        <v>1</v>
      </c>
      <c r="K21" s="270">
        <v>0</v>
      </c>
      <c r="L21" s="271">
        <f t="shared" si="4"/>
        <v>0</v>
      </c>
      <c r="M21" s="647"/>
      <c r="N21" s="647"/>
      <c r="O21" s="650"/>
    </row>
    <row r="22" spans="1:17" ht="18.75">
      <c r="A22" s="273">
        <f t="shared" si="5"/>
        <v>46100</v>
      </c>
      <c r="B22" s="265">
        <v>2451921.79</v>
      </c>
      <c r="C22" s="265">
        <v>11572</v>
      </c>
      <c r="D22" s="266">
        <f t="shared" si="2"/>
        <v>4.7195632614366548E-3</v>
      </c>
      <c r="E22" s="267">
        <v>7060</v>
      </c>
      <c r="F22" s="268">
        <f t="shared" si="0"/>
        <v>2.879374060295781E-3</v>
      </c>
      <c r="G22" s="265">
        <v>11572</v>
      </c>
      <c r="H22" s="268">
        <f t="shared" si="1"/>
        <v>1</v>
      </c>
      <c r="I22" s="269">
        <v>7060</v>
      </c>
      <c r="J22" s="268">
        <f t="shared" si="3"/>
        <v>1</v>
      </c>
      <c r="K22" s="270">
        <v>0</v>
      </c>
      <c r="L22" s="271">
        <f t="shared" si="4"/>
        <v>0</v>
      </c>
      <c r="M22" s="647"/>
      <c r="N22" s="647"/>
      <c r="O22" s="650"/>
      <c r="P22" s="272"/>
    </row>
    <row r="23" spans="1:17" ht="18.75">
      <c r="A23" s="273">
        <f t="shared" si="5"/>
        <v>46101</v>
      </c>
      <c r="B23" s="265">
        <v>2235775.37</v>
      </c>
      <c r="C23" s="265">
        <v>9342</v>
      </c>
      <c r="D23" s="266">
        <f t="shared" si="2"/>
        <v>4.1784161885637019E-3</v>
      </c>
      <c r="E23" s="267">
        <v>8762</v>
      </c>
      <c r="F23" s="268">
        <f t="shared" si="0"/>
        <v>3.9189983562615237E-3</v>
      </c>
      <c r="G23" s="265">
        <v>9342</v>
      </c>
      <c r="H23" s="268">
        <f t="shared" si="1"/>
        <v>1</v>
      </c>
      <c r="I23" s="269">
        <v>8762</v>
      </c>
      <c r="J23" s="268">
        <f t="shared" si="3"/>
        <v>1</v>
      </c>
      <c r="K23" s="270">
        <v>0</v>
      </c>
      <c r="L23" s="271">
        <f t="shared" si="4"/>
        <v>0</v>
      </c>
      <c r="M23" s="647"/>
      <c r="N23" s="647"/>
      <c r="O23" s="650"/>
    </row>
    <row r="24" spans="1:17" ht="18.75">
      <c r="A24" s="273">
        <f t="shared" si="5"/>
        <v>46102</v>
      </c>
      <c r="B24" s="265">
        <v>2420850.61</v>
      </c>
      <c r="C24" s="265">
        <v>6026</v>
      </c>
      <c r="D24" s="266">
        <f t="shared" si="2"/>
        <v>2.489207708690459E-3</v>
      </c>
      <c r="E24" s="267">
        <v>6186</v>
      </c>
      <c r="F24" s="268">
        <f t="shared" si="0"/>
        <v>2.5553001802122769E-3</v>
      </c>
      <c r="G24" s="265">
        <v>6026</v>
      </c>
      <c r="H24" s="268">
        <f t="shared" si="1"/>
        <v>1</v>
      </c>
      <c r="I24" s="269">
        <v>6186</v>
      </c>
      <c r="J24" s="268">
        <f t="shared" si="3"/>
        <v>1</v>
      </c>
      <c r="K24" s="270">
        <v>0</v>
      </c>
      <c r="L24" s="271">
        <f t="shared" si="4"/>
        <v>0</v>
      </c>
      <c r="M24" s="647"/>
      <c r="N24" s="647"/>
      <c r="O24" s="650"/>
    </row>
    <row r="25" spans="1:17" ht="18.75">
      <c r="A25" s="372">
        <f t="shared" si="5"/>
        <v>46103</v>
      </c>
      <c r="B25" s="274">
        <v>3043824.15</v>
      </c>
      <c r="C25" s="274">
        <v>5561</v>
      </c>
      <c r="D25" s="275">
        <f t="shared" si="2"/>
        <v>1.8269780795319599E-3</v>
      </c>
      <c r="E25" s="280">
        <v>6162</v>
      </c>
      <c r="F25" s="276">
        <f t="shared" si="0"/>
        <v>2.024427068166865E-3</v>
      </c>
      <c r="G25" s="274">
        <v>5561</v>
      </c>
      <c r="H25" s="276">
        <f t="shared" si="1"/>
        <v>1</v>
      </c>
      <c r="I25" s="281">
        <v>6162</v>
      </c>
      <c r="J25" s="276">
        <f t="shared" si="3"/>
        <v>1</v>
      </c>
      <c r="K25" s="282">
        <v>0</v>
      </c>
      <c r="L25" s="277">
        <f t="shared" si="4"/>
        <v>0</v>
      </c>
      <c r="M25" s="648"/>
      <c r="N25" s="648"/>
      <c r="O25" s="651"/>
    </row>
    <row r="26" spans="1:17" ht="18.75">
      <c r="A26" s="283">
        <f t="shared" si="5"/>
        <v>46104</v>
      </c>
      <c r="B26" s="258">
        <v>2841457.14</v>
      </c>
      <c r="C26" s="258">
        <v>4558</v>
      </c>
      <c r="D26" s="259">
        <f t="shared" si="2"/>
        <v>1.6041065465446365E-3</v>
      </c>
      <c r="E26" s="260">
        <v>1318</v>
      </c>
      <c r="F26" s="261">
        <f t="shared" si="0"/>
        <v>4.6384651784682555E-4</v>
      </c>
      <c r="G26" s="258">
        <v>4558</v>
      </c>
      <c r="H26" s="261">
        <f t="shared" si="1"/>
        <v>1</v>
      </c>
      <c r="I26" s="262">
        <v>1318</v>
      </c>
      <c r="J26" s="261">
        <f t="shared" si="3"/>
        <v>1</v>
      </c>
      <c r="K26" s="263">
        <v>0</v>
      </c>
      <c r="L26" s="264">
        <f t="shared" si="4"/>
        <v>0</v>
      </c>
      <c r="M26" s="646">
        <f t="shared" ref="M26:N26" si="8">SUM(B26:B32)</f>
        <v>18003205.400000002</v>
      </c>
      <c r="N26" s="646">
        <f t="shared" si="8"/>
        <v>31831</v>
      </c>
      <c r="O26" s="649">
        <f>SUM(E26:E32)</f>
        <v>28439</v>
      </c>
    </row>
    <row r="27" spans="1:17" ht="18.75">
      <c r="A27" s="370">
        <f t="shared" si="5"/>
        <v>46105</v>
      </c>
      <c r="B27" s="265">
        <v>2669131.2800000003</v>
      </c>
      <c r="C27" s="265">
        <v>2627</v>
      </c>
      <c r="D27" s="266">
        <f t="shared" si="2"/>
        <v>9.8421535863908488E-4</v>
      </c>
      <c r="E27" s="267">
        <v>3879</v>
      </c>
      <c r="F27" s="268">
        <f t="shared" si="0"/>
        <v>1.4532818333311802E-3</v>
      </c>
      <c r="G27" s="265">
        <v>2627</v>
      </c>
      <c r="H27" s="268">
        <f t="shared" si="1"/>
        <v>1</v>
      </c>
      <c r="I27" s="269">
        <v>3879</v>
      </c>
      <c r="J27" s="268">
        <f t="shared" si="3"/>
        <v>1</v>
      </c>
      <c r="K27" s="270">
        <v>0</v>
      </c>
      <c r="L27" s="271">
        <f t="shared" si="4"/>
        <v>0</v>
      </c>
      <c r="M27" s="647"/>
      <c r="N27" s="647"/>
      <c r="O27" s="650"/>
    </row>
    <row r="28" spans="1:17" ht="18.75">
      <c r="A28" s="273">
        <f t="shared" si="5"/>
        <v>46106</v>
      </c>
      <c r="B28" s="265">
        <v>2480475.9299999997</v>
      </c>
      <c r="C28" s="265">
        <v>1335</v>
      </c>
      <c r="D28" s="266">
        <f t="shared" si="2"/>
        <v>5.3820316651893504E-4</v>
      </c>
      <c r="E28" s="267">
        <v>4144</v>
      </c>
      <c r="F28" s="268">
        <f t="shared" si="0"/>
        <v>1.6706471326250686E-3</v>
      </c>
      <c r="G28" s="265">
        <v>1335</v>
      </c>
      <c r="H28" s="268">
        <f t="shared" si="1"/>
        <v>1</v>
      </c>
      <c r="I28" s="269">
        <v>4144</v>
      </c>
      <c r="J28" s="268">
        <f t="shared" si="3"/>
        <v>1</v>
      </c>
      <c r="K28" s="270">
        <v>0</v>
      </c>
      <c r="L28" s="271">
        <f t="shared" si="4"/>
        <v>0</v>
      </c>
      <c r="M28" s="647"/>
      <c r="N28" s="647"/>
      <c r="O28" s="650"/>
    </row>
    <row r="29" spans="1:17" ht="18.75">
      <c r="A29" s="273">
        <f t="shared" si="5"/>
        <v>46107</v>
      </c>
      <c r="B29" s="265">
        <v>2391314.54</v>
      </c>
      <c r="C29" s="265">
        <v>1995</v>
      </c>
      <c r="D29" s="266">
        <f t="shared" si="2"/>
        <v>8.3426917146583318E-4</v>
      </c>
      <c r="E29" s="267">
        <v>1767</v>
      </c>
      <c r="F29" s="268">
        <f t="shared" si="0"/>
        <v>7.3892412329830935E-4</v>
      </c>
      <c r="G29" s="265">
        <v>1995</v>
      </c>
      <c r="H29" s="268">
        <f t="shared" si="1"/>
        <v>1</v>
      </c>
      <c r="I29" s="269">
        <v>1767</v>
      </c>
      <c r="J29" s="268">
        <f t="shared" si="3"/>
        <v>1</v>
      </c>
      <c r="K29" s="270">
        <v>0</v>
      </c>
      <c r="L29" s="271">
        <f t="shared" si="4"/>
        <v>0</v>
      </c>
      <c r="M29" s="647"/>
      <c r="N29" s="647"/>
      <c r="O29" s="650"/>
      <c r="P29" s="272"/>
    </row>
    <row r="30" spans="1:17" ht="18.75">
      <c r="A30" s="273">
        <f t="shared" si="5"/>
        <v>46108</v>
      </c>
      <c r="B30" s="265">
        <v>2289329.2200000002</v>
      </c>
      <c r="C30" s="265">
        <v>9131</v>
      </c>
      <c r="D30" s="266">
        <f t="shared" si="2"/>
        <v>3.9885045454493432E-3</v>
      </c>
      <c r="E30" s="267">
        <v>4345</v>
      </c>
      <c r="F30" s="268">
        <f t="shared" si="0"/>
        <v>1.8979358503972616E-3</v>
      </c>
      <c r="G30" s="265">
        <v>9131</v>
      </c>
      <c r="H30" s="268">
        <f t="shared" si="1"/>
        <v>1</v>
      </c>
      <c r="I30" s="269">
        <v>4345</v>
      </c>
      <c r="J30" s="268">
        <f t="shared" si="3"/>
        <v>1</v>
      </c>
      <c r="K30" s="270">
        <v>0</v>
      </c>
      <c r="L30" s="271">
        <f t="shared" si="4"/>
        <v>0</v>
      </c>
      <c r="M30" s="647"/>
      <c r="N30" s="647"/>
      <c r="O30" s="650"/>
    </row>
    <row r="31" spans="1:17" ht="18.75">
      <c r="A31" s="273">
        <f t="shared" si="5"/>
        <v>46109</v>
      </c>
      <c r="B31" s="265">
        <v>2435638.23</v>
      </c>
      <c r="C31" s="265">
        <v>5253</v>
      </c>
      <c r="D31" s="266">
        <f t="shared" si="2"/>
        <v>2.1567242356842131E-3</v>
      </c>
      <c r="E31" s="267">
        <v>2860</v>
      </c>
      <c r="F31" s="268">
        <f t="shared" si="0"/>
        <v>1.1742302139837902E-3</v>
      </c>
      <c r="G31" s="265">
        <v>5253</v>
      </c>
      <c r="H31" s="268">
        <f t="shared" si="1"/>
        <v>1</v>
      </c>
      <c r="I31" s="269">
        <v>2860</v>
      </c>
      <c r="J31" s="268">
        <f t="shared" si="3"/>
        <v>1</v>
      </c>
      <c r="K31" s="270">
        <v>0</v>
      </c>
      <c r="L31" s="271">
        <f t="shared" si="4"/>
        <v>0</v>
      </c>
      <c r="M31" s="647"/>
      <c r="N31" s="647"/>
      <c r="O31" s="650"/>
    </row>
    <row r="32" spans="1:17" ht="18.75">
      <c r="A32" s="372">
        <f t="shared" si="5"/>
        <v>46110</v>
      </c>
      <c r="B32" s="274">
        <v>2895859.06</v>
      </c>
      <c r="C32" s="274">
        <v>6932</v>
      </c>
      <c r="D32" s="275">
        <f t="shared" si="2"/>
        <v>2.3937629064033246E-3</v>
      </c>
      <c r="E32" s="280">
        <v>10126</v>
      </c>
      <c r="F32" s="276">
        <f t="shared" si="0"/>
        <v>3.4967171365031832E-3</v>
      </c>
      <c r="G32" s="274">
        <v>6932</v>
      </c>
      <c r="H32" s="276">
        <f t="shared" si="1"/>
        <v>1</v>
      </c>
      <c r="I32" s="281">
        <v>10126</v>
      </c>
      <c r="J32" s="276">
        <f t="shared" si="3"/>
        <v>1</v>
      </c>
      <c r="K32" s="282">
        <v>0</v>
      </c>
      <c r="L32" s="277">
        <f t="shared" si="4"/>
        <v>0</v>
      </c>
      <c r="M32" s="648"/>
      <c r="N32" s="648"/>
      <c r="O32" s="651"/>
    </row>
    <row r="33" spans="1:15" ht="18.75">
      <c r="A33" s="371">
        <f t="shared" si="5"/>
        <v>46111</v>
      </c>
      <c r="B33" s="284">
        <v>2769014.07</v>
      </c>
      <c r="C33" s="284">
        <v>7028</v>
      </c>
      <c r="D33" s="285">
        <f t="shared" si="2"/>
        <v>2.5380875005810281E-3</v>
      </c>
      <c r="E33" s="286">
        <v>8545</v>
      </c>
      <c r="F33" s="287">
        <f t="shared" si="0"/>
        <v>3.0859359266455443E-3</v>
      </c>
      <c r="G33" s="284">
        <v>7028</v>
      </c>
      <c r="H33" s="287">
        <f t="shared" si="1"/>
        <v>1</v>
      </c>
      <c r="I33" s="288">
        <v>8545</v>
      </c>
      <c r="J33" s="287">
        <f t="shared" si="3"/>
        <v>1</v>
      </c>
      <c r="K33" s="289">
        <v>0</v>
      </c>
      <c r="L33" s="290">
        <f t="shared" si="4"/>
        <v>0</v>
      </c>
      <c r="M33" s="368"/>
      <c r="N33" s="368"/>
      <c r="O33" s="377"/>
    </row>
    <row r="34" spans="1:15" ht="19.5" thickBot="1">
      <c r="A34" s="372">
        <f t="shared" si="5"/>
        <v>46112</v>
      </c>
      <c r="B34" s="274">
        <v>2453754.86</v>
      </c>
      <c r="C34" s="274">
        <v>3981</v>
      </c>
      <c r="D34" s="275">
        <f t="shared" si="2"/>
        <v>1.6224114580052223E-3</v>
      </c>
      <c r="E34" s="280">
        <v>5249</v>
      </c>
      <c r="F34" s="276">
        <f t="shared" si="0"/>
        <v>2.1391704956215552E-3</v>
      </c>
      <c r="G34" s="274">
        <v>3981</v>
      </c>
      <c r="H34" s="276">
        <f t="shared" si="1"/>
        <v>1</v>
      </c>
      <c r="I34" s="281">
        <v>5249</v>
      </c>
      <c r="J34" s="276">
        <f t="shared" si="3"/>
        <v>1</v>
      </c>
      <c r="K34" s="289">
        <v>0</v>
      </c>
      <c r="L34" s="277">
        <f t="shared" si="4"/>
        <v>0</v>
      </c>
      <c r="M34" s="369"/>
      <c r="N34" s="369"/>
      <c r="O34" s="378"/>
    </row>
    <row r="35" spans="1:15" ht="18.75">
      <c r="A35" s="324" t="s">
        <v>221</v>
      </c>
      <c r="B35" s="284">
        <f>AVERAGE(B4:B34)</f>
        <v>2657284.4306451613</v>
      </c>
      <c r="C35" s="284">
        <f>AVERAGE(C4:C34)</f>
        <v>8323.5806451612898</v>
      </c>
      <c r="D35" s="285">
        <f>C35/B35</f>
        <v>3.1323634569071744E-3</v>
      </c>
      <c r="E35" s="286">
        <f>AVERAGE(E4:E34)</f>
        <v>5426.5483870967746</v>
      </c>
      <c r="F35" s="325">
        <f>E35/B35</f>
        <v>2.0421405870275108E-3</v>
      </c>
      <c r="G35" s="284">
        <f>AVERAGE(G4:G34)</f>
        <v>8323.5806451612898</v>
      </c>
      <c r="H35" s="287">
        <f>G35/C35</f>
        <v>1</v>
      </c>
      <c r="I35" s="288">
        <f>AVERAGE(I4:I34)</f>
        <v>5426.5483870967746</v>
      </c>
      <c r="J35" s="287">
        <f>I35/E35</f>
        <v>1</v>
      </c>
      <c r="K35" s="289">
        <f>AVERAGE(K4:K34)</f>
        <v>0</v>
      </c>
      <c r="L35" s="290">
        <f>K35/C35</f>
        <v>0</v>
      </c>
      <c r="M35" s="291"/>
    </row>
    <row r="36" spans="1:15" ht="18.75">
      <c r="A36" s="292" t="s">
        <v>97</v>
      </c>
      <c r="B36" s="265">
        <f>SUM(B4:B34)</f>
        <v>82375817.349999994</v>
      </c>
      <c r="C36" s="265">
        <f>SUM(C4:C34)</f>
        <v>258031</v>
      </c>
      <c r="D36" s="266">
        <f>C36/B36</f>
        <v>3.1323634569071748E-3</v>
      </c>
      <c r="E36" s="267">
        <f>SUM(E4:E34)</f>
        <v>168223</v>
      </c>
      <c r="F36" s="293">
        <f>E36/B36</f>
        <v>2.0421405870275108E-3</v>
      </c>
      <c r="G36" s="265">
        <f>SUM(G4:G34)</f>
        <v>258031</v>
      </c>
      <c r="H36" s="268">
        <f>G36/C36</f>
        <v>1</v>
      </c>
      <c r="I36" s="269">
        <f>SUM(I4:I34)</f>
        <v>168223</v>
      </c>
      <c r="J36" s="268">
        <f>I36/E36</f>
        <v>1</v>
      </c>
      <c r="K36" s="270">
        <f>SUM(K4:K34)</f>
        <v>0</v>
      </c>
      <c r="L36" s="271">
        <f>K36/C36</f>
        <v>0</v>
      </c>
      <c r="M36" s="291"/>
    </row>
    <row r="37" spans="1:15" ht="27">
      <c r="A37" s="652"/>
      <c r="B37" s="652"/>
      <c r="C37" s="652"/>
      <c r="D37" s="652"/>
      <c r="E37" s="652"/>
      <c r="F37" s="294"/>
      <c r="G37" s="294"/>
      <c r="H37" s="294"/>
      <c r="I37" s="294"/>
      <c r="J37" s="294"/>
      <c r="K37" s="294"/>
      <c r="L37" s="294"/>
      <c r="M37" s="294"/>
    </row>
    <row r="38" spans="1:15" ht="27">
      <c r="A38" s="652"/>
      <c r="B38" s="652"/>
      <c r="C38" s="652"/>
      <c r="D38" s="652"/>
      <c r="E38" s="652"/>
      <c r="F38" s="294"/>
      <c r="G38" s="294"/>
      <c r="H38" s="294"/>
      <c r="I38" s="294"/>
      <c r="J38" s="294"/>
      <c r="K38" s="294"/>
      <c r="L38" s="294"/>
      <c r="M38" s="294"/>
    </row>
    <row r="39" spans="1:15" ht="18.75">
      <c r="A39" s="294"/>
      <c r="B39" s="294"/>
      <c r="C39" s="294"/>
      <c r="D39" s="294"/>
      <c r="E39" s="294"/>
      <c r="F39" s="294"/>
      <c r="G39" s="294"/>
      <c r="H39" s="294"/>
      <c r="I39" s="294"/>
      <c r="J39" s="294"/>
      <c r="K39" s="294"/>
      <c r="L39" s="294"/>
      <c r="M39" s="294"/>
    </row>
    <row r="40" spans="1:15" ht="18.75">
      <c r="A40" s="294"/>
      <c r="B40" s="294"/>
      <c r="C40" s="294"/>
      <c r="D40" s="294"/>
      <c r="E40" s="294"/>
      <c r="F40" s="294"/>
      <c r="G40" s="294"/>
      <c r="H40" s="294"/>
      <c r="I40" s="294"/>
      <c r="J40" s="294"/>
      <c r="K40" s="294"/>
      <c r="L40" s="294"/>
      <c r="M40" s="294"/>
    </row>
    <row r="41" spans="1:15" ht="18.75">
      <c r="A41" s="294"/>
      <c r="B41" s="294"/>
      <c r="C41" s="294"/>
      <c r="D41" s="294"/>
      <c r="E41" s="294"/>
      <c r="F41" s="294"/>
      <c r="G41" s="294"/>
      <c r="H41" s="294"/>
      <c r="I41" s="294"/>
      <c r="J41" s="294"/>
      <c r="K41" s="294"/>
      <c r="L41" s="294"/>
      <c r="M41" s="294"/>
    </row>
    <row r="42" spans="1:15" ht="18.75">
      <c r="A42" s="294"/>
      <c r="B42" s="294"/>
      <c r="C42" s="294"/>
      <c r="D42" s="294"/>
      <c r="E42" s="294"/>
      <c r="F42" s="294"/>
      <c r="G42" s="294"/>
      <c r="H42" s="294"/>
      <c r="I42" s="294"/>
      <c r="J42" s="294"/>
      <c r="K42" s="294"/>
      <c r="L42" s="294"/>
      <c r="M42" s="294"/>
    </row>
    <row r="43" spans="1:15" ht="18.75">
      <c r="A43" s="294"/>
      <c r="B43" s="294"/>
      <c r="C43" s="294"/>
      <c r="D43" s="294"/>
      <c r="E43" s="295"/>
      <c r="F43" s="294"/>
      <c r="G43" s="294"/>
      <c r="H43" s="294"/>
      <c r="I43" s="294"/>
      <c r="J43" s="294"/>
      <c r="K43" s="294"/>
      <c r="L43" s="294"/>
      <c r="M43" s="294"/>
    </row>
    <row r="44" spans="1:15" ht="18.75">
      <c r="A44" s="294"/>
      <c r="B44" s="294"/>
      <c r="C44" s="294"/>
      <c r="D44" s="294"/>
      <c r="E44" s="296"/>
      <c r="F44" s="294"/>
      <c r="G44" s="294"/>
      <c r="H44" s="294"/>
      <c r="I44" s="294"/>
      <c r="J44" s="294"/>
      <c r="K44" s="294"/>
      <c r="L44" s="294"/>
      <c r="M44" s="294"/>
    </row>
    <row r="45" spans="1:15" ht="18.75">
      <c r="A45" s="294"/>
      <c r="B45" s="294"/>
      <c r="C45" s="294"/>
      <c r="D45" s="294"/>
      <c r="E45" s="294"/>
      <c r="F45" s="294"/>
      <c r="G45" s="294"/>
      <c r="H45" s="294"/>
      <c r="I45" s="294"/>
      <c r="J45" s="294"/>
      <c r="K45" s="294"/>
      <c r="L45" s="294"/>
      <c r="M45" s="294"/>
    </row>
    <row r="46" spans="1:15" ht="18.75">
      <c r="A46" s="294"/>
      <c r="B46" s="294"/>
      <c r="C46" s="294"/>
      <c r="D46" s="294"/>
      <c r="E46" s="294"/>
      <c r="F46" s="294"/>
      <c r="G46" s="294"/>
      <c r="H46" s="294"/>
      <c r="I46" s="294"/>
      <c r="J46" s="294"/>
      <c r="K46" s="294"/>
      <c r="L46" s="294"/>
      <c r="M46" s="294"/>
    </row>
    <row r="47" spans="1:15" ht="18.75">
      <c r="A47" s="294"/>
      <c r="B47" s="294"/>
      <c r="C47" s="294"/>
      <c r="D47" s="294"/>
      <c r="E47" s="294"/>
      <c r="F47" s="294"/>
      <c r="G47" s="294"/>
      <c r="H47" s="294"/>
      <c r="I47" s="294"/>
      <c r="J47" s="294"/>
      <c r="K47" s="294"/>
      <c r="L47" s="294"/>
      <c r="M47" s="294"/>
    </row>
    <row r="48" spans="1:15" ht="18.75">
      <c r="A48" s="294"/>
      <c r="B48" s="294"/>
      <c r="C48" s="294"/>
      <c r="D48" s="294"/>
      <c r="E48" s="294"/>
      <c r="F48" s="294"/>
      <c r="G48" s="294"/>
      <c r="H48" s="294"/>
      <c r="I48" s="294"/>
      <c r="J48" s="294"/>
      <c r="K48" s="294"/>
      <c r="L48" s="294"/>
      <c r="M48" s="294"/>
    </row>
    <row r="49" spans="1:13" ht="18.75">
      <c r="A49" s="294"/>
      <c r="B49" s="294"/>
      <c r="C49" s="294"/>
      <c r="D49" s="294"/>
      <c r="E49" s="294"/>
      <c r="F49" s="294"/>
      <c r="G49" s="294"/>
      <c r="H49" s="294"/>
      <c r="I49" s="294"/>
      <c r="J49" s="294"/>
      <c r="K49" s="294"/>
      <c r="L49" s="294"/>
      <c r="M49" s="294"/>
    </row>
    <row r="50" spans="1:13" ht="18.75">
      <c r="A50" s="294"/>
      <c r="B50" s="294"/>
      <c r="C50" s="294"/>
      <c r="D50" s="294"/>
      <c r="E50" s="294"/>
      <c r="F50" s="294"/>
      <c r="G50" s="294"/>
      <c r="H50" s="294"/>
      <c r="I50" s="294"/>
      <c r="J50" s="294"/>
      <c r="K50" s="294"/>
      <c r="L50" s="294"/>
      <c r="M50" s="294"/>
    </row>
    <row r="51" spans="1:13" ht="18.75">
      <c r="A51" s="294"/>
      <c r="B51" s="294"/>
      <c r="C51" s="294"/>
      <c r="D51" s="294"/>
      <c r="E51" s="294"/>
      <c r="F51" s="294"/>
      <c r="G51" s="294"/>
      <c r="H51" s="294"/>
      <c r="I51" s="294"/>
      <c r="J51" s="294"/>
      <c r="K51" s="294"/>
      <c r="L51" s="294"/>
      <c r="M51" s="294"/>
    </row>
    <row r="52" spans="1:13" ht="18.75">
      <c r="A52" s="294"/>
      <c r="B52" s="294"/>
      <c r="C52" s="294"/>
      <c r="D52" s="294"/>
      <c r="E52" s="294"/>
      <c r="F52" s="294"/>
      <c r="G52" s="294"/>
      <c r="H52" s="294"/>
      <c r="I52" s="294"/>
      <c r="J52" s="294"/>
      <c r="K52" s="294"/>
      <c r="L52" s="294"/>
      <c r="M52" s="294"/>
    </row>
    <row r="53" spans="1:13" ht="18.75">
      <c r="A53" s="294"/>
      <c r="B53" s="294"/>
      <c r="C53" s="294"/>
      <c r="D53" s="294"/>
      <c r="E53" s="294"/>
      <c r="F53" s="294"/>
      <c r="G53" s="294"/>
      <c r="H53" s="294"/>
      <c r="I53" s="294"/>
      <c r="J53" s="294"/>
      <c r="K53" s="294"/>
      <c r="L53" s="294"/>
      <c r="M53" s="294"/>
    </row>
    <row r="54" spans="1:13" ht="18.75">
      <c r="A54" s="294"/>
      <c r="B54" s="294"/>
      <c r="C54" s="294"/>
      <c r="D54" s="294"/>
      <c r="E54" s="294"/>
      <c r="F54" s="294"/>
      <c r="G54" s="294"/>
      <c r="H54" s="294"/>
      <c r="I54" s="294"/>
      <c r="J54" s="294"/>
      <c r="K54" s="294"/>
      <c r="L54" s="294"/>
      <c r="M54" s="294"/>
    </row>
    <row r="55" spans="1:13" ht="18.75">
      <c r="A55" s="294"/>
      <c r="B55" s="294"/>
      <c r="C55" s="294"/>
      <c r="D55" s="294"/>
      <c r="E55" s="294"/>
      <c r="F55" s="294"/>
      <c r="G55" s="294"/>
      <c r="H55" s="294"/>
      <c r="I55" s="294"/>
      <c r="J55" s="294"/>
      <c r="K55" s="294"/>
      <c r="L55" s="294"/>
      <c r="M55" s="294"/>
    </row>
    <row r="56" spans="1:13" ht="18.75">
      <c r="A56" s="294"/>
      <c r="B56" s="294"/>
      <c r="C56" s="294"/>
      <c r="D56" s="294"/>
      <c r="E56" s="294"/>
      <c r="F56" s="294"/>
      <c r="G56" s="294"/>
      <c r="H56" s="294"/>
      <c r="I56" s="294"/>
      <c r="J56" s="294"/>
      <c r="K56" s="294"/>
      <c r="L56" s="294"/>
      <c r="M56" s="294"/>
    </row>
    <row r="57" spans="1:13" ht="18.75">
      <c r="A57" s="294"/>
      <c r="B57" s="294"/>
      <c r="C57" s="294"/>
      <c r="D57" s="294"/>
      <c r="E57" s="294"/>
      <c r="F57" s="294"/>
      <c r="G57" s="294"/>
      <c r="H57" s="294"/>
      <c r="I57" s="294"/>
      <c r="J57" s="294"/>
      <c r="K57" s="294"/>
      <c r="L57" s="294"/>
      <c r="M57" s="294"/>
    </row>
    <row r="58" spans="1:13" ht="18.75">
      <c r="A58" s="294"/>
      <c r="B58" s="294"/>
      <c r="C58" s="294"/>
      <c r="D58" s="294"/>
      <c r="E58" s="294"/>
      <c r="F58" s="294"/>
      <c r="G58" s="294"/>
      <c r="H58" s="294"/>
      <c r="I58" s="294"/>
      <c r="J58" s="294"/>
      <c r="K58" s="294"/>
      <c r="L58" s="294"/>
      <c r="M58" s="294"/>
    </row>
    <row r="59" spans="1:13" ht="18.75">
      <c r="A59" s="294"/>
      <c r="B59" s="294"/>
      <c r="C59" s="294"/>
      <c r="D59" s="294"/>
      <c r="E59" s="294"/>
      <c r="F59" s="294"/>
      <c r="G59" s="294"/>
      <c r="H59" s="294"/>
      <c r="I59" s="294"/>
      <c r="J59" s="294"/>
      <c r="K59" s="294"/>
      <c r="L59" s="294"/>
      <c r="M59" s="294"/>
    </row>
    <row r="60" spans="1:13" ht="18.75">
      <c r="A60" s="294"/>
      <c r="B60" s="294"/>
      <c r="C60" s="294"/>
      <c r="D60" s="294"/>
      <c r="E60" s="294"/>
      <c r="F60" s="294"/>
      <c r="G60" s="294"/>
      <c r="H60" s="294"/>
      <c r="I60" s="294"/>
      <c r="J60" s="294"/>
      <c r="K60" s="294"/>
      <c r="L60" s="294"/>
      <c r="M60" s="294"/>
    </row>
    <row r="61" spans="1:13" ht="18.75">
      <c r="A61" s="294"/>
      <c r="B61" s="294"/>
      <c r="C61" s="294"/>
      <c r="D61" s="294"/>
      <c r="E61" s="294"/>
      <c r="F61" s="294"/>
      <c r="G61" s="294"/>
      <c r="H61" s="294"/>
      <c r="I61" s="294"/>
      <c r="J61" s="294"/>
      <c r="K61" s="294"/>
      <c r="L61" s="294"/>
      <c r="M61" s="294"/>
    </row>
    <row r="62" spans="1:13" ht="18.75">
      <c r="A62" s="294"/>
      <c r="B62" s="294"/>
      <c r="C62" s="294"/>
      <c r="D62" s="294"/>
      <c r="E62" s="294"/>
      <c r="F62" s="294"/>
      <c r="G62" s="294"/>
      <c r="H62" s="294"/>
      <c r="I62" s="294"/>
      <c r="J62" s="294"/>
      <c r="K62" s="294"/>
      <c r="L62" s="294"/>
      <c r="M62" s="294"/>
    </row>
    <row r="63" spans="1:13" ht="18.75">
      <c r="A63" s="294"/>
      <c r="B63" s="294"/>
      <c r="C63" s="294"/>
      <c r="D63" s="294"/>
      <c r="E63" s="294"/>
      <c r="F63" s="294"/>
      <c r="G63" s="294"/>
      <c r="H63" s="294"/>
      <c r="I63" s="294"/>
      <c r="J63" s="294"/>
      <c r="K63" s="294"/>
      <c r="L63" s="294"/>
      <c r="M63" s="294"/>
    </row>
    <row r="64" spans="1:13" ht="18.75">
      <c r="A64" s="294"/>
      <c r="B64" s="294"/>
      <c r="C64" s="294"/>
      <c r="D64" s="294"/>
      <c r="E64" s="294"/>
      <c r="F64" s="294"/>
      <c r="G64" s="294"/>
      <c r="H64" s="294"/>
      <c r="I64" s="294"/>
      <c r="J64" s="294"/>
      <c r="K64" s="294"/>
      <c r="L64" s="294"/>
      <c r="M64" s="294"/>
    </row>
    <row r="65" spans="1:13" ht="18.75">
      <c r="A65" s="294"/>
      <c r="B65" s="294"/>
      <c r="C65" s="294"/>
      <c r="D65" s="294"/>
      <c r="E65" s="294"/>
      <c r="F65" s="294"/>
      <c r="G65" s="294"/>
      <c r="H65" s="294"/>
      <c r="I65" s="294"/>
      <c r="J65" s="294"/>
      <c r="K65" s="294"/>
      <c r="L65" s="294"/>
      <c r="M65" s="294"/>
    </row>
    <row r="66" spans="1:13" ht="18.75">
      <c r="A66" s="294"/>
      <c r="B66" s="294"/>
      <c r="C66" s="294"/>
      <c r="D66" s="294"/>
      <c r="E66" s="294"/>
      <c r="F66" s="294"/>
      <c r="G66" s="294"/>
      <c r="H66" s="294"/>
      <c r="I66" s="294"/>
      <c r="J66" s="294"/>
      <c r="K66" s="294"/>
      <c r="L66" s="294"/>
      <c r="M66" s="294"/>
    </row>
    <row r="67" spans="1:13" ht="18.75">
      <c r="A67" s="294"/>
      <c r="B67" s="294"/>
      <c r="C67" s="294"/>
      <c r="D67" s="294"/>
      <c r="E67" s="294"/>
      <c r="F67" s="294"/>
      <c r="G67" s="294"/>
      <c r="H67" s="294"/>
      <c r="I67" s="294"/>
      <c r="J67" s="294"/>
      <c r="K67" s="294"/>
      <c r="L67" s="294"/>
      <c r="M67" s="294"/>
    </row>
  </sheetData>
  <mergeCells count="25">
    <mergeCell ref="M19:M25"/>
    <mergeCell ref="N19:N25"/>
    <mergeCell ref="O19:O25"/>
    <mergeCell ref="A37:E37"/>
    <mergeCell ref="A38:E38"/>
    <mergeCell ref="M26:M32"/>
    <mergeCell ref="N26:N32"/>
    <mergeCell ref="O26:O32"/>
    <mergeCell ref="M5:M11"/>
    <mergeCell ref="N5:N11"/>
    <mergeCell ref="O5:O11"/>
    <mergeCell ref="M12:M18"/>
    <mergeCell ref="N12:N18"/>
    <mergeCell ref="O12:O18"/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</mergeCells>
  <phoneticPr fontId="20" type="noConversion"/>
  <conditionalFormatting sqref="D4:D36">
    <cfRule type="cellIs" dxfId="3" priority="11" operator="greaterThan">
      <formula>0.0025</formula>
    </cfRule>
  </conditionalFormatting>
  <conditionalFormatting sqref="H4:H36 J4:J36">
    <cfRule type="cellIs" dxfId="2" priority="3" operator="greaterThan">
      <formula>0.16</formula>
    </cfRule>
  </conditionalFormatting>
  <conditionalFormatting sqref="L5:L34 L35:M36">
    <cfRule type="cellIs" dxfId="1" priority="1" operator="greaterThan">
      <formula>0.15</formula>
    </cfRule>
  </conditionalFormatting>
  <conditionalFormatting sqref="L4:M4">
    <cfRule type="cellIs" dxfId="0" priority="10" operator="greaterThan">
      <formula>0.15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  <pageSetUpPr fitToPage="1"/>
  </sheetPr>
  <dimension ref="A1:AA55"/>
  <sheetViews>
    <sheetView zoomScale="75" zoomScaleNormal="75" workbookViewId="0">
      <selection activeCell="C6" sqref="C6"/>
    </sheetView>
  </sheetViews>
  <sheetFormatPr defaultColWidth="12.5703125" defaultRowHeight="15.75" customHeight="1"/>
  <cols>
    <col min="1" max="22" width="12.5703125" style="2" customWidth="1"/>
    <col min="2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222</v>
      </c>
      <c r="C2" s="47" t="s">
        <v>223</v>
      </c>
      <c r="D2" s="5" t="s">
        <v>224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225</v>
      </c>
      <c r="B4" s="67"/>
      <c r="C4" s="67"/>
      <c r="D4" s="67"/>
      <c r="E4" s="61" t="s">
        <v>226</v>
      </c>
      <c r="G4" s="60" t="s">
        <v>19</v>
      </c>
      <c r="H4" s="67"/>
      <c r="I4" s="67"/>
      <c r="J4" s="67"/>
      <c r="K4" s="67"/>
      <c r="M4" s="60" t="s">
        <v>227</v>
      </c>
      <c r="N4" s="67"/>
      <c r="O4" s="67"/>
      <c r="P4" s="67"/>
      <c r="Q4" s="67"/>
      <c r="R4" s="67"/>
      <c r="S4" s="60" t="s">
        <v>228</v>
      </c>
      <c r="T4" s="67"/>
      <c r="U4" s="67"/>
      <c r="V4" s="67"/>
      <c r="W4" s="67"/>
    </row>
    <row r="5" spans="1:23" ht="15.75" customHeight="1">
      <c r="A5" s="7"/>
      <c r="B5" s="49" t="s">
        <v>229</v>
      </c>
      <c r="C5" s="7" t="s">
        <v>230</v>
      </c>
      <c r="D5" s="7" t="s">
        <v>139</v>
      </c>
      <c r="E5" s="7" t="s">
        <v>231</v>
      </c>
      <c r="G5" s="7"/>
      <c r="H5" s="49" t="s">
        <v>232</v>
      </c>
      <c r="I5" s="49" t="s">
        <v>229</v>
      </c>
      <c r="J5" s="49" t="s">
        <v>230</v>
      </c>
      <c r="K5" s="7" t="s">
        <v>231</v>
      </c>
      <c r="L5" s="62" t="s">
        <v>233</v>
      </c>
      <c r="M5" s="7"/>
      <c r="N5" s="49" t="s">
        <v>229</v>
      </c>
      <c r="O5" s="49" t="s">
        <v>103</v>
      </c>
      <c r="P5" s="49" t="s">
        <v>230</v>
      </c>
      <c r="Q5" s="49" t="s">
        <v>139</v>
      </c>
      <c r="R5" s="67"/>
      <c r="S5" s="7"/>
      <c r="T5" s="49" t="s">
        <v>229</v>
      </c>
      <c r="U5" s="49" t="s">
        <v>103</v>
      </c>
      <c r="V5" s="49" t="s">
        <v>230</v>
      </c>
      <c r="W5" s="49" t="s">
        <v>139</v>
      </c>
    </row>
    <row r="6" spans="1:23" ht="15.75" customHeight="1">
      <c r="A6" s="49" t="s">
        <v>94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49" t="s">
        <v>234</v>
      </c>
      <c r="H6" s="11">
        <v>110</v>
      </c>
      <c r="I6" s="11">
        <v>100</v>
      </c>
      <c r="J6" s="11">
        <v>90</v>
      </c>
      <c r="K6" s="12"/>
      <c r="L6" s="62" t="s">
        <v>235</v>
      </c>
      <c r="M6" s="49" t="s">
        <v>236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49" t="s">
        <v>236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49" t="s">
        <v>237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3" t="s">
        <v>238</v>
      </c>
      <c r="H7" s="14">
        <v>0.8</v>
      </c>
      <c r="I7" s="14">
        <v>0.85</v>
      </c>
      <c r="J7" s="14">
        <v>0.81</v>
      </c>
      <c r="K7" s="14">
        <v>0.84</v>
      </c>
      <c r="L7" s="66" t="s">
        <v>239</v>
      </c>
      <c r="M7" s="49" t="s">
        <v>240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49" t="s">
        <v>240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241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49" t="s">
        <v>242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116</v>
      </c>
      <c r="M8" s="49" t="s">
        <v>243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49" t="s">
        <v>243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244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245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132</v>
      </c>
      <c r="M9" s="49" t="s">
        <v>246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49" t="s">
        <v>246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49" t="s">
        <v>247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248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249</v>
      </c>
      <c r="M10" s="49" t="s">
        <v>250</v>
      </c>
      <c r="N10" s="9" t="s">
        <v>251</v>
      </c>
      <c r="O10" s="13" t="str">
        <f t="shared" si="1"/>
        <v/>
      </c>
      <c r="P10" s="4" t="s">
        <v>252</v>
      </c>
      <c r="Q10" s="13" t="str">
        <f t="shared" si="2"/>
        <v/>
      </c>
      <c r="S10" s="49" t="s">
        <v>250</v>
      </c>
      <c r="T10" s="9" t="s">
        <v>251</v>
      </c>
      <c r="U10" s="13" t="str">
        <f t="shared" si="3"/>
        <v/>
      </c>
      <c r="V10" s="4" t="s">
        <v>252</v>
      </c>
      <c r="W10" s="13" t="str">
        <f t="shared" si="4"/>
        <v/>
      </c>
    </row>
    <row r="11" spans="1:23" ht="15.75" customHeight="1">
      <c r="A11" s="49" t="s">
        <v>253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254</v>
      </c>
      <c r="H11" s="14">
        <v>0.8</v>
      </c>
      <c r="I11" s="14">
        <v>0.85</v>
      </c>
      <c r="J11" s="14">
        <v>1</v>
      </c>
      <c r="K11" s="14">
        <v>0.92</v>
      </c>
      <c r="L11" s="62" t="s">
        <v>255</v>
      </c>
      <c r="M11" s="49" t="s">
        <v>256</v>
      </c>
      <c r="N11" s="9" t="s">
        <v>251</v>
      </c>
      <c r="O11" s="13" t="str">
        <f t="shared" si="1"/>
        <v/>
      </c>
      <c r="P11" s="4" t="s">
        <v>252</v>
      </c>
      <c r="Q11" s="13" t="str">
        <f t="shared" si="2"/>
        <v/>
      </c>
      <c r="S11" s="49" t="s">
        <v>256</v>
      </c>
      <c r="T11" s="9" t="s">
        <v>251</v>
      </c>
      <c r="U11" s="13" t="str">
        <f t="shared" si="3"/>
        <v/>
      </c>
      <c r="V11" s="4" t="s">
        <v>252</v>
      </c>
      <c r="W11" s="13" t="str">
        <f t="shared" si="4"/>
        <v/>
      </c>
    </row>
    <row r="12" spans="1:23" ht="15.75" customHeight="1">
      <c r="M12" s="49" t="s">
        <v>257</v>
      </c>
      <c r="N12" s="9" t="s">
        <v>251</v>
      </c>
      <c r="O12" s="13" t="str">
        <f t="shared" si="1"/>
        <v/>
      </c>
      <c r="P12" s="4" t="s">
        <v>252</v>
      </c>
      <c r="Q12" s="13" t="str">
        <f t="shared" si="2"/>
        <v/>
      </c>
      <c r="S12" s="49" t="s">
        <v>257</v>
      </c>
      <c r="T12" s="9" t="s">
        <v>251</v>
      </c>
      <c r="U12" s="13" t="str">
        <f t="shared" si="3"/>
        <v/>
      </c>
      <c r="V12" s="4" t="s">
        <v>252</v>
      </c>
      <c r="W12" s="13" t="str">
        <f t="shared" si="4"/>
        <v/>
      </c>
    </row>
    <row r="13" spans="1:23" ht="15.75" customHeight="1">
      <c r="A13" s="60" t="s">
        <v>258</v>
      </c>
      <c r="B13" s="67"/>
      <c r="C13" s="67"/>
      <c r="D13" s="67"/>
      <c r="E13" s="67"/>
      <c r="F13" s="67"/>
      <c r="M13" s="49" t="s">
        <v>259</v>
      </c>
      <c r="N13" s="9" t="s">
        <v>251</v>
      </c>
      <c r="O13" s="13" t="str">
        <f t="shared" si="1"/>
        <v/>
      </c>
      <c r="P13" s="4" t="s">
        <v>252</v>
      </c>
      <c r="Q13" s="13" t="str">
        <f t="shared" si="2"/>
        <v/>
      </c>
      <c r="S13" s="49" t="s">
        <v>259</v>
      </c>
      <c r="T13" s="9" t="s">
        <v>251</v>
      </c>
      <c r="U13" s="13" t="str">
        <f t="shared" si="3"/>
        <v/>
      </c>
      <c r="V13" s="4" t="s">
        <v>252</v>
      </c>
      <c r="W13" s="13" t="str">
        <f t="shared" si="4"/>
        <v/>
      </c>
    </row>
    <row r="14" spans="1:23" ht="12.75">
      <c r="A14" s="7"/>
      <c r="B14" s="49" t="s">
        <v>229</v>
      </c>
      <c r="C14" s="7" t="s">
        <v>230</v>
      </c>
      <c r="D14" s="7" t="s">
        <v>139</v>
      </c>
      <c r="E14" s="7" t="s">
        <v>231</v>
      </c>
      <c r="F14" s="67"/>
      <c r="G14" s="7"/>
      <c r="H14" s="49" t="s">
        <v>229</v>
      </c>
      <c r="I14" s="7" t="s">
        <v>230</v>
      </c>
      <c r="J14" s="7" t="s">
        <v>139</v>
      </c>
      <c r="K14" s="7" t="s">
        <v>231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49" t="s">
        <v>236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49" t="s">
        <v>250</v>
      </c>
      <c r="H15" s="4"/>
      <c r="I15" s="4"/>
      <c r="J15" s="16">
        <f>H15-I15</f>
        <v>0</v>
      </c>
      <c r="K15" s="17"/>
      <c r="M15" s="60" t="s">
        <v>260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240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49" t="s">
        <v>256</v>
      </c>
      <c r="H16" s="4"/>
      <c r="I16" s="4"/>
      <c r="J16" s="16">
        <f>H16-I16</f>
        <v>0</v>
      </c>
      <c r="K16" s="17"/>
      <c r="M16" s="18"/>
      <c r="N16" s="46" t="s">
        <v>97</v>
      </c>
      <c r="O16" s="19"/>
      <c r="P16" s="58" t="s">
        <v>140</v>
      </c>
      <c r="Q16" s="19"/>
      <c r="R16" s="51" t="s">
        <v>261</v>
      </c>
      <c r="S16" s="19"/>
    </row>
    <row r="17" spans="1:27" ht="15.75" customHeight="1">
      <c r="A17" s="49" t="s">
        <v>243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49" t="s">
        <v>257</v>
      </c>
      <c r="H17" s="4"/>
      <c r="I17" s="4"/>
      <c r="J17" s="16">
        <f>H17-I17</f>
        <v>0</v>
      </c>
      <c r="K17" s="17"/>
      <c r="M17" s="20"/>
      <c r="N17" s="21" t="s">
        <v>102</v>
      </c>
      <c r="O17" s="50" t="s">
        <v>103</v>
      </c>
      <c r="P17" s="8" t="s">
        <v>102</v>
      </c>
      <c r="Q17" s="50" t="s">
        <v>103</v>
      </c>
      <c r="R17" s="8" t="s">
        <v>102</v>
      </c>
      <c r="S17" s="50" t="s">
        <v>103</v>
      </c>
    </row>
    <row r="18" spans="1:27" ht="15.75" customHeight="1">
      <c r="A18" s="49" t="s">
        <v>246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49" t="s">
        <v>259</v>
      </c>
      <c r="H18" s="4"/>
      <c r="I18" s="4"/>
      <c r="J18" s="16">
        <f>H18-I18</f>
        <v>0</v>
      </c>
      <c r="K18" s="17"/>
      <c r="M18" s="49" t="s">
        <v>242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49" t="s">
        <v>245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0" t="s">
        <v>262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50</v>
      </c>
      <c r="C21" s="670" t="s">
        <v>69</v>
      </c>
      <c r="D21" s="657"/>
      <c r="E21" s="653"/>
      <c r="F21" s="49" t="s">
        <v>55</v>
      </c>
      <c r="G21" s="49" t="s">
        <v>263</v>
      </c>
      <c r="H21" s="49" t="s">
        <v>264</v>
      </c>
      <c r="I21" s="8" t="s">
        <v>72</v>
      </c>
      <c r="J21" s="671" t="s">
        <v>73</v>
      </c>
      <c r="K21" s="653"/>
      <c r="M21" s="60" t="s">
        <v>110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236</v>
      </c>
      <c r="B22" s="6">
        <v>1</v>
      </c>
      <c r="C22" s="583" t="s">
        <v>265</v>
      </c>
      <c r="D22" s="657"/>
      <c r="E22" s="653"/>
      <c r="F22" s="4">
        <v>3</v>
      </c>
      <c r="G22" s="4">
        <v>3000</v>
      </c>
      <c r="H22" s="4">
        <v>1000</v>
      </c>
      <c r="I22" s="4">
        <v>10</v>
      </c>
      <c r="J22" s="664" t="s">
        <v>266</v>
      </c>
      <c r="K22" s="653"/>
      <c r="M22" s="52" t="s">
        <v>242</v>
      </c>
      <c r="N22" s="57" t="s">
        <v>50</v>
      </c>
      <c r="O22" s="659" t="s">
        <v>69</v>
      </c>
      <c r="P22" s="657"/>
      <c r="Q22" s="653"/>
      <c r="R22" s="661" t="s">
        <v>114</v>
      </c>
      <c r="S22" s="657"/>
      <c r="T22" s="653"/>
      <c r="U22" s="57" t="s">
        <v>115</v>
      </c>
      <c r="V22" s="57" t="s">
        <v>116</v>
      </c>
      <c r="W22" s="57" t="s">
        <v>117</v>
      </c>
      <c r="X22" s="8" t="s">
        <v>102</v>
      </c>
      <c r="Y22" s="8" t="s">
        <v>72</v>
      </c>
      <c r="Z22" s="671" t="s">
        <v>73</v>
      </c>
      <c r="AA22" s="653"/>
    </row>
    <row r="23" spans="1:27" ht="15.75" customHeight="1">
      <c r="A23" s="23"/>
      <c r="B23" s="6">
        <v>2</v>
      </c>
      <c r="C23" s="673"/>
      <c r="D23" s="657"/>
      <c r="E23" s="653"/>
      <c r="F23" s="4"/>
      <c r="G23" s="4"/>
      <c r="H23" s="4"/>
      <c r="I23" s="4"/>
      <c r="J23" s="673"/>
      <c r="K23" s="653"/>
      <c r="M23" s="56" t="s">
        <v>140</v>
      </c>
      <c r="N23" s="24">
        <v>1</v>
      </c>
      <c r="O23" s="664" t="s">
        <v>267</v>
      </c>
      <c r="P23" s="657"/>
      <c r="Q23" s="653"/>
      <c r="R23" s="664" t="s">
        <v>268</v>
      </c>
      <c r="S23" s="657"/>
      <c r="T23" s="653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664" t="s">
        <v>269</v>
      </c>
      <c r="AA23" s="653"/>
    </row>
    <row r="24" spans="1:27" ht="15.75" customHeight="1">
      <c r="A24" s="23"/>
      <c r="B24" s="6">
        <v>3</v>
      </c>
      <c r="C24" s="673"/>
      <c r="D24" s="657"/>
      <c r="E24" s="653"/>
      <c r="F24" s="4"/>
      <c r="G24" s="4"/>
      <c r="H24" s="4"/>
      <c r="I24" s="4"/>
      <c r="J24" s="673"/>
      <c r="K24" s="653"/>
      <c r="M24" s="25"/>
      <c r="N24" s="24">
        <v>2</v>
      </c>
      <c r="O24" s="583"/>
      <c r="P24" s="657"/>
      <c r="Q24" s="653"/>
      <c r="R24" s="583"/>
      <c r="S24" s="657"/>
      <c r="T24" s="653"/>
      <c r="U24" s="4"/>
      <c r="V24" s="14"/>
      <c r="W24" s="4"/>
      <c r="X24" s="16">
        <f>W24*U24</f>
        <v>0</v>
      </c>
      <c r="Y24" s="4"/>
      <c r="Z24" s="583"/>
      <c r="AA24" s="653"/>
    </row>
    <row r="25" spans="1:27" ht="15.75" customHeight="1">
      <c r="A25" s="23"/>
      <c r="B25" s="6">
        <v>4</v>
      </c>
      <c r="C25" s="673"/>
      <c r="D25" s="657"/>
      <c r="E25" s="653"/>
      <c r="F25" s="4"/>
      <c r="G25" s="4"/>
      <c r="H25" s="4"/>
      <c r="I25" s="4"/>
      <c r="J25" s="673"/>
      <c r="K25" s="653"/>
      <c r="M25" s="25"/>
      <c r="N25" s="24">
        <v>3</v>
      </c>
      <c r="O25" s="583"/>
      <c r="P25" s="657"/>
      <c r="Q25" s="653"/>
      <c r="R25" s="583"/>
      <c r="S25" s="657"/>
      <c r="T25" s="653"/>
      <c r="U25" s="4"/>
      <c r="V25" s="14"/>
      <c r="W25" s="4"/>
      <c r="X25" s="16">
        <f>W25*U25</f>
        <v>0</v>
      </c>
      <c r="Y25" s="4"/>
      <c r="Z25" s="583"/>
      <c r="AA25" s="653"/>
    </row>
    <row r="26" spans="1:27" ht="15.75" customHeight="1">
      <c r="A26" s="23"/>
      <c r="B26" s="26">
        <v>5</v>
      </c>
      <c r="C26" s="672"/>
      <c r="D26" s="668"/>
      <c r="E26" s="669"/>
      <c r="F26" s="27"/>
      <c r="G26" s="27"/>
      <c r="H26" s="27"/>
      <c r="I26" s="27"/>
      <c r="J26" s="672"/>
      <c r="K26" s="669"/>
      <c r="M26" s="25"/>
      <c r="N26" s="24">
        <v>4</v>
      </c>
      <c r="O26" s="583"/>
      <c r="P26" s="657"/>
      <c r="Q26" s="653"/>
      <c r="R26" s="583"/>
      <c r="S26" s="657"/>
      <c r="T26" s="653"/>
      <c r="U26" s="4"/>
      <c r="V26" s="14"/>
      <c r="W26" s="4"/>
      <c r="X26" s="16">
        <f>W26*U26</f>
        <v>0</v>
      </c>
      <c r="Y26" s="4"/>
      <c r="Z26" s="583"/>
      <c r="AA26" s="653"/>
    </row>
    <row r="27" spans="1:27" ht="15.75" customHeight="1">
      <c r="A27" s="23"/>
      <c r="B27" s="69" t="s">
        <v>270</v>
      </c>
      <c r="C27" s="654" t="s">
        <v>271</v>
      </c>
      <c r="D27" s="655"/>
      <c r="E27" s="656"/>
      <c r="F27" s="28">
        <v>4</v>
      </c>
      <c r="G27" s="28">
        <v>2800</v>
      </c>
      <c r="H27" s="28">
        <v>700</v>
      </c>
      <c r="I27" s="28" t="s">
        <v>272</v>
      </c>
      <c r="J27" s="654" t="s">
        <v>273</v>
      </c>
      <c r="K27" s="656"/>
      <c r="M27" s="25"/>
      <c r="N27" s="29">
        <v>5</v>
      </c>
      <c r="O27" s="586"/>
      <c r="P27" s="668"/>
      <c r="Q27" s="669"/>
      <c r="R27" s="586"/>
      <c r="S27" s="668"/>
      <c r="T27" s="669"/>
      <c r="U27" s="27"/>
      <c r="V27" s="30"/>
      <c r="W27" s="27"/>
      <c r="X27" s="31">
        <f>W27*U27</f>
        <v>0</v>
      </c>
      <c r="Y27" s="4"/>
      <c r="Z27" s="586"/>
      <c r="AA27" s="669"/>
    </row>
    <row r="28" spans="1:27" ht="15.75" customHeight="1">
      <c r="A28" s="23"/>
      <c r="B28" s="70" t="s">
        <v>274</v>
      </c>
      <c r="C28" s="673"/>
      <c r="D28" s="657"/>
      <c r="E28" s="653"/>
      <c r="F28" s="4"/>
      <c r="G28" s="4"/>
      <c r="H28" s="4"/>
      <c r="I28" s="4"/>
      <c r="J28" s="673"/>
      <c r="K28" s="653"/>
      <c r="M28" s="32"/>
      <c r="N28" s="55"/>
      <c r="O28" s="658"/>
      <c r="P28" s="657"/>
      <c r="Q28" s="657"/>
      <c r="R28" s="658"/>
      <c r="S28" s="657"/>
      <c r="T28" s="657"/>
      <c r="U28" s="59" t="s">
        <v>122</v>
      </c>
      <c r="V28" s="33">
        <f>X28/N18</f>
        <v>8.3333333333333329E-2</v>
      </c>
      <c r="W28" s="59" t="s">
        <v>123</v>
      </c>
      <c r="X28" s="34">
        <f>SUM(X23:X27)</f>
        <v>100</v>
      </c>
      <c r="Y28" s="45"/>
      <c r="Z28" s="658"/>
      <c r="AA28" s="653"/>
    </row>
    <row r="29" spans="1:27" ht="15.75" customHeight="1">
      <c r="A29" s="23"/>
      <c r="B29" s="70" t="s">
        <v>275</v>
      </c>
      <c r="C29" s="673"/>
      <c r="D29" s="657"/>
      <c r="E29" s="653"/>
      <c r="F29" s="4"/>
      <c r="G29" s="4"/>
      <c r="H29" s="4"/>
      <c r="I29" s="4"/>
      <c r="J29" s="673"/>
      <c r="K29" s="653"/>
      <c r="M29" s="56" t="s">
        <v>261</v>
      </c>
      <c r="N29" s="24">
        <v>1</v>
      </c>
      <c r="O29" s="674" t="s">
        <v>276</v>
      </c>
      <c r="P29" s="666"/>
      <c r="Q29" s="667"/>
      <c r="R29" s="665" t="s">
        <v>277</v>
      </c>
      <c r="S29" s="666"/>
      <c r="T29" s="667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665" t="s">
        <v>278</v>
      </c>
      <c r="AA29" s="667"/>
    </row>
    <row r="30" spans="1:27" ht="15.75" customHeight="1">
      <c r="A30" s="23"/>
      <c r="B30" s="70" t="s">
        <v>279</v>
      </c>
      <c r="C30" s="673"/>
      <c r="D30" s="657"/>
      <c r="E30" s="653"/>
      <c r="F30" s="4"/>
      <c r="G30" s="4"/>
      <c r="H30" s="4"/>
      <c r="I30" s="4"/>
      <c r="J30" s="673"/>
      <c r="K30" s="653"/>
      <c r="M30" s="25"/>
      <c r="N30" s="24">
        <v>2</v>
      </c>
      <c r="O30" s="583"/>
      <c r="P30" s="657"/>
      <c r="Q30" s="653"/>
      <c r="R30" s="583"/>
      <c r="S30" s="657"/>
      <c r="T30" s="653"/>
      <c r="U30" s="4"/>
      <c r="V30" s="14"/>
      <c r="W30" s="4"/>
      <c r="X30" s="16">
        <f>W30*U30</f>
        <v>0</v>
      </c>
      <c r="Y30" s="4"/>
      <c r="Z30" s="583"/>
      <c r="AA30" s="653"/>
    </row>
    <row r="31" spans="1:27" ht="15.75" customHeight="1">
      <c r="A31" s="20"/>
      <c r="B31" s="70" t="s">
        <v>280</v>
      </c>
      <c r="C31" s="673"/>
      <c r="D31" s="657"/>
      <c r="E31" s="653"/>
      <c r="F31" s="4"/>
      <c r="G31" s="4"/>
      <c r="H31" s="4"/>
      <c r="I31" s="4"/>
      <c r="J31" s="673"/>
      <c r="K31" s="653"/>
      <c r="M31" s="25"/>
      <c r="N31" s="24">
        <v>3</v>
      </c>
      <c r="O31" s="583"/>
      <c r="P31" s="657"/>
      <c r="Q31" s="653"/>
      <c r="R31" s="583"/>
      <c r="S31" s="657"/>
      <c r="T31" s="653"/>
      <c r="U31" s="4"/>
      <c r="V31" s="14"/>
      <c r="W31" s="4"/>
      <c r="X31" s="16">
        <f>W31*U31</f>
        <v>0</v>
      </c>
      <c r="Y31" s="4"/>
      <c r="Z31" s="583"/>
      <c r="AA31" s="653"/>
    </row>
    <row r="32" spans="1:27" ht="15.75" customHeight="1">
      <c r="A32" s="67"/>
      <c r="M32" s="25"/>
      <c r="N32" s="24">
        <v>4</v>
      </c>
      <c r="O32" s="583"/>
      <c r="P32" s="657"/>
      <c r="Q32" s="653"/>
      <c r="R32" s="583"/>
      <c r="S32" s="657"/>
      <c r="T32" s="653"/>
      <c r="U32" s="4"/>
      <c r="V32" s="14"/>
      <c r="W32" s="4"/>
      <c r="X32" s="16">
        <f>W32*U32</f>
        <v>0</v>
      </c>
      <c r="Y32" s="4"/>
      <c r="Z32" s="583"/>
      <c r="AA32" s="653"/>
    </row>
    <row r="33" spans="1:27" ht="15.75" customHeight="1">
      <c r="A33" s="18"/>
      <c r="B33" s="49" t="s">
        <v>50</v>
      </c>
      <c r="C33" s="670" t="s">
        <v>69</v>
      </c>
      <c r="D33" s="657"/>
      <c r="E33" s="653"/>
      <c r="F33" s="49" t="s">
        <v>55</v>
      </c>
      <c r="G33" s="49" t="s">
        <v>263</v>
      </c>
      <c r="H33" s="49" t="s">
        <v>264</v>
      </c>
      <c r="I33" s="8" t="s">
        <v>72</v>
      </c>
      <c r="J33" s="671" t="s">
        <v>73</v>
      </c>
      <c r="K33" s="653"/>
      <c r="M33" s="25"/>
      <c r="N33" s="29">
        <v>5</v>
      </c>
      <c r="O33" s="583"/>
      <c r="P33" s="657"/>
      <c r="Q33" s="653"/>
      <c r="R33" s="583"/>
      <c r="S33" s="657"/>
      <c r="T33" s="653"/>
      <c r="U33" s="27"/>
      <c r="V33" s="30"/>
      <c r="W33" s="27"/>
      <c r="X33" s="31">
        <f>W33*U33</f>
        <v>0</v>
      </c>
      <c r="Y33" s="4"/>
      <c r="Z33" s="583"/>
      <c r="AA33" s="653"/>
    </row>
    <row r="34" spans="1:27" ht="15.75" customHeight="1">
      <c r="A34" s="52" t="s">
        <v>240</v>
      </c>
      <c r="B34" s="6">
        <v>1</v>
      </c>
      <c r="C34" s="664" t="s">
        <v>281</v>
      </c>
      <c r="D34" s="657"/>
      <c r="E34" s="653"/>
      <c r="F34" s="4">
        <v>3</v>
      </c>
      <c r="G34" s="4">
        <v>2500</v>
      </c>
      <c r="H34" s="4">
        <v>833.33</v>
      </c>
      <c r="I34" s="4">
        <v>20</v>
      </c>
      <c r="J34" s="664" t="s">
        <v>282</v>
      </c>
      <c r="K34" s="653"/>
      <c r="M34" s="68"/>
      <c r="N34" s="45"/>
      <c r="O34" s="658"/>
      <c r="P34" s="657"/>
      <c r="Q34" s="657"/>
      <c r="R34" s="658"/>
      <c r="S34" s="657"/>
      <c r="T34" s="657"/>
      <c r="U34" s="59" t="s">
        <v>122</v>
      </c>
      <c r="V34" s="33">
        <f>X34/N18</f>
        <v>0.23125000000000001</v>
      </c>
      <c r="W34" s="59" t="s">
        <v>123</v>
      </c>
      <c r="X34" s="34">
        <f>SUM(X29:X33)</f>
        <v>277.5</v>
      </c>
      <c r="Y34" s="45"/>
      <c r="Z34" s="658"/>
      <c r="AA34" s="653"/>
    </row>
    <row r="35" spans="1:27" ht="15.75" customHeight="1">
      <c r="A35" s="23"/>
      <c r="B35" s="6">
        <v>2</v>
      </c>
      <c r="C35" s="583"/>
      <c r="D35" s="657"/>
      <c r="E35" s="653"/>
      <c r="F35" s="4"/>
      <c r="G35" s="4"/>
      <c r="H35" s="4"/>
      <c r="I35" s="4"/>
      <c r="J35" s="583"/>
      <c r="K35" s="653"/>
      <c r="M35" s="1"/>
      <c r="N35" s="1"/>
      <c r="O35" s="675"/>
      <c r="P35" s="676"/>
      <c r="Q35" s="676"/>
      <c r="R35" s="675"/>
      <c r="S35" s="676"/>
      <c r="T35" s="676"/>
      <c r="U35" s="1"/>
      <c r="V35" s="38"/>
      <c r="W35" s="1"/>
      <c r="X35" s="1"/>
      <c r="Y35" s="675"/>
      <c r="Z35" s="676"/>
      <c r="AA35" s="676"/>
    </row>
    <row r="36" spans="1:27" ht="15.75" customHeight="1">
      <c r="A36" s="23"/>
      <c r="B36" s="6">
        <v>3</v>
      </c>
      <c r="C36" s="583"/>
      <c r="D36" s="657"/>
      <c r="E36" s="653"/>
      <c r="F36" s="4"/>
      <c r="G36" s="4"/>
      <c r="H36" s="4"/>
      <c r="I36" s="4"/>
      <c r="J36" s="583"/>
      <c r="K36" s="653"/>
      <c r="M36" s="52" t="s">
        <v>245</v>
      </c>
      <c r="N36" s="57" t="s">
        <v>50</v>
      </c>
      <c r="O36" s="659" t="s">
        <v>69</v>
      </c>
      <c r="P36" s="658"/>
      <c r="Q36" s="660"/>
      <c r="R36" s="661" t="s">
        <v>114</v>
      </c>
      <c r="S36" s="662"/>
      <c r="T36" s="663"/>
      <c r="U36" s="57" t="s">
        <v>115</v>
      </c>
      <c r="V36" s="57" t="s">
        <v>116</v>
      </c>
      <c r="W36" s="57" t="s">
        <v>117</v>
      </c>
      <c r="X36" s="8" t="s">
        <v>102</v>
      </c>
      <c r="Y36" s="8" t="s">
        <v>72</v>
      </c>
      <c r="Z36" s="671" t="s">
        <v>73</v>
      </c>
      <c r="AA36" s="677"/>
    </row>
    <row r="37" spans="1:27" ht="15.75" customHeight="1">
      <c r="A37" s="23"/>
      <c r="B37" s="6">
        <v>4</v>
      </c>
      <c r="C37" s="583"/>
      <c r="D37" s="657"/>
      <c r="E37" s="653"/>
      <c r="F37" s="4"/>
      <c r="G37" s="4"/>
      <c r="H37" s="4"/>
      <c r="I37" s="4"/>
      <c r="J37" s="583"/>
      <c r="K37" s="653"/>
      <c r="M37" s="56" t="s">
        <v>140</v>
      </c>
      <c r="N37" s="24">
        <v>1</v>
      </c>
      <c r="O37" s="664" t="s">
        <v>283</v>
      </c>
      <c r="P37" s="657"/>
      <c r="Q37" s="653"/>
      <c r="R37" s="664" t="s">
        <v>284</v>
      </c>
      <c r="S37" s="657"/>
      <c r="T37" s="653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664" t="s">
        <v>285</v>
      </c>
      <c r="AA37" s="653"/>
    </row>
    <row r="38" spans="1:27" ht="15.75" customHeight="1">
      <c r="A38" s="23"/>
      <c r="B38" s="26">
        <v>5</v>
      </c>
      <c r="C38" s="586"/>
      <c r="D38" s="668"/>
      <c r="E38" s="669"/>
      <c r="F38" s="27"/>
      <c r="G38" s="27"/>
      <c r="H38" s="27"/>
      <c r="I38" s="27"/>
      <c r="J38" s="586"/>
      <c r="K38" s="669"/>
      <c r="M38" s="25"/>
      <c r="N38" s="24">
        <v>2</v>
      </c>
      <c r="O38" s="583"/>
      <c r="P38" s="657"/>
      <c r="Q38" s="653"/>
      <c r="R38" s="583"/>
      <c r="S38" s="657"/>
      <c r="T38" s="653"/>
      <c r="U38" s="4"/>
      <c r="V38" s="14"/>
      <c r="W38" s="4"/>
      <c r="X38" s="16">
        <f>W38*U38</f>
        <v>0</v>
      </c>
      <c r="Y38" s="4"/>
      <c r="Z38" s="583"/>
      <c r="AA38" s="653"/>
    </row>
    <row r="39" spans="1:27" ht="14.25">
      <c r="A39" s="23"/>
      <c r="B39" s="69" t="s">
        <v>270</v>
      </c>
      <c r="C39" s="654" t="s">
        <v>286</v>
      </c>
      <c r="D39" s="655"/>
      <c r="E39" s="656"/>
      <c r="F39" s="28">
        <v>7</v>
      </c>
      <c r="G39" s="28">
        <v>2200</v>
      </c>
      <c r="H39" s="28">
        <v>314.29000000000002</v>
      </c>
      <c r="I39" s="28">
        <v>-15</v>
      </c>
      <c r="J39" s="654" t="s">
        <v>287</v>
      </c>
      <c r="K39" s="656"/>
      <c r="M39" s="25"/>
      <c r="N39" s="24">
        <v>3</v>
      </c>
      <c r="O39" s="583"/>
      <c r="P39" s="657"/>
      <c r="Q39" s="653"/>
      <c r="R39" s="583"/>
      <c r="S39" s="657"/>
      <c r="T39" s="653"/>
      <c r="U39" s="4"/>
      <c r="V39" s="14"/>
      <c r="W39" s="4"/>
      <c r="X39" s="16">
        <f>W39*U39</f>
        <v>0</v>
      </c>
      <c r="Y39" s="4"/>
      <c r="Z39" s="583"/>
      <c r="AA39" s="653"/>
    </row>
    <row r="40" spans="1:27" ht="14.25">
      <c r="A40" s="23"/>
      <c r="B40" s="70" t="s">
        <v>274</v>
      </c>
      <c r="C40" s="583"/>
      <c r="D40" s="657"/>
      <c r="E40" s="653"/>
      <c r="F40" s="4"/>
      <c r="G40" s="4"/>
      <c r="H40" s="4"/>
      <c r="I40" s="4"/>
      <c r="J40" s="583"/>
      <c r="K40" s="653"/>
      <c r="M40" s="25"/>
      <c r="N40" s="24">
        <v>4</v>
      </c>
      <c r="O40" s="583"/>
      <c r="P40" s="657"/>
      <c r="Q40" s="653"/>
      <c r="R40" s="583"/>
      <c r="S40" s="657"/>
      <c r="T40" s="653"/>
      <c r="U40" s="4"/>
      <c r="V40" s="14"/>
      <c r="W40" s="4"/>
      <c r="X40" s="16">
        <f>W40*U40</f>
        <v>0</v>
      </c>
      <c r="Y40" s="4"/>
      <c r="Z40" s="583"/>
      <c r="AA40" s="653"/>
    </row>
    <row r="41" spans="1:27" ht="14.25">
      <c r="A41" s="23"/>
      <c r="B41" s="70" t="s">
        <v>275</v>
      </c>
      <c r="C41" s="583"/>
      <c r="D41" s="657"/>
      <c r="E41" s="653"/>
      <c r="F41" s="4"/>
      <c r="G41" s="4"/>
      <c r="H41" s="4"/>
      <c r="I41" s="4"/>
      <c r="J41" s="583"/>
      <c r="K41" s="653"/>
      <c r="M41" s="25"/>
      <c r="N41" s="29">
        <v>5</v>
      </c>
      <c r="O41" s="586"/>
      <c r="P41" s="668"/>
      <c r="Q41" s="669"/>
      <c r="R41" s="586"/>
      <c r="S41" s="668"/>
      <c r="T41" s="669"/>
      <c r="U41" s="27"/>
      <c r="V41" s="30"/>
      <c r="W41" s="27"/>
      <c r="X41" s="31">
        <f>W41*U41</f>
        <v>0</v>
      </c>
      <c r="Y41" s="4"/>
      <c r="Z41" s="583"/>
      <c r="AA41" s="653"/>
    </row>
    <row r="42" spans="1:27" ht="14.25">
      <c r="A42" s="23"/>
      <c r="B42" s="70" t="s">
        <v>279</v>
      </c>
      <c r="C42" s="583"/>
      <c r="D42" s="657"/>
      <c r="E42" s="653"/>
      <c r="F42" s="4"/>
      <c r="G42" s="4"/>
      <c r="H42" s="4"/>
      <c r="I42" s="4"/>
      <c r="J42" s="583"/>
      <c r="K42" s="653"/>
      <c r="M42" s="32"/>
      <c r="N42" s="54"/>
      <c r="O42" s="658"/>
      <c r="P42" s="657"/>
      <c r="Q42" s="657"/>
      <c r="R42" s="658"/>
      <c r="S42" s="657"/>
      <c r="T42" s="657"/>
      <c r="U42" s="59" t="s">
        <v>122</v>
      </c>
      <c r="V42" s="33">
        <f>X42/N19</f>
        <v>5.5555555555555552E-2</v>
      </c>
      <c r="W42" s="59" t="s">
        <v>123</v>
      </c>
      <c r="X42" s="34">
        <f>SUM(X37:X41)</f>
        <v>250</v>
      </c>
      <c r="Y42" s="45"/>
      <c r="Z42" s="658"/>
      <c r="AA42" s="653"/>
    </row>
    <row r="43" spans="1:27" ht="14.25">
      <c r="A43" s="20"/>
      <c r="B43" s="70" t="s">
        <v>280</v>
      </c>
      <c r="C43" s="583"/>
      <c r="D43" s="657"/>
      <c r="E43" s="653"/>
      <c r="F43" s="4"/>
      <c r="G43" s="4"/>
      <c r="H43" s="4"/>
      <c r="I43" s="4"/>
      <c r="J43" s="583"/>
      <c r="K43" s="653"/>
      <c r="M43" s="56" t="s">
        <v>261</v>
      </c>
      <c r="N43" s="24">
        <v>1</v>
      </c>
      <c r="O43" s="664" t="s">
        <v>283</v>
      </c>
      <c r="P43" s="657"/>
      <c r="Q43" s="653"/>
      <c r="R43" s="665" t="s">
        <v>288</v>
      </c>
      <c r="S43" s="666"/>
      <c r="T43" s="667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664" t="s">
        <v>289</v>
      </c>
      <c r="AA43" s="653"/>
    </row>
    <row r="44" spans="1:27" ht="14.25">
      <c r="A44" s="67"/>
      <c r="M44" s="25"/>
      <c r="N44" s="24">
        <v>2</v>
      </c>
      <c r="O44" s="583"/>
      <c r="P44" s="657"/>
      <c r="Q44" s="653"/>
      <c r="R44" s="583"/>
      <c r="S44" s="657"/>
      <c r="T44" s="653"/>
      <c r="U44" s="4"/>
      <c r="V44" s="14"/>
      <c r="W44" s="4"/>
      <c r="X44" s="37">
        <f>W44*U44</f>
        <v>0</v>
      </c>
      <c r="Y44" s="4"/>
      <c r="Z44" s="583"/>
      <c r="AA44" s="653"/>
    </row>
    <row r="45" spans="1:27" ht="14.25">
      <c r="A45" s="18"/>
      <c r="B45" s="49" t="s">
        <v>50</v>
      </c>
      <c r="C45" s="670" t="s">
        <v>69</v>
      </c>
      <c r="D45" s="657"/>
      <c r="E45" s="653"/>
      <c r="F45" s="49" t="s">
        <v>55</v>
      </c>
      <c r="G45" s="49" t="s">
        <v>263</v>
      </c>
      <c r="H45" s="49" t="s">
        <v>264</v>
      </c>
      <c r="I45" s="8" t="s">
        <v>72</v>
      </c>
      <c r="J45" s="671" t="s">
        <v>73</v>
      </c>
      <c r="K45" s="653"/>
      <c r="M45" s="25"/>
      <c r="N45" s="24">
        <v>3</v>
      </c>
      <c r="O45" s="583"/>
      <c r="P45" s="657"/>
      <c r="Q45" s="653"/>
      <c r="R45" s="583"/>
      <c r="S45" s="657"/>
      <c r="T45" s="653"/>
      <c r="U45" s="4"/>
      <c r="V45" s="14"/>
      <c r="W45" s="4"/>
      <c r="X45" s="37">
        <f>W45*U45</f>
        <v>0</v>
      </c>
      <c r="Y45" s="4"/>
      <c r="Z45" s="583"/>
      <c r="AA45" s="653"/>
    </row>
    <row r="46" spans="1:27" ht="14.25">
      <c r="A46" s="52" t="s">
        <v>243</v>
      </c>
      <c r="B46" s="6">
        <v>1</v>
      </c>
      <c r="C46" s="664" t="s">
        <v>267</v>
      </c>
      <c r="D46" s="657"/>
      <c r="E46" s="653"/>
      <c r="F46" s="4">
        <v>15</v>
      </c>
      <c r="G46" s="4">
        <v>1200</v>
      </c>
      <c r="H46" s="4">
        <v>80</v>
      </c>
      <c r="I46" s="4">
        <v>5</v>
      </c>
      <c r="J46" s="664" t="s">
        <v>290</v>
      </c>
      <c r="K46" s="653"/>
      <c r="M46" s="25"/>
      <c r="N46" s="24">
        <v>4</v>
      </c>
      <c r="O46" s="583"/>
      <c r="P46" s="657"/>
      <c r="Q46" s="653"/>
      <c r="R46" s="583"/>
      <c r="S46" s="657"/>
      <c r="T46" s="653"/>
      <c r="U46" s="4"/>
      <c r="V46" s="14"/>
      <c r="W46" s="4"/>
      <c r="X46" s="37">
        <f>W46*U46</f>
        <v>0</v>
      </c>
      <c r="Y46" s="4"/>
      <c r="Z46" s="583"/>
      <c r="AA46" s="653"/>
    </row>
    <row r="47" spans="1:27" ht="14.25">
      <c r="A47" s="23"/>
      <c r="B47" s="6">
        <v>2</v>
      </c>
      <c r="C47" s="583"/>
      <c r="D47" s="657"/>
      <c r="E47" s="653"/>
      <c r="F47" s="4"/>
      <c r="G47" s="4"/>
      <c r="H47" s="4"/>
      <c r="I47" s="4"/>
      <c r="J47" s="583"/>
      <c r="K47" s="653"/>
      <c r="M47" s="25"/>
      <c r="N47" s="29">
        <v>5</v>
      </c>
      <c r="O47" s="583"/>
      <c r="P47" s="657"/>
      <c r="Q47" s="653"/>
      <c r="R47" s="583"/>
      <c r="S47" s="657"/>
      <c r="T47" s="653"/>
      <c r="U47" s="27"/>
      <c r="V47" s="30"/>
      <c r="W47" s="27"/>
      <c r="X47" s="40">
        <f>W47*U47</f>
        <v>0</v>
      </c>
      <c r="Y47" s="4"/>
      <c r="Z47" s="583"/>
      <c r="AA47" s="653"/>
    </row>
    <row r="48" spans="1:27" ht="14.25">
      <c r="A48" s="23"/>
      <c r="B48" s="6">
        <v>3</v>
      </c>
      <c r="C48" s="583"/>
      <c r="D48" s="657"/>
      <c r="E48" s="653"/>
      <c r="F48" s="4"/>
      <c r="G48" s="4"/>
      <c r="H48" s="4"/>
      <c r="I48" s="4"/>
      <c r="J48" s="583"/>
      <c r="K48" s="653"/>
      <c r="M48" s="68"/>
      <c r="N48" s="45"/>
      <c r="O48" s="658"/>
      <c r="P48" s="657"/>
      <c r="Q48" s="657"/>
      <c r="R48" s="658"/>
      <c r="S48" s="657"/>
      <c r="T48" s="657"/>
      <c r="U48" s="59" t="s">
        <v>122</v>
      </c>
      <c r="V48" s="33">
        <f>X48/N19</f>
        <v>0.13333333333333333</v>
      </c>
      <c r="W48" s="59" t="s">
        <v>123</v>
      </c>
      <c r="X48" s="34">
        <f>SUM(X43:X47)</f>
        <v>600</v>
      </c>
      <c r="Y48" s="45"/>
      <c r="Z48" s="658"/>
      <c r="AA48" s="653"/>
    </row>
    <row r="49" spans="1:27" ht="14.25">
      <c r="A49" s="23"/>
      <c r="B49" s="6">
        <v>4</v>
      </c>
      <c r="C49" s="583"/>
      <c r="D49" s="657"/>
      <c r="E49" s="653"/>
      <c r="F49" s="4"/>
      <c r="G49" s="4"/>
      <c r="H49" s="4"/>
      <c r="I49" s="4"/>
      <c r="J49" s="583"/>
      <c r="K49" s="653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586"/>
      <c r="D50" s="668"/>
      <c r="E50" s="669"/>
      <c r="F50" s="27"/>
      <c r="G50" s="27"/>
      <c r="H50" s="27"/>
      <c r="I50" s="27"/>
      <c r="J50" s="586"/>
      <c r="K50" s="669"/>
      <c r="M50" s="64" t="s">
        <v>291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270</v>
      </c>
      <c r="C51" s="654" t="s">
        <v>283</v>
      </c>
      <c r="D51" s="655"/>
      <c r="E51" s="656"/>
      <c r="F51" s="28">
        <v>18</v>
      </c>
      <c r="G51" s="28">
        <v>800</v>
      </c>
      <c r="H51" s="28">
        <v>44.44</v>
      </c>
      <c r="I51" s="28">
        <v>-15</v>
      </c>
      <c r="J51" s="654" t="s">
        <v>292</v>
      </c>
      <c r="K51" s="656"/>
      <c r="M51" s="8"/>
      <c r="N51" s="8" t="s">
        <v>137</v>
      </c>
      <c r="O51" s="659" t="s">
        <v>69</v>
      </c>
      <c r="P51" s="658"/>
      <c r="Q51" s="660"/>
      <c r="R51" s="661" t="s">
        <v>114</v>
      </c>
      <c r="S51" s="662"/>
      <c r="T51" s="663"/>
      <c r="U51" s="57" t="s">
        <v>115</v>
      </c>
      <c r="V51" s="39" t="s">
        <v>138</v>
      </c>
      <c r="W51" s="57" t="s">
        <v>49</v>
      </c>
      <c r="X51" s="8" t="s">
        <v>139</v>
      </c>
      <c r="Y51" s="659" t="s">
        <v>73</v>
      </c>
      <c r="Z51" s="658"/>
      <c r="AA51" s="660"/>
    </row>
    <row r="52" spans="1:27" ht="14.25">
      <c r="A52" s="23"/>
      <c r="B52" s="70" t="s">
        <v>274</v>
      </c>
      <c r="C52" s="583"/>
      <c r="D52" s="657"/>
      <c r="E52" s="653"/>
      <c r="F52" s="4"/>
      <c r="G52" s="4"/>
      <c r="H52" s="4"/>
      <c r="I52" s="4"/>
      <c r="J52" s="583"/>
      <c r="K52" s="653"/>
      <c r="M52" s="56" t="s">
        <v>140</v>
      </c>
      <c r="N52" s="24">
        <v>1</v>
      </c>
      <c r="O52" s="664" t="s">
        <v>283</v>
      </c>
      <c r="P52" s="657"/>
      <c r="Q52" s="653"/>
      <c r="R52" s="665" t="s">
        <v>288</v>
      </c>
      <c r="S52" s="666"/>
      <c r="T52" s="667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664" t="s">
        <v>293</v>
      </c>
      <c r="Z52" s="657"/>
      <c r="AA52" s="653"/>
    </row>
    <row r="53" spans="1:27" ht="14.25">
      <c r="A53" s="23"/>
      <c r="B53" s="70" t="s">
        <v>275</v>
      </c>
      <c r="C53" s="583"/>
      <c r="D53" s="657"/>
      <c r="E53" s="653"/>
      <c r="F53" s="4"/>
      <c r="G53" s="4"/>
      <c r="H53" s="4"/>
      <c r="I53" s="4"/>
      <c r="J53" s="583"/>
      <c r="K53" s="653"/>
      <c r="M53" s="25"/>
      <c r="N53" s="29">
        <v>2</v>
      </c>
      <c r="O53" s="586"/>
      <c r="P53" s="668"/>
      <c r="Q53" s="669"/>
      <c r="R53" s="586"/>
      <c r="S53" s="668"/>
      <c r="T53" s="669"/>
      <c r="U53" s="27"/>
      <c r="V53" s="30"/>
      <c r="W53" s="30"/>
      <c r="X53" s="41">
        <f>W53-V53</f>
        <v>0</v>
      </c>
      <c r="Y53" s="586"/>
      <c r="Z53" s="668"/>
      <c r="AA53" s="669"/>
    </row>
    <row r="54" spans="1:27" ht="14.25">
      <c r="A54" s="23"/>
      <c r="B54" s="70" t="s">
        <v>279</v>
      </c>
      <c r="C54" s="583"/>
      <c r="D54" s="657"/>
      <c r="E54" s="653"/>
      <c r="F54" s="4"/>
      <c r="G54" s="4"/>
      <c r="H54" s="4"/>
      <c r="I54" s="4"/>
      <c r="J54" s="583"/>
      <c r="K54" s="653"/>
      <c r="M54" s="56" t="s">
        <v>261</v>
      </c>
      <c r="N54" s="42">
        <v>1</v>
      </c>
      <c r="O54" s="654" t="s">
        <v>294</v>
      </c>
      <c r="P54" s="655"/>
      <c r="Q54" s="656"/>
      <c r="R54" s="654" t="s">
        <v>295</v>
      </c>
      <c r="S54" s="655"/>
      <c r="T54" s="656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654" t="s">
        <v>296</v>
      </c>
      <c r="Z54" s="655"/>
      <c r="AA54" s="656"/>
    </row>
    <row r="55" spans="1:27" ht="14.25">
      <c r="A55" s="20"/>
      <c r="B55" s="70" t="s">
        <v>280</v>
      </c>
      <c r="C55" s="583"/>
      <c r="D55" s="657"/>
      <c r="E55" s="653"/>
      <c r="F55" s="4"/>
      <c r="G55" s="4"/>
      <c r="H55" s="4"/>
      <c r="I55" s="4"/>
      <c r="J55" s="583"/>
      <c r="K55" s="653"/>
      <c r="M55" s="22"/>
      <c r="N55" s="24">
        <v>2</v>
      </c>
      <c r="O55" s="583"/>
      <c r="P55" s="657"/>
      <c r="Q55" s="653"/>
      <c r="R55" s="583"/>
      <c r="S55" s="657"/>
      <c r="T55" s="653"/>
      <c r="U55" s="4"/>
      <c r="V55" s="14"/>
      <c r="W55" s="14"/>
      <c r="X55" s="13">
        <f>W55-V55</f>
        <v>0</v>
      </c>
      <c r="Y55" s="583"/>
      <c r="Z55" s="657"/>
      <c r="AA55" s="653"/>
    </row>
  </sheetData>
  <mergeCells count="162">
    <mergeCell ref="Z37:AA37"/>
    <mergeCell ref="Z38:AA38"/>
    <mergeCell ref="Z27:AA27"/>
    <mergeCell ref="Z28:AA28"/>
    <mergeCell ref="Z29:AA29"/>
    <mergeCell ref="Z30:AA30"/>
    <mergeCell ref="Z31:AA31"/>
    <mergeCell ref="Z34:AA34"/>
    <mergeCell ref="Z32:AA32"/>
    <mergeCell ref="Y35:AA35"/>
    <mergeCell ref="Z33:AA33"/>
    <mergeCell ref="Z36:AA36"/>
    <mergeCell ref="O24:Q24"/>
    <mergeCell ref="R29:T29"/>
    <mergeCell ref="R27:T27"/>
    <mergeCell ref="R28:T28"/>
    <mergeCell ref="J26:K26"/>
    <mergeCell ref="J27:K27"/>
    <mergeCell ref="R33:T33"/>
    <mergeCell ref="R35:T35"/>
    <mergeCell ref="R34:T34"/>
    <mergeCell ref="J35:K35"/>
    <mergeCell ref="J33:K33"/>
    <mergeCell ref="J34:K34"/>
    <mergeCell ref="O33:Q33"/>
    <mergeCell ref="O35:Q35"/>
    <mergeCell ref="O34:Q34"/>
    <mergeCell ref="R25:T25"/>
    <mergeCell ref="R26:T26"/>
    <mergeCell ref="O27:Q27"/>
    <mergeCell ref="O26:Q26"/>
    <mergeCell ref="O29:Q29"/>
    <mergeCell ref="O28:Q28"/>
    <mergeCell ref="J31:K31"/>
    <mergeCell ref="O31:Q31"/>
    <mergeCell ref="O30:Q30"/>
    <mergeCell ref="J30:K30"/>
    <mergeCell ref="O25:Q25"/>
    <mergeCell ref="C27:E27"/>
    <mergeCell ref="J28:K28"/>
    <mergeCell ref="J29:K29"/>
    <mergeCell ref="C35:E35"/>
    <mergeCell ref="C33:E33"/>
    <mergeCell ref="C34:E34"/>
    <mergeCell ref="Z22:AA22"/>
    <mergeCell ref="C23:E23"/>
    <mergeCell ref="Z23:AA23"/>
    <mergeCell ref="O23:Q23"/>
    <mergeCell ref="R23:T23"/>
    <mergeCell ref="J22:K22"/>
    <mergeCell ref="J23:K23"/>
    <mergeCell ref="O22:Q22"/>
    <mergeCell ref="R22:T22"/>
    <mergeCell ref="O32:Q32"/>
    <mergeCell ref="R32:T32"/>
    <mergeCell ref="R30:T30"/>
    <mergeCell ref="R31:T31"/>
    <mergeCell ref="R24:T24"/>
    <mergeCell ref="Z26:AA26"/>
    <mergeCell ref="Z24:AA24"/>
    <mergeCell ref="Z25:AA25"/>
    <mergeCell ref="C40:E40"/>
    <mergeCell ref="C36:E36"/>
    <mergeCell ref="C38:E38"/>
    <mergeCell ref="C37:E37"/>
    <mergeCell ref="C39:E39"/>
    <mergeCell ref="J52:K52"/>
    <mergeCell ref="J53:K53"/>
    <mergeCell ref="O55:Q55"/>
    <mergeCell ref="J54:K54"/>
    <mergeCell ref="O38:Q38"/>
    <mergeCell ref="O36:Q36"/>
    <mergeCell ref="O41:Q41"/>
    <mergeCell ref="C42:E42"/>
    <mergeCell ref="J51:K51"/>
    <mergeCell ref="J49:K49"/>
    <mergeCell ref="J50:K50"/>
    <mergeCell ref="J48:K48"/>
    <mergeCell ref="C21:E21"/>
    <mergeCell ref="J21:K21"/>
    <mergeCell ref="C22:E22"/>
    <mergeCell ref="C26:E26"/>
    <mergeCell ref="C25:E25"/>
    <mergeCell ref="C24:E24"/>
    <mergeCell ref="J24:K24"/>
    <mergeCell ref="J25:K25"/>
    <mergeCell ref="J37:K37"/>
    <mergeCell ref="C28:E28"/>
    <mergeCell ref="C29:E29"/>
    <mergeCell ref="C30:E30"/>
    <mergeCell ref="C31:E31"/>
    <mergeCell ref="R36:T36"/>
    <mergeCell ref="R46:T46"/>
    <mergeCell ref="R47:T47"/>
    <mergeCell ref="O46:Q46"/>
    <mergeCell ref="J40:K40"/>
    <mergeCell ref="J39:K39"/>
    <mergeCell ref="J36:K36"/>
    <mergeCell ref="J38:K38"/>
    <mergeCell ref="R37:T37"/>
    <mergeCell ref="R38:T38"/>
    <mergeCell ref="O40:Q40"/>
    <mergeCell ref="O39:Q39"/>
    <mergeCell ref="O37:Q37"/>
    <mergeCell ref="O47:Q47"/>
    <mergeCell ref="J43:K43"/>
    <mergeCell ref="J42:K42"/>
    <mergeCell ref="J45:K45"/>
    <mergeCell ref="J47:K47"/>
    <mergeCell ref="J46:K46"/>
    <mergeCell ref="Z46:AA46"/>
    <mergeCell ref="Z47:AA47"/>
    <mergeCell ref="C41:E41"/>
    <mergeCell ref="J41:K41"/>
    <mergeCell ref="C55:E55"/>
    <mergeCell ref="C43:E43"/>
    <mergeCell ref="C45:E45"/>
    <mergeCell ref="C46:E46"/>
    <mergeCell ref="C47:E47"/>
    <mergeCell ref="C48:E48"/>
    <mergeCell ref="C49:E49"/>
    <mergeCell ref="C50:E50"/>
    <mergeCell ref="C52:E52"/>
    <mergeCell ref="C53:E53"/>
    <mergeCell ref="C54:E54"/>
    <mergeCell ref="C51:E51"/>
    <mergeCell ref="R55:T55"/>
    <mergeCell ref="J55:K55"/>
    <mergeCell ref="Y55:AA55"/>
    <mergeCell ref="R40:T40"/>
    <mergeCell ref="R44:T44"/>
    <mergeCell ref="O45:Q45"/>
    <mergeCell ref="O42:Q42"/>
    <mergeCell ref="Z41:AA41"/>
    <mergeCell ref="R42:T42"/>
    <mergeCell ref="R43:T43"/>
    <mergeCell ref="Z45:AA45"/>
    <mergeCell ref="R45:T45"/>
    <mergeCell ref="Z39:AA39"/>
    <mergeCell ref="R54:T54"/>
    <mergeCell ref="R39:T39"/>
    <mergeCell ref="O48:Q48"/>
    <mergeCell ref="O51:Q51"/>
    <mergeCell ref="R51:T51"/>
    <mergeCell ref="O52:Q52"/>
    <mergeCell ref="R52:T52"/>
    <mergeCell ref="R41:T41"/>
    <mergeCell ref="Z42:AA42"/>
    <mergeCell ref="Z43:AA43"/>
    <mergeCell ref="Z44:AA44"/>
    <mergeCell ref="Z48:AA48"/>
    <mergeCell ref="Y51:AA51"/>
    <mergeCell ref="Y52:AA52"/>
    <mergeCell ref="Y54:AA54"/>
    <mergeCell ref="Y53:AA53"/>
    <mergeCell ref="O54:Q54"/>
    <mergeCell ref="O53:Q53"/>
    <mergeCell ref="R53:T53"/>
    <mergeCell ref="R48:T48"/>
    <mergeCell ref="O43:Q43"/>
    <mergeCell ref="Z40:AA40"/>
    <mergeCell ref="O44:Q44"/>
  </mergeCells>
  <phoneticPr fontId="17"/>
  <printOptions horizontalCentered="1" gridLines="1"/>
  <pageMargins left="0.7" right="0.7" top="0.75" bottom="0.75" header="0" footer="0"/>
  <pageSetup paperSize="9" scale="39" fitToHeight="0" pageOrder="overThenDown" orientation="landscape" cellComments="atEnd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G23"/>
  <sheetViews>
    <sheetView view="pageBreakPreview" topLeftCell="A4" zoomScale="115" zoomScaleNormal="100" zoomScaleSheetLayoutView="115" workbookViewId="0">
      <selection activeCell="M21" sqref="M21"/>
    </sheetView>
  </sheetViews>
  <sheetFormatPr defaultColWidth="8.7109375" defaultRowHeight="14.25"/>
  <cols>
    <col min="1" max="2" width="8.7109375" style="176" customWidth="1"/>
    <col min="3" max="3" width="14" style="176" bestFit="1" customWidth="1"/>
    <col min="4" max="4" width="0.28515625" style="176" customWidth="1"/>
    <col min="5" max="5" width="8.7109375" style="176" customWidth="1"/>
    <col min="6" max="6" width="16.28515625" style="176" bestFit="1" customWidth="1"/>
    <col min="7" max="26" width="8.7109375" style="176" customWidth="1"/>
    <col min="27" max="16384" width="8.7109375" style="176"/>
  </cols>
  <sheetData>
    <row r="2" spans="2:7" ht="15.75">
      <c r="B2" s="678" t="s">
        <v>297</v>
      </c>
      <c r="C2" s="678"/>
      <c r="D2" s="678"/>
      <c r="E2" s="678"/>
      <c r="F2" s="678"/>
    </row>
    <row r="3" spans="2:7" ht="15">
      <c r="B3" s="177" t="s">
        <v>298</v>
      </c>
      <c r="C3" s="177" t="s">
        <v>236</v>
      </c>
      <c r="D3" s="178"/>
      <c r="E3" s="177" t="s">
        <v>299</v>
      </c>
      <c r="F3" s="177" t="s">
        <v>300</v>
      </c>
      <c r="G3" s="178"/>
    </row>
    <row r="4" spans="2:7" ht="15">
      <c r="B4" s="179" t="s">
        <v>301</v>
      </c>
      <c r="C4" s="179" t="s">
        <v>302</v>
      </c>
      <c r="D4" s="178"/>
      <c r="E4" s="179" t="s">
        <v>303</v>
      </c>
      <c r="F4" s="179" t="s">
        <v>304</v>
      </c>
      <c r="G4" s="178"/>
    </row>
    <row r="5" spans="2:7" ht="15">
      <c r="B5" s="179" t="s">
        <v>305</v>
      </c>
      <c r="C5" s="179" t="s">
        <v>306</v>
      </c>
      <c r="D5" s="178"/>
      <c r="E5" s="179" t="s">
        <v>307</v>
      </c>
      <c r="F5" s="179" t="s">
        <v>308</v>
      </c>
      <c r="G5" s="178"/>
    </row>
    <row r="6" spans="2:7" ht="15">
      <c r="B6" s="179" t="s">
        <v>309</v>
      </c>
      <c r="C6" s="179" t="s">
        <v>310</v>
      </c>
      <c r="D6" s="178"/>
      <c r="E6" s="180" t="s">
        <v>311</v>
      </c>
      <c r="F6" s="180" t="s">
        <v>59</v>
      </c>
      <c r="G6" s="178"/>
    </row>
    <row r="7" spans="2:7" ht="15">
      <c r="B7" s="180" t="s">
        <v>312</v>
      </c>
      <c r="C7" s="180" t="s">
        <v>313</v>
      </c>
      <c r="D7" s="178"/>
      <c r="E7" s="179" t="s">
        <v>314</v>
      </c>
      <c r="F7" s="179" t="s">
        <v>315</v>
      </c>
      <c r="G7" s="178"/>
    </row>
    <row r="8" spans="2:7" ht="15">
      <c r="B8" s="179" t="s">
        <v>316</v>
      </c>
      <c r="C8" s="179" t="s">
        <v>317</v>
      </c>
      <c r="D8" s="178"/>
      <c r="E8" s="179" t="s">
        <v>318</v>
      </c>
      <c r="F8" s="179" t="s">
        <v>319</v>
      </c>
      <c r="G8" s="178"/>
    </row>
    <row r="9" spans="2:7" ht="15">
      <c r="B9" s="179" t="s">
        <v>320</v>
      </c>
      <c r="C9" s="179" t="s">
        <v>321</v>
      </c>
      <c r="D9" s="178"/>
      <c r="E9" s="180" t="s">
        <v>322</v>
      </c>
      <c r="F9" s="180" t="s">
        <v>323</v>
      </c>
      <c r="G9" s="178"/>
    </row>
    <row r="10" spans="2:7" ht="15">
      <c r="B10" s="179" t="s">
        <v>324</v>
      </c>
      <c r="C10" s="179" t="s">
        <v>325</v>
      </c>
      <c r="D10" s="178"/>
      <c r="E10" s="179" t="s">
        <v>326</v>
      </c>
      <c r="F10" s="179" t="s">
        <v>327</v>
      </c>
      <c r="G10" s="178"/>
    </row>
    <row r="11" spans="2:7" ht="15">
      <c r="B11" s="179" t="s">
        <v>328</v>
      </c>
      <c r="C11" s="179" t="s">
        <v>329</v>
      </c>
      <c r="D11" s="178"/>
      <c r="E11" s="179" t="s">
        <v>330</v>
      </c>
      <c r="F11" s="179" t="s">
        <v>319</v>
      </c>
      <c r="G11" s="178"/>
    </row>
    <row r="12" spans="2:7" ht="15">
      <c r="B12" s="179" t="s">
        <v>331</v>
      </c>
      <c r="C12" s="179" t="s">
        <v>332</v>
      </c>
      <c r="D12" s="178"/>
      <c r="E12" s="179" t="s">
        <v>333</v>
      </c>
      <c r="F12" s="179" t="s">
        <v>257</v>
      </c>
      <c r="G12" s="178"/>
    </row>
    <row r="13" spans="2:7" ht="15">
      <c r="B13" s="180" t="s">
        <v>334</v>
      </c>
      <c r="C13" s="180" t="s">
        <v>243</v>
      </c>
      <c r="D13" s="178"/>
      <c r="E13" s="179" t="s">
        <v>335</v>
      </c>
      <c r="F13" s="179" t="s">
        <v>336</v>
      </c>
      <c r="G13" s="178"/>
    </row>
    <row r="14" spans="2:7" ht="15">
      <c r="B14" s="179" t="s">
        <v>337</v>
      </c>
      <c r="C14" s="179" t="s">
        <v>338</v>
      </c>
      <c r="D14" s="178"/>
      <c r="E14" s="180" t="s">
        <v>339</v>
      </c>
      <c r="F14" s="180" t="s">
        <v>340</v>
      </c>
      <c r="G14" s="178"/>
    </row>
    <row r="15" spans="2:7" ht="15">
      <c r="B15" s="180" t="s">
        <v>341</v>
      </c>
      <c r="C15" s="180" t="s">
        <v>342</v>
      </c>
      <c r="D15" s="178"/>
      <c r="E15" s="179" t="s">
        <v>343</v>
      </c>
      <c r="F15" s="179" t="s">
        <v>340</v>
      </c>
      <c r="G15" s="178"/>
    </row>
    <row r="16" spans="2:7" ht="15">
      <c r="B16" s="179" t="s">
        <v>344</v>
      </c>
      <c r="C16" s="179" t="s">
        <v>345</v>
      </c>
      <c r="D16" s="178"/>
      <c r="E16" s="180" t="s">
        <v>346</v>
      </c>
      <c r="F16" s="180" t="s">
        <v>347</v>
      </c>
      <c r="G16" s="178"/>
    </row>
    <row r="17" spans="2:7" ht="15">
      <c r="B17" s="179" t="s">
        <v>348</v>
      </c>
      <c r="C17" s="179" t="s">
        <v>349</v>
      </c>
      <c r="D17" s="178"/>
      <c r="E17" s="179" t="s">
        <v>350</v>
      </c>
      <c r="F17" s="179" t="s">
        <v>351</v>
      </c>
      <c r="G17" s="178"/>
    </row>
    <row r="18" spans="2:7" ht="15">
      <c r="B18" s="179" t="s">
        <v>352</v>
      </c>
      <c r="C18" s="179" t="s">
        <v>353</v>
      </c>
      <c r="D18" s="178"/>
      <c r="E18" s="179" t="s">
        <v>354</v>
      </c>
      <c r="F18" s="179" t="s">
        <v>355</v>
      </c>
      <c r="G18" s="178"/>
    </row>
    <row r="19" spans="2:7" ht="15">
      <c r="B19" s="179" t="s">
        <v>356</v>
      </c>
      <c r="C19" s="179" t="s">
        <v>357</v>
      </c>
      <c r="D19" s="178"/>
      <c r="E19" s="179" t="s">
        <v>358</v>
      </c>
      <c r="F19" s="179" t="s">
        <v>359</v>
      </c>
      <c r="G19" s="178"/>
    </row>
    <row r="20" spans="2:7" ht="15">
      <c r="B20" s="179" t="s">
        <v>360</v>
      </c>
      <c r="C20" s="179" t="s">
        <v>361</v>
      </c>
      <c r="D20" s="178"/>
      <c r="G20" s="178"/>
    </row>
    <row r="21" spans="2:7" ht="15">
      <c r="D21" s="178"/>
      <c r="G21" s="178"/>
    </row>
    <row r="22" spans="2:7" ht="15">
      <c r="D22" s="178"/>
      <c r="G22" s="178"/>
    </row>
    <row r="23" spans="2:7" ht="15">
      <c r="D23" s="178"/>
      <c r="G23" s="178"/>
    </row>
  </sheetData>
  <mergeCells count="1">
    <mergeCell ref="B2:F2"/>
  </mergeCells>
  <phoneticPr fontId="20" type="noConversion"/>
  <pageMargins left="0" right="0" top="0" bottom="0" header="0" footer="0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32"/>
  <sheetViews>
    <sheetView workbookViewId="0">
      <selection activeCell="G4" sqref="G4:G29"/>
    </sheetView>
  </sheetViews>
  <sheetFormatPr defaultColWidth="9.140625" defaultRowHeight="15"/>
  <cols>
    <col min="1" max="1" width="27.140625" style="204" customWidth="1"/>
    <col min="2" max="6" width="9.140625" style="204" customWidth="1"/>
    <col min="7" max="7" width="26" style="204" bestFit="1" customWidth="1"/>
    <col min="8" max="27" width="9.140625" style="204" customWidth="1"/>
    <col min="28" max="16384" width="9.140625" style="204"/>
  </cols>
  <sheetData>
    <row r="1" spans="1:7" ht="15.75">
      <c r="A1" s="395" t="s">
        <v>362</v>
      </c>
      <c r="B1" s="395" t="s">
        <v>55</v>
      </c>
      <c r="C1" s="395" t="s">
        <v>263</v>
      </c>
      <c r="D1" s="203"/>
    </row>
    <row r="2" spans="1:7" ht="15.75">
      <c r="A2" s="395" t="s">
        <v>257</v>
      </c>
      <c r="B2" s="395"/>
      <c r="C2" s="395"/>
      <c r="D2" s="205" t="s">
        <v>363</v>
      </c>
    </row>
    <row r="3" spans="1:7" ht="15.75">
      <c r="A3" s="395" t="s">
        <v>364</v>
      </c>
      <c r="B3" s="395">
        <v>12</v>
      </c>
      <c r="C3" s="395">
        <v>2105</v>
      </c>
      <c r="D3" s="205" t="s">
        <v>365</v>
      </c>
    </row>
    <row r="4" spans="1:7" ht="15.75">
      <c r="A4" s="395" t="s">
        <v>90</v>
      </c>
      <c r="B4" s="395">
        <v>15</v>
      </c>
      <c r="C4" s="395">
        <v>1636</v>
      </c>
      <c r="D4" s="203"/>
      <c r="G4" s="204">
        <f t="shared" ref="G4:G29" si="0">C4/B4</f>
        <v>109.06666666666666</v>
      </c>
    </row>
    <row r="5" spans="1:7" ht="15.75">
      <c r="A5" s="395" t="s">
        <v>76</v>
      </c>
      <c r="B5" s="395">
        <v>12</v>
      </c>
      <c r="C5" s="395">
        <v>2118</v>
      </c>
      <c r="D5" s="203"/>
      <c r="G5" s="204">
        <f t="shared" si="0"/>
        <v>176.5</v>
      </c>
    </row>
    <row r="6" spans="1:7" ht="15.75">
      <c r="A6" s="395" t="s">
        <v>75</v>
      </c>
      <c r="B6" s="395">
        <v>11</v>
      </c>
      <c r="C6" s="395">
        <v>2118</v>
      </c>
      <c r="D6" s="203"/>
      <c r="G6" s="204">
        <f t="shared" si="0"/>
        <v>192.54545454545453</v>
      </c>
    </row>
    <row r="7" spans="1:7" ht="15.75">
      <c r="A7" s="395" t="s">
        <v>127</v>
      </c>
      <c r="B7" s="395">
        <v>16</v>
      </c>
      <c r="C7" s="395">
        <v>1800</v>
      </c>
      <c r="D7" s="203"/>
      <c r="G7" s="204">
        <f t="shared" si="0"/>
        <v>112.5</v>
      </c>
    </row>
    <row r="8" spans="1:7" ht="15.75">
      <c r="A8" s="395" t="s">
        <v>77</v>
      </c>
      <c r="B8" s="395">
        <v>13</v>
      </c>
      <c r="C8" s="395">
        <v>2118</v>
      </c>
      <c r="D8" s="203"/>
      <c r="G8" s="204">
        <f t="shared" si="0"/>
        <v>162.92307692307693</v>
      </c>
    </row>
    <row r="9" spans="1:7" ht="15.75">
      <c r="A9" s="395" t="s">
        <v>366</v>
      </c>
      <c r="B9" s="395">
        <v>17</v>
      </c>
      <c r="C9" s="395">
        <v>1714</v>
      </c>
      <c r="D9" s="203"/>
      <c r="G9" s="204">
        <f t="shared" si="0"/>
        <v>100.82352941176471</v>
      </c>
    </row>
    <row r="10" spans="1:7" ht="15.75">
      <c r="A10" s="395" t="s">
        <v>205</v>
      </c>
      <c r="B10" s="395">
        <v>15</v>
      </c>
      <c r="C10" s="395">
        <v>1714</v>
      </c>
      <c r="D10" s="203"/>
      <c r="G10" s="204">
        <f t="shared" si="0"/>
        <v>114.26666666666667</v>
      </c>
    </row>
    <row r="11" spans="1:7" ht="15.75">
      <c r="A11" s="395" t="s">
        <v>82</v>
      </c>
      <c r="B11" s="395">
        <v>16</v>
      </c>
      <c r="C11" s="395">
        <v>1406</v>
      </c>
      <c r="D11" s="203"/>
      <c r="G11" s="204">
        <f t="shared" si="0"/>
        <v>87.875</v>
      </c>
    </row>
    <row r="12" spans="1:7" ht="15.75">
      <c r="A12" s="395" t="s">
        <v>78</v>
      </c>
      <c r="B12" s="395">
        <v>14</v>
      </c>
      <c r="C12" s="395">
        <v>2100</v>
      </c>
      <c r="D12" s="203"/>
      <c r="G12" s="204">
        <f t="shared" si="0"/>
        <v>150</v>
      </c>
    </row>
    <row r="13" spans="1:7" ht="15.75">
      <c r="A13" s="395" t="s">
        <v>367</v>
      </c>
      <c r="B13" s="395">
        <v>16</v>
      </c>
      <c r="C13" s="395">
        <v>1440</v>
      </c>
      <c r="D13" s="203"/>
    </row>
    <row r="14" spans="1:7" ht="15.75">
      <c r="A14" s="395" t="s">
        <v>187</v>
      </c>
      <c r="B14" s="395">
        <v>15</v>
      </c>
      <c r="C14" s="395">
        <v>1800</v>
      </c>
      <c r="D14" s="203"/>
      <c r="G14" s="204">
        <f t="shared" si="0"/>
        <v>120</v>
      </c>
    </row>
    <row r="15" spans="1:7" ht="15.75">
      <c r="A15" s="395"/>
      <c r="B15" s="395"/>
      <c r="C15" s="395"/>
      <c r="D15" s="203"/>
    </row>
    <row r="16" spans="1:7" ht="15.75">
      <c r="A16" s="395" t="s">
        <v>84</v>
      </c>
      <c r="B16" s="395">
        <v>17</v>
      </c>
      <c r="C16" s="395">
        <v>1440</v>
      </c>
      <c r="D16" s="203"/>
      <c r="G16" s="204">
        <f t="shared" si="0"/>
        <v>84.705882352941174</v>
      </c>
    </row>
    <row r="17" spans="1:7" ht="15.75">
      <c r="A17" s="395" t="s">
        <v>86</v>
      </c>
      <c r="B17" s="395">
        <v>17</v>
      </c>
      <c r="C17" s="395">
        <v>1565</v>
      </c>
      <c r="D17" s="203"/>
      <c r="G17" s="204">
        <f t="shared" si="0"/>
        <v>92.058823529411768</v>
      </c>
    </row>
    <row r="18" spans="1:7" ht="15.75">
      <c r="A18" s="396" t="s">
        <v>368</v>
      </c>
      <c r="B18" s="395">
        <v>13</v>
      </c>
      <c r="C18" s="395">
        <v>1440</v>
      </c>
      <c r="D18" s="203"/>
      <c r="G18" s="204">
        <f t="shared" si="0"/>
        <v>110.76923076923077</v>
      </c>
    </row>
    <row r="19" spans="1:7" ht="15.75">
      <c r="A19" s="395" t="s">
        <v>80</v>
      </c>
      <c r="B19" s="395">
        <v>16</v>
      </c>
      <c r="C19" s="395">
        <v>1714</v>
      </c>
      <c r="D19" s="203"/>
      <c r="G19" s="204">
        <f t="shared" si="0"/>
        <v>107.125</v>
      </c>
    </row>
    <row r="20" spans="1:7" ht="15.75">
      <c r="A20" s="395"/>
      <c r="B20" s="395"/>
      <c r="C20" s="395"/>
      <c r="D20" s="203"/>
    </row>
    <row r="21" spans="1:7" ht="15.75">
      <c r="A21" s="395"/>
      <c r="B21" s="395"/>
      <c r="C21" s="395"/>
      <c r="D21" s="203"/>
    </row>
    <row r="22" spans="1:7" ht="15.75">
      <c r="A22" s="395"/>
      <c r="B22" s="395"/>
      <c r="C22" s="395"/>
    </row>
    <row r="23" spans="1:7" ht="15.75">
      <c r="A23" s="396"/>
      <c r="B23" s="395"/>
      <c r="C23" s="395"/>
      <c r="E23" s="335" t="s">
        <v>369</v>
      </c>
    </row>
    <row r="24" spans="1:7" ht="15.75">
      <c r="A24" s="395" t="s">
        <v>259</v>
      </c>
      <c r="B24" s="395"/>
      <c r="C24" s="395"/>
    </row>
    <row r="25" spans="1:7" ht="15.75">
      <c r="A25" s="395" t="s">
        <v>60</v>
      </c>
      <c r="B25" s="395">
        <v>13</v>
      </c>
      <c r="C25" s="395">
        <v>1565</v>
      </c>
      <c r="G25" s="204">
        <f t="shared" si="0"/>
        <v>120.38461538461539</v>
      </c>
    </row>
    <row r="26" spans="1:7" ht="15.75">
      <c r="A26" s="395" t="s">
        <v>61</v>
      </c>
      <c r="B26" s="395">
        <v>12</v>
      </c>
      <c r="C26" s="395">
        <v>1565</v>
      </c>
      <c r="G26" s="204">
        <f t="shared" si="0"/>
        <v>130.41666666666666</v>
      </c>
    </row>
    <row r="27" spans="1:7" ht="15.75">
      <c r="A27" s="395"/>
      <c r="B27" s="395"/>
      <c r="C27" s="395"/>
    </row>
    <row r="28" spans="1:7" ht="15.75">
      <c r="A28" s="395" t="s">
        <v>62</v>
      </c>
      <c r="B28" s="395">
        <v>12</v>
      </c>
      <c r="C28" s="395">
        <v>1565</v>
      </c>
      <c r="G28" s="204">
        <f t="shared" si="0"/>
        <v>130.41666666666666</v>
      </c>
    </row>
    <row r="29" spans="1:7" ht="15.75">
      <c r="A29" s="395" t="s">
        <v>63</v>
      </c>
      <c r="B29" s="395">
        <v>9</v>
      </c>
      <c r="C29" s="395">
        <v>1636</v>
      </c>
      <c r="G29" s="204">
        <f t="shared" si="0"/>
        <v>181.77777777777777</v>
      </c>
    </row>
    <row r="30" spans="1:7" ht="15.75">
      <c r="A30" s="395"/>
      <c r="B30" s="395"/>
      <c r="C30" s="395"/>
    </row>
    <row r="31" spans="1:7" ht="15.75">
      <c r="A31" s="395"/>
      <c r="B31" s="395"/>
      <c r="C31" s="395"/>
    </row>
    <row r="32" spans="1:7" ht="15.75">
      <c r="A32" s="387"/>
      <c r="B32" s="387"/>
      <c r="C32" s="387"/>
    </row>
  </sheetData>
  <phoneticPr fontId="20" type="noConversion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23BC5C3-CA71-4B42-8CB6-9837C17C6763}"/>
</file>

<file path=customXml/itemProps2.xml><?xml version="1.0" encoding="utf-8"?>
<ds:datastoreItem xmlns:ds="http://schemas.openxmlformats.org/officeDocument/2006/customXml" ds:itemID="{C8766193-F011-4ADA-B85B-D3B7D4D94DCE}"/>
</file>

<file path=customXml/itemProps3.xml><?xml version="1.0" encoding="utf-8"?>
<ds:datastoreItem xmlns:ds="http://schemas.openxmlformats.org/officeDocument/2006/customXml" ds:itemID="{04B6CC6B-E4B5-40AF-9201-F58A953E37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21</vt:i4>
      </vt:variant>
      <vt:variant>
        <vt:lpstr>具名範圍</vt:lpstr>
      </vt:variant>
      <vt:variant>
        <vt:i4>4</vt:i4>
      </vt:variant>
    </vt:vector>
  </HeadingPairs>
  <TitlesOfParts>
    <vt:vector size="25" baseType="lpstr"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（５-1）品群別人時生產性（熱食義麵）</vt:lpstr>
      <vt:lpstr>（５-2）品群別人時生產性(季節調理麵) </vt:lpstr>
      <vt:lpstr>（５-3）品群別人時生產性(微波小吃)</vt:lpstr>
      <vt:lpstr>生產管理報表 6-1(週)</vt:lpstr>
      <vt:lpstr>生產管理報表 7-1(週)</vt:lpstr>
      <vt:lpstr>生產管理報表 8-1(週報廢)</vt:lpstr>
      <vt:lpstr>生產管理報表 8-2(週報廢)</vt:lpstr>
      <vt:lpstr>生產管理報表 8-3(週超用)</vt:lpstr>
      <vt:lpstr>生產管理報表 8-4(週超用)</vt:lpstr>
      <vt:lpstr>生產管理報表 9(週)</vt:lpstr>
      <vt:lpstr>報廢－原因別分析 (週)</vt:lpstr>
      <vt:lpstr>超用－原因別分析 (週) </vt:lpstr>
      <vt:lpstr>日別報廢率總表 </vt:lpstr>
      <vt:lpstr>填寫舉例</vt:lpstr>
      <vt:lpstr>鮮食品群番</vt:lpstr>
      <vt:lpstr>12產線配置圖</vt:lpstr>
      <vt:lpstr>'生產管理報表 6-1(週)'!Print_Area</vt:lpstr>
      <vt:lpstr>'生產管理報表 7-1(週)'!Print_Area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梅夢欣</cp:lastModifiedBy>
  <cp:lastPrinted>2025-10-07T01:02:15Z</cp:lastPrinted>
  <dcterms:created xsi:type="dcterms:W3CDTF">2025-07-03T16:36:59Z</dcterms:created>
  <dcterms:modified xsi:type="dcterms:W3CDTF">2026-04-01T05:34:44Z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