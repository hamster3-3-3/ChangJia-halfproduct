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1" documentId="11_C8CCF8B35D8FDB0CAA44F355781157F7803D151A" xr6:coauthVersionLast="47" xr6:coauthVersionMax="47" xr10:uidLastSave="{2B3F1A09-7F94-4745-80B2-7FD1D91A7FAB}"/>
  <bookViews>
    <workbookView xWindow="-120" yWindow="-120" windowWidth="29040" windowHeight="15720" tabRatio="865" firstSheet="15" xr2:uid="{00000000-000D-0000-FFFF-FFFF00000000}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月)" sheetId="44" r:id="rId8"/>
    <sheet name="生產管理報表 7-1(月)" sheetId="40" r:id="rId9"/>
    <sheet name="生產管理報表 8-1(月報廢)" sheetId="19" r:id="rId10"/>
    <sheet name="生產管理報表 8-2(月報廢)" sheetId="20" r:id="rId11"/>
    <sheet name="生產管理報表 8-3(月超用)" sheetId="50" r:id="rId12"/>
    <sheet name="生產管理報表 8-4(月超用)" sheetId="51" r:id="rId13"/>
    <sheet name="生產管理報表 9(月)" sheetId="21" r:id="rId14"/>
    <sheet name="報廢－原因別分析 (月)" sheetId="52" r:id="rId15"/>
    <sheet name="超用－原因別分析 (月) " sheetId="55" r:id="rId16"/>
    <sheet name="日別報廢率總表 " sheetId="56" r:id="rId17"/>
    <sheet name="填寫舉例" sheetId="1" r:id="rId18"/>
    <sheet name="鮮食品群番" sheetId="38" r:id="rId19"/>
    <sheet name="12產線配置圖 (2)" sheetId="60" r:id="rId20"/>
  </sheet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(月)'!$U$7:$U$26</definedName>
    <definedName name="_xlnm._FilterDatabase" localSheetId="15" hidden="1">'超用－原因別分析 (月) '!$U$7:$U$26</definedName>
    <definedName name="_xlnm.Print_Area" localSheetId="7">'生產管理報表 6-1(月)'!$A$1:$L$39</definedName>
    <definedName name="_xlnm.Print_Area" localSheetId="8">'生產管理報表 7-1(月)'!$A$1:$M$15</definedName>
    <definedName name="_xlnm.Print_Area" localSheetId="13">'生產管理報表 9(月)'!#REF!</definedName>
    <definedName name="_xlnm.Print_Area" localSheetId="0">'生產管理報表(月)'!$A$1:$K$24</definedName>
    <definedName name="_xlnm.Print_Area" localSheetId="18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/>
  <c r="B10" i="13"/>
  <c r="J137" i="48" l="1"/>
  <c r="I137" i="48"/>
  <c r="F137" i="48"/>
  <c r="E137" i="48"/>
  <c r="J136" i="48"/>
  <c r="I136" i="48"/>
  <c r="F136" i="48"/>
  <c r="E136" i="48"/>
  <c r="J135" i="48"/>
  <c r="I135" i="48"/>
  <c r="F135" i="48"/>
  <c r="E135" i="48"/>
  <c r="J134" i="48"/>
  <c r="I134" i="48"/>
  <c r="F134" i="48"/>
  <c r="E134" i="48"/>
  <c r="J133" i="48"/>
  <c r="I133" i="48"/>
  <c r="F133" i="48"/>
  <c r="E133" i="48"/>
  <c r="J132" i="48"/>
  <c r="I132" i="48"/>
  <c r="F132" i="48"/>
  <c r="E132" i="48"/>
  <c r="J131" i="48"/>
  <c r="I131" i="48"/>
  <c r="F131" i="48"/>
  <c r="E131" i="48"/>
  <c r="J130" i="48"/>
  <c r="I130" i="48"/>
  <c r="F130" i="48"/>
  <c r="E130" i="48"/>
  <c r="J129" i="48"/>
  <c r="I129" i="48"/>
  <c r="F129" i="48"/>
  <c r="E129" i="48"/>
  <c r="J128" i="48"/>
  <c r="I128" i="48"/>
  <c r="F128" i="48"/>
  <c r="E128" i="48"/>
  <c r="J127" i="48"/>
  <c r="I127" i="48"/>
  <c r="F127" i="48"/>
  <c r="E127" i="48"/>
  <c r="J126" i="48"/>
  <c r="I126" i="48"/>
  <c r="F126" i="48"/>
  <c r="E126" i="48"/>
  <c r="J125" i="48"/>
  <c r="I125" i="48"/>
  <c r="F125" i="48"/>
  <c r="E125" i="48"/>
  <c r="J124" i="48"/>
  <c r="I124" i="48"/>
  <c r="F124" i="48"/>
  <c r="E124" i="48"/>
  <c r="J123" i="48"/>
  <c r="I123" i="48"/>
  <c r="F123" i="48"/>
  <c r="E123" i="48"/>
  <c r="J122" i="48"/>
  <c r="I122" i="48"/>
  <c r="F122" i="48"/>
  <c r="E122" i="48"/>
  <c r="J114" i="48"/>
  <c r="I114" i="48"/>
  <c r="F114" i="48"/>
  <c r="E114" i="48"/>
  <c r="J113" i="48"/>
  <c r="I113" i="48"/>
  <c r="F113" i="48"/>
  <c r="G113" i="48" s="1"/>
  <c r="J112" i="48"/>
  <c r="I112" i="48"/>
  <c r="F112" i="48"/>
  <c r="E112" i="48"/>
  <c r="J111" i="48"/>
  <c r="I111" i="48"/>
  <c r="F111" i="48"/>
  <c r="E111" i="48"/>
  <c r="J110" i="48"/>
  <c r="I110" i="48"/>
  <c r="F110" i="48"/>
  <c r="E110" i="48"/>
  <c r="J109" i="48"/>
  <c r="I109" i="48"/>
  <c r="F109" i="48"/>
  <c r="E109" i="48"/>
  <c r="J108" i="48"/>
  <c r="I108" i="48"/>
  <c r="F108" i="48"/>
  <c r="E108" i="48"/>
  <c r="J107" i="48"/>
  <c r="I107" i="48"/>
  <c r="F107" i="48"/>
  <c r="E107" i="48"/>
  <c r="J106" i="48"/>
  <c r="I106" i="48"/>
  <c r="F106" i="48"/>
  <c r="E106" i="48"/>
  <c r="J105" i="48"/>
  <c r="I105" i="48"/>
  <c r="F105" i="48"/>
  <c r="E105" i="48"/>
  <c r="J104" i="48"/>
  <c r="I104" i="48"/>
  <c r="F104" i="48"/>
  <c r="E104" i="48"/>
  <c r="J103" i="48"/>
  <c r="I103" i="48"/>
  <c r="F103" i="48"/>
  <c r="E103" i="48"/>
  <c r="J102" i="48"/>
  <c r="I102" i="48"/>
  <c r="F102" i="48"/>
  <c r="E102" i="48"/>
  <c r="J101" i="48"/>
  <c r="I101" i="48"/>
  <c r="F101" i="48"/>
  <c r="E101" i="48"/>
  <c r="J100" i="48"/>
  <c r="I100" i="48"/>
  <c r="F100" i="48"/>
  <c r="E100" i="48"/>
  <c r="J99" i="48"/>
  <c r="I99" i="48"/>
  <c r="F99" i="48"/>
  <c r="E99" i="48"/>
  <c r="J91" i="48"/>
  <c r="I91" i="48"/>
  <c r="F91" i="48"/>
  <c r="E91" i="48"/>
  <c r="J90" i="48"/>
  <c r="I90" i="48"/>
  <c r="F90" i="48"/>
  <c r="E90" i="48"/>
  <c r="J89" i="48"/>
  <c r="I89" i="48"/>
  <c r="F89" i="48"/>
  <c r="G89" i="48" s="1"/>
  <c r="J88" i="48"/>
  <c r="I88" i="48"/>
  <c r="F88" i="48"/>
  <c r="E88" i="48"/>
  <c r="J87" i="48"/>
  <c r="I87" i="48"/>
  <c r="F87" i="48"/>
  <c r="E87" i="48"/>
  <c r="J86" i="48"/>
  <c r="I86" i="48"/>
  <c r="F86" i="48"/>
  <c r="E86" i="48"/>
  <c r="J85" i="48"/>
  <c r="I85" i="48"/>
  <c r="F85" i="48"/>
  <c r="E85" i="48"/>
  <c r="J84" i="48"/>
  <c r="I84" i="48"/>
  <c r="F84" i="48"/>
  <c r="E84" i="48"/>
  <c r="J83" i="48"/>
  <c r="I83" i="48"/>
  <c r="F83" i="48"/>
  <c r="E83" i="48"/>
  <c r="J82" i="48"/>
  <c r="I82" i="48"/>
  <c r="F82" i="48"/>
  <c r="E82" i="48"/>
  <c r="J81" i="48"/>
  <c r="I81" i="48"/>
  <c r="F81" i="48"/>
  <c r="E81" i="48"/>
  <c r="J80" i="48"/>
  <c r="I80" i="48"/>
  <c r="F80" i="48"/>
  <c r="E80" i="48"/>
  <c r="J79" i="48"/>
  <c r="I79" i="48"/>
  <c r="F79" i="48"/>
  <c r="E79" i="48"/>
  <c r="J78" i="48"/>
  <c r="I78" i="48"/>
  <c r="F78" i="48"/>
  <c r="E78" i="48"/>
  <c r="J77" i="48"/>
  <c r="I77" i="48"/>
  <c r="F77" i="48"/>
  <c r="E77" i="48"/>
  <c r="J76" i="48"/>
  <c r="I76" i="48"/>
  <c r="F76" i="48"/>
  <c r="E76" i="48"/>
  <c r="J68" i="48"/>
  <c r="I68" i="48"/>
  <c r="F68" i="48"/>
  <c r="E68" i="48"/>
  <c r="J67" i="48"/>
  <c r="I67" i="48"/>
  <c r="F67" i="48"/>
  <c r="G67" i="48" s="1"/>
  <c r="J66" i="48"/>
  <c r="I66" i="48"/>
  <c r="F66" i="48"/>
  <c r="E66" i="48"/>
  <c r="J65" i="48"/>
  <c r="I65" i="48"/>
  <c r="F65" i="48"/>
  <c r="E65" i="48"/>
  <c r="J64" i="48"/>
  <c r="I64" i="48"/>
  <c r="F64" i="48"/>
  <c r="E64" i="48"/>
  <c r="J63" i="48"/>
  <c r="I63" i="48"/>
  <c r="F63" i="48"/>
  <c r="E63" i="48"/>
  <c r="J62" i="48"/>
  <c r="I62" i="48"/>
  <c r="F62" i="48"/>
  <c r="E62" i="48"/>
  <c r="J61" i="48"/>
  <c r="I61" i="48"/>
  <c r="F61" i="48"/>
  <c r="E61" i="48"/>
  <c r="J60" i="48"/>
  <c r="I60" i="48"/>
  <c r="F60" i="48"/>
  <c r="E60" i="48"/>
  <c r="J59" i="48"/>
  <c r="I59" i="48"/>
  <c r="F59" i="48"/>
  <c r="E59" i="48"/>
  <c r="J58" i="48"/>
  <c r="I58" i="48"/>
  <c r="F58" i="48"/>
  <c r="E58" i="48"/>
  <c r="J57" i="48"/>
  <c r="I57" i="48"/>
  <c r="F57" i="48"/>
  <c r="E57" i="48"/>
  <c r="J56" i="48"/>
  <c r="I56" i="48"/>
  <c r="F56" i="48"/>
  <c r="E56" i="48"/>
  <c r="J55" i="48"/>
  <c r="I55" i="48"/>
  <c r="F55" i="48"/>
  <c r="E55" i="48"/>
  <c r="J54" i="48"/>
  <c r="I54" i="48"/>
  <c r="F54" i="48"/>
  <c r="E54" i="48"/>
  <c r="J53" i="48"/>
  <c r="I53" i="48"/>
  <c r="F53" i="48"/>
  <c r="E53" i="48"/>
  <c r="J45" i="48"/>
  <c r="I45" i="48"/>
  <c r="F45" i="48"/>
  <c r="E45" i="48"/>
  <c r="J44" i="48"/>
  <c r="I44" i="48"/>
  <c r="F44" i="48"/>
  <c r="E44" i="48"/>
  <c r="J43" i="48"/>
  <c r="I43" i="48"/>
  <c r="F43" i="48"/>
  <c r="E43" i="48"/>
  <c r="J42" i="48"/>
  <c r="I42" i="48"/>
  <c r="F42" i="48"/>
  <c r="E42" i="48"/>
  <c r="J41" i="48"/>
  <c r="I41" i="48"/>
  <c r="F41" i="48"/>
  <c r="E41" i="48"/>
  <c r="J40" i="48"/>
  <c r="I40" i="48"/>
  <c r="F40" i="48"/>
  <c r="E40" i="48"/>
  <c r="J39" i="48"/>
  <c r="I39" i="48"/>
  <c r="F39" i="48"/>
  <c r="E39" i="48"/>
  <c r="J38" i="48"/>
  <c r="I38" i="48"/>
  <c r="F38" i="48"/>
  <c r="E38" i="48"/>
  <c r="J37" i="48"/>
  <c r="I37" i="48"/>
  <c r="F37" i="48"/>
  <c r="E37" i="48"/>
  <c r="J36" i="48"/>
  <c r="I36" i="48"/>
  <c r="F36" i="48"/>
  <c r="E36" i="48"/>
  <c r="J35" i="48"/>
  <c r="I35" i="48"/>
  <c r="F35" i="48"/>
  <c r="E35" i="48"/>
  <c r="J34" i="48"/>
  <c r="I34" i="48"/>
  <c r="F34" i="48"/>
  <c r="E34" i="48"/>
  <c r="J33" i="48"/>
  <c r="I33" i="48"/>
  <c r="F33" i="48"/>
  <c r="E33" i="48"/>
  <c r="J32" i="48"/>
  <c r="I32" i="48"/>
  <c r="F32" i="48"/>
  <c r="E32" i="48"/>
  <c r="J31" i="48"/>
  <c r="I31" i="48"/>
  <c r="F31" i="48"/>
  <c r="E31" i="48"/>
  <c r="J30" i="48"/>
  <c r="I30" i="48"/>
  <c r="F30" i="48"/>
  <c r="E30" i="48"/>
  <c r="J22" i="48"/>
  <c r="I22" i="48"/>
  <c r="F22" i="48"/>
  <c r="E22" i="48"/>
  <c r="J21" i="48"/>
  <c r="I21" i="48"/>
  <c r="F21" i="48"/>
  <c r="E21" i="48"/>
  <c r="J20" i="48"/>
  <c r="I20" i="48"/>
  <c r="F20" i="48"/>
  <c r="E20" i="48"/>
  <c r="J19" i="48"/>
  <c r="I19" i="48"/>
  <c r="F19" i="48"/>
  <c r="E19" i="48"/>
  <c r="J18" i="48"/>
  <c r="I18" i="48"/>
  <c r="F18" i="48"/>
  <c r="E18" i="48"/>
  <c r="J17" i="48"/>
  <c r="I17" i="48"/>
  <c r="F17" i="48"/>
  <c r="E17" i="48"/>
  <c r="J16" i="48"/>
  <c r="I16" i="48"/>
  <c r="F16" i="48"/>
  <c r="E16" i="48"/>
  <c r="J15" i="48"/>
  <c r="I15" i="48"/>
  <c r="F15" i="48"/>
  <c r="E15" i="48"/>
  <c r="J14" i="48"/>
  <c r="I14" i="48"/>
  <c r="F14" i="48"/>
  <c r="E14" i="48"/>
  <c r="J13" i="48"/>
  <c r="I13" i="48"/>
  <c r="F13" i="48"/>
  <c r="E13" i="48"/>
  <c r="J12" i="48"/>
  <c r="I12" i="48"/>
  <c r="F12" i="48"/>
  <c r="E12" i="48"/>
  <c r="J11" i="48"/>
  <c r="I11" i="48"/>
  <c r="F11" i="48"/>
  <c r="E11" i="48"/>
  <c r="J10" i="48"/>
  <c r="I10" i="48"/>
  <c r="F10" i="48"/>
  <c r="E10" i="48"/>
  <c r="J9" i="48"/>
  <c r="I9" i="48"/>
  <c r="F9" i="48"/>
  <c r="E9" i="48"/>
  <c r="J8" i="48"/>
  <c r="I8" i="48"/>
  <c r="F8" i="48"/>
  <c r="E8" i="48"/>
  <c r="J7" i="48"/>
  <c r="I7" i="48"/>
  <c r="F7" i="48"/>
  <c r="E7" i="48"/>
  <c r="F70" i="49"/>
  <c r="E70" i="49"/>
  <c r="F69" i="49"/>
  <c r="E69" i="49"/>
  <c r="F68" i="49"/>
  <c r="E68" i="49"/>
  <c r="F67" i="49"/>
  <c r="E67" i="49"/>
  <c r="F49" i="49"/>
  <c r="E49" i="49"/>
  <c r="F48" i="49"/>
  <c r="E48" i="49"/>
  <c r="F47" i="49"/>
  <c r="E47" i="49"/>
  <c r="F29" i="49"/>
  <c r="E29" i="49"/>
  <c r="F28" i="49"/>
  <c r="E28" i="49"/>
  <c r="F27" i="49"/>
  <c r="E27" i="49"/>
  <c r="F9" i="49"/>
  <c r="E9" i="49"/>
  <c r="F8" i="49"/>
  <c r="E8" i="49"/>
  <c r="F7" i="49"/>
  <c r="E7" i="49"/>
  <c r="F90" i="49"/>
  <c r="E90" i="49"/>
  <c r="F89" i="49"/>
  <c r="E89" i="49"/>
  <c r="F88" i="49"/>
  <c r="E88" i="49"/>
  <c r="F87" i="49"/>
  <c r="E87" i="4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O7" i="1"/>
  <c r="Q7" i="1" s="1"/>
  <c r="E7" i="1"/>
  <c r="D7" i="1"/>
  <c r="U6" i="1"/>
  <c r="W6" i="1" s="1"/>
  <c r="O6" i="1"/>
  <c r="Q6" i="1" s="1"/>
  <c r="E6" i="1"/>
  <c r="D6" i="1"/>
  <c r="K36" i="56"/>
  <c r="I36" i="56"/>
  <c r="G36" i="56"/>
  <c r="E36" i="56"/>
  <c r="C36" i="56"/>
  <c r="B36" i="56"/>
  <c r="K35" i="56"/>
  <c r="I35" i="56"/>
  <c r="G35" i="56"/>
  <c r="E35" i="56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I9" i="52" s="1"/>
  <c r="AH7" i="52"/>
  <c r="AH9" i="52" s="1"/>
  <c r="AG7" i="52"/>
  <c r="AG9" i="52" s="1"/>
  <c r="AF7" i="52"/>
  <c r="AF9" i="52" s="1"/>
  <c r="AE7" i="52"/>
  <c r="AE9" i="52" s="1"/>
  <c r="AD7" i="52"/>
  <c r="AD9" i="52" s="1"/>
  <c r="AC7" i="52"/>
  <c r="AC9" i="52" s="1"/>
  <c r="AB7" i="52"/>
  <c r="AB9" i="52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9" i="51"/>
  <c r="M28" i="51"/>
  <c r="M27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13" i="50"/>
  <c r="M12" i="50"/>
  <c r="M11" i="50"/>
  <c r="M10" i="50"/>
  <c r="M9" i="50"/>
  <c r="M14" i="50" s="1"/>
  <c r="K14" i="50" s="1"/>
  <c r="K38" i="20"/>
  <c r="K30" i="20"/>
  <c r="K22" i="20"/>
  <c r="M21" i="20"/>
  <c r="K14" i="20"/>
  <c r="M13" i="20"/>
  <c r="M12" i="20"/>
  <c r="M11" i="20"/>
  <c r="M10" i="20"/>
  <c r="M9" i="20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K14" i="19" s="1"/>
  <c r="I15" i="40"/>
  <c r="K14" i="40"/>
  <c r="I14" i="40"/>
  <c r="M10" i="40"/>
  <c r="C10" i="40"/>
  <c r="M9" i="40"/>
  <c r="I9" i="40"/>
  <c r="G9" i="40"/>
  <c r="C9" i="40"/>
  <c r="AV109" i="49"/>
  <c r="AW109" i="49" s="1"/>
  <c r="AQ109" i="49"/>
  <c r="AR109" i="49" s="1"/>
  <c r="AL109" i="49"/>
  <c r="AM109" i="49" s="1"/>
  <c r="AG109" i="49"/>
  <c r="AH109" i="49" s="1"/>
  <c r="AB109" i="49"/>
  <c r="AC109" i="49" s="1"/>
  <c r="W109" i="49"/>
  <c r="X109" i="49" s="1"/>
  <c r="R109" i="49"/>
  <c r="S109" i="49" s="1"/>
  <c r="K109" i="49"/>
  <c r="M109" i="49" s="1"/>
  <c r="J109" i="49"/>
  <c r="I109" i="49"/>
  <c r="F109" i="49"/>
  <c r="E109" i="49"/>
  <c r="AV108" i="49"/>
  <c r="AW108" i="49" s="1"/>
  <c r="AQ108" i="49"/>
  <c r="AR108" i="49" s="1"/>
  <c r="AL108" i="49"/>
  <c r="AM108" i="49" s="1"/>
  <c r="AG108" i="49"/>
  <c r="AB108" i="49"/>
  <c r="AC108" i="49" s="1"/>
  <c r="W108" i="49"/>
  <c r="X108" i="49" s="1"/>
  <c r="R108" i="49"/>
  <c r="S108" i="49" s="1"/>
  <c r="J108" i="49"/>
  <c r="I108" i="49"/>
  <c r="F108" i="49"/>
  <c r="E108" i="49"/>
  <c r="AV107" i="49"/>
  <c r="AQ107" i="49"/>
  <c r="AL107" i="49"/>
  <c r="AG107" i="49"/>
  <c r="AB107" i="49"/>
  <c r="W107" i="49"/>
  <c r="R107" i="49"/>
  <c r="K107" i="49"/>
  <c r="J107" i="49"/>
  <c r="I107" i="49"/>
  <c r="F107" i="49"/>
  <c r="E107" i="49"/>
  <c r="AV90" i="49"/>
  <c r="AW90" i="49" s="1"/>
  <c r="AQ90" i="49"/>
  <c r="AR90" i="49" s="1"/>
  <c r="AL90" i="49"/>
  <c r="AG90" i="49"/>
  <c r="AB90" i="49"/>
  <c r="W90" i="49"/>
  <c r="R90" i="49"/>
  <c r="K90" i="49"/>
  <c r="J90" i="49"/>
  <c r="I90" i="49"/>
  <c r="AV89" i="49"/>
  <c r="AW89" i="49" s="1"/>
  <c r="AQ89" i="49"/>
  <c r="AR89" i="49" s="1"/>
  <c r="AG89" i="49"/>
  <c r="AB89" i="49"/>
  <c r="W89" i="49"/>
  <c r="R89" i="49"/>
  <c r="J89" i="49"/>
  <c r="I89" i="49"/>
  <c r="AV88" i="49"/>
  <c r="AW88" i="49" s="1"/>
  <c r="AQ88" i="49"/>
  <c r="AR88" i="49" s="1"/>
  <c r="AL88" i="49"/>
  <c r="AG88" i="49"/>
  <c r="AB88" i="49"/>
  <c r="W88" i="49"/>
  <c r="R88" i="49"/>
  <c r="J88" i="49"/>
  <c r="I88" i="49"/>
  <c r="AV87" i="49"/>
  <c r="AQ87" i="49"/>
  <c r="AL87" i="49"/>
  <c r="AM87" i="49" s="1"/>
  <c r="AG87" i="49"/>
  <c r="AB87" i="49"/>
  <c r="W87" i="49"/>
  <c r="Y87" i="49" s="1"/>
  <c r="R87" i="49"/>
  <c r="J87" i="49"/>
  <c r="I87" i="49"/>
  <c r="AV70" i="49"/>
  <c r="AQ70" i="49"/>
  <c r="AL70" i="49"/>
  <c r="AG70" i="49"/>
  <c r="AB70" i="49"/>
  <c r="W70" i="49"/>
  <c r="R70" i="49"/>
  <c r="K70" i="49" s="1"/>
  <c r="J70" i="49"/>
  <c r="I70" i="49"/>
  <c r="AV69" i="49"/>
  <c r="AQ69" i="49"/>
  <c r="AL69" i="49"/>
  <c r="AG69" i="49"/>
  <c r="AB69" i="49"/>
  <c r="W69" i="49"/>
  <c r="R69" i="49"/>
  <c r="J69" i="49"/>
  <c r="I69" i="49"/>
  <c r="AV68" i="49"/>
  <c r="AQ68" i="49"/>
  <c r="AL68" i="49"/>
  <c r="AG68" i="49"/>
  <c r="AB68" i="49"/>
  <c r="W68" i="49"/>
  <c r="R68" i="49"/>
  <c r="J68" i="49"/>
  <c r="I68" i="49"/>
  <c r="AV67" i="49"/>
  <c r="AQ67" i="49"/>
  <c r="AR69" i="49" s="1"/>
  <c r="AL67" i="49"/>
  <c r="AG67" i="49"/>
  <c r="AH67" i="49" s="1"/>
  <c r="AB67" i="49"/>
  <c r="W67" i="49"/>
  <c r="R67" i="49"/>
  <c r="J67" i="49"/>
  <c r="I67" i="49"/>
  <c r="AV49" i="49"/>
  <c r="AQ49" i="49"/>
  <c r="AL49" i="49"/>
  <c r="AG49" i="49"/>
  <c r="AB49" i="49"/>
  <c r="W49" i="49"/>
  <c r="R49" i="49"/>
  <c r="J49" i="49"/>
  <c r="I49" i="49"/>
  <c r="AV48" i="49"/>
  <c r="AQ48" i="49"/>
  <c r="AL48" i="49"/>
  <c r="AG48" i="49"/>
  <c r="AB48" i="49"/>
  <c r="W48" i="49"/>
  <c r="R48" i="49"/>
  <c r="J48" i="49"/>
  <c r="I48" i="49"/>
  <c r="AV47" i="49"/>
  <c r="AQ47" i="49"/>
  <c r="AL47" i="49"/>
  <c r="AM47" i="49" s="1"/>
  <c r="AG47" i="49"/>
  <c r="AB47" i="49"/>
  <c r="W47" i="49"/>
  <c r="R47" i="49"/>
  <c r="J47" i="49"/>
  <c r="I47" i="49"/>
  <c r="AV29" i="49"/>
  <c r="AQ29" i="49"/>
  <c r="AL29" i="49"/>
  <c r="AG29" i="49"/>
  <c r="AB29" i="49"/>
  <c r="W29" i="49"/>
  <c r="R29" i="49"/>
  <c r="J29" i="49"/>
  <c r="I29" i="49"/>
  <c r="AV28" i="49"/>
  <c r="AQ28" i="49"/>
  <c r="AL28" i="49"/>
  <c r="AG28" i="49"/>
  <c r="AB28" i="49"/>
  <c r="W28" i="49"/>
  <c r="R28" i="49"/>
  <c r="J28" i="49"/>
  <c r="I28" i="49"/>
  <c r="AV27" i="49"/>
  <c r="AW27" i="49" s="1"/>
  <c r="AQ27" i="49"/>
  <c r="AL27" i="49"/>
  <c r="AG27" i="49"/>
  <c r="AH27" i="49" s="1"/>
  <c r="AB27" i="49"/>
  <c r="W27" i="49"/>
  <c r="R27" i="49"/>
  <c r="J27" i="49"/>
  <c r="I27" i="49"/>
  <c r="AV9" i="49"/>
  <c r="AQ9" i="49"/>
  <c r="AL9" i="49"/>
  <c r="AG9" i="49"/>
  <c r="AB9" i="49"/>
  <c r="W9" i="49"/>
  <c r="X9" i="49" s="1"/>
  <c r="R9" i="49"/>
  <c r="S9" i="49" s="1"/>
  <c r="J9" i="49"/>
  <c r="I9" i="49"/>
  <c r="AV8" i="49"/>
  <c r="AQ8" i="49"/>
  <c r="AL8" i="49"/>
  <c r="AG8" i="49"/>
  <c r="AB8" i="49"/>
  <c r="W8" i="49"/>
  <c r="X8" i="49" s="1"/>
  <c r="R8" i="49"/>
  <c r="S8" i="49" s="1"/>
  <c r="K8" i="49"/>
  <c r="J8" i="49"/>
  <c r="I8" i="49"/>
  <c r="AV7" i="49"/>
  <c r="AQ7" i="49"/>
  <c r="AL7" i="49"/>
  <c r="AN7" i="49" s="1"/>
  <c r="AG7" i="49"/>
  <c r="AH7" i="49" s="1"/>
  <c r="AB7" i="49"/>
  <c r="W7" i="49"/>
  <c r="R7" i="49"/>
  <c r="J7" i="49"/>
  <c r="I7" i="49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R137" i="48"/>
  <c r="K137" i="48" s="1"/>
  <c r="M137" i="48" s="1"/>
  <c r="AV136" i="48"/>
  <c r="AW136" i="48" s="1"/>
  <c r="AQ136" i="48"/>
  <c r="AR136" i="48" s="1"/>
  <c r="AL136" i="48"/>
  <c r="AM136" i="48" s="1"/>
  <c r="AG136" i="48"/>
  <c r="AH136" i="48" s="1"/>
  <c r="AB136" i="48"/>
  <c r="AC136" i="48" s="1"/>
  <c r="W136" i="48"/>
  <c r="X136" i="48" s="1"/>
  <c r="R136" i="48"/>
  <c r="AV135" i="48"/>
  <c r="AW135" i="48" s="1"/>
  <c r="AQ135" i="48"/>
  <c r="AR135" i="48" s="1"/>
  <c r="AL135" i="48"/>
  <c r="AM135" i="48" s="1"/>
  <c r="AG135" i="48"/>
  <c r="AH135" i="48" s="1"/>
  <c r="AB135" i="48"/>
  <c r="AC135" i="48" s="1"/>
  <c r="W135" i="48"/>
  <c r="X135" i="48" s="1"/>
  <c r="R135" i="48"/>
  <c r="AV134" i="48"/>
  <c r="AW134" i="48" s="1"/>
  <c r="AQ134" i="48"/>
  <c r="AR134" i="48" s="1"/>
  <c r="AL134" i="48"/>
  <c r="AM134" i="48" s="1"/>
  <c r="AG134" i="48"/>
  <c r="AH134" i="48" s="1"/>
  <c r="AB134" i="48"/>
  <c r="AC134" i="48" s="1"/>
  <c r="W134" i="48"/>
  <c r="X134" i="48" s="1"/>
  <c r="R134" i="48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K133" i="48" s="1"/>
  <c r="M133" i="48" s="1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R132" i="48"/>
  <c r="AV131" i="48"/>
  <c r="AW131" i="48" s="1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K131" i="48" s="1"/>
  <c r="M131" i="48" s="1"/>
  <c r="AV130" i="48"/>
  <c r="AW130" i="48" s="1"/>
  <c r="AQ130" i="48"/>
  <c r="AR130" i="48" s="1"/>
  <c r="AL130" i="48"/>
  <c r="AM130" i="48" s="1"/>
  <c r="AG130" i="48"/>
  <c r="AH130" i="48" s="1"/>
  <c r="AB130" i="48"/>
  <c r="AC130" i="48" s="1"/>
  <c r="W130" i="48"/>
  <c r="X130" i="48" s="1"/>
  <c r="R130" i="48"/>
  <c r="AV129" i="48"/>
  <c r="AW129" i="48" s="1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R129" i="48"/>
  <c r="K129" i="48" s="1"/>
  <c r="M129" i="48" s="1"/>
  <c r="AV128" i="48"/>
  <c r="AW128" i="48" s="1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R128" i="48"/>
  <c r="AV127" i="48"/>
  <c r="AW127" i="48" s="1"/>
  <c r="AQ127" i="48"/>
  <c r="AR127" i="48" s="1"/>
  <c r="AL127" i="48"/>
  <c r="AM127" i="48" s="1"/>
  <c r="AG127" i="48"/>
  <c r="AH127" i="48" s="1"/>
  <c r="AB127" i="48"/>
  <c r="AC127" i="48" s="1"/>
  <c r="W127" i="48"/>
  <c r="X127" i="48" s="1"/>
  <c r="R127" i="48"/>
  <c r="AV126" i="48"/>
  <c r="AW126" i="48" s="1"/>
  <c r="AQ126" i="48"/>
  <c r="AR126" i="48" s="1"/>
  <c r="AL126" i="48"/>
  <c r="AM126" i="48" s="1"/>
  <c r="AG126" i="48"/>
  <c r="AH126" i="48" s="1"/>
  <c r="AB126" i="48"/>
  <c r="AC126" i="48" s="1"/>
  <c r="W126" i="48"/>
  <c r="X126" i="48" s="1"/>
  <c r="R126" i="48"/>
  <c r="AV125" i="48"/>
  <c r="AW125" i="48" s="1"/>
  <c r="AQ125" i="48"/>
  <c r="AR125" i="48" s="1"/>
  <c r="AL125" i="48"/>
  <c r="AM125" i="48" s="1"/>
  <c r="AG125" i="48"/>
  <c r="AH125" i="48" s="1"/>
  <c r="AB125" i="48"/>
  <c r="AC125" i="48" s="1"/>
  <c r="W125" i="48"/>
  <c r="X125" i="48" s="1"/>
  <c r="R125" i="48"/>
  <c r="AV124" i="48"/>
  <c r="AW124" i="48" s="1"/>
  <c r="AQ124" i="48"/>
  <c r="AR124" i="48" s="1"/>
  <c r="AL124" i="48"/>
  <c r="AM124" i="48" s="1"/>
  <c r="AG124" i="48"/>
  <c r="AH124" i="48" s="1"/>
  <c r="AB124" i="48"/>
  <c r="AC124" i="48" s="1"/>
  <c r="W124" i="48"/>
  <c r="X124" i="48" s="1"/>
  <c r="R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K123" i="48" s="1"/>
  <c r="M123" i="48" s="1"/>
  <c r="AV122" i="48"/>
  <c r="AQ122" i="48"/>
  <c r="AL122" i="48"/>
  <c r="AG122" i="48"/>
  <c r="AB122" i="48"/>
  <c r="W122" i="48"/>
  <c r="R122" i="48"/>
  <c r="K122" i="48" s="1"/>
  <c r="AV114" i="48"/>
  <c r="AW114" i="48" s="1"/>
  <c r="AQ114" i="48"/>
  <c r="AR114" i="48" s="1"/>
  <c r="AL114" i="48"/>
  <c r="AG114" i="48"/>
  <c r="AB114" i="48"/>
  <c r="W114" i="48"/>
  <c r="R114" i="48"/>
  <c r="K114" i="48" s="1"/>
  <c r="AV113" i="48"/>
  <c r="AW113" i="48" s="1"/>
  <c r="AQ113" i="48"/>
  <c r="AR113" i="48" s="1"/>
  <c r="AL113" i="48"/>
  <c r="AG113" i="48"/>
  <c r="AB113" i="48"/>
  <c r="W113" i="48"/>
  <c r="R113" i="48"/>
  <c r="K113" i="48" s="1"/>
  <c r="AV112" i="48"/>
  <c r="AW112" i="48" s="1"/>
  <c r="AQ112" i="48"/>
  <c r="AR112" i="48" s="1"/>
  <c r="AL112" i="48"/>
  <c r="AG112" i="48"/>
  <c r="AB112" i="48"/>
  <c r="W112" i="48"/>
  <c r="R112" i="48"/>
  <c r="K112" i="48" s="1"/>
  <c r="AV111" i="48"/>
  <c r="AW111" i="48" s="1"/>
  <c r="AQ111" i="48"/>
  <c r="AR111" i="48" s="1"/>
  <c r="AL111" i="48"/>
  <c r="AG111" i="48"/>
  <c r="AB111" i="48"/>
  <c r="W111" i="48"/>
  <c r="R111" i="48"/>
  <c r="K111" i="48" s="1"/>
  <c r="AV110" i="48"/>
  <c r="AW110" i="48" s="1"/>
  <c r="AQ110" i="48"/>
  <c r="AR110" i="48" s="1"/>
  <c r="AL110" i="48"/>
  <c r="AG110" i="48"/>
  <c r="AB110" i="48"/>
  <c r="W110" i="48"/>
  <c r="R110" i="48"/>
  <c r="K110" i="48" s="1"/>
  <c r="AV109" i="48"/>
  <c r="AW109" i="48" s="1"/>
  <c r="AQ109" i="48"/>
  <c r="AR109" i="48" s="1"/>
  <c r="AL109" i="48"/>
  <c r="AG109" i="48"/>
  <c r="AB109" i="48"/>
  <c r="W109" i="48"/>
  <c r="R109" i="48"/>
  <c r="K109" i="48" s="1"/>
  <c r="AV108" i="48"/>
  <c r="AW108" i="48" s="1"/>
  <c r="AQ108" i="48"/>
  <c r="AR108" i="48" s="1"/>
  <c r="AL108" i="48"/>
  <c r="AG108" i="48"/>
  <c r="AB108" i="48"/>
  <c r="W108" i="48"/>
  <c r="R108" i="48"/>
  <c r="K108" i="48" s="1"/>
  <c r="AV107" i="48"/>
  <c r="AW107" i="48" s="1"/>
  <c r="AQ107" i="48"/>
  <c r="AR107" i="48" s="1"/>
  <c r="AL107" i="48"/>
  <c r="AG107" i="48"/>
  <c r="AB107" i="48"/>
  <c r="W107" i="48"/>
  <c r="R107" i="48"/>
  <c r="K107" i="48" s="1"/>
  <c r="AV106" i="48"/>
  <c r="AW106" i="48" s="1"/>
  <c r="AQ106" i="48"/>
  <c r="AR106" i="48" s="1"/>
  <c r="AL106" i="48"/>
  <c r="AG106" i="48"/>
  <c r="AB106" i="48"/>
  <c r="W106" i="48"/>
  <c r="R106" i="48"/>
  <c r="K106" i="48" s="1"/>
  <c r="AV105" i="48"/>
  <c r="AW105" i="48" s="1"/>
  <c r="AQ105" i="48"/>
  <c r="AR105" i="48" s="1"/>
  <c r="AL105" i="48"/>
  <c r="AG105" i="48"/>
  <c r="AB105" i="48"/>
  <c r="W105" i="48"/>
  <c r="R105" i="48"/>
  <c r="K105" i="48" s="1"/>
  <c r="AV104" i="48"/>
  <c r="AW104" i="48" s="1"/>
  <c r="AQ104" i="48"/>
  <c r="AR104" i="48" s="1"/>
  <c r="AL104" i="48"/>
  <c r="AG104" i="48"/>
  <c r="AB104" i="48"/>
  <c r="W104" i="48"/>
  <c r="R104" i="48"/>
  <c r="K104" i="48" s="1"/>
  <c r="AV103" i="48"/>
  <c r="AW103" i="48" s="1"/>
  <c r="AQ103" i="48"/>
  <c r="AR103" i="48" s="1"/>
  <c r="AL103" i="48"/>
  <c r="AG103" i="48"/>
  <c r="AB103" i="48"/>
  <c r="W103" i="48"/>
  <c r="R103" i="48"/>
  <c r="K103" i="48" s="1"/>
  <c r="AV102" i="48"/>
  <c r="AW102" i="48" s="1"/>
  <c r="AQ102" i="48"/>
  <c r="AR102" i="48" s="1"/>
  <c r="AL102" i="48"/>
  <c r="AG102" i="48"/>
  <c r="AB102" i="48"/>
  <c r="W102" i="48"/>
  <c r="R102" i="48"/>
  <c r="K102" i="48" s="1"/>
  <c r="AV101" i="48"/>
  <c r="AW101" i="48" s="1"/>
  <c r="AQ101" i="48"/>
  <c r="AR101" i="48" s="1"/>
  <c r="AL101" i="48"/>
  <c r="AG101" i="48"/>
  <c r="AB101" i="48"/>
  <c r="W101" i="48"/>
  <c r="R101" i="48"/>
  <c r="K101" i="48" s="1"/>
  <c r="AV100" i="48"/>
  <c r="AW100" i="48" s="1"/>
  <c r="AQ100" i="48"/>
  <c r="AR100" i="48" s="1"/>
  <c r="AL100" i="48"/>
  <c r="AG100" i="48"/>
  <c r="AB100" i="48"/>
  <c r="W100" i="48"/>
  <c r="R100" i="48"/>
  <c r="K100" i="48" s="1"/>
  <c r="AV99" i="48"/>
  <c r="AW99" i="48" s="1"/>
  <c r="AQ99" i="48"/>
  <c r="AL99" i="48"/>
  <c r="AG99" i="48"/>
  <c r="AB99" i="48"/>
  <c r="W99" i="48"/>
  <c r="X103" i="48" s="1"/>
  <c r="R99" i="48"/>
  <c r="K99" i="48" s="1"/>
  <c r="AV91" i="48"/>
  <c r="AQ91" i="48"/>
  <c r="AL91" i="48"/>
  <c r="AG91" i="48"/>
  <c r="AB91" i="48"/>
  <c r="W91" i="48"/>
  <c r="R91" i="48"/>
  <c r="K91" i="48" s="1"/>
  <c r="AV90" i="48"/>
  <c r="AQ90" i="48"/>
  <c r="AL90" i="48"/>
  <c r="AG90" i="48"/>
  <c r="AB90" i="48"/>
  <c r="W90" i="48"/>
  <c r="R90" i="48"/>
  <c r="K90" i="48" s="1"/>
  <c r="AV89" i="48"/>
  <c r="AQ89" i="48"/>
  <c r="AL89" i="48"/>
  <c r="AG89" i="48"/>
  <c r="AB89" i="48"/>
  <c r="W89" i="48"/>
  <c r="R89" i="48"/>
  <c r="K89" i="48" s="1"/>
  <c r="AV88" i="48"/>
  <c r="AQ88" i="48"/>
  <c r="AL88" i="48"/>
  <c r="AG88" i="48"/>
  <c r="AB88" i="48"/>
  <c r="W88" i="48"/>
  <c r="R88" i="48"/>
  <c r="K88" i="48" s="1"/>
  <c r="AV87" i="48"/>
  <c r="AQ87" i="48"/>
  <c r="AL87" i="48"/>
  <c r="AG87" i="48"/>
  <c r="AB87" i="48"/>
  <c r="W87" i="48"/>
  <c r="R87" i="48"/>
  <c r="K87" i="48" s="1"/>
  <c r="AV86" i="48"/>
  <c r="AQ86" i="48"/>
  <c r="AL86" i="48"/>
  <c r="AG86" i="48"/>
  <c r="AB86" i="48"/>
  <c r="W86" i="48"/>
  <c r="R86" i="48"/>
  <c r="K86" i="48" s="1"/>
  <c r="AV85" i="48"/>
  <c r="AQ85" i="48"/>
  <c r="AL85" i="48"/>
  <c r="AG85" i="48"/>
  <c r="AB85" i="48"/>
  <c r="W85" i="48"/>
  <c r="R85" i="48"/>
  <c r="AV84" i="48"/>
  <c r="AQ84" i="48"/>
  <c r="AL84" i="48"/>
  <c r="AG84" i="48"/>
  <c r="AB84" i="48"/>
  <c r="W84" i="48"/>
  <c r="R84" i="48"/>
  <c r="K84" i="48" s="1"/>
  <c r="AV83" i="48"/>
  <c r="AQ83" i="48"/>
  <c r="AL83" i="48"/>
  <c r="AG83" i="48"/>
  <c r="AB83" i="48"/>
  <c r="W83" i="48"/>
  <c r="R83" i="48"/>
  <c r="K83" i="48" s="1"/>
  <c r="AV82" i="48"/>
  <c r="AQ82" i="48"/>
  <c r="AL82" i="48"/>
  <c r="AG82" i="48"/>
  <c r="AB82" i="48"/>
  <c r="W82" i="48"/>
  <c r="R82" i="48"/>
  <c r="K82" i="48" s="1"/>
  <c r="AV81" i="48"/>
  <c r="AQ81" i="48"/>
  <c r="AL81" i="48"/>
  <c r="AG81" i="48"/>
  <c r="AB81" i="48"/>
  <c r="W81" i="48"/>
  <c r="R81" i="48"/>
  <c r="K81" i="48" s="1"/>
  <c r="AV80" i="48"/>
  <c r="AQ80" i="48"/>
  <c r="AL80" i="48"/>
  <c r="AG80" i="48"/>
  <c r="AB80" i="48"/>
  <c r="W80" i="48"/>
  <c r="R80" i="48"/>
  <c r="K80" i="48" s="1"/>
  <c r="AV79" i="48"/>
  <c r="AQ79" i="48"/>
  <c r="AL79" i="48"/>
  <c r="AG79" i="48"/>
  <c r="AB79" i="48"/>
  <c r="W79" i="48"/>
  <c r="R79" i="48"/>
  <c r="K79" i="48" s="1"/>
  <c r="AV78" i="48"/>
  <c r="AQ78" i="48"/>
  <c r="AL78" i="48"/>
  <c r="AG78" i="48"/>
  <c r="AB78" i="48"/>
  <c r="W78" i="48"/>
  <c r="R78" i="48"/>
  <c r="K78" i="48" s="1"/>
  <c r="AV77" i="48"/>
  <c r="AQ77" i="48"/>
  <c r="AL77" i="48"/>
  <c r="AG77" i="48"/>
  <c r="AB77" i="48"/>
  <c r="W77" i="48"/>
  <c r="R77" i="48"/>
  <c r="K77" i="48" s="1"/>
  <c r="AV76" i="48"/>
  <c r="AQ76" i="48"/>
  <c r="AL76" i="48"/>
  <c r="AG76" i="48"/>
  <c r="AB76" i="48"/>
  <c r="W76" i="48"/>
  <c r="R76" i="48"/>
  <c r="AV68" i="48"/>
  <c r="AQ68" i="48"/>
  <c r="AL68" i="48"/>
  <c r="AG68" i="48"/>
  <c r="AB68" i="48"/>
  <c r="W68" i="48"/>
  <c r="R68" i="48"/>
  <c r="AV67" i="48"/>
  <c r="AQ67" i="48"/>
  <c r="AL67" i="48"/>
  <c r="AG67" i="48"/>
  <c r="AB67" i="48"/>
  <c r="W67" i="48"/>
  <c r="R67" i="48"/>
  <c r="K67" i="48" s="1"/>
  <c r="AV66" i="48"/>
  <c r="AQ66" i="48"/>
  <c r="AL66" i="48"/>
  <c r="AG66" i="48"/>
  <c r="AB66" i="48"/>
  <c r="W66" i="48"/>
  <c r="R66" i="48"/>
  <c r="K66" i="48" s="1"/>
  <c r="AV65" i="48"/>
  <c r="AQ65" i="48"/>
  <c r="AL65" i="48"/>
  <c r="AG65" i="48"/>
  <c r="AB65" i="48"/>
  <c r="W65" i="48"/>
  <c r="R65" i="48"/>
  <c r="AV64" i="48"/>
  <c r="AQ64" i="48"/>
  <c r="AL64" i="48"/>
  <c r="AG64" i="48"/>
  <c r="AB64" i="48"/>
  <c r="W64" i="48"/>
  <c r="R64" i="48"/>
  <c r="K64" i="48" s="1"/>
  <c r="AV63" i="48"/>
  <c r="AQ63" i="48"/>
  <c r="AL63" i="48"/>
  <c r="AG63" i="48"/>
  <c r="AB63" i="48"/>
  <c r="W63" i="48"/>
  <c r="R63" i="48"/>
  <c r="K63" i="48" s="1"/>
  <c r="AV62" i="48"/>
  <c r="AQ62" i="48"/>
  <c r="AL62" i="48"/>
  <c r="AG62" i="48"/>
  <c r="AB62" i="48"/>
  <c r="W62" i="48"/>
  <c r="R62" i="48"/>
  <c r="K62" i="48" s="1"/>
  <c r="AV61" i="48"/>
  <c r="AQ61" i="48"/>
  <c r="AL61" i="48"/>
  <c r="AG61" i="48"/>
  <c r="AB61" i="48"/>
  <c r="W61" i="48"/>
  <c r="R61" i="48"/>
  <c r="K61" i="48" s="1"/>
  <c r="AV60" i="48"/>
  <c r="AQ60" i="48"/>
  <c r="AL60" i="48"/>
  <c r="AG60" i="48"/>
  <c r="AB60" i="48"/>
  <c r="W60" i="48"/>
  <c r="R60" i="48"/>
  <c r="AV59" i="48"/>
  <c r="AQ59" i="48"/>
  <c r="AL59" i="48"/>
  <c r="AG59" i="48"/>
  <c r="AB59" i="48"/>
  <c r="W59" i="48"/>
  <c r="R59" i="48"/>
  <c r="K59" i="48" s="1"/>
  <c r="AV58" i="48"/>
  <c r="AQ58" i="48"/>
  <c r="AL58" i="48"/>
  <c r="AG58" i="48"/>
  <c r="AB58" i="48"/>
  <c r="W58" i="48"/>
  <c r="R58" i="48"/>
  <c r="K58" i="48" s="1"/>
  <c r="AV57" i="48"/>
  <c r="AQ57" i="48"/>
  <c r="AL57" i="48"/>
  <c r="AG57" i="48"/>
  <c r="AB57" i="48"/>
  <c r="W57" i="48"/>
  <c r="R57" i="48"/>
  <c r="K57" i="48" s="1"/>
  <c r="AV56" i="48"/>
  <c r="AQ56" i="48"/>
  <c r="AL56" i="48"/>
  <c r="AG56" i="48"/>
  <c r="AB56" i="48"/>
  <c r="W56" i="48"/>
  <c r="R56" i="48"/>
  <c r="AV55" i="48"/>
  <c r="AQ55" i="48"/>
  <c r="AL55" i="48"/>
  <c r="AG55" i="48"/>
  <c r="AB55" i="48"/>
  <c r="W55" i="48"/>
  <c r="R55" i="48"/>
  <c r="K55" i="48" s="1"/>
  <c r="AV54" i="48"/>
  <c r="AQ54" i="48"/>
  <c r="AL54" i="48"/>
  <c r="AG54" i="48"/>
  <c r="AB54" i="48"/>
  <c r="W54" i="48"/>
  <c r="R54" i="48"/>
  <c r="K54" i="48" s="1"/>
  <c r="AV53" i="48"/>
  <c r="AQ53" i="48"/>
  <c r="AL53" i="48"/>
  <c r="AG53" i="48"/>
  <c r="AB53" i="48"/>
  <c r="W53" i="48"/>
  <c r="R53" i="48"/>
  <c r="K53" i="48" s="1"/>
  <c r="AV45" i="48"/>
  <c r="AQ45" i="48"/>
  <c r="AL45" i="48"/>
  <c r="AG45" i="48"/>
  <c r="AB45" i="48"/>
  <c r="W45" i="48"/>
  <c r="R45" i="48"/>
  <c r="K45" i="48" s="1"/>
  <c r="AV44" i="48"/>
  <c r="AQ44" i="48"/>
  <c r="AL44" i="48"/>
  <c r="AG44" i="48"/>
  <c r="AB44" i="48"/>
  <c r="W44" i="48"/>
  <c r="R44" i="48"/>
  <c r="K44" i="48" s="1"/>
  <c r="AV43" i="48"/>
  <c r="AQ43" i="48"/>
  <c r="AL43" i="48"/>
  <c r="AG43" i="48"/>
  <c r="AB43" i="48"/>
  <c r="W43" i="48"/>
  <c r="R43" i="48"/>
  <c r="K43" i="48" s="1"/>
  <c r="AV42" i="48"/>
  <c r="AQ42" i="48"/>
  <c r="AL42" i="48"/>
  <c r="AG42" i="48"/>
  <c r="AB42" i="48"/>
  <c r="W42" i="48"/>
  <c r="R42" i="48"/>
  <c r="K42" i="48" s="1"/>
  <c r="AV41" i="48"/>
  <c r="AQ41" i="48"/>
  <c r="AL41" i="48"/>
  <c r="AG41" i="48"/>
  <c r="AB41" i="48"/>
  <c r="W41" i="48"/>
  <c r="R41" i="48"/>
  <c r="K41" i="48" s="1"/>
  <c r="AV40" i="48"/>
  <c r="AQ40" i="48"/>
  <c r="AL40" i="48"/>
  <c r="AG40" i="48"/>
  <c r="AB40" i="48"/>
  <c r="W40" i="48"/>
  <c r="R40" i="48"/>
  <c r="K40" i="48" s="1"/>
  <c r="AV39" i="48"/>
  <c r="AQ39" i="48"/>
  <c r="AL39" i="48"/>
  <c r="AG39" i="48"/>
  <c r="AB39" i="48"/>
  <c r="W39" i="48"/>
  <c r="R39" i="48"/>
  <c r="K39" i="48" s="1"/>
  <c r="AV38" i="48"/>
  <c r="AQ38" i="48"/>
  <c r="AL38" i="48"/>
  <c r="AG38" i="48"/>
  <c r="AB38" i="48"/>
  <c r="W38" i="48"/>
  <c r="R38" i="48"/>
  <c r="K38" i="48" s="1"/>
  <c r="AV37" i="48"/>
  <c r="AQ37" i="48"/>
  <c r="AL37" i="48"/>
  <c r="AG37" i="48"/>
  <c r="AB37" i="48"/>
  <c r="W37" i="48"/>
  <c r="R37" i="48"/>
  <c r="K37" i="48" s="1"/>
  <c r="AV36" i="48"/>
  <c r="AQ36" i="48"/>
  <c r="AL36" i="48"/>
  <c r="AG36" i="48"/>
  <c r="AB36" i="48"/>
  <c r="W36" i="48"/>
  <c r="R36" i="48"/>
  <c r="K36" i="48" s="1"/>
  <c r="AV35" i="48"/>
  <c r="AQ35" i="48"/>
  <c r="AL35" i="48"/>
  <c r="AG35" i="48"/>
  <c r="AB35" i="48"/>
  <c r="W35" i="48"/>
  <c r="R35" i="48"/>
  <c r="K35" i="48" s="1"/>
  <c r="AV34" i="48"/>
  <c r="AQ34" i="48"/>
  <c r="AL34" i="48"/>
  <c r="AG34" i="48"/>
  <c r="AB34" i="48"/>
  <c r="W34" i="48"/>
  <c r="R34" i="48"/>
  <c r="K34" i="48" s="1"/>
  <c r="AV33" i="48"/>
  <c r="AQ33" i="48"/>
  <c r="AL33" i="48"/>
  <c r="AG33" i="48"/>
  <c r="AB33" i="48"/>
  <c r="W33" i="48"/>
  <c r="R33" i="48"/>
  <c r="K33" i="48" s="1"/>
  <c r="AV32" i="48"/>
  <c r="AQ32" i="48"/>
  <c r="AL32" i="48"/>
  <c r="AG32" i="48"/>
  <c r="AB32" i="48"/>
  <c r="W32" i="48"/>
  <c r="R32" i="48"/>
  <c r="AV31" i="48"/>
  <c r="AQ31" i="48"/>
  <c r="AL31" i="48"/>
  <c r="AG31" i="48"/>
  <c r="AB31" i="48"/>
  <c r="W31" i="48"/>
  <c r="R31" i="48"/>
  <c r="K31" i="48" s="1"/>
  <c r="AV30" i="48"/>
  <c r="AQ30" i="48"/>
  <c r="AS30" i="48" s="1"/>
  <c r="AL30" i="48"/>
  <c r="AG30" i="48"/>
  <c r="AB30" i="48"/>
  <c r="W30" i="48"/>
  <c r="X30" i="48" s="1"/>
  <c r="R30" i="48"/>
  <c r="K30" i="48" s="1"/>
  <c r="AV22" i="48"/>
  <c r="AQ22" i="48"/>
  <c r="AL22" i="48"/>
  <c r="AG22" i="48"/>
  <c r="AB22" i="48"/>
  <c r="K22" i="48" s="1"/>
  <c r="W22" i="48"/>
  <c r="X22" i="48" s="1"/>
  <c r="R22" i="48"/>
  <c r="S22" i="48" s="1"/>
  <c r="AV21" i="48"/>
  <c r="AQ21" i="48"/>
  <c r="AL21" i="48"/>
  <c r="AG21" i="48"/>
  <c r="AB21" i="48"/>
  <c r="K21" i="48" s="1"/>
  <c r="W21" i="48"/>
  <c r="X21" i="48" s="1"/>
  <c r="R21" i="48"/>
  <c r="S21" i="48" s="1"/>
  <c r="AV20" i="48"/>
  <c r="AQ20" i="48"/>
  <c r="AL20" i="48"/>
  <c r="AG20" i="48"/>
  <c r="AB20" i="48"/>
  <c r="K20" i="48" s="1"/>
  <c r="W20" i="48"/>
  <c r="X20" i="48" s="1"/>
  <c r="R20" i="48"/>
  <c r="S20" i="48" s="1"/>
  <c r="AV19" i="48"/>
  <c r="AQ19" i="48"/>
  <c r="AL19" i="48"/>
  <c r="AG19" i="48"/>
  <c r="AB19" i="48"/>
  <c r="K19" i="48" s="1"/>
  <c r="W19" i="48"/>
  <c r="X19" i="48" s="1"/>
  <c r="R19" i="48"/>
  <c r="S19" i="48" s="1"/>
  <c r="AV18" i="48"/>
  <c r="AQ18" i="48"/>
  <c r="AL18" i="48"/>
  <c r="AG18" i="48"/>
  <c r="AB18" i="48"/>
  <c r="K18" i="48" s="1"/>
  <c r="W18" i="48"/>
  <c r="X18" i="48" s="1"/>
  <c r="R18" i="48"/>
  <c r="S18" i="48" s="1"/>
  <c r="AV17" i="48"/>
  <c r="AQ17" i="48"/>
  <c r="AL17" i="48"/>
  <c r="AG17" i="48"/>
  <c r="AB17" i="48"/>
  <c r="K17" i="48" s="1"/>
  <c r="W17" i="48"/>
  <c r="X17" i="48" s="1"/>
  <c r="R17" i="48"/>
  <c r="S17" i="48" s="1"/>
  <c r="AV16" i="48"/>
  <c r="AQ16" i="48"/>
  <c r="AL16" i="48"/>
  <c r="AG16" i="48"/>
  <c r="AB16" i="48"/>
  <c r="K16" i="48" s="1"/>
  <c r="W16" i="48"/>
  <c r="X16" i="48" s="1"/>
  <c r="R16" i="48"/>
  <c r="S16" i="48" s="1"/>
  <c r="AV15" i="48"/>
  <c r="AQ15" i="48"/>
  <c r="AL15" i="48"/>
  <c r="AG15" i="48"/>
  <c r="AB15" i="48"/>
  <c r="K15" i="48" s="1"/>
  <c r="W15" i="48"/>
  <c r="X15" i="48" s="1"/>
  <c r="R15" i="48"/>
  <c r="S15" i="48" s="1"/>
  <c r="AV14" i="48"/>
  <c r="AQ14" i="48"/>
  <c r="AL14" i="48"/>
  <c r="AG14" i="48"/>
  <c r="AB14" i="48"/>
  <c r="K14" i="48" s="1"/>
  <c r="W14" i="48"/>
  <c r="X14" i="48" s="1"/>
  <c r="R14" i="48"/>
  <c r="S14" i="48" s="1"/>
  <c r="AV13" i="48"/>
  <c r="AQ13" i="48"/>
  <c r="AL13" i="48"/>
  <c r="AG13" i="48"/>
  <c r="AB13" i="48"/>
  <c r="K13" i="48" s="1"/>
  <c r="W13" i="48"/>
  <c r="X13" i="48" s="1"/>
  <c r="R13" i="48"/>
  <c r="S13" i="48" s="1"/>
  <c r="AV12" i="48"/>
  <c r="AQ12" i="48"/>
  <c r="AL12" i="48"/>
  <c r="AG12" i="48"/>
  <c r="AB12" i="48"/>
  <c r="K12" i="48" s="1"/>
  <c r="W12" i="48"/>
  <c r="X12" i="48" s="1"/>
  <c r="R12" i="48"/>
  <c r="S12" i="48" s="1"/>
  <c r="AV11" i="48"/>
  <c r="AQ11" i="48"/>
  <c r="AL11" i="48"/>
  <c r="AG11" i="48"/>
  <c r="AB11" i="48"/>
  <c r="K11" i="48" s="1"/>
  <c r="W11" i="48"/>
  <c r="X11" i="48" s="1"/>
  <c r="R11" i="48"/>
  <c r="S11" i="48" s="1"/>
  <c r="AV10" i="48"/>
  <c r="AQ10" i="48"/>
  <c r="AL10" i="48"/>
  <c r="AG10" i="48"/>
  <c r="AB10" i="48"/>
  <c r="K10" i="48" s="1"/>
  <c r="W10" i="48"/>
  <c r="X10" i="48" s="1"/>
  <c r="R10" i="48"/>
  <c r="S10" i="48" s="1"/>
  <c r="AV9" i="48"/>
  <c r="AQ9" i="48"/>
  <c r="AL9" i="48"/>
  <c r="AG9" i="48"/>
  <c r="AB9" i="48"/>
  <c r="K9" i="48" s="1"/>
  <c r="W9" i="48"/>
  <c r="X9" i="48" s="1"/>
  <c r="R9" i="48"/>
  <c r="S9" i="48" s="1"/>
  <c r="AV8" i="48"/>
  <c r="AQ8" i="48"/>
  <c r="AL8" i="48"/>
  <c r="AG8" i="48"/>
  <c r="AB8" i="48"/>
  <c r="K8" i="48" s="1"/>
  <c r="W8" i="48"/>
  <c r="X8" i="48" s="1"/>
  <c r="R8" i="48"/>
  <c r="S8" i="48" s="1"/>
  <c r="AV7" i="48"/>
  <c r="AW7" i="48" s="1"/>
  <c r="AQ7" i="48"/>
  <c r="AL7" i="48"/>
  <c r="AN7" i="48" s="1"/>
  <c r="AG7" i="48"/>
  <c r="AB7" i="48"/>
  <c r="K7" i="48" s="1"/>
  <c r="W7" i="48"/>
  <c r="R7" i="48"/>
  <c r="F39" i="6"/>
  <c r="F38" i="6"/>
  <c r="N38" i="6" s="1"/>
  <c r="F37" i="6"/>
  <c r="J37" i="6" s="1"/>
  <c r="F36" i="6"/>
  <c r="F35" i="6"/>
  <c r="F34" i="6"/>
  <c r="F33" i="6"/>
  <c r="F32" i="6"/>
  <c r="F31" i="6"/>
  <c r="F30" i="6"/>
  <c r="F29" i="6"/>
  <c r="F28" i="6"/>
  <c r="L28" i="6" s="1"/>
  <c r="F27" i="6"/>
  <c r="F26" i="6"/>
  <c r="J26" i="6" s="1"/>
  <c r="F25" i="6"/>
  <c r="N25" i="6" s="1"/>
  <c r="F24" i="6"/>
  <c r="J24" i="6" s="1"/>
  <c r="F23" i="6"/>
  <c r="F22" i="6"/>
  <c r="F21" i="6"/>
  <c r="F20" i="6"/>
  <c r="N20" i="6" s="1"/>
  <c r="F19" i="6"/>
  <c r="F18" i="6"/>
  <c r="L18" i="6" s="1"/>
  <c r="F17" i="6"/>
  <c r="F16" i="6"/>
  <c r="J16" i="6" s="1"/>
  <c r="F15" i="6"/>
  <c r="F14" i="6"/>
  <c r="F13" i="6"/>
  <c r="F12" i="6"/>
  <c r="F11" i="6"/>
  <c r="F10" i="6"/>
  <c r="N10" i="6" s="1"/>
  <c r="F9" i="6"/>
  <c r="N9" i="6" s="1"/>
  <c r="F8" i="6"/>
  <c r="J8" i="6" s="1"/>
  <c r="F7" i="6"/>
  <c r="F39" i="7"/>
  <c r="F38" i="7"/>
  <c r="F37" i="7"/>
  <c r="F36" i="7"/>
  <c r="L36" i="7" s="1"/>
  <c r="F35" i="7"/>
  <c r="F34" i="7"/>
  <c r="F33" i="7"/>
  <c r="L33" i="7" s="1"/>
  <c r="F32" i="7"/>
  <c r="J32" i="7" s="1"/>
  <c r="F31" i="7"/>
  <c r="F30" i="7"/>
  <c r="F29" i="7"/>
  <c r="F28" i="7"/>
  <c r="F27" i="7"/>
  <c r="F26" i="7"/>
  <c r="J26" i="7" s="1"/>
  <c r="F25" i="7"/>
  <c r="F24" i="7"/>
  <c r="F23" i="7"/>
  <c r="L23" i="7" s="1"/>
  <c r="F22" i="7"/>
  <c r="F21" i="7"/>
  <c r="F20" i="7"/>
  <c r="F19" i="7"/>
  <c r="F18" i="7"/>
  <c r="F17" i="7"/>
  <c r="N17" i="7" s="1"/>
  <c r="F16" i="7"/>
  <c r="J16" i="7" s="1"/>
  <c r="F15" i="7"/>
  <c r="F14" i="7"/>
  <c r="F13" i="7"/>
  <c r="F12" i="7"/>
  <c r="F11" i="7"/>
  <c r="F10" i="7"/>
  <c r="F9" i="7"/>
  <c r="F8" i="7"/>
  <c r="F7" i="7"/>
  <c r="I37" i="5"/>
  <c r="I36" i="5"/>
  <c r="I35" i="5"/>
  <c r="I34" i="5"/>
  <c r="I33" i="5"/>
  <c r="I32" i="5"/>
  <c r="V31" i="5"/>
  <c r="S31" i="5"/>
  <c r="P31" i="5"/>
  <c r="M31" i="5"/>
  <c r="I31" i="5"/>
  <c r="G31" i="5"/>
  <c r="I30" i="5"/>
  <c r="I29" i="5"/>
  <c r="I28" i="5"/>
  <c r="I27" i="5"/>
  <c r="I26" i="5"/>
  <c r="I25" i="5"/>
  <c r="V24" i="5"/>
  <c r="S24" i="5"/>
  <c r="P24" i="5"/>
  <c r="M24" i="5"/>
  <c r="I24" i="5"/>
  <c r="J24" i="5" s="1"/>
  <c r="G24" i="5"/>
  <c r="I23" i="5"/>
  <c r="I22" i="5"/>
  <c r="I21" i="5"/>
  <c r="I20" i="5"/>
  <c r="I19" i="5"/>
  <c r="I18" i="5"/>
  <c r="V17" i="5"/>
  <c r="S17" i="5"/>
  <c r="P17" i="5"/>
  <c r="M17" i="5"/>
  <c r="I17" i="5"/>
  <c r="J17" i="5" s="1"/>
  <c r="G17" i="5"/>
  <c r="I16" i="5"/>
  <c r="I15" i="5"/>
  <c r="I14" i="5"/>
  <c r="I13" i="5"/>
  <c r="I12" i="5"/>
  <c r="I11" i="5"/>
  <c r="V10" i="5"/>
  <c r="S10" i="5"/>
  <c r="P10" i="5"/>
  <c r="M10" i="5"/>
  <c r="I10" i="5"/>
  <c r="G10" i="5"/>
  <c r="I9" i="5"/>
  <c r="I8" i="5"/>
  <c r="I7" i="5"/>
  <c r="I6" i="5"/>
  <c r="W5" i="5"/>
  <c r="T5" i="5"/>
  <c r="Q5" i="5"/>
  <c r="N5" i="5"/>
  <c r="I5" i="5"/>
  <c r="K5" i="5" s="1"/>
  <c r="H5" i="5"/>
  <c r="O40" i="3"/>
  <c r="O39" i="3"/>
  <c r="O38" i="3"/>
  <c r="V37" i="3"/>
  <c r="O37" i="3"/>
  <c r="O36" i="3"/>
  <c r="U35" i="3"/>
  <c r="O35" i="3"/>
  <c r="U34" i="3"/>
  <c r="O34" i="3"/>
  <c r="U33" i="3"/>
  <c r="O33" i="3"/>
  <c r="U32" i="3"/>
  <c r="O32" i="3"/>
  <c r="U31" i="3"/>
  <c r="S31" i="3"/>
  <c r="O31" i="3"/>
  <c r="M31" i="3"/>
  <c r="J31" i="3"/>
  <c r="G31" i="3"/>
  <c r="U30" i="3"/>
  <c r="O30" i="3"/>
  <c r="U29" i="3"/>
  <c r="O29" i="3"/>
  <c r="U28" i="3"/>
  <c r="O28" i="3"/>
  <c r="V27" i="3"/>
  <c r="U27" i="3"/>
  <c r="O27" i="3"/>
  <c r="U26" i="3"/>
  <c r="O26" i="3"/>
  <c r="U25" i="3"/>
  <c r="O25" i="3"/>
  <c r="U24" i="3"/>
  <c r="S24" i="3"/>
  <c r="O24" i="3"/>
  <c r="M24" i="3"/>
  <c r="J24" i="3"/>
  <c r="G24" i="3"/>
  <c r="U23" i="3"/>
  <c r="O23" i="3"/>
  <c r="U22" i="3"/>
  <c r="O22" i="3"/>
  <c r="U21" i="3"/>
  <c r="O21" i="3"/>
  <c r="V20" i="3"/>
  <c r="U20" i="3"/>
  <c r="O20" i="3"/>
  <c r="U19" i="3"/>
  <c r="O19" i="3"/>
  <c r="U18" i="3"/>
  <c r="O18" i="3"/>
  <c r="U17" i="3"/>
  <c r="S17" i="3"/>
  <c r="O17" i="3"/>
  <c r="M17" i="3"/>
  <c r="J17" i="3"/>
  <c r="G17" i="3"/>
  <c r="U16" i="3"/>
  <c r="O16" i="3"/>
  <c r="U15" i="3"/>
  <c r="O15" i="3"/>
  <c r="U14" i="3"/>
  <c r="O14" i="3"/>
  <c r="V13" i="3"/>
  <c r="U13" i="3"/>
  <c r="O13" i="3"/>
  <c r="U12" i="3"/>
  <c r="O12" i="3"/>
  <c r="U11" i="3"/>
  <c r="O11" i="3"/>
  <c r="U10" i="3"/>
  <c r="S10" i="3"/>
  <c r="O10" i="3"/>
  <c r="M10" i="3"/>
  <c r="J10" i="3"/>
  <c r="G10" i="3"/>
  <c r="U9" i="3"/>
  <c r="O9" i="3"/>
  <c r="U8" i="3"/>
  <c r="O8" i="3"/>
  <c r="U7" i="3"/>
  <c r="O7" i="3"/>
  <c r="V6" i="3"/>
  <c r="U6" i="3"/>
  <c r="O6" i="3"/>
  <c r="U5" i="3"/>
  <c r="O5" i="3"/>
  <c r="N5" i="3"/>
  <c r="K5" i="3"/>
  <c r="H5" i="3"/>
  <c r="W5" i="3" s="1"/>
  <c r="D24" i="13"/>
  <c r="D23" i="13"/>
  <c r="D22" i="13"/>
  <c r="J18" i="13"/>
  <c r="D18" i="13"/>
  <c r="I17" i="13"/>
  <c r="K17" i="13" s="1"/>
  <c r="C17" i="13"/>
  <c r="E17" i="13" s="1"/>
  <c r="I16" i="13"/>
  <c r="K16" i="13" s="1"/>
  <c r="C16" i="13"/>
  <c r="E16" i="13" s="1"/>
  <c r="I15" i="13"/>
  <c r="C15" i="13"/>
  <c r="E15" i="13" s="1"/>
  <c r="D11" i="13"/>
  <c r="D10" i="13"/>
  <c r="B9" i="13"/>
  <c r="D9" i="13" s="1"/>
  <c r="D8" i="13"/>
  <c r="I7" i="13"/>
  <c r="D7" i="13"/>
  <c r="D6" i="13"/>
  <c r="I18" i="13" l="1"/>
  <c r="K15" i="13"/>
  <c r="P10" i="3"/>
  <c r="P24" i="3"/>
  <c r="P31" i="3"/>
  <c r="J10" i="5"/>
  <c r="L7" i="7"/>
  <c r="N7" i="7"/>
  <c r="J7" i="7"/>
  <c r="L8" i="7"/>
  <c r="N8" i="7"/>
  <c r="N9" i="7"/>
  <c r="L9" i="7"/>
  <c r="J9" i="7"/>
  <c r="L10" i="7"/>
  <c r="N10" i="7"/>
  <c r="J10" i="7"/>
  <c r="N11" i="7"/>
  <c r="J11" i="7"/>
  <c r="N12" i="7"/>
  <c r="L12" i="7"/>
  <c r="J12" i="7"/>
  <c r="G12" i="7"/>
  <c r="J13" i="7"/>
  <c r="N13" i="7"/>
  <c r="L13" i="7"/>
  <c r="N14" i="7"/>
  <c r="J14" i="7"/>
  <c r="N15" i="7"/>
  <c r="L15" i="7"/>
  <c r="J15" i="7"/>
  <c r="L18" i="7"/>
  <c r="N18" i="7"/>
  <c r="L20" i="7"/>
  <c r="N20" i="7"/>
  <c r="J20" i="7"/>
  <c r="N21" i="7"/>
  <c r="J21" i="7"/>
  <c r="N22" i="7"/>
  <c r="L22" i="7"/>
  <c r="J22" i="7"/>
  <c r="N24" i="7"/>
  <c r="L24" i="7"/>
  <c r="J24" i="7"/>
  <c r="N25" i="7"/>
  <c r="L25" i="7"/>
  <c r="J25" i="7"/>
  <c r="N27" i="7"/>
  <c r="L27" i="7"/>
  <c r="J27" i="7"/>
  <c r="J28" i="7"/>
  <c r="N28" i="7"/>
  <c r="L28" i="7"/>
  <c r="N30" i="7"/>
  <c r="L30" i="7"/>
  <c r="J30" i="7"/>
  <c r="N31" i="7"/>
  <c r="J31" i="7"/>
  <c r="N34" i="7"/>
  <c r="L34" i="7"/>
  <c r="J34" i="7"/>
  <c r="N35" i="7"/>
  <c r="L35" i="7"/>
  <c r="J35" i="7"/>
  <c r="L37" i="7"/>
  <c r="N37" i="7"/>
  <c r="N38" i="7"/>
  <c r="J38" i="7"/>
  <c r="N39" i="7"/>
  <c r="J39" i="7"/>
  <c r="N7" i="6"/>
  <c r="L7" i="6"/>
  <c r="J7" i="6"/>
  <c r="J11" i="6"/>
  <c r="N11" i="6"/>
  <c r="L11" i="6"/>
  <c r="L12" i="6"/>
  <c r="N12" i="6"/>
  <c r="J12" i="6"/>
  <c r="N14" i="6"/>
  <c r="L14" i="6"/>
  <c r="J14" i="6"/>
  <c r="L15" i="6"/>
  <c r="N15" i="6"/>
  <c r="N17" i="6"/>
  <c r="L17" i="6"/>
  <c r="J17" i="6"/>
  <c r="J21" i="6"/>
  <c r="L21" i="6"/>
  <c r="N22" i="6"/>
  <c r="L22" i="6"/>
  <c r="J22" i="6"/>
  <c r="N27" i="6"/>
  <c r="L27" i="6"/>
  <c r="J27" i="6"/>
  <c r="N29" i="6"/>
  <c r="L29" i="6"/>
  <c r="J29" i="6"/>
  <c r="N30" i="6"/>
  <c r="L30" i="6"/>
  <c r="J30" i="6"/>
  <c r="L31" i="6"/>
  <c r="J31" i="6"/>
  <c r="N32" i="6"/>
  <c r="L32" i="6"/>
  <c r="J32" i="6"/>
  <c r="N33" i="6"/>
  <c r="L33" i="6"/>
  <c r="J33" i="6"/>
  <c r="J34" i="6"/>
  <c r="L34" i="6"/>
  <c r="N35" i="6"/>
  <c r="L35" i="6"/>
  <c r="J35" i="6"/>
  <c r="N39" i="6"/>
  <c r="J39" i="6"/>
  <c r="T7" i="48"/>
  <c r="S7" i="48"/>
  <c r="M8" i="48"/>
  <c r="M9" i="48"/>
  <c r="M10" i="48"/>
  <c r="M11" i="48"/>
  <c r="AH11" i="48"/>
  <c r="M12" i="48"/>
  <c r="M13" i="48"/>
  <c r="M14" i="48"/>
  <c r="M15" i="48"/>
  <c r="AH15" i="48"/>
  <c r="AR15" i="48"/>
  <c r="AW15" i="48"/>
  <c r="M16" i="48"/>
  <c r="AM16" i="48"/>
  <c r="M17" i="48"/>
  <c r="AM17" i="48"/>
  <c r="M18" i="48"/>
  <c r="AH18" i="48"/>
  <c r="M19" i="48"/>
  <c r="M20" i="48"/>
  <c r="M21" i="48"/>
  <c r="AH21" i="48"/>
  <c r="M22" i="48"/>
  <c r="AW45" i="48"/>
  <c r="S45" i="48"/>
  <c r="K32" i="48"/>
  <c r="AC32" i="48"/>
  <c r="AH35" i="48"/>
  <c r="AW32" i="48"/>
  <c r="M33" i="48"/>
  <c r="AM33" i="48"/>
  <c r="AW31" i="48"/>
  <c r="M34" i="48"/>
  <c r="M35" i="48"/>
  <c r="M36" i="48"/>
  <c r="AC36" i="48"/>
  <c r="AR30" i="48"/>
  <c r="M37" i="48"/>
  <c r="AH37" i="48"/>
  <c r="M38" i="48"/>
  <c r="M39" i="48"/>
  <c r="AM39" i="48"/>
  <c r="M40" i="48"/>
  <c r="AC40" i="48"/>
  <c r="M41" i="48"/>
  <c r="M42" i="48"/>
  <c r="AR42" i="48"/>
  <c r="M43" i="48"/>
  <c r="AW43" i="48"/>
  <c r="M44" i="48"/>
  <c r="AW44" i="48"/>
  <c r="M45" i="48"/>
  <c r="AD53" i="48"/>
  <c r="AC53" i="48"/>
  <c r="AH55" i="48"/>
  <c r="S61" i="48"/>
  <c r="K56" i="48"/>
  <c r="X56" i="48"/>
  <c r="AH56" i="48"/>
  <c r="AR56" i="48"/>
  <c r="AW56" i="48"/>
  <c r="AR64" i="48"/>
  <c r="X58" i="48"/>
  <c r="X59" i="48"/>
  <c r="T53" i="48"/>
  <c r="K60" i="48"/>
  <c r="AW61" i="48"/>
  <c r="AM62" i="48"/>
  <c r="AW62" i="48"/>
  <c r="AH63" i="48"/>
  <c r="X64" i="48"/>
  <c r="S65" i="48"/>
  <c r="K65" i="48"/>
  <c r="AW65" i="48"/>
  <c r="AW66" i="48"/>
  <c r="AW67" i="48"/>
  <c r="S68" i="48"/>
  <c r="K68" i="48"/>
  <c r="K76" i="48"/>
  <c r="S76" i="48"/>
  <c r="AW82" i="48"/>
  <c r="X83" i="48"/>
  <c r="AH83" i="48"/>
  <c r="S87" i="48"/>
  <c r="K85" i="48"/>
  <c r="X85" i="48"/>
  <c r="M86" i="48"/>
  <c r="M87" i="48"/>
  <c r="AW87" i="48"/>
  <c r="M88" i="48"/>
  <c r="AC88" i="48"/>
  <c r="AH88" i="48"/>
  <c r="M89" i="48"/>
  <c r="M90" i="48"/>
  <c r="AH90" i="48"/>
  <c r="M91" i="48"/>
  <c r="M100" i="48"/>
  <c r="M101" i="48"/>
  <c r="AC103" i="48"/>
  <c r="M102" i="48"/>
  <c r="M103" i="48"/>
  <c r="M104" i="48"/>
  <c r="M105" i="48"/>
  <c r="AC105" i="48"/>
  <c r="M106" i="48"/>
  <c r="AH106" i="48"/>
  <c r="M107" i="48"/>
  <c r="AH107" i="48"/>
  <c r="M108" i="48"/>
  <c r="M109" i="48"/>
  <c r="M110" i="48"/>
  <c r="AM104" i="48"/>
  <c r="M111" i="48"/>
  <c r="M112" i="48"/>
  <c r="M113" i="48"/>
  <c r="M114" i="48"/>
  <c r="AD122" i="48"/>
  <c r="AC122" i="48"/>
  <c r="AI122" i="48"/>
  <c r="AH122" i="48"/>
  <c r="AM122" i="48"/>
  <c r="AN122" i="48"/>
  <c r="AR122" i="48"/>
  <c r="AS122" i="48"/>
  <c r="AX122" i="48"/>
  <c r="AW122" i="48"/>
  <c r="K124" i="48"/>
  <c r="M124" i="48" s="1"/>
  <c r="S124" i="48"/>
  <c r="S125" i="48"/>
  <c r="K125" i="48"/>
  <c r="M125" i="48" s="1"/>
  <c r="K126" i="48"/>
  <c r="M126" i="48" s="1"/>
  <c r="S126" i="48"/>
  <c r="S127" i="48"/>
  <c r="K127" i="48"/>
  <c r="M127" i="48" s="1"/>
  <c r="K128" i="48"/>
  <c r="M128" i="48" s="1"/>
  <c r="S128" i="48"/>
  <c r="S130" i="48"/>
  <c r="K130" i="48"/>
  <c r="M130" i="48" s="1"/>
  <c r="K132" i="48"/>
  <c r="M132" i="48" s="1"/>
  <c r="S132" i="48"/>
  <c r="S134" i="48"/>
  <c r="K134" i="48"/>
  <c r="M134" i="48" s="1"/>
  <c r="K135" i="48"/>
  <c r="M135" i="48" s="1"/>
  <c r="S135" i="48"/>
  <c r="K136" i="48"/>
  <c r="M136" i="48" s="1"/>
  <c r="S136" i="48"/>
  <c r="T7" i="49"/>
  <c r="S7" i="49"/>
  <c r="K7" i="49"/>
  <c r="AD7" i="49"/>
  <c r="AC7" i="49"/>
  <c r="AX7" i="49"/>
  <c r="AW7" i="49"/>
  <c r="AC8" i="49"/>
  <c r="AM8" i="49"/>
  <c r="AR8" i="49"/>
  <c r="AH9" i="49"/>
  <c r="AM9" i="49"/>
  <c r="AW8" i="49"/>
  <c r="AW9" i="49"/>
  <c r="X28" i="49"/>
  <c r="AC28" i="49"/>
  <c r="AH29" i="49"/>
  <c r="T47" i="49"/>
  <c r="S47" i="49"/>
  <c r="AX47" i="49"/>
  <c r="AW47" i="49"/>
  <c r="AC47" i="49"/>
  <c r="AN47" i="49"/>
  <c r="AM48" i="49"/>
  <c r="X49" i="49"/>
  <c r="AW48" i="49"/>
  <c r="AW49" i="49"/>
  <c r="AR68" i="49"/>
  <c r="S69" i="49"/>
  <c r="AW69" i="49"/>
  <c r="X70" i="49"/>
  <c r="AW70" i="49"/>
  <c r="AI87" i="49"/>
  <c r="AH87" i="49"/>
  <c r="AC88" i="49"/>
  <c r="AH89" i="49"/>
  <c r="AH88" i="49"/>
  <c r="AM88" i="49"/>
  <c r="X89" i="49"/>
  <c r="AC89" i="49"/>
  <c r="AC90" i="49"/>
  <c r="AH90" i="49"/>
  <c r="AN87" i="49"/>
  <c r="AM90" i="49"/>
  <c r="G107" i="49"/>
  <c r="H107" i="49" s="1"/>
  <c r="M107" i="49"/>
  <c r="L107" i="49"/>
  <c r="T107" i="49"/>
  <c r="S107" i="49"/>
  <c r="Y107" i="49"/>
  <c r="X107" i="49"/>
  <c r="AI107" i="49"/>
  <c r="AH107" i="49"/>
  <c r="AN107" i="49"/>
  <c r="AM107" i="49"/>
  <c r="AS107" i="49"/>
  <c r="AR107" i="49"/>
  <c r="AW107" i="49"/>
  <c r="AX107" i="49"/>
  <c r="G108" i="49"/>
  <c r="K108" i="49"/>
  <c r="M108" i="49" s="1"/>
  <c r="AH108" i="49"/>
  <c r="G109" i="49"/>
  <c r="M30" i="19"/>
  <c r="K30" i="19" s="1"/>
  <c r="F35" i="56"/>
  <c r="H35" i="56"/>
  <c r="J35" i="56"/>
  <c r="L35" i="56"/>
  <c r="D36" i="56"/>
  <c r="F36" i="56"/>
  <c r="H36" i="56"/>
  <c r="J36" i="56"/>
  <c r="L36" i="56"/>
  <c r="U14" i="1"/>
  <c r="E11" i="1"/>
  <c r="D11" i="1"/>
  <c r="X34" i="1"/>
  <c r="V34" i="1" s="1"/>
  <c r="G87" i="49"/>
  <c r="G88" i="49"/>
  <c r="G89" i="49"/>
  <c r="G90" i="49"/>
  <c r="G7" i="49"/>
  <c r="G8" i="49"/>
  <c r="G9" i="49"/>
  <c r="G27" i="49"/>
  <c r="G28" i="49"/>
  <c r="G29" i="49"/>
  <c r="G47" i="49"/>
  <c r="G48" i="49"/>
  <c r="G49" i="49"/>
  <c r="G67" i="49"/>
  <c r="G68" i="49"/>
  <c r="G69" i="49"/>
  <c r="G70" i="49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53" i="48"/>
  <c r="G54" i="48"/>
  <c r="G55" i="48"/>
  <c r="G56" i="48"/>
  <c r="G57" i="48"/>
  <c r="G58" i="48"/>
  <c r="G59" i="48"/>
  <c r="G60" i="48"/>
  <c r="G61" i="48"/>
  <c r="G62" i="48"/>
  <c r="G63" i="48"/>
  <c r="G64" i="48"/>
  <c r="G65" i="48"/>
  <c r="G66" i="48"/>
  <c r="G68" i="48"/>
  <c r="G76" i="48"/>
  <c r="G77" i="48"/>
  <c r="G78" i="48"/>
  <c r="G79" i="48"/>
  <c r="G80" i="48"/>
  <c r="G81" i="48"/>
  <c r="G82" i="48"/>
  <c r="G83" i="48"/>
  <c r="G84" i="48"/>
  <c r="G85" i="48"/>
  <c r="G86" i="48"/>
  <c r="G87" i="48"/>
  <c r="G88" i="48"/>
  <c r="G90" i="48"/>
  <c r="G91" i="48"/>
  <c r="G99" i="48"/>
  <c r="G100" i="48"/>
  <c r="G101" i="48"/>
  <c r="G102" i="48"/>
  <c r="G103" i="48"/>
  <c r="G104" i="48"/>
  <c r="G105" i="48"/>
  <c r="G106" i="48"/>
  <c r="G107" i="48"/>
  <c r="G108" i="48"/>
  <c r="G109" i="48"/>
  <c r="G110" i="48"/>
  <c r="G111" i="48"/>
  <c r="G112" i="48"/>
  <c r="G114" i="48"/>
  <c r="G122" i="48"/>
  <c r="G123" i="48"/>
  <c r="G124" i="48"/>
  <c r="G125" i="48"/>
  <c r="G126" i="48"/>
  <c r="G127" i="48"/>
  <c r="G128" i="48"/>
  <c r="G129" i="48"/>
  <c r="G130" i="48"/>
  <c r="G131" i="48"/>
  <c r="G132" i="48"/>
  <c r="G133" i="48"/>
  <c r="G134" i="48"/>
  <c r="G135" i="48"/>
  <c r="G136" i="48"/>
  <c r="G137" i="48"/>
  <c r="L122" i="48"/>
  <c r="M122" i="48"/>
  <c r="M99" i="48"/>
  <c r="L99" i="48"/>
  <c r="M76" i="48"/>
  <c r="L76" i="48"/>
  <c r="L53" i="48"/>
  <c r="M53" i="48"/>
  <c r="M30" i="48"/>
  <c r="L30" i="48"/>
  <c r="L7" i="48"/>
  <c r="M7" i="48"/>
  <c r="H53" i="48"/>
  <c r="M22" i="19"/>
  <c r="K22" i="19" s="1"/>
  <c r="J13" i="6"/>
  <c r="N13" i="6"/>
  <c r="L13" i="6"/>
  <c r="AS7" i="48"/>
  <c r="AR7" i="48"/>
  <c r="AR19" i="48"/>
  <c r="AR16" i="48"/>
  <c r="N19" i="6"/>
  <c r="L19" i="6"/>
  <c r="AW17" i="48"/>
  <c r="AW19" i="48"/>
  <c r="AR20" i="48"/>
  <c r="X31" i="48"/>
  <c r="X40" i="48"/>
  <c r="X43" i="48"/>
  <c r="X33" i="48"/>
  <c r="X32" i="48"/>
  <c r="X36" i="48"/>
  <c r="X45" i="48"/>
  <c r="Y30" i="48"/>
  <c r="X41" i="48"/>
  <c r="AR89" i="48"/>
  <c r="AM114" i="48"/>
  <c r="AC107" i="48"/>
  <c r="Q5" i="3"/>
  <c r="N32" i="7"/>
  <c r="L9" i="6"/>
  <c r="J19" i="6"/>
  <c r="AR9" i="48"/>
  <c r="AM10" i="48"/>
  <c r="AC35" i="48"/>
  <c r="AC43" i="48"/>
  <c r="AC39" i="48"/>
  <c r="AC31" i="48"/>
  <c r="AD30" i="48"/>
  <c r="AC30" i="48"/>
  <c r="X39" i="48"/>
  <c r="S41" i="48"/>
  <c r="AM28" i="49"/>
  <c r="AN27" i="49"/>
  <c r="AM27" i="49"/>
  <c r="AM29" i="49"/>
  <c r="AM18" i="48"/>
  <c r="AM9" i="48"/>
  <c r="J31" i="5"/>
  <c r="AW9" i="48"/>
  <c r="AR10" i="48"/>
  <c r="AC12" i="48"/>
  <c r="X34" i="48"/>
  <c r="X37" i="48"/>
  <c r="S43" i="48"/>
  <c r="L23" i="6"/>
  <c r="N23" i="6"/>
  <c r="J23" i="6"/>
  <c r="T99" i="48"/>
  <c r="S103" i="48"/>
  <c r="S112" i="48"/>
  <c r="S114" i="48"/>
  <c r="S110" i="48"/>
  <c r="S108" i="48"/>
  <c r="S113" i="48"/>
  <c r="S100" i="48"/>
  <c r="S107" i="48"/>
  <c r="S111" i="48"/>
  <c r="S104" i="48"/>
  <c r="S99" i="48"/>
  <c r="S89" i="49"/>
  <c r="K89" i="49"/>
  <c r="S87" i="49"/>
  <c r="S88" i="49"/>
  <c r="G19" i="6"/>
  <c r="AM82" i="48"/>
  <c r="AM79" i="48"/>
  <c r="AM91" i="48"/>
  <c r="AC10" i="48"/>
  <c r="AR18" i="48"/>
  <c r="AR8" i="48"/>
  <c r="G19" i="7"/>
  <c r="L19" i="7"/>
  <c r="N19" i="7"/>
  <c r="J19" i="7"/>
  <c r="L16" i="6"/>
  <c r="N16" i="6"/>
  <c r="AR11" i="48"/>
  <c r="AM12" i="48"/>
  <c r="AM13" i="48"/>
  <c r="AC14" i="48"/>
  <c r="AM36" i="48"/>
  <c r="AN30" i="48"/>
  <c r="AM32" i="48"/>
  <c r="AM35" i="48"/>
  <c r="AM30" i="48"/>
  <c r="AM37" i="48"/>
  <c r="AM45" i="48"/>
  <c r="AM38" i="48"/>
  <c r="AM34" i="48"/>
  <c r="AM43" i="48"/>
  <c r="AC44" i="48"/>
  <c r="AC67" i="48"/>
  <c r="AC58" i="48"/>
  <c r="AC64" i="48"/>
  <c r="AR82" i="48"/>
  <c r="AC21" i="48"/>
  <c r="J9" i="6"/>
  <c r="AR12" i="48"/>
  <c r="AR36" i="48"/>
  <c r="AR33" i="48"/>
  <c r="AC18" i="48"/>
  <c r="AC8" i="48"/>
  <c r="AM110" i="48"/>
  <c r="AM101" i="48"/>
  <c r="AM112" i="48"/>
  <c r="P17" i="3"/>
  <c r="AW21" i="48"/>
  <c r="AX7" i="48"/>
  <c r="AR17" i="48"/>
  <c r="J29" i="7"/>
  <c r="L29" i="7"/>
  <c r="N29" i="7"/>
  <c r="G33" i="6"/>
  <c r="J36" i="6"/>
  <c r="N36" i="6"/>
  <c r="L36" i="6"/>
  <c r="Y7" i="48"/>
  <c r="X7" i="48"/>
  <c r="AM14" i="48"/>
  <c r="AR39" i="48"/>
  <c r="AM56" i="48"/>
  <c r="AN53" i="48"/>
  <c r="AM60" i="48"/>
  <c r="AM57" i="48"/>
  <c r="AM59" i="48"/>
  <c r="AM63" i="48"/>
  <c r="AM67" i="48"/>
  <c r="AR79" i="48"/>
  <c r="AW80" i="48"/>
  <c r="AX76" i="48"/>
  <c r="AW90" i="48"/>
  <c r="AM20" i="48"/>
  <c r="S32" i="48"/>
  <c r="S30" i="48"/>
  <c r="S35" i="48"/>
  <c r="S36" i="48"/>
  <c r="N26" i="6"/>
  <c r="L26" i="6"/>
  <c r="AM8" i="48"/>
  <c r="L32" i="7"/>
  <c r="G26" i="6"/>
  <c r="AW22" i="48"/>
  <c r="X44" i="48"/>
  <c r="AW11" i="48"/>
  <c r="AR13" i="48"/>
  <c r="AC20" i="48"/>
  <c r="AW13" i="48"/>
  <c r="AR14" i="48"/>
  <c r="AC16" i="48"/>
  <c r="AW35" i="48"/>
  <c r="AW30" i="48"/>
  <c r="AX30" i="48"/>
  <c r="AW36" i="48"/>
  <c r="AW39" i="48"/>
  <c r="AH65" i="48"/>
  <c r="AH61" i="48"/>
  <c r="AH57" i="48"/>
  <c r="AI53" i="48"/>
  <c r="AH68" i="48"/>
  <c r="AH53" i="48"/>
  <c r="AH8" i="48"/>
  <c r="AW20" i="48"/>
  <c r="AC34" i="48"/>
  <c r="AH40" i="48"/>
  <c r="AC83" i="48"/>
  <c r="AC78" i="48"/>
  <c r="AC81" i="48"/>
  <c r="AH34" i="48"/>
  <c r="X38" i="48"/>
  <c r="AH64" i="48"/>
  <c r="G26" i="7"/>
  <c r="J36" i="7"/>
  <c r="J10" i="6"/>
  <c r="AC38" i="48"/>
  <c r="AM44" i="48"/>
  <c r="AH59" i="48"/>
  <c r="S66" i="48"/>
  <c r="AH109" i="48"/>
  <c r="N16" i="7"/>
  <c r="J23" i="7"/>
  <c r="L26" i="7"/>
  <c r="J33" i="7"/>
  <c r="N36" i="7"/>
  <c r="H7" i="6"/>
  <c r="L10" i="6"/>
  <c r="J20" i="6"/>
  <c r="AC7" i="48"/>
  <c r="AC19" i="48"/>
  <c r="AM21" i="48"/>
  <c r="AW33" i="48"/>
  <c r="X35" i="48"/>
  <c r="S39" i="48"/>
  <c r="AW40" i="48"/>
  <c r="AH41" i="48"/>
  <c r="X54" i="48"/>
  <c r="AW57" i="48"/>
  <c r="AH60" i="48"/>
  <c r="AH80" i="48"/>
  <c r="AH85" i="48"/>
  <c r="AH78" i="48"/>
  <c r="AH91" i="48"/>
  <c r="AH76" i="48"/>
  <c r="AH82" i="48"/>
  <c r="S129" i="48"/>
  <c r="AM68" i="49"/>
  <c r="AM67" i="49"/>
  <c r="AM69" i="49"/>
  <c r="AC70" i="49"/>
  <c r="C18" i="13"/>
  <c r="H7" i="7"/>
  <c r="N23" i="7"/>
  <c r="N26" i="7"/>
  <c r="N33" i="7"/>
  <c r="L20" i="6"/>
  <c r="AD7" i="48"/>
  <c r="AC17" i="48"/>
  <c r="AW18" i="48"/>
  <c r="AH19" i="48"/>
  <c r="AR21" i="48"/>
  <c r="AH39" i="48"/>
  <c r="AR45" i="48"/>
  <c r="AR31" i="48"/>
  <c r="AR37" i="48"/>
  <c r="AH38" i="48"/>
  <c r="AM41" i="48"/>
  <c r="X42" i="48"/>
  <c r="AH45" i="48"/>
  <c r="AR53" i="48"/>
  <c r="AW58" i="48"/>
  <c r="X66" i="48"/>
  <c r="AW68" i="48"/>
  <c r="AI76" i="48"/>
  <c r="X84" i="48"/>
  <c r="Y76" i="48"/>
  <c r="X76" i="48"/>
  <c r="X79" i="48"/>
  <c r="X78" i="48"/>
  <c r="X86" i="48"/>
  <c r="X88" i="48"/>
  <c r="AR91" i="48"/>
  <c r="AH102" i="48"/>
  <c r="X109" i="48"/>
  <c r="AN67" i="49"/>
  <c r="S38" i="48"/>
  <c r="AS87" i="49"/>
  <c r="AR87" i="49"/>
  <c r="AR43" i="48"/>
  <c r="AM68" i="48"/>
  <c r="AC114" i="48"/>
  <c r="AX87" i="49"/>
  <c r="AW87" i="49"/>
  <c r="G33" i="7"/>
  <c r="AC60" i="48"/>
  <c r="AD76" i="48"/>
  <c r="AM83" i="48"/>
  <c r="J17" i="7"/>
  <c r="J37" i="7"/>
  <c r="L24" i="6"/>
  <c r="L37" i="6"/>
  <c r="AI7" i="48"/>
  <c r="AC9" i="48"/>
  <c r="AC13" i="48"/>
  <c r="AM19" i="48"/>
  <c r="AH30" i="48"/>
  <c r="AH32" i="48"/>
  <c r="S33" i="48"/>
  <c r="AR34" i="48"/>
  <c r="AC42" i="48"/>
  <c r="AH54" i="48"/>
  <c r="X55" i="48"/>
  <c r="X61" i="48"/>
  <c r="S62" i="48"/>
  <c r="AC66" i="48"/>
  <c r="AM78" i="48"/>
  <c r="AM88" i="48"/>
  <c r="AM77" i="48"/>
  <c r="AN76" i="48"/>
  <c r="AM80" i="48"/>
  <c r="AM76" i="48"/>
  <c r="X80" i="48"/>
  <c r="X81" i="48"/>
  <c r="AM84" i="48"/>
  <c r="AH86" i="48"/>
  <c r="AS99" i="48"/>
  <c r="AR99" i="48"/>
  <c r="AM102" i="48"/>
  <c r="AM100" i="48"/>
  <c r="AM99" i="48"/>
  <c r="AM103" i="48"/>
  <c r="S133" i="48"/>
  <c r="AM107" i="48"/>
  <c r="AC68" i="49"/>
  <c r="AC67" i="49"/>
  <c r="AD67" i="49"/>
  <c r="K68" i="49"/>
  <c r="AR40" i="48"/>
  <c r="AR57" i="48"/>
  <c r="AS53" i="48"/>
  <c r="AR68" i="48"/>
  <c r="L17" i="7"/>
  <c r="N24" i="6"/>
  <c r="N37" i="6"/>
  <c r="AH7" i="48"/>
  <c r="AW8" i="48"/>
  <c r="AW10" i="48"/>
  <c r="AC11" i="48"/>
  <c r="AW12" i="48"/>
  <c r="AW14" i="48"/>
  <c r="AC15" i="48"/>
  <c r="AW16" i="48"/>
  <c r="AH17" i="48"/>
  <c r="AC22" i="48"/>
  <c r="AM31" i="48"/>
  <c r="AW37" i="48"/>
  <c r="AR41" i="48"/>
  <c r="AW53" i="48"/>
  <c r="AM54" i="48"/>
  <c r="AC55" i="48"/>
  <c r="S56" i="48"/>
  <c r="AH66" i="48"/>
  <c r="AR90" i="48"/>
  <c r="AH77" i="48"/>
  <c r="AR85" i="48"/>
  <c r="AM86" i="48"/>
  <c r="AH103" i="48"/>
  <c r="AH105" i="48"/>
  <c r="AH101" i="48"/>
  <c r="AI99" i="48"/>
  <c r="AH108" i="48"/>
  <c r="AH99" i="48"/>
  <c r="AS27" i="49"/>
  <c r="AR27" i="49"/>
  <c r="AR28" i="49"/>
  <c r="AR29" i="49"/>
  <c r="AH10" i="48"/>
  <c r="AC41" i="48"/>
  <c r="AC76" i="48"/>
  <c r="AC101" i="48"/>
  <c r="L16" i="7"/>
  <c r="AC84" i="48"/>
  <c r="AH13" i="48"/>
  <c r="AH42" i="48"/>
  <c r="AR60" i="48"/>
  <c r="AR84" i="48"/>
  <c r="AC89" i="48"/>
  <c r="AC110" i="48"/>
  <c r="S123" i="48"/>
  <c r="J8" i="7"/>
  <c r="N34" i="6"/>
  <c r="AR32" i="48"/>
  <c r="AW38" i="48"/>
  <c r="AW41" i="48"/>
  <c r="S44" i="48"/>
  <c r="Y53" i="48"/>
  <c r="AW63" i="48"/>
  <c r="AW59" i="48"/>
  <c r="AW55" i="48"/>
  <c r="S57" i="48"/>
  <c r="AW60" i="48"/>
  <c r="AC62" i="48"/>
  <c r="AR66" i="48"/>
  <c r="AR78" i="48"/>
  <c r="AH81" i="48"/>
  <c r="AM87" i="48"/>
  <c r="AC90" i="48"/>
  <c r="X105" i="48"/>
  <c r="AC111" i="48"/>
  <c r="S131" i="48"/>
  <c r="K29" i="49"/>
  <c r="S29" i="49"/>
  <c r="S60" i="48"/>
  <c r="AH12" i="48"/>
  <c r="AH14" i="48"/>
  <c r="AH16" i="48"/>
  <c r="AH44" i="48"/>
  <c r="S54" i="48"/>
  <c r="AH58" i="48"/>
  <c r="S85" i="48"/>
  <c r="X106" i="48"/>
  <c r="Y99" i="48"/>
  <c r="X99" i="48"/>
  <c r="X113" i="48"/>
  <c r="X111" i="48"/>
  <c r="X107" i="48"/>
  <c r="X101" i="48"/>
  <c r="S122" i="48"/>
  <c r="T122" i="48"/>
  <c r="AH31" i="48"/>
  <c r="AH9" i="48"/>
  <c r="AH22" i="48"/>
  <c r="AR38" i="48"/>
  <c r="S40" i="48"/>
  <c r="AX53" i="48"/>
  <c r="AR54" i="48"/>
  <c r="AM66" i="48"/>
  <c r="S82" i="48"/>
  <c r="AR86" i="48"/>
  <c r="L11" i="7"/>
  <c r="L14" i="7"/>
  <c r="J18" i="7"/>
  <c r="L21" i="7"/>
  <c r="L31" i="7"/>
  <c r="L8" i="6"/>
  <c r="J18" i="6"/>
  <c r="N21" i="6"/>
  <c r="J25" i="6"/>
  <c r="J28" i="6"/>
  <c r="N31" i="6"/>
  <c r="J38" i="6"/>
  <c r="AM7" i="48"/>
  <c r="AH20" i="48"/>
  <c r="AM22" i="48"/>
  <c r="S37" i="48"/>
  <c r="N8" i="6"/>
  <c r="G12" i="6"/>
  <c r="J15" i="6"/>
  <c r="N18" i="6"/>
  <c r="L25" i="6"/>
  <c r="N28" i="6"/>
  <c r="AM11" i="48"/>
  <c r="AM15" i="48"/>
  <c r="T30" i="48"/>
  <c r="S31" i="48"/>
  <c r="AH33" i="48"/>
  <c r="S34" i="48"/>
  <c r="AR35" i="48"/>
  <c r="AC65" i="48"/>
  <c r="AW54" i="48"/>
  <c r="AM65" i="48"/>
  <c r="AM61" i="48"/>
  <c r="AM64" i="48"/>
  <c r="AM55" i="48"/>
  <c r="X53" i="48"/>
  <c r="X57" i="48"/>
  <c r="X63" i="48"/>
  <c r="X65" i="48"/>
  <c r="X62" i="48"/>
  <c r="AR61" i="48"/>
  <c r="AC63" i="48"/>
  <c r="AH67" i="48"/>
  <c r="AW77" i="48"/>
  <c r="AW89" i="48"/>
  <c r="AW88" i="48"/>
  <c r="AW83" i="48"/>
  <c r="AW78" i="48"/>
  <c r="AR87" i="48"/>
  <c r="AH110" i="48"/>
  <c r="AC112" i="48"/>
  <c r="AH36" i="48"/>
  <c r="AM40" i="48"/>
  <c r="AM42" i="48"/>
  <c r="AR44" i="48"/>
  <c r="AC45" i="48"/>
  <c r="AC56" i="48"/>
  <c r="AM58" i="48"/>
  <c r="AC59" i="48"/>
  <c r="X77" i="48"/>
  <c r="AH84" i="48"/>
  <c r="AH89" i="48"/>
  <c r="S90" i="48"/>
  <c r="AH112" i="48"/>
  <c r="AM7" i="49"/>
  <c r="AH28" i="49"/>
  <c r="AI27" i="49"/>
  <c r="X90" i="49"/>
  <c r="X87" i="49"/>
  <c r="AM53" i="48"/>
  <c r="S55" i="48"/>
  <c r="AR58" i="48"/>
  <c r="AR67" i="48"/>
  <c r="AC77" i="48"/>
  <c r="S78" i="48"/>
  <c r="AC85" i="48"/>
  <c r="AM89" i="48"/>
  <c r="X90" i="48"/>
  <c r="S105" i="48"/>
  <c r="AM108" i="48"/>
  <c r="K49" i="49"/>
  <c r="S49" i="49"/>
  <c r="AC48" i="49"/>
  <c r="K48" i="49"/>
  <c r="AD47" i="49"/>
  <c r="K67" i="49"/>
  <c r="S68" i="49"/>
  <c r="T67" i="49"/>
  <c r="S67" i="49"/>
  <c r="AC33" i="48"/>
  <c r="AC37" i="48"/>
  <c r="AW42" i="48"/>
  <c r="S63" i="48"/>
  <c r="X60" i="48"/>
  <c r="AH62" i="48"/>
  <c r="AW64" i="48"/>
  <c r="S86" i="48"/>
  <c r="S79" i="48"/>
  <c r="S89" i="48"/>
  <c r="AW76" i="48"/>
  <c r="AM81" i="48"/>
  <c r="AM85" i="48"/>
  <c r="AC100" i="48"/>
  <c r="AD99" i="48"/>
  <c r="S106" i="48"/>
  <c r="AC113" i="48"/>
  <c r="X114" i="48"/>
  <c r="AW28" i="49"/>
  <c r="AX27" i="49"/>
  <c r="AW29" i="49"/>
  <c r="AH48" i="49"/>
  <c r="AI47" i="49"/>
  <c r="AH47" i="49"/>
  <c r="AC49" i="49"/>
  <c r="K27" i="49"/>
  <c r="S28" i="49"/>
  <c r="S27" i="49"/>
  <c r="AW34" i="48"/>
  <c r="AH43" i="48"/>
  <c r="X68" i="48"/>
  <c r="AC68" i="48"/>
  <c r="AC61" i="48"/>
  <c r="AC57" i="48"/>
  <c r="AR62" i="48"/>
  <c r="S67" i="48"/>
  <c r="T76" i="48"/>
  <c r="S83" i="48"/>
  <c r="AW84" i="48"/>
  <c r="AW85" i="48"/>
  <c r="X87" i="48"/>
  <c r="AM90" i="48"/>
  <c r="AM111" i="48"/>
  <c r="S102" i="48"/>
  <c r="AC109" i="48"/>
  <c r="X110" i="48"/>
  <c r="AH114" i="48"/>
  <c r="Y122" i="48"/>
  <c r="X122" i="48"/>
  <c r="T27" i="49"/>
  <c r="AH49" i="49"/>
  <c r="X88" i="49"/>
  <c r="AC107" i="49"/>
  <c r="AD107" i="49"/>
  <c r="AI30" i="48"/>
  <c r="AR22" i="48"/>
  <c r="S42" i="48"/>
  <c r="AC54" i="48"/>
  <c r="S58" i="48"/>
  <c r="S64" i="48"/>
  <c r="AR65" i="48"/>
  <c r="X67" i="48"/>
  <c r="X91" i="48"/>
  <c r="AR77" i="48"/>
  <c r="AR83" i="48"/>
  <c r="AS76" i="48"/>
  <c r="AR76" i="48"/>
  <c r="AC79" i="48"/>
  <c r="S80" i="48"/>
  <c r="S88" i="48"/>
  <c r="AC91" i="48"/>
  <c r="X102" i="48"/>
  <c r="K28" i="49"/>
  <c r="AR49" i="49"/>
  <c r="AR48" i="49"/>
  <c r="AH79" i="48"/>
  <c r="AR80" i="48"/>
  <c r="AC86" i="48"/>
  <c r="AN99" i="48"/>
  <c r="AM106" i="48"/>
  <c r="S109" i="48"/>
  <c r="S137" i="48"/>
  <c r="K9" i="49"/>
  <c r="Y47" i="49"/>
  <c r="X47" i="49"/>
  <c r="AM70" i="49"/>
  <c r="K87" i="49"/>
  <c r="AW67" i="49"/>
  <c r="AW68" i="49"/>
  <c r="X100" i="48"/>
  <c r="AS67" i="49"/>
  <c r="AR67" i="49"/>
  <c r="AH68" i="49"/>
  <c r="AI67" i="49"/>
  <c r="AH70" i="49"/>
  <c r="K69" i="49"/>
  <c r="M69" i="49" s="1"/>
  <c r="AR70" i="49"/>
  <c r="S77" i="48"/>
  <c r="AW91" i="48"/>
  <c r="X104" i="48"/>
  <c r="Y27" i="49"/>
  <c r="X27" i="49"/>
  <c r="AX67" i="49"/>
  <c r="X69" i="49"/>
  <c r="AD87" i="49"/>
  <c r="AC87" i="49"/>
  <c r="S90" i="49"/>
  <c r="AR55" i="48"/>
  <c r="AR59" i="48"/>
  <c r="AR63" i="48"/>
  <c r="AW79" i="48"/>
  <c r="AC80" i="48"/>
  <c r="AR81" i="48"/>
  <c r="X82" i="48"/>
  <c r="S84" i="48"/>
  <c r="S91" i="48"/>
  <c r="AX99" i="48"/>
  <c r="AH100" i="48"/>
  <c r="AC104" i="48"/>
  <c r="AM105" i="48"/>
  <c r="AH111" i="48"/>
  <c r="AH113" i="48"/>
  <c r="AS7" i="49"/>
  <c r="AR7" i="49"/>
  <c r="AR9" i="49"/>
  <c r="X29" i="49"/>
  <c r="AM49" i="49"/>
  <c r="AC69" i="49"/>
  <c r="S53" i="48"/>
  <c r="AW81" i="48"/>
  <c r="AC87" i="48"/>
  <c r="X89" i="48"/>
  <c r="AC99" i="48"/>
  <c r="AC102" i="48"/>
  <c r="X108" i="48"/>
  <c r="AM113" i="48"/>
  <c r="AC27" i="49"/>
  <c r="AC29" i="49"/>
  <c r="X68" i="49"/>
  <c r="Y67" i="49"/>
  <c r="X67" i="49"/>
  <c r="S59" i="48"/>
  <c r="AC82" i="48"/>
  <c r="AW86" i="48"/>
  <c r="AH87" i="48"/>
  <c r="AR88" i="48"/>
  <c r="S101" i="48"/>
  <c r="AH104" i="48"/>
  <c r="AC108" i="48"/>
  <c r="AM109" i="48"/>
  <c r="AD27" i="49"/>
  <c r="AH69" i="49"/>
  <c r="S70" i="49"/>
  <c r="S81" i="48"/>
  <c r="AC106" i="48"/>
  <c r="X112" i="48"/>
  <c r="Y7" i="49"/>
  <c r="X7" i="49"/>
  <c r="AH8" i="49"/>
  <c r="AI7" i="49"/>
  <c r="K47" i="49"/>
  <c r="S48" i="49"/>
  <c r="AS47" i="49"/>
  <c r="AR47" i="49"/>
  <c r="X48" i="49"/>
  <c r="K88" i="49"/>
  <c r="M88" i="49" s="1"/>
  <c r="T87" i="49"/>
  <c r="D9" i="1"/>
  <c r="AC9" i="49"/>
  <c r="W7" i="1"/>
  <c r="O14" i="1"/>
  <c r="M9" i="49" l="1"/>
  <c r="M8" i="49"/>
  <c r="M7" i="49"/>
  <c r="L7" i="49"/>
  <c r="M48" i="49"/>
  <c r="M29" i="49"/>
  <c r="H122" i="48"/>
  <c r="H99" i="48"/>
  <c r="H76" i="48"/>
  <c r="H30" i="48"/>
  <c r="H7" i="48"/>
  <c r="H67" i="49"/>
  <c r="H47" i="49"/>
  <c r="H27" i="49"/>
  <c r="H7" i="49"/>
  <c r="H87" i="49"/>
  <c r="M85" i="48"/>
  <c r="M77" i="48"/>
  <c r="M78" i="48"/>
  <c r="M79" i="48"/>
  <c r="M80" i="48"/>
  <c r="M81" i="48"/>
  <c r="M82" i="48"/>
  <c r="M83" i="48"/>
  <c r="M84" i="48"/>
  <c r="M68" i="48"/>
  <c r="M66" i="48"/>
  <c r="M67" i="48"/>
  <c r="M65" i="48"/>
  <c r="M61" i="48"/>
  <c r="M62" i="48"/>
  <c r="M63" i="48"/>
  <c r="M64" i="48"/>
  <c r="M60" i="48"/>
  <c r="M57" i="48"/>
  <c r="M58" i="48"/>
  <c r="M59" i="48"/>
  <c r="M56" i="48"/>
  <c r="M54" i="48"/>
  <c r="M55" i="48"/>
  <c r="M32" i="48"/>
  <c r="M31" i="48"/>
  <c r="L87" i="49"/>
  <c r="M87" i="49"/>
  <c r="M89" i="49"/>
  <c r="M47" i="49"/>
  <c r="L47" i="49"/>
  <c r="C1" i="48"/>
  <c r="M68" i="49"/>
  <c r="M28" i="49"/>
  <c r="M49" i="49"/>
  <c r="M27" i="49"/>
  <c r="L27" i="49"/>
  <c r="M67" i="49"/>
  <c r="L67" i="49"/>
  <c r="M70" i="49"/>
  <c r="M90" i="49"/>
  <c r="C1" i="4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<sst xmlns="http://schemas.openxmlformats.org/spreadsheetml/2006/main" count="2434" uniqueCount="413">
  <si>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</si>
  <si>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</si>
  <si>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工廠</t>
  </si>
  <si>
    <t>長家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</si>
  <si>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</si>
  <si>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</si>
  <si>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</si>
  <si>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</si>
  <si>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當月</t>
  </si>
  <si>
    <t>前月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</si>
  <si>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</si>
  <si>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</si>
  <si>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</si>
  <si>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</si>
  <si>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</si>
  <si>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</si>
  <si>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</si>
  <si>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</si>
  <si>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</si>
  <si>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</si>
  <si>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</si>
  <si>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</si>
  <si>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</si>
  <si>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</si>
  <si>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</si>
  <si>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</si>
  <si>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</si>
  <si>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</si>
  <si>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</si>
  <si>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</si>
  <si>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</si>
  <si>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</si>
  <si>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</si>
  <si>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</si>
  <si>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</si>
  <si>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</si>
  <si>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</si>
  <si>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</si>
  <si>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</si>
  <si>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</si>
  <si>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</si>
  <si>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</si>
  <si>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</si>
  <si>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</si>
  <si>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</si>
  <si>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</si>
  <si>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</si>
  <si>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</si>
  <si>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</si>
  <si>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</si>
  <si>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</si>
  <si>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</si>
  <si>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</si>
  <si>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一</t>
  </si>
  <si>
    <t>四</t>
  </si>
  <si>
    <t>五</t>
  </si>
  <si>
    <t>六</t>
  </si>
  <si>
    <t>二</t>
  </si>
  <si>
    <t>三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</si>
  <si>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</si>
  <si>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</si>
  <si>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</si>
  <si>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</si>
  <si>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</si>
  <si>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</si>
  <si>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</si>
  <si>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</si>
  <si>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</si>
  <si>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</si>
  <si>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</si>
  <si>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</si>
  <si>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</si>
  <si>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</si>
  <si>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</si>
  <si>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</si>
  <si>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</si>
  <si>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</si>
  <si>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</si>
  <si>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</si>
  <si>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</si>
  <si>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</si>
  <si>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</si>
  <si>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</si>
  <si>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</si>
  <si>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</si>
  <si>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</si>
  <si>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</si>
  <si>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</si>
  <si>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</si>
  <si>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</si>
  <si>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</si>
  <si>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</si>
  <si>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</si>
  <si>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</si>
  <si>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</si>
  <si>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</si>
  <si>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</si>
  <si>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</si>
  <si>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</si>
  <si>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</si>
  <si>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</si>
  <si>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</si>
  <si>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</si>
  <si>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焗烤明太子筆尖麵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</si>
  <si>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</si>
  <si>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</si>
  <si>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</si>
  <si>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</si>
  <si>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</si>
  <si>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</si>
  <si>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</si>
  <si>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</si>
  <si>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</si>
  <si>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</si>
  <si>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小滷青蔬</t>
  </si>
  <si>
    <t>起司馬鈴薯</t>
  </si>
  <si>
    <t>台式綜合甜不辣</t>
  </si>
  <si>
    <t>三杯菇菇米血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</si>
  <si>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</si>
  <si>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</si>
  <si>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</si>
  <si>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</si>
  <si>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</si>
  <si>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</si>
  <si>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</si>
  <si>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</si>
  <si>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</si>
  <si>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</si>
  <si>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12月未將幹部計入，1月修正</t>
  </si>
  <si>
    <t>▼1</t>
  </si>
  <si>
    <t>人員增加10→16</t>
  </si>
  <si>
    <t>▼2</t>
  </si>
  <si>
    <t>人員增加12→15</t>
  </si>
  <si>
    <t>▼3</t>
  </si>
  <si>
    <t>▼4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</si>
  <si>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</si>
  <si>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</si>
  <si>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生產量少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</si>
  <si>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</si>
  <si>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合計</t>
  </si>
  <si>
    <t>展開量高於需求量</t>
    <phoneticPr fontId="1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</si>
  <si>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</si>
  <si>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</si>
  <si>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</si>
  <si>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</si>
  <si>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</si>
  <si>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</si>
  <si>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</si>
  <si>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</si>
  <si>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</si>
  <si>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</si>
  <si>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</si>
  <si>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</si>
  <si>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t>展開量高於１０5％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</si>
  <si>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</si>
  <si>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</si>
  <si>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</si>
  <si>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</si>
  <si>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</si>
  <si>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</si>
  <si>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義麵-乳酪青醬(114年)</t>
  </si>
  <si>
    <t>預估大於訂單→調整配料模式-依PBOA</t>
  </si>
  <si>
    <t>剝皮辣椒雞奶油細扁麵</t>
  </si>
  <si>
    <t>義麵-剝皮辣椒奶醬</t>
  </si>
  <si>
    <t>預估大於訂單→依生管預估90%</t>
  </si>
  <si>
    <t>青醬蛤蜊義大利麵</t>
    <phoneticPr fontId="19" type="noConversion"/>
  </si>
  <si>
    <t>義麵-奶青醬(114年)</t>
    <phoneticPr fontId="19" type="noConversion"/>
  </si>
  <si>
    <t>預估大於訂單→減少夜班重工，依生管預估全數配料</t>
  </si>
  <si>
    <t>焗烤奶油白醬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</si>
  <si>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</si>
  <si>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</si>
  <si>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</si>
  <si>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滷-切片高麗菜</t>
  </si>
  <si>
    <t>超用超補→教育訓練增加抓樣穩定度</t>
  </si>
  <si>
    <t>煮黑雞冠生義大利麵</t>
  </si>
  <si>
    <t>府城鹽水意麵</t>
    <phoneticPr fontId="19" type="noConversion"/>
  </si>
  <si>
    <t>川燙油菜</t>
    <phoneticPr fontId="19" type="noConversion"/>
  </si>
  <si>
    <t>奶油起司蝦仁通心粉</t>
    <phoneticPr fontId="19" type="noConversion"/>
  </si>
  <si>
    <t>煮單色彎管麵</t>
    <phoneticPr fontId="19" type="noConversion"/>
  </si>
  <si>
    <t>韓式炸雞義大利麵</t>
    <phoneticPr fontId="19" type="noConversion"/>
  </si>
  <si>
    <t>拌韓式炸雞</t>
    <phoneticPr fontId="19" type="noConversion"/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</si>
  <si>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</si>
  <si>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</si>
  <si>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鮮食雙色起司絲</t>
  </si>
  <si>
    <t>教育訓練增加抓樣穩定度</t>
  </si>
  <si>
    <t>烤熟杏仁角混花生角混帕瑪森乾酪絲</t>
  </si>
  <si>
    <t>2片8G</t>
  </si>
  <si>
    <r>
      <rPr>
        <sz val="11"/>
        <color theme="1"/>
        <rFont val="新細明體"/>
        <family val="2"/>
        <charset val="136"/>
      </rPr>
      <t>瀝水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新細明體"/>
        <family val="2"/>
        <charset val="136"/>
      </rPr>
      <t>白蘿蔔塊</t>
    </r>
  </si>
  <si>
    <t>甜不辣不足重,補重用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</si>
  <si>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</si>
  <si>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</si>
  <si>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</si>
  <si>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</si>
  <si>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</si>
  <si>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</si>
  <si>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</si>
  <si>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</si>
  <si>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</si>
  <si>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</si>
  <si>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</si>
  <si>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</si>
  <si>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</si>
  <si>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</si>
  <si>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</si>
  <si>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</si>
  <si>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</si>
  <si>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</si>
  <si>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</si>
  <si>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</si>
  <si>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</si>
  <si>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</si>
  <si>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</si>
  <si>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</si>
  <si>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</si>
  <si>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</si>
  <si>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</si>
  <si>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</si>
  <si>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</si>
  <si>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</si>
  <si>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</si>
  <si>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</si>
  <si>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</si>
  <si>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</si>
  <si>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</si>
  <si>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</si>
  <si>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生管預估</t>
  </si>
  <si>
    <t>預估大於訂單</t>
  </si>
  <si>
    <t>調整配料模式-依PBOA</t>
  </si>
  <si>
    <t>月前二十</t>
  </si>
  <si>
    <t>調整配料模式-依生管預估90%</t>
  </si>
  <si>
    <t>義麵-辣香菜醬</t>
  </si>
  <si>
    <t>義麵-奶青醬(114年)</t>
  </si>
  <si>
    <t>減少夜班重工，依生管預估全數配料</t>
  </si>
  <si>
    <t>煮青花椒湯凍(114年)</t>
  </si>
  <si>
    <t>義麵-韓式辣奶油白醬(114年)</t>
  </si>
  <si>
    <t>調理</t>
  </si>
  <si>
    <t>調理多產</t>
  </si>
  <si>
    <t>製成率合理範圍</t>
  </si>
  <si>
    <t>韓式炸雞義大利麵</t>
  </si>
  <si>
    <t>焗烤-蕃茄紅醬</t>
  </si>
  <si>
    <t>包裝</t>
  </si>
  <si>
    <t>超用超補</t>
    <phoneticPr fontId="19" type="noConversion"/>
  </si>
  <si>
    <t>煮意麵肉燥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</si>
  <si>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</si>
  <si>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研發</t>
  </si>
  <si>
    <t>2片8G以上</t>
  </si>
  <si>
    <t>義麵-蒜味奶油湯凍</t>
  </si>
  <si>
    <t>川燙小平菇</t>
  </si>
  <si>
    <t>步留因素</t>
  </si>
  <si>
    <t>蒸-米血塊</t>
  </si>
  <si>
    <t>川燙油菜</t>
  </si>
  <si>
    <t>煮單色彎管麵</t>
  </si>
  <si>
    <t>炒醬油杏鮑菇</t>
  </si>
  <si>
    <t>拌韓式炸雞</t>
  </si>
  <si>
    <t>超用超補</t>
  </si>
  <si>
    <t>油炒香菜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</si>
  <si>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</si>
  <si>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</si>
  <si>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2片8G以上</t>
    <phoneticPr fontId="19" type="noConversion"/>
  </si>
  <si>
    <t>帕瑪森乾酪粉</t>
  </si>
  <si>
    <t>紅切達起司絲</t>
  </si>
  <si>
    <t>自製乳酪起司</t>
  </si>
  <si>
    <t>解凍黑胡椒燻豬腿肉</t>
  </si>
  <si>
    <t>解凍黑胡椒燻豬腿肉(湖)</t>
  </si>
  <si>
    <t>瀝水-白蘿蔔塊</t>
  </si>
  <si>
    <t>甜不辣放4條不足重以白蘿蔔塊補重</t>
  </si>
  <si>
    <t>解凍-YAMAYA明太子</t>
  </si>
  <si>
    <t>香濃起司馬鈴薯</t>
  </si>
  <si>
    <t>調理包-三杯醬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</si>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</sst>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2"/>
      <color rgb="FF000000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9"/>
      <name val="Arial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1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5" fillId="0" borderId="0"/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2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13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1" fillId="0" borderId="0" xfId="0" applyFont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1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3" fillId="0" borderId="0" xfId="0" applyFont="1"/>
    <xf numFmtId="0" fontId="44" fillId="0" borderId="0" xfId="0" applyFont="1"/>
    <xf numFmtId="10" fontId="41" fillId="0" borderId="0" xfId="0" applyNumberFormat="1" applyFont="1" applyAlignment="1">
      <alignment shrinkToFit="1"/>
    </xf>
    <xf numFmtId="0" fontId="42" fillId="0" borderId="0" xfId="0" applyFont="1"/>
    <xf numFmtId="0" fontId="45" fillId="0" borderId="22" xfId="0" applyFont="1" applyBorder="1" applyAlignment="1">
      <alignment horizontal="center" vertical="center" shrinkToFit="1"/>
    </xf>
    <xf numFmtId="0" fontId="45" fillId="9" borderId="22" xfId="0" applyFont="1" applyFill="1" applyBorder="1" applyAlignment="1">
      <alignment horizontal="center" vertical="center" shrinkToFit="1"/>
    </xf>
    <xf numFmtId="0" fontId="41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1" fillId="0" borderId="22" xfId="0" applyFont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0" fontId="13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3" fillId="0" borderId="0" xfId="0" applyFont="1" applyAlignment="1">
      <alignment horizontal="right" shrinkToFit="1"/>
    </xf>
    <xf numFmtId="0" fontId="16" fillId="0" borderId="0" xfId="0" applyFont="1" applyAlignment="1">
      <alignment shrinkToFit="1"/>
    </xf>
    <xf numFmtId="0" fontId="14" fillId="0" borderId="0" xfId="0" applyFont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83" fontId="0" fillId="0" borderId="22" xfId="0" applyNumberFormat="1" applyBorder="1" applyAlignment="1">
      <alignment horizontal="center" vertical="center"/>
    </xf>
    <xf numFmtId="0" fontId="26" fillId="0" borderId="0" xfId="32" applyFont="1" applyAlignment="1">
      <alignment shrinkToFit="1"/>
    </xf>
    <xf numFmtId="0" fontId="26" fillId="4" borderId="0" xfId="32" applyFont="1" applyFill="1" applyAlignment="1">
      <alignment shrinkToFit="1"/>
    </xf>
    <xf numFmtId="0" fontId="42" fillId="0" borderId="0" xfId="32" applyFont="1" applyAlignment="1">
      <alignment shrinkToFit="1"/>
    </xf>
    <xf numFmtId="184" fontId="52" fillId="0" borderId="0" xfId="32" applyNumberFormat="1" applyFont="1" applyAlignment="1">
      <alignment shrinkToFit="1"/>
    </xf>
    <xf numFmtId="0" fontId="41" fillId="0" borderId="6" xfId="32" applyFont="1" applyBorder="1" applyAlignment="1">
      <alignment horizontal="center" shrinkToFit="1"/>
    </xf>
    <xf numFmtId="3" fontId="36" fillId="0" borderId="6" xfId="32" applyNumberFormat="1" applyFont="1" applyBorder="1" applyAlignment="1">
      <alignment shrinkToFit="1"/>
    </xf>
    <xf numFmtId="10" fontId="36" fillId="0" borderId="6" xfId="32" applyNumberFormat="1" applyFont="1" applyBorder="1" applyAlignment="1">
      <alignment shrinkToFit="1"/>
    </xf>
    <xf numFmtId="3" fontId="28" fillId="0" borderId="22" xfId="32" applyNumberFormat="1" applyFont="1" applyBorder="1" applyAlignment="1">
      <alignment shrinkToFit="1"/>
    </xf>
    <xf numFmtId="10" fontId="28" fillId="0" borderId="22" xfId="32" applyNumberFormat="1" applyFont="1" applyBorder="1" applyAlignment="1">
      <alignment shrinkToFit="1"/>
    </xf>
    <xf numFmtId="0" fontId="41" fillId="0" borderId="1" xfId="32" applyFont="1" applyBorder="1" applyAlignment="1">
      <alignment horizontal="center" shrinkToFit="1"/>
    </xf>
    <xf numFmtId="3" fontId="36" fillId="0" borderId="1" xfId="32" applyNumberFormat="1" applyFont="1" applyBorder="1" applyAlignment="1">
      <alignment shrinkToFit="1"/>
    </xf>
    <xf numFmtId="0" fontId="30" fillId="0" borderId="0" xfId="32" applyFont="1"/>
    <xf numFmtId="0" fontId="30" fillId="0" borderId="0" xfId="32" applyFont="1" applyAlignment="1">
      <alignment vertical="center"/>
    </xf>
    <xf numFmtId="0" fontId="30" fillId="0" borderId="0" xfId="32" applyFont="1" applyAlignment="1">
      <alignment horizontal="center"/>
    </xf>
    <xf numFmtId="0" fontId="13" fillId="0" borderId="0" xfId="37"/>
    <xf numFmtId="0" fontId="56" fillId="9" borderId="30" xfId="37" applyFont="1" applyFill="1" applyBorder="1"/>
    <xf numFmtId="0" fontId="56" fillId="0" borderId="0" xfId="37" applyFont="1"/>
    <xf numFmtId="0" fontId="56" fillId="0" borderId="22" xfId="37" applyFont="1" applyBorder="1"/>
    <xf numFmtId="0" fontId="56" fillId="9" borderId="22" xfId="37" applyFont="1" applyFill="1" applyBorder="1"/>
    <xf numFmtId="185" fontId="26" fillId="0" borderId="0" xfId="0" applyNumberFormat="1" applyFont="1"/>
    <xf numFmtId="0" fontId="28" fillId="0" borderId="22" xfId="32" applyFont="1" applyBorder="1" applyAlignment="1">
      <alignment horizontal="center" vertical="center" shrinkToFit="1"/>
    </xf>
    <xf numFmtId="0" fontId="30" fillId="5" borderId="23" xfId="32" applyFont="1" applyFill="1" applyBorder="1" applyAlignment="1">
      <alignment horizontal="center" vertical="center"/>
    </xf>
    <xf numFmtId="0" fontId="28" fillId="5" borderId="22" xfId="32" applyFont="1" applyFill="1" applyBorder="1" applyAlignment="1">
      <alignment horizontal="center" vertical="center" shrinkToFit="1"/>
    </xf>
    <xf numFmtId="0" fontId="26" fillId="4" borderId="0" xfId="32" applyFont="1" applyFill="1" applyAlignment="1">
      <alignment horizontal="center" vertical="center" shrinkToFit="1"/>
    </xf>
    <xf numFmtId="0" fontId="26" fillId="0" borderId="0" xfId="32" applyFont="1" applyAlignment="1">
      <alignment horizontal="center" vertical="center" shrinkToFit="1"/>
    </xf>
    <xf numFmtId="0" fontId="28" fillId="5" borderId="22" xfId="32" applyFont="1" applyFill="1" applyBorder="1" applyAlignment="1">
      <alignment horizontal="center" shrinkToFit="1"/>
    </xf>
    <xf numFmtId="0" fontId="26" fillId="4" borderId="0" xfId="32" applyFont="1" applyFill="1" applyAlignment="1">
      <alignment horizontal="center" shrinkToFit="1"/>
    </xf>
    <xf numFmtId="0" fontId="41" fillId="2" borderId="22" xfId="32" applyFont="1" applyFill="1" applyBorder="1" applyAlignment="1">
      <alignment horizontal="center" vertical="center" shrinkToFit="1"/>
    </xf>
    <xf numFmtId="0" fontId="28" fillId="2" borderId="22" xfId="32" applyFont="1" applyFill="1" applyBorder="1" applyAlignment="1">
      <alignment horizontal="center" vertical="center" shrinkToFit="1"/>
    </xf>
    <xf numFmtId="0" fontId="41" fillId="0" borderId="22" xfId="32" applyFont="1" applyBorder="1" applyAlignment="1">
      <alignment shrinkToFit="1"/>
    </xf>
    <xf numFmtId="0" fontId="28" fillId="0" borderId="22" xfId="32" applyFont="1" applyBorder="1" applyAlignment="1">
      <alignment shrinkToFit="1"/>
    </xf>
    <xf numFmtId="0" fontId="41" fillId="0" borderId="22" xfId="32" applyFont="1" applyBorder="1" applyAlignment="1">
      <alignment horizontal="right" shrinkToFit="1"/>
    </xf>
    <xf numFmtId="0" fontId="41" fillId="2" borderId="22" xfId="32" applyFont="1" applyFill="1" applyBorder="1" applyAlignment="1">
      <alignment horizontal="center" shrinkToFit="1"/>
    </xf>
    <xf numFmtId="0" fontId="28" fillId="2" borderId="22" xfId="32" applyFont="1" applyFill="1" applyBorder="1" applyAlignment="1">
      <alignment horizontal="center" shrinkToFit="1"/>
    </xf>
    <xf numFmtId="0" fontId="26" fillId="0" borderId="0" xfId="32" applyFont="1" applyAlignment="1">
      <alignment horizontal="center" shrinkToFit="1"/>
    </xf>
    <xf numFmtId="0" fontId="65" fillId="0" borderId="22" xfId="0" applyFont="1" applyBorder="1" applyAlignment="1">
      <alignment shrinkToFit="1"/>
    </xf>
    <xf numFmtId="1" fontId="28" fillId="0" borderId="22" xfId="32" applyNumberFormat="1" applyFont="1" applyBorder="1" applyAlignment="1">
      <alignment shrinkToFit="1"/>
    </xf>
    <xf numFmtId="183" fontId="28" fillId="0" borderId="22" xfId="32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32" applyFont="1" applyAlignment="1">
      <alignment horizontal="left" vertical="center"/>
    </xf>
    <xf numFmtId="0" fontId="57" fillId="0" borderId="0" xfId="32" applyFont="1" applyAlignment="1">
      <alignment vertical="center"/>
    </xf>
    <xf numFmtId="183" fontId="24" fillId="0" borderId="0" xfId="32" applyNumberFormat="1" applyAlignment="1">
      <alignment horizontal="center" vertical="center"/>
    </xf>
    <xf numFmtId="0" fontId="24" fillId="0" borderId="0" xfId="32" applyAlignment="1">
      <alignment horizontal="center" vertical="center"/>
    </xf>
    <xf numFmtId="0" fontId="24" fillId="0" borderId="0" xfId="32" applyAlignment="1">
      <alignment vertical="center"/>
    </xf>
    <xf numFmtId="0" fontId="26" fillId="0" borderId="0" xfId="32" applyFont="1" applyAlignment="1">
      <alignment vertical="center"/>
    </xf>
    <xf numFmtId="0" fontId="35" fillId="0" borderId="0" xfId="32" applyFont="1" applyAlignment="1">
      <alignment horizontal="left" vertical="center"/>
    </xf>
    <xf numFmtId="0" fontId="35" fillId="0" borderId="34" xfId="32" applyFont="1" applyBorder="1" applyAlignment="1">
      <alignment horizontal="left" vertical="center"/>
    </xf>
    <xf numFmtId="0" fontId="35" fillId="0" borderId="26" xfId="32" applyFont="1" applyBorder="1" applyAlignment="1">
      <alignment horizontal="left" vertical="center"/>
    </xf>
    <xf numFmtId="0" fontId="35" fillId="0" borderId="36" xfId="32" applyFont="1" applyBorder="1" applyAlignment="1">
      <alignment horizontal="left" vertical="center"/>
    </xf>
    <xf numFmtId="0" fontId="26" fillId="0" borderId="0" xfId="32" applyFont="1" applyAlignment="1">
      <alignment horizontal="center" vertical="center"/>
    </xf>
    <xf numFmtId="0" fontId="33" fillId="0" borderId="22" xfId="32" applyFont="1" applyBorder="1" applyAlignment="1">
      <alignment horizontal="center" vertical="center"/>
    </xf>
    <xf numFmtId="0" fontId="24" fillId="0" borderId="22" xfId="32" applyBorder="1" applyAlignment="1">
      <alignment horizontal="center" vertical="center"/>
    </xf>
    <xf numFmtId="1" fontId="24" fillId="0" borderId="22" xfId="32" applyNumberFormat="1" applyBorder="1" applyAlignment="1">
      <alignment horizontal="center" vertical="center"/>
    </xf>
    <xf numFmtId="183" fontId="24" fillId="0" borderId="22" xfId="32" applyNumberFormat="1" applyBorder="1" applyAlignment="1">
      <alignment horizontal="center" vertical="center"/>
    </xf>
    <xf numFmtId="1" fontId="24" fillId="0" borderId="31" xfId="32" applyNumberFormat="1" applyBorder="1" applyAlignment="1">
      <alignment horizontal="center" vertical="center"/>
    </xf>
    <xf numFmtId="0" fontId="60" fillId="0" borderId="22" xfId="32" applyFont="1" applyBorder="1" applyAlignment="1">
      <alignment horizontal="center" vertical="center"/>
    </xf>
    <xf numFmtId="0" fontId="35" fillId="0" borderId="37" xfId="32" applyFont="1" applyBorder="1" applyAlignment="1">
      <alignment horizontal="left" vertical="center"/>
    </xf>
    <xf numFmtId="0" fontId="35" fillId="0" borderId="32" xfId="32" applyFont="1" applyBorder="1" applyAlignment="1">
      <alignment horizontal="left" vertical="center"/>
    </xf>
    <xf numFmtId="179" fontId="72" fillId="0" borderId="0" xfId="0" applyNumberFormat="1" applyFont="1" applyAlignment="1">
      <alignment horizontal="center"/>
    </xf>
    <xf numFmtId="185" fontId="13" fillId="0" borderId="1" xfId="53" applyNumberFormat="1" applyFont="1" applyBorder="1" applyAlignment="1">
      <alignment shrinkToFit="1"/>
    </xf>
    <xf numFmtId="185" fontId="28" fillId="0" borderId="22" xfId="53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0" fontId="56" fillId="0" borderId="22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183" fontId="65" fillId="0" borderId="22" xfId="0" applyNumberFormat="1" applyFont="1" applyBorder="1" applyAlignment="1">
      <alignment shrinkToFit="1"/>
    </xf>
    <xf numFmtId="0" fontId="30" fillId="0" borderId="22" xfId="32" applyFont="1" applyBorder="1" applyAlignment="1">
      <alignment horizontal="center" vertical="center"/>
    </xf>
    <xf numFmtId="0" fontId="36" fillId="5" borderId="22" xfId="7" applyFont="1" applyFill="1" applyBorder="1" applyAlignment="1">
      <alignment horizontal="center" vertical="center"/>
    </xf>
    <xf numFmtId="0" fontId="36" fillId="5" borderId="23" xfId="37" applyFont="1" applyFill="1" applyBorder="1" applyAlignment="1">
      <alignment horizontal="center" vertical="center"/>
    </xf>
    <xf numFmtId="0" fontId="36" fillId="5" borderId="22" xfId="7" applyFont="1" applyFill="1" applyBorder="1" applyAlignment="1">
      <alignment horizontal="center" vertical="center" wrapText="1"/>
    </xf>
    <xf numFmtId="0" fontId="30" fillId="0" borderId="0" xfId="32" applyFont="1" applyAlignment="1">
      <alignment horizontal="center" vertical="center"/>
    </xf>
    <xf numFmtId="185" fontId="36" fillId="9" borderId="22" xfId="53" applyNumberFormat="1" applyFont="1" applyFill="1" applyBorder="1" applyAlignment="1">
      <alignment horizontal="center" vertical="center"/>
    </xf>
    <xf numFmtId="185" fontId="36" fillId="9" borderId="22" xfId="59" applyNumberFormat="1" applyFont="1" applyFill="1" applyBorder="1" applyAlignment="1">
      <alignment horizontal="center" vertical="center"/>
    </xf>
    <xf numFmtId="187" fontId="36" fillId="9" borderId="22" xfId="32" applyNumberFormat="1" applyFont="1" applyFill="1" applyBorder="1" applyAlignment="1">
      <alignment horizontal="center" vertical="center"/>
    </xf>
    <xf numFmtId="0" fontId="64" fillId="0" borderId="22" xfId="32" applyFont="1" applyBorder="1" applyAlignment="1">
      <alignment horizontal="center" vertical="center"/>
    </xf>
    <xf numFmtId="0" fontId="36" fillId="0" borderId="22" xfId="32" applyFont="1" applyBorder="1" applyAlignment="1">
      <alignment horizontal="center" vertical="center"/>
    </xf>
    <xf numFmtId="0" fontId="58" fillId="0" borderId="0" xfId="32" applyFont="1" applyAlignment="1">
      <alignment horizontal="center" vertical="center"/>
    </xf>
    <xf numFmtId="1" fontId="30" fillId="0" borderId="41" xfId="32" applyNumberFormat="1" applyFont="1" applyBorder="1" applyAlignment="1">
      <alignment horizontal="center" vertical="center"/>
    </xf>
    <xf numFmtId="0" fontId="30" fillId="0" borderId="41" xfId="32" applyFont="1" applyBorder="1" applyAlignment="1">
      <alignment horizontal="center" vertical="center"/>
    </xf>
    <xf numFmtId="0" fontId="68" fillId="0" borderId="22" xfId="32" applyFont="1" applyBorder="1" applyAlignment="1">
      <alignment horizontal="center" vertical="center"/>
    </xf>
    <xf numFmtId="1" fontId="54" fillId="0" borderId="41" xfId="32" applyNumberFormat="1" applyFont="1" applyBorder="1" applyAlignment="1">
      <alignment horizontal="center" vertical="center"/>
    </xf>
    <xf numFmtId="0" fontId="68" fillId="0" borderId="0" xfId="32" applyFont="1" applyAlignment="1">
      <alignment horizontal="center" vertical="center"/>
    </xf>
    <xf numFmtId="0" fontId="64" fillId="0" borderId="0" xfId="32" applyFont="1" applyAlignment="1">
      <alignment horizontal="center" vertical="center"/>
    </xf>
    <xf numFmtId="0" fontId="30" fillId="0" borderId="22" xfId="32" applyFont="1" applyBorder="1" applyAlignment="1">
      <alignment horizontal="left" vertical="center"/>
    </xf>
    <xf numFmtId="0" fontId="36" fillId="0" borderId="22" xfId="32" applyFont="1" applyBorder="1" applyAlignment="1">
      <alignment horizontal="left" vertical="center"/>
    </xf>
    <xf numFmtId="0" fontId="64" fillId="0" borderId="22" xfId="32" applyFont="1" applyBorder="1" applyAlignment="1">
      <alignment horizontal="left" vertical="center"/>
    </xf>
    <xf numFmtId="0" fontId="30" fillId="0" borderId="0" xfId="32" applyFont="1" applyAlignment="1">
      <alignment horizontal="left" vertical="center"/>
    </xf>
    <xf numFmtId="0" fontId="58" fillId="0" borderId="0" xfId="32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8">
      <alignment vertical="center"/>
    </xf>
    <xf numFmtId="189" fontId="80" fillId="9" borderId="23" xfId="8" applyNumberFormat="1" applyFont="1" applyFill="1" applyBorder="1" applyAlignment="1">
      <alignment horizontal="center" vertical="center"/>
    </xf>
    <xf numFmtId="190" fontId="80" fillId="0" borderId="23" xfId="8" applyNumberFormat="1" applyFont="1" applyBorder="1" applyAlignment="1">
      <alignment horizontal="center" vertical="center"/>
    </xf>
    <xf numFmtId="189" fontId="80" fillId="9" borderId="23" xfId="22" applyNumberFormat="1" applyFont="1" applyFill="1" applyBorder="1" applyAlignment="1">
      <alignment horizontal="center" vertical="center"/>
    </xf>
    <xf numFmtId="10" fontId="80" fillId="0" borderId="23" xfId="57" applyNumberFormat="1" applyFont="1" applyBorder="1" applyAlignment="1">
      <alignment horizontal="center" vertical="center"/>
    </xf>
    <xf numFmtId="189" fontId="80" fillId="9" borderId="23" xfId="57" applyNumberFormat="1" applyFont="1" applyFill="1" applyBorder="1" applyAlignment="1">
      <alignment horizontal="center" vertical="center"/>
    </xf>
    <xf numFmtId="191" fontId="80" fillId="9" borderId="23" xfId="8" applyNumberFormat="1" applyFont="1" applyFill="1" applyBorder="1" applyAlignment="1">
      <alignment horizontal="center" vertical="center"/>
    </xf>
    <xf numFmtId="10" fontId="80" fillId="0" borderId="23" xfId="8" applyNumberFormat="1" applyFont="1" applyBorder="1" applyAlignment="1">
      <alignment horizontal="center" vertical="center"/>
    </xf>
    <xf numFmtId="189" fontId="80" fillId="9" borderId="43" xfId="8" applyNumberFormat="1" applyFont="1" applyFill="1" applyBorder="1" applyAlignment="1">
      <alignment horizontal="center" vertical="center"/>
    </xf>
    <xf numFmtId="190" fontId="80" fillId="0" borderId="43" xfId="8" applyNumberFormat="1" applyFont="1" applyBorder="1" applyAlignment="1">
      <alignment horizontal="center" vertical="center"/>
    </xf>
    <xf numFmtId="189" fontId="80" fillId="9" borderId="43" xfId="22" applyNumberFormat="1" applyFont="1" applyFill="1" applyBorder="1" applyAlignment="1">
      <alignment horizontal="center" vertical="center"/>
    </xf>
    <xf numFmtId="10" fontId="80" fillId="0" borderId="43" xfId="57" applyNumberFormat="1" applyFont="1" applyBorder="1" applyAlignment="1">
      <alignment horizontal="center" vertical="center"/>
    </xf>
    <xf numFmtId="189" fontId="80" fillId="9" borderId="43" xfId="57" applyNumberFormat="1" applyFont="1" applyFill="1" applyBorder="1" applyAlignment="1">
      <alignment horizontal="center" vertical="center"/>
    </xf>
    <xf numFmtId="191" fontId="80" fillId="9" borderId="43" xfId="8" applyNumberFormat="1" applyFont="1" applyFill="1" applyBorder="1" applyAlignment="1">
      <alignment horizontal="center" vertical="center"/>
    </xf>
    <xf numFmtId="10" fontId="80" fillId="0" borderId="43" xfId="8" applyNumberFormat="1" applyFont="1" applyBorder="1" applyAlignment="1">
      <alignment horizontal="center" vertical="center"/>
    </xf>
    <xf numFmtId="189" fontId="80" fillId="9" borderId="22" xfId="8" applyNumberFormat="1" applyFont="1" applyFill="1" applyBorder="1" applyAlignment="1">
      <alignment horizontal="center" vertical="center"/>
    </xf>
    <xf numFmtId="190" fontId="80" fillId="0" borderId="22" xfId="8" applyNumberFormat="1" applyFont="1" applyBorder="1" applyAlignment="1">
      <alignment horizontal="center" vertical="center"/>
    </xf>
    <xf numFmtId="189" fontId="80" fillId="9" borderId="22" xfId="22" applyNumberFormat="1" applyFont="1" applyFill="1" applyBorder="1" applyAlignment="1">
      <alignment horizontal="center" vertical="center"/>
    </xf>
    <xf numFmtId="10" fontId="80" fillId="0" borderId="22" xfId="57" applyNumberFormat="1" applyFont="1" applyBorder="1" applyAlignment="1">
      <alignment horizontal="center" vertical="center"/>
    </xf>
    <xf numFmtId="189" fontId="80" fillId="9" borderId="22" xfId="57" applyNumberFormat="1" applyFont="1" applyFill="1" applyBorder="1" applyAlignment="1">
      <alignment horizontal="center" vertical="center"/>
    </xf>
    <xf numFmtId="191" fontId="80" fillId="9" borderId="22" xfId="8" applyNumberFormat="1" applyFont="1" applyFill="1" applyBorder="1" applyAlignment="1">
      <alignment horizontal="center" vertical="center"/>
    </xf>
    <xf numFmtId="10" fontId="80" fillId="0" borderId="22" xfId="8" applyNumberFormat="1" applyFont="1" applyBorder="1" applyAlignment="1">
      <alignment horizontal="center" vertical="center"/>
    </xf>
    <xf numFmtId="1" fontId="3" fillId="0" borderId="0" xfId="8" applyNumberFormat="1">
      <alignment vertical="center"/>
    </xf>
    <xf numFmtId="188" fontId="80" fillId="0" borderId="46" xfId="37" applyNumberFormat="1" applyFont="1" applyBorder="1" applyAlignment="1">
      <alignment horizontal="center" vertical="center"/>
    </xf>
    <xf numFmtId="188" fontId="79" fillId="0" borderId="47" xfId="37" applyNumberFormat="1" applyFont="1" applyBorder="1" applyAlignment="1">
      <alignment horizontal="center" vertical="center"/>
    </xf>
    <xf numFmtId="189" fontId="80" fillId="9" borderId="48" xfId="8" applyNumberFormat="1" applyFont="1" applyFill="1" applyBorder="1" applyAlignment="1">
      <alignment horizontal="center" vertical="center"/>
    </xf>
    <xf numFmtId="190" fontId="80" fillId="0" borderId="48" xfId="8" applyNumberFormat="1" applyFont="1" applyBorder="1" applyAlignment="1">
      <alignment horizontal="center" vertical="center"/>
    </xf>
    <xf numFmtId="10" fontId="80" fillId="0" borderId="48" xfId="57" applyNumberFormat="1" applyFont="1" applyBorder="1" applyAlignment="1">
      <alignment horizontal="center" vertical="center"/>
    </xf>
    <xf numFmtId="10" fontId="80" fillId="0" borderId="48" xfId="8" applyNumberFormat="1" applyFont="1" applyBorder="1" applyAlignment="1">
      <alignment horizontal="center" vertical="center"/>
    </xf>
    <xf numFmtId="189" fontId="79" fillId="9" borderId="43" xfId="8" applyNumberFormat="1" applyFont="1" applyFill="1" applyBorder="1" applyAlignment="1">
      <alignment horizontal="center" vertical="center"/>
    </xf>
    <xf numFmtId="3" fontId="3" fillId="0" borderId="0" xfId="8" applyNumberFormat="1">
      <alignment vertical="center"/>
    </xf>
    <xf numFmtId="189" fontId="79" fillId="9" borderId="22" xfId="22" applyNumberFormat="1" applyFont="1" applyFill="1" applyBorder="1" applyAlignment="1">
      <alignment horizontal="center" vertical="center"/>
    </xf>
    <xf numFmtId="189" fontId="80" fillId="9" borderId="48" xfId="22" applyNumberFormat="1" applyFont="1" applyFill="1" applyBorder="1" applyAlignment="1">
      <alignment horizontal="center" vertical="center"/>
    </xf>
    <xf numFmtId="189" fontId="80" fillId="9" borderId="48" xfId="57" applyNumberFormat="1" applyFont="1" applyFill="1" applyBorder="1" applyAlignment="1">
      <alignment horizontal="center" vertical="center"/>
    </xf>
    <xf numFmtId="191" fontId="80" fillId="9" borderId="48" xfId="8" applyNumberFormat="1" applyFont="1" applyFill="1" applyBorder="1" applyAlignment="1">
      <alignment horizontal="center" vertical="center"/>
    </xf>
    <xf numFmtId="188" fontId="80" fillId="0" borderId="42" xfId="37" applyNumberFormat="1" applyFont="1" applyBorder="1" applyAlignment="1">
      <alignment horizontal="center" vertical="center"/>
    </xf>
    <xf numFmtId="189" fontId="80" fillId="9" borderId="30" xfId="8" applyNumberFormat="1" applyFont="1" applyFill="1" applyBorder="1" applyAlignment="1">
      <alignment horizontal="center" vertical="center"/>
    </xf>
    <xf numFmtId="190" fontId="80" fillId="0" borderId="30" xfId="8" applyNumberFormat="1" applyFont="1" applyBorder="1" applyAlignment="1">
      <alignment horizontal="center" vertical="center"/>
    </xf>
    <xf numFmtId="189" fontId="80" fillId="9" borderId="30" xfId="22" applyNumberFormat="1" applyFont="1" applyFill="1" applyBorder="1" applyAlignment="1">
      <alignment horizontal="center" vertical="center"/>
    </xf>
    <xf numFmtId="10" fontId="80" fillId="0" borderId="30" xfId="57" applyNumberFormat="1" applyFont="1" applyBorder="1" applyAlignment="1">
      <alignment horizontal="center" vertical="center"/>
    </xf>
    <xf numFmtId="189" fontId="80" fillId="9" borderId="30" xfId="57" applyNumberFormat="1" applyFont="1" applyFill="1" applyBorder="1" applyAlignment="1">
      <alignment horizontal="center" vertical="center"/>
    </xf>
    <xf numFmtId="191" fontId="80" fillId="9" borderId="30" xfId="8" applyNumberFormat="1" applyFont="1" applyFill="1" applyBorder="1" applyAlignment="1">
      <alignment horizontal="center" vertical="center"/>
    </xf>
    <xf numFmtId="10" fontId="80" fillId="0" borderId="30" xfId="8" applyNumberFormat="1" applyFont="1" applyBorder="1" applyAlignment="1">
      <alignment horizontal="center" vertical="center"/>
    </xf>
    <xf numFmtId="10" fontId="80" fillId="0" borderId="0" xfId="8" applyNumberFormat="1" applyFont="1" applyAlignment="1">
      <alignment horizontal="center" vertical="center"/>
    </xf>
    <xf numFmtId="188" fontId="81" fillId="0" borderId="22" xfId="37" applyNumberFormat="1" applyFont="1" applyBorder="1" applyAlignment="1">
      <alignment horizontal="center" vertical="center"/>
    </xf>
    <xf numFmtId="10" fontId="79" fillId="0" borderId="22" xfId="57" applyNumberFormat="1" applyFont="1" applyBorder="1" applyAlignment="1">
      <alignment horizontal="center" vertical="center"/>
    </xf>
    <xf numFmtId="0" fontId="80" fillId="0" borderId="0" xfId="8" applyFont="1">
      <alignment vertical="center"/>
    </xf>
    <xf numFmtId="1" fontId="80" fillId="0" borderId="0" xfId="8" applyNumberFormat="1" applyFont="1">
      <alignment vertical="center"/>
    </xf>
    <xf numFmtId="189" fontId="80" fillId="0" borderId="0" xfId="8" applyNumberFormat="1" applyFont="1">
      <alignment vertical="center"/>
    </xf>
    <xf numFmtId="0" fontId="51" fillId="2" borderId="1" xfId="0" applyFont="1" applyFill="1" applyBorder="1" applyAlignment="1">
      <alignment horizontal="center" vertical="center" shrinkToFit="1"/>
    </xf>
    <xf numFmtId="183" fontId="36" fillId="0" borderId="22" xfId="32" applyNumberFormat="1" applyFont="1" applyBorder="1" applyAlignment="1">
      <alignment horizontal="center" vertical="center"/>
    </xf>
    <xf numFmtId="183" fontId="36" fillId="0" borderId="22" xfId="47" applyNumberFormat="1" applyFont="1" applyBorder="1" applyAlignment="1">
      <alignment horizontal="center" vertical="center"/>
    </xf>
    <xf numFmtId="0" fontId="84" fillId="0" borderId="22" xfId="32" applyFont="1" applyBorder="1" applyAlignment="1">
      <alignment horizontal="left" vertical="center"/>
    </xf>
    <xf numFmtId="0" fontId="85" fillId="0" borderId="22" xfId="32" applyFont="1" applyBorder="1" applyAlignment="1">
      <alignment horizontal="left" vertical="center"/>
    </xf>
    <xf numFmtId="179" fontId="26" fillId="0" borderId="0" xfId="32" applyNumberFormat="1" applyFont="1" applyAlignment="1">
      <alignment vertical="center"/>
    </xf>
    <xf numFmtId="179" fontId="26" fillId="0" borderId="0" xfId="32" applyNumberFormat="1" applyFont="1" applyAlignment="1">
      <alignment horizontal="center"/>
    </xf>
    <xf numFmtId="179" fontId="72" fillId="0" borderId="0" xfId="32" applyNumberFormat="1" applyFont="1" applyAlignment="1">
      <alignment horizontal="center"/>
    </xf>
    <xf numFmtId="8" fontId="26" fillId="0" borderId="0" xfId="32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horizontal="right" vertical="center"/>
    </xf>
    <xf numFmtId="1" fontId="24" fillId="11" borderId="22" xfId="32" applyNumberFormat="1" applyFill="1" applyBorder="1" applyAlignment="1">
      <alignment horizontal="center" vertical="center"/>
    </xf>
    <xf numFmtId="1" fontId="86" fillId="4" borderId="22" xfId="32" applyNumberFormat="1" applyFont="1" applyFill="1" applyBorder="1" applyAlignment="1">
      <alignment horizontal="center" vertical="center"/>
    </xf>
    <xf numFmtId="1" fontId="86" fillId="0" borderId="22" xfId="32" applyNumberFormat="1" applyFont="1" applyBorder="1" applyAlignment="1">
      <alignment horizontal="center" vertical="center"/>
    </xf>
    <xf numFmtId="1" fontId="24" fillId="9" borderId="22" xfId="32" applyNumberFormat="1" applyFill="1" applyBorder="1" applyAlignment="1">
      <alignment horizontal="center" vertical="center"/>
    </xf>
    <xf numFmtId="183" fontId="86" fillId="0" borderId="22" xfId="32" applyNumberFormat="1" applyFont="1" applyBorder="1" applyAlignment="1">
      <alignment horizontal="center" vertical="center"/>
    </xf>
    <xf numFmtId="0" fontId="24" fillId="9" borderId="22" xfId="32" applyFill="1" applyBorder="1" applyAlignment="1">
      <alignment horizontal="center" vertical="center"/>
    </xf>
    <xf numFmtId="0" fontId="24" fillId="11" borderId="22" xfId="32" applyFill="1" applyBorder="1" applyAlignment="1">
      <alignment horizontal="center" vertical="center"/>
    </xf>
    <xf numFmtId="183" fontId="87" fillId="0" borderId="22" xfId="32" applyNumberFormat="1" applyFont="1" applyBorder="1" applyAlignment="1">
      <alignment horizontal="center" vertical="center"/>
    </xf>
    <xf numFmtId="0" fontId="86" fillId="0" borderId="22" xfId="32" applyFont="1" applyBorder="1" applyAlignment="1">
      <alignment horizontal="center" vertical="center"/>
    </xf>
    <xf numFmtId="183" fontId="14" fillId="0" borderId="22" xfId="32" applyNumberFormat="1" applyFont="1" applyBorder="1" applyAlignment="1">
      <alignment horizontal="center" vertical="center"/>
    </xf>
    <xf numFmtId="1" fontId="14" fillId="0" borderId="22" xfId="32" applyNumberFormat="1" applyFont="1" applyBorder="1" applyAlignment="1">
      <alignment horizontal="center" vertical="center"/>
    </xf>
    <xf numFmtId="0" fontId="77" fillId="10" borderId="23" xfId="8" applyFont="1" applyFill="1" applyBorder="1" applyAlignment="1">
      <alignment horizontal="center" vertical="center" wrapText="1"/>
    </xf>
    <xf numFmtId="0" fontId="78" fillId="10" borderId="23" xfId="8" applyFont="1" applyFill="1" applyBorder="1" applyAlignment="1">
      <alignment horizontal="center" vertical="center"/>
    </xf>
    <xf numFmtId="0" fontId="78" fillId="10" borderId="52" xfId="8" applyFont="1" applyFill="1" applyBorder="1" applyAlignment="1">
      <alignment horizontal="center" vertical="center"/>
    </xf>
    <xf numFmtId="188" fontId="80" fillId="0" borderId="51" xfId="37" applyNumberFormat="1" applyFont="1" applyBorder="1" applyAlignment="1">
      <alignment horizontal="center" vertical="center"/>
    </xf>
    <xf numFmtId="192" fontId="80" fillId="0" borderId="23" xfId="8" applyNumberFormat="1" applyFont="1" applyBorder="1">
      <alignment vertical="center"/>
    </xf>
    <xf numFmtId="192" fontId="3" fillId="0" borderId="23" xfId="8" applyNumberFormat="1" applyBorder="1">
      <alignment vertical="center"/>
    </xf>
    <xf numFmtId="192" fontId="3" fillId="0" borderId="52" xfId="8" applyNumberFormat="1" applyBorder="1">
      <alignment vertical="center"/>
    </xf>
    <xf numFmtId="188" fontId="79" fillId="0" borderId="46" xfId="37" applyNumberFormat="1" applyFont="1" applyBorder="1" applyAlignment="1">
      <alignment horizontal="center" vertical="center"/>
    </xf>
    <xf numFmtId="188" fontId="80" fillId="0" borderId="47" xfId="37" applyNumberFormat="1" applyFont="1" applyBorder="1" applyAlignment="1">
      <alignment horizontal="center" vertical="center"/>
    </xf>
    <xf numFmtId="188" fontId="80" fillId="0" borderId="56" xfId="37" applyNumberFormat="1" applyFont="1" applyBorder="1" applyAlignment="1">
      <alignment horizontal="center" vertical="center"/>
    </xf>
    <xf numFmtId="192" fontId="80" fillId="0" borderId="29" xfId="8" applyNumberFormat="1" applyFont="1" applyBorder="1">
      <alignment vertical="center"/>
    </xf>
    <xf numFmtId="192" fontId="80" fillId="0" borderId="54" xfId="8" applyNumberFormat="1" applyFont="1" applyBorder="1">
      <alignment vertical="center"/>
    </xf>
    <xf numFmtId="192" fontId="80" fillId="0" borderId="49" xfId="8" applyNumberFormat="1" applyFont="1" applyBorder="1">
      <alignment vertical="center"/>
    </xf>
    <xf numFmtId="192" fontId="80" fillId="0" borderId="55" xfId="8" applyNumberFormat="1" applyFont="1" applyBorder="1">
      <alignment vertical="center"/>
    </xf>
    <xf numFmtId="188" fontId="81" fillId="0" borderId="30" xfId="37" applyNumberFormat="1" applyFont="1" applyBorder="1" applyAlignment="1">
      <alignment horizontal="center" vertical="center"/>
    </xf>
    <xf numFmtId="10" fontId="79" fillId="0" borderId="30" xfId="57" applyNumberFormat="1" applyFont="1" applyBorder="1" applyAlignment="1">
      <alignment horizontal="center" vertical="center"/>
    </xf>
    <xf numFmtId="9" fontId="28" fillId="0" borderId="1" xfId="53" applyFont="1" applyBorder="1" applyAlignment="1">
      <alignment shrinkToFit="1"/>
    </xf>
    <xf numFmtId="0" fontId="37" fillId="0" borderId="22" xfId="32" applyFont="1" applyBorder="1" applyAlignment="1">
      <alignment horizontal="center" vertical="center"/>
    </xf>
    <xf numFmtId="0" fontId="37" fillId="0" borderId="0" xfId="68" applyFont="1" applyAlignment="1">
      <alignment horizontal="center" vertical="center"/>
    </xf>
    <xf numFmtId="0" fontId="1" fillId="0" borderId="0" xfId="68">
      <alignment vertical="center"/>
    </xf>
    <xf numFmtId="0" fontId="37" fillId="0" borderId="22" xfId="69" applyFont="1" applyBorder="1" applyAlignment="1">
      <alignment horizontal="center" vertical="center"/>
    </xf>
    <xf numFmtId="0" fontId="61" fillId="0" borderId="0" xfId="68" applyFont="1" applyAlignment="1">
      <alignment horizontal="center" vertical="center"/>
    </xf>
    <xf numFmtId="0" fontId="37" fillId="0" borderId="22" xfId="70" applyFont="1" applyBorder="1" applyAlignment="1">
      <alignment horizontal="center"/>
    </xf>
    <xf numFmtId="0" fontId="83" fillId="0" borderId="0" xfId="68" applyFont="1">
      <alignment vertical="center"/>
    </xf>
    <xf numFmtId="9" fontId="30" fillId="0" borderId="0" xfId="53" applyFont="1" applyAlignment="1">
      <alignment horizontal="center" vertical="center"/>
    </xf>
    <xf numFmtId="190" fontId="1" fillId="0" borderId="0" xfId="57" applyNumberFormat="1" applyFont="1" applyAlignment="1">
      <alignment vertical="center"/>
    </xf>
    <xf numFmtId="0" fontId="39" fillId="0" borderId="26" xfId="32" applyFont="1" applyBorder="1" applyAlignment="1">
      <alignment horizontal="center" vertical="center"/>
    </xf>
    <xf numFmtId="0" fontId="32" fillId="0" borderId="26" xfId="32" applyFont="1" applyBorder="1" applyAlignment="1">
      <alignment horizontal="center" vertical="center"/>
    </xf>
    <xf numFmtId="0" fontId="58" fillId="5" borderId="31" xfId="32" applyFont="1" applyFill="1" applyBorder="1" applyAlignment="1">
      <alignment horizontal="center" vertical="center"/>
    </xf>
    <xf numFmtId="0" fontId="30" fillId="5" borderId="32" xfId="32" applyFont="1" applyFill="1" applyBorder="1" applyAlignment="1">
      <alignment horizontal="center" vertical="center"/>
    </xf>
    <xf numFmtId="0" fontId="30" fillId="5" borderId="33" xfId="32" applyFont="1" applyFill="1" applyBorder="1" applyAlignment="1">
      <alignment horizontal="center" vertical="center"/>
    </xf>
    <xf numFmtId="0" fontId="30" fillId="5" borderId="34" xfId="32" applyFont="1" applyFill="1" applyBorder="1" applyAlignment="1">
      <alignment horizontal="center" vertical="center"/>
    </xf>
    <xf numFmtId="0" fontId="30" fillId="5" borderId="35" xfId="32" applyFont="1" applyFill="1" applyBorder="1" applyAlignment="1">
      <alignment horizontal="center" vertical="center"/>
    </xf>
    <xf numFmtId="0" fontId="30" fillId="5" borderId="36" xfId="32" applyFont="1" applyFill="1" applyBorder="1" applyAlignment="1">
      <alignment horizontal="center" vertical="center"/>
    </xf>
    <xf numFmtId="0" fontId="36" fillId="5" borderId="22" xfId="37" applyFont="1" applyFill="1" applyBorder="1" applyAlignment="1">
      <alignment horizontal="center" vertical="center"/>
    </xf>
    <xf numFmtId="0" fontId="36" fillId="5" borderId="31" xfId="37" applyFont="1" applyFill="1" applyBorder="1" applyAlignment="1">
      <alignment horizontal="center" vertical="center"/>
    </xf>
    <xf numFmtId="0" fontId="36" fillId="5" borderId="33" xfId="37" applyFont="1" applyFill="1" applyBorder="1" applyAlignment="1">
      <alignment horizontal="center" vertical="center"/>
    </xf>
    <xf numFmtId="0" fontId="36" fillId="5" borderId="35" xfId="37" applyFont="1" applyFill="1" applyBorder="1" applyAlignment="1">
      <alignment horizontal="center" vertical="center"/>
    </xf>
    <xf numFmtId="0" fontId="53" fillId="5" borderId="23" xfId="37" applyFont="1" applyFill="1" applyBorder="1" applyAlignment="1">
      <alignment horizontal="center" vertical="center"/>
    </xf>
    <xf numFmtId="0" fontId="36" fillId="5" borderId="29" xfId="37" applyFont="1" applyFill="1" applyBorder="1" applyAlignment="1">
      <alignment horizontal="center" vertical="center"/>
    </xf>
    <xf numFmtId="0" fontId="36" fillId="5" borderId="30" xfId="37" applyFont="1" applyFill="1" applyBorder="1" applyAlignment="1">
      <alignment horizontal="center" vertical="center"/>
    </xf>
    <xf numFmtId="0" fontId="36" fillId="5" borderId="23" xfId="37" applyFont="1" applyFill="1" applyBorder="1" applyAlignment="1">
      <alignment horizontal="center" vertical="center"/>
    </xf>
    <xf numFmtId="0" fontId="36" fillId="5" borderId="22" xfId="7" applyFont="1" applyFill="1" applyBorder="1" applyAlignment="1">
      <alignment horizontal="center" vertical="center" wrapText="1"/>
    </xf>
    <xf numFmtId="0" fontId="30" fillId="0" borderId="0" xfId="32" applyFont="1" applyAlignment="1">
      <alignment horizontal="center" vertical="center"/>
    </xf>
    <xf numFmtId="0" fontId="67" fillId="0" borderId="31" xfId="32" applyFont="1" applyBorder="1" applyAlignment="1">
      <alignment horizontal="center" vertical="center"/>
    </xf>
    <xf numFmtId="0" fontId="67" fillId="0" borderId="32" xfId="32" applyFont="1" applyBorder="1" applyAlignment="1">
      <alignment horizontal="center" vertical="center"/>
    </xf>
    <xf numFmtId="0" fontId="67" fillId="0" borderId="33" xfId="32" applyFont="1" applyBorder="1" applyAlignment="1">
      <alignment horizontal="center" vertical="center"/>
    </xf>
    <xf numFmtId="0" fontId="67" fillId="0" borderId="34" xfId="32" applyFont="1" applyBorder="1" applyAlignment="1">
      <alignment horizontal="center" vertical="center"/>
    </xf>
    <xf numFmtId="0" fontId="67" fillId="0" borderId="35" xfId="32" applyFont="1" applyBorder="1" applyAlignment="1">
      <alignment horizontal="center" vertical="center"/>
    </xf>
    <xf numFmtId="0" fontId="67" fillId="0" borderId="36" xfId="32" applyFont="1" applyBorder="1" applyAlignment="1">
      <alignment horizontal="center" vertical="center"/>
    </xf>
    <xf numFmtId="0" fontId="53" fillId="5" borderId="29" xfId="37" applyFont="1" applyFill="1" applyBorder="1" applyAlignment="1">
      <alignment horizontal="center" vertical="center"/>
    </xf>
    <xf numFmtId="0" fontId="53" fillId="5" borderId="30" xfId="37" applyFont="1" applyFill="1" applyBorder="1" applyAlignment="1">
      <alignment horizontal="center" vertical="center"/>
    </xf>
    <xf numFmtId="0" fontId="36" fillId="5" borderId="22" xfId="7" applyFont="1" applyFill="1" applyBorder="1" applyAlignment="1">
      <alignment horizontal="center" vertical="center"/>
    </xf>
    <xf numFmtId="0" fontId="38" fillId="5" borderId="22" xfId="7" applyFont="1" applyFill="1" applyBorder="1" applyAlignment="1">
      <alignment horizontal="center"/>
    </xf>
    <xf numFmtId="0" fontId="40" fillId="0" borderId="0" xfId="0" applyFont="1" applyAlignment="1">
      <alignment horizontal="center" vertical="center" shrinkToFit="1"/>
    </xf>
    <xf numFmtId="0" fontId="73" fillId="9" borderId="22" xfId="0" applyFont="1" applyFill="1" applyBorder="1" applyAlignment="1">
      <alignment horizontal="center" vertical="center" shrinkToFit="1"/>
    </xf>
    <xf numFmtId="0" fontId="45" fillId="9" borderId="22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horizontal="center" vertical="center"/>
    </xf>
    <xf numFmtId="8" fontId="26" fillId="0" borderId="0" xfId="0" applyNumberFormat="1" applyFont="1" applyAlignment="1">
      <alignment horizontal="center" vertical="center"/>
    </xf>
    <xf numFmtId="179" fontId="26" fillId="0" borderId="0" xfId="32" applyNumberFormat="1" applyFont="1" applyAlignment="1">
      <alignment horizontal="center" vertical="center"/>
    </xf>
    <xf numFmtId="8" fontId="26" fillId="0" borderId="0" xfId="32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6" fontId="26" fillId="0" borderId="0" xfId="0" applyNumberFormat="1" applyFont="1" applyAlignment="1">
      <alignment horizontal="center"/>
    </xf>
    <xf numFmtId="10" fontId="26" fillId="0" borderId="0" xfId="32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0" fontId="24" fillId="0" borderId="22" xfId="32" applyBorder="1" applyAlignment="1">
      <alignment horizontal="center" vertical="center"/>
    </xf>
    <xf numFmtId="183" fontId="24" fillId="0" borderId="31" xfId="32" applyNumberFormat="1" applyBorder="1" applyAlignment="1">
      <alignment horizontal="center" vertical="center"/>
    </xf>
    <xf numFmtId="183" fontId="24" fillId="0" borderId="33" xfId="32" applyNumberFormat="1" applyBorder="1" applyAlignment="1">
      <alignment horizontal="center" vertical="center"/>
    </xf>
    <xf numFmtId="183" fontId="24" fillId="0" borderId="35" xfId="32" applyNumberFormat="1" applyBorder="1" applyAlignment="1">
      <alignment horizontal="center" vertical="center"/>
    </xf>
    <xf numFmtId="183" fontId="24" fillId="0" borderId="22" xfId="32" applyNumberFormat="1" applyBorder="1" applyAlignment="1">
      <alignment horizontal="center" vertical="center"/>
    </xf>
    <xf numFmtId="0" fontId="33" fillId="0" borderId="22" xfId="32" applyFont="1" applyBorder="1" applyAlignment="1">
      <alignment horizontal="center" vertical="center"/>
    </xf>
    <xf numFmtId="0" fontId="33" fillId="0" borderId="27" xfId="32" applyFont="1" applyBorder="1" applyAlignment="1">
      <alignment horizontal="center" vertical="center"/>
    </xf>
    <xf numFmtId="0" fontId="33" fillId="0" borderId="28" xfId="32" applyFont="1" applyBorder="1" applyAlignment="1">
      <alignment horizontal="center" vertical="center"/>
    </xf>
    <xf numFmtId="0" fontId="33" fillId="0" borderId="25" xfId="32" applyFont="1" applyBorder="1" applyAlignment="1">
      <alignment horizontal="center" vertical="center"/>
    </xf>
    <xf numFmtId="0" fontId="60" fillId="0" borderId="22" xfId="32" applyFont="1" applyBorder="1" applyAlignment="1">
      <alignment horizontal="center" vertical="center"/>
    </xf>
    <xf numFmtId="0" fontId="33" fillId="0" borderId="31" xfId="32" applyFont="1" applyBorder="1" applyAlignment="1">
      <alignment horizontal="center" vertical="center"/>
    </xf>
    <xf numFmtId="0" fontId="33" fillId="0" borderId="33" xfId="32" applyFont="1" applyBorder="1" applyAlignment="1">
      <alignment horizontal="center" vertical="center"/>
    </xf>
    <xf numFmtId="0" fontId="33" fillId="0" borderId="35" xfId="32" applyFont="1" applyBorder="1" applyAlignment="1">
      <alignment horizontal="center" vertical="center"/>
    </xf>
    <xf numFmtId="179" fontId="33" fillId="0" borderId="22" xfId="32" applyNumberFormat="1" applyFont="1" applyBorder="1" applyAlignment="1">
      <alignment horizontal="center" vertical="center"/>
    </xf>
    <xf numFmtId="0" fontId="63" fillId="0" borderId="0" xfId="32" applyFont="1" applyAlignment="1">
      <alignment horizontal="left" vertical="center"/>
    </xf>
    <xf numFmtId="0" fontId="35" fillId="0" borderId="0" xfId="32" applyFont="1" applyAlignment="1">
      <alignment horizontal="left" vertical="center"/>
    </xf>
    <xf numFmtId="0" fontId="35" fillId="0" borderId="26" xfId="32" applyFont="1" applyBorder="1" applyAlignment="1">
      <alignment horizontal="left" vertical="center"/>
    </xf>
    <xf numFmtId="0" fontId="33" fillId="0" borderId="23" xfId="32" applyFont="1" applyBorder="1" applyAlignment="1">
      <alignment horizontal="center" vertical="center"/>
    </xf>
    <xf numFmtId="0" fontId="33" fillId="0" borderId="30" xfId="32" applyFont="1" applyBorder="1" applyAlignment="1">
      <alignment horizontal="center" vertical="center"/>
    </xf>
    <xf numFmtId="183" fontId="24" fillId="0" borderId="23" xfId="32" applyNumberFormat="1" applyBorder="1" applyAlignment="1">
      <alignment horizontal="center" vertical="center"/>
    </xf>
    <xf numFmtId="183" fontId="24" fillId="0" borderId="29" xfId="32" applyNumberFormat="1" applyBorder="1" applyAlignment="1">
      <alignment horizontal="center" vertical="center"/>
    </xf>
    <xf numFmtId="183" fontId="24" fillId="0" borderId="30" xfId="32" applyNumberFormat="1" applyBorder="1" applyAlignment="1">
      <alignment horizontal="center" vertical="center"/>
    </xf>
    <xf numFmtId="0" fontId="24" fillId="0" borderId="32" xfId="32" applyBorder="1" applyAlignment="1">
      <alignment horizontal="center" vertical="center"/>
    </xf>
    <xf numFmtId="0" fontId="24" fillId="0" borderId="34" xfId="32" applyBorder="1" applyAlignment="1">
      <alignment horizontal="center" vertical="center"/>
    </xf>
    <xf numFmtId="0" fontId="34" fillId="0" borderId="0" xfId="32" applyFont="1" applyAlignment="1">
      <alignment horizontal="left" vertical="center"/>
    </xf>
    <xf numFmtId="0" fontId="24" fillId="0" borderId="23" xfId="32" applyBorder="1" applyAlignment="1">
      <alignment horizontal="center" vertical="center"/>
    </xf>
    <xf numFmtId="0" fontId="24" fillId="0" borderId="29" xfId="32" applyBorder="1" applyAlignment="1">
      <alignment horizontal="center" vertical="center"/>
    </xf>
    <xf numFmtId="0" fontId="24" fillId="0" borderId="30" xfId="32" applyBorder="1" applyAlignment="1">
      <alignment horizontal="center" vertical="center"/>
    </xf>
    <xf numFmtId="0" fontId="33" fillId="0" borderId="29" xfId="32" applyFont="1" applyBorder="1" applyAlignment="1">
      <alignment horizontal="center" vertical="center"/>
    </xf>
    <xf numFmtId="0" fontId="60" fillId="0" borderId="23" xfId="32" applyFont="1" applyBorder="1" applyAlignment="1">
      <alignment horizontal="center" vertical="center"/>
    </xf>
    <xf numFmtId="0" fontId="34" fillId="0" borderId="37" xfId="32" applyFont="1" applyBorder="1" applyAlignment="1">
      <alignment horizontal="left" vertical="center"/>
    </xf>
    <xf numFmtId="0" fontId="35" fillId="0" borderId="37" xfId="32" applyFont="1" applyBorder="1" applyAlignment="1">
      <alignment horizontal="left" vertical="center"/>
    </xf>
    <xf numFmtId="0" fontId="41" fillId="0" borderId="22" xfId="32" applyFont="1" applyBorder="1" applyAlignment="1">
      <alignment shrinkToFit="1"/>
    </xf>
    <xf numFmtId="0" fontId="49" fillId="0" borderId="22" xfId="32" applyFont="1" applyBorder="1" applyAlignment="1">
      <alignment shrinkToFit="1"/>
    </xf>
    <xf numFmtId="0" fontId="28" fillId="0" borderId="22" xfId="32" applyFont="1" applyBorder="1" applyAlignment="1">
      <alignment shrinkToFit="1"/>
    </xf>
    <xf numFmtId="0" fontId="69" fillId="0" borderId="22" xfId="32" applyFont="1" applyBorder="1" applyAlignment="1">
      <alignment shrinkToFit="1"/>
    </xf>
    <xf numFmtId="0" fontId="41" fillId="2" borderId="22" xfId="32" applyFont="1" applyFill="1" applyBorder="1" applyAlignment="1">
      <alignment horizontal="center" shrinkToFit="1"/>
    </xf>
    <xf numFmtId="0" fontId="49" fillId="0" borderId="22" xfId="32" applyFont="1" applyBorder="1" applyAlignment="1">
      <alignment horizontal="center" shrinkToFit="1"/>
    </xf>
    <xf numFmtId="0" fontId="26" fillId="0" borderId="22" xfId="32" applyFont="1" applyBorder="1" applyAlignment="1">
      <alignment horizontal="center" vertical="center" shrinkToFit="1"/>
    </xf>
    <xf numFmtId="0" fontId="59" fillId="2" borderId="22" xfId="32" applyFont="1" applyFill="1" applyBorder="1" applyAlignment="1">
      <alignment horizontal="center" vertical="center" shrinkToFit="1"/>
    </xf>
    <xf numFmtId="0" fontId="65" fillId="0" borderId="22" xfId="32" applyFont="1" applyBorder="1" applyAlignment="1">
      <alignment shrinkToFit="1"/>
    </xf>
    <xf numFmtId="0" fontId="41" fillId="2" borderId="22" xfId="32" applyFont="1" applyFill="1" applyBorder="1" applyAlignment="1">
      <alignment horizontal="center" vertical="center" shrinkToFit="1"/>
    </xf>
    <xf numFmtId="0" fontId="28" fillId="0" borderId="27" xfId="32" applyFont="1" applyBorder="1" applyAlignment="1">
      <alignment shrinkToFit="1"/>
    </xf>
    <xf numFmtId="0" fontId="28" fillId="0" borderId="28" xfId="32" applyFont="1" applyBorder="1" applyAlignment="1">
      <alignment shrinkToFit="1"/>
    </xf>
    <xf numFmtId="0" fontId="28" fillId="0" borderId="25" xfId="32" applyFont="1" applyBorder="1" applyAlignment="1">
      <alignment shrinkToFit="1"/>
    </xf>
    <xf numFmtId="0" fontId="65" fillId="0" borderId="27" xfId="32" applyFont="1" applyBorder="1" applyAlignment="1">
      <alignment shrinkToFit="1"/>
    </xf>
    <xf numFmtId="0" fontId="66" fillId="0" borderId="27" xfId="32" applyFont="1" applyBorder="1" applyAlignment="1">
      <alignment shrinkToFit="1"/>
    </xf>
    <xf numFmtId="0" fontId="88" fillId="0" borderId="22" xfId="32" applyFont="1" applyBorder="1" applyAlignment="1">
      <alignment shrinkToFit="1"/>
    </xf>
    <xf numFmtId="0" fontId="40" fillId="0" borderId="0" xfId="32" applyFont="1" applyAlignment="1">
      <alignment horizontal="center" vertical="center" shrinkToFit="1"/>
    </xf>
    <xf numFmtId="0" fontId="47" fillId="0" borderId="0" xfId="32" applyFont="1" applyAlignment="1">
      <alignment horizontal="left" vertical="center" shrinkToFit="1"/>
    </xf>
    <xf numFmtId="0" fontId="48" fillId="0" borderId="0" xfId="32" applyFont="1" applyAlignment="1">
      <alignment horizontal="left" vertical="center" shrinkToFit="1"/>
    </xf>
    <xf numFmtId="0" fontId="49" fillId="0" borderId="22" xfId="32" applyFont="1" applyBorder="1" applyAlignment="1">
      <alignment horizontal="center" vertical="center" shrinkToFit="1"/>
    </xf>
    <xf numFmtId="0" fontId="50" fillId="0" borderId="22" xfId="32" applyFont="1" applyBorder="1" applyAlignment="1">
      <alignment horizontal="center" vertical="center" shrinkToFit="1"/>
    </xf>
    <xf numFmtId="0" fontId="31" fillId="0" borderId="22" xfId="32" applyFont="1" applyBorder="1" applyAlignment="1">
      <alignment horizontal="center" vertical="center" shrinkToFit="1"/>
    </xf>
    <xf numFmtId="0" fontId="75" fillId="0" borderId="22" xfId="32" applyFont="1" applyBorder="1" applyAlignment="1">
      <alignment horizontal="center" vertical="center" shrinkToFit="1"/>
    </xf>
    <xf numFmtId="0" fontId="42" fillId="0" borderId="22" xfId="32" applyFont="1" applyBorder="1" applyAlignment="1">
      <alignment horizontal="center" vertical="center"/>
    </xf>
    <xf numFmtId="0" fontId="28" fillId="0" borderId="22" xfId="32" applyFont="1" applyBorder="1" applyAlignment="1">
      <alignment horizontal="center" vertical="center" shrinkToFit="1"/>
    </xf>
    <xf numFmtId="0" fontId="28" fillId="0" borderId="37" xfId="32" applyFont="1" applyBorder="1" applyAlignment="1">
      <alignment horizontal="center" vertical="center" shrinkToFit="1"/>
    </xf>
    <xf numFmtId="0" fontId="28" fillId="0" borderId="0" xfId="32" applyFont="1" applyAlignment="1">
      <alignment horizontal="center" vertical="center" shrinkToFit="1"/>
    </xf>
    <xf numFmtId="0" fontId="26" fillId="0" borderId="22" xfId="32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51" fillId="0" borderId="22" xfId="0" applyFont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70" fillId="0" borderId="4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74" fillId="0" borderId="4" xfId="0" applyFont="1" applyBorder="1" applyAlignment="1">
      <alignment shrinkToFit="1"/>
    </xf>
    <xf numFmtId="0" fontId="65" fillId="0" borderId="9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76" fillId="5" borderId="42" xfId="8" applyFont="1" applyFill="1" applyBorder="1" applyAlignment="1">
      <alignment horizontal="center" vertical="center"/>
    </xf>
    <xf numFmtId="0" fontId="76" fillId="5" borderId="43" xfId="8" applyFont="1" applyFill="1" applyBorder="1" applyAlignment="1">
      <alignment horizontal="center" vertical="center"/>
    </xf>
    <xf numFmtId="0" fontId="76" fillId="5" borderId="45" xfId="8" applyFont="1" applyFill="1" applyBorder="1" applyAlignment="1">
      <alignment horizontal="center" vertical="center"/>
    </xf>
    <xf numFmtId="0" fontId="77" fillId="10" borderId="46" xfId="8" applyFont="1" applyFill="1" applyBorder="1" applyAlignment="1">
      <alignment horizontal="center" vertical="center" wrapText="1"/>
    </xf>
    <xf numFmtId="0" fontId="77" fillId="10" borderId="51" xfId="8" applyFont="1" applyFill="1" applyBorder="1" applyAlignment="1">
      <alignment horizontal="center" vertical="center" wrapText="1"/>
    </xf>
    <xf numFmtId="0" fontId="77" fillId="10" borderId="22" xfId="8" applyFont="1" applyFill="1" applyBorder="1" applyAlignment="1">
      <alignment horizontal="center" vertical="center" wrapText="1"/>
    </xf>
    <xf numFmtId="0" fontId="77" fillId="10" borderId="23" xfId="8" applyFont="1" applyFill="1" applyBorder="1" applyAlignment="1">
      <alignment horizontal="center" vertical="center" wrapText="1"/>
    </xf>
    <xf numFmtId="0" fontId="78" fillId="10" borderId="27" xfId="8" applyFont="1" applyFill="1" applyBorder="1" applyAlignment="1">
      <alignment horizontal="center" vertical="center"/>
    </xf>
    <xf numFmtId="0" fontId="78" fillId="10" borderId="28" xfId="8" applyFont="1" applyFill="1" applyBorder="1" applyAlignment="1">
      <alignment horizontal="center" vertical="center"/>
    </xf>
    <xf numFmtId="0" fontId="78" fillId="10" borderId="50" xfId="8" applyFont="1" applyFill="1" applyBorder="1" applyAlignment="1">
      <alignment horizontal="center" vertical="center"/>
    </xf>
    <xf numFmtId="192" fontId="80" fillId="0" borderId="44" xfId="8" applyNumberFormat="1" applyFont="1" applyBorder="1" applyAlignment="1">
      <alignment horizontal="center" vertical="center"/>
    </xf>
    <xf numFmtId="192" fontId="80" fillId="0" borderId="29" xfId="8" applyNumberFormat="1" applyFont="1" applyBorder="1" applyAlignment="1">
      <alignment horizontal="center" vertical="center"/>
    </xf>
    <xf numFmtId="192" fontId="80" fillId="0" borderId="49" xfId="8" applyNumberFormat="1" applyFont="1" applyBorder="1" applyAlignment="1">
      <alignment horizontal="center" vertical="center"/>
    </xf>
    <xf numFmtId="192" fontId="80" fillId="0" borderId="53" xfId="8" applyNumberFormat="1" applyFont="1" applyBorder="1" applyAlignment="1">
      <alignment horizontal="center" vertical="center"/>
    </xf>
    <xf numFmtId="192" fontId="80" fillId="0" borderId="54" xfId="8" applyNumberFormat="1" applyFont="1" applyBorder="1" applyAlignment="1">
      <alignment horizontal="center" vertical="center"/>
    </xf>
    <xf numFmtId="192" fontId="80" fillId="0" borderId="55" xfId="8" applyNumberFormat="1" applyFont="1" applyBorder="1" applyAlignment="1">
      <alignment horizontal="center" vertical="center"/>
    </xf>
    <xf numFmtId="0" fontId="82" fillId="0" borderId="0" xfId="37" applyFont="1" applyAlignment="1">
      <alignment horizontal="left" vertical="center"/>
    </xf>
    <xf numFmtId="0" fontId="15" fillId="0" borderId="3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5" fillId="0" borderId="20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37" fillId="5" borderId="22" xfId="37" applyFont="1" applyFill="1" applyBorder="1" applyAlignment="1">
      <alignment horizontal="center"/>
    </xf>
  </cellXfs>
  <cellStyles count="71">
    <cellStyle name="一般" xfId="0" builtinId="0"/>
    <cellStyle name="一般 10" xfId="1" xr:uid="{00000000-0005-0000-0000-000001000000}"/>
    <cellStyle name="一般 11" xfId="2" xr:uid="{00000000-0005-0000-0000-000002000000}"/>
    <cellStyle name="一般 12" xfId="3" xr:uid="{00000000-0005-0000-0000-000003000000}"/>
    <cellStyle name="一般 2" xfId="4" xr:uid="{00000000-0005-0000-0000-000004000000}"/>
    <cellStyle name="一般 2 2" xfId="69" xr:uid="{00000000-0005-0000-0000-000005000000}"/>
    <cellStyle name="一般 2 2 2" xfId="5" xr:uid="{00000000-0005-0000-0000-000006000000}"/>
    <cellStyle name="一般 2 2 30 2 2 30 2" xfId="6" xr:uid="{00000000-0005-0000-0000-000007000000}"/>
    <cellStyle name="一般 2 2 30 2 2 30 2 2" xfId="7" xr:uid="{00000000-0005-0000-0000-000008000000}"/>
    <cellStyle name="一般 2 2 30 2 2 30 2 2 2" xfId="8" xr:uid="{00000000-0005-0000-0000-000009000000}"/>
    <cellStyle name="一般 2 2 30 2 2 30 2 3" xfId="9" xr:uid="{00000000-0005-0000-0000-00000A000000}"/>
    <cellStyle name="一般 2 2 30 2 2 30 2 4" xfId="10" xr:uid="{00000000-0005-0000-0000-00000B000000}"/>
    <cellStyle name="一般 2 2 30 2 2 30 2 4 2" xfId="11" xr:uid="{00000000-0005-0000-0000-00000C000000}"/>
    <cellStyle name="一般 2 2 30 2 2 30 2 4 3" xfId="12" xr:uid="{00000000-0005-0000-0000-00000D000000}"/>
    <cellStyle name="一般 2 2 30 2 2 30 2 4 3 2" xfId="13" xr:uid="{00000000-0005-0000-0000-00000E000000}"/>
    <cellStyle name="一般 2 2 30 2 2 30 2 4 3 3" xfId="14" xr:uid="{00000000-0005-0000-0000-00000F000000}"/>
    <cellStyle name="一般 2 2 30 2 2 30 2 4 3 4" xfId="15" xr:uid="{00000000-0005-0000-0000-000010000000}"/>
    <cellStyle name="一般 2 2 30 2 2 30 2 4 4" xfId="16" xr:uid="{00000000-0005-0000-0000-000011000000}"/>
    <cellStyle name="一般 2 2 30 2 2 30 2 4 5" xfId="17" xr:uid="{00000000-0005-0000-0000-000012000000}"/>
    <cellStyle name="一般 2 2 30 2 2 30 2 5" xfId="18" xr:uid="{00000000-0005-0000-0000-000013000000}"/>
    <cellStyle name="一般 2 2 30 2 2 30 2 6" xfId="19" xr:uid="{00000000-0005-0000-0000-000014000000}"/>
    <cellStyle name="一般 2 2 30 2 2 30 2 7" xfId="20" xr:uid="{00000000-0005-0000-0000-000015000000}"/>
    <cellStyle name="一般 2 2 30 2 3 2" xfId="21" xr:uid="{00000000-0005-0000-0000-000016000000}"/>
    <cellStyle name="一般 2 2 30 2 3 2 2" xfId="22" xr:uid="{00000000-0005-0000-0000-000017000000}"/>
    <cellStyle name="一般 2 2 30 3 30" xfId="23" xr:uid="{00000000-0005-0000-0000-000018000000}"/>
    <cellStyle name="一般 2 2 30 3 30 4" xfId="24" xr:uid="{00000000-0005-0000-0000-000019000000}"/>
    <cellStyle name="一般 2 2 30 3 30 4 2" xfId="25" xr:uid="{00000000-0005-0000-0000-00001A000000}"/>
    <cellStyle name="一般 2 2 30 3 30 4 3" xfId="26" xr:uid="{00000000-0005-0000-0000-00001B000000}"/>
    <cellStyle name="一般 2 2 30 3 30 4 4" xfId="27" xr:uid="{00000000-0005-0000-0000-00001C000000}"/>
    <cellStyle name="一般 2 2 4" xfId="28" xr:uid="{00000000-0005-0000-0000-00001D000000}"/>
    <cellStyle name="一般 2 2 4 2" xfId="29" xr:uid="{00000000-0005-0000-0000-00001E000000}"/>
    <cellStyle name="一般 2 2 4 2 2" xfId="70" xr:uid="{00000000-0005-0000-0000-00001F000000}"/>
    <cellStyle name="一般 2 2 4 3" xfId="30" xr:uid="{00000000-0005-0000-0000-000020000000}"/>
    <cellStyle name="一般 2 4 2" xfId="31" xr:uid="{00000000-0005-0000-0000-000021000000}"/>
    <cellStyle name="一般 3" xfId="32" xr:uid="{00000000-0005-0000-0000-000022000000}"/>
    <cellStyle name="一般 3 3 3 2" xfId="33" xr:uid="{00000000-0005-0000-0000-000023000000}"/>
    <cellStyle name="一般 3 3 3 2 2" xfId="34" xr:uid="{00000000-0005-0000-0000-000024000000}"/>
    <cellStyle name="一般 3 3 3 2 3" xfId="35" xr:uid="{00000000-0005-0000-0000-000025000000}"/>
    <cellStyle name="一般 3 3 3 2 4" xfId="36" xr:uid="{00000000-0005-0000-0000-000026000000}"/>
    <cellStyle name="一般 4" xfId="37" xr:uid="{00000000-0005-0000-0000-000027000000}"/>
    <cellStyle name="一般 5" xfId="38" xr:uid="{00000000-0005-0000-0000-000028000000}"/>
    <cellStyle name="一般 5 2" xfId="39" xr:uid="{00000000-0005-0000-0000-000029000000}"/>
    <cellStyle name="一般 5 3" xfId="40" xr:uid="{00000000-0005-0000-0000-00002A000000}"/>
    <cellStyle name="一般 5 4" xfId="41" xr:uid="{00000000-0005-0000-0000-00002B000000}"/>
    <cellStyle name="一般 5 5" xfId="42" xr:uid="{00000000-0005-0000-0000-00002C000000}"/>
    <cellStyle name="一般 6" xfId="43" xr:uid="{00000000-0005-0000-0000-00002D000000}"/>
    <cellStyle name="一般 7" xfId="44" xr:uid="{00000000-0005-0000-0000-00002E000000}"/>
    <cellStyle name="一般 8" xfId="45" xr:uid="{00000000-0005-0000-0000-00002F000000}"/>
    <cellStyle name="一般 9" xfId="46" xr:uid="{00000000-0005-0000-0000-000030000000}"/>
    <cellStyle name="一般 9 2" xfId="68" xr:uid="{00000000-0005-0000-0000-000031000000}"/>
    <cellStyle name="千分位" xfId="47" builtinId="3"/>
    <cellStyle name="千分位 2" xfId="48" xr:uid="{00000000-0005-0000-0000-000033000000}"/>
    <cellStyle name="千分位 2 2" xfId="49" xr:uid="{00000000-0005-0000-0000-000034000000}"/>
    <cellStyle name="千分位 2 3" xfId="50" xr:uid="{00000000-0005-0000-0000-000035000000}"/>
    <cellStyle name="千分位 2 4" xfId="51" xr:uid="{00000000-0005-0000-0000-000036000000}"/>
    <cellStyle name="千分位 2 5" xfId="52" xr:uid="{00000000-0005-0000-0000-000037000000}"/>
    <cellStyle name="百分比" xfId="53" builtinId="5"/>
    <cellStyle name="百分比 2" xfId="54" xr:uid="{00000000-0005-0000-0000-000039000000}"/>
    <cellStyle name="百分比 2 2" xfId="55" xr:uid="{00000000-0005-0000-0000-00003A000000}"/>
    <cellStyle name="百分比 2 2 2" xfId="56" xr:uid="{00000000-0005-0000-0000-00003B000000}"/>
    <cellStyle name="百分比 2 3" xfId="57" xr:uid="{00000000-0005-0000-0000-00003C000000}"/>
    <cellStyle name="百分比 3" xfId="58" xr:uid="{00000000-0005-0000-0000-00003D000000}"/>
    <cellStyle name="百分比 4" xfId="59" xr:uid="{00000000-0005-0000-0000-00003E000000}"/>
    <cellStyle name="百分比 5" xfId="60" xr:uid="{00000000-0005-0000-0000-00003F000000}"/>
    <cellStyle name="百分比 6" xfId="61" xr:uid="{00000000-0005-0000-0000-000040000000}"/>
    <cellStyle name="百分比 6 4" xfId="62" xr:uid="{00000000-0005-0000-0000-000041000000}"/>
    <cellStyle name="百分比 6 4 2" xfId="63" xr:uid="{00000000-0005-0000-0000-000042000000}"/>
    <cellStyle name="百分比 6 4 3" xfId="64" xr:uid="{00000000-0005-0000-0000-000043000000}"/>
    <cellStyle name="百分比 6 4 4" xfId="65" xr:uid="{00000000-0005-0000-0000-000044000000}"/>
    <cellStyle name="百分比 7" xfId="66" xr:uid="{00000000-0005-0000-0000-000045000000}"/>
    <cellStyle name="百分比 8" xfId="67" xr:uid="{00000000-0005-0000-0000-000046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I16" sqref="I15:I16"/>
    </sheetView>
  </sheetViews>
  <sheetFormatPr defaultColWidth="12.5703125" defaultRowHeight="15.75" customHeight="1"/>
  <cols>
    <col min="1" max="1" width="27.42578125" style="118" bestFit="1" customWidth="1"/>
    <col min="2" max="4" width="12.5703125" style="118" customWidth="1"/>
    <col min="5" max="5" width="16.42578125" style="118" customWidth="1"/>
    <col min="6" max="6" width="2.42578125" style="118" customWidth="1"/>
    <col min="7" max="7" width="24.85546875" style="118" bestFit="1" customWidth="1"/>
    <col min="8" max="10" width="12.5703125" style="118" customWidth="1"/>
    <col min="11" max="11" width="16.42578125" style="118" customWidth="1"/>
    <col min="12" max="12" width="12.5703125" style="119" customWidth="1"/>
    <col min="13" max="16" width="12.5703125" style="118" customWidth="1"/>
    <col min="17" max="16384" width="12.5703125" style="118"/>
  </cols>
  <sheetData>
    <row r="1" spans="1:12" ht="15.75" customHeight="1">
      <c r="A1" s="398" t="s">
        <v>0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118"/>
    </row>
    <row r="2" spans="1:12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</row>
    <row r="3" spans="1:12" ht="21.6" customHeight="1">
      <c r="A3" s="133" t="s">
        <v>1</v>
      </c>
      <c r="B3" s="134">
        <v>1</v>
      </c>
      <c r="C3" s="133" t="s">
        <v>2</v>
      </c>
      <c r="D3" s="399" t="s">
        <v>3</v>
      </c>
      <c r="E3" s="400"/>
      <c r="F3" s="119"/>
      <c r="G3" s="128"/>
      <c r="H3" s="119"/>
      <c r="I3" s="119"/>
      <c r="J3" s="119"/>
      <c r="K3" s="119"/>
    </row>
    <row r="4" spans="1:12" ht="15.75" customHeight="1">
      <c r="A4" s="129" t="s">
        <v>4</v>
      </c>
      <c r="E4" s="121" t="s">
        <v>5</v>
      </c>
      <c r="G4" s="130" t="s">
        <v>6</v>
      </c>
      <c r="L4" s="118"/>
    </row>
    <row r="5" spans="1:12" s="122" customFormat="1" ht="15.75" customHeight="1">
      <c r="A5" s="141" t="s">
        <v>7</v>
      </c>
      <c r="B5" s="135" t="s">
        <v>8</v>
      </c>
      <c r="C5" s="135" t="s">
        <v>9</v>
      </c>
      <c r="D5" s="135" t="s">
        <v>10</v>
      </c>
      <c r="E5" s="135" t="s">
        <v>11</v>
      </c>
      <c r="G5" s="141" t="s">
        <v>7</v>
      </c>
      <c r="H5" s="135" t="s">
        <v>12</v>
      </c>
      <c r="I5" s="135" t="s">
        <v>8</v>
      </c>
      <c r="J5" s="135" t="s">
        <v>9</v>
      </c>
      <c r="K5" s="135" t="s">
        <v>11</v>
      </c>
      <c r="L5" s="123" t="s">
        <v>13</v>
      </c>
    </row>
    <row r="6" spans="1:12" ht="18" customHeight="1">
      <c r="A6" s="125" t="s">
        <v>14</v>
      </c>
      <c r="B6" s="136">
        <v>73906</v>
      </c>
      <c r="C6" s="136">
        <v>73077</v>
      </c>
      <c r="D6" s="136">
        <f t="shared" ref="D6:D11" si="0">B6-C6</f>
        <v>829</v>
      </c>
      <c r="E6" s="126"/>
      <c r="G6" s="125" t="s">
        <v>15</v>
      </c>
      <c r="H6" s="138">
        <v>112.8</v>
      </c>
      <c r="I6" s="138">
        <v>99.6</v>
      </c>
      <c r="J6" s="138">
        <v>100.9</v>
      </c>
      <c r="K6" s="139"/>
      <c r="L6" s="120" t="s">
        <v>16</v>
      </c>
    </row>
    <row r="7" spans="1:12" ht="18" customHeight="1">
      <c r="A7" s="125" t="s">
        <v>17</v>
      </c>
      <c r="B7" s="136">
        <v>1572945</v>
      </c>
      <c r="C7" s="136">
        <v>1537451</v>
      </c>
      <c r="D7" s="136">
        <f t="shared" si="0"/>
        <v>35494</v>
      </c>
      <c r="E7" s="126"/>
      <c r="G7" s="125" t="s">
        <v>18</v>
      </c>
      <c r="H7" s="137">
        <v>0.8</v>
      </c>
      <c r="I7" s="137">
        <f>I6/H6</f>
        <v>0.88297872340425532</v>
      </c>
      <c r="J7" s="137">
        <v>0.89449999999999996</v>
      </c>
      <c r="K7" s="137"/>
      <c r="L7" s="120" t="s">
        <v>19</v>
      </c>
    </row>
    <row r="8" spans="1:12" ht="18" customHeight="1">
      <c r="A8" s="125" t="s">
        <v>20</v>
      </c>
      <c r="B8" s="136">
        <v>46645.866000000002</v>
      </c>
      <c r="C8" s="136">
        <v>46135</v>
      </c>
      <c r="D8" s="136">
        <f>B8-C8</f>
        <v>510.8660000000018</v>
      </c>
      <c r="E8" s="126"/>
      <c r="G8" s="125" t="s">
        <v>21</v>
      </c>
      <c r="H8" s="137">
        <v>2.5000000000000001E-3</v>
      </c>
      <c r="I8" s="137">
        <v>3.3999999999999998E-3</v>
      </c>
      <c r="J8" s="137">
        <v>3.8999999999999998E-3</v>
      </c>
      <c r="K8" s="137"/>
      <c r="L8" s="120" t="s">
        <v>22</v>
      </c>
    </row>
    <row r="9" spans="1:12" ht="18" customHeight="1">
      <c r="A9" s="125" t="s">
        <v>23</v>
      </c>
      <c r="B9" s="137">
        <f>B8/B6</f>
        <v>0.63115127323897924</v>
      </c>
      <c r="C9" s="137">
        <v>0.63129999999999997</v>
      </c>
      <c r="D9" s="137">
        <f t="shared" si="0"/>
        <v>-1.4872676102073434E-4</v>
      </c>
      <c r="E9" s="137"/>
      <c r="G9" s="125" t="s">
        <v>24</v>
      </c>
      <c r="H9" s="137">
        <v>2.5000000000000001E-3</v>
      </c>
      <c r="I9" s="137">
        <v>2.3E-3</v>
      </c>
      <c r="J9" s="137">
        <v>2.5000000000000001E-3</v>
      </c>
      <c r="K9" s="137"/>
      <c r="L9" s="120" t="s">
        <v>25</v>
      </c>
    </row>
    <row r="10" spans="1:12" ht="18" customHeight="1">
      <c r="A10" s="125" t="s">
        <v>26</v>
      </c>
      <c r="B10" s="136">
        <f>B6*B11</f>
        <v>9755.5920000000006</v>
      </c>
      <c r="C10" s="136">
        <f>C6*C11</f>
        <v>9573.0869999999995</v>
      </c>
      <c r="D10" s="136">
        <f t="shared" si="0"/>
        <v>182.50500000000102</v>
      </c>
      <c r="E10" s="126"/>
      <c r="G10" s="125" t="s">
        <v>27</v>
      </c>
      <c r="H10" s="137">
        <v>1</v>
      </c>
      <c r="I10" s="137">
        <v>0.28599999999999998</v>
      </c>
      <c r="J10" s="137">
        <v>0.40699999999999997</v>
      </c>
      <c r="K10" s="137"/>
      <c r="L10" s="120" t="s">
        <v>28</v>
      </c>
    </row>
    <row r="11" spans="1:12" ht="18" customHeight="1">
      <c r="A11" s="125" t="s">
        <v>29</v>
      </c>
      <c r="B11" s="137">
        <v>0.13200000000000001</v>
      </c>
      <c r="C11" s="137">
        <v>0.13100000000000001</v>
      </c>
      <c r="D11" s="137">
        <f t="shared" si="0"/>
        <v>1.0000000000000009E-3</v>
      </c>
      <c r="E11" s="137"/>
      <c r="G11" s="125" t="s">
        <v>30</v>
      </c>
      <c r="H11" s="137">
        <v>1</v>
      </c>
      <c r="I11" s="137">
        <v>0.90300000000000002</v>
      </c>
      <c r="J11" s="137">
        <v>0.85</v>
      </c>
      <c r="K11" s="137"/>
      <c r="L11" s="120" t="s">
        <v>31</v>
      </c>
    </row>
    <row r="12" spans="1:12" ht="9.6" customHeight="1">
      <c r="L12" s="118"/>
    </row>
    <row r="13" spans="1:12" ht="15.75" customHeight="1">
      <c r="A13" s="129" t="s">
        <v>32</v>
      </c>
      <c r="G13" s="129" t="s">
        <v>33</v>
      </c>
      <c r="L13" s="118"/>
    </row>
    <row r="14" spans="1:12" s="124" customFormat="1" ht="12">
      <c r="A14" s="140"/>
      <c r="B14" s="140" t="s">
        <v>8</v>
      </c>
      <c r="C14" s="140" t="s">
        <v>34</v>
      </c>
      <c r="D14" s="140" t="s">
        <v>9</v>
      </c>
      <c r="E14" s="140" t="s">
        <v>10</v>
      </c>
      <c r="G14" s="140"/>
      <c r="H14" s="140" t="s">
        <v>8</v>
      </c>
      <c r="I14" s="140" t="s">
        <v>34</v>
      </c>
      <c r="J14" s="140" t="s">
        <v>9</v>
      </c>
      <c r="K14" s="140" t="s">
        <v>10</v>
      </c>
    </row>
    <row r="15" spans="1:12" ht="18" customHeight="1">
      <c r="A15" s="125" t="s">
        <v>35</v>
      </c>
      <c r="B15" s="136">
        <v>67377.8</v>
      </c>
      <c r="C15" s="137">
        <f>IFERROR(B15/$B$6,"")</f>
        <v>0.91166887668118968</v>
      </c>
      <c r="D15" s="244">
        <v>0.91739999999999999</v>
      </c>
      <c r="E15" s="137">
        <f>IFERROR(C15-D15,"")</f>
        <v>-5.7311233188103161E-3</v>
      </c>
      <c r="G15" s="125" t="s">
        <v>35</v>
      </c>
      <c r="H15" s="136">
        <v>1336654</v>
      </c>
      <c r="I15" s="137">
        <f t="shared" ref="I15:I17" si="1">IFERROR(H15/$B$7,"")</f>
        <v>0.84977796426448482</v>
      </c>
      <c r="J15" s="137">
        <v>0.85770000000000002</v>
      </c>
      <c r="K15" s="137">
        <f t="shared" ref="K15:K17" si="2">IFERROR(I15-J15,"")</f>
        <v>-7.9220357355151982E-3</v>
      </c>
      <c r="L15" s="118"/>
    </row>
    <row r="16" spans="1:12" ht="18" customHeight="1">
      <c r="A16" s="125" t="s">
        <v>36</v>
      </c>
      <c r="B16" s="136"/>
      <c r="C16" s="137">
        <f t="shared" ref="C16:C17" si="3">IFERROR(B16/$B$6,"")</f>
        <v>0</v>
      </c>
      <c r="D16" s="137">
        <v>0</v>
      </c>
      <c r="E16" s="137">
        <f t="shared" ref="E16:E17" si="4">IFERROR(C16-D16,"")</f>
        <v>0</v>
      </c>
      <c r="G16" s="125" t="s">
        <v>36</v>
      </c>
      <c r="H16" s="136"/>
      <c r="I16" s="137">
        <f t="shared" si="1"/>
        <v>0</v>
      </c>
      <c r="J16" s="137">
        <v>0</v>
      </c>
      <c r="K16" s="137">
        <f t="shared" si="2"/>
        <v>0</v>
      </c>
      <c r="L16" s="118"/>
    </row>
    <row r="17" spans="1:17" ht="18" customHeight="1">
      <c r="A17" s="125" t="s">
        <v>37</v>
      </c>
      <c r="B17" s="136">
        <v>6528.1</v>
      </c>
      <c r="C17" s="137">
        <f t="shared" si="3"/>
        <v>8.8329770248694289E-2</v>
      </c>
      <c r="D17" s="137">
        <v>8.2600000000000007E-2</v>
      </c>
      <c r="E17" s="137">
        <f t="shared" si="4"/>
        <v>5.7297702486942825E-3</v>
      </c>
      <c r="G17" s="125" t="s">
        <v>37</v>
      </c>
      <c r="H17" s="136">
        <v>236291</v>
      </c>
      <c r="I17" s="137">
        <f t="shared" si="1"/>
        <v>0.15022203573551524</v>
      </c>
      <c r="J17" s="137">
        <v>0.14230000000000001</v>
      </c>
      <c r="K17" s="137">
        <f t="shared" si="2"/>
        <v>7.922035735515226E-3</v>
      </c>
      <c r="L17" s="118"/>
    </row>
    <row r="18" spans="1:17" ht="15.75" customHeight="1">
      <c r="C18" s="131">
        <f>SUM(C15:C17)</f>
        <v>0.99999864692988394</v>
      </c>
      <c r="D18" s="131">
        <f>SUM(D15:D17)</f>
        <v>1</v>
      </c>
      <c r="I18" s="131">
        <f>SUM(I15:I17)</f>
        <v>1</v>
      </c>
      <c r="J18" s="131">
        <f>SUM(J15:J17)</f>
        <v>1</v>
      </c>
      <c r="L18" s="118"/>
    </row>
    <row r="19" spans="1:17" ht="9.6" customHeight="1">
      <c r="A19" s="132"/>
      <c r="L19" s="118"/>
    </row>
    <row r="20" spans="1:17" ht="15.75" customHeight="1">
      <c r="A20" s="129" t="s">
        <v>38</v>
      </c>
      <c r="L20" s="118"/>
    </row>
    <row r="21" spans="1:17" ht="15.75" customHeight="1">
      <c r="A21" s="125" t="s">
        <v>39</v>
      </c>
      <c r="B21" s="125" t="s">
        <v>8</v>
      </c>
      <c r="C21" s="125" t="s">
        <v>9</v>
      </c>
      <c r="D21" s="125" t="s">
        <v>10</v>
      </c>
      <c r="E21" s="125" t="s">
        <v>11</v>
      </c>
      <c r="L21" s="118"/>
    </row>
    <row r="22" spans="1:17" ht="18" customHeight="1">
      <c r="A22" s="125" t="s">
        <v>35</v>
      </c>
      <c r="B22" s="211">
        <v>98.7</v>
      </c>
      <c r="C22" s="211">
        <v>98.3</v>
      </c>
      <c r="D22" s="136">
        <f t="shared" ref="D22:D24" si="5">B22-C22</f>
        <v>0.40000000000000568</v>
      </c>
      <c r="E22" s="127"/>
      <c r="G22" s="142"/>
      <c r="H22" s="142"/>
      <c r="I22" s="142"/>
      <c r="J22" s="142"/>
      <c r="K22" s="142"/>
      <c r="L22" s="142"/>
      <c r="M22" s="142"/>
      <c r="N22" s="142"/>
      <c r="O22" s="142"/>
      <c r="P22" s="143"/>
      <c r="Q22" s="143"/>
    </row>
    <row r="23" spans="1:17" ht="18" customHeight="1">
      <c r="A23" s="125" t="s">
        <v>36</v>
      </c>
      <c r="B23" s="126"/>
      <c r="C23" s="126"/>
      <c r="D23" s="136">
        <f t="shared" si="5"/>
        <v>0</v>
      </c>
      <c r="E23" s="127"/>
      <c r="G23" s="144"/>
      <c r="H23" s="144"/>
      <c r="I23" s="145"/>
      <c r="J23" s="1"/>
      <c r="K23" s="146"/>
      <c r="L23" s="67"/>
      <c r="M23" s="66"/>
      <c r="N23" s="67"/>
      <c r="O23" s="67"/>
      <c r="P23" s="67"/>
      <c r="Q23" s="67"/>
    </row>
    <row r="24" spans="1:17" ht="18" customHeight="1">
      <c r="A24" s="125" t="s">
        <v>37</v>
      </c>
      <c r="B24" s="246">
        <v>104.2</v>
      </c>
      <c r="C24" s="246">
        <v>110.1</v>
      </c>
      <c r="D24" s="136">
        <f t="shared" si="5"/>
        <v>-5.8999999999999915</v>
      </c>
      <c r="E24" s="127"/>
      <c r="L24" s="118"/>
    </row>
    <row r="25" spans="1:17" ht="15.75" customHeight="1">
      <c r="L25" s="118"/>
    </row>
    <row r="26" spans="1:17" ht="15.75" customHeight="1">
      <c r="L26" s="118"/>
    </row>
  </sheetData>
  <mergeCells count="2">
    <mergeCell ref="A1:K2"/>
    <mergeCell ref="D3:E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H1" zoomScale="85" zoomScaleNormal="85" workbookViewId="0">
      <selection activeCell="N5" sqref="N5:N37"/>
    </sheetView>
  </sheetViews>
  <sheetFormatPr defaultColWidth="8.85546875" defaultRowHeight="12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27" width="8.85546875" style="79" customWidth="1"/>
    <col min="28" max="16384" width="8.85546875" style="79"/>
  </cols>
  <sheetData>
    <row r="2" spans="2:23" ht="38.1" customHeight="1">
      <c r="B2" s="411" t="s">
        <v>40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</row>
    <row r="3" spans="2:23" s="81" customFormat="1" ht="23.45" customHeight="1">
      <c r="B3" s="415" t="s">
        <v>41</v>
      </c>
      <c r="C3" s="416" t="s">
        <v>42</v>
      </c>
      <c r="D3" s="417" t="s">
        <v>43</v>
      </c>
      <c r="E3" s="417"/>
      <c r="F3" s="414" t="s">
        <v>44</v>
      </c>
      <c r="G3" s="414"/>
      <c r="H3" s="414"/>
      <c r="I3" s="412" t="s">
        <v>45</v>
      </c>
      <c r="J3" s="412"/>
      <c r="K3" s="412"/>
      <c r="L3" s="413" t="s">
        <v>46</v>
      </c>
      <c r="M3" s="413"/>
      <c r="N3" s="413"/>
      <c r="O3" s="419" t="s">
        <v>47</v>
      </c>
      <c r="P3" s="419"/>
      <c r="Q3" s="419"/>
      <c r="R3" s="418" t="s">
        <v>48</v>
      </c>
      <c r="S3" s="418"/>
      <c r="T3" s="418"/>
      <c r="U3" s="419" t="s">
        <v>49</v>
      </c>
      <c r="V3" s="419"/>
      <c r="W3" s="419"/>
    </row>
    <row r="4" spans="2:23" s="81" customFormat="1" ht="23.45" customHeight="1">
      <c r="B4" s="415"/>
      <c r="C4" s="416"/>
      <c r="D4" s="417"/>
      <c r="E4" s="417"/>
      <c r="F4" s="80" t="s">
        <v>50</v>
      </c>
      <c r="G4" s="80" t="s">
        <v>51</v>
      </c>
      <c r="H4" s="80" t="s">
        <v>52</v>
      </c>
      <c r="I4" s="91" t="s">
        <v>50</v>
      </c>
      <c r="J4" s="91" t="s">
        <v>51</v>
      </c>
      <c r="K4" s="91" t="s">
        <v>52</v>
      </c>
      <c r="L4" s="90" t="s">
        <v>50</v>
      </c>
      <c r="M4" s="90" t="s">
        <v>51</v>
      </c>
      <c r="N4" s="90" t="s">
        <v>52</v>
      </c>
      <c r="O4" s="84" t="s">
        <v>50</v>
      </c>
      <c r="P4" s="84" t="s">
        <v>51</v>
      </c>
      <c r="Q4" s="84" t="s">
        <v>52</v>
      </c>
      <c r="R4" s="84" t="s">
        <v>50</v>
      </c>
      <c r="S4" s="84" t="s">
        <v>51</v>
      </c>
      <c r="T4" s="84" t="s">
        <v>52</v>
      </c>
      <c r="U4" s="84" t="s">
        <v>50</v>
      </c>
      <c r="V4" s="84" t="s">
        <v>51</v>
      </c>
      <c r="W4" s="84" t="s">
        <v>52</v>
      </c>
    </row>
    <row r="5" spans="2:23" ht="13.5">
      <c r="B5" s="324"/>
      <c r="C5" s="405" t="s">
        <v>53</v>
      </c>
      <c r="D5" s="325">
        <v>46023</v>
      </c>
      <c r="E5" s="326" t="s">
        <v>54</v>
      </c>
      <c r="F5" s="86">
        <v>2226674.23</v>
      </c>
      <c r="G5" s="327"/>
      <c r="H5" s="402">
        <f>SUM(F5:F35)</f>
        <v>73906002.200000003</v>
      </c>
      <c r="I5" s="328">
        <v>46936</v>
      </c>
      <c r="J5" s="329"/>
      <c r="K5" s="407">
        <f>SUM(I5:I35)</f>
        <v>1572945</v>
      </c>
      <c r="L5" s="86">
        <v>1406826</v>
      </c>
      <c r="M5" s="327"/>
      <c r="N5" s="402">
        <f>SUM(L5:L35)</f>
        <v>46645866</v>
      </c>
      <c r="O5" s="332">
        <f>L5/F5</f>
        <v>0.63180593777294491</v>
      </c>
      <c r="P5" s="327"/>
      <c r="Q5" s="410">
        <f>N5/H5</f>
        <v>0.63115125445115738</v>
      </c>
      <c r="S5" s="327"/>
      <c r="T5" s="420">
        <v>0</v>
      </c>
      <c r="U5" s="89">
        <f t="shared" ref="U5:U35" si="0">R5/F5</f>
        <v>0</v>
      </c>
      <c r="V5" s="330"/>
      <c r="W5" s="406">
        <f>T5/H5</f>
        <v>0</v>
      </c>
    </row>
    <row r="6" spans="2:23" ht="13.5">
      <c r="B6" s="324"/>
      <c r="C6" s="406"/>
      <c r="D6" s="325">
        <v>46024</v>
      </c>
      <c r="E6" s="326" t="s">
        <v>55</v>
      </c>
      <c r="F6" s="86">
        <v>1942096.72</v>
      </c>
      <c r="G6" s="327"/>
      <c r="H6" s="402"/>
      <c r="I6" s="328">
        <v>40942</v>
      </c>
      <c r="J6" s="329"/>
      <c r="K6" s="407"/>
      <c r="L6" s="86">
        <v>1226646</v>
      </c>
      <c r="M6" s="327"/>
      <c r="N6" s="402"/>
      <c r="O6" s="332">
        <f>L6/F6</f>
        <v>0.63160911985887092</v>
      </c>
      <c r="P6" s="327"/>
      <c r="Q6" s="410"/>
      <c r="S6" s="327"/>
      <c r="T6" s="420"/>
      <c r="U6" s="89">
        <f t="shared" si="0"/>
        <v>0</v>
      </c>
      <c r="V6" s="410" t="e">
        <f>S6/M6</f>
        <v>#DIV/0!</v>
      </c>
      <c r="W6" s="420"/>
    </row>
    <row r="7" spans="2:23" ht="13.5">
      <c r="B7" s="324"/>
      <c r="C7" s="406"/>
      <c r="D7" s="325">
        <v>46025</v>
      </c>
      <c r="E7" s="326" t="s">
        <v>56</v>
      </c>
      <c r="F7" s="86">
        <v>2189422.61</v>
      </c>
      <c r="G7" s="327"/>
      <c r="H7" s="402"/>
      <c r="I7" s="328">
        <v>46190</v>
      </c>
      <c r="J7" s="329"/>
      <c r="K7" s="407"/>
      <c r="L7" s="86">
        <v>1380846</v>
      </c>
      <c r="M7" s="327"/>
      <c r="N7" s="402"/>
      <c r="O7" s="332">
        <f t="shared" ref="O7:O40" si="1">L7/F7</f>
        <v>0.63068956796787623</v>
      </c>
      <c r="P7" s="327"/>
      <c r="Q7" s="410"/>
      <c r="S7" s="327"/>
      <c r="T7" s="420"/>
      <c r="U7" s="89">
        <f t="shared" si="0"/>
        <v>0</v>
      </c>
      <c r="V7" s="410"/>
      <c r="W7" s="420"/>
    </row>
    <row r="8" spans="2:23" ht="13.5">
      <c r="B8" s="324"/>
      <c r="C8" s="406"/>
      <c r="D8" s="325">
        <v>46026</v>
      </c>
      <c r="E8" s="326" t="s">
        <v>50</v>
      </c>
      <c r="F8" s="86">
        <v>2542916.0900000003</v>
      </c>
      <c r="G8" s="327"/>
      <c r="H8" s="402"/>
      <c r="I8" s="328">
        <v>53732</v>
      </c>
      <c r="J8" s="329"/>
      <c r="K8" s="407"/>
      <c r="L8" s="86">
        <v>1606646</v>
      </c>
      <c r="M8" s="327"/>
      <c r="N8" s="402"/>
      <c r="O8" s="332">
        <f t="shared" si="1"/>
        <v>0.63181243231663209</v>
      </c>
      <c r="P8" s="327"/>
      <c r="Q8" s="410"/>
      <c r="S8" s="327"/>
      <c r="T8" s="420"/>
      <c r="U8" s="89">
        <f t="shared" si="0"/>
        <v>0</v>
      </c>
      <c r="V8" s="410"/>
      <c r="W8" s="420"/>
    </row>
    <row r="9" spans="2:23">
      <c r="B9" s="324"/>
      <c r="C9" s="406"/>
      <c r="D9" s="325">
        <v>46027</v>
      </c>
      <c r="E9" s="325" t="s">
        <v>53</v>
      </c>
      <c r="F9" s="86">
        <v>2525170.66</v>
      </c>
      <c r="G9" s="327"/>
      <c r="H9" s="402"/>
      <c r="I9" s="328">
        <v>53395</v>
      </c>
      <c r="J9" s="329"/>
      <c r="K9" s="407"/>
      <c r="L9" s="86">
        <v>1593646</v>
      </c>
      <c r="M9" s="327"/>
      <c r="N9" s="402"/>
      <c r="O9" s="332">
        <f t="shared" si="1"/>
        <v>0.63110427554231119</v>
      </c>
      <c r="P9" s="327"/>
      <c r="Q9" s="410"/>
      <c r="S9" s="327"/>
      <c r="T9" s="420"/>
      <c r="U9" s="89">
        <f t="shared" si="0"/>
        <v>0</v>
      </c>
      <c r="V9" s="410"/>
      <c r="W9" s="420"/>
    </row>
    <row r="10" spans="2:23" ht="13.5">
      <c r="B10" s="403">
        <v>46036</v>
      </c>
      <c r="C10" s="406"/>
      <c r="D10" s="325">
        <v>46028</v>
      </c>
      <c r="E10" s="326" t="s">
        <v>57</v>
      </c>
      <c r="F10" s="86">
        <v>2404271.42</v>
      </c>
      <c r="G10" s="404">
        <f>SUM(F10:F16)</f>
        <v>16024791.750000002</v>
      </c>
      <c r="H10" s="402"/>
      <c r="I10" s="328">
        <v>50902</v>
      </c>
      <c r="J10" s="401">
        <f>SUM(I10:I16)</f>
        <v>340021</v>
      </c>
      <c r="K10" s="407"/>
      <c r="L10" s="86">
        <v>1518646</v>
      </c>
      <c r="M10" s="404">
        <f>SUM(L10:L16)</f>
        <v>10118922</v>
      </c>
      <c r="N10" s="402"/>
      <c r="O10" s="332">
        <f t="shared" si="1"/>
        <v>0.63164499122981721</v>
      </c>
      <c r="P10" s="409">
        <f>M10/G10</f>
        <v>0.63145419658885726</v>
      </c>
      <c r="Q10" s="410"/>
      <c r="S10" s="404">
        <f>SUM(R10:R16)</f>
        <v>0</v>
      </c>
      <c r="T10" s="420"/>
      <c r="U10" s="89">
        <f t="shared" si="0"/>
        <v>0</v>
      </c>
      <c r="V10" s="410"/>
      <c r="W10" s="420"/>
    </row>
    <row r="11" spans="2:23" ht="13.5">
      <c r="B11" s="403"/>
      <c r="C11" s="406"/>
      <c r="D11" s="325">
        <v>46029</v>
      </c>
      <c r="E11" s="326" t="s">
        <v>58</v>
      </c>
      <c r="F11" s="86">
        <v>2398862.29</v>
      </c>
      <c r="G11" s="404"/>
      <c r="H11" s="402"/>
      <c r="I11" s="328">
        <v>50807</v>
      </c>
      <c r="J11" s="401"/>
      <c r="K11" s="407"/>
      <c r="L11" s="86">
        <v>1518646</v>
      </c>
      <c r="M11" s="404"/>
      <c r="N11" s="402"/>
      <c r="O11" s="332">
        <f t="shared" si="1"/>
        <v>0.63306927051656636</v>
      </c>
      <c r="P11" s="409"/>
      <c r="Q11" s="410"/>
      <c r="S11" s="404"/>
      <c r="T11" s="420"/>
      <c r="U11" s="89">
        <f t="shared" si="0"/>
        <v>0</v>
      </c>
      <c r="V11" s="410"/>
      <c r="W11" s="420"/>
    </row>
    <row r="12" spans="2:23" ht="13.5">
      <c r="B12" s="403"/>
      <c r="C12" s="406"/>
      <c r="D12" s="325">
        <v>46030</v>
      </c>
      <c r="E12" s="326" t="s">
        <v>54</v>
      </c>
      <c r="F12" s="86">
        <v>2212516.35</v>
      </c>
      <c r="G12" s="404"/>
      <c r="H12" s="402"/>
      <c r="I12" s="328">
        <v>46922</v>
      </c>
      <c r="J12" s="401"/>
      <c r="K12" s="407"/>
      <c r="L12" s="86">
        <v>1395846</v>
      </c>
      <c r="M12" s="404"/>
      <c r="N12" s="402"/>
      <c r="O12" s="332">
        <f t="shared" si="1"/>
        <v>0.63088618531564744</v>
      </c>
      <c r="P12" s="409"/>
      <c r="Q12" s="410"/>
      <c r="S12" s="404"/>
      <c r="T12" s="420"/>
      <c r="U12" s="89">
        <f t="shared" si="0"/>
        <v>0</v>
      </c>
      <c r="V12" s="410"/>
      <c r="W12" s="420"/>
    </row>
    <row r="13" spans="2:23" ht="13.5">
      <c r="B13" s="403"/>
      <c r="C13" s="406"/>
      <c r="D13" s="325">
        <v>46031</v>
      </c>
      <c r="E13" s="326" t="s">
        <v>55</v>
      </c>
      <c r="F13" s="86">
        <v>1901554.64</v>
      </c>
      <c r="G13" s="404"/>
      <c r="H13" s="402"/>
      <c r="I13" s="328">
        <v>40461</v>
      </c>
      <c r="J13" s="401"/>
      <c r="K13" s="407"/>
      <c r="L13" s="86">
        <v>1199646</v>
      </c>
      <c r="M13" s="404"/>
      <c r="N13" s="402"/>
      <c r="O13" s="332">
        <f t="shared" si="1"/>
        <v>0.63087642856268389</v>
      </c>
      <c r="P13" s="409"/>
      <c r="Q13" s="410"/>
      <c r="S13" s="404"/>
      <c r="T13" s="420"/>
      <c r="U13" s="89">
        <f t="shared" si="0"/>
        <v>0</v>
      </c>
      <c r="V13" s="410" t="e">
        <f>S13/M13</f>
        <v>#DIV/0!</v>
      </c>
      <c r="W13" s="420"/>
    </row>
    <row r="14" spans="2:23" ht="13.5">
      <c r="B14" s="403"/>
      <c r="C14" s="406"/>
      <c r="D14" s="325">
        <v>46032</v>
      </c>
      <c r="E14" s="326" t="s">
        <v>56</v>
      </c>
      <c r="F14" s="86">
        <v>2097914.63</v>
      </c>
      <c r="G14" s="404"/>
      <c r="H14" s="402"/>
      <c r="I14" s="328">
        <v>44509</v>
      </c>
      <c r="J14" s="401"/>
      <c r="K14" s="407"/>
      <c r="L14" s="86">
        <v>1323846</v>
      </c>
      <c r="M14" s="404"/>
      <c r="N14" s="402"/>
      <c r="O14" s="332">
        <f t="shared" si="1"/>
        <v>0.63102949046120149</v>
      </c>
      <c r="P14" s="409"/>
      <c r="Q14" s="410"/>
      <c r="S14" s="404"/>
      <c r="T14" s="420"/>
      <c r="U14" s="89">
        <f t="shared" si="0"/>
        <v>0</v>
      </c>
      <c r="V14" s="410"/>
      <c r="W14" s="420"/>
    </row>
    <row r="15" spans="2:23" ht="13.5">
      <c r="B15" s="403"/>
      <c r="C15" s="406"/>
      <c r="D15" s="325">
        <v>46033</v>
      </c>
      <c r="E15" s="326" t="s">
        <v>50</v>
      </c>
      <c r="F15" s="86">
        <v>2521908.2000000002</v>
      </c>
      <c r="G15" s="404"/>
      <c r="H15" s="402"/>
      <c r="I15" s="328">
        <v>53689</v>
      </c>
      <c r="J15" s="401"/>
      <c r="K15" s="407"/>
      <c r="L15" s="86">
        <v>1591646</v>
      </c>
      <c r="M15" s="404"/>
      <c r="N15" s="402"/>
      <c r="O15" s="332">
        <f t="shared" si="1"/>
        <v>0.63112765167265006</v>
      </c>
      <c r="P15" s="409"/>
      <c r="Q15" s="410"/>
      <c r="S15" s="404"/>
      <c r="T15" s="420"/>
      <c r="U15" s="89">
        <f t="shared" si="0"/>
        <v>0</v>
      </c>
      <c r="V15" s="410"/>
      <c r="W15" s="420"/>
    </row>
    <row r="16" spans="2:23">
      <c r="B16" s="403"/>
      <c r="C16" s="406"/>
      <c r="D16" s="325">
        <v>46034</v>
      </c>
      <c r="E16" s="325" t="s">
        <v>53</v>
      </c>
      <c r="F16" s="86">
        <v>2487764.2200000002</v>
      </c>
      <c r="G16" s="404"/>
      <c r="H16" s="402"/>
      <c r="I16" s="328">
        <v>52731</v>
      </c>
      <c r="J16" s="401"/>
      <c r="K16" s="407"/>
      <c r="L16" s="86">
        <v>1570646</v>
      </c>
      <c r="M16" s="404"/>
      <c r="N16" s="402"/>
      <c r="O16" s="332">
        <f t="shared" si="1"/>
        <v>0.63134841612924231</v>
      </c>
      <c r="P16" s="409"/>
      <c r="Q16" s="410"/>
      <c r="S16" s="404"/>
      <c r="T16" s="420"/>
      <c r="U16" s="89">
        <f t="shared" si="0"/>
        <v>0</v>
      </c>
      <c r="V16" s="410"/>
      <c r="W16" s="420"/>
    </row>
    <row r="17" spans="2:23" ht="13.5">
      <c r="B17" s="403">
        <v>46043</v>
      </c>
      <c r="C17" s="406"/>
      <c r="D17" s="325">
        <v>46035</v>
      </c>
      <c r="E17" s="326" t="s">
        <v>57</v>
      </c>
      <c r="F17" s="86">
        <v>2453924.4700000002</v>
      </c>
      <c r="G17" s="404">
        <f>SUM(F17:F23)</f>
        <v>15713577.810000001</v>
      </c>
      <c r="H17" s="402"/>
      <c r="I17" s="328">
        <v>52361</v>
      </c>
      <c r="J17" s="401">
        <f>SUM(I17:I23)</f>
        <v>333826</v>
      </c>
      <c r="K17" s="407"/>
      <c r="L17" s="86">
        <v>1548646</v>
      </c>
      <c r="M17" s="404">
        <f>SUM(L17:L23)</f>
        <v>9915482</v>
      </c>
      <c r="N17" s="402"/>
      <c r="O17" s="332">
        <f t="shared" si="1"/>
        <v>0.63108951352524711</v>
      </c>
      <c r="P17" s="409">
        <f>M17/G17</f>
        <v>0.63101364437129415</v>
      </c>
      <c r="Q17" s="410"/>
      <c r="S17" s="404">
        <f>SUM(R17:R23)</f>
        <v>0</v>
      </c>
      <c r="T17" s="420"/>
      <c r="U17" s="89">
        <f t="shared" si="0"/>
        <v>0</v>
      </c>
      <c r="V17" s="410"/>
      <c r="W17" s="420"/>
    </row>
    <row r="18" spans="2:23" ht="13.5">
      <c r="B18" s="403"/>
      <c r="C18" s="406"/>
      <c r="D18" s="325">
        <v>46036</v>
      </c>
      <c r="E18" s="326" t="s">
        <v>58</v>
      </c>
      <c r="F18" s="86">
        <v>2232406.1</v>
      </c>
      <c r="G18" s="404"/>
      <c r="H18" s="402"/>
      <c r="I18" s="328">
        <v>47532</v>
      </c>
      <c r="J18" s="401"/>
      <c r="K18" s="407"/>
      <c r="L18" s="86">
        <v>1408826</v>
      </c>
      <c r="M18" s="404"/>
      <c r="N18" s="402"/>
      <c r="O18" s="332">
        <f t="shared" si="1"/>
        <v>0.63107962301303511</v>
      </c>
      <c r="P18" s="409"/>
      <c r="Q18" s="410"/>
      <c r="S18" s="404"/>
      <c r="T18" s="420"/>
      <c r="U18" s="89">
        <f t="shared" si="0"/>
        <v>0</v>
      </c>
      <c r="V18" s="410"/>
      <c r="W18" s="420"/>
    </row>
    <row r="19" spans="2:23" ht="13.5">
      <c r="B19" s="403"/>
      <c r="C19" s="406"/>
      <c r="D19" s="325">
        <v>46037</v>
      </c>
      <c r="E19" s="326" t="s">
        <v>54</v>
      </c>
      <c r="F19" s="86">
        <v>2042060.41</v>
      </c>
      <c r="G19" s="404"/>
      <c r="H19" s="402"/>
      <c r="I19" s="328">
        <v>43661</v>
      </c>
      <c r="J19" s="401"/>
      <c r="K19" s="407"/>
      <c r="L19" s="86">
        <v>1287846</v>
      </c>
      <c r="M19" s="404"/>
      <c r="N19" s="402"/>
      <c r="O19" s="332">
        <f t="shared" si="1"/>
        <v>0.63066008904212589</v>
      </c>
      <c r="P19" s="409"/>
      <c r="Q19" s="410"/>
      <c r="S19" s="404"/>
      <c r="T19" s="420"/>
      <c r="U19" s="89">
        <f t="shared" si="0"/>
        <v>0</v>
      </c>
      <c r="V19" s="410"/>
      <c r="W19" s="420"/>
    </row>
    <row r="20" spans="2:23" ht="13.5">
      <c r="B20" s="403"/>
      <c r="C20" s="406"/>
      <c r="D20" s="325">
        <v>46038</v>
      </c>
      <c r="E20" s="326" t="s">
        <v>55</v>
      </c>
      <c r="F20" s="86">
        <v>1901136.53</v>
      </c>
      <c r="G20" s="404"/>
      <c r="H20" s="402"/>
      <c r="I20" s="328">
        <v>40479</v>
      </c>
      <c r="J20" s="401"/>
      <c r="K20" s="407"/>
      <c r="L20" s="86">
        <v>1200646</v>
      </c>
      <c r="M20" s="404"/>
      <c r="N20" s="402"/>
      <c r="O20" s="332">
        <f t="shared" si="1"/>
        <v>0.63154117605640869</v>
      </c>
      <c r="P20" s="409"/>
      <c r="Q20" s="410"/>
      <c r="S20" s="404"/>
      <c r="T20" s="420"/>
      <c r="U20" s="89">
        <f t="shared" si="0"/>
        <v>0</v>
      </c>
      <c r="V20" s="410" t="e">
        <f>S20/M20</f>
        <v>#DIV/0!</v>
      </c>
      <c r="W20" s="420"/>
    </row>
    <row r="21" spans="2:23" ht="13.5">
      <c r="B21" s="403"/>
      <c r="C21" s="406"/>
      <c r="D21" s="325">
        <v>46039</v>
      </c>
      <c r="E21" s="326" t="s">
        <v>56</v>
      </c>
      <c r="F21" s="86">
        <v>2122148.15</v>
      </c>
      <c r="G21" s="404"/>
      <c r="H21" s="402"/>
      <c r="I21" s="328">
        <v>45067</v>
      </c>
      <c r="J21" s="401"/>
      <c r="K21" s="407"/>
      <c r="L21" s="86">
        <v>1338826</v>
      </c>
      <c r="M21" s="404"/>
      <c r="N21" s="402"/>
      <c r="O21" s="332">
        <f t="shared" si="1"/>
        <v>0.63088243862710536</v>
      </c>
      <c r="P21" s="409"/>
      <c r="Q21" s="410"/>
      <c r="S21" s="404"/>
      <c r="T21" s="420"/>
      <c r="U21" s="89">
        <f t="shared" si="0"/>
        <v>0</v>
      </c>
      <c r="V21" s="410"/>
      <c r="W21" s="420"/>
    </row>
    <row r="22" spans="2:23" ht="13.5">
      <c r="B22" s="403"/>
      <c r="C22" s="406"/>
      <c r="D22" s="325">
        <v>46040</v>
      </c>
      <c r="E22" s="326" t="s">
        <v>50</v>
      </c>
      <c r="F22" s="86">
        <v>2467886.46</v>
      </c>
      <c r="G22" s="404"/>
      <c r="H22" s="402"/>
      <c r="I22" s="328">
        <v>52042</v>
      </c>
      <c r="J22" s="401"/>
      <c r="K22" s="407"/>
      <c r="L22" s="86">
        <v>1558646</v>
      </c>
      <c r="M22" s="404"/>
      <c r="N22" s="402"/>
      <c r="O22" s="332">
        <f t="shared" si="1"/>
        <v>0.63157119472992285</v>
      </c>
      <c r="P22" s="409"/>
      <c r="Q22" s="410"/>
      <c r="S22" s="404"/>
      <c r="T22" s="420"/>
      <c r="U22" s="89">
        <f t="shared" si="0"/>
        <v>0</v>
      </c>
      <c r="V22" s="410"/>
      <c r="W22" s="420"/>
    </row>
    <row r="23" spans="2:23">
      <c r="B23" s="403"/>
      <c r="C23" s="406"/>
      <c r="D23" s="325">
        <v>46041</v>
      </c>
      <c r="E23" s="325" t="s">
        <v>53</v>
      </c>
      <c r="F23" s="86">
        <v>2494015.69</v>
      </c>
      <c r="G23" s="404"/>
      <c r="H23" s="402"/>
      <c r="I23" s="328">
        <v>52684</v>
      </c>
      <c r="J23" s="401"/>
      <c r="K23" s="407"/>
      <c r="L23" s="86">
        <v>1572046</v>
      </c>
      <c r="M23" s="404"/>
      <c r="N23" s="402"/>
      <c r="O23" s="332">
        <f t="shared" si="1"/>
        <v>0.63032722941690877</v>
      </c>
      <c r="P23" s="409"/>
      <c r="Q23" s="410"/>
      <c r="S23" s="404"/>
      <c r="T23" s="420"/>
      <c r="U23" s="89">
        <f t="shared" si="0"/>
        <v>0</v>
      </c>
      <c r="V23" s="410"/>
      <c r="W23" s="420"/>
    </row>
    <row r="24" spans="2:23" ht="13.5">
      <c r="B24" s="403">
        <v>46050</v>
      </c>
      <c r="C24" s="406"/>
      <c r="D24" s="325">
        <v>46042</v>
      </c>
      <c r="E24" s="326" t="s">
        <v>57</v>
      </c>
      <c r="F24" s="86">
        <v>2998261.92</v>
      </c>
      <c r="G24" s="404">
        <f>SUM(F24:F30)</f>
        <v>18269388.600000001</v>
      </c>
      <c r="H24" s="402"/>
      <c r="I24" s="328">
        <v>65681</v>
      </c>
      <c r="J24" s="401">
        <f>SUM(I24:I30)</f>
        <v>392919</v>
      </c>
      <c r="K24" s="407"/>
      <c r="L24" s="86">
        <v>1890646</v>
      </c>
      <c r="M24" s="404">
        <f>SUM(L24:L30)</f>
        <v>11520322</v>
      </c>
      <c r="N24" s="402"/>
      <c r="O24" s="332">
        <f t="shared" si="1"/>
        <v>0.6305806665483048</v>
      </c>
      <c r="P24" s="409">
        <f>M24/G24</f>
        <v>0.63058059863043248</v>
      </c>
      <c r="Q24" s="410"/>
      <c r="S24" s="404">
        <f>SUM(R24:R30)</f>
        <v>0</v>
      </c>
      <c r="T24" s="420"/>
      <c r="U24" s="89">
        <f t="shared" si="0"/>
        <v>0</v>
      </c>
      <c r="V24" s="410"/>
      <c r="W24" s="420"/>
    </row>
    <row r="25" spans="2:23" ht="13.5">
      <c r="B25" s="403"/>
      <c r="C25" s="406"/>
      <c r="D25" s="325">
        <v>46043</v>
      </c>
      <c r="E25" s="326" t="s">
        <v>58</v>
      </c>
      <c r="F25" s="86">
        <v>2518253.0699999998</v>
      </c>
      <c r="G25" s="404"/>
      <c r="H25" s="402"/>
      <c r="I25" s="328">
        <v>54921</v>
      </c>
      <c r="J25" s="401"/>
      <c r="K25" s="407"/>
      <c r="L25" s="86">
        <v>1587446</v>
      </c>
      <c r="M25" s="404"/>
      <c r="N25" s="402"/>
      <c r="O25" s="332">
        <f t="shared" si="1"/>
        <v>0.63037588196010819</v>
      </c>
      <c r="P25" s="409"/>
      <c r="Q25" s="410"/>
      <c r="S25" s="404"/>
      <c r="T25" s="420"/>
      <c r="U25" s="89">
        <f t="shared" si="0"/>
        <v>0</v>
      </c>
      <c r="V25" s="410"/>
      <c r="W25" s="420"/>
    </row>
    <row r="26" spans="2:23" ht="13.5">
      <c r="B26" s="403"/>
      <c r="C26" s="406"/>
      <c r="D26" s="325">
        <v>46044</v>
      </c>
      <c r="E26" s="326" t="s">
        <v>54</v>
      </c>
      <c r="F26" s="86">
        <v>2624434.17</v>
      </c>
      <c r="G26" s="404"/>
      <c r="H26" s="402"/>
      <c r="I26" s="328">
        <v>56062</v>
      </c>
      <c r="J26" s="401"/>
      <c r="K26" s="407"/>
      <c r="L26" s="86">
        <v>1654646</v>
      </c>
      <c r="M26" s="404"/>
      <c r="N26" s="402"/>
      <c r="O26" s="332">
        <f t="shared" si="1"/>
        <v>0.63047723540346989</v>
      </c>
      <c r="P26" s="409"/>
      <c r="Q26" s="410"/>
      <c r="S26" s="404"/>
      <c r="T26" s="420"/>
      <c r="U26" s="89">
        <f t="shared" si="0"/>
        <v>0</v>
      </c>
      <c r="V26" s="410"/>
      <c r="W26" s="420"/>
    </row>
    <row r="27" spans="2:23" ht="13.5">
      <c r="B27" s="403"/>
      <c r="C27" s="406"/>
      <c r="D27" s="325">
        <v>46045</v>
      </c>
      <c r="E27" s="326" t="s">
        <v>55</v>
      </c>
      <c r="F27" s="86">
        <v>2037145.6500000001</v>
      </c>
      <c r="G27" s="404"/>
      <c r="H27" s="402"/>
      <c r="I27" s="328">
        <v>43620</v>
      </c>
      <c r="J27" s="401"/>
      <c r="K27" s="407"/>
      <c r="L27" s="86">
        <v>1283846</v>
      </c>
      <c r="M27" s="404"/>
      <c r="N27" s="402"/>
      <c r="O27" s="332">
        <f t="shared" si="1"/>
        <v>0.63021807007270192</v>
      </c>
      <c r="P27" s="409"/>
      <c r="Q27" s="410"/>
      <c r="S27" s="404"/>
      <c r="T27" s="420"/>
      <c r="U27" s="89">
        <f t="shared" si="0"/>
        <v>0</v>
      </c>
      <c r="V27" s="410" t="e">
        <f>S27/M27</f>
        <v>#DIV/0!</v>
      </c>
      <c r="W27" s="420"/>
    </row>
    <row r="28" spans="2:23" ht="13.5">
      <c r="B28" s="403"/>
      <c r="C28" s="406"/>
      <c r="D28" s="325">
        <v>46046</v>
      </c>
      <c r="E28" s="326" t="s">
        <v>56</v>
      </c>
      <c r="F28" s="86">
        <v>2368780.83</v>
      </c>
      <c r="G28" s="404"/>
      <c r="H28" s="402"/>
      <c r="I28" s="328">
        <v>50213</v>
      </c>
      <c r="J28" s="401"/>
      <c r="K28" s="407"/>
      <c r="L28" s="86">
        <v>1493646</v>
      </c>
      <c r="M28" s="404"/>
      <c r="N28" s="402"/>
      <c r="O28" s="332">
        <f t="shared" si="1"/>
        <v>0.63055474828374047</v>
      </c>
      <c r="P28" s="409"/>
      <c r="Q28" s="410"/>
      <c r="S28" s="404"/>
      <c r="T28" s="420"/>
      <c r="U28" s="89">
        <f t="shared" si="0"/>
        <v>0</v>
      </c>
      <c r="V28" s="410"/>
      <c r="W28" s="420"/>
    </row>
    <row r="29" spans="2:23" ht="13.5">
      <c r="B29" s="403"/>
      <c r="C29" s="406"/>
      <c r="D29" s="325">
        <v>46047</v>
      </c>
      <c r="E29" s="326" t="s">
        <v>50</v>
      </c>
      <c r="F29" s="86">
        <v>2961303.19</v>
      </c>
      <c r="G29" s="404"/>
      <c r="H29" s="402"/>
      <c r="I29" s="328">
        <v>63573</v>
      </c>
      <c r="J29" s="401"/>
      <c r="K29" s="407"/>
      <c r="L29" s="86">
        <v>1868446</v>
      </c>
      <c r="M29" s="404"/>
      <c r="N29" s="402"/>
      <c r="O29" s="332">
        <f t="shared" si="1"/>
        <v>0.63095396861406816</v>
      </c>
      <c r="P29" s="409"/>
      <c r="Q29" s="410"/>
      <c r="S29" s="404"/>
      <c r="T29" s="420"/>
      <c r="U29" s="89">
        <f t="shared" si="0"/>
        <v>0</v>
      </c>
      <c r="V29" s="410"/>
      <c r="W29" s="420"/>
    </row>
    <row r="30" spans="2:23">
      <c r="B30" s="403"/>
      <c r="C30" s="406"/>
      <c r="D30" s="325">
        <v>46048</v>
      </c>
      <c r="E30" s="325" t="s">
        <v>53</v>
      </c>
      <c r="F30" s="86">
        <v>2761209.7699999996</v>
      </c>
      <c r="G30" s="404"/>
      <c r="H30" s="402"/>
      <c r="I30" s="328">
        <v>58849</v>
      </c>
      <c r="J30" s="401"/>
      <c r="K30" s="407"/>
      <c r="L30" s="86">
        <v>1741646</v>
      </c>
      <c r="M30" s="404"/>
      <c r="N30" s="402"/>
      <c r="O30" s="332">
        <f t="shared" si="1"/>
        <v>0.63075468547252034</v>
      </c>
      <c r="P30" s="409"/>
      <c r="Q30" s="410"/>
      <c r="S30" s="404"/>
      <c r="T30" s="420"/>
      <c r="U30" s="89">
        <f t="shared" si="0"/>
        <v>0</v>
      </c>
      <c r="V30" s="410"/>
      <c r="W30" s="420"/>
    </row>
    <row r="31" spans="2:23" ht="13.5">
      <c r="B31" s="403">
        <v>46057</v>
      </c>
      <c r="C31" s="406"/>
      <c r="D31" s="325">
        <v>46049</v>
      </c>
      <c r="E31" s="326" t="s">
        <v>57</v>
      </c>
      <c r="F31" s="86">
        <v>2551423.8699999996</v>
      </c>
      <c r="G31" s="404">
        <f>SUM(F31:F37)</f>
        <v>12471963.729999999</v>
      </c>
      <c r="H31" s="402"/>
      <c r="I31" s="328">
        <v>54594</v>
      </c>
      <c r="J31" s="401">
        <f>SUM(I31:I37)</f>
        <v>264984</v>
      </c>
      <c r="K31" s="407"/>
      <c r="L31" s="86">
        <v>1612446</v>
      </c>
      <c r="M31" s="404">
        <f>SUM(L31:L37)</f>
        <v>7876530</v>
      </c>
      <c r="N31" s="402"/>
      <c r="O31" s="332">
        <f t="shared" si="1"/>
        <v>0.63197888009098235</v>
      </c>
      <c r="P31" s="409">
        <f>M31/G31</f>
        <v>0.63153887956343513</v>
      </c>
      <c r="Q31" s="410"/>
      <c r="S31" s="404">
        <f>SUM(R31:R37)</f>
        <v>0</v>
      </c>
      <c r="T31" s="420"/>
      <c r="U31" s="89">
        <f t="shared" si="0"/>
        <v>0</v>
      </c>
      <c r="V31" s="410"/>
      <c r="W31" s="420"/>
    </row>
    <row r="32" spans="2:23" ht="13.5">
      <c r="B32" s="403"/>
      <c r="C32" s="406"/>
      <c r="D32" s="325">
        <v>46050</v>
      </c>
      <c r="E32" s="326" t="s">
        <v>58</v>
      </c>
      <c r="F32" s="86">
        <v>2542380.25</v>
      </c>
      <c r="G32" s="404"/>
      <c r="H32" s="402"/>
      <c r="I32" s="328">
        <v>54168</v>
      </c>
      <c r="J32" s="401"/>
      <c r="K32" s="407"/>
      <c r="L32" s="86">
        <v>1607046</v>
      </c>
      <c r="M32" s="404"/>
      <c r="N32" s="402"/>
      <c r="O32" s="332">
        <f t="shared" si="1"/>
        <v>0.63210292795501377</v>
      </c>
      <c r="P32" s="409"/>
      <c r="Q32" s="410"/>
      <c r="S32" s="404"/>
      <c r="T32" s="420"/>
      <c r="U32" s="89">
        <f t="shared" si="0"/>
        <v>0</v>
      </c>
      <c r="V32" s="410"/>
      <c r="W32" s="420"/>
    </row>
    <row r="33" spans="2:23" ht="13.5">
      <c r="B33" s="403"/>
      <c r="C33" s="406"/>
      <c r="D33" s="325">
        <v>46051</v>
      </c>
      <c r="E33" s="326" t="s">
        <v>54</v>
      </c>
      <c r="F33" s="86">
        <v>2589823.7400000002</v>
      </c>
      <c r="G33" s="404"/>
      <c r="H33" s="402"/>
      <c r="I33" s="328">
        <v>54574</v>
      </c>
      <c r="J33" s="401"/>
      <c r="K33" s="407"/>
      <c r="L33" s="86">
        <v>1634446</v>
      </c>
      <c r="M33" s="404"/>
      <c r="N33" s="402"/>
      <c r="O33" s="332">
        <f t="shared" si="1"/>
        <v>0.63110318079021077</v>
      </c>
      <c r="P33" s="409"/>
      <c r="Q33" s="410"/>
      <c r="S33" s="404"/>
      <c r="T33" s="420"/>
      <c r="U33" s="89">
        <f t="shared" si="0"/>
        <v>0</v>
      </c>
      <c r="V33" s="410"/>
      <c r="W33" s="420"/>
    </row>
    <row r="34" spans="2:23" ht="13.5">
      <c r="B34" s="403"/>
      <c r="C34" s="406"/>
      <c r="D34" s="325">
        <v>46052</v>
      </c>
      <c r="E34" s="326" t="s">
        <v>55</v>
      </c>
      <c r="F34" s="86">
        <v>2295961.2799999998</v>
      </c>
      <c r="G34" s="404"/>
      <c r="H34" s="402"/>
      <c r="I34" s="328">
        <v>49058</v>
      </c>
      <c r="J34" s="401"/>
      <c r="K34" s="407"/>
      <c r="L34" s="86">
        <v>1449646</v>
      </c>
      <c r="M34" s="404"/>
      <c r="N34" s="402"/>
      <c r="O34" s="332">
        <f t="shared" si="1"/>
        <v>0.63138956768469545</v>
      </c>
      <c r="P34" s="409"/>
      <c r="Q34" s="410"/>
      <c r="S34" s="404"/>
      <c r="T34" s="420"/>
      <c r="U34" s="89">
        <f t="shared" si="0"/>
        <v>0</v>
      </c>
      <c r="V34" s="330"/>
      <c r="W34" s="420"/>
    </row>
    <row r="35" spans="2:23" ht="13.5">
      <c r="B35" s="403"/>
      <c r="C35" s="406"/>
      <c r="D35" s="325">
        <v>46053</v>
      </c>
      <c r="E35" s="326" t="s">
        <v>56</v>
      </c>
      <c r="F35" s="86">
        <v>2492374.5900000003</v>
      </c>
      <c r="G35" s="404"/>
      <c r="H35" s="402"/>
      <c r="I35" s="328">
        <v>52590</v>
      </c>
      <c r="J35" s="401"/>
      <c r="K35" s="328"/>
      <c r="L35" s="86">
        <v>1572946</v>
      </c>
      <c r="M35" s="404"/>
      <c r="N35" s="402"/>
      <c r="O35" s="332">
        <f t="shared" si="1"/>
        <v>0.63110336877571838</v>
      </c>
      <c r="P35" s="409"/>
      <c r="Q35" s="410"/>
      <c r="S35" s="404"/>
      <c r="T35" s="420"/>
      <c r="U35" s="89">
        <f t="shared" si="0"/>
        <v>0</v>
      </c>
      <c r="V35" s="330"/>
      <c r="W35" s="420"/>
    </row>
    <row r="36" spans="2:23" ht="13.5">
      <c r="B36" s="403"/>
      <c r="D36" s="325">
        <v>46054</v>
      </c>
      <c r="E36" s="326" t="s">
        <v>50</v>
      </c>
      <c r="G36" s="404"/>
      <c r="H36" s="402"/>
      <c r="I36" s="218"/>
      <c r="J36" s="401"/>
      <c r="K36" s="218"/>
      <c r="L36" s="86"/>
      <c r="M36" s="404"/>
      <c r="N36" s="402"/>
      <c r="O36" s="332" t="e">
        <f t="shared" si="1"/>
        <v>#DIV/0!</v>
      </c>
      <c r="P36" s="409"/>
      <c r="Q36" s="410"/>
      <c r="S36" s="404"/>
      <c r="T36" s="420"/>
      <c r="V36" s="86"/>
      <c r="W36" s="86"/>
    </row>
    <row r="37" spans="2:23">
      <c r="B37" s="403"/>
      <c r="D37" s="325">
        <v>46055</v>
      </c>
      <c r="E37" s="325" t="s">
        <v>53</v>
      </c>
      <c r="G37" s="404"/>
      <c r="H37" s="402"/>
      <c r="I37" s="218"/>
      <c r="J37" s="401"/>
      <c r="K37" s="218"/>
      <c r="L37" s="86"/>
      <c r="M37" s="404"/>
      <c r="N37" s="402"/>
      <c r="O37" s="332" t="e">
        <f t="shared" si="1"/>
        <v>#DIV/0!</v>
      </c>
      <c r="P37" s="409"/>
      <c r="Q37" s="410"/>
      <c r="S37" s="404"/>
      <c r="T37" s="420"/>
      <c r="V37" s="408">
        <f>SUM(U37:U43)</f>
        <v>0</v>
      </c>
      <c r="W37" s="86"/>
    </row>
    <row r="38" spans="2:23" ht="13.5">
      <c r="B38" s="324"/>
      <c r="D38" s="325"/>
      <c r="E38" s="326"/>
      <c r="G38" s="327"/>
      <c r="I38" s="218"/>
      <c r="J38" s="329"/>
      <c r="K38" s="218"/>
      <c r="L38" s="86"/>
      <c r="M38" s="327"/>
      <c r="N38" s="86"/>
      <c r="O38" s="332" t="e">
        <f t="shared" si="1"/>
        <v>#DIV/0!</v>
      </c>
      <c r="P38" s="330"/>
      <c r="Q38" s="86"/>
      <c r="S38" s="327"/>
      <c r="T38" s="86"/>
      <c r="V38" s="408"/>
      <c r="W38" s="86"/>
    </row>
    <row r="39" spans="2:23" ht="13.5">
      <c r="B39" s="324"/>
      <c r="D39" s="325"/>
      <c r="E39" s="326"/>
      <c r="G39" s="327"/>
      <c r="I39" s="218"/>
      <c r="J39" s="329"/>
      <c r="K39" s="218"/>
      <c r="L39" s="86"/>
      <c r="M39" s="327"/>
      <c r="N39" s="86"/>
      <c r="O39" s="332" t="e">
        <f t="shared" si="1"/>
        <v>#DIV/0!</v>
      </c>
      <c r="P39" s="330"/>
      <c r="Q39" s="86"/>
      <c r="S39" s="327"/>
      <c r="T39" s="86"/>
      <c r="V39" s="408"/>
      <c r="W39" s="86"/>
    </row>
    <row r="40" spans="2:23" ht="13.5">
      <c r="B40" s="324"/>
      <c r="D40" s="325"/>
      <c r="E40" s="326"/>
      <c r="G40" s="327"/>
      <c r="I40" s="218"/>
      <c r="J40" s="329"/>
      <c r="K40" s="218"/>
      <c r="L40" s="86"/>
      <c r="M40" s="327"/>
      <c r="N40" s="86"/>
      <c r="O40" s="332" t="e">
        <f t="shared" si="1"/>
        <v>#DIV/0!</v>
      </c>
      <c r="P40" s="330"/>
      <c r="Q40" s="86"/>
      <c r="S40" s="327"/>
      <c r="T40" s="86"/>
      <c r="V40" s="408"/>
      <c r="W40" s="86"/>
    </row>
    <row r="41" spans="2:23">
      <c r="B41" s="82"/>
      <c r="D41" s="85"/>
      <c r="E41" s="85"/>
      <c r="I41" s="218"/>
      <c r="J41" s="329"/>
      <c r="K41" s="218"/>
      <c r="L41" s="86"/>
      <c r="M41" s="86"/>
      <c r="N41" s="86"/>
      <c r="P41" s="86"/>
      <c r="Q41" s="86"/>
      <c r="S41" s="86"/>
      <c r="T41" s="86"/>
      <c r="V41" s="408"/>
      <c r="W41" s="86"/>
    </row>
    <row r="42" spans="2:23">
      <c r="B42" s="82"/>
      <c r="D42" s="85"/>
      <c r="E42" s="85"/>
      <c r="I42" s="218"/>
      <c r="J42" s="329"/>
      <c r="K42" s="218"/>
      <c r="L42" s="86"/>
      <c r="M42" s="86"/>
      <c r="N42" s="86"/>
      <c r="P42" s="86"/>
      <c r="Q42" s="86"/>
      <c r="S42" s="86"/>
      <c r="T42" s="86"/>
      <c r="V42" s="408"/>
      <c r="W42" s="86"/>
    </row>
    <row r="43" spans="2:23">
      <c r="B43" s="82"/>
      <c r="D43" s="85"/>
      <c r="E43" s="85"/>
      <c r="I43" s="218"/>
      <c r="J43" s="329"/>
      <c r="K43" s="218"/>
      <c r="L43" s="86"/>
      <c r="M43" s="86"/>
      <c r="N43" s="86"/>
      <c r="P43" s="86"/>
      <c r="Q43" s="86"/>
      <c r="S43" s="86"/>
      <c r="T43" s="86"/>
      <c r="V43" s="408"/>
      <c r="W43" s="86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W5:W35"/>
    <mergeCell ref="V6:V12"/>
    <mergeCell ref="V13:V19"/>
    <mergeCell ref="V20:V26"/>
    <mergeCell ref="M24:M30"/>
    <mergeCell ref="V27:V33"/>
    <mergeCell ref="T5:T37"/>
    <mergeCell ref="P10:P16"/>
    <mergeCell ref="S10:S1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K5:K34"/>
    <mergeCell ref="V37:V43"/>
    <mergeCell ref="N5:N37"/>
    <mergeCell ref="M10:M16"/>
    <mergeCell ref="M17:M23"/>
    <mergeCell ref="M31:M37"/>
    <mergeCell ref="P31:P37"/>
    <mergeCell ref="S31:S37"/>
    <mergeCell ref="P17:P23"/>
    <mergeCell ref="S17:S23"/>
    <mergeCell ref="P24:P30"/>
    <mergeCell ref="S24:S30"/>
    <mergeCell ref="Q5:Q37"/>
    <mergeCell ref="B10:B16"/>
    <mergeCell ref="G10:G16"/>
    <mergeCell ref="B17:B23"/>
    <mergeCell ref="G17:G23"/>
    <mergeCell ref="B31:B37"/>
    <mergeCell ref="G31:G37"/>
    <mergeCell ref="B24:B30"/>
    <mergeCell ref="G24:G30"/>
    <mergeCell ref="C5:C35"/>
    <mergeCell ref="J24:J30"/>
    <mergeCell ref="J10:J16"/>
    <mergeCell ref="J17:J23"/>
    <mergeCell ref="H5:H37"/>
    <mergeCell ref="J31:J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zoomScale="85" zoomScaleNormal="85" workbookViewId="0">
      <selection activeCell="K5" sqref="K5:K35"/>
    </sheetView>
  </sheetViews>
  <sheetFormatPr defaultColWidth="8.85546875" defaultRowHeight="12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27" width="8.85546875" style="73" customWidth="1"/>
    <col min="28" max="16384" width="8.85546875" style="73"/>
  </cols>
  <sheetData>
    <row r="1" spans="2:23">
      <c r="C1" s="79">
        <v>112.8</v>
      </c>
    </row>
    <row r="2" spans="2:23" ht="38.1" customHeight="1">
      <c r="B2" s="411" t="s">
        <v>6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</row>
    <row r="3" spans="2:23" s="71" customFormat="1" ht="23.45" customHeight="1">
      <c r="B3" s="415" t="s">
        <v>41</v>
      </c>
      <c r="C3" s="416" t="s">
        <v>42</v>
      </c>
      <c r="D3" s="417" t="s">
        <v>43</v>
      </c>
      <c r="E3" s="417"/>
      <c r="F3" s="424" t="s">
        <v>59</v>
      </c>
      <c r="G3" s="424"/>
      <c r="H3" s="424"/>
      <c r="I3" s="426" t="s">
        <v>60</v>
      </c>
      <c r="J3" s="426"/>
      <c r="K3" s="426"/>
      <c r="L3" s="425" t="s">
        <v>61</v>
      </c>
      <c r="M3" s="425"/>
      <c r="N3" s="425"/>
      <c r="O3" s="425" t="s">
        <v>62</v>
      </c>
      <c r="P3" s="425"/>
      <c r="Q3" s="425"/>
      <c r="R3" s="425" t="s">
        <v>63</v>
      </c>
      <c r="S3" s="425"/>
      <c r="T3" s="425"/>
      <c r="U3" s="425" t="s">
        <v>64</v>
      </c>
      <c r="V3" s="425"/>
      <c r="W3" s="425"/>
    </row>
    <row r="4" spans="2:23" ht="14.45">
      <c r="B4" s="415"/>
      <c r="C4" s="416"/>
      <c r="D4" s="417"/>
      <c r="E4" s="417"/>
      <c r="F4" s="84" t="s">
        <v>50</v>
      </c>
      <c r="G4" s="95" t="s">
        <v>65</v>
      </c>
      <c r="H4" s="95" t="s">
        <v>66</v>
      </c>
      <c r="I4" s="84" t="s">
        <v>50</v>
      </c>
      <c r="J4" s="94" t="s">
        <v>65</v>
      </c>
      <c r="K4" s="94" t="s">
        <v>66</v>
      </c>
      <c r="L4" s="84" t="s">
        <v>50</v>
      </c>
      <c r="M4" s="94" t="s">
        <v>65</v>
      </c>
      <c r="N4" s="94" t="s">
        <v>66</v>
      </c>
      <c r="O4" s="84" t="s">
        <v>50</v>
      </c>
      <c r="P4" s="94" t="s">
        <v>65</v>
      </c>
      <c r="Q4" s="94" t="s">
        <v>66</v>
      </c>
      <c r="R4" s="84" t="s">
        <v>50</v>
      </c>
      <c r="S4" s="94" t="s">
        <v>65</v>
      </c>
      <c r="T4" s="94" t="s">
        <v>66</v>
      </c>
      <c r="U4" s="84" t="s">
        <v>50</v>
      </c>
      <c r="V4" s="94" t="s">
        <v>65</v>
      </c>
      <c r="W4" s="94" t="s">
        <v>66</v>
      </c>
    </row>
    <row r="5" spans="2:23" ht="14.45" customHeight="1">
      <c r="B5" s="324"/>
      <c r="C5" s="405" t="s">
        <v>53</v>
      </c>
      <c r="D5" s="325">
        <v>46023</v>
      </c>
      <c r="E5" s="326" t="s">
        <v>54</v>
      </c>
      <c r="F5" s="92">
        <v>95.4</v>
      </c>
      <c r="G5" s="331"/>
      <c r="H5" s="422">
        <f>AVERAGE(F5:F35)</f>
        <v>99.593548387096774</v>
      </c>
      <c r="I5" s="89">
        <f>F5/$C$1</f>
        <v>0.84574468085106391</v>
      </c>
      <c r="J5" s="245"/>
      <c r="K5" s="421">
        <f>AVERAGE(I5:I35)</f>
        <v>0.88292152825440406</v>
      </c>
      <c r="L5" s="89">
        <v>3.41630576108118E-3</v>
      </c>
      <c r="M5" s="245"/>
      <c r="N5" s="410">
        <f>AVERAGE(L5:L35)</f>
        <v>3.3669672731152307E-3</v>
      </c>
      <c r="O5" s="89">
        <v>1.6109226718809245E-3</v>
      </c>
      <c r="P5" s="245"/>
      <c r="Q5" s="410">
        <f>AVERAGE(O5:O35)</f>
        <v>2.2864483919322331E-3</v>
      </c>
      <c r="R5" s="195">
        <v>0.28570000000000001</v>
      </c>
      <c r="S5" s="245"/>
      <c r="T5" s="421">
        <f>AVERAGE(R5:R35)</f>
        <v>0.28570000000000012</v>
      </c>
      <c r="U5" s="195">
        <v>0.83299999999999996</v>
      </c>
      <c r="V5" s="245"/>
      <c r="W5" s="421">
        <f>AVERAGE(U5:U35)</f>
        <v>0.90318709677419295</v>
      </c>
    </row>
    <row r="6" spans="2:23" ht="14.45" customHeight="1">
      <c r="B6" s="324"/>
      <c r="C6" s="406"/>
      <c r="D6" s="325">
        <v>46024</v>
      </c>
      <c r="E6" s="326" t="s">
        <v>55</v>
      </c>
      <c r="F6" s="92">
        <v>92</v>
      </c>
      <c r="G6" s="331"/>
      <c r="H6" s="422"/>
      <c r="I6" s="89">
        <f t="shared" ref="I6:I37" si="0">F6/$C$1</f>
        <v>0.81560283687943269</v>
      </c>
      <c r="J6" s="245"/>
      <c r="K6" s="421"/>
      <c r="L6" s="89">
        <v>5.8905408171432373E-3</v>
      </c>
      <c r="M6" s="245"/>
      <c r="N6" s="410"/>
      <c r="O6" s="89">
        <v>2.5616643850775878E-3</v>
      </c>
      <c r="P6" s="245"/>
      <c r="Q6" s="410"/>
      <c r="R6" s="195">
        <v>0.28570000000000001</v>
      </c>
      <c r="S6" s="245"/>
      <c r="T6" s="421"/>
      <c r="U6" s="195">
        <v>0.83299999999999996</v>
      </c>
      <c r="V6" s="245"/>
      <c r="W6" s="421"/>
    </row>
    <row r="7" spans="2:23" ht="14.45" customHeight="1">
      <c r="B7" s="324"/>
      <c r="C7" s="406"/>
      <c r="D7" s="325">
        <v>46025</v>
      </c>
      <c r="E7" s="326" t="s">
        <v>56</v>
      </c>
      <c r="F7" s="92">
        <v>94.6</v>
      </c>
      <c r="G7" s="331"/>
      <c r="H7" s="422"/>
      <c r="I7" s="89">
        <f t="shared" si="0"/>
        <v>0.83865248226950351</v>
      </c>
      <c r="J7" s="245"/>
      <c r="K7" s="421"/>
      <c r="L7" s="89">
        <v>2.3755121447293359E-3</v>
      </c>
      <c r="M7" s="245"/>
      <c r="N7" s="410"/>
      <c r="O7" s="89">
        <v>2.1275015516533831E-3</v>
      </c>
      <c r="P7" s="245"/>
      <c r="Q7" s="410"/>
      <c r="R7" s="195">
        <v>0.28570000000000001</v>
      </c>
      <c r="S7" s="245"/>
      <c r="T7" s="421"/>
      <c r="U7" s="195">
        <v>0.83299999999999996</v>
      </c>
      <c r="V7" s="245"/>
      <c r="W7" s="421"/>
    </row>
    <row r="8" spans="2:23" ht="14.45" customHeight="1">
      <c r="B8" s="324"/>
      <c r="C8" s="406"/>
      <c r="D8" s="325">
        <v>46026</v>
      </c>
      <c r="E8" s="326" t="s">
        <v>50</v>
      </c>
      <c r="F8" s="92">
        <v>95.4</v>
      </c>
      <c r="G8" s="331"/>
      <c r="H8" s="422"/>
      <c r="I8" s="89">
        <f t="shared" si="0"/>
        <v>0.84574468085106391</v>
      </c>
      <c r="J8" s="245"/>
      <c r="K8" s="421"/>
      <c r="L8" s="89">
        <v>2.5753897369063402E-3</v>
      </c>
      <c r="M8" s="245"/>
      <c r="N8" s="410"/>
      <c r="O8" s="89">
        <v>8.68687727718141E-4</v>
      </c>
      <c r="P8" s="245"/>
      <c r="Q8" s="410"/>
      <c r="R8" s="195">
        <v>0.28570000000000001</v>
      </c>
      <c r="S8" s="245"/>
      <c r="T8" s="421"/>
      <c r="U8" s="195">
        <v>0.83299999999999996</v>
      </c>
      <c r="V8" s="245"/>
      <c r="W8" s="421"/>
    </row>
    <row r="9" spans="2:23" ht="14.45" customHeight="1">
      <c r="B9" s="324"/>
      <c r="C9" s="406"/>
      <c r="D9" s="325">
        <v>46027</v>
      </c>
      <c r="E9" s="325" t="s">
        <v>53</v>
      </c>
      <c r="F9" s="92">
        <v>102.1</v>
      </c>
      <c r="G9" s="331"/>
      <c r="H9" s="422"/>
      <c r="I9" s="89">
        <f t="shared" si="0"/>
        <v>0.90514184397163122</v>
      </c>
      <c r="J9" s="245"/>
      <c r="K9" s="421"/>
      <c r="L9" s="89">
        <v>4.2531778822426199E-4</v>
      </c>
      <c r="M9" s="245"/>
      <c r="N9" s="410"/>
      <c r="O9" s="89">
        <v>9.6191518398205998E-4</v>
      </c>
      <c r="P9" s="245"/>
      <c r="Q9" s="410"/>
      <c r="R9" s="195">
        <v>0.28570000000000001</v>
      </c>
      <c r="S9" s="245"/>
      <c r="T9" s="421"/>
      <c r="U9" s="195">
        <v>0.83299999999999996</v>
      </c>
      <c r="V9" s="245"/>
      <c r="W9" s="421"/>
    </row>
    <row r="10" spans="2:23" ht="14.45" customHeight="1">
      <c r="B10" s="403">
        <v>46036</v>
      </c>
      <c r="C10" s="406"/>
      <c r="D10" s="325">
        <v>46028</v>
      </c>
      <c r="E10" s="326" t="s">
        <v>57</v>
      </c>
      <c r="F10" s="92">
        <v>101.2</v>
      </c>
      <c r="G10" s="422">
        <f>AVERAGE(F10:F16)</f>
        <v>96.600000000000009</v>
      </c>
      <c r="H10" s="422"/>
      <c r="I10" s="89">
        <f t="shared" si="0"/>
        <v>0.8971631205673759</v>
      </c>
      <c r="J10" s="421">
        <f>AVERAGE(I10:I16)</f>
        <v>0.8563829787234043</v>
      </c>
      <c r="K10" s="421"/>
      <c r="L10" s="89">
        <v>1.8350673569126402E-3</v>
      </c>
      <c r="M10" s="410">
        <f>AVERAGE(L10:L16)</f>
        <v>4.5864510138778321E-3</v>
      </c>
      <c r="N10" s="410"/>
      <c r="O10" s="89">
        <v>1.1783195426413214E-3</v>
      </c>
      <c r="P10" s="410">
        <f>AVERAGE(O10:O16)</f>
        <v>2.3241943432574419E-3</v>
      </c>
      <c r="Q10" s="410"/>
      <c r="R10" s="195">
        <v>0.28570000000000001</v>
      </c>
      <c r="S10" s="421">
        <f>AVERAGE(R10:R16)</f>
        <v>0.28570000000000001</v>
      </c>
      <c r="T10" s="421"/>
      <c r="U10" s="195">
        <v>0.83299999999999996</v>
      </c>
      <c r="V10" s="421">
        <f>AVERAGE(U10:U16)</f>
        <v>0.88705714285714277</v>
      </c>
      <c r="W10" s="421"/>
    </row>
    <row r="11" spans="2:23" ht="14.45" customHeight="1">
      <c r="B11" s="403"/>
      <c r="C11" s="406"/>
      <c r="D11" s="325">
        <v>46029</v>
      </c>
      <c r="E11" s="326" t="s">
        <v>58</v>
      </c>
      <c r="F11" s="92">
        <v>94.7</v>
      </c>
      <c r="G11" s="422"/>
      <c r="H11" s="422"/>
      <c r="I11" s="89">
        <f t="shared" si="0"/>
        <v>0.83953900709219864</v>
      </c>
      <c r="J11" s="421"/>
      <c r="K11" s="421"/>
      <c r="L11" s="89">
        <v>1.8512942649992635E-3</v>
      </c>
      <c r="M11" s="410"/>
      <c r="N11" s="410"/>
      <c r="O11" s="89">
        <v>3.5766955176072235E-3</v>
      </c>
      <c r="P11" s="410"/>
      <c r="Q11" s="410"/>
      <c r="R11" s="195">
        <v>0.28570000000000001</v>
      </c>
      <c r="S11" s="421"/>
      <c r="T11" s="421"/>
      <c r="U11" s="195">
        <v>0.83299999999999996</v>
      </c>
      <c r="V11" s="421"/>
      <c r="W11" s="421"/>
    </row>
    <row r="12" spans="2:23" ht="14.45" customHeight="1">
      <c r="B12" s="403"/>
      <c r="C12" s="406"/>
      <c r="D12" s="325">
        <v>46030</v>
      </c>
      <c r="E12" s="326" t="s">
        <v>54</v>
      </c>
      <c r="F12" s="92">
        <v>92.1</v>
      </c>
      <c r="G12" s="422"/>
      <c r="H12" s="422"/>
      <c r="I12" s="89">
        <f t="shared" si="0"/>
        <v>0.8164893617021276</v>
      </c>
      <c r="J12" s="421"/>
      <c r="K12" s="421"/>
      <c r="L12" s="89">
        <v>2.2426952912686948E-3</v>
      </c>
      <c r="M12" s="410"/>
      <c r="N12" s="410"/>
      <c r="O12" s="89">
        <v>1.4752433354899275E-3</v>
      </c>
      <c r="P12" s="410"/>
      <c r="Q12" s="410"/>
      <c r="R12" s="195">
        <v>0.28570000000000001</v>
      </c>
      <c r="S12" s="421"/>
      <c r="T12" s="421"/>
      <c r="U12" s="195">
        <v>0.83299999999999996</v>
      </c>
      <c r="V12" s="421"/>
      <c r="W12" s="421"/>
    </row>
    <row r="13" spans="2:23" ht="14.45" customHeight="1">
      <c r="B13" s="403"/>
      <c r="C13" s="406"/>
      <c r="D13" s="325">
        <v>46031</v>
      </c>
      <c r="E13" s="326" t="s">
        <v>55</v>
      </c>
      <c r="F13" s="92">
        <v>91.1</v>
      </c>
      <c r="G13" s="422"/>
      <c r="H13" s="422"/>
      <c r="I13" s="89">
        <f t="shared" si="0"/>
        <v>0.80762411347517726</v>
      </c>
      <c r="J13" s="421"/>
      <c r="K13" s="421"/>
      <c r="L13" s="89">
        <v>9.1346310195956296E-3</v>
      </c>
      <c r="M13" s="410"/>
      <c r="N13" s="410"/>
      <c r="O13" s="89">
        <v>3.9683319328652055E-3</v>
      </c>
      <c r="P13" s="410"/>
      <c r="Q13" s="410"/>
      <c r="R13" s="195">
        <v>0.28570000000000001</v>
      </c>
      <c r="S13" s="421"/>
      <c r="T13" s="421"/>
      <c r="U13" s="195">
        <v>0.92759999999999998</v>
      </c>
      <c r="V13" s="421"/>
      <c r="W13" s="421"/>
    </row>
    <row r="14" spans="2:23" ht="14.45" customHeight="1">
      <c r="B14" s="403"/>
      <c r="C14" s="406"/>
      <c r="D14" s="325">
        <v>46032</v>
      </c>
      <c r="E14" s="326" t="s">
        <v>56</v>
      </c>
      <c r="F14" s="92">
        <v>98.3</v>
      </c>
      <c r="G14" s="422"/>
      <c r="H14" s="422"/>
      <c r="I14" s="89">
        <f t="shared" si="0"/>
        <v>0.87145390070921991</v>
      </c>
      <c r="J14" s="421"/>
      <c r="K14" s="421"/>
      <c r="L14" s="89">
        <v>6.9359352339327558E-3</v>
      </c>
      <c r="M14" s="410"/>
      <c r="N14" s="410"/>
      <c r="O14" s="89">
        <v>1.6449668402379177E-3</v>
      </c>
      <c r="P14" s="410"/>
      <c r="Q14" s="410"/>
      <c r="R14" s="195">
        <v>0.28570000000000001</v>
      </c>
      <c r="S14" s="421"/>
      <c r="T14" s="421"/>
      <c r="U14" s="195">
        <v>0.92759999999999998</v>
      </c>
      <c r="V14" s="421"/>
      <c r="W14" s="421"/>
    </row>
    <row r="15" spans="2:23" ht="14.45" customHeight="1">
      <c r="B15" s="403"/>
      <c r="C15" s="406"/>
      <c r="D15" s="325">
        <v>46033</v>
      </c>
      <c r="E15" s="326" t="s">
        <v>50</v>
      </c>
      <c r="F15" s="92">
        <v>101.3</v>
      </c>
      <c r="G15" s="422"/>
      <c r="H15" s="422"/>
      <c r="I15" s="89">
        <f t="shared" si="0"/>
        <v>0.89804964539007093</v>
      </c>
      <c r="J15" s="421"/>
      <c r="K15" s="421"/>
      <c r="L15" s="89">
        <v>7.6386602811315645E-3</v>
      </c>
      <c r="M15" s="410"/>
      <c r="N15" s="410"/>
      <c r="O15" s="89">
        <v>1.6297183220229823E-3</v>
      </c>
      <c r="P15" s="410"/>
      <c r="Q15" s="410"/>
      <c r="R15" s="195">
        <v>0.28570000000000001</v>
      </c>
      <c r="S15" s="421"/>
      <c r="T15" s="421"/>
      <c r="U15" s="195">
        <v>0.92759999999999998</v>
      </c>
      <c r="V15" s="421"/>
      <c r="W15" s="421"/>
    </row>
    <row r="16" spans="2:23" ht="14.45" customHeight="1">
      <c r="B16" s="403"/>
      <c r="C16" s="406"/>
      <c r="D16" s="325">
        <v>46034</v>
      </c>
      <c r="E16" s="325" t="s">
        <v>53</v>
      </c>
      <c r="F16" s="92">
        <v>97.5</v>
      </c>
      <c r="G16" s="422"/>
      <c r="H16" s="422"/>
      <c r="I16" s="89">
        <f t="shared" si="0"/>
        <v>0.86436170212765961</v>
      </c>
      <c r="J16" s="421"/>
      <c r="K16" s="421"/>
      <c r="L16" s="89">
        <v>2.4668736493042736E-3</v>
      </c>
      <c r="M16" s="410"/>
      <c r="N16" s="410"/>
      <c r="O16" s="89">
        <v>2.7960849119375145E-3</v>
      </c>
      <c r="P16" s="410"/>
      <c r="Q16" s="410"/>
      <c r="R16" s="195">
        <v>0.28570000000000001</v>
      </c>
      <c r="S16" s="421"/>
      <c r="T16" s="421"/>
      <c r="U16" s="195">
        <v>0.92759999999999998</v>
      </c>
      <c r="V16" s="421"/>
      <c r="W16" s="421"/>
    </row>
    <row r="17" spans="2:23" ht="14.45" customHeight="1">
      <c r="B17" s="403">
        <v>46043</v>
      </c>
      <c r="C17" s="406"/>
      <c r="D17" s="325">
        <v>46035</v>
      </c>
      <c r="E17" s="326" t="s">
        <v>57</v>
      </c>
      <c r="F17" s="92">
        <v>100.5</v>
      </c>
      <c r="G17" s="422">
        <f>AVERAGE(F17:F23)</f>
        <v>101.62857142857142</v>
      </c>
      <c r="H17" s="422"/>
      <c r="I17" s="89">
        <f t="shared" si="0"/>
        <v>0.89095744680851063</v>
      </c>
      <c r="J17" s="421">
        <f>AVERAGE(I17:I23)</f>
        <v>0.90096251266464045</v>
      </c>
      <c r="K17" s="421"/>
      <c r="L17" s="89">
        <v>1.8810684910770703E-3</v>
      </c>
      <c r="M17" s="410">
        <f>AVERAGE(L17:L23)</f>
        <v>3.5858674037609847E-3</v>
      </c>
      <c r="N17" s="410"/>
      <c r="O17" s="89">
        <v>7.392240560688487E-4</v>
      </c>
      <c r="P17" s="410">
        <f>AVERAGE(O17:O23)</f>
        <v>2.332092358975192E-3</v>
      </c>
      <c r="Q17" s="410"/>
      <c r="R17" s="195">
        <v>0.28570000000000001</v>
      </c>
      <c r="S17" s="421">
        <f>AVERAGE(R17:R23)</f>
        <v>0.28570000000000001</v>
      </c>
      <c r="T17" s="421"/>
      <c r="U17" s="195">
        <v>0.92759999999999998</v>
      </c>
      <c r="V17" s="421">
        <f>AVERAGE(U17:U23)</f>
        <v>0.92759999999999998</v>
      </c>
      <c r="W17" s="421"/>
    </row>
    <row r="18" spans="2:23" ht="14.45" customHeight="1">
      <c r="B18" s="403"/>
      <c r="C18" s="406"/>
      <c r="D18" s="325">
        <v>46036</v>
      </c>
      <c r="E18" s="326" t="s">
        <v>58</v>
      </c>
      <c r="F18" s="92">
        <v>98.8</v>
      </c>
      <c r="G18" s="422"/>
      <c r="H18" s="422"/>
      <c r="I18" s="89">
        <f t="shared" si="0"/>
        <v>0.87588652482269502</v>
      </c>
      <c r="J18" s="421"/>
      <c r="K18" s="421"/>
      <c r="L18" s="89">
        <v>4.7415208191735362E-3</v>
      </c>
      <c r="M18" s="410"/>
      <c r="N18" s="410"/>
      <c r="O18" s="89">
        <v>2.7844396232388005E-3</v>
      </c>
      <c r="P18" s="410"/>
      <c r="Q18" s="410"/>
      <c r="R18" s="195">
        <v>0.28570000000000001</v>
      </c>
      <c r="S18" s="421"/>
      <c r="T18" s="421"/>
      <c r="U18" s="195">
        <v>0.92759999999999998</v>
      </c>
      <c r="V18" s="421"/>
      <c r="W18" s="421"/>
    </row>
    <row r="19" spans="2:23" ht="14.45" customHeight="1">
      <c r="B19" s="403"/>
      <c r="C19" s="406"/>
      <c r="D19" s="325">
        <v>46037</v>
      </c>
      <c r="E19" s="326" t="s">
        <v>54</v>
      </c>
      <c r="F19" s="92">
        <v>98.9</v>
      </c>
      <c r="G19" s="422"/>
      <c r="H19" s="422"/>
      <c r="I19" s="89">
        <f t="shared" si="0"/>
        <v>0.87677304964539016</v>
      </c>
      <c r="J19" s="421"/>
      <c r="K19" s="421"/>
      <c r="L19" s="89">
        <v>1.1252850252358598E-2</v>
      </c>
      <c r="M19" s="410"/>
      <c r="N19" s="410"/>
      <c r="O19" s="89">
        <v>4.4112309096673592E-3</v>
      </c>
      <c r="P19" s="410"/>
      <c r="Q19" s="410"/>
      <c r="R19" s="195">
        <v>0.28570000000000001</v>
      </c>
      <c r="S19" s="421"/>
      <c r="T19" s="421"/>
      <c r="U19" s="195">
        <v>0.92759999999999998</v>
      </c>
      <c r="V19" s="421"/>
      <c r="W19" s="421"/>
    </row>
    <row r="20" spans="2:23" ht="14.45" customHeight="1">
      <c r="B20" s="403"/>
      <c r="C20" s="406"/>
      <c r="D20" s="325">
        <v>46038</v>
      </c>
      <c r="E20" s="326" t="s">
        <v>55</v>
      </c>
      <c r="F20" s="92">
        <v>102.2</v>
      </c>
      <c r="G20" s="422"/>
      <c r="H20" s="422"/>
      <c r="I20" s="89">
        <f t="shared" si="0"/>
        <v>0.90602836879432624</v>
      </c>
      <c r="J20" s="421"/>
      <c r="K20" s="421"/>
      <c r="L20" s="89">
        <v>1.1430004977075476E-3</v>
      </c>
      <c r="M20" s="410"/>
      <c r="N20" s="410"/>
      <c r="O20" s="89">
        <v>1.7678898632282869E-3</v>
      </c>
      <c r="P20" s="410"/>
      <c r="Q20" s="410"/>
      <c r="R20" s="195">
        <v>0.28570000000000001</v>
      </c>
      <c r="S20" s="421"/>
      <c r="T20" s="421"/>
      <c r="U20" s="195">
        <v>0.92759999999999998</v>
      </c>
      <c r="V20" s="421"/>
      <c r="W20" s="421"/>
    </row>
    <row r="21" spans="2:23" ht="14.45" customHeight="1">
      <c r="B21" s="403"/>
      <c r="C21" s="406"/>
      <c r="D21" s="325">
        <v>46039</v>
      </c>
      <c r="E21" s="326" t="s">
        <v>56</v>
      </c>
      <c r="F21" s="92">
        <v>102.4</v>
      </c>
      <c r="G21" s="422"/>
      <c r="H21" s="422"/>
      <c r="I21" s="89">
        <f t="shared" si="0"/>
        <v>0.9078014184397164</v>
      </c>
      <c r="J21" s="421"/>
      <c r="K21" s="421"/>
      <c r="L21" s="89">
        <v>2.2236901792176953E-3</v>
      </c>
      <c r="M21" s="410"/>
      <c r="N21" s="410"/>
      <c r="O21" s="89">
        <v>3.8965234354632595E-3</v>
      </c>
      <c r="P21" s="410"/>
      <c r="Q21" s="410"/>
      <c r="R21" s="195">
        <v>0.28570000000000001</v>
      </c>
      <c r="S21" s="421"/>
      <c r="T21" s="421"/>
      <c r="U21" s="195">
        <v>0.92759999999999998</v>
      </c>
      <c r="V21" s="421"/>
      <c r="W21" s="421"/>
    </row>
    <row r="22" spans="2:23" ht="14.45" customHeight="1">
      <c r="B22" s="403"/>
      <c r="C22" s="406"/>
      <c r="D22" s="325">
        <v>46040</v>
      </c>
      <c r="E22" s="326" t="s">
        <v>50</v>
      </c>
      <c r="F22" s="92">
        <v>103.3</v>
      </c>
      <c r="G22" s="422"/>
      <c r="H22" s="422"/>
      <c r="I22" s="89">
        <f t="shared" si="0"/>
        <v>0.91578014184397161</v>
      </c>
      <c r="J22" s="421"/>
      <c r="K22" s="421"/>
      <c r="L22" s="89">
        <v>2.0000920139575627E-3</v>
      </c>
      <c r="M22" s="410"/>
      <c r="N22" s="410"/>
      <c r="O22" s="89">
        <v>1.1495666619930319E-3</v>
      </c>
      <c r="P22" s="410"/>
      <c r="Q22" s="410"/>
      <c r="R22" s="195">
        <v>0.28570000000000001</v>
      </c>
      <c r="S22" s="421"/>
      <c r="T22" s="421"/>
      <c r="U22" s="195">
        <v>0.92759999999999998</v>
      </c>
      <c r="V22" s="421"/>
      <c r="W22" s="421"/>
    </row>
    <row r="23" spans="2:23" ht="14.45" customHeight="1">
      <c r="B23" s="403"/>
      <c r="C23" s="406"/>
      <c r="D23" s="325">
        <v>46041</v>
      </c>
      <c r="E23" s="325" t="s">
        <v>53</v>
      </c>
      <c r="F23" s="92">
        <v>105.3</v>
      </c>
      <c r="G23" s="422"/>
      <c r="H23" s="422"/>
      <c r="I23" s="89">
        <f t="shared" si="0"/>
        <v>0.93351063829787229</v>
      </c>
      <c r="J23" s="421"/>
      <c r="K23" s="421"/>
      <c r="L23" s="89">
        <v>1.8588495728348847E-3</v>
      </c>
      <c r="M23" s="410"/>
      <c r="N23" s="410"/>
      <c r="O23" s="89">
        <v>1.5757719631667594E-3</v>
      </c>
      <c r="P23" s="410"/>
      <c r="Q23" s="410"/>
      <c r="R23" s="195">
        <v>0.28570000000000001</v>
      </c>
      <c r="S23" s="421"/>
      <c r="T23" s="421"/>
      <c r="U23" s="195">
        <v>0.92759999999999998</v>
      </c>
      <c r="V23" s="421"/>
      <c r="W23" s="421"/>
    </row>
    <row r="24" spans="2:23" ht="14.45" customHeight="1">
      <c r="B24" s="403">
        <v>46050</v>
      </c>
      <c r="C24" s="406"/>
      <c r="D24" s="325">
        <v>46042</v>
      </c>
      <c r="E24" s="326" t="s">
        <v>57</v>
      </c>
      <c r="F24" s="92">
        <v>94.8</v>
      </c>
      <c r="G24" s="422">
        <f>AVERAGE(F24:F30)</f>
        <v>100.79999999999998</v>
      </c>
      <c r="H24" s="422"/>
      <c r="I24" s="89">
        <f t="shared" si="0"/>
        <v>0.84042553191489366</v>
      </c>
      <c r="J24" s="421">
        <f>AVERAGE(I24:I30)</f>
        <v>0.89361702127659559</v>
      </c>
      <c r="K24" s="421"/>
      <c r="L24" s="89">
        <v>2.9823945467712843E-3</v>
      </c>
      <c r="M24" s="410">
        <f>AVERAGE(L24:L30)</f>
        <v>2.7983953593496004E-3</v>
      </c>
      <c r="N24" s="410"/>
      <c r="O24" s="89">
        <v>1.5842511850999328E-3</v>
      </c>
      <c r="P24" s="410">
        <f>AVERAGE(O24:O30)</f>
        <v>1.933547575614637E-3</v>
      </c>
      <c r="Q24" s="410"/>
      <c r="R24" s="195">
        <v>0.28570000000000001</v>
      </c>
      <c r="S24" s="421">
        <f>AVERAGE(R24:R30)</f>
        <v>0.28570000000000001</v>
      </c>
      <c r="T24" s="421"/>
      <c r="U24" s="195">
        <v>0.92759999999999998</v>
      </c>
      <c r="V24" s="421">
        <f>AVERAGE(U24:U30)</f>
        <v>0.92759999999999998</v>
      </c>
      <c r="W24" s="421"/>
    </row>
    <row r="25" spans="2:23" ht="14.45" customHeight="1">
      <c r="B25" s="403"/>
      <c r="C25" s="406"/>
      <c r="D25" s="325">
        <v>46043</v>
      </c>
      <c r="E25" s="326" t="s">
        <v>58</v>
      </c>
      <c r="F25" s="92">
        <v>99.4</v>
      </c>
      <c r="G25" s="422"/>
      <c r="H25" s="422"/>
      <c r="I25" s="89">
        <f t="shared" si="0"/>
        <v>0.88120567375886527</v>
      </c>
      <c r="J25" s="421"/>
      <c r="K25" s="421"/>
      <c r="L25" s="89">
        <v>4.1588353945697766E-3</v>
      </c>
      <c r="M25" s="410"/>
      <c r="N25" s="410"/>
      <c r="O25" s="89">
        <v>1.3501423032118056E-3</v>
      </c>
      <c r="P25" s="410"/>
      <c r="Q25" s="410"/>
      <c r="R25" s="195">
        <v>0.28570000000000001</v>
      </c>
      <c r="S25" s="421"/>
      <c r="T25" s="421"/>
      <c r="U25" s="195">
        <v>0.92759999999999998</v>
      </c>
      <c r="V25" s="421"/>
      <c r="W25" s="421"/>
    </row>
    <row r="26" spans="2:23" ht="14.45" customHeight="1">
      <c r="B26" s="403"/>
      <c r="C26" s="406"/>
      <c r="D26" s="325">
        <v>46044</v>
      </c>
      <c r="E26" s="326" t="s">
        <v>54</v>
      </c>
      <c r="F26" s="92">
        <v>98.7</v>
      </c>
      <c r="G26" s="422"/>
      <c r="H26" s="422"/>
      <c r="I26" s="89">
        <f t="shared" si="0"/>
        <v>0.875</v>
      </c>
      <c r="J26" s="421"/>
      <c r="K26" s="421"/>
      <c r="L26" s="89">
        <v>2.0301518936556144E-3</v>
      </c>
      <c r="M26" s="410"/>
      <c r="N26" s="410"/>
      <c r="O26" s="89">
        <v>1.6060604789336363E-3</v>
      </c>
      <c r="P26" s="410"/>
      <c r="Q26" s="410"/>
      <c r="R26" s="195">
        <v>0.28570000000000001</v>
      </c>
      <c r="S26" s="421"/>
      <c r="T26" s="421"/>
      <c r="U26" s="195">
        <v>0.92759999999999998</v>
      </c>
      <c r="V26" s="421"/>
      <c r="W26" s="421"/>
    </row>
    <row r="27" spans="2:23" ht="14.45" customHeight="1">
      <c r="B27" s="403"/>
      <c r="C27" s="406"/>
      <c r="D27" s="325">
        <v>46045</v>
      </c>
      <c r="E27" s="326" t="s">
        <v>55</v>
      </c>
      <c r="F27" s="92">
        <v>98.2</v>
      </c>
      <c r="G27" s="422"/>
      <c r="H27" s="422"/>
      <c r="I27" s="89">
        <f t="shared" si="0"/>
        <v>0.87056737588652489</v>
      </c>
      <c r="J27" s="421"/>
      <c r="K27" s="421"/>
      <c r="L27" s="89">
        <v>2.1230686180931635E-3</v>
      </c>
      <c r="M27" s="410"/>
      <c r="N27" s="410"/>
      <c r="O27" s="89">
        <v>4.9137380039566633E-4</v>
      </c>
      <c r="P27" s="410"/>
      <c r="Q27" s="410"/>
      <c r="R27" s="195">
        <v>0.28570000000000001</v>
      </c>
      <c r="S27" s="421"/>
      <c r="T27" s="421"/>
      <c r="U27" s="195">
        <v>0.92759999999999998</v>
      </c>
      <c r="V27" s="421"/>
      <c r="W27" s="421"/>
    </row>
    <row r="28" spans="2:23" ht="14.45" customHeight="1">
      <c r="B28" s="403"/>
      <c r="C28" s="406"/>
      <c r="D28" s="325">
        <v>46046</v>
      </c>
      <c r="E28" s="326" t="s">
        <v>56</v>
      </c>
      <c r="F28" s="92">
        <v>106</v>
      </c>
      <c r="G28" s="422"/>
      <c r="H28" s="422"/>
      <c r="I28" s="89">
        <f t="shared" si="0"/>
        <v>0.93971631205673756</v>
      </c>
      <c r="J28" s="421"/>
      <c r="K28" s="421"/>
      <c r="L28" s="89">
        <v>3.9940377261496159E-3</v>
      </c>
      <c r="M28" s="410"/>
      <c r="N28" s="410"/>
      <c r="O28" s="89">
        <v>4.4145071876489309E-3</v>
      </c>
      <c r="P28" s="410"/>
      <c r="Q28" s="410"/>
      <c r="R28" s="195">
        <v>0.28570000000000001</v>
      </c>
      <c r="S28" s="421"/>
      <c r="T28" s="421"/>
      <c r="U28" s="195">
        <v>0.92759999999999998</v>
      </c>
      <c r="V28" s="421"/>
      <c r="W28" s="421"/>
    </row>
    <row r="29" spans="2:23" ht="14.45" customHeight="1">
      <c r="B29" s="403"/>
      <c r="C29" s="406"/>
      <c r="D29" s="325">
        <v>46047</v>
      </c>
      <c r="E29" s="326" t="s">
        <v>50</v>
      </c>
      <c r="F29" s="92">
        <v>102.1</v>
      </c>
      <c r="G29" s="422"/>
      <c r="H29" s="422"/>
      <c r="I29" s="89">
        <f t="shared" si="0"/>
        <v>0.90514184397163122</v>
      </c>
      <c r="J29" s="421"/>
      <c r="K29" s="421"/>
      <c r="L29" s="89">
        <v>2.4539871582686542E-3</v>
      </c>
      <c r="M29" s="410"/>
      <c r="N29" s="410"/>
      <c r="O29" s="89">
        <v>2.8676563847553887E-3</v>
      </c>
      <c r="P29" s="410"/>
      <c r="Q29" s="410"/>
      <c r="R29" s="195">
        <v>0.28570000000000001</v>
      </c>
      <c r="S29" s="421"/>
      <c r="T29" s="421"/>
      <c r="U29" s="195">
        <v>0.92759999999999998</v>
      </c>
      <c r="V29" s="421"/>
      <c r="W29" s="421"/>
    </row>
    <row r="30" spans="2:23" ht="14.45" customHeight="1">
      <c r="B30" s="403"/>
      <c r="C30" s="406"/>
      <c r="D30" s="325">
        <v>46048</v>
      </c>
      <c r="E30" s="325" t="s">
        <v>53</v>
      </c>
      <c r="F30" s="92">
        <v>106.4</v>
      </c>
      <c r="G30" s="422"/>
      <c r="H30" s="422"/>
      <c r="I30" s="89">
        <f t="shared" si="0"/>
        <v>0.94326241134751776</v>
      </c>
      <c r="J30" s="421"/>
      <c r="K30" s="421"/>
      <c r="L30" s="89">
        <v>1.8462921779390925E-3</v>
      </c>
      <c r="M30" s="410"/>
      <c r="N30" s="410"/>
      <c r="O30" s="89">
        <v>1.220841689257097E-3</v>
      </c>
      <c r="P30" s="410"/>
      <c r="Q30" s="410"/>
      <c r="R30" s="195">
        <v>0.28570000000000001</v>
      </c>
      <c r="S30" s="421"/>
      <c r="T30" s="421"/>
      <c r="U30" s="195">
        <v>0.92759999999999998</v>
      </c>
      <c r="V30" s="421"/>
      <c r="W30" s="421"/>
    </row>
    <row r="31" spans="2:23" ht="14.45" customHeight="1">
      <c r="B31" s="403">
        <v>46057</v>
      </c>
      <c r="C31" s="406"/>
      <c r="D31" s="325">
        <v>46049</v>
      </c>
      <c r="E31" s="326" t="s">
        <v>57</v>
      </c>
      <c r="F31" s="92">
        <v>102.3</v>
      </c>
      <c r="G31" s="422">
        <f>AVERAGE(F31:F37)</f>
        <v>102.94000000000001</v>
      </c>
      <c r="H31" s="422"/>
      <c r="I31" s="89">
        <f t="shared" si="0"/>
        <v>0.90691489361702127</v>
      </c>
      <c r="J31" s="421">
        <f>AVERAGE(I31:I37)</f>
        <v>0.65184903748733536</v>
      </c>
      <c r="K31" s="421"/>
      <c r="L31" s="89">
        <v>2.3383021810484202E-3</v>
      </c>
      <c r="M31" s="410">
        <f>AVERAGE(L31:L37)</f>
        <v>2.5795845559137692E-3</v>
      </c>
      <c r="N31" s="410"/>
      <c r="O31" s="89">
        <v>1.0327566622632563E-3</v>
      </c>
      <c r="P31" s="410">
        <f>AVERAGE(O31:O37)</f>
        <v>3.3240737369312446E-3</v>
      </c>
      <c r="Q31" s="410"/>
      <c r="R31" s="195">
        <v>0.28570000000000001</v>
      </c>
      <c r="S31" s="421">
        <f>AVERAGE(R31:R37)</f>
        <v>0.28570000000000001</v>
      </c>
      <c r="T31" s="421"/>
      <c r="U31" s="195">
        <v>0.92759999999999998</v>
      </c>
      <c r="V31" s="421">
        <f>AVERAGE(U31:U37)</f>
        <v>0.92759999999999998</v>
      </c>
      <c r="W31" s="421"/>
    </row>
    <row r="32" spans="2:23" ht="14.45" customHeight="1">
      <c r="B32" s="403"/>
      <c r="C32" s="406"/>
      <c r="D32" s="325">
        <v>46050</v>
      </c>
      <c r="E32" s="326" t="s">
        <v>58</v>
      </c>
      <c r="F32" s="92">
        <v>104.2</v>
      </c>
      <c r="G32" s="422"/>
      <c r="H32" s="422"/>
      <c r="I32" s="89">
        <f t="shared" si="0"/>
        <v>0.92375886524822703</v>
      </c>
      <c r="J32" s="421"/>
      <c r="K32" s="421"/>
      <c r="L32" s="89">
        <v>2.2872267041879357E-3</v>
      </c>
      <c r="M32" s="410"/>
      <c r="N32" s="410"/>
      <c r="O32" s="89">
        <v>2.9554981006480051E-3</v>
      </c>
      <c r="P32" s="410"/>
      <c r="Q32" s="410"/>
      <c r="R32" s="195">
        <v>0.28570000000000001</v>
      </c>
      <c r="S32" s="421"/>
      <c r="T32" s="421"/>
      <c r="U32" s="195">
        <v>0.92759999999999998</v>
      </c>
      <c r="V32" s="421"/>
      <c r="W32" s="421"/>
    </row>
    <row r="33" spans="2:23" ht="14.45" customHeight="1">
      <c r="B33" s="403"/>
      <c r="C33" s="406"/>
      <c r="D33" s="325">
        <v>46051</v>
      </c>
      <c r="E33" s="326" t="s">
        <v>54</v>
      </c>
      <c r="F33" s="92">
        <v>102.8</v>
      </c>
      <c r="G33" s="422"/>
      <c r="H33" s="422"/>
      <c r="I33" s="89">
        <f t="shared" si="0"/>
        <v>0.91134751773049649</v>
      </c>
      <c r="J33" s="421"/>
      <c r="K33" s="421"/>
      <c r="L33" s="89">
        <v>3.3894198529510733E-3</v>
      </c>
      <c r="M33" s="410"/>
      <c r="N33" s="410"/>
      <c r="O33" s="89">
        <v>3.337678880030654E-3</v>
      </c>
      <c r="P33" s="410"/>
      <c r="Q33" s="410"/>
      <c r="R33" s="195">
        <v>0.28570000000000001</v>
      </c>
      <c r="S33" s="421"/>
      <c r="T33" s="421"/>
      <c r="U33" s="195">
        <v>0.92759999999999998</v>
      </c>
      <c r="V33" s="421"/>
      <c r="W33" s="421"/>
    </row>
    <row r="34" spans="2:23" ht="14.45" customHeight="1">
      <c r="B34" s="403"/>
      <c r="C34" s="406"/>
      <c r="D34" s="325">
        <v>46052</v>
      </c>
      <c r="E34" s="326" t="s">
        <v>55</v>
      </c>
      <c r="F34" s="92">
        <v>100.8</v>
      </c>
      <c r="G34" s="422"/>
      <c r="H34" s="422"/>
      <c r="I34" s="89">
        <f t="shared" si="0"/>
        <v>0.8936170212765957</v>
      </c>
      <c r="J34" s="421"/>
      <c r="K34" s="421"/>
      <c r="L34" s="89">
        <v>2.3837510012363972E-3</v>
      </c>
      <c r="M34" s="410"/>
      <c r="N34" s="410"/>
      <c r="O34" s="89">
        <v>2.7962144030582261E-3</v>
      </c>
      <c r="P34" s="410"/>
      <c r="Q34" s="410"/>
      <c r="R34" s="195">
        <v>0.28570000000000001</v>
      </c>
      <c r="S34" s="421"/>
      <c r="T34" s="421"/>
      <c r="U34" s="195">
        <v>0.92759999999999998</v>
      </c>
      <c r="V34" s="421"/>
      <c r="W34" s="421"/>
    </row>
    <row r="35" spans="2:23" ht="13.5">
      <c r="B35" s="403"/>
      <c r="C35" s="406"/>
      <c r="D35" s="325">
        <v>46053</v>
      </c>
      <c r="E35" s="326" t="s">
        <v>56</v>
      </c>
      <c r="F35" s="92">
        <v>104.6</v>
      </c>
      <c r="G35" s="422"/>
      <c r="H35" s="422"/>
      <c r="I35" s="89">
        <f t="shared" si="0"/>
        <v>0.92730496453900702</v>
      </c>
      <c r="J35" s="421"/>
      <c r="K35" s="421"/>
      <c r="L35" s="89">
        <v>2.4992230401450206E-3</v>
      </c>
      <c r="M35" s="410"/>
      <c r="N35" s="410"/>
      <c r="O35" s="89">
        <v>6.4982206386560853E-3</v>
      </c>
      <c r="P35" s="410"/>
      <c r="Q35" s="410"/>
      <c r="R35" s="195">
        <v>0.28570000000000001</v>
      </c>
      <c r="S35" s="421"/>
      <c r="T35" s="421"/>
      <c r="U35" s="195">
        <v>0.92759999999999998</v>
      </c>
      <c r="V35" s="421"/>
      <c r="W35" s="421"/>
    </row>
    <row r="36" spans="2:23" ht="13.5">
      <c r="B36" s="403"/>
      <c r="D36" s="325">
        <v>46054</v>
      </c>
      <c r="E36" s="326" t="s">
        <v>50</v>
      </c>
      <c r="F36" s="92"/>
      <c r="G36" s="422"/>
      <c r="H36" s="92"/>
      <c r="I36" s="89">
        <f t="shared" si="0"/>
        <v>0</v>
      </c>
      <c r="J36" s="421"/>
      <c r="K36" s="86"/>
      <c r="L36" s="89"/>
      <c r="M36" s="410"/>
      <c r="N36" s="195"/>
      <c r="O36" s="89"/>
      <c r="P36" s="410"/>
      <c r="Q36" s="195"/>
      <c r="R36" s="195"/>
      <c r="S36" s="421"/>
      <c r="T36" s="195"/>
      <c r="U36" s="195"/>
      <c r="V36" s="421"/>
      <c r="W36" s="195"/>
    </row>
    <row r="37" spans="2:23">
      <c r="B37" s="403"/>
      <c r="D37" s="325">
        <v>46055</v>
      </c>
      <c r="E37" s="325" t="s">
        <v>53</v>
      </c>
      <c r="G37" s="422"/>
      <c r="I37" s="89">
        <f t="shared" si="0"/>
        <v>0</v>
      </c>
      <c r="J37" s="421"/>
      <c r="M37" s="410"/>
      <c r="P37" s="410"/>
      <c r="R37" s="195"/>
      <c r="S37" s="421"/>
      <c r="U37" s="195"/>
      <c r="V37" s="421"/>
    </row>
    <row r="38" spans="2:23" ht="13.5">
      <c r="B38" s="324"/>
      <c r="D38" s="325"/>
      <c r="E38" s="326"/>
      <c r="G38" s="331"/>
      <c r="I38" s="89"/>
      <c r="J38" s="245"/>
      <c r="M38" s="330"/>
      <c r="P38" s="330"/>
      <c r="R38" s="195"/>
      <c r="S38" s="245"/>
      <c r="U38" s="195"/>
      <c r="V38" s="245"/>
    </row>
    <row r="39" spans="2:23" ht="13.5">
      <c r="B39" s="324"/>
      <c r="D39" s="325"/>
      <c r="E39" s="326"/>
      <c r="G39" s="331"/>
      <c r="I39" s="89"/>
      <c r="J39" s="245"/>
      <c r="M39" s="330"/>
      <c r="P39" s="330"/>
      <c r="R39" s="195"/>
      <c r="S39" s="245"/>
      <c r="U39" s="195"/>
      <c r="V39" s="245"/>
    </row>
    <row r="40" spans="2:23">
      <c r="B40" s="324"/>
      <c r="D40" s="325"/>
      <c r="E40" s="325"/>
      <c r="G40" s="331"/>
      <c r="I40" s="89"/>
      <c r="J40" s="245"/>
      <c r="M40" s="330"/>
      <c r="P40" s="330"/>
      <c r="R40" s="195"/>
      <c r="S40" s="245"/>
      <c r="U40" s="195"/>
      <c r="V40" s="245"/>
    </row>
  </sheetData>
  <mergeCells count="45">
    <mergeCell ref="V31:V37"/>
    <mergeCell ref="B31:B37"/>
    <mergeCell ref="G31:G37"/>
    <mergeCell ref="J31:J37"/>
    <mergeCell ref="M31:M37"/>
    <mergeCell ref="P31:P37"/>
    <mergeCell ref="B24:B30"/>
    <mergeCell ref="G24:G30"/>
    <mergeCell ref="J24:J30"/>
    <mergeCell ref="M24:M30"/>
    <mergeCell ref="P24:P30"/>
    <mergeCell ref="C5:C35"/>
    <mergeCell ref="K5:K35"/>
    <mergeCell ref="V10:V16"/>
    <mergeCell ref="B17:B23"/>
    <mergeCell ref="G17:G23"/>
    <mergeCell ref="J17:J23"/>
    <mergeCell ref="M17:M23"/>
    <mergeCell ref="P17:P23"/>
    <mergeCell ref="S17:S23"/>
    <mergeCell ref="V17:V23"/>
    <mergeCell ref="B10:B16"/>
    <mergeCell ref="G10:G16"/>
    <mergeCell ref="J10:J16"/>
    <mergeCell ref="M10:M16"/>
    <mergeCell ref="P10:P16"/>
    <mergeCell ref="T5:T35"/>
    <mergeCell ref="S10:S16"/>
    <mergeCell ref="S31:S37"/>
    <mergeCell ref="W5:W35"/>
    <mergeCell ref="H5:H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S24:S30"/>
    <mergeCell ref="V24:V30"/>
    <mergeCell ref="N5:N35"/>
    <mergeCell ref="Q5:Q3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7" sqref="M7:M37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8" width="8.85546875" style="79" customWidth="1"/>
    <col min="19" max="16384" width="8.85546875" style="79"/>
  </cols>
  <sheetData>
    <row r="2" spans="1:14" ht="38.1" customHeight="1">
      <c r="A2" s="78"/>
      <c r="B2" s="411" t="s">
        <v>67</v>
      </c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</row>
    <row r="3" spans="1:14" ht="25.35" customHeight="1">
      <c r="B3" s="429" t="s">
        <v>41</v>
      </c>
      <c r="C3" s="430" t="s">
        <v>68</v>
      </c>
      <c r="D3" s="431" t="s">
        <v>43</v>
      </c>
      <c r="E3" s="431"/>
      <c r="F3" s="432" t="s">
        <v>69</v>
      </c>
      <c r="G3" s="432"/>
      <c r="H3" s="432"/>
      <c r="I3" s="434" t="s">
        <v>70</v>
      </c>
      <c r="J3" s="435"/>
      <c r="K3" s="435"/>
      <c r="L3" s="435"/>
      <c r="M3" s="435"/>
      <c r="N3" s="436"/>
    </row>
    <row r="4" spans="1:14" ht="25.35" customHeight="1">
      <c r="B4" s="429"/>
      <c r="C4" s="430"/>
      <c r="D4" s="431"/>
      <c r="E4" s="431"/>
      <c r="F4" s="432"/>
      <c r="G4" s="432"/>
      <c r="H4" s="432"/>
      <c r="I4" s="428" t="s">
        <v>71</v>
      </c>
      <c r="J4" s="428"/>
      <c r="K4" s="428" t="s">
        <v>72</v>
      </c>
      <c r="L4" s="428"/>
      <c r="M4" s="428" t="s">
        <v>73</v>
      </c>
      <c r="N4" s="428"/>
    </row>
    <row r="5" spans="1:14" ht="25.35" customHeight="1">
      <c r="B5" s="429"/>
      <c r="C5" s="430"/>
      <c r="D5" s="431"/>
      <c r="E5" s="431"/>
      <c r="F5" s="433" t="s">
        <v>50</v>
      </c>
      <c r="G5" s="433" t="s">
        <v>51</v>
      </c>
      <c r="H5" s="433" t="s">
        <v>52</v>
      </c>
      <c r="I5" s="428" t="s">
        <v>74</v>
      </c>
      <c r="J5" s="428"/>
      <c r="K5" s="428" t="s">
        <v>74</v>
      </c>
      <c r="L5" s="428"/>
      <c r="M5" s="428" t="s">
        <v>74</v>
      </c>
      <c r="N5" s="428"/>
    </row>
    <row r="6" spans="1:14" s="81" customFormat="1" ht="23.45" customHeight="1">
      <c r="B6" s="429"/>
      <c r="C6" s="430"/>
      <c r="D6" s="431"/>
      <c r="E6" s="431"/>
      <c r="F6" s="433"/>
      <c r="G6" s="433"/>
      <c r="H6" s="433"/>
      <c r="I6" s="97" t="s">
        <v>75</v>
      </c>
      <c r="J6" s="98" t="s">
        <v>76</v>
      </c>
      <c r="K6" s="97" t="s">
        <v>75</v>
      </c>
      <c r="L6" s="98" t="s">
        <v>76</v>
      </c>
      <c r="M6" s="97" t="s">
        <v>75</v>
      </c>
      <c r="N6" s="98" t="s">
        <v>76</v>
      </c>
    </row>
    <row r="7" spans="1:14" ht="13.5">
      <c r="B7" s="324"/>
      <c r="C7" s="405" t="s">
        <v>53</v>
      </c>
      <c r="D7" s="325">
        <v>46023</v>
      </c>
      <c r="E7" s="326" t="s">
        <v>54</v>
      </c>
      <c r="F7" s="96">
        <f>I7+M7</f>
        <v>2226674.23</v>
      </c>
      <c r="G7" s="327"/>
      <c r="H7" s="427">
        <f>SUM(F7:F37)</f>
        <v>73906002.200000003</v>
      </c>
      <c r="I7" s="99">
        <v>2051241.39</v>
      </c>
      <c r="J7" s="100">
        <f t="shared" ref="J7:J36" si="0">I7/F7</f>
        <v>0.92121306402328995</v>
      </c>
      <c r="K7" s="99"/>
      <c r="L7" s="100">
        <f t="shared" ref="L7:L36" si="1">K7/F7</f>
        <v>0</v>
      </c>
      <c r="M7" s="99">
        <v>175432.84</v>
      </c>
      <c r="N7" s="100">
        <f t="shared" ref="N7:N36" si="2">M7/F7</f>
        <v>7.8786935976709979E-2</v>
      </c>
    </row>
    <row r="8" spans="1:14" ht="13.5">
      <c r="B8" s="324"/>
      <c r="C8" s="406"/>
      <c r="D8" s="325">
        <v>46024</v>
      </c>
      <c r="E8" s="326" t="s">
        <v>55</v>
      </c>
      <c r="F8" s="96">
        <f t="shared" ref="F8:F39" si="3">I8+M8</f>
        <v>1942096.72</v>
      </c>
      <c r="G8" s="327"/>
      <c r="H8" s="427"/>
      <c r="I8" s="99">
        <v>1798121.22</v>
      </c>
      <c r="J8" s="100">
        <f t="shared" si="0"/>
        <v>0.92586594760326868</v>
      </c>
      <c r="K8" s="99"/>
      <c r="L8" s="100">
        <f t="shared" si="1"/>
        <v>0</v>
      </c>
      <c r="M8" s="99">
        <v>143975.5</v>
      </c>
      <c r="N8" s="100">
        <f t="shared" si="2"/>
        <v>7.4134052396731306E-2</v>
      </c>
    </row>
    <row r="9" spans="1:14" ht="13.5">
      <c r="B9" s="324"/>
      <c r="C9" s="406"/>
      <c r="D9" s="325">
        <v>46025</v>
      </c>
      <c r="E9" s="326" t="s">
        <v>56</v>
      </c>
      <c r="F9" s="96">
        <f t="shared" si="3"/>
        <v>2189422.61</v>
      </c>
      <c r="G9" s="327"/>
      <c r="H9" s="427"/>
      <c r="I9" s="99">
        <v>2020696.79</v>
      </c>
      <c r="J9" s="100">
        <f t="shared" si="0"/>
        <v>0.92293592875612085</v>
      </c>
      <c r="K9" s="99"/>
      <c r="L9" s="100">
        <f t="shared" si="1"/>
        <v>0</v>
      </c>
      <c r="M9" s="99">
        <v>168725.82</v>
      </c>
      <c r="N9" s="100">
        <f t="shared" si="2"/>
        <v>7.7064071243879234E-2</v>
      </c>
    </row>
    <row r="10" spans="1:14" ht="13.5">
      <c r="B10" s="324"/>
      <c r="C10" s="406"/>
      <c r="D10" s="325">
        <v>46026</v>
      </c>
      <c r="E10" s="326" t="s">
        <v>50</v>
      </c>
      <c r="F10" s="96">
        <f t="shared" si="3"/>
        <v>2542916.0900000003</v>
      </c>
      <c r="G10" s="327"/>
      <c r="H10" s="427"/>
      <c r="I10" s="99">
        <v>2352461.2000000002</v>
      </c>
      <c r="J10" s="100">
        <f t="shared" si="0"/>
        <v>0.92510374575513421</v>
      </c>
      <c r="K10" s="99"/>
      <c r="L10" s="100">
        <f t="shared" si="1"/>
        <v>0</v>
      </c>
      <c r="M10" s="99">
        <v>190454.89</v>
      </c>
      <c r="N10" s="100">
        <f t="shared" si="2"/>
        <v>7.4896254244865776E-2</v>
      </c>
    </row>
    <row r="11" spans="1:14" ht="12">
      <c r="B11" s="324"/>
      <c r="C11" s="406"/>
      <c r="D11" s="325">
        <v>46027</v>
      </c>
      <c r="E11" s="325" t="s">
        <v>53</v>
      </c>
      <c r="F11" s="96">
        <f t="shared" si="3"/>
        <v>2525170.66</v>
      </c>
      <c r="G11" s="327"/>
      <c r="H11" s="427"/>
      <c r="I11" s="99">
        <v>2327171.96</v>
      </c>
      <c r="J11" s="100">
        <f t="shared" si="0"/>
        <v>0.92158997285355748</v>
      </c>
      <c r="K11" s="99"/>
      <c r="L11" s="100">
        <f t="shared" si="1"/>
        <v>0</v>
      </c>
      <c r="M11" s="99">
        <v>197998.7</v>
      </c>
      <c r="N11" s="100">
        <f t="shared" si="2"/>
        <v>7.8410027146442449E-2</v>
      </c>
    </row>
    <row r="12" spans="1:14" ht="13.5">
      <c r="B12" s="403">
        <v>46036</v>
      </c>
      <c r="C12" s="406"/>
      <c r="D12" s="325">
        <v>46028</v>
      </c>
      <c r="E12" s="326" t="s">
        <v>57</v>
      </c>
      <c r="F12" s="96">
        <f t="shared" si="3"/>
        <v>2404271.42</v>
      </c>
      <c r="G12" s="404">
        <f>SUM(F12:F18)</f>
        <v>16024791.750000002</v>
      </c>
      <c r="H12" s="427"/>
      <c r="I12" s="99">
        <v>2213659.4300000002</v>
      </c>
      <c r="J12" s="100">
        <f t="shared" si="0"/>
        <v>0.92071943774135123</v>
      </c>
      <c r="K12" s="99"/>
      <c r="L12" s="100">
        <f t="shared" si="1"/>
        <v>0</v>
      </c>
      <c r="M12" s="99">
        <v>190611.99</v>
      </c>
      <c r="N12" s="100">
        <f t="shared" si="2"/>
        <v>7.928056225864881E-2</v>
      </c>
    </row>
    <row r="13" spans="1:14" ht="13.5">
      <c r="B13" s="403"/>
      <c r="C13" s="406"/>
      <c r="D13" s="325">
        <v>46029</v>
      </c>
      <c r="E13" s="326" t="s">
        <v>58</v>
      </c>
      <c r="F13" s="96">
        <f t="shared" si="3"/>
        <v>2398862.29</v>
      </c>
      <c r="G13" s="404"/>
      <c r="H13" s="427"/>
      <c r="I13" s="99">
        <v>2202216.85</v>
      </c>
      <c r="J13" s="100">
        <f t="shared" si="0"/>
        <v>0.91802554034896267</v>
      </c>
      <c r="K13" s="99"/>
      <c r="L13" s="100">
        <f t="shared" si="1"/>
        <v>0</v>
      </c>
      <c r="M13" s="99">
        <v>196645.44</v>
      </c>
      <c r="N13" s="100">
        <f t="shared" si="2"/>
        <v>8.1974459651037321E-2</v>
      </c>
    </row>
    <row r="14" spans="1:14" ht="13.5">
      <c r="B14" s="403"/>
      <c r="C14" s="406"/>
      <c r="D14" s="325">
        <v>46030</v>
      </c>
      <c r="E14" s="326" t="s">
        <v>54</v>
      </c>
      <c r="F14" s="96">
        <f t="shared" si="3"/>
        <v>2212516.35</v>
      </c>
      <c r="G14" s="404"/>
      <c r="H14" s="427"/>
      <c r="I14" s="99">
        <v>2027834.47</v>
      </c>
      <c r="J14" s="100">
        <f t="shared" si="0"/>
        <v>0.91652858068144893</v>
      </c>
      <c r="K14" s="99"/>
      <c r="L14" s="100">
        <f t="shared" si="1"/>
        <v>0</v>
      </c>
      <c r="M14" s="99">
        <v>184681.88</v>
      </c>
      <c r="N14" s="100">
        <f t="shared" si="2"/>
        <v>8.3471419318551024E-2</v>
      </c>
    </row>
    <row r="15" spans="1:14" ht="13.5">
      <c r="B15" s="403"/>
      <c r="C15" s="406"/>
      <c r="D15" s="325">
        <v>46031</v>
      </c>
      <c r="E15" s="326" t="s">
        <v>55</v>
      </c>
      <c r="F15" s="96">
        <f t="shared" si="3"/>
        <v>1901554.64</v>
      </c>
      <c r="G15" s="404"/>
      <c r="H15" s="427"/>
      <c r="I15" s="99">
        <v>1744086.2</v>
      </c>
      <c r="J15" s="100">
        <f t="shared" si="0"/>
        <v>0.91718963174258306</v>
      </c>
      <c r="K15" s="99"/>
      <c r="L15" s="100">
        <f t="shared" si="1"/>
        <v>0</v>
      </c>
      <c r="M15" s="99">
        <v>157468.44</v>
      </c>
      <c r="N15" s="100">
        <f t="shared" si="2"/>
        <v>8.2810368257417E-2</v>
      </c>
    </row>
    <row r="16" spans="1:14" ht="13.5">
      <c r="B16" s="403"/>
      <c r="C16" s="406"/>
      <c r="D16" s="325">
        <v>46032</v>
      </c>
      <c r="E16" s="326" t="s">
        <v>56</v>
      </c>
      <c r="F16" s="96">
        <f t="shared" si="3"/>
        <v>2097914.63</v>
      </c>
      <c r="G16" s="404"/>
      <c r="H16" s="427"/>
      <c r="I16" s="99">
        <v>1923722.2</v>
      </c>
      <c r="J16" s="100">
        <f t="shared" si="0"/>
        <v>0.91696877103145047</v>
      </c>
      <c r="K16" s="99"/>
      <c r="L16" s="100">
        <f t="shared" si="1"/>
        <v>0</v>
      </c>
      <c r="M16" s="99">
        <v>174192.43</v>
      </c>
      <c r="N16" s="100">
        <f t="shared" si="2"/>
        <v>8.30312289685496E-2</v>
      </c>
    </row>
    <row r="17" spans="2:14" ht="13.5">
      <c r="B17" s="403"/>
      <c r="C17" s="406"/>
      <c r="D17" s="325">
        <v>46033</v>
      </c>
      <c r="E17" s="326" t="s">
        <v>50</v>
      </c>
      <c r="F17" s="96">
        <f t="shared" si="3"/>
        <v>2521908.2000000002</v>
      </c>
      <c r="G17" s="404"/>
      <c r="H17" s="427"/>
      <c r="I17" s="99">
        <v>2315859.6</v>
      </c>
      <c r="J17" s="100">
        <f t="shared" si="0"/>
        <v>0.91829655020749756</v>
      </c>
      <c r="K17" s="99"/>
      <c r="L17" s="100">
        <f t="shared" si="1"/>
        <v>0</v>
      </c>
      <c r="M17" s="99">
        <v>206048.6</v>
      </c>
      <c r="N17" s="100">
        <f t="shared" si="2"/>
        <v>8.1703449792502353E-2</v>
      </c>
    </row>
    <row r="18" spans="2:14" ht="12">
      <c r="B18" s="403"/>
      <c r="C18" s="406"/>
      <c r="D18" s="325">
        <v>46034</v>
      </c>
      <c r="E18" s="325" t="s">
        <v>53</v>
      </c>
      <c r="F18" s="96">
        <f t="shared" si="3"/>
        <v>2487764.2200000002</v>
      </c>
      <c r="G18" s="404"/>
      <c r="H18" s="427"/>
      <c r="I18" s="99">
        <v>2287407.66</v>
      </c>
      <c r="J18" s="100">
        <f t="shared" si="0"/>
        <v>0.91946320379187696</v>
      </c>
      <c r="K18" s="99"/>
      <c r="L18" s="100">
        <f t="shared" si="1"/>
        <v>0</v>
      </c>
      <c r="M18" s="99">
        <v>200356.56</v>
      </c>
      <c r="N18" s="100">
        <f t="shared" si="2"/>
        <v>8.0536796208122957E-2</v>
      </c>
    </row>
    <row r="19" spans="2:14" ht="13.5">
      <c r="B19" s="403">
        <v>46043</v>
      </c>
      <c r="C19" s="406"/>
      <c r="D19" s="325">
        <v>46035</v>
      </c>
      <c r="E19" s="326" t="s">
        <v>57</v>
      </c>
      <c r="F19" s="96">
        <f t="shared" si="3"/>
        <v>2453924.4700000002</v>
      </c>
      <c r="G19" s="404">
        <f>SUM(F19:F25)</f>
        <v>15713577.810000001</v>
      </c>
      <c r="H19" s="427"/>
      <c r="I19" s="99">
        <v>2255797.1800000002</v>
      </c>
      <c r="J19" s="100">
        <f t="shared" si="0"/>
        <v>0.91926104799794428</v>
      </c>
      <c r="K19" s="99"/>
      <c r="L19" s="100">
        <f t="shared" si="1"/>
        <v>0</v>
      </c>
      <c r="M19" s="99">
        <v>198127.29</v>
      </c>
      <c r="N19" s="100">
        <f t="shared" si="2"/>
        <v>8.0738952002055706E-2</v>
      </c>
    </row>
    <row r="20" spans="2:14" ht="13.5">
      <c r="B20" s="403"/>
      <c r="C20" s="406"/>
      <c r="D20" s="325">
        <v>46036</v>
      </c>
      <c r="E20" s="326" t="s">
        <v>58</v>
      </c>
      <c r="F20" s="96">
        <f t="shared" si="3"/>
        <v>2232406.1</v>
      </c>
      <c r="G20" s="404"/>
      <c r="H20" s="427"/>
      <c r="I20" s="99">
        <v>2047648.1</v>
      </c>
      <c r="J20" s="100">
        <f t="shared" si="0"/>
        <v>0.91723817633359805</v>
      </c>
      <c r="K20" s="99"/>
      <c r="L20" s="100">
        <f t="shared" si="1"/>
        <v>0</v>
      </c>
      <c r="M20" s="99">
        <v>184758</v>
      </c>
      <c r="N20" s="100">
        <f t="shared" si="2"/>
        <v>8.2761823666401918E-2</v>
      </c>
    </row>
    <row r="21" spans="2:14" ht="13.5">
      <c r="B21" s="403"/>
      <c r="C21" s="406"/>
      <c r="D21" s="325">
        <v>46037</v>
      </c>
      <c r="E21" s="326" t="s">
        <v>54</v>
      </c>
      <c r="F21" s="96">
        <f t="shared" si="3"/>
        <v>2042060.41</v>
      </c>
      <c r="G21" s="404"/>
      <c r="H21" s="427"/>
      <c r="I21" s="99">
        <v>1859636.43</v>
      </c>
      <c r="J21" s="100">
        <f t="shared" si="0"/>
        <v>0.91066670745553513</v>
      </c>
      <c r="K21" s="99"/>
      <c r="L21" s="100">
        <f t="shared" si="1"/>
        <v>0</v>
      </c>
      <c r="M21" s="99">
        <v>182423.98</v>
      </c>
      <c r="N21" s="100">
        <f t="shared" si="2"/>
        <v>8.933329254446494E-2</v>
      </c>
    </row>
    <row r="22" spans="2:14" ht="13.5">
      <c r="B22" s="403"/>
      <c r="C22" s="406"/>
      <c r="D22" s="325">
        <v>46038</v>
      </c>
      <c r="E22" s="326" t="s">
        <v>55</v>
      </c>
      <c r="F22" s="96">
        <f t="shared" si="3"/>
        <v>1901136.53</v>
      </c>
      <c r="G22" s="404"/>
      <c r="H22" s="427"/>
      <c r="I22" s="99">
        <v>1755348.3</v>
      </c>
      <c r="J22" s="100">
        <f t="shared" si="0"/>
        <v>0.92331522344689254</v>
      </c>
      <c r="K22" s="99"/>
      <c r="L22" s="100">
        <f t="shared" si="1"/>
        <v>0</v>
      </c>
      <c r="M22" s="99">
        <v>145788.23000000001</v>
      </c>
      <c r="N22" s="100">
        <f t="shared" si="2"/>
        <v>7.6684776553107417E-2</v>
      </c>
    </row>
    <row r="23" spans="2:14" ht="13.5">
      <c r="B23" s="403"/>
      <c r="C23" s="406"/>
      <c r="D23" s="325">
        <v>46039</v>
      </c>
      <c r="E23" s="326" t="s">
        <v>56</v>
      </c>
      <c r="F23" s="96">
        <f t="shared" si="3"/>
        <v>2122148.15</v>
      </c>
      <c r="G23" s="404"/>
      <c r="H23" s="427"/>
      <c r="I23" s="99">
        <v>1958563.59</v>
      </c>
      <c r="J23" s="100">
        <f t="shared" si="0"/>
        <v>0.92291557966864857</v>
      </c>
      <c r="K23" s="99"/>
      <c r="L23" s="100">
        <f t="shared" si="1"/>
        <v>0</v>
      </c>
      <c r="M23" s="99">
        <v>163584.56</v>
      </c>
      <c r="N23" s="100">
        <f t="shared" si="2"/>
        <v>7.7084420331351516E-2</v>
      </c>
    </row>
    <row r="24" spans="2:14" ht="13.5">
      <c r="B24" s="403"/>
      <c r="C24" s="406"/>
      <c r="D24" s="325">
        <v>46040</v>
      </c>
      <c r="E24" s="326" t="s">
        <v>50</v>
      </c>
      <c r="F24" s="96">
        <f t="shared" si="3"/>
        <v>2467886.46</v>
      </c>
      <c r="G24" s="404"/>
      <c r="H24" s="427"/>
      <c r="I24" s="99">
        <v>2309290.41</v>
      </c>
      <c r="J24" s="100">
        <f t="shared" si="0"/>
        <v>0.93573608325562929</v>
      </c>
      <c r="K24" s="99"/>
      <c r="L24" s="100">
        <f t="shared" si="1"/>
        <v>0</v>
      </c>
      <c r="M24" s="99">
        <v>158596.04999999999</v>
      </c>
      <c r="N24" s="100">
        <f t="shared" si="2"/>
        <v>6.4263916744370805E-2</v>
      </c>
    </row>
    <row r="25" spans="2:14" ht="12">
      <c r="B25" s="403"/>
      <c r="C25" s="406"/>
      <c r="D25" s="325">
        <v>46041</v>
      </c>
      <c r="E25" s="325" t="s">
        <v>53</v>
      </c>
      <c r="F25" s="96">
        <f t="shared" si="3"/>
        <v>2494015.69</v>
      </c>
      <c r="G25" s="404"/>
      <c r="H25" s="427"/>
      <c r="I25" s="99">
        <v>2317836.23</v>
      </c>
      <c r="J25" s="100">
        <f t="shared" si="0"/>
        <v>0.92935912123311459</v>
      </c>
      <c r="K25" s="99"/>
      <c r="L25" s="100">
        <f t="shared" si="1"/>
        <v>0</v>
      </c>
      <c r="M25" s="99">
        <v>176179.46</v>
      </c>
      <c r="N25" s="100">
        <f t="shared" si="2"/>
        <v>7.0640878766885379E-2</v>
      </c>
    </row>
    <row r="26" spans="2:14" ht="13.5">
      <c r="B26" s="403">
        <v>46050</v>
      </c>
      <c r="C26" s="406"/>
      <c r="D26" s="325">
        <v>46042</v>
      </c>
      <c r="E26" s="326" t="s">
        <v>57</v>
      </c>
      <c r="F26" s="96">
        <f t="shared" si="3"/>
        <v>2998261.92</v>
      </c>
      <c r="G26" s="404">
        <f>SUM(F26:F32)</f>
        <v>18269388.600000001</v>
      </c>
      <c r="H26" s="427"/>
      <c r="I26" s="99">
        <v>2571737.23</v>
      </c>
      <c r="J26" s="100">
        <f t="shared" si="0"/>
        <v>0.85774268513539342</v>
      </c>
      <c r="K26" s="99"/>
      <c r="L26" s="100">
        <f t="shared" si="1"/>
        <v>0</v>
      </c>
      <c r="M26" s="99">
        <v>426524.69</v>
      </c>
      <c r="N26" s="100">
        <f t="shared" si="2"/>
        <v>0.14225731486460663</v>
      </c>
    </row>
    <row r="27" spans="2:14" ht="13.5">
      <c r="B27" s="403"/>
      <c r="C27" s="406"/>
      <c r="D27" s="325">
        <v>46043</v>
      </c>
      <c r="E27" s="326" t="s">
        <v>58</v>
      </c>
      <c r="F27" s="96">
        <f t="shared" si="3"/>
        <v>2518253.0699999998</v>
      </c>
      <c r="G27" s="404"/>
      <c r="H27" s="427"/>
      <c r="I27" s="99">
        <v>2204016.44</v>
      </c>
      <c r="J27" s="100">
        <f t="shared" si="0"/>
        <v>0.8752164213583189</v>
      </c>
      <c r="K27" s="99"/>
      <c r="L27" s="100">
        <f t="shared" si="1"/>
        <v>0</v>
      </c>
      <c r="M27" s="99">
        <v>314236.63</v>
      </c>
      <c r="N27" s="100">
        <f t="shared" si="2"/>
        <v>0.12478357864168117</v>
      </c>
    </row>
    <row r="28" spans="2:14" ht="13.5">
      <c r="B28" s="403"/>
      <c r="C28" s="406"/>
      <c r="D28" s="325">
        <v>46044</v>
      </c>
      <c r="E28" s="326" t="s">
        <v>54</v>
      </c>
      <c r="F28" s="96">
        <f t="shared" si="3"/>
        <v>2624434.17</v>
      </c>
      <c r="G28" s="404"/>
      <c r="H28" s="427"/>
      <c r="I28" s="99">
        <v>2334346.21</v>
      </c>
      <c r="J28" s="100">
        <f t="shared" si="0"/>
        <v>0.88946647497734721</v>
      </c>
      <c r="K28" s="99"/>
      <c r="L28" s="100">
        <f t="shared" si="1"/>
        <v>0</v>
      </c>
      <c r="M28" s="99">
        <v>290087.96000000002</v>
      </c>
      <c r="N28" s="100">
        <f t="shared" si="2"/>
        <v>0.1105335250226528</v>
      </c>
    </row>
    <row r="29" spans="2:14" ht="13.5">
      <c r="B29" s="403"/>
      <c r="C29" s="406"/>
      <c r="D29" s="325">
        <v>46045</v>
      </c>
      <c r="E29" s="326" t="s">
        <v>55</v>
      </c>
      <c r="F29" s="96">
        <f t="shared" si="3"/>
        <v>2037145.6500000001</v>
      </c>
      <c r="G29" s="404"/>
      <c r="H29" s="427"/>
      <c r="I29" s="99">
        <v>1848792.62</v>
      </c>
      <c r="J29" s="100">
        <f t="shared" si="0"/>
        <v>0.90754071511774326</v>
      </c>
      <c r="K29" s="99"/>
      <c r="L29" s="100">
        <f t="shared" si="1"/>
        <v>0</v>
      </c>
      <c r="M29" s="99">
        <v>188353.03</v>
      </c>
      <c r="N29" s="100">
        <f t="shared" si="2"/>
        <v>9.2459284882256687E-2</v>
      </c>
    </row>
    <row r="30" spans="2:14" ht="13.5">
      <c r="B30" s="403"/>
      <c r="C30" s="406"/>
      <c r="D30" s="325">
        <v>46046</v>
      </c>
      <c r="E30" s="326" t="s">
        <v>56</v>
      </c>
      <c r="F30" s="96">
        <f t="shared" si="3"/>
        <v>2368780.83</v>
      </c>
      <c r="G30" s="404"/>
      <c r="H30" s="427"/>
      <c r="I30" s="99">
        <v>2149544.8199999998</v>
      </c>
      <c r="J30" s="100">
        <f t="shared" si="0"/>
        <v>0.90744774390968019</v>
      </c>
      <c r="K30" s="99"/>
      <c r="L30" s="100">
        <f t="shared" si="1"/>
        <v>0</v>
      </c>
      <c r="M30" s="99">
        <v>219236.01</v>
      </c>
      <c r="N30" s="100">
        <f t="shared" si="2"/>
        <v>9.2552256090319682E-2</v>
      </c>
    </row>
    <row r="31" spans="2:14" ht="13.5">
      <c r="B31" s="403"/>
      <c r="C31" s="406"/>
      <c r="D31" s="325">
        <v>46047</v>
      </c>
      <c r="E31" s="326" t="s">
        <v>50</v>
      </c>
      <c r="F31" s="96">
        <f t="shared" si="3"/>
        <v>2961303.19</v>
      </c>
      <c r="G31" s="404"/>
      <c r="H31" s="427"/>
      <c r="I31" s="99">
        <v>2644189.63</v>
      </c>
      <c r="J31" s="100">
        <f t="shared" si="0"/>
        <v>0.89291418687864921</v>
      </c>
      <c r="K31" s="99"/>
      <c r="L31" s="100">
        <f t="shared" si="1"/>
        <v>0</v>
      </c>
      <c r="M31" s="99">
        <v>317113.56</v>
      </c>
      <c r="N31" s="100">
        <f t="shared" si="2"/>
        <v>0.10708581312135081</v>
      </c>
    </row>
    <row r="32" spans="2:14" ht="12">
      <c r="B32" s="403"/>
      <c r="C32" s="406"/>
      <c r="D32" s="325">
        <v>46048</v>
      </c>
      <c r="E32" s="325" t="s">
        <v>53</v>
      </c>
      <c r="F32" s="96">
        <f t="shared" si="3"/>
        <v>2761209.7699999996</v>
      </c>
      <c r="G32" s="404"/>
      <c r="H32" s="427"/>
      <c r="I32" s="99">
        <v>2501915.2799999998</v>
      </c>
      <c r="J32" s="100">
        <f t="shared" si="0"/>
        <v>0.90609388217542064</v>
      </c>
      <c r="K32" s="99"/>
      <c r="L32" s="100">
        <f t="shared" si="1"/>
        <v>0</v>
      </c>
      <c r="M32" s="99">
        <v>259294.49</v>
      </c>
      <c r="N32" s="100">
        <f t="shared" si="2"/>
        <v>9.3906117824579485E-2</v>
      </c>
    </row>
    <row r="33" spans="2:14" ht="13.5">
      <c r="B33" s="403">
        <v>46057</v>
      </c>
      <c r="C33" s="406"/>
      <c r="D33" s="325">
        <v>46049</v>
      </c>
      <c r="E33" s="326" t="s">
        <v>57</v>
      </c>
      <c r="F33" s="96">
        <f t="shared" si="3"/>
        <v>2551423.8699999996</v>
      </c>
      <c r="G33" s="404">
        <f>SUM(F33:F39)</f>
        <v>12471963.729999999</v>
      </c>
      <c r="H33" s="427"/>
      <c r="I33" s="99">
        <v>2314194.7999999998</v>
      </c>
      <c r="J33" s="100">
        <f t="shared" si="0"/>
        <v>0.9070209098576788</v>
      </c>
      <c r="K33" s="99"/>
      <c r="L33" s="100">
        <f t="shared" si="1"/>
        <v>0</v>
      </c>
      <c r="M33" s="99">
        <v>237229.07</v>
      </c>
      <c r="N33" s="100">
        <f t="shared" si="2"/>
        <v>9.2979090142321211E-2</v>
      </c>
    </row>
    <row r="34" spans="2:14" ht="13.5">
      <c r="B34" s="403"/>
      <c r="C34" s="406"/>
      <c r="D34" s="325">
        <v>46050</v>
      </c>
      <c r="E34" s="326" t="s">
        <v>58</v>
      </c>
      <c r="F34" s="96">
        <f t="shared" si="3"/>
        <v>2542380.25</v>
      </c>
      <c r="G34" s="404"/>
      <c r="H34" s="427"/>
      <c r="I34" s="99">
        <v>2309341.4500000002</v>
      </c>
      <c r="J34" s="100">
        <f t="shared" si="0"/>
        <v>0.90833833766605143</v>
      </c>
      <c r="K34" s="99"/>
      <c r="L34" s="100">
        <f t="shared" si="1"/>
        <v>0</v>
      </c>
      <c r="M34" s="99">
        <v>233038.8</v>
      </c>
      <c r="N34" s="100">
        <f t="shared" si="2"/>
        <v>9.1661662333948665E-2</v>
      </c>
    </row>
    <row r="35" spans="2:14" ht="13.5">
      <c r="B35" s="403"/>
      <c r="C35" s="406"/>
      <c r="D35" s="325">
        <v>46051</v>
      </c>
      <c r="E35" s="326" t="s">
        <v>54</v>
      </c>
      <c r="F35" s="96">
        <f t="shared" si="3"/>
        <v>2589823.7400000002</v>
      </c>
      <c r="G35" s="404"/>
      <c r="H35" s="427"/>
      <c r="I35" s="99">
        <v>2365683.52</v>
      </c>
      <c r="J35" s="100">
        <f t="shared" si="0"/>
        <v>0.9134534846761424</v>
      </c>
      <c r="K35" s="99"/>
      <c r="L35" s="100">
        <f t="shared" si="1"/>
        <v>0</v>
      </c>
      <c r="M35" s="99">
        <v>224140.22</v>
      </c>
      <c r="N35" s="100">
        <f t="shared" si="2"/>
        <v>8.6546515323857515E-2</v>
      </c>
    </row>
    <row r="36" spans="2:14" ht="13.5">
      <c r="B36" s="403"/>
      <c r="C36" s="406"/>
      <c r="D36" s="325">
        <v>46052</v>
      </c>
      <c r="E36" s="326" t="s">
        <v>55</v>
      </c>
      <c r="F36" s="96">
        <f t="shared" si="3"/>
        <v>2295961.2799999998</v>
      </c>
      <c r="G36" s="404"/>
      <c r="H36" s="427"/>
      <c r="I36" s="99">
        <v>2074512.89</v>
      </c>
      <c r="J36" s="100">
        <f t="shared" si="0"/>
        <v>0.90354872622242133</v>
      </c>
      <c r="K36" s="99"/>
      <c r="L36" s="100">
        <f t="shared" si="1"/>
        <v>0</v>
      </c>
      <c r="M36" s="99">
        <v>221448.39</v>
      </c>
      <c r="N36" s="100">
        <f t="shared" si="2"/>
        <v>9.64512737775787E-2</v>
      </c>
    </row>
    <row r="37" spans="2:14" ht="13.5">
      <c r="B37" s="403"/>
      <c r="C37" s="406"/>
      <c r="D37" s="325">
        <v>46053</v>
      </c>
      <c r="E37" s="326" t="s">
        <v>56</v>
      </c>
      <c r="F37" s="96">
        <f t="shared" si="3"/>
        <v>2492374.5900000003</v>
      </c>
      <c r="G37" s="404"/>
      <c r="H37" s="427"/>
      <c r="I37" s="99">
        <v>2290975.7000000002</v>
      </c>
      <c r="J37" s="100">
        <f>I37/F37</f>
        <v>0.91919397236352018</v>
      </c>
      <c r="K37" s="99"/>
      <c r="L37" s="100">
        <f>K37/F37</f>
        <v>0</v>
      </c>
      <c r="M37" s="99">
        <v>201398.89</v>
      </c>
      <c r="N37" s="100">
        <f>M37/F37</f>
        <v>8.0806027636479788E-2</v>
      </c>
    </row>
    <row r="38" spans="2:14" ht="13.5">
      <c r="B38" s="403"/>
      <c r="C38" s="79"/>
      <c r="D38" s="325">
        <v>46054</v>
      </c>
      <c r="E38" s="326" t="s">
        <v>50</v>
      </c>
      <c r="F38" s="96">
        <f t="shared" si="3"/>
        <v>0</v>
      </c>
      <c r="G38" s="404"/>
      <c r="H38" s="96"/>
      <c r="J38" s="100" t="e">
        <f t="shared" ref="J38:J39" si="4">I38/F38</f>
        <v>#DIV/0!</v>
      </c>
      <c r="N38" s="100" t="e">
        <f t="shared" ref="N38:N39" si="5">M38/F38</f>
        <v>#DIV/0!</v>
      </c>
    </row>
    <row r="39" spans="2:14" ht="12">
      <c r="B39" s="403"/>
      <c r="C39" s="79"/>
      <c r="D39" s="325">
        <v>46055</v>
      </c>
      <c r="E39" s="325" t="s">
        <v>53</v>
      </c>
      <c r="F39" s="96">
        <f t="shared" si="3"/>
        <v>0</v>
      </c>
      <c r="G39" s="404"/>
      <c r="H39" s="96"/>
      <c r="J39" s="100" t="e">
        <f t="shared" si="4"/>
        <v>#DIV/0!</v>
      </c>
      <c r="N39" s="100" t="e">
        <f t="shared" si="5"/>
        <v>#DIV/0!</v>
      </c>
    </row>
    <row r="40" spans="2:14" ht="13.5">
      <c r="B40" s="324"/>
      <c r="C40" s="79"/>
      <c r="D40" s="325"/>
      <c r="E40" s="326"/>
      <c r="F40" s="96"/>
      <c r="G40" s="327"/>
      <c r="H40" s="96"/>
      <c r="J40" s="100"/>
      <c r="N40" s="100"/>
    </row>
    <row r="41" spans="2:14" ht="13.5">
      <c r="B41" s="324"/>
      <c r="C41" s="79"/>
      <c r="D41" s="325"/>
      <c r="E41" s="326"/>
      <c r="F41" s="96"/>
      <c r="G41" s="327"/>
      <c r="H41" s="96"/>
      <c r="J41" s="100"/>
      <c r="N41" s="100"/>
    </row>
    <row r="42" spans="2:14" ht="12">
      <c r="B42" s="324"/>
      <c r="C42" s="79"/>
      <c r="D42" s="325"/>
      <c r="E42" s="325"/>
      <c r="F42" s="96"/>
      <c r="G42" s="327"/>
      <c r="H42" s="96"/>
      <c r="J42" s="100"/>
      <c r="N42" s="100"/>
    </row>
    <row r="43" spans="2:14" ht="12">
      <c r="B43" s="82"/>
      <c r="C43" s="79"/>
      <c r="D43" s="85"/>
      <c r="E43" s="85"/>
      <c r="F43" s="96"/>
      <c r="G43" s="96"/>
      <c r="H43" s="96"/>
    </row>
    <row r="44" spans="2:14" ht="12">
      <c r="B44" s="82"/>
      <c r="C44" s="79"/>
      <c r="D44" s="85"/>
      <c r="E44" s="85"/>
      <c r="F44" s="96"/>
      <c r="G44" s="96"/>
      <c r="H44" s="96"/>
    </row>
    <row r="45" spans="2:14" ht="12">
      <c r="B45" s="82"/>
      <c r="C45" s="79"/>
      <c r="D45" s="85"/>
      <c r="E45" s="85"/>
      <c r="F45" s="96"/>
      <c r="G45" s="96"/>
      <c r="H45" s="96"/>
    </row>
    <row r="46" spans="2:14" ht="12">
      <c r="B46" s="82"/>
      <c r="C46" s="79"/>
      <c r="D46" s="81"/>
      <c r="F46" s="96"/>
      <c r="G46" s="96"/>
      <c r="H46" s="96"/>
    </row>
    <row r="47" spans="2:14" ht="12">
      <c r="B47" s="82"/>
      <c r="C47" s="79"/>
      <c r="D47" s="81"/>
      <c r="F47" s="96"/>
      <c r="G47" s="96"/>
      <c r="H47" s="96"/>
    </row>
    <row r="48" spans="2:14" ht="12">
      <c r="B48" s="82"/>
      <c r="C48" s="79"/>
      <c r="D48" s="81"/>
      <c r="F48" s="96"/>
      <c r="G48" s="96"/>
      <c r="H48" s="96"/>
    </row>
    <row r="49" spans="1:22" ht="12">
      <c r="B49" s="82"/>
      <c r="C49" s="79"/>
      <c r="D49" s="81"/>
      <c r="F49" s="96"/>
      <c r="G49" s="96"/>
      <c r="H49" s="96"/>
    </row>
    <row r="50" spans="1:22" s="81" customFormat="1" ht="12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2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2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2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2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2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2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2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2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2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2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2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2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2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2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2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2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2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2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2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2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2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2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2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2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2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2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2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2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2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2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2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2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2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2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2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2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2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2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2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2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2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2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2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2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2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2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2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2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  <row r="99" spans="1:22" s="81" customFormat="1" ht="12">
      <c r="A99" s="79"/>
      <c r="B99" s="82"/>
      <c r="C99" s="79"/>
      <c r="F99" s="101"/>
      <c r="G99" s="101"/>
      <c r="H99" s="101"/>
      <c r="I99" s="96"/>
      <c r="J99" s="89"/>
      <c r="K99" s="96"/>
      <c r="L99" s="89"/>
      <c r="M99" s="96"/>
      <c r="N99" s="89"/>
      <c r="O99" s="79"/>
      <c r="P99" s="79"/>
      <c r="Q99" s="79"/>
      <c r="R99" s="79"/>
      <c r="S99" s="79"/>
      <c r="T99" s="79"/>
      <c r="U99" s="79"/>
      <c r="V99" s="79"/>
    </row>
    <row r="100" spans="1:22" s="81" customFormat="1" ht="12">
      <c r="A100" s="79"/>
      <c r="B100" s="82"/>
      <c r="C100" s="79"/>
      <c r="F100" s="101"/>
      <c r="G100" s="101"/>
      <c r="H100" s="101"/>
      <c r="I100" s="96"/>
      <c r="J100" s="89"/>
      <c r="K100" s="96"/>
      <c r="L100" s="89"/>
      <c r="M100" s="96"/>
      <c r="N100" s="89"/>
      <c r="O100" s="79"/>
      <c r="P100" s="79"/>
      <c r="Q100" s="79"/>
      <c r="R100" s="79"/>
      <c r="S100" s="79"/>
      <c r="T100" s="79"/>
      <c r="U100" s="79"/>
      <c r="V100" s="79"/>
    </row>
    <row r="101" spans="1:22" s="81" customFormat="1" ht="12">
      <c r="A101" s="79"/>
      <c r="B101" s="82"/>
      <c r="C101" s="79"/>
      <c r="F101" s="101"/>
      <c r="G101" s="101"/>
      <c r="H101" s="101"/>
      <c r="I101" s="96"/>
      <c r="J101" s="89"/>
      <c r="K101" s="96"/>
      <c r="L101" s="89"/>
      <c r="M101" s="96"/>
      <c r="N101" s="89"/>
      <c r="O101" s="79"/>
      <c r="P101" s="79"/>
      <c r="Q101" s="79"/>
      <c r="R101" s="79"/>
      <c r="S101" s="79"/>
      <c r="T101" s="79"/>
      <c r="U101" s="79"/>
      <c r="V101" s="79"/>
    </row>
    <row r="102" spans="1:22" s="81" customFormat="1" ht="12">
      <c r="A102" s="79"/>
      <c r="B102" s="82"/>
      <c r="C102" s="79"/>
      <c r="F102" s="101"/>
      <c r="G102" s="101"/>
      <c r="H102" s="101"/>
      <c r="I102" s="96"/>
      <c r="J102" s="89"/>
      <c r="K102" s="96"/>
      <c r="L102" s="89"/>
      <c r="M102" s="96"/>
      <c r="N102" s="89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6:B32"/>
    <mergeCell ref="G26:G32"/>
    <mergeCell ref="B33:B39"/>
    <mergeCell ref="H5:H6"/>
    <mergeCell ref="I3:N3"/>
    <mergeCell ref="B12:B18"/>
    <mergeCell ref="G12:G18"/>
    <mergeCell ref="B19:B25"/>
    <mergeCell ref="G19:G25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G33:G39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7" sqref="M7:M37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18" width="8.85546875" style="79" customWidth="1"/>
    <col min="19" max="16384" width="8.85546875" style="79"/>
  </cols>
  <sheetData>
    <row r="2" spans="1:14" ht="38.1" customHeight="1">
      <c r="A2" s="78"/>
      <c r="B2" s="219" t="s">
        <v>77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14" ht="25.35" customHeight="1">
      <c r="B3" s="429" t="s">
        <v>41</v>
      </c>
      <c r="C3" s="430" t="s">
        <v>68</v>
      </c>
      <c r="D3" s="431" t="s">
        <v>43</v>
      </c>
      <c r="E3" s="431"/>
      <c r="F3" s="442" t="s">
        <v>78</v>
      </c>
      <c r="G3" s="443"/>
      <c r="H3" s="443"/>
      <c r="I3" s="437" t="s">
        <v>79</v>
      </c>
      <c r="J3" s="438"/>
      <c r="K3" s="438"/>
      <c r="L3" s="438"/>
      <c r="M3" s="438"/>
      <c r="N3" s="439"/>
    </row>
    <row r="4" spans="1:14" ht="25.35" customHeight="1">
      <c r="B4" s="429"/>
      <c r="C4" s="430"/>
      <c r="D4" s="431"/>
      <c r="E4" s="431"/>
      <c r="F4" s="443"/>
      <c r="G4" s="443"/>
      <c r="H4" s="443"/>
      <c r="I4" s="440" t="s">
        <v>71</v>
      </c>
      <c r="J4" s="440"/>
      <c r="K4" s="440" t="s">
        <v>72</v>
      </c>
      <c r="L4" s="440"/>
      <c r="M4" s="440" t="s">
        <v>73</v>
      </c>
      <c r="N4" s="440"/>
    </row>
    <row r="5" spans="1:14" ht="25.35" customHeight="1">
      <c r="B5" s="429"/>
      <c r="C5" s="430"/>
      <c r="D5" s="431"/>
      <c r="E5" s="431"/>
      <c r="F5" s="441" t="s">
        <v>50</v>
      </c>
      <c r="G5" s="441" t="s">
        <v>51</v>
      </c>
      <c r="H5" s="441" t="s">
        <v>52</v>
      </c>
      <c r="I5" s="440" t="s">
        <v>74</v>
      </c>
      <c r="J5" s="440"/>
      <c r="K5" s="440" t="s">
        <v>74</v>
      </c>
      <c r="L5" s="440"/>
      <c r="M5" s="440" t="s">
        <v>74</v>
      </c>
      <c r="N5" s="440"/>
    </row>
    <row r="6" spans="1:14" s="81" customFormat="1" ht="23.45" customHeight="1">
      <c r="B6" s="429"/>
      <c r="C6" s="430"/>
      <c r="D6" s="431"/>
      <c r="E6" s="431"/>
      <c r="F6" s="441"/>
      <c r="G6" s="441"/>
      <c r="H6" s="441"/>
      <c r="I6" s="104" t="s">
        <v>80</v>
      </c>
      <c r="J6" s="98" t="s">
        <v>76</v>
      </c>
      <c r="K6" s="104" t="s">
        <v>80</v>
      </c>
      <c r="L6" s="98" t="s">
        <v>76</v>
      </c>
      <c r="M6" s="104" t="s">
        <v>80</v>
      </c>
      <c r="N6" s="98" t="s">
        <v>76</v>
      </c>
    </row>
    <row r="7" spans="1:14" ht="13.5">
      <c r="B7" s="324"/>
      <c r="C7" s="405" t="s">
        <v>53</v>
      </c>
      <c r="D7" s="325">
        <v>46023</v>
      </c>
      <c r="E7" s="326" t="s">
        <v>54</v>
      </c>
      <c r="F7" s="218">
        <f>SUM(I7,K7,M7)</f>
        <v>46936</v>
      </c>
      <c r="G7" s="327"/>
      <c r="H7" s="401">
        <f>SUM(F7:F37)</f>
        <v>1572945</v>
      </c>
      <c r="I7" s="269">
        <v>40568</v>
      </c>
      <c r="J7" s="100">
        <f t="shared" ref="J7:J36" si="0">I7/F7</f>
        <v>0.86432589057439924</v>
      </c>
      <c r="K7" s="105"/>
      <c r="L7" s="100">
        <f t="shared" ref="L7:L36" si="1">K7/F7</f>
        <v>0</v>
      </c>
      <c r="M7" s="269">
        <v>6368</v>
      </c>
      <c r="N7" s="100">
        <f t="shared" ref="N7:N36" si="2">M7/F7</f>
        <v>0.13567410942560082</v>
      </c>
    </row>
    <row r="8" spans="1:14" ht="13.5">
      <c r="B8" s="324"/>
      <c r="C8" s="406"/>
      <c r="D8" s="325">
        <v>46024</v>
      </c>
      <c r="E8" s="326" t="s">
        <v>55</v>
      </c>
      <c r="F8" s="218">
        <f t="shared" ref="F8:F39" si="3">SUM(I8,K8,M8)</f>
        <v>40942</v>
      </c>
      <c r="G8" s="327"/>
      <c r="H8" s="401"/>
      <c r="I8" s="269">
        <v>35709</v>
      </c>
      <c r="J8" s="100">
        <f t="shared" si="0"/>
        <v>0.87218504225489712</v>
      </c>
      <c r="K8" s="105"/>
      <c r="L8" s="100">
        <f t="shared" si="1"/>
        <v>0</v>
      </c>
      <c r="M8" s="269">
        <v>5233</v>
      </c>
      <c r="N8" s="100">
        <f t="shared" si="2"/>
        <v>0.12781495774510282</v>
      </c>
    </row>
    <row r="9" spans="1:14" ht="13.5">
      <c r="B9" s="324"/>
      <c r="C9" s="406"/>
      <c r="D9" s="325">
        <v>46025</v>
      </c>
      <c r="E9" s="326" t="s">
        <v>56</v>
      </c>
      <c r="F9" s="218">
        <f t="shared" si="3"/>
        <v>46190</v>
      </c>
      <c r="G9" s="327"/>
      <c r="H9" s="401"/>
      <c r="I9" s="269">
        <v>40068</v>
      </c>
      <c r="J9" s="100">
        <f t="shared" si="0"/>
        <v>0.8674604892833947</v>
      </c>
      <c r="K9" s="105"/>
      <c r="L9" s="100">
        <f t="shared" si="1"/>
        <v>0</v>
      </c>
      <c r="M9" s="269">
        <v>6122</v>
      </c>
      <c r="N9" s="100">
        <f t="shared" si="2"/>
        <v>0.13253951071660533</v>
      </c>
    </row>
    <row r="10" spans="1:14" ht="13.5">
      <c r="B10" s="324"/>
      <c r="C10" s="406"/>
      <c r="D10" s="325">
        <v>46026</v>
      </c>
      <c r="E10" s="326" t="s">
        <v>50</v>
      </c>
      <c r="F10" s="218">
        <f t="shared" si="3"/>
        <v>53732</v>
      </c>
      <c r="G10" s="327"/>
      <c r="H10" s="401"/>
      <c r="I10" s="269">
        <v>46794</v>
      </c>
      <c r="J10" s="100">
        <f t="shared" si="0"/>
        <v>0.87087768927268672</v>
      </c>
      <c r="K10" s="105"/>
      <c r="L10" s="100">
        <f t="shared" si="1"/>
        <v>0</v>
      </c>
      <c r="M10" s="269">
        <v>6938</v>
      </c>
      <c r="N10" s="100">
        <f t="shared" si="2"/>
        <v>0.12912231072731334</v>
      </c>
    </row>
    <row r="11" spans="1:14" ht="12">
      <c r="B11" s="324"/>
      <c r="C11" s="406"/>
      <c r="D11" s="325">
        <v>46027</v>
      </c>
      <c r="E11" s="325" t="s">
        <v>53</v>
      </c>
      <c r="F11" s="218">
        <f t="shared" si="3"/>
        <v>53395</v>
      </c>
      <c r="G11" s="327"/>
      <c r="H11" s="401"/>
      <c r="I11" s="269">
        <v>46199</v>
      </c>
      <c r="J11" s="100">
        <f t="shared" si="0"/>
        <v>0.86523082685644725</v>
      </c>
      <c r="K11" s="105"/>
      <c r="L11" s="100">
        <f t="shared" si="1"/>
        <v>0</v>
      </c>
      <c r="M11" s="269">
        <v>7196</v>
      </c>
      <c r="N11" s="100">
        <f t="shared" si="2"/>
        <v>0.13476917314355277</v>
      </c>
    </row>
    <row r="12" spans="1:14" ht="13.5">
      <c r="B12" s="403">
        <v>46036</v>
      </c>
      <c r="C12" s="406"/>
      <c r="D12" s="325">
        <v>46028</v>
      </c>
      <c r="E12" s="326" t="s">
        <v>57</v>
      </c>
      <c r="F12" s="218">
        <f t="shared" si="3"/>
        <v>50902</v>
      </c>
      <c r="G12" s="401">
        <f>SUM(F12:F18)</f>
        <v>340021</v>
      </c>
      <c r="H12" s="401"/>
      <c r="I12" s="269">
        <v>43968</v>
      </c>
      <c r="J12" s="100">
        <f t="shared" si="0"/>
        <v>0.86377745471690703</v>
      </c>
      <c r="K12" s="105"/>
      <c r="L12" s="100">
        <f t="shared" si="1"/>
        <v>0</v>
      </c>
      <c r="M12" s="269">
        <v>6934</v>
      </c>
      <c r="N12" s="100">
        <f t="shared" si="2"/>
        <v>0.13622254528309299</v>
      </c>
    </row>
    <row r="13" spans="1:14" ht="13.5">
      <c r="B13" s="403"/>
      <c r="C13" s="406"/>
      <c r="D13" s="325">
        <v>46029</v>
      </c>
      <c r="E13" s="326" t="s">
        <v>58</v>
      </c>
      <c r="F13" s="218">
        <f t="shared" si="3"/>
        <v>50807</v>
      </c>
      <c r="G13" s="401"/>
      <c r="H13" s="401"/>
      <c r="I13" s="269">
        <v>43657</v>
      </c>
      <c r="J13" s="100">
        <f t="shared" si="0"/>
        <v>0.85927136024563544</v>
      </c>
      <c r="K13" s="105"/>
      <c r="L13" s="100">
        <f t="shared" si="1"/>
        <v>0</v>
      </c>
      <c r="M13" s="269">
        <v>7150</v>
      </c>
      <c r="N13" s="100">
        <f t="shared" si="2"/>
        <v>0.14072863975436456</v>
      </c>
    </row>
    <row r="14" spans="1:14" ht="13.5">
      <c r="B14" s="403"/>
      <c r="C14" s="406"/>
      <c r="D14" s="325">
        <v>46030</v>
      </c>
      <c r="E14" s="326" t="s">
        <v>54</v>
      </c>
      <c r="F14" s="218">
        <f t="shared" si="3"/>
        <v>46922</v>
      </c>
      <c r="G14" s="401"/>
      <c r="H14" s="401"/>
      <c r="I14" s="269">
        <v>40206</v>
      </c>
      <c r="J14" s="100">
        <f t="shared" si="0"/>
        <v>0.85686884617023995</v>
      </c>
      <c r="K14" s="105"/>
      <c r="L14" s="100">
        <f t="shared" si="1"/>
        <v>0</v>
      </c>
      <c r="M14" s="269">
        <v>6716</v>
      </c>
      <c r="N14" s="100">
        <f t="shared" si="2"/>
        <v>0.14313115382976002</v>
      </c>
    </row>
    <row r="15" spans="1:14" ht="13.5">
      <c r="B15" s="403"/>
      <c r="C15" s="406"/>
      <c r="D15" s="325">
        <v>46031</v>
      </c>
      <c r="E15" s="326" t="s">
        <v>55</v>
      </c>
      <c r="F15" s="218">
        <f t="shared" si="3"/>
        <v>40461</v>
      </c>
      <c r="G15" s="401"/>
      <c r="H15" s="401"/>
      <c r="I15" s="269">
        <v>34721</v>
      </c>
      <c r="J15" s="100">
        <f t="shared" si="0"/>
        <v>0.85813499419193795</v>
      </c>
      <c r="K15" s="105"/>
      <c r="L15" s="100">
        <f t="shared" si="1"/>
        <v>0</v>
      </c>
      <c r="M15" s="269">
        <v>5740</v>
      </c>
      <c r="N15" s="100">
        <f t="shared" si="2"/>
        <v>0.14186500580806208</v>
      </c>
    </row>
    <row r="16" spans="1:14" ht="13.5">
      <c r="B16" s="403"/>
      <c r="C16" s="406"/>
      <c r="D16" s="325">
        <v>46032</v>
      </c>
      <c r="E16" s="326" t="s">
        <v>56</v>
      </c>
      <c r="F16" s="218">
        <f t="shared" si="3"/>
        <v>44509</v>
      </c>
      <c r="G16" s="401"/>
      <c r="H16" s="401"/>
      <c r="I16" s="269">
        <v>38173</v>
      </c>
      <c r="J16" s="100">
        <f t="shared" si="0"/>
        <v>0.85764676806937923</v>
      </c>
      <c r="K16" s="105"/>
      <c r="L16" s="100">
        <f t="shared" si="1"/>
        <v>0</v>
      </c>
      <c r="M16" s="269">
        <v>6336</v>
      </c>
      <c r="N16" s="100">
        <f t="shared" si="2"/>
        <v>0.14235323193062077</v>
      </c>
    </row>
    <row r="17" spans="2:14" ht="13.5">
      <c r="B17" s="403"/>
      <c r="C17" s="406"/>
      <c r="D17" s="325">
        <v>46033</v>
      </c>
      <c r="E17" s="326" t="s">
        <v>50</v>
      </c>
      <c r="F17" s="218">
        <f t="shared" si="3"/>
        <v>53689</v>
      </c>
      <c r="G17" s="401"/>
      <c r="H17" s="401"/>
      <c r="I17" s="269">
        <v>46167</v>
      </c>
      <c r="J17" s="100">
        <f t="shared" si="0"/>
        <v>0.85989681312745625</v>
      </c>
      <c r="K17" s="105"/>
      <c r="L17" s="100">
        <f t="shared" si="1"/>
        <v>0</v>
      </c>
      <c r="M17" s="269">
        <v>7522</v>
      </c>
      <c r="N17" s="100">
        <f t="shared" si="2"/>
        <v>0.14010318687254372</v>
      </c>
    </row>
    <row r="18" spans="2:14" ht="12">
      <c r="B18" s="403"/>
      <c r="C18" s="406"/>
      <c r="D18" s="325">
        <v>46034</v>
      </c>
      <c r="E18" s="325" t="s">
        <v>53</v>
      </c>
      <c r="F18" s="218">
        <f t="shared" si="3"/>
        <v>52731</v>
      </c>
      <c r="G18" s="401"/>
      <c r="H18" s="401"/>
      <c r="I18" s="269">
        <v>45437</v>
      </c>
      <c r="J18" s="100">
        <f t="shared" si="0"/>
        <v>0.86167529536705167</v>
      </c>
      <c r="K18" s="105"/>
      <c r="L18" s="100">
        <f t="shared" si="1"/>
        <v>0</v>
      </c>
      <c r="M18" s="269">
        <v>7294</v>
      </c>
      <c r="N18" s="100">
        <f t="shared" si="2"/>
        <v>0.13832470463294835</v>
      </c>
    </row>
    <row r="19" spans="2:14" ht="13.5">
      <c r="B19" s="403">
        <v>46043</v>
      </c>
      <c r="C19" s="406"/>
      <c r="D19" s="325">
        <v>46035</v>
      </c>
      <c r="E19" s="326" t="s">
        <v>57</v>
      </c>
      <c r="F19" s="218">
        <f t="shared" si="3"/>
        <v>52361</v>
      </c>
      <c r="G19" s="401">
        <f>SUM(F19:F25)</f>
        <v>333826</v>
      </c>
      <c r="H19" s="401"/>
      <c r="I19" s="269">
        <v>45139</v>
      </c>
      <c r="J19" s="100">
        <f t="shared" si="0"/>
        <v>0.86207291686560605</v>
      </c>
      <c r="K19" s="105"/>
      <c r="L19" s="100">
        <f t="shared" si="1"/>
        <v>0</v>
      </c>
      <c r="M19" s="269">
        <v>7222</v>
      </c>
      <c r="N19" s="100">
        <f t="shared" si="2"/>
        <v>0.13792708313439392</v>
      </c>
    </row>
    <row r="20" spans="2:14" ht="13.5">
      <c r="B20" s="403"/>
      <c r="C20" s="406"/>
      <c r="D20" s="325">
        <v>46036</v>
      </c>
      <c r="E20" s="326" t="s">
        <v>58</v>
      </c>
      <c r="F20" s="218">
        <f t="shared" si="3"/>
        <v>47532</v>
      </c>
      <c r="G20" s="401"/>
      <c r="H20" s="401"/>
      <c r="I20" s="269">
        <v>40806</v>
      </c>
      <c r="J20" s="100">
        <f t="shared" si="0"/>
        <v>0.85849532946225704</v>
      </c>
      <c r="K20" s="105"/>
      <c r="L20" s="100">
        <f t="shared" si="1"/>
        <v>0</v>
      </c>
      <c r="M20" s="269">
        <v>6726</v>
      </c>
      <c r="N20" s="100">
        <f t="shared" si="2"/>
        <v>0.14150467053774299</v>
      </c>
    </row>
    <row r="21" spans="2:14" ht="13.5">
      <c r="B21" s="403"/>
      <c r="C21" s="406"/>
      <c r="D21" s="325">
        <v>46037</v>
      </c>
      <c r="E21" s="326" t="s">
        <v>54</v>
      </c>
      <c r="F21" s="218">
        <f t="shared" si="3"/>
        <v>43661</v>
      </c>
      <c r="G21" s="401"/>
      <c r="H21" s="401"/>
      <c r="I21" s="269">
        <v>37017</v>
      </c>
      <c r="J21" s="100">
        <f t="shared" si="0"/>
        <v>0.84782758067840869</v>
      </c>
      <c r="K21" s="105"/>
      <c r="L21" s="100">
        <f t="shared" si="1"/>
        <v>0</v>
      </c>
      <c r="M21" s="269">
        <v>6644</v>
      </c>
      <c r="N21" s="100">
        <f t="shared" si="2"/>
        <v>0.15217241932159134</v>
      </c>
    </row>
    <row r="22" spans="2:14" ht="13.5">
      <c r="B22" s="403"/>
      <c r="C22" s="406"/>
      <c r="D22" s="325">
        <v>46038</v>
      </c>
      <c r="E22" s="326" t="s">
        <v>55</v>
      </c>
      <c r="F22" s="218">
        <f t="shared" si="3"/>
        <v>40479</v>
      </c>
      <c r="G22" s="401"/>
      <c r="H22" s="401"/>
      <c r="I22" s="269">
        <v>35165</v>
      </c>
      <c r="J22" s="100">
        <f t="shared" si="0"/>
        <v>0.86872205341041031</v>
      </c>
      <c r="K22" s="105"/>
      <c r="L22" s="100">
        <f t="shared" si="1"/>
        <v>0</v>
      </c>
      <c r="M22" s="269">
        <v>5314</v>
      </c>
      <c r="N22" s="100">
        <f t="shared" si="2"/>
        <v>0.13127794658958966</v>
      </c>
    </row>
    <row r="23" spans="2:14" ht="13.5">
      <c r="B23" s="403"/>
      <c r="C23" s="406"/>
      <c r="D23" s="325">
        <v>46039</v>
      </c>
      <c r="E23" s="326" t="s">
        <v>56</v>
      </c>
      <c r="F23" s="218">
        <f t="shared" si="3"/>
        <v>45067</v>
      </c>
      <c r="G23" s="401"/>
      <c r="H23" s="401"/>
      <c r="I23" s="269">
        <v>39118</v>
      </c>
      <c r="J23" s="100">
        <f t="shared" si="0"/>
        <v>0.86799653848714142</v>
      </c>
      <c r="K23" s="105"/>
      <c r="L23" s="100">
        <f t="shared" si="1"/>
        <v>0</v>
      </c>
      <c r="M23" s="269">
        <v>5949</v>
      </c>
      <c r="N23" s="100">
        <f t="shared" si="2"/>
        <v>0.13200346151285863</v>
      </c>
    </row>
    <row r="24" spans="2:14" ht="13.5">
      <c r="B24" s="403"/>
      <c r="C24" s="406"/>
      <c r="D24" s="325">
        <v>46040</v>
      </c>
      <c r="E24" s="326" t="s">
        <v>50</v>
      </c>
      <c r="F24" s="218">
        <f t="shared" si="3"/>
        <v>52042</v>
      </c>
      <c r="G24" s="401"/>
      <c r="H24" s="401"/>
      <c r="I24" s="269">
        <v>46266</v>
      </c>
      <c r="J24" s="100">
        <f t="shared" si="0"/>
        <v>0.88901272049498481</v>
      </c>
      <c r="K24" s="105"/>
      <c r="L24" s="100">
        <f t="shared" si="1"/>
        <v>0</v>
      </c>
      <c r="M24" s="269">
        <v>5776</v>
      </c>
      <c r="N24" s="100">
        <f t="shared" si="2"/>
        <v>0.11098727950501518</v>
      </c>
    </row>
    <row r="25" spans="2:14" ht="12">
      <c r="B25" s="403"/>
      <c r="C25" s="406"/>
      <c r="D25" s="325">
        <v>46041</v>
      </c>
      <c r="E25" s="325" t="s">
        <v>53</v>
      </c>
      <c r="F25" s="218">
        <f t="shared" si="3"/>
        <v>52684</v>
      </c>
      <c r="G25" s="401"/>
      <c r="H25" s="401"/>
      <c r="I25" s="269">
        <v>46277</v>
      </c>
      <c r="J25" s="100">
        <f t="shared" si="0"/>
        <v>0.87838812542707467</v>
      </c>
      <c r="K25" s="105"/>
      <c r="L25" s="100">
        <f t="shared" si="1"/>
        <v>0</v>
      </c>
      <c r="M25" s="269">
        <v>6407</v>
      </c>
      <c r="N25" s="100">
        <f t="shared" si="2"/>
        <v>0.12161187457292537</v>
      </c>
    </row>
    <row r="26" spans="2:14" ht="13.5">
      <c r="B26" s="403">
        <v>46050</v>
      </c>
      <c r="C26" s="406"/>
      <c r="D26" s="325">
        <v>46042</v>
      </c>
      <c r="E26" s="326" t="s">
        <v>57</v>
      </c>
      <c r="F26" s="218">
        <f t="shared" si="3"/>
        <v>65681</v>
      </c>
      <c r="G26" s="401">
        <f>SUM(F26:F32)</f>
        <v>392919</v>
      </c>
      <c r="H26" s="401"/>
      <c r="I26" s="269">
        <v>50410</v>
      </c>
      <c r="J26" s="100">
        <f t="shared" si="0"/>
        <v>0.76749744979522239</v>
      </c>
      <c r="K26" s="105"/>
      <c r="L26" s="100">
        <f t="shared" si="1"/>
        <v>0</v>
      </c>
      <c r="M26" s="269">
        <v>15271</v>
      </c>
      <c r="N26" s="100">
        <f t="shared" si="2"/>
        <v>0.23250255020477764</v>
      </c>
    </row>
    <row r="27" spans="2:14" ht="13.5">
      <c r="B27" s="403"/>
      <c r="C27" s="406"/>
      <c r="D27" s="325">
        <v>46043</v>
      </c>
      <c r="E27" s="326" t="s">
        <v>58</v>
      </c>
      <c r="F27" s="218">
        <f t="shared" si="3"/>
        <v>54921</v>
      </c>
      <c r="G27" s="401"/>
      <c r="H27" s="401"/>
      <c r="I27" s="269">
        <v>43626</v>
      </c>
      <c r="J27" s="100">
        <f t="shared" si="0"/>
        <v>0.79434096247337083</v>
      </c>
      <c r="K27" s="105"/>
      <c r="L27" s="100">
        <f t="shared" si="1"/>
        <v>0</v>
      </c>
      <c r="M27" s="269">
        <v>11295</v>
      </c>
      <c r="N27" s="100">
        <f t="shared" si="2"/>
        <v>0.20565903752662915</v>
      </c>
    </row>
    <row r="28" spans="2:14" ht="13.5">
      <c r="B28" s="403"/>
      <c r="C28" s="406"/>
      <c r="D28" s="325">
        <v>46044</v>
      </c>
      <c r="E28" s="326" t="s">
        <v>54</v>
      </c>
      <c r="F28" s="218">
        <f t="shared" si="3"/>
        <v>56062</v>
      </c>
      <c r="G28" s="401"/>
      <c r="H28" s="401"/>
      <c r="I28" s="269">
        <v>45641</v>
      </c>
      <c r="J28" s="100">
        <f t="shared" si="0"/>
        <v>0.81411651385965533</v>
      </c>
      <c r="K28" s="105"/>
      <c r="L28" s="100">
        <f t="shared" si="1"/>
        <v>0</v>
      </c>
      <c r="M28" s="269">
        <v>10421</v>
      </c>
      <c r="N28" s="100">
        <f t="shared" si="2"/>
        <v>0.18588348614034461</v>
      </c>
    </row>
    <row r="29" spans="2:14" ht="13.5">
      <c r="B29" s="403"/>
      <c r="C29" s="406"/>
      <c r="D29" s="325">
        <v>46045</v>
      </c>
      <c r="E29" s="326" t="s">
        <v>55</v>
      </c>
      <c r="F29" s="218">
        <f t="shared" si="3"/>
        <v>43620</v>
      </c>
      <c r="G29" s="401"/>
      <c r="H29" s="401"/>
      <c r="I29" s="269">
        <v>36825</v>
      </c>
      <c r="J29" s="100">
        <f t="shared" si="0"/>
        <v>0.84422283356258598</v>
      </c>
      <c r="K29" s="105"/>
      <c r="L29" s="100">
        <f t="shared" si="1"/>
        <v>0</v>
      </c>
      <c r="M29" s="269">
        <v>6795</v>
      </c>
      <c r="N29" s="100">
        <f t="shared" si="2"/>
        <v>0.15577716643741404</v>
      </c>
    </row>
    <row r="30" spans="2:14" ht="13.5">
      <c r="B30" s="403"/>
      <c r="C30" s="406"/>
      <c r="D30" s="325">
        <v>46046</v>
      </c>
      <c r="E30" s="326" t="s">
        <v>56</v>
      </c>
      <c r="F30" s="218">
        <f t="shared" si="3"/>
        <v>50213</v>
      </c>
      <c r="G30" s="401"/>
      <c r="H30" s="401"/>
      <c r="I30" s="269">
        <v>42319</v>
      </c>
      <c r="J30" s="100">
        <f t="shared" si="0"/>
        <v>0.84278971581064666</v>
      </c>
      <c r="K30" s="105"/>
      <c r="L30" s="100">
        <f t="shared" si="1"/>
        <v>0</v>
      </c>
      <c r="M30" s="269">
        <v>7894</v>
      </c>
      <c r="N30" s="100">
        <f t="shared" si="2"/>
        <v>0.15721028418935334</v>
      </c>
    </row>
    <row r="31" spans="2:14" ht="13.5">
      <c r="B31" s="403"/>
      <c r="C31" s="406"/>
      <c r="D31" s="325">
        <v>46047</v>
      </c>
      <c r="E31" s="326" t="s">
        <v>50</v>
      </c>
      <c r="F31" s="218">
        <f t="shared" si="3"/>
        <v>63573</v>
      </c>
      <c r="G31" s="401"/>
      <c r="H31" s="401"/>
      <c r="I31" s="269">
        <v>52169</v>
      </c>
      <c r="J31" s="100">
        <f t="shared" si="0"/>
        <v>0.82061567017444514</v>
      </c>
      <c r="K31" s="105"/>
      <c r="L31" s="100">
        <f t="shared" si="1"/>
        <v>0</v>
      </c>
      <c r="M31" s="269">
        <v>11404</v>
      </c>
      <c r="N31" s="100">
        <f t="shared" si="2"/>
        <v>0.17938432982555488</v>
      </c>
    </row>
    <row r="32" spans="2:14" ht="12">
      <c r="B32" s="403"/>
      <c r="C32" s="406"/>
      <c r="D32" s="325">
        <v>46048</v>
      </c>
      <c r="E32" s="325" t="s">
        <v>53</v>
      </c>
      <c r="F32" s="218">
        <f t="shared" si="3"/>
        <v>58849</v>
      </c>
      <c r="G32" s="401"/>
      <c r="H32" s="401"/>
      <c r="I32" s="269">
        <v>49500</v>
      </c>
      <c r="J32" s="100">
        <f t="shared" si="0"/>
        <v>0.84113578820370782</v>
      </c>
      <c r="K32" s="105"/>
      <c r="L32" s="100">
        <f t="shared" si="1"/>
        <v>0</v>
      </c>
      <c r="M32" s="269">
        <v>9349</v>
      </c>
      <c r="N32" s="100">
        <f t="shared" si="2"/>
        <v>0.1588642117962922</v>
      </c>
    </row>
    <row r="33" spans="2:14" ht="13.5">
      <c r="B33" s="403">
        <v>46057</v>
      </c>
      <c r="C33" s="406"/>
      <c r="D33" s="325">
        <v>46049</v>
      </c>
      <c r="E33" s="326" t="s">
        <v>57</v>
      </c>
      <c r="F33" s="218">
        <f t="shared" si="3"/>
        <v>54594</v>
      </c>
      <c r="G33" s="401">
        <f>SUM(F33:F39)</f>
        <v>264984</v>
      </c>
      <c r="H33" s="401"/>
      <c r="I33" s="269">
        <v>46035</v>
      </c>
      <c r="J33" s="100">
        <f t="shared" si="0"/>
        <v>0.84322453016815035</v>
      </c>
      <c r="K33" s="105"/>
      <c r="L33" s="100">
        <f t="shared" si="1"/>
        <v>0</v>
      </c>
      <c r="M33" s="269">
        <v>8559</v>
      </c>
      <c r="N33" s="100">
        <f t="shared" si="2"/>
        <v>0.15677546983184965</v>
      </c>
    </row>
    <row r="34" spans="2:14" ht="13.5">
      <c r="B34" s="403"/>
      <c r="C34" s="406"/>
      <c r="D34" s="325">
        <v>46050</v>
      </c>
      <c r="E34" s="326" t="s">
        <v>58</v>
      </c>
      <c r="F34" s="218">
        <f t="shared" si="3"/>
        <v>54168</v>
      </c>
      <c r="G34" s="401"/>
      <c r="H34" s="401"/>
      <c r="I34" s="269">
        <v>45768</v>
      </c>
      <c r="J34" s="100">
        <f t="shared" si="0"/>
        <v>0.84492689410722199</v>
      </c>
      <c r="K34" s="105"/>
      <c r="L34" s="100">
        <f t="shared" si="1"/>
        <v>0</v>
      </c>
      <c r="M34" s="269">
        <v>8400</v>
      </c>
      <c r="N34" s="100">
        <f t="shared" si="2"/>
        <v>0.15507310589277803</v>
      </c>
    </row>
    <row r="35" spans="2:14" ht="13.5">
      <c r="B35" s="403"/>
      <c r="C35" s="406"/>
      <c r="D35" s="325">
        <v>46051</v>
      </c>
      <c r="E35" s="326" t="s">
        <v>54</v>
      </c>
      <c r="F35" s="218">
        <f t="shared" si="3"/>
        <v>54574</v>
      </c>
      <c r="G35" s="401"/>
      <c r="H35" s="401"/>
      <c r="I35" s="269">
        <v>46495</v>
      </c>
      <c r="J35" s="100">
        <f t="shared" si="0"/>
        <v>0.85196247297247774</v>
      </c>
      <c r="K35" s="105"/>
      <c r="L35" s="100">
        <f t="shared" si="1"/>
        <v>0</v>
      </c>
      <c r="M35" s="269">
        <v>8079</v>
      </c>
      <c r="N35" s="100">
        <f t="shared" si="2"/>
        <v>0.14803752702752226</v>
      </c>
    </row>
    <row r="36" spans="2:14" ht="13.5">
      <c r="B36" s="403"/>
      <c r="C36" s="406"/>
      <c r="D36" s="325">
        <v>46052</v>
      </c>
      <c r="E36" s="326" t="s">
        <v>55</v>
      </c>
      <c r="F36" s="218">
        <f t="shared" si="3"/>
        <v>49058</v>
      </c>
      <c r="G36" s="401"/>
      <c r="H36" s="401"/>
      <c r="I36" s="269">
        <v>41087</v>
      </c>
      <c r="J36" s="100">
        <f t="shared" si="0"/>
        <v>0.83751885523258185</v>
      </c>
      <c r="K36" s="105"/>
      <c r="L36" s="100">
        <f t="shared" si="1"/>
        <v>0</v>
      </c>
      <c r="M36" s="269">
        <v>7971</v>
      </c>
      <c r="N36" s="100">
        <f t="shared" si="2"/>
        <v>0.16248114476741815</v>
      </c>
    </row>
    <row r="37" spans="2:14" ht="13.5">
      <c r="B37" s="403"/>
      <c r="C37" s="406"/>
      <c r="D37" s="325">
        <v>46053</v>
      </c>
      <c r="E37" s="326" t="s">
        <v>56</v>
      </c>
      <c r="F37" s="218">
        <f t="shared" si="3"/>
        <v>52590</v>
      </c>
      <c r="G37" s="401"/>
      <c r="H37" s="401"/>
      <c r="I37" s="269">
        <v>45324</v>
      </c>
      <c r="J37" s="100">
        <f>I37/F37</f>
        <v>0.86183685111237873</v>
      </c>
      <c r="K37" s="105"/>
      <c r="L37" s="100">
        <f>K37/F37</f>
        <v>0</v>
      </c>
      <c r="M37" s="269">
        <v>7266</v>
      </c>
      <c r="N37" s="100">
        <f>M37/F37</f>
        <v>0.13816314888762121</v>
      </c>
    </row>
    <row r="38" spans="2:14" ht="13.5">
      <c r="B38" s="403"/>
      <c r="C38" s="79"/>
      <c r="D38" s="325">
        <v>46054</v>
      </c>
      <c r="E38" s="326" t="s">
        <v>50</v>
      </c>
      <c r="F38" s="218">
        <f t="shared" si="3"/>
        <v>0</v>
      </c>
      <c r="G38" s="401"/>
      <c r="H38" s="218"/>
      <c r="I38" s="269"/>
      <c r="J38" s="100" t="e">
        <f t="shared" ref="J38:J39" si="4">I38/F38</f>
        <v>#DIV/0!</v>
      </c>
      <c r="M38" s="269"/>
      <c r="N38" s="100" t="e">
        <f t="shared" ref="N38:N39" si="5">M38/F38</f>
        <v>#DIV/0!</v>
      </c>
    </row>
    <row r="39" spans="2:14" ht="12">
      <c r="B39" s="403"/>
      <c r="C39" s="79"/>
      <c r="D39" s="325">
        <v>46055</v>
      </c>
      <c r="E39" s="325" t="s">
        <v>53</v>
      </c>
      <c r="F39" s="218">
        <f t="shared" si="3"/>
        <v>0</v>
      </c>
      <c r="G39" s="401"/>
      <c r="H39" s="218"/>
      <c r="I39" s="269"/>
      <c r="J39" s="100" t="e">
        <f t="shared" si="4"/>
        <v>#DIV/0!</v>
      </c>
      <c r="M39" s="269"/>
      <c r="N39" s="100" t="e">
        <f t="shared" si="5"/>
        <v>#DIV/0!</v>
      </c>
    </row>
    <row r="40" spans="2:14" ht="13.5">
      <c r="B40" s="82"/>
      <c r="C40" s="79"/>
      <c r="D40" s="85"/>
      <c r="E40" s="239"/>
      <c r="F40" s="218"/>
      <c r="G40" s="218"/>
      <c r="H40" s="218"/>
    </row>
    <row r="41" spans="2:14" ht="13.5">
      <c r="B41" s="82"/>
      <c r="C41" s="79"/>
      <c r="D41" s="85"/>
      <c r="E41" s="239"/>
      <c r="F41" s="218"/>
      <c r="G41" s="218"/>
      <c r="H41" s="218"/>
    </row>
    <row r="42" spans="2:14" ht="13.5">
      <c r="B42" s="82"/>
      <c r="C42" s="79"/>
      <c r="D42" s="85"/>
      <c r="E42" s="239"/>
      <c r="F42" s="218"/>
      <c r="G42" s="218"/>
      <c r="H42" s="218"/>
    </row>
    <row r="43" spans="2:14" ht="12">
      <c r="B43" s="82"/>
      <c r="C43" s="79"/>
      <c r="D43" s="81"/>
      <c r="F43" s="87"/>
      <c r="G43" s="87"/>
      <c r="H43" s="87"/>
    </row>
    <row r="44" spans="2:14" ht="12">
      <c r="B44" s="82"/>
      <c r="C44" s="79"/>
      <c r="D44" s="81"/>
      <c r="F44" s="87"/>
      <c r="G44" s="87"/>
      <c r="H44" s="87"/>
    </row>
    <row r="45" spans="2:14" ht="12">
      <c r="B45" s="82"/>
      <c r="C45" s="79"/>
      <c r="D45" s="81"/>
      <c r="F45" s="87"/>
      <c r="G45" s="87"/>
      <c r="H45" s="87"/>
    </row>
    <row r="46" spans="2:14" ht="12">
      <c r="B46" s="82"/>
      <c r="C46" s="79"/>
      <c r="D46" s="81"/>
      <c r="F46" s="87"/>
      <c r="G46" s="87"/>
      <c r="H46" s="87"/>
    </row>
    <row r="47" spans="2:14" ht="12">
      <c r="B47" s="82"/>
      <c r="C47" s="79"/>
      <c r="D47" s="81"/>
    </row>
    <row r="48" spans="2:14" ht="12">
      <c r="B48" s="82"/>
      <c r="C48" s="79"/>
      <c r="D48" s="81"/>
    </row>
    <row r="49" spans="2:4" ht="12">
      <c r="B49" s="82"/>
      <c r="C49" s="79"/>
      <c r="D49" s="81"/>
    </row>
    <row r="50" spans="2:4" ht="12">
      <c r="B50" s="82"/>
      <c r="C50" s="79"/>
      <c r="D50" s="81"/>
    </row>
    <row r="51" spans="2:4" ht="12">
      <c r="B51" s="82"/>
      <c r="C51" s="79"/>
      <c r="D51" s="81"/>
    </row>
    <row r="52" spans="2:4" ht="12">
      <c r="B52" s="82"/>
      <c r="C52" s="79"/>
      <c r="D52" s="81"/>
    </row>
    <row r="53" spans="2:4" ht="12">
      <c r="B53" s="82"/>
      <c r="C53" s="79"/>
      <c r="D53" s="81"/>
    </row>
    <row r="54" spans="2:4" ht="12">
      <c r="B54" s="82"/>
      <c r="C54" s="79"/>
      <c r="D54" s="81"/>
    </row>
    <row r="55" spans="2:4" ht="12">
      <c r="B55" s="82"/>
      <c r="C55" s="79"/>
      <c r="D55" s="81"/>
    </row>
    <row r="56" spans="2:4" ht="12">
      <c r="B56" s="82"/>
      <c r="C56" s="79"/>
      <c r="D56" s="81"/>
    </row>
    <row r="57" spans="2:4" ht="12">
      <c r="B57" s="82"/>
      <c r="C57" s="79"/>
      <c r="D57" s="81"/>
    </row>
    <row r="58" spans="2:4" ht="12">
      <c r="B58" s="82"/>
      <c r="C58" s="79"/>
      <c r="D58" s="81"/>
    </row>
    <row r="59" spans="2:4" ht="12">
      <c r="B59" s="82"/>
      <c r="C59" s="79"/>
      <c r="D59" s="81"/>
    </row>
    <row r="60" spans="2:4" ht="12">
      <c r="B60" s="82"/>
      <c r="C60" s="79"/>
      <c r="D60" s="81"/>
    </row>
    <row r="61" spans="2:4" ht="12">
      <c r="B61" s="82"/>
      <c r="C61" s="79"/>
      <c r="D61" s="81"/>
    </row>
    <row r="62" spans="2:4" ht="12">
      <c r="B62" s="82"/>
      <c r="C62" s="79"/>
      <c r="D62" s="81"/>
    </row>
    <row r="63" spans="2:4" ht="12">
      <c r="B63" s="82"/>
      <c r="C63" s="79"/>
      <c r="D63" s="81"/>
    </row>
    <row r="64" spans="2:4" ht="12">
      <c r="B64" s="82"/>
      <c r="C64" s="79"/>
      <c r="D64" s="81"/>
    </row>
    <row r="65" spans="2:4" ht="12">
      <c r="B65" s="82"/>
      <c r="C65" s="79"/>
      <c r="D65" s="81"/>
    </row>
    <row r="66" spans="2:4" ht="12">
      <c r="B66" s="82"/>
      <c r="C66" s="79"/>
      <c r="D66" s="81"/>
    </row>
    <row r="67" spans="2:4" ht="12">
      <c r="B67" s="82"/>
      <c r="C67" s="79"/>
      <c r="D67" s="81"/>
    </row>
    <row r="68" spans="2:4" ht="12">
      <c r="B68" s="82"/>
      <c r="C68" s="79"/>
      <c r="D68" s="81"/>
    </row>
    <row r="69" spans="2:4" ht="12">
      <c r="B69" s="82"/>
      <c r="C69" s="79"/>
      <c r="D69" s="81"/>
    </row>
    <row r="70" spans="2:4" ht="12">
      <c r="B70" s="82"/>
      <c r="C70" s="79"/>
      <c r="D70" s="81"/>
    </row>
    <row r="71" spans="2:4" ht="12">
      <c r="B71" s="82"/>
      <c r="C71" s="79"/>
      <c r="D71" s="81"/>
    </row>
    <row r="72" spans="2:4" ht="12">
      <c r="B72" s="82"/>
      <c r="C72" s="79"/>
      <c r="D72" s="81"/>
    </row>
    <row r="73" spans="2:4" ht="12">
      <c r="B73" s="82"/>
      <c r="C73" s="79"/>
      <c r="D73" s="81"/>
    </row>
    <row r="74" spans="2:4" ht="12">
      <c r="B74" s="82"/>
      <c r="C74" s="79"/>
      <c r="D74" s="81"/>
    </row>
    <row r="75" spans="2:4" ht="12">
      <c r="B75" s="82"/>
      <c r="C75" s="79"/>
      <c r="D75" s="81"/>
    </row>
    <row r="76" spans="2:4" ht="12">
      <c r="B76" s="82"/>
      <c r="C76" s="79"/>
      <c r="D76" s="81"/>
    </row>
    <row r="77" spans="2:4" ht="12">
      <c r="B77" s="82"/>
      <c r="C77" s="79"/>
      <c r="D77" s="81"/>
    </row>
    <row r="78" spans="2:4" ht="12">
      <c r="B78" s="82"/>
      <c r="C78" s="79"/>
      <c r="D78" s="81"/>
    </row>
    <row r="79" spans="2:4" ht="12">
      <c r="B79" s="82"/>
      <c r="C79" s="79"/>
      <c r="D79" s="81"/>
    </row>
    <row r="80" spans="2:4" ht="12">
      <c r="B80" s="82"/>
      <c r="C80" s="79"/>
      <c r="D80" s="81"/>
    </row>
    <row r="81" spans="2:4" ht="12">
      <c r="B81" s="82"/>
      <c r="C81" s="79"/>
      <c r="D81" s="81"/>
    </row>
    <row r="82" spans="2:4" ht="12">
      <c r="B82" s="82"/>
      <c r="C82" s="79"/>
      <c r="D82" s="81"/>
    </row>
    <row r="83" spans="2:4" ht="12">
      <c r="B83" s="82"/>
      <c r="C83" s="79"/>
      <c r="D83" s="81"/>
    </row>
    <row r="84" spans="2:4" ht="12">
      <c r="B84" s="82"/>
      <c r="C84" s="79"/>
      <c r="D84" s="81"/>
    </row>
    <row r="85" spans="2:4" ht="12">
      <c r="B85" s="82"/>
      <c r="C85" s="79"/>
      <c r="D85" s="81"/>
    </row>
    <row r="86" spans="2:4" ht="12">
      <c r="B86" s="82"/>
      <c r="C86" s="79"/>
      <c r="D86" s="81"/>
    </row>
    <row r="87" spans="2:4" ht="12">
      <c r="B87" s="82"/>
      <c r="C87" s="79"/>
      <c r="D87" s="81"/>
    </row>
    <row r="88" spans="2:4" ht="12">
      <c r="B88" s="82"/>
      <c r="C88" s="79"/>
      <c r="D88" s="81"/>
    </row>
    <row r="89" spans="2:4" ht="12">
      <c r="B89" s="82"/>
      <c r="C89" s="79"/>
      <c r="D89" s="81"/>
    </row>
    <row r="90" spans="2:4" ht="12">
      <c r="B90" s="82"/>
      <c r="C90" s="79"/>
      <c r="D90" s="81"/>
    </row>
    <row r="91" spans="2:4" ht="12">
      <c r="B91" s="82"/>
      <c r="C91" s="79"/>
      <c r="D91" s="81"/>
    </row>
    <row r="92" spans="2:4" ht="12">
      <c r="B92" s="82"/>
      <c r="C92" s="79"/>
      <c r="D92" s="81"/>
    </row>
    <row r="93" spans="2:4" ht="12">
      <c r="B93" s="82"/>
      <c r="C93" s="79"/>
      <c r="D93" s="81"/>
    </row>
    <row r="94" spans="2:4" ht="12">
      <c r="B94" s="82"/>
      <c r="C94" s="79"/>
      <c r="D94" s="81"/>
    </row>
    <row r="95" spans="2:4" ht="12">
      <c r="B95" s="82"/>
      <c r="C95" s="79"/>
      <c r="D95" s="81"/>
    </row>
    <row r="96" spans="2:4" ht="12">
      <c r="B96" s="82"/>
      <c r="C96" s="79"/>
      <c r="D96" s="81"/>
    </row>
    <row r="97" spans="2:4" ht="12">
      <c r="B97" s="82"/>
      <c r="C97" s="79"/>
      <c r="D97" s="81"/>
    </row>
    <row r="98" spans="2:4" ht="12">
      <c r="B98" s="82"/>
      <c r="C98" s="79"/>
      <c r="D98" s="81"/>
    </row>
    <row r="99" spans="2:4" ht="12">
      <c r="B99" s="82"/>
      <c r="C99" s="79"/>
      <c r="D99" s="81"/>
    </row>
  </sheetData>
  <mergeCells count="24">
    <mergeCell ref="B3:B6"/>
    <mergeCell ref="B12:B18"/>
    <mergeCell ref="B19:B25"/>
    <mergeCell ref="B26:B32"/>
    <mergeCell ref="B33:B39"/>
    <mergeCell ref="C7:C37"/>
    <mergeCell ref="C3:C6"/>
    <mergeCell ref="G5:G6"/>
    <mergeCell ref="H5:H6"/>
    <mergeCell ref="F3:H4"/>
    <mergeCell ref="D3:E6"/>
    <mergeCell ref="G12:G18"/>
    <mergeCell ref="G19:G25"/>
    <mergeCell ref="G26:G32"/>
    <mergeCell ref="G33:G39"/>
    <mergeCell ref="I3:N3"/>
    <mergeCell ref="K4:L4"/>
    <mergeCell ref="K5:L5"/>
    <mergeCell ref="H7:H37"/>
    <mergeCell ref="F5:F6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topLeftCell="A85" zoomScale="85" zoomScaleNormal="85" workbookViewId="0">
      <pane xSplit="4" topLeftCell="E1" activePane="topRight" state="frozen"/>
      <selection pane="topRight" activeCell="H7" activeCellId="4" sqref="H99:H116 H76:H93 H53:H70 H30:H47 H7:H24"/>
      <selection activeCell="L76" sqref="L76:L121"/>
    </sheetView>
  </sheetViews>
  <sheetFormatPr defaultColWidth="8.85546875" defaultRowHeight="12.6"/>
  <cols>
    <col min="1" max="1" width="5.5703125" style="224" customWidth="1"/>
    <col min="2" max="2" width="12.42578125" style="224" customWidth="1"/>
    <col min="3" max="3" width="8.85546875" style="223" customWidth="1"/>
    <col min="4" max="4" width="26.42578125" style="223" customWidth="1"/>
    <col min="5" max="7" width="8.42578125" style="223" customWidth="1"/>
    <col min="8" max="8" width="11.140625" style="223" bestFit="1" customWidth="1"/>
    <col min="9" max="12" width="11.140625" style="223" customWidth="1"/>
    <col min="13" max="13" width="13.5703125" style="223" customWidth="1"/>
    <col min="14" max="14" width="9.85546875" style="223" customWidth="1"/>
    <col min="15" max="15" width="7.140625" style="223" customWidth="1"/>
    <col min="16" max="18" width="12.85546875" style="223" customWidth="1"/>
    <col min="19" max="19" width="5.42578125" style="223" customWidth="1"/>
    <col min="20" max="20" width="12.85546875" style="223" customWidth="1"/>
    <col min="21" max="23" width="12.85546875" style="224" customWidth="1"/>
    <col min="24" max="24" width="5.42578125" style="223" customWidth="1"/>
    <col min="25" max="28" width="12.85546875" style="224" customWidth="1"/>
    <col min="29" max="29" width="7.7109375" style="223" bestFit="1" customWidth="1"/>
    <col min="30" max="30" width="12.85546875" style="224" customWidth="1"/>
    <col min="31" max="33" width="12.5703125" style="224" customWidth="1"/>
    <col min="34" max="34" width="7.7109375" style="223" bestFit="1" customWidth="1"/>
    <col min="35" max="35" width="13" style="224" customWidth="1"/>
    <col min="36" max="38" width="12.5703125" style="224" customWidth="1"/>
    <col min="39" max="39" width="5.42578125" style="223" customWidth="1"/>
    <col min="40" max="40" width="13" style="224" customWidth="1"/>
    <col min="41" max="43" width="13.140625" style="224" customWidth="1"/>
    <col min="44" max="44" width="5.42578125" style="224" customWidth="1"/>
    <col min="45" max="48" width="13.140625" style="224" customWidth="1"/>
    <col min="49" max="49" width="5.42578125" style="224" customWidth="1"/>
    <col min="50" max="50" width="13.140625" style="224" customWidth="1"/>
    <col min="51" max="54" width="8.85546875" style="224" customWidth="1"/>
    <col min="55" max="16384" width="8.85546875" style="224"/>
  </cols>
  <sheetData>
    <row r="1" spans="1:50" ht="21">
      <c r="A1" s="220"/>
      <c r="B1" s="221" t="s">
        <v>81</v>
      </c>
      <c r="C1" s="222">
        <f>AVERAGE(L7,L30,L53,L76,L99,L122)</f>
        <v>98.714281351699995</v>
      </c>
    </row>
    <row r="2" spans="1:50" ht="15.75" customHeight="1">
      <c r="A2" s="225"/>
      <c r="B2" s="458" t="s">
        <v>82</v>
      </c>
      <c r="C2" s="459"/>
      <c r="D2" s="459"/>
      <c r="E2" s="459"/>
      <c r="F2" s="459"/>
      <c r="G2" s="459"/>
      <c r="H2" s="459"/>
      <c r="I2" s="226"/>
      <c r="J2" s="226"/>
      <c r="K2" s="226"/>
      <c r="L2" s="226"/>
      <c r="M2" s="227"/>
      <c r="N2" s="461" t="s">
        <v>83</v>
      </c>
      <c r="O2" s="461" t="s">
        <v>43</v>
      </c>
      <c r="P2" s="457"/>
      <c r="Q2" s="444"/>
      <c r="R2" s="444"/>
      <c r="S2" s="444"/>
      <c r="T2" s="444"/>
      <c r="U2" s="457"/>
      <c r="V2" s="444"/>
      <c r="W2" s="444"/>
      <c r="X2" s="444"/>
      <c r="Y2" s="444"/>
      <c r="Z2" s="457">
        <v>46023</v>
      </c>
      <c r="AA2" s="444"/>
      <c r="AB2" s="444"/>
      <c r="AC2" s="444"/>
      <c r="AD2" s="444"/>
      <c r="AE2" s="457">
        <v>46024</v>
      </c>
      <c r="AF2" s="444"/>
      <c r="AG2" s="444"/>
      <c r="AH2" s="444"/>
      <c r="AI2" s="444"/>
      <c r="AJ2" s="457">
        <v>46025</v>
      </c>
      <c r="AK2" s="444"/>
      <c r="AL2" s="444"/>
      <c r="AM2" s="444"/>
      <c r="AN2" s="444"/>
      <c r="AO2" s="457">
        <v>46026</v>
      </c>
      <c r="AP2" s="444"/>
      <c r="AQ2" s="444"/>
      <c r="AR2" s="444"/>
      <c r="AS2" s="444"/>
      <c r="AT2" s="457">
        <v>46027</v>
      </c>
      <c r="AU2" s="444"/>
      <c r="AV2" s="444"/>
      <c r="AW2" s="444"/>
      <c r="AX2" s="444"/>
    </row>
    <row r="3" spans="1:50" ht="15.6">
      <c r="A3" s="225"/>
      <c r="B3" s="460"/>
      <c r="C3" s="460"/>
      <c r="D3" s="460"/>
      <c r="E3" s="460"/>
      <c r="F3" s="460"/>
      <c r="G3" s="460"/>
      <c r="H3" s="460"/>
      <c r="I3" s="228"/>
      <c r="J3" s="228"/>
      <c r="K3" s="228"/>
      <c r="L3" s="228"/>
      <c r="M3" s="229"/>
      <c r="N3" s="462"/>
      <c r="O3" s="462"/>
      <c r="P3" s="457" t="s">
        <v>57</v>
      </c>
      <c r="Q3" s="444"/>
      <c r="R3" s="444"/>
      <c r="S3" s="444"/>
      <c r="T3" s="444"/>
      <c r="U3" s="457" t="s">
        <v>58</v>
      </c>
      <c r="V3" s="444"/>
      <c r="W3" s="444"/>
      <c r="X3" s="444"/>
      <c r="Y3" s="444"/>
      <c r="Z3" s="457" t="s">
        <v>54</v>
      </c>
      <c r="AA3" s="444"/>
      <c r="AB3" s="444"/>
      <c r="AC3" s="444"/>
      <c r="AD3" s="444"/>
      <c r="AE3" s="457" t="s">
        <v>55</v>
      </c>
      <c r="AF3" s="444"/>
      <c r="AG3" s="444"/>
      <c r="AH3" s="444"/>
      <c r="AI3" s="444"/>
      <c r="AJ3" s="457" t="s">
        <v>56</v>
      </c>
      <c r="AK3" s="444"/>
      <c r="AL3" s="444"/>
      <c r="AM3" s="444"/>
      <c r="AN3" s="444"/>
      <c r="AO3" s="457" t="s">
        <v>50</v>
      </c>
      <c r="AP3" s="444"/>
      <c r="AQ3" s="444"/>
      <c r="AR3" s="444"/>
      <c r="AS3" s="444"/>
      <c r="AT3" s="457" t="s">
        <v>53</v>
      </c>
      <c r="AU3" s="444"/>
      <c r="AV3" s="444"/>
      <c r="AW3" s="444"/>
      <c r="AX3" s="444"/>
    </row>
    <row r="4" spans="1:50">
      <c r="A4" s="225"/>
      <c r="B4" s="449" t="s">
        <v>39</v>
      </c>
      <c r="C4" s="453" t="s">
        <v>84</v>
      </c>
      <c r="D4" s="449"/>
      <c r="E4" s="449" t="s">
        <v>85</v>
      </c>
      <c r="F4" s="449"/>
      <c r="G4" s="449"/>
      <c r="H4" s="454" t="s">
        <v>86</v>
      </c>
      <c r="I4" s="449" t="s">
        <v>87</v>
      </c>
      <c r="J4" s="449"/>
      <c r="K4" s="449"/>
      <c r="L4" s="454" t="s">
        <v>86</v>
      </c>
      <c r="M4" s="461" t="s">
        <v>88</v>
      </c>
      <c r="N4" s="449"/>
      <c r="O4" s="449" t="s">
        <v>89</v>
      </c>
      <c r="P4" s="450" t="s">
        <v>90</v>
      </c>
      <c r="Q4" s="451"/>
      <c r="R4" s="451"/>
      <c r="S4" s="452"/>
      <c r="T4" s="449" t="s">
        <v>86</v>
      </c>
      <c r="U4" s="450" t="s">
        <v>90</v>
      </c>
      <c r="V4" s="451"/>
      <c r="W4" s="451"/>
      <c r="X4" s="452"/>
      <c r="Y4" s="449" t="s">
        <v>86</v>
      </c>
      <c r="Z4" s="450" t="s">
        <v>90</v>
      </c>
      <c r="AA4" s="451"/>
      <c r="AB4" s="451"/>
      <c r="AC4" s="452"/>
      <c r="AD4" s="449" t="s">
        <v>86</v>
      </c>
      <c r="AE4" s="450" t="s">
        <v>90</v>
      </c>
      <c r="AF4" s="451"/>
      <c r="AG4" s="451"/>
      <c r="AH4" s="452"/>
      <c r="AI4" s="449" t="s">
        <v>86</v>
      </c>
      <c r="AJ4" s="450" t="s">
        <v>90</v>
      </c>
      <c r="AK4" s="451"/>
      <c r="AL4" s="451"/>
      <c r="AM4" s="452"/>
      <c r="AN4" s="449" t="s">
        <v>86</v>
      </c>
      <c r="AO4" s="450" t="s">
        <v>90</v>
      </c>
      <c r="AP4" s="451"/>
      <c r="AQ4" s="451"/>
      <c r="AR4" s="452"/>
      <c r="AS4" s="449" t="s">
        <v>86</v>
      </c>
      <c r="AT4" s="450" t="s">
        <v>90</v>
      </c>
      <c r="AU4" s="451"/>
      <c r="AV4" s="451"/>
      <c r="AW4" s="452"/>
      <c r="AX4" s="449" t="s">
        <v>86</v>
      </c>
    </row>
    <row r="5" spans="1:50">
      <c r="A5" s="225"/>
      <c r="B5" s="449"/>
      <c r="C5" s="449"/>
      <c r="D5" s="449"/>
      <c r="E5" s="449" t="s">
        <v>91</v>
      </c>
      <c r="F5" s="449"/>
      <c r="G5" s="449"/>
      <c r="H5" s="455"/>
      <c r="I5" s="449" t="s">
        <v>91</v>
      </c>
      <c r="J5" s="449"/>
      <c r="K5" s="449"/>
      <c r="L5" s="455"/>
      <c r="M5" s="472"/>
      <c r="N5" s="449"/>
      <c r="O5" s="449"/>
      <c r="P5" s="450" t="s">
        <v>92</v>
      </c>
      <c r="Q5" s="451"/>
      <c r="R5" s="451"/>
      <c r="S5" s="452"/>
      <c r="T5" s="449"/>
      <c r="U5" s="450" t="s">
        <v>92</v>
      </c>
      <c r="V5" s="451"/>
      <c r="W5" s="451"/>
      <c r="X5" s="452"/>
      <c r="Y5" s="449"/>
      <c r="Z5" s="450" t="s">
        <v>92</v>
      </c>
      <c r="AA5" s="451"/>
      <c r="AB5" s="451"/>
      <c r="AC5" s="452"/>
      <c r="AD5" s="449"/>
      <c r="AE5" s="450" t="s">
        <v>92</v>
      </c>
      <c r="AF5" s="451"/>
      <c r="AG5" s="451"/>
      <c r="AH5" s="452"/>
      <c r="AI5" s="449"/>
      <c r="AJ5" s="450" t="s">
        <v>92</v>
      </c>
      <c r="AK5" s="451"/>
      <c r="AL5" s="451"/>
      <c r="AM5" s="452"/>
      <c r="AN5" s="449"/>
      <c r="AO5" s="450" t="s">
        <v>92</v>
      </c>
      <c r="AP5" s="451"/>
      <c r="AQ5" s="451"/>
      <c r="AR5" s="452"/>
      <c r="AS5" s="449"/>
      <c r="AT5" s="450" t="s">
        <v>92</v>
      </c>
      <c r="AU5" s="451"/>
      <c r="AV5" s="451"/>
      <c r="AW5" s="452"/>
      <c r="AX5" s="449"/>
    </row>
    <row r="6" spans="1:50">
      <c r="A6" s="230"/>
      <c r="B6" s="449"/>
      <c r="C6" s="449"/>
      <c r="D6" s="449"/>
      <c r="E6" s="231" t="s">
        <v>93</v>
      </c>
      <c r="F6" s="231" t="s">
        <v>94</v>
      </c>
      <c r="G6" s="231" t="s">
        <v>95</v>
      </c>
      <c r="H6" s="456"/>
      <c r="I6" s="231" t="s">
        <v>93</v>
      </c>
      <c r="J6" s="231" t="s">
        <v>94</v>
      </c>
      <c r="K6" s="231" t="s">
        <v>95</v>
      </c>
      <c r="L6" s="456"/>
      <c r="M6" s="462"/>
      <c r="N6" s="449"/>
      <c r="O6" s="449"/>
      <c r="P6" s="231" t="s">
        <v>93</v>
      </c>
      <c r="Q6" s="231" t="s">
        <v>94</v>
      </c>
      <c r="R6" s="231" t="s">
        <v>95</v>
      </c>
      <c r="S6" s="231" t="s">
        <v>88</v>
      </c>
      <c r="T6" s="449"/>
      <c r="U6" s="231" t="s">
        <v>93</v>
      </c>
      <c r="V6" s="231" t="s">
        <v>94</v>
      </c>
      <c r="W6" s="231" t="s">
        <v>95</v>
      </c>
      <c r="X6" s="231" t="s">
        <v>88</v>
      </c>
      <c r="Y6" s="449"/>
      <c r="Z6" s="231" t="s">
        <v>93</v>
      </c>
      <c r="AA6" s="231" t="s">
        <v>94</v>
      </c>
      <c r="AB6" s="231" t="s">
        <v>95</v>
      </c>
      <c r="AC6" s="231" t="s">
        <v>88</v>
      </c>
      <c r="AD6" s="449"/>
      <c r="AE6" s="231" t="s">
        <v>93</v>
      </c>
      <c r="AF6" s="231" t="s">
        <v>94</v>
      </c>
      <c r="AG6" s="231" t="s">
        <v>95</v>
      </c>
      <c r="AH6" s="231" t="s">
        <v>88</v>
      </c>
      <c r="AI6" s="449"/>
      <c r="AJ6" s="231" t="s">
        <v>93</v>
      </c>
      <c r="AK6" s="231" t="s">
        <v>94</v>
      </c>
      <c r="AL6" s="231" t="s">
        <v>95</v>
      </c>
      <c r="AM6" s="231" t="s">
        <v>88</v>
      </c>
      <c r="AN6" s="449"/>
      <c r="AO6" s="231" t="s">
        <v>93</v>
      </c>
      <c r="AP6" s="231" t="s">
        <v>94</v>
      </c>
      <c r="AQ6" s="231" t="s">
        <v>95</v>
      </c>
      <c r="AR6" s="231" t="s">
        <v>88</v>
      </c>
      <c r="AS6" s="449"/>
      <c r="AT6" s="231" t="s">
        <v>93</v>
      </c>
      <c r="AU6" s="231" t="s">
        <v>94</v>
      </c>
      <c r="AV6" s="231" t="s">
        <v>95</v>
      </c>
      <c r="AW6" s="231" t="s">
        <v>88</v>
      </c>
      <c r="AX6" s="449"/>
    </row>
    <row r="7" spans="1:50" ht="12.95">
      <c r="A7" s="225"/>
      <c r="B7" s="444" t="s">
        <v>96</v>
      </c>
      <c r="C7" s="232">
        <v>1</v>
      </c>
      <c r="D7" s="236" t="s">
        <v>97</v>
      </c>
      <c r="E7" s="233">
        <f>VLOOKUP(D7,'12產線配置圖 (2)'!$A$2:$C$25,2,0)</f>
        <v>12</v>
      </c>
      <c r="F7" s="233">
        <f>VLOOKUP(D7,'12產線配置圖 (2)'!$A$2:$C$25,3,0)</f>
        <v>2000</v>
      </c>
      <c r="G7" s="234">
        <f>F7/E7</f>
        <v>166.66666666666666</v>
      </c>
      <c r="H7" s="445">
        <f>AVERAGE(G7:G24)</f>
        <v>108.17675857665941</v>
      </c>
      <c r="I7" s="233">
        <f>AVERAGE(P7,U7,Z7,AE7,AJ7,AO7,AT7)</f>
        <v>12</v>
      </c>
      <c r="J7" s="233">
        <f>AVERAGE(Q7,V7,AA7,AF7,AK7,AP7,AU7)</f>
        <v>1764.4</v>
      </c>
      <c r="K7" s="233">
        <f>AVERAGE(AB7,AG7,AL7,AQ7,AV7)</f>
        <v>147.03333333333333</v>
      </c>
      <c r="L7" s="445">
        <f>IFERROR(AVERAGE(K7:K24),"-")</f>
        <v>94.972233082910819</v>
      </c>
      <c r="M7" s="235">
        <f>RANK(K7,$K$7:$K$22)</f>
        <v>1</v>
      </c>
      <c r="N7" s="449"/>
      <c r="O7" s="449"/>
      <c r="P7" s="233"/>
      <c r="Q7" s="233"/>
      <c r="R7" s="234" t="e">
        <f>Q7/P7</f>
        <v>#DIV/0!</v>
      </c>
      <c r="S7" s="232" t="e">
        <f>RANK(R7,R$7:R$22)</f>
        <v>#DIV/0!</v>
      </c>
      <c r="T7" s="448" t="e">
        <f>AVERAGE(R7:R24)</f>
        <v>#DIV/0!</v>
      </c>
      <c r="U7" s="233"/>
      <c r="V7" s="233"/>
      <c r="W7" s="234" t="e">
        <f>V7/U7</f>
        <v>#DIV/0!</v>
      </c>
      <c r="X7" s="232" t="e">
        <f>RANK(W7,W$7:W$22)</f>
        <v>#DIV/0!</v>
      </c>
      <c r="Y7" s="448" t="e">
        <f>AVERAGE(W7:W24)</f>
        <v>#DIV/0!</v>
      </c>
      <c r="Z7" s="232">
        <v>12</v>
      </c>
      <c r="AA7" s="233">
        <v>1577</v>
      </c>
      <c r="AB7" s="234">
        <f>AA7/Z7</f>
        <v>131.41666666666666</v>
      </c>
      <c r="AC7" s="232">
        <f>RANK(AB7,AB$7:AB$22)</f>
        <v>3</v>
      </c>
      <c r="AD7" s="448">
        <f>AVERAGE(AB7:AB24)</f>
        <v>95.058132313968699</v>
      </c>
      <c r="AE7" s="233">
        <v>12</v>
      </c>
      <c r="AF7" s="233">
        <v>1604</v>
      </c>
      <c r="AG7" s="234">
        <f>AF7/AE7</f>
        <v>133.66666666666666</v>
      </c>
      <c r="AH7" s="232">
        <f>RANK(AG7,AG$7:AG$22)</f>
        <v>3</v>
      </c>
      <c r="AI7" s="448">
        <f>AVERAGE(AG7:AG24)</f>
        <v>91.56458855176686</v>
      </c>
      <c r="AJ7" s="233">
        <v>12</v>
      </c>
      <c r="AK7" s="233">
        <v>1881</v>
      </c>
      <c r="AL7" s="234">
        <f>AK7/AJ7</f>
        <v>156.75</v>
      </c>
      <c r="AM7" s="232">
        <f>RANK(AL7,AL$7:AL$22)</f>
        <v>1</v>
      </c>
      <c r="AN7" s="448">
        <f>AVERAGE(AL7:AL24)</f>
        <v>95.613342524509818</v>
      </c>
      <c r="AO7" s="233">
        <v>12</v>
      </c>
      <c r="AP7" s="233">
        <v>1873</v>
      </c>
      <c r="AQ7" s="234">
        <f>AP7/AO7</f>
        <v>156.08333333333334</v>
      </c>
      <c r="AR7" s="232">
        <f>RANK(AQ7,AQ$7:AQ$22)</f>
        <v>1</v>
      </c>
      <c r="AS7" s="448">
        <f>AVERAGE(AQ7:AQ24)</f>
        <v>92.271357468425961</v>
      </c>
      <c r="AT7" s="233">
        <v>12</v>
      </c>
      <c r="AU7" s="234">
        <v>1887</v>
      </c>
      <c r="AV7" s="234">
        <f>AU7/AT7</f>
        <v>157.25</v>
      </c>
      <c r="AW7" s="232">
        <f>RANK(AV7,AV$7:AV$22)</f>
        <v>1</v>
      </c>
      <c r="AX7" s="448">
        <f>AVERAGE(AV7:AV24)</f>
        <v>100.35374455588271</v>
      </c>
    </row>
    <row r="8" spans="1:50" ht="15" customHeight="1">
      <c r="A8" s="225"/>
      <c r="B8" s="444"/>
      <c r="C8" s="232">
        <v>2</v>
      </c>
      <c r="D8" s="232" t="s">
        <v>98</v>
      </c>
      <c r="E8" s="233">
        <f>VLOOKUP(D8,'12產線配置圖 (2)'!$A$2:$C$25,2,0)</f>
        <v>14</v>
      </c>
      <c r="F8" s="233">
        <f>VLOOKUP(D8,'12產線配置圖 (2)'!$A$2:$C$25,3,0)</f>
        <v>2000</v>
      </c>
      <c r="G8" s="234">
        <f t="shared" ref="G8:G22" si="0">F8/E8</f>
        <v>142.85714285714286</v>
      </c>
      <c r="H8" s="446"/>
      <c r="I8" s="233">
        <f t="shared" ref="I8:J22" si="1">AVERAGE(P8,U8,Z8,AE8,AJ8,AO8,AT8)</f>
        <v>13</v>
      </c>
      <c r="J8" s="233">
        <f t="shared" si="1"/>
        <v>1766.2</v>
      </c>
      <c r="K8" s="233">
        <f t="shared" ref="K8:K22" si="2">AVERAGE(AB8,AG8,AL8,AQ8,AV8)</f>
        <v>135.86153846153846</v>
      </c>
      <c r="L8" s="446"/>
      <c r="M8" s="235">
        <f t="shared" ref="M8:M22" si="3">RANK(K8,$K$7:$K$22)</f>
        <v>3</v>
      </c>
      <c r="N8" s="449"/>
      <c r="O8" s="449"/>
      <c r="P8" s="233"/>
      <c r="Q8" s="233"/>
      <c r="R8" s="234" t="e">
        <f t="shared" ref="R8:R22" si="4">Q8/P8</f>
        <v>#DIV/0!</v>
      </c>
      <c r="S8" s="232" t="e">
        <f t="shared" ref="S8:S22" si="5">RANK(R8,R$7:R$22)</f>
        <v>#DIV/0!</v>
      </c>
      <c r="T8" s="448"/>
      <c r="U8" s="233"/>
      <c r="V8" s="233"/>
      <c r="W8" s="234" t="e">
        <f t="shared" ref="W8:W16" si="6">V8/U8</f>
        <v>#DIV/0!</v>
      </c>
      <c r="X8" s="232" t="e">
        <f t="shared" ref="X8:X22" si="7">RANK(W8,W$7:W$22)</f>
        <v>#DIV/0!</v>
      </c>
      <c r="Y8" s="448"/>
      <c r="Z8" s="232">
        <v>13</v>
      </c>
      <c r="AA8" s="233">
        <v>1592</v>
      </c>
      <c r="AB8" s="234">
        <f t="shared" ref="AB8:AB16" si="8">AA8/Z8</f>
        <v>122.46153846153847</v>
      </c>
      <c r="AC8" s="232">
        <f t="shared" ref="AC8:AC22" si="9">RANK(AB8,AB$7:AB$22)</f>
        <v>4</v>
      </c>
      <c r="AD8" s="448"/>
      <c r="AE8" s="233">
        <v>13</v>
      </c>
      <c r="AF8" s="233">
        <v>1786</v>
      </c>
      <c r="AG8" s="234">
        <f t="shared" ref="AG8:AG16" si="10">AF8/AE8</f>
        <v>137.38461538461539</v>
      </c>
      <c r="AH8" s="232">
        <f t="shared" ref="AH8:AH22" si="11">RANK(AG8,AG$7:AG$22)</f>
        <v>2</v>
      </c>
      <c r="AI8" s="448"/>
      <c r="AJ8" s="233">
        <v>13</v>
      </c>
      <c r="AK8" s="233">
        <v>1813</v>
      </c>
      <c r="AL8" s="234">
        <f t="shared" ref="AL8:AL22" si="12">AK8/AJ8</f>
        <v>139.46153846153845</v>
      </c>
      <c r="AM8" s="232">
        <f t="shared" ref="AM8:AM22" si="13">RANK(AL8,AL$7:AL$22)</f>
        <v>4</v>
      </c>
      <c r="AN8" s="448"/>
      <c r="AO8" s="233">
        <v>13</v>
      </c>
      <c r="AP8" s="233">
        <v>1852</v>
      </c>
      <c r="AQ8" s="234">
        <f t="shared" ref="AQ8:AQ22" si="14">AP8/AO8</f>
        <v>142.46153846153845</v>
      </c>
      <c r="AR8" s="232">
        <f t="shared" ref="AR8:AR22" si="15">RANK(AQ8,AQ$7:AQ$22)</f>
        <v>3</v>
      </c>
      <c r="AS8" s="448"/>
      <c r="AT8" s="233">
        <v>13</v>
      </c>
      <c r="AU8" s="234">
        <v>1788</v>
      </c>
      <c r="AV8" s="234">
        <f t="shared" ref="AV8:AV20" si="16">AU8/AT8</f>
        <v>137.53846153846155</v>
      </c>
      <c r="AW8" s="232">
        <f t="shared" ref="AW8:AW22" si="17">RANK(AV8,AV$7:AV$22)</f>
        <v>4</v>
      </c>
      <c r="AX8" s="448"/>
    </row>
    <row r="9" spans="1:50">
      <c r="A9" s="225"/>
      <c r="B9" s="444"/>
      <c r="C9" s="232">
        <v>3</v>
      </c>
      <c r="D9" s="232" t="s">
        <v>99</v>
      </c>
      <c r="E9" s="233">
        <f>VLOOKUP(D9,'12產線配置圖 (2)'!$A$2:$C$25,2,0)</f>
        <v>13</v>
      </c>
      <c r="F9" s="233">
        <f>VLOOKUP(D9,'12產線配置圖 (2)'!$A$2:$C$25,3,0)</f>
        <v>2000</v>
      </c>
      <c r="G9" s="234">
        <f t="shared" si="0"/>
        <v>153.84615384615384</v>
      </c>
      <c r="H9" s="446"/>
      <c r="I9" s="233">
        <f t="shared" si="1"/>
        <v>13</v>
      </c>
      <c r="J9" s="233">
        <f t="shared" si="1"/>
        <v>1841</v>
      </c>
      <c r="K9" s="233">
        <f t="shared" si="2"/>
        <v>141.61538461538461</v>
      </c>
      <c r="L9" s="446"/>
      <c r="M9" s="235">
        <f t="shared" si="3"/>
        <v>2</v>
      </c>
      <c r="N9" s="449"/>
      <c r="O9" s="449"/>
      <c r="P9" s="233"/>
      <c r="Q9" s="233"/>
      <c r="R9" s="234" t="e">
        <f t="shared" si="4"/>
        <v>#DIV/0!</v>
      </c>
      <c r="S9" s="232" t="e">
        <f t="shared" si="5"/>
        <v>#DIV/0!</v>
      </c>
      <c r="T9" s="448"/>
      <c r="U9" s="233"/>
      <c r="V9" s="233"/>
      <c r="W9" s="234" t="e">
        <f t="shared" si="6"/>
        <v>#DIV/0!</v>
      </c>
      <c r="X9" s="232" t="e">
        <f t="shared" si="7"/>
        <v>#DIV/0!</v>
      </c>
      <c r="Y9" s="448"/>
      <c r="Z9" s="232">
        <v>13</v>
      </c>
      <c r="AA9" s="233">
        <v>1991</v>
      </c>
      <c r="AB9" s="234">
        <f t="shared" si="8"/>
        <v>153.15384615384616</v>
      </c>
      <c r="AC9" s="232">
        <f t="shared" si="9"/>
        <v>1</v>
      </c>
      <c r="AD9" s="448"/>
      <c r="AE9" s="233">
        <v>13</v>
      </c>
      <c r="AF9" s="233">
        <v>1485</v>
      </c>
      <c r="AG9" s="234">
        <f t="shared" si="10"/>
        <v>114.23076923076923</v>
      </c>
      <c r="AH9" s="232">
        <f t="shared" si="11"/>
        <v>4</v>
      </c>
      <c r="AI9" s="448"/>
      <c r="AJ9" s="233">
        <v>13</v>
      </c>
      <c r="AK9" s="233">
        <v>1983</v>
      </c>
      <c r="AL9" s="234">
        <f t="shared" si="12"/>
        <v>152.53846153846155</v>
      </c>
      <c r="AM9" s="232">
        <f t="shared" si="13"/>
        <v>3</v>
      </c>
      <c r="AN9" s="448"/>
      <c r="AO9" s="233">
        <v>13</v>
      </c>
      <c r="AP9" s="233">
        <v>1860</v>
      </c>
      <c r="AQ9" s="234">
        <f t="shared" si="14"/>
        <v>143.07692307692307</v>
      </c>
      <c r="AR9" s="232">
        <f t="shared" si="15"/>
        <v>2</v>
      </c>
      <c r="AS9" s="448"/>
      <c r="AT9" s="233">
        <v>13</v>
      </c>
      <c r="AU9" s="234">
        <v>1886</v>
      </c>
      <c r="AV9" s="234">
        <f t="shared" si="16"/>
        <v>145.07692307692307</v>
      </c>
      <c r="AW9" s="232">
        <f t="shared" si="17"/>
        <v>3</v>
      </c>
      <c r="AX9" s="448"/>
    </row>
    <row r="10" spans="1:50">
      <c r="A10" s="225"/>
      <c r="B10" s="444"/>
      <c r="C10" s="232">
        <v>4</v>
      </c>
      <c r="D10" s="232" t="s">
        <v>100</v>
      </c>
      <c r="E10" s="233">
        <f>VLOOKUP(D10,'12產線配置圖 (2)'!$A$2:$C$25,2,0)</f>
        <v>18</v>
      </c>
      <c r="F10" s="233">
        <f>VLOOKUP(D10,'12產線配置圖 (2)'!$A$2:$C$25,3,0)</f>
        <v>1600</v>
      </c>
      <c r="G10" s="234">
        <f t="shared" si="0"/>
        <v>88.888888888888886</v>
      </c>
      <c r="H10" s="446"/>
      <c r="I10" s="233">
        <f t="shared" si="1"/>
        <v>17.2</v>
      </c>
      <c r="J10" s="233">
        <f t="shared" si="1"/>
        <v>1449.4</v>
      </c>
      <c r="K10" s="233">
        <f t="shared" si="2"/>
        <v>84.18766339869282</v>
      </c>
      <c r="L10" s="446"/>
      <c r="M10" s="235">
        <f t="shared" si="3"/>
        <v>9</v>
      </c>
      <c r="N10" s="449"/>
      <c r="O10" s="449"/>
      <c r="P10" s="233"/>
      <c r="Q10" s="233"/>
      <c r="R10" s="234" t="e">
        <f t="shared" si="4"/>
        <v>#DIV/0!</v>
      </c>
      <c r="S10" s="232" t="e">
        <f t="shared" si="5"/>
        <v>#DIV/0!</v>
      </c>
      <c r="T10" s="448"/>
      <c r="U10" s="233"/>
      <c r="V10" s="233"/>
      <c r="W10" s="234" t="e">
        <f t="shared" si="6"/>
        <v>#DIV/0!</v>
      </c>
      <c r="X10" s="232" t="e">
        <f t="shared" si="7"/>
        <v>#DIV/0!</v>
      </c>
      <c r="Y10" s="448"/>
      <c r="Z10" s="232">
        <v>17</v>
      </c>
      <c r="AA10" s="233">
        <v>1403</v>
      </c>
      <c r="AB10" s="234">
        <f t="shared" si="8"/>
        <v>82.529411764705884</v>
      </c>
      <c r="AC10" s="232">
        <f t="shared" si="9"/>
        <v>9</v>
      </c>
      <c r="AD10" s="448"/>
      <c r="AE10" s="233">
        <v>16</v>
      </c>
      <c r="AF10" s="233">
        <v>1329</v>
      </c>
      <c r="AG10" s="234">
        <f t="shared" si="10"/>
        <v>83.0625</v>
      </c>
      <c r="AH10" s="232">
        <f t="shared" si="11"/>
        <v>9</v>
      </c>
      <c r="AI10" s="448"/>
      <c r="AJ10" s="233">
        <v>17</v>
      </c>
      <c r="AK10" s="233">
        <v>1381</v>
      </c>
      <c r="AL10" s="234">
        <f t="shared" si="12"/>
        <v>81.235294117647058</v>
      </c>
      <c r="AM10" s="232">
        <f t="shared" si="13"/>
        <v>8</v>
      </c>
      <c r="AN10" s="448"/>
      <c r="AO10" s="233">
        <v>18</v>
      </c>
      <c r="AP10" s="233">
        <v>1556</v>
      </c>
      <c r="AQ10" s="234">
        <f t="shared" si="14"/>
        <v>86.444444444444443</v>
      </c>
      <c r="AR10" s="232">
        <f t="shared" si="15"/>
        <v>8</v>
      </c>
      <c r="AS10" s="448"/>
      <c r="AT10" s="233">
        <v>18</v>
      </c>
      <c r="AU10" s="234">
        <v>1578</v>
      </c>
      <c r="AV10" s="234">
        <f t="shared" si="16"/>
        <v>87.666666666666671</v>
      </c>
      <c r="AW10" s="232">
        <f t="shared" si="17"/>
        <v>8</v>
      </c>
      <c r="AX10" s="448"/>
    </row>
    <row r="11" spans="1:50">
      <c r="A11" s="225"/>
      <c r="B11" s="444"/>
      <c r="C11" s="232">
        <v>5</v>
      </c>
      <c r="D11" s="232" t="s">
        <v>101</v>
      </c>
      <c r="E11" s="233">
        <f>VLOOKUP(D11,'12產線配置圖 (2)'!$A$2:$C$25,2,0)</f>
        <v>13</v>
      </c>
      <c r="F11" s="233">
        <f>VLOOKUP(D11,'12產線配置圖 (2)'!$A$2:$C$25,3,0)</f>
        <v>2105</v>
      </c>
      <c r="G11" s="234">
        <f t="shared" si="0"/>
        <v>161.92307692307693</v>
      </c>
      <c r="H11" s="446"/>
      <c r="I11" s="233">
        <f t="shared" si="1"/>
        <v>13.6</v>
      </c>
      <c r="J11" s="233">
        <f t="shared" si="1"/>
        <v>1782.6</v>
      </c>
      <c r="K11" s="233">
        <f t="shared" si="2"/>
        <v>130.40549450549449</v>
      </c>
      <c r="L11" s="446"/>
      <c r="M11" s="235">
        <f t="shared" si="3"/>
        <v>4</v>
      </c>
      <c r="N11" s="449"/>
      <c r="O11" s="449"/>
      <c r="P11" s="233"/>
      <c r="Q11" s="233"/>
      <c r="R11" s="234" t="e">
        <f t="shared" si="4"/>
        <v>#DIV/0!</v>
      </c>
      <c r="S11" s="232" t="e">
        <f t="shared" si="5"/>
        <v>#DIV/0!</v>
      </c>
      <c r="T11" s="448"/>
      <c r="U11" s="233"/>
      <c r="V11" s="233"/>
      <c r="W11" s="234" t="e">
        <f t="shared" si="6"/>
        <v>#DIV/0!</v>
      </c>
      <c r="X11" s="232" t="e">
        <f t="shared" si="7"/>
        <v>#DIV/0!</v>
      </c>
      <c r="Y11" s="448"/>
      <c r="Z11" s="232">
        <v>14</v>
      </c>
      <c r="AA11" s="233">
        <v>1937</v>
      </c>
      <c r="AB11" s="234">
        <f t="shared" si="8"/>
        <v>138.35714285714286</v>
      </c>
      <c r="AC11" s="232">
        <f t="shared" si="9"/>
        <v>2</v>
      </c>
      <c r="AD11" s="448"/>
      <c r="AE11" s="233">
        <v>14</v>
      </c>
      <c r="AF11" s="233">
        <v>2008</v>
      </c>
      <c r="AG11" s="234">
        <f t="shared" si="10"/>
        <v>143.42857142857142</v>
      </c>
      <c r="AH11" s="232">
        <f t="shared" si="11"/>
        <v>1</v>
      </c>
      <c r="AI11" s="448"/>
      <c r="AJ11" s="233">
        <v>14</v>
      </c>
      <c r="AK11" s="233">
        <v>2168</v>
      </c>
      <c r="AL11" s="234">
        <f t="shared" si="12"/>
        <v>154.85714285714286</v>
      </c>
      <c r="AM11" s="232">
        <f t="shared" si="13"/>
        <v>2</v>
      </c>
      <c r="AN11" s="448"/>
      <c r="AO11" s="233">
        <v>13</v>
      </c>
      <c r="AP11" s="233">
        <v>838</v>
      </c>
      <c r="AQ11" s="234">
        <f t="shared" si="14"/>
        <v>64.461538461538467</v>
      </c>
      <c r="AR11" s="232">
        <f t="shared" si="15"/>
        <v>15</v>
      </c>
      <c r="AS11" s="448"/>
      <c r="AT11" s="233">
        <v>13</v>
      </c>
      <c r="AU11" s="234">
        <v>1962</v>
      </c>
      <c r="AV11" s="234">
        <f t="shared" si="16"/>
        <v>150.92307692307693</v>
      </c>
      <c r="AW11" s="232">
        <f t="shared" si="17"/>
        <v>2</v>
      </c>
      <c r="AX11" s="448"/>
    </row>
    <row r="12" spans="1:50">
      <c r="A12" s="225"/>
      <c r="B12" s="444"/>
      <c r="C12" s="232">
        <v>6</v>
      </c>
      <c r="D12" s="232" t="s">
        <v>102</v>
      </c>
      <c r="E12" s="233">
        <f>VLOOKUP(D12,'12產線配置圖 (2)'!$A$2:$C$25,2,0)</f>
        <v>17</v>
      </c>
      <c r="F12" s="233">
        <f>VLOOKUP(D12,'12產線配置圖 (2)'!$A$2:$C$25,3,0)</f>
        <v>2000</v>
      </c>
      <c r="G12" s="234">
        <f t="shared" si="0"/>
        <v>117.64705882352941</v>
      </c>
      <c r="H12" s="446"/>
      <c r="I12" s="233">
        <f t="shared" si="1"/>
        <v>16.600000000000001</v>
      </c>
      <c r="J12" s="233">
        <f t="shared" si="1"/>
        <v>1661.8</v>
      </c>
      <c r="K12" s="233">
        <f t="shared" si="2"/>
        <v>99.825098039215675</v>
      </c>
      <c r="L12" s="446"/>
      <c r="M12" s="235">
        <f t="shared" si="3"/>
        <v>5</v>
      </c>
      <c r="N12" s="449"/>
      <c r="O12" s="449"/>
      <c r="P12" s="233"/>
      <c r="Q12" s="233"/>
      <c r="R12" s="234" t="e">
        <f t="shared" si="4"/>
        <v>#DIV/0!</v>
      </c>
      <c r="S12" s="232" t="e">
        <f t="shared" si="5"/>
        <v>#DIV/0!</v>
      </c>
      <c r="T12" s="448"/>
      <c r="U12" s="233"/>
      <c r="V12" s="233"/>
      <c r="W12" s="234" t="e">
        <f t="shared" si="6"/>
        <v>#DIV/0!</v>
      </c>
      <c r="X12" s="232" t="e">
        <f t="shared" si="7"/>
        <v>#DIV/0!</v>
      </c>
      <c r="Y12" s="448"/>
      <c r="Z12" s="232">
        <v>17</v>
      </c>
      <c r="AA12" s="233">
        <v>1868</v>
      </c>
      <c r="AB12" s="234">
        <f t="shared" si="8"/>
        <v>109.88235294117646</v>
      </c>
      <c r="AC12" s="232">
        <f t="shared" si="9"/>
        <v>5</v>
      </c>
      <c r="AD12" s="448"/>
      <c r="AE12" s="233">
        <v>15</v>
      </c>
      <c r="AF12" s="233">
        <v>1321</v>
      </c>
      <c r="AG12" s="234">
        <f t="shared" si="10"/>
        <v>88.066666666666663</v>
      </c>
      <c r="AH12" s="232">
        <f t="shared" si="11"/>
        <v>5</v>
      </c>
      <c r="AI12" s="448"/>
      <c r="AJ12" s="233">
        <v>17</v>
      </c>
      <c r="AK12" s="233">
        <v>1715</v>
      </c>
      <c r="AL12" s="234">
        <f t="shared" si="12"/>
        <v>100.88235294117646</v>
      </c>
      <c r="AM12" s="232">
        <f t="shared" si="13"/>
        <v>5</v>
      </c>
      <c r="AN12" s="448"/>
      <c r="AO12" s="233">
        <v>17</v>
      </c>
      <c r="AP12" s="233">
        <v>1540</v>
      </c>
      <c r="AQ12" s="234">
        <f t="shared" si="14"/>
        <v>90.588235294117652</v>
      </c>
      <c r="AR12" s="232">
        <f t="shared" si="15"/>
        <v>6</v>
      </c>
      <c r="AS12" s="448"/>
      <c r="AT12" s="233">
        <v>17</v>
      </c>
      <c r="AU12" s="234">
        <v>1865</v>
      </c>
      <c r="AV12" s="234">
        <f t="shared" si="16"/>
        <v>109.70588235294117</v>
      </c>
      <c r="AW12" s="232">
        <f t="shared" si="17"/>
        <v>5</v>
      </c>
      <c r="AX12" s="448"/>
    </row>
    <row r="13" spans="1:50">
      <c r="A13" s="225"/>
      <c r="B13" s="444"/>
      <c r="C13" s="232">
        <v>7</v>
      </c>
      <c r="D13" s="232" t="s">
        <v>103</v>
      </c>
      <c r="E13" s="233">
        <f>VLOOKUP(D13,'12產線配置圖 (2)'!$A$2:$C$25,2,0)</f>
        <v>16</v>
      </c>
      <c r="F13" s="233">
        <f>VLOOKUP(D13,'12產線配置圖 (2)'!$A$2:$C$25,3,0)</f>
        <v>1385</v>
      </c>
      <c r="G13" s="234">
        <f t="shared" si="0"/>
        <v>86.5625</v>
      </c>
      <c r="H13" s="446"/>
      <c r="I13" s="233">
        <f>AVERAGE(P13,U12,Z13,AE13,AJ13,AO13,AT13)</f>
        <v>14.4</v>
      </c>
      <c r="J13" s="233">
        <f t="shared" si="1"/>
        <v>1144.2</v>
      </c>
      <c r="K13" s="233">
        <f t="shared" si="2"/>
        <v>79.510476190476197</v>
      </c>
      <c r="L13" s="446"/>
      <c r="M13" s="235">
        <f t="shared" si="3"/>
        <v>10</v>
      </c>
      <c r="N13" s="449"/>
      <c r="O13" s="449"/>
      <c r="P13" s="233"/>
      <c r="Q13" s="233"/>
      <c r="R13" s="234" t="e">
        <f t="shared" si="4"/>
        <v>#DIV/0!</v>
      </c>
      <c r="S13" s="232" t="e">
        <f t="shared" si="5"/>
        <v>#DIV/0!</v>
      </c>
      <c r="T13" s="448"/>
      <c r="U13" s="233"/>
      <c r="V13" s="233"/>
      <c r="W13" s="234" t="e">
        <f>V13/U12</f>
        <v>#DIV/0!</v>
      </c>
      <c r="X13" s="232" t="e">
        <f t="shared" si="7"/>
        <v>#DIV/0!</v>
      </c>
      <c r="Y13" s="448"/>
      <c r="Z13" s="232">
        <v>14</v>
      </c>
      <c r="AA13" s="233">
        <v>1150</v>
      </c>
      <c r="AB13" s="234">
        <f t="shared" si="8"/>
        <v>82.142857142857139</v>
      </c>
      <c r="AC13" s="232">
        <f t="shared" si="9"/>
        <v>10</v>
      </c>
      <c r="AD13" s="448"/>
      <c r="AE13" s="233">
        <v>15</v>
      </c>
      <c r="AF13" s="233">
        <v>1122</v>
      </c>
      <c r="AG13" s="234">
        <f t="shared" si="10"/>
        <v>74.8</v>
      </c>
      <c r="AH13" s="232">
        <f t="shared" si="11"/>
        <v>13</v>
      </c>
      <c r="AI13" s="448"/>
      <c r="AJ13" s="233">
        <v>14</v>
      </c>
      <c r="AK13" s="233">
        <v>1084</v>
      </c>
      <c r="AL13" s="234">
        <f t="shared" si="12"/>
        <v>77.428571428571431</v>
      </c>
      <c r="AM13" s="232">
        <f t="shared" si="13"/>
        <v>10</v>
      </c>
      <c r="AN13" s="448"/>
      <c r="AO13" s="233">
        <v>14</v>
      </c>
      <c r="AP13" s="233">
        <v>1158</v>
      </c>
      <c r="AQ13" s="234">
        <f t="shared" si="14"/>
        <v>82.714285714285708</v>
      </c>
      <c r="AR13" s="232">
        <f t="shared" si="15"/>
        <v>9</v>
      </c>
      <c r="AS13" s="448"/>
      <c r="AT13" s="233">
        <v>15</v>
      </c>
      <c r="AU13" s="234">
        <v>1207</v>
      </c>
      <c r="AV13" s="234">
        <f t="shared" si="16"/>
        <v>80.466666666666669</v>
      </c>
      <c r="AW13" s="232">
        <f t="shared" si="17"/>
        <v>12</v>
      </c>
      <c r="AX13" s="448"/>
    </row>
    <row r="14" spans="1:50">
      <c r="A14" s="225"/>
      <c r="B14" s="444"/>
      <c r="C14" s="232">
        <v>8</v>
      </c>
      <c r="D14" s="232" t="s">
        <v>104</v>
      </c>
      <c r="E14" s="233">
        <f>VLOOKUP(D14,'12產線配置圖 (2)'!$A$2:$C$25,2,0)</f>
        <v>17</v>
      </c>
      <c r="F14" s="233">
        <f>VLOOKUP(D14,'12產線配置圖 (2)'!$A$2:$C$25,3,0)</f>
        <v>1385</v>
      </c>
      <c r="G14" s="234">
        <f t="shared" si="0"/>
        <v>81.470588235294116</v>
      </c>
      <c r="H14" s="446"/>
      <c r="I14" s="233">
        <f t="shared" ref="I14:I20" si="18">AVERAGE(P14,U14,Z14,AE14,AJ14,AO14,AT14)</f>
        <v>16.399999999999999</v>
      </c>
      <c r="J14" s="233">
        <f t="shared" si="1"/>
        <v>1180</v>
      </c>
      <c r="K14" s="233">
        <f t="shared" si="2"/>
        <v>71.844444444444449</v>
      </c>
      <c r="L14" s="446"/>
      <c r="M14" s="235">
        <f t="shared" si="3"/>
        <v>14</v>
      </c>
      <c r="N14" s="449"/>
      <c r="O14" s="449"/>
      <c r="P14" s="233"/>
      <c r="Q14" s="233"/>
      <c r="R14" s="234" t="e">
        <f t="shared" si="4"/>
        <v>#DIV/0!</v>
      </c>
      <c r="S14" s="232" t="e">
        <f t="shared" si="5"/>
        <v>#DIV/0!</v>
      </c>
      <c r="T14" s="448"/>
      <c r="U14" s="233"/>
      <c r="V14" s="233"/>
      <c r="W14" s="234" t="e">
        <f t="shared" si="6"/>
        <v>#DIV/0!</v>
      </c>
      <c r="X14" s="232" t="e">
        <f t="shared" si="7"/>
        <v>#DIV/0!</v>
      </c>
      <c r="Y14" s="448"/>
      <c r="Z14" s="232">
        <v>18</v>
      </c>
      <c r="AA14" s="233">
        <v>1360</v>
      </c>
      <c r="AB14" s="234">
        <f t="shared" si="8"/>
        <v>75.555555555555557</v>
      </c>
      <c r="AC14" s="232">
        <f t="shared" si="9"/>
        <v>13</v>
      </c>
      <c r="AD14" s="448"/>
      <c r="AE14" s="233">
        <v>15</v>
      </c>
      <c r="AF14" s="233">
        <v>973</v>
      </c>
      <c r="AG14" s="234">
        <f t="shared" si="10"/>
        <v>64.86666666666666</v>
      </c>
      <c r="AH14" s="232">
        <f t="shared" si="11"/>
        <v>15</v>
      </c>
      <c r="AI14" s="448"/>
      <c r="AJ14" s="233">
        <v>15</v>
      </c>
      <c r="AK14" s="233">
        <v>1127</v>
      </c>
      <c r="AL14" s="234">
        <f t="shared" si="12"/>
        <v>75.13333333333334</v>
      </c>
      <c r="AM14" s="232">
        <f t="shared" si="13"/>
        <v>11</v>
      </c>
      <c r="AN14" s="448"/>
      <c r="AO14" s="233">
        <v>18</v>
      </c>
      <c r="AP14" s="233">
        <v>1272</v>
      </c>
      <c r="AQ14" s="234">
        <f t="shared" si="14"/>
        <v>70.666666666666671</v>
      </c>
      <c r="AR14" s="232">
        <f t="shared" si="15"/>
        <v>12</v>
      </c>
      <c r="AS14" s="448"/>
      <c r="AT14" s="233">
        <v>16</v>
      </c>
      <c r="AU14" s="234">
        <v>1168</v>
      </c>
      <c r="AV14" s="234">
        <f t="shared" si="16"/>
        <v>73</v>
      </c>
      <c r="AW14" s="232">
        <f t="shared" si="17"/>
        <v>15</v>
      </c>
      <c r="AX14" s="448"/>
    </row>
    <row r="15" spans="1:50">
      <c r="A15" s="225"/>
      <c r="B15" s="444"/>
      <c r="C15" s="232">
        <v>9</v>
      </c>
      <c r="D15" s="232" t="s">
        <v>105</v>
      </c>
      <c r="E15" s="233">
        <f>VLOOKUP(D15,'12產線配置圖 (2)'!$A$2:$C$25,2,0)</f>
        <v>17</v>
      </c>
      <c r="F15" s="233">
        <f>VLOOKUP(D15,'12產線配置圖 (2)'!$A$2:$C$25,3,0)</f>
        <v>1565</v>
      </c>
      <c r="G15" s="234">
        <f t="shared" si="0"/>
        <v>92.058823529411768</v>
      </c>
      <c r="H15" s="446"/>
      <c r="I15" s="233">
        <f t="shared" si="18"/>
        <v>16.600000000000001</v>
      </c>
      <c r="J15" s="233">
        <f t="shared" si="1"/>
        <v>1441.8</v>
      </c>
      <c r="K15" s="233">
        <f t="shared" si="2"/>
        <v>86.788235294117641</v>
      </c>
      <c r="L15" s="446"/>
      <c r="M15" s="235">
        <f t="shared" si="3"/>
        <v>7</v>
      </c>
      <c r="N15" s="449"/>
      <c r="O15" s="449"/>
      <c r="P15" s="233"/>
      <c r="Q15" s="233"/>
      <c r="R15" s="234" t="e">
        <f t="shared" si="4"/>
        <v>#DIV/0!</v>
      </c>
      <c r="S15" s="232" t="e">
        <f t="shared" si="5"/>
        <v>#DIV/0!</v>
      </c>
      <c r="T15" s="448"/>
      <c r="U15" s="233"/>
      <c r="V15" s="233"/>
      <c r="W15" s="234" t="e">
        <f t="shared" si="6"/>
        <v>#DIV/0!</v>
      </c>
      <c r="X15" s="232" t="e">
        <f t="shared" si="7"/>
        <v>#DIV/0!</v>
      </c>
      <c r="Y15" s="448"/>
      <c r="Z15" s="232">
        <v>17</v>
      </c>
      <c r="AA15" s="233">
        <v>1421</v>
      </c>
      <c r="AB15" s="234">
        <f t="shared" si="8"/>
        <v>83.588235294117652</v>
      </c>
      <c r="AC15" s="232">
        <f t="shared" si="9"/>
        <v>8</v>
      </c>
      <c r="AD15" s="448"/>
      <c r="AE15" s="233">
        <v>16</v>
      </c>
      <c r="AF15" s="233">
        <v>1386</v>
      </c>
      <c r="AG15" s="234">
        <f t="shared" si="10"/>
        <v>86.625</v>
      </c>
      <c r="AH15" s="232">
        <f t="shared" si="11"/>
        <v>7</v>
      </c>
      <c r="AI15" s="448"/>
      <c r="AJ15" s="233">
        <v>16</v>
      </c>
      <c r="AK15" s="233">
        <v>1302</v>
      </c>
      <c r="AL15" s="234">
        <f t="shared" si="12"/>
        <v>81.375</v>
      </c>
      <c r="AM15" s="232">
        <f t="shared" si="13"/>
        <v>7</v>
      </c>
      <c r="AN15" s="448"/>
      <c r="AO15" s="233">
        <v>17</v>
      </c>
      <c r="AP15" s="233">
        <v>1536</v>
      </c>
      <c r="AQ15" s="234">
        <f t="shared" si="14"/>
        <v>90.352941176470594</v>
      </c>
      <c r="AR15" s="232">
        <f t="shared" si="15"/>
        <v>7</v>
      </c>
      <c r="AS15" s="448"/>
      <c r="AT15" s="233">
        <v>17</v>
      </c>
      <c r="AU15" s="234">
        <v>1564</v>
      </c>
      <c r="AV15" s="234">
        <f t="shared" si="16"/>
        <v>92</v>
      </c>
      <c r="AW15" s="232">
        <f t="shared" si="17"/>
        <v>7</v>
      </c>
      <c r="AX15" s="448"/>
    </row>
    <row r="16" spans="1:50">
      <c r="A16" s="225"/>
      <c r="B16" s="444"/>
      <c r="C16" s="232">
        <v>10</v>
      </c>
      <c r="D16" s="232" t="s">
        <v>106</v>
      </c>
      <c r="E16" s="233">
        <f>VLOOKUP(D16,'12產線配置圖 (2)'!$A$2:$C$25,2,0)</f>
        <v>18</v>
      </c>
      <c r="F16" s="233">
        <f>VLOOKUP(D16,'12產線配置圖 (2)'!$A$2:$C$25,3,0)</f>
        <v>1565</v>
      </c>
      <c r="G16" s="234">
        <f t="shared" si="0"/>
        <v>86.944444444444443</v>
      </c>
      <c r="H16" s="446"/>
      <c r="I16" s="233">
        <f t="shared" si="18"/>
        <v>17.600000000000001</v>
      </c>
      <c r="J16" s="233">
        <f t="shared" si="1"/>
        <v>1337.8</v>
      </c>
      <c r="K16" s="233">
        <f t="shared" si="2"/>
        <v>75.815363777089786</v>
      </c>
      <c r="L16" s="446"/>
      <c r="M16" s="235">
        <f t="shared" si="3"/>
        <v>12</v>
      </c>
      <c r="N16" s="449"/>
      <c r="O16" s="449"/>
      <c r="P16" s="233"/>
      <c r="Q16" s="233"/>
      <c r="R16" s="234" t="e">
        <f t="shared" si="4"/>
        <v>#DIV/0!</v>
      </c>
      <c r="S16" s="232" t="e">
        <f t="shared" si="5"/>
        <v>#DIV/0!</v>
      </c>
      <c r="T16" s="448"/>
      <c r="U16" s="233"/>
      <c r="V16" s="233"/>
      <c r="W16" s="234" t="e">
        <f t="shared" si="6"/>
        <v>#DIV/0!</v>
      </c>
      <c r="X16" s="232" t="e">
        <f t="shared" si="7"/>
        <v>#DIV/0!</v>
      </c>
      <c r="Y16" s="448"/>
      <c r="Z16" s="232">
        <v>17</v>
      </c>
      <c r="AA16" s="233">
        <v>1200</v>
      </c>
      <c r="AB16" s="234">
        <f t="shared" si="8"/>
        <v>70.588235294117652</v>
      </c>
      <c r="AC16" s="232">
        <f t="shared" si="9"/>
        <v>14</v>
      </c>
      <c r="AD16" s="448"/>
      <c r="AE16" s="233">
        <v>17</v>
      </c>
      <c r="AF16" s="233">
        <v>1381</v>
      </c>
      <c r="AG16" s="234">
        <f t="shared" si="10"/>
        <v>81.235294117647058</v>
      </c>
      <c r="AH16" s="232">
        <f t="shared" si="11"/>
        <v>10</v>
      </c>
      <c r="AI16" s="448"/>
      <c r="AJ16" s="233">
        <v>16</v>
      </c>
      <c r="AK16" s="233">
        <v>1119</v>
      </c>
      <c r="AL16" s="234">
        <f t="shared" si="12"/>
        <v>69.9375</v>
      </c>
      <c r="AM16" s="232">
        <f t="shared" si="13"/>
        <v>13</v>
      </c>
      <c r="AN16" s="448"/>
      <c r="AO16" s="233">
        <v>19</v>
      </c>
      <c r="AP16" s="233">
        <v>1424</v>
      </c>
      <c r="AQ16" s="234">
        <f t="shared" si="14"/>
        <v>74.94736842105263</v>
      </c>
      <c r="AR16" s="232">
        <f t="shared" si="15"/>
        <v>11</v>
      </c>
      <c r="AS16" s="448"/>
      <c r="AT16" s="233">
        <v>19</v>
      </c>
      <c r="AU16" s="234">
        <v>1565</v>
      </c>
      <c r="AV16" s="234">
        <f t="shared" si="16"/>
        <v>82.368421052631575</v>
      </c>
      <c r="AW16" s="232">
        <f t="shared" si="17"/>
        <v>11</v>
      </c>
      <c r="AX16" s="448"/>
    </row>
    <row r="17" spans="2:50">
      <c r="B17" s="444"/>
      <c r="C17" s="232">
        <v>11</v>
      </c>
      <c r="D17" s="232" t="s">
        <v>107</v>
      </c>
      <c r="E17" s="233">
        <f>VLOOKUP(D17,'12產線配置圖 (2)'!$A$2:$C$25,2,0)</f>
        <v>16</v>
      </c>
      <c r="F17" s="233">
        <f>VLOOKUP(D17,'12產線配置圖 (2)'!$A$2:$C$25,3,0)</f>
        <v>1406</v>
      </c>
      <c r="G17" s="234">
        <f t="shared" si="0"/>
        <v>87.875</v>
      </c>
      <c r="H17" s="446"/>
      <c r="I17" s="233">
        <f t="shared" si="18"/>
        <v>14.4</v>
      </c>
      <c r="J17" s="233">
        <f t="shared" si="1"/>
        <v>936.4</v>
      </c>
      <c r="K17" s="233">
        <f t="shared" si="2"/>
        <v>65.123809523809513</v>
      </c>
      <c r="L17" s="446"/>
      <c r="M17" s="235">
        <f t="shared" si="3"/>
        <v>16</v>
      </c>
      <c r="N17" s="449"/>
      <c r="O17" s="449"/>
      <c r="P17" s="232"/>
      <c r="Q17" s="232"/>
      <c r="R17" s="234" t="e">
        <f t="shared" si="4"/>
        <v>#DIV/0!</v>
      </c>
      <c r="S17" s="232" t="e">
        <f t="shared" si="5"/>
        <v>#DIV/0!</v>
      </c>
      <c r="T17" s="448"/>
      <c r="U17" s="232"/>
      <c r="V17" s="232"/>
      <c r="W17" s="234" t="e">
        <f>V17/U17</f>
        <v>#DIV/0!</v>
      </c>
      <c r="X17" s="232" t="e">
        <f t="shared" si="7"/>
        <v>#DIV/0!</v>
      </c>
      <c r="Y17" s="448"/>
      <c r="Z17" s="232">
        <v>14</v>
      </c>
      <c r="AA17" s="232">
        <v>839</v>
      </c>
      <c r="AB17" s="234">
        <f>AA17/Z17</f>
        <v>59.928571428571431</v>
      </c>
      <c r="AC17" s="232">
        <f t="shared" si="9"/>
        <v>16</v>
      </c>
      <c r="AD17" s="448"/>
      <c r="AE17" s="232">
        <v>14</v>
      </c>
      <c r="AF17" s="232">
        <v>958</v>
      </c>
      <c r="AG17" s="234">
        <f>AF17/AE17</f>
        <v>68.428571428571431</v>
      </c>
      <c r="AH17" s="232">
        <f t="shared" si="11"/>
        <v>14</v>
      </c>
      <c r="AI17" s="448"/>
      <c r="AJ17" s="232">
        <v>14</v>
      </c>
      <c r="AK17" s="232">
        <v>1035</v>
      </c>
      <c r="AL17" s="234">
        <f t="shared" si="12"/>
        <v>73.928571428571431</v>
      </c>
      <c r="AM17" s="232">
        <f t="shared" si="13"/>
        <v>12</v>
      </c>
      <c r="AN17" s="448"/>
      <c r="AO17" s="232">
        <v>15</v>
      </c>
      <c r="AP17" s="232">
        <v>942</v>
      </c>
      <c r="AQ17" s="234">
        <f t="shared" si="14"/>
        <v>62.8</v>
      </c>
      <c r="AR17" s="232">
        <f t="shared" si="15"/>
        <v>16</v>
      </c>
      <c r="AS17" s="448"/>
      <c r="AT17" s="232">
        <v>15</v>
      </c>
      <c r="AU17" s="234">
        <v>908</v>
      </c>
      <c r="AV17" s="234">
        <f t="shared" si="16"/>
        <v>60.533333333333331</v>
      </c>
      <c r="AW17" s="232">
        <f t="shared" si="17"/>
        <v>16</v>
      </c>
      <c r="AX17" s="448"/>
    </row>
    <row r="18" spans="2:50">
      <c r="B18" s="444"/>
      <c r="C18" s="232">
        <v>12</v>
      </c>
      <c r="D18" s="232" t="s">
        <v>108</v>
      </c>
      <c r="E18" s="233">
        <f>VLOOKUP(D18,'12產線配置圖 (2)'!$A$2:$C$25,2,0)</f>
        <v>14</v>
      </c>
      <c r="F18" s="233">
        <f>VLOOKUP(D18,'12產線配置圖 (2)'!$A$2:$C$25,3,0)</f>
        <v>1440</v>
      </c>
      <c r="G18" s="234">
        <f t="shared" si="0"/>
        <v>102.85714285714286</v>
      </c>
      <c r="H18" s="446"/>
      <c r="I18" s="233">
        <f t="shared" si="18"/>
        <v>14.8</v>
      </c>
      <c r="J18" s="233">
        <f t="shared" si="1"/>
        <v>1396.2</v>
      </c>
      <c r="K18" s="233">
        <f t="shared" si="2"/>
        <v>94.248571428571424</v>
      </c>
      <c r="L18" s="446"/>
      <c r="M18" s="235">
        <f t="shared" si="3"/>
        <v>6</v>
      </c>
      <c r="N18" s="449"/>
      <c r="O18" s="449"/>
      <c r="P18" s="232"/>
      <c r="Q18" s="232"/>
      <c r="R18" s="234" t="e">
        <f t="shared" si="4"/>
        <v>#DIV/0!</v>
      </c>
      <c r="S18" s="232" t="e">
        <f t="shared" si="5"/>
        <v>#DIV/0!</v>
      </c>
      <c r="T18" s="448"/>
      <c r="U18" s="232"/>
      <c r="V18" s="232"/>
      <c r="W18" s="234" t="e">
        <f t="shared" ref="W18:W22" si="19">V18/U18</f>
        <v>#DIV/0!</v>
      </c>
      <c r="X18" s="232" t="e">
        <f t="shared" si="7"/>
        <v>#DIV/0!</v>
      </c>
      <c r="Y18" s="448"/>
      <c r="Z18" s="232">
        <v>15</v>
      </c>
      <c r="AA18" s="232">
        <v>1490</v>
      </c>
      <c r="AB18" s="234">
        <f t="shared" ref="AB18:AB22" si="20">AA18/Z18</f>
        <v>99.333333333333329</v>
      </c>
      <c r="AC18" s="232">
        <f t="shared" si="9"/>
        <v>6</v>
      </c>
      <c r="AD18" s="448"/>
      <c r="AE18" s="232">
        <v>14</v>
      </c>
      <c r="AF18" s="232">
        <v>1227</v>
      </c>
      <c r="AG18" s="234">
        <f>AF18/AE18</f>
        <v>87.642857142857139</v>
      </c>
      <c r="AH18" s="232">
        <f t="shared" si="11"/>
        <v>6</v>
      </c>
      <c r="AI18" s="448"/>
      <c r="AJ18" s="232">
        <v>15</v>
      </c>
      <c r="AK18" s="232">
        <v>1353</v>
      </c>
      <c r="AL18" s="234">
        <f t="shared" si="12"/>
        <v>90.2</v>
      </c>
      <c r="AM18" s="232">
        <f t="shared" si="13"/>
        <v>6</v>
      </c>
      <c r="AN18" s="448"/>
      <c r="AO18" s="232">
        <v>15</v>
      </c>
      <c r="AP18" s="232">
        <v>1414</v>
      </c>
      <c r="AQ18" s="234">
        <f t="shared" si="14"/>
        <v>94.266666666666666</v>
      </c>
      <c r="AR18" s="232">
        <f t="shared" si="15"/>
        <v>4</v>
      </c>
      <c r="AS18" s="448"/>
      <c r="AT18" s="232">
        <v>15</v>
      </c>
      <c r="AU18" s="232">
        <v>1497</v>
      </c>
      <c r="AV18" s="234">
        <f t="shared" si="16"/>
        <v>99.8</v>
      </c>
      <c r="AW18" s="232">
        <f t="shared" si="17"/>
        <v>6</v>
      </c>
      <c r="AX18" s="448"/>
    </row>
    <row r="19" spans="2:50">
      <c r="B19" s="444"/>
      <c r="C19" s="232">
        <v>13</v>
      </c>
      <c r="D19" s="232" t="s">
        <v>109</v>
      </c>
      <c r="E19" s="233">
        <f>VLOOKUP(D19,'12產線配置圖 (2)'!$A$2:$C$25,2,0)</f>
        <v>17</v>
      </c>
      <c r="F19" s="233">
        <f>VLOOKUP(D19,'12產線配置圖 (2)'!$A$2:$C$25,3,0)</f>
        <v>1500</v>
      </c>
      <c r="G19" s="234">
        <f t="shared" si="0"/>
        <v>88.235294117647058</v>
      </c>
      <c r="H19" s="446"/>
      <c r="I19" s="233">
        <f t="shared" si="18"/>
        <v>14.4</v>
      </c>
      <c r="J19" s="233">
        <f t="shared" si="1"/>
        <v>1241.5999999999999</v>
      </c>
      <c r="K19" s="233">
        <f t="shared" si="2"/>
        <v>86.111428571428561</v>
      </c>
      <c r="L19" s="446"/>
      <c r="M19" s="235">
        <f t="shared" si="3"/>
        <v>8</v>
      </c>
      <c r="N19" s="449"/>
      <c r="O19" s="449"/>
      <c r="P19" s="232"/>
      <c r="Q19" s="232"/>
      <c r="R19" s="234" t="e">
        <f t="shared" si="4"/>
        <v>#DIV/0!</v>
      </c>
      <c r="S19" s="232" t="e">
        <f t="shared" si="5"/>
        <v>#DIV/0!</v>
      </c>
      <c r="T19" s="448"/>
      <c r="U19" s="232"/>
      <c r="V19" s="232"/>
      <c r="W19" s="234" t="e">
        <f t="shared" si="19"/>
        <v>#DIV/0!</v>
      </c>
      <c r="X19" s="232" t="e">
        <f t="shared" si="7"/>
        <v>#DIV/0!</v>
      </c>
      <c r="Y19" s="448"/>
      <c r="Z19" s="232">
        <v>14</v>
      </c>
      <c r="AA19" s="232">
        <v>1202</v>
      </c>
      <c r="AB19" s="234">
        <f t="shared" si="20"/>
        <v>85.857142857142861</v>
      </c>
      <c r="AC19" s="232">
        <f t="shared" si="9"/>
        <v>7</v>
      </c>
      <c r="AD19" s="448"/>
      <c r="AE19" s="232">
        <v>14</v>
      </c>
      <c r="AF19" s="232">
        <v>1210</v>
      </c>
      <c r="AG19" s="234">
        <f>AF19/AE19</f>
        <v>86.428571428571431</v>
      </c>
      <c r="AH19" s="232">
        <f t="shared" si="11"/>
        <v>8</v>
      </c>
      <c r="AI19" s="448"/>
      <c r="AJ19" s="232">
        <v>14</v>
      </c>
      <c r="AK19" s="232">
        <v>1093</v>
      </c>
      <c r="AL19" s="234">
        <f t="shared" si="12"/>
        <v>78.071428571428569</v>
      </c>
      <c r="AM19" s="232">
        <f t="shared" si="13"/>
        <v>9</v>
      </c>
      <c r="AN19" s="448"/>
      <c r="AO19" s="232">
        <v>15</v>
      </c>
      <c r="AP19" s="232">
        <v>1408</v>
      </c>
      <c r="AQ19" s="234">
        <f t="shared" si="14"/>
        <v>93.86666666666666</v>
      </c>
      <c r="AR19" s="232">
        <f t="shared" si="15"/>
        <v>5</v>
      </c>
      <c r="AS19" s="448"/>
      <c r="AT19" s="232">
        <v>15</v>
      </c>
      <c r="AU19" s="232">
        <v>1295</v>
      </c>
      <c r="AV19" s="234">
        <f t="shared" si="16"/>
        <v>86.333333333333329</v>
      </c>
      <c r="AW19" s="232">
        <f t="shared" si="17"/>
        <v>10</v>
      </c>
      <c r="AX19" s="448"/>
    </row>
    <row r="20" spans="2:50">
      <c r="B20" s="444"/>
      <c r="C20" s="232">
        <v>14</v>
      </c>
      <c r="D20" s="232" t="s">
        <v>110</v>
      </c>
      <c r="E20" s="233">
        <f>VLOOKUP(D20,'12產線配置圖 (2)'!$A$2:$C$25,2,0)</f>
        <v>17</v>
      </c>
      <c r="F20" s="233">
        <f>VLOOKUP(D20,'12產線配置圖 (2)'!$A$2:$C$25,3,0)</f>
        <v>1440</v>
      </c>
      <c r="G20" s="234">
        <f t="shared" si="0"/>
        <v>84.705882352941174</v>
      </c>
      <c r="H20" s="446"/>
      <c r="I20" s="233">
        <f t="shared" si="18"/>
        <v>15.4</v>
      </c>
      <c r="J20" s="233">
        <f t="shared" si="1"/>
        <v>1130.5999999999999</v>
      </c>
      <c r="K20" s="233">
        <f t="shared" si="2"/>
        <v>73.460634920634917</v>
      </c>
      <c r="L20" s="446"/>
      <c r="M20" s="235">
        <f t="shared" si="3"/>
        <v>13</v>
      </c>
      <c r="N20" s="449"/>
      <c r="O20" s="449"/>
      <c r="P20" s="232"/>
      <c r="Q20" s="232"/>
      <c r="R20" s="234" t="e">
        <f t="shared" si="4"/>
        <v>#DIV/0!</v>
      </c>
      <c r="S20" s="232" t="e">
        <f t="shared" si="5"/>
        <v>#DIV/0!</v>
      </c>
      <c r="T20" s="448"/>
      <c r="U20" s="232"/>
      <c r="V20" s="232"/>
      <c r="W20" s="234" t="e">
        <f t="shared" si="19"/>
        <v>#DIV/0!</v>
      </c>
      <c r="X20" s="232" t="e">
        <f t="shared" si="7"/>
        <v>#DIV/0!</v>
      </c>
      <c r="Y20" s="448"/>
      <c r="Z20" s="232">
        <v>15</v>
      </c>
      <c r="AA20" s="232">
        <v>1137</v>
      </c>
      <c r="AB20" s="234">
        <f t="shared" si="20"/>
        <v>75.8</v>
      </c>
      <c r="AC20" s="232">
        <f t="shared" si="9"/>
        <v>12</v>
      </c>
      <c r="AD20" s="448"/>
      <c r="AE20" s="232">
        <v>15</v>
      </c>
      <c r="AF20" s="232">
        <v>1135</v>
      </c>
      <c r="AG20" s="234">
        <f>AF20/AE20</f>
        <v>75.666666666666671</v>
      </c>
      <c r="AH20" s="232">
        <f t="shared" si="11"/>
        <v>12</v>
      </c>
      <c r="AI20" s="448"/>
      <c r="AJ20" s="232">
        <v>14</v>
      </c>
      <c r="AK20" s="232">
        <v>955</v>
      </c>
      <c r="AL20" s="234">
        <f t="shared" si="12"/>
        <v>68.214285714285708</v>
      </c>
      <c r="AM20" s="232">
        <f t="shared" si="13"/>
        <v>14</v>
      </c>
      <c r="AN20" s="448"/>
      <c r="AO20" s="232">
        <v>18</v>
      </c>
      <c r="AP20" s="232">
        <v>1270</v>
      </c>
      <c r="AQ20" s="234">
        <f t="shared" si="14"/>
        <v>70.555555555555557</v>
      </c>
      <c r="AR20" s="232">
        <f t="shared" si="15"/>
        <v>14</v>
      </c>
      <c r="AS20" s="448"/>
      <c r="AT20" s="232">
        <v>15</v>
      </c>
      <c r="AU20" s="232">
        <v>1156</v>
      </c>
      <c r="AV20" s="234">
        <f t="shared" si="16"/>
        <v>77.066666666666663</v>
      </c>
      <c r="AW20" s="232">
        <f t="shared" si="17"/>
        <v>14</v>
      </c>
      <c r="AX20" s="448"/>
    </row>
    <row r="21" spans="2:50">
      <c r="B21" s="444"/>
      <c r="C21" s="232">
        <v>15</v>
      </c>
      <c r="D21" s="232" t="s">
        <v>111</v>
      </c>
      <c r="E21" s="233">
        <f>VLOOKUP(D21,'12產線配置圖 (2)'!$A$2:$C$25,2,0)</f>
        <v>19</v>
      </c>
      <c r="F21" s="233">
        <f>VLOOKUP(D21,'12產線配置圖 (2)'!$A$2:$C$25,3,0)</f>
        <v>1440</v>
      </c>
      <c r="G21" s="234">
        <f t="shared" si="0"/>
        <v>75.78947368421052</v>
      </c>
      <c r="H21" s="446"/>
      <c r="I21" s="233">
        <f t="shared" si="1"/>
        <v>16.399999999999999</v>
      </c>
      <c r="J21" s="233">
        <f t="shared" si="1"/>
        <v>1150.5999999999999</v>
      </c>
      <c r="K21" s="233">
        <f t="shared" si="2"/>
        <v>69.986879084967327</v>
      </c>
      <c r="L21" s="446"/>
      <c r="M21" s="235">
        <f t="shared" si="3"/>
        <v>15</v>
      </c>
      <c r="N21" s="449"/>
      <c r="O21" s="449"/>
      <c r="P21" s="232"/>
      <c r="Q21" s="232"/>
      <c r="R21" s="234" t="e">
        <f t="shared" si="4"/>
        <v>#DIV/0!</v>
      </c>
      <c r="S21" s="232" t="e">
        <f t="shared" si="5"/>
        <v>#DIV/0!</v>
      </c>
      <c r="T21" s="448"/>
      <c r="U21" s="232"/>
      <c r="V21" s="232"/>
      <c r="W21" s="234" t="e">
        <f t="shared" si="19"/>
        <v>#DIV/0!</v>
      </c>
      <c r="X21" s="232" t="e">
        <f t="shared" si="7"/>
        <v>#DIV/0!</v>
      </c>
      <c r="Y21" s="448"/>
      <c r="Z21" s="232">
        <v>16</v>
      </c>
      <c r="AA21" s="232">
        <v>1121</v>
      </c>
      <c r="AB21" s="234">
        <f t="shared" si="20"/>
        <v>70.0625</v>
      </c>
      <c r="AC21" s="232">
        <f t="shared" si="9"/>
        <v>15</v>
      </c>
      <c r="AD21" s="448"/>
      <c r="AE21" s="232">
        <v>16</v>
      </c>
      <c r="AF21" s="232">
        <v>1016</v>
      </c>
      <c r="AG21" s="234">
        <f t="shared" ref="AG21:AG22" si="21">AF21/AE21</f>
        <v>63.5</v>
      </c>
      <c r="AH21" s="232">
        <f t="shared" si="11"/>
        <v>16</v>
      </c>
      <c r="AI21" s="448"/>
      <c r="AJ21" s="232">
        <v>15</v>
      </c>
      <c r="AK21" s="232">
        <v>997</v>
      </c>
      <c r="AL21" s="234">
        <f t="shared" si="12"/>
        <v>66.466666666666669</v>
      </c>
      <c r="AM21" s="232">
        <f t="shared" si="13"/>
        <v>15</v>
      </c>
      <c r="AN21" s="448"/>
      <c r="AO21" s="232">
        <v>18</v>
      </c>
      <c r="AP21" s="232">
        <v>1271</v>
      </c>
      <c r="AQ21" s="234">
        <f t="shared" si="14"/>
        <v>70.611111111111114</v>
      </c>
      <c r="AR21" s="232">
        <f t="shared" si="15"/>
        <v>13</v>
      </c>
      <c r="AS21" s="448"/>
      <c r="AT21" s="232">
        <v>17</v>
      </c>
      <c r="AU21" s="232">
        <v>1348</v>
      </c>
      <c r="AV21" s="234">
        <f>AU21/AT21</f>
        <v>79.294117647058826</v>
      </c>
      <c r="AW21" s="232">
        <f t="shared" si="17"/>
        <v>13</v>
      </c>
      <c r="AX21" s="448"/>
    </row>
    <row r="22" spans="2:50">
      <c r="B22" s="444"/>
      <c r="C22" s="232">
        <v>16</v>
      </c>
      <c r="D22" s="232" t="s">
        <v>112</v>
      </c>
      <c r="E22" s="233">
        <f>VLOOKUP(D22,'12產線配置圖 (2)'!$A$2:$C$25,2,0)</f>
        <v>10</v>
      </c>
      <c r="F22" s="233">
        <f>VLOOKUP(D22,'12產線配置圖 (2)'!$A$2:$C$25,3,0)</f>
        <v>1125</v>
      </c>
      <c r="G22" s="234">
        <f t="shared" si="0"/>
        <v>112.5</v>
      </c>
      <c r="H22" s="446"/>
      <c r="I22" s="233">
        <f t="shared" si="1"/>
        <v>10.8</v>
      </c>
      <c r="J22" s="233">
        <f t="shared" si="1"/>
        <v>834.8</v>
      </c>
      <c r="K22" s="233">
        <f t="shared" si="2"/>
        <v>77.73737373737373</v>
      </c>
      <c r="L22" s="446"/>
      <c r="M22" s="235">
        <f t="shared" si="3"/>
        <v>11</v>
      </c>
      <c r="N22" s="449"/>
      <c r="O22" s="449"/>
      <c r="P22" s="232"/>
      <c r="Q22" s="232"/>
      <c r="R22" s="234" t="e">
        <f t="shared" si="4"/>
        <v>#DIV/0!</v>
      </c>
      <c r="S22" s="232" t="e">
        <f t="shared" si="5"/>
        <v>#DIV/0!</v>
      </c>
      <c r="T22" s="448"/>
      <c r="U22" s="232"/>
      <c r="V22" s="232"/>
      <c r="W22" s="234" t="e">
        <f t="shared" si="19"/>
        <v>#DIV/0!</v>
      </c>
      <c r="X22" s="232" t="e">
        <f t="shared" si="7"/>
        <v>#DIV/0!</v>
      </c>
      <c r="Y22" s="448"/>
      <c r="Z22" s="232">
        <v>11</v>
      </c>
      <c r="AA22" s="232">
        <v>883</v>
      </c>
      <c r="AB22" s="234">
        <f t="shared" si="20"/>
        <v>80.272727272727266</v>
      </c>
      <c r="AC22" s="232">
        <f t="shared" si="9"/>
        <v>11</v>
      </c>
      <c r="AD22" s="448"/>
      <c r="AE22" s="232">
        <v>11</v>
      </c>
      <c r="AF22" s="232">
        <v>836</v>
      </c>
      <c r="AG22" s="234">
        <f t="shared" si="21"/>
        <v>76</v>
      </c>
      <c r="AH22" s="232">
        <f t="shared" si="11"/>
        <v>11</v>
      </c>
      <c r="AI22" s="448"/>
      <c r="AJ22" s="232">
        <v>12</v>
      </c>
      <c r="AK22" s="232">
        <v>760</v>
      </c>
      <c r="AL22" s="234">
        <f t="shared" si="12"/>
        <v>63.333333333333336</v>
      </c>
      <c r="AM22" s="232">
        <f t="shared" si="13"/>
        <v>16</v>
      </c>
      <c r="AN22" s="448"/>
      <c r="AO22" s="232">
        <v>9</v>
      </c>
      <c r="AP22" s="232">
        <v>742</v>
      </c>
      <c r="AQ22" s="234">
        <f t="shared" si="14"/>
        <v>82.444444444444443</v>
      </c>
      <c r="AR22" s="232">
        <f t="shared" si="15"/>
        <v>10</v>
      </c>
      <c r="AS22" s="448"/>
      <c r="AT22" s="232">
        <v>11</v>
      </c>
      <c r="AU22" s="232">
        <v>953</v>
      </c>
      <c r="AV22" s="234">
        <f>AU22/AT22</f>
        <v>86.63636363636364</v>
      </c>
      <c r="AW22" s="232">
        <f t="shared" si="17"/>
        <v>9</v>
      </c>
      <c r="AX22" s="448"/>
    </row>
    <row r="23" spans="2:50">
      <c r="B23" s="444"/>
      <c r="C23" s="232">
        <v>17</v>
      </c>
      <c r="D23" s="232"/>
      <c r="E23" s="233"/>
      <c r="F23" s="233"/>
      <c r="G23" s="234"/>
      <c r="H23" s="446"/>
      <c r="I23" s="232"/>
      <c r="J23" s="232"/>
      <c r="K23" s="234"/>
      <c r="L23" s="446"/>
      <c r="M23" s="235"/>
      <c r="N23" s="449"/>
      <c r="O23" s="449"/>
      <c r="P23" s="232"/>
      <c r="Q23" s="232"/>
      <c r="R23" s="234"/>
      <c r="S23" s="232"/>
      <c r="T23" s="448"/>
      <c r="U23" s="232"/>
      <c r="V23" s="232"/>
      <c r="W23" s="234"/>
      <c r="X23" s="232"/>
      <c r="Y23" s="448"/>
      <c r="Z23" s="232"/>
      <c r="AA23" s="232"/>
      <c r="AB23" s="232"/>
      <c r="AC23" s="232"/>
      <c r="AD23" s="448"/>
      <c r="AE23" s="232"/>
      <c r="AF23" s="232"/>
      <c r="AG23" s="234"/>
      <c r="AH23" s="232"/>
      <c r="AI23" s="448"/>
      <c r="AJ23" s="232"/>
      <c r="AK23" s="232"/>
      <c r="AL23" s="232"/>
      <c r="AM23" s="232"/>
      <c r="AN23" s="448"/>
      <c r="AO23" s="232"/>
      <c r="AP23" s="232"/>
      <c r="AQ23" s="232"/>
      <c r="AR23" s="232"/>
      <c r="AS23" s="448"/>
      <c r="AT23" s="232"/>
      <c r="AU23" s="232"/>
      <c r="AV23" s="232"/>
      <c r="AW23" s="232"/>
      <c r="AX23" s="448"/>
    </row>
    <row r="24" spans="2:50">
      <c r="B24" s="444"/>
      <c r="C24" s="232">
        <v>18</v>
      </c>
      <c r="D24" s="232"/>
      <c r="E24" s="233"/>
      <c r="F24" s="233"/>
      <c r="G24" s="234"/>
      <c r="H24" s="447"/>
      <c r="I24" s="232"/>
      <c r="J24" s="232"/>
      <c r="K24" s="234"/>
      <c r="L24" s="447"/>
      <c r="M24" s="235"/>
      <c r="N24" s="449"/>
      <c r="O24" s="449"/>
      <c r="P24" s="232"/>
      <c r="Q24" s="232"/>
      <c r="R24" s="234"/>
      <c r="S24" s="232"/>
      <c r="T24" s="448"/>
      <c r="U24" s="232"/>
      <c r="V24" s="232"/>
      <c r="W24" s="234"/>
      <c r="X24" s="232"/>
      <c r="Y24" s="448"/>
      <c r="Z24" s="232"/>
      <c r="AA24" s="232"/>
      <c r="AB24" s="232"/>
      <c r="AC24" s="232"/>
      <c r="AD24" s="448"/>
      <c r="AE24" s="232"/>
      <c r="AF24" s="232"/>
      <c r="AG24" s="234"/>
      <c r="AH24" s="232"/>
      <c r="AI24" s="448"/>
      <c r="AJ24" s="232"/>
      <c r="AK24" s="232"/>
      <c r="AL24" s="232"/>
      <c r="AM24" s="232"/>
      <c r="AN24" s="448"/>
      <c r="AO24" s="232"/>
      <c r="AP24" s="232"/>
      <c r="AQ24" s="232"/>
      <c r="AR24" s="232"/>
      <c r="AS24" s="448"/>
      <c r="AT24" s="232"/>
      <c r="AU24" s="232"/>
      <c r="AV24" s="232"/>
      <c r="AW24" s="232"/>
      <c r="AX24" s="448"/>
    </row>
    <row r="25" spans="2:50" ht="15.6">
      <c r="B25" s="474" t="s">
        <v>82</v>
      </c>
      <c r="C25" s="475"/>
      <c r="D25" s="475"/>
      <c r="E25" s="475"/>
      <c r="F25" s="475"/>
      <c r="G25" s="475"/>
      <c r="H25" s="475"/>
      <c r="I25" s="226"/>
      <c r="J25" s="226"/>
      <c r="K25" s="226"/>
      <c r="L25" s="226"/>
      <c r="M25" s="227"/>
      <c r="N25" s="461" t="s">
        <v>83</v>
      </c>
      <c r="O25" s="461" t="s">
        <v>43</v>
      </c>
      <c r="P25" s="457">
        <v>46028</v>
      </c>
      <c r="Q25" s="444"/>
      <c r="R25" s="444"/>
      <c r="S25" s="444"/>
      <c r="T25" s="444"/>
      <c r="U25" s="457">
        <v>46029</v>
      </c>
      <c r="V25" s="444"/>
      <c r="W25" s="444"/>
      <c r="X25" s="444"/>
      <c r="Y25" s="444"/>
      <c r="Z25" s="457">
        <v>46030</v>
      </c>
      <c r="AA25" s="444"/>
      <c r="AB25" s="444"/>
      <c r="AC25" s="444"/>
      <c r="AD25" s="444"/>
      <c r="AE25" s="457">
        <v>46031</v>
      </c>
      <c r="AF25" s="444"/>
      <c r="AG25" s="444"/>
      <c r="AH25" s="444"/>
      <c r="AI25" s="444"/>
      <c r="AJ25" s="457">
        <v>46032</v>
      </c>
      <c r="AK25" s="444"/>
      <c r="AL25" s="444"/>
      <c r="AM25" s="444"/>
      <c r="AN25" s="444"/>
      <c r="AO25" s="457">
        <v>46033</v>
      </c>
      <c r="AP25" s="444"/>
      <c r="AQ25" s="444"/>
      <c r="AR25" s="444"/>
      <c r="AS25" s="444"/>
      <c r="AT25" s="457">
        <v>46034</v>
      </c>
      <c r="AU25" s="444"/>
      <c r="AV25" s="444"/>
      <c r="AW25" s="444"/>
      <c r="AX25" s="444"/>
    </row>
    <row r="26" spans="2:50" ht="15.6">
      <c r="B26" s="460"/>
      <c r="C26" s="460"/>
      <c r="D26" s="460"/>
      <c r="E26" s="460"/>
      <c r="F26" s="460"/>
      <c r="G26" s="460"/>
      <c r="H26" s="460"/>
      <c r="I26" s="228"/>
      <c r="J26" s="228"/>
      <c r="K26" s="228"/>
      <c r="L26" s="228"/>
      <c r="M26" s="229"/>
      <c r="N26" s="462"/>
      <c r="O26" s="462"/>
      <c r="P26" s="457" t="s">
        <v>57</v>
      </c>
      <c r="Q26" s="444"/>
      <c r="R26" s="444"/>
      <c r="S26" s="444"/>
      <c r="T26" s="444"/>
      <c r="U26" s="457" t="s">
        <v>58</v>
      </c>
      <c r="V26" s="444"/>
      <c r="W26" s="444"/>
      <c r="X26" s="444"/>
      <c r="Y26" s="444"/>
      <c r="Z26" s="457" t="s">
        <v>54</v>
      </c>
      <c r="AA26" s="444"/>
      <c r="AB26" s="444"/>
      <c r="AC26" s="444"/>
      <c r="AD26" s="444"/>
      <c r="AE26" s="457" t="s">
        <v>55</v>
      </c>
      <c r="AF26" s="444"/>
      <c r="AG26" s="444"/>
      <c r="AH26" s="444"/>
      <c r="AI26" s="444"/>
      <c r="AJ26" s="457" t="s">
        <v>56</v>
      </c>
      <c r="AK26" s="444"/>
      <c r="AL26" s="444"/>
      <c r="AM26" s="444"/>
      <c r="AN26" s="444"/>
      <c r="AO26" s="457" t="s">
        <v>50</v>
      </c>
      <c r="AP26" s="444"/>
      <c r="AQ26" s="444"/>
      <c r="AR26" s="444"/>
      <c r="AS26" s="444"/>
      <c r="AT26" s="457" t="s">
        <v>53</v>
      </c>
      <c r="AU26" s="444"/>
      <c r="AV26" s="444"/>
      <c r="AW26" s="444"/>
      <c r="AX26" s="444"/>
    </row>
    <row r="27" spans="2:50" ht="12.75" customHeight="1">
      <c r="B27" s="449" t="s">
        <v>39</v>
      </c>
      <c r="C27" s="453" t="s">
        <v>84</v>
      </c>
      <c r="D27" s="449"/>
      <c r="E27" s="449" t="s">
        <v>85</v>
      </c>
      <c r="F27" s="449"/>
      <c r="G27" s="449"/>
      <c r="H27" s="454" t="s">
        <v>86</v>
      </c>
      <c r="I27" s="449" t="s">
        <v>87</v>
      </c>
      <c r="J27" s="449"/>
      <c r="K27" s="449"/>
      <c r="L27" s="454" t="s">
        <v>86</v>
      </c>
      <c r="M27" s="461" t="s">
        <v>88</v>
      </c>
      <c r="N27" s="449"/>
      <c r="O27" s="449" t="s">
        <v>89</v>
      </c>
      <c r="P27" s="450" t="s">
        <v>90</v>
      </c>
      <c r="Q27" s="451"/>
      <c r="R27" s="451"/>
      <c r="S27" s="452"/>
      <c r="T27" s="449" t="s">
        <v>86</v>
      </c>
      <c r="U27" s="450" t="s">
        <v>90</v>
      </c>
      <c r="V27" s="451"/>
      <c r="W27" s="451"/>
      <c r="X27" s="452"/>
      <c r="Y27" s="449" t="s">
        <v>86</v>
      </c>
      <c r="Z27" s="450" t="s">
        <v>90</v>
      </c>
      <c r="AA27" s="451"/>
      <c r="AB27" s="451"/>
      <c r="AC27" s="452"/>
      <c r="AD27" s="449" t="s">
        <v>86</v>
      </c>
      <c r="AE27" s="450" t="s">
        <v>90</v>
      </c>
      <c r="AF27" s="451"/>
      <c r="AG27" s="451"/>
      <c r="AH27" s="452"/>
      <c r="AI27" s="449" t="s">
        <v>86</v>
      </c>
      <c r="AJ27" s="450" t="s">
        <v>90</v>
      </c>
      <c r="AK27" s="451"/>
      <c r="AL27" s="451"/>
      <c r="AM27" s="452"/>
      <c r="AN27" s="449" t="s">
        <v>86</v>
      </c>
      <c r="AO27" s="450" t="s">
        <v>90</v>
      </c>
      <c r="AP27" s="451"/>
      <c r="AQ27" s="451"/>
      <c r="AR27" s="452"/>
      <c r="AS27" s="449" t="s">
        <v>86</v>
      </c>
      <c r="AT27" s="450" t="s">
        <v>90</v>
      </c>
      <c r="AU27" s="451"/>
      <c r="AV27" s="451"/>
      <c r="AW27" s="452"/>
      <c r="AX27" s="449" t="s">
        <v>86</v>
      </c>
    </row>
    <row r="28" spans="2:50">
      <c r="B28" s="449"/>
      <c r="C28" s="449"/>
      <c r="D28" s="449"/>
      <c r="E28" s="449" t="s">
        <v>91</v>
      </c>
      <c r="F28" s="449"/>
      <c r="G28" s="449"/>
      <c r="H28" s="455"/>
      <c r="I28" s="449" t="s">
        <v>91</v>
      </c>
      <c r="J28" s="449"/>
      <c r="K28" s="449"/>
      <c r="L28" s="455"/>
      <c r="M28" s="472"/>
      <c r="N28" s="449"/>
      <c r="O28" s="449"/>
      <c r="P28" s="450" t="s">
        <v>92</v>
      </c>
      <c r="Q28" s="451"/>
      <c r="R28" s="451"/>
      <c r="S28" s="452"/>
      <c r="T28" s="449"/>
      <c r="U28" s="450" t="s">
        <v>92</v>
      </c>
      <c r="V28" s="451"/>
      <c r="W28" s="451"/>
      <c r="X28" s="452"/>
      <c r="Y28" s="449"/>
      <c r="Z28" s="450" t="s">
        <v>92</v>
      </c>
      <c r="AA28" s="451"/>
      <c r="AB28" s="451"/>
      <c r="AC28" s="452"/>
      <c r="AD28" s="449"/>
      <c r="AE28" s="450" t="s">
        <v>92</v>
      </c>
      <c r="AF28" s="451"/>
      <c r="AG28" s="451"/>
      <c r="AH28" s="452"/>
      <c r="AI28" s="449"/>
      <c r="AJ28" s="450" t="s">
        <v>92</v>
      </c>
      <c r="AK28" s="451"/>
      <c r="AL28" s="451"/>
      <c r="AM28" s="452"/>
      <c r="AN28" s="449"/>
      <c r="AO28" s="450" t="s">
        <v>92</v>
      </c>
      <c r="AP28" s="451"/>
      <c r="AQ28" s="451"/>
      <c r="AR28" s="452"/>
      <c r="AS28" s="449"/>
      <c r="AT28" s="450" t="s">
        <v>92</v>
      </c>
      <c r="AU28" s="451"/>
      <c r="AV28" s="451"/>
      <c r="AW28" s="452"/>
      <c r="AX28" s="449"/>
    </row>
    <row r="29" spans="2:50">
      <c r="B29" s="449"/>
      <c r="C29" s="449"/>
      <c r="D29" s="449"/>
      <c r="E29" s="231" t="s">
        <v>93</v>
      </c>
      <c r="F29" s="231" t="s">
        <v>94</v>
      </c>
      <c r="G29" s="231" t="s">
        <v>95</v>
      </c>
      <c r="H29" s="456"/>
      <c r="I29" s="231" t="s">
        <v>93</v>
      </c>
      <c r="J29" s="231" t="s">
        <v>94</v>
      </c>
      <c r="K29" s="231" t="s">
        <v>95</v>
      </c>
      <c r="L29" s="456"/>
      <c r="M29" s="462"/>
      <c r="N29" s="449"/>
      <c r="O29" s="449"/>
      <c r="P29" s="231" t="s">
        <v>93</v>
      </c>
      <c r="Q29" s="231" t="s">
        <v>94</v>
      </c>
      <c r="R29" s="231" t="s">
        <v>95</v>
      </c>
      <c r="S29" s="231" t="s">
        <v>88</v>
      </c>
      <c r="T29" s="449"/>
      <c r="U29" s="231" t="s">
        <v>93</v>
      </c>
      <c r="V29" s="231" t="s">
        <v>94</v>
      </c>
      <c r="W29" s="231" t="s">
        <v>95</v>
      </c>
      <c r="X29" s="231" t="s">
        <v>88</v>
      </c>
      <c r="Y29" s="449"/>
      <c r="Z29" s="231" t="s">
        <v>93</v>
      </c>
      <c r="AA29" s="231" t="s">
        <v>94</v>
      </c>
      <c r="AB29" s="231" t="s">
        <v>95</v>
      </c>
      <c r="AC29" s="231" t="s">
        <v>88</v>
      </c>
      <c r="AD29" s="449"/>
      <c r="AE29" s="231" t="s">
        <v>93</v>
      </c>
      <c r="AF29" s="231" t="s">
        <v>94</v>
      </c>
      <c r="AG29" s="231" t="s">
        <v>95</v>
      </c>
      <c r="AH29" s="231" t="s">
        <v>88</v>
      </c>
      <c r="AI29" s="449"/>
      <c r="AJ29" s="231" t="s">
        <v>93</v>
      </c>
      <c r="AK29" s="231" t="s">
        <v>94</v>
      </c>
      <c r="AL29" s="231" t="s">
        <v>95</v>
      </c>
      <c r="AM29" s="231" t="s">
        <v>88</v>
      </c>
      <c r="AN29" s="449"/>
      <c r="AO29" s="231" t="s">
        <v>93</v>
      </c>
      <c r="AP29" s="231" t="s">
        <v>94</v>
      </c>
      <c r="AQ29" s="231" t="s">
        <v>95</v>
      </c>
      <c r="AR29" s="231" t="s">
        <v>88</v>
      </c>
      <c r="AS29" s="449"/>
      <c r="AT29" s="231" t="s">
        <v>93</v>
      </c>
      <c r="AU29" s="231" t="s">
        <v>94</v>
      </c>
      <c r="AV29" s="231" t="s">
        <v>95</v>
      </c>
      <c r="AW29" s="231" t="s">
        <v>88</v>
      </c>
      <c r="AX29" s="449"/>
    </row>
    <row r="30" spans="2:50" ht="12.95">
      <c r="B30" s="444" t="s">
        <v>96</v>
      </c>
      <c r="C30" s="232">
        <v>1</v>
      </c>
      <c r="D30" s="236" t="s">
        <v>97</v>
      </c>
      <c r="E30" s="233">
        <f>VLOOKUP(D30,'12產線配置圖 (2)'!$A$2:$C$25,2,0)</f>
        <v>12</v>
      </c>
      <c r="F30" s="233">
        <f>VLOOKUP(D30,'12產線配置圖 (2)'!$A$2:$C$25,3,0)</f>
        <v>2000</v>
      </c>
      <c r="G30" s="234">
        <f>F30/E30</f>
        <v>166.66666666666666</v>
      </c>
      <c r="H30" s="445">
        <f>AVERAGE(G30:G47)</f>
        <v>108.17675857665941</v>
      </c>
      <c r="I30" s="233">
        <f>AVERAGE(P30,U30,Z30,AE30,AJ30,AO30,AT30)</f>
        <v>12</v>
      </c>
      <c r="J30" s="233">
        <f>AVERAGE(Q30,V30,AA30,AF30,AK30,AP30,AU30)</f>
        <v>1787</v>
      </c>
      <c r="K30" s="234">
        <f>AVERAGE(R30,W30,AB30,AG30,AL30,AQ30,AV30)</f>
        <v>148.91666666666666</v>
      </c>
      <c r="L30" s="445">
        <f>IFERROR(AVERAGE(K30:K47),"-")</f>
        <v>96.533083255231929</v>
      </c>
      <c r="M30" s="235">
        <f>RANK(K30, K$30:$K$47)</f>
        <v>1</v>
      </c>
      <c r="N30" s="449"/>
      <c r="O30" s="449"/>
      <c r="P30" s="233">
        <v>12</v>
      </c>
      <c r="Q30" s="233">
        <v>1843</v>
      </c>
      <c r="R30" s="234">
        <f>Q30/P30</f>
        <v>153.58333333333334</v>
      </c>
      <c r="S30" s="232">
        <f>RANK(R30,$R$30:$R$47)</f>
        <v>1</v>
      </c>
      <c r="T30" s="448">
        <f>AVERAGE(R30:R47)</f>
        <v>99.172443248132566</v>
      </c>
      <c r="U30" s="233">
        <v>12</v>
      </c>
      <c r="V30" s="233">
        <v>1808</v>
      </c>
      <c r="W30" s="234">
        <f>V30/U30</f>
        <v>150.66666666666666</v>
      </c>
      <c r="X30" s="232">
        <f>RANK(W30, $W$30:$W$47)</f>
        <v>1</v>
      </c>
      <c r="Y30" s="448">
        <f>AVERAGE(W30:W47)</f>
        <v>96.140257801838672</v>
      </c>
      <c r="Z30" s="233">
        <v>12</v>
      </c>
      <c r="AA30" s="233">
        <v>1707</v>
      </c>
      <c r="AB30" s="234">
        <f>AA30/Z30</f>
        <v>142.25</v>
      </c>
      <c r="AC30" s="232">
        <f>RANK(AB30, $AB$30:$AB$47)</f>
        <v>1</v>
      </c>
      <c r="AD30" s="448">
        <f>AVERAGE(AB30:AB47)</f>
        <v>90.651538525329158</v>
      </c>
      <c r="AE30" s="233">
        <v>12</v>
      </c>
      <c r="AF30" s="233">
        <v>1439</v>
      </c>
      <c r="AG30" s="234">
        <f>AF30/AE30</f>
        <v>119.91666666666667</v>
      </c>
      <c r="AH30" s="232">
        <f>RANK(AG30, $AG$30:$AG$47)</f>
        <v>3</v>
      </c>
      <c r="AI30" s="448">
        <f>AVERAGE(AG30:AG47)</f>
        <v>90.796712050204704</v>
      </c>
      <c r="AJ30" s="233">
        <v>12</v>
      </c>
      <c r="AK30" s="233">
        <v>1831</v>
      </c>
      <c r="AL30" s="234">
        <f>AK30/AJ30</f>
        <v>152.58333333333334</v>
      </c>
      <c r="AM30" s="232">
        <f>RANK(AL30, $AL$30:$AL$47)</f>
        <v>1</v>
      </c>
      <c r="AN30" s="448">
        <f>AVERAGE(AL30:AL47)</f>
        <v>100.26519001831501</v>
      </c>
      <c r="AO30" s="233">
        <v>12</v>
      </c>
      <c r="AP30" s="233">
        <v>1955</v>
      </c>
      <c r="AQ30" s="234">
        <f>AP30/AO30</f>
        <v>162.91666666666666</v>
      </c>
      <c r="AR30" s="232">
        <f>RANK(AQ30,$AQ$30:$AQ$47)</f>
        <v>1</v>
      </c>
      <c r="AS30" s="448">
        <f>AVERAGE(AQ30:AQ47)</f>
        <v>100.39554525335775</v>
      </c>
      <c r="AT30" s="233">
        <v>12</v>
      </c>
      <c r="AU30" s="233">
        <v>1926</v>
      </c>
      <c r="AV30" s="234">
        <f>AU30/AT30</f>
        <v>160.5</v>
      </c>
      <c r="AW30" s="232">
        <f>RANK(AV30, $AV$30:$AV$47)</f>
        <v>1</v>
      </c>
      <c r="AX30" s="448">
        <f>AVERAGE(AV30:AV47)</f>
        <v>98.309895889445514</v>
      </c>
    </row>
    <row r="31" spans="2:50">
      <c r="B31" s="444"/>
      <c r="C31" s="232">
        <v>2</v>
      </c>
      <c r="D31" s="232" t="s">
        <v>98</v>
      </c>
      <c r="E31" s="233">
        <f>VLOOKUP(D31,'12產線配置圖 (2)'!$A$2:$C$25,2,0)</f>
        <v>14</v>
      </c>
      <c r="F31" s="233">
        <f>VLOOKUP(D31,'12產線配置圖 (2)'!$A$2:$C$25,3,0)</f>
        <v>2000</v>
      </c>
      <c r="G31" s="234">
        <f t="shared" ref="G31:G41" si="22">F31/E31</f>
        <v>142.85714285714286</v>
      </c>
      <c r="H31" s="446"/>
      <c r="I31" s="233">
        <f t="shared" ref="I31:K41" si="23">AVERAGE(P31,U31,Z31,AE31,AJ31,AO31,AT31)</f>
        <v>14</v>
      </c>
      <c r="J31" s="233">
        <f t="shared" si="23"/>
        <v>1824.4285714285713</v>
      </c>
      <c r="K31" s="234">
        <f t="shared" si="23"/>
        <v>130.31632653061223</v>
      </c>
      <c r="L31" s="446"/>
      <c r="M31" s="235">
        <f>RANK(K31, K$30:$K$47)</f>
        <v>4</v>
      </c>
      <c r="N31" s="449"/>
      <c r="O31" s="449"/>
      <c r="P31" s="233">
        <v>14</v>
      </c>
      <c r="Q31" s="233">
        <v>1816</v>
      </c>
      <c r="R31" s="234">
        <f t="shared" ref="R31:R39" si="24">Q31/P31</f>
        <v>129.71428571428572</v>
      </c>
      <c r="S31" s="232">
        <f t="shared" ref="S31:S41" si="25">RANK(R31,$R$30:$R$47)</f>
        <v>4</v>
      </c>
      <c r="T31" s="448"/>
      <c r="U31" s="233">
        <v>14</v>
      </c>
      <c r="V31" s="233">
        <v>1819</v>
      </c>
      <c r="W31" s="234">
        <f t="shared" ref="W31:W39" si="26">V31/U31</f>
        <v>129.92857142857142</v>
      </c>
      <c r="X31" s="232">
        <f t="shared" ref="X31:X41" si="27">RANK(W31, $W$30:$W$47)</f>
        <v>4</v>
      </c>
      <c r="Y31" s="448"/>
      <c r="Z31" s="233">
        <v>14</v>
      </c>
      <c r="AA31" s="233">
        <v>1703</v>
      </c>
      <c r="AB31" s="234">
        <f t="shared" ref="AB31:AB39" si="28">AA31/Z31</f>
        <v>121.64285714285714</v>
      </c>
      <c r="AC31" s="232">
        <f t="shared" ref="AC31:AC41" si="29">RANK(AB31, $AB$30:$AB$47)</f>
        <v>3</v>
      </c>
      <c r="AD31" s="448"/>
      <c r="AE31" s="233">
        <v>14</v>
      </c>
      <c r="AF31" s="233">
        <v>1677</v>
      </c>
      <c r="AG31" s="234">
        <f t="shared" ref="AG31:AG39" si="30">AF31/AE31</f>
        <v>119.78571428571429</v>
      </c>
      <c r="AH31" s="232">
        <f t="shared" ref="AH31:AH41" si="31">RANK(AG31, $AG$30:$AG$47)</f>
        <v>4</v>
      </c>
      <c r="AI31" s="448"/>
      <c r="AJ31" s="233">
        <v>14</v>
      </c>
      <c r="AK31" s="233">
        <v>1869</v>
      </c>
      <c r="AL31" s="234">
        <f t="shared" ref="AL31:AL39" si="32">AK31/AJ31</f>
        <v>133.5</v>
      </c>
      <c r="AM31" s="232">
        <f t="shared" ref="AM31:AM41" si="33">RANK(AL31, $AL$30:$AL$47)</f>
        <v>3</v>
      </c>
      <c r="AN31" s="448"/>
      <c r="AO31" s="233">
        <v>14</v>
      </c>
      <c r="AP31" s="233">
        <v>1987</v>
      </c>
      <c r="AQ31" s="234">
        <f>AP31/AO31</f>
        <v>141.92857142857142</v>
      </c>
      <c r="AR31" s="232">
        <f>RANK(AQ31,$AQ$30:$AQ$47)</f>
        <v>3</v>
      </c>
      <c r="AS31" s="448"/>
      <c r="AT31" s="233">
        <v>14</v>
      </c>
      <c r="AU31" s="233">
        <v>1900</v>
      </c>
      <c r="AV31" s="234">
        <f t="shared" ref="AV31:AV41" si="34">AU31/AT31</f>
        <v>135.71428571428572</v>
      </c>
      <c r="AW31" s="232">
        <f t="shared" ref="AW31:AW41" si="35">RANK(AV31, $AV$30:$AV$47)</f>
        <v>3</v>
      </c>
      <c r="AX31" s="448"/>
    </row>
    <row r="32" spans="2:50">
      <c r="B32" s="444"/>
      <c r="C32" s="232">
        <v>3</v>
      </c>
      <c r="D32" s="232" t="s">
        <v>99</v>
      </c>
      <c r="E32" s="233">
        <f>VLOOKUP(D32,'12產線配置圖 (2)'!$A$2:$C$25,2,0)</f>
        <v>13</v>
      </c>
      <c r="F32" s="233">
        <f>VLOOKUP(D32,'12產線配置圖 (2)'!$A$2:$C$25,3,0)</f>
        <v>2000</v>
      </c>
      <c r="G32" s="234">
        <f t="shared" si="22"/>
        <v>153.84615384615384</v>
      </c>
      <c r="H32" s="446"/>
      <c r="I32" s="233">
        <f t="shared" si="23"/>
        <v>13</v>
      </c>
      <c r="J32" s="233">
        <f t="shared" si="23"/>
        <v>1767.7142857142858</v>
      </c>
      <c r="K32" s="234">
        <f>AVERAGE(R32,W32,AB32,AG32,AL32,AQ32,AV32)</f>
        <v>135.97802197802196</v>
      </c>
      <c r="L32" s="446"/>
      <c r="M32" s="235">
        <f>RANK(K32, K$30:$K$47)</f>
        <v>2</v>
      </c>
      <c r="N32" s="449"/>
      <c r="O32" s="449"/>
      <c r="P32" s="233">
        <v>13</v>
      </c>
      <c r="Q32" s="233">
        <v>1989</v>
      </c>
      <c r="R32" s="234">
        <f t="shared" si="24"/>
        <v>153</v>
      </c>
      <c r="S32" s="232">
        <f t="shared" si="25"/>
        <v>2</v>
      </c>
      <c r="T32" s="448"/>
      <c r="U32" s="233">
        <v>13</v>
      </c>
      <c r="V32" s="233">
        <v>1910</v>
      </c>
      <c r="W32" s="234">
        <f t="shared" si="26"/>
        <v>146.92307692307693</v>
      </c>
      <c r="X32" s="232">
        <f t="shared" si="27"/>
        <v>2</v>
      </c>
      <c r="Y32" s="448"/>
      <c r="Z32" s="233">
        <v>13</v>
      </c>
      <c r="AA32" s="233">
        <v>1439</v>
      </c>
      <c r="AB32" s="234">
        <f t="shared" si="28"/>
        <v>110.69230769230769</v>
      </c>
      <c r="AC32" s="232">
        <f t="shared" si="29"/>
        <v>4</v>
      </c>
      <c r="AD32" s="448"/>
      <c r="AE32" s="233">
        <v>13</v>
      </c>
      <c r="AF32" s="233">
        <v>1696</v>
      </c>
      <c r="AG32" s="234">
        <f t="shared" si="30"/>
        <v>130.46153846153845</v>
      </c>
      <c r="AH32" s="232">
        <f t="shared" si="31"/>
        <v>1</v>
      </c>
      <c r="AI32" s="448"/>
      <c r="AJ32" s="233">
        <v>13</v>
      </c>
      <c r="AK32" s="233">
        <v>1947</v>
      </c>
      <c r="AL32" s="234">
        <f>AK32/AJ32</f>
        <v>149.76923076923077</v>
      </c>
      <c r="AM32" s="232">
        <f>RANK(AL32, $AL$30:$AL$47)</f>
        <v>2</v>
      </c>
      <c r="AN32" s="448"/>
      <c r="AO32" s="233">
        <v>13</v>
      </c>
      <c r="AP32" s="233">
        <v>1855</v>
      </c>
      <c r="AQ32" s="234">
        <f t="shared" ref="AQ32:AQ41" si="36">AP32/AO32</f>
        <v>142.69230769230768</v>
      </c>
      <c r="AR32" s="232">
        <f t="shared" ref="AR32:AR41" si="37">RANK(AQ32,$AQ$30:$AQ$47)</f>
        <v>2</v>
      </c>
      <c r="AS32" s="448"/>
      <c r="AT32" s="233">
        <v>13</v>
      </c>
      <c r="AU32" s="233">
        <v>1538</v>
      </c>
      <c r="AV32" s="234">
        <f t="shared" si="34"/>
        <v>118.30769230769231</v>
      </c>
      <c r="AW32" s="232">
        <f t="shared" si="35"/>
        <v>4</v>
      </c>
      <c r="AX32" s="448"/>
    </row>
    <row r="33" spans="2:50">
      <c r="B33" s="444"/>
      <c r="C33" s="232">
        <v>4</v>
      </c>
      <c r="D33" s="232" t="s">
        <v>100</v>
      </c>
      <c r="E33" s="233">
        <f>VLOOKUP(D33,'12產線配置圖 (2)'!$A$2:$C$25,2,0)</f>
        <v>18</v>
      </c>
      <c r="F33" s="233">
        <f>VLOOKUP(D33,'12產線配置圖 (2)'!$A$2:$C$25,3,0)</f>
        <v>1600</v>
      </c>
      <c r="G33" s="234">
        <f t="shared" si="22"/>
        <v>88.888888888888886</v>
      </c>
      <c r="H33" s="446"/>
      <c r="I33" s="233">
        <f t="shared" si="23"/>
        <v>17.428571428571427</v>
      </c>
      <c r="J33" s="233">
        <f t="shared" si="23"/>
        <v>1524.8571428571429</v>
      </c>
      <c r="K33" s="234">
        <f t="shared" si="23"/>
        <v>88.088435374149668</v>
      </c>
      <c r="L33" s="446"/>
      <c r="M33" s="235">
        <f>RANK(K33, K$30:$K$47)</f>
        <v>7</v>
      </c>
      <c r="N33" s="449"/>
      <c r="O33" s="449"/>
      <c r="P33" s="233">
        <v>18</v>
      </c>
      <c r="Q33" s="233">
        <v>1480</v>
      </c>
      <c r="R33" s="234">
        <f t="shared" si="24"/>
        <v>82.222222222222229</v>
      </c>
      <c r="S33" s="232">
        <f t="shared" si="25"/>
        <v>12</v>
      </c>
      <c r="T33" s="448"/>
      <c r="U33" s="233">
        <v>18</v>
      </c>
      <c r="V33" s="233">
        <v>1562</v>
      </c>
      <c r="W33" s="234">
        <f t="shared" si="26"/>
        <v>86.777777777777771</v>
      </c>
      <c r="X33" s="232">
        <f t="shared" si="27"/>
        <v>7</v>
      </c>
      <c r="Y33" s="448"/>
      <c r="Z33" s="233">
        <v>18</v>
      </c>
      <c r="AA33" s="233">
        <v>1560</v>
      </c>
      <c r="AB33" s="234">
        <f t="shared" si="28"/>
        <v>86.666666666666671</v>
      </c>
      <c r="AC33" s="232">
        <f t="shared" si="29"/>
        <v>6</v>
      </c>
      <c r="AD33" s="448"/>
      <c r="AE33" s="233">
        <v>18</v>
      </c>
      <c r="AF33" s="233">
        <v>1414</v>
      </c>
      <c r="AG33" s="234">
        <f t="shared" si="30"/>
        <v>78.555555555555557</v>
      </c>
      <c r="AH33" s="232">
        <f t="shared" si="31"/>
        <v>9</v>
      </c>
      <c r="AI33" s="448"/>
      <c r="AJ33" s="333">
        <v>14</v>
      </c>
      <c r="AK33" s="233">
        <v>1488</v>
      </c>
      <c r="AL33" s="234">
        <f t="shared" si="32"/>
        <v>106.28571428571429</v>
      </c>
      <c r="AM33" s="232">
        <f t="shared" si="33"/>
        <v>6</v>
      </c>
      <c r="AN33" s="448"/>
      <c r="AO33" s="233">
        <v>18</v>
      </c>
      <c r="AP33" s="233">
        <v>1590</v>
      </c>
      <c r="AQ33" s="234">
        <f t="shared" si="36"/>
        <v>88.333333333333329</v>
      </c>
      <c r="AR33" s="232">
        <f t="shared" si="37"/>
        <v>8</v>
      </c>
      <c r="AS33" s="448"/>
      <c r="AT33" s="233">
        <v>18</v>
      </c>
      <c r="AU33" s="233">
        <v>1580</v>
      </c>
      <c r="AV33" s="234">
        <f t="shared" si="34"/>
        <v>87.777777777777771</v>
      </c>
      <c r="AW33" s="232">
        <f t="shared" si="35"/>
        <v>8</v>
      </c>
      <c r="AX33" s="448"/>
    </row>
    <row r="34" spans="2:50">
      <c r="B34" s="444"/>
      <c r="C34" s="232">
        <v>5</v>
      </c>
      <c r="D34" s="232" t="s">
        <v>101</v>
      </c>
      <c r="E34" s="233">
        <f>VLOOKUP(D34,'12產線配置圖 (2)'!$A$2:$C$25,2,0)</f>
        <v>13</v>
      </c>
      <c r="F34" s="233">
        <f>VLOOKUP(D34,'12產線配置圖 (2)'!$A$2:$C$25,3,0)</f>
        <v>2105</v>
      </c>
      <c r="G34" s="234">
        <f t="shared" si="22"/>
        <v>161.92307692307693</v>
      </c>
      <c r="H34" s="446"/>
      <c r="I34" s="233">
        <f t="shared" si="23"/>
        <v>13.714285714285714</v>
      </c>
      <c r="J34" s="233">
        <f t="shared" si="23"/>
        <v>1819.4285714285713</v>
      </c>
      <c r="K34" s="234">
        <f t="shared" si="23"/>
        <v>132.69544740973313</v>
      </c>
      <c r="L34" s="446"/>
      <c r="M34" s="235">
        <f>RANK(K34, K$30:$K$47)</f>
        <v>3</v>
      </c>
      <c r="N34" s="449"/>
      <c r="O34" s="449"/>
      <c r="P34" s="233">
        <v>14</v>
      </c>
      <c r="Q34" s="233">
        <v>1891</v>
      </c>
      <c r="R34" s="234">
        <f t="shared" si="24"/>
        <v>135.07142857142858</v>
      </c>
      <c r="S34" s="232">
        <f t="shared" si="25"/>
        <v>3</v>
      </c>
      <c r="T34" s="448"/>
      <c r="U34" s="334">
        <v>14</v>
      </c>
      <c r="V34" s="233">
        <v>1881</v>
      </c>
      <c r="W34" s="234">
        <f t="shared" si="26"/>
        <v>134.35714285714286</v>
      </c>
      <c r="X34" s="232">
        <f t="shared" si="27"/>
        <v>3</v>
      </c>
      <c r="Y34" s="448"/>
      <c r="Z34" s="233">
        <v>14</v>
      </c>
      <c r="AA34" s="233">
        <v>1793</v>
      </c>
      <c r="AB34" s="234">
        <f t="shared" si="28"/>
        <v>128.07142857142858</v>
      </c>
      <c r="AC34" s="232">
        <f t="shared" si="29"/>
        <v>2</v>
      </c>
      <c r="AD34" s="448"/>
      <c r="AE34" s="335">
        <v>14</v>
      </c>
      <c r="AF34" s="233">
        <v>1750</v>
      </c>
      <c r="AG34" s="234">
        <f t="shared" si="30"/>
        <v>125</v>
      </c>
      <c r="AH34" s="232">
        <f t="shared" si="31"/>
        <v>2</v>
      </c>
      <c r="AI34" s="448"/>
      <c r="AJ34" s="233">
        <v>13</v>
      </c>
      <c r="AK34" s="233">
        <v>1658</v>
      </c>
      <c r="AL34" s="234">
        <f t="shared" si="32"/>
        <v>127.53846153846153</v>
      </c>
      <c r="AM34" s="232">
        <f t="shared" si="33"/>
        <v>4</v>
      </c>
      <c r="AN34" s="448"/>
      <c r="AO34" s="233">
        <v>13</v>
      </c>
      <c r="AP34" s="233">
        <v>1828</v>
      </c>
      <c r="AQ34" s="234">
        <f t="shared" si="36"/>
        <v>140.61538461538461</v>
      </c>
      <c r="AR34" s="232">
        <f t="shared" si="37"/>
        <v>4</v>
      </c>
      <c r="AS34" s="448"/>
      <c r="AT34" s="233">
        <v>14</v>
      </c>
      <c r="AU34" s="233">
        <v>1935</v>
      </c>
      <c r="AV34" s="234">
        <f t="shared" si="34"/>
        <v>138.21428571428572</v>
      </c>
      <c r="AW34" s="232">
        <f t="shared" si="35"/>
        <v>2</v>
      </c>
      <c r="AX34" s="448"/>
    </row>
    <row r="35" spans="2:50" ht="14.25" customHeight="1">
      <c r="B35" s="444"/>
      <c r="C35" s="232">
        <v>6</v>
      </c>
      <c r="D35" s="232" t="s">
        <v>102</v>
      </c>
      <c r="E35" s="233">
        <f>VLOOKUP(D35,'12產線配置圖 (2)'!$A$2:$C$25,2,0)</f>
        <v>17</v>
      </c>
      <c r="F35" s="233">
        <f>VLOOKUP(D35,'12產線配置圖 (2)'!$A$2:$C$25,3,0)</f>
        <v>2000</v>
      </c>
      <c r="G35" s="234">
        <f t="shared" si="22"/>
        <v>117.64705882352941</v>
      </c>
      <c r="H35" s="446"/>
      <c r="I35" s="233">
        <f t="shared" si="23"/>
        <v>16.714285714285715</v>
      </c>
      <c r="J35" s="233">
        <f t="shared" si="23"/>
        <v>1716.1428571428571</v>
      </c>
      <c r="K35" s="234">
        <f t="shared" si="23"/>
        <v>102.90588235294118</v>
      </c>
      <c r="L35" s="446"/>
      <c r="M35" s="235">
        <f>RANK(K35, K$30:$K$47)</f>
        <v>5</v>
      </c>
      <c r="N35" s="449"/>
      <c r="O35" s="449"/>
      <c r="P35" s="233">
        <v>17</v>
      </c>
      <c r="Q35" s="233">
        <v>1645</v>
      </c>
      <c r="R35" s="234">
        <f>Q35/P35</f>
        <v>96.764705882352942</v>
      </c>
      <c r="S35" s="232">
        <f t="shared" si="25"/>
        <v>7</v>
      </c>
      <c r="T35" s="448"/>
      <c r="U35" s="233">
        <v>17</v>
      </c>
      <c r="V35" s="233">
        <v>1743</v>
      </c>
      <c r="W35" s="234">
        <f t="shared" si="26"/>
        <v>102.52941176470588</v>
      </c>
      <c r="X35" s="232">
        <f t="shared" si="27"/>
        <v>5</v>
      </c>
      <c r="Y35" s="448"/>
      <c r="Z35" s="233">
        <v>17</v>
      </c>
      <c r="AA35" s="233">
        <v>1276</v>
      </c>
      <c r="AB35" s="234">
        <f t="shared" si="28"/>
        <v>75.058823529411768</v>
      </c>
      <c r="AC35" s="232">
        <f t="shared" si="29"/>
        <v>11</v>
      </c>
      <c r="AD35" s="448"/>
      <c r="AE35" s="233">
        <v>17</v>
      </c>
      <c r="AF35" s="233">
        <v>1629</v>
      </c>
      <c r="AG35" s="234">
        <f t="shared" si="30"/>
        <v>95.82352941176471</v>
      </c>
      <c r="AH35" s="232">
        <f t="shared" si="31"/>
        <v>6</v>
      </c>
      <c r="AI35" s="448"/>
      <c r="AJ35" s="333">
        <v>15</v>
      </c>
      <c r="AK35" s="233">
        <v>1746</v>
      </c>
      <c r="AL35" s="234">
        <f t="shared" si="32"/>
        <v>116.4</v>
      </c>
      <c r="AM35" s="232">
        <f t="shared" si="33"/>
        <v>5</v>
      </c>
      <c r="AN35" s="448"/>
      <c r="AO35" s="233">
        <v>17</v>
      </c>
      <c r="AP35" s="233">
        <v>1983</v>
      </c>
      <c r="AQ35" s="234">
        <f t="shared" si="36"/>
        <v>116.64705882352941</v>
      </c>
      <c r="AR35" s="232">
        <f t="shared" si="37"/>
        <v>5</v>
      </c>
      <c r="AS35" s="448"/>
      <c r="AT35" s="233">
        <v>17</v>
      </c>
      <c r="AU35" s="233">
        <v>1991</v>
      </c>
      <c r="AV35" s="234">
        <f t="shared" si="34"/>
        <v>117.11764705882354</v>
      </c>
      <c r="AW35" s="232">
        <f t="shared" si="35"/>
        <v>5</v>
      </c>
      <c r="AX35" s="448"/>
    </row>
    <row r="36" spans="2:50">
      <c r="B36" s="444"/>
      <c r="C36" s="232">
        <v>7</v>
      </c>
      <c r="D36" s="232" t="s">
        <v>103</v>
      </c>
      <c r="E36" s="233">
        <f>VLOOKUP(D36,'12產線配置圖 (2)'!$A$2:$C$25,2,0)</f>
        <v>16</v>
      </c>
      <c r="F36" s="233">
        <f>VLOOKUP(D36,'12產線配置圖 (2)'!$A$2:$C$25,3,0)</f>
        <v>1385</v>
      </c>
      <c r="G36" s="234">
        <f t="shared" si="22"/>
        <v>86.5625</v>
      </c>
      <c r="H36" s="446"/>
      <c r="I36" s="233">
        <f t="shared" si="23"/>
        <v>13.857142857142858</v>
      </c>
      <c r="J36" s="233">
        <f t="shared" si="23"/>
        <v>1099.8571428571429</v>
      </c>
      <c r="K36" s="234">
        <f t="shared" si="23"/>
        <v>79.879644165358442</v>
      </c>
      <c r="L36" s="446"/>
      <c r="M36" s="235">
        <f>RANK(K36, K$30:$K$47)</f>
        <v>11</v>
      </c>
      <c r="N36" s="449"/>
      <c r="O36" s="449"/>
      <c r="P36" s="336">
        <v>14</v>
      </c>
      <c r="Q36" s="233">
        <v>1159</v>
      </c>
      <c r="R36" s="234">
        <f t="shared" si="24"/>
        <v>82.785714285714292</v>
      </c>
      <c r="S36" s="232">
        <f t="shared" si="25"/>
        <v>11</v>
      </c>
      <c r="T36" s="448"/>
      <c r="U36" s="336">
        <v>13</v>
      </c>
      <c r="V36" s="233">
        <v>982</v>
      </c>
      <c r="W36" s="234">
        <f t="shared" si="26"/>
        <v>75.538461538461533</v>
      </c>
      <c r="X36" s="232">
        <f t="shared" si="27"/>
        <v>12</v>
      </c>
      <c r="Y36" s="448"/>
      <c r="Z36" s="336">
        <v>15</v>
      </c>
      <c r="AA36" s="233">
        <v>1097</v>
      </c>
      <c r="AB36" s="337">
        <f t="shared" si="28"/>
        <v>73.13333333333334</v>
      </c>
      <c r="AC36" s="232">
        <f t="shared" si="29"/>
        <v>13</v>
      </c>
      <c r="AD36" s="448"/>
      <c r="AE36" s="333">
        <v>15</v>
      </c>
      <c r="AF36" s="233">
        <v>1257</v>
      </c>
      <c r="AG36" s="234">
        <f t="shared" si="30"/>
        <v>83.8</v>
      </c>
      <c r="AH36" s="232">
        <f t="shared" si="31"/>
        <v>8</v>
      </c>
      <c r="AI36" s="448"/>
      <c r="AJ36" s="233">
        <v>10</v>
      </c>
      <c r="AK36" s="233">
        <v>909</v>
      </c>
      <c r="AL36" s="234">
        <f t="shared" si="32"/>
        <v>90.9</v>
      </c>
      <c r="AM36" s="232">
        <f t="shared" si="33"/>
        <v>11</v>
      </c>
      <c r="AN36" s="448"/>
      <c r="AO36" s="233">
        <v>15</v>
      </c>
      <c r="AP36" s="233">
        <v>1164</v>
      </c>
      <c r="AQ36" s="234">
        <f t="shared" si="36"/>
        <v>77.599999999999994</v>
      </c>
      <c r="AR36" s="232">
        <f t="shared" si="37"/>
        <v>13</v>
      </c>
      <c r="AS36" s="448"/>
      <c r="AT36" s="233">
        <v>15</v>
      </c>
      <c r="AU36" s="233">
        <v>1131</v>
      </c>
      <c r="AV36" s="234">
        <f t="shared" si="34"/>
        <v>75.400000000000006</v>
      </c>
      <c r="AW36" s="232">
        <f t="shared" si="35"/>
        <v>13</v>
      </c>
      <c r="AX36" s="448"/>
    </row>
    <row r="37" spans="2:50">
      <c r="B37" s="444"/>
      <c r="C37" s="232">
        <v>8</v>
      </c>
      <c r="D37" s="232" t="s">
        <v>104</v>
      </c>
      <c r="E37" s="233">
        <f>VLOOKUP(D37,'12產線配置圖 (2)'!$A$2:$C$25,2,0)</f>
        <v>17</v>
      </c>
      <c r="F37" s="233">
        <f>VLOOKUP(D37,'12產線配置圖 (2)'!$A$2:$C$25,3,0)</f>
        <v>1385</v>
      </c>
      <c r="G37" s="234">
        <f t="shared" si="22"/>
        <v>81.470588235294116</v>
      </c>
      <c r="H37" s="446"/>
      <c r="I37" s="233">
        <f t="shared" si="23"/>
        <v>15.714285714285714</v>
      </c>
      <c r="J37" s="233">
        <f t="shared" si="23"/>
        <v>1182</v>
      </c>
      <c r="K37" s="234">
        <f t="shared" si="23"/>
        <v>74.952756102440972</v>
      </c>
      <c r="L37" s="446"/>
      <c r="M37" s="235">
        <f>RANK(K37, K$30:$K$47)</f>
        <v>13</v>
      </c>
      <c r="N37" s="449"/>
      <c r="O37" s="449"/>
      <c r="P37" s="233">
        <v>16</v>
      </c>
      <c r="Q37" s="233">
        <v>1227</v>
      </c>
      <c r="R37" s="234">
        <f t="shared" si="24"/>
        <v>76.6875</v>
      </c>
      <c r="S37" s="232">
        <f t="shared" si="25"/>
        <v>13</v>
      </c>
      <c r="T37" s="448"/>
      <c r="U37" s="336">
        <v>15</v>
      </c>
      <c r="V37" s="233">
        <v>1109</v>
      </c>
      <c r="W37" s="337">
        <f t="shared" si="26"/>
        <v>73.933333333333337</v>
      </c>
      <c r="X37" s="232">
        <f t="shared" si="27"/>
        <v>13</v>
      </c>
      <c r="Y37" s="448"/>
      <c r="Z37" s="233">
        <v>17</v>
      </c>
      <c r="AA37" s="233">
        <v>1301</v>
      </c>
      <c r="AB37" s="234">
        <f t="shared" si="28"/>
        <v>76.529411764705884</v>
      </c>
      <c r="AC37" s="232">
        <f t="shared" si="29"/>
        <v>10</v>
      </c>
      <c r="AD37" s="448"/>
      <c r="AE37" s="333">
        <v>15</v>
      </c>
      <c r="AF37" s="233">
        <v>1121</v>
      </c>
      <c r="AG37" s="337">
        <f t="shared" si="30"/>
        <v>74.733333333333334</v>
      </c>
      <c r="AH37" s="232">
        <f t="shared" si="31"/>
        <v>12</v>
      </c>
      <c r="AI37" s="448"/>
      <c r="AJ37" s="333">
        <v>14</v>
      </c>
      <c r="AK37" s="233">
        <v>893</v>
      </c>
      <c r="AL37" s="337">
        <f>AK37/AJ37</f>
        <v>63.785714285714285</v>
      </c>
      <c r="AM37" s="232">
        <f>RANK(AL37, $AL$30:$AL$47)</f>
        <v>14</v>
      </c>
      <c r="AN37" s="448"/>
      <c r="AO37" s="233">
        <v>17</v>
      </c>
      <c r="AP37" s="233">
        <v>1343</v>
      </c>
      <c r="AQ37" s="234">
        <f t="shared" si="36"/>
        <v>79</v>
      </c>
      <c r="AR37" s="232">
        <f t="shared" si="37"/>
        <v>12</v>
      </c>
      <c r="AS37" s="448"/>
      <c r="AT37" s="233">
        <v>16</v>
      </c>
      <c r="AU37" s="233">
        <v>1280</v>
      </c>
      <c r="AV37" s="234">
        <f t="shared" si="34"/>
        <v>80</v>
      </c>
      <c r="AW37" s="232">
        <f t="shared" si="35"/>
        <v>11</v>
      </c>
      <c r="AX37" s="448"/>
    </row>
    <row r="38" spans="2:50">
      <c r="B38" s="444"/>
      <c r="C38" s="232">
        <v>9</v>
      </c>
      <c r="D38" s="232" t="s">
        <v>105</v>
      </c>
      <c r="E38" s="233">
        <f>VLOOKUP(D38,'12產線配置圖 (2)'!$A$2:$C$25,2,0)</f>
        <v>17</v>
      </c>
      <c r="F38" s="233">
        <f>VLOOKUP(D38,'12產線配置圖 (2)'!$A$2:$C$25,3,0)</f>
        <v>1565</v>
      </c>
      <c r="G38" s="234">
        <f t="shared" si="22"/>
        <v>92.058823529411768</v>
      </c>
      <c r="H38" s="446"/>
      <c r="I38" s="233">
        <f t="shared" si="23"/>
        <v>16.142857142857142</v>
      </c>
      <c r="J38" s="233">
        <f t="shared" si="23"/>
        <v>1406.8571428571429</v>
      </c>
      <c r="K38" s="234">
        <f t="shared" si="23"/>
        <v>87.578452919629399</v>
      </c>
      <c r="L38" s="446"/>
      <c r="M38" s="235">
        <f>RANK(K38, K$30:$K$47)</f>
        <v>8</v>
      </c>
      <c r="N38" s="449"/>
      <c r="O38" s="449"/>
      <c r="P38" s="233">
        <v>17</v>
      </c>
      <c r="Q38" s="233">
        <v>1505</v>
      </c>
      <c r="R38" s="234">
        <f t="shared" si="24"/>
        <v>88.529411764705884</v>
      </c>
      <c r="S38" s="232">
        <f t="shared" si="25"/>
        <v>8</v>
      </c>
      <c r="T38" s="448"/>
      <c r="U38" s="336">
        <v>15</v>
      </c>
      <c r="V38" s="233">
        <v>1283</v>
      </c>
      <c r="W38" s="234">
        <f t="shared" si="26"/>
        <v>85.533333333333331</v>
      </c>
      <c r="X38" s="232">
        <f t="shared" si="27"/>
        <v>8</v>
      </c>
      <c r="Y38" s="448"/>
      <c r="Z38" s="233">
        <v>17</v>
      </c>
      <c r="AA38" s="233">
        <v>1427</v>
      </c>
      <c r="AB38" s="234">
        <f t="shared" si="28"/>
        <v>83.941176470588232</v>
      </c>
      <c r="AC38" s="232">
        <f t="shared" si="29"/>
        <v>8</v>
      </c>
      <c r="AD38" s="448"/>
      <c r="AE38" s="233">
        <v>17</v>
      </c>
      <c r="AF38" s="233">
        <v>1215</v>
      </c>
      <c r="AG38" s="337">
        <f t="shared" si="30"/>
        <v>71.470588235294116</v>
      </c>
      <c r="AH38" s="232">
        <f t="shared" si="31"/>
        <v>14</v>
      </c>
      <c r="AI38" s="448"/>
      <c r="AJ38" s="333">
        <v>13</v>
      </c>
      <c r="AK38" s="233">
        <v>1309</v>
      </c>
      <c r="AL38" s="234">
        <f t="shared" si="32"/>
        <v>100.69230769230769</v>
      </c>
      <c r="AM38" s="232">
        <f t="shared" si="33"/>
        <v>8</v>
      </c>
      <c r="AN38" s="448"/>
      <c r="AO38" s="233">
        <v>17</v>
      </c>
      <c r="AP38" s="233">
        <v>1545</v>
      </c>
      <c r="AQ38" s="234">
        <f t="shared" si="36"/>
        <v>90.882352941176464</v>
      </c>
      <c r="AR38" s="232">
        <f t="shared" si="37"/>
        <v>7</v>
      </c>
      <c r="AS38" s="448"/>
      <c r="AT38" s="233">
        <v>17</v>
      </c>
      <c r="AU38" s="233">
        <v>1564</v>
      </c>
      <c r="AV38" s="234">
        <f t="shared" si="34"/>
        <v>92</v>
      </c>
      <c r="AW38" s="232">
        <f t="shared" si="35"/>
        <v>7</v>
      </c>
      <c r="AX38" s="448"/>
    </row>
    <row r="39" spans="2:50">
      <c r="B39" s="444"/>
      <c r="C39" s="232">
        <v>10</v>
      </c>
      <c r="D39" s="232" t="s">
        <v>106</v>
      </c>
      <c r="E39" s="233">
        <f>VLOOKUP(D39,'12產線配置圖 (2)'!$A$2:$C$25,2,0)</f>
        <v>18</v>
      </c>
      <c r="F39" s="233">
        <f>VLOOKUP(D39,'12產線配置圖 (2)'!$A$2:$C$25,3,0)</f>
        <v>1565</v>
      </c>
      <c r="G39" s="234">
        <f t="shared" si="22"/>
        <v>86.944444444444443</v>
      </c>
      <c r="H39" s="446"/>
      <c r="I39" s="233">
        <f t="shared" si="23"/>
        <v>17.571428571428573</v>
      </c>
      <c r="J39" s="233">
        <f t="shared" si="23"/>
        <v>1471.1428571428571</v>
      </c>
      <c r="K39" s="234">
        <f t="shared" si="23"/>
        <v>84.166606993674662</v>
      </c>
      <c r="L39" s="446"/>
      <c r="M39" s="235">
        <f>RANK(K39, K$30:$K$47)</f>
        <v>10</v>
      </c>
      <c r="N39" s="449"/>
      <c r="O39" s="449"/>
      <c r="P39" s="233">
        <v>18</v>
      </c>
      <c r="Q39" s="233">
        <v>1545</v>
      </c>
      <c r="R39" s="234">
        <f t="shared" si="24"/>
        <v>85.833333333333329</v>
      </c>
      <c r="S39" s="232">
        <f t="shared" si="25"/>
        <v>9</v>
      </c>
      <c r="T39" s="448"/>
      <c r="U39" s="233">
        <v>18</v>
      </c>
      <c r="V39" s="233">
        <v>1403</v>
      </c>
      <c r="W39" s="234">
        <f t="shared" si="26"/>
        <v>77.944444444444443</v>
      </c>
      <c r="X39" s="232">
        <f t="shared" si="27"/>
        <v>11</v>
      </c>
      <c r="Y39" s="448"/>
      <c r="Z39" s="335">
        <v>19</v>
      </c>
      <c r="AA39" s="233">
        <v>1512</v>
      </c>
      <c r="AB39" s="234">
        <f t="shared" si="28"/>
        <v>79.578947368421055</v>
      </c>
      <c r="AC39" s="232">
        <f t="shared" si="29"/>
        <v>9</v>
      </c>
      <c r="AD39" s="448"/>
      <c r="AE39" s="233">
        <v>18</v>
      </c>
      <c r="AF39" s="233">
        <v>1394</v>
      </c>
      <c r="AG39" s="234">
        <f t="shared" si="30"/>
        <v>77.444444444444443</v>
      </c>
      <c r="AH39" s="232">
        <f t="shared" si="31"/>
        <v>11</v>
      </c>
      <c r="AI39" s="448"/>
      <c r="AJ39" s="333">
        <v>14</v>
      </c>
      <c r="AK39" s="233">
        <v>1353</v>
      </c>
      <c r="AL39" s="234">
        <f t="shared" si="32"/>
        <v>96.642857142857139</v>
      </c>
      <c r="AM39" s="232">
        <f t="shared" si="33"/>
        <v>10</v>
      </c>
      <c r="AN39" s="448"/>
      <c r="AO39" s="233">
        <v>18</v>
      </c>
      <c r="AP39" s="233">
        <v>1540</v>
      </c>
      <c r="AQ39" s="234">
        <f t="shared" si="36"/>
        <v>85.555555555555557</v>
      </c>
      <c r="AR39" s="232">
        <f t="shared" si="37"/>
        <v>10</v>
      </c>
      <c r="AS39" s="448"/>
      <c r="AT39" s="233">
        <v>18</v>
      </c>
      <c r="AU39" s="233">
        <v>1551</v>
      </c>
      <c r="AV39" s="234">
        <f t="shared" si="34"/>
        <v>86.166666666666671</v>
      </c>
      <c r="AW39" s="232">
        <f t="shared" si="35"/>
        <v>10</v>
      </c>
      <c r="AX39" s="448"/>
    </row>
    <row r="40" spans="2:50">
      <c r="B40" s="444"/>
      <c r="C40" s="232">
        <v>11</v>
      </c>
      <c r="D40" s="232" t="s">
        <v>107</v>
      </c>
      <c r="E40" s="233">
        <f>VLOOKUP(D40,'12產線配置圖 (2)'!$A$2:$C$25,2,0)</f>
        <v>16</v>
      </c>
      <c r="F40" s="233">
        <f>VLOOKUP(D40,'12產線配置圖 (2)'!$A$2:$C$25,3,0)</f>
        <v>1406</v>
      </c>
      <c r="G40" s="234">
        <f t="shared" si="22"/>
        <v>87.875</v>
      </c>
      <c r="H40" s="446"/>
      <c r="I40" s="233">
        <f t="shared" si="23"/>
        <v>14</v>
      </c>
      <c r="J40" s="233">
        <f t="shared" si="23"/>
        <v>1042</v>
      </c>
      <c r="K40" s="234">
        <f t="shared" si="23"/>
        <v>74.337414965986412</v>
      </c>
      <c r="L40" s="446"/>
      <c r="M40" s="235">
        <f>RANK(K40, K$30:$K$47)</f>
        <v>14</v>
      </c>
      <c r="N40" s="449"/>
      <c r="O40" s="449"/>
      <c r="P40" s="232">
        <v>14</v>
      </c>
      <c r="Q40" s="232">
        <v>1054</v>
      </c>
      <c r="R40" s="234">
        <f>Q40/P40</f>
        <v>75.285714285714292</v>
      </c>
      <c r="S40" s="232">
        <f t="shared" si="25"/>
        <v>14</v>
      </c>
      <c r="T40" s="448"/>
      <c r="U40" s="338">
        <v>14</v>
      </c>
      <c r="V40" s="232">
        <v>1150</v>
      </c>
      <c r="W40" s="234">
        <f>V40/U40</f>
        <v>82.142857142857139</v>
      </c>
      <c r="X40" s="232">
        <f t="shared" si="27"/>
        <v>10</v>
      </c>
      <c r="Y40" s="448"/>
      <c r="Z40" s="338">
        <v>15</v>
      </c>
      <c r="AA40" s="232">
        <v>1083</v>
      </c>
      <c r="AB40" s="337">
        <f>AA40/Z40</f>
        <v>72.2</v>
      </c>
      <c r="AC40" s="232">
        <f t="shared" si="29"/>
        <v>14</v>
      </c>
      <c r="AD40" s="448"/>
      <c r="AE40" s="339">
        <v>15</v>
      </c>
      <c r="AF40" s="232">
        <v>1086</v>
      </c>
      <c r="AG40" s="234">
        <f>AF40/AE40</f>
        <v>72.400000000000006</v>
      </c>
      <c r="AH40" s="232">
        <f t="shared" si="31"/>
        <v>13</v>
      </c>
      <c r="AI40" s="448"/>
      <c r="AJ40" s="339">
        <v>10</v>
      </c>
      <c r="AK40" s="232">
        <v>708</v>
      </c>
      <c r="AL40" s="337">
        <f>AK40/AJ40</f>
        <v>70.8</v>
      </c>
      <c r="AM40" s="232">
        <f t="shared" si="33"/>
        <v>12</v>
      </c>
      <c r="AN40" s="448"/>
      <c r="AO40" s="232">
        <v>15</v>
      </c>
      <c r="AP40" s="232">
        <v>1028</v>
      </c>
      <c r="AQ40" s="234">
        <f t="shared" si="36"/>
        <v>68.533333333333331</v>
      </c>
      <c r="AR40" s="232">
        <f t="shared" si="37"/>
        <v>15</v>
      </c>
      <c r="AS40" s="448"/>
      <c r="AT40" s="232">
        <v>15</v>
      </c>
      <c r="AU40" s="232">
        <v>1185</v>
      </c>
      <c r="AV40" s="234">
        <f t="shared" si="34"/>
        <v>79</v>
      </c>
      <c r="AW40" s="232">
        <f t="shared" si="35"/>
        <v>12</v>
      </c>
      <c r="AX40" s="448"/>
    </row>
    <row r="41" spans="2:50">
      <c r="B41" s="444"/>
      <c r="C41" s="232">
        <v>12</v>
      </c>
      <c r="D41" s="232" t="s">
        <v>108</v>
      </c>
      <c r="E41" s="233">
        <f>VLOOKUP(D41,'12產線配置圖 (2)'!$A$2:$C$25,2,0)</f>
        <v>14</v>
      </c>
      <c r="F41" s="233">
        <f>VLOOKUP(D41,'12產線配置圖 (2)'!$A$2:$C$25,3,0)</f>
        <v>1440</v>
      </c>
      <c r="G41" s="234">
        <f t="shared" si="22"/>
        <v>102.85714285714286</v>
      </c>
      <c r="H41" s="446"/>
      <c r="I41" s="233">
        <f t="shared" si="23"/>
        <v>14</v>
      </c>
      <c r="J41" s="233">
        <f t="shared" si="23"/>
        <v>1432.7142857142858</v>
      </c>
      <c r="K41" s="234">
        <f t="shared" si="23"/>
        <v>102.33673469387756</v>
      </c>
      <c r="L41" s="446"/>
      <c r="M41" s="235">
        <f>RANK(K41, K$30:$K$47)</f>
        <v>6</v>
      </c>
      <c r="N41" s="449"/>
      <c r="O41" s="449"/>
      <c r="P41" s="232">
        <v>14</v>
      </c>
      <c r="Q41" s="232">
        <v>1438</v>
      </c>
      <c r="R41" s="234">
        <f>Q41/P41</f>
        <v>102.71428571428571</v>
      </c>
      <c r="S41" s="232">
        <f t="shared" si="25"/>
        <v>5</v>
      </c>
      <c r="T41" s="448"/>
      <c r="U41" s="232">
        <v>14</v>
      </c>
      <c r="V41" s="232">
        <v>1411</v>
      </c>
      <c r="W41" s="234">
        <f>V41/U41</f>
        <v>100.78571428571429</v>
      </c>
      <c r="X41" s="232">
        <f t="shared" si="27"/>
        <v>6</v>
      </c>
      <c r="Y41" s="448"/>
      <c r="Z41" s="232">
        <v>14</v>
      </c>
      <c r="AA41" s="232">
        <v>1436</v>
      </c>
      <c r="AB41" s="234">
        <f>AA41/Z41</f>
        <v>102.57142857142857</v>
      </c>
      <c r="AC41" s="232">
        <f t="shared" si="29"/>
        <v>5</v>
      </c>
      <c r="AD41" s="448"/>
      <c r="AE41" s="232">
        <v>14</v>
      </c>
      <c r="AF41" s="232">
        <v>1406</v>
      </c>
      <c r="AG41" s="234">
        <f>AF41/AE41</f>
        <v>100.42857142857143</v>
      </c>
      <c r="AH41" s="232">
        <f t="shared" si="31"/>
        <v>5</v>
      </c>
      <c r="AI41" s="448"/>
      <c r="AJ41" s="232">
        <v>14</v>
      </c>
      <c r="AK41" s="232">
        <v>1472</v>
      </c>
      <c r="AL41" s="234">
        <f>AK41/AJ41</f>
        <v>105.14285714285714</v>
      </c>
      <c r="AM41" s="232">
        <f t="shared" si="33"/>
        <v>7</v>
      </c>
      <c r="AN41" s="448"/>
      <c r="AO41" s="232">
        <v>14</v>
      </c>
      <c r="AP41" s="232">
        <v>1434</v>
      </c>
      <c r="AQ41" s="234">
        <f t="shared" si="36"/>
        <v>102.42857142857143</v>
      </c>
      <c r="AR41" s="232">
        <f t="shared" si="37"/>
        <v>6</v>
      </c>
      <c r="AS41" s="448"/>
      <c r="AT41" s="232">
        <v>14</v>
      </c>
      <c r="AU41" s="232">
        <v>1432</v>
      </c>
      <c r="AV41" s="234">
        <f t="shared" si="34"/>
        <v>102.28571428571429</v>
      </c>
      <c r="AW41" s="232">
        <f t="shared" si="35"/>
        <v>6</v>
      </c>
      <c r="AX41" s="448"/>
    </row>
    <row r="42" spans="2:50">
      <c r="B42" s="444"/>
      <c r="C42" s="232">
        <v>13</v>
      </c>
      <c r="D42" s="232" t="s">
        <v>109</v>
      </c>
      <c r="E42" s="233">
        <f>VLOOKUP(D42,'12產線配置圖 (2)'!$A$2:$C$25,2,0)</f>
        <v>17</v>
      </c>
      <c r="F42" s="233">
        <f>VLOOKUP(D42,'12產線配置圖 (2)'!$A$2:$C$25,3,0)</f>
        <v>1500</v>
      </c>
      <c r="G42" s="234">
        <f>F42/E42</f>
        <v>88.235294117647058</v>
      </c>
      <c r="H42" s="446"/>
      <c r="I42" s="233">
        <f>AVERAGE(P42,U42,Z42,AE42,AJ42,AO42,AT42)</f>
        <v>15.285714285714286</v>
      </c>
      <c r="J42" s="233">
        <f>AVERAGE(Q42,V42,AA42,AF42,AK42,AP42,AU42)</f>
        <v>1316.1428571428571</v>
      </c>
      <c r="K42" s="234">
        <f>AVERAGE(R42,W42,AB42,AG42,AL42,AQ42,AV42)</f>
        <v>86.386675824175811</v>
      </c>
      <c r="L42" s="446"/>
      <c r="M42" s="235">
        <f>RANK(K42, K$30:$K$47)</f>
        <v>9</v>
      </c>
      <c r="N42" s="449"/>
      <c r="O42" s="449"/>
      <c r="P42" s="232">
        <v>16</v>
      </c>
      <c r="Q42" s="232">
        <v>1326</v>
      </c>
      <c r="R42" s="234">
        <f>Q42/P42</f>
        <v>82.875</v>
      </c>
      <c r="S42" s="232">
        <f>RANK(R42,$R$30:$R$47)</f>
        <v>10</v>
      </c>
      <c r="T42" s="448"/>
      <c r="U42" s="338">
        <v>15</v>
      </c>
      <c r="V42" s="232">
        <v>1256</v>
      </c>
      <c r="W42" s="234">
        <f>V42/U42</f>
        <v>83.733333333333334</v>
      </c>
      <c r="X42" s="232">
        <f>RANK(W42, $W$30:$W$47)</f>
        <v>9</v>
      </c>
      <c r="Y42" s="448"/>
      <c r="Z42" s="338">
        <v>16</v>
      </c>
      <c r="AA42" s="232">
        <v>1369</v>
      </c>
      <c r="AB42" s="234">
        <f>AA42/Z42</f>
        <v>85.5625</v>
      </c>
      <c r="AC42" s="232">
        <f>RANK(AB42, $AB$30:$AB$47)</f>
        <v>7</v>
      </c>
      <c r="AD42" s="448"/>
      <c r="AE42" s="339">
        <v>15</v>
      </c>
      <c r="AF42" s="232">
        <v>1279</v>
      </c>
      <c r="AG42" s="234">
        <f>AF42/AE42</f>
        <v>85.266666666666666</v>
      </c>
      <c r="AH42" s="232">
        <f>RANK(AG42, $AG$30:$AG$47)</f>
        <v>7</v>
      </c>
      <c r="AI42" s="448"/>
      <c r="AJ42" s="339">
        <v>13</v>
      </c>
      <c r="AK42" s="232">
        <v>1271</v>
      </c>
      <c r="AL42" s="234">
        <f>AK42/AJ42</f>
        <v>97.769230769230774</v>
      </c>
      <c r="AM42" s="232">
        <f>RANK(AL42, $AL$30:$AL$47)</f>
        <v>9</v>
      </c>
      <c r="AN42" s="448"/>
      <c r="AO42" s="232">
        <v>16</v>
      </c>
      <c r="AP42" s="232">
        <v>1327</v>
      </c>
      <c r="AQ42" s="234">
        <f>AP42/AO42</f>
        <v>82.9375</v>
      </c>
      <c r="AR42" s="232">
        <f>RANK(AQ42,$AQ$30:$AQ$47)</f>
        <v>11</v>
      </c>
      <c r="AS42" s="448"/>
      <c r="AT42" s="232">
        <v>16</v>
      </c>
      <c r="AU42" s="232">
        <v>1385</v>
      </c>
      <c r="AV42" s="234">
        <f>AU42/AT42</f>
        <v>86.5625</v>
      </c>
      <c r="AW42" s="232">
        <f>RANK(AV42, $AV$30:$AV$47)</f>
        <v>9</v>
      </c>
      <c r="AX42" s="448"/>
    </row>
    <row r="43" spans="2:50">
      <c r="B43" s="444"/>
      <c r="C43" s="232">
        <v>14</v>
      </c>
      <c r="D43" s="232" t="s">
        <v>110</v>
      </c>
      <c r="E43" s="233">
        <f>VLOOKUP(D43,'12產線配置圖 (2)'!$A$2:$C$25,2,0)</f>
        <v>17</v>
      </c>
      <c r="F43" s="233">
        <f>VLOOKUP(D43,'12產線配置圖 (2)'!$A$2:$C$25,3,0)</f>
        <v>1440</v>
      </c>
      <c r="G43" s="234">
        <f t="shared" ref="G43:G45" si="38">F43/E43</f>
        <v>84.705882352941174</v>
      </c>
      <c r="H43" s="446"/>
      <c r="I43" s="233">
        <f t="shared" ref="I43:K45" si="39">AVERAGE(P43,U43,Z43,AE43,AJ43,AO43,AT43)</f>
        <v>15.714285714285714</v>
      </c>
      <c r="J43" s="233">
        <f t="shared" si="39"/>
        <v>1126.8571428571429</v>
      </c>
      <c r="K43" s="234">
        <f t="shared" si="39"/>
        <v>71.719537815126046</v>
      </c>
      <c r="L43" s="446"/>
      <c r="M43" s="235">
        <f>RANK(K43, K$30:$K$47)</f>
        <v>15</v>
      </c>
      <c r="N43" s="449"/>
      <c r="O43" s="449"/>
      <c r="P43" s="232">
        <v>17</v>
      </c>
      <c r="Q43" s="232">
        <v>1191</v>
      </c>
      <c r="R43" s="337">
        <f t="shared" ref="R43:R45" si="40">Q43/P43</f>
        <v>70.058823529411768</v>
      </c>
      <c r="S43" s="232">
        <f t="shared" ref="S43:S45" si="41">RANK(R43,$R$30:$R$47)</f>
        <v>16</v>
      </c>
      <c r="T43" s="448"/>
      <c r="U43" s="338">
        <v>14</v>
      </c>
      <c r="V43" s="232">
        <v>1029</v>
      </c>
      <c r="W43" s="337">
        <f t="shared" ref="W43:W45" si="42">V43/U43</f>
        <v>73.5</v>
      </c>
      <c r="X43" s="232">
        <f t="shared" ref="X43:X45" si="43">RANK(W43, $W$30:$W$47)</f>
        <v>14</v>
      </c>
      <c r="Y43" s="448"/>
      <c r="Z43" s="338">
        <v>16</v>
      </c>
      <c r="AA43" s="232">
        <v>1135</v>
      </c>
      <c r="AB43" s="337">
        <f t="shared" ref="AB43:AB45" si="44">AA43/Z43</f>
        <v>70.9375</v>
      </c>
      <c r="AC43" s="232">
        <f t="shared" ref="AC43:AC45" si="45">RANK(AB43, $AB$30:$AB$47)</f>
        <v>15</v>
      </c>
      <c r="AD43" s="448"/>
      <c r="AE43" s="339">
        <v>15</v>
      </c>
      <c r="AF43" s="232">
        <v>1072</v>
      </c>
      <c r="AG43" s="337">
        <f t="shared" ref="AG43:AG45" si="46">AF43/AE43</f>
        <v>71.466666666666669</v>
      </c>
      <c r="AH43" s="232">
        <f t="shared" ref="AH43:AH45" si="47">RANK(AG43, $AG$30:$AG$47)</f>
        <v>15</v>
      </c>
      <c r="AI43" s="448"/>
      <c r="AJ43" s="339">
        <v>15</v>
      </c>
      <c r="AK43" s="232">
        <v>1028</v>
      </c>
      <c r="AL43" s="337">
        <f t="shared" ref="AL43:AL45" si="48">AK43/AJ43</f>
        <v>68.533333333333331</v>
      </c>
      <c r="AM43" s="232">
        <f t="shared" ref="AM43:AM45" si="49">RANK(AL43, $AL$30:$AL$47)</f>
        <v>13</v>
      </c>
      <c r="AN43" s="448"/>
      <c r="AO43" s="232">
        <v>16</v>
      </c>
      <c r="AP43" s="232">
        <v>1203</v>
      </c>
      <c r="AQ43" s="234">
        <f t="shared" ref="AQ43:AQ45" si="50">AP43/AO43</f>
        <v>75.1875</v>
      </c>
      <c r="AR43" s="232">
        <f t="shared" ref="AR43:AR45" si="51">RANK(AQ43,$AQ$30:$AQ$47)</f>
        <v>14</v>
      </c>
      <c r="AS43" s="448"/>
      <c r="AT43" s="232">
        <v>17</v>
      </c>
      <c r="AU43" s="232">
        <v>1230</v>
      </c>
      <c r="AV43" s="234">
        <f t="shared" ref="AV43:AV45" si="52">AU43/AT43</f>
        <v>72.352941176470594</v>
      </c>
      <c r="AW43" s="232">
        <f t="shared" ref="AW43:AW45" si="53">RANK(AV43, $AV$30:$AV$47)</f>
        <v>15</v>
      </c>
      <c r="AX43" s="448"/>
    </row>
    <row r="44" spans="2:50">
      <c r="B44" s="444"/>
      <c r="C44" s="232">
        <v>15</v>
      </c>
      <c r="D44" s="232" t="s">
        <v>111</v>
      </c>
      <c r="E44" s="233">
        <f>VLOOKUP(D44,'12產線配置圖 (2)'!$A$2:$C$25,2,0)</f>
        <v>19</v>
      </c>
      <c r="F44" s="233">
        <f>VLOOKUP(D44,'12產線配置圖 (2)'!$A$2:$C$25,3,0)</f>
        <v>1440</v>
      </c>
      <c r="G44" s="234">
        <f t="shared" si="38"/>
        <v>75.78947368421052</v>
      </c>
      <c r="H44" s="446"/>
      <c r="I44" s="233">
        <f t="shared" si="39"/>
        <v>16.142857142857142</v>
      </c>
      <c r="J44" s="233">
        <f t="shared" si="39"/>
        <v>1105.4285714285713</v>
      </c>
      <c r="K44" s="234">
        <f t="shared" si="39"/>
        <v>68.356442577030805</v>
      </c>
      <c r="L44" s="446"/>
      <c r="M44" s="235">
        <f>RANK(K44, K$30:$K$47)</f>
        <v>16</v>
      </c>
      <c r="N44" s="449"/>
      <c r="O44" s="449"/>
      <c r="P44" s="232">
        <v>15</v>
      </c>
      <c r="Q44" s="232">
        <v>1070</v>
      </c>
      <c r="R44" s="337">
        <f t="shared" si="40"/>
        <v>71.333333333333329</v>
      </c>
      <c r="S44" s="232">
        <f t="shared" si="41"/>
        <v>15</v>
      </c>
      <c r="T44" s="448"/>
      <c r="U44" s="338">
        <v>16</v>
      </c>
      <c r="V44" s="232">
        <v>1036</v>
      </c>
      <c r="W44" s="337">
        <f t="shared" si="42"/>
        <v>64.75</v>
      </c>
      <c r="X44" s="232">
        <f t="shared" si="43"/>
        <v>16</v>
      </c>
      <c r="Y44" s="448"/>
      <c r="Z44" s="338">
        <v>17</v>
      </c>
      <c r="AA44" s="232">
        <v>1251</v>
      </c>
      <c r="AB44" s="337">
        <f t="shared" si="44"/>
        <v>73.588235294117652</v>
      </c>
      <c r="AC44" s="232">
        <f t="shared" si="45"/>
        <v>12</v>
      </c>
      <c r="AD44" s="448"/>
      <c r="AE44" s="339">
        <v>17</v>
      </c>
      <c r="AF44" s="232">
        <v>1161</v>
      </c>
      <c r="AG44" s="337">
        <f t="shared" si="46"/>
        <v>68.294117647058826</v>
      </c>
      <c r="AH44" s="232">
        <f t="shared" si="47"/>
        <v>16</v>
      </c>
      <c r="AI44" s="448"/>
      <c r="AJ44" s="339">
        <v>14</v>
      </c>
      <c r="AK44" s="232">
        <v>882</v>
      </c>
      <c r="AL44" s="337">
        <f t="shared" si="48"/>
        <v>63</v>
      </c>
      <c r="AM44" s="232">
        <f t="shared" si="49"/>
        <v>15</v>
      </c>
      <c r="AN44" s="448"/>
      <c r="AO44" s="232">
        <v>17</v>
      </c>
      <c r="AP44" s="232">
        <v>1096</v>
      </c>
      <c r="AQ44" s="234">
        <f t="shared" si="50"/>
        <v>64.470588235294116</v>
      </c>
      <c r="AR44" s="232">
        <f t="shared" si="51"/>
        <v>16</v>
      </c>
      <c r="AS44" s="448"/>
      <c r="AT44" s="232">
        <v>17</v>
      </c>
      <c r="AU44" s="232">
        <v>1242</v>
      </c>
      <c r="AV44" s="234">
        <f t="shared" si="52"/>
        <v>73.058823529411768</v>
      </c>
      <c r="AW44" s="232">
        <f t="shared" si="53"/>
        <v>14</v>
      </c>
      <c r="AX44" s="448"/>
    </row>
    <row r="45" spans="2:50">
      <c r="B45" s="444"/>
      <c r="C45" s="232">
        <v>16</v>
      </c>
      <c r="D45" s="232" t="s">
        <v>112</v>
      </c>
      <c r="E45" s="233">
        <f>VLOOKUP(D45,'12產線配置圖 (2)'!$A$2:$C$25,2,0)</f>
        <v>10</v>
      </c>
      <c r="F45" s="233">
        <f>VLOOKUP(D45,'12產線配置圖 (2)'!$A$2:$C$25,3,0)</f>
        <v>1125</v>
      </c>
      <c r="G45" s="234">
        <f t="shared" si="38"/>
        <v>112.5</v>
      </c>
      <c r="H45" s="446"/>
      <c r="I45" s="233">
        <f t="shared" si="39"/>
        <v>9.8571428571428577</v>
      </c>
      <c r="J45" s="233">
        <f t="shared" si="39"/>
        <v>749.42857142857144</v>
      </c>
      <c r="K45" s="234">
        <f t="shared" si="39"/>
        <v>75.914285714285711</v>
      </c>
      <c r="L45" s="446"/>
      <c r="M45" s="235">
        <f>RANK(K45, K$30:$K$47)</f>
        <v>12</v>
      </c>
      <c r="N45" s="449"/>
      <c r="O45" s="449"/>
      <c r="P45" s="232">
        <v>10</v>
      </c>
      <c r="Q45" s="232">
        <v>1003</v>
      </c>
      <c r="R45" s="234">
        <f t="shared" si="40"/>
        <v>100.3</v>
      </c>
      <c r="S45" s="232">
        <f t="shared" si="41"/>
        <v>6</v>
      </c>
      <c r="T45" s="448"/>
      <c r="U45" s="338">
        <v>10</v>
      </c>
      <c r="V45" s="232">
        <v>692</v>
      </c>
      <c r="W45" s="337">
        <f t="shared" si="42"/>
        <v>69.2</v>
      </c>
      <c r="X45" s="232">
        <f t="shared" si="43"/>
        <v>15</v>
      </c>
      <c r="Y45" s="448"/>
      <c r="Z45" s="338">
        <v>9</v>
      </c>
      <c r="AA45" s="232">
        <v>612</v>
      </c>
      <c r="AB45" s="337">
        <f t="shared" si="44"/>
        <v>68</v>
      </c>
      <c r="AC45" s="232">
        <f t="shared" si="45"/>
        <v>16</v>
      </c>
      <c r="AD45" s="448"/>
      <c r="AE45" s="232">
        <v>10</v>
      </c>
      <c r="AF45" s="232">
        <v>779</v>
      </c>
      <c r="AG45" s="234">
        <f t="shared" si="46"/>
        <v>77.900000000000006</v>
      </c>
      <c r="AH45" s="232">
        <f t="shared" si="47"/>
        <v>10</v>
      </c>
      <c r="AI45" s="448"/>
      <c r="AJ45" s="232">
        <v>10</v>
      </c>
      <c r="AK45" s="232">
        <v>609</v>
      </c>
      <c r="AL45" s="337">
        <f t="shared" si="48"/>
        <v>60.9</v>
      </c>
      <c r="AM45" s="232">
        <f t="shared" si="49"/>
        <v>16</v>
      </c>
      <c r="AN45" s="448"/>
      <c r="AO45" s="232">
        <v>10</v>
      </c>
      <c r="AP45" s="232">
        <v>866</v>
      </c>
      <c r="AQ45" s="234">
        <f t="shared" si="50"/>
        <v>86.6</v>
      </c>
      <c r="AR45" s="232">
        <f t="shared" si="51"/>
        <v>9</v>
      </c>
      <c r="AS45" s="448"/>
      <c r="AT45" s="232">
        <v>10</v>
      </c>
      <c r="AU45" s="232">
        <v>685</v>
      </c>
      <c r="AV45" s="234">
        <f t="shared" si="52"/>
        <v>68.5</v>
      </c>
      <c r="AW45" s="232">
        <f t="shared" si="53"/>
        <v>16</v>
      </c>
      <c r="AX45" s="448"/>
    </row>
    <row r="46" spans="2:50">
      <c r="B46" s="444"/>
      <c r="C46" s="232">
        <v>17</v>
      </c>
      <c r="D46" s="232"/>
      <c r="E46" s="233"/>
      <c r="F46" s="233"/>
      <c r="G46" s="234"/>
      <c r="H46" s="446"/>
      <c r="I46" s="232"/>
      <c r="J46" s="232"/>
      <c r="K46" s="232"/>
      <c r="L46" s="446"/>
      <c r="M46" s="233"/>
      <c r="N46" s="449"/>
      <c r="O46" s="449"/>
      <c r="P46" s="232"/>
      <c r="Q46" s="232"/>
      <c r="R46" s="232"/>
      <c r="S46" s="232"/>
      <c r="T46" s="448"/>
      <c r="U46" s="232"/>
      <c r="V46" s="232"/>
      <c r="W46" s="234"/>
      <c r="X46" s="232"/>
      <c r="Y46" s="448"/>
      <c r="Z46" s="232"/>
      <c r="AA46" s="232"/>
      <c r="AB46" s="232"/>
      <c r="AC46" s="232"/>
      <c r="AD46" s="448"/>
      <c r="AE46" s="232"/>
      <c r="AF46" s="232"/>
      <c r="AG46" s="232"/>
      <c r="AH46" s="232"/>
      <c r="AI46" s="448"/>
      <c r="AJ46" s="232"/>
      <c r="AK46" s="232"/>
      <c r="AL46" s="232"/>
      <c r="AM46" s="232"/>
      <c r="AN46" s="448"/>
      <c r="AO46" s="232"/>
      <c r="AP46" s="232"/>
      <c r="AQ46" s="232"/>
      <c r="AR46" s="232"/>
      <c r="AS46" s="448"/>
      <c r="AT46" s="232"/>
      <c r="AU46" s="232"/>
      <c r="AV46" s="234"/>
      <c r="AW46" s="232"/>
      <c r="AX46" s="448"/>
    </row>
    <row r="47" spans="2:50">
      <c r="B47" s="444"/>
      <c r="C47" s="232">
        <v>18</v>
      </c>
      <c r="D47" s="232"/>
      <c r="E47" s="233"/>
      <c r="F47" s="233"/>
      <c r="G47" s="234"/>
      <c r="H47" s="447"/>
      <c r="I47" s="232"/>
      <c r="J47" s="232"/>
      <c r="K47" s="232"/>
      <c r="L47" s="447"/>
      <c r="M47" s="233"/>
      <c r="N47" s="449"/>
      <c r="O47" s="449"/>
      <c r="P47" s="232"/>
      <c r="Q47" s="232"/>
      <c r="R47" s="232"/>
      <c r="S47" s="232"/>
      <c r="T47" s="448"/>
      <c r="U47" s="232"/>
      <c r="V47" s="232"/>
      <c r="W47" s="234"/>
      <c r="X47" s="232"/>
      <c r="Y47" s="448"/>
      <c r="Z47" s="232"/>
      <c r="AA47" s="232"/>
      <c r="AB47" s="232"/>
      <c r="AC47" s="232"/>
      <c r="AD47" s="448"/>
      <c r="AE47" s="232"/>
      <c r="AF47" s="232"/>
      <c r="AG47" s="232"/>
      <c r="AH47" s="232"/>
      <c r="AI47" s="448"/>
      <c r="AJ47" s="232"/>
      <c r="AK47" s="232"/>
      <c r="AL47" s="232"/>
      <c r="AM47" s="232"/>
      <c r="AN47" s="448"/>
      <c r="AO47" s="232"/>
      <c r="AP47" s="232"/>
      <c r="AQ47" s="232"/>
      <c r="AR47" s="232"/>
      <c r="AS47" s="448"/>
      <c r="AT47" s="232"/>
      <c r="AU47" s="232"/>
      <c r="AV47" s="234"/>
      <c r="AW47" s="232"/>
      <c r="AX47" s="448"/>
    </row>
    <row r="48" spans="2:50" ht="15.6">
      <c r="B48" s="474" t="s">
        <v>82</v>
      </c>
      <c r="C48" s="475"/>
      <c r="D48" s="475"/>
      <c r="E48" s="475"/>
      <c r="F48" s="475"/>
      <c r="G48" s="475"/>
      <c r="H48" s="475"/>
      <c r="I48" s="237"/>
      <c r="J48" s="226"/>
      <c r="K48" s="237"/>
      <c r="L48" s="237"/>
      <c r="M48" s="227"/>
      <c r="N48" s="461" t="s">
        <v>83</v>
      </c>
      <c r="O48" s="461" t="s">
        <v>43</v>
      </c>
      <c r="P48" s="457">
        <v>46035</v>
      </c>
      <c r="Q48" s="444"/>
      <c r="R48" s="444"/>
      <c r="S48" s="444"/>
      <c r="T48" s="444"/>
      <c r="U48" s="457">
        <v>46036</v>
      </c>
      <c r="V48" s="444"/>
      <c r="W48" s="444"/>
      <c r="X48" s="444"/>
      <c r="Y48" s="444"/>
      <c r="Z48" s="457">
        <v>46037</v>
      </c>
      <c r="AA48" s="444"/>
      <c r="AB48" s="444"/>
      <c r="AC48" s="444"/>
      <c r="AD48" s="444"/>
      <c r="AE48" s="457">
        <v>46038</v>
      </c>
      <c r="AF48" s="444"/>
      <c r="AG48" s="444"/>
      <c r="AH48" s="444"/>
      <c r="AI48" s="444"/>
      <c r="AJ48" s="457">
        <v>46039</v>
      </c>
      <c r="AK48" s="444"/>
      <c r="AL48" s="444"/>
      <c r="AM48" s="444"/>
      <c r="AN48" s="444"/>
      <c r="AO48" s="457">
        <v>46040</v>
      </c>
      <c r="AP48" s="444"/>
      <c r="AQ48" s="444"/>
      <c r="AR48" s="444"/>
      <c r="AS48" s="444"/>
      <c r="AT48" s="457">
        <v>46041</v>
      </c>
      <c r="AU48" s="444"/>
      <c r="AV48" s="444"/>
      <c r="AW48" s="444"/>
      <c r="AX48" s="444"/>
    </row>
    <row r="49" spans="2:50" ht="15.6">
      <c r="B49" s="460"/>
      <c r="C49" s="460"/>
      <c r="D49" s="460"/>
      <c r="E49" s="460"/>
      <c r="F49" s="460"/>
      <c r="G49" s="460"/>
      <c r="H49" s="460"/>
      <c r="I49" s="228"/>
      <c r="J49" s="228"/>
      <c r="K49" s="228"/>
      <c r="L49" s="228"/>
      <c r="M49" s="229"/>
      <c r="N49" s="462"/>
      <c r="O49" s="462"/>
      <c r="P49" s="457" t="s">
        <v>57</v>
      </c>
      <c r="Q49" s="444"/>
      <c r="R49" s="444"/>
      <c r="S49" s="444"/>
      <c r="T49" s="444"/>
      <c r="U49" s="457" t="s">
        <v>58</v>
      </c>
      <c r="V49" s="444"/>
      <c r="W49" s="444"/>
      <c r="X49" s="444"/>
      <c r="Y49" s="444"/>
      <c r="Z49" s="457" t="s">
        <v>54</v>
      </c>
      <c r="AA49" s="444"/>
      <c r="AB49" s="444"/>
      <c r="AC49" s="444"/>
      <c r="AD49" s="444"/>
      <c r="AE49" s="457" t="s">
        <v>55</v>
      </c>
      <c r="AF49" s="444"/>
      <c r="AG49" s="444"/>
      <c r="AH49" s="444"/>
      <c r="AI49" s="444"/>
      <c r="AJ49" s="457" t="s">
        <v>56</v>
      </c>
      <c r="AK49" s="444"/>
      <c r="AL49" s="444"/>
      <c r="AM49" s="444"/>
      <c r="AN49" s="444"/>
      <c r="AO49" s="457" t="s">
        <v>50</v>
      </c>
      <c r="AP49" s="444"/>
      <c r="AQ49" s="444"/>
      <c r="AR49" s="444"/>
      <c r="AS49" s="444"/>
      <c r="AT49" s="457" t="s">
        <v>53</v>
      </c>
      <c r="AU49" s="444"/>
      <c r="AV49" s="444"/>
      <c r="AW49" s="444"/>
      <c r="AX49" s="444"/>
    </row>
    <row r="50" spans="2:50">
      <c r="B50" s="449" t="s">
        <v>39</v>
      </c>
      <c r="C50" s="449" t="s">
        <v>84</v>
      </c>
      <c r="D50" s="449"/>
      <c r="E50" s="449" t="s">
        <v>85</v>
      </c>
      <c r="F50" s="449"/>
      <c r="G50" s="449"/>
      <c r="H50" s="454" t="s">
        <v>86</v>
      </c>
      <c r="I50" s="449" t="s">
        <v>87</v>
      </c>
      <c r="J50" s="449"/>
      <c r="K50" s="449"/>
      <c r="L50" s="454" t="s">
        <v>86</v>
      </c>
      <c r="M50" s="461" t="s">
        <v>88</v>
      </c>
      <c r="N50" s="449"/>
      <c r="O50" s="449" t="s">
        <v>89</v>
      </c>
      <c r="P50" s="450" t="s">
        <v>90</v>
      </c>
      <c r="Q50" s="451"/>
      <c r="R50" s="451"/>
      <c r="S50" s="452"/>
      <c r="T50" s="449" t="s">
        <v>86</v>
      </c>
      <c r="U50" s="450" t="s">
        <v>90</v>
      </c>
      <c r="V50" s="451"/>
      <c r="W50" s="451"/>
      <c r="X50" s="452"/>
      <c r="Y50" s="449" t="s">
        <v>86</v>
      </c>
      <c r="Z50" s="450" t="s">
        <v>90</v>
      </c>
      <c r="AA50" s="451"/>
      <c r="AB50" s="451"/>
      <c r="AC50" s="452"/>
      <c r="AD50" s="449" t="s">
        <v>86</v>
      </c>
      <c r="AE50" s="450" t="s">
        <v>90</v>
      </c>
      <c r="AF50" s="451"/>
      <c r="AG50" s="451"/>
      <c r="AH50" s="452"/>
      <c r="AI50" s="449" t="s">
        <v>86</v>
      </c>
      <c r="AJ50" s="450" t="s">
        <v>90</v>
      </c>
      <c r="AK50" s="451"/>
      <c r="AL50" s="451"/>
      <c r="AM50" s="452"/>
      <c r="AN50" s="449" t="s">
        <v>86</v>
      </c>
      <c r="AO50" s="450" t="s">
        <v>90</v>
      </c>
      <c r="AP50" s="451"/>
      <c r="AQ50" s="451"/>
      <c r="AR50" s="452"/>
      <c r="AS50" s="449" t="s">
        <v>86</v>
      </c>
      <c r="AT50" s="450" t="s">
        <v>90</v>
      </c>
      <c r="AU50" s="451"/>
      <c r="AV50" s="451"/>
      <c r="AW50" s="452"/>
      <c r="AX50" s="449" t="s">
        <v>86</v>
      </c>
    </row>
    <row r="51" spans="2:50">
      <c r="B51" s="449"/>
      <c r="C51" s="449"/>
      <c r="D51" s="449"/>
      <c r="E51" s="449" t="s">
        <v>91</v>
      </c>
      <c r="F51" s="449"/>
      <c r="G51" s="449"/>
      <c r="H51" s="455"/>
      <c r="I51" s="449" t="s">
        <v>91</v>
      </c>
      <c r="J51" s="449"/>
      <c r="K51" s="449"/>
      <c r="L51" s="455"/>
      <c r="M51" s="472"/>
      <c r="N51" s="449"/>
      <c r="O51" s="449"/>
      <c r="P51" s="450" t="s">
        <v>92</v>
      </c>
      <c r="Q51" s="451"/>
      <c r="R51" s="451"/>
      <c r="S51" s="452"/>
      <c r="T51" s="449"/>
      <c r="U51" s="450" t="s">
        <v>92</v>
      </c>
      <c r="V51" s="451"/>
      <c r="W51" s="451"/>
      <c r="X51" s="452"/>
      <c r="Y51" s="449"/>
      <c r="Z51" s="450" t="s">
        <v>92</v>
      </c>
      <c r="AA51" s="451"/>
      <c r="AB51" s="451"/>
      <c r="AC51" s="452"/>
      <c r="AD51" s="449"/>
      <c r="AE51" s="450" t="s">
        <v>92</v>
      </c>
      <c r="AF51" s="451"/>
      <c r="AG51" s="451"/>
      <c r="AH51" s="452"/>
      <c r="AI51" s="449"/>
      <c r="AJ51" s="450" t="s">
        <v>92</v>
      </c>
      <c r="AK51" s="451"/>
      <c r="AL51" s="451"/>
      <c r="AM51" s="452"/>
      <c r="AN51" s="449"/>
      <c r="AO51" s="450" t="s">
        <v>92</v>
      </c>
      <c r="AP51" s="451"/>
      <c r="AQ51" s="451"/>
      <c r="AR51" s="452"/>
      <c r="AS51" s="449"/>
      <c r="AT51" s="450" t="s">
        <v>92</v>
      </c>
      <c r="AU51" s="451"/>
      <c r="AV51" s="451"/>
      <c r="AW51" s="452"/>
      <c r="AX51" s="449"/>
    </row>
    <row r="52" spans="2:50">
      <c r="B52" s="449"/>
      <c r="C52" s="449"/>
      <c r="D52" s="449"/>
      <c r="E52" s="231" t="s">
        <v>93</v>
      </c>
      <c r="F52" s="231" t="s">
        <v>94</v>
      </c>
      <c r="G52" s="231" t="s">
        <v>95</v>
      </c>
      <c r="H52" s="456"/>
      <c r="I52" s="231" t="s">
        <v>93</v>
      </c>
      <c r="J52" s="231" t="s">
        <v>94</v>
      </c>
      <c r="K52" s="231" t="s">
        <v>95</v>
      </c>
      <c r="L52" s="456"/>
      <c r="M52" s="462"/>
      <c r="N52" s="449"/>
      <c r="O52" s="449"/>
      <c r="P52" s="231" t="s">
        <v>93</v>
      </c>
      <c r="Q52" s="231" t="s">
        <v>94</v>
      </c>
      <c r="R52" s="231" t="s">
        <v>95</v>
      </c>
      <c r="S52" s="231" t="s">
        <v>88</v>
      </c>
      <c r="T52" s="449"/>
      <c r="U52" s="231" t="s">
        <v>93</v>
      </c>
      <c r="V52" s="231" t="s">
        <v>94</v>
      </c>
      <c r="W52" s="231" t="s">
        <v>95</v>
      </c>
      <c r="X52" s="231" t="s">
        <v>88</v>
      </c>
      <c r="Y52" s="449"/>
      <c r="Z52" s="231" t="s">
        <v>93</v>
      </c>
      <c r="AA52" s="231" t="s">
        <v>94</v>
      </c>
      <c r="AB52" s="231" t="s">
        <v>95</v>
      </c>
      <c r="AC52" s="231" t="s">
        <v>88</v>
      </c>
      <c r="AD52" s="449"/>
      <c r="AE52" s="231" t="s">
        <v>93</v>
      </c>
      <c r="AF52" s="231" t="s">
        <v>94</v>
      </c>
      <c r="AG52" s="231" t="s">
        <v>95</v>
      </c>
      <c r="AH52" s="231" t="s">
        <v>88</v>
      </c>
      <c r="AI52" s="449"/>
      <c r="AJ52" s="231" t="s">
        <v>93</v>
      </c>
      <c r="AK52" s="231" t="s">
        <v>94</v>
      </c>
      <c r="AL52" s="231" t="s">
        <v>95</v>
      </c>
      <c r="AM52" s="231" t="s">
        <v>88</v>
      </c>
      <c r="AN52" s="449"/>
      <c r="AO52" s="231" t="s">
        <v>93</v>
      </c>
      <c r="AP52" s="231" t="s">
        <v>94</v>
      </c>
      <c r="AQ52" s="231" t="s">
        <v>95</v>
      </c>
      <c r="AR52" s="231" t="s">
        <v>88</v>
      </c>
      <c r="AS52" s="449"/>
      <c r="AT52" s="231" t="s">
        <v>93</v>
      </c>
      <c r="AU52" s="231" t="s">
        <v>94</v>
      </c>
      <c r="AV52" s="231" t="s">
        <v>95</v>
      </c>
      <c r="AW52" s="231" t="s">
        <v>88</v>
      </c>
      <c r="AX52" s="449"/>
    </row>
    <row r="53" spans="2:50" ht="12.95">
      <c r="B53" s="444" t="s">
        <v>96</v>
      </c>
      <c r="C53" s="232">
        <v>1</v>
      </c>
      <c r="D53" s="236" t="s">
        <v>97</v>
      </c>
      <c r="E53" s="233">
        <f>VLOOKUP(D53,'12產線配置圖 (2)'!$A$2:$C$25,2,0)</f>
        <v>12</v>
      </c>
      <c r="F53" s="233">
        <f>VLOOKUP(D53,'12產線配置圖 (2)'!$A$2:$C$25,3,0)</f>
        <v>2000</v>
      </c>
      <c r="G53" s="234">
        <f>F53/E53</f>
        <v>166.66666666666666</v>
      </c>
      <c r="H53" s="445">
        <f>AVERAGE(G53:G70)</f>
        <v>108.73403411845507</v>
      </c>
      <c r="I53" s="233">
        <f>AVERAGE(P53,U53,Z53,AE53,AJ53,AO53,AT53)</f>
        <v>12</v>
      </c>
      <c r="J53" s="233">
        <f>AVERAGE(Q53,V53,AA53,AF53,AK53,AP53,AU53)</f>
        <v>1855.7142857142858</v>
      </c>
      <c r="K53" s="234">
        <f>AVERAGE(R53,W53,AB53,AG53,AL53,AQ53,AV53)</f>
        <v>154.64285714285714</v>
      </c>
      <c r="L53" s="445">
        <f>IFERROR(AVERAGE(K53:K70),"-")</f>
        <v>100.98609420020921</v>
      </c>
      <c r="M53" s="233">
        <f>RANK(K53, K$53:$K$70)</f>
        <v>1</v>
      </c>
      <c r="N53" s="449"/>
      <c r="O53" s="449"/>
      <c r="P53" s="233">
        <v>12</v>
      </c>
      <c r="Q53" s="233">
        <v>1902</v>
      </c>
      <c r="R53" s="234">
        <f>Q53/P53</f>
        <v>158.5</v>
      </c>
      <c r="S53" s="232">
        <f>RANK(R53, $R$53:$R$70)</f>
        <v>1</v>
      </c>
      <c r="T53" s="448">
        <f>AVERAGE(R53:R70)</f>
        <v>100.58564307934712</v>
      </c>
      <c r="U53" s="233">
        <v>12</v>
      </c>
      <c r="V53" s="233">
        <v>1843</v>
      </c>
      <c r="W53" s="234">
        <f>V53/U53</f>
        <v>153.58333333333334</v>
      </c>
      <c r="X53" s="232">
        <f>RANK(W53,$W$53:$W$70)</f>
        <v>1</v>
      </c>
      <c r="Y53" s="448">
        <f>AVERAGE(W53:W70)</f>
        <v>98.81175406497097</v>
      </c>
      <c r="Z53" s="233">
        <v>12</v>
      </c>
      <c r="AA53" s="233">
        <v>1632</v>
      </c>
      <c r="AB53" s="234">
        <f>AA53/Z53</f>
        <v>136</v>
      </c>
      <c r="AC53" s="232">
        <f>RANK(AB53, $AB$53:$AB$70)</f>
        <v>3</v>
      </c>
      <c r="AD53" s="448">
        <f>AVERAGE(AB53:AB70)</f>
        <v>97.853615083854052</v>
      </c>
      <c r="AE53" s="233">
        <v>12</v>
      </c>
      <c r="AF53" s="233">
        <v>1986</v>
      </c>
      <c r="AG53" s="234">
        <f>AF53/AE53</f>
        <v>165.5</v>
      </c>
      <c r="AH53" s="232">
        <f>RANK(AG53, $AG$53:$AG$70)</f>
        <v>1</v>
      </c>
      <c r="AI53" s="448">
        <f>AVERAGE(AG53:AG70)</f>
        <v>103.00249676793796</v>
      </c>
      <c r="AJ53" s="233">
        <v>12</v>
      </c>
      <c r="AK53" s="233">
        <v>1859</v>
      </c>
      <c r="AL53" s="234">
        <f>AK53/AJ53</f>
        <v>154.91666666666666</v>
      </c>
      <c r="AM53" s="232">
        <f>RANK(AL53,$AL$53:$AL$70)</f>
        <v>1</v>
      </c>
      <c r="AN53" s="448">
        <f>AVERAGE(AL53:AL70)</f>
        <v>101.28993072389211</v>
      </c>
      <c r="AO53" s="233">
        <v>12</v>
      </c>
      <c r="AP53" s="233">
        <v>1887</v>
      </c>
      <c r="AQ53" s="234">
        <f>AP53/AO53</f>
        <v>157.25</v>
      </c>
      <c r="AR53" s="232">
        <f>RANK(AQ53,$AQ$53:$AQ$70)</f>
        <v>1</v>
      </c>
      <c r="AS53" s="448">
        <f>AVERAGE(AQ53:AQ70)</f>
        <v>103.39087458701428</v>
      </c>
      <c r="AT53" s="233">
        <v>12</v>
      </c>
      <c r="AU53" s="233">
        <v>1881</v>
      </c>
      <c r="AV53" s="234">
        <f>AU53/AT53</f>
        <v>156.75</v>
      </c>
      <c r="AW53" s="232">
        <f>RANK(AV53,$AV$53:$AV$70)</f>
        <v>1</v>
      </c>
      <c r="AX53" s="448">
        <f>AVERAGE(AV53:AV70)</f>
        <v>101.96834509444803</v>
      </c>
    </row>
    <row r="54" spans="2:50">
      <c r="B54" s="444"/>
      <c r="C54" s="232">
        <v>2</v>
      </c>
      <c r="D54" s="232" t="s">
        <v>98</v>
      </c>
      <c r="E54" s="233">
        <f>VLOOKUP(D54,'12產線配置圖 (2)'!$A$2:$C$25,2,0)</f>
        <v>14</v>
      </c>
      <c r="F54" s="233">
        <f>VLOOKUP(D54,'12產線配置圖 (2)'!$A$2:$C$25,3,0)</f>
        <v>2000</v>
      </c>
      <c r="G54" s="234">
        <f t="shared" ref="G54:G64" si="54">F54/E54</f>
        <v>142.85714285714286</v>
      </c>
      <c r="H54" s="446"/>
      <c r="I54" s="233">
        <f t="shared" ref="I54:K68" si="55">AVERAGE(P54,U54,Z54,AE54,AJ54,AO54,AT54)</f>
        <v>14</v>
      </c>
      <c r="J54" s="233">
        <f t="shared" si="55"/>
        <v>1911.8571428571429</v>
      </c>
      <c r="K54" s="234">
        <f t="shared" si="55"/>
        <v>136.5612244897959</v>
      </c>
      <c r="L54" s="446"/>
      <c r="M54" s="233">
        <f>RANK(K54, K$53:$K$70)</f>
        <v>4</v>
      </c>
      <c r="N54" s="449"/>
      <c r="O54" s="449"/>
      <c r="P54" s="335">
        <v>14</v>
      </c>
      <c r="Q54" s="233">
        <v>1911</v>
      </c>
      <c r="R54" s="234">
        <f t="shared" ref="R54:R64" si="56">Q54/P54</f>
        <v>136.5</v>
      </c>
      <c r="S54" s="232">
        <f t="shared" ref="S54:S64" si="57">RANK(R54, $R$53:$R$70)</f>
        <v>3</v>
      </c>
      <c r="T54" s="448"/>
      <c r="U54" s="335">
        <v>14</v>
      </c>
      <c r="V54" s="233">
        <v>1849</v>
      </c>
      <c r="W54" s="234">
        <f t="shared" ref="W54:W68" si="58">V54/U54</f>
        <v>132.07142857142858</v>
      </c>
      <c r="X54" s="232">
        <f t="shared" ref="X54:X68" si="59">RANK(W54,$W$53:$W$70)</f>
        <v>3</v>
      </c>
      <c r="Y54" s="448"/>
      <c r="Z54" s="335">
        <v>14</v>
      </c>
      <c r="AA54" s="233">
        <v>1878</v>
      </c>
      <c r="AB54" s="234">
        <f t="shared" ref="AB54:AB68" si="60">AA54/Z54</f>
        <v>134.14285714285714</v>
      </c>
      <c r="AC54" s="232">
        <f t="shared" ref="AC54:AC68" si="61">RANK(AB54, $AB$53:$AB$70)</f>
        <v>4</v>
      </c>
      <c r="AD54" s="448"/>
      <c r="AE54" s="335">
        <v>14</v>
      </c>
      <c r="AF54" s="233">
        <v>1984</v>
      </c>
      <c r="AG54" s="234">
        <f t="shared" ref="AG54:AG68" si="62">AF54/AE54</f>
        <v>141.71428571428572</v>
      </c>
      <c r="AH54" s="232">
        <f t="shared" ref="AH54:AH68" si="63">RANK(AG54, $AG$53:$AG$70)</f>
        <v>4</v>
      </c>
      <c r="AI54" s="448"/>
      <c r="AJ54" s="335">
        <v>14</v>
      </c>
      <c r="AK54" s="233">
        <v>1874</v>
      </c>
      <c r="AL54" s="234">
        <f t="shared" ref="AL54:AL68" si="64">AK54/AJ54</f>
        <v>133.85714285714286</v>
      </c>
      <c r="AM54" s="232">
        <f t="shared" ref="AM54:AM68" si="65">RANK(AL54,$AL$53:$AL$70)</f>
        <v>4</v>
      </c>
      <c r="AN54" s="448"/>
      <c r="AO54" s="335">
        <v>14</v>
      </c>
      <c r="AP54" s="233">
        <v>1930</v>
      </c>
      <c r="AQ54" s="234">
        <f t="shared" ref="AQ54:AQ68" si="66">AP54/AO54</f>
        <v>137.85714285714286</v>
      </c>
      <c r="AR54" s="232">
        <f t="shared" ref="AR54:AR68" si="67">RANK(AQ54,$AQ$53:$AQ$70)</f>
        <v>4</v>
      </c>
      <c r="AS54" s="448"/>
      <c r="AT54" s="335">
        <v>14</v>
      </c>
      <c r="AU54" s="233">
        <v>1957</v>
      </c>
      <c r="AV54" s="234">
        <f t="shared" ref="AV54:AV68" si="68">AU54/AT54</f>
        <v>139.78571428571428</v>
      </c>
      <c r="AW54" s="232">
        <f t="shared" ref="AW54:AW68" si="69">RANK(AV54,$AV$53:$AV$70)</f>
        <v>4</v>
      </c>
      <c r="AX54" s="448"/>
    </row>
    <row r="55" spans="2:50">
      <c r="B55" s="444"/>
      <c r="C55" s="232">
        <v>3</v>
      </c>
      <c r="D55" s="232" t="s">
        <v>99</v>
      </c>
      <c r="E55" s="233">
        <f>VLOOKUP(D55,'12產線配置圖 (2)'!$A$2:$C$25,2,0)</f>
        <v>13</v>
      </c>
      <c r="F55" s="233">
        <f>VLOOKUP(D55,'12產線配置圖 (2)'!$A$2:$C$25,3,0)</f>
        <v>2000</v>
      </c>
      <c r="G55" s="234">
        <f t="shared" si="54"/>
        <v>153.84615384615384</v>
      </c>
      <c r="H55" s="446"/>
      <c r="I55" s="233">
        <f t="shared" si="55"/>
        <v>13</v>
      </c>
      <c r="J55" s="233">
        <f t="shared" si="55"/>
        <v>1935.1428571428571</v>
      </c>
      <c r="K55" s="234">
        <f t="shared" si="55"/>
        <v>148.85714285714286</v>
      </c>
      <c r="L55" s="446"/>
      <c r="M55" s="233">
        <f>RANK(K55, K$53:$K$70)</f>
        <v>2</v>
      </c>
      <c r="N55" s="449"/>
      <c r="O55" s="449"/>
      <c r="P55" s="333">
        <v>13</v>
      </c>
      <c r="Q55" s="233">
        <v>1853</v>
      </c>
      <c r="R55" s="234">
        <f>Q55/P55</f>
        <v>142.53846153846155</v>
      </c>
      <c r="S55" s="232">
        <f>RANK(R55, $R$53:$R$70)</f>
        <v>2</v>
      </c>
      <c r="T55" s="448"/>
      <c r="U55" s="333">
        <v>13</v>
      </c>
      <c r="V55" s="233">
        <v>1975</v>
      </c>
      <c r="W55" s="234">
        <f t="shared" si="58"/>
        <v>151.92307692307693</v>
      </c>
      <c r="X55" s="232">
        <f t="shared" si="59"/>
        <v>2</v>
      </c>
      <c r="Y55" s="448"/>
      <c r="Z55" s="333">
        <v>13</v>
      </c>
      <c r="AA55" s="233">
        <v>1875</v>
      </c>
      <c r="AB55" s="234">
        <f t="shared" si="60"/>
        <v>144.23076923076923</v>
      </c>
      <c r="AC55" s="232">
        <f t="shared" si="61"/>
        <v>2</v>
      </c>
      <c r="AD55" s="448"/>
      <c r="AE55" s="333">
        <v>13</v>
      </c>
      <c r="AF55" s="233">
        <v>1969</v>
      </c>
      <c r="AG55" s="234">
        <f t="shared" si="62"/>
        <v>151.46153846153845</v>
      </c>
      <c r="AH55" s="232">
        <f t="shared" si="63"/>
        <v>3</v>
      </c>
      <c r="AI55" s="448"/>
      <c r="AJ55" s="333">
        <v>13</v>
      </c>
      <c r="AK55" s="233">
        <v>1996</v>
      </c>
      <c r="AL55" s="234">
        <f t="shared" si="64"/>
        <v>153.53846153846155</v>
      </c>
      <c r="AM55" s="232">
        <f t="shared" si="65"/>
        <v>2</v>
      </c>
      <c r="AN55" s="448"/>
      <c r="AO55" s="333">
        <v>13</v>
      </c>
      <c r="AP55" s="233">
        <v>1984</v>
      </c>
      <c r="AQ55" s="234">
        <f t="shared" si="66"/>
        <v>152.61538461538461</v>
      </c>
      <c r="AR55" s="232">
        <f t="shared" si="67"/>
        <v>2</v>
      </c>
      <c r="AS55" s="448"/>
      <c r="AT55" s="333">
        <v>13</v>
      </c>
      <c r="AU55" s="233">
        <v>1894</v>
      </c>
      <c r="AV55" s="234">
        <f t="shared" si="68"/>
        <v>145.69230769230768</v>
      </c>
      <c r="AW55" s="232">
        <f t="shared" si="69"/>
        <v>2</v>
      </c>
      <c r="AX55" s="448"/>
    </row>
    <row r="56" spans="2:50">
      <c r="B56" s="444"/>
      <c r="C56" s="232">
        <v>4</v>
      </c>
      <c r="D56" s="232" t="s">
        <v>100</v>
      </c>
      <c r="E56" s="233">
        <f>VLOOKUP(D56,'12產線配置圖 (2)'!$A$2:$C$25,2,0)</f>
        <v>18</v>
      </c>
      <c r="F56" s="233">
        <f>VLOOKUP(D56,'12產線配置圖 (2)'!$A$2:$C$25,3,0)</f>
        <v>1600</v>
      </c>
      <c r="G56" s="234">
        <f t="shared" si="54"/>
        <v>88.888888888888886</v>
      </c>
      <c r="H56" s="446"/>
      <c r="I56" s="233">
        <f t="shared" si="55"/>
        <v>18</v>
      </c>
      <c r="J56" s="233">
        <f t="shared" si="55"/>
        <v>1506.8571428571429</v>
      </c>
      <c r="K56" s="234">
        <f t="shared" si="55"/>
        <v>83.714285714285708</v>
      </c>
      <c r="L56" s="446"/>
      <c r="M56" s="233">
        <f>RANK(K56, K$53:$K$70)</f>
        <v>11</v>
      </c>
      <c r="N56" s="449"/>
      <c r="O56" s="449"/>
      <c r="P56" s="233">
        <v>18</v>
      </c>
      <c r="Q56" s="233">
        <v>1580</v>
      </c>
      <c r="R56" s="234">
        <f t="shared" si="56"/>
        <v>87.777777777777771</v>
      </c>
      <c r="S56" s="232">
        <f t="shared" si="57"/>
        <v>10</v>
      </c>
      <c r="T56" s="448"/>
      <c r="U56" s="233">
        <v>18</v>
      </c>
      <c r="V56" s="233">
        <v>1561</v>
      </c>
      <c r="W56" s="234">
        <f t="shared" si="58"/>
        <v>86.722222222222229</v>
      </c>
      <c r="X56" s="232">
        <f t="shared" si="59"/>
        <v>9</v>
      </c>
      <c r="Y56" s="448"/>
      <c r="Z56" s="233">
        <v>18</v>
      </c>
      <c r="AA56" s="233">
        <v>1388</v>
      </c>
      <c r="AB56" s="234">
        <f t="shared" si="60"/>
        <v>77.111111111111114</v>
      </c>
      <c r="AC56" s="232">
        <f t="shared" si="61"/>
        <v>12</v>
      </c>
      <c r="AD56" s="448"/>
      <c r="AE56" s="233">
        <v>18</v>
      </c>
      <c r="AF56" s="233">
        <v>1430</v>
      </c>
      <c r="AG56" s="234">
        <f t="shared" si="62"/>
        <v>79.444444444444443</v>
      </c>
      <c r="AH56" s="232">
        <f t="shared" si="63"/>
        <v>12</v>
      </c>
      <c r="AI56" s="448"/>
      <c r="AJ56" s="233">
        <v>18</v>
      </c>
      <c r="AK56" s="233">
        <v>1533</v>
      </c>
      <c r="AL56" s="234">
        <f t="shared" si="64"/>
        <v>85.166666666666671</v>
      </c>
      <c r="AM56" s="232">
        <f t="shared" si="65"/>
        <v>12</v>
      </c>
      <c r="AN56" s="448"/>
      <c r="AO56" s="233">
        <v>18</v>
      </c>
      <c r="AP56" s="233">
        <v>1526</v>
      </c>
      <c r="AQ56" s="234">
        <f t="shared" si="66"/>
        <v>84.777777777777771</v>
      </c>
      <c r="AR56" s="232">
        <f t="shared" si="67"/>
        <v>9</v>
      </c>
      <c r="AS56" s="448"/>
      <c r="AT56" s="233">
        <v>18</v>
      </c>
      <c r="AU56" s="233">
        <v>1530</v>
      </c>
      <c r="AV56" s="234">
        <f t="shared" si="68"/>
        <v>85</v>
      </c>
      <c r="AW56" s="232">
        <f t="shared" si="69"/>
        <v>11</v>
      </c>
      <c r="AX56" s="448"/>
    </row>
    <row r="57" spans="2:50">
      <c r="B57" s="444"/>
      <c r="C57" s="232">
        <v>5</v>
      </c>
      <c r="D57" s="232" t="s">
        <v>101</v>
      </c>
      <c r="E57" s="233">
        <f>VLOOKUP(D57,'12產線配置圖 (2)'!$A$2:$C$25,2,0)</f>
        <v>13</v>
      </c>
      <c r="F57" s="233">
        <f>VLOOKUP(D57,'12產線配置圖 (2)'!$A$2:$C$25,3,0)</f>
        <v>2105</v>
      </c>
      <c r="G57" s="234">
        <f t="shared" si="54"/>
        <v>161.92307692307693</v>
      </c>
      <c r="H57" s="446"/>
      <c r="I57" s="233">
        <f t="shared" si="55"/>
        <v>13.714285714285714</v>
      </c>
      <c r="J57" s="233">
        <f t="shared" si="55"/>
        <v>1928.7142857142858</v>
      </c>
      <c r="K57" s="234">
        <f t="shared" si="55"/>
        <v>140.88618524332807</v>
      </c>
      <c r="L57" s="446"/>
      <c r="M57" s="233">
        <f>RANK(K57, K$53:$K$70)</f>
        <v>3</v>
      </c>
      <c r="N57" s="449"/>
      <c r="O57" s="449"/>
      <c r="P57" s="335">
        <v>14</v>
      </c>
      <c r="Q57" s="233">
        <v>1654</v>
      </c>
      <c r="R57" s="234">
        <f t="shared" si="56"/>
        <v>118.14285714285714</v>
      </c>
      <c r="S57" s="232">
        <f t="shared" si="57"/>
        <v>4</v>
      </c>
      <c r="T57" s="448"/>
      <c r="U57" s="335">
        <v>14</v>
      </c>
      <c r="V57" s="233">
        <v>1801</v>
      </c>
      <c r="W57" s="234">
        <f t="shared" si="58"/>
        <v>128.64285714285714</v>
      </c>
      <c r="X57" s="232">
        <f t="shared" si="59"/>
        <v>4</v>
      </c>
      <c r="Y57" s="448"/>
      <c r="Z57" s="233">
        <v>13</v>
      </c>
      <c r="AA57" s="233">
        <v>1887</v>
      </c>
      <c r="AB57" s="234">
        <f t="shared" si="60"/>
        <v>145.15384615384616</v>
      </c>
      <c r="AC57" s="232">
        <f t="shared" si="61"/>
        <v>1</v>
      </c>
      <c r="AD57" s="448"/>
      <c r="AE57" s="233">
        <v>13</v>
      </c>
      <c r="AF57" s="233">
        <v>2089</v>
      </c>
      <c r="AG57" s="234">
        <f t="shared" si="62"/>
        <v>160.69230769230768</v>
      </c>
      <c r="AH57" s="232">
        <f t="shared" si="63"/>
        <v>2</v>
      </c>
      <c r="AI57" s="448"/>
      <c r="AJ57" s="335">
        <v>14</v>
      </c>
      <c r="AK57" s="233">
        <v>1962</v>
      </c>
      <c r="AL57" s="234">
        <f t="shared" si="64"/>
        <v>140.14285714285714</v>
      </c>
      <c r="AM57" s="232">
        <f t="shared" si="65"/>
        <v>3</v>
      </c>
      <c r="AN57" s="448"/>
      <c r="AO57" s="335">
        <v>14</v>
      </c>
      <c r="AP57" s="233">
        <v>2105</v>
      </c>
      <c r="AQ57" s="234">
        <f t="shared" si="66"/>
        <v>150.35714285714286</v>
      </c>
      <c r="AR57" s="232">
        <f t="shared" si="67"/>
        <v>3</v>
      </c>
      <c r="AS57" s="448"/>
      <c r="AT57" s="335">
        <v>14</v>
      </c>
      <c r="AU57" s="233">
        <v>2003</v>
      </c>
      <c r="AV57" s="234">
        <f t="shared" si="68"/>
        <v>143.07142857142858</v>
      </c>
      <c r="AW57" s="232">
        <f t="shared" si="69"/>
        <v>3</v>
      </c>
      <c r="AX57" s="448"/>
    </row>
    <row r="58" spans="2:50">
      <c r="B58" s="444"/>
      <c r="C58" s="232">
        <v>6</v>
      </c>
      <c r="D58" s="232" t="s">
        <v>102</v>
      </c>
      <c r="E58" s="233">
        <f>VLOOKUP(D58,'12產線配置圖 (2)'!$A$2:$C$25,2,0)</f>
        <v>17</v>
      </c>
      <c r="F58" s="233">
        <f>VLOOKUP(D58,'12產線配置圖 (2)'!$A$2:$C$25,3,0)</f>
        <v>2000</v>
      </c>
      <c r="G58" s="234">
        <f t="shared" si="54"/>
        <v>117.64705882352941</v>
      </c>
      <c r="H58" s="446"/>
      <c r="I58" s="233">
        <f t="shared" si="55"/>
        <v>16.142857142857142</v>
      </c>
      <c r="J58" s="233">
        <f t="shared" si="55"/>
        <v>1801</v>
      </c>
      <c r="K58" s="234">
        <f t="shared" si="55"/>
        <v>111.38991596638655</v>
      </c>
      <c r="L58" s="446"/>
      <c r="M58" s="233">
        <f>RANK(K58, K$53:$K$70)</f>
        <v>5</v>
      </c>
      <c r="N58" s="449"/>
      <c r="O58" s="449"/>
      <c r="P58" s="335">
        <v>17</v>
      </c>
      <c r="Q58" s="233">
        <v>1945</v>
      </c>
      <c r="R58" s="234">
        <f t="shared" si="56"/>
        <v>114.41176470588235</v>
      </c>
      <c r="S58" s="232">
        <f t="shared" si="57"/>
        <v>5</v>
      </c>
      <c r="T58" s="448"/>
      <c r="U58" s="335">
        <v>15</v>
      </c>
      <c r="V58" s="233">
        <v>1715</v>
      </c>
      <c r="W58" s="234">
        <f t="shared" si="58"/>
        <v>114.33333333333333</v>
      </c>
      <c r="X58" s="232">
        <f t="shared" si="59"/>
        <v>5</v>
      </c>
      <c r="Y58" s="448"/>
      <c r="Z58" s="335">
        <v>17</v>
      </c>
      <c r="AA58" s="233">
        <v>1887</v>
      </c>
      <c r="AB58" s="234">
        <f t="shared" si="60"/>
        <v>111</v>
      </c>
      <c r="AC58" s="232">
        <f t="shared" si="61"/>
        <v>5</v>
      </c>
      <c r="AD58" s="448"/>
      <c r="AE58" s="335">
        <v>15</v>
      </c>
      <c r="AF58" s="233">
        <v>1475</v>
      </c>
      <c r="AG58" s="234">
        <f t="shared" si="62"/>
        <v>98.333333333333329</v>
      </c>
      <c r="AH58" s="232">
        <f t="shared" si="63"/>
        <v>7</v>
      </c>
      <c r="AI58" s="448"/>
      <c r="AJ58" s="335">
        <v>15</v>
      </c>
      <c r="AK58" s="233">
        <v>1673</v>
      </c>
      <c r="AL58" s="234">
        <f t="shared" si="64"/>
        <v>111.53333333333333</v>
      </c>
      <c r="AM58" s="232">
        <f t="shared" si="65"/>
        <v>5</v>
      </c>
      <c r="AN58" s="448"/>
      <c r="AO58" s="335">
        <v>17</v>
      </c>
      <c r="AP58" s="233">
        <v>1926</v>
      </c>
      <c r="AQ58" s="234">
        <f t="shared" si="66"/>
        <v>113.29411764705883</v>
      </c>
      <c r="AR58" s="232">
        <f t="shared" si="67"/>
        <v>5</v>
      </c>
      <c r="AS58" s="448"/>
      <c r="AT58" s="335">
        <v>17</v>
      </c>
      <c r="AU58" s="233">
        <v>1986</v>
      </c>
      <c r="AV58" s="234">
        <f t="shared" si="68"/>
        <v>116.82352941176471</v>
      </c>
      <c r="AW58" s="232">
        <f t="shared" si="69"/>
        <v>5</v>
      </c>
      <c r="AX58" s="448"/>
    </row>
    <row r="59" spans="2:50" ht="12.95">
      <c r="B59" s="444"/>
      <c r="C59" s="232">
        <v>7</v>
      </c>
      <c r="D59" s="232" t="s">
        <v>103</v>
      </c>
      <c r="E59" s="233">
        <f>VLOOKUP(D59,'12產線配置圖 (2)'!$A$2:$C$25,2,0)</f>
        <v>16</v>
      </c>
      <c r="F59" s="233">
        <f>VLOOKUP(D59,'12產線配置圖 (2)'!$A$2:$C$25,3,0)</f>
        <v>1385</v>
      </c>
      <c r="G59" s="234">
        <f t="shared" si="54"/>
        <v>86.5625</v>
      </c>
      <c r="H59" s="446"/>
      <c r="I59" s="233">
        <f>AVERAGE(P59,U59,Z59,AE59,AJ59,AO59,AT59)</f>
        <v>12.428571428571429</v>
      </c>
      <c r="J59" s="233">
        <f>AVERAGE(Q59,V59,AA59,AF59,AK59,AP59,AU59)</f>
        <v>962.57142857142856</v>
      </c>
      <c r="K59" s="234">
        <f>AVERAGE(R59,W59,AB59,AG59,AL59,AQ59,AV59)</f>
        <v>77.867575281861008</v>
      </c>
      <c r="L59" s="446"/>
      <c r="M59" s="233">
        <f>RANK(K59, K$53:$K$70)</f>
        <v>12</v>
      </c>
      <c r="N59" s="449"/>
      <c r="O59" s="449"/>
      <c r="P59" s="333">
        <v>12</v>
      </c>
      <c r="Q59" s="233">
        <v>930</v>
      </c>
      <c r="R59" s="234">
        <f>Q59/P59</f>
        <v>77.5</v>
      </c>
      <c r="S59" s="232">
        <f>RANK(R59, $R$53:$R$70)</f>
        <v>14</v>
      </c>
      <c r="T59" s="448"/>
      <c r="U59" s="333">
        <v>11</v>
      </c>
      <c r="V59" s="233">
        <v>794</v>
      </c>
      <c r="W59" s="234">
        <f>V59/U59</f>
        <v>72.181818181818187</v>
      </c>
      <c r="X59" s="232">
        <f>RANK(W59,$W$53:$W$70)</f>
        <v>14</v>
      </c>
      <c r="Y59" s="448"/>
      <c r="Z59" s="333">
        <v>9</v>
      </c>
      <c r="AA59" s="233">
        <v>762</v>
      </c>
      <c r="AB59" s="234">
        <f t="shared" si="60"/>
        <v>84.666666666666671</v>
      </c>
      <c r="AC59" s="232">
        <f t="shared" si="61"/>
        <v>10</v>
      </c>
      <c r="AD59" s="448"/>
      <c r="AE59" s="333">
        <v>13</v>
      </c>
      <c r="AF59" s="233">
        <v>1088</v>
      </c>
      <c r="AG59" s="234">
        <f>AF59/AE59</f>
        <v>83.692307692307693</v>
      </c>
      <c r="AH59" s="232">
        <f>RANK(AG59, $AG$53:$AG$70)</f>
        <v>9</v>
      </c>
      <c r="AI59" s="448"/>
      <c r="AJ59" s="333">
        <v>13</v>
      </c>
      <c r="AK59" s="233">
        <v>1110</v>
      </c>
      <c r="AL59" s="234">
        <f>AK59/AJ59</f>
        <v>85.384615384615387</v>
      </c>
      <c r="AM59" s="232">
        <f>RANK(AL59,$AL$53:$AL$70)</f>
        <v>11</v>
      </c>
      <c r="AN59" s="448"/>
      <c r="AO59" s="233">
        <v>14</v>
      </c>
      <c r="AP59" s="233">
        <v>990</v>
      </c>
      <c r="AQ59" s="340">
        <f t="shared" si="66"/>
        <v>70.714285714285708</v>
      </c>
      <c r="AR59" s="232">
        <f t="shared" si="67"/>
        <v>16</v>
      </c>
      <c r="AS59" s="448"/>
      <c r="AT59" s="333">
        <v>15</v>
      </c>
      <c r="AU59" s="233">
        <v>1064</v>
      </c>
      <c r="AV59" s="340">
        <f t="shared" si="68"/>
        <v>70.933333333333337</v>
      </c>
      <c r="AW59" s="232">
        <f t="shared" si="69"/>
        <v>16</v>
      </c>
      <c r="AX59" s="448"/>
    </row>
    <row r="60" spans="2:50" ht="12.95">
      <c r="B60" s="444"/>
      <c r="C60" s="232">
        <v>8</v>
      </c>
      <c r="D60" s="232" t="s">
        <v>104</v>
      </c>
      <c r="E60" s="233">
        <f>VLOOKUP(D60,'12產線配置圖 (2)'!$A$2:$C$25,2,0)</f>
        <v>17</v>
      </c>
      <c r="F60" s="233">
        <f>VLOOKUP(D60,'12產線配置圖 (2)'!$A$2:$C$25,3,0)</f>
        <v>1385</v>
      </c>
      <c r="G60" s="234">
        <f t="shared" si="54"/>
        <v>81.470588235294116</v>
      </c>
      <c r="H60" s="446"/>
      <c r="I60" s="233">
        <f t="shared" si="55"/>
        <v>16.142857142857142</v>
      </c>
      <c r="J60" s="233">
        <f t="shared" si="55"/>
        <v>1208.5714285714287</v>
      </c>
      <c r="K60" s="234">
        <f t="shared" si="55"/>
        <v>74.734628851540606</v>
      </c>
      <c r="L60" s="446"/>
      <c r="M60" s="233">
        <f>RANK(K60, K$53:$K$70)</f>
        <v>15</v>
      </c>
      <c r="N60" s="449"/>
      <c r="O60" s="449"/>
      <c r="P60" s="233">
        <v>15</v>
      </c>
      <c r="Q60" s="233">
        <v>1033</v>
      </c>
      <c r="R60" s="340">
        <f t="shared" si="56"/>
        <v>68.86666666666666</v>
      </c>
      <c r="S60" s="232">
        <f t="shared" si="57"/>
        <v>16</v>
      </c>
      <c r="T60" s="448"/>
      <c r="U60" s="333">
        <v>16</v>
      </c>
      <c r="V60" s="233">
        <v>1247</v>
      </c>
      <c r="W60" s="234">
        <f t="shared" si="58"/>
        <v>77.9375</v>
      </c>
      <c r="X60" s="232">
        <f t="shared" si="59"/>
        <v>13</v>
      </c>
      <c r="Y60" s="448"/>
      <c r="Z60" s="333">
        <v>16</v>
      </c>
      <c r="AA60" s="233">
        <v>1174</v>
      </c>
      <c r="AB60" s="337">
        <f t="shared" si="60"/>
        <v>73.375</v>
      </c>
      <c r="AC60" s="232">
        <f t="shared" si="61"/>
        <v>14</v>
      </c>
      <c r="AD60" s="448"/>
      <c r="AE60" s="333">
        <v>17</v>
      </c>
      <c r="AF60" s="233">
        <v>1367</v>
      </c>
      <c r="AG60" s="234">
        <f t="shared" si="62"/>
        <v>80.411764705882348</v>
      </c>
      <c r="AH60" s="232">
        <f t="shared" si="63"/>
        <v>11</v>
      </c>
      <c r="AI60" s="448"/>
      <c r="AJ60" s="333">
        <v>16</v>
      </c>
      <c r="AK60" s="233">
        <v>1072</v>
      </c>
      <c r="AL60" s="340">
        <f t="shared" si="64"/>
        <v>67</v>
      </c>
      <c r="AM60" s="232">
        <f t="shared" si="65"/>
        <v>15</v>
      </c>
      <c r="AN60" s="448"/>
      <c r="AO60" s="333">
        <v>16</v>
      </c>
      <c r="AP60" s="233">
        <v>1238</v>
      </c>
      <c r="AQ60" s="234">
        <f t="shared" si="66"/>
        <v>77.375</v>
      </c>
      <c r="AR60" s="232">
        <f t="shared" si="67"/>
        <v>14</v>
      </c>
      <c r="AS60" s="448"/>
      <c r="AT60" s="333">
        <v>17</v>
      </c>
      <c r="AU60" s="233">
        <v>1329</v>
      </c>
      <c r="AV60" s="234">
        <f t="shared" si="68"/>
        <v>78.17647058823529</v>
      </c>
      <c r="AW60" s="232">
        <f t="shared" si="69"/>
        <v>14</v>
      </c>
      <c r="AX60" s="448"/>
    </row>
    <row r="61" spans="2:50">
      <c r="B61" s="444"/>
      <c r="C61" s="232">
        <v>9</v>
      </c>
      <c r="D61" s="232" t="s">
        <v>105</v>
      </c>
      <c r="E61" s="233">
        <f>VLOOKUP(D61,'12產線配置圖 (2)'!$A$2:$C$25,2,0)</f>
        <v>17</v>
      </c>
      <c r="F61" s="233">
        <f>VLOOKUP(D61,'12產線配置圖 (2)'!$A$2:$C$25,3,0)</f>
        <v>1565</v>
      </c>
      <c r="G61" s="234">
        <f t="shared" si="54"/>
        <v>92.058823529411768</v>
      </c>
      <c r="H61" s="446"/>
      <c r="I61" s="233">
        <f t="shared" si="55"/>
        <v>17</v>
      </c>
      <c r="J61" s="233">
        <f t="shared" si="55"/>
        <v>1470</v>
      </c>
      <c r="K61" s="234">
        <f t="shared" si="55"/>
        <v>86.470588235294116</v>
      </c>
      <c r="L61" s="446"/>
      <c r="M61" s="233">
        <f>RANK(K61, K$53:$K$70)</f>
        <v>9</v>
      </c>
      <c r="N61" s="449"/>
      <c r="O61" s="449"/>
      <c r="P61" s="233">
        <v>17</v>
      </c>
      <c r="Q61" s="233">
        <v>1559</v>
      </c>
      <c r="R61" s="234">
        <f t="shared" si="56"/>
        <v>91.705882352941174</v>
      </c>
      <c r="S61" s="232">
        <f t="shared" si="57"/>
        <v>8</v>
      </c>
      <c r="T61" s="448"/>
      <c r="U61" s="233">
        <v>17</v>
      </c>
      <c r="V61" s="233">
        <v>1337</v>
      </c>
      <c r="W61" s="234">
        <f t="shared" si="58"/>
        <v>78.647058823529406</v>
      </c>
      <c r="X61" s="232">
        <f t="shared" si="59"/>
        <v>12</v>
      </c>
      <c r="Y61" s="448"/>
      <c r="Z61" s="233">
        <v>17</v>
      </c>
      <c r="AA61" s="233">
        <v>1494</v>
      </c>
      <c r="AB61" s="234">
        <f t="shared" si="60"/>
        <v>87.882352941176464</v>
      </c>
      <c r="AC61" s="232">
        <f t="shared" si="61"/>
        <v>8</v>
      </c>
      <c r="AD61" s="448"/>
      <c r="AE61" s="233">
        <v>17</v>
      </c>
      <c r="AF61" s="233">
        <v>1314</v>
      </c>
      <c r="AG61" s="234">
        <f t="shared" si="62"/>
        <v>77.294117647058826</v>
      </c>
      <c r="AH61" s="232">
        <f t="shared" si="63"/>
        <v>15</v>
      </c>
      <c r="AI61" s="448"/>
      <c r="AJ61" s="233">
        <v>17</v>
      </c>
      <c r="AK61" s="233">
        <v>1557</v>
      </c>
      <c r="AL61" s="234">
        <f t="shared" si="64"/>
        <v>91.588235294117652</v>
      </c>
      <c r="AM61" s="232">
        <f t="shared" si="65"/>
        <v>8</v>
      </c>
      <c r="AN61" s="448"/>
      <c r="AO61" s="233">
        <v>17</v>
      </c>
      <c r="AP61" s="233">
        <v>1496</v>
      </c>
      <c r="AQ61" s="234">
        <f t="shared" si="66"/>
        <v>88</v>
      </c>
      <c r="AR61" s="232">
        <f t="shared" si="67"/>
        <v>8</v>
      </c>
      <c r="AS61" s="448"/>
      <c r="AT61" s="233">
        <v>17</v>
      </c>
      <c r="AU61" s="233">
        <v>1533</v>
      </c>
      <c r="AV61" s="234">
        <f t="shared" si="68"/>
        <v>90.17647058823529</v>
      </c>
      <c r="AW61" s="232">
        <f t="shared" si="69"/>
        <v>8</v>
      </c>
      <c r="AX61" s="448"/>
    </row>
    <row r="62" spans="2:50">
      <c r="B62" s="444"/>
      <c r="C62" s="232">
        <v>10</v>
      </c>
      <c r="D62" s="232" t="s">
        <v>106</v>
      </c>
      <c r="E62" s="233">
        <f>VLOOKUP(D62,'12產線配置圖 (2)'!$A$2:$C$25,2,0)</f>
        <v>18</v>
      </c>
      <c r="F62" s="233">
        <f>VLOOKUP(D62,'12產線配置圖 (2)'!$A$2:$C$25,3,0)</f>
        <v>1565</v>
      </c>
      <c r="G62" s="234">
        <f t="shared" si="54"/>
        <v>86.944444444444443</v>
      </c>
      <c r="H62" s="446"/>
      <c r="I62" s="233">
        <f t="shared" si="55"/>
        <v>18</v>
      </c>
      <c r="J62" s="233">
        <f t="shared" si="55"/>
        <v>1507</v>
      </c>
      <c r="K62" s="234">
        <f t="shared" si="55"/>
        <v>83.722222222222214</v>
      </c>
      <c r="L62" s="446"/>
      <c r="M62" s="233">
        <f>RANK(K62, K$53:$K$70)</f>
        <v>10</v>
      </c>
      <c r="N62" s="449"/>
      <c r="O62" s="449"/>
      <c r="P62" s="335">
        <v>18</v>
      </c>
      <c r="Q62" s="233">
        <v>1555</v>
      </c>
      <c r="R62" s="234">
        <f t="shared" si="56"/>
        <v>86.388888888888886</v>
      </c>
      <c r="S62" s="232">
        <f t="shared" si="57"/>
        <v>11</v>
      </c>
      <c r="T62" s="448"/>
      <c r="U62" s="335">
        <v>18</v>
      </c>
      <c r="V62" s="233">
        <v>1516</v>
      </c>
      <c r="W62" s="234">
        <f t="shared" si="58"/>
        <v>84.222222222222229</v>
      </c>
      <c r="X62" s="232">
        <f t="shared" si="59"/>
        <v>10</v>
      </c>
      <c r="Y62" s="448"/>
      <c r="Z62" s="335">
        <v>18</v>
      </c>
      <c r="AA62" s="233">
        <v>1425</v>
      </c>
      <c r="AB62" s="234">
        <f t="shared" si="60"/>
        <v>79.166666666666671</v>
      </c>
      <c r="AC62" s="232">
        <f t="shared" si="61"/>
        <v>11</v>
      </c>
      <c r="AD62" s="448"/>
      <c r="AE62" s="333">
        <v>18</v>
      </c>
      <c r="AF62" s="233">
        <v>1459</v>
      </c>
      <c r="AG62" s="234">
        <f t="shared" si="62"/>
        <v>81.055555555555557</v>
      </c>
      <c r="AH62" s="232">
        <f t="shared" si="63"/>
        <v>10</v>
      </c>
      <c r="AI62" s="448"/>
      <c r="AJ62" s="335">
        <v>18</v>
      </c>
      <c r="AK62" s="233">
        <v>1549</v>
      </c>
      <c r="AL62" s="234">
        <f t="shared" si="64"/>
        <v>86.055555555555557</v>
      </c>
      <c r="AM62" s="232">
        <f t="shared" si="65"/>
        <v>10</v>
      </c>
      <c r="AN62" s="448"/>
      <c r="AO62" s="335">
        <v>18</v>
      </c>
      <c r="AP62" s="233">
        <v>1502</v>
      </c>
      <c r="AQ62" s="234">
        <f t="shared" si="66"/>
        <v>83.444444444444443</v>
      </c>
      <c r="AR62" s="232">
        <f t="shared" si="67"/>
        <v>12</v>
      </c>
      <c r="AS62" s="448"/>
      <c r="AT62" s="335">
        <v>18</v>
      </c>
      <c r="AU62" s="233">
        <v>1543</v>
      </c>
      <c r="AV62" s="234">
        <f t="shared" si="68"/>
        <v>85.722222222222229</v>
      </c>
      <c r="AW62" s="232">
        <f t="shared" si="69"/>
        <v>10</v>
      </c>
      <c r="AX62" s="448"/>
    </row>
    <row r="63" spans="2:50" ht="12.95">
      <c r="B63" s="444"/>
      <c r="C63" s="232">
        <v>11</v>
      </c>
      <c r="D63" s="232" t="s">
        <v>107</v>
      </c>
      <c r="E63" s="233">
        <f>VLOOKUP(D63,'12產線配置圖 (2)'!$A$2:$C$25,2,0)</f>
        <v>16</v>
      </c>
      <c r="F63" s="233">
        <f>VLOOKUP(D63,'12產線配置圖 (2)'!$A$2:$C$25,3,0)</f>
        <v>1406</v>
      </c>
      <c r="G63" s="234">
        <f t="shared" si="54"/>
        <v>87.875</v>
      </c>
      <c r="H63" s="446"/>
      <c r="I63" s="233">
        <f t="shared" si="55"/>
        <v>14.428571428571429</v>
      </c>
      <c r="J63" s="233">
        <f t="shared" si="55"/>
        <v>1113</v>
      </c>
      <c r="K63" s="234">
        <f t="shared" si="55"/>
        <v>77.162899005756145</v>
      </c>
      <c r="L63" s="446"/>
      <c r="M63" s="233">
        <f>RANK(K63, K$53:$K$70)</f>
        <v>14</v>
      </c>
      <c r="N63" s="449"/>
      <c r="O63" s="449"/>
      <c r="P63" s="232">
        <v>15</v>
      </c>
      <c r="Q63" s="232">
        <v>1228</v>
      </c>
      <c r="R63" s="234">
        <f t="shared" si="56"/>
        <v>81.86666666666666</v>
      </c>
      <c r="S63" s="232">
        <f t="shared" si="57"/>
        <v>12</v>
      </c>
      <c r="T63" s="448"/>
      <c r="U63" s="232">
        <v>15</v>
      </c>
      <c r="V63" s="232">
        <v>1201</v>
      </c>
      <c r="W63" s="234">
        <f t="shared" si="58"/>
        <v>80.066666666666663</v>
      </c>
      <c r="X63" s="232">
        <f t="shared" si="59"/>
        <v>11</v>
      </c>
      <c r="Y63" s="448"/>
      <c r="Z63" s="232">
        <v>15</v>
      </c>
      <c r="AA63" s="232">
        <v>1060</v>
      </c>
      <c r="AB63" s="337">
        <f t="shared" si="60"/>
        <v>70.666666666666671</v>
      </c>
      <c r="AC63" s="232">
        <f t="shared" si="61"/>
        <v>16</v>
      </c>
      <c r="AD63" s="448"/>
      <c r="AE63" s="339">
        <v>13</v>
      </c>
      <c r="AF63" s="232">
        <v>1017</v>
      </c>
      <c r="AG63" s="234">
        <f t="shared" si="62"/>
        <v>78.230769230769226</v>
      </c>
      <c r="AH63" s="232">
        <f t="shared" si="63"/>
        <v>14</v>
      </c>
      <c r="AI63" s="448"/>
      <c r="AJ63" s="339">
        <v>14</v>
      </c>
      <c r="AK63" s="232">
        <v>999</v>
      </c>
      <c r="AL63" s="340">
        <f t="shared" si="64"/>
        <v>71.357142857142861</v>
      </c>
      <c r="AM63" s="232">
        <f t="shared" si="65"/>
        <v>14</v>
      </c>
      <c r="AN63" s="448"/>
      <c r="AO63" s="339">
        <v>14</v>
      </c>
      <c r="AP63" s="232">
        <v>1166</v>
      </c>
      <c r="AQ63" s="234">
        <f t="shared" si="66"/>
        <v>83.285714285714292</v>
      </c>
      <c r="AR63" s="232">
        <f t="shared" si="67"/>
        <v>13</v>
      </c>
      <c r="AS63" s="448"/>
      <c r="AT63" s="232">
        <v>15</v>
      </c>
      <c r="AU63" s="232">
        <v>1120</v>
      </c>
      <c r="AV63" s="340">
        <f t="shared" si="68"/>
        <v>74.666666666666671</v>
      </c>
      <c r="AW63" s="232">
        <f t="shared" si="69"/>
        <v>15</v>
      </c>
      <c r="AX63" s="448"/>
    </row>
    <row r="64" spans="2:50">
      <c r="B64" s="444"/>
      <c r="C64" s="232">
        <v>12</v>
      </c>
      <c r="D64" s="232" t="s">
        <v>108</v>
      </c>
      <c r="E64" s="233">
        <f>VLOOKUP(D64,'12產線配置圖 (2)'!$A$2:$C$25,2,0)</f>
        <v>14</v>
      </c>
      <c r="F64" s="233">
        <f>VLOOKUP(D64,'12產線配置圖 (2)'!$A$2:$C$25,3,0)</f>
        <v>1440</v>
      </c>
      <c r="G64" s="234">
        <f t="shared" si="54"/>
        <v>102.85714285714286</v>
      </c>
      <c r="H64" s="446"/>
      <c r="I64" s="233">
        <f t="shared" si="55"/>
        <v>14</v>
      </c>
      <c r="J64" s="233">
        <f t="shared" si="55"/>
        <v>1409.7142857142858</v>
      </c>
      <c r="K64" s="234">
        <f t="shared" si="55"/>
        <v>100.69387755102041</v>
      </c>
      <c r="L64" s="446"/>
      <c r="M64" s="233">
        <f>RANK(K64, K$53:$K$70)</f>
        <v>7</v>
      </c>
      <c r="N64" s="449"/>
      <c r="O64" s="449"/>
      <c r="P64" s="339">
        <v>14</v>
      </c>
      <c r="Q64" s="233">
        <v>1428</v>
      </c>
      <c r="R64" s="234">
        <f t="shared" si="56"/>
        <v>102</v>
      </c>
      <c r="S64" s="232">
        <f t="shared" si="57"/>
        <v>6</v>
      </c>
      <c r="T64" s="448"/>
      <c r="U64" s="339">
        <v>14</v>
      </c>
      <c r="V64" s="233">
        <v>1404</v>
      </c>
      <c r="W64" s="234">
        <f t="shared" si="58"/>
        <v>100.28571428571429</v>
      </c>
      <c r="X64" s="232">
        <f t="shared" si="59"/>
        <v>6</v>
      </c>
      <c r="Y64" s="448"/>
      <c r="Z64" s="339">
        <v>14</v>
      </c>
      <c r="AA64" s="233">
        <v>1334</v>
      </c>
      <c r="AB64" s="234">
        <f t="shared" si="60"/>
        <v>95.285714285714292</v>
      </c>
      <c r="AC64" s="232">
        <f t="shared" si="61"/>
        <v>7</v>
      </c>
      <c r="AD64" s="448"/>
      <c r="AE64" s="339">
        <v>14</v>
      </c>
      <c r="AF64" s="233">
        <v>1396</v>
      </c>
      <c r="AG64" s="234">
        <f t="shared" si="62"/>
        <v>99.714285714285708</v>
      </c>
      <c r="AH64" s="232">
        <f t="shared" si="63"/>
        <v>6</v>
      </c>
      <c r="AI64" s="448"/>
      <c r="AJ64" s="339">
        <v>14</v>
      </c>
      <c r="AK64" s="233">
        <v>1439</v>
      </c>
      <c r="AL64" s="234">
        <f t="shared" si="64"/>
        <v>102.78571428571429</v>
      </c>
      <c r="AM64" s="232">
        <f t="shared" si="65"/>
        <v>7</v>
      </c>
      <c r="AN64" s="448"/>
      <c r="AO64" s="339">
        <v>14</v>
      </c>
      <c r="AP64" s="233">
        <v>1434</v>
      </c>
      <c r="AQ64" s="234">
        <f t="shared" si="66"/>
        <v>102.42857142857143</v>
      </c>
      <c r="AR64" s="232">
        <f t="shared" si="67"/>
        <v>7</v>
      </c>
      <c r="AS64" s="448"/>
      <c r="AT64" s="232">
        <v>14</v>
      </c>
      <c r="AU64" s="233">
        <v>1433</v>
      </c>
      <c r="AV64" s="234">
        <f t="shared" si="68"/>
        <v>102.35714285714286</v>
      </c>
      <c r="AW64" s="232">
        <f t="shared" si="69"/>
        <v>6</v>
      </c>
      <c r="AX64" s="448"/>
    </row>
    <row r="65" spans="2:50">
      <c r="B65" s="444"/>
      <c r="C65" s="232">
        <v>13</v>
      </c>
      <c r="D65" s="232" t="s">
        <v>109</v>
      </c>
      <c r="E65" s="233">
        <f>VLOOKUP(D65,'12產線配置圖 (2)'!$A$2:$C$25,2,0)</f>
        <v>17</v>
      </c>
      <c r="F65" s="233">
        <f>VLOOKUP(D65,'12產線配置圖 (2)'!$A$2:$C$25,3,0)</f>
        <v>1500</v>
      </c>
      <c r="G65" s="234">
        <f>F65/E65</f>
        <v>88.235294117647058</v>
      </c>
      <c r="H65" s="446"/>
      <c r="I65" s="233">
        <f t="shared" si="55"/>
        <v>16.285714285714285</v>
      </c>
      <c r="J65" s="233">
        <f t="shared" si="55"/>
        <v>1410.2857142857142</v>
      </c>
      <c r="K65" s="234">
        <f t="shared" si="55"/>
        <v>86.54306722689077</v>
      </c>
      <c r="L65" s="446"/>
      <c r="M65" s="233">
        <f>RANK(K65, K$53:$K$70)</f>
        <v>8</v>
      </c>
      <c r="N65" s="449"/>
      <c r="O65" s="449"/>
      <c r="P65" s="341">
        <v>17</v>
      </c>
      <c r="Q65" s="232">
        <v>1499</v>
      </c>
      <c r="R65" s="234">
        <f>Q65/P65</f>
        <v>88.17647058823529</v>
      </c>
      <c r="S65" s="232">
        <f>RANK(R65, $R$53:$R$70)</f>
        <v>9</v>
      </c>
      <c r="T65" s="448"/>
      <c r="U65" s="341">
        <v>16</v>
      </c>
      <c r="V65" s="232">
        <v>1403</v>
      </c>
      <c r="W65" s="234">
        <f t="shared" si="58"/>
        <v>87.6875</v>
      </c>
      <c r="X65" s="232">
        <f t="shared" si="59"/>
        <v>8</v>
      </c>
      <c r="Y65" s="448"/>
      <c r="Z65" s="341">
        <v>16</v>
      </c>
      <c r="AA65" s="232">
        <v>1357</v>
      </c>
      <c r="AB65" s="234">
        <f t="shared" si="60"/>
        <v>84.8125</v>
      </c>
      <c r="AC65" s="232">
        <f t="shared" si="61"/>
        <v>9</v>
      </c>
      <c r="AD65" s="448"/>
      <c r="AE65" s="232">
        <v>15</v>
      </c>
      <c r="AF65" s="232">
        <v>1275</v>
      </c>
      <c r="AG65" s="234">
        <f t="shared" si="62"/>
        <v>85</v>
      </c>
      <c r="AH65" s="232">
        <f t="shared" si="63"/>
        <v>8</v>
      </c>
      <c r="AI65" s="448"/>
      <c r="AJ65" s="341">
        <v>17</v>
      </c>
      <c r="AK65" s="232">
        <v>1496</v>
      </c>
      <c r="AL65" s="234">
        <f t="shared" si="64"/>
        <v>88</v>
      </c>
      <c r="AM65" s="232">
        <f t="shared" si="65"/>
        <v>9</v>
      </c>
      <c r="AN65" s="448"/>
      <c r="AO65" s="341">
        <v>16</v>
      </c>
      <c r="AP65" s="232">
        <v>1346</v>
      </c>
      <c r="AQ65" s="234">
        <f t="shared" si="66"/>
        <v>84.125</v>
      </c>
      <c r="AR65" s="232">
        <f t="shared" si="67"/>
        <v>11</v>
      </c>
      <c r="AS65" s="448"/>
      <c r="AT65" s="341">
        <v>17</v>
      </c>
      <c r="AU65" s="232">
        <v>1496</v>
      </c>
      <c r="AV65" s="234">
        <f t="shared" si="68"/>
        <v>88</v>
      </c>
      <c r="AW65" s="232">
        <f t="shared" si="69"/>
        <v>9</v>
      </c>
      <c r="AX65" s="448"/>
    </row>
    <row r="66" spans="2:50" ht="12.95">
      <c r="B66" s="444"/>
      <c r="C66" s="232">
        <v>14</v>
      </c>
      <c r="D66" s="232" t="s">
        <v>110</v>
      </c>
      <c r="E66" s="233">
        <f>VLOOKUP(D66,'12產線配置圖 (2)'!$A$2:$C$25,2,0)</f>
        <v>17</v>
      </c>
      <c r="F66" s="233">
        <f>VLOOKUP(D66,'12產線配置圖 (2)'!$A$2:$C$25,3,0)</f>
        <v>1440</v>
      </c>
      <c r="G66" s="234">
        <f>F66/E66</f>
        <v>84.705882352941174</v>
      </c>
      <c r="H66" s="446"/>
      <c r="I66" s="233">
        <f t="shared" si="55"/>
        <v>15.571428571428571</v>
      </c>
      <c r="J66" s="233">
        <f t="shared" si="55"/>
        <v>1209.4285714285713</v>
      </c>
      <c r="K66" s="234">
        <f t="shared" si="55"/>
        <v>77.478411364545806</v>
      </c>
      <c r="L66" s="446"/>
      <c r="M66" s="233">
        <f>RANK(K66, K$53:$K$70)</f>
        <v>13</v>
      </c>
      <c r="N66" s="449"/>
      <c r="O66" s="449"/>
      <c r="P66" s="339">
        <v>16</v>
      </c>
      <c r="Q66" s="232">
        <v>1261</v>
      </c>
      <c r="R66" s="234">
        <f>Q66/P66</f>
        <v>78.8125</v>
      </c>
      <c r="S66" s="232">
        <f>RANK(R66, $R$53:$R$70)</f>
        <v>13</v>
      </c>
      <c r="T66" s="448"/>
      <c r="U66" s="339">
        <v>15</v>
      </c>
      <c r="V66" s="232">
        <v>1061</v>
      </c>
      <c r="W66" s="340">
        <f t="shared" si="58"/>
        <v>70.733333333333334</v>
      </c>
      <c r="X66" s="232">
        <f t="shared" si="59"/>
        <v>15</v>
      </c>
      <c r="Y66" s="448"/>
      <c r="Z66" s="339">
        <v>14</v>
      </c>
      <c r="AA66" s="232">
        <v>1031</v>
      </c>
      <c r="AB66" s="337">
        <f t="shared" si="60"/>
        <v>73.642857142857139</v>
      </c>
      <c r="AC66" s="232">
        <f t="shared" si="61"/>
        <v>13</v>
      </c>
      <c r="AD66" s="448"/>
      <c r="AE66" s="232">
        <v>14</v>
      </c>
      <c r="AF66" s="232">
        <v>1105</v>
      </c>
      <c r="AG66" s="234">
        <f t="shared" si="62"/>
        <v>78.928571428571431</v>
      </c>
      <c r="AH66" s="232">
        <f t="shared" si="63"/>
        <v>13</v>
      </c>
      <c r="AI66" s="448"/>
      <c r="AJ66" s="339">
        <v>16</v>
      </c>
      <c r="AK66" s="232">
        <v>1215</v>
      </c>
      <c r="AL66" s="234">
        <f t="shared" si="64"/>
        <v>75.9375</v>
      </c>
      <c r="AM66" s="232">
        <f t="shared" si="65"/>
        <v>13</v>
      </c>
      <c r="AN66" s="448"/>
      <c r="AO66" s="339">
        <v>17</v>
      </c>
      <c r="AP66" s="232">
        <v>1440</v>
      </c>
      <c r="AQ66" s="234">
        <f t="shared" si="66"/>
        <v>84.705882352941174</v>
      </c>
      <c r="AR66" s="232">
        <f t="shared" si="67"/>
        <v>10</v>
      </c>
      <c r="AS66" s="448"/>
      <c r="AT66" s="339">
        <v>17</v>
      </c>
      <c r="AU66" s="232">
        <v>1353</v>
      </c>
      <c r="AV66" s="234">
        <f t="shared" si="68"/>
        <v>79.588235294117652</v>
      </c>
      <c r="AW66" s="232">
        <f t="shared" si="69"/>
        <v>13</v>
      </c>
      <c r="AX66" s="448"/>
    </row>
    <row r="67" spans="2:50" ht="12.95">
      <c r="B67" s="444"/>
      <c r="C67" s="232">
        <v>15</v>
      </c>
      <c r="D67" s="232" t="s">
        <v>111</v>
      </c>
      <c r="E67" s="233">
        <v>17</v>
      </c>
      <c r="F67" s="233">
        <f>VLOOKUP(D67,'12產線配置圖 (2)'!$A$2:$C$25,3,0)</f>
        <v>1440</v>
      </c>
      <c r="G67" s="234">
        <f t="shared" ref="G67:G68" si="70">F67/E67</f>
        <v>84.705882352941174</v>
      </c>
      <c r="H67" s="446"/>
      <c r="I67" s="233">
        <f t="shared" si="55"/>
        <v>16.142857142857142</v>
      </c>
      <c r="J67" s="233">
        <f t="shared" si="55"/>
        <v>1198.1428571428571</v>
      </c>
      <c r="K67" s="234">
        <f t="shared" si="55"/>
        <v>74.190721288515405</v>
      </c>
      <c r="L67" s="446"/>
      <c r="M67" s="233">
        <f>RANK(K67, K$53:$K$70)</f>
        <v>16</v>
      </c>
      <c r="N67" s="449"/>
      <c r="O67" s="449"/>
      <c r="P67" s="339">
        <v>17</v>
      </c>
      <c r="Q67" s="232">
        <v>1307</v>
      </c>
      <c r="R67" s="234">
        <f>Q67/P67</f>
        <v>76.882352941176464</v>
      </c>
      <c r="S67" s="232">
        <f>RANK(R67, $R$53:$R$70)</f>
        <v>15</v>
      </c>
      <c r="T67" s="448"/>
      <c r="U67" s="339">
        <v>16</v>
      </c>
      <c r="V67" s="232">
        <v>1124</v>
      </c>
      <c r="W67" s="340">
        <f t="shared" si="58"/>
        <v>70.25</v>
      </c>
      <c r="X67" s="232">
        <f t="shared" si="59"/>
        <v>16</v>
      </c>
      <c r="Y67" s="448"/>
      <c r="Z67" s="339">
        <v>16</v>
      </c>
      <c r="AA67" s="232">
        <v>1155</v>
      </c>
      <c r="AB67" s="337">
        <f t="shared" si="60"/>
        <v>72.1875</v>
      </c>
      <c r="AC67" s="232">
        <f t="shared" si="61"/>
        <v>15</v>
      </c>
      <c r="AD67" s="448"/>
      <c r="AE67" s="339">
        <v>15</v>
      </c>
      <c r="AF67" s="232">
        <v>1126</v>
      </c>
      <c r="AG67" s="234">
        <f t="shared" si="62"/>
        <v>75.066666666666663</v>
      </c>
      <c r="AH67" s="232">
        <f t="shared" si="63"/>
        <v>16</v>
      </c>
      <c r="AI67" s="448"/>
      <c r="AJ67" s="232">
        <v>16</v>
      </c>
      <c r="AK67" s="232">
        <v>1054</v>
      </c>
      <c r="AL67" s="340">
        <f t="shared" si="64"/>
        <v>65.875</v>
      </c>
      <c r="AM67" s="232">
        <f t="shared" si="65"/>
        <v>16</v>
      </c>
      <c r="AN67" s="448"/>
      <c r="AO67" s="339">
        <v>17</v>
      </c>
      <c r="AP67" s="232">
        <v>1289</v>
      </c>
      <c r="AQ67" s="342">
        <f t="shared" si="66"/>
        <v>75.82352941176471</v>
      </c>
      <c r="AR67" s="232">
        <f t="shared" si="67"/>
        <v>15</v>
      </c>
      <c r="AS67" s="448"/>
      <c r="AT67" s="339">
        <v>16</v>
      </c>
      <c r="AU67" s="232">
        <v>1332</v>
      </c>
      <c r="AV67" s="234">
        <f t="shared" si="68"/>
        <v>83.25</v>
      </c>
      <c r="AW67" s="232">
        <f t="shared" si="69"/>
        <v>12</v>
      </c>
      <c r="AX67" s="448"/>
    </row>
    <row r="68" spans="2:50">
      <c r="B68" s="444"/>
      <c r="C68" s="232">
        <v>16</v>
      </c>
      <c r="D68" s="232" t="s">
        <v>112</v>
      </c>
      <c r="E68" s="233">
        <f>VLOOKUP(D68,'12產線配置圖 (2)'!$A$2:$C$25,2,0)</f>
        <v>10</v>
      </c>
      <c r="F68" s="233">
        <f>VLOOKUP(D68,'12產線配置圖 (2)'!$A$2:$C$25,3,0)</f>
        <v>1125</v>
      </c>
      <c r="G68" s="234">
        <f t="shared" si="70"/>
        <v>112.5</v>
      </c>
      <c r="H68" s="446"/>
      <c r="I68" s="233">
        <f t="shared" si="55"/>
        <v>9.8571428571428577</v>
      </c>
      <c r="J68" s="233">
        <f t="shared" si="55"/>
        <v>994.85714285714289</v>
      </c>
      <c r="K68" s="234">
        <f t="shared" si="55"/>
        <v>100.86190476190475</v>
      </c>
      <c r="L68" s="446"/>
      <c r="M68" s="233">
        <f>RANK(K68, K$53:$K$70)</f>
        <v>6</v>
      </c>
      <c r="N68" s="449"/>
      <c r="O68" s="449"/>
      <c r="P68" s="333">
        <v>10</v>
      </c>
      <c r="Q68" s="232">
        <v>993</v>
      </c>
      <c r="R68" s="234">
        <f>Q68/P68</f>
        <v>99.3</v>
      </c>
      <c r="S68" s="232">
        <f>RANK(R68, $R$53:$R$70)</f>
        <v>7</v>
      </c>
      <c r="T68" s="448"/>
      <c r="U68" s="339">
        <v>10</v>
      </c>
      <c r="V68" s="232">
        <v>917</v>
      </c>
      <c r="W68" s="234">
        <f t="shared" si="58"/>
        <v>91.7</v>
      </c>
      <c r="X68" s="232">
        <f t="shared" si="59"/>
        <v>7</v>
      </c>
      <c r="Y68" s="448"/>
      <c r="Z68" s="339">
        <v>9</v>
      </c>
      <c r="AA68" s="232">
        <v>867</v>
      </c>
      <c r="AB68" s="234">
        <f t="shared" si="60"/>
        <v>96.333333333333329</v>
      </c>
      <c r="AC68" s="232">
        <f t="shared" si="61"/>
        <v>6</v>
      </c>
      <c r="AD68" s="448"/>
      <c r="AE68" s="339">
        <v>10</v>
      </c>
      <c r="AF68" s="232">
        <v>1115</v>
      </c>
      <c r="AG68" s="234">
        <f t="shared" si="62"/>
        <v>111.5</v>
      </c>
      <c r="AH68" s="232">
        <f t="shared" si="63"/>
        <v>5</v>
      </c>
      <c r="AI68" s="448"/>
      <c r="AJ68" s="339">
        <v>10</v>
      </c>
      <c r="AK68" s="232">
        <v>1075</v>
      </c>
      <c r="AL68" s="234">
        <f t="shared" si="64"/>
        <v>107.5</v>
      </c>
      <c r="AM68" s="232">
        <f t="shared" si="65"/>
        <v>6</v>
      </c>
      <c r="AN68" s="448"/>
      <c r="AO68" s="339">
        <v>10</v>
      </c>
      <c r="AP68" s="232">
        <v>1082</v>
      </c>
      <c r="AQ68" s="234">
        <f t="shared" si="66"/>
        <v>108.2</v>
      </c>
      <c r="AR68" s="232">
        <f t="shared" si="67"/>
        <v>6</v>
      </c>
      <c r="AS68" s="448"/>
      <c r="AT68" s="232">
        <v>10</v>
      </c>
      <c r="AU68" s="232">
        <v>915</v>
      </c>
      <c r="AV68" s="234">
        <f t="shared" si="68"/>
        <v>91.5</v>
      </c>
      <c r="AW68" s="232">
        <f t="shared" si="69"/>
        <v>7</v>
      </c>
      <c r="AX68" s="448"/>
    </row>
    <row r="69" spans="2:50">
      <c r="B69" s="444"/>
      <c r="C69" s="232">
        <v>17</v>
      </c>
      <c r="D69" s="232"/>
      <c r="E69" s="232"/>
      <c r="F69" s="232"/>
      <c r="G69" s="234"/>
      <c r="H69" s="446"/>
      <c r="I69" s="232"/>
      <c r="J69" s="233"/>
      <c r="K69" s="234"/>
      <c r="L69" s="446"/>
      <c r="M69" s="233"/>
      <c r="N69" s="449"/>
      <c r="O69" s="449"/>
      <c r="P69" s="232"/>
      <c r="Q69" s="232"/>
      <c r="R69" s="234"/>
      <c r="S69" s="232"/>
      <c r="T69" s="448"/>
      <c r="U69" s="232"/>
      <c r="V69" s="232"/>
      <c r="W69" s="234"/>
      <c r="X69" s="232"/>
      <c r="Y69" s="448"/>
      <c r="Z69" s="232"/>
      <c r="AA69" s="232"/>
      <c r="AB69" s="234"/>
      <c r="AC69" s="232"/>
      <c r="AD69" s="448"/>
      <c r="AE69" s="232"/>
      <c r="AF69" s="232"/>
      <c r="AG69" s="234"/>
      <c r="AH69" s="232"/>
      <c r="AI69" s="448"/>
      <c r="AJ69" s="232"/>
      <c r="AK69" s="232"/>
      <c r="AL69" s="234"/>
      <c r="AM69" s="232"/>
      <c r="AN69" s="448"/>
      <c r="AO69" s="232"/>
      <c r="AP69" s="232"/>
      <c r="AQ69" s="234"/>
      <c r="AR69" s="232"/>
      <c r="AS69" s="448"/>
      <c r="AT69" s="232"/>
      <c r="AU69" s="232"/>
      <c r="AV69" s="234"/>
      <c r="AW69" s="232"/>
      <c r="AX69" s="448"/>
    </row>
    <row r="70" spans="2:50">
      <c r="B70" s="444"/>
      <c r="C70" s="232">
        <v>18</v>
      </c>
      <c r="D70" s="232"/>
      <c r="E70" s="232"/>
      <c r="F70" s="232"/>
      <c r="G70" s="234"/>
      <c r="H70" s="447"/>
      <c r="I70" s="232"/>
      <c r="J70" s="233"/>
      <c r="K70" s="234"/>
      <c r="L70" s="447"/>
      <c r="M70" s="233"/>
      <c r="N70" s="449"/>
      <c r="O70" s="449"/>
      <c r="P70" s="232"/>
      <c r="Q70" s="232"/>
      <c r="R70" s="234"/>
      <c r="S70" s="232"/>
      <c r="T70" s="448"/>
      <c r="U70" s="232"/>
      <c r="V70" s="232"/>
      <c r="W70" s="234"/>
      <c r="X70" s="232"/>
      <c r="Y70" s="448"/>
      <c r="Z70" s="232"/>
      <c r="AA70" s="232"/>
      <c r="AB70" s="234"/>
      <c r="AC70" s="232"/>
      <c r="AD70" s="448"/>
      <c r="AE70" s="232"/>
      <c r="AF70" s="232"/>
      <c r="AG70" s="234"/>
      <c r="AH70" s="232"/>
      <c r="AI70" s="448"/>
      <c r="AJ70" s="232"/>
      <c r="AK70" s="232"/>
      <c r="AL70" s="234"/>
      <c r="AM70" s="232"/>
      <c r="AN70" s="448"/>
      <c r="AO70" s="232"/>
      <c r="AP70" s="232"/>
      <c r="AQ70" s="234"/>
      <c r="AR70" s="232"/>
      <c r="AS70" s="448"/>
      <c r="AT70" s="232"/>
      <c r="AU70" s="232"/>
      <c r="AV70" s="234"/>
      <c r="AW70" s="232"/>
      <c r="AX70" s="448"/>
    </row>
    <row r="71" spans="2:50" ht="15.6">
      <c r="B71" s="468" t="s">
        <v>82</v>
      </c>
      <c r="C71" s="459"/>
      <c r="D71" s="459"/>
      <c r="E71" s="459"/>
      <c r="F71" s="459"/>
      <c r="G71" s="459"/>
      <c r="H71" s="459"/>
      <c r="I71" s="237"/>
      <c r="J71" s="237"/>
      <c r="K71" s="237"/>
      <c r="L71" s="237"/>
      <c r="M71" s="238"/>
      <c r="N71" s="461" t="s">
        <v>83</v>
      </c>
      <c r="O71" s="461" t="s">
        <v>43</v>
      </c>
      <c r="P71" s="457">
        <v>46042</v>
      </c>
      <c r="Q71" s="444"/>
      <c r="R71" s="444"/>
      <c r="S71" s="444"/>
      <c r="T71" s="444"/>
      <c r="U71" s="457">
        <v>46043</v>
      </c>
      <c r="V71" s="444"/>
      <c r="W71" s="444"/>
      <c r="X71" s="444"/>
      <c r="Y71" s="444"/>
      <c r="Z71" s="457">
        <v>46044</v>
      </c>
      <c r="AA71" s="444"/>
      <c r="AB71" s="444"/>
      <c r="AC71" s="444"/>
      <c r="AD71" s="444"/>
      <c r="AE71" s="457">
        <v>46045</v>
      </c>
      <c r="AF71" s="444"/>
      <c r="AG71" s="444"/>
      <c r="AH71" s="444"/>
      <c r="AI71" s="444"/>
      <c r="AJ71" s="457">
        <v>46046</v>
      </c>
      <c r="AK71" s="444"/>
      <c r="AL71" s="444"/>
      <c r="AM71" s="444"/>
      <c r="AN71" s="444"/>
      <c r="AO71" s="457">
        <v>46047</v>
      </c>
      <c r="AP71" s="444"/>
      <c r="AQ71" s="444"/>
      <c r="AR71" s="444"/>
      <c r="AS71" s="444"/>
      <c r="AT71" s="457">
        <v>46048</v>
      </c>
      <c r="AU71" s="444"/>
      <c r="AV71" s="444"/>
      <c r="AW71" s="444"/>
      <c r="AX71" s="444"/>
    </row>
    <row r="72" spans="2:50" ht="15.6">
      <c r="B72" s="460"/>
      <c r="C72" s="460"/>
      <c r="D72" s="460"/>
      <c r="E72" s="460"/>
      <c r="F72" s="460"/>
      <c r="G72" s="460"/>
      <c r="H72" s="460"/>
      <c r="I72" s="228"/>
      <c r="J72" s="228"/>
      <c r="K72" s="228"/>
      <c r="L72" s="228"/>
      <c r="M72" s="229"/>
      <c r="N72" s="462"/>
      <c r="O72" s="462"/>
      <c r="P72" s="457" t="s">
        <v>57</v>
      </c>
      <c r="Q72" s="444"/>
      <c r="R72" s="444"/>
      <c r="S72" s="444"/>
      <c r="T72" s="444"/>
      <c r="U72" s="457" t="s">
        <v>58</v>
      </c>
      <c r="V72" s="444"/>
      <c r="W72" s="444"/>
      <c r="X72" s="444"/>
      <c r="Y72" s="444"/>
      <c r="Z72" s="457" t="s">
        <v>54</v>
      </c>
      <c r="AA72" s="444"/>
      <c r="AB72" s="444"/>
      <c r="AC72" s="444"/>
      <c r="AD72" s="444"/>
      <c r="AE72" s="457" t="s">
        <v>55</v>
      </c>
      <c r="AF72" s="444"/>
      <c r="AG72" s="444"/>
      <c r="AH72" s="444"/>
      <c r="AI72" s="444"/>
      <c r="AJ72" s="457" t="s">
        <v>56</v>
      </c>
      <c r="AK72" s="444"/>
      <c r="AL72" s="444"/>
      <c r="AM72" s="444"/>
      <c r="AN72" s="444"/>
      <c r="AO72" s="457" t="s">
        <v>50</v>
      </c>
      <c r="AP72" s="444"/>
      <c r="AQ72" s="444"/>
      <c r="AR72" s="444"/>
      <c r="AS72" s="444"/>
      <c r="AT72" s="457" t="s">
        <v>53</v>
      </c>
      <c r="AU72" s="444"/>
      <c r="AV72" s="444"/>
      <c r="AW72" s="444"/>
      <c r="AX72" s="444"/>
    </row>
    <row r="73" spans="2:50" ht="12.75" customHeight="1">
      <c r="B73" s="449" t="s">
        <v>39</v>
      </c>
      <c r="C73" s="453" t="s">
        <v>84</v>
      </c>
      <c r="D73" s="449"/>
      <c r="E73" s="449" t="s">
        <v>85</v>
      </c>
      <c r="F73" s="449"/>
      <c r="G73" s="449"/>
      <c r="H73" s="454" t="s">
        <v>86</v>
      </c>
      <c r="I73" s="449" t="s">
        <v>87</v>
      </c>
      <c r="J73" s="449"/>
      <c r="K73" s="449"/>
      <c r="L73" s="454" t="s">
        <v>86</v>
      </c>
      <c r="M73" s="473" t="s">
        <v>88</v>
      </c>
      <c r="N73" s="461"/>
      <c r="O73" s="461" t="s">
        <v>89</v>
      </c>
      <c r="P73" s="450" t="s">
        <v>90</v>
      </c>
      <c r="Q73" s="451"/>
      <c r="R73" s="451"/>
      <c r="S73" s="452"/>
      <c r="T73" s="449" t="s">
        <v>86</v>
      </c>
      <c r="U73" s="450" t="s">
        <v>90</v>
      </c>
      <c r="V73" s="451"/>
      <c r="W73" s="451"/>
      <c r="X73" s="452"/>
      <c r="Y73" s="449" t="s">
        <v>86</v>
      </c>
      <c r="Z73" s="450" t="s">
        <v>90</v>
      </c>
      <c r="AA73" s="451"/>
      <c r="AB73" s="451"/>
      <c r="AC73" s="452"/>
      <c r="AD73" s="449" t="s">
        <v>86</v>
      </c>
      <c r="AE73" s="450" t="s">
        <v>90</v>
      </c>
      <c r="AF73" s="451"/>
      <c r="AG73" s="451"/>
      <c r="AH73" s="452"/>
      <c r="AI73" s="449" t="s">
        <v>86</v>
      </c>
      <c r="AJ73" s="450" t="s">
        <v>90</v>
      </c>
      <c r="AK73" s="451"/>
      <c r="AL73" s="451"/>
      <c r="AM73" s="452"/>
      <c r="AN73" s="449" t="s">
        <v>86</v>
      </c>
      <c r="AO73" s="450" t="s">
        <v>90</v>
      </c>
      <c r="AP73" s="451"/>
      <c r="AQ73" s="451"/>
      <c r="AR73" s="452"/>
      <c r="AS73" s="449" t="s">
        <v>86</v>
      </c>
      <c r="AT73" s="450" t="s">
        <v>90</v>
      </c>
      <c r="AU73" s="451"/>
      <c r="AV73" s="451"/>
      <c r="AW73" s="452"/>
      <c r="AX73" s="449" t="s">
        <v>86</v>
      </c>
    </row>
    <row r="74" spans="2:50">
      <c r="B74" s="449"/>
      <c r="C74" s="449"/>
      <c r="D74" s="449"/>
      <c r="E74" s="449" t="s">
        <v>91</v>
      </c>
      <c r="F74" s="449"/>
      <c r="G74" s="449"/>
      <c r="H74" s="455"/>
      <c r="I74" s="449" t="s">
        <v>91</v>
      </c>
      <c r="J74" s="449"/>
      <c r="K74" s="449"/>
      <c r="L74" s="455"/>
      <c r="M74" s="472"/>
      <c r="N74" s="472"/>
      <c r="O74" s="472"/>
      <c r="P74" s="450" t="s">
        <v>92</v>
      </c>
      <c r="Q74" s="451"/>
      <c r="R74" s="451"/>
      <c r="S74" s="452"/>
      <c r="T74" s="449"/>
      <c r="U74" s="450" t="s">
        <v>92</v>
      </c>
      <c r="V74" s="451"/>
      <c r="W74" s="451"/>
      <c r="X74" s="452"/>
      <c r="Y74" s="449"/>
      <c r="Z74" s="450" t="s">
        <v>92</v>
      </c>
      <c r="AA74" s="451"/>
      <c r="AB74" s="451"/>
      <c r="AC74" s="452"/>
      <c r="AD74" s="449"/>
      <c r="AE74" s="450" t="s">
        <v>92</v>
      </c>
      <c r="AF74" s="451"/>
      <c r="AG74" s="451"/>
      <c r="AH74" s="452"/>
      <c r="AI74" s="449"/>
      <c r="AJ74" s="450" t="s">
        <v>92</v>
      </c>
      <c r="AK74" s="451"/>
      <c r="AL74" s="451"/>
      <c r="AM74" s="452"/>
      <c r="AN74" s="449"/>
      <c r="AO74" s="450" t="s">
        <v>92</v>
      </c>
      <c r="AP74" s="451"/>
      <c r="AQ74" s="451"/>
      <c r="AR74" s="452"/>
      <c r="AS74" s="449"/>
      <c r="AT74" s="450" t="s">
        <v>92</v>
      </c>
      <c r="AU74" s="451"/>
      <c r="AV74" s="451"/>
      <c r="AW74" s="452"/>
      <c r="AX74" s="449"/>
    </row>
    <row r="75" spans="2:50">
      <c r="B75" s="449"/>
      <c r="C75" s="449"/>
      <c r="D75" s="449"/>
      <c r="E75" s="231" t="s">
        <v>93</v>
      </c>
      <c r="F75" s="231" t="s">
        <v>94</v>
      </c>
      <c r="G75" s="231" t="s">
        <v>95</v>
      </c>
      <c r="H75" s="456"/>
      <c r="I75" s="231" t="s">
        <v>93</v>
      </c>
      <c r="J75" s="231" t="s">
        <v>94</v>
      </c>
      <c r="K75" s="231" t="s">
        <v>95</v>
      </c>
      <c r="L75" s="456"/>
      <c r="M75" s="462"/>
      <c r="N75" s="472"/>
      <c r="O75" s="472"/>
      <c r="P75" s="231" t="s">
        <v>93</v>
      </c>
      <c r="Q75" s="231" t="s">
        <v>94</v>
      </c>
      <c r="R75" s="231" t="s">
        <v>95</v>
      </c>
      <c r="S75" s="231" t="s">
        <v>88</v>
      </c>
      <c r="T75" s="449"/>
      <c r="U75" s="231" t="s">
        <v>93</v>
      </c>
      <c r="V75" s="231" t="s">
        <v>94</v>
      </c>
      <c r="W75" s="231" t="s">
        <v>95</v>
      </c>
      <c r="X75" s="231" t="s">
        <v>88</v>
      </c>
      <c r="Y75" s="449"/>
      <c r="Z75" s="231" t="s">
        <v>93</v>
      </c>
      <c r="AA75" s="231" t="s">
        <v>94</v>
      </c>
      <c r="AB75" s="231" t="s">
        <v>95</v>
      </c>
      <c r="AC75" s="231" t="s">
        <v>88</v>
      </c>
      <c r="AD75" s="449"/>
      <c r="AE75" s="231" t="s">
        <v>93</v>
      </c>
      <c r="AF75" s="231" t="s">
        <v>94</v>
      </c>
      <c r="AG75" s="231" t="s">
        <v>95</v>
      </c>
      <c r="AH75" s="231" t="s">
        <v>88</v>
      </c>
      <c r="AI75" s="449"/>
      <c r="AJ75" s="231" t="s">
        <v>93</v>
      </c>
      <c r="AK75" s="231" t="s">
        <v>94</v>
      </c>
      <c r="AL75" s="231" t="s">
        <v>95</v>
      </c>
      <c r="AM75" s="231" t="s">
        <v>88</v>
      </c>
      <c r="AN75" s="449"/>
      <c r="AO75" s="231" t="s">
        <v>93</v>
      </c>
      <c r="AP75" s="231" t="s">
        <v>94</v>
      </c>
      <c r="AQ75" s="231" t="s">
        <v>95</v>
      </c>
      <c r="AR75" s="231" t="s">
        <v>88</v>
      </c>
      <c r="AS75" s="449"/>
      <c r="AT75" s="231" t="s">
        <v>93</v>
      </c>
      <c r="AU75" s="231" t="s">
        <v>94</v>
      </c>
      <c r="AV75" s="231" t="s">
        <v>95</v>
      </c>
      <c r="AW75" s="231" t="s">
        <v>88</v>
      </c>
      <c r="AX75" s="449"/>
    </row>
    <row r="76" spans="2:50" ht="12.95">
      <c r="B76" s="469" t="s">
        <v>96</v>
      </c>
      <c r="C76" s="232">
        <v>1</v>
      </c>
      <c r="D76" s="236" t="s">
        <v>97</v>
      </c>
      <c r="E76" s="233">
        <f>VLOOKUP(D76,'12產線配置圖 (2)'!$A$2:$C$25,2,0)</f>
        <v>12</v>
      </c>
      <c r="F76" s="233">
        <f>VLOOKUP(D76,'12產線配置圖 (2)'!$A$2:$C$25,3,0)</f>
        <v>2000</v>
      </c>
      <c r="G76" s="234">
        <f>F76/E76</f>
        <v>166.66666666666666</v>
      </c>
      <c r="H76" s="463">
        <f>AVERAGE(G76:G90)</f>
        <v>110.21213639301874</v>
      </c>
      <c r="I76" s="233">
        <f>AVERAGE(P76,U76,Z76,AE76,AJ76,AO76,AT76)</f>
        <v>12</v>
      </c>
      <c r="J76" s="233">
        <f>AVERAGE(Q76,V76,AA76,AF76,AK76,AP76,AU76)</f>
        <v>1882</v>
      </c>
      <c r="K76" s="234">
        <f>AVERAGE(R76,W76,AB76,AG76,AL76,AQ76,AV76)</f>
        <v>156.83333333333334</v>
      </c>
      <c r="L76" s="463">
        <f>IFERROR(AVERAGE(K76:K93),"-")</f>
        <v>99.893214523494962</v>
      </c>
      <c r="M76" s="233">
        <f>RANK(K76, $K$76:$K$93)</f>
        <v>1</v>
      </c>
      <c r="N76" s="472"/>
      <c r="O76" s="472"/>
      <c r="P76" s="233">
        <v>12</v>
      </c>
      <c r="Q76" s="233">
        <v>1810</v>
      </c>
      <c r="R76" s="175">
        <f>Q76/P76</f>
        <v>150.83333333333334</v>
      </c>
      <c r="S76" s="106">
        <f>RANK(R76, $R$76:$R$93)</f>
        <v>1</v>
      </c>
      <c r="T76" s="463">
        <f>AVERAGE(R76:R93)</f>
        <v>97.387570981918415</v>
      </c>
      <c r="U76" s="233">
        <v>12</v>
      </c>
      <c r="V76" s="233">
        <v>1780</v>
      </c>
      <c r="W76" s="234">
        <f>V76/U76</f>
        <v>148.33333333333334</v>
      </c>
      <c r="X76" s="232">
        <f>RANK(W76, $W$76:$W$93)</f>
        <v>2</v>
      </c>
      <c r="Y76" s="463">
        <f>AVERAGE(W76:W93)</f>
        <v>96.409049676297641</v>
      </c>
      <c r="Z76" s="233">
        <v>12</v>
      </c>
      <c r="AA76" s="233">
        <v>1833</v>
      </c>
      <c r="AB76" s="234">
        <f>AA76/Z76</f>
        <v>152.75</v>
      </c>
      <c r="AC76" s="232">
        <f>RANK(AB76, $AB$76:$AB$93)</f>
        <v>1</v>
      </c>
      <c r="AD76" s="463">
        <f>AVERAGE(AB76:AB93)</f>
        <v>98.42290460254614</v>
      </c>
      <c r="AE76" s="233">
        <v>12</v>
      </c>
      <c r="AF76" s="233">
        <v>1937</v>
      </c>
      <c r="AG76" s="234">
        <f>AF76/AE76</f>
        <v>161.41666666666666</v>
      </c>
      <c r="AH76" s="232">
        <f>RANK(AG76, $AG$76:$AG$93)</f>
        <v>1</v>
      </c>
      <c r="AI76" s="463">
        <f>AVERAGE(AG76:AG93)</f>
        <v>96.509445533020909</v>
      </c>
      <c r="AJ76" s="233">
        <v>12</v>
      </c>
      <c r="AK76" s="233">
        <v>1949</v>
      </c>
      <c r="AL76" s="234">
        <f>AK76/AJ76</f>
        <v>162.41666666666666</v>
      </c>
      <c r="AM76" s="232">
        <f>RANK(AL76, $AL$76:$AL$93)</f>
        <v>1</v>
      </c>
      <c r="AN76" s="463">
        <f>AVERAGE(AL76:AL93)</f>
        <v>104.5870378039036</v>
      </c>
      <c r="AO76" s="233">
        <v>12</v>
      </c>
      <c r="AP76" s="233">
        <v>1912</v>
      </c>
      <c r="AQ76" s="234">
        <f>AP76/AO76</f>
        <v>159.33333333333334</v>
      </c>
      <c r="AR76" s="232">
        <f>RANK(AQ76, $AQ$76:$AQ$93)</f>
        <v>1</v>
      </c>
      <c r="AS76" s="463">
        <f>AVERAGE(AQ76:AQ93)</f>
        <v>102.23505833423114</v>
      </c>
      <c r="AT76" s="233">
        <v>12</v>
      </c>
      <c r="AU76" s="233">
        <v>1953</v>
      </c>
      <c r="AV76" s="234">
        <f>AU76/AT76</f>
        <v>162.75</v>
      </c>
      <c r="AW76" s="232">
        <f>RANK(AV76, $AV$76:$AV$93)</f>
        <v>1</v>
      </c>
      <c r="AX76" s="463">
        <f>AVERAGE(AV76:AV93)</f>
        <v>103.70143473254686</v>
      </c>
    </row>
    <row r="77" spans="2:50">
      <c r="B77" s="470"/>
      <c r="C77" s="232">
        <v>2</v>
      </c>
      <c r="D77" s="232" t="s">
        <v>98</v>
      </c>
      <c r="E77" s="233">
        <f>VLOOKUP(D77,'12產線配置圖 (2)'!$A$2:$C$25,2,0)</f>
        <v>14</v>
      </c>
      <c r="F77" s="233">
        <f>VLOOKUP(D77,'12產線配置圖 (2)'!$A$2:$C$25,3,0)</f>
        <v>2000</v>
      </c>
      <c r="G77" s="234">
        <f t="shared" ref="G77:G87" si="71">F77/E77</f>
        <v>142.85714285714286</v>
      </c>
      <c r="H77" s="464"/>
      <c r="I77" s="233">
        <f t="shared" ref="I77:K91" si="72">AVERAGE(P77,U77,Z77,AE77,AJ77,AO77,AT77)</f>
        <v>14</v>
      </c>
      <c r="J77" s="233">
        <f t="shared" si="72"/>
        <v>1925</v>
      </c>
      <c r="K77" s="234">
        <f t="shared" si="72"/>
        <v>137.5</v>
      </c>
      <c r="L77" s="464"/>
      <c r="M77" s="233">
        <f t="shared" ref="M77:M91" si="73">RANK(K77, $K$76:$K$93)</f>
        <v>3</v>
      </c>
      <c r="N77" s="472"/>
      <c r="O77" s="472"/>
      <c r="P77" s="233">
        <v>14</v>
      </c>
      <c r="Q77" s="233">
        <v>1840</v>
      </c>
      <c r="R77" s="175">
        <f t="shared" ref="R77:R91" si="74">Q77/P77</f>
        <v>131.42857142857142</v>
      </c>
      <c r="S77" s="106">
        <f t="shared" ref="S77:S91" si="75">RANK(R77, $R$76:$R$93)</f>
        <v>3</v>
      </c>
      <c r="T77" s="464"/>
      <c r="U77" s="233">
        <v>14</v>
      </c>
      <c r="V77" s="233">
        <v>1940</v>
      </c>
      <c r="W77" s="234">
        <f t="shared" ref="W77:W91" si="76">V77/U77</f>
        <v>138.57142857142858</v>
      </c>
      <c r="X77" s="232">
        <f t="shared" ref="X77:X91" si="77">RANK(W77, $W$76:$W$93)</f>
        <v>3</v>
      </c>
      <c r="Y77" s="464"/>
      <c r="Z77" s="233">
        <v>14</v>
      </c>
      <c r="AA77" s="233">
        <v>1892</v>
      </c>
      <c r="AB77" s="234">
        <f t="shared" ref="AB77:AB91" si="78">AA77/Z77</f>
        <v>135.14285714285714</v>
      </c>
      <c r="AC77" s="232">
        <f t="shared" ref="AC77:AC91" si="79">RANK(AB77, $AB$76:$AB$93)</f>
        <v>3</v>
      </c>
      <c r="AD77" s="464"/>
      <c r="AE77" s="233">
        <v>14</v>
      </c>
      <c r="AF77" s="233">
        <v>1996</v>
      </c>
      <c r="AG77" s="234">
        <f t="shared" ref="AG77:AG91" si="80">AF77/AE77</f>
        <v>142.57142857142858</v>
      </c>
      <c r="AH77" s="232">
        <f t="shared" ref="AH77:AH91" si="81">RANK(AG77, $AG$76:$AG$93)</f>
        <v>2</v>
      </c>
      <c r="AI77" s="464"/>
      <c r="AJ77" s="233">
        <v>14</v>
      </c>
      <c r="AK77" s="233">
        <v>1959</v>
      </c>
      <c r="AL77" s="234">
        <f t="shared" ref="AL77:AL91" si="82">AK77/AJ77</f>
        <v>139.92857142857142</v>
      </c>
      <c r="AM77" s="232">
        <f t="shared" ref="AM77:AM91" si="83">RANK(AL77, $AL$76:$AL$93)</f>
        <v>4</v>
      </c>
      <c r="AN77" s="464"/>
      <c r="AO77" s="233">
        <v>14</v>
      </c>
      <c r="AP77" s="233">
        <v>1961</v>
      </c>
      <c r="AQ77" s="234">
        <f t="shared" ref="AQ77:AQ91" si="84">AP77/AO77</f>
        <v>140.07142857142858</v>
      </c>
      <c r="AR77" s="232">
        <f t="shared" ref="AR77:AR91" si="85">RANK(AQ77, $AQ$76:$AQ$93)</f>
        <v>4</v>
      </c>
      <c r="AS77" s="464"/>
      <c r="AT77" s="233">
        <v>14</v>
      </c>
      <c r="AU77" s="233">
        <v>1887</v>
      </c>
      <c r="AV77" s="234">
        <f t="shared" ref="AV77:AV91" si="86">AU77/AT77</f>
        <v>134.78571428571428</v>
      </c>
      <c r="AW77" s="232">
        <f t="shared" ref="AW77:AW91" si="87">RANK(AV77, $AV$76:$AV$93)</f>
        <v>4</v>
      </c>
      <c r="AX77" s="464"/>
    </row>
    <row r="78" spans="2:50">
      <c r="B78" s="470"/>
      <c r="C78" s="232">
        <v>3</v>
      </c>
      <c r="D78" s="232" t="s">
        <v>99</v>
      </c>
      <c r="E78" s="233">
        <f>VLOOKUP(D78,'12產線配置圖 (2)'!$A$2:$C$25,2,0)</f>
        <v>13</v>
      </c>
      <c r="F78" s="233">
        <f>VLOOKUP(D78,'12產線配置圖 (2)'!$A$2:$C$25,3,0)</f>
        <v>2000</v>
      </c>
      <c r="G78" s="234">
        <f t="shared" si="71"/>
        <v>153.84615384615384</v>
      </c>
      <c r="H78" s="464"/>
      <c r="I78" s="233">
        <f t="shared" si="72"/>
        <v>13.142857142857142</v>
      </c>
      <c r="J78" s="233">
        <f t="shared" si="72"/>
        <v>1839.4285714285713</v>
      </c>
      <c r="K78" s="234">
        <f t="shared" si="72"/>
        <v>139.97331240188382</v>
      </c>
      <c r="L78" s="464"/>
      <c r="M78" s="233">
        <f t="shared" si="73"/>
        <v>2</v>
      </c>
      <c r="N78" s="472"/>
      <c r="O78" s="472"/>
      <c r="P78" s="233">
        <v>14</v>
      </c>
      <c r="Q78" s="233">
        <v>1938</v>
      </c>
      <c r="R78" s="175">
        <f t="shared" si="74"/>
        <v>138.42857142857142</v>
      </c>
      <c r="S78" s="106">
        <f t="shared" si="75"/>
        <v>2</v>
      </c>
      <c r="T78" s="464"/>
      <c r="U78" s="233">
        <v>13</v>
      </c>
      <c r="V78" s="233">
        <v>1984</v>
      </c>
      <c r="W78" s="234">
        <f t="shared" si="76"/>
        <v>152.61538461538461</v>
      </c>
      <c r="X78" s="232">
        <f t="shared" si="77"/>
        <v>1</v>
      </c>
      <c r="Y78" s="464"/>
      <c r="Z78" s="233">
        <v>13</v>
      </c>
      <c r="AA78" s="233">
        <v>1961</v>
      </c>
      <c r="AB78" s="234">
        <f t="shared" si="78"/>
        <v>150.84615384615384</v>
      </c>
      <c r="AC78" s="232">
        <f t="shared" si="79"/>
        <v>2</v>
      </c>
      <c r="AD78" s="464"/>
      <c r="AE78" s="233">
        <v>13</v>
      </c>
      <c r="AF78" s="233">
        <v>1310</v>
      </c>
      <c r="AG78" s="234">
        <f t="shared" si="80"/>
        <v>100.76923076923077</v>
      </c>
      <c r="AH78" s="232">
        <f t="shared" si="81"/>
        <v>5</v>
      </c>
      <c r="AI78" s="464"/>
      <c r="AJ78" s="233">
        <v>13</v>
      </c>
      <c r="AK78" s="233">
        <v>1920</v>
      </c>
      <c r="AL78" s="234">
        <f t="shared" si="82"/>
        <v>147.69230769230768</v>
      </c>
      <c r="AM78" s="232">
        <f t="shared" si="83"/>
        <v>3</v>
      </c>
      <c r="AN78" s="464"/>
      <c r="AO78" s="233">
        <v>13</v>
      </c>
      <c r="AP78" s="233">
        <v>1977</v>
      </c>
      <c r="AQ78" s="234">
        <f t="shared" si="84"/>
        <v>152.07692307692307</v>
      </c>
      <c r="AR78" s="232">
        <f t="shared" si="85"/>
        <v>2</v>
      </c>
      <c r="AS78" s="464"/>
      <c r="AT78" s="233">
        <v>13</v>
      </c>
      <c r="AU78" s="233">
        <v>1786</v>
      </c>
      <c r="AV78" s="234">
        <f t="shared" si="86"/>
        <v>137.38461538461539</v>
      </c>
      <c r="AW78" s="232">
        <f t="shared" si="87"/>
        <v>3</v>
      </c>
      <c r="AX78" s="464"/>
    </row>
    <row r="79" spans="2:50">
      <c r="B79" s="470"/>
      <c r="C79" s="232">
        <v>4</v>
      </c>
      <c r="D79" s="232" t="s">
        <v>100</v>
      </c>
      <c r="E79" s="233">
        <f>VLOOKUP(D79,'12產線配置圖 (2)'!$A$2:$C$25,2,0)</f>
        <v>18</v>
      </c>
      <c r="F79" s="233">
        <f>VLOOKUP(D79,'12產線配置圖 (2)'!$A$2:$C$25,3,0)</f>
        <v>1600</v>
      </c>
      <c r="G79" s="234">
        <f t="shared" si="71"/>
        <v>88.888888888888886</v>
      </c>
      <c r="H79" s="464"/>
      <c r="I79" s="233">
        <f t="shared" si="72"/>
        <v>18</v>
      </c>
      <c r="J79" s="233">
        <f t="shared" si="72"/>
        <v>1503.1428571428571</v>
      </c>
      <c r="K79" s="234">
        <f t="shared" si="72"/>
        <v>83.507936507936492</v>
      </c>
      <c r="L79" s="464"/>
      <c r="M79" s="233">
        <f t="shared" si="73"/>
        <v>9</v>
      </c>
      <c r="N79" s="472"/>
      <c r="O79" s="472"/>
      <c r="P79" s="233">
        <v>18</v>
      </c>
      <c r="Q79" s="233">
        <v>1460</v>
      </c>
      <c r="R79" s="175">
        <f t="shared" si="74"/>
        <v>81.111111111111114</v>
      </c>
      <c r="S79" s="106">
        <f t="shared" si="75"/>
        <v>11</v>
      </c>
      <c r="T79" s="464"/>
      <c r="U79" s="233">
        <v>18</v>
      </c>
      <c r="V79" s="233">
        <v>1510</v>
      </c>
      <c r="W79" s="234">
        <f t="shared" si="76"/>
        <v>83.888888888888886</v>
      </c>
      <c r="X79" s="232">
        <f t="shared" si="77"/>
        <v>10</v>
      </c>
      <c r="Y79" s="464"/>
      <c r="Z79" s="233">
        <v>18</v>
      </c>
      <c r="AA79" s="233">
        <v>1474</v>
      </c>
      <c r="AB79" s="234">
        <f t="shared" si="78"/>
        <v>81.888888888888886</v>
      </c>
      <c r="AC79" s="232">
        <f t="shared" si="79"/>
        <v>10</v>
      </c>
      <c r="AD79" s="464"/>
      <c r="AE79" s="233">
        <v>18</v>
      </c>
      <c r="AF79" s="233">
        <v>1526</v>
      </c>
      <c r="AG79" s="234">
        <f t="shared" si="80"/>
        <v>84.777777777777771</v>
      </c>
      <c r="AH79" s="232">
        <f t="shared" si="81"/>
        <v>9</v>
      </c>
      <c r="AI79" s="464"/>
      <c r="AJ79" s="233">
        <v>18</v>
      </c>
      <c r="AK79" s="233">
        <v>1486</v>
      </c>
      <c r="AL79" s="234">
        <f t="shared" si="82"/>
        <v>82.555555555555557</v>
      </c>
      <c r="AM79" s="232">
        <f t="shared" si="83"/>
        <v>12</v>
      </c>
      <c r="AN79" s="464"/>
      <c r="AO79" s="233">
        <v>18</v>
      </c>
      <c r="AP79" s="233">
        <v>1563</v>
      </c>
      <c r="AQ79" s="234">
        <f t="shared" si="84"/>
        <v>86.833333333333329</v>
      </c>
      <c r="AR79" s="232">
        <f t="shared" si="85"/>
        <v>10</v>
      </c>
      <c r="AS79" s="464"/>
      <c r="AT79" s="233">
        <v>18</v>
      </c>
      <c r="AU79" s="233">
        <v>1503</v>
      </c>
      <c r="AV79" s="234">
        <f t="shared" si="86"/>
        <v>83.5</v>
      </c>
      <c r="AW79" s="232">
        <f t="shared" si="87"/>
        <v>11</v>
      </c>
      <c r="AX79" s="464"/>
    </row>
    <row r="80" spans="2:50">
      <c r="B80" s="470"/>
      <c r="C80" s="232">
        <v>5</v>
      </c>
      <c r="D80" s="232" t="s">
        <v>101</v>
      </c>
      <c r="E80" s="233">
        <f>VLOOKUP(D80,'12產線配置圖 (2)'!$A$2:$C$25,2,0)</f>
        <v>13</v>
      </c>
      <c r="F80" s="233">
        <f>VLOOKUP(D80,'12產線配置圖 (2)'!$A$2:$C$25,3,0)</f>
        <v>2105</v>
      </c>
      <c r="G80" s="234">
        <f t="shared" si="71"/>
        <v>161.92307692307693</v>
      </c>
      <c r="H80" s="464"/>
      <c r="I80" s="233">
        <f t="shared" si="72"/>
        <v>13.714285714285714</v>
      </c>
      <c r="J80" s="233">
        <f>AVERAGE(Q80,V80,AA80,AF80,AK80,AP80,AU80)</f>
        <v>1843.8571428571429</v>
      </c>
      <c r="K80" s="234">
        <f t="shared" si="72"/>
        <v>134.35949764521195</v>
      </c>
      <c r="L80" s="464"/>
      <c r="M80" s="233">
        <f t="shared" si="73"/>
        <v>4</v>
      </c>
      <c r="N80" s="472"/>
      <c r="O80" s="472"/>
      <c r="P80" s="233">
        <v>13</v>
      </c>
      <c r="Q80" s="233">
        <v>1394</v>
      </c>
      <c r="R80" s="175">
        <f t="shared" si="74"/>
        <v>107.23076923076923</v>
      </c>
      <c r="S80" s="106">
        <f t="shared" si="75"/>
        <v>5</v>
      </c>
      <c r="T80" s="464"/>
      <c r="U80" s="233">
        <v>14</v>
      </c>
      <c r="V80" s="233">
        <v>1690</v>
      </c>
      <c r="W80" s="234">
        <f t="shared" si="76"/>
        <v>120.71428571428571</v>
      </c>
      <c r="X80" s="232">
        <f t="shared" si="77"/>
        <v>4</v>
      </c>
      <c r="Y80" s="464"/>
      <c r="Z80" s="233">
        <v>14</v>
      </c>
      <c r="AA80" s="233">
        <v>1753</v>
      </c>
      <c r="AB80" s="234">
        <f t="shared" si="78"/>
        <v>125.21428571428571</v>
      </c>
      <c r="AC80" s="232">
        <f t="shared" si="79"/>
        <v>4</v>
      </c>
      <c r="AD80" s="464"/>
      <c r="AE80" s="233">
        <v>14</v>
      </c>
      <c r="AF80" s="233">
        <v>1885</v>
      </c>
      <c r="AG80" s="234">
        <f t="shared" si="80"/>
        <v>134.64285714285714</v>
      </c>
      <c r="AH80" s="232">
        <f t="shared" si="81"/>
        <v>3</v>
      </c>
      <c r="AI80" s="464"/>
      <c r="AJ80" s="233">
        <v>13</v>
      </c>
      <c r="AK80" s="233">
        <v>1989</v>
      </c>
      <c r="AL80" s="234">
        <f t="shared" si="82"/>
        <v>153</v>
      </c>
      <c r="AM80" s="232">
        <f t="shared" si="83"/>
        <v>2</v>
      </c>
      <c r="AN80" s="464"/>
      <c r="AO80" s="233">
        <v>14</v>
      </c>
      <c r="AP80" s="233">
        <v>2084</v>
      </c>
      <c r="AQ80" s="234">
        <f t="shared" si="84"/>
        <v>148.85714285714286</v>
      </c>
      <c r="AR80" s="232">
        <f t="shared" si="85"/>
        <v>3</v>
      </c>
      <c r="AS80" s="464"/>
      <c r="AT80" s="233">
        <v>14</v>
      </c>
      <c r="AU80" s="233">
        <v>2112</v>
      </c>
      <c r="AV80" s="234">
        <f t="shared" si="86"/>
        <v>150.85714285714286</v>
      </c>
      <c r="AW80" s="232">
        <f t="shared" si="87"/>
        <v>2</v>
      </c>
      <c r="AX80" s="464"/>
    </row>
    <row r="81" spans="2:50" ht="13.5" customHeight="1">
      <c r="B81" s="470"/>
      <c r="C81" s="232">
        <v>6</v>
      </c>
      <c r="D81" s="232" t="s">
        <v>102</v>
      </c>
      <c r="E81" s="233">
        <f>VLOOKUP(D81,'12產線配置圖 (2)'!$A$2:$C$25,2,0)</f>
        <v>17</v>
      </c>
      <c r="F81" s="233">
        <f>VLOOKUP(D81,'12產線配置圖 (2)'!$A$2:$C$25,3,0)</f>
        <v>2000</v>
      </c>
      <c r="G81" s="234">
        <f t="shared" si="71"/>
        <v>117.64705882352941</v>
      </c>
      <c r="H81" s="464"/>
      <c r="I81" s="233">
        <f>AVERAGE(P81,U81,Z81,AE81,AJ81,AO81,AT81)</f>
        <v>16.571428571428573</v>
      </c>
      <c r="J81" s="233">
        <f t="shared" si="72"/>
        <v>1771.7142857142858</v>
      </c>
      <c r="K81" s="234">
        <f t="shared" si="72"/>
        <v>106.95558223289315</v>
      </c>
      <c r="L81" s="464"/>
      <c r="M81" s="233">
        <f t="shared" si="73"/>
        <v>5</v>
      </c>
      <c r="N81" s="472"/>
      <c r="O81" s="472"/>
      <c r="P81" s="233">
        <v>17</v>
      </c>
      <c r="Q81" s="233">
        <v>1865</v>
      </c>
      <c r="R81" s="175">
        <f t="shared" si="74"/>
        <v>109.70588235294117</v>
      </c>
      <c r="S81" s="106">
        <f t="shared" si="75"/>
        <v>4</v>
      </c>
      <c r="T81" s="464"/>
      <c r="U81" s="233">
        <v>17</v>
      </c>
      <c r="V81" s="233">
        <v>1739</v>
      </c>
      <c r="W81" s="234">
        <f t="shared" si="76"/>
        <v>102.29411764705883</v>
      </c>
      <c r="X81" s="232">
        <f t="shared" si="77"/>
        <v>5</v>
      </c>
      <c r="Y81" s="464"/>
      <c r="Z81" s="233">
        <v>17</v>
      </c>
      <c r="AA81" s="233">
        <v>1963</v>
      </c>
      <c r="AB81" s="234">
        <f t="shared" si="78"/>
        <v>115.47058823529412</v>
      </c>
      <c r="AC81" s="232">
        <f t="shared" si="79"/>
        <v>5</v>
      </c>
      <c r="AD81" s="464"/>
      <c r="AE81" s="233">
        <v>17</v>
      </c>
      <c r="AF81" s="233">
        <v>1623</v>
      </c>
      <c r="AG81" s="234">
        <f t="shared" si="80"/>
        <v>95.470588235294116</v>
      </c>
      <c r="AH81" s="232">
        <f t="shared" si="81"/>
        <v>6</v>
      </c>
      <c r="AI81" s="464"/>
      <c r="AJ81" s="233">
        <v>17</v>
      </c>
      <c r="AK81" s="233">
        <v>1907</v>
      </c>
      <c r="AL81" s="234">
        <f t="shared" si="82"/>
        <v>112.17647058823529</v>
      </c>
      <c r="AM81" s="232">
        <f t="shared" si="83"/>
        <v>5</v>
      </c>
      <c r="AN81" s="464"/>
      <c r="AO81" s="233">
        <v>17</v>
      </c>
      <c r="AP81" s="233">
        <v>1785</v>
      </c>
      <c r="AQ81" s="234">
        <f t="shared" si="84"/>
        <v>105</v>
      </c>
      <c r="AR81" s="232">
        <f t="shared" si="85"/>
        <v>5</v>
      </c>
      <c r="AS81" s="464"/>
      <c r="AT81" s="233">
        <v>14</v>
      </c>
      <c r="AU81" s="233">
        <v>1520</v>
      </c>
      <c r="AV81" s="234">
        <f t="shared" si="86"/>
        <v>108.57142857142857</v>
      </c>
      <c r="AW81" s="232">
        <f t="shared" si="87"/>
        <v>6</v>
      </c>
      <c r="AX81" s="464"/>
    </row>
    <row r="82" spans="2:50">
      <c r="B82" s="470"/>
      <c r="C82" s="232">
        <v>7</v>
      </c>
      <c r="D82" s="232" t="s">
        <v>104</v>
      </c>
      <c r="E82" s="233">
        <f>VLOOKUP(D82,'12產線配置圖 (2)'!$A$2:$C$25,2,0)</f>
        <v>17</v>
      </c>
      <c r="F82" s="233">
        <f>VLOOKUP(D82,'12產線配置圖 (2)'!$A$2:$C$25,3,0)</f>
        <v>1385</v>
      </c>
      <c r="G82" s="234">
        <f>F82/E82</f>
        <v>81.470588235294116</v>
      </c>
      <c r="H82" s="464"/>
      <c r="I82" s="233">
        <f>AVERAGE(P82,U82,Z82,AE82,AJ82,AO82,AT82)</f>
        <v>15</v>
      </c>
      <c r="J82" s="233">
        <f>AVERAGE(Q82,V82,AA82,AF82,AK82,AP82,AU82)</f>
        <v>1102</v>
      </c>
      <c r="K82" s="234">
        <f>AVERAGE(R82,W82,AB82,AG82,AL82,AQ82,AV82)</f>
        <v>73.330867346938788</v>
      </c>
      <c r="L82" s="464"/>
      <c r="M82" s="233">
        <f t="shared" si="73"/>
        <v>15</v>
      </c>
      <c r="N82" s="472"/>
      <c r="O82" s="472"/>
      <c r="P82" s="233">
        <v>15</v>
      </c>
      <c r="Q82" s="233">
        <v>1210</v>
      </c>
      <c r="R82" s="175">
        <f>Q82/P82</f>
        <v>80.666666666666671</v>
      </c>
      <c r="S82" s="106">
        <f>RANK(R82, $R$76:$R$93)</f>
        <v>13</v>
      </c>
      <c r="T82" s="464"/>
      <c r="U82" s="233">
        <v>16</v>
      </c>
      <c r="V82" s="233">
        <v>1291</v>
      </c>
      <c r="W82" s="234">
        <f t="shared" si="76"/>
        <v>80.6875</v>
      </c>
      <c r="X82" s="232">
        <f t="shared" si="77"/>
        <v>11</v>
      </c>
      <c r="Y82" s="464"/>
      <c r="Z82" s="233">
        <v>15</v>
      </c>
      <c r="AA82" s="233">
        <v>1015</v>
      </c>
      <c r="AB82" s="234">
        <f t="shared" si="78"/>
        <v>67.666666666666671</v>
      </c>
      <c r="AC82" s="232">
        <f t="shared" si="79"/>
        <v>15</v>
      </c>
      <c r="AD82" s="464"/>
      <c r="AE82" s="233">
        <v>14</v>
      </c>
      <c r="AF82" s="233">
        <v>930</v>
      </c>
      <c r="AG82" s="234">
        <f t="shared" si="80"/>
        <v>66.428571428571431</v>
      </c>
      <c r="AH82" s="232">
        <f t="shared" si="81"/>
        <v>15</v>
      </c>
      <c r="AI82" s="464"/>
      <c r="AJ82" s="233">
        <v>15</v>
      </c>
      <c r="AK82" s="233">
        <v>1014</v>
      </c>
      <c r="AL82" s="234">
        <f t="shared" si="82"/>
        <v>67.599999999999994</v>
      </c>
      <c r="AM82" s="232">
        <f t="shared" si="83"/>
        <v>16</v>
      </c>
      <c r="AN82" s="464"/>
      <c r="AO82" s="233">
        <v>15</v>
      </c>
      <c r="AP82" s="233">
        <v>1108</v>
      </c>
      <c r="AQ82" s="234">
        <f t="shared" si="84"/>
        <v>73.86666666666666</v>
      </c>
      <c r="AR82" s="232">
        <f t="shared" si="85"/>
        <v>14</v>
      </c>
      <c r="AS82" s="464"/>
      <c r="AT82" s="233">
        <v>15</v>
      </c>
      <c r="AU82" s="233">
        <v>1146</v>
      </c>
      <c r="AV82" s="234">
        <f t="shared" si="86"/>
        <v>76.400000000000006</v>
      </c>
      <c r="AW82" s="232">
        <f t="shared" si="87"/>
        <v>16</v>
      </c>
      <c r="AX82" s="464"/>
    </row>
    <row r="83" spans="2:50">
      <c r="B83" s="470"/>
      <c r="C83" s="232">
        <v>8</v>
      </c>
      <c r="D83" s="232" t="s">
        <v>105</v>
      </c>
      <c r="E83" s="233">
        <f>VLOOKUP(D83,'12產線配置圖 (2)'!$A$2:$C$25,2,0)</f>
        <v>17</v>
      </c>
      <c r="F83" s="233">
        <f>VLOOKUP(D83,'12產線配置圖 (2)'!$A$2:$C$25,3,0)</f>
        <v>1565</v>
      </c>
      <c r="G83" s="234">
        <f t="shared" si="71"/>
        <v>92.058823529411768</v>
      </c>
      <c r="H83" s="464"/>
      <c r="I83" s="233">
        <f t="shared" si="72"/>
        <v>15.857142857142858</v>
      </c>
      <c r="J83" s="233">
        <f t="shared" si="72"/>
        <v>1255.8571428571429</v>
      </c>
      <c r="K83" s="234">
        <f t="shared" si="72"/>
        <v>79.087665066026403</v>
      </c>
      <c r="L83" s="464"/>
      <c r="M83" s="233">
        <f t="shared" si="73"/>
        <v>12</v>
      </c>
      <c r="N83" s="472"/>
      <c r="O83" s="472"/>
      <c r="P83" s="233">
        <v>15</v>
      </c>
      <c r="Q83" s="233">
        <v>1119</v>
      </c>
      <c r="R83" s="175">
        <f t="shared" si="74"/>
        <v>74.599999999999994</v>
      </c>
      <c r="S83" s="106">
        <f t="shared" si="75"/>
        <v>15</v>
      </c>
      <c r="T83" s="464"/>
      <c r="U83" s="233">
        <v>16</v>
      </c>
      <c r="V83" s="233">
        <v>857</v>
      </c>
      <c r="W83" s="234">
        <f t="shared" si="76"/>
        <v>53.5625</v>
      </c>
      <c r="X83" s="232">
        <f t="shared" si="77"/>
        <v>16</v>
      </c>
      <c r="Y83" s="464"/>
      <c r="Z83" s="233">
        <v>17</v>
      </c>
      <c r="AA83" s="233">
        <v>1559</v>
      </c>
      <c r="AB83" s="234">
        <f t="shared" si="78"/>
        <v>91.705882352941174</v>
      </c>
      <c r="AC83" s="232">
        <f t="shared" si="79"/>
        <v>8</v>
      </c>
      <c r="AD83" s="464"/>
      <c r="AE83" s="233">
        <v>16</v>
      </c>
      <c r="AF83" s="233">
        <v>1355</v>
      </c>
      <c r="AG83" s="234">
        <f t="shared" si="80"/>
        <v>84.6875</v>
      </c>
      <c r="AH83" s="232">
        <f t="shared" si="81"/>
        <v>10</v>
      </c>
      <c r="AI83" s="464"/>
      <c r="AJ83" s="233">
        <v>17</v>
      </c>
      <c r="AK83" s="233">
        <v>1422</v>
      </c>
      <c r="AL83" s="234">
        <f t="shared" si="82"/>
        <v>83.647058823529406</v>
      </c>
      <c r="AM83" s="232">
        <f t="shared" si="83"/>
        <v>11</v>
      </c>
      <c r="AN83" s="464"/>
      <c r="AO83" s="233">
        <v>14</v>
      </c>
      <c r="AP83" s="233">
        <v>1173</v>
      </c>
      <c r="AQ83" s="234">
        <f t="shared" si="84"/>
        <v>83.785714285714292</v>
      </c>
      <c r="AR83" s="232">
        <f t="shared" si="85"/>
        <v>11</v>
      </c>
      <c r="AS83" s="464"/>
      <c r="AT83" s="233">
        <v>16</v>
      </c>
      <c r="AU83" s="233">
        <v>1306</v>
      </c>
      <c r="AV83" s="234">
        <f t="shared" si="86"/>
        <v>81.625</v>
      </c>
      <c r="AW83" s="232">
        <f t="shared" si="87"/>
        <v>12</v>
      </c>
      <c r="AX83" s="464"/>
    </row>
    <row r="84" spans="2:50">
      <c r="B84" s="470"/>
      <c r="C84" s="232">
        <v>9</v>
      </c>
      <c r="D84" s="232" t="s">
        <v>106</v>
      </c>
      <c r="E84" s="233">
        <f>VLOOKUP(D84,'12產線配置圖 (2)'!$A$2:$C$25,2,0)</f>
        <v>18</v>
      </c>
      <c r="F84" s="233">
        <f>VLOOKUP(D84,'12產線配置圖 (2)'!$A$2:$C$25,3,0)</f>
        <v>1565</v>
      </c>
      <c r="G84" s="234">
        <f t="shared" si="71"/>
        <v>86.944444444444443</v>
      </c>
      <c r="H84" s="464"/>
      <c r="I84" s="233">
        <f t="shared" si="72"/>
        <v>17.857142857142858</v>
      </c>
      <c r="J84" s="233">
        <f t="shared" si="72"/>
        <v>1446.2857142857142</v>
      </c>
      <c r="K84" s="234">
        <f t="shared" si="72"/>
        <v>81.035947712418306</v>
      </c>
      <c r="L84" s="464"/>
      <c r="M84" s="233">
        <f t="shared" si="73"/>
        <v>11</v>
      </c>
      <c r="N84" s="472"/>
      <c r="O84" s="472"/>
      <c r="P84" s="233">
        <v>18</v>
      </c>
      <c r="Q84" s="233">
        <v>1463</v>
      </c>
      <c r="R84" s="175">
        <f t="shared" si="74"/>
        <v>81.277777777777771</v>
      </c>
      <c r="S84" s="106">
        <f t="shared" si="75"/>
        <v>10</v>
      </c>
      <c r="T84" s="464"/>
      <c r="U84" s="233">
        <v>18</v>
      </c>
      <c r="V84" s="233">
        <v>1550</v>
      </c>
      <c r="W84" s="234">
        <f t="shared" si="76"/>
        <v>86.111111111111114</v>
      </c>
      <c r="X84" s="232">
        <f t="shared" si="77"/>
        <v>9</v>
      </c>
      <c r="Y84" s="464"/>
      <c r="Z84" s="233">
        <v>18</v>
      </c>
      <c r="AA84" s="233">
        <v>1357</v>
      </c>
      <c r="AB84" s="234">
        <f t="shared" si="78"/>
        <v>75.388888888888886</v>
      </c>
      <c r="AC84" s="232">
        <f t="shared" si="79"/>
        <v>11</v>
      </c>
      <c r="AD84" s="464"/>
      <c r="AE84" s="233">
        <v>18</v>
      </c>
      <c r="AF84" s="233">
        <v>1496</v>
      </c>
      <c r="AG84" s="234">
        <f t="shared" si="80"/>
        <v>83.111111111111114</v>
      </c>
      <c r="AH84" s="232">
        <f t="shared" si="81"/>
        <v>12</v>
      </c>
      <c r="AI84" s="464"/>
      <c r="AJ84" s="233">
        <v>18</v>
      </c>
      <c r="AK84" s="233">
        <v>1519</v>
      </c>
      <c r="AL84" s="234">
        <f t="shared" si="82"/>
        <v>84.388888888888886</v>
      </c>
      <c r="AM84" s="232">
        <f t="shared" si="83"/>
        <v>10</v>
      </c>
      <c r="AN84" s="464"/>
      <c r="AO84" s="233">
        <v>18</v>
      </c>
      <c r="AP84" s="233">
        <v>1268</v>
      </c>
      <c r="AQ84" s="234">
        <f t="shared" si="84"/>
        <v>70.444444444444443</v>
      </c>
      <c r="AR84" s="232">
        <f t="shared" si="85"/>
        <v>15</v>
      </c>
      <c r="AS84" s="464"/>
      <c r="AT84" s="233">
        <v>17</v>
      </c>
      <c r="AU84" s="233">
        <v>1471</v>
      </c>
      <c r="AV84" s="234">
        <f t="shared" si="86"/>
        <v>86.529411764705884</v>
      </c>
      <c r="AW84" s="232">
        <f t="shared" si="87"/>
        <v>10</v>
      </c>
      <c r="AX84" s="464"/>
    </row>
    <row r="85" spans="2:50" ht="12.95">
      <c r="B85" s="470"/>
      <c r="C85" s="232">
        <v>10</v>
      </c>
      <c r="D85" s="236" t="s">
        <v>107</v>
      </c>
      <c r="E85" s="233">
        <f>VLOOKUP(D85,'12產線配置圖 (2)'!$A$2:$C$25,2,0)</f>
        <v>16</v>
      </c>
      <c r="F85" s="233">
        <f>VLOOKUP(D85,'12產線配置圖 (2)'!$A$2:$C$25,3,0)</f>
        <v>1406</v>
      </c>
      <c r="G85" s="234">
        <f t="shared" si="71"/>
        <v>87.875</v>
      </c>
      <c r="H85" s="464"/>
      <c r="I85" s="233">
        <f t="shared" si="72"/>
        <v>13.428571428571429</v>
      </c>
      <c r="J85" s="233">
        <f t="shared" si="72"/>
        <v>1037.1428571428571</v>
      </c>
      <c r="K85" s="234">
        <f t="shared" si="72"/>
        <v>77.663664311878605</v>
      </c>
      <c r="L85" s="464"/>
      <c r="M85" s="233">
        <f t="shared" si="73"/>
        <v>13</v>
      </c>
      <c r="N85" s="472"/>
      <c r="O85" s="472"/>
      <c r="P85" s="233">
        <v>10</v>
      </c>
      <c r="Q85" s="233">
        <v>810</v>
      </c>
      <c r="R85" s="175">
        <f t="shared" si="74"/>
        <v>81</v>
      </c>
      <c r="S85" s="106">
        <f t="shared" si="75"/>
        <v>12</v>
      </c>
      <c r="T85" s="464"/>
      <c r="U85" s="233">
        <v>13</v>
      </c>
      <c r="V85" s="233">
        <v>978</v>
      </c>
      <c r="W85" s="234">
        <f t="shared" si="76"/>
        <v>75.230769230769226</v>
      </c>
      <c r="X85" s="232">
        <f t="shared" si="77"/>
        <v>12</v>
      </c>
      <c r="Y85" s="464"/>
      <c r="Z85" s="233">
        <v>16</v>
      </c>
      <c r="AA85" s="233">
        <v>1185</v>
      </c>
      <c r="AB85" s="234">
        <f t="shared" si="78"/>
        <v>74.0625</v>
      </c>
      <c r="AC85" s="232">
        <f t="shared" si="79"/>
        <v>12</v>
      </c>
      <c r="AD85" s="464"/>
      <c r="AE85" s="233">
        <v>15</v>
      </c>
      <c r="AF85" s="233">
        <v>1076</v>
      </c>
      <c r="AG85" s="234">
        <f t="shared" si="80"/>
        <v>71.733333333333334</v>
      </c>
      <c r="AH85" s="232">
        <f t="shared" si="81"/>
        <v>14</v>
      </c>
      <c r="AI85" s="464"/>
      <c r="AJ85" s="233">
        <v>12</v>
      </c>
      <c r="AK85" s="233">
        <v>1030</v>
      </c>
      <c r="AL85" s="234">
        <f t="shared" si="82"/>
        <v>85.833333333333329</v>
      </c>
      <c r="AM85" s="232">
        <f t="shared" si="83"/>
        <v>9</v>
      </c>
      <c r="AN85" s="464"/>
      <c r="AO85" s="233">
        <v>14</v>
      </c>
      <c r="AP85" s="233">
        <v>1090</v>
      </c>
      <c r="AQ85" s="234">
        <f t="shared" si="84"/>
        <v>77.857142857142861</v>
      </c>
      <c r="AR85" s="232">
        <f t="shared" si="85"/>
        <v>13</v>
      </c>
      <c r="AS85" s="464"/>
      <c r="AT85" s="233">
        <v>14</v>
      </c>
      <c r="AU85" s="233">
        <v>1091</v>
      </c>
      <c r="AV85" s="234">
        <f t="shared" si="86"/>
        <v>77.928571428571431</v>
      </c>
      <c r="AW85" s="232">
        <f t="shared" si="87"/>
        <v>15</v>
      </c>
      <c r="AX85" s="464"/>
    </row>
    <row r="86" spans="2:50" ht="12.95">
      <c r="B86" s="470"/>
      <c r="C86" s="232">
        <v>11</v>
      </c>
      <c r="D86" s="236" t="s">
        <v>108</v>
      </c>
      <c r="E86" s="233">
        <f>VLOOKUP(D86,'12產線配置圖 (2)'!$A$2:$C$25,2,0)</f>
        <v>14</v>
      </c>
      <c r="F86" s="233">
        <f>VLOOKUP(D86,'12產線配置圖 (2)'!$A$2:$C$25,3,0)</f>
        <v>1440</v>
      </c>
      <c r="G86" s="234">
        <f t="shared" si="71"/>
        <v>102.85714285714286</v>
      </c>
      <c r="H86" s="464"/>
      <c r="I86" s="233">
        <f t="shared" si="72"/>
        <v>14.571428571428571</v>
      </c>
      <c r="J86" s="233">
        <f t="shared" si="72"/>
        <v>1371.8571428571429</v>
      </c>
      <c r="K86" s="234">
        <f t="shared" si="72"/>
        <v>94.185629251700689</v>
      </c>
      <c r="L86" s="464"/>
      <c r="M86" s="233">
        <f t="shared" si="73"/>
        <v>8</v>
      </c>
      <c r="N86" s="472"/>
      <c r="O86" s="472"/>
      <c r="P86" s="232">
        <v>14</v>
      </c>
      <c r="Q86" s="232">
        <v>1207</v>
      </c>
      <c r="R86" s="175">
        <f t="shared" si="74"/>
        <v>86.214285714285708</v>
      </c>
      <c r="S86" s="106">
        <f t="shared" si="75"/>
        <v>9</v>
      </c>
      <c r="T86" s="464"/>
      <c r="U86" s="232">
        <v>16</v>
      </c>
      <c r="V86" s="232">
        <v>1431</v>
      </c>
      <c r="W86" s="234">
        <f t="shared" si="76"/>
        <v>89.4375</v>
      </c>
      <c r="X86" s="232">
        <f t="shared" si="77"/>
        <v>8</v>
      </c>
      <c r="Y86" s="464"/>
      <c r="Z86" s="232">
        <v>14</v>
      </c>
      <c r="AA86" s="232">
        <v>1353</v>
      </c>
      <c r="AB86" s="234">
        <f t="shared" si="78"/>
        <v>96.642857142857139</v>
      </c>
      <c r="AC86" s="232">
        <f t="shared" si="79"/>
        <v>7</v>
      </c>
      <c r="AD86" s="464"/>
      <c r="AE86" s="232">
        <v>14</v>
      </c>
      <c r="AF86" s="232">
        <v>1277</v>
      </c>
      <c r="AG86" s="234">
        <f t="shared" si="80"/>
        <v>91.214285714285708</v>
      </c>
      <c r="AH86" s="232">
        <f t="shared" si="81"/>
        <v>8</v>
      </c>
      <c r="AI86" s="464"/>
      <c r="AJ86" s="232">
        <v>15</v>
      </c>
      <c r="AK86" s="232">
        <v>1475</v>
      </c>
      <c r="AL86" s="234">
        <f t="shared" si="82"/>
        <v>98.333333333333329</v>
      </c>
      <c r="AM86" s="232">
        <f t="shared" si="83"/>
        <v>8</v>
      </c>
      <c r="AN86" s="464"/>
      <c r="AO86" s="232">
        <v>15</v>
      </c>
      <c r="AP86" s="232">
        <v>1434</v>
      </c>
      <c r="AQ86" s="234">
        <f t="shared" si="84"/>
        <v>95.6</v>
      </c>
      <c r="AR86" s="232">
        <f t="shared" si="85"/>
        <v>8</v>
      </c>
      <c r="AS86" s="464"/>
      <c r="AT86" s="232">
        <v>14</v>
      </c>
      <c r="AU86" s="232">
        <v>1426</v>
      </c>
      <c r="AV86" s="234">
        <f t="shared" si="86"/>
        <v>101.85714285714286</v>
      </c>
      <c r="AW86" s="232">
        <f t="shared" si="87"/>
        <v>7</v>
      </c>
      <c r="AX86" s="464"/>
    </row>
    <row r="87" spans="2:50" ht="12.95">
      <c r="B87" s="470"/>
      <c r="C87" s="232">
        <v>12</v>
      </c>
      <c r="D87" s="236" t="s">
        <v>109</v>
      </c>
      <c r="E87" s="233">
        <f>VLOOKUP(D87,'12產線配置圖 (2)'!$A$2:$C$25,2,0)</f>
        <v>17</v>
      </c>
      <c r="F87" s="233">
        <f>VLOOKUP(D87,'12產線配置圖 (2)'!$A$2:$C$25,3,0)</f>
        <v>1500</v>
      </c>
      <c r="G87" s="234">
        <f t="shared" si="71"/>
        <v>88.235294117647058</v>
      </c>
      <c r="H87" s="464"/>
      <c r="I87" s="233">
        <f t="shared" si="72"/>
        <v>15.571428571428571</v>
      </c>
      <c r="J87" s="233">
        <f t="shared" si="72"/>
        <v>1285.1428571428571</v>
      </c>
      <c r="K87" s="234">
        <f t="shared" si="72"/>
        <v>82.174784529196288</v>
      </c>
      <c r="L87" s="464"/>
      <c r="M87" s="233">
        <f t="shared" si="73"/>
        <v>10</v>
      </c>
      <c r="N87" s="472"/>
      <c r="O87" s="472"/>
      <c r="P87" s="232">
        <v>15</v>
      </c>
      <c r="Q87" s="233">
        <v>1309</v>
      </c>
      <c r="R87" s="175">
        <f t="shared" si="74"/>
        <v>87.266666666666666</v>
      </c>
      <c r="S87" s="106">
        <f t="shared" si="75"/>
        <v>8</v>
      </c>
      <c r="T87" s="464"/>
      <c r="U87" s="232">
        <v>13</v>
      </c>
      <c r="V87" s="233">
        <v>937</v>
      </c>
      <c r="W87" s="234">
        <f t="shared" si="76"/>
        <v>72.07692307692308</v>
      </c>
      <c r="X87" s="232">
        <f t="shared" si="77"/>
        <v>14</v>
      </c>
      <c r="Y87" s="464"/>
      <c r="Z87" s="232">
        <v>15</v>
      </c>
      <c r="AA87" s="233">
        <v>1105</v>
      </c>
      <c r="AB87" s="234">
        <f t="shared" si="78"/>
        <v>73.666666666666671</v>
      </c>
      <c r="AC87" s="232">
        <f t="shared" si="79"/>
        <v>13</v>
      </c>
      <c r="AD87" s="464"/>
      <c r="AE87" s="232">
        <v>16</v>
      </c>
      <c r="AF87" s="233">
        <v>1353</v>
      </c>
      <c r="AG87" s="234">
        <f t="shared" si="80"/>
        <v>84.5625</v>
      </c>
      <c r="AH87" s="232">
        <f t="shared" si="81"/>
        <v>11</v>
      </c>
      <c r="AI87" s="464"/>
      <c r="AJ87" s="232">
        <v>17</v>
      </c>
      <c r="AK87" s="233">
        <v>1401</v>
      </c>
      <c r="AL87" s="234">
        <f t="shared" si="82"/>
        <v>82.411764705882348</v>
      </c>
      <c r="AM87" s="232">
        <f t="shared" si="83"/>
        <v>13</v>
      </c>
      <c r="AN87" s="464"/>
      <c r="AO87" s="232">
        <v>17</v>
      </c>
      <c r="AP87" s="233">
        <v>1482</v>
      </c>
      <c r="AQ87" s="234">
        <f t="shared" si="84"/>
        <v>87.17647058823529</v>
      </c>
      <c r="AR87" s="232">
        <f t="shared" si="85"/>
        <v>9</v>
      </c>
      <c r="AS87" s="464"/>
      <c r="AT87" s="232">
        <v>16</v>
      </c>
      <c r="AU87" s="233">
        <v>1409</v>
      </c>
      <c r="AV87" s="234">
        <f t="shared" si="86"/>
        <v>88.0625</v>
      </c>
      <c r="AW87" s="232">
        <f t="shared" si="87"/>
        <v>9</v>
      </c>
      <c r="AX87" s="464"/>
    </row>
    <row r="88" spans="2:50" ht="12.95">
      <c r="B88" s="470"/>
      <c r="C88" s="232">
        <v>13</v>
      </c>
      <c r="D88" s="236" t="s">
        <v>110</v>
      </c>
      <c r="E88" s="233">
        <f>VLOOKUP(D88,'12產線配置圖 (2)'!$A$2:$C$25,2,0)</f>
        <v>17</v>
      </c>
      <c r="F88" s="233">
        <f>VLOOKUP(D88,'12產線配置圖 (2)'!$A$2:$C$25,3,0)</f>
        <v>1440</v>
      </c>
      <c r="G88" s="234">
        <f>F88/E88</f>
        <v>84.705882352941174</v>
      </c>
      <c r="H88" s="464"/>
      <c r="I88" s="233">
        <f t="shared" si="72"/>
        <v>14.428571428571429</v>
      </c>
      <c r="J88" s="233">
        <f t="shared" si="72"/>
        <v>1082.1428571428571</v>
      </c>
      <c r="K88" s="234">
        <f t="shared" si="72"/>
        <v>75.156253270538997</v>
      </c>
      <c r="L88" s="464"/>
      <c r="M88" s="233">
        <f t="shared" si="73"/>
        <v>14</v>
      </c>
      <c r="N88" s="472"/>
      <c r="O88" s="472"/>
      <c r="P88" s="232">
        <v>14</v>
      </c>
      <c r="Q88" s="232">
        <v>1071</v>
      </c>
      <c r="R88" s="175">
        <f t="shared" si="74"/>
        <v>76.5</v>
      </c>
      <c r="S88" s="106">
        <f t="shared" si="75"/>
        <v>14</v>
      </c>
      <c r="T88" s="464"/>
      <c r="U88" s="232">
        <v>16</v>
      </c>
      <c r="V88" s="232">
        <v>1160</v>
      </c>
      <c r="W88" s="234">
        <f t="shared" si="76"/>
        <v>72.5</v>
      </c>
      <c r="X88" s="232">
        <f t="shared" si="77"/>
        <v>13</v>
      </c>
      <c r="Y88" s="464"/>
      <c r="Z88" s="232">
        <v>14</v>
      </c>
      <c r="AA88" s="232">
        <v>986</v>
      </c>
      <c r="AB88" s="234">
        <f t="shared" si="78"/>
        <v>70.428571428571431</v>
      </c>
      <c r="AC88" s="232">
        <f t="shared" si="79"/>
        <v>14</v>
      </c>
      <c r="AD88" s="464"/>
      <c r="AE88" s="232">
        <v>15</v>
      </c>
      <c r="AF88" s="232">
        <v>1152</v>
      </c>
      <c r="AG88" s="234">
        <f t="shared" si="80"/>
        <v>76.8</v>
      </c>
      <c r="AH88" s="232">
        <f t="shared" si="81"/>
        <v>13</v>
      </c>
      <c r="AI88" s="464"/>
      <c r="AJ88" s="232">
        <v>13</v>
      </c>
      <c r="AK88" s="232">
        <v>1051</v>
      </c>
      <c r="AL88" s="234">
        <f t="shared" si="82"/>
        <v>80.84615384615384</v>
      </c>
      <c r="AM88" s="232">
        <f t="shared" si="83"/>
        <v>14</v>
      </c>
      <c r="AN88" s="464"/>
      <c r="AO88" s="232">
        <v>15</v>
      </c>
      <c r="AP88" s="232">
        <v>1031</v>
      </c>
      <c r="AQ88" s="234">
        <f t="shared" si="84"/>
        <v>68.733333333333334</v>
      </c>
      <c r="AR88" s="232">
        <f t="shared" si="85"/>
        <v>16</v>
      </c>
      <c r="AS88" s="464"/>
      <c r="AT88" s="232">
        <v>14</v>
      </c>
      <c r="AU88" s="232">
        <v>1124</v>
      </c>
      <c r="AV88" s="234">
        <f t="shared" si="86"/>
        <v>80.285714285714292</v>
      </c>
      <c r="AW88" s="232">
        <f t="shared" si="87"/>
        <v>13</v>
      </c>
      <c r="AX88" s="464"/>
    </row>
    <row r="89" spans="2:50" ht="12.95">
      <c r="B89" s="470"/>
      <c r="C89" s="232">
        <v>14</v>
      </c>
      <c r="D89" s="236" t="s">
        <v>111</v>
      </c>
      <c r="E89" s="233">
        <v>17</v>
      </c>
      <c r="F89" s="233">
        <f>VLOOKUP(D89,'12產線配置圖 (2)'!$A$2:$C$25,3,0)</f>
        <v>1440</v>
      </c>
      <c r="G89" s="234">
        <f>F89/E89</f>
        <v>84.705882352941174</v>
      </c>
      <c r="H89" s="464"/>
      <c r="I89" s="233">
        <f t="shared" si="72"/>
        <v>16.285714285714285</v>
      </c>
      <c r="J89" s="233">
        <f t="shared" si="72"/>
        <v>1150.4285714285713</v>
      </c>
      <c r="K89" s="234">
        <f t="shared" si="72"/>
        <v>71.02681704260651</v>
      </c>
      <c r="L89" s="464"/>
      <c r="M89" s="233">
        <f>RANK(K89, $K$76:$K$93)</f>
        <v>16</v>
      </c>
      <c r="N89" s="472"/>
      <c r="O89" s="472"/>
      <c r="P89" s="232">
        <v>15</v>
      </c>
      <c r="Q89" s="232">
        <v>1119</v>
      </c>
      <c r="R89" s="175">
        <f t="shared" si="74"/>
        <v>74.599999999999994</v>
      </c>
      <c r="S89" s="106">
        <f t="shared" si="75"/>
        <v>15</v>
      </c>
      <c r="T89" s="464"/>
      <c r="U89" s="232">
        <v>19</v>
      </c>
      <c r="V89" s="232">
        <v>1224</v>
      </c>
      <c r="W89" s="234">
        <f t="shared" si="76"/>
        <v>64.421052631578945</v>
      </c>
      <c r="X89" s="232">
        <f t="shared" si="77"/>
        <v>15</v>
      </c>
      <c r="Y89" s="464"/>
      <c r="Z89" s="232">
        <v>18</v>
      </c>
      <c r="AA89" s="232">
        <v>1218</v>
      </c>
      <c r="AB89" s="234">
        <f t="shared" si="78"/>
        <v>67.666666666666671</v>
      </c>
      <c r="AC89" s="232">
        <f t="shared" si="79"/>
        <v>15</v>
      </c>
      <c r="AD89" s="464"/>
      <c r="AE89" s="232">
        <v>16</v>
      </c>
      <c r="AF89" s="232">
        <v>1017</v>
      </c>
      <c r="AG89" s="234">
        <f t="shared" si="80"/>
        <v>63.5625</v>
      </c>
      <c r="AH89" s="232">
        <f t="shared" si="81"/>
        <v>16</v>
      </c>
      <c r="AI89" s="464"/>
      <c r="AJ89" s="232">
        <v>16</v>
      </c>
      <c r="AK89" s="232">
        <v>1135</v>
      </c>
      <c r="AL89" s="234">
        <f t="shared" si="82"/>
        <v>70.9375</v>
      </c>
      <c r="AM89" s="232">
        <f t="shared" si="83"/>
        <v>15</v>
      </c>
      <c r="AN89" s="464"/>
      <c r="AO89" s="232">
        <v>15</v>
      </c>
      <c r="AP89" s="232">
        <v>1170</v>
      </c>
      <c r="AQ89" s="234">
        <f t="shared" si="84"/>
        <v>78</v>
      </c>
      <c r="AR89" s="232">
        <f t="shared" si="85"/>
        <v>12</v>
      </c>
      <c r="AS89" s="464"/>
      <c r="AT89" s="232">
        <v>15</v>
      </c>
      <c r="AU89" s="232">
        <v>1170</v>
      </c>
      <c r="AV89" s="234">
        <f t="shared" si="86"/>
        <v>78</v>
      </c>
      <c r="AW89" s="232">
        <f t="shared" si="87"/>
        <v>14</v>
      </c>
      <c r="AX89" s="464"/>
    </row>
    <row r="90" spans="2:50" ht="12.95">
      <c r="B90" s="470"/>
      <c r="C90" s="232">
        <v>15</v>
      </c>
      <c r="D90" s="236" t="s">
        <v>112</v>
      </c>
      <c r="E90" s="233">
        <f>VLOOKUP(D90,'12產線配置圖 (2)'!$A$2:$C$25,2,0)</f>
        <v>10</v>
      </c>
      <c r="F90" s="233">
        <f>VLOOKUP(D90,'12產線配置圖 (2)'!$A$2:$C$25,3,0)</f>
        <v>1125</v>
      </c>
      <c r="G90" s="234">
        <f>F90/E90</f>
        <v>112.5</v>
      </c>
      <c r="H90" s="464"/>
      <c r="I90" s="233">
        <f t="shared" si="72"/>
        <v>9.8571428571428577</v>
      </c>
      <c r="J90" s="233">
        <f t="shared" si="72"/>
        <v>974.42857142857144</v>
      </c>
      <c r="K90" s="234">
        <f t="shared" si="72"/>
        <v>98.753968253968239</v>
      </c>
      <c r="L90" s="464"/>
      <c r="M90" s="233">
        <f t="shared" si="73"/>
        <v>7</v>
      </c>
      <c r="N90" s="472"/>
      <c r="O90" s="472"/>
      <c r="P90" s="232">
        <v>10</v>
      </c>
      <c r="Q90" s="232">
        <v>914</v>
      </c>
      <c r="R90" s="175">
        <f t="shared" si="74"/>
        <v>91.4</v>
      </c>
      <c r="S90" s="106">
        <f t="shared" si="75"/>
        <v>7</v>
      </c>
      <c r="T90" s="464"/>
      <c r="U90" s="232">
        <v>10</v>
      </c>
      <c r="V90" s="232">
        <v>1021</v>
      </c>
      <c r="W90" s="234">
        <f t="shared" si="76"/>
        <v>102.1</v>
      </c>
      <c r="X90" s="232">
        <f t="shared" si="77"/>
        <v>6</v>
      </c>
      <c r="Y90" s="464"/>
      <c r="Z90" s="232">
        <v>10</v>
      </c>
      <c r="AA90" s="232">
        <v>901</v>
      </c>
      <c r="AB90" s="234">
        <f t="shared" si="78"/>
        <v>90.1</v>
      </c>
      <c r="AC90" s="232">
        <f t="shared" si="79"/>
        <v>9</v>
      </c>
      <c r="AD90" s="464"/>
      <c r="AE90" s="232">
        <v>9</v>
      </c>
      <c r="AF90" s="232">
        <v>826</v>
      </c>
      <c r="AG90" s="234">
        <f t="shared" si="80"/>
        <v>91.777777777777771</v>
      </c>
      <c r="AH90" s="232">
        <f t="shared" si="81"/>
        <v>7</v>
      </c>
      <c r="AI90" s="464"/>
      <c r="AJ90" s="232">
        <v>10</v>
      </c>
      <c r="AK90" s="232">
        <v>1110</v>
      </c>
      <c r="AL90" s="234">
        <f t="shared" si="82"/>
        <v>111</v>
      </c>
      <c r="AM90" s="232">
        <f t="shared" si="83"/>
        <v>6</v>
      </c>
      <c r="AN90" s="464"/>
      <c r="AO90" s="232">
        <v>10</v>
      </c>
      <c r="AP90" s="232">
        <v>1045</v>
      </c>
      <c r="AQ90" s="234">
        <f t="shared" si="84"/>
        <v>104.5</v>
      </c>
      <c r="AR90" s="232">
        <f t="shared" si="85"/>
        <v>6</v>
      </c>
      <c r="AS90" s="464"/>
      <c r="AT90" s="232">
        <v>10</v>
      </c>
      <c r="AU90" s="232">
        <v>1004</v>
      </c>
      <c r="AV90" s="234">
        <f t="shared" si="86"/>
        <v>100.4</v>
      </c>
      <c r="AW90" s="232">
        <f t="shared" si="87"/>
        <v>8</v>
      </c>
      <c r="AX90" s="464"/>
    </row>
    <row r="91" spans="2:50" ht="12.95">
      <c r="B91" s="470"/>
      <c r="C91" s="232">
        <v>16</v>
      </c>
      <c r="D91" s="236" t="s">
        <v>113</v>
      </c>
      <c r="E91" s="233">
        <f>VLOOKUP(D91,'12產線配置圖 (2)'!$A$2:$C$25,2,0)</f>
        <v>16</v>
      </c>
      <c r="F91" s="233">
        <f>VLOOKUP(D91,'12產線配置圖 (2)'!$A$2:$C$25,3,0)</f>
        <v>1800</v>
      </c>
      <c r="G91" s="234">
        <f>F91/E91</f>
        <v>112.5</v>
      </c>
      <c r="H91" s="464"/>
      <c r="I91" s="233">
        <f t="shared" si="72"/>
        <v>15.714285714285714</v>
      </c>
      <c r="J91" s="233">
        <f t="shared" si="72"/>
        <v>1676.4285714285713</v>
      </c>
      <c r="K91" s="234">
        <f t="shared" si="72"/>
        <v>106.74617346938776</v>
      </c>
      <c r="L91" s="464"/>
      <c r="M91" s="233">
        <f t="shared" si="73"/>
        <v>6</v>
      </c>
      <c r="N91" s="472"/>
      <c r="O91" s="472"/>
      <c r="P91" s="232">
        <v>16</v>
      </c>
      <c r="Q91" s="232">
        <v>1695</v>
      </c>
      <c r="R91" s="175">
        <f t="shared" si="74"/>
        <v>105.9375</v>
      </c>
      <c r="S91" s="106">
        <f t="shared" si="75"/>
        <v>6</v>
      </c>
      <c r="T91" s="464"/>
      <c r="U91" s="232">
        <v>16</v>
      </c>
      <c r="V91" s="232">
        <v>1600</v>
      </c>
      <c r="W91" s="234">
        <f t="shared" si="76"/>
        <v>100</v>
      </c>
      <c r="X91" s="232">
        <f t="shared" si="77"/>
        <v>7</v>
      </c>
      <c r="Y91" s="464"/>
      <c r="Z91" s="232">
        <v>16</v>
      </c>
      <c r="AA91" s="232">
        <v>1698</v>
      </c>
      <c r="AB91" s="234">
        <f t="shared" si="78"/>
        <v>106.125</v>
      </c>
      <c r="AC91" s="232">
        <f t="shared" si="79"/>
        <v>6</v>
      </c>
      <c r="AD91" s="464"/>
      <c r="AE91" s="232">
        <v>16</v>
      </c>
      <c r="AF91" s="232">
        <v>1770</v>
      </c>
      <c r="AG91" s="234">
        <f t="shared" si="80"/>
        <v>110.625</v>
      </c>
      <c r="AH91" s="232">
        <f t="shared" si="81"/>
        <v>4</v>
      </c>
      <c r="AI91" s="464"/>
      <c r="AJ91" s="232">
        <v>16</v>
      </c>
      <c r="AK91" s="232">
        <v>1770</v>
      </c>
      <c r="AL91" s="234">
        <f t="shared" si="82"/>
        <v>110.625</v>
      </c>
      <c r="AM91" s="232">
        <f t="shared" si="83"/>
        <v>7</v>
      </c>
      <c r="AN91" s="464"/>
      <c r="AO91" s="232">
        <v>16</v>
      </c>
      <c r="AP91" s="232">
        <v>1658</v>
      </c>
      <c r="AQ91" s="234">
        <f t="shared" si="84"/>
        <v>103.625</v>
      </c>
      <c r="AR91" s="232">
        <f t="shared" si="85"/>
        <v>7</v>
      </c>
      <c r="AS91" s="464"/>
      <c r="AT91" s="232">
        <v>14</v>
      </c>
      <c r="AU91" s="232">
        <v>1544</v>
      </c>
      <c r="AV91" s="234">
        <f t="shared" si="86"/>
        <v>110.28571428571429</v>
      </c>
      <c r="AW91" s="232">
        <f t="shared" si="87"/>
        <v>5</v>
      </c>
      <c r="AX91" s="464"/>
    </row>
    <row r="92" spans="2:50">
      <c r="B92" s="470"/>
      <c r="C92" s="232">
        <v>17</v>
      </c>
      <c r="D92" s="232"/>
      <c r="E92" s="233"/>
      <c r="F92" s="233"/>
      <c r="G92" s="234"/>
      <c r="H92" s="464"/>
      <c r="I92" s="233"/>
      <c r="J92" s="233"/>
      <c r="K92" s="234"/>
      <c r="L92" s="464"/>
      <c r="M92" s="233"/>
      <c r="N92" s="472"/>
      <c r="O92" s="472"/>
      <c r="P92" s="232"/>
      <c r="Q92" s="232"/>
      <c r="R92" s="175"/>
      <c r="S92" s="106"/>
      <c r="T92" s="464"/>
      <c r="U92" s="232"/>
      <c r="V92" s="232"/>
      <c r="W92" s="234"/>
      <c r="X92" s="232"/>
      <c r="Y92" s="464"/>
      <c r="Z92" s="232"/>
      <c r="AA92" s="232"/>
      <c r="AB92" s="234"/>
      <c r="AC92" s="232"/>
      <c r="AD92" s="464"/>
      <c r="AE92" s="232"/>
      <c r="AF92" s="232"/>
      <c r="AG92" s="234"/>
      <c r="AH92" s="232"/>
      <c r="AI92" s="464"/>
      <c r="AJ92" s="232"/>
      <c r="AK92" s="232"/>
      <c r="AL92" s="234"/>
      <c r="AM92" s="232"/>
      <c r="AN92" s="464"/>
      <c r="AO92" s="232"/>
      <c r="AP92" s="232"/>
      <c r="AQ92" s="234"/>
      <c r="AR92" s="232"/>
      <c r="AS92" s="464"/>
      <c r="AT92" s="232"/>
      <c r="AU92" s="232"/>
      <c r="AV92" s="234"/>
      <c r="AW92" s="232"/>
      <c r="AX92" s="464"/>
    </row>
    <row r="93" spans="2:50">
      <c r="B93" s="471"/>
      <c r="C93" s="232">
        <v>18</v>
      </c>
      <c r="D93" s="232"/>
      <c r="E93" s="233"/>
      <c r="F93" s="233"/>
      <c r="G93" s="234"/>
      <c r="H93" s="464"/>
      <c r="I93" s="232"/>
      <c r="J93" s="232"/>
      <c r="K93" s="232"/>
      <c r="L93" s="465"/>
      <c r="M93" s="233"/>
      <c r="N93" s="462"/>
      <c r="O93" s="462"/>
      <c r="P93" s="232"/>
      <c r="Q93" s="232"/>
      <c r="R93" s="175"/>
      <c r="S93" s="106"/>
      <c r="T93" s="465"/>
      <c r="U93" s="232"/>
      <c r="V93" s="232"/>
      <c r="W93" s="234"/>
      <c r="X93" s="232"/>
      <c r="Y93" s="465"/>
      <c r="Z93" s="232"/>
      <c r="AA93" s="232"/>
      <c r="AB93" s="234"/>
      <c r="AC93" s="232"/>
      <c r="AD93" s="465"/>
      <c r="AE93" s="232"/>
      <c r="AF93" s="232"/>
      <c r="AG93" s="234"/>
      <c r="AH93" s="232"/>
      <c r="AI93" s="465"/>
      <c r="AJ93" s="232"/>
      <c r="AK93" s="232"/>
      <c r="AL93" s="234"/>
      <c r="AM93" s="232"/>
      <c r="AN93" s="465"/>
      <c r="AO93" s="232"/>
      <c r="AP93" s="232"/>
      <c r="AQ93" s="234"/>
      <c r="AR93" s="232"/>
      <c r="AS93" s="465"/>
      <c r="AT93" s="232"/>
      <c r="AU93" s="232"/>
      <c r="AV93" s="234"/>
      <c r="AW93" s="232"/>
      <c r="AX93" s="465"/>
    </row>
    <row r="94" spans="2:50" ht="15.6">
      <c r="B94" s="468" t="s">
        <v>82</v>
      </c>
      <c r="C94" s="459"/>
      <c r="D94" s="459"/>
      <c r="E94" s="459"/>
      <c r="F94" s="459"/>
      <c r="G94" s="459"/>
      <c r="H94" s="459"/>
      <c r="I94" s="237"/>
      <c r="J94" s="237"/>
      <c r="K94" s="237"/>
      <c r="L94" s="237"/>
      <c r="M94" s="238"/>
      <c r="N94" s="461" t="s">
        <v>83</v>
      </c>
      <c r="O94" s="461" t="s">
        <v>43</v>
      </c>
      <c r="P94" s="457">
        <v>46049</v>
      </c>
      <c r="Q94" s="444"/>
      <c r="R94" s="444"/>
      <c r="S94" s="444"/>
      <c r="T94" s="444"/>
      <c r="U94" s="457">
        <v>46050</v>
      </c>
      <c r="V94" s="444"/>
      <c r="W94" s="444"/>
      <c r="X94" s="444"/>
      <c r="Y94" s="444"/>
      <c r="Z94" s="457">
        <v>46051</v>
      </c>
      <c r="AA94" s="444"/>
      <c r="AB94" s="444"/>
      <c r="AC94" s="444"/>
      <c r="AD94" s="444"/>
      <c r="AE94" s="457">
        <v>46052</v>
      </c>
      <c r="AF94" s="444"/>
      <c r="AG94" s="444"/>
      <c r="AH94" s="444"/>
      <c r="AI94" s="444"/>
      <c r="AJ94" s="457">
        <v>46053</v>
      </c>
      <c r="AK94" s="444"/>
      <c r="AL94" s="444"/>
      <c r="AM94" s="444"/>
      <c r="AN94" s="444"/>
      <c r="AO94" s="457">
        <v>46054</v>
      </c>
      <c r="AP94" s="444"/>
      <c r="AQ94" s="444"/>
      <c r="AR94" s="444"/>
      <c r="AS94" s="444"/>
      <c r="AT94" s="457">
        <v>46055</v>
      </c>
      <c r="AU94" s="444"/>
      <c r="AV94" s="444"/>
      <c r="AW94" s="444"/>
      <c r="AX94" s="444"/>
    </row>
    <row r="95" spans="2:50" ht="15.6">
      <c r="B95" s="460"/>
      <c r="C95" s="460"/>
      <c r="D95" s="460"/>
      <c r="E95" s="460"/>
      <c r="F95" s="460"/>
      <c r="G95" s="460"/>
      <c r="H95" s="460"/>
      <c r="I95" s="228"/>
      <c r="J95" s="228"/>
      <c r="K95" s="228"/>
      <c r="L95" s="228"/>
      <c r="M95" s="229"/>
      <c r="N95" s="462"/>
      <c r="O95" s="462"/>
      <c r="P95" s="457" t="s">
        <v>57</v>
      </c>
      <c r="Q95" s="444"/>
      <c r="R95" s="444"/>
      <c r="S95" s="444"/>
      <c r="T95" s="444"/>
      <c r="U95" s="457" t="s">
        <v>58</v>
      </c>
      <c r="V95" s="444"/>
      <c r="W95" s="444"/>
      <c r="X95" s="444"/>
      <c r="Y95" s="444"/>
      <c r="Z95" s="457" t="s">
        <v>54</v>
      </c>
      <c r="AA95" s="444"/>
      <c r="AB95" s="444"/>
      <c r="AC95" s="444"/>
      <c r="AD95" s="444"/>
      <c r="AE95" s="457" t="s">
        <v>55</v>
      </c>
      <c r="AF95" s="444"/>
      <c r="AG95" s="444"/>
      <c r="AH95" s="444"/>
      <c r="AI95" s="444"/>
      <c r="AJ95" s="457" t="s">
        <v>56</v>
      </c>
      <c r="AK95" s="444"/>
      <c r="AL95" s="444"/>
      <c r="AM95" s="444"/>
      <c r="AN95" s="444"/>
      <c r="AO95" s="457" t="s">
        <v>50</v>
      </c>
      <c r="AP95" s="444"/>
      <c r="AQ95" s="444"/>
      <c r="AR95" s="444"/>
      <c r="AS95" s="444"/>
      <c r="AT95" s="457" t="s">
        <v>53</v>
      </c>
      <c r="AU95" s="444"/>
      <c r="AV95" s="444"/>
      <c r="AW95" s="444"/>
      <c r="AX95" s="444"/>
    </row>
    <row r="96" spans="2:50">
      <c r="B96" s="449" t="s">
        <v>39</v>
      </c>
      <c r="C96" s="449" t="s">
        <v>84</v>
      </c>
      <c r="D96" s="449"/>
      <c r="E96" s="449" t="s">
        <v>85</v>
      </c>
      <c r="F96" s="449"/>
      <c r="G96" s="449"/>
      <c r="H96" s="454" t="s">
        <v>86</v>
      </c>
      <c r="I96" s="449" t="s">
        <v>87</v>
      </c>
      <c r="J96" s="449"/>
      <c r="K96" s="449"/>
      <c r="L96" s="454" t="s">
        <v>86</v>
      </c>
      <c r="M96" s="461" t="s">
        <v>88</v>
      </c>
      <c r="N96" s="461"/>
      <c r="O96" s="461" t="s">
        <v>89</v>
      </c>
      <c r="P96" s="450" t="s">
        <v>90</v>
      </c>
      <c r="Q96" s="451"/>
      <c r="R96" s="451"/>
      <c r="S96" s="452"/>
      <c r="T96" s="449" t="s">
        <v>86</v>
      </c>
      <c r="U96" s="450" t="s">
        <v>90</v>
      </c>
      <c r="V96" s="451"/>
      <c r="W96" s="451"/>
      <c r="X96" s="452"/>
      <c r="Y96" s="449" t="s">
        <v>86</v>
      </c>
      <c r="Z96" s="450" t="s">
        <v>90</v>
      </c>
      <c r="AA96" s="451"/>
      <c r="AB96" s="451"/>
      <c r="AC96" s="452"/>
      <c r="AD96" s="449" t="s">
        <v>86</v>
      </c>
      <c r="AE96" s="450" t="s">
        <v>90</v>
      </c>
      <c r="AF96" s="451"/>
      <c r="AG96" s="451"/>
      <c r="AH96" s="452"/>
      <c r="AI96" s="449" t="s">
        <v>86</v>
      </c>
      <c r="AJ96" s="450" t="s">
        <v>90</v>
      </c>
      <c r="AK96" s="451"/>
      <c r="AL96" s="451"/>
      <c r="AM96" s="452"/>
      <c r="AN96" s="449" t="s">
        <v>86</v>
      </c>
      <c r="AO96" s="450" t="s">
        <v>90</v>
      </c>
      <c r="AP96" s="451"/>
      <c r="AQ96" s="451"/>
      <c r="AR96" s="452"/>
      <c r="AS96" s="449" t="s">
        <v>86</v>
      </c>
      <c r="AT96" s="450" t="s">
        <v>90</v>
      </c>
      <c r="AU96" s="451"/>
      <c r="AV96" s="451"/>
      <c r="AW96" s="452"/>
      <c r="AX96" s="449" t="s">
        <v>86</v>
      </c>
    </row>
    <row r="97" spans="1:50">
      <c r="B97" s="449"/>
      <c r="C97" s="449"/>
      <c r="D97" s="449"/>
      <c r="E97" s="449" t="s">
        <v>91</v>
      </c>
      <c r="F97" s="449"/>
      <c r="G97" s="449"/>
      <c r="H97" s="455"/>
      <c r="I97" s="449" t="s">
        <v>91</v>
      </c>
      <c r="J97" s="449"/>
      <c r="K97" s="449"/>
      <c r="L97" s="455"/>
      <c r="M97" s="472"/>
      <c r="N97" s="472"/>
      <c r="O97" s="472"/>
      <c r="P97" s="450" t="s">
        <v>92</v>
      </c>
      <c r="Q97" s="451"/>
      <c r="R97" s="451"/>
      <c r="S97" s="452"/>
      <c r="T97" s="449"/>
      <c r="U97" s="450" t="s">
        <v>92</v>
      </c>
      <c r="V97" s="451"/>
      <c r="W97" s="451"/>
      <c r="X97" s="452"/>
      <c r="Y97" s="449"/>
      <c r="Z97" s="450" t="s">
        <v>92</v>
      </c>
      <c r="AA97" s="451"/>
      <c r="AB97" s="451"/>
      <c r="AC97" s="452"/>
      <c r="AD97" s="449"/>
      <c r="AE97" s="450" t="s">
        <v>92</v>
      </c>
      <c r="AF97" s="451"/>
      <c r="AG97" s="451"/>
      <c r="AH97" s="452"/>
      <c r="AI97" s="449"/>
      <c r="AJ97" s="450" t="s">
        <v>92</v>
      </c>
      <c r="AK97" s="451"/>
      <c r="AL97" s="451"/>
      <c r="AM97" s="452"/>
      <c r="AN97" s="449"/>
      <c r="AO97" s="450" t="s">
        <v>92</v>
      </c>
      <c r="AP97" s="451"/>
      <c r="AQ97" s="451"/>
      <c r="AR97" s="452"/>
      <c r="AS97" s="449"/>
      <c r="AT97" s="450" t="s">
        <v>92</v>
      </c>
      <c r="AU97" s="451"/>
      <c r="AV97" s="451"/>
      <c r="AW97" s="452"/>
      <c r="AX97" s="449"/>
    </row>
    <row r="98" spans="1:50">
      <c r="B98" s="449"/>
      <c r="C98" s="449"/>
      <c r="D98" s="449"/>
      <c r="E98" s="231" t="s">
        <v>93</v>
      </c>
      <c r="F98" s="231" t="s">
        <v>94</v>
      </c>
      <c r="G98" s="231" t="s">
        <v>95</v>
      </c>
      <c r="H98" s="456"/>
      <c r="I98" s="231" t="s">
        <v>93</v>
      </c>
      <c r="J98" s="231" t="s">
        <v>94</v>
      </c>
      <c r="K98" s="231" t="s">
        <v>95</v>
      </c>
      <c r="L98" s="456"/>
      <c r="M98" s="462"/>
      <c r="N98" s="472"/>
      <c r="O98" s="472"/>
      <c r="P98" s="231" t="s">
        <v>93</v>
      </c>
      <c r="Q98" s="231" t="s">
        <v>94</v>
      </c>
      <c r="R98" s="231" t="s">
        <v>95</v>
      </c>
      <c r="S98" s="231" t="s">
        <v>88</v>
      </c>
      <c r="T98" s="449"/>
      <c r="U98" s="231" t="s">
        <v>93</v>
      </c>
      <c r="V98" s="231" t="s">
        <v>94</v>
      </c>
      <c r="W98" s="231" t="s">
        <v>95</v>
      </c>
      <c r="X98" s="231" t="s">
        <v>88</v>
      </c>
      <c r="Y98" s="449"/>
      <c r="Z98" s="231" t="s">
        <v>93</v>
      </c>
      <c r="AA98" s="231" t="s">
        <v>94</v>
      </c>
      <c r="AB98" s="231" t="s">
        <v>95</v>
      </c>
      <c r="AC98" s="231" t="s">
        <v>88</v>
      </c>
      <c r="AD98" s="449"/>
      <c r="AE98" s="231" t="s">
        <v>93</v>
      </c>
      <c r="AF98" s="231" t="s">
        <v>94</v>
      </c>
      <c r="AG98" s="231" t="s">
        <v>95</v>
      </c>
      <c r="AH98" s="231" t="s">
        <v>88</v>
      </c>
      <c r="AI98" s="449"/>
      <c r="AJ98" s="231" t="s">
        <v>93</v>
      </c>
      <c r="AK98" s="231" t="s">
        <v>94</v>
      </c>
      <c r="AL98" s="231" t="s">
        <v>95</v>
      </c>
      <c r="AM98" s="231" t="s">
        <v>88</v>
      </c>
      <c r="AN98" s="449"/>
      <c r="AO98" s="231" t="s">
        <v>93</v>
      </c>
      <c r="AP98" s="231" t="s">
        <v>94</v>
      </c>
      <c r="AQ98" s="231" t="s">
        <v>95</v>
      </c>
      <c r="AR98" s="231" t="s">
        <v>88</v>
      </c>
      <c r="AS98" s="449"/>
      <c r="AT98" s="231" t="s">
        <v>93</v>
      </c>
      <c r="AU98" s="231" t="s">
        <v>94</v>
      </c>
      <c r="AV98" s="231" t="s">
        <v>95</v>
      </c>
      <c r="AW98" s="231" t="s">
        <v>88</v>
      </c>
      <c r="AX98" s="449"/>
    </row>
    <row r="99" spans="1:50" ht="12.95">
      <c r="B99" s="466" t="s">
        <v>96</v>
      </c>
      <c r="C99" s="232">
        <v>1</v>
      </c>
      <c r="D99" s="236" t="s">
        <v>97</v>
      </c>
      <c r="E99" s="233">
        <f>VLOOKUP(D99,'12產線配置圖 (2)'!$A$2:$C$25,2,0)</f>
        <v>12</v>
      </c>
      <c r="F99" s="233">
        <f>VLOOKUP(D99,'12產線配置圖 (2)'!$A$2:$C$25,3,0)</f>
        <v>2000</v>
      </c>
      <c r="G99" s="234">
        <f>F99/E99</f>
        <v>166.66666666666666</v>
      </c>
      <c r="H99" s="463">
        <f>AVERAGE(G99:G113)</f>
        <v>106.52947385431906</v>
      </c>
      <c r="I99" s="233">
        <f>AVERAGE(P99,U99,Z99,AE99,AJ99,AO99,AT99)</f>
        <v>12</v>
      </c>
      <c r="J99" s="233">
        <f>AVERAGE(Q99,V99,AA99,AF99,AK99,AP99,AU99)</f>
        <v>1855.2</v>
      </c>
      <c r="K99" s="234">
        <f>AVERAGE(R99,W99,AB99,AG99,AL99)</f>
        <v>154.6</v>
      </c>
      <c r="L99" s="463">
        <f>IFERROR(AVERAGE(K99:K116),"-")</f>
        <v>101.18678169665303</v>
      </c>
      <c r="M99" s="233">
        <f>RANK(K99, K$99:$K$116)</f>
        <v>1</v>
      </c>
      <c r="N99" s="472"/>
      <c r="O99" s="472"/>
      <c r="P99" s="233">
        <v>12</v>
      </c>
      <c r="Q99" s="233">
        <v>1802</v>
      </c>
      <c r="R99" s="234">
        <f>Q99/P99</f>
        <v>150.16666666666666</v>
      </c>
      <c r="S99" s="232">
        <f>RANK(R99,$R$99:$R$116)</f>
        <v>1</v>
      </c>
      <c r="T99" s="463">
        <f>AVERAGE(R99:R116)</f>
        <v>100.94856532356533</v>
      </c>
      <c r="U99" s="233">
        <v>12</v>
      </c>
      <c r="V99" s="233">
        <v>1849</v>
      </c>
      <c r="W99" s="234">
        <f>V99/U99</f>
        <v>154.08333333333334</v>
      </c>
      <c r="X99" s="232">
        <f>RANK(W99,$W$99:$W$116)</f>
        <v>1</v>
      </c>
      <c r="Y99" s="463">
        <f>AVERAGE(W99:W116)</f>
        <v>102.65290105625583</v>
      </c>
      <c r="Z99" s="233">
        <v>12</v>
      </c>
      <c r="AA99" s="233">
        <v>1923</v>
      </c>
      <c r="AB99" s="234">
        <f>AA99/Z99</f>
        <v>160.25</v>
      </c>
      <c r="AC99" s="232">
        <f>RANK(AB99, $AB$99:$AB$116)</f>
        <v>1</v>
      </c>
      <c r="AD99" s="463">
        <f>AVERAGE(AB99:AB116)</f>
        <v>99.210793740573166</v>
      </c>
      <c r="AE99" s="233">
        <v>12</v>
      </c>
      <c r="AF99" s="233">
        <v>1797</v>
      </c>
      <c r="AG99" s="234">
        <f>AF99/AE99</f>
        <v>149.75</v>
      </c>
      <c r="AH99" s="232">
        <f>RANK(AG99,$AG$99:$AG$116)</f>
        <v>1</v>
      </c>
      <c r="AI99" s="463">
        <f>AVERAGE(AG99:AG116)</f>
        <v>99.752620719762248</v>
      </c>
      <c r="AJ99" s="233">
        <v>12</v>
      </c>
      <c r="AK99" s="233">
        <v>1905</v>
      </c>
      <c r="AL99" s="234">
        <f>AK99/AJ99</f>
        <v>158.75</v>
      </c>
      <c r="AM99" s="232">
        <f>RANK(AL99,$AL$99:$AL$116)</f>
        <v>1</v>
      </c>
      <c r="AN99" s="463">
        <f>AVERAGE(AL99:AL116)</f>
        <v>103.36902764310852</v>
      </c>
      <c r="AO99" s="233"/>
      <c r="AP99" s="233"/>
      <c r="AQ99" s="234" t="e">
        <f>AP99/AO99</f>
        <v>#DIV/0!</v>
      </c>
      <c r="AR99" s="232" t="e">
        <f>RANK(AQ99,$AQ$99:$AQ$116)</f>
        <v>#DIV/0!</v>
      </c>
      <c r="AS99" s="463" t="e">
        <f>AVERAGE(AQ99:AQ116)</f>
        <v>#DIV/0!</v>
      </c>
      <c r="AT99" s="233"/>
      <c r="AU99" s="233"/>
      <c r="AV99" s="234" t="e">
        <f>AU99/AT99</f>
        <v>#DIV/0!</v>
      </c>
      <c r="AW99" s="232" t="e">
        <f>RANK(AV99,$AV$99:$AV$116)</f>
        <v>#DIV/0!</v>
      </c>
      <c r="AX99" s="463" t="e">
        <f>AVERAGE(AV99:AV116)</f>
        <v>#DIV/0!</v>
      </c>
    </row>
    <row r="100" spans="1:50">
      <c r="B100" s="467"/>
      <c r="C100" s="232">
        <v>2</v>
      </c>
      <c r="D100" s="232" t="s">
        <v>98</v>
      </c>
      <c r="E100" s="233">
        <f>VLOOKUP(D100,'12產線配置圖 (2)'!$A$2:$C$25,2,0)</f>
        <v>14</v>
      </c>
      <c r="F100" s="233">
        <f>VLOOKUP(D100,'12產線配置圖 (2)'!$A$2:$C$25,3,0)</f>
        <v>2000</v>
      </c>
      <c r="G100" s="234">
        <f t="shared" ref="G100:G114" si="88">F100/E100</f>
        <v>142.85714285714286</v>
      </c>
      <c r="H100" s="464"/>
      <c r="I100" s="233">
        <f t="shared" ref="I100:J114" si="89">AVERAGE(P100,U100,Z100,AE100,AJ100,AO100,AT100)</f>
        <v>14</v>
      </c>
      <c r="J100" s="233">
        <f t="shared" si="89"/>
        <v>1771</v>
      </c>
      <c r="K100" s="234">
        <f t="shared" ref="K100:K114" si="90">AVERAGE(R100,W100,AB100,AG100,AL100)</f>
        <v>126.5</v>
      </c>
      <c r="L100" s="464"/>
      <c r="M100" s="233">
        <f>RANK(K100, K$99:$K$116)</f>
        <v>4</v>
      </c>
      <c r="N100" s="472"/>
      <c r="O100" s="472"/>
      <c r="P100" s="233">
        <v>14</v>
      </c>
      <c r="Q100" s="233">
        <v>1794</v>
      </c>
      <c r="R100" s="234">
        <f t="shared" ref="R100:R109" si="91">Q100/P100</f>
        <v>128.14285714285714</v>
      </c>
      <c r="S100" s="232">
        <f t="shared" ref="S100:S109" si="92">RANK(R100,$R$99:$R$116)</f>
        <v>4</v>
      </c>
      <c r="T100" s="464"/>
      <c r="U100" s="233">
        <v>14</v>
      </c>
      <c r="V100" s="233">
        <v>1793</v>
      </c>
      <c r="W100" s="234">
        <f t="shared" ref="W100:W109" si="93">V100/U100</f>
        <v>128.07142857142858</v>
      </c>
      <c r="X100" s="232">
        <f t="shared" ref="X100:X109" si="94">RANK(W100,$W$99:$W$116)</f>
        <v>4</v>
      </c>
      <c r="Y100" s="464"/>
      <c r="Z100" s="233">
        <v>14</v>
      </c>
      <c r="AA100" s="233">
        <v>1749</v>
      </c>
      <c r="AB100" s="234">
        <f t="shared" ref="AB100:AB114" si="95">AA100/Z100</f>
        <v>124.92857142857143</v>
      </c>
      <c r="AC100" s="232">
        <f t="shared" ref="AC100:AC114" si="96">RANK(AB100, $AB$99:$AB$116)</f>
        <v>4</v>
      </c>
      <c r="AD100" s="464"/>
      <c r="AE100" s="233">
        <v>14</v>
      </c>
      <c r="AF100" s="233">
        <v>1749</v>
      </c>
      <c r="AG100" s="234">
        <f t="shared" ref="AG100:AG114" si="97">AF100/AE100</f>
        <v>124.92857142857143</v>
      </c>
      <c r="AH100" s="232">
        <f t="shared" ref="AH100:AH114" si="98">RANK(AG100,$AG$99:$AG$116)</f>
        <v>4</v>
      </c>
      <c r="AI100" s="464"/>
      <c r="AJ100" s="233">
        <v>14</v>
      </c>
      <c r="AK100" s="233">
        <v>1770</v>
      </c>
      <c r="AL100" s="234">
        <f t="shared" ref="AL100:AL114" si="99">AK100/AJ100</f>
        <v>126.42857142857143</v>
      </c>
      <c r="AM100" s="232">
        <f t="shared" ref="AM100:AM114" si="100">RANK(AL100,$AL$99:$AL$116)</f>
        <v>4</v>
      </c>
      <c r="AN100" s="464"/>
      <c r="AO100" s="233"/>
      <c r="AP100" s="233"/>
      <c r="AQ100" s="234" t="e">
        <f t="shared" ref="AQ100:AQ114" si="101">AP100/AO100</f>
        <v>#DIV/0!</v>
      </c>
      <c r="AR100" s="232" t="e">
        <f t="shared" ref="AR100:AR114" si="102">RANK(AQ100,$AQ$99:$AQ$116)</f>
        <v>#DIV/0!</v>
      </c>
      <c r="AS100" s="464"/>
      <c r="AT100" s="233"/>
      <c r="AU100" s="233"/>
      <c r="AV100" s="234" t="e">
        <f t="shared" ref="AV100:AV114" si="103">AU100/AT100</f>
        <v>#DIV/0!</v>
      </c>
      <c r="AW100" s="232" t="e">
        <f t="shared" ref="AW100:AW114" si="104">RANK(AV100,$AV$99:$AV$116)</f>
        <v>#DIV/0!</v>
      </c>
      <c r="AX100" s="464"/>
    </row>
    <row r="101" spans="1:50">
      <c r="B101" s="467"/>
      <c r="C101" s="232">
        <v>3</v>
      </c>
      <c r="D101" s="232" t="s">
        <v>99</v>
      </c>
      <c r="E101" s="233">
        <f>VLOOKUP(D101,'12產線配置圖 (2)'!$A$2:$C$25,2,0)</f>
        <v>13</v>
      </c>
      <c r="F101" s="233">
        <f>VLOOKUP(D101,'12產線配置圖 (2)'!$A$2:$C$25,3,0)</f>
        <v>2000</v>
      </c>
      <c r="G101" s="234">
        <f t="shared" si="88"/>
        <v>153.84615384615384</v>
      </c>
      <c r="H101" s="464"/>
      <c r="I101" s="233">
        <f t="shared" si="89"/>
        <v>13.2</v>
      </c>
      <c r="J101" s="233">
        <f t="shared" si="89"/>
        <v>1905.2</v>
      </c>
      <c r="K101" s="234">
        <f t="shared" si="90"/>
        <v>144.31208791208792</v>
      </c>
      <c r="L101" s="464"/>
      <c r="M101" s="233">
        <f>RANK(K101, K$99:$K$116)</f>
        <v>2</v>
      </c>
      <c r="N101" s="472"/>
      <c r="O101" s="472"/>
      <c r="P101" s="233">
        <v>13</v>
      </c>
      <c r="Q101" s="233">
        <v>1900</v>
      </c>
      <c r="R101" s="234">
        <f t="shared" si="91"/>
        <v>146.15384615384616</v>
      </c>
      <c r="S101" s="232">
        <f t="shared" si="92"/>
        <v>2</v>
      </c>
      <c r="T101" s="464"/>
      <c r="U101" s="233">
        <v>14</v>
      </c>
      <c r="V101" s="233">
        <v>2040</v>
      </c>
      <c r="W101" s="234">
        <f t="shared" si="93"/>
        <v>145.71428571428572</v>
      </c>
      <c r="X101" s="232">
        <f t="shared" si="94"/>
        <v>2</v>
      </c>
      <c r="Y101" s="464"/>
      <c r="Z101" s="233">
        <v>13</v>
      </c>
      <c r="AA101" s="233">
        <v>1868</v>
      </c>
      <c r="AB101" s="234">
        <f>AA101/Z101</f>
        <v>143.69230769230768</v>
      </c>
      <c r="AC101" s="232">
        <f t="shared" si="96"/>
        <v>2</v>
      </c>
      <c r="AD101" s="464"/>
      <c r="AE101" s="233">
        <v>13</v>
      </c>
      <c r="AF101" s="233">
        <v>1894</v>
      </c>
      <c r="AG101" s="234">
        <f t="shared" si="97"/>
        <v>145.69230769230768</v>
      </c>
      <c r="AH101" s="232">
        <f t="shared" si="98"/>
        <v>2</v>
      </c>
      <c r="AI101" s="464"/>
      <c r="AJ101" s="233">
        <v>13</v>
      </c>
      <c r="AK101" s="233">
        <v>1824</v>
      </c>
      <c r="AL101" s="234">
        <f t="shared" si="99"/>
        <v>140.30769230769232</v>
      </c>
      <c r="AM101" s="232">
        <f t="shared" si="100"/>
        <v>2</v>
      </c>
      <c r="AN101" s="464"/>
      <c r="AO101" s="233"/>
      <c r="AP101" s="233"/>
      <c r="AQ101" s="234" t="e">
        <f t="shared" si="101"/>
        <v>#DIV/0!</v>
      </c>
      <c r="AR101" s="232" t="e">
        <f t="shared" si="102"/>
        <v>#DIV/0!</v>
      </c>
      <c r="AS101" s="464"/>
      <c r="AT101" s="233"/>
      <c r="AU101" s="233"/>
      <c r="AV101" s="234" t="e">
        <f t="shared" si="103"/>
        <v>#DIV/0!</v>
      </c>
      <c r="AW101" s="232" t="e">
        <f t="shared" si="104"/>
        <v>#DIV/0!</v>
      </c>
      <c r="AX101" s="464"/>
    </row>
    <row r="102" spans="1:50">
      <c r="A102" s="224">
        <v>18</v>
      </c>
      <c r="B102" s="467"/>
      <c r="C102" s="232">
        <v>4</v>
      </c>
      <c r="D102" s="232" t="s">
        <v>100</v>
      </c>
      <c r="E102" s="233">
        <f>VLOOKUP(D102,'12產線配置圖 (2)'!$A$2:$C$25,2,0)</f>
        <v>18</v>
      </c>
      <c r="F102" s="233">
        <f>VLOOKUP(D102,'12產線配置圖 (2)'!$A$2:$C$25,3,0)</f>
        <v>1600</v>
      </c>
      <c r="G102" s="234">
        <f t="shared" si="88"/>
        <v>88.888888888888886</v>
      </c>
      <c r="H102" s="464"/>
      <c r="I102" s="233">
        <f t="shared" si="89"/>
        <v>18</v>
      </c>
      <c r="J102" s="233">
        <f t="shared" si="89"/>
        <v>1571.8</v>
      </c>
      <c r="K102" s="234">
        <f t="shared" si="90"/>
        <v>87.322222222222223</v>
      </c>
      <c r="L102" s="464"/>
      <c r="M102" s="233">
        <f>RANK(K102, K$99:$K$116)</f>
        <v>9</v>
      </c>
      <c r="N102" s="472"/>
      <c r="O102" s="472"/>
      <c r="P102" s="233">
        <v>18</v>
      </c>
      <c r="Q102" s="233">
        <v>1575</v>
      </c>
      <c r="R102" s="234">
        <f t="shared" si="91"/>
        <v>87.5</v>
      </c>
      <c r="S102" s="232">
        <f t="shared" si="92"/>
        <v>10</v>
      </c>
      <c r="T102" s="464"/>
      <c r="U102" s="233">
        <v>18</v>
      </c>
      <c r="V102" s="233">
        <v>1564</v>
      </c>
      <c r="W102" s="234">
        <f t="shared" si="93"/>
        <v>86.888888888888886</v>
      </c>
      <c r="X102" s="232">
        <f t="shared" si="94"/>
        <v>9</v>
      </c>
      <c r="Y102" s="464"/>
      <c r="Z102" s="233">
        <v>18</v>
      </c>
      <c r="AA102" s="233">
        <v>1591</v>
      </c>
      <c r="AB102" s="234">
        <f t="shared" si="95"/>
        <v>88.388888888888886</v>
      </c>
      <c r="AC102" s="232">
        <f t="shared" si="96"/>
        <v>9</v>
      </c>
      <c r="AD102" s="464"/>
      <c r="AE102" s="233">
        <v>18</v>
      </c>
      <c r="AF102" s="233">
        <v>1553</v>
      </c>
      <c r="AG102" s="234">
        <f t="shared" si="97"/>
        <v>86.277777777777771</v>
      </c>
      <c r="AH102" s="232">
        <f t="shared" si="98"/>
        <v>11</v>
      </c>
      <c r="AI102" s="464"/>
      <c r="AJ102" s="233">
        <v>18</v>
      </c>
      <c r="AK102" s="233">
        <v>1576</v>
      </c>
      <c r="AL102" s="234">
        <f t="shared" si="99"/>
        <v>87.555555555555557</v>
      </c>
      <c r="AM102" s="232">
        <f t="shared" si="100"/>
        <v>10</v>
      </c>
      <c r="AN102" s="464"/>
      <c r="AO102" s="233"/>
      <c r="AP102" s="233"/>
      <c r="AQ102" s="234" t="e">
        <f t="shared" si="101"/>
        <v>#DIV/0!</v>
      </c>
      <c r="AR102" s="232" t="e">
        <f t="shared" si="102"/>
        <v>#DIV/0!</v>
      </c>
      <c r="AS102" s="464"/>
      <c r="AT102" s="233"/>
      <c r="AU102" s="233"/>
      <c r="AV102" s="234" t="e">
        <f t="shared" si="103"/>
        <v>#DIV/0!</v>
      </c>
      <c r="AW102" s="232" t="e">
        <f t="shared" si="104"/>
        <v>#DIV/0!</v>
      </c>
      <c r="AX102" s="464"/>
    </row>
    <row r="103" spans="1:50">
      <c r="B103" s="467"/>
      <c r="C103" s="232">
        <v>5</v>
      </c>
      <c r="D103" s="232" t="s">
        <v>101</v>
      </c>
      <c r="E103" s="233">
        <f>VLOOKUP(D103,'12產線配置圖 (2)'!$A$2:$C$25,2,0)</f>
        <v>13</v>
      </c>
      <c r="F103" s="233">
        <f>VLOOKUP(D103,'12產線配置圖 (2)'!$A$2:$C$25,3,0)</f>
        <v>2105</v>
      </c>
      <c r="G103" s="234">
        <f t="shared" si="88"/>
        <v>161.92307692307693</v>
      </c>
      <c r="H103" s="464"/>
      <c r="I103" s="233">
        <f t="shared" si="89"/>
        <v>13.4</v>
      </c>
      <c r="J103" s="233">
        <f t="shared" si="89"/>
        <v>1850.2</v>
      </c>
      <c r="K103" s="234">
        <f t="shared" si="90"/>
        <v>138.06153846153848</v>
      </c>
      <c r="L103" s="464"/>
      <c r="M103" s="233">
        <f>RANK(K103, K$99:$K$116)</f>
        <v>3</v>
      </c>
      <c r="N103" s="472"/>
      <c r="O103" s="472"/>
      <c r="P103" s="233">
        <v>13</v>
      </c>
      <c r="Q103" s="233">
        <v>1700</v>
      </c>
      <c r="R103" s="234">
        <f t="shared" si="91"/>
        <v>130.76923076923077</v>
      </c>
      <c r="S103" s="232">
        <f t="shared" si="92"/>
        <v>3</v>
      </c>
      <c r="T103" s="464"/>
      <c r="U103" s="233">
        <v>14</v>
      </c>
      <c r="V103" s="233">
        <v>2024</v>
      </c>
      <c r="W103" s="234">
        <f t="shared" si="93"/>
        <v>144.57142857142858</v>
      </c>
      <c r="X103" s="232">
        <f t="shared" si="94"/>
        <v>3</v>
      </c>
      <c r="Y103" s="464"/>
      <c r="Z103" s="335">
        <v>14</v>
      </c>
      <c r="AA103" s="233">
        <v>1854</v>
      </c>
      <c r="AB103" s="234">
        <f t="shared" si="95"/>
        <v>132.42857142857142</v>
      </c>
      <c r="AC103" s="232">
        <f t="shared" si="96"/>
        <v>3</v>
      </c>
      <c r="AD103" s="464"/>
      <c r="AE103" s="233">
        <v>13</v>
      </c>
      <c r="AF103" s="233">
        <v>1890</v>
      </c>
      <c r="AG103" s="234">
        <f t="shared" si="97"/>
        <v>145.38461538461539</v>
      </c>
      <c r="AH103" s="232">
        <f t="shared" si="98"/>
        <v>3</v>
      </c>
      <c r="AI103" s="464"/>
      <c r="AJ103" s="233">
        <v>13</v>
      </c>
      <c r="AK103" s="233">
        <v>1783</v>
      </c>
      <c r="AL103" s="234">
        <f t="shared" si="99"/>
        <v>137.15384615384616</v>
      </c>
      <c r="AM103" s="232">
        <f t="shared" si="100"/>
        <v>3</v>
      </c>
      <c r="AN103" s="464"/>
      <c r="AO103" s="233"/>
      <c r="AP103" s="233"/>
      <c r="AQ103" s="234" t="e">
        <f t="shared" si="101"/>
        <v>#DIV/0!</v>
      </c>
      <c r="AR103" s="232" t="e">
        <f t="shared" si="102"/>
        <v>#DIV/0!</v>
      </c>
      <c r="AS103" s="464"/>
      <c r="AT103" s="233"/>
      <c r="AU103" s="233"/>
      <c r="AV103" s="234" t="e">
        <f t="shared" si="103"/>
        <v>#DIV/0!</v>
      </c>
      <c r="AW103" s="232" t="e">
        <f t="shared" si="104"/>
        <v>#DIV/0!</v>
      </c>
      <c r="AX103" s="464"/>
    </row>
    <row r="104" spans="1:50">
      <c r="B104" s="467"/>
      <c r="C104" s="232">
        <v>6</v>
      </c>
      <c r="D104" s="232" t="s">
        <v>102</v>
      </c>
      <c r="E104" s="233">
        <f>VLOOKUP(D104,'12產線配置圖 (2)'!$A$2:$C$25,2,0)</f>
        <v>17</v>
      </c>
      <c r="F104" s="233">
        <f>VLOOKUP(D104,'12產線配置圖 (2)'!$A$2:$C$25,3,0)</f>
        <v>2000</v>
      </c>
      <c r="G104" s="234">
        <f t="shared" si="88"/>
        <v>117.64705882352941</v>
      </c>
      <c r="H104" s="464"/>
      <c r="I104" s="233">
        <f t="shared" si="89"/>
        <v>17</v>
      </c>
      <c r="J104" s="233">
        <f t="shared" si="89"/>
        <v>1862.2</v>
      </c>
      <c r="K104" s="234">
        <f t="shared" si="90"/>
        <v>109.54117647058824</v>
      </c>
      <c r="L104" s="464"/>
      <c r="M104" s="233">
        <f>RANK(K104, K$99:$K$116)</f>
        <v>5</v>
      </c>
      <c r="N104" s="472"/>
      <c r="O104" s="472"/>
      <c r="P104" s="233">
        <v>17</v>
      </c>
      <c r="Q104" s="233">
        <v>1917</v>
      </c>
      <c r="R104" s="234">
        <f t="shared" si="91"/>
        <v>112.76470588235294</v>
      </c>
      <c r="S104" s="232">
        <f t="shared" si="92"/>
        <v>5</v>
      </c>
      <c r="T104" s="464"/>
      <c r="U104" s="233">
        <v>17</v>
      </c>
      <c r="V104" s="233">
        <v>1927</v>
      </c>
      <c r="W104" s="234">
        <f t="shared" si="93"/>
        <v>113.35294117647059</v>
      </c>
      <c r="X104" s="232">
        <f t="shared" si="94"/>
        <v>5</v>
      </c>
      <c r="Y104" s="464"/>
      <c r="Z104" s="233">
        <v>17</v>
      </c>
      <c r="AA104" s="233">
        <v>1776</v>
      </c>
      <c r="AB104" s="234">
        <f t="shared" si="95"/>
        <v>104.47058823529412</v>
      </c>
      <c r="AC104" s="232">
        <f t="shared" si="96"/>
        <v>6</v>
      </c>
      <c r="AD104" s="464"/>
      <c r="AE104" s="233">
        <v>17</v>
      </c>
      <c r="AF104" s="233">
        <v>1795</v>
      </c>
      <c r="AG104" s="234">
        <f t="shared" si="97"/>
        <v>105.58823529411765</v>
      </c>
      <c r="AH104" s="232">
        <f t="shared" si="98"/>
        <v>7</v>
      </c>
      <c r="AI104" s="464"/>
      <c r="AJ104" s="233">
        <v>17</v>
      </c>
      <c r="AK104" s="233">
        <v>1896</v>
      </c>
      <c r="AL104" s="234">
        <f t="shared" si="99"/>
        <v>111.52941176470588</v>
      </c>
      <c r="AM104" s="232">
        <f t="shared" si="100"/>
        <v>5</v>
      </c>
      <c r="AN104" s="464"/>
      <c r="AO104" s="233"/>
      <c r="AP104" s="233"/>
      <c r="AQ104" s="234" t="e">
        <f t="shared" si="101"/>
        <v>#DIV/0!</v>
      </c>
      <c r="AR104" s="232" t="e">
        <f t="shared" si="102"/>
        <v>#DIV/0!</v>
      </c>
      <c r="AS104" s="464"/>
      <c r="AT104" s="233"/>
      <c r="AU104" s="233"/>
      <c r="AV104" s="234" t="e">
        <f t="shared" si="103"/>
        <v>#DIV/0!</v>
      </c>
      <c r="AW104" s="232" t="e">
        <f t="shared" si="104"/>
        <v>#DIV/0!</v>
      </c>
      <c r="AX104" s="464"/>
    </row>
    <row r="105" spans="1:50">
      <c r="B105" s="467"/>
      <c r="C105" s="232">
        <v>7</v>
      </c>
      <c r="D105" s="232" t="s">
        <v>104</v>
      </c>
      <c r="E105" s="233">
        <f>VLOOKUP(D105,'12產線配置圖 (2)'!$A$2:$C$25,2,0)</f>
        <v>17</v>
      </c>
      <c r="F105" s="233">
        <f>VLOOKUP(D105,'12產線配置圖 (2)'!$A$2:$C$25,3,0)</f>
        <v>1385</v>
      </c>
      <c r="G105" s="234">
        <f t="shared" si="88"/>
        <v>81.470588235294116</v>
      </c>
      <c r="H105" s="464"/>
      <c r="I105" s="233">
        <f t="shared" si="89"/>
        <v>15.4</v>
      </c>
      <c r="J105" s="233">
        <f t="shared" si="89"/>
        <v>1132.5999999999999</v>
      </c>
      <c r="K105" s="234">
        <f t="shared" si="90"/>
        <v>73.650644257703078</v>
      </c>
      <c r="L105" s="464"/>
      <c r="M105" s="233">
        <f>RANK(K105, K$99:$K$116)</f>
        <v>14</v>
      </c>
      <c r="N105" s="472"/>
      <c r="O105" s="472"/>
      <c r="P105" s="333">
        <v>14</v>
      </c>
      <c r="Q105" s="233">
        <v>1029</v>
      </c>
      <c r="R105" s="234">
        <f t="shared" si="91"/>
        <v>73.5</v>
      </c>
      <c r="S105" s="232">
        <f t="shared" si="92"/>
        <v>15</v>
      </c>
      <c r="T105" s="464"/>
      <c r="U105" s="233">
        <v>17</v>
      </c>
      <c r="V105" s="233">
        <v>1374</v>
      </c>
      <c r="W105" s="234">
        <f t="shared" si="93"/>
        <v>80.82352941176471</v>
      </c>
      <c r="X105" s="232">
        <f t="shared" si="94"/>
        <v>13</v>
      </c>
      <c r="Y105" s="464"/>
      <c r="Z105" s="233">
        <v>17</v>
      </c>
      <c r="AA105" s="233">
        <v>1100</v>
      </c>
      <c r="AB105" s="234">
        <f>AA105/Z105</f>
        <v>64.705882352941174</v>
      </c>
      <c r="AC105" s="232">
        <f>RANK(AB105, $AB$99:$AB$116)</f>
        <v>16</v>
      </c>
      <c r="AD105" s="464"/>
      <c r="AE105" s="333">
        <v>15</v>
      </c>
      <c r="AF105" s="233">
        <v>1063</v>
      </c>
      <c r="AG105" s="234">
        <f>AF105/AE105</f>
        <v>70.86666666666666</v>
      </c>
      <c r="AH105" s="232">
        <f>RANK(AG105,$AG$99:$AG$116)</f>
        <v>14</v>
      </c>
      <c r="AI105" s="464"/>
      <c r="AJ105" s="333">
        <v>14</v>
      </c>
      <c r="AK105" s="233">
        <v>1097</v>
      </c>
      <c r="AL105" s="234">
        <f>AK105/AJ105</f>
        <v>78.357142857142861</v>
      </c>
      <c r="AM105" s="232">
        <f>RANK(AL105,$AL$99:$AL$116)</f>
        <v>14</v>
      </c>
      <c r="AN105" s="464"/>
      <c r="AO105" s="233"/>
      <c r="AP105" s="233"/>
      <c r="AQ105" s="234" t="e">
        <f t="shared" si="101"/>
        <v>#DIV/0!</v>
      </c>
      <c r="AR105" s="232" t="e">
        <f t="shared" si="102"/>
        <v>#DIV/0!</v>
      </c>
      <c r="AS105" s="464"/>
      <c r="AT105" s="233"/>
      <c r="AU105" s="233"/>
      <c r="AV105" s="234" t="e">
        <f t="shared" si="103"/>
        <v>#DIV/0!</v>
      </c>
      <c r="AW105" s="232" t="e">
        <f t="shared" si="104"/>
        <v>#DIV/0!</v>
      </c>
      <c r="AX105" s="464"/>
    </row>
    <row r="106" spans="1:50">
      <c r="B106" s="467"/>
      <c r="C106" s="232">
        <v>8</v>
      </c>
      <c r="D106" s="232" t="s">
        <v>105</v>
      </c>
      <c r="E106" s="233">
        <f>VLOOKUP(D106,'12產線配置圖 (2)'!$A$2:$C$25,2,0)</f>
        <v>17</v>
      </c>
      <c r="F106" s="233">
        <f>VLOOKUP(D106,'12產線配置圖 (2)'!$A$2:$C$25,3,0)</f>
        <v>1565</v>
      </c>
      <c r="G106" s="234">
        <f t="shared" si="88"/>
        <v>92.058823529411768</v>
      </c>
      <c r="H106" s="464"/>
      <c r="I106" s="233">
        <f t="shared" si="89"/>
        <v>16.2</v>
      </c>
      <c r="J106" s="233">
        <f t="shared" si="89"/>
        <v>1413</v>
      </c>
      <c r="K106" s="234">
        <f t="shared" si="90"/>
        <v>87.242058823529419</v>
      </c>
      <c r="L106" s="464"/>
      <c r="M106" s="233">
        <f>RANK(K106, K$99:$K$116)</f>
        <v>10</v>
      </c>
      <c r="N106" s="472"/>
      <c r="O106" s="472"/>
      <c r="P106" s="233">
        <v>17</v>
      </c>
      <c r="Q106" s="233">
        <v>1551</v>
      </c>
      <c r="R106" s="234">
        <f t="shared" si="91"/>
        <v>91.235294117647058</v>
      </c>
      <c r="S106" s="232">
        <f t="shared" si="92"/>
        <v>9</v>
      </c>
      <c r="T106" s="464"/>
      <c r="U106" s="333">
        <v>16</v>
      </c>
      <c r="V106" s="233">
        <v>1354</v>
      </c>
      <c r="W106" s="234">
        <f t="shared" si="93"/>
        <v>84.625</v>
      </c>
      <c r="X106" s="232">
        <f t="shared" si="94"/>
        <v>12</v>
      </c>
      <c r="Y106" s="464"/>
      <c r="Z106" s="233">
        <v>17</v>
      </c>
      <c r="AA106" s="233">
        <v>1394</v>
      </c>
      <c r="AB106" s="234">
        <f t="shared" si="95"/>
        <v>82</v>
      </c>
      <c r="AC106" s="232">
        <f t="shared" si="96"/>
        <v>11</v>
      </c>
      <c r="AD106" s="464"/>
      <c r="AE106" s="333">
        <v>15</v>
      </c>
      <c r="AF106" s="233">
        <v>1314</v>
      </c>
      <c r="AG106" s="234">
        <f t="shared" si="97"/>
        <v>87.6</v>
      </c>
      <c r="AH106" s="232">
        <f t="shared" si="98"/>
        <v>9</v>
      </c>
      <c r="AI106" s="464"/>
      <c r="AJ106" s="333">
        <v>16</v>
      </c>
      <c r="AK106" s="233">
        <v>1452</v>
      </c>
      <c r="AL106" s="234">
        <f t="shared" si="99"/>
        <v>90.75</v>
      </c>
      <c r="AM106" s="232">
        <f t="shared" si="100"/>
        <v>9</v>
      </c>
      <c r="AN106" s="464"/>
      <c r="AO106" s="233"/>
      <c r="AP106" s="233"/>
      <c r="AQ106" s="234" t="e">
        <f t="shared" si="101"/>
        <v>#DIV/0!</v>
      </c>
      <c r="AR106" s="232" t="e">
        <f t="shared" si="102"/>
        <v>#DIV/0!</v>
      </c>
      <c r="AS106" s="464"/>
      <c r="AT106" s="233"/>
      <c r="AU106" s="233"/>
      <c r="AV106" s="234" t="e">
        <f t="shared" si="103"/>
        <v>#DIV/0!</v>
      </c>
      <c r="AW106" s="232" t="e">
        <f t="shared" si="104"/>
        <v>#DIV/0!</v>
      </c>
      <c r="AX106" s="464"/>
    </row>
    <row r="107" spans="1:50">
      <c r="B107" s="467"/>
      <c r="C107" s="232">
        <v>9</v>
      </c>
      <c r="D107" s="232" t="s">
        <v>106</v>
      </c>
      <c r="E107" s="233">
        <f>VLOOKUP(D107,'12產線配置圖 (2)'!$A$2:$C$25,2,0)</f>
        <v>18</v>
      </c>
      <c r="F107" s="233">
        <f>VLOOKUP(D107,'12產線配置圖 (2)'!$A$2:$C$25,3,0)</f>
        <v>1565</v>
      </c>
      <c r="G107" s="234">
        <f t="shared" si="88"/>
        <v>86.944444444444443</v>
      </c>
      <c r="H107" s="464"/>
      <c r="I107" s="233">
        <f t="shared" si="89"/>
        <v>18</v>
      </c>
      <c r="J107" s="233">
        <f t="shared" si="89"/>
        <v>1534.6</v>
      </c>
      <c r="K107" s="234">
        <f t="shared" si="90"/>
        <v>85.255555555555546</v>
      </c>
      <c r="L107" s="464"/>
      <c r="M107" s="233">
        <f>RANK(K107, K$99:$K$116)</f>
        <v>11</v>
      </c>
      <c r="N107" s="472"/>
      <c r="O107" s="472"/>
      <c r="P107" s="233">
        <v>18</v>
      </c>
      <c r="Q107" s="233">
        <v>1463</v>
      </c>
      <c r="R107" s="234">
        <f t="shared" si="91"/>
        <v>81.277777777777771</v>
      </c>
      <c r="S107" s="232">
        <f t="shared" si="92"/>
        <v>12</v>
      </c>
      <c r="T107" s="464"/>
      <c r="U107" s="233">
        <v>18</v>
      </c>
      <c r="V107" s="233">
        <v>1554</v>
      </c>
      <c r="W107" s="234">
        <f t="shared" si="93"/>
        <v>86.333333333333329</v>
      </c>
      <c r="X107" s="232">
        <f t="shared" si="94"/>
        <v>10</v>
      </c>
      <c r="Y107" s="464"/>
      <c r="Z107" s="233">
        <v>18</v>
      </c>
      <c r="AA107" s="233">
        <v>1547</v>
      </c>
      <c r="AB107" s="234">
        <f t="shared" si="95"/>
        <v>85.944444444444443</v>
      </c>
      <c r="AC107" s="232">
        <f t="shared" si="96"/>
        <v>10</v>
      </c>
      <c r="AD107" s="464"/>
      <c r="AE107" s="233">
        <v>18</v>
      </c>
      <c r="AF107" s="233">
        <v>1554</v>
      </c>
      <c r="AG107" s="234">
        <f t="shared" si="97"/>
        <v>86.333333333333329</v>
      </c>
      <c r="AH107" s="232">
        <f t="shared" si="98"/>
        <v>10</v>
      </c>
      <c r="AI107" s="464"/>
      <c r="AJ107" s="233">
        <v>18</v>
      </c>
      <c r="AK107" s="233">
        <v>1555</v>
      </c>
      <c r="AL107" s="234">
        <f t="shared" si="99"/>
        <v>86.388888888888886</v>
      </c>
      <c r="AM107" s="232">
        <f t="shared" si="100"/>
        <v>12</v>
      </c>
      <c r="AN107" s="464"/>
      <c r="AO107" s="233"/>
      <c r="AP107" s="233"/>
      <c r="AQ107" s="234" t="e">
        <f t="shared" si="101"/>
        <v>#DIV/0!</v>
      </c>
      <c r="AR107" s="232" t="e">
        <f t="shared" si="102"/>
        <v>#DIV/0!</v>
      </c>
      <c r="AS107" s="464"/>
      <c r="AT107" s="233"/>
      <c r="AU107" s="233"/>
      <c r="AV107" s="234" t="e">
        <f t="shared" si="103"/>
        <v>#DIV/0!</v>
      </c>
      <c r="AW107" s="232" t="e">
        <f t="shared" si="104"/>
        <v>#DIV/0!</v>
      </c>
      <c r="AX107" s="464"/>
    </row>
    <row r="108" spans="1:50" ht="12.95">
      <c r="B108" s="467"/>
      <c r="C108" s="232">
        <v>10</v>
      </c>
      <c r="D108" s="236" t="s">
        <v>107</v>
      </c>
      <c r="E108" s="233">
        <f>VLOOKUP(D108,'12產線配置圖 (2)'!$A$2:$C$25,2,0)</f>
        <v>16</v>
      </c>
      <c r="F108" s="233">
        <f>VLOOKUP(D108,'12產線配置圖 (2)'!$A$2:$C$25,3,0)</f>
        <v>1406</v>
      </c>
      <c r="G108" s="234">
        <f t="shared" si="88"/>
        <v>87.875</v>
      </c>
      <c r="H108" s="464"/>
      <c r="I108" s="233">
        <f t="shared" si="89"/>
        <v>13.8</v>
      </c>
      <c r="J108" s="233">
        <f t="shared" si="89"/>
        <v>981.6</v>
      </c>
      <c r="K108" s="234">
        <f t="shared" si="90"/>
        <v>70.565238095238087</v>
      </c>
      <c r="L108" s="464"/>
      <c r="M108" s="233">
        <f>RANK(K108, K$99:$K$116)</f>
        <v>16</v>
      </c>
      <c r="N108" s="472"/>
      <c r="O108" s="472"/>
      <c r="P108" s="333">
        <v>15</v>
      </c>
      <c r="Q108" s="233">
        <v>1134</v>
      </c>
      <c r="R108" s="234">
        <f t="shared" si="91"/>
        <v>75.599999999999994</v>
      </c>
      <c r="S108" s="232">
        <f t="shared" si="92"/>
        <v>14</v>
      </c>
      <c r="T108" s="464"/>
      <c r="U108" s="333">
        <v>14</v>
      </c>
      <c r="V108" s="233">
        <v>1028</v>
      </c>
      <c r="W108" s="234">
        <f t="shared" si="93"/>
        <v>73.428571428571431</v>
      </c>
      <c r="X108" s="232">
        <f t="shared" si="94"/>
        <v>15</v>
      </c>
      <c r="Y108" s="464"/>
      <c r="Z108" s="333">
        <v>14</v>
      </c>
      <c r="AA108" s="233">
        <v>993</v>
      </c>
      <c r="AB108" s="234">
        <f t="shared" si="95"/>
        <v>70.928571428571431</v>
      </c>
      <c r="AC108" s="232">
        <f t="shared" si="96"/>
        <v>14</v>
      </c>
      <c r="AD108" s="464"/>
      <c r="AE108" s="333">
        <v>12</v>
      </c>
      <c r="AF108" s="233">
        <v>643</v>
      </c>
      <c r="AG108" s="234">
        <f t="shared" si="97"/>
        <v>53.583333333333336</v>
      </c>
      <c r="AH108" s="232">
        <f t="shared" si="98"/>
        <v>16</v>
      </c>
      <c r="AI108" s="464"/>
      <c r="AJ108" s="333">
        <v>14</v>
      </c>
      <c r="AK108" s="233">
        <v>1110</v>
      </c>
      <c r="AL108" s="234">
        <f t="shared" si="99"/>
        <v>79.285714285714292</v>
      </c>
      <c r="AM108" s="232">
        <f t="shared" si="100"/>
        <v>13</v>
      </c>
      <c r="AN108" s="464"/>
      <c r="AO108" s="233"/>
      <c r="AP108" s="233"/>
      <c r="AQ108" s="234" t="e">
        <f t="shared" si="101"/>
        <v>#DIV/0!</v>
      </c>
      <c r="AR108" s="232" t="e">
        <f t="shared" si="102"/>
        <v>#DIV/0!</v>
      </c>
      <c r="AS108" s="464"/>
      <c r="AT108" s="233"/>
      <c r="AU108" s="233"/>
      <c r="AV108" s="234" t="e">
        <f t="shared" si="103"/>
        <v>#DIV/0!</v>
      </c>
      <c r="AW108" s="232" t="e">
        <f t="shared" si="104"/>
        <v>#DIV/0!</v>
      </c>
      <c r="AX108" s="464"/>
    </row>
    <row r="109" spans="1:50" ht="12.95">
      <c r="B109" s="467"/>
      <c r="C109" s="232">
        <v>11</v>
      </c>
      <c r="D109" s="236" t="s">
        <v>108</v>
      </c>
      <c r="E109" s="233">
        <f>VLOOKUP(D109,'12產線配置圖 (2)'!$A$2:$C$25,2,0)</f>
        <v>14</v>
      </c>
      <c r="F109" s="233">
        <f>VLOOKUP(D109,'12產線配置圖 (2)'!$A$2:$C$25,3,0)</f>
        <v>1440</v>
      </c>
      <c r="G109" s="234">
        <f t="shared" si="88"/>
        <v>102.85714285714286</v>
      </c>
      <c r="H109" s="464"/>
      <c r="I109" s="233">
        <f t="shared" si="89"/>
        <v>14.4</v>
      </c>
      <c r="J109" s="233">
        <f t="shared" si="89"/>
        <v>1457.6</v>
      </c>
      <c r="K109" s="234">
        <f t="shared" si="90"/>
        <v>101.18214285714285</v>
      </c>
      <c r="L109" s="464"/>
      <c r="M109" s="233">
        <f>RANK(K109, K$99:$K$116)</f>
        <v>8</v>
      </c>
      <c r="N109" s="472"/>
      <c r="O109" s="472"/>
      <c r="P109" s="341">
        <v>16</v>
      </c>
      <c r="Q109" s="232">
        <v>1642</v>
      </c>
      <c r="R109" s="234">
        <f t="shared" si="91"/>
        <v>102.625</v>
      </c>
      <c r="S109" s="232">
        <f t="shared" si="92"/>
        <v>7</v>
      </c>
      <c r="T109" s="464"/>
      <c r="U109" s="232">
        <v>14</v>
      </c>
      <c r="V109" s="232">
        <v>1435</v>
      </c>
      <c r="W109" s="234">
        <f t="shared" si="93"/>
        <v>102.5</v>
      </c>
      <c r="X109" s="232">
        <f t="shared" si="94"/>
        <v>7</v>
      </c>
      <c r="Y109" s="464"/>
      <c r="Z109" s="232">
        <v>14</v>
      </c>
      <c r="AA109" s="232">
        <v>1431</v>
      </c>
      <c r="AB109" s="234">
        <f t="shared" si="95"/>
        <v>102.21428571428571</v>
      </c>
      <c r="AC109" s="232">
        <f t="shared" si="96"/>
        <v>7</v>
      </c>
      <c r="AD109" s="464"/>
      <c r="AE109" s="232">
        <v>14</v>
      </c>
      <c r="AF109" s="232">
        <v>1355</v>
      </c>
      <c r="AG109" s="234">
        <f t="shared" si="97"/>
        <v>96.785714285714292</v>
      </c>
      <c r="AH109" s="232">
        <f t="shared" si="98"/>
        <v>8</v>
      </c>
      <c r="AI109" s="464"/>
      <c r="AJ109" s="232">
        <v>14</v>
      </c>
      <c r="AK109" s="232">
        <v>1425</v>
      </c>
      <c r="AL109" s="234">
        <f t="shared" si="99"/>
        <v>101.78571428571429</v>
      </c>
      <c r="AM109" s="232">
        <f t="shared" si="100"/>
        <v>8</v>
      </c>
      <c r="AN109" s="464"/>
      <c r="AO109" s="232"/>
      <c r="AP109" s="232"/>
      <c r="AQ109" s="234" t="e">
        <f t="shared" si="101"/>
        <v>#DIV/0!</v>
      </c>
      <c r="AR109" s="232" t="e">
        <f t="shared" si="102"/>
        <v>#DIV/0!</v>
      </c>
      <c r="AS109" s="464"/>
      <c r="AT109" s="232"/>
      <c r="AU109" s="232"/>
      <c r="AV109" s="234" t="e">
        <f t="shared" si="103"/>
        <v>#DIV/0!</v>
      </c>
      <c r="AW109" s="232" t="e">
        <f t="shared" si="104"/>
        <v>#DIV/0!</v>
      </c>
      <c r="AX109" s="464"/>
    </row>
    <row r="110" spans="1:50" ht="12.95">
      <c r="B110" s="467"/>
      <c r="C110" s="232">
        <v>12</v>
      </c>
      <c r="D110" s="236" t="s">
        <v>109</v>
      </c>
      <c r="E110" s="233">
        <f>VLOOKUP(D110,'12產線配置圖 (2)'!$A$2:$C$25,2,0)</f>
        <v>17</v>
      </c>
      <c r="F110" s="233">
        <f>VLOOKUP(D110,'12產線配置圖 (2)'!$A$2:$C$25,3,0)</f>
        <v>1500</v>
      </c>
      <c r="G110" s="234">
        <f t="shared" si="88"/>
        <v>88.235294117647058</v>
      </c>
      <c r="H110" s="464"/>
      <c r="I110" s="233">
        <f>AVERAGE(P110,U110,Z110,AE110,AJ110,AO110,AT110)</f>
        <v>16.600000000000001</v>
      </c>
      <c r="J110" s="233">
        <f>AVERAGE(Q110,V110,AA110,AF110,AK110,AP110,AU110)</f>
        <v>1375.4</v>
      </c>
      <c r="K110" s="234">
        <f t="shared" si="90"/>
        <v>82.91544117647058</v>
      </c>
      <c r="L110" s="464"/>
      <c r="M110" s="233">
        <f>RANK(K110, K$99:$K$116)</f>
        <v>12</v>
      </c>
      <c r="N110" s="472"/>
      <c r="O110" s="472"/>
      <c r="P110" s="339">
        <v>16</v>
      </c>
      <c r="Q110" s="233">
        <v>1344</v>
      </c>
      <c r="R110" s="234">
        <f>Q110/P110</f>
        <v>84</v>
      </c>
      <c r="S110" s="232">
        <f>RANK(R110,$R$99:$R$116)</f>
        <v>11</v>
      </c>
      <c r="T110" s="464"/>
      <c r="U110" s="232">
        <v>17</v>
      </c>
      <c r="V110" s="233">
        <v>1461</v>
      </c>
      <c r="W110" s="234">
        <f>V110/U110</f>
        <v>85.941176470588232</v>
      </c>
      <c r="X110" s="232">
        <f>RANK(W110,$W$99:$W$116)</f>
        <v>11</v>
      </c>
      <c r="Y110" s="464"/>
      <c r="Z110" s="232">
        <v>17</v>
      </c>
      <c r="AA110" s="233">
        <v>1245</v>
      </c>
      <c r="AB110" s="234">
        <f>AA110/Z110</f>
        <v>73.235294117647058</v>
      </c>
      <c r="AC110" s="232">
        <f>RANK(AB110, $AB$99:$AB$116)</f>
        <v>13</v>
      </c>
      <c r="AD110" s="464"/>
      <c r="AE110" s="232">
        <v>17</v>
      </c>
      <c r="AF110" s="233">
        <v>1438</v>
      </c>
      <c r="AG110" s="234">
        <f>AF110/AE110</f>
        <v>84.588235294117652</v>
      </c>
      <c r="AH110" s="232">
        <f>RANK(AG110,$AG$99:$AG$116)</f>
        <v>12</v>
      </c>
      <c r="AI110" s="464"/>
      <c r="AJ110" s="339">
        <v>16</v>
      </c>
      <c r="AK110" s="233">
        <v>1389</v>
      </c>
      <c r="AL110" s="234">
        <f>AK110/AJ110</f>
        <v>86.8125</v>
      </c>
      <c r="AM110" s="232">
        <f>RANK(AL110,$AL$99:$AL$116)</f>
        <v>11</v>
      </c>
      <c r="AN110" s="464"/>
      <c r="AO110" s="232"/>
      <c r="AP110" s="233"/>
      <c r="AQ110" s="234" t="e">
        <f t="shared" si="101"/>
        <v>#DIV/0!</v>
      </c>
      <c r="AR110" s="232" t="e">
        <f t="shared" si="102"/>
        <v>#DIV/0!</v>
      </c>
      <c r="AS110" s="464"/>
      <c r="AT110" s="232"/>
      <c r="AU110" s="233"/>
      <c r="AV110" s="234" t="e">
        <f t="shared" si="103"/>
        <v>#DIV/0!</v>
      </c>
      <c r="AW110" s="232" t="e">
        <f t="shared" si="104"/>
        <v>#DIV/0!</v>
      </c>
      <c r="AX110" s="464"/>
    </row>
    <row r="111" spans="1:50" ht="12.95">
      <c r="B111" s="467"/>
      <c r="C111" s="232">
        <v>13</v>
      </c>
      <c r="D111" s="236" t="s">
        <v>110</v>
      </c>
      <c r="E111" s="233">
        <f>VLOOKUP(D111,'12產線配置圖 (2)'!$A$2:$C$25,2,0)</f>
        <v>17</v>
      </c>
      <c r="F111" s="233">
        <f>VLOOKUP(D111,'12產線配置圖 (2)'!$A$2:$C$25,3,0)</f>
        <v>1440</v>
      </c>
      <c r="G111" s="234">
        <f t="shared" si="88"/>
        <v>84.705882352941174</v>
      </c>
      <c r="H111" s="464"/>
      <c r="I111" s="233">
        <f t="shared" si="89"/>
        <v>15.4</v>
      </c>
      <c r="J111" s="233">
        <f t="shared" si="89"/>
        <v>1134</v>
      </c>
      <c r="K111" s="234">
        <f t="shared" si="90"/>
        <v>73.782999353587599</v>
      </c>
      <c r="L111" s="464"/>
      <c r="M111" s="233">
        <f>RANK(K111, K$99:$K$116)</f>
        <v>13</v>
      </c>
      <c r="N111" s="472"/>
      <c r="O111" s="472"/>
      <c r="P111" s="339">
        <v>16</v>
      </c>
      <c r="Q111" s="232">
        <v>1296</v>
      </c>
      <c r="R111" s="234">
        <f t="shared" ref="R111:R114" si="105">Q111/P111</f>
        <v>81</v>
      </c>
      <c r="S111" s="232">
        <f t="shared" ref="S111:S114" si="106">RANK(R111,$R$99:$R$116)</f>
        <v>13</v>
      </c>
      <c r="T111" s="464"/>
      <c r="U111" s="232">
        <v>17</v>
      </c>
      <c r="V111" s="232">
        <v>1174</v>
      </c>
      <c r="W111" s="234">
        <f>V111/U111</f>
        <v>69.058823529411768</v>
      </c>
      <c r="X111" s="232">
        <f>RANK(W111,$W$99:$W$116)</f>
        <v>16</v>
      </c>
      <c r="Y111" s="464"/>
      <c r="Z111" s="232">
        <v>17</v>
      </c>
      <c r="AA111" s="232">
        <v>1194</v>
      </c>
      <c r="AB111" s="234">
        <f t="shared" si="95"/>
        <v>70.235294117647058</v>
      </c>
      <c r="AC111" s="232">
        <f t="shared" si="96"/>
        <v>15</v>
      </c>
      <c r="AD111" s="464"/>
      <c r="AE111" s="339">
        <v>13</v>
      </c>
      <c r="AF111" s="232">
        <v>971</v>
      </c>
      <c r="AG111" s="234">
        <f t="shared" si="97"/>
        <v>74.692307692307693</v>
      </c>
      <c r="AH111" s="232">
        <f t="shared" si="98"/>
        <v>13</v>
      </c>
      <c r="AI111" s="464"/>
      <c r="AJ111" s="339">
        <v>14</v>
      </c>
      <c r="AK111" s="232">
        <v>1035</v>
      </c>
      <c r="AL111" s="234">
        <f t="shared" si="99"/>
        <v>73.928571428571431</v>
      </c>
      <c r="AM111" s="232">
        <f t="shared" si="100"/>
        <v>16</v>
      </c>
      <c r="AN111" s="464"/>
      <c r="AO111" s="232"/>
      <c r="AP111" s="232"/>
      <c r="AQ111" s="234" t="e">
        <f t="shared" si="101"/>
        <v>#DIV/0!</v>
      </c>
      <c r="AR111" s="232" t="e">
        <f t="shared" si="102"/>
        <v>#DIV/0!</v>
      </c>
      <c r="AS111" s="464"/>
      <c r="AT111" s="232"/>
      <c r="AU111" s="232"/>
      <c r="AV111" s="234" t="e">
        <f t="shared" si="103"/>
        <v>#DIV/0!</v>
      </c>
      <c r="AW111" s="232" t="e">
        <f t="shared" si="104"/>
        <v>#DIV/0!</v>
      </c>
      <c r="AX111" s="464"/>
    </row>
    <row r="112" spans="1:50" ht="12.95">
      <c r="B112" s="467"/>
      <c r="C112" s="232">
        <v>14</v>
      </c>
      <c r="D112" s="236" t="s">
        <v>111</v>
      </c>
      <c r="E112" s="233">
        <f>VLOOKUP(D112,'12產線配置圖 (2)'!$A$2:$C$25,2,0)</f>
        <v>19</v>
      </c>
      <c r="F112" s="233">
        <f>VLOOKUP(D112,'12產線配置圖 (2)'!$A$2:$C$25,3,0)</f>
        <v>1440</v>
      </c>
      <c r="G112" s="234">
        <f t="shared" si="88"/>
        <v>75.78947368421052</v>
      </c>
      <c r="H112" s="464"/>
      <c r="I112" s="233">
        <f t="shared" si="89"/>
        <v>16.2</v>
      </c>
      <c r="J112" s="233">
        <f t="shared" si="89"/>
        <v>1170.2</v>
      </c>
      <c r="K112" s="234">
        <f t="shared" si="90"/>
        <v>72.22740196078432</v>
      </c>
      <c r="L112" s="464"/>
      <c r="M112" s="233">
        <f>RANK(K112, K$99:$K$116)</f>
        <v>15</v>
      </c>
      <c r="N112" s="472"/>
      <c r="O112" s="472"/>
      <c r="P112" s="339">
        <v>18</v>
      </c>
      <c r="Q112" s="232">
        <v>1227</v>
      </c>
      <c r="R112" s="234">
        <f t="shared" si="105"/>
        <v>68.166666666666671</v>
      </c>
      <c r="S112" s="232">
        <f t="shared" si="106"/>
        <v>16</v>
      </c>
      <c r="T112" s="464"/>
      <c r="U112" s="339">
        <v>17</v>
      </c>
      <c r="V112" s="232">
        <v>1291</v>
      </c>
      <c r="W112" s="234">
        <f t="shared" ref="W112:W114" si="107">V112/U112</f>
        <v>75.941176470588232</v>
      </c>
      <c r="X112" s="232">
        <f t="shared" ref="X112:X114" si="108">RANK(W112,$W$99:$W$116)</f>
        <v>14</v>
      </c>
      <c r="Y112" s="464"/>
      <c r="Z112" s="339">
        <v>16</v>
      </c>
      <c r="AA112" s="232">
        <v>1241</v>
      </c>
      <c r="AB112" s="234">
        <f t="shared" si="95"/>
        <v>77.5625</v>
      </c>
      <c r="AC112" s="232">
        <f t="shared" si="96"/>
        <v>12</v>
      </c>
      <c r="AD112" s="464"/>
      <c r="AE112" s="339">
        <v>15</v>
      </c>
      <c r="AF112" s="232">
        <v>926</v>
      </c>
      <c r="AG112" s="234">
        <f t="shared" si="97"/>
        <v>61.733333333333334</v>
      </c>
      <c r="AH112" s="232">
        <f t="shared" si="98"/>
        <v>15</v>
      </c>
      <c r="AI112" s="464"/>
      <c r="AJ112" s="339">
        <v>15</v>
      </c>
      <c r="AK112" s="232">
        <v>1166</v>
      </c>
      <c r="AL112" s="234">
        <f t="shared" si="99"/>
        <v>77.733333333333334</v>
      </c>
      <c r="AM112" s="232">
        <f t="shared" si="100"/>
        <v>15</v>
      </c>
      <c r="AN112" s="464"/>
      <c r="AO112" s="232"/>
      <c r="AP112" s="232"/>
      <c r="AQ112" s="234" t="e">
        <f t="shared" si="101"/>
        <v>#DIV/0!</v>
      </c>
      <c r="AR112" s="232" t="e">
        <f t="shared" si="102"/>
        <v>#DIV/0!</v>
      </c>
      <c r="AS112" s="464"/>
      <c r="AT112" s="232"/>
      <c r="AU112" s="232"/>
      <c r="AV112" s="234" t="e">
        <f t="shared" si="103"/>
        <v>#DIV/0!</v>
      </c>
      <c r="AW112" s="232" t="e">
        <f t="shared" si="104"/>
        <v>#DIV/0!</v>
      </c>
      <c r="AX112" s="464"/>
    </row>
    <row r="113" spans="2:50" ht="12.95">
      <c r="B113" s="467"/>
      <c r="C113" s="232">
        <v>15</v>
      </c>
      <c r="D113" s="236" t="s">
        <v>112</v>
      </c>
      <c r="E113" s="233">
        <v>17</v>
      </c>
      <c r="F113" s="233">
        <f>VLOOKUP(D113,'12產線配置圖 (2)'!$A$2:$C$25,3,0)</f>
        <v>1125</v>
      </c>
      <c r="G113" s="234">
        <f t="shared" si="88"/>
        <v>66.17647058823529</v>
      </c>
      <c r="H113" s="464"/>
      <c r="I113" s="233">
        <f t="shared" si="89"/>
        <v>10</v>
      </c>
      <c r="J113" s="233">
        <f t="shared" si="89"/>
        <v>1039.8</v>
      </c>
      <c r="K113" s="234">
        <f t="shared" si="90"/>
        <v>103.97999999999999</v>
      </c>
      <c r="L113" s="464"/>
      <c r="M113" s="233">
        <f>RANK(K113, K$99:$K$116)</f>
        <v>7</v>
      </c>
      <c r="N113" s="472"/>
      <c r="O113" s="472"/>
      <c r="P113" s="339">
        <v>10</v>
      </c>
      <c r="Q113" s="232">
        <v>939</v>
      </c>
      <c r="R113" s="234">
        <f t="shared" si="105"/>
        <v>93.9</v>
      </c>
      <c r="S113" s="232">
        <f t="shared" si="106"/>
        <v>8</v>
      </c>
      <c r="T113" s="464"/>
      <c r="U113" s="339">
        <v>10</v>
      </c>
      <c r="V113" s="232">
        <v>998</v>
      </c>
      <c r="W113" s="234">
        <f t="shared" si="107"/>
        <v>99.8</v>
      </c>
      <c r="X113" s="232">
        <f t="shared" si="108"/>
        <v>8</v>
      </c>
      <c r="Y113" s="464"/>
      <c r="Z113" s="339">
        <v>10</v>
      </c>
      <c r="AA113" s="232">
        <v>1102</v>
      </c>
      <c r="AB113" s="234">
        <f t="shared" si="95"/>
        <v>110.2</v>
      </c>
      <c r="AC113" s="232">
        <f t="shared" si="96"/>
        <v>5</v>
      </c>
      <c r="AD113" s="464"/>
      <c r="AE113" s="339">
        <v>10</v>
      </c>
      <c r="AF113" s="232">
        <v>1098</v>
      </c>
      <c r="AG113" s="234">
        <f t="shared" si="97"/>
        <v>109.8</v>
      </c>
      <c r="AH113" s="232">
        <f t="shared" si="98"/>
        <v>6</v>
      </c>
      <c r="AI113" s="464"/>
      <c r="AJ113" s="339">
        <v>10</v>
      </c>
      <c r="AK113" s="232">
        <v>1062</v>
      </c>
      <c r="AL113" s="234">
        <f t="shared" si="99"/>
        <v>106.2</v>
      </c>
      <c r="AM113" s="232">
        <f t="shared" si="100"/>
        <v>7</v>
      </c>
      <c r="AN113" s="464"/>
      <c r="AO113" s="232"/>
      <c r="AP113" s="232"/>
      <c r="AQ113" s="234" t="e">
        <f t="shared" si="101"/>
        <v>#DIV/0!</v>
      </c>
      <c r="AR113" s="232" t="e">
        <f t="shared" si="102"/>
        <v>#DIV/0!</v>
      </c>
      <c r="AS113" s="464"/>
      <c r="AT113" s="232"/>
      <c r="AU113" s="232"/>
      <c r="AV113" s="234" t="e">
        <f t="shared" si="103"/>
        <v>#DIV/0!</v>
      </c>
      <c r="AW113" s="232" t="e">
        <f t="shared" si="104"/>
        <v>#DIV/0!</v>
      </c>
      <c r="AX113" s="464"/>
    </row>
    <row r="114" spans="2:50" ht="12.95">
      <c r="B114" s="467"/>
      <c r="C114" s="232">
        <v>16</v>
      </c>
      <c r="D114" s="236" t="s">
        <v>113</v>
      </c>
      <c r="E114" s="233">
        <f>VLOOKUP(D114,'12產線配置圖 (2)'!$A$2:$C$25,2,0)</f>
        <v>16</v>
      </c>
      <c r="F114" s="233">
        <f>VLOOKUP(D114,'12產線配置圖 (2)'!$A$2:$C$25,3,0)</f>
        <v>1800</v>
      </c>
      <c r="G114" s="234">
        <f t="shared" si="88"/>
        <v>112.5</v>
      </c>
      <c r="H114" s="464"/>
      <c r="I114" s="233">
        <f t="shared" si="89"/>
        <v>16</v>
      </c>
      <c r="J114" s="233">
        <f t="shared" si="89"/>
        <v>1725.6</v>
      </c>
      <c r="K114" s="234">
        <f t="shared" si="90"/>
        <v>107.85</v>
      </c>
      <c r="L114" s="464"/>
      <c r="M114" s="233">
        <f>RANK(K114, K$99:$K$116)</f>
        <v>6</v>
      </c>
      <c r="N114" s="472"/>
      <c r="O114" s="472"/>
      <c r="P114" s="232">
        <v>16</v>
      </c>
      <c r="Q114" s="232">
        <v>1734</v>
      </c>
      <c r="R114" s="234">
        <f t="shared" si="105"/>
        <v>108.375</v>
      </c>
      <c r="S114" s="232">
        <f t="shared" si="106"/>
        <v>6</v>
      </c>
      <c r="T114" s="464"/>
      <c r="U114" s="232">
        <v>16</v>
      </c>
      <c r="V114" s="232">
        <v>1781</v>
      </c>
      <c r="W114" s="234">
        <f t="shared" si="107"/>
        <v>111.3125</v>
      </c>
      <c r="X114" s="232">
        <f t="shared" si="108"/>
        <v>6</v>
      </c>
      <c r="Y114" s="464"/>
      <c r="Z114" s="232">
        <v>16</v>
      </c>
      <c r="AA114" s="232">
        <v>1539</v>
      </c>
      <c r="AB114" s="234">
        <f t="shared" si="95"/>
        <v>96.1875</v>
      </c>
      <c r="AC114" s="232">
        <f t="shared" si="96"/>
        <v>8</v>
      </c>
      <c r="AD114" s="464"/>
      <c r="AE114" s="232">
        <v>16</v>
      </c>
      <c r="AF114" s="232">
        <v>1799</v>
      </c>
      <c r="AG114" s="234">
        <f t="shared" si="97"/>
        <v>112.4375</v>
      </c>
      <c r="AH114" s="232">
        <f t="shared" si="98"/>
        <v>5</v>
      </c>
      <c r="AI114" s="464"/>
      <c r="AJ114" s="232">
        <v>16</v>
      </c>
      <c r="AK114" s="232">
        <v>1775</v>
      </c>
      <c r="AL114" s="234">
        <f t="shared" si="99"/>
        <v>110.9375</v>
      </c>
      <c r="AM114" s="232">
        <f t="shared" si="100"/>
        <v>6</v>
      </c>
      <c r="AN114" s="464"/>
      <c r="AO114" s="232"/>
      <c r="AP114" s="232"/>
      <c r="AQ114" s="234" t="e">
        <f t="shared" si="101"/>
        <v>#DIV/0!</v>
      </c>
      <c r="AR114" s="232" t="e">
        <f t="shared" si="102"/>
        <v>#DIV/0!</v>
      </c>
      <c r="AS114" s="464"/>
      <c r="AT114" s="232"/>
      <c r="AU114" s="232"/>
      <c r="AV114" s="234" t="e">
        <f t="shared" si="103"/>
        <v>#DIV/0!</v>
      </c>
      <c r="AW114" s="232" t="e">
        <f t="shared" si="104"/>
        <v>#DIV/0!</v>
      </c>
      <c r="AX114" s="464"/>
    </row>
    <row r="115" spans="2:50">
      <c r="B115" s="467"/>
      <c r="C115" s="232">
        <v>17</v>
      </c>
      <c r="D115" s="232"/>
      <c r="E115" s="233"/>
      <c r="F115" s="233"/>
      <c r="G115" s="234"/>
      <c r="H115" s="464"/>
      <c r="I115" s="233"/>
      <c r="J115" s="233"/>
      <c r="K115" s="234"/>
      <c r="L115" s="464"/>
      <c r="M115" s="233"/>
      <c r="N115" s="472"/>
      <c r="O115" s="472"/>
      <c r="P115" s="232"/>
      <c r="Q115" s="232"/>
      <c r="R115" s="234"/>
      <c r="S115" s="232"/>
      <c r="T115" s="464"/>
      <c r="U115" s="232"/>
      <c r="V115" s="232"/>
      <c r="W115" s="234"/>
      <c r="X115" s="232"/>
      <c r="Y115" s="464"/>
      <c r="Z115" s="232"/>
      <c r="AA115" s="232"/>
      <c r="AB115" s="234"/>
      <c r="AC115" s="232"/>
      <c r="AD115" s="464"/>
      <c r="AE115" s="232"/>
      <c r="AF115" s="232"/>
      <c r="AG115" s="234"/>
      <c r="AH115" s="232"/>
      <c r="AI115" s="464"/>
      <c r="AJ115" s="232"/>
      <c r="AK115" s="232"/>
      <c r="AL115" s="234"/>
      <c r="AM115" s="232"/>
      <c r="AN115" s="464"/>
      <c r="AO115" s="232"/>
      <c r="AP115" s="232"/>
      <c r="AQ115" s="234"/>
      <c r="AR115" s="232"/>
      <c r="AS115" s="464"/>
      <c r="AT115" s="232"/>
      <c r="AU115" s="232"/>
      <c r="AV115" s="234"/>
      <c r="AW115" s="232"/>
      <c r="AX115" s="464"/>
    </row>
    <row r="116" spans="2:50">
      <c r="B116" s="467"/>
      <c r="C116" s="232">
        <v>18</v>
      </c>
      <c r="D116" s="232"/>
      <c r="E116" s="232"/>
      <c r="F116" s="232"/>
      <c r="G116" s="232"/>
      <c r="H116" s="464"/>
      <c r="I116" s="232"/>
      <c r="J116" s="232"/>
      <c r="K116" s="232"/>
      <c r="L116" s="465"/>
      <c r="M116" s="233"/>
      <c r="N116" s="462"/>
      <c r="O116" s="462"/>
      <c r="P116" s="232"/>
      <c r="Q116" s="232"/>
      <c r="R116" s="232"/>
      <c r="S116" s="232"/>
      <c r="T116" s="465"/>
      <c r="U116" s="232"/>
      <c r="V116" s="232"/>
      <c r="W116" s="234"/>
      <c r="X116" s="232"/>
      <c r="Y116" s="465"/>
      <c r="Z116" s="232"/>
      <c r="AA116" s="232"/>
      <c r="AB116" s="234"/>
      <c r="AC116" s="232"/>
      <c r="AD116" s="465"/>
      <c r="AE116" s="232"/>
      <c r="AF116" s="232"/>
      <c r="AG116" s="234"/>
      <c r="AH116" s="232"/>
      <c r="AI116" s="465"/>
      <c r="AJ116" s="232"/>
      <c r="AK116" s="232"/>
      <c r="AL116" s="234"/>
      <c r="AM116" s="232"/>
      <c r="AN116" s="465"/>
      <c r="AO116" s="232"/>
      <c r="AP116" s="232"/>
      <c r="AQ116" s="234"/>
      <c r="AR116" s="232"/>
      <c r="AS116" s="465"/>
      <c r="AT116" s="232"/>
      <c r="AU116" s="232"/>
      <c r="AV116" s="234"/>
      <c r="AW116" s="232"/>
      <c r="AX116" s="465"/>
    </row>
    <row r="117" spans="2:50" ht="15.75" customHeight="1">
      <c r="B117" s="458" t="s">
        <v>82</v>
      </c>
      <c r="C117" s="459"/>
      <c r="D117" s="459"/>
      <c r="E117" s="459"/>
      <c r="F117" s="459"/>
      <c r="G117" s="459"/>
      <c r="H117" s="459"/>
      <c r="I117" s="226"/>
      <c r="J117" s="226"/>
      <c r="K117" s="226"/>
      <c r="L117" s="226"/>
      <c r="M117" s="227"/>
      <c r="N117" s="461" t="s">
        <v>83</v>
      </c>
      <c r="O117" s="461" t="s">
        <v>43</v>
      </c>
      <c r="P117" s="457"/>
      <c r="Q117" s="444"/>
      <c r="R117" s="444"/>
      <c r="S117" s="444"/>
      <c r="T117" s="444"/>
      <c r="U117" s="457"/>
      <c r="V117" s="444"/>
      <c r="W117" s="444"/>
      <c r="X117" s="444"/>
      <c r="Y117" s="444"/>
      <c r="Z117" s="457"/>
      <c r="AA117" s="444"/>
      <c r="AB117" s="444"/>
      <c r="AC117" s="444"/>
      <c r="AD117" s="444"/>
      <c r="AE117" s="457"/>
      <c r="AF117" s="444"/>
      <c r="AG117" s="444"/>
      <c r="AH117" s="444"/>
      <c r="AI117" s="444"/>
      <c r="AJ117" s="457"/>
      <c r="AK117" s="444"/>
      <c r="AL117" s="444"/>
      <c r="AM117" s="444"/>
      <c r="AN117" s="444"/>
      <c r="AO117" s="457"/>
      <c r="AP117" s="444"/>
      <c r="AQ117" s="444"/>
      <c r="AR117" s="444"/>
      <c r="AS117" s="444"/>
      <c r="AT117" s="457"/>
      <c r="AU117" s="444"/>
      <c r="AV117" s="444"/>
      <c r="AW117" s="444"/>
      <c r="AX117" s="444"/>
    </row>
    <row r="118" spans="2:50" ht="15.6">
      <c r="B118" s="460"/>
      <c r="C118" s="460"/>
      <c r="D118" s="460"/>
      <c r="E118" s="460"/>
      <c r="F118" s="460"/>
      <c r="G118" s="460"/>
      <c r="H118" s="460"/>
      <c r="I118" s="228"/>
      <c r="J118" s="228"/>
      <c r="K118" s="228"/>
      <c r="L118" s="228"/>
      <c r="M118" s="229"/>
      <c r="N118" s="462"/>
      <c r="O118" s="462"/>
      <c r="P118" s="457" t="s">
        <v>57</v>
      </c>
      <c r="Q118" s="444"/>
      <c r="R118" s="444"/>
      <c r="S118" s="444"/>
      <c r="T118" s="444"/>
      <c r="U118" s="457" t="s">
        <v>58</v>
      </c>
      <c r="V118" s="444"/>
      <c r="W118" s="444"/>
      <c r="X118" s="444"/>
      <c r="Y118" s="444"/>
      <c r="Z118" s="457" t="s">
        <v>54</v>
      </c>
      <c r="AA118" s="444"/>
      <c r="AB118" s="444"/>
      <c r="AC118" s="444"/>
      <c r="AD118" s="444"/>
      <c r="AE118" s="457" t="s">
        <v>55</v>
      </c>
      <c r="AF118" s="444"/>
      <c r="AG118" s="444"/>
      <c r="AH118" s="444"/>
      <c r="AI118" s="444"/>
      <c r="AJ118" s="457" t="s">
        <v>56</v>
      </c>
      <c r="AK118" s="444"/>
      <c r="AL118" s="444"/>
      <c r="AM118" s="444"/>
      <c r="AN118" s="444"/>
      <c r="AO118" s="457" t="s">
        <v>50</v>
      </c>
      <c r="AP118" s="444"/>
      <c r="AQ118" s="444"/>
      <c r="AR118" s="444"/>
      <c r="AS118" s="444"/>
      <c r="AT118" s="457" t="s">
        <v>53</v>
      </c>
      <c r="AU118" s="444"/>
      <c r="AV118" s="444"/>
      <c r="AW118" s="444"/>
      <c r="AX118" s="444"/>
    </row>
    <row r="119" spans="2:50" ht="12.75" customHeight="1">
      <c r="B119" s="449" t="s">
        <v>39</v>
      </c>
      <c r="C119" s="453" t="s">
        <v>84</v>
      </c>
      <c r="D119" s="449"/>
      <c r="E119" s="449" t="s">
        <v>85</v>
      </c>
      <c r="F119" s="449"/>
      <c r="G119" s="449"/>
      <c r="H119" s="454" t="s">
        <v>86</v>
      </c>
      <c r="I119" s="449" t="s">
        <v>87</v>
      </c>
      <c r="J119" s="449"/>
      <c r="K119" s="449"/>
      <c r="L119" s="454" t="s">
        <v>86</v>
      </c>
      <c r="M119" s="461" t="s">
        <v>88</v>
      </c>
      <c r="N119" s="449"/>
      <c r="O119" s="449" t="s">
        <v>89</v>
      </c>
      <c r="P119" s="450" t="s">
        <v>90</v>
      </c>
      <c r="Q119" s="451"/>
      <c r="R119" s="451"/>
      <c r="S119" s="452"/>
      <c r="T119" s="449" t="s">
        <v>86</v>
      </c>
      <c r="U119" s="450" t="s">
        <v>90</v>
      </c>
      <c r="V119" s="451"/>
      <c r="W119" s="451"/>
      <c r="X119" s="452"/>
      <c r="Y119" s="449" t="s">
        <v>86</v>
      </c>
      <c r="Z119" s="450" t="s">
        <v>90</v>
      </c>
      <c r="AA119" s="451"/>
      <c r="AB119" s="451"/>
      <c r="AC119" s="452"/>
      <c r="AD119" s="449" t="s">
        <v>86</v>
      </c>
      <c r="AE119" s="450" t="s">
        <v>90</v>
      </c>
      <c r="AF119" s="451"/>
      <c r="AG119" s="451"/>
      <c r="AH119" s="452"/>
      <c r="AI119" s="449" t="s">
        <v>86</v>
      </c>
      <c r="AJ119" s="450" t="s">
        <v>90</v>
      </c>
      <c r="AK119" s="451"/>
      <c r="AL119" s="451"/>
      <c r="AM119" s="452"/>
      <c r="AN119" s="449" t="s">
        <v>86</v>
      </c>
      <c r="AO119" s="450" t="s">
        <v>90</v>
      </c>
      <c r="AP119" s="451"/>
      <c r="AQ119" s="451"/>
      <c r="AR119" s="452"/>
      <c r="AS119" s="449" t="s">
        <v>86</v>
      </c>
      <c r="AT119" s="450" t="s">
        <v>90</v>
      </c>
      <c r="AU119" s="451"/>
      <c r="AV119" s="451"/>
      <c r="AW119" s="452"/>
      <c r="AX119" s="449" t="s">
        <v>86</v>
      </c>
    </row>
    <row r="120" spans="2:50">
      <c r="B120" s="449"/>
      <c r="C120" s="449"/>
      <c r="D120" s="449"/>
      <c r="E120" s="449" t="s">
        <v>91</v>
      </c>
      <c r="F120" s="449"/>
      <c r="G120" s="449"/>
      <c r="H120" s="455"/>
      <c r="I120" s="449" t="s">
        <v>91</v>
      </c>
      <c r="J120" s="449"/>
      <c r="K120" s="449"/>
      <c r="L120" s="455"/>
      <c r="M120" s="472"/>
      <c r="N120" s="449"/>
      <c r="O120" s="449"/>
      <c r="P120" s="450" t="s">
        <v>92</v>
      </c>
      <c r="Q120" s="451"/>
      <c r="R120" s="451"/>
      <c r="S120" s="452"/>
      <c r="T120" s="449"/>
      <c r="U120" s="450" t="s">
        <v>92</v>
      </c>
      <c r="V120" s="451"/>
      <c r="W120" s="451"/>
      <c r="X120" s="452"/>
      <c r="Y120" s="449"/>
      <c r="Z120" s="450" t="s">
        <v>92</v>
      </c>
      <c r="AA120" s="451"/>
      <c r="AB120" s="451"/>
      <c r="AC120" s="452"/>
      <c r="AD120" s="449"/>
      <c r="AE120" s="450" t="s">
        <v>92</v>
      </c>
      <c r="AF120" s="451"/>
      <c r="AG120" s="451"/>
      <c r="AH120" s="452"/>
      <c r="AI120" s="449"/>
      <c r="AJ120" s="450" t="s">
        <v>92</v>
      </c>
      <c r="AK120" s="451"/>
      <c r="AL120" s="451"/>
      <c r="AM120" s="452"/>
      <c r="AN120" s="449"/>
      <c r="AO120" s="450" t="s">
        <v>92</v>
      </c>
      <c r="AP120" s="451"/>
      <c r="AQ120" s="451"/>
      <c r="AR120" s="452"/>
      <c r="AS120" s="449"/>
      <c r="AT120" s="450" t="s">
        <v>92</v>
      </c>
      <c r="AU120" s="451"/>
      <c r="AV120" s="451"/>
      <c r="AW120" s="452"/>
      <c r="AX120" s="449"/>
    </row>
    <row r="121" spans="2:50">
      <c r="B121" s="449"/>
      <c r="C121" s="449"/>
      <c r="D121" s="449"/>
      <c r="E121" s="231" t="s">
        <v>93</v>
      </c>
      <c r="F121" s="231" t="s">
        <v>94</v>
      </c>
      <c r="G121" s="231" t="s">
        <v>95</v>
      </c>
      <c r="H121" s="456"/>
      <c r="I121" s="231" t="s">
        <v>93</v>
      </c>
      <c r="J121" s="231" t="s">
        <v>94</v>
      </c>
      <c r="K121" s="231" t="s">
        <v>95</v>
      </c>
      <c r="L121" s="456"/>
      <c r="M121" s="462"/>
      <c r="N121" s="449"/>
      <c r="O121" s="449"/>
      <c r="P121" s="231" t="s">
        <v>93</v>
      </c>
      <c r="Q121" s="231" t="s">
        <v>94</v>
      </c>
      <c r="R121" s="231" t="s">
        <v>95</v>
      </c>
      <c r="S121" s="231" t="s">
        <v>88</v>
      </c>
      <c r="T121" s="449"/>
      <c r="U121" s="231" t="s">
        <v>93</v>
      </c>
      <c r="V121" s="231" t="s">
        <v>94</v>
      </c>
      <c r="W121" s="231" t="s">
        <v>95</v>
      </c>
      <c r="X121" s="231" t="s">
        <v>88</v>
      </c>
      <c r="Y121" s="449"/>
      <c r="Z121" s="231" t="s">
        <v>93</v>
      </c>
      <c r="AA121" s="231" t="s">
        <v>94</v>
      </c>
      <c r="AB121" s="231" t="s">
        <v>95</v>
      </c>
      <c r="AC121" s="231" t="s">
        <v>88</v>
      </c>
      <c r="AD121" s="449"/>
      <c r="AE121" s="231" t="s">
        <v>93</v>
      </c>
      <c r="AF121" s="231" t="s">
        <v>94</v>
      </c>
      <c r="AG121" s="231" t="s">
        <v>95</v>
      </c>
      <c r="AH121" s="231" t="s">
        <v>88</v>
      </c>
      <c r="AI121" s="449"/>
      <c r="AJ121" s="231" t="s">
        <v>93</v>
      </c>
      <c r="AK121" s="231" t="s">
        <v>94</v>
      </c>
      <c r="AL121" s="231" t="s">
        <v>95</v>
      </c>
      <c r="AM121" s="231" t="s">
        <v>88</v>
      </c>
      <c r="AN121" s="449"/>
      <c r="AO121" s="231" t="s">
        <v>93</v>
      </c>
      <c r="AP121" s="231" t="s">
        <v>94</v>
      </c>
      <c r="AQ121" s="231" t="s">
        <v>95</v>
      </c>
      <c r="AR121" s="231" t="s">
        <v>88</v>
      </c>
      <c r="AS121" s="449"/>
      <c r="AT121" s="231" t="s">
        <v>93</v>
      </c>
      <c r="AU121" s="231" t="s">
        <v>94</v>
      </c>
      <c r="AV121" s="231" t="s">
        <v>95</v>
      </c>
      <c r="AW121" s="231" t="s">
        <v>88</v>
      </c>
      <c r="AX121" s="449"/>
    </row>
    <row r="122" spans="2:50" ht="12.95">
      <c r="B122" s="444" t="s">
        <v>96</v>
      </c>
      <c r="C122" s="232">
        <v>1</v>
      </c>
      <c r="D122" s="236" t="s">
        <v>97</v>
      </c>
      <c r="E122" s="233">
        <f>VLOOKUP(D122,'12產線配置圖 (2)'!$A$2:$C$25,2,0)</f>
        <v>12</v>
      </c>
      <c r="F122" s="233">
        <f>VLOOKUP(D122,'12產線配置圖 (2)'!$A$2:$C$25,3,0)</f>
        <v>2000</v>
      </c>
      <c r="G122" s="234">
        <f>F122/E122</f>
        <v>166.66666666666666</v>
      </c>
      <c r="H122" s="445">
        <f>AVERAGE(G122:G139)</f>
        <v>108.17675857665941</v>
      </c>
      <c r="I122" s="233" t="e">
        <f>AVERAGE(P122,U122,Z122,AE122,AJ122,AO122,AT122)</f>
        <v>#DIV/0!</v>
      </c>
      <c r="J122" s="233" t="e">
        <f>AVERAGE(Q122,V122,AA122,AF122,AK122,AP122,AU122)</f>
        <v>#DIV/0!</v>
      </c>
      <c r="K122" s="234" t="e">
        <f>AVERAGE(R122)</f>
        <v>#DIV/0!</v>
      </c>
      <c r="L122" s="445" t="str">
        <f>IFERROR(AVERAGE(K122:K139),"-")</f>
        <v>-</v>
      </c>
      <c r="M122" s="235" t="e">
        <f>RANK(K122,$K$122:$K$139)</f>
        <v>#DIV/0!</v>
      </c>
      <c r="N122" s="449"/>
      <c r="O122" s="449"/>
      <c r="P122" s="233"/>
      <c r="Q122" s="233"/>
      <c r="R122" s="234" t="e">
        <f>Q122/P122</f>
        <v>#DIV/0!</v>
      </c>
      <c r="S122" s="232" t="e">
        <f>RANK(R122,$R$122:$R$139)</f>
        <v>#DIV/0!</v>
      </c>
      <c r="T122" s="448" t="e">
        <f>AVERAGE(R122:R139)</f>
        <v>#DIV/0!</v>
      </c>
      <c r="U122" s="233"/>
      <c r="V122" s="233"/>
      <c r="W122" s="234" t="e">
        <f>V122/U122</f>
        <v>#DIV/0!</v>
      </c>
      <c r="X122" s="232" t="e">
        <f>RANK(W122,$W$122:$W$137)</f>
        <v>#DIV/0!</v>
      </c>
      <c r="Y122" s="448" t="e">
        <f>AVERAGE(W122:W139)</f>
        <v>#DIV/0!</v>
      </c>
      <c r="Z122" s="233"/>
      <c r="AA122" s="233"/>
      <c r="AB122" s="234" t="e">
        <f>AA122/Z122</f>
        <v>#DIV/0!</v>
      </c>
      <c r="AC122" s="232" t="e">
        <f>RANK(AB122,AB$122:AB$137)</f>
        <v>#DIV/0!</v>
      </c>
      <c r="AD122" s="448" t="e">
        <f>AVERAGE(AB122:AB139)</f>
        <v>#DIV/0!</v>
      </c>
      <c r="AE122" s="233"/>
      <c r="AF122" s="233"/>
      <c r="AG122" s="234" t="e">
        <f>AF122/AE122</f>
        <v>#DIV/0!</v>
      </c>
      <c r="AH122" s="232" t="e">
        <f>RANK(AG122,AG$122:AG$137)</f>
        <v>#DIV/0!</v>
      </c>
      <c r="AI122" s="448" t="e">
        <f>AVERAGE(AG122:AG139)</f>
        <v>#DIV/0!</v>
      </c>
      <c r="AJ122" s="233"/>
      <c r="AK122" s="233"/>
      <c r="AL122" s="234" t="e">
        <f>AK122/AJ122</f>
        <v>#DIV/0!</v>
      </c>
      <c r="AM122" s="232" t="e">
        <f t="shared" ref="AM122:AM137" si="109">RANK(AL122,AL$122:AL$137)</f>
        <v>#DIV/0!</v>
      </c>
      <c r="AN122" s="448" t="e">
        <f>AVERAGE(AL122:AL139)</f>
        <v>#DIV/0!</v>
      </c>
      <c r="AO122" s="233"/>
      <c r="AP122" s="233"/>
      <c r="AQ122" s="234" t="e">
        <f>AP122/AO122</f>
        <v>#DIV/0!</v>
      </c>
      <c r="AR122" s="232" t="e">
        <f t="shared" ref="AR122:AR137" si="110">RANK(AQ122,AQ$122:AQ$137)</f>
        <v>#DIV/0!</v>
      </c>
      <c r="AS122" s="448" t="e">
        <f>AVERAGE(AQ122:AQ139)</f>
        <v>#DIV/0!</v>
      </c>
      <c r="AT122" s="233"/>
      <c r="AU122" s="233"/>
      <c r="AV122" s="234" t="e">
        <f>AU122/AT122</f>
        <v>#DIV/0!</v>
      </c>
      <c r="AW122" s="232" t="e">
        <f t="shared" ref="AW122:AW137" si="111">RANK(AV122,AV$122:AV$137)</f>
        <v>#DIV/0!</v>
      </c>
      <c r="AX122" s="448" t="e">
        <f>AVERAGE(AV122:AV139)</f>
        <v>#DIV/0!</v>
      </c>
    </row>
    <row r="123" spans="2:50">
      <c r="B123" s="444"/>
      <c r="C123" s="232">
        <v>2</v>
      </c>
      <c r="D123" s="232" t="s">
        <v>98</v>
      </c>
      <c r="E123" s="233">
        <f>VLOOKUP(D123,'12產線配置圖 (2)'!$A$2:$C$25,2,0)</f>
        <v>14</v>
      </c>
      <c r="F123" s="233">
        <f>VLOOKUP(D123,'12產線配置圖 (2)'!$A$2:$C$25,3,0)</f>
        <v>2000</v>
      </c>
      <c r="G123" s="234">
        <f t="shared" ref="G123:G137" si="112">F123/E123</f>
        <v>142.85714285714286</v>
      </c>
      <c r="H123" s="446"/>
      <c r="I123" s="233" t="e">
        <f t="shared" ref="I123:J137" si="113">AVERAGE(P123,U123,Z123,AE123,AJ123,AO123,AT123)</f>
        <v>#DIV/0!</v>
      </c>
      <c r="J123" s="233" t="e">
        <f t="shared" si="113"/>
        <v>#DIV/0!</v>
      </c>
      <c r="K123" s="234" t="e">
        <f t="shared" ref="K123:K137" si="114">AVERAGE(R123)</f>
        <v>#DIV/0!</v>
      </c>
      <c r="L123" s="446"/>
      <c r="M123" s="235" t="e">
        <f t="shared" ref="M123:M137" si="115">RANK(K123,$K$122:$K$139)</f>
        <v>#DIV/0!</v>
      </c>
      <c r="N123" s="449"/>
      <c r="O123" s="449"/>
      <c r="P123" s="233"/>
      <c r="Q123" s="233"/>
      <c r="R123" s="234" t="e">
        <f t="shared" ref="R123:R137" si="116">Q123/P123</f>
        <v>#DIV/0!</v>
      </c>
      <c r="S123" s="232" t="e">
        <f t="shared" ref="S123:S137" si="117">RANK(R123,$R$122:$R$139)</f>
        <v>#DIV/0!</v>
      </c>
      <c r="T123" s="448"/>
      <c r="U123" s="233"/>
      <c r="V123" s="233"/>
      <c r="W123" s="234" t="e">
        <f t="shared" ref="W123:W131" si="118">V123/U123</f>
        <v>#DIV/0!</v>
      </c>
      <c r="X123" s="232" t="e">
        <f t="shared" ref="X123:X137" si="119">RANK(W123,$W$122:$W$137)</f>
        <v>#DIV/0!</v>
      </c>
      <c r="Y123" s="448"/>
      <c r="Z123" s="233"/>
      <c r="AA123" s="233"/>
      <c r="AB123" s="234" t="e">
        <f t="shared" ref="AB123:AB131" si="120">AA123/Z123</f>
        <v>#DIV/0!</v>
      </c>
      <c r="AC123" s="232" t="e">
        <f t="shared" ref="AC123:AC137" si="121">RANK(AB123,AB$122:AB$137)</f>
        <v>#DIV/0!</v>
      </c>
      <c r="AD123" s="448"/>
      <c r="AE123" s="233"/>
      <c r="AF123" s="233"/>
      <c r="AG123" s="234" t="e">
        <f t="shared" ref="AG123:AG131" si="122">AF123/AE123</f>
        <v>#DIV/0!</v>
      </c>
      <c r="AH123" s="232" t="e">
        <f t="shared" ref="AH123:AH137" si="123">RANK(AG123,AG$122:AG$137)</f>
        <v>#DIV/0!</v>
      </c>
      <c r="AI123" s="448"/>
      <c r="AJ123" s="233"/>
      <c r="AK123" s="233"/>
      <c r="AL123" s="234" t="e">
        <f t="shared" ref="AL123:AL137" si="124">AK123/AJ123</f>
        <v>#DIV/0!</v>
      </c>
      <c r="AM123" s="232" t="e">
        <f t="shared" si="109"/>
        <v>#DIV/0!</v>
      </c>
      <c r="AN123" s="448"/>
      <c r="AO123" s="233"/>
      <c r="AP123" s="233"/>
      <c r="AQ123" s="234" t="e">
        <f t="shared" ref="AQ123:AQ137" si="125">AP123/AO123</f>
        <v>#DIV/0!</v>
      </c>
      <c r="AR123" s="232" t="e">
        <f t="shared" si="110"/>
        <v>#DIV/0!</v>
      </c>
      <c r="AS123" s="448"/>
      <c r="AT123" s="233"/>
      <c r="AU123" s="233"/>
      <c r="AV123" s="234" t="e">
        <f t="shared" ref="AV123:AV135" si="126">AU123/AT123</f>
        <v>#DIV/0!</v>
      </c>
      <c r="AW123" s="232" t="e">
        <f t="shared" si="111"/>
        <v>#DIV/0!</v>
      </c>
      <c r="AX123" s="448"/>
    </row>
    <row r="124" spans="2:50">
      <c r="B124" s="444"/>
      <c r="C124" s="232">
        <v>3</v>
      </c>
      <c r="D124" s="232" t="s">
        <v>99</v>
      </c>
      <c r="E124" s="233">
        <f>VLOOKUP(D124,'12產線配置圖 (2)'!$A$2:$C$25,2,0)</f>
        <v>13</v>
      </c>
      <c r="F124" s="233">
        <f>VLOOKUP(D124,'12產線配置圖 (2)'!$A$2:$C$25,3,0)</f>
        <v>2000</v>
      </c>
      <c r="G124" s="234">
        <f t="shared" si="112"/>
        <v>153.84615384615384</v>
      </c>
      <c r="H124" s="446"/>
      <c r="I124" s="233" t="e">
        <f t="shared" si="113"/>
        <v>#DIV/0!</v>
      </c>
      <c r="J124" s="233" t="e">
        <f t="shared" si="113"/>
        <v>#DIV/0!</v>
      </c>
      <c r="K124" s="234" t="e">
        <f t="shared" si="114"/>
        <v>#DIV/0!</v>
      </c>
      <c r="L124" s="446"/>
      <c r="M124" s="235" t="e">
        <f t="shared" si="115"/>
        <v>#DIV/0!</v>
      </c>
      <c r="N124" s="449"/>
      <c r="O124" s="449"/>
      <c r="P124" s="233"/>
      <c r="Q124" s="233"/>
      <c r="R124" s="234" t="e">
        <f t="shared" si="116"/>
        <v>#DIV/0!</v>
      </c>
      <c r="S124" s="232" t="e">
        <f t="shared" si="117"/>
        <v>#DIV/0!</v>
      </c>
      <c r="T124" s="448"/>
      <c r="U124" s="233"/>
      <c r="V124" s="233"/>
      <c r="W124" s="234" t="e">
        <f t="shared" si="118"/>
        <v>#DIV/0!</v>
      </c>
      <c r="X124" s="232" t="e">
        <f t="shared" si="119"/>
        <v>#DIV/0!</v>
      </c>
      <c r="Y124" s="448"/>
      <c r="Z124" s="233"/>
      <c r="AA124" s="233"/>
      <c r="AB124" s="234" t="e">
        <f t="shared" si="120"/>
        <v>#DIV/0!</v>
      </c>
      <c r="AC124" s="232" t="e">
        <f t="shared" si="121"/>
        <v>#DIV/0!</v>
      </c>
      <c r="AD124" s="448"/>
      <c r="AE124" s="233"/>
      <c r="AF124" s="233"/>
      <c r="AG124" s="234" t="e">
        <f t="shared" si="122"/>
        <v>#DIV/0!</v>
      </c>
      <c r="AH124" s="232" t="e">
        <f t="shared" si="123"/>
        <v>#DIV/0!</v>
      </c>
      <c r="AI124" s="448"/>
      <c r="AJ124" s="233"/>
      <c r="AK124" s="233"/>
      <c r="AL124" s="234" t="e">
        <f t="shared" si="124"/>
        <v>#DIV/0!</v>
      </c>
      <c r="AM124" s="232" t="e">
        <f t="shared" si="109"/>
        <v>#DIV/0!</v>
      </c>
      <c r="AN124" s="448"/>
      <c r="AO124" s="233"/>
      <c r="AP124" s="233"/>
      <c r="AQ124" s="234" t="e">
        <f t="shared" si="125"/>
        <v>#DIV/0!</v>
      </c>
      <c r="AR124" s="232" t="e">
        <f t="shared" si="110"/>
        <v>#DIV/0!</v>
      </c>
      <c r="AS124" s="448"/>
      <c r="AT124" s="233"/>
      <c r="AU124" s="233"/>
      <c r="AV124" s="234" t="e">
        <f t="shared" si="126"/>
        <v>#DIV/0!</v>
      </c>
      <c r="AW124" s="232" t="e">
        <f t="shared" si="111"/>
        <v>#DIV/0!</v>
      </c>
      <c r="AX124" s="448"/>
    </row>
    <row r="125" spans="2:50">
      <c r="B125" s="444"/>
      <c r="C125" s="232">
        <v>4</v>
      </c>
      <c r="D125" s="232" t="s">
        <v>100</v>
      </c>
      <c r="E125" s="233">
        <f>VLOOKUP(D125,'12產線配置圖 (2)'!$A$2:$C$25,2,0)</f>
        <v>18</v>
      </c>
      <c r="F125" s="233">
        <f>VLOOKUP(D125,'12產線配置圖 (2)'!$A$2:$C$25,3,0)</f>
        <v>1600</v>
      </c>
      <c r="G125" s="234">
        <f t="shared" si="112"/>
        <v>88.888888888888886</v>
      </c>
      <c r="H125" s="446"/>
      <c r="I125" s="233" t="e">
        <f t="shared" si="113"/>
        <v>#DIV/0!</v>
      </c>
      <c r="J125" s="233" t="e">
        <f t="shared" si="113"/>
        <v>#DIV/0!</v>
      </c>
      <c r="K125" s="234" t="e">
        <f t="shared" si="114"/>
        <v>#DIV/0!</v>
      </c>
      <c r="L125" s="446"/>
      <c r="M125" s="235" t="e">
        <f t="shared" si="115"/>
        <v>#DIV/0!</v>
      </c>
      <c r="N125" s="449"/>
      <c r="O125" s="449"/>
      <c r="P125" s="233"/>
      <c r="Q125" s="233"/>
      <c r="R125" s="234" t="e">
        <f t="shared" si="116"/>
        <v>#DIV/0!</v>
      </c>
      <c r="S125" s="232" t="e">
        <f t="shared" si="117"/>
        <v>#DIV/0!</v>
      </c>
      <c r="T125" s="448"/>
      <c r="U125" s="233"/>
      <c r="V125" s="233"/>
      <c r="W125" s="234" t="e">
        <f t="shared" si="118"/>
        <v>#DIV/0!</v>
      </c>
      <c r="X125" s="232" t="e">
        <f t="shared" si="119"/>
        <v>#DIV/0!</v>
      </c>
      <c r="Y125" s="448"/>
      <c r="Z125" s="233"/>
      <c r="AA125" s="233"/>
      <c r="AB125" s="234" t="e">
        <f t="shared" si="120"/>
        <v>#DIV/0!</v>
      </c>
      <c r="AC125" s="232" t="e">
        <f t="shared" si="121"/>
        <v>#DIV/0!</v>
      </c>
      <c r="AD125" s="448"/>
      <c r="AE125" s="233"/>
      <c r="AF125" s="233"/>
      <c r="AG125" s="234" t="e">
        <f t="shared" si="122"/>
        <v>#DIV/0!</v>
      </c>
      <c r="AH125" s="232" t="e">
        <f t="shared" si="123"/>
        <v>#DIV/0!</v>
      </c>
      <c r="AI125" s="448"/>
      <c r="AJ125" s="233"/>
      <c r="AK125" s="233"/>
      <c r="AL125" s="234" t="e">
        <f t="shared" si="124"/>
        <v>#DIV/0!</v>
      </c>
      <c r="AM125" s="232" t="e">
        <f t="shared" si="109"/>
        <v>#DIV/0!</v>
      </c>
      <c r="AN125" s="448"/>
      <c r="AO125" s="233"/>
      <c r="AP125" s="233"/>
      <c r="AQ125" s="234" t="e">
        <f t="shared" si="125"/>
        <v>#DIV/0!</v>
      </c>
      <c r="AR125" s="232" t="e">
        <f t="shared" si="110"/>
        <v>#DIV/0!</v>
      </c>
      <c r="AS125" s="448"/>
      <c r="AT125" s="233"/>
      <c r="AU125" s="233"/>
      <c r="AV125" s="234" t="e">
        <f t="shared" si="126"/>
        <v>#DIV/0!</v>
      </c>
      <c r="AW125" s="232" t="e">
        <f t="shared" si="111"/>
        <v>#DIV/0!</v>
      </c>
      <c r="AX125" s="448"/>
    </row>
    <row r="126" spans="2:50">
      <c r="B126" s="444"/>
      <c r="C126" s="232">
        <v>5</v>
      </c>
      <c r="D126" s="232" t="s">
        <v>101</v>
      </c>
      <c r="E126" s="233">
        <f>VLOOKUP(D126,'12產線配置圖 (2)'!$A$2:$C$25,2,0)</f>
        <v>13</v>
      </c>
      <c r="F126" s="233">
        <f>VLOOKUP(D126,'12產線配置圖 (2)'!$A$2:$C$25,3,0)</f>
        <v>2105</v>
      </c>
      <c r="G126" s="234">
        <f t="shared" si="112"/>
        <v>161.92307692307693</v>
      </c>
      <c r="H126" s="446"/>
      <c r="I126" s="233" t="e">
        <f t="shared" si="113"/>
        <v>#DIV/0!</v>
      </c>
      <c r="J126" s="233" t="e">
        <f t="shared" si="113"/>
        <v>#DIV/0!</v>
      </c>
      <c r="K126" s="234" t="e">
        <f t="shared" si="114"/>
        <v>#DIV/0!</v>
      </c>
      <c r="L126" s="446"/>
      <c r="M126" s="235" t="e">
        <f t="shared" si="115"/>
        <v>#DIV/0!</v>
      </c>
      <c r="N126" s="449"/>
      <c r="O126" s="449"/>
      <c r="P126" s="233"/>
      <c r="Q126" s="233"/>
      <c r="R126" s="234" t="e">
        <f t="shared" si="116"/>
        <v>#DIV/0!</v>
      </c>
      <c r="S126" s="232" t="e">
        <f t="shared" si="117"/>
        <v>#DIV/0!</v>
      </c>
      <c r="T126" s="448"/>
      <c r="U126" s="233"/>
      <c r="V126" s="233"/>
      <c r="W126" s="234" t="e">
        <f t="shared" si="118"/>
        <v>#DIV/0!</v>
      </c>
      <c r="X126" s="232" t="e">
        <f t="shared" si="119"/>
        <v>#DIV/0!</v>
      </c>
      <c r="Y126" s="448"/>
      <c r="Z126" s="233"/>
      <c r="AA126" s="233"/>
      <c r="AB126" s="234" t="e">
        <f t="shared" si="120"/>
        <v>#DIV/0!</v>
      </c>
      <c r="AC126" s="232" t="e">
        <f t="shared" si="121"/>
        <v>#DIV/0!</v>
      </c>
      <c r="AD126" s="448"/>
      <c r="AE126" s="233"/>
      <c r="AF126" s="233"/>
      <c r="AG126" s="234" t="e">
        <f t="shared" si="122"/>
        <v>#DIV/0!</v>
      </c>
      <c r="AH126" s="232" t="e">
        <f t="shared" si="123"/>
        <v>#DIV/0!</v>
      </c>
      <c r="AI126" s="448"/>
      <c r="AJ126" s="233"/>
      <c r="AK126" s="233"/>
      <c r="AL126" s="234" t="e">
        <f t="shared" si="124"/>
        <v>#DIV/0!</v>
      </c>
      <c r="AM126" s="232" t="e">
        <f t="shared" si="109"/>
        <v>#DIV/0!</v>
      </c>
      <c r="AN126" s="448"/>
      <c r="AO126" s="233"/>
      <c r="AP126" s="233"/>
      <c r="AQ126" s="234" t="e">
        <f t="shared" si="125"/>
        <v>#DIV/0!</v>
      </c>
      <c r="AR126" s="232" t="e">
        <f t="shared" si="110"/>
        <v>#DIV/0!</v>
      </c>
      <c r="AS126" s="448"/>
      <c r="AT126" s="233"/>
      <c r="AU126" s="233"/>
      <c r="AV126" s="234" t="e">
        <f t="shared" si="126"/>
        <v>#DIV/0!</v>
      </c>
      <c r="AW126" s="232" t="e">
        <f t="shared" si="111"/>
        <v>#DIV/0!</v>
      </c>
      <c r="AX126" s="448"/>
    </row>
    <row r="127" spans="2:50">
      <c r="B127" s="444"/>
      <c r="C127" s="232">
        <v>6</v>
      </c>
      <c r="D127" s="232" t="s">
        <v>102</v>
      </c>
      <c r="E127" s="233">
        <f>VLOOKUP(D127,'12產線配置圖 (2)'!$A$2:$C$25,2,0)</f>
        <v>17</v>
      </c>
      <c r="F127" s="233">
        <f>VLOOKUP(D127,'12產線配置圖 (2)'!$A$2:$C$25,3,0)</f>
        <v>2000</v>
      </c>
      <c r="G127" s="234">
        <f t="shared" si="112"/>
        <v>117.64705882352941</v>
      </c>
      <c r="H127" s="446"/>
      <c r="I127" s="233" t="e">
        <f t="shared" si="113"/>
        <v>#DIV/0!</v>
      </c>
      <c r="J127" s="233" t="e">
        <f t="shared" si="113"/>
        <v>#DIV/0!</v>
      </c>
      <c r="K127" s="234" t="e">
        <f t="shared" si="114"/>
        <v>#DIV/0!</v>
      </c>
      <c r="L127" s="446"/>
      <c r="M127" s="235" t="e">
        <f t="shared" si="115"/>
        <v>#DIV/0!</v>
      </c>
      <c r="N127" s="449"/>
      <c r="O127" s="449"/>
      <c r="P127" s="233"/>
      <c r="Q127" s="233"/>
      <c r="R127" s="234" t="e">
        <f t="shared" si="116"/>
        <v>#DIV/0!</v>
      </c>
      <c r="S127" s="232" t="e">
        <f t="shared" si="117"/>
        <v>#DIV/0!</v>
      </c>
      <c r="T127" s="448"/>
      <c r="U127" s="233"/>
      <c r="V127" s="233"/>
      <c r="W127" s="234" t="e">
        <f t="shared" si="118"/>
        <v>#DIV/0!</v>
      </c>
      <c r="X127" s="232" t="e">
        <f t="shared" si="119"/>
        <v>#DIV/0!</v>
      </c>
      <c r="Y127" s="448"/>
      <c r="Z127" s="233"/>
      <c r="AA127" s="233"/>
      <c r="AB127" s="234" t="e">
        <f t="shared" si="120"/>
        <v>#DIV/0!</v>
      </c>
      <c r="AC127" s="232" t="e">
        <f t="shared" si="121"/>
        <v>#DIV/0!</v>
      </c>
      <c r="AD127" s="448"/>
      <c r="AE127" s="233"/>
      <c r="AF127" s="233"/>
      <c r="AG127" s="234" t="e">
        <f t="shared" si="122"/>
        <v>#DIV/0!</v>
      </c>
      <c r="AH127" s="232" t="e">
        <f t="shared" si="123"/>
        <v>#DIV/0!</v>
      </c>
      <c r="AI127" s="448"/>
      <c r="AJ127" s="233"/>
      <c r="AK127" s="233"/>
      <c r="AL127" s="234" t="e">
        <f t="shared" si="124"/>
        <v>#DIV/0!</v>
      </c>
      <c r="AM127" s="232" t="e">
        <f t="shared" si="109"/>
        <v>#DIV/0!</v>
      </c>
      <c r="AN127" s="448"/>
      <c r="AO127" s="233"/>
      <c r="AP127" s="233"/>
      <c r="AQ127" s="234" t="e">
        <f t="shared" si="125"/>
        <v>#DIV/0!</v>
      </c>
      <c r="AR127" s="232" t="e">
        <f t="shared" si="110"/>
        <v>#DIV/0!</v>
      </c>
      <c r="AS127" s="448"/>
      <c r="AT127" s="233"/>
      <c r="AU127" s="233"/>
      <c r="AV127" s="234" t="e">
        <f t="shared" si="126"/>
        <v>#DIV/0!</v>
      </c>
      <c r="AW127" s="232" t="e">
        <f t="shared" si="111"/>
        <v>#DIV/0!</v>
      </c>
      <c r="AX127" s="448"/>
    </row>
    <row r="128" spans="2:50">
      <c r="B128" s="444"/>
      <c r="C128" s="232">
        <v>7</v>
      </c>
      <c r="D128" s="232" t="s">
        <v>103</v>
      </c>
      <c r="E128" s="233">
        <f>VLOOKUP(D128,'12產線配置圖 (2)'!$A$2:$C$25,2,0)</f>
        <v>16</v>
      </c>
      <c r="F128" s="233">
        <f>VLOOKUP(D128,'12產線配置圖 (2)'!$A$2:$C$25,3,0)</f>
        <v>1385</v>
      </c>
      <c r="G128" s="234">
        <f t="shared" si="112"/>
        <v>86.5625</v>
      </c>
      <c r="H128" s="446"/>
      <c r="I128" s="233" t="e">
        <f>AVERAGE(P128,U127,Z128,AE128,AJ128,AO128,AT128)</f>
        <v>#DIV/0!</v>
      </c>
      <c r="J128" s="233" t="e">
        <f t="shared" si="113"/>
        <v>#DIV/0!</v>
      </c>
      <c r="K128" s="234" t="e">
        <f t="shared" si="114"/>
        <v>#DIV/0!</v>
      </c>
      <c r="L128" s="446"/>
      <c r="M128" s="235" t="e">
        <f t="shared" si="115"/>
        <v>#DIV/0!</v>
      </c>
      <c r="N128" s="449"/>
      <c r="O128" s="449"/>
      <c r="P128" s="233"/>
      <c r="Q128" s="233"/>
      <c r="R128" s="234" t="e">
        <f t="shared" si="116"/>
        <v>#DIV/0!</v>
      </c>
      <c r="S128" s="232" t="e">
        <f t="shared" si="117"/>
        <v>#DIV/0!</v>
      </c>
      <c r="T128" s="448"/>
      <c r="U128" s="233"/>
      <c r="V128" s="233"/>
      <c r="W128" s="234" t="e">
        <f>V128/U127</f>
        <v>#DIV/0!</v>
      </c>
      <c r="X128" s="232" t="e">
        <f t="shared" si="119"/>
        <v>#DIV/0!</v>
      </c>
      <c r="Y128" s="448"/>
      <c r="Z128" s="233"/>
      <c r="AA128" s="233"/>
      <c r="AB128" s="234" t="e">
        <f t="shared" si="120"/>
        <v>#DIV/0!</v>
      </c>
      <c r="AC128" s="232" t="e">
        <f t="shared" si="121"/>
        <v>#DIV/0!</v>
      </c>
      <c r="AD128" s="448"/>
      <c r="AE128" s="233"/>
      <c r="AF128" s="233"/>
      <c r="AG128" s="234" t="e">
        <f t="shared" si="122"/>
        <v>#DIV/0!</v>
      </c>
      <c r="AH128" s="232" t="e">
        <f t="shared" si="123"/>
        <v>#DIV/0!</v>
      </c>
      <c r="AI128" s="448"/>
      <c r="AJ128" s="233"/>
      <c r="AK128" s="233"/>
      <c r="AL128" s="234" t="e">
        <f t="shared" si="124"/>
        <v>#DIV/0!</v>
      </c>
      <c r="AM128" s="232" t="e">
        <f t="shared" si="109"/>
        <v>#DIV/0!</v>
      </c>
      <c r="AN128" s="448"/>
      <c r="AO128" s="233"/>
      <c r="AP128" s="233"/>
      <c r="AQ128" s="234" t="e">
        <f t="shared" si="125"/>
        <v>#DIV/0!</v>
      </c>
      <c r="AR128" s="232" t="e">
        <f t="shared" si="110"/>
        <v>#DIV/0!</v>
      </c>
      <c r="AS128" s="448"/>
      <c r="AT128" s="233"/>
      <c r="AU128" s="233"/>
      <c r="AV128" s="234" t="e">
        <f t="shared" si="126"/>
        <v>#DIV/0!</v>
      </c>
      <c r="AW128" s="232" t="e">
        <f t="shared" si="111"/>
        <v>#DIV/0!</v>
      </c>
      <c r="AX128" s="448"/>
    </row>
    <row r="129" spans="2:50">
      <c r="B129" s="444"/>
      <c r="C129" s="232">
        <v>8</v>
      </c>
      <c r="D129" s="232" t="s">
        <v>104</v>
      </c>
      <c r="E129" s="233">
        <f>VLOOKUP(D129,'12產線配置圖 (2)'!$A$2:$C$25,2,0)</f>
        <v>17</v>
      </c>
      <c r="F129" s="233">
        <f>VLOOKUP(D129,'12產線配置圖 (2)'!$A$2:$C$25,3,0)</f>
        <v>1385</v>
      </c>
      <c r="G129" s="234">
        <f t="shared" si="112"/>
        <v>81.470588235294116</v>
      </c>
      <c r="H129" s="446"/>
      <c r="I129" s="233" t="e">
        <f t="shared" ref="I129:I135" si="127">AVERAGE(P129,U129,Z129,AE129,AJ129,AO129,AT129)</f>
        <v>#DIV/0!</v>
      </c>
      <c r="J129" s="233" t="e">
        <f t="shared" si="113"/>
        <v>#DIV/0!</v>
      </c>
      <c r="K129" s="234" t="e">
        <f t="shared" si="114"/>
        <v>#DIV/0!</v>
      </c>
      <c r="L129" s="446"/>
      <c r="M129" s="235" t="e">
        <f t="shared" si="115"/>
        <v>#DIV/0!</v>
      </c>
      <c r="N129" s="449"/>
      <c r="O129" s="449"/>
      <c r="P129" s="233"/>
      <c r="Q129" s="233"/>
      <c r="R129" s="234" t="e">
        <f t="shared" si="116"/>
        <v>#DIV/0!</v>
      </c>
      <c r="S129" s="232" t="e">
        <f t="shared" si="117"/>
        <v>#DIV/0!</v>
      </c>
      <c r="T129" s="448"/>
      <c r="U129" s="233"/>
      <c r="V129" s="233"/>
      <c r="W129" s="234" t="e">
        <f t="shared" si="118"/>
        <v>#DIV/0!</v>
      </c>
      <c r="X129" s="232" t="e">
        <f t="shared" si="119"/>
        <v>#DIV/0!</v>
      </c>
      <c r="Y129" s="448"/>
      <c r="Z129" s="233"/>
      <c r="AA129" s="233"/>
      <c r="AB129" s="234" t="e">
        <f t="shared" si="120"/>
        <v>#DIV/0!</v>
      </c>
      <c r="AC129" s="232" t="e">
        <f t="shared" si="121"/>
        <v>#DIV/0!</v>
      </c>
      <c r="AD129" s="448"/>
      <c r="AE129" s="233"/>
      <c r="AF129" s="233"/>
      <c r="AG129" s="234" t="e">
        <f t="shared" si="122"/>
        <v>#DIV/0!</v>
      </c>
      <c r="AH129" s="232" t="e">
        <f t="shared" si="123"/>
        <v>#DIV/0!</v>
      </c>
      <c r="AI129" s="448"/>
      <c r="AJ129" s="233"/>
      <c r="AK129" s="233"/>
      <c r="AL129" s="234" t="e">
        <f t="shared" si="124"/>
        <v>#DIV/0!</v>
      </c>
      <c r="AM129" s="232" t="e">
        <f t="shared" si="109"/>
        <v>#DIV/0!</v>
      </c>
      <c r="AN129" s="448"/>
      <c r="AO129" s="233"/>
      <c r="AP129" s="233"/>
      <c r="AQ129" s="234" t="e">
        <f t="shared" si="125"/>
        <v>#DIV/0!</v>
      </c>
      <c r="AR129" s="232" t="e">
        <f t="shared" si="110"/>
        <v>#DIV/0!</v>
      </c>
      <c r="AS129" s="448"/>
      <c r="AT129" s="233"/>
      <c r="AU129" s="233"/>
      <c r="AV129" s="234" t="e">
        <f t="shared" si="126"/>
        <v>#DIV/0!</v>
      </c>
      <c r="AW129" s="232" t="e">
        <f t="shared" si="111"/>
        <v>#DIV/0!</v>
      </c>
      <c r="AX129" s="448"/>
    </row>
    <row r="130" spans="2:50">
      <c r="B130" s="444"/>
      <c r="C130" s="232">
        <v>9</v>
      </c>
      <c r="D130" s="232" t="s">
        <v>105</v>
      </c>
      <c r="E130" s="233">
        <f>VLOOKUP(D130,'12產線配置圖 (2)'!$A$2:$C$25,2,0)</f>
        <v>17</v>
      </c>
      <c r="F130" s="233">
        <f>VLOOKUP(D130,'12產線配置圖 (2)'!$A$2:$C$25,3,0)</f>
        <v>1565</v>
      </c>
      <c r="G130" s="234">
        <f t="shared" si="112"/>
        <v>92.058823529411768</v>
      </c>
      <c r="H130" s="446"/>
      <c r="I130" s="233" t="e">
        <f t="shared" si="127"/>
        <v>#DIV/0!</v>
      </c>
      <c r="J130" s="233" t="e">
        <f t="shared" si="113"/>
        <v>#DIV/0!</v>
      </c>
      <c r="K130" s="234" t="e">
        <f t="shared" si="114"/>
        <v>#DIV/0!</v>
      </c>
      <c r="L130" s="446"/>
      <c r="M130" s="235" t="e">
        <f t="shared" si="115"/>
        <v>#DIV/0!</v>
      </c>
      <c r="N130" s="449"/>
      <c r="O130" s="449"/>
      <c r="P130" s="233"/>
      <c r="Q130" s="233"/>
      <c r="R130" s="234" t="e">
        <f t="shared" si="116"/>
        <v>#DIV/0!</v>
      </c>
      <c r="S130" s="232" t="e">
        <f t="shared" si="117"/>
        <v>#DIV/0!</v>
      </c>
      <c r="T130" s="448"/>
      <c r="U130" s="233"/>
      <c r="V130" s="233"/>
      <c r="W130" s="234" t="e">
        <f t="shared" si="118"/>
        <v>#DIV/0!</v>
      </c>
      <c r="X130" s="232" t="e">
        <f t="shared" si="119"/>
        <v>#DIV/0!</v>
      </c>
      <c r="Y130" s="448"/>
      <c r="Z130" s="233"/>
      <c r="AA130" s="233"/>
      <c r="AB130" s="234" t="e">
        <f t="shared" si="120"/>
        <v>#DIV/0!</v>
      </c>
      <c r="AC130" s="232" t="e">
        <f t="shared" si="121"/>
        <v>#DIV/0!</v>
      </c>
      <c r="AD130" s="448"/>
      <c r="AE130" s="233"/>
      <c r="AF130" s="233"/>
      <c r="AG130" s="234" t="e">
        <f t="shared" si="122"/>
        <v>#DIV/0!</v>
      </c>
      <c r="AH130" s="232" t="e">
        <f t="shared" si="123"/>
        <v>#DIV/0!</v>
      </c>
      <c r="AI130" s="448"/>
      <c r="AJ130" s="233"/>
      <c r="AK130" s="233"/>
      <c r="AL130" s="234" t="e">
        <f t="shared" si="124"/>
        <v>#DIV/0!</v>
      </c>
      <c r="AM130" s="232" t="e">
        <f t="shared" si="109"/>
        <v>#DIV/0!</v>
      </c>
      <c r="AN130" s="448"/>
      <c r="AO130" s="233"/>
      <c r="AP130" s="233"/>
      <c r="AQ130" s="234" t="e">
        <f t="shared" si="125"/>
        <v>#DIV/0!</v>
      </c>
      <c r="AR130" s="232" t="e">
        <f t="shared" si="110"/>
        <v>#DIV/0!</v>
      </c>
      <c r="AS130" s="448"/>
      <c r="AT130" s="233"/>
      <c r="AU130" s="233"/>
      <c r="AV130" s="234" t="e">
        <f t="shared" si="126"/>
        <v>#DIV/0!</v>
      </c>
      <c r="AW130" s="232" t="e">
        <f t="shared" si="111"/>
        <v>#DIV/0!</v>
      </c>
      <c r="AX130" s="448"/>
    </row>
    <row r="131" spans="2:50">
      <c r="B131" s="444"/>
      <c r="C131" s="232">
        <v>10</v>
      </c>
      <c r="D131" s="232" t="s">
        <v>106</v>
      </c>
      <c r="E131" s="233">
        <f>VLOOKUP(D131,'12產線配置圖 (2)'!$A$2:$C$25,2,0)</f>
        <v>18</v>
      </c>
      <c r="F131" s="233">
        <f>VLOOKUP(D131,'12產線配置圖 (2)'!$A$2:$C$25,3,0)</f>
        <v>1565</v>
      </c>
      <c r="G131" s="234">
        <f t="shared" si="112"/>
        <v>86.944444444444443</v>
      </c>
      <c r="H131" s="446"/>
      <c r="I131" s="233" t="e">
        <f t="shared" si="127"/>
        <v>#DIV/0!</v>
      </c>
      <c r="J131" s="233" t="e">
        <f t="shared" si="113"/>
        <v>#DIV/0!</v>
      </c>
      <c r="K131" s="234" t="e">
        <f t="shared" si="114"/>
        <v>#DIV/0!</v>
      </c>
      <c r="L131" s="446"/>
      <c r="M131" s="235" t="e">
        <f t="shared" si="115"/>
        <v>#DIV/0!</v>
      </c>
      <c r="N131" s="449"/>
      <c r="O131" s="449"/>
      <c r="P131" s="233"/>
      <c r="Q131" s="233"/>
      <c r="R131" s="234" t="e">
        <f t="shared" si="116"/>
        <v>#DIV/0!</v>
      </c>
      <c r="S131" s="232" t="e">
        <f t="shared" si="117"/>
        <v>#DIV/0!</v>
      </c>
      <c r="T131" s="448"/>
      <c r="U131" s="233"/>
      <c r="V131" s="233"/>
      <c r="W131" s="234" t="e">
        <f t="shared" si="118"/>
        <v>#DIV/0!</v>
      </c>
      <c r="X131" s="232" t="e">
        <f t="shared" si="119"/>
        <v>#DIV/0!</v>
      </c>
      <c r="Y131" s="448"/>
      <c r="Z131" s="233"/>
      <c r="AA131" s="233"/>
      <c r="AB131" s="234" t="e">
        <f t="shared" si="120"/>
        <v>#DIV/0!</v>
      </c>
      <c r="AC131" s="232" t="e">
        <f t="shared" si="121"/>
        <v>#DIV/0!</v>
      </c>
      <c r="AD131" s="448"/>
      <c r="AE131" s="233"/>
      <c r="AF131" s="233"/>
      <c r="AG131" s="234" t="e">
        <f t="shared" si="122"/>
        <v>#DIV/0!</v>
      </c>
      <c r="AH131" s="232" t="e">
        <f t="shared" si="123"/>
        <v>#DIV/0!</v>
      </c>
      <c r="AI131" s="448"/>
      <c r="AJ131" s="233"/>
      <c r="AK131" s="233"/>
      <c r="AL131" s="234" t="e">
        <f t="shared" si="124"/>
        <v>#DIV/0!</v>
      </c>
      <c r="AM131" s="232" t="e">
        <f t="shared" si="109"/>
        <v>#DIV/0!</v>
      </c>
      <c r="AN131" s="448"/>
      <c r="AO131" s="233"/>
      <c r="AP131" s="233"/>
      <c r="AQ131" s="234" t="e">
        <f t="shared" si="125"/>
        <v>#DIV/0!</v>
      </c>
      <c r="AR131" s="232" t="e">
        <f t="shared" si="110"/>
        <v>#DIV/0!</v>
      </c>
      <c r="AS131" s="448"/>
      <c r="AT131" s="233"/>
      <c r="AU131" s="233"/>
      <c r="AV131" s="234" t="e">
        <f t="shared" si="126"/>
        <v>#DIV/0!</v>
      </c>
      <c r="AW131" s="232" t="e">
        <f t="shared" si="111"/>
        <v>#DIV/0!</v>
      </c>
      <c r="AX131" s="448"/>
    </row>
    <row r="132" spans="2:50">
      <c r="B132" s="444"/>
      <c r="C132" s="232">
        <v>11</v>
      </c>
      <c r="D132" s="232" t="s">
        <v>107</v>
      </c>
      <c r="E132" s="233">
        <f>VLOOKUP(D132,'12產線配置圖 (2)'!$A$2:$C$25,2,0)</f>
        <v>16</v>
      </c>
      <c r="F132" s="233">
        <f>VLOOKUP(D132,'12產線配置圖 (2)'!$A$2:$C$25,3,0)</f>
        <v>1406</v>
      </c>
      <c r="G132" s="234">
        <f t="shared" si="112"/>
        <v>87.875</v>
      </c>
      <c r="H132" s="446"/>
      <c r="I132" s="233" t="e">
        <f t="shared" si="127"/>
        <v>#DIV/0!</v>
      </c>
      <c r="J132" s="233" t="e">
        <f t="shared" si="113"/>
        <v>#DIV/0!</v>
      </c>
      <c r="K132" s="234" t="e">
        <f t="shared" si="114"/>
        <v>#DIV/0!</v>
      </c>
      <c r="L132" s="446"/>
      <c r="M132" s="235" t="e">
        <f t="shared" si="115"/>
        <v>#DIV/0!</v>
      </c>
      <c r="N132" s="449"/>
      <c r="O132" s="449"/>
      <c r="P132" s="232"/>
      <c r="Q132" s="232"/>
      <c r="R132" s="234" t="e">
        <f t="shared" si="116"/>
        <v>#DIV/0!</v>
      </c>
      <c r="S132" s="232" t="e">
        <f t="shared" si="117"/>
        <v>#DIV/0!</v>
      </c>
      <c r="T132" s="448"/>
      <c r="U132" s="232"/>
      <c r="V132" s="232"/>
      <c r="W132" s="234" t="e">
        <f>V132/U132</f>
        <v>#DIV/0!</v>
      </c>
      <c r="X132" s="232" t="e">
        <f t="shared" si="119"/>
        <v>#DIV/0!</v>
      </c>
      <c r="Y132" s="448"/>
      <c r="Z132" s="232"/>
      <c r="AA132" s="232"/>
      <c r="AB132" s="234" t="e">
        <f>AA132/Z132</f>
        <v>#DIV/0!</v>
      </c>
      <c r="AC132" s="232" t="e">
        <f t="shared" si="121"/>
        <v>#DIV/0!</v>
      </c>
      <c r="AD132" s="448"/>
      <c r="AE132" s="232"/>
      <c r="AF132" s="232"/>
      <c r="AG132" s="234" t="e">
        <f>AF132/AE132</f>
        <v>#DIV/0!</v>
      </c>
      <c r="AH132" s="232" t="e">
        <f t="shared" si="123"/>
        <v>#DIV/0!</v>
      </c>
      <c r="AI132" s="448"/>
      <c r="AJ132" s="232"/>
      <c r="AK132" s="232"/>
      <c r="AL132" s="234" t="e">
        <f t="shared" si="124"/>
        <v>#DIV/0!</v>
      </c>
      <c r="AM132" s="232" t="e">
        <f t="shared" si="109"/>
        <v>#DIV/0!</v>
      </c>
      <c r="AN132" s="448"/>
      <c r="AO132" s="232"/>
      <c r="AP132" s="232"/>
      <c r="AQ132" s="234" t="e">
        <f t="shared" si="125"/>
        <v>#DIV/0!</v>
      </c>
      <c r="AR132" s="232" t="e">
        <f t="shared" si="110"/>
        <v>#DIV/0!</v>
      </c>
      <c r="AS132" s="448"/>
      <c r="AT132" s="232"/>
      <c r="AU132" s="232"/>
      <c r="AV132" s="234" t="e">
        <f t="shared" si="126"/>
        <v>#DIV/0!</v>
      </c>
      <c r="AW132" s="232" t="e">
        <f t="shared" si="111"/>
        <v>#DIV/0!</v>
      </c>
      <c r="AX132" s="448"/>
    </row>
    <row r="133" spans="2:50">
      <c r="B133" s="444"/>
      <c r="C133" s="232">
        <v>12</v>
      </c>
      <c r="D133" s="232" t="s">
        <v>108</v>
      </c>
      <c r="E133" s="233">
        <f>VLOOKUP(D133,'12產線配置圖 (2)'!$A$2:$C$25,2,0)</f>
        <v>14</v>
      </c>
      <c r="F133" s="233">
        <f>VLOOKUP(D133,'12產線配置圖 (2)'!$A$2:$C$25,3,0)</f>
        <v>1440</v>
      </c>
      <c r="G133" s="234">
        <f t="shared" si="112"/>
        <v>102.85714285714286</v>
      </c>
      <c r="H133" s="446"/>
      <c r="I133" s="233" t="e">
        <f t="shared" si="127"/>
        <v>#DIV/0!</v>
      </c>
      <c r="J133" s="233" t="e">
        <f t="shared" si="113"/>
        <v>#DIV/0!</v>
      </c>
      <c r="K133" s="234" t="e">
        <f t="shared" si="114"/>
        <v>#DIV/0!</v>
      </c>
      <c r="L133" s="446"/>
      <c r="M133" s="235" t="e">
        <f t="shared" si="115"/>
        <v>#DIV/0!</v>
      </c>
      <c r="N133" s="449"/>
      <c r="O133" s="449"/>
      <c r="P133" s="232"/>
      <c r="Q133" s="233"/>
      <c r="R133" s="234" t="e">
        <f t="shared" si="116"/>
        <v>#DIV/0!</v>
      </c>
      <c r="S133" s="232" t="e">
        <f t="shared" si="117"/>
        <v>#DIV/0!</v>
      </c>
      <c r="T133" s="448"/>
      <c r="U133" s="232"/>
      <c r="V133" s="233"/>
      <c r="W133" s="234" t="e">
        <f t="shared" ref="W133:W137" si="128">V133/U133</f>
        <v>#DIV/0!</v>
      </c>
      <c r="X133" s="232" t="e">
        <f t="shared" si="119"/>
        <v>#DIV/0!</v>
      </c>
      <c r="Y133" s="448"/>
      <c r="Z133" s="232"/>
      <c r="AA133" s="233"/>
      <c r="AB133" s="234" t="e">
        <f t="shared" ref="AB133:AB137" si="129">AA133/Z133</f>
        <v>#DIV/0!</v>
      </c>
      <c r="AC133" s="232" t="e">
        <f t="shared" si="121"/>
        <v>#DIV/0!</v>
      </c>
      <c r="AD133" s="448"/>
      <c r="AE133" s="232"/>
      <c r="AF133" s="233"/>
      <c r="AG133" s="234" t="e">
        <f>AF133/AE133</f>
        <v>#DIV/0!</v>
      </c>
      <c r="AH133" s="232" t="e">
        <f t="shared" si="123"/>
        <v>#DIV/0!</v>
      </c>
      <c r="AI133" s="448"/>
      <c r="AJ133" s="232"/>
      <c r="AK133" s="233"/>
      <c r="AL133" s="234" t="e">
        <f t="shared" si="124"/>
        <v>#DIV/0!</v>
      </c>
      <c r="AM133" s="232" t="e">
        <f t="shared" si="109"/>
        <v>#DIV/0!</v>
      </c>
      <c r="AN133" s="448"/>
      <c r="AO133" s="232"/>
      <c r="AP133" s="233"/>
      <c r="AQ133" s="234" t="e">
        <f t="shared" si="125"/>
        <v>#DIV/0!</v>
      </c>
      <c r="AR133" s="232" t="e">
        <f t="shared" si="110"/>
        <v>#DIV/0!</v>
      </c>
      <c r="AS133" s="448"/>
      <c r="AT133" s="232"/>
      <c r="AU133" s="233"/>
      <c r="AV133" s="234" t="e">
        <f t="shared" si="126"/>
        <v>#DIV/0!</v>
      </c>
      <c r="AW133" s="232" t="e">
        <f t="shared" si="111"/>
        <v>#DIV/0!</v>
      </c>
      <c r="AX133" s="448"/>
    </row>
    <row r="134" spans="2:50">
      <c r="B134" s="444"/>
      <c r="C134" s="232">
        <v>13</v>
      </c>
      <c r="D134" s="232" t="s">
        <v>109</v>
      </c>
      <c r="E134" s="233">
        <f>VLOOKUP(D134,'12產線配置圖 (2)'!$A$2:$C$25,2,0)</f>
        <v>17</v>
      </c>
      <c r="F134" s="233">
        <f>VLOOKUP(D134,'12產線配置圖 (2)'!$A$2:$C$25,3,0)</f>
        <v>1500</v>
      </c>
      <c r="G134" s="234">
        <f t="shared" si="112"/>
        <v>88.235294117647058</v>
      </c>
      <c r="H134" s="446"/>
      <c r="I134" s="233" t="e">
        <f t="shared" si="127"/>
        <v>#DIV/0!</v>
      </c>
      <c r="J134" s="233" t="e">
        <f t="shared" si="113"/>
        <v>#DIV/0!</v>
      </c>
      <c r="K134" s="234" t="e">
        <f t="shared" si="114"/>
        <v>#DIV/0!</v>
      </c>
      <c r="L134" s="446"/>
      <c r="M134" s="235" t="e">
        <f t="shared" si="115"/>
        <v>#DIV/0!</v>
      </c>
      <c r="N134" s="449"/>
      <c r="O134" s="449"/>
      <c r="P134" s="232"/>
      <c r="Q134" s="232"/>
      <c r="R134" s="234" t="e">
        <f t="shared" si="116"/>
        <v>#DIV/0!</v>
      </c>
      <c r="S134" s="232" t="e">
        <f t="shared" si="117"/>
        <v>#DIV/0!</v>
      </c>
      <c r="T134" s="448"/>
      <c r="U134" s="232"/>
      <c r="V134" s="232"/>
      <c r="W134" s="234" t="e">
        <f t="shared" si="128"/>
        <v>#DIV/0!</v>
      </c>
      <c r="X134" s="232" t="e">
        <f t="shared" si="119"/>
        <v>#DIV/0!</v>
      </c>
      <c r="Y134" s="448"/>
      <c r="Z134" s="232"/>
      <c r="AA134" s="232"/>
      <c r="AB134" s="234" t="e">
        <f t="shared" si="129"/>
        <v>#DIV/0!</v>
      </c>
      <c r="AC134" s="232" t="e">
        <f t="shared" si="121"/>
        <v>#DIV/0!</v>
      </c>
      <c r="AD134" s="448"/>
      <c r="AE134" s="232"/>
      <c r="AF134" s="232"/>
      <c r="AG134" s="234" t="e">
        <f>AF134/AE134</f>
        <v>#DIV/0!</v>
      </c>
      <c r="AH134" s="232" t="e">
        <f t="shared" si="123"/>
        <v>#DIV/0!</v>
      </c>
      <c r="AI134" s="448"/>
      <c r="AJ134" s="232"/>
      <c r="AK134" s="232"/>
      <c r="AL134" s="234" t="e">
        <f t="shared" si="124"/>
        <v>#DIV/0!</v>
      </c>
      <c r="AM134" s="232" t="e">
        <f t="shared" si="109"/>
        <v>#DIV/0!</v>
      </c>
      <c r="AN134" s="448"/>
      <c r="AO134" s="232"/>
      <c r="AP134" s="232"/>
      <c r="AQ134" s="234" t="e">
        <f t="shared" si="125"/>
        <v>#DIV/0!</v>
      </c>
      <c r="AR134" s="232" t="e">
        <f t="shared" si="110"/>
        <v>#DIV/0!</v>
      </c>
      <c r="AS134" s="448"/>
      <c r="AT134" s="232"/>
      <c r="AU134" s="232"/>
      <c r="AV134" s="234" t="e">
        <f t="shared" si="126"/>
        <v>#DIV/0!</v>
      </c>
      <c r="AW134" s="232" t="e">
        <f t="shared" si="111"/>
        <v>#DIV/0!</v>
      </c>
      <c r="AX134" s="448"/>
    </row>
    <row r="135" spans="2:50">
      <c r="B135" s="444"/>
      <c r="C135" s="232">
        <v>14</v>
      </c>
      <c r="D135" s="232" t="s">
        <v>110</v>
      </c>
      <c r="E135" s="233">
        <f>VLOOKUP(D135,'12產線配置圖 (2)'!$A$2:$C$25,2,0)</f>
        <v>17</v>
      </c>
      <c r="F135" s="233">
        <f>VLOOKUP(D135,'12產線配置圖 (2)'!$A$2:$C$25,3,0)</f>
        <v>1440</v>
      </c>
      <c r="G135" s="234">
        <f t="shared" si="112"/>
        <v>84.705882352941174</v>
      </c>
      <c r="H135" s="446"/>
      <c r="I135" s="233" t="e">
        <f t="shared" si="127"/>
        <v>#DIV/0!</v>
      </c>
      <c r="J135" s="233" t="e">
        <f t="shared" si="113"/>
        <v>#DIV/0!</v>
      </c>
      <c r="K135" s="234" t="e">
        <f t="shared" si="114"/>
        <v>#DIV/0!</v>
      </c>
      <c r="L135" s="446"/>
      <c r="M135" s="235" t="e">
        <f t="shared" si="115"/>
        <v>#DIV/0!</v>
      </c>
      <c r="N135" s="449"/>
      <c r="O135" s="449"/>
      <c r="P135" s="232"/>
      <c r="Q135" s="232"/>
      <c r="R135" s="234" t="e">
        <f t="shared" si="116"/>
        <v>#DIV/0!</v>
      </c>
      <c r="S135" s="232" t="e">
        <f t="shared" si="117"/>
        <v>#DIV/0!</v>
      </c>
      <c r="T135" s="448"/>
      <c r="U135" s="232"/>
      <c r="V135" s="232"/>
      <c r="W135" s="234" t="e">
        <f t="shared" si="128"/>
        <v>#DIV/0!</v>
      </c>
      <c r="X135" s="232" t="e">
        <f t="shared" si="119"/>
        <v>#DIV/0!</v>
      </c>
      <c r="Y135" s="448"/>
      <c r="Z135" s="232"/>
      <c r="AA135" s="232"/>
      <c r="AB135" s="234" t="e">
        <f t="shared" si="129"/>
        <v>#DIV/0!</v>
      </c>
      <c r="AC135" s="232" t="e">
        <f t="shared" si="121"/>
        <v>#DIV/0!</v>
      </c>
      <c r="AD135" s="448"/>
      <c r="AE135" s="232"/>
      <c r="AF135" s="232"/>
      <c r="AG135" s="234" t="e">
        <f>AF135/AE135</f>
        <v>#DIV/0!</v>
      </c>
      <c r="AH135" s="232" t="e">
        <f t="shared" si="123"/>
        <v>#DIV/0!</v>
      </c>
      <c r="AI135" s="448"/>
      <c r="AJ135" s="232"/>
      <c r="AK135" s="232"/>
      <c r="AL135" s="234" t="e">
        <f t="shared" si="124"/>
        <v>#DIV/0!</v>
      </c>
      <c r="AM135" s="232" t="e">
        <f t="shared" si="109"/>
        <v>#DIV/0!</v>
      </c>
      <c r="AN135" s="448"/>
      <c r="AO135" s="232"/>
      <c r="AP135" s="232"/>
      <c r="AQ135" s="234" t="e">
        <f t="shared" si="125"/>
        <v>#DIV/0!</v>
      </c>
      <c r="AR135" s="232" t="e">
        <f t="shared" si="110"/>
        <v>#DIV/0!</v>
      </c>
      <c r="AS135" s="448"/>
      <c r="AT135" s="232"/>
      <c r="AU135" s="232"/>
      <c r="AV135" s="234" t="e">
        <f t="shared" si="126"/>
        <v>#DIV/0!</v>
      </c>
      <c r="AW135" s="232" t="e">
        <f t="shared" si="111"/>
        <v>#DIV/0!</v>
      </c>
      <c r="AX135" s="448"/>
    </row>
    <row r="136" spans="2:50">
      <c r="B136" s="444"/>
      <c r="C136" s="232">
        <v>15</v>
      </c>
      <c r="D136" s="232" t="s">
        <v>111</v>
      </c>
      <c r="E136" s="233">
        <f>VLOOKUP(D136,'12產線配置圖 (2)'!$A$2:$C$25,2,0)</f>
        <v>19</v>
      </c>
      <c r="F136" s="233">
        <f>VLOOKUP(D136,'12產線配置圖 (2)'!$A$2:$C$25,3,0)</f>
        <v>1440</v>
      </c>
      <c r="G136" s="234">
        <f t="shared" si="112"/>
        <v>75.78947368421052</v>
      </c>
      <c r="H136" s="446"/>
      <c r="I136" s="233" t="e">
        <f t="shared" si="113"/>
        <v>#DIV/0!</v>
      </c>
      <c r="J136" s="233" t="e">
        <f t="shared" si="113"/>
        <v>#DIV/0!</v>
      </c>
      <c r="K136" s="234" t="e">
        <f t="shared" si="114"/>
        <v>#DIV/0!</v>
      </c>
      <c r="L136" s="446"/>
      <c r="M136" s="235" t="e">
        <f t="shared" si="115"/>
        <v>#DIV/0!</v>
      </c>
      <c r="N136" s="449"/>
      <c r="O136" s="449"/>
      <c r="P136" s="232"/>
      <c r="Q136" s="232"/>
      <c r="R136" s="234" t="e">
        <f t="shared" si="116"/>
        <v>#DIV/0!</v>
      </c>
      <c r="S136" s="232" t="e">
        <f t="shared" si="117"/>
        <v>#DIV/0!</v>
      </c>
      <c r="T136" s="448"/>
      <c r="U136" s="232"/>
      <c r="V136" s="232"/>
      <c r="W136" s="234" t="e">
        <f t="shared" si="128"/>
        <v>#DIV/0!</v>
      </c>
      <c r="X136" s="232" t="e">
        <f t="shared" si="119"/>
        <v>#DIV/0!</v>
      </c>
      <c r="Y136" s="448"/>
      <c r="Z136" s="232"/>
      <c r="AA136" s="232"/>
      <c r="AB136" s="234" t="e">
        <f t="shared" si="129"/>
        <v>#DIV/0!</v>
      </c>
      <c r="AC136" s="232" t="e">
        <f t="shared" si="121"/>
        <v>#DIV/0!</v>
      </c>
      <c r="AD136" s="448"/>
      <c r="AE136" s="232"/>
      <c r="AF136" s="232"/>
      <c r="AG136" s="234" t="e">
        <f t="shared" ref="AG136:AG137" si="130">AF136/AE136</f>
        <v>#DIV/0!</v>
      </c>
      <c r="AH136" s="232" t="e">
        <f t="shared" si="123"/>
        <v>#DIV/0!</v>
      </c>
      <c r="AI136" s="448"/>
      <c r="AJ136" s="232"/>
      <c r="AK136" s="232"/>
      <c r="AL136" s="234" t="e">
        <f t="shared" si="124"/>
        <v>#DIV/0!</v>
      </c>
      <c r="AM136" s="232" t="e">
        <f t="shared" si="109"/>
        <v>#DIV/0!</v>
      </c>
      <c r="AN136" s="448"/>
      <c r="AO136" s="232"/>
      <c r="AP136" s="232"/>
      <c r="AQ136" s="234" t="e">
        <f t="shared" si="125"/>
        <v>#DIV/0!</v>
      </c>
      <c r="AR136" s="232" t="e">
        <f t="shared" si="110"/>
        <v>#DIV/0!</v>
      </c>
      <c r="AS136" s="448"/>
      <c r="AT136" s="232"/>
      <c r="AU136" s="232"/>
      <c r="AV136" s="234" t="e">
        <f>AU136/AT136</f>
        <v>#DIV/0!</v>
      </c>
      <c r="AW136" s="232" t="e">
        <f t="shared" si="111"/>
        <v>#DIV/0!</v>
      </c>
      <c r="AX136" s="448"/>
    </row>
    <row r="137" spans="2:50">
      <c r="B137" s="444"/>
      <c r="C137" s="232">
        <v>16</v>
      </c>
      <c r="D137" s="232" t="s">
        <v>112</v>
      </c>
      <c r="E137" s="233">
        <f>VLOOKUP(D137,'12產線配置圖 (2)'!$A$2:$C$25,2,0)</f>
        <v>10</v>
      </c>
      <c r="F137" s="233">
        <f>VLOOKUP(D137,'12產線配置圖 (2)'!$A$2:$C$25,3,0)</f>
        <v>1125</v>
      </c>
      <c r="G137" s="234">
        <f t="shared" si="112"/>
        <v>112.5</v>
      </c>
      <c r="H137" s="446"/>
      <c r="I137" s="233" t="e">
        <f t="shared" si="113"/>
        <v>#DIV/0!</v>
      </c>
      <c r="J137" s="233" t="e">
        <f t="shared" si="113"/>
        <v>#DIV/0!</v>
      </c>
      <c r="K137" s="234" t="e">
        <f t="shared" si="114"/>
        <v>#DIV/0!</v>
      </c>
      <c r="L137" s="446"/>
      <c r="M137" s="235" t="e">
        <f t="shared" si="115"/>
        <v>#DIV/0!</v>
      </c>
      <c r="N137" s="449"/>
      <c r="O137" s="449"/>
      <c r="P137" s="232"/>
      <c r="Q137" s="232"/>
      <c r="R137" s="234" t="e">
        <f t="shared" si="116"/>
        <v>#DIV/0!</v>
      </c>
      <c r="S137" s="232" t="e">
        <f t="shared" si="117"/>
        <v>#DIV/0!</v>
      </c>
      <c r="T137" s="448"/>
      <c r="U137" s="232"/>
      <c r="V137" s="232"/>
      <c r="W137" s="234" t="e">
        <f t="shared" si="128"/>
        <v>#DIV/0!</v>
      </c>
      <c r="X137" s="232" t="e">
        <f t="shared" si="119"/>
        <v>#DIV/0!</v>
      </c>
      <c r="Y137" s="448"/>
      <c r="Z137" s="232"/>
      <c r="AA137" s="232"/>
      <c r="AB137" s="234" t="e">
        <f t="shared" si="129"/>
        <v>#DIV/0!</v>
      </c>
      <c r="AC137" s="232" t="e">
        <f t="shared" si="121"/>
        <v>#DIV/0!</v>
      </c>
      <c r="AD137" s="448"/>
      <c r="AE137" s="232"/>
      <c r="AF137" s="232"/>
      <c r="AG137" s="234" t="e">
        <f t="shared" si="130"/>
        <v>#DIV/0!</v>
      </c>
      <c r="AH137" s="232" t="e">
        <f t="shared" si="123"/>
        <v>#DIV/0!</v>
      </c>
      <c r="AI137" s="448"/>
      <c r="AJ137" s="232"/>
      <c r="AK137" s="232"/>
      <c r="AL137" s="234" t="e">
        <f t="shared" si="124"/>
        <v>#DIV/0!</v>
      </c>
      <c r="AM137" s="232" t="e">
        <f t="shared" si="109"/>
        <v>#DIV/0!</v>
      </c>
      <c r="AN137" s="448"/>
      <c r="AO137" s="232"/>
      <c r="AP137" s="232"/>
      <c r="AQ137" s="234" t="e">
        <f t="shared" si="125"/>
        <v>#DIV/0!</v>
      </c>
      <c r="AR137" s="232" t="e">
        <f t="shared" si="110"/>
        <v>#DIV/0!</v>
      </c>
      <c r="AS137" s="448"/>
      <c r="AT137" s="232"/>
      <c r="AU137" s="232"/>
      <c r="AV137" s="234" t="e">
        <f>AU137/AT137</f>
        <v>#DIV/0!</v>
      </c>
      <c r="AW137" s="232" t="e">
        <f t="shared" si="111"/>
        <v>#DIV/0!</v>
      </c>
      <c r="AX137" s="448"/>
    </row>
    <row r="138" spans="2:50">
      <c r="B138" s="444"/>
      <c r="C138" s="232">
        <v>17</v>
      </c>
      <c r="D138" s="232"/>
      <c r="E138" s="233"/>
      <c r="F138" s="233"/>
      <c r="G138" s="234"/>
      <c r="H138" s="446"/>
      <c r="I138" s="232"/>
      <c r="J138" s="232"/>
      <c r="K138" s="234"/>
      <c r="L138" s="446"/>
      <c r="M138" s="235"/>
      <c r="N138" s="449"/>
      <c r="O138" s="449"/>
      <c r="P138" s="232"/>
      <c r="Q138" s="232"/>
      <c r="R138" s="234"/>
      <c r="S138" s="232"/>
      <c r="T138" s="448"/>
      <c r="U138" s="232"/>
      <c r="V138" s="232"/>
      <c r="W138" s="234"/>
      <c r="X138" s="232"/>
      <c r="Y138" s="448"/>
      <c r="Z138" s="232"/>
      <c r="AA138" s="232"/>
      <c r="AB138" s="232"/>
      <c r="AC138" s="232"/>
      <c r="AD138" s="448"/>
      <c r="AE138" s="232"/>
      <c r="AF138" s="232"/>
      <c r="AG138" s="234"/>
      <c r="AH138" s="232"/>
      <c r="AI138" s="448"/>
      <c r="AJ138" s="232"/>
      <c r="AK138" s="232"/>
      <c r="AL138" s="232"/>
      <c r="AM138" s="232"/>
      <c r="AN138" s="448"/>
      <c r="AO138" s="232"/>
      <c r="AP138" s="232"/>
      <c r="AQ138" s="232"/>
      <c r="AR138" s="232"/>
      <c r="AS138" s="448"/>
      <c r="AT138" s="232"/>
      <c r="AU138" s="232"/>
      <c r="AV138" s="232"/>
      <c r="AW138" s="232"/>
      <c r="AX138" s="448"/>
    </row>
    <row r="139" spans="2:50">
      <c r="B139" s="444"/>
      <c r="C139" s="232">
        <v>18</v>
      </c>
      <c r="D139" s="232"/>
      <c r="E139" s="233"/>
      <c r="F139" s="233"/>
      <c r="G139" s="234"/>
      <c r="H139" s="447"/>
      <c r="I139" s="232"/>
      <c r="J139" s="232"/>
      <c r="K139" s="234"/>
      <c r="L139" s="447"/>
      <c r="M139" s="235"/>
      <c r="N139" s="449"/>
      <c r="O139" s="449"/>
      <c r="P139" s="232"/>
      <c r="Q139" s="232"/>
      <c r="R139" s="234"/>
      <c r="S139" s="232"/>
      <c r="T139" s="448"/>
      <c r="U139" s="232"/>
      <c r="V139" s="232"/>
      <c r="W139" s="234"/>
      <c r="X139" s="232"/>
      <c r="Y139" s="448"/>
      <c r="Z139" s="232"/>
      <c r="AA139" s="232"/>
      <c r="AB139" s="232"/>
      <c r="AC139" s="232"/>
      <c r="AD139" s="448"/>
      <c r="AE139" s="232"/>
      <c r="AF139" s="232"/>
      <c r="AG139" s="234"/>
      <c r="AH139" s="232"/>
      <c r="AI139" s="448"/>
      <c r="AJ139" s="232"/>
      <c r="AK139" s="232"/>
      <c r="AL139" s="232"/>
      <c r="AM139" s="232"/>
      <c r="AN139" s="448"/>
      <c r="AO139" s="232"/>
      <c r="AP139" s="232"/>
      <c r="AQ139" s="232"/>
      <c r="AR139" s="232"/>
      <c r="AS139" s="448"/>
      <c r="AT139" s="232"/>
      <c r="AU139" s="232"/>
      <c r="AV139" s="232"/>
      <c r="AW139" s="232"/>
      <c r="AX139" s="448"/>
    </row>
  </sheetData>
  <mergeCells count="354">
    <mergeCell ref="E119:G119"/>
    <mergeCell ref="H119:H121"/>
    <mergeCell ref="I119:K119"/>
    <mergeCell ref="E120:G120"/>
    <mergeCell ref="AD99:AD116"/>
    <mergeCell ref="AI99:AI116"/>
    <mergeCell ref="AN99:AN116"/>
    <mergeCell ref="AS99:AS116"/>
    <mergeCell ref="L119:L121"/>
    <mergeCell ref="M119:M121"/>
    <mergeCell ref="N119:N139"/>
    <mergeCell ref="O119:O139"/>
    <mergeCell ref="P119:S119"/>
    <mergeCell ref="T119:T121"/>
    <mergeCell ref="U119:X119"/>
    <mergeCell ref="Y119:Y121"/>
    <mergeCell ref="Z119:AC119"/>
    <mergeCell ref="AD119:AD121"/>
    <mergeCell ref="AE119:AH119"/>
    <mergeCell ref="AI119:AI121"/>
    <mergeCell ref="Z118:AD118"/>
    <mergeCell ref="AE118:AI118"/>
    <mergeCell ref="AJ118:AN118"/>
    <mergeCell ref="Y99:Y116"/>
    <mergeCell ref="AO119:AR119"/>
    <mergeCell ref="AS119:AS121"/>
    <mergeCell ref="B2:H3"/>
    <mergeCell ref="N2:N3"/>
    <mergeCell ref="O2:O3"/>
    <mergeCell ref="P3:T3"/>
    <mergeCell ref="U3:Y3"/>
    <mergeCell ref="AT4:AW4"/>
    <mergeCell ref="AX4:AX6"/>
    <mergeCell ref="AT5:AW5"/>
    <mergeCell ref="P2:T2"/>
    <mergeCell ref="U2:Y2"/>
    <mergeCell ref="Z2:AD2"/>
    <mergeCell ref="AT3:AX3"/>
    <mergeCell ref="Z3:AD3"/>
    <mergeCell ref="AE3:AI3"/>
    <mergeCell ref="AJ3:AN3"/>
    <mergeCell ref="AE2:AI2"/>
    <mergeCell ref="AJ2:AN2"/>
    <mergeCell ref="AO2:AS2"/>
    <mergeCell ref="AT2:AX2"/>
    <mergeCell ref="AO3:AS3"/>
    <mergeCell ref="C4:D6"/>
    <mergeCell ref="E4:G4"/>
    <mergeCell ref="H4:H6"/>
    <mergeCell ref="I4:K4"/>
    <mergeCell ref="B25:H26"/>
    <mergeCell ref="B7:B24"/>
    <mergeCell ref="H7:H24"/>
    <mergeCell ref="L7:L24"/>
    <mergeCell ref="T7:T24"/>
    <mergeCell ref="L4:L6"/>
    <mergeCell ref="AO25:AS25"/>
    <mergeCell ref="AS4:AS6"/>
    <mergeCell ref="P4:S4"/>
    <mergeCell ref="T4:T6"/>
    <mergeCell ref="AE4:AH4"/>
    <mergeCell ref="AI4:AI6"/>
    <mergeCell ref="AJ4:AM4"/>
    <mergeCell ref="AN4:AN6"/>
    <mergeCell ref="AO4:AR4"/>
    <mergeCell ref="Z4:AC4"/>
    <mergeCell ref="AD4:AD6"/>
    <mergeCell ref="P5:S5"/>
    <mergeCell ref="U5:X5"/>
    <mergeCell ref="Z5:AC5"/>
    <mergeCell ref="AE5:AH5"/>
    <mergeCell ref="E5:G5"/>
    <mergeCell ref="I5:K5"/>
    <mergeCell ref="B4:B6"/>
    <mergeCell ref="AX30:AX47"/>
    <mergeCell ref="N25:N26"/>
    <mergeCell ref="O25:O26"/>
    <mergeCell ref="M4:M6"/>
    <mergeCell ref="N4:N24"/>
    <mergeCell ref="O4:O24"/>
    <mergeCell ref="U4:X4"/>
    <mergeCell ref="Y4:Y6"/>
    <mergeCell ref="AJ5:AM5"/>
    <mergeCell ref="AJ25:AN25"/>
    <mergeCell ref="Y7:Y24"/>
    <mergeCell ref="AD7:AD24"/>
    <mergeCell ref="AI7:AI24"/>
    <mergeCell ref="AN7:AN24"/>
    <mergeCell ref="AS7:AS24"/>
    <mergeCell ref="AO5:AR5"/>
    <mergeCell ref="AT25:AX25"/>
    <mergeCell ref="P26:T26"/>
    <mergeCell ref="U26:Y26"/>
    <mergeCell ref="Z26:AD26"/>
    <mergeCell ref="AE26:AI26"/>
    <mergeCell ref="AJ26:AN26"/>
    <mergeCell ref="AT26:AX26"/>
    <mergeCell ref="AJ28:AM28"/>
    <mergeCell ref="AO27:AR27"/>
    <mergeCell ref="AS27:AS29"/>
    <mergeCell ref="AT27:AW27"/>
    <mergeCell ref="AS30:AS47"/>
    <mergeCell ref="AD30:AD47"/>
    <mergeCell ref="AI30:AI47"/>
    <mergeCell ref="AN30:AN47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T27:T29"/>
    <mergeCell ref="AN27:AN29"/>
    <mergeCell ref="P25:T25"/>
    <mergeCell ref="U25:Y25"/>
    <mergeCell ref="Z25:AD25"/>
    <mergeCell ref="AE25:AI25"/>
    <mergeCell ref="AT28:AW28"/>
    <mergeCell ref="AO28:AR28"/>
    <mergeCell ref="N27:N47"/>
    <mergeCell ref="AO26:AS26"/>
    <mergeCell ref="Y50:Y52"/>
    <mergeCell ref="Z50:AC50"/>
    <mergeCell ref="O27:O47"/>
    <mergeCell ref="B27:B29"/>
    <mergeCell ref="M27:M29"/>
    <mergeCell ref="E27:G27"/>
    <mergeCell ref="H27:H29"/>
    <mergeCell ref="I27:K27"/>
    <mergeCell ref="L27:L29"/>
    <mergeCell ref="C27:D29"/>
    <mergeCell ref="U27:X27"/>
    <mergeCell ref="B30:B47"/>
    <mergeCell ref="H30:H47"/>
    <mergeCell ref="L30:L47"/>
    <mergeCell ref="T30:T47"/>
    <mergeCell ref="P27:S27"/>
    <mergeCell ref="Y30:Y47"/>
    <mergeCell ref="B48:H49"/>
    <mergeCell ref="N48:N49"/>
    <mergeCell ref="O48:O49"/>
    <mergeCell ref="P48:T48"/>
    <mergeCell ref="U48:Y48"/>
    <mergeCell ref="P49:T49"/>
    <mergeCell ref="U49:Y49"/>
    <mergeCell ref="AT51:AW51"/>
    <mergeCell ref="AT49:AX49"/>
    <mergeCell ref="AO50:AR50"/>
    <mergeCell ref="AS50:AS52"/>
    <mergeCell ref="AT50:AW50"/>
    <mergeCell ref="AT48:AX48"/>
    <mergeCell ref="AX50:AX52"/>
    <mergeCell ref="Z48:AD48"/>
    <mergeCell ref="AE48:AI48"/>
    <mergeCell ref="AJ48:AN48"/>
    <mergeCell ref="AO48:AS48"/>
    <mergeCell ref="Z49:AD49"/>
    <mergeCell ref="AE49:AI49"/>
    <mergeCell ref="AJ49:AN49"/>
    <mergeCell ref="AO49:AS49"/>
    <mergeCell ref="AN50:AN52"/>
    <mergeCell ref="Z51:AC51"/>
    <mergeCell ref="AI50:AI52"/>
    <mergeCell ref="AJ50:AM50"/>
    <mergeCell ref="AJ51:AM51"/>
    <mergeCell ref="AO51:AR51"/>
    <mergeCell ref="AD50:AD52"/>
    <mergeCell ref="AE50:AH50"/>
    <mergeCell ref="AE51:AH51"/>
    <mergeCell ref="B50:B52"/>
    <mergeCell ref="C50:D52"/>
    <mergeCell ref="U50:X50"/>
    <mergeCell ref="E50:G50"/>
    <mergeCell ref="H50:H52"/>
    <mergeCell ref="I50:K50"/>
    <mergeCell ref="L50:L52"/>
    <mergeCell ref="M50:M52"/>
    <mergeCell ref="P50:S50"/>
    <mergeCell ref="T50:T52"/>
    <mergeCell ref="E51:G51"/>
    <mergeCell ref="I51:K51"/>
    <mergeCell ref="P51:S51"/>
    <mergeCell ref="U51:X51"/>
    <mergeCell ref="AX73:AX75"/>
    <mergeCell ref="Z74:AC74"/>
    <mergeCell ref="AE74:AH74"/>
    <mergeCell ref="AJ74:AM74"/>
    <mergeCell ref="AO74:AR74"/>
    <mergeCell ref="AT74:AW74"/>
    <mergeCell ref="Z73:AC73"/>
    <mergeCell ref="AD73:AD75"/>
    <mergeCell ref="AX53:AX70"/>
    <mergeCell ref="AT71:AX71"/>
    <mergeCell ref="AT72:AX72"/>
    <mergeCell ref="AT73:AW73"/>
    <mergeCell ref="P73:S73"/>
    <mergeCell ref="T73:T75"/>
    <mergeCell ref="AD53:AD70"/>
    <mergeCell ref="AI53:AI70"/>
    <mergeCell ref="AN53:AN70"/>
    <mergeCell ref="AS53:AS70"/>
    <mergeCell ref="AE73:AH73"/>
    <mergeCell ref="AI73:AI75"/>
    <mergeCell ref="AJ73:AM73"/>
    <mergeCell ref="AN73:AN75"/>
    <mergeCell ref="AO73:AR73"/>
    <mergeCell ref="AS73:AS75"/>
    <mergeCell ref="Z72:AD72"/>
    <mergeCell ref="AE72:AI72"/>
    <mergeCell ref="AJ72:AN72"/>
    <mergeCell ref="AO72:AS72"/>
    <mergeCell ref="P74:S74"/>
    <mergeCell ref="U74:X74"/>
    <mergeCell ref="U73:X73"/>
    <mergeCell ref="Y73:Y75"/>
    <mergeCell ref="B71:H72"/>
    <mergeCell ref="AD76:AD93"/>
    <mergeCell ref="AI76:AI93"/>
    <mergeCell ref="AN76:AN93"/>
    <mergeCell ref="AS76:AS93"/>
    <mergeCell ref="B53:B70"/>
    <mergeCell ref="H53:H70"/>
    <mergeCell ref="L53:L70"/>
    <mergeCell ref="T53:T70"/>
    <mergeCell ref="Y53:Y70"/>
    <mergeCell ref="N50:N70"/>
    <mergeCell ref="O50:O70"/>
    <mergeCell ref="Z71:AD71"/>
    <mergeCell ref="AE71:AI71"/>
    <mergeCell ref="AJ71:AN71"/>
    <mergeCell ref="AO71:AS71"/>
    <mergeCell ref="P72:T72"/>
    <mergeCell ref="P71:T71"/>
    <mergeCell ref="U71:Y71"/>
    <mergeCell ref="L73:L75"/>
    <mergeCell ref="M73:M75"/>
    <mergeCell ref="N73:N93"/>
    <mergeCell ref="O73:O93"/>
    <mergeCell ref="L76:L93"/>
    <mergeCell ref="T76:T93"/>
    <mergeCell ref="Y76:Y93"/>
    <mergeCell ref="U72:Y72"/>
    <mergeCell ref="B96:B98"/>
    <mergeCell ref="C96:D98"/>
    <mergeCell ref="E96:G96"/>
    <mergeCell ref="N71:N72"/>
    <mergeCell ref="O71:O72"/>
    <mergeCell ref="B76:B93"/>
    <mergeCell ref="H76:H93"/>
    <mergeCell ref="B73:B75"/>
    <mergeCell ref="C73:D75"/>
    <mergeCell ref="E73:G73"/>
    <mergeCell ref="H73:H75"/>
    <mergeCell ref="I73:K73"/>
    <mergeCell ref="E74:G74"/>
    <mergeCell ref="I74:K74"/>
    <mergeCell ref="E97:G97"/>
    <mergeCell ref="I97:K97"/>
    <mergeCell ref="L96:L98"/>
    <mergeCell ref="M96:M98"/>
    <mergeCell ref="N96:N116"/>
    <mergeCell ref="O96:O116"/>
    <mergeCell ref="T99:T116"/>
    <mergeCell ref="B99:B116"/>
    <mergeCell ref="H99:H116"/>
    <mergeCell ref="L99:L116"/>
    <mergeCell ref="AX76:AX93"/>
    <mergeCell ref="B94:H95"/>
    <mergeCell ref="N94:N95"/>
    <mergeCell ref="O94:O95"/>
    <mergeCell ref="P94:T94"/>
    <mergeCell ref="U94:Y94"/>
    <mergeCell ref="Z94:AD94"/>
    <mergeCell ref="AE94:AI94"/>
    <mergeCell ref="AJ94:AN94"/>
    <mergeCell ref="AO94:AS94"/>
    <mergeCell ref="AT94:AX94"/>
    <mergeCell ref="P95:T95"/>
    <mergeCell ref="U95:Y95"/>
    <mergeCell ref="Z95:AD95"/>
    <mergeCell ref="AE95:AI95"/>
    <mergeCell ref="AJ95:AN95"/>
    <mergeCell ref="AO95:AS95"/>
    <mergeCell ref="AT95:AX95"/>
    <mergeCell ref="AE97:AH97"/>
    <mergeCell ref="AJ97:AM97"/>
    <mergeCell ref="AO97:AR97"/>
    <mergeCell ref="T96:T98"/>
    <mergeCell ref="U96:X96"/>
    <mergeCell ref="Y96:Y98"/>
    <mergeCell ref="Z96:AC96"/>
    <mergeCell ref="AD96:AD98"/>
    <mergeCell ref="AE96:AH96"/>
    <mergeCell ref="AI96:AI98"/>
    <mergeCell ref="AJ96:AM96"/>
    <mergeCell ref="P97:S97"/>
    <mergeCell ref="U97:X97"/>
    <mergeCell ref="Z97:AC97"/>
    <mergeCell ref="H96:H98"/>
    <mergeCell ref="I96:K96"/>
    <mergeCell ref="Z117:AD117"/>
    <mergeCell ref="AE117:AI117"/>
    <mergeCell ref="AJ117:AN117"/>
    <mergeCell ref="AO117:AS117"/>
    <mergeCell ref="AT117:AX117"/>
    <mergeCell ref="B117:H118"/>
    <mergeCell ref="N117:N118"/>
    <mergeCell ref="O117:O118"/>
    <mergeCell ref="P117:T117"/>
    <mergeCell ref="U117:Y117"/>
    <mergeCell ref="P118:T118"/>
    <mergeCell ref="U118:Y118"/>
    <mergeCell ref="AT118:AX118"/>
    <mergeCell ref="AN96:AN98"/>
    <mergeCell ref="AO96:AR96"/>
    <mergeCell ref="AS96:AS98"/>
    <mergeCell ref="AT96:AW96"/>
    <mergeCell ref="AX96:AX98"/>
    <mergeCell ref="AX99:AX116"/>
    <mergeCell ref="AO118:AS118"/>
    <mergeCell ref="AT97:AW97"/>
    <mergeCell ref="P96:S96"/>
    <mergeCell ref="B122:B139"/>
    <mergeCell ref="H122:H139"/>
    <mergeCell ref="L122:L139"/>
    <mergeCell ref="T122:T139"/>
    <mergeCell ref="Y122:Y139"/>
    <mergeCell ref="AX122:AX139"/>
    <mergeCell ref="I120:K120"/>
    <mergeCell ref="P120:S120"/>
    <mergeCell ref="U120:X120"/>
    <mergeCell ref="Z120:AC120"/>
    <mergeCell ref="AE120:AH120"/>
    <mergeCell ref="AJ120:AM120"/>
    <mergeCell ref="AO120:AR120"/>
    <mergeCell ref="AT120:AW120"/>
    <mergeCell ref="AD122:AD139"/>
    <mergeCell ref="AI122:AI139"/>
    <mergeCell ref="AN122:AN139"/>
    <mergeCell ref="AS122:AS139"/>
    <mergeCell ref="AX119:AX121"/>
    <mergeCell ref="AJ119:AM119"/>
    <mergeCell ref="AN119:AN121"/>
    <mergeCell ref="AT119:AW119"/>
    <mergeCell ref="B119:B121"/>
    <mergeCell ref="C119:D12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 (2)'!$A$2:$A$24</xm:f>
          </x14:formula1>
          <xm:sqref>D69:D70 D76:D93 D46:D47 D122:D139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4" topLeftCell="E1" activePane="topRight" state="frozen"/>
      <selection pane="topRight" activeCell="H87" activeCellId="4" sqref="H7:H21 H27:H41 H47:H61 H67:H81 H87:H101"/>
      <selection activeCell="L76" sqref="L76:L121"/>
    </sheetView>
  </sheetViews>
  <sheetFormatPr defaultColWidth="8.85546875" defaultRowHeight="12.6"/>
  <cols>
    <col min="1" max="1" width="5.5703125" style="224" customWidth="1"/>
    <col min="2" max="2" width="12.42578125" style="224" customWidth="1"/>
    <col min="3" max="3" width="8.85546875" style="223" customWidth="1"/>
    <col min="4" max="4" width="26.42578125" style="223" customWidth="1"/>
    <col min="5" max="7" width="8.42578125" style="223" customWidth="1"/>
    <col min="8" max="8" width="11.140625" style="223" bestFit="1" customWidth="1"/>
    <col min="9" max="12" width="11.140625" style="223" customWidth="1"/>
    <col min="13" max="13" width="13.5703125" style="223" customWidth="1"/>
    <col min="14" max="14" width="9.85546875" style="223" customWidth="1"/>
    <col min="15" max="15" width="7.140625" style="223" customWidth="1"/>
    <col min="16" max="18" width="12.85546875" style="223" customWidth="1"/>
    <col min="19" max="19" width="7.7109375" style="223" bestFit="1" customWidth="1"/>
    <col min="20" max="20" width="12.85546875" style="223" customWidth="1"/>
    <col min="21" max="23" width="12.85546875" style="224" customWidth="1"/>
    <col min="24" max="24" width="5.42578125" style="223" customWidth="1"/>
    <col min="25" max="28" width="12.85546875" style="224" customWidth="1"/>
    <col min="29" max="29" width="5.42578125" style="223" customWidth="1"/>
    <col min="30" max="30" width="12.85546875" style="224" customWidth="1"/>
    <col min="31" max="33" width="12.5703125" style="224" customWidth="1"/>
    <col min="34" max="34" width="5.42578125" style="223" customWidth="1"/>
    <col min="35" max="35" width="13" style="224" customWidth="1"/>
    <col min="36" max="38" width="12.5703125" style="224" customWidth="1"/>
    <col min="39" max="39" width="5.42578125" style="223" customWidth="1"/>
    <col min="40" max="40" width="13" style="224" customWidth="1"/>
    <col min="41" max="43" width="13.140625" style="224" customWidth="1"/>
    <col min="44" max="44" width="5.42578125" style="224" customWidth="1"/>
    <col min="45" max="48" width="13.140625" style="224" customWidth="1"/>
    <col min="49" max="49" width="5.42578125" style="224" customWidth="1"/>
    <col min="50" max="50" width="13.140625" style="224" customWidth="1"/>
    <col min="51" max="54" width="8.85546875" style="224" customWidth="1"/>
    <col min="55" max="16384" width="8.85546875" style="224"/>
  </cols>
  <sheetData>
    <row r="1" spans="1:50" ht="21">
      <c r="A1" s="220"/>
      <c r="B1" s="221" t="s">
        <v>81</v>
      </c>
      <c r="C1" s="222">
        <f>AVERAGE(L7,L27,L47,L67,L87,L107)</f>
        <v>104.17605457042957</v>
      </c>
    </row>
    <row r="2" spans="1:50" ht="15.6">
      <c r="A2" s="225"/>
      <c r="B2" s="468" t="s">
        <v>82</v>
      </c>
      <c r="C2" s="459"/>
      <c r="D2" s="459"/>
      <c r="E2" s="459"/>
      <c r="F2" s="459"/>
      <c r="G2" s="459"/>
      <c r="H2" s="459"/>
      <c r="I2" s="226"/>
      <c r="J2" s="226"/>
      <c r="K2" s="226"/>
      <c r="L2" s="226"/>
      <c r="M2" s="227"/>
      <c r="N2" s="461" t="s">
        <v>83</v>
      </c>
      <c r="O2" s="461" t="s">
        <v>43</v>
      </c>
      <c r="P2" s="457"/>
      <c r="Q2" s="444"/>
      <c r="R2" s="444"/>
      <c r="S2" s="444"/>
      <c r="T2" s="444"/>
      <c r="U2" s="457"/>
      <c r="V2" s="444"/>
      <c r="W2" s="444"/>
      <c r="X2" s="444"/>
      <c r="Y2" s="444"/>
      <c r="Z2" s="457">
        <v>46023</v>
      </c>
      <c r="AA2" s="444"/>
      <c r="AB2" s="444"/>
      <c r="AC2" s="444"/>
      <c r="AD2" s="444"/>
      <c r="AE2" s="457">
        <v>46024</v>
      </c>
      <c r="AF2" s="444"/>
      <c r="AG2" s="444"/>
      <c r="AH2" s="444"/>
      <c r="AI2" s="444"/>
      <c r="AJ2" s="457">
        <v>46025</v>
      </c>
      <c r="AK2" s="444"/>
      <c r="AL2" s="444"/>
      <c r="AM2" s="444"/>
      <c r="AN2" s="444"/>
      <c r="AO2" s="457">
        <v>46026</v>
      </c>
      <c r="AP2" s="444"/>
      <c r="AQ2" s="444"/>
      <c r="AR2" s="444"/>
      <c r="AS2" s="444"/>
      <c r="AT2" s="457">
        <v>46027</v>
      </c>
      <c r="AU2" s="444"/>
      <c r="AV2" s="444"/>
      <c r="AW2" s="444"/>
      <c r="AX2" s="444"/>
    </row>
    <row r="3" spans="1:50" ht="15.6">
      <c r="A3" s="225"/>
      <c r="B3" s="460"/>
      <c r="C3" s="460"/>
      <c r="D3" s="460"/>
      <c r="E3" s="460"/>
      <c r="F3" s="460"/>
      <c r="G3" s="460"/>
      <c r="H3" s="460"/>
      <c r="I3" s="228"/>
      <c r="J3" s="228"/>
      <c r="K3" s="228"/>
      <c r="L3" s="228"/>
      <c r="M3" s="229"/>
      <c r="N3" s="462"/>
      <c r="O3" s="462"/>
      <c r="P3" s="457" t="s">
        <v>57</v>
      </c>
      <c r="Q3" s="444"/>
      <c r="R3" s="444"/>
      <c r="S3" s="444"/>
      <c r="T3" s="444"/>
      <c r="U3" s="457" t="s">
        <v>58</v>
      </c>
      <c r="V3" s="444"/>
      <c r="W3" s="444"/>
      <c r="X3" s="444"/>
      <c r="Y3" s="444"/>
      <c r="Z3" s="457" t="s">
        <v>54</v>
      </c>
      <c r="AA3" s="444"/>
      <c r="AB3" s="444"/>
      <c r="AC3" s="444"/>
      <c r="AD3" s="444"/>
      <c r="AE3" s="457" t="s">
        <v>55</v>
      </c>
      <c r="AF3" s="444"/>
      <c r="AG3" s="444"/>
      <c r="AH3" s="444"/>
      <c r="AI3" s="444"/>
      <c r="AJ3" s="457" t="s">
        <v>56</v>
      </c>
      <c r="AK3" s="444"/>
      <c r="AL3" s="444"/>
      <c r="AM3" s="444"/>
      <c r="AN3" s="444"/>
      <c r="AO3" s="457" t="s">
        <v>50</v>
      </c>
      <c r="AP3" s="444"/>
      <c r="AQ3" s="444"/>
      <c r="AR3" s="444"/>
      <c r="AS3" s="444"/>
      <c r="AT3" s="457" t="s">
        <v>53</v>
      </c>
      <c r="AU3" s="444"/>
      <c r="AV3" s="444"/>
      <c r="AW3" s="444"/>
      <c r="AX3" s="444"/>
    </row>
    <row r="4" spans="1:50">
      <c r="A4" s="225"/>
      <c r="B4" s="449" t="s">
        <v>39</v>
      </c>
      <c r="C4" s="449" t="s">
        <v>84</v>
      </c>
      <c r="D4" s="449"/>
      <c r="E4" s="449" t="s">
        <v>85</v>
      </c>
      <c r="F4" s="449"/>
      <c r="G4" s="449"/>
      <c r="H4" s="454" t="s">
        <v>86</v>
      </c>
      <c r="I4" s="449" t="s">
        <v>87</v>
      </c>
      <c r="J4" s="449"/>
      <c r="K4" s="449"/>
      <c r="L4" s="454" t="s">
        <v>86</v>
      </c>
      <c r="M4" s="461" t="s">
        <v>88</v>
      </c>
      <c r="N4" s="449"/>
      <c r="O4" s="449" t="s">
        <v>89</v>
      </c>
      <c r="P4" s="450" t="s">
        <v>90</v>
      </c>
      <c r="Q4" s="451"/>
      <c r="R4" s="451"/>
      <c r="S4" s="452"/>
      <c r="T4" s="449" t="s">
        <v>86</v>
      </c>
      <c r="U4" s="450" t="s">
        <v>90</v>
      </c>
      <c r="V4" s="451"/>
      <c r="W4" s="451"/>
      <c r="X4" s="452"/>
      <c r="Y4" s="449" t="s">
        <v>86</v>
      </c>
      <c r="Z4" s="450" t="s">
        <v>90</v>
      </c>
      <c r="AA4" s="451"/>
      <c r="AB4" s="451"/>
      <c r="AC4" s="452"/>
      <c r="AD4" s="449" t="s">
        <v>86</v>
      </c>
      <c r="AE4" s="450" t="s">
        <v>90</v>
      </c>
      <c r="AF4" s="451"/>
      <c r="AG4" s="451"/>
      <c r="AH4" s="452"/>
      <c r="AI4" s="449" t="s">
        <v>86</v>
      </c>
      <c r="AJ4" s="450" t="s">
        <v>90</v>
      </c>
      <c r="AK4" s="451"/>
      <c r="AL4" s="451"/>
      <c r="AM4" s="452"/>
      <c r="AN4" s="449" t="s">
        <v>86</v>
      </c>
      <c r="AO4" s="450" t="s">
        <v>90</v>
      </c>
      <c r="AP4" s="451"/>
      <c r="AQ4" s="451"/>
      <c r="AR4" s="452"/>
      <c r="AS4" s="449" t="s">
        <v>86</v>
      </c>
      <c r="AT4" s="450" t="s">
        <v>90</v>
      </c>
      <c r="AU4" s="451"/>
      <c r="AV4" s="451"/>
      <c r="AW4" s="452"/>
      <c r="AX4" s="449" t="s">
        <v>86</v>
      </c>
    </row>
    <row r="5" spans="1:50">
      <c r="A5" s="225"/>
      <c r="B5" s="449"/>
      <c r="C5" s="449"/>
      <c r="D5" s="449"/>
      <c r="E5" s="449" t="s">
        <v>91</v>
      </c>
      <c r="F5" s="449"/>
      <c r="G5" s="449"/>
      <c r="H5" s="455"/>
      <c r="I5" s="449" t="s">
        <v>91</v>
      </c>
      <c r="J5" s="449"/>
      <c r="K5" s="449"/>
      <c r="L5" s="455"/>
      <c r="M5" s="472"/>
      <c r="N5" s="449"/>
      <c r="O5" s="449"/>
      <c r="P5" s="450" t="s">
        <v>92</v>
      </c>
      <c r="Q5" s="451"/>
      <c r="R5" s="451"/>
      <c r="S5" s="452"/>
      <c r="T5" s="449"/>
      <c r="U5" s="450" t="s">
        <v>92</v>
      </c>
      <c r="V5" s="451"/>
      <c r="W5" s="451"/>
      <c r="X5" s="452"/>
      <c r="Y5" s="449"/>
      <c r="Z5" s="450" t="s">
        <v>92</v>
      </c>
      <c r="AA5" s="451"/>
      <c r="AB5" s="451"/>
      <c r="AC5" s="452"/>
      <c r="AD5" s="449"/>
      <c r="AE5" s="450" t="s">
        <v>92</v>
      </c>
      <c r="AF5" s="451"/>
      <c r="AG5" s="451"/>
      <c r="AH5" s="452"/>
      <c r="AI5" s="449"/>
      <c r="AJ5" s="450" t="s">
        <v>92</v>
      </c>
      <c r="AK5" s="451"/>
      <c r="AL5" s="451"/>
      <c r="AM5" s="452"/>
      <c r="AN5" s="449"/>
      <c r="AO5" s="450" t="s">
        <v>92</v>
      </c>
      <c r="AP5" s="451"/>
      <c r="AQ5" s="451"/>
      <c r="AR5" s="452"/>
      <c r="AS5" s="449"/>
      <c r="AT5" s="450" t="s">
        <v>92</v>
      </c>
      <c r="AU5" s="451"/>
      <c r="AV5" s="451"/>
      <c r="AW5" s="452"/>
      <c r="AX5" s="449"/>
    </row>
    <row r="6" spans="1:50">
      <c r="A6" s="230"/>
      <c r="B6" s="449"/>
      <c r="C6" s="449"/>
      <c r="D6" s="449"/>
      <c r="E6" s="231" t="s">
        <v>93</v>
      </c>
      <c r="F6" s="231" t="s">
        <v>94</v>
      </c>
      <c r="G6" s="231" t="s">
        <v>95</v>
      </c>
      <c r="H6" s="456"/>
      <c r="I6" s="231" t="s">
        <v>93</v>
      </c>
      <c r="J6" s="231" t="s">
        <v>94</v>
      </c>
      <c r="K6" s="231" t="s">
        <v>95</v>
      </c>
      <c r="L6" s="456"/>
      <c r="M6" s="462"/>
      <c r="N6" s="449"/>
      <c r="O6" s="449"/>
      <c r="P6" s="231" t="s">
        <v>93</v>
      </c>
      <c r="Q6" s="231" t="s">
        <v>94</v>
      </c>
      <c r="R6" s="231" t="s">
        <v>95</v>
      </c>
      <c r="S6" s="231" t="s">
        <v>88</v>
      </c>
      <c r="T6" s="449"/>
      <c r="U6" s="231" t="s">
        <v>93</v>
      </c>
      <c r="V6" s="231" t="s">
        <v>94</v>
      </c>
      <c r="W6" s="231" t="s">
        <v>95</v>
      </c>
      <c r="X6" s="231" t="s">
        <v>88</v>
      </c>
      <c r="Y6" s="449"/>
      <c r="Z6" s="231" t="s">
        <v>93</v>
      </c>
      <c r="AA6" s="231" t="s">
        <v>94</v>
      </c>
      <c r="AB6" s="231" t="s">
        <v>95</v>
      </c>
      <c r="AC6" s="231" t="s">
        <v>88</v>
      </c>
      <c r="AD6" s="449"/>
      <c r="AE6" s="231" t="s">
        <v>93</v>
      </c>
      <c r="AF6" s="231" t="s">
        <v>94</v>
      </c>
      <c r="AG6" s="231" t="s">
        <v>95</v>
      </c>
      <c r="AH6" s="231" t="s">
        <v>88</v>
      </c>
      <c r="AI6" s="449"/>
      <c r="AJ6" s="231" t="s">
        <v>93</v>
      </c>
      <c r="AK6" s="231" t="s">
        <v>94</v>
      </c>
      <c r="AL6" s="231" t="s">
        <v>95</v>
      </c>
      <c r="AM6" s="231" t="s">
        <v>88</v>
      </c>
      <c r="AN6" s="449"/>
      <c r="AO6" s="231" t="s">
        <v>93</v>
      </c>
      <c r="AP6" s="231" t="s">
        <v>94</v>
      </c>
      <c r="AQ6" s="231" t="s">
        <v>95</v>
      </c>
      <c r="AR6" s="231" t="s">
        <v>88</v>
      </c>
      <c r="AS6" s="449"/>
      <c r="AT6" s="231" t="s">
        <v>93</v>
      </c>
      <c r="AU6" s="231" t="s">
        <v>94</v>
      </c>
      <c r="AV6" s="231" t="s">
        <v>95</v>
      </c>
      <c r="AW6" s="231" t="s">
        <v>88</v>
      </c>
      <c r="AX6" s="449"/>
    </row>
    <row r="7" spans="1:50">
      <c r="A7" s="225"/>
      <c r="B7" s="449" t="s">
        <v>73</v>
      </c>
      <c r="C7" s="232">
        <v>1</v>
      </c>
      <c r="D7" s="232" t="s">
        <v>114</v>
      </c>
      <c r="E7" s="233">
        <f>VLOOKUP(D7,'12產線配置圖 (2)'!$A$2:$C$30,2,0)</f>
        <v>13</v>
      </c>
      <c r="F7" s="233">
        <f>VLOOKUP(D7,'12產線配置圖 (2)'!$A$2:$C$30,3,0)</f>
        <v>1565</v>
      </c>
      <c r="G7" s="234">
        <f>F7/E7</f>
        <v>120.38461538461539</v>
      </c>
      <c r="H7" s="445">
        <f>AVERAGE(G7:G21)</f>
        <v>127.07264957264958</v>
      </c>
      <c r="I7" s="233">
        <f t="shared" ref="I7:J9" si="0">AVERAGE(P7,U7,Z7,AE7,AJ7,AO7,AT7)</f>
        <v>12.6</v>
      </c>
      <c r="J7" s="233">
        <f t="shared" si="0"/>
        <v>1373.2</v>
      </c>
      <c r="K7" s="234">
        <f>AVERAGE(AB7,AG7,AL7,AQ7,AV7)</f>
        <v>109.0448717948718</v>
      </c>
      <c r="L7" s="445">
        <f>IFERROR(AVERAGE(K7:K21),"-")</f>
        <v>104.21394716394717</v>
      </c>
      <c r="M7" s="235">
        <f>RANK(K7,$K$7:$K$9)</f>
        <v>2</v>
      </c>
      <c r="N7" s="449"/>
      <c r="O7" s="449"/>
      <c r="P7" s="233"/>
      <c r="Q7" s="233"/>
      <c r="R7" s="234" t="e">
        <f>Q7/P7</f>
        <v>#DIV/0!</v>
      </c>
      <c r="S7" s="232" t="e">
        <f>RANK(R7, R$7:R$21)</f>
        <v>#DIV/0!</v>
      </c>
      <c r="T7" s="448" t="e">
        <f>AVERAGE(R7:R21)</f>
        <v>#DIV/0!</v>
      </c>
      <c r="U7" s="233"/>
      <c r="V7" s="233"/>
      <c r="W7" s="234" t="e">
        <f>V7/U7</f>
        <v>#DIV/0!</v>
      </c>
      <c r="X7" s="232" t="e">
        <f>RANK(W7,W$107:W$109)</f>
        <v>#DIV/0!</v>
      </c>
      <c r="Y7" s="448" t="e">
        <f>AVERAGE(W7:W21)</f>
        <v>#DIV/0!</v>
      </c>
      <c r="Z7" s="232">
        <v>13</v>
      </c>
      <c r="AA7" s="233">
        <v>1465</v>
      </c>
      <c r="AB7" s="234">
        <f>AA7/Z7</f>
        <v>112.69230769230769</v>
      </c>
      <c r="AC7" s="232">
        <f>RANK(AB7,AB$7:AB$9)</f>
        <v>2</v>
      </c>
      <c r="AD7" s="448">
        <f>AVERAGE(AB7:AB21)</f>
        <v>113.5944055944056</v>
      </c>
      <c r="AE7" s="233">
        <v>12</v>
      </c>
      <c r="AF7" s="233">
        <v>1347</v>
      </c>
      <c r="AG7" s="234">
        <f>AF7/AE7</f>
        <v>112.25</v>
      </c>
      <c r="AH7" s="232">
        <f>RANK(AG7,AG$7:AG$9)</f>
        <v>2</v>
      </c>
      <c r="AI7" s="448">
        <f>AVERAGE(AG7:AG21)</f>
        <v>93.712121212121204</v>
      </c>
      <c r="AJ7" s="233">
        <v>13</v>
      </c>
      <c r="AK7" s="233">
        <v>1263</v>
      </c>
      <c r="AL7" s="234">
        <f>AK7/AJ7</f>
        <v>97.15384615384616</v>
      </c>
      <c r="AM7" s="232">
        <f>RANK(AL7,AL$7:AL$9)</f>
        <v>3</v>
      </c>
      <c r="AN7" s="448">
        <f>AVERAGE(AL7:AL21)</f>
        <v>101.32905982905983</v>
      </c>
      <c r="AO7" s="233">
        <v>12</v>
      </c>
      <c r="AP7" s="233">
        <v>1316</v>
      </c>
      <c r="AQ7" s="234">
        <f>AP7/AO7</f>
        <v>109.66666666666667</v>
      </c>
      <c r="AR7" s="232">
        <f>RANK(AQ7,AQ$7:AQ$9)</f>
        <v>2</v>
      </c>
      <c r="AS7" s="448">
        <f>AVERAGE(AQ7:AQ21)</f>
        <v>102.86363636363636</v>
      </c>
      <c r="AT7" s="233">
        <v>13</v>
      </c>
      <c r="AU7" s="233">
        <v>1475</v>
      </c>
      <c r="AV7" s="234">
        <f>AU7/AT7</f>
        <v>113.46153846153847</v>
      </c>
      <c r="AW7" s="232">
        <f>RANK(AV7,AV$7:AV$9)</f>
        <v>1</v>
      </c>
      <c r="AX7" s="448">
        <f>AVERAGE(AV7:AV21)</f>
        <v>109.57051282051282</v>
      </c>
    </row>
    <row r="8" spans="1:50" ht="15" customHeight="1">
      <c r="A8" s="225"/>
      <c r="B8" s="444"/>
      <c r="C8" s="232">
        <v>2</v>
      </c>
      <c r="D8" s="232" t="s">
        <v>115</v>
      </c>
      <c r="E8" s="233">
        <f>VLOOKUP(D8,'12產線配置圖 (2)'!$A$2:$C$30,2,0)</f>
        <v>12</v>
      </c>
      <c r="F8" s="233">
        <f>VLOOKUP(D8,'12產線配置圖 (2)'!$A$2:$C$30,3,0)</f>
        <v>1565</v>
      </c>
      <c r="G8" s="234">
        <f>F8/E8</f>
        <v>130.41666666666666</v>
      </c>
      <c r="H8" s="446"/>
      <c r="I8" s="233">
        <f t="shared" si="0"/>
        <v>11.6</v>
      </c>
      <c r="J8" s="233">
        <f t="shared" si="0"/>
        <v>1318.2</v>
      </c>
      <c r="K8" s="234">
        <f t="shared" ref="K8:K9" si="1">AVERAGE(AB8,AG8,AL8,AQ8,AV8)</f>
        <v>113.70303030303032</v>
      </c>
      <c r="L8" s="446"/>
      <c r="M8" s="235">
        <f t="shared" ref="M8:M9" si="2">RANK(K8,$K$7:$K$9)</f>
        <v>1</v>
      </c>
      <c r="N8" s="449"/>
      <c r="O8" s="449"/>
      <c r="P8" s="233"/>
      <c r="Q8" s="233"/>
      <c r="R8" s="234" t="e">
        <f t="shared" ref="R8:R9" si="3">Q8/P8</f>
        <v>#DIV/0!</v>
      </c>
      <c r="S8" s="232" t="e">
        <f t="shared" ref="S8:S9" si="4">RANK(R8, R$7:R$21)</f>
        <v>#DIV/0!</v>
      </c>
      <c r="T8" s="448"/>
      <c r="U8" s="233"/>
      <c r="V8" s="233"/>
      <c r="W8" s="234" t="e">
        <f t="shared" ref="W8:W9" si="5">V8/U8</f>
        <v>#DIV/0!</v>
      </c>
      <c r="X8" s="232" t="e">
        <f t="shared" ref="X8:X9" si="6">RANK(W8,W$107:W$109)</f>
        <v>#DIV/0!</v>
      </c>
      <c r="Y8" s="448"/>
      <c r="Z8" s="232">
        <v>11</v>
      </c>
      <c r="AA8" s="233">
        <v>1211</v>
      </c>
      <c r="AB8" s="234">
        <f t="shared" ref="AB8:AB9" si="7">AA8/Z8</f>
        <v>110.09090909090909</v>
      </c>
      <c r="AC8" s="232">
        <f t="shared" ref="AC8:AC9" si="8">RANK(AB8,AB$7:AB$9)</f>
        <v>3</v>
      </c>
      <c r="AD8" s="448"/>
      <c r="AE8" s="233">
        <v>12</v>
      </c>
      <c r="AF8" s="233">
        <v>1455</v>
      </c>
      <c r="AG8" s="234">
        <f>AF8/AE8</f>
        <v>121.25</v>
      </c>
      <c r="AH8" s="232">
        <f t="shared" ref="AH8:AH9" si="9">RANK(AG8,AG$7:AG$9)</f>
        <v>1</v>
      </c>
      <c r="AI8" s="448"/>
      <c r="AJ8" s="233">
        <v>12</v>
      </c>
      <c r="AK8" s="233">
        <v>1296</v>
      </c>
      <c r="AL8" s="234">
        <f>AK8/AJ8</f>
        <v>108</v>
      </c>
      <c r="AM8" s="232">
        <f t="shared" ref="AM8:AM9" si="10">RANK(AL8,AL$7:AL$9)</f>
        <v>1</v>
      </c>
      <c r="AN8" s="448"/>
      <c r="AO8" s="233">
        <v>11</v>
      </c>
      <c r="AP8" s="233">
        <v>1332</v>
      </c>
      <c r="AQ8" s="234">
        <f>AP8/AO8</f>
        <v>121.09090909090909</v>
      </c>
      <c r="AR8" s="232">
        <f t="shared" ref="AR8:AR9" si="11">RANK(AQ8,AQ$7:AQ$9)</f>
        <v>1</v>
      </c>
      <c r="AS8" s="448"/>
      <c r="AT8" s="233">
        <v>12</v>
      </c>
      <c r="AU8" s="233">
        <v>1297</v>
      </c>
      <c r="AV8" s="234">
        <f>AU8/AT8</f>
        <v>108.08333333333333</v>
      </c>
      <c r="AW8" s="232">
        <f t="shared" ref="AW8:AW9" si="12">RANK(AV8,AV$7:AV$9)</f>
        <v>2</v>
      </c>
      <c r="AX8" s="448"/>
    </row>
    <row r="9" spans="1:50">
      <c r="A9" s="225"/>
      <c r="B9" s="444"/>
      <c r="C9" s="232">
        <v>3</v>
      </c>
      <c r="D9" s="232" t="s">
        <v>116</v>
      </c>
      <c r="E9" s="233">
        <f>VLOOKUP(D9,'12產線配置圖 (2)'!$A$2:$C$30,2,0)</f>
        <v>12</v>
      </c>
      <c r="F9" s="233">
        <f>VLOOKUP(D9,'12產線配置圖 (2)'!$A$2:$C$30,3,0)</f>
        <v>1565</v>
      </c>
      <c r="G9" s="234">
        <f>F9/E9</f>
        <v>130.41666666666666</v>
      </c>
      <c r="H9" s="446"/>
      <c r="I9" s="233">
        <f t="shared" si="0"/>
        <v>11.8</v>
      </c>
      <c r="J9" s="233">
        <f t="shared" si="0"/>
        <v>1069.2</v>
      </c>
      <c r="K9" s="234">
        <f t="shared" si="1"/>
        <v>89.893939393939391</v>
      </c>
      <c r="L9" s="446"/>
      <c r="M9" s="235">
        <f t="shared" si="2"/>
        <v>3</v>
      </c>
      <c r="N9" s="449"/>
      <c r="O9" s="449"/>
      <c r="P9" s="233"/>
      <c r="Q9" s="233"/>
      <c r="R9" s="234" t="e">
        <f t="shared" si="3"/>
        <v>#DIV/0!</v>
      </c>
      <c r="S9" s="232" t="e">
        <f t="shared" si="4"/>
        <v>#DIV/0!</v>
      </c>
      <c r="T9" s="448"/>
      <c r="U9" s="233"/>
      <c r="V9" s="233"/>
      <c r="W9" s="234" t="e">
        <f t="shared" si="5"/>
        <v>#DIV/0!</v>
      </c>
      <c r="X9" s="232" t="e">
        <f t="shared" si="6"/>
        <v>#DIV/0!</v>
      </c>
      <c r="Y9" s="448"/>
      <c r="Z9" s="232">
        <v>12</v>
      </c>
      <c r="AA9" s="233">
        <v>1416</v>
      </c>
      <c r="AB9" s="234">
        <f t="shared" si="7"/>
        <v>118</v>
      </c>
      <c r="AC9" s="232">
        <f t="shared" si="8"/>
        <v>1</v>
      </c>
      <c r="AD9" s="448"/>
      <c r="AE9" s="233">
        <v>11</v>
      </c>
      <c r="AF9" s="233">
        <v>524</v>
      </c>
      <c r="AG9" s="234">
        <f>AF9/AE9</f>
        <v>47.636363636363633</v>
      </c>
      <c r="AH9" s="232">
        <f t="shared" si="9"/>
        <v>3</v>
      </c>
      <c r="AI9" s="448"/>
      <c r="AJ9" s="233">
        <v>12</v>
      </c>
      <c r="AK9" s="233">
        <v>1186</v>
      </c>
      <c r="AL9" s="234">
        <f>AK9/AJ9</f>
        <v>98.833333333333329</v>
      </c>
      <c r="AM9" s="232">
        <f t="shared" si="10"/>
        <v>2</v>
      </c>
      <c r="AN9" s="448"/>
      <c r="AO9" s="233">
        <v>12</v>
      </c>
      <c r="AP9" s="233">
        <v>934</v>
      </c>
      <c r="AQ9" s="234">
        <f>AP9/AO9</f>
        <v>77.833333333333329</v>
      </c>
      <c r="AR9" s="232">
        <f t="shared" si="11"/>
        <v>3</v>
      </c>
      <c r="AS9" s="448"/>
      <c r="AT9" s="233">
        <v>12</v>
      </c>
      <c r="AU9" s="233">
        <v>1286</v>
      </c>
      <c r="AV9" s="234">
        <f>AU9/AT9</f>
        <v>107.16666666666667</v>
      </c>
      <c r="AW9" s="232">
        <f t="shared" si="12"/>
        <v>3</v>
      </c>
      <c r="AX9" s="448"/>
    </row>
    <row r="10" spans="1:50">
      <c r="A10" s="225"/>
      <c r="B10" s="444"/>
      <c r="C10" s="232">
        <v>4</v>
      </c>
      <c r="D10" s="232"/>
      <c r="E10" s="233"/>
      <c r="F10" s="233"/>
      <c r="G10" s="234"/>
      <c r="H10" s="446"/>
      <c r="I10" s="233"/>
      <c r="J10" s="233"/>
      <c r="K10" s="234"/>
      <c r="L10" s="446"/>
      <c r="M10" s="235"/>
      <c r="N10" s="449"/>
      <c r="O10" s="449"/>
      <c r="P10" s="233"/>
      <c r="Q10" s="233"/>
      <c r="R10" s="234"/>
      <c r="S10" s="232"/>
      <c r="T10" s="448"/>
      <c r="U10" s="233"/>
      <c r="V10" s="233"/>
      <c r="W10" s="234"/>
      <c r="X10" s="232"/>
      <c r="Y10" s="448"/>
      <c r="Z10" s="232"/>
      <c r="AA10" s="233"/>
      <c r="AB10" s="234"/>
      <c r="AC10" s="232"/>
      <c r="AD10" s="448"/>
      <c r="AE10" s="233"/>
      <c r="AF10" s="233"/>
      <c r="AG10" s="234"/>
      <c r="AH10" s="232"/>
      <c r="AI10" s="448"/>
      <c r="AJ10" s="233"/>
      <c r="AK10" s="233"/>
      <c r="AL10" s="234"/>
      <c r="AM10" s="232"/>
      <c r="AN10" s="448"/>
      <c r="AO10" s="233"/>
      <c r="AP10" s="233"/>
      <c r="AQ10" s="234"/>
      <c r="AR10" s="232"/>
      <c r="AS10" s="448"/>
      <c r="AT10" s="233"/>
      <c r="AU10" s="233"/>
      <c r="AV10" s="234"/>
      <c r="AW10" s="232"/>
      <c r="AX10" s="448"/>
    </row>
    <row r="11" spans="1:50">
      <c r="A11" s="225"/>
      <c r="B11" s="444"/>
      <c r="C11" s="232">
        <v>5</v>
      </c>
      <c r="D11" s="232"/>
      <c r="E11" s="233"/>
      <c r="F11" s="233"/>
      <c r="G11" s="234"/>
      <c r="H11" s="446"/>
      <c r="I11" s="233"/>
      <c r="J11" s="233"/>
      <c r="K11" s="234"/>
      <c r="L11" s="446"/>
      <c r="M11" s="235"/>
      <c r="N11" s="449"/>
      <c r="O11" s="449"/>
      <c r="P11" s="233"/>
      <c r="Q11" s="233"/>
      <c r="R11" s="234"/>
      <c r="S11" s="232"/>
      <c r="T11" s="448"/>
      <c r="U11" s="233"/>
      <c r="V11" s="233"/>
      <c r="W11" s="234"/>
      <c r="X11" s="232"/>
      <c r="Y11" s="448"/>
      <c r="Z11" s="232"/>
      <c r="AA11" s="233"/>
      <c r="AB11" s="234"/>
      <c r="AC11" s="232"/>
      <c r="AD11" s="448"/>
      <c r="AE11" s="233"/>
      <c r="AF11" s="233"/>
      <c r="AG11" s="234"/>
      <c r="AH11" s="232"/>
      <c r="AI11" s="448"/>
      <c r="AJ11" s="233"/>
      <c r="AK11" s="233"/>
      <c r="AL11" s="234"/>
      <c r="AM11" s="232"/>
      <c r="AN11" s="448"/>
      <c r="AO11" s="233"/>
      <c r="AP11" s="233"/>
      <c r="AQ11" s="234"/>
      <c r="AR11" s="232"/>
      <c r="AS11" s="448"/>
      <c r="AT11" s="233"/>
      <c r="AU11" s="233"/>
      <c r="AV11" s="234"/>
      <c r="AW11" s="232"/>
      <c r="AX11" s="448"/>
    </row>
    <row r="12" spans="1:50">
      <c r="A12" s="225"/>
      <c r="B12" s="444"/>
      <c r="C12" s="232">
        <v>6</v>
      </c>
      <c r="D12" s="232"/>
      <c r="E12" s="233"/>
      <c r="F12" s="233"/>
      <c r="G12" s="234"/>
      <c r="H12" s="446"/>
      <c r="I12" s="233"/>
      <c r="J12" s="233"/>
      <c r="K12" s="234"/>
      <c r="L12" s="446"/>
      <c r="M12" s="235"/>
      <c r="N12" s="449"/>
      <c r="O12" s="449"/>
      <c r="P12" s="233"/>
      <c r="Q12" s="233"/>
      <c r="R12" s="234"/>
      <c r="S12" s="232"/>
      <c r="T12" s="448"/>
      <c r="U12" s="233"/>
      <c r="V12" s="233"/>
      <c r="W12" s="234"/>
      <c r="X12" s="232"/>
      <c r="Y12" s="448"/>
      <c r="Z12" s="232"/>
      <c r="AA12" s="233"/>
      <c r="AB12" s="234"/>
      <c r="AC12" s="232"/>
      <c r="AD12" s="448"/>
      <c r="AE12" s="233"/>
      <c r="AF12" s="233"/>
      <c r="AG12" s="234"/>
      <c r="AH12" s="232"/>
      <c r="AI12" s="448"/>
      <c r="AJ12" s="233"/>
      <c r="AK12" s="233"/>
      <c r="AL12" s="234"/>
      <c r="AM12" s="232"/>
      <c r="AN12" s="448"/>
      <c r="AO12" s="233"/>
      <c r="AP12" s="233"/>
      <c r="AQ12" s="234"/>
      <c r="AR12" s="232"/>
      <c r="AS12" s="448"/>
      <c r="AT12" s="233"/>
      <c r="AU12" s="233"/>
      <c r="AV12" s="234"/>
      <c r="AW12" s="232"/>
      <c r="AX12" s="448"/>
    </row>
    <row r="13" spans="1:50">
      <c r="A13" s="225"/>
      <c r="B13" s="444"/>
      <c r="C13" s="232">
        <v>7</v>
      </c>
      <c r="D13" s="232"/>
      <c r="E13" s="233"/>
      <c r="F13" s="233"/>
      <c r="G13" s="234"/>
      <c r="H13" s="446"/>
      <c r="I13" s="233"/>
      <c r="J13" s="233"/>
      <c r="K13" s="234"/>
      <c r="L13" s="446"/>
      <c r="M13" s="235"/>
      <c r="N13" s="449"/>
      <c r="O13" s="449"/>
      <c r="P13" s="233"/>
      <c r="Q13" s="233"/>
      <c r="R13" s="234"/>
      <c r="S13" s="232"/>
      <c r="T13" s="448"/>
      <c r="U13" s="233"/>
      <c r="V13" s="233"/>
      <c r="W13" s="234"/>
      <c r="X13" s="232"/>
      <c r="Y13" s="448"/>
      <c r="Z13" s="232"/>
      <c r="AA13" s="233"/>
      <c r="AB13" s="234"/>
      <c r="AC13" s="232"/>
      <c r="AD13" s="448"/>
      <c r="AE13" s="233"/>
      <c r="AF13" s="233"/>
      <c r="AG13" s="234"/>
      <c r="AH13" s="232"/>
      <c r="AI13" s="448"/>
      <c r="AJ13" s="233"/>
      <c r="AK13" s="233"/>
      <c r="AL13" s="234"/>
      <c r="AM13" s="232"/>
      <c r="AN13" s="448"/>
      <c r="AO13" s="233"/>
      <c r="AP13" s="233"/>
      <c r="AQ13" s="234"/>
      <c r="AR13" s="232"/>
      <c r="AS13" s="448"/>
      <c r="AT13" s="233"/>
      <c r="AU13" s="233"/>
      <c r="AV13" s="234"/>
      <c r="AW13" s="232"/>
      <c r="AX13" s="448"/>
    </row>
    <row r="14" spans="1:50">
      <c r="A14" s="225"/>
      <c r="B14" s="444"/>
      <c r="C14" s="232">
        <v>8</v>
      </c>
      <c r="D14" s="232"/>
      <c r="E14" s="233"/>
      <c r="F14" s="233"/>
      <c r="G14" s="234"/>
      <c r="H14" s="446"/>
      <c r="I14" s="233"/>
      <c r="J14" s="233"/>
      <c r="K14" s="234"/>
      <c r="L14" s="446"/>
      <c r="M14" s="235"/>
      <c r="N14" s="449"/>
      <c r="O14" s="449"/>
      <c r="P14" s="233"/>
      <c r="Q14" s="233"/>
      <c r="R14" s="234"/>
      <c r="S14" s="232"/>
      <c r="T14" s="448"/>
      <c r="U14" s="233"/>
      <c r="V14" s="233"/>
      <c r="W14" s="234"/>
      <c r="X14" s="232"/>
      <c r="Y14" s="448"/>
      <c r="Z14" s="232"/>
      <c r="AA14" s="233"/>
      <c r="AB14" s="234"/>
      <c r="AC14" s="232"/>
      <c r="AD14" s="448"/>
      <c r="AE14" s="233"/>
      <c r="AF14" s="233"/>
      <c r="AG14" s="234"/>
      <c r="AH14" s="232"/>
      <c r="AI14" s="448"/>
      <c r="AJ14" s="233"/>
      <c r="AK14" s="233"/>
      <c r="AL14" s="234"/>
      <c r="AM14" s="232"/>
      <c r="AN14" s="448"/>
      <c r="AO14" s="233"/>
      <c r="AP14" s="233"/>
      <c r="AQ14" s="234"/>
      <c r="AR14" s="232"/>
      <c r="AS14" s="448"/>
      <c r="AT14" s="233"/>
      <c r="AU14" s="233"/>
      <c r="AV14" s="234"/>
      <c r="AW14" s="232"/>
      <c r="AX14" s="448"/>
    </row>
    <row r="15" spans="1:50">
      <c r="A15" s="225"/>
      <c r="B15" s="444"/>
      <c r="C15" s="232">
        <v>9</v>
      </c>
      <c r="D15" s="232"/>
      <c r="E15" s="233"/>
      <c r="F15" s="233"/>
      <c r="G15" s="234"/>
      <c r="H15" s="446"/>
      <c r="I15" s="233"/>
      <c r="J15" s="233"/>
      <c r="K15" s="234"/>
      <c r="L15" s="446"/>
      <c r="M15" s="235"/>
      <c r="N15" s="449"/>
      <c r="O15" s="449"/>
      <c r="P15" s="233"/>
      <c r="Q15" s="233"/>
      <c r="R15" s="234"/>
      <c r="S15" s="232"/>
      <c r="T15" s="448"/>
      <c r="U15" s="233"/>
      <c r="V15" s="233"/>
      <c r="W15" s="234"/>
      <c r="X15" s="232"/>
      <c r="Y15" s="448"/>
      <c r="Z15" s="232"/>
      <c r="AA15" s="233"/>
      <c r="AB15" s="234"/>
      <c r="AC15" s="232"/>
      <c r="AD15" s="448"/>
      <c r="AE15" s="233"/>
      <c r="AF15" s="233"/>
      <c r="AG15" s="234"/>
      <c r="AH15" s="232"/>
      <c r="AI15" s="448"/>
      <c r="AJ15" s="233"/>
      <c r="AK15" s="233"/>
      <c r="AL15" s="234"/>
      <c r="AM15" s="232"/>
      <c r="AN15" s="448"/>
      <c r="AO15" s="233"/>
      <c r="AP15" s="233"/>
      <c r="AQ15" s="234"/>
      <c r="AR15" s="232"/>
      <c r="AS15" s="448"/>
      <c r="AT15" s="233"/>
      <c r="AU15" s="233"/>
      <c r="AV15" s="234"/>
      <c r="AW15" s="232"/>
      <c r="AX15" s="448"/>
    </row>
    <row r="16" spans="1:50">
      <c r="A16" s="225"/>
      <c r="B16" s="444"/>
      <c r="C16" s="232">
        <v>10</v>
      </c>
      <c r="D16" s="232"/>
      <c r="E16" s="233"/>
      <c r="F16" s="233"/>
      <c r="G16" s="234"/>
      <c r="H16" s="446"/>
      <c r="I16" s="233"/>
      <c r="J16" s="233"/>
      <c r="K16" s="234"/>
      <c r="L16" s="446"/>
      <c r="M16" s="235"/>
      <c r="N16" s="449"/>
      <c r="O16" s="449"/>
      <c r="P16" s="233"/>
      <c r="Q16" s="233"/>
      <c r="R16" s="234"/>
      <c r="S16" s="232"/>
      <c r="T16" s="448"/>
      <c r="U16" s="233"/>
      <c r="V16" s="233"/>
      <c r="W16" s="234"/>
      <c r="X16" s="232"/>
      <c r="Y16" s="448"/>
      <c r="Z16" s="232"/>
      <c r="AA16" s="233"/>
      <c r="AB16" s="234"/>
      <c r="AC16" s="232"/>
      <c r="AD16" s="448"/>
      <c r="AE16" s="233"/>
      <c r="AF16" s="233"/>
      <c r="AG16" s="234"/>
      <c r="AH16" s="232"/>
      <c r="AI16" s="448"/>
      <c r="AJ16" s="233"/>
      <c r="AK16" s="233"/>
      <c r="AL16" s="234"/>
      <c r="AM16" s="232"/>
      <c r="AN16" s="448"/>
      <c r="AO16" s="233"/>
      <c r="AP16" s="233"/>
      <c r="AQ16" s="234"/>
      <c r="AR16" s="232"/>
      <c r="AS16" s="448"/>
      <c r="AT16" s="233"/>
      <c r="AU16" s="233"/>
      <c r="AV16" s="234"/>
      <c r="AW16" s="232"/>
      <c r="AX16" s="448"/>
    </row>
    <row r="17" spans="2:50">
      <c r="B17" s="444"/>
      <c r="C17" s="232">
        <v>11</v>
      </c>
      <c r="D17" s="232"/>
      <c r="E17" s="233"/>
      <c r="F17" s="233"/>
      <c r="G17" s="234"/>
      <c r="H17" s="446"/>
      <c r="I17" s="233"/>
      <c r="J17" s="233"/>
      <c r="K17" s="234"/>
      <c r="L17" s="446"/>
      <c r="M17" s="235"/>
      <c r="N17" s="449"/>
      <c r="O17" s="449"/>
      <c r="P17" s="232"/>
      <c r="Q17" s="232"/>
      <c r="R17" s="234"/>
      <c r="S17" s="232"/>
      <c r="T17" s="448"/>
      <c r="U17" s="232"/>
      <c r="V17" s="232"/>
      <c r="W17" s="234"/>
      <c r="X17" s="232"/>
      <c r="Y17" s="448"/>
      <c r="Z17" s="232"/>
      <c r="AA17" s="232"/>
      <c r="AB17" s="234"/>
      <c r="AC17" s="232"/>
      <c r="AD17" s="448"/>
      <c r="AE17" s="232"/>
      <c r="AF17" s="232"/>
      <c r="AG17" s="234"/>
      <c r="AH17" s="232"/>
      <c r="AI17" s="448"/>
      <c r="AJ17" s="232"/>
      <c r="AK17" s="232"/>
      <c r="AL17" s="232"/>
      <c r="AM17" s="232"/>
      <c r="AN17" s="448"/>
      <c r="AO17" s="232"/>
      <c r="AP17" s="232"/>
      <c r="AQ17" s="234"/>
      <c r="AR17" s="232"/>
      <c r="AS17" s="448"/>
      <c r="AT17" s="232"/>
      <c r="AU17" s="232"/>
      <c r="AV17" s="234"/>
      <c r="AW17" s="232"/>
      <c r="AX17" s="448"/>
    </row>
    <row r="18" spans="2:50">
      <c r="B18" s="444"/>
      <c r="C18" s="232">
        <v>12</v>
      </c>
      <c r="D18" s="232"/>
      <c r="E18" s="233"/>
      <c r="F18" s="233"/>
      <c r="G18" s="234"/>
      <c r="H18" s="446"/>
      <c r="I18" s="233"/>
      <c r="J18" s="233"/>
      <c r="K18" s="234"/>
      <c r="L18" s="446"/>
      <c r="M18" s="235"/>
      <c r="N18" s="449"/>
      <c r="O18" s="449"/>
      <c r="P18" s="232"/>
      <c r="Q18" s="232"/>
      <c r="R18" s="234"/>
      <c r="S18" s="232"/>
      <c r="T18" s="448"/>
      <c r="U18" s="232"/>
      <c r="V18" s="232"/>
      <c r="W18" s="234"/>
      <c r="X18" s="232"/>
      <c r="Y18" s="448"/>
      <c r="Z18" s="232"/>
      <c r="AA18" s="232"/>
      <c r="AB18" s="234"/>
      <c r="AC18" s="232"/>
      <c r="AD18" s="448"/>
      <c r="AE18" s="232"/>
      <c r="AF18" s="232"/>
      <c r="AG18" s="234"/>
      <c r="AH18" s="232"/>
      <c r="AI18" s="448"/>
      <c r="AJ18" s="232"/>
      <c r="AK18" s="232"/>
      <c r="AL18" s="232"/>
      <c r="AM18" s="232"/>
      <c r="AN18" s="448"/>
      <c r="AO18" s="232"/>
      <c r="AP18" s="232"/>
      <c r="AQ18" s="234"/>
      <c r="AR18" s="232"/>
      <c r="AS18" s="448"/>
      <c r="AT18" s="232"/>
      <c r="AU18" s="232"/>
      <c r="AV18" s="234"/>
      <c r="AW18" s="232"/>
      <c r="AX18" s="448"/>
    </row>
    <row r="19" spans="2:50">
      <c r="B19" s="444"/>
      <c r="C19" s="232">
        <v>13</v>
      </c>
      <c r="D19" s="232"/>
      <c r="E19" s="233"/>
      <c r="F19" s="233"/>
      <c r="G19" s="234"/>
      <c r="H19" s="446"/>
      <c r="I19" s="233"/>
      <c r="J19" s="233"/>
      <c r="K19" s="234"/>
      <c r="L19" s="446"/>
      <c r="M19" s="235"/>
      <c r="N19" s="449"/>
      <c r="O19" s="449"/>
      <c r="P19" s="232"/>
      <c r="Q19" s="232"/>
      <c r="R19" s="234"/>
      <c r="S19" s="232"/>
      <c r="T19" s="448"/>
      <c r="U19" s="232"/>
      <c r="V19" s="232"/>
      <c r="W19" s="234"/>
      <c r="X19" s="232"/>
      <c r="Y19" s="448"/>
      <c r="Z19" s="232"/>
      <c r="AA19" s="232"/>
      <c r="AB19" s="234"/>
      <c r="AC19" s="232"/>
      <c r="AD19" s="448"/>
      <c r="AE19" s="232"/>
      <c r="AF19" s="232"/>
      <c r="AG19" s="234"/>
      <c r="AH19" s="232"/>
      <c r="AI19" s="448"/>
      <c r="AJ19" s="232"/>
      <c r="AK19" s="232"/>
      <c r="AL19" s="232"/>
      <c r="AM19" s="232"/>
      <c r="AN19" s="448"/>
      <c r="AO19" s="232"/>
      <c r="AP19" s="232"/>
      <c r="AQ19" s="234"/>
      <c r="AR19" s="232"/>
      <c r="AS19" s="448"/>
      <c r="AT19" s="232"/>
      <c r="AU19" s="232"/>
      <c r="AV19" s="234"/>
      <c r="AW19" s="232"/>
      <c r="AX19" s="448"/>
    </row>
    <row r="20" spans="2:50">
      <c r="B20" s="444"/>
      <c r="C20" s="232">
        <v>14</v>
      </c>
      <c r="D20" s="232"/>
      <c r="E20" s="233"/>
      <c r="F20" s="233"/>
      <c r="G20" s="234"/>
      <c r="H20" s="446"/>
      <c r="I20" s="233"/>
      <c r="J20" s="233"/>
      <c r="K20" s="234"/>
      <c r="L20" s="446"/>
      <c r="M20" s="235"/>
      <c r="N20" s="449"/>
      <c r="O20" s="449"/>
      <c r="P20" s="232"/>
      <c r="Q20" s="232"/>
      <c r="R20" s="234"/>
      <c r="S20" s="232"/>
      <c r="T20" s="448"/>
      <c r="U20" s="232"/>
      <c r="V20" s="232"/>
      <c r="W20" s="234"/>
      <c r="X20" s="232"/>
      <c r="Y20" s="448"/>
      <c r="Z20" s="232"/>
      <c r="AA20" s="232"/>
      <c r="AB20" s="234"/>
      <c r="AC20" s="232"/>
      <c r="AD20" s="448"/>
      <c r="AE20" s="232"/>
      <c r="AF20" s="232"/>
      <c r="AG20" s="234"/>
      <c r="AH20" s="232"/>
      <c r="AI20" s="448"/>
      <c r="AJ20" s="232"/>
      <c r="AK20" s="232"/>
      <c r="AL20" s="232"/>
      <c r="AM20" s="232"/>
      <c r="AN20" s="448"/>
      <c r="AO20" s="232"/>
      <c r="AP20" s="232"/>
      <c r="AQ20" s="234"/>
      <c r="AR20" s="232"/>
      <c r="AS20" s="448"/>
      <c r="AT20" s="232"/>
      <c r="AU20" s="232"/>
      <c r="AV20" s="234"/>
      <c r="AW20" s="232"/>
      <c r="AX20" s="448"/>
    </row>
    <row r="21" spans="2:50">
      <c r="B21" s="444"/>
      <c r="C21" s="232">
        <v>15</v>
      </c>
      <c r="D21" s="232"/>
      <c r="E21" s="233"/>
      <c r="F21" s="233"/>
      <c r="G21" s="234"/>
      <c r="H21" s="447"/>
      <c r="I21" s="233"/>
      <c r="J21" s="233"/>
      <c r="K21" s="234"/>
      <c r="L21" s="447"/>
      <c r="M21" s="233"/>
      <c r="N21" s="449"/>
      <c r="O21" s="449"/>
      <c r="P21" s="232"/>
      <c r="Q21" s="232"/>
      <c r="R21" s="234"/>
      <c r="S21" s="232"/>
      <c r="T21" s="448"/>
      <c r="U21" s="232"/>
      <c r="V21" s="232"/>
      <c r="W21" s="234"/>
      <c r="X21" s="232"/>
      <c r="Y21" s="448"/>
      <c r="Z21" s="232"/>
      <c r="AA21" s="232"/>
      <c r="AB21" s="234"/>
      <c r="AC21" s="232"/>
      <c r="AD21" s="448"/>
      <c r="AE21" s="232"/>
      <c r="AF21" s="232"/>
      <c r="AG21" s="234"/>
      <c r="AH21" s="232"/>
      <c r="AI21" s="448"/>
      <c r="AJ21" s="232"/>
      <c r="AK21" s="232"/>
      <c r="AL21" s="232"/>
      <c r="AM21" s="232"/>
      <c r="AN21" s="448"/>
      <c r="AO21" s="232"/>
      <c r="AP21" s="232"/>
      <c r="AQ21" s="234"/>
      <c r="AR21" s="232"/>
      <c r="AS21" s="448"/>
      <c r="AT21" s="232"/>
      <c r="AU21" s="232"/>
      <c r="AV21" s="234"/>
      <c r="AW21" s="232"/>
      <c r="AX21" s="448"/>
    </row>
    <row r="22" spans="2:50" ht="15.6">
      <c r="B22" s="474" t="s">
        <v>82</v>
      </c>
      <c r="C22" s="475"/>
      <c r="D22" s="475"/>
      <c r="E22" s="475"/>
      <c r="F22" s="475"/>
      <c r="G22" s="475"/>
      <c r="H22" s="475"/>
      <c r="I22" s="226"/>
      <c r="J22" s="226"/>
      <c r="K22" s="226"/>
      <c r="L22" s="226"/>
      <c r="M22" s="227"/>
      <c r="N22" s="461" t="s">
        <v>83</v>
      </c>
      <c r="O22" s="461" t="s">
        <v>43</v>
      </c>
      <c r="P22" s="457">
        <v>46028</v>
      </c>
      <c r="Q22" s="444"/>
      <c r="R22" s="444"/>
      <c r="S22" s="444"/>
      <c r="T22" s="444"/>
      <c r="U22" s="457">
        <v>46029</v>
      </c>
      <c r="V22" s="444"/>
      <c r="W22" s="444"/>
      <c r="X22" s="444"/>
      <c r="Y22" s="444"/>
      <c r="Z22" s="457">
        <v>46030</v>
      </c>
      <c r="AA22" s="444"/>
      <c r="AB22" s="444"/>
      <c r="AC22" s="444"/>
      <c r="AD22" s="444"/>
      <c r="AE22" s="457">
        <v>46031</v>
      </c>
      <c r="AF22" s="444"/>
      <c r="AG22" s="444"/>
      <c r="AH22" s="444"/>
      <c r="AI22" s="444"/>
      <c r="AJ22" s="457">
        <v>46032</v>
      </c>
      <c r="AK22" s="444"/>
      <c r="AL22" s="444"/>
      <c r="AM22" s="444"/>
      <c r="AN22" s="444"/>
      <c r="AO22" s="457">
        <v>46033</v>
      </c>
      <c r="AP22" s="444"/>
      <c r="AQ22" s="444"/>
      <c r="AR22" s="444"/>
      <c r="AS22" s="444"/>
      <c r="AT22" s="457">
        <v>46034</v>
      </c>
      <c r="AU22" s="444"/>
      <c r="AV22" s="444"/>
      <c r="AW22" s="444"/>
      <c r="AX22" s="444"/>
    </row>
    <row r="23" spans="2:50" ht="15.6">
      <c r="B23" s="460"/>
      <c r="C23" s="460"/>
      <c r="D23" s="460"/>
      <c r="E23" s="460"/>
      <c r="F23" s="460"/>
      <c r="G23" s="460"/>
      <c r="H23" s="460"/>
      <c r="I23" s="228"/>
      <c r="J23" s="228"/>
      <c r="K23" s="228"/>
      <c r="L23" s="228"/>
      <c r="M23" s="229"/>
      <c r="N23" s="462"/>
      <c r="O23" s="462"/>
      <c r="P23" s="457" t="s">
        <v>57</v>
      </c>
      <c r="Q23" s="444"/>
      <c r="R23" s="444"/>
      <c r="S23" s="444"/>
      <c r="T23" s="444"/>
      <c r="U23" s="457" t="s">
        <v>58</v>
      </c>
      <c r="V23" s="444"/>
      <c r="W23" s="444"/>
      <c r="X23" s="444"/>
      <c r="Y23" s="444"/>
      <c r="Z23" s="457" t="s">
        <v>54</v>
      </c>
      <c r="AA23" s="444"/>
      <c r="AB23" s="444"/>
      <c r="AC23" s="444"/>
      <c r="AD23" s="444"/>
      <c r="AE23" s="457" t="s">
        <v>55</v>
      </c>
      <c r="AF23" s="444"/>
      <c r="AG23" s="444"/>
      <c r="AH23" s="444"/>
      <c r="AI23" s="444"/>
      <c r="AJ23" s="457" t="s">
        <v>56</v>
      </c>
      <c r="AK23" s="444"/>
      <c r="AL23" s="444"/>
      <c r="AM23" s="444"/>
      <c r="AN23" s="444"/>
      <c r="AO23" s="457" t="s">
        <v>50</v>
      </c>
      <c r="AP23" s="444"/>
      <c r="AQ23" s="444"/>
      <c r="AR23" s="444"/>
      <c r="AS23" s="444"/>
      <c r="AT23" s="457" t="s">
        <v>53</v>
      </c>
      <c r="AU23" s="444"/>
      <c r="AV23" s="444"/>
      <c r="AW23" s="444"/>
      <c r="AX23" s="444"/>
    </row>
    <row r="24" spans="2:50">
      <c r="B24" s="449" t="s">
        <v>39</v>
      </c>
      <c r="C24" s="449" t="s">
        <v>84</v>
      </c>
      <c r="D24" s="449"/>
      <c r="E24" s="449" t="s">
        <v>85</v>
      </c>
      <c r="F24" s="449"/>
      <c r="G24" s="449"/>
      <c r="H24" s="454" t="s">
        <v>86</v>
      </c>
      <c r="I24" s="449" t="s">
        <v>87</v>
      </c>
      <c r="J24" s="449"/>
      <c r="K24" s="449"/>
      <c r="L24" s="454" t="s">
        <v>86</v>
      </c>
      <c r="M24" s="461" t="s">
        <v>88</v>
      </c>
      <c r="N24" s="449"/>
      <c r="O24" s="449" t="s">
        <v>89</v>
      </c>
      <c r="P24" s="450" t="s">
        <v>90</v>
      </c>
      <c r="Q24" s="451"/>
      <c r="R24" s="451"/>
      <c r="S24" s="452"/>
      <c r="T24" s="449" t="s">
        <v>86</v>
      </c>
      <c r="U24" s="450" t="s">
        <v>90</v>
      </c>
      <c r="V24" s="451"/>
      <c r="W24" s="451"/>
      <c r="X24" s="452"/>
      <c r="Y24" s="449" t="s">
        <v>86</v>
      </c>
      <c r="Z24" s="450" t="s">
        <v>90</v>
      </c>
      <c r="AA24" s="451"/>
      <c r="AB24" s="451"/>
      <c r="AC24" s="452"/>
      <c r="AD24" s="449" t="s">
        <v>86</v>
      </c>
      <c r="AE24" s="450" t="s">
        <v>90</v>
      </c>
      <c r="AF24" s="451"/>
      <c r="AG24" s="451"/>
      <c r="AH24" s="452"/>
      <c r="AI24" s="449" t="s">
        <v>86</v>
      </c>
      <c r="AJ24" s="450" t="s">
        <v>90</v>
      </c>
      <c r="AK24" s="451"/>
      <c r="AL24" s="451"/>
      <c r="AM24" s="452"/>
      <c r="AN24" s="449" t="s">
        <v>86</v>
      </c>
      <c r="AO24" s="450" t="s">
        <v>90</v>
      </c>
      <c r="AP24" s="451"/>
      <c r="AQ24" s="451"/>
      <c r="AR24" s="452"/>
      <c r="AS24" s="449" t="s">
        <v>86</v>
      </c>
      <c r="AT24" s="450" t="s">
        <v>90</v>
      </c>
      <c r="AU24" s="451"/>
      <c r="AV24" s="451"/>
      <c r="AW24" s="452"/>
      <c r="AX24" s="449" t="s">
        <v>86</v>
      </c>
    </row>
    <row r="25" spans="2:50">
      <c r="B25" s="449"/>
      <c r="C25" s="449"/>
      <c r="D25" s="449"/>
      <c r="E25" s="449" t="s">
        <v>91</v>
      </c>
      <c r="F25" s="449"/>
      <c r="G25" s="449"/>
      <c r="H25" s="455"/>
      <c r="I25" s="449" t="s">
        <v>91</v>
      </c>
      <c r="J25" s="449"/>
      <c r="K25" s="449"/>
      <c r="L25" s="455"/>
      <c r="M25" s="472"/>
      <c r="N25" s="449"/>
      <c r="O25" s="449"/>
      <c r="P25" s="450" t="s">
        <v>92</v>
      </c>
      <c r="Q25" s="451"/>
      <c r="R25" s="451"/>
      <c r="S25" s="452"/>
      <c r="T25" s="449"/>
      <c r="U25" s="450" t="s">
        <v>92</v>
      </c>
      <c r="V25" s="451"/>
      <c r="W25" s="451"/>
      <c r="X25" s="452"/>
      <c r="Y25" s="449"/>
      <c r="Z25" s="450" t="s">
        <v>92</v>
      </c>
      <c r="AA25" s="451"/>
      <c r="AB25" s="451"/>
      <c r="AC25" s="452"/>
      <c r="AD25" s="449"/>
      <c r="AE25" s="450" t="s">
        <v>92</v>
      </c>
      <c r="AF25" s="451"/>
      <c r="AG25" s="451"/>
      <c r="AH25" s="452"/>
      <c r="AI25" s="449"/>
      <c r="AJ25" s="450" t="s">
        <v>92</v>
      </c>
      <c r="AK25" s="451"/>
      <c r="AL25" s="451"/>
      <c r="AM25" s="452"/>
      <c r="AN25" s="449"/>
      <c r="AO25" s="450" t="s">
        <v>92</v>
      </c>
      <c r="AP25" s="451"/>
      <c r="AQ25" s="451"/>
      <c r="AR25" s="452"/>
      <c r="AS25" s="449"/>
      <c r="AT25" s="450" t="s">
        <v>92</v>
      </c>
      <c r="AU25" s="451"/>
      <c r="AV25" s="451"/>
      <c r="AW25" s="452"/>
      <c r="AX25" s="449"/>
    </row>
    <row r="26" spans="2:50">
      <c r="B26" s="449"/>
      <c r="C26" s="449"/>
      <c r="D26" s="449"/>
      <c r="E26" s="231" t="s">
        <v>93</v>
      </c>
      <c r="F26" s="231" t="s">
        <v>94</v>
      </c>
      <c r="G26" s="231" t="s">
        <v>95</v>
      </c>
      <c r="H26" s="456"/>
      <c r="I26" s="231" t="s">
        <v>93</v>
      </c>
      <c r="J26" s="231" t="s">
        <v>94</v>
      </c>
      <c r="K26" s="231" t="s">
        <v>95</v>
      </c>
      <c r="L26" s="456"/>
      <c r="M26" s="462"/>
      <c r="N26" s="449"/>
      <c r="O26" s="449"/>
      <c r="P26" s="231" t="s">
        <v>93</v>
      </c>
      <c r="Q26" s="231" t="s">
        <v>94</v>
      </c>
      <c r="R26" s="231" t="s">
        <v>95</v>
      </c>
      <c r="S26" s="231" t="s">
        <v>88</v>
      </c>
      <c r="T26" s="449"/>
      <c r="U26" s="231" t="s">
        <v>93</v>
      </c>
      <c r="V26" s="231" t="s">
        <v>94</v>
      </c>
      <c r="W26" s="231" t="s">
        <v>95</v>
      </c>
      <c r="X26" s="231" t="s">
        <v>88</v>
      </c>
      <c r="Y26" s="449"/>
      <c r="Z26" s="231" t="s">
        <v>93</v>
      </c>
      <c r="AA26" s="231" t="s">
        <v>94</v>
      </c>
      <c r="AB26" s="231" t="s">
        <v>95</v>
      </c>
      <c r="AC26" s="231" t="s">
        <v>88</v>
      </c>
      <c r="AD26" s="449"/>
      <c r="AE26" s="231" t="s">
        <v>93</v>
      </c>
      <c r="AF26" s="231" t="s">
        <v>94</v>
      </c>
      <c r="AG26" s="231" t="s">
        <v>95</v>
      </c>
      <c r="AH26" s="231" t="s">
        <v>88</v>
      </c>
      <c r="AI26" s="449"/>
      <c r="AJ26" s="231" t="s">
        <v>93</v>
      </c>
      <c r="AK26" s="231" t="s">
        <v>94</v>
      </c>
      <c r="AL26" s="231" t="s">
        <v>95</v>
      </c>
      <c r="AM26" s="231" t="s">
        <v>88</v>
      </c>
      <c r="AN26" s="449"/>
      <c r="AO26" s="231" t="s">
        <v>93</v>
      </c>
      <c r="AP26" s="231" t="s">
        <v>94</v>
      </c>
      <c r="AQ26" s="231" t="s">
        <v>95</v>
      </c>
      <c r="AR26" s="231" t="s">
        <v>88</v>
      </c>
      <c r="AS26" s="449"/>
      <c r="AT26" s="231" t="s">
        <v>93</v>
      </c>
      <c r="AU26" s="231" t="s">
        <v>94</v>
      </c>
      <c r="AV26" s="231" t="s">
        <v>95</v>
      </c>
      <c r="AW26" s="231" t="s">
        <v>88</v>
      </c>
      <c r="AX26" s="449"/>
    </row>
    <row r="27" spans="2:50">
      <c r="B27" s="449" t="s">
        <v>73</v>
      </c>
      <c r="C27" s="232">
        <v>1</v>
      </c>
      <c r="D27" s="232" t="s">
        <v>114</v>
      </c>
      <c r="E27" s="233">
        <f>VLOOKUP(D27,'12產線配置圖 (2)'!$A$2:$C$30,2,0)</f>
        <v>13</v>
      </c>
      <c r="F27" s="233">
        <f>VLOOKUP(D27,'12產線配置圖 (2)'!$A$2:$C$30,3,0)</f>
        <v>1565</v>
      </c>
      <c r="G27" s="234">
        <f>F27/E27</f>
        <v>120.38461538461539</v>
      </c>
      <c r="H27" s="445">
        <f>AVERAGE(G27:G41)</f>
        <v>127.07264957264958</v>
      </c>
      <c r="I27" s="233">
        <f>AVERAGE(P27,U27,Z27,AE27,AJ27,AO27,AT27)</f>
        <v>12.714285714285714</v>
      </c>
      <c r="J27" s="233">
        <f>AVERAGE(Q27,V27,AA27,AF27,AK27,AP27,AU27)</f>
        <v>1415.5714285714287</v>
      </c>
      <c r="K27" s="234">
        <f>AVERAGE(R27,W27,AB27,AG27,AL27,AQ27,AV27)</f>
        <v>111.38369963369964</v>
      </c>
      <c r="L27" s="445">
        <f>IFERROR(AVERAGE(K27:K41),"-")</f>
        <v>103.40192585192585</v>
      </c>
      <c r="M27" s="235">
        <f>RANK(K27, K$27:$K$41)</f>
        <v>2</v>
      </c>
      <c r="N27" s="449"/>
      <c r="O27" s="449"/>
      <c r="P27" s="233">
        <v>13</v>
      </c>
      <c r="Q27" s="233">
        <v>1436</v>
      </c>
      <c r="R27" s="234">
        <f>Q27/P27</f>
        <v>110.46153846153847</v>
      </c>
      <c r="S27" s="232">
        <f>RANK(R27, $R$27:$R$41)</f>
        <v>2</v>
      </c>
      <c r="T27" s="448">
        <f>AVERAGE(R27:R41)</f>
        <v>104.20940170940172</v>
      </c>
      <c r="U27" s="233">
        <v>13</v>
      </c>
      <c r="V27" s="233">
        <v>1335</v>
      </c>
      <c r="W27" s="234">
        <f>V27/U27</f>
        <v>102.69230769230769</v>
      </c>
      <c r="X27" s="232">
        <f>RANK(W27, $W$27:$W$41)</f>
        <v>2</v>
      </c>
      <c r="Y27" s="448">
        <f>AVERAGE(W27:W41)</f>
        <v>93.258547008546998</v>
      </c>
      <c r="Z27" s="233">
        <v>12</v>
      </c>
      <c r="AA27" s="233">
        <v>1285</v>
      </c>
      <c r="AB27" s="234">
        <f>AA27/Z27</f>
        <v>107.08333333333333</v>
      </c>
      <c r="AC27" s="232">
        <f>RANK(AB27, $AB$27:$AB$29)</f>
        <v>2</v>
      </c>
      <c r="AD27" s="448">
        <f>AVERAGE(AB27:AB41)</f>
        <v>107.1489898989899</v>
      </c>
      <c r="AE27" s="233">
        <v>12</v>
      </c>
      <c r="AF27" s="233">
        <v>1438</v>
      </c>
      <c r="AG27" s="234">
        <f>AF27/AE27</f>
        <v>119.83333333333333</v>
      </c>
      <c r="AH27" s="232">
        <f>RANK(AG27, $AG$27:$AG$29)</f>
        <v>1</v>
      </c>
      <c r="AI27" s="448">
        <f>AVERAGE(AG27:AG41)</f>
        <v>100.32575757575758</v>
      </c>
      <c r="AJ27" s="233">
        <v>13</v>
      </c>
      <c r="AK27" s="233">
        <v>1416</v>
      </c>
      <c r="AL27" s="234">
        <f>AK27/AJ27</f>
        <v>108.92307692307692</v>
      </c>
      <c r="AM27" s="232">
        <f>RANK(AL27, $AL$27:$AL$29)</f>
        <v>2</v>
      </c>
      <c r="AN27" s="448">
        <f>AVERAGE(AL27:AL41)</f>
        <v>109.57435897435897</v>
      </c>
      <c r="AO27" s="233">
        <v>13</v>
      </c>
      <c r="AP27" s="233">
        <v>1531</v>
      </c>
      <c r="AQ27" s="234">
        <f>AP27/AO27</f>
        <v>117.76923076923077</v>
      </c>
      <c r="AR27" s="232">
        <f>RANK(AQ27, $AQ$27:$AQ$41)</f>
        <v>2</v>
      </c>
      <c r="AS27" s="448">
        <f>AVERAGE(AQ27:AQ41)</f>
        <v>104.44327894327894</v>
      </c>
      <c r="AT27" s="233">
        <v>13</v>
      </c>
      <c r="AU27" s="233">
        <v>1468</v>
      </c>
      <c r="AV27" s="234">
        <f>AU27/AT27</f>
        <v>112.92307692307692</v>
      </c>
      <c r="AW27" s="232">
        <f>RANK(AV27, $AV$27:$AV$41)</f>
        <v>2</v>
      </c>
      <c r="AX27" s="448">
        <f>AVERAGE(AV27:AV41)</f>
        <v>104.85314685314684</v>
      </c>
    </row>
    <row r="28" spans="2:50">
      <c r="B28" s="444"/>
      <c r="C28" s="232">
        <v>2</v>
      </c>
      <c r="D28" s="232" t="s">
        <v>115</v>
      </c>
      <c r="E28" s="233">
        <f>VLOOKUP(D28,'12產線配置圖 (2)'!$A$2:$C$30,2,0)</f>
        <v>12</v>
      </c>
      <c r="F28" s="233">
        <f>VLOOKUP(D28,'12產線配置圖 (2)'!$A$2:$C$30,3,0)</f>
        <v>1565</v>
      </c>
      <c r="G28" s="234">
        <f>F28/E28</f>
        <v>130.41666666666666</v>
      </c>
      <c r="H28" s="446"/>
      <c r="I28" s="233">
        <f t="shared" ref="I28:K29" si="13">AVERAGE(P28,U28,Z28,AE28,AJ28,AO28,AT28)</f>
        <v>11.428571428571429</v>
      </c>
      <c r="J28" s="233">
        <f t="shared" si="13"/>
        <v>1324.5714285714287</v>
      </c>
      <c r="K28" s="234">
        <f t="shared" si="13"/>
        <v>115.87012987012987</v>
      </c>
      <c r="L28" s="446"/>
      <c r="M28" s="235">
        <f>RANK(K28, K$27:$K$41)</f>
        <v>1</v>
      </c>
      <c r="N28" s="449"/>
      <c r="O28" s="449"/>
      <c r="P28" s="233">
        <v>12</v>
      </c>
      <c r="Q28" s="233">
        <v>1379</v>
      </c>
      <c r="R28" s="234">
        <f>Q28/P28</f>
        <v>114.91666666666667</v>
      </c>
      <c r="S28" s="232">
        <f>RANK(R28, $R$27:$R$41)</f>
        <v>1</v>
      </c>
      <c r="T28" s="448"/>
      <c r="U28" s="233">
        <v>12</v>
      </c>
      <c r="V28" s="233">
        <v>1300</v>
      </c>
      <c r="W28" s="234">
        <f>V28/U28</f>
        <v>108.33333333333333</v>
      </c>
      <c r="X28" s="232">
        <f>RANK(W28, $W$27:$W$41)</f>
        <v>1</v>
      </c>
      <c r="Y28" s="448"/>
      <c r="Z28" s="233">
        <v>11</v>
      </c>
      <c r="AA28" s="233">
        <v>1214</v>
      </c>
      <c r="AB28" s="234">
        <f>AA28/Z28</f>
        <v>110.36363636363636</v>
      </c>
      <c r="AC28" s="232">
        <f>RANK(AB28, $AB$27:$AB$29)</f>
        <v>1</v>
      </c>
      <c r="AD28" s="448"/>
      <c r="AE28" s="233">
        <v>12</v>
      </c>
      <c r="AF28" s="233">
        <v>1373</v>
      </c>
      <c r="AG28" s="234">
        <f>AF28/AE28</f>
        <v>114.41666666666667</v>
      </c>
      <c r="AH28" s="232">
        <f>RANK(AG28, $AG$27:$AG$29)</f>
        <v>2</v>
      </c>
      <c r="AI28" s="448"/>
      <c r="AJ28" s="333">
        <v>10</v>
      </c>
      <c r="AK28" s="233">
        <v>1165</v>
      </c>
      <c r="AL28" s="234">
        <f>AK28/AJ28</f>
        <v>116.5</v>
      </c>
      <c r="AM28" s="232">
        <f>RANK(AL28, $AL$27:$AL$29)</f>
        <v>1</v>
      </c>
      <c r="AN28" s="448"/>
      <c r="AO28" s="233">
        <v>12</v>
      </c>
      <c r="AP28" s="233">
        <v>1546</v>
      </c>
      <c r="AQ28" s="234">
        <f>AP28/AO28</f>
        <v>128.83333333333334</v>
      </c>
      <c r="AR28" s="232">
        <f>RANK(AQ28, $AQ$27:$AQ$41)</f>
        <v>1</v>
      </c>
      <c r="AS28" s="448"/>
      <c r="AT28" s="233">
        <v>11</v>
      </c>
      <c r="AU28" s="233">
        <v>1295</v>
      </c>
      <c r="AV28" s="234">
        <f>AU28/AT28</f>
        <v>117.72727272727273</v>
      </c>
      <c r="AW28" s="232">
        <f>RANK(AV28, $AV$27:$AV$41)</f>
        <v>1</v>
      </c>
      <c r="AX28" s="448"/>
    </row>
    <row r="29" spans="2:50">
      <c r="B29" s="444"/>
      <c r="C29" s="232">
        <v>3</v>
      </c>
      <c r="D29" s="232" t="s">
        <v>116</v>
      </c>
      <c r="E29" s="233">
        <f>VLOOKUP(D29,'12產線配置圖 (2)'!$A$2:$C$30,2,0)</f>
        <v>12</v>
      </c>
      <c r="F29" s="233">
        <f>VLOOKUP(D29,'12產線配置圖 (2)'!$A$2:$C$30,3,0)</f>
        <v>1565</v>
      </c>
      <c r="G29" s="234">
        <f>F29/E29</f>
        <v>130.41666666666666</v>
      </c>
      <c r="H29" s="446"/>
      <c r="I29" s="233">
        <f t="shared" si="13"/>
        <v>11.142857142857142</v>
      </c>
      <c r="J29" s="233">
        <f t="shared" si="13"/>
        <v>920</v>
      </c>
      <c r="K29" s="234">
        <f t="shared" si="13"/>
        <v>82.951948051948065</v>
      </c>
      <c r="L29" s="446"/>
      <c r="M29" s="235">
        <f>RANK(K29, K$27:$K$41)</f>
        <v>3</v>
      </c>
      <c r="N29" s="449"/>
      <c r="O29" s="449"/>
      <c r="P29" s="233">
        <v>12</v>
      </c>
      <c r="Q29" s="233">
        <v>1047</v>
      </c>
      <c r="R29" s="234">
        <f>Q29/P29</f>
        <v>87.25</v>
      </c>
      <c r="S29" s="232">
        <f>RANK(R29, $R$27:$R$41)</f>
        <v>3</v>
      </c>
      <c r="T29" s="448"/>
      <c r="U29" s="233">
        <v>12</v>
      </c>
      <c r="V29" s="233">
        <v>825</v>
      </c>
      <c r="W29" s="337">
        <f>V29/U29</f>
        <v>68.75</v>
      </c>
      <c r="X29" s="232">
        <f>RANK(W29, $W$27:$W$41)</f>
        <v>3</v>
      </c>
      <c r="Y29" s="448"/>
      <c r="Z29" s="233">
        <v>11</v>
      </c>
      <c r="AA29" s="233">
        <v>1144</v>
      </c>
      <c r="AB29" s="234">
        <f>AA29/Z29</f>
        <v>104</v>
      </c>
      <c r="AC29" s="232">
        <f>RANK(AB29, $AB$27:$AB$29)</f>
        <v>3</v>
      </c>
      <c r="AD29" s="448"/>
      <c r="AE29" s="233">
        <v>11</v>
      </c>
      <c r="AF29" s="233">
        <v>734</v>
      </c>
      <c r="AG29" s="234">
        <f>AF29/AE29</f>
        <v>66.727272727272734</v>
      </c>
      <c r="AH29" s="232">
        <f>RANK(AG29, $AG$27:$AG$29)</f>
        <v>3</v>
      </c>
      <c r="AI29" s="448"/>
      <c r="AJ29" s="333">
        <v>10</v>
      </c>
      <c r="AK29" s="233">
        <v>1033</v>
      </c>
      <c r="AL29" s="234">
        <f>AK29/AJ29</f>
        <v>103.3</v>
      </c>
      <c r="AM29" s="232">
        <f>RANK(AL29, $AL$27:$AL$29)</f>
        <v>3</v>
      </c>
      <c r="AN29" s="448"/>
      <c r="AO29" s="233">
        <v>11</v>
      </c>
      <c r="AP29" s="233">
        <v>734</v>
      </c>
      <c r="AQ29" s="234">
        <f>AP29/AO29</f>
        <v>66.727272727272734</v>
      </c>
      <c r="AR29" s="232">
        <f>RANK(AQ29, $AQ$27:$AQ$41)</f>
        <v>3</v>
      </c>
      <c r="AS29" s="448"/>
      <c r="AT29" s="233">
        <v>11</v>
      </c>
      <c r="AU29" s="233">
        <v>923</v>
      </c>
      <c r="AV29" s="234">
        <f>AU29/AT29</f>
        <v>83.909090909090907</v>
      </c>
      <c r="AW29" s="232">
        <f>RANK(AV29, $AV$27:$AV$41)</f>
        <v>3</v>
      </c>
      <c r="AX29" s="448"/>
    </row>
    <row r="30" spans="2:50">
      <c r="B30" s="444"/>
      <c r="C30" s="232">
        <v>4</v>
      </c>
      <c r="D30" s="232"/>
      <c r="E30" s="233"/>
      <c r="F30" s="233"/>
      <c r="G30" s="234"/>
      <c r="H30" s="446"/>
      <c r="I30" s="233"/>
      <c r="J30" s="233"/>
      <c r="K30" s="234"/>
      <c r="L30" s="446"/>
      <c r="M30" s="235"/>
      <c r="N30" s="449"/>
      <c r="O30" s="449"/>
      <c r="P30" s="233"/>
      <c r="Q30" s="233"/>
      <c r="R30" s="232"/>
      <c r="S30" s="232"/>
      <c r="T30" s="448"/>
      <c r="U30" s="233"/>
      <c r="V30" s="233"/>
      <c r="W30" s="232"/>
      <c r="X30" s="232"/>
      <c r="Y30" s="448"/>
      <c r="Z30" s="233"/>
      <c r="AA30" s="233"/>
      <c r="AB30" s="232"/>
      <c r="AC30" s="232"/>
      <c r="AD30" s="448"/>
      <c r="AE30" s="233"/>
      <c r="AF30" s="233"/>
      <c r="AG30" s="232"/>
      <c r="AH30" s="232"/>
      <c r="AI30" s="448"/>
      <c r="AJ30" s="233"/>
      <c r="AK30" s="233"/>
      <c r="AL30" s="232"/>
      <c r="AM30" s="232"/>
      <c r="AN30" s="448"/>
      <c r="AO30" s="233"/>
      <c r="AP30" s="233"/>
      <c r="AQ30" s="232"/>
      <c r="AR30" s="232"/>
      <c r="AS30" s="448"/>
      <c r="AT30" s="233"/>
      <c r="AU30" s="233"/>
      <c r="AV30" s="232"/>
      <c r="AW30" s="232"/>
      <c r="AX30" s="448"/>
    </row>
    <row r="31" spans="2:50">
      <c r="B31" s="444"/>
      <c r="C31" s="232">
        <v>5</v>
      </c>
      <c r="D31" s="232"/>
      <c r="E31" s="233"/>
      <c r="F31" s="233"/>
      <c r="G31" s="234"/>
      <c r="H31" s="446"/>
      <c r="I31" s="233"/>
      <c r="J31" s="233"/>
      <c r="K31" s="234"/>
      <c r="L31" s="446"/>
      <c r="M31" s="235"/>
      <c r="N31" s="449"/>
      <c r="O31" s="449"/>
      <c r="P31" s="233"/>
      <c r="Q31" s="233"/>
      <c r="R31" s="232"/>
      <c r="S31" s="232"/>
      <c r="T31" s="448"/>
      <c r="U31" s="233"/>
      <c r="V31" s="233"/>
      <c r="W31" s="232"/>
      <c r="X31" s="232"/>
      <c r="Y31" s="448"/>
      <c r="Z31" s="233"/>
      <c r="AA31" s="233"/>
      <c r="AB31" s="232"/>
      <c r="AC31" s="232"/>
      <c r="AD31" s="448"/>
      <c r="AE31" s="233"/>
      <c r="AF31" s="233"/>
      <c r="AG31" s="232"/>
      <c r="AH31" s="232"/>
      <c r="AI31" s="448"/>
      <c r="AJ31" s="233"/>
      <c r="AK31" s="233"/>
      <c r="AL31" s="232"/>
      <c r="AM31" s="232"/>
      <c r="AN31" s="448"/>
      <c r="AO31" s="233"/>
      <c r="AP31" s="233"/>
      <c r="AQ31" s="232"/>
      <c r="AR31" s="232"/>
      <c r="AS31" s="448"/>
      <c r="AT31" s="233"/>
      <c r="AU31" s="233"/>
      <c r="AV31" s="232"/>
      <c r="AW31" s="232"/>
      <c r="AX31" s="448"/>
    </row>
    <row r="32" spans="2:50">
      <c r="B32" s="444"/>
      <c r="C32" s="232">
        <v>6</v>
      </c>
      <c r="D32" s="232"/>
      <c r="E32" s="233"/>
      <c r="F32" s="233"/>
      <c r="G32" s="234"/>
      <c r="H32" s="446"/>
      <c r="I32" s="233"/>
      <c r="J32" s="233"/>
      <c r="K32" s="234"/>
      <c r="L32" s="446"/>
      <c r="M32" s="235"/>
      <c r="N32" s="449"/>
      <c r="O32" s="449"/>
      <c r="P32" s="233"/>
      <c r="Q32" s="233"/>
      <c r="R32" s="232"/>
      <c r="S32" s="232"/>
      <c r="T32" s="448"/>
      <c r="U32" s="233"/>
      <c r="V32" s="233"/>
      <c r="W32" s="232"/>
      <c r="X32" s="232"/>
      <c r="Y32" s="448"/>
      <c r="Z32" s="233"/>
      <c r="AA32" s="233"/>
      <c r="AB32" s="232"/>
      <c r="AC32" s="232"/>
      <c r="AD32" s="448"/>
      <c r="AE32" s="233"/>
      <c r="AF32" s="233"/>
      <c r="AG32" s="232"/>
      <c r="AH32" s="232"/>
      <c r="AI32" s="448"/>
      <c r="AJ32" s="233"/>
      <c r="AK32" s="233"/>
      <c r="AL32" s="232"/>
      <c r="AM32" s="232"/>
      <c r="AN32" s="448"/>
      <c r="AO32" s="233"/>
      <c r="AP32" s="233"/>
      <c r="AQ32" s="232"/>
      <c r="AR32" s="232"/>
      <c r="AS32" s="448"/>
      <c r="AT32" s="233"/>
      <c r="AU32" s="233"/>
      <c r="AV32" s="232"/>
      <c r="AW32" s="232"/>
      <c r="AX32" s="448"/>
    </row>
    <row r="33" spans="2:50">
      <c r="B33" s="444"/>
      <c r="C33" s="232">
        <v>7</v>
      </c>
      <c r="D33" s="232"/>
      <c r="E33" s="233"/>
      <c r="F33" s="233"/>
      <c r="G33" s="234"/>
      <c r="H33" s="446"/>
      <c r="I33" s="233"/>
      <c r="J33" s="233"/>
      <c r="K33" s="234"/>
      <c r="L33" s="446"/>
      <c r="M33" s="235"/>
      <c r="N33" s="449"/>
      <c r="O33" s="449"/>
      <c r="P33" s="233"/>
      <c r="Q33" s="233"/>
      <c r="R33" s="232"/>
      <c r="S33" s="232"/>
      <c r="T33" s="448"/>
      <c r="U33" s="233"/>
      <c r="V33" s="233"/>
      <c r="W33" s="232"/>
      <c r="X33" s="232"/>
      <c r="Y33" s="448"/>
      <c r="Z33" s="233"/>
      <c r="AA33" s="233"/>
      <c r="AB33" s="232"/>
      <c r="AC33" s="232"/>
      <c r="AD33" s="448"/>
      <c r="AE33" s="233"/>
      <c r="AF33" s="233"/>
      <c r="AG33" s="232"/>
      <c r="AH33" s="232"/>
      <c r="AI33" s="448"/>
      <c r="AJ33" s="233"/>
      <c r="AK33" s="233"/>
      <c r="AL33" s="232"/>
      <c r="AM33" s="232"/>
      <c r="AN33" s="448"/>
      <c r="AO33" s="233"/>
      <c r="AP33" s="233"/>
      <c r="AQ33" s="232"/>
      <c r="AR33" s="232"/>
      <c r="AS33" s="448"/>
      <c r="AT33" s="233"/>
      <c r="AU33" s="233"/>
      <c r="AV33" s="232"/>
      <c r="AW33" s="232"/>
      <c r="AX33" s="448"/>
    </row>
    <row r="34" spans="2:50">
      <c r="B34" s="444"/>
      <c r="C34" s="232">
        <v>8</v>
      </c>
      <c r="D34" s="232"/>
      <c r="E34" s="232"/>
      <c r="F34" s="232"/>
      <c r="G34" s="232"/>
      <c r="H34" s="446"/>
      <c r="I34" s="233"/>
      <c r="J34" s="233"/>
      <c r="K34" s="234"/>
      <c r="L34" s="446"/>
      <c r="M34" s="235"/>
      <c r="N34" s="449"/>
      <c r="O34" s="449"/>
      <c r="P34" s="233"/>
      <c r="Q34" s="233"/>
      <c r="R34" s="232"/>
      <c r="S34" s="232"/>
      <c r="T34" s="448"/>
      <c r="U34" s="233"/>
      <c r="V34" s="233"/>
      <c r="W34" s="232"/>
      <c r="X34" s="232"/>
      <c r="Y34" s="448"/>
      <c r="Z34" s="233"/>
      <c r="AA34" s="233"/>
      <c r="AB34" s="232"/>
      <c r="AC34" s="232"/>
      <c r="AD34" s="448"/>
      <c r="AE34" s="233"/>
      <c r="AF34" s="233"/>
      <c r="AG34" s="232"/>
      <c r="AH34" s="232"/>
      <c r="AI34" s="448"/>
      <c r="AJ34" s="233"/>
      <c r="AK34" s="233"/>
      <c r="AL34" s="232"/>
      <c r="AM34" s="232"/>
      <c r="AN34" s="448"/>
      <c r="AO34" s="233"/>
      <c r="AP34" s="233"/>
      <c r="AQ34" s="232"/>
      <c r="AR34" s="232"/>
      <c r="AS34" s="448"/>
      <c r="AT34" s="233"/>
      <c r="AU34" s="233"/>
      <c r="AV34" s="232"/>
      <c r="AW34" s="232"/>
      <c r="AX34" s="448"/>
    </row>
    <row r="35" spans="2:50">
      <c r="B35" s="444"/>
      <c r="C35" s="232">
        <v>9</v>
      </c>
      <c r="D35" s="232"/>
      <c r="E35" s="232"/>
      <c r="F35" s="232"/>
      <c r="G35" s="232"/>
      <c r="H35" s="446"/>
      <c r="I35" s="233"/>
      <c r="J35" s="233"/>
      <c r="K35" s="234"/>
      <c r="L35" s="446"/>
      <c r="M35" s="235"/>
      <c r="N35" s="449"/>
      <c r="O35" s="449"/>
      <c r="P35" s="233"/>
      <c r="Q35" s="233"/>
      <c r="R35" s="232"/>
      <c r="S35" s="232"/>
      <c r="T35" s="448"/>
      <c r="U35" s="233"/>
      <c r="V35" s="233"/>
      <c r="W35" s="232"/>
      <c r="X35" s="232"/>
      <c r="Y35" s="448"/>
      <c r="Z35" s="233"/>
      <c r="AA35" s="233"/>
      <c r="AB35" s="232"/>
      <c r="AC35" s="232"/>
      <c r="AD35" s="448"/>
      <c r="AE35" s="233"/>
      <c r="AF35" s="233"/>
      <c r="AG35" s="232"/>
      <c r="AH35" s="232"/>
      <c r="AI35" s="448"/>
      <c r="AJ35" s="233"/>
      <c r="AK35" s="233"/>
      <c r="AL35" s="232"/>
      <c r="AM35" s="232"/>
      <c r="AN35" s="448"/>
      <c r="AO35" s="233"/>
      <c r="AP35" s="233"/>
      <c r="AQ35" s="232"/>
      <c r="AR35" s="232"/>
      <c r="AS35" s="448"/>
      <c r="AT35" s="233"/>
      <c r="AU35" s="233"/>
      <c r="AV35" s="232"/>
      <c r="AW35" s="232"/>
      <c r="AX35" s="448"/>
    </row>
    <row r="36" spans="2:50">
      <c r="B36" s="444"/>
      <c r="C36" s="232">
        <v>10</v>
      </c>
      <c r="D36" s="232"/>
      <c r="E36" s="232"/>
      <c r="F36" s="232"/>
      <c r="G36" s="232"/>
      <c r="H36" s="446"/>
      <c r="I36" s="233"/>
      <c r="J36" s="233"/>
      <c r="K36" s="234"/>
      <c r="L36" s="446"/>
      <c r="M36" s="235"/>
      <c r="N36" s="449"/>
      <c r="O36" s="449"/>
      <c r="P36" s="233"/>
      <c r="Q36" s="233"/>
      <c r="R36" s="232"/>
      <c r="S36" s="232"/>
      <c r="T36" s="448"/>
      <c r="U36" s="233"/>
      <c r="V36" s="233"/>
      <c r="W36" s="232"/>
      <c r="X36" s="232"/>
      <c r="Y36" s="448"/>
      <c r="Z36" s="233"/>
      <c r="AA36" s="233"/>
      <c r="AB36" s="232"/>
      <c r="AC36" s="232"/>
      <c r="AD36" s="448"/>
      <c r="AE36" s="233"/>
      <c r="AF36" s="233"/>
      <c r="AG36" s="232"/>
      <c r="AH36" s="232"/>
      <c r="AI36" s="448"/>
      <c r="AJ36" s="233"/>
      <c r="AK36" s="233"/>
      <c r="AL36" s="232"/>
      <c r="AM36" s="232"/>
      <c r="AN36" s="448"/>
      <c r="AO36" s="233"/>
      <c r="AP36" s="233"/>
      <c r="AQ36" s="232"/>
      <c r="AR36" s="232"/>
      <c r="AS36" s="448"/>
      <c r="AT36" s="233"/>
      <c r="AU36" s="233"/>
      <c r="AV36" s="232"/>
      <c r="AW36" s="232"/>
      <c r="AX36" s="448"/>
    </row>
    <row r="37" spans="2:50">
      <c r="B37" s="444"/>
      <c r="C37" s="232">
        <v>11</v>
      </c>
      <c r="D37" s="232"/>
      <c r="E37" s="232"/>
      <c r="F37" s="232"/>
      <c r="G37" s="232"/>
      <c r="H37" s="446"/>
      <c r="I37" s="233"/>
      <c r="J37" s="233"/>
      <c r="K37" s="234"/>
      <c r="L37" s="446"/>
      <c r="M37" s="235"/>
      <c r="N37" s="449"/>
      <c r="O37" s="449"/>
      <c r="P37" s="232"/>
      <c r="Q37" s="232"/>
      <c r="R37" s="232"/>
      <c r="S37" s="232"/>
      <c r="T37" s="448"/>
      <c r="U37" s="232"/>
      <c r="V37" s="232"/>
      <c r="W37" s="232"/>
      <c r="X37" s="232"/>
      <c r="Y37" s="448"/>
      <c r="Z37" s="232"/>
      <c r="AA37" s="232"/>
      <c r="AB37" s="232"/>
      <c r="AC37" s="232"/>
      <c r="AD37" s="448"/>
      <c r="AE37" s="232"/>
      <c r="AF37" s="232"/>
      <c r="AG37" s="232"/>
      <c r="AH37" s="232"/>
      <c r="AI37" s="448"/>
      <c r="AJ37" s="232"/>
      <c r="AK37" s="232"/>
      <c r="AL37" s="232"/>
      <c r="AM37" s="232"/>
      <c r="AN37" s="448"/>
      <c r="AO37" s="232"/>
      <c r="AP37" s="232"/>
      <c r="AQ37" s="232"/>
      <c r="AR37" s="232"/>
      <c r="AS37" s="448"/>
      <c r="AT37" s="232"/>
      <c r="AU37" s="232"/>
      <c r="AV37" s="232"/>
      <c r="AW37" s="232"/>
      <c r="AX37" s="448"/>
    </row>
    <row r="38" spans="2:50">
      <c r="B38" s="444"/>
      <c r="C38" s="232">
        <v>12</v>
      </c>
      <c r="D38" s="232"/>
      <c r="E38" s="232"/>
      <c r="F38" s="232"/>
      <c r="G38" s="232"/>
      <c r="H38" s="446"/>
      <c r="I38" s="233"/>
      <c r="J38" s="233"/>
      <c r="K38" s="234"/>
      <c r="L38" s="446"/>
      <c r="M38" s="235"/>
      <c r="N38" s="449"/>
      <c r="O38" s="449"/>
      <c r="P38" s="232"/>
      <c r="Q38" s="232"/>
      <c r="R38" s="232"/>
      <c r="S38" s="232"/>
      <c r="T38" s="448"/>
      <c r="U38" s="232"/>
      <c r="V38" s="232"/>
      <c r="W38" s="232"/>
      <c r="X38" s="232"/>
      <c r="Y38" s="448"/>
      <c r="Z38" s="232"/>
      <c r="AA38" s="232"/>
      <c r="AB38" s="232"/>
      <c r="AC38" s="232"/>
      <c r="AD38" s="448"/>
      <c r="AE38" s="232"/>
      <c r="AF38" s="232"/>
      <c r="AG38" s="232"/>
      <c r="AH38" s="232"/>
      <c r="AI38" s="448"/>
      <c r="AJ38" s="232"/>
      <c r="AK38" s="232"/>
      <c r="AL38" s="232"/>
      <c r="AM38" s="232"/>
      <c r="AN38" s="448"/>
      <c r="AO38" s="232"/>
      <c r="AP38" s="232"/>
      <c r="AQ38" s="232"/>
      <c r="AR38" s="232"/>
      <c r="AS38" s="448"/>
      <c r="AT38" s="232"/>
      <c r="AU38" s="232"/>
      <c r="AV38" s="232"/>
      <c r="AW38" s="232"/>
      <c r="AX38" s="448"/>
    </row>
    <row r="39" spans="2:50">
      <c r="B39" s="444"/>
      <c r="C39" s="232">
        <v>13</v>
      </c>
      <c r="D39" s="232"/>
      <c r="E39" s="232"/>
      <c r="F39" s="232"/>
      <c r="G39" s="232"/>
      <c r="H39" s="446"/>
      <c r="I39" s="233"/>
      <c r="J39" s="233"/>
      <c r="K39" s="234"/>
      <c r="L39" s="446"/>
      <c r="M39" s="235"/>
      <c r="N39" s="449"/>
      <c r="O39" s="449"/>
      <c r="P39" s="232"/>
      <c r="Q39" s="232"/>
      <c r="R39" s="232"/>
      <c r="S39" s="232"/>
      <c r="T39" s="448"/>
      <c r="U39" s="232"/>
      <c r="V39" s="232"/>
      <c r="W39" s="232"/>
      <c r="X39" s="232"/>
      <c r="Y39" s="448"/>
      <c r="Z39" s="232"/>
      <c r="AA39" s="232"/>
      <c r="AB39" s="232"/>
      <c r="AC39" s="232"/>
      <c r="AD39" s="448"/>
      <c r="AE39" s="232"/>
      <c r="AF39" s="232"/>
      <c r="AG39" s="232"/>
      <c r="AH39" s="232"/>
      <c r="AI39" s="448"/>
      <c r="AJ39" s="232"/>
      <c r="AK39" s="232"/>
      <c r="AL39" s="232"/>
      <c r="AM39" s="232"/>
      <c r="AN39" s="448"/>
      <c r="AO39" s="232"/>
      <c r="AP39" s="232"/>
      <c r="AQ39" s="232"/>
      <c r="AR39" s="232"/>
      <c r="AS39" s="448"/>
      <c r="AT39" s="232"/>
      <c r="AU39" s="232"/>
      <c r="AV39" s="232"/>
      <c r="AW39" s="232"/>
      <c r="AX39" s="448"/>
    </row>
    <row r="40" spans="2:50">
      <c r="B40" s="444"/>
      <c r="C40" s="232">
        <v>14</v>
      </c>
      <c r="D40" s="232"/>
      <c r="E40" s="232"/>
      <c r="F40" s="232"/>
      <c r="G40" s="232"/>
      <c r="H40" s="446"/>
      <c r="I40" s="233"/>
      <c r="J40" s="233"/>
      <c r="K40" s="234"/>
      <c r="L40" s="446"/>
      <c r="M40" s="235"/>
      <c r="N40" s="449"/>
      <c r="O40" s="449"/>
      <c r="P40" s="232"/>
      <c r="Q40" s="232"/>
      <c r="R40" s="232"/>
      <c r="S40" s="232"/>
      <c r="T40" s="448"/>
      <c r="U40" s="232"/>
      <c r="V40" s="232"/>
      <c r="W40" s="232"/>
      <c r="X40" s="232"/>
      <c r="Y40" s="448"/>
      <c r="Z40" s="232"/>
      <c r="AA40" s="232"/>
      <c r="AB40" s="232"/>
      <c r="AC40" s="232"/>
      <c r="AD40" s="448"/>
      <c r="AE40" s="232"/>
      <c r="AF40" s="232"/>
      <c r="AG40" s="232"/>
      <c r="AH40" s="232"/>
      <c r="AI40" s="448"/>
      <c r="AJ40" s="232"/>
      <c r="AK40" s="232"/>
      <c r="AL40" s="232"/>
      <c r="AM40" s="232"/>
      <c r="AN40" s="448"/>
      <c r="AO40" s="232"/>
      <c r="AP40" s="232"/>
      <c r="AQ40" s="232"/>
      <c r="AR40" s="232"/>
      <c r="AS40" s="448"/>
      <c r="AT40" s="232"/>
      <c r="AU40" s="232"/>
      <c r="AV40" s="232"/>
      <c r="AW40" s="232"/>
      <c r="AX40" s="448"/>
    </row>
    <row r="41" spans="2:50">
      <c r="B41" s="444"/>
      <c r="C41" s="232">
        <v>15</v>
      </c>
      <c r="D41" s="232"/>
      <c r="E41" s="232"/>
      <c r="F41" s="232"/>
      <c r="G41" s="232"/>
      <c r="H41" s="447"/>
      <c r="I41" s="233"/>
      <c r="J41" s="233"/>
      <c r="K41" s="234"/>
      <c r="L41" s="447"/>
      <c r="M41" s="233"/>
      <c r="N41" s="449"/>
      <c r="O41" s="449"/>
      <c r="P41" s="232"/>
      <c r="Q41" s="232"/>
      <c r="R41" s="232"/>
      <c r="S41" s="232"/>
      <c r="T41" s="448"/>
      <c r="U41" s="232"/>
      <c r="V41" s="232"/>
      <c r="W41" s="232"/>
      <c r="X41" s="232"/>
      <c r="Y41" s="448"/>
      <c r="Z41" s="232"/>
      <c r="AA41" s="232"/>
      <c r="AB41" s="232"/>
      <c r="AC41" s="232"/>
      <c r="AD41" s="448"/>
      <c r="AE41" s="232"/>
      <c r="AF41" s="232"/>
      <c r="AG41" s="232"/>
      <c r="AH41" s="232"/>
      <c r="AI41" s="448"/>
      <c r="AJ41" s="232"/>
      <c r="AK41" s="232"/>
      <c r="AL41" s="232"/>
      <c r="AM41" s="232"/>
      <c r="AN41" s="448"/>
      <c r="AO41" s="232"/>
      <c r="AP41" s="232"/>
      <c r="AQ41" s="232"/>
      <c r="AR41" s="232"/>
      <c r="AS41" s="448"/>
      <c r="AT41" s="232"/>
      <c r="AU41" s="232"/>
      <c r="AV41" s="232"/>
      <c r="AW41" s="232"/>
      <c r="AX41" s="448"/>
    </row>
    <row r="42" spans="2:50" ht="15.6">
      <c r="B42" s="474" t="s">
        <v>82</v>
      </c>
      <c r="C42" s="475"/>
      <c r="D42" s="475"/>
      <c r="E42" s="475"/>
      <c r="F42" s="475"/>
      <c r="G42" s="475"/>
      <c r="H42" s="475"/>
      <c r="I42" s="237"/>
      <c r="J42" s="226"/>
      <c r="K42" s="237"/>
      <c r="L42" s="237"/>
      <c r="M42" s="227"/>
      <c r="N42" s="461" t="s">
        <v>83</v>
      </c>
      <c r="O42" s="461" t="s">
        <v>43</v>
      </c>
      <c r="P42" s="457">
        <v>46035</v>
      </c>
      <c r="Q42" s="444"/>
      <c r="R42" s="444"/>
      <c r="S42" s="444"/>
      <c r="T42" s="444"/>
      <c r="U42" s="457">
        <v>46036</v>
      </c>
      <c r="V42" s="444"/>
      <c r="W42" s="444"/>
      <c r="X42" s="444"/>
      <c r="Y42" s="444"/>
      <c r="Z42" s="457">
        <v>46037</v>
      </c>
      <c r="AA42" s="444"/>
      <c r="AB42" s="444"/>
      <c r="AC42" s="444"/>
      <c r="AD42" s="444"/>
      <c r="AE42" s="457">
        <v>46038</v>
      </c>
      <c r="AF42" s="444"/>
      <c r="AG42" s="444"/>
      <c r="AH42" s="444"/>
      <c r="AI42" s="444"/>
      <c r="AJ42" s="457">
        <v>46039</v>
      </c>
      <c r="AK42" s="444"/>
      <c r="AL42" s="444"/>
      <c r="AM42" s="444"/>
      <c r="AN42" s="444"/>
      <c r="AO42" s="457">
        <v>46040</v>
      </c>
      <c r="AP42" s="444"/>
      <c r="AQ42" s="444"/>
      <c r="AR42" s="444"/>
      <c r="AS42" s="444"/>
      <c r="AT42" s="457">
        <v>46041</v>
      </c>
      <c r="AU42" s="444"/>
      <c r="AV42" s="444"/>
      <c r="AW42" s="444"/>
      <c r="AX42" s="444"/>
    </row>
    <row r="43" spans="2:50" ht="15.6">
      <c r="B43" s="460"/>
      <c r="C43" s="460"/>
      <c r="D43" s="460"/>
      <c r="E43" s="460"/>
      <c r="F43" s="460"/>
      <c r="G43" s="460"/>
      <c r="H43" s="460"/>
      <c r="I43" s="228"/>
      <c r="J43" s="228"/>
      <c r="K43" s="228"/>
      <c r="L43" s="228"/>
      <c r="M43" s="229"/>
      <c r="N43" s="462"/>
      <c r="O43" s="462"/>
      <c r="P43" s="457" t="s">
        <v>57</v>
      </c>
      <c r="Q43" s="444"/>
      <c r="R43" s="444"/>
      <c r="S43" s="444"/>
      <c r="T43" s="444"/>
      <c r="U43" s="457" t="s">
        <v>58</v>
      </c>
      <c r="V43" s="444"/>
      <c r="W43" s="444"/>
      <c r="X43" s="444"/>
      <c r="Y43" s="444"/>
      <c r="Z43" s="457" t="s">
        <v>54</v>
      </c>
      <c r="AA43" s="444"/>
      <c r="AB43" s="444"/>
      <c r="AC43" s="444"/>
      <c r="AD43" s="444"/>
      <c r="AE43" s="457" t="s">
        <v>55</v>
      </c>
      <c r="AF43" s="444"/>
      <c r="AG43" s="444"/>
      <c r="AH43" s="444"/>
      <c r="AI43" s="444"/>
      <c r="AJ43" s="457" t="s">
        <v>56</v>
      </c>
      <c r="AK43" s="444"/>
      <c r="AL43" s="444"/>
      <c r="AM43" s="444"/>
      <c r="AN43" s="444"/>
      <c r="AO43" s="457" t="s">
        <v>50</v>
      </c>
      <c r="AP43" s="444"/>
      <c r="AQ43" s="444"/>
      <c r="AR43" s="444"/>
      <c r="AS43" s="444"/>
      <c r="AT43" s="457" t="s">
        <v>53</v>
      </c>
      <c r="AU43" s="444"/>
      <c r="AV43" s="444"/>
      <c r="AW43" s="444"/>
      <c r="AX43" s="444"/>
    </row>
    <row r="44" spans="2:50">
      <c r="B44" s="449" t="s">
        <v>39</v>
      </c>
      <c r="C44" s="449" t="s">
        <v>84</v>
      </c>
      <c r="D44" s="449"/>
      <c r="E44" s="449" t="s">
        <v>85</v>
      </c>
      <c r="F44" s="449"/>
      <c r="G44" s="449"/>
      <c r="H44" s="454" t="s">
        <v>86</v>
      </c>
      <c r="I44" s="449" t="s">
        <v>87</v>
      </c>
      <c r="J44" s="449"/>
      <c r="K44" s="449"/>
      <c r="L44" s="454" t="s">
        <v>86</v>
      </c>
      <c r="M44" s="461" t="s">
        <v>88</v>
      </c>
      <c r="N44" s="449"/>
      <c r="O44" s="449" t="s">
        <v>89</v>
      </c>
      <c r="P44" s="450" t="s">
        <v>90</v>
      </c>
      <c r="Q44" s="451"/>
      <c r="R44" s="451"/>
      <c r="S44" s="452"/>
      <c r="T44" s="449" t="s">
        <v>86</v>
      </c>
      <c r="U44" s="450" t="s">
        <v>90</v>
      </c>
      <c r="V44" s="451"/>
      <c r="W44" s="451"/>
      <c r="X44" s="452"/>
      <c r="Y44" s="449" t="s">
        <v>86</v>
      </c>
      <c r="Z44" s="450" t="s">
        <v>90</v>
      </c>
      <c r="AA44" s="451"/>
      <c r="AB44" s="451"/>
      <c r="AC44" s="452"/>
      <c r="AD44" s="449" t="s">
        <v>86</v>
      </c>
      <c r="AE44" s="450" t="s">
        <v>90</v>
      </c>
      <c r="AF44" s="451"/>
      <c r="AG44" s="451"/>
      <c r="AH44" s="452"/>
      <c r="AI44" s="449" t="s">
        <v>86</v>
      </c>
      <c r="AJ44" s="450" t="s">
        <v>90</v>
      </c>
      <c r="AK44" s="451"/>
      <c r="AL44" s="451"/>
      <c r="AM44" s="452"/>
      <c r="AN44" s="449" t="s">
        <v>86</v>
      </c>
      <c r="AO44" s="450" t="s">
        <v>90</v>
      </c>
      <c r="AP44" s="451"/>
      <c r="AQ44" s="451"/>
      <c r="AR44" s="452"/>
      <c r="AS44" s="449" t="s">
        <v>86</v>
      </c>
      <c r="AT44" s="450" t="s">
        <v>90</v>
      </c>
      <c r="AU44" s="451"/>
      <c r="AV44" s="451"/>
      <c r="AW44" s="452"/>
      <c r="AX44" s="449" t="s">
        <v>86</v>
      </c>
    </row>
    <row r="45" spans="2:50">
      <c r="B45" s="449"/>
      <c r="C45" s="449"/>
      <c r="D45" s="449"/>
      <c r="E45" s="449" t="s">
        <v>91</v>
      </c>
      <c r="F45" s="449"/>
      <c r="G45" s="449"/>
      <c r="H45" s="455"/>
      <c r="I45" s="449" t="s">
        <v>91</v>
      </c>
      <c r="J45" s="449"/>
      <c r="K45" s="449"/>
      <c r="L45" s="455"/>
      <c r="M45" s="472"/>
      <c r="N45" s="449"/>
      <c r="O45" s="449"/>
      <c r="P45" s="450" t="s">
        <v>92</v>
      </c>
      <c r="Q45" s="451"/>
      <c r="R45" s="451"/>
      <c r="S45" s="452"/>
      <c r="T45" s="449"/>
      <c r="U45" s="450" t="s">
        <v>92</v>
      </c>
      <c r="V45" s="451"/>
      <c r="W45" s="451"/>
      <c r="X45" s="452"/>
      <c r="Y45" s="449"/>
      <c r="Z45" s="450" t="s">
        <v>92</v>
      </c>
      <c r="AA45" s="451"/>
      <c r="AB45" s="451"/>
      <c r="AC45" s="452"/>
      <c r="AD45" s="449"/>
      <c r="AE45" s="450" t="s">
        <v>92</v>
      </c>
      <c r="AF45" s="451"/>
      <c r="AG45" s="451"/>
      <c r="AH45" s="452"/>
      <c r="AI45" s="449"/>
      <c r="AJ45" s="450" t="s">
        <v>92</v>
      </c>
      <c r="AK45" s="451"/>
      <c r="AL45" s="451"/>
      <c r="AM45" s="452"/>
      <c r="AN45" s="449"/>
      <c r="AO45" s="450" t="s">
        <v>92</v>
      </c>
      <c r="AP45" s="451"/>
      <c r="AQ45" s="451"/>
      <c r="AR45" s="452"/>
      <c r="AS45" s="449"/>
      <c r="AT45" s="450" t="s">
        <v>92</v>
      </c>
      <c r="AU45" s="451"/>
      <c r="AV45" s="451"/>
      <c r="AW45" s="452"/>
      <c r="AX45" s="449"/>
    </row>
    <row r="46" spans="2:50">
      <c r="B46" s="449"/>
      <c r="C46" s="449"/>
      <c r="D46" s="449"/>
      <c r="E46" s="231" t="s">
        <v>93</v>
      </c>
      <c r="F46" s="231" t="s">
        <v>94</v>
      </c>
      <c r="G46" s="231" t="s">
        <v>95</v>
      </c>
      <c r="H46" s="456"/>
      <c r="I46" s="231" t="s">
        <v>93</v>
      </c>
      <c r="J46" s="231" t="s">
        <v>94</v>
      </c>
      <c r="K46" s="231" t="s">
        <v>95</v>
      </c>
      <c r="L46" s="456"/>
      <c r="M46" s="462"/>
      <c r="N46" s="449"/>
      <c r="O46" s="449"/>
      <c r="P46" s="231" t="s">
        <v>93</v>
      </c>
      <c r="Q46" s="231" t="s">
        <v>94</v>
      </c>
      <c r="R46" s="231" t="s">
        <v>95</v>
      </c>
      <c r="S46" s="231" t="s">
        <v>88</v>
      </c>
      <c r="T46" s="449"/>
      <c r="U46" s="231" t="s">
        <v>93</v>
      </c>
      <c r="V46" s="231" t="s">
        <v>94</v>
      </c>
      <c r="W46" s="231" t="s">
        <v>95</v>
      </c>
      <c r="X46" s="231" t="s">
        <v>88</v>
      </c>
      <c r="Y46" s="449"/>
      <c r="Z46" s="231" t="s">
        <v>93</v>
      </c>
      <c r="AA46" s="231" t="s">
        <v>94</v>
      </c>
      <c r="AB46" s="231" t="s">
        <v>95</v>
      </c>
      <c r="AC46" s="231" t="s">
        <v>88</v>
      </c>
      <c r="AD46" s="449"/>
      <c r="AE46" s="231" t="s">
        <v>93</v>
      </c>
      <c r="AF46" s="231" t="s">
        <v>94</v>
      </c>
      <c r="AG46" s="231" t="s">
        <v>95</v>
      </c>
      <c r="AH46" s="231" t="s">
        <v>88</v>
      </c>
      <c r="AI46" s="449"/>
      <c r="AJ46" s="231" t="s">
        <v>93</v>
      </c>
      <c r="AK46" s="231" t="s">
        <v>94</v>
      </c>
      <c r="AL46" s="231" t="s">
        <v>95</v>
      </c>
      <c r="AM46" s="231" t="s">
        <v>88</v>
      </c>
      <c r="AN46" s="449"/>
      <c r="AO46" s="231" t="s">
        <v>93</v>
      </c>
      <c r="AP46" s="231" t="s">
        <v>94</v>
      </c>
      <c r="AQ46" s="231" t="s">
        <v>95</v>
      </c>
      <c r="AR46" s="231" t="s">
        <v>88</v>
      </c>
      <c r="AS46" s="449"/>
      <c r="AT46" s="231" t="s">
        <v>93</v>
      </c>
      <c r="AU46" s="231" t="s">
        <v>94</v>
      </c>
      <c r="AV46" s="231" t="s">
        <v>95</v>
      </c>
      <c r="AW46" s="231" t="s">
        <v>88</v>
      </c>
      <c r="AX46" s="449"/>
    </row>
    <row r="47" spans="2:50">
      <c r="B47" s="449" t="s">
        <v>73</v>
      </c>
      <c r="C47" s="232">
        <v>1</v>
      </c>
      <c r="D47" s="232" t="s">
        <v>114</v>
      </c>
      <c r="E47" s="233">
        <f>VLOOKUP(D47,'12產線配置圖 (2)'!$A$2:$C$30,2,0)</f>
        <v>13</v>
      </c>
      <c r="F47" s="233">
        <f>VLOOKUP(D47,'12產線配置圖 (2)'!$A$2:$C$30,3,0)</f>
        <v>1565</v>
      </c>
      <c r="G47" s="234">
        <f>F47/E47</f>
        <v>120.38461538461539</v>
      </c>
      <c r="H47" s="445">
        <f>AVERAGE(G47:G61)</f>
        <v>127.07264957264958</v>
      </c>
      <c r="I47" s="233">
        <f>AVERAGE(P47,U47,Z47,AE47,AJ47,AO47,AT47)</f>
        <v>12.428571428571429</v>
      </c>
      <c r="J47" s="233">
        <f>AVERAGE(Q47,V47,AA47,AF47,AK47,AP47,AU47)</f>
        <v>1381.1428571428571</v>
      </c>
      <c r="K47" s="234">
        <f>AVERAGE(R47,W47,AB47,AG47,AL47,AQ47,AV47)</f>
        <v>111.17116217116218</v>
      </c>
      <c r="L47" s="445">
        <f>IFERROR(AVERAGE(K47:K61),"-")</f>
        <v>101.17510267510268</v>
      </c>
      <c r="M47" s="233">
        <f>RANK(K47, K$47:$K$61)</f>
        <v>2</v>
      </c>
      <c r="N47" s="449"/>
      <c r="O47" s="449"/>
      <c r="P47" s="233">
        <v>13</v>
      </c>
      <c r="Q47" s="233">
        <v>1546</v>
      </c>
      <c r="R47" s="234">
        <f>Q47/P47</f>
        <v>118.92307692307692</v>
      </c>
      <c r="S47" s="232">
        <f>RANK(R47, $R$47:$R$49)</f>
        <v>1</v>
      </c>
      <c r="T47" s="448">
        <f>AVERAGE(R47:R61)</f>
        <v>96.792540792540805</v>
      </c>
      <c r="U47" s="233">
        <v>13</v>
      </c>
      <c r="V47" s="233">
        <v>1471</v>
      </c>
      <c r="W47" s="234">
        <f>V47/U47</f>
        <v>113.15384615384616</v>
      </c>
      <c r="X47" s="232">
        <f>RANK(W47, $W$47:$W$49)</f>
        <v>2</v>
      </c>
      <c r="Y47" s="448">
        <f>AVERAGE(W47:W61)</f>
        <v>112.41239316239317</v>
      </c>
      <c r="Z47" s="333">
        <v>12</v>
      </c>
      <c r="AA47" s="233">
        <v>1378</v>
      </c>
      <c r="AB47" s="234">
        <f>AA47/Z47</f>
        <v>114.83333333333333</v>
      </c>
      <c r="AC47" s="232">
        <f>RANK(AB47, $AB$47:$AB$49)</f>
        <v>1</v>
      </c>
      <c r="AD47" s="448">
        <f>AVERAGE(AB47:AB61)</f>
        <v>111.97474747474747</v>
      </c>
      <c r="AE47" s="333">
        <v>11</v>
      </c>
      <c r="AF47" s="233">
        <v>1314</v>
      </c>
      <c r="AG47" s="234">
        <f>AF47/AE47</f>
        <v>119.45454545454545</v>
      </c>
      <c r="AH47" s="232">
        <f>RANK(AG47,$AG$47:$AG$49)</f>
        <v>1</v>
      </c>
      <c r="AI47" s="448">
        <f>AVERAGE(AG47:AG61)</f>
        <v>98.909090909090921</v>
      </c>
      <c r="AJ47" s="333">
        <v>12</v>
      </c>
      <c r="AK47" s="233">
        <v>1138</v>
      </c>
      <c r="AL47" s="234">
        <f>AK47/AJ47</f>
        <v>94.833333333333329</v>
      </c>
      <c r="AM47" s="232">
        <f>RANK(AL47, $AL$47:$AL$49)</f>
        <v>2</v>
      </c>
      <c r="AN47" s="448">
        <f>AVERAGE(AL47:AL61)</f>
        <v>89.12626262626263</v>
      </c>
      <c r="AO47" s="233">
        <v>13</v>
      </c>
      <c r="AP47" s="233">
        <v>1346</v>
      </c>
      <c r="AQ47" s="234">
        <f>AP47/AO47</f>
        <v>103.53846153846153</v>
      </c>
      <c r="AR47" s="232">
        <f>RANK(AQ47,$AQ$47:$AQ$49)</f>
        <v>2</v>
      </c>
      <c r="AS47" s="448">
        <f>AVERAGE(AQ47:AQ61)</f>
        <v>90.856837606837601</v>
      </c>
      <c r="AT47" s="233">
        <v>13</v>
      </c>
      <c r="AU47" s="233">
        <v>1475</v>
      </c>
      <c r="AV47" s="234">
        <f>AU47/AT47</f>
        <v>113.46153846153847</v>
      </c>
      <c r="AW47" s="232">
        <f>RANK(AV47,$AV$47:$AV$49)</f>
        <v>2</v>
      </c>
      <c r="AX47" s="448">
        <f>AVERAGE(AV47:AV61)</f>
        <v>108.15384615384615</v>
      </c>
    </row>
    <row r="48" spans="2:50">
      <c r="B48" s="444"/>
      <c r="C48" s="232">
        <v>2</v>
      </c>
      <c r="D48" s="232" t="s">
        <v>115</v>
      </c>
      <c r="E48" s="233">
        <f>VLOOKUP(D48,'12產線配置圖 (2)'!$A$2:$C$30,2,0)</f>
        <v>12</v>
      </c>
      <c r="F48" s="233">
        <f>VLOOKUP(D48,'12產線配置圖 (2)'!$A$2:$C$30,3,0)</f>
        <v>1565</v>
      </c>
      <c r="G48" s="234">
        <f>F48/E48</f>
        <v>130.41666666666666</v>
      </c>
      <c r="H48" s="446"/>
      <c r="I48" s="233">
        <f t="shared" ref="I48:K49" si="14">AVERAGE(P48,U48,Z48,AE48,AJ48,AO48,AT48)</f>
        <v>11.428571428571429</v>
      </c>
      <c r="J48" s="233">
        <f t="shared" si="14"/>
        <v>1290</v>
      </c>
      <c r="K48" s="234">
        <f t="shared" si="14"/>
        <v>112.88095238095238</v>
      </c>
      <c r="L48" s="446"/>
      <c r="M48" s="233">
        <f>RANK(K48, K$47:$K$61)</f>
        <v>1</v>
      </c>
      <c r="N48" s="449"/>
      <c r="O48" s="449"/>
      <c r="P48" s="333">
        <v>11</v>
      </c>
      <c r="Q48" s="233">
        <v>1233</v>
      </c>
      <c r="R48" s="234">
        <f>Q48/P48</f>
        <v>112.09090909090909</v>
      </c>
      <c r="S48" s="232">
        <f>RANK(R48, $R$47:$R$49)</f>
        <v>2</v>
      </c>
      <c r="T48" s="448"/>
      <c r="U48" s="233">
        <v>12</v>
      </c>
      <c r="V48" s="233">
        <v>1297</v>
      </c>
      <c r="W48" s="234">
        <f>V48/U48</f>
        <v>108.08333333333333</v>
      </c>
      <c r="X48" s="232">
        <f>RANK(W48, $W$47:$W$49)</f>
        <v>3</v>
      </c>
      <c r="Y48" s="448"/>
      <c r="Z48" s="333">
        <v>11</v>
      </c>
      <c r="AA48" s="233">
        <v>1244</v>
      </c>
      <c r="AB48" s="234">
        <f>AA48/Z48</f>
        <v>113.09090909090909</v>
      </c>
      <c r="AC48" s="232">
        <f>RANK(AB48, $AB$47:$AB$49)</f>
        <v>2</v>
      </c>
      <c r="AD48" s="448"/>
      <c r="AE48" s="333">
        <v>11</v>
      </c>
      <c r="AF48" s="233">
        <v>1196</v>
      </c>
      <c r="AG48" s="234">
        <f>AF48/AE48</f>
        <v>108.72727272727273</v>
      </c>
      <c r="AH48" s="232">
        <f>RANK(AG48,$AG$47:$AG$49)</f>
        <v>2</v>
      </c>
      <c r="AI48" s="448"/>
      <c r="AJ48" s="333">
        <v>11</v>
      </c>
      <c r="AK48" s="233">
        <v>1299</v>
      </c>
      <c r="AL48" s="234">
        <f>AK48/AJ48</f>
        <v>118.09090909090909</v>
      </c>
      <c r="AM48" s="232">
        <f>RANK(AL48, $AL$47:$AL$49)</f>
        <v>1</v>
      </c>
      <c r="AN48" s="448"/>
      <c r="AO48" s="343">
        <v>12</v>
      </c>
      <c r="AP48" s="343">
        <v>1313</v>
      </c>
      <c r="AQ48" s="342">
        <f>AP48/AO48</f>
        <v>109.41666666666667</v>
      </c>
      <c r="AR48" s="232">
        <f>RANK(AQ48,$AQ$47:$AQ$49)</f>
        <v>1</v>
      </c>
      <c r="AS48" s="448"/>
      <c r="AT48" s="233">
        <v>12</v>
      </c>
      <c r="AU48" s="233">
        <v>1448</v>
      </c>
      <c r="AV48" s="234">
        <f>AU48/AT48</f>
        <v>120.66666666666667</v>
      </c>
      <c r="AW48" s="232">
        <f>RANK(AV48,$AV$47:$AV$49)</f>
        <v>1</v>
      </c>
      <c r="AX48" s="448"/>
    </row>
    <row r="49" spans="2:50" ht="12.95">
      <c r="B49" s="444"/>
      <c r="C49" s="232">
        <v>3</v>
      </c>
      <c r="D49" s="232" t="s">
        <v>116</v>
      </c>
      <c r="E49" s="233">
        <f>VLOOKUP(D49,'12產線配置圖 (2)'!$A$2:$C$30,2,0)</f>
        <v>12</v>
      </c>
      <c r="F49" s="233">
        <f>VLOOKUP(D49,'12產線配置圖 (2)'!$A$2:$C$30,3,0)</f>
        <v>1565</v>
      </c>
      <c r="G49" s="234">
        <f>F49/E49</f>
        <v>130.41666666666666</v>
      </c>
      <c r="H49" s="446"/>
      <c r="I49" s="233">
        <f t="shared" si="14"/>
        <v>11.571428571428571</v>
      </c>
      <c r="J49" s="233">
        <f t="shared" si="14"/>
        <v>920.71428571428567</v>
      </c>
      <c r="K49" s="234">
        <f t="shared" si="14"/>
        <v>79.47319347319349</v>
      </c>
      <c r="L49" s="446"/>
      <c r="M49" s="233">
        <f>RANK(K49, K$47:$K$61)</f>
        <v>3</v>
      </c>
      <c r="N49" s="449"/>
      <c r="O49" s="449"/>
      <c r="P49" s="333">
        <v>11</v>
      </c>
      <c r="Q49" s="233">
        <v>653</v>
      </c>
      <c r="R49" s="340">
        <f>Q49/P49</f>
        <v>59.363636363636367</v>
      </c>
      <c r="S49" s="232">
        <f>RANK(R49, $R$47:$R$49)</f>
        <v>3</v>
      </c>
      <c r="T49" s="448"/>
      <c r="U49" s="233">
        <v>12</v>
      </c>
      <c r="V49" s="233">
        <v>1392</v>
      </c>
      <c r="W49" s="234">
        <f>V49/U49</f>
        <v>116</v>
      </c>
      <c r="X49" s="232">
        <f>RANK(W49, $W$47:$W$49)</f>
        <v>1</v>
      </c>
      <c r="Y49" s="448"/>
      <c r="Z49" s="333">
        <v>11</v>
      </c>
      <c r="AA49" s="233">
        <v>1188</v>
      </c>
      <c r="AB49" s="234">
        <f>AA49/Z49</f>
        <v>108</v>
      </c>
      <c r="AC49" s="232">
        <f>RANK(AB49, $AB$47:$AB$49)</f>
        <v>3</v>
      </c>
      <c r="AD49" s="448"/>
      <c r="AE49" s="333">
        <v>11</v>
      </c>
      <c r="AF49" s="233">
        <v>754</v>
      </c>
      <c r="AG49" s="340">
        <f>AF49/AE49</f>
        <v>68.545454545454547</v>
      </c>
      <c r="AH49" s="232">
        <f>RANK(AG49,$AG$47:$AG$49)</f>
        <v>3</v>
      </c>
      <c r="AI49" s="448"/>
      <c r="AJ49" s="333">
        <v>11</v>
      </c>
      <c r="AK49" s="233">
        <v>599</v>
      </c>
      <c r="AL49" s="234">
        <f>AK49/AJ49</f>
        <v>54.454545454545453</v>
      </c>
      <c r="AM49" s="232">
        <f>RANK(AL49, $AL$47:$AL$49)</f>
        <v>3</v>
      </c>
      <c r="AN49" s="448"/>
      <c r="AO49" s="335">
        <v>13</v>
      </c>
      <c r="AP49" s="233">
        <v>775</v>
      </c>
      <c r="AQ49" s="340">
        <f>AP49/AO49</f>
        <v>59.615384615384613</v>
      </c>
      <c r="AR49" s="232">
        <f>RANK(AQ49,$AQ$47:$AQ$49)</f>
        <v>3</v>
      </c>
      <c r="AS49" s="448"/>
      <c r="AT49" s="233">
        <v>12</v>
      </c>
      <c r="AU49" s="233">
        <v>1084</v>
      </c>
      <c r="AV49" s="234">
        <f>AU49/AT49</f>
        <v>90.333333333333329</v>
      </c>
      <c r="AW49" s="232">
        <f>RANK(AV49,$AV$47:$AV$49)</f>
        <v>3</v>
      </c>
      <c r="AX49" s="448"/>
    </row>
    <row r="50" spans="2:50">
      <c r="B50" s="444"/>
      <c r="C50" s="232">
        <v>4</v>
      </c>
      <c r="D50" s="232"/>
      <c r="E50" s="233"/>
      <c r="F50" s="233"/>
      <c r="G50" s="234"/>
      <c r="H50" s="446"/>
      <c r="I50" s="233"/>
      <c r="J50" s="233"/>
      <c r="K50" s="234"/>
      <c r="L50" s="446"/>
      <c r="M50" s="233"/>
      <c r="N50" s="449"/>
      <c r="O50" s="449"/>
      <c r="P50" s="233"/>
      <c r="Q50" s="233"/>
      <c r="R50" s="232"/>
      <c r="S50" s="232"/>
      <c r="T50" s="448"/>
      <c r="U50" s="233"/>
      <c r="V50" s="233"/>
      <c r="W50" s="232"/>
      <c r="X50" s="232"/>
      <c r="Y50" s="448"/>
      <c r="Z50" s="233"/>
      <c r="AA50" s="233"/>
      <c r="AB50" s="232"/>
      <c r="AC50" s="232"/>
      <c r="AD50" s="448"/>
      <c r="AE50" s="233"/>
      <c r="AF50" s="233"/>
      <c r="AG50" s="232"/>
      <c r="AH50" s="232"/>
      <c r="AI50" s="448"/>
      <c r="AJ50" s="233"/>
      <c r="AK50" s="233"/>
      <c r="AL50" s="232"/>
      <c r="AM50" s="232"/>
      <c r="AN50" s="448"/>
      <c r="AO50" s="233"/>
      <c r="AP50" s="233"/>
      <c r="AQ50" s="232"/>
      <c r="AR50" s="232"/>
      <c r="AS50" s="448"/>
      <c r="AT50" s="233"/>
      <c r="AU50" s="233"/>
      <c r="AV50" s="232"/>
      <c r="AW50" s="232"/>
      <c r="AX50" s="448"/>
    </row>
    <row r="51" spans="2:50">
      <c r="B51" s="444"/>
      <c r="C51" s="232">
        <v>5</v>
      </c>
      <c r="D51" s="232"/>
      <c r="E51" s="233"/>
      <c r="F51" s="233"/>
      <c r="G51" s="234"/>
      <c r="H51" s="446"/>
      <c r="I51" s="233"/>
      <c r="J51" s="233"/>
      <c r="K51" s="234"/>
      <c r="L51" s="446"/>
      <c r="M51" s="233"/>
      <c r="N51" s="449"/>
      <c r="O51" s="449"/>
      <c r="P51" s="233"/>
      <c r="Q51" s="233"/>
      <c r="R51" s="232"/>
      <c r="S51" s="232"/>
      <c r="T51" s="448"/>
      <c r="U51" s="233"/>
      <c r="V51" s="233"/>
      <c r="W51" s="232"/>
      <c r="X51" s="232"/>
      <c r="Y51" s="448"/>
      <c r="Z51" s="233"/>
      <c r="AA51" s="233"/>
      <c r="AB51" s="232"/>
      <c r="AC51" s="232"/>
      <c r="AD51" s="448"/>
      <c r="AE51" s="233"/>
      <c r="AF51" s="233"/>
      <c r="AG51" s="232"/>
      <c r="AH51" s="232"/>
      <c r="AI51" s="448"/>
      <c r="AJ51" s="233"/>
      <c r="AK51" s="233"/>
      <c r="AL51" s="232"/>
      <c r="AM51" s="232"/>
      <c r="AN51" s="448"/>
      <c r="AO51" s="233"/>
      <c r="AP51" s="233"/>
      <c r="AQ51" s="232"/>
      <c r="AR51" s="232"/>
      <c r="AS51" s="448"/>
      <c r="AT51" s="233"/>
      <c r="AU51" s="233"/>
      <c r="AV51" s="232"/>
      <c r="AW51" s="232"/>
      <c r="AX51" s="448"/>
    </row>
    <row r="52" spans="2:50">
      <c r="B52" s="444"/>
      <c r="C52" s="232">
        <v>6</v>
      </c>
      <c r="D52" s="232"/>
      <c r="E52" s="233"/>
      <c r="F52" s="233"/>
      <c r="G52" s="234"/>
      <c r="H52" s="446"/>
      <c r="I52" s="233"/>
      <c r="J52" s="233"/>
      <c r="K52" s="234"/>
      <c r="L52" s="446"/>
      <c r="M52" s="233"/>
      <c r="N52" s="449"/>
      <c r="O52" s="449"/>
      <c r="P52" s="233"/>
      <c r="Q52" s="233"/>
      <c r="R52" s="232"/>
      <c r="S52" s="232"/>
      <c r="T52" s="448"/>
      <c r="U52" s="233"/>
      <c r="V52" s="233"/>
      <c r="W52" s="232"/>
      <c r="X52" s="232"/>
      <c r="Y52" s="448"/>
      <c r="Z52" s="233"/>
      <c r="AA52" s="233"/>
      <c r="AB52" s="232"/>
      <c r="AC52" s="232"/>
      <c r="AD52" s="448"/>
      <c r="AE52" s="233"/>
      <c r="AF52" s="233"/>
      <c r="AG52" s="232"/>
      <c r="AH52" s="232"/>
      <c r="AI52" s="448"/>
      <c r="AJ52" s="233"/>
      <c r="AK52" s="233"/>
      <c r="AL52" s="232"/>
      <c r="AM52" s="232"/>
      <c r="AN52" s="448"/>
      <c r="AO52" s="233"/>
      <c r="AP52" s="233"/>
      <c r="AQ52" s="232"/>
      <c r="AR52" s="232"/>
      <c r="AS52" s="448"/>
      <c r="AT52" s="233"/>
      <c r="AU52" s="233"/>
      <c r="AV52" s="232"/>
      <c r="AW52" s="232"/>
      <c r="AX52" s="448"/>
    </row>
    <row r="53" spans="2:50">
      <c r="B53" s="444"/>
      <c r="C53" s="232">
        <v>7</v>
      </c>
      <c r="D53" s="232"/>
      <c r="E53" s="233"/>
      <c r="F53" s="233"/>
      <c r="G53" s="234"/>
      <c r="H53" s="446"/>
      <c r="I53" s="233"/>
      <c r="J53" s="233"/>
      <c r="K53" s="234"/>
      <c r="L53" s="446"/>
      <c r="M53" s="233"/>
      <c r="N53" s="449"/>
      <c r="O53" s="449"/>
      <c r="P53" s="233"/>
      <c r="Q53" s="233"/>
      <c r="R53" s="232"/>
      <c r="S53" s="232"/>
      <c r="T53" s="448"/>
      <c r="U53" s="233"/>
      <c r="V53" s="233"/>
      <c r="W53" s="232"/>
      <c r="X53" s="232"/>
      <c r="Y53" s="448"/>
      <c r="Z53" s="233"/>
      <c r="AA53" s="233"/>
      <c r="AB53" s="232"/>
      <c r="AC53" s="232"/>
      <c r="AD53" s="448"/>
      <c r="AE53" s="233"/>
      <c r="AF53" s="233"/>
      <c r="AG53" s="232"/>
      <c r="AH53" s="232"/>
      <c r="AI53" s="448"/>
      <c r="AJ53" s="233"/>
      <c r="AK53" s="233"/>
      <c r="AL53" s="232"/>
      <c r="AM53" s="232"/>
      <c r="AN53" s="448"/>
      <c r="AO53" s="233"/>
      <c r="AP53" s="233"/>
      <c r="AQ53" s="232"/>
      <c r="AR53" s="232"/>
      <c r="AS53" s="448"/>
      <c r="AT53" s="233"/>
      <c r="AU53" s="233"/>
      <c r="AV53" s="232"/>
      <c r="AW53" s="232"/>
      <c r="AX53" s="448"/>
    </row>
    <row r="54" spans="2:50">
      <c r="B54" s="444"/>
      <c r="C54" s="232">
        <v>8</v>
      </c>
      <c r="D54" s="232"/>
      <c r="E54" s="232"/>
      <c r="F54" s="232"/>
      <c r="G54" s="232"/>
      <c r="H54" s="446"/>
      <c r="I54" s="233"/>
      <c r="J54" s="233"/>
      <c r="K54" s="234"/>
      <c r="L54" s="446"/>
      <c r="M54" s="233"/>
      <c r="N54" s="449"/>
      <c r="O54" s="449"/>
      <c r="P54" s="233"/>
      <c r="Q54" s="233"/>
      <c r="R54" s="232"/>
      <c r="S54" s="232"/>
      <c r="T54" s="448"/>
      <c r="U54" s="233"/>
      <c r="V54" s="233"/>
      <c r="W54" s="232"/>
      <c r="X54" s="232"/>
      <c r="Y54" s="448"/>
      <c r="Z54" s="233"/>
      <c r="AA54" s="233"/>
      <c r="AB54" s="232"/>
      <c r="AC54" s="232"/>
      <c r="AD54" s="448"/>
      <c r="AE54" s="233"/>
      <c r="AF54" s="233"/>
      <c r="AG54" s="232"/>
      <c r="AH54" s="232"/>
      <c r="AI54" s="448"/>
      <c r="AJ54" s="233"/>
      <c r="AK54" s="233"/>
      <c r="AL54" s="232"/>
      <c r="AM54" s="232"/>
      <c r="AN54" s="448"/>
      <c r="AO54" s="233"/>
      <c r="AP54" s="233"/>
      <c r="AQ54" s="232"/>
      <c r="AR54" s="232"/>
      <c r="AS54" s="448"/>
      <c r="AT54" s="233"/>
      <c r="AU54" s="233"/>
      <c r="AV54" s="232"/>
      <c r="AW54" s="232"/>
      <c r="AX54" s="448"/>
    </row>
    <row r="55" spans="2:50">
      <c r="B55" s="444"/>
      <c r="C55" s="232">
        <v>9</v>
      </c>
      <c r="D55" s="232"/>
      <c r="E55" s="232"/>
      <c r="F55" s="232"/>
      <c r="G55" s="232"/>
      <c r="H55" s="446"/>
      <c r="I55" s="233"/>
      <c r="J55" s="233"/>
      <c r="K55" s="234"/>
      <c r="L55" s="446"/>
      <c r="M55" s="233"/>
      <c r="N55" s="449"/>
      <c r="O55" s="449"/>
      <c r="P55" s="233"/>
      <c r="Q55" s="233"/>
      <c r="R55" s="232"/>
      <c r="S55" s="232"/>
      <c r="T55" s="448"/>
      <c r="U55" s="233"/>
      <c r="V55" s="233"/>
      <c r="W55" s="232"/>
      <c r="X55" s="232"/>
      <c r="Y55" s="448"/>
      <c r="Z55" s="233"/>
      <c r="AA55" s="233"/>
      <c r="AB55" s="232"/>
      <c r="AC55" s="232"/>
      <c r="AD55" s="448"/>
      <c r="AE55" s="233"/>
      <c r="AF55" s="233"/>
      <c r="AG55" s="232"/>
      <c r="AH55" s="232"/>
      <c r="AI55" s="448"/>
      <c r="AJ55" s="233"/>
      <c r="AK55" s="233"/>
      <c r="AL55" s="232"/>
      <c r="AM55" s="232"/>
      <c r="AN55" s="448"/>
      <c r="AO55" s="233"/>
      <c r="AP55" s="233"/>
      <c r="AQ55" s="232"/>
      <c r="AR55" s="232"/>
      <c r="AS55" s="448"/>
      <c r="AT55" s="233"/>
      <c r="AU55" s="233"/>
      <c r="AV55" s="232"/>
      <c r="AW55" s="232"/>
      <c r="AX55" s="448"/>
    </row>
    <row r="56" spans="2:50">
      <c r="B56" s="444"/>
      <c r="C56" s="232">
        <v>10</v>
      </c>
      <c r="D56" s="232"/>
      <c r="E56" s="232"/>
      <c r="F56" s="232"/>
      <c r="G56" s="232"/>
      <c r="H56" s="446"/>
      <c r="I56" s="233"/>
      <c r="J56" s="233"/>
      <c r="K56" s="234"/>
      <c r="L56" s="446"/>
      <c r="M56" s="233"/>
      <c r="N56" s="449"/>
      <c r="O56" s="449"/>
      <c r="P56" s="233"/>
      <c r="Q56" s="233"/>
      <c r="R56" s="232"/>
      <c r="S56" s="232"/>
      <c r="T56" s="448"/>
      <c r="U56" s="233"/>
      <c r="V56" s="233"/>
      <c r="W56" s="232"/>
      <c r="X56" s="232"/>
      <c r="Y56" s="448"/>
      <c r="Z56" s="233"/>
      <c r="AA56" s="233"/>
      <c r="AB56" s="232"/>
      <c r="AC56" s="232"/>
      <c r="AD56" s="448"/>
      <c r="AE56" s="233"/>
      <c r="AF56" s="233"/>
      <c r="AG56" s="232"/>
      <c r="AH56" s="232"/>
      <c r="AI56" s="448"/>
      <c r="AJ56" s="233"/>
      <c r="AK56" s="233"/>
      <c r="AL56" s="232"/>
      <c r="AM56" s="232"/>
      <c r="AN56" s="448"/>
      <c r="AO56" s="233"/>
      <c r="AP56" s="233"/>
      <c r="AQ56" s="232"/>
      <c r="AR56" s="232"/>
      <c r="AS56" s="448"/>
      <c r="AT56" s="233"/>
      <c r="AU56" s="233"/>
      <c r="AV56" s="232"/>
      <c r="AW56" s="232"/>
      <c r="AX56" s="448"/>
    </row>
    <row r="57" spans="2:50">
      <c r="B57" s="444"/>
      <c r="C57" s="232">
        <v>11</v>
      </c>
      <c r="D57" s="232"/>
      <c r="E57" s="232"/>
      <c r="F57" s="232"/>
      <c r="G57" s="232"/>
      <c r="H57" s="446"/>
      <c r="I57" s="233"/>
      <c r="J57" s="233"/>
      <c r="K57" s="234"/>
      <c r="L57" s="446"/>
      <c r="M57" s="233"/>
      <c r="N57" s="449"/>
      <c r="O57" s="449"/>
      <c r="P57" s="232"/>
      <c r="Q57" s="232"/>
      <c r="R57" s="232"/>
      <c r="S57" s="232"/>
      <c r="T57" s="448"/>
      <c r="U57" s="232"/>
      <c r="V57" s="232"/>
      <c r="W57" s="232"/>
      <c r="X57" s="232"/>
      <c r="Y57" s="448"/>
      <c r="Z57" s="232"/>
      <c r="AA57" s="232"/>
      <c r="AB57" s="232"/>
      <c r="AC57" s="232"/>
      <c r="AD57" s="448"/>
      <c r="AE57" s="232"/>
      <c r="AF57" s="232"/>
      <c r="AG57" s="232"/>
      <c r="AH57" s="232"/>
      <c r="AI57" s="448"/>
      <c r="AJ57" s="232"/>
      <c r="AK57" s="232"/>
      <c r="AL57" s="232"/>
      <c r="AM57" s="232"/>
      <c r="AN57" s="448"/>
      <c r="AO57" s="232"/>
      <c r="AP57" s="232"/>
      <c r="AQ57" s="232"/>
      <c r="AR57" s="232"/>
      <c r="AS57" s="448"/>
      <c r="AT57" s="232"/>
      <c r="AU57" s="232"/>
      <c r="AV57" s="232"/>
      <c r="AW57" s="232"/>
      <c r="AX57" s="448"/>
    </row>
    <row r="58" spans="2:50">
      <c r="B58" s="444"/>
      <c r="C58" s="232">
        <v>12</v>
      </c>
      <c r="D58" s="232"/>
      <c r="E58" s="232"/>
      <c r="F58" s="232"/>
      <c r="G58" s="232"/>
      <c r="H58" s="446"/>
      <c r="I58" s="233"/>
      <c r="J58" s="233"/>
      <c r="K58" s="234"/>
      <c r="L58" s="446"/>
      <c r="M58" s="233"/>
      <c r="N58" s="449"/>
      <c r="O58" s="449"/>
      <c r="P58" s="232"/>
      <c r="Q58" s="232"/>
      <c r="R58" s="232"/>
      <c r="S58" s="232"/>
      <c r="T58" s="448"/>
      <c r="U58" s="232"/>
      <c r="V58" s="232"/>
      <c r="W58" s="232"/>
      <c r="X58" s="232"/>
      <c r="Y58" s="448"/>
      <c r="Z58" s="232"/>
      <c r="AA58" s="232"/>
      <c r="AB58" s="232"/>
      <c r="AC58" s="232"/>
      <c r="AD58" s="448"/>
      <c r="AE58" s="232"/>
      <c r="AF58" s="232"/>
      <c r="AG58" s="232"/>
      <c r="AH58" s="232"/>
      <c r="AI58" s="448"/>
      <c r="AJ58" s="232"/>
      <c r="AK58" s="232"/>
      <c r="AL58" s="232"/>
      <c r="AM58" s="232"/>
      <c r="AN58" s="448"/>
      <c r="AO58" s="232"/>
      <c r="AP58" s="232"/>
      <c r="AQ58" s="232"/>
      <c r="AR58" s="232"/>
      <c r="AS58" s="448"/>
      <c r="AT58" s="232"/>
      <c r="AU58" s="232"/>
      <c r="AV58" s="232"/>
      <c r="AW58" s="232"/>
      <c r="AX58" s="448"/>
    </row>
    <row r="59" spans="2:50">
      <c r="B59" s="444"/>
      <c r="C59" s="232">
        <v>13</v>
      </c>
      <c r="D59" s="232"/>
      <c r="E59" s="232"/>
      <c r="F59" s="232"/>
      <c r="G59" s="232"/>
      <c r="H59" s="446"/>
      <c r="I59" s="233"/>
      <c r="J59" s="233"/>
      <c r="K59" s="234"/>
      <c r="L59" s="446"/>
      <c r="M59" s="233"/>
      <c r="N59" s="449"/>
      <c r="O59" s="449"/>
      <c r="P59" s="232"/>
      <c r="Q59" s="232"/>
      <c r="R59" s="232"/>
      <c r="S59" s="232"/>
      <c r="T59" s="448"/>
      <c r="U59" s="232"/>
      <c r="V59" s="232"/>
      <c r="W59" s="232"/>
      <c r="X59" s="232"/>
      <c r="Y59" s="448"/>
      <c r="Z59" s="232"/>
      <c r="AA59" s="232"/>
      <c r="AB59" s="232"/>
      <c r="AC59" s="232"/>
      <c r="AD59" s="448"/>
      <c r="AE59" s="232"/>
      <c r="AF59" s="232"/>
      <c r="AG59" s="232"/>
      <c r="AH59" s="232"/>
      <c r="AI59" s="448"/>
      <c r="AJ59" s="232"/>
      <c r="AK59" s="232"/>
      <c r="AL59" s="232"/>
      <c r="AM59" s="232"/>
      <c r="AN59" s="448"/>
      <c r="AO59" s="232"/>
      <c r="AP59" s="232"/>
      <c r="AQ59" s="232"/>
      <c r="AR59" s="232"/>
      <c r="AS59" s="448"/>
      <c r="AT59" s="232"/>
      <c r="AU59" s="232"/>
      <c r="AV59" s="232"/>
      <c r="AW59" s="232"/>
      <c r="AX59" s="448"/>
    </row>
    <row r="60" spans="2:50">
      <c r="B60" s="444"/>
      <c r="C60" s="232">
        <v>14</v>
      </c>
      <c r="D60" s="232"/>
      <c r="E60" s="232"/>
      <c r="F60" s="232"/>
      <c r="G60" s="232"/>
      <c r="H60" s="446"/>
      <c r="I60" s="233"/>
      <c r="J60" s="233"/>
      <c r="K60" s="234"/>
      <c r="L60" s="446"/>
      <c r="M60" s="233"/>
      <c r="N60" s="449"/>
      <c r="O60" s="449"/>
      <c r="P60" s="232"/>
      <c r="Q60" s="232"/>
      <c r="R60" s="232"/>
      <c r="S60" s="232"/>
      <c r="T60" s="448"/>
      <c r="U60" s="232"/>
      <c r="V60" s="232"/>
      <c r="W60" s="232"/>
      <c r="X60" s="232"/>
      <c r="Y60" s="448"/>
      <c r="Z60" s="232"/>
      <c r="AA60" s="232"/>
      <c r="AB60" s="232"/>
      <c r="AC60" s="232"/>
      <c r="AD60" s="448"/>
      <c r="AE60" s="232"/>
      <c r="AF60" s="232"/>
      <c r="AG60" s="232"/>
      <c r="AH60" s="232"/>
      <c r="AI60" s="448"/>
      <c r="AJ60" s="232"/>
      <c r="AK60" s="232"/>
      <c r="AL60" s="232"/>
      <c r="AM60" s="232"/>
      <c r="AN60" s="448"/>
      <c r="AO60" s="232"/>
      <c r="AP60" s="232"/>
      <c r="AQ60" s="232"/>
      <c r="AR60" s="232"/>
      <c r="AS60" s="448"/>
      <c r="AT60" s="232"/>
      <c r="AU60" s="232"/>
      <c r="AV60" s="232"/>
      <c r="AW60" s="232"/>
      <c r="AX60" s="448"/>
    </row>
    <row r="61" spans="2:50">
      <c r="B61" s="444"/>
      <c r="C61" s="232">
        <v>15</v>
      </c>
      <c r="D61" s="232"/>
      <c r="E61" s="232"/>
      <c r="F61" s="232"/>
      <c r="G61" s="232"/>
      <c r="H61" s="447"/>
      <c r="I61" s="233"/>
      <c r="J61" s="233"/>
      <c r="K61" s="234"/>
      <c r="L61" s="447"/>
      <c r="M61" s="233"/>
      <c r="N61" s="449"/>
      <c r="O61" s="449"/>
      <c r="P61" s="232"/>
      <c r="Q61" s="232"/>
      <c r="R61" s="232"/>
      <c r="S61" s="232"/>
      <c r="T61" s="448"/>
      <c r="U61" s="232"/>
      <c r="V61" s="232"/>
      <c r="W61" s="232"/>
      <c r="X61" s="232"/>
      <c r="Y61" s="448"/>
      <c r="Z61" s="232"/>
      <c r="AA61" s="232"/>
      <c r="AB61" s="232"/>
      <c r="AC61" s="232"/>
      <c r="AD61" s="448"/>
      <c r="AE61" s="232"/>
      <c r="AF61" s="232"/>
      <c r="AG61" s="232"/>
      <c r="AH61" s="232"/>
      <c r="AI61" s="448"/>
      <c r="AJ61" s="232"/>
      <c r="AK61" s="232"/>
      <c r="AL61" s="232"/>
      <c r="AM61" s="232"/>
      <c r="AN61" s="448"/>
      <c r="AO61" s="232"/>
      <c r="AP61" s="232"/>
      <c r="AQ61" s="232"/>
      <c r="AR61" s="232"/>
      <c r="AS61" s="448"/>
      <c r="AT61" s="232"/>
      <c r="AU61" s="232"/>
      <c r="AV61" s="232"/>
      <c r="AW61" s="232"/>
      <c r="AX61" s="448"/>
    </row>
    <row r="62" spans="2:50" ht="15.6">
      <c r="B62" s="468" t="s">
        <v>82</v>
      </c>
      <c r="C62" s="459"/>
      <c r="D62" s="459"/>
      <c r="E62" s="459"/>
      <c r="F62" s="459"/>
      <c r="G62" s="459"/>
      <c r="H62" s="459"/>
      <c r="I62" s="237"/>
      <c r="J62" s="237"/>
      <c r="K62" s="237"/>
      <c r="L62" s="237"/>
      <c r="M62" s="238"/>
      <c r="N62" s="461" t="s">
        <v>83</v>
      </c>
      <c r="O62" s="461" t="s">
        <v>43</v>
      </c>
      <c r="P62" s="457">
        <v>46042</v>
      </c>
      <c r="Q62" s="444"/>
      <c r="R62" s="444"/>
      <c r="S62" s="444"/>
      <c r="T62" s="444"/>
      <c r="U62" s="457">
        <v>46043</v>
      </c>
      <c r="V62" s="444"/>
      <c r="W62" s="444"/>
      <c r="X62" s="444"/>
      <c r="Y62" s="444"/>
      <c r="Z62" s="457">
        <v>46044</v>
      </c>
      <c r="AA62" s="444"/>
      <c r="AB62" s="444"/>
      <c r="AC62" s="444"/>
      <c r="AD62" s="444"/>
      <c r="AE62" s="457">
        <v>46045</v>
      </c>
      <c r="AF62" s="444"/>
      <c r="AG62" s="444"/>
      <c r="AH62" s="444"/>
      <c r="AI62" s="444"/>
      <c r="AJ62" s="457">
        <v>46046</v>
      </c>
      <c r="AK62" s="444"/>
      <c r="AL62" s="444"/>
      <c r="AM62" s="444"/>
      <c r="AN62" s="444"/>
      <c r="AO62" s="457">
        <v>46047</v>
      </c>
      <c r="AP62" s="444"/>
      <c r="AQ62" s="444"/>
      <c r="AR62" s="444"/>
      <c r="AS62" s="444"/>
      <c r="AT62" s="457">
        <v>46048</v>
      </c>
      <c r="AU62" s="444"/>
      <c r="AV62" s="444"/>
      <c r="AW62" s="444"/>
      <c r="AX62" s="444"/>
    </row>
    <row r="63" spans="2:50" ht="15.6">
      <c r="B63" s="460"/>
      <c r="C63" s="460"/>
      <c r="D63" s="460"/>
      <c r="E63" s="460"/>
      <c r="F63" s="460"/>
      <c r="G63" s="460"/>
      <c r="H63" s="460"/>
      <c r="I63" s="228"/>
      <c r="J63" s="228"/>
      <c r="K63" s="228"/>
      <c r="L63" s="228"/>
      <c r="M63" s="229"/>
      <c r="N63" s="462"/>
      <c r="O63" s="462"/>
      <c r="P63" s="457" t="s">
        <v>57</v>
      </c>
      <c r="Q63" s="444"/>
      <c r="R63" s="444"/>
      <c r="S63" s="444"/>
      <c r="T63" s="444"/>
      <c r="U63" s="457" t="s">
        <v>58</v>
      </c>
      <c r="V63" s="444"/>
      <c r="W63" s="444"/>
      <c r="X63" s="444"/>
      <c r="Y63" s="444"/>
      <c r="Z63" s="457" t="s">
        <v>54</v>
      </c>
      <c r="AA63" s="444"/>
      <c r="AB63" s="444"/>
      <c r="AC63" s="444"/>
      <c r="AD63" s="444"/>
      <c r="AE63" s="457" t="s">
        <v>55</v>
      </c>
      <c r="AF63" s="444"/>
      <c r="AG63" s="444"/>
      <c r="AH63" s="444"/>
      <c r="AI63" s="444"/>
      <c r="AJ63" s="457" t="s">
        <v>56</v>
      </c>
      <c r="AK63" s="444"/>
      <c r="AL63" s="444"/>
      <c r="AM63" s="444"/>
      <c r="AN63" s="444"/>
      <c r="AO63" s="457" t="s">
        <v>50</v>
      </c>
      <c r="AP63" s="444"/>
      <c r="AQ63" s="444"/>
      <c r="AR63" s="444"/>
      <c r="AS63" s="444"/>
      <c r="AT63" s="457" t="s">
        <v>53</v>
      </c>
      <c r="AU63" s="444"/>
      <c r="AV63" s="444"/>
      <c r="AW63" s="444"/>
      <c r="AX63" s="444"/>
    </row>
    <row r="64" spans="2:50">
      <c r="B64" s="449" t="s">
        <v>39</v>
      </c>
      <c r="C64" s="449" t="s">
        <v>84</v>
      </c>
      <c r="D64" s="449"/>
      <c r="E64" s="449" t="s">
        <v>85</v>
      </c>
      <c r="F64" s="449"/>
      <c r="G64" s="449"/>
      <c r="H64" s="454" t="s">
        <v>86</v>
      </c>
      <c r="I64" s="449" t="s">
        <v>87</v>
      </c>
      <c r="J64" s="449"/>
      <c r="K64" s="449"/>
      <c r="L64" s="454" t="s">
        <v>86</v>
      </c>
      <c r="M64" s="461" t="s">
        <v>88</v>
      </c>
      <c r="N64" s="449"/>
      <c r="O64" s="449" t="s">
        <v>89</v>
      </c>
      <c r="P64" s="450" t="s">
        <v>90</v>
      </c>
      <c r="Q64" s="451"/>
      <c r="R64" s="451"/>
      <c r="S64" s="452"/>
      <c r="T64" s="449" t="s">
        <v>86</v>
      </c>
      <c r="U64" s="450" t="s">
        <v>90</v>
      </c>
      <c r="V64" s="451"/>
      <c r="W64" s="451"/>
      <c r="X64" s="452"/>
      <c r="Y64" s="449" t="s">
        <v>86</v>
      </c>
      <c r="Z64" s="450" t="s">
        <v>90</v>
      </c>
      <c r="AA64" s="451"/>
      <c r="AB64" s="451"/>
      <c r="AC64" s="452"/>
      <c r="AD64" s="449" t="s">
        <v>86</v>
      </c>
      <c r="AE64" s="450" t="s">
        <v>90</v>
      </c>
      <c r="AF64" s="451"/>
      <c r="AG64" s="451"/>
      <c r="AH64" s="452"/>
      <c r="AI64" s="449" t="s">
        <v>86</v>
      </c>
      <c r="AJ64" s="450" t="s">
        <v>90</v>
      </c>
      <c r="AK64" s="451"/>
      <c r="AL64" s="451"/>
      <c r="AM64" s="452"/>
      <c r="AN64" s="449" t="s">
        <v>86</v>
      </c>
      <c r="AO64" s="450" t="s">
        <v>90</v>
      </c>
      <c r="AP64" s="451"/>
      <c r="AQ64" s="451"/>
      <c r="AR64" s="452"/>
      <c r="AS64" s="449" t="s">
        <v>86</v>
      </c>
      <c r="AT64" s="450" t="s">
        <v>90</v>
      </c>
      <c r="AU64" s="451"/>
      <c r="AV64" s="451"/>
      <c r="AW64" s="452"/>
      <c r="AX64" s="449" t="s">
        <v>86</v>
      </c>
    </row>
    <row r="65" spans="2:50">
      <c r="B65" s="449"/>
      <c r="C65" s="449"/>
      <c r="D65" s="449"/>
      <c r="E65" s="449" t="s">
        <v>91</v>
      </c>
      <c r="F65" s="449"/>
      <c r="G65" s="449"/>
      <c r="H65" s="455"/>
      <c r="I65" s="449" t="s">
        <v>91</v>
      </c>
      <c r="J65" s="449"/>
      <c r="K65" s="449"/>
      <c r="L65" s="455"/>
      <c r="M65" s="472"/>
      <c r="N65" s="449"/>
      <c r="O65" s="449"/>
      <c r="P65" s="450" t="s">
        <v>92</v>
      </c>
      <c r="Q65" s="451"/>
      <c r="R65" s="451"/>
      <c r="S65" s="452"/>
      <c r="T65" s="449"/>
      <c r="U65" s="450" t="s">
        <v>92</v>
      </c>
      <c r="V65" s="451"/>
      <c r="W65" s="451"/>
      <c r="X65" s="452"/>
      <c r="Y65" s="449"/>
      <c r="Z65" s="450" t="s">
        <v>92</v>
      </c>
      <c r="AA65" s="451"/>
      <c r="AB65" s="451"/>
      <c r="AC65" s="452"/>
      <c r="AD65" s="449"/>
      <c r="AE65" s="450" t="s">
        <v>92</v>
      </c>
      <c r="AF65" s="451"/>
      <c r="AG65" s="451"/>
      <c r="AH65" s="452"/>
      <c r="AI65" s="449"/>
      <c r="AJ65" s="450" t="s">
        <v>92</v>
      </c>
      <c r="AK65" s="451"/>
      <c r="AL65" s="451"/>
      <c r="AM65" s="452"/>
      <c r="AN65" s="449"/>
      <c r="AO65" s="450" t="s">
        <v>92</v>
      </c>
      <c r="AP65" s="451"/>
      <c r="AQ65" s="451"/>
      <c r="AR65" s="452"/>
      <c r="AS65" s="449"/>
      <c r="AT65" s="450" t="s">
        <v>92</v>
      </c>
      <c r="AU65" s="451"/>
      <c r="AV65" s="451"/>
      <c r="AW65" s="452"/>
      <c r="AX65" s="449"/>
    </row>
    <row r="66" spans="2:50">
      <c r="B66" s="449"/>
      <c r="C66" s="449"/>
      <c r="D66" s="449"/>
      <c r="E66" s="231" t="s">
        <v>93</v>
      </c>
      <c r="F66" s="231" t="s">
        <v>94</v>
      </c>
      <c r="G66" s="231" t="s">
        <v>95</v>
      </c>
      <c r="H66" s="456"/>
      <c r="I66" s="231" t="s">
        <v>93</v>
      </c>
      <c r="J66" s="231" t="s">
        <v>94</v>
      </c>
      <c r="K66" s="231" t="s">
        <v>95</v>
      </c>
      <c r="L66" s="456"/>
      <c r="M66" s="462"/>
      <c r="N66" s="449"/>
      <c r="O66" s="449"/>
      <c r="P66" s="231" t="s">
        <v>93</v>
      </c>
      <c r="Q66" s="231" t="s">
        <v>94</v>
      </c>
      <c r="R66" s="231" t="s">
        <v>95</v>
      </c>
      <c r="S66" s="231" t="s">
        <v>88</v>
      </c>
      <c r="T66" s="449"/>
      <c r="U66" s="231" t="s">
        <v>93</v>
      </c>
      <c r="V66" s="231" t="s">
        <v>94</v>
      </c>
      <c r="W66" s="231" t="s">
        <v>95</v>
      </c>
      <c r="X66" s="231" t="s">
        <v>88</v>
      </c>
      <c r="Y66" s="449"/>
      <c r="Z66" s="231" t="s">
        <v>93</v>
      </c>
      <c r="AA66" s="231" t="s">
        <v>94</v>
      </c>
      <c r="AB66" s="231" t="s">
        <v>95</v>
      </c>
      <c r="AC66" s="231" t="s">
        <v>88</v>
      </c>
      <c r="AD66" s="449"/>
      <c r="AE66" s="231" t="s">
        <v>93</v>
      </c>
      <c r="AF66" s="231" t="s">
        <v>94</v>
      </c>
      <c r="AG66" s="231" t="s">
        <v>95</v>
      </c>
      <c r="AH66" s="231" t="s">
        <v>88</v>
      </c>
      <c r="AI66" s="449"/>
      <c r="AJ66" s="231" t="s">
        <v>93</v>
      </c>
      <c r="AK66" s="231" t="s">
        <v>94</v>
      </c>
      <c r="AL66" s="231" t="s">
        <v>95</v>
      </c>
      <c r="AM66" s="231" t="s">
        <v>88</v>
      </c>
      <c r="AN66" s="449"/>
      <c r="AO66" s="231" t="s">
        <v>93</v>
      </c>
      <c r="AP66" s="231" t="s">
        <v>94</v>
      </c>
      <c r="AQ66" s="231" t="s">
        <v>95</v>
      </c>
      <c r="AR66" s="231" t="s">
        <v>88</v>
      </c>
      <c r="AS66" s="449"/>
      <c r="AT66" s="231" t="s">
        <v>93</v>
      </c>
      <c r="AU66" s="231" t="s">
        <v>94</v>
      </c>
      <c r="AV66" s="231" t="s">
        <v>95</v>
      </c>
      <c r="AW66" s="231" t="s">
        <v>88</v>
      </c>
      <c r="AX66" s="449"/>
    </row>
    <row r="67" spans="2:50">
      <c r="B67" s="449" t="s">
        <v>73</v>
      </c>
      <c r="C67" s="232">
        <v>1</v>
      </c>
      <c r="D67" s="232" t="s">
        <v>114</v>
      </c>
      <c r="E67" s="233">
        <f>VLOOKUP(D67,'12產線配置圖 (2)'!$A$2:$C$30,2,0)</f>
        <v>13</v>
      </c>
      <c r="F67" s="233">
        <f>VLOOKUP(D67,'12產線配置圖 (2)'!$A$2:$C$30,3,0)</f>
        <v>1565</v>
      </c>
      <c r="G67" s="234">
        <f>F67/E67</f>
        <v>120.38461538461539</v>
      </c>
      <c r="H67" s="445">
        <f>AVERAGE(G67:G81)</f>
        <v>127.90865384615384</v>
      </c>
      <c r="I67" s="233">
        <f>AVERAGE(P67,U67,Z66,AE67,AJ67,AO67,AT67)</f>
        <v>13</v>
      </c>
      <c r="J67" s="233">
        <f t="shared" ref="J67:K69" si="15">AVERAGE(Q67,V67,AA67,AF67,AK67,AP67,AU67)</f>
        <v>1437</v>
      </c>
      <c r="K67" s="234">
        <f t="shared" si="15"/>
        <v>110.53846153846155</v>
      </c>
      <c r="L67" s="445">
        <f>IFERROR(AVERAGE(K67:K81),"-")</f>
        <v>104.71854395604394</v>
      </c>
      <c r="M67" s="233">
        <f>RANK(K67, K$67:$K$81)</f>
        <v>3</v>
      </c>
      <c r="N67" s="449"/>
      <c r="O67" s="449"/>
      <c r="P67" s="233">
        <v>13</v>
      </c>
      <c r="Q67" s="233">
        <v>1487</v>
      </c>
      <c r="R67" s="234">
        <f>Q67/P67</f>
        <v>114.38461538461539</v>
      </c>
      <c r="S67" s="232">
        <f>RANK(R67,$R$67:$R$81)</f>
        <v>1</v>
      </c>
      <c r="T67" s="448">
        <f>AVERAGE(R67:R81)</f>
        <v>89.554487179487182</v>
      </c>
      <c r="U67" s="233">
        <v>13</v>
      </c>
      <c r="V67" s="233">
        <v>1560</v>
      </c>
      <c r="W67" s="234">
        <f>V67/U67</f>
        <v>120</v>
      </c>
      <c r="X67" s="232">
        <f>RANK(W67,$W$67:$W$81)</f>
        <v>2</v>
      </c>
      <c r="Y67" s="448">
        <f>AVERAGE(W67:W81)</f>
        <v>110.46250000000001</v>
      </c>
      <c r="Z67" s="233">
        <v>13</v>
      </c>
      <c r="AA67" s="233">
        <v>1219</v>
      </c>
      <c r="AB67" s="234">
        <f>AA67/Z67</f>
        <v>93.769230769230774</v>
      </c>
      <c r="AC67" s="232">
        <f>RANK(AB67, $AB$67:$AB$81)</f>
        <v>4</v>
      </c>
      <c r="AD67" s="448">
        <f>AVERAGE(AB67:AB81)</f>
        <v>106.46314102564102</v>
      </c>
      <c r="AE67" s="233">
        <v>13</v>
      </c>
      <c r="AF67" s="233">
        <v>1467</v>
      </c>
      <c r="AG67" s="234">
        <f>AF67/AE67</f>
        <v>112.84615384615384</v>
      </c>
      <c r="AH67" s="232">
        <f>RANK(AG67, $AG$67:$AG$81)</f>
        <v>2</v>
      </c>
      <c r="AI67" s="448">
        <f>AVERAGE(AG67:AG81)</f>
        <v>103.14903846153845</v>
      </c>
      <c r="AJ67" s="233">
        <v>13</v>
      </c>
      <c r="AK67" s="233">
        <v>1433</v>
      </c>
      <c r="AL67" s="234">
        <f>AK67/AJ67</f>
        <v>110.23076923076923</v>
      </c>
      <c r="AM67" s="232">
        <f>RANK(AL67, $AL$67:$AL$81)</f>
        <v>3</v>
      </c>
      <c r="AN67" s="448">
        <f>AVERAGE(AL67:AL81)</f>
        <v>103.93269230769231</v>
      </c>
      <c r="AO67" s="233">
        <v>13</v>
      </c>
      <c r="AP67" s="233">
        <v>1482</v>
      </c>
      <c r="AQ67" s="234">
        <f>AP67/AO67</f>
        <v>114</v>
      </c>
      <c r="AR67" s="232">
        <f>RANK(AQ67, $AQ$67:$AQ$81)</f>
        <v>2</v>
      </c>
      <c r="AS67" s="448">
        <f>AVERAGE(AQ67:AQ81)</f>
        <v>103.10416666666666</v>
      </c>
      <c r="AT67" s="233">
        <v>13</v>
      </c>
      <c r="AU67" s="233">
        <v>1411</v>
      </c>
      <c r="AV67" s="234">
        <f>AU67/AT67</f>
        <v>108.53846153846153</v>
      </c>
      <c r="AW67" s="232">
        <f>RANK(AV67, $AV$67:$AV$81)</f>
        <v>4</v>
      </c>
      <c r="AX67" s="448">
        <f>AVERAGE(AV67:AV81)</f>
        <v>116.36378205128204</v>
      </c>
    </row>
    <row r="68" spans="2:50">
      <c r="B68" s="444"/>
      <c r="C68" s="232">
        <v>2</v>
      </c>
      <c r="D68" s="232" t="s">
        <v>115</v>
      </c>
      <c r="E68" s="233">
        <f>VLOOKUP(D68,'12產線配置圖 (2)'!$A$2:$C$30,2,0)</f>
        <v>12</v>
      </c>
      <c r="F68" s="233">
        <f>VLOOKUP(D68,'12產線配置圖 (2)'!$A$2:$C$30,3,0)</f>
        <v>1565</v>
      </c>
      <c r="G68" s="234">
        <f>F68/E68</f>
        <v>130.41666666666666</v>
      </c>
      <c r="H68" s="446"/>
      <c r="I68" s="233">
        <f>AVERAGE(P68,U68,Z67,AE68,AJ68,AO68,AT68)</f>
        <v>12.142857142857142</v>
      </c>
      <c r="J68" s="233">
        <f t="shared" si="15"/>
        <v>1393.7142857142858</v>
      </c>
      <c r="K68" s="234">
        <f t="shared" si="15"/>
        <v>116.14285714285714</v>
      </c>
      <c r="L68" s="446"/>
      <c r="M68" s="233">
        <f>RANK(K68, K$67:$K$81)</f>
        <v>1</v>
      </c>
      <c r="N68" s="449"/>
      <c r="O68" s="449"/>
      <c r="P68" s="233">
        <v>12</v>
      </c>
      <c r="Q68" s="233">
        <v>1123</v>
      </c>
      <c r="R68" s="234">
        <f>Q68/P68</f>
        <v>93.583333333333329</v>
      </c>
      <c r="S68" s="232">
        <f>RANK(R68,$R$67:$R$81)</f>
        <v>2</v>
      </c>
      <c r="T68" s="448"/>
      <c r="U68" s="233">
        <v>12</v>
      </c>
      <c r="V68" s="233">
        <v>1537</v>
      </c>
      <c r="W68" s="234">
        <f>V68/U68</f>
        <v>128.08333333333334</v>
      </c>
      <c r="X68" s="232">
        <f>RANK(W68,$W$67:$W$81)</f>
        <v>1</v>
      </c>
      <c r="Y68" s="448"/>
      <c r="Z68" s="233">
        <v>12</v>
      </c>
      <c r="AA68" s="233">
        <v>1401</v>
      </c>
      <c r="AB68" s="234">
        <f>AA68/Z68</f>
        <v>116.75</v>
      </c>
      <c r="AC68" s="232">
        <f t="shared" ref="AC68:AC70" si="16">RANK(AB68, $AB$67:$AB$81)</f>
        <v>1</v>
      </c>
      <c r="AD68" s="448"/>
      <c r="AE68" s="233">
        <v>12</v>
      </c>
      <c r="AF68" s="233">
        <v>1499</v>
      </c>
      <c r="AG68" s="234">
        <f>AF68/AE68</f>
        <v>124.91666666666667</v>
      </c>
      <c r="AH68" s="232">
        <f t="shared" ref="AH68:AH70" si="17">RANK(AG68, $AG$67:$AG$81)</f>
        <v>1</v>
      </c>
      <c r="AI68" s="448"/>
      <c r="AJ68" s="233">
        <v>12</v>
      </c>
      <c r="AK68" s="233">
        <v>1365</v>
      </c>
      <c r="AL68" s="234">
        <f>AK68/AJ68</f>
        <v>113.75</v>
      </c>
      <c r="AM68" s="232">
        <f t="shared" ref="AM68:AM70" si="18">RANK(AL68, $AL$67:$AL$81)</f>
        <v>2</v>
      </c>
      <c r="AN68" s="448"/>
      <c r="AO68" s="233">
        <v>12</v>
      </c>
      <c r="AP68" s="233">
        <v>1305</v>
      </c>
      <c r="AQ68" s="234">
        <f>AP68/AO68</f>
        <v>108.75</v>
      </c>
      <c r="AR68" s="232">
        <f t="shared" ref="AR68:AR70" si="19">RANK(AQ68, $AQ$67:$AQ$81)</f>
        <v>3</v>
      </c>
      <c r="AS68" s="448"/>
      <c r="AT68" s="233">
        <v>12</v>
      </c>
      <c r="AU68" s="233">
        <v>1526</v>
      </c>
      <c r="AV68" s="234">
        <f>AU68/AT68</f>
        <v>127.16666666666667</v>
      </c>
      <c r="AW68" s="232">
        <f t="shared" ref="AW68:AW70" si="20">RANK(AV68, $AV$67:$AV$81)</f>
        <v>1</v>
      </c>
      <c r="AX68" s="448"/>
    </row>
    <row r="69" spans="2:50">
      <c r="B69" s="444"/>
      <c r="C69" s="232">
        <v>3</v>
      </c>
      <c r="D69" s="232" t="s">
        <v>116</v>
      </c>
      <c r="E69" s="233">
        <f>VLOOKUP(D69,'12產線配置圖 (2)'!$A$2:$C$30,2,0)</f>
        <v>12</v>
      </c>
      <c r="F69" s="233">
        <f>VLOOKUP(D69,'12產線配置圖 (2)'!$A$2:$C$30,3,0)</f>
        <v>1565</v>
      </c>
      <c r="G69" s="234">
        <f>F69/E69</f>
        <v>130.41666666666666</v>
      </c>
      <c r="H69" s="446"/>
      <c r="I69" s="233">
        <f>AVERAGE(P69,U69,Z69,AE69,AJ69,AO69,AT69)</f>
        <v>11.714285714285714</v>
      </c>
      <c r="J69" s="233">
        <f t="shared" si="15"/>
        <v>934.71428571428567</v>
      </c>
      <c r="K69" s="234">
        <f t="shared" si="15"/>
        <v>79.657142857142844</v>
      </c>
      <c r="L69" s="446"/>
      <c r="M69" s="233">
        <f>RANK(K69, K$67:$K$81)</f>
        <v>4</v>
      </c>
      <c r="N69" s="449"/>
      <c r="O69" s="449"/>
      <c r="P69" s="233">
        <v>12</v>
      </c>
      <c r="Q69" s="233">
        <v>739</v>
      </c>
      <c r="R69" s="234">
        <f>Q69/P69</f>
        <v>61.583333333333336</v>
      </c>
      <c r="S69" s="232">
        <f>RANK(R69,$R$67:$R$81)</f>
        <v>4</v>
      </c>
      <c r="T69" s="448"/>
      <c r="U69" s="233">
        <v>10</v>
      </c>
      <c r="V69" s="233">
        <v>741</v>
      </c>
      <c r="W69" s="234">
        <f>V69/U69</f>
        <v>74.099999999999994</v>
      </c>
      <c r="X69" s="232">
        <f>RANK(W69,$W$67:$W$81)</f>
        <v>4</v>
      </c>
      <c r="Y69" s="448"/>
      <c r="Z69" s="233">
        <v>12</v>
      </c>
      <c r="AA69" s="233">
        <v>1251</v>
      </c>
      <c r="AB69" s="234">
        <f>AA69/Z69</f>
        <v>104.25</v>
      </c>
      <c r="AC69" s="232">
        <f t="shared" si="16"/>
        <v>3</v>
      </c>
      <c r="AD69" s="448"/>
      <c r="AE69" s="233">
        <v>12</v>
      </c>
      <c r="AF69" s="233">
        <v>813</v>
      </c>
      <c r="AG69" s="234">
        <f>AF69/AE69</f>
        <v>67.75</v>
      </c>
      <c r="AH69" s="232">
        <f t="shared" si="17"/>
        <v>4</v>
      </c>
      <c r="AI69" s="448"/>
      <c r="AJ69" s="233">
        <v>12</v>
      </c>
      <c r="AK69" s="233">
        <v>904</v>
      </c>
      <c r="AL69" s="234">
        <f>AK69/AJ69</f>
        <v>75.333333333333329</v>
      </c>
      <c r="AM69" s="232">
        <f t="shared" si="18"/>
        <v>4</v>
      </c>
      <c r="AN69" s="448"/>
      <c r="AO69" s="233">
        <v>12</v>
      </c>
      <c r="AP69" s="233">
        <v>730</v>
      </c>
      <c r="AQ69" s="234">
        <f>AP69/AO69</f>
        <v>60.833333333333336</v>
      </c>
      <c r="AR69" s="232">
        <f t="shared" si="19"/>
        <v>4</v>
      </c>
      <c r="AS69" s="448"/>
      <c r="AT69" s="233">
        <v>12</v>
      </c>
      <c r="AU69" s="233">
        <v>1365</v>
      </c>
      <c r="AV69" s="234">
        <f>AU69/AT69</f>
        <v>113.75</v>
      </c>
      <c r="AW69" s="232">
        <f t="shared" si="20"/>
        <v>3</v>
      </c>
      <c r="AX69" s="448"/>
    </row>
    <row r="70" spans="2:50">
      <c r="B70" s="444"/>
      <c r="C70" s="232">
        <v>4</v>
      </c>
      <c r="D70" s="232" t="s">
        <v>117</v>
      </c>
      <c r="E70" s="233">
        <f>VLOOKUP(D70,'12產線配置圖 (2)'!$A$2:$C$30,2,0)</f>
        <v>12</v>
      </c>
      <c r="F70" s="233">
        <f>VLOOKUP(D70,'12產線配置圖 (2)'!$A$2:$C$30,3,0)</f>
        <v>1565</v>
      </c>
      <c r="G70" s="234">
        <f>F70/E70</f>
        <v>130.41666666666666</v>
      </c>
      <c r="H70" s="446"/>
      <c r="I70" s="233">
        <f>AVERAGE(P70,U70,Z70,AE70,AJ70,AO70,AT70)</f>
        <v>12</v>
      </c>
      <c r="J70" s="233">
        <f>AVERAGE(Q70,V70,AA70,AF70,AK70,AP70,AU70)</f>
        <v>1350.4285714285713</v>
      </c>
      <c r="K70" s="234">
        <f>AVERAGE(R70,W70,AB70,AG70,AL70,AQ70,AV70)</f>
        <v>112.53571428571429</v>
      </c>
      <c r="L70" s="446"/>
      <c r="M70" s="233">
        <f>RANK(K70, K$67:$K$81)</f>
        <v>2</v>
      </c>
      <c r="N70" s="449"/>
      <c r="O70" s="449"/>
      <c r="P70" s="233">
        <v>12</v>
      </c>
      <c r="Q70" s="233">
        <v>1064</v>
      </c>
      <c r="R70" s="234">
        <f>Q70/P70</f>
        <v>88.666666666666671</v>
      </c>
      <c r="S70" s="232">
        <f>RANK(R70,$R$67:$R$81)</f>
        <v>3</v>
      </c>
      <c r="T70" s="448"/>
      <c r="U70" s="233">
        <v>12</v>
      </c>
      <c r="V70" s="233">
        <v>1436</v>
      </c>
      <c r="W70" s="234">
        <f>V70/U70</f>
        <v>119.66666666666667</v>
      </c>
      <c r="X70" s="232">
        <f>RANK(W70,$W$67:$W$81)</f>
        <v>3</v>
      </c>
      <c r="Y70" s="448"/>
      <c r="Z70" s="233">
        <v>12</v>
      </c>
      <c r="AA70" s="233">
        <v>1333</v>
      </c>
      <c r="AB70" s="234">
        <f>AA70/Z70</f>
        <v>111.08333333333333</v>
      </c>
      <c r="AC70" s="232">
        <f t="shared" si="16"/>
        <v>2</v>
      </c>
      <c r="AD70" s="448"/>
      <c r="AE70" s="233">
        <v>12</v>
      </c>
      <c r="AF70" s="233">
        <v>1285</v>
      </c>
      <c r="AG70" s="234">
        <f>AF70/AE70</f>
        <v>107.08333333333333</v>
      </c>
      <c r="AH70" s="232">
        <f t="shared" si="17"/>
        <v>3</v>
      </c>
      <c r="AI70" s="448"/>
      <c r="AJ70" s="233">
        <v>12</v>
      </c>
      <c r="AK70" s="233">
        <v>1397</v>
      </c>
      <c r="AL70" s="234">
        <f>AK70/AJ70</f>
        <v>116.41666666666667</v>
      </c>
      <c r="AM70" s="232">
        <f t="shared" si="18"/>
        <v>1</v>
      </c>
      <c r="AN70" s="448"/>
      <c r="AO70" s="233">
        <v>12</v>
      </c>
      <c r="AP70" s="233">
        <v>1546</v>
      </c>
      <c r="AQ70" s="234">
        <f>AP70/AO70</f>
        <v>128.83333333333334</v>
      </c>
      <c r="AR70" s="232">
        <f t="shared" si="19"/>
        <v>1</v>
      </c>
      <c r="AS70" s="448"/>
      <c r="AT70" s="233">
        <v>12</v>
      </c>
      <c r="AU70" s="233">
        <v>1392</v>
      </c>
      <c r="AV70" s="234">
        <f>AU70/AT70</f>
        <v>116</v>
      </c>
      <c r="AW70" s="232">
        <f t="shared" si="20"/>
        <v>2</v>
      </c>
      <c r="AX70" s="448"/>
    </row>
    <row r="71" spans="2:50">
      <c r="B71" s="444"/>
      <c r="C71" s="232">
        <v>5</v>
      </c>
      <c r="D71" s="232"/>
      <c r="E71" s="233"/>
      <c r="F71" s="233"/>
      <c r="G71" s="234"/>
      <c r="H71" s="446"/>
      <c r="I71" s="233"/>
      <c r="J71" s="233"/>
      <c r="K71" s="234"/>
      <c r="L71" s="446"/>
      <c r="M71" s="233"/>
      <c r="N71" s="449"/>
      <c r="O71" s="449"/>
      <c r="P71" s="233"/>
      <c r="Q71" s="233"/>
      <c r="R71" s="232"/>
      <c r="S71" s="232"/>
      <c r="T71" s="448"/>
      <c r="U71" s="233"/>
      <c r="V71" s="233"/>
      <c r="W71" s="232"/>
      <c r="X71" s="232"/>
      <c r="Y71" s="448"/>
      <c r="Z71" s="233"/>
      <c r="AA71" s="233"/>
      <c r="AB71" s="232"/>
      <c r="AC71" s="232"/>
      <c r="AD71" s="448"/>
      <c r="AE71" s="233"/>
      <c r="AF71" s="233"/>
      <c r="AG71" s="232"/>
      <c r="AH71" s="232"/>
      <c r="AI71" s="448"/>
      <c r="AJ71" s="233"/>
      <c r="AK71" s="233"/>
      <c r="AL71" s="232"/>
      <c r="AM71" s="232"/>
      <c r="AN71" s="448"/>
      <c r="AO71" s="233"/>
      <c r="AP71" s="233"/>
      <c r="AQ71" s="232"/>
      <c r="AR71" s="232"/>
      <c r="AS71" s="448"/>
      <c r="AT71" s="233"/>
      <c r="AU71" s="233"/>
      <c r="AV71" s="232"/>
      <c r="AW71" s="232"/>
      <c r="AX71" s="448"/>
    </row>
    <row r="72" spans="2:50">
      <c r="B72" s="444"/>
      <c r="C72" s="232">
        <v>6</v>
      </c>
      <c r="D72" s="232"/>
      <c r="E72" s="233"/>
      <c r="F72" s="233"/>
      <c r="G72" s="234"/>
      <c r="H72" s="446"/>
      <c r="I72" s="233"/>
      <c r="J72" s="233"/>
      <c r="K72" s="234"/>
      <c r="L72" s="446"/>
      <c r="M72" s="233"/>
      <c r="N72" s="449"/>
      <c r="O72" s="449"/>
      <c r="P72" s="233"/>
      <c r="Q72" s="233"/>
      <c r="R72" s="232"/>
      <c r="S72" s="232"/>
      <c r="T72" s="448"/>
      <c r="U72" s="233"/>
      <c r="V72" s="233"/>
      <c r="W72" s="232"/>
      <c r="X72" s="232"/>
      <c r="Y72" s="448"/>
      <c r="Z72" s="233"/>
      <c r="AA72" s="233"/>
      <c r="AB72" s="232"/>
      <c r="AC72" s="232"/>
      <c r="AD72" s="448"/>
      <c r="AE72" s="233"/>
      <c r="AF72" s="233"/>
      <c r="AG72" s="232"/>
      <c r="AH72" s="232"/>
      <c r="AI72" s="448"/>
      <c r="AJ72" s="233"/>
      <c r="AK72" s="233"/>
      <c r="AL72" s="232"/>
      <c r="AM72" s="232"/>
      <c r="AN72" s="448"/>
      <c r="AO72" s="233"/>
      <c r="AP72" s="233"/>
      <c r="AQ72" s="232"/>
      <c r="AR72" s="232"/>
      <c r="AS72" s="448"/>
      <c r="AT72" s="233"/>
      <c r="AU72" s="233"/>
      <c r="AV72" s="232"/>
      <c r="AW72" s="232"/>
      <c r="AX72" s="448"/>
    </row>
    <row r="73" spans="2:50">
      <c r="B73" s="444"/>
      <c r="C73" s="232">
        <v>7</v>
      </c>
      <c r="D73" s="232"/>
      <c r="E73" s="233"/>
      <c r="F73" s="233"/>
      <c r="G73" s="234"/>
      <c r="H73" s="446"/>
      <c r="I73" s="233"/>
      <c r="J73" s="233"/>
      <c r="K73" s="234"/>
      <c r="L73" s="446"/>
      <c r="M73" s="233"/>
      <c r="N73" s="449"/>
      <c r="O73" s="449"/>
      <c r="P73" s="233"/>
      <c r="Q73" s="233"/>
      <c r="R73" s="232"/>
      <c r="S73" s="232"/>
      <c r="T73" s="448"/>
      <c r="U73" s="233"/>
      <c r="V73" s="233"/>
      <c r="W73" s="232"/>
      <c r="X73" s="232"/>
      <c r="Y73" s="448"/>
      <c r="Z73" s="233"/>
      <c r="AA73" s="233"/>
      <c r="AB73" s="232"/>
      <c r="AC73" s="232"/>
      <c r="AD73" s="448"/>
      <c r="AE73" s="233"/>
      <c r="AF73" s="233"/>
      <c r="AG73" s="232"/>
      <c r="AH73" s="232"/>
      <c r="AI73" s="448"/>
      <c r="AJ73" s="233"/>
      <c r="AK73" s="233"/>
      <c r="AL73" s="232"/>
      <c r="AM73" s="232"/>
      <c r="AN73" s="448"/>
      <c r="AO73" s="233"/>
      <c r="AP73" s="233"/>
      <c r="AQ73" s="232"/>
      <c r="AR73" s="232"/>
      <c r="AS73" s="448"/>
      <c r="AT73" s="233"/>
      <c r="AU73" s="233"/>
      <c r="AV73" s="232"/>
      <c r="AW73" s="232"/>
      <c r="AX73" s="448"/>
    </row>
    <row r="74" spans="2:50">
      <c r="B74" s="444"/>
      <c r="C74" s="232">
        <v>8</v>
      </c>
      <c r="D74" s="232"/>
      <c r="E74" s="232"/>
      <c r="F74" s="232"/>
      <c r="G74" s="232"/>
      <c r="H74" s="446"/>
      <c r="I74" s="233"/>
      <c r="J74" s="233"/>
      <c r="K74" s="234"/>
      <c r="L74" s="446"/>
      <c r="M74" s="233"/>
      <c r="N74" s="449"/>
      <c r="O74" s="449"/>
      <c r="P74" s="233"/>
      <c r="Q74" s="233"/>
      <c r="R74" s="232"/>
      <c r="S74" s="232"/>
      <c r="T74" s="448"/>
      <c r="U74" s="233"/>
      <c r="V74" s="233"/>
      <c r="W74" s="232"/>
      <c r="X74" s="232"/>
      <c r="Y74" s="448"/>
      <c r="Z74" s="233"/>
      <c r="AA74" s="233"/>
      <c r="AB74" s="232"/>
      <c r="AC74" s="232"/>
      <c r="AD74" s="448"/>
      <c r="AE74" s="233"/>
      <c r="AF74" s="233"/>
      <c r="AG74" s="232"/>
      <c r="AH74" s="232"/>
      <c r="AI74" s="448"/>
      <c r="AJ74" s="233"/>
      <c r="AK74" s="233"/>
      <c r="AL74" s="232"/>
      <c r="AM74" s="232"/>
      <c r="AN74" s="448"/>
      <c r="AO74" s="233"/>
      <c r="AP74" s="233"/>
      <c r="AQ74" s="232"/>
      <c r="AR74" s="232"/>
      <c r="AS74" s="448"/>
      <c r="AT74" s="233"/>
      <c r="AU74" s="233"/>
      <c r="AV74" s="232"/>
      <c r="AW74" s="232"/>
      <c r="AX74" s="448"/>
    </row>
    <row r="75" spans="2:50">
      <c r="B75" s="444"/>
      <c r="C75" s="232">
        <v>9</v>
      </c>
      <c r="D75" s="232"/>
      <c r="E75" s="232"/>
      <c r="F75" s="232"/>
      <c r="G75" s="232"/>
      <c r="H75" s="446"/>
      <c r="I75" s="233"/>
      <c r="J75" s="233"/>
      <c r="K75" s="234"/>
      <c r="L75" s="446"/>
      <c r="M75" s="233"/>
      <c r="N75" s="449"/>
      <c r="O75" s="449"/>
      <c r="P75" s="233"/>
      <c r="Q75" s="233"/>
      <c r="R75" s="232"/>
      <c r="S75" s="232"/>
      <c r="T75" s="448"/>
      <c r="U75" s="233"/>
      <c r="V75" s="233"/>
      <c r="W75" s="232"/>
      <c r="X75" s="232"/>
      <c r="Y75" s="448"/>
      <c r="Z75" s="233"/>
      <c r="AA75" s="233"/>
      <c r="AB75" s="232"/>
      <c r="AC75" s="232"/>
      <c r="AD75" s="448"/>
      <c r="AE75" s="233"/>
      <c r="AF75" s="233"/>
      <c r="AG75" s="232"/>
      <c r="AH75" s="232"/>
      <c r="AI75" s="448"/>
      <c r="AJ75" s="233"/>
      <c r="AK75" s="233"/>
      <c r="AL75" s="232"/>
      <c r="AM75" s="232"/>
      <c r="AN75" s="448"/>
      <c r="AO75" s="233"/>
      <c r="AP75" s="233"/>
      <c r="AQ75" s="232"/>
      <c r="AR75" s="232"/>
      <c r="AS75" s="448"/>
      <c r="AT75" s="233"/>
      <c r="AU75" s="233"/>
      <c r="AV75" s="232"/>
      <c r="AW75" s="232"/>
      <c r="AX75" s="448"/>
    </row>
    <row r="76" spans="2:50">
      <c r="B76" s="444"/>
      <c r="C76" s="232">
        <v>10</v>
      </c>
      <c r="D76" s="232"/>
      <c r="E76" s="232"/>
      <c r="F76" s="232"/>
      <c r="G76" s="232"/>
      <c r="H76" s="446"/>
      <c r="I76" s="233"/>
      <c r="J76" s="233"/>
      <c r="K76" s="234"/>
      <c r="L76" s="446"/>
      <c r="M76" s="233"/>
      <c r="N76" s="449"/>
      <c r="O76" s="449"/>
      <c r="P76" s="233"/>
      <c r="Q76" s="233"/>
      <c r="R76" s="232"/>
      <c r="S76" s="232"/>
      <c r="T76" s="448"/>
      <c r="U76" s="233"/>
      <c r="V76" s="233"/>
      <c r="W76" s="232"/>
      <c r="X76" s="232"/>
      <c r="Y76" s="448"/>
      <c r="Z76" s="233"/>
      <c r="AA76" s="233"/>
      <c r="AB76" s="232"/>
      <c r="AC76" s="232"/>
      <c r="AD76" s="448"/>
      <c r="AE76" s="233"/>
      <c r="AF76" s="233"/>
      <c r="AG76" s="232"/>
      <c r="AH76" s="232"/>
      <c r="AI76" s="448"/>
      <c r="AJ76" s="233"/>
      <c r="AK76" s="233"/>
      <c r="AL76" s="232"/>
      <c r="AM76" s="232"/>
      <c r="AN76" s="448"/>
      <c r="AO76" s="233"/>
      <c r="AP76" s="233"/>
      <c r="AQ76" s="232"/>
      <c r="AR76" s="232"/>
      <c r="AS76" s="448"/>
      <c r="AT76" s="233"/>
      <c r="AU76" s="233"/>
      <c r="AV76" s="232"/>
      <c r="AW76" s="232"/>
      <c r="AX76" s="448"/>
    </row>
    <row r="77" spans="2:50">
      <c r="B77" s="444"/>
      <c r="C77" s="232">
        <v>11</v>
      </c>
      <c r="D77" s="232"/>
      <c r="E77" s="232"/>
      <c r="F77" s="232"/>
      <c r="G77" s="232"/>
      <c r="H77" s="446"/>
      <c r="I77" s="233"/>
      <c r="J77" s="233"/>
      <c r="K77" s="234"/>
      <c r="L77" s="446"/>
      <c r="M77" s="233"/>
      <c r="N77" s="449"/>
      <c r="O77" s="449"/>
      <c r="P77" s="232"/>
      <c r="Q77" s="232"/>
      <c r="R77" s="232"/>
      <c r="S77" s="232"/>
      <c r="T77" s="448"/>
      <c r="U77" s="232"/>
      <c r="V77" s="232"/>
      <c r="W77" s="232"/>
      <c r="X77" s="232"/>
      <c r="Y77" s="448"/>
      <c r="Z77" s="232"/>
      <c r="AA77" s="232"/>
      <c r="AB77" s="232"/>
      <c r="AC77" s="232"/>
      <c r="AD77" s="448"/>
      <c r="AE77" s="232"/>
      <c r="AF77" s="232"/>
      <c r="AG77" s="232"/>
      <c r="AH77" s="232"/>
      <c r="AI77" s="448"/>
      <c r="AJ77" s="232"/>
      <c r="AK77" s="232"/>
      <c r="AL77" s="232"/>
      <c r="AM77" s="232"/>
      <c r="AN77" s="448"/>
      <c r="AO77" s="232"/>
      <c r="AP77" s="232"/>
      <c r="AQ77" s="232"/>
      <c r="AR77" s="232"/>
      <c r="AS77" s="448"/>
      <c r="AT77" s="232"/>
      <c r="AU77" s="232"/>
      <c r="AV77" s="232"/>
      <c r="AW77" s="232"/>
      <c r="AX77" s="448"/>
    </row>
    <row r="78" spans="2:50">
      <c r="B78" s="444"/>
      <c r="C78" s="232">
        <v>12</v>
      </c>
      <c r="D78" s="232"/>
      <c r="E78" s="232"/>
      <c r="F78" s="232"/>
      <c r="G78" s="232"/>
      <c r="H78" s="446"/>
      <c r="I78" s="233"/>
      <c r="J78" s="233"/>
      <c r="K78" s="234"/>
      <c r="L78" s="446"/>
      <c r="M78" s="233"/>
      <c r="N78" s="449"/>
      <c r="O78" s="449"/>
      <c r="P78" s="232"/>
      <c r="Q78" s="232"/>
      <c r="R78" s="232"/>
      <c r="S78" s="232"/>
      <c r="T78" s="448"/>
      <c r="U78" s="232"/>
      <c r="V78" s="232"/>
      <c r="W78" s="232"/>
      <c r="X78" s="232"/>
      <c r="Y78" s="448"/>
      <c r="Z78" s="232"/>
      <c r="AA78" s="232"/>
      <c r="AB78" s="232"/>
      <c r="AC78" s="232"/>
      <c r="AD78" s="448"/>
      <c r="AE78" s="232"/>
      <c r="AF78" s="232"/>
      <c r="AG78" s="232"/>
      <c r="AH78" s="232"/>
      <c r="AI78" s="448"/>
      <c r="AJ78" s="232"/>
      <c r="AK78" s="232"/>
      <c r="AL78" s="232"/>
      <c r="AM78" s="232"/>
      <c r="AN78" s="448"/>
      <c r="AO78" s="232"/>
      <c r="AP78" s="232"/>
      <c r="AQ78" s="232"/>
      <c r="AR78" s="232"/>
      <c r="AS78" s="448"/>
      <c r="AT78" s="232"/>
      <c r="AU78" s="232"/>
      <c r="AV78" s="232"/>
      <c r="AW78" s="232"/>
      <c r="AX78" s="448"/>
    </row>
    <row r="79" spans="2:50">
      <c r="B79" s="444"/>
      <c r="C79" s="232">
        <v>13</v>
      </c>
      <c r="D79" s="232"/>
      <c r="E79" s="232"/>
      <c r="F79" s="232"/>
      <c r="G79" s="232"/>
      <c r="H79" s="446"/>
      <c r="I79" s="233"/>
      <c r="J79" s="233"/>
      <c r="K79" s="234"/>
      <c r="L79" s="446"/>
      <c r="M79" s="233"/>
      <c r="N79" s="449"/>
      <c r="O79" s="449"/>
      <c r="P79" s="232"/>
      <c r="Q79" s="232"/>
      <c r="R79" s="232"/>
      <c r="S79" s="232"/>
      <c r="T79" s="448"/>
      <c r="U79" s="232"/>
      <c r="V79" s="232"/>
      <c r="W79" s="232"/>
      <c r="X79" s="232"/>
      <c r="Y79" s="448"/>
      <c r="Z79" s="232"/>
      <c r="AA79" s="232"/>
      <c r="AB79" s="232"/>
      <c r="AC79" s="232"/>
      <c r="AD79" s="448"/>
      <c r="AE79" s="232"/>
      <c r="AF79" s="232"/>
      <c r="AG79" s="232"/>
      <c r="AH79" s="232"/>
      <c r="AI79" s="448"/>
      <c r="AJ79" s="232"/>
      <c r="AK79" s="232"/>
      <c r="AL79" s="232"/>
      <c r="AM79" s="232"/>
      <c r="AN79" s="448"/>
      <c r="AO79" s="232"/>
      <c r="AP79" s="232"/>
      <c r="AQ79" s="232"/>
      <c r="AR79" s="232"/>
      <c r="AS79" s="448"/>
      <c r="AT79" s="232"/>
      <c r="AU79" s="232"/>
      <c r="AV79" s="232"/>
      <c r="AW79" s="232"/>
      <c r="AX79" s="448"/>
    </row>
    <row r="80" spans="2:50">
      <c r="B80" s="444"/>
      <c r="C80" s="232">
        <v>14</v>
      </c>
      <c r="D80" s="232"/>
      <c r="E80" s="232"/>
      <c r="F80" s="232"/>
      <c r="G80" s="232"/>
      <c r="H80" s="446"/>
      <c r="I80" s="233"/>
      <c r="J80" s="233"/>
      <c r="K80" s="234"/>
      <c r="L80" s="446"/>
      <c r="M80" s="233"/>
      <c r="N80" s="449"/>
      <c r="O80" s="449"/>
      <c r="P80" s="232"/>
      <c r="Q80" s="232"/>
      <c r="R80" s="232"/>
      <c r="S80" s="232"/>
      <c r="T80" s="448"/>
      <c r="U80" s="232"/>
      <c r="V80" s="232"/>
      <c r="W80" s="232"/>
      <c r="X80" s="232"/>
      <c r="Y80" s="448"/>
      <c r="Z80" s="232"/>
      <c r="AA80" s="232"/>
      <c r="AB80" s="232"/>
      <c r="AC80" s="232"/>
      <c r="AD80" s="448"/>
      <c r="AE80" s="232"/>
      <c r="AF80" s="232"/>
      <c r="AG80" s="232"/>
      <c r="AH80" s="232"/>
      <c r="AI80" s="448"/>
      <c r="AJ80" s="232"/>
      <c r="AK80" s="232"/>
      <c r="AL80" s="232"/>
      <c r="AM80" s="232"/>
      <c r="AN80" s="448"/>
      <c r="AO80" s="232"/>
      <c r="AP80" s="232"/>
      <c r="AQ80" s="232"/>
      <c r="AR80" s="232"/>
      <c r="AS80" s="448"/>
      <c r="AT80" s="232"/>
      <c r="AU80" s="232"/>
      <c r="AV80" s="232"/>
      <c r="AW80" s="232"/>
      <c r="AX80" s="448"/>
    </row>
    <row r="81" spans="2:50">
      <c r="B81" s="444"/>
      <c r="C81" s="232">
        <v>15</v>
      </c>
      <c r="D81" s="232"/>
      <c r="E81" s="232"/>
      <c r="F81" s="232"/>
      <c r="G81" s="232"/>
      <c r="H81" s="447"/>
      <c r="I81" s="233"/>
      <c r="J81" s="233"/>
      <c r="K81" s="234"/>
      <c r="L81" s="447"/>
      <c r="M81" s="233"/>
      <c r="N81" s="449"/>
      <c r="O81" s="449"/>
      <c r="P81" s="232"/>
      <c r="Q81" s="232"/>
      <c r="R81" s="232"/>
      <c r="S81" s="232"/>
      <c r="T81" s="448"/>
      <c r="U81" s="232"/>
      <c r="V81" s="232"/>
      <c r="W81" s="232"/>
      <c r="X81" s="232"/>
      <c r="Y81" s="448"/>
      <c r="Z81" s="232"/>
      <c r="AA81" s="232"/>
      <c r="AB81" s="232"/>
      <c r="AC81" s="232"/>
      <c r="AD81" s="448"/>
      <c r="AE81" s="232"/>
      <c r="AF81" s="232"/>
      <c r="AG81" s="232"/>
      <c r="AH81" s="232"/>
      <c r="AI81" s="448"/>
      <c r="AJ81" s="232"/>
      <c r="AK81" s="232"/>
      <c r="AL81" s="232"/>
      <c r="AM81" s="232"/>
      <c r="AN81" s="448"/>
      <c r="AO81" s="232"/>
      <c r="AP81" s="232"/>
      <c r="AQ81" s="232"/>
      <c r="AR81" s="232"/>
      <c r="AS81" s="448"/>
      <c r="AT81" s="232"/>
      <c r="AU81" s="232"/>
      <c r="AV81" s="232"/>
      <c r="AW81" s="232"/>
      <c r="AX81" s="448"/>
    </row>
    <row r="82" spans="2:50" ht="15.6">
      <c r="B82" s="468" t="s">
        <v>82</v>
      </c>
      <c r="C82" s="459"/>
      <c r="D82" s="459"/>
      <c r="E82" s="459"/>
      <c r="F82" s="459"/>
      <c r="G82" s="459"/>
      <c r="H82" s="459"/>
      <c r="I82" s="237"/>
      <c r="J82" s="237"/>
      <c r="K82" s="237"/>
      <c r="L82" s="237"/>
      <c r="M82" s="238"/>
      <c r="N82" s="461" t="s">
        <v>83</v>
      </c>
      <c r="O82" s="461" t="s">
        <v>43</v>
      </c>
      <c r="P82" s="457">
        <v>46049</v>
      </c>
      <c r="Q82" s="444"/>
      <c r="R82" s="444"/>
      <c r="S82" s="444"/>
      <c r="T82" s="444"/>
      <c r="U82" s="457">
        <v>46050</v>
      </c>
      <c r="V82" s="444"/>
      <c r="W82" s="444"/>
      <c r="X82" s="444"/>
      <c r="Y82" s="444"/>
      <c r="Z82" s="457">
        <v>46051</v>
      </c>
      <c r="AA82" s="444"/>
      <c r="AB82" s="444"/>
      <c r="AC82" s="444"/>
      <c r="AD82" s="444"/>
      <c r="AE82" s="457">
        <v>46052</v>
      </c>
      <c r="AF82" s="444"/>
      <c r="AG82" s="444"/>
      <c r="AH82" s="444"/>
      <c r="AI82" s="444"/>
      <c r="AJ82" s="457">
        <v>46053</v>
      </c>
      <c r="AK82" s="444"/>
      <c r="AL82" s="444"/>
      <c r="AM82" s="444"/>
      <c r="AN82" s="444"/>
      <c r="AO82" s="457">
        <v>46054</v>
      </c>
      <c r="AP82" s="444"/>
      <c r="AQ82" s="444"/>
      <c r="AR82" s="444"/>
      <c r="AS82" s="444"/>
      <c r="AT82" s="457">
        <v>46055</v>
      </c>
      <c r="AU82" s="444"/>
      <c r="AV82" s="444"/>
      <c r="AW82" s="444"/>
      <c r="AX82" s="444"/>
    </row>
    <row r="83" spans="2:50" ht="15.6">
      <c r="B83" s="460"/>
      <c r="C83" s="460"/>
      <c r="D83" s="460"/>
      <c r="E83" s="460"/>
      <c r="F83" s="460"/>
      <c r="G83" s="460"/>
      <c r="H83" s="460"/>
      <c r="I83" s="228"/>
      <c r="J83" s="228"/>
      <c r="K83" s="228"/>
      <c r="L83" s="228"/>
      <c r="M83" s="229"/>
      <c r="N83" s="462"/>
      <c r="O83" s="462"/>
      <c r="P83" s="457" t="s">
        <v>57</v>
      </c>
      <c r="Q83" s="444"/>
      <c r="R83" s="444"/>
      <c r="S83" s="444"/>
      <c r="T83" s="444"/>
      <c r="U83" s="457" t="s">
        <v>58</v>
      </c>
      <c r="V83" s="444"/>
      <c r="W83" s="444"/>
      <c r="X83" s="444"/>
      <c r="Y83" s="444"/>
      <c r="Z83" s="457" t="s">
        <v>54</v>
      </c>
      <c r="AA83" s="444"/>
      <c r="AB83" s="444"/>
      <c r="AC83" s="444"/>
      <c r="AD83" s="444"/>
      <c r="AE83" s="457" t="s">
        <v>55</v>
      </c>
      <c r="AF83" s="444"/>
      <c r="AG83" s="444"/>
      <c r="AH83" s="444"/>
      <c r="AI83" s="444"/>
      <c r="AJ83" s="457" t="s">
        <v>56</v>
      </c>
      <c r="AK83" s="444"/>
      <c r="AL83" s="444"/>
      <c r="AM83" s="444"/>
      <c r="AN83" s="444"/>
      <c r="AO83" s="457" t="s">
        <v>50</v>
      </c>
      <c r="AP83" s="444"/>
      <c r="AQ83" s="444"/>
      <c r="AR83" s="444"/>
      <c r="AS83" s="444"/>
      <c r="AT83" s="457" t="s">
        <v>53</v>
      </c>
      <c r="AU83" s="444"/>
      <c r="AV83" s="444"/>
      <c r="AW83" s="444"/>
      <c r="AX83" s="444"/>
    </row>
    <row r="84" spans="2:50">
      <c r="B84" s="449" t="s">
        <v>39</v>
      </c>
      <c r="C84" s="449" t="s">
        <v>84</v>
      </c>
      <c r="D84" s="449"/>
      <c r="E84" s="449" t="s">
        <v>85</v>
      </c>
      <c r="F84" s="449"/>
      <c r="G84" s="449"/>
      <c r="H84" s="454" t="s">
        <v>86</v>
      </c>
      <c r="I84" s="449" t="s">
        <v>87</v>
      </c>
      <c r="J84" s="449"/>
      <c r="K84" s="449"/>
      <c r="L84" s="454" t="s">
        <v>86</v>
      </c>
      <c r="M84" s="461" t="s">
        <v>88</v>
      </c>
      <c r="N84" s="449"/>
      <c r="O84" s="449" t="s">
        <v>89</v>
      </c>
      <c r="P84" s="450" t="s">
        <v>90</v>
      </c>
      <c r="Q84" s="451"/>
      <c r="R84" s="451"/>
      <c r="S84" s="452"/>
      <c r="T84" s="449" t="s">
        <v>86</v>
      </c>
      <c r="U84" s="450" t="s">
        <v>90</v>
      </c>
      <c r="V84" s="451"/>
      <c r="W84" s="451"/>
      <c r="X84" s="452"/>
      <c r="Y84" s="449" t="s">
        <v>86</v>
      </c>
      <c r="Z84" s="450" t="s">
        <v>90</v>
      </c>
      <c r="AA84" s="451"/>
      <c r="AB84" s="451"/>
      <c r="AC84" s="452"/>
      <c r="AD84" s="449" t="s">
        <v>86</v>
      </c>
      <c r="AE84" s="450" t="s">
        <v>90</v>
      </c>
      <c r="AF84" s="451"/>
      <c r="AG84" s="451"/>
      <c r="AH84" s="452"/>
      <c r="AI84" s="449" t="s">
        <v>86</v>
      </c>
      <c r="AJ84" s="450" t="s">
        <v>90</v>
      </c>
      <c r="AK84" s="451"/>
      <c r="AL84" s="451"/>
      <c r="AM84" s="452"/>
      <c r="AN84" s="449" t="s">
        <v>86</v>
      </c>
      <c r="AO84" s="450" t="s">
        <v>90</v>
      </c>
      <c r="AP84" s="451"/>
      <c r="AQ84" s="451"/>
      <c r="AR84" s="452"/>
      <c r="AS84" s="449" t="s">
        <v>86</v>
      </c>
      <c r="AT84" s="450" t="s">
        <v>90</v>
      </c>
      <c r="AU84" s="451"/>
      <c r="AV84" s="451"/>
      <c r="AW84" s="452"/>
      <c r="AX84" s="449" t="s">
        <v>86</v>
      </c>
    </row>
    <row r="85" spans="2:50">
      <c r="B85" s="449"/>
      <c r="C85" s="449"/>
      <c r="D85" s="449"/>
      <c r="E85" s="449" t="s">
        <v>91</v>
      </c>
      <c r="F85" s="449"/>
      <c r="G85" s="449"/>
      <c r="H85" s="455"/>
      <c r="I85" s="449" t="s">
        <v>91</v>
      </c>
      <c r="J85" s="449"/>
      <c r="K85" s="449"/>
      <c r="L85" s="455"/>
      <c r="M85" s="472"/>
      <c r="N85" s="449"/>
      <c r="O85" s="449"/>
      <c r="P85" s="450" t="s">
        <v>92</v>
      </c>
      <c r="Q85" s="451"/>
      <c r="R85" s="451"/>
      <c r="S85" s="452"/>
      <c r="T85" s="449"/>
      <c r="U85" s="450" t="s">
        <v>92</v>
      </c>
      <c r="V85" s="451"/>
      <c r="W85" s="451"/>
      <c r="X85" s="452"/>
      <c r="Y85" s="449"/>
      <c r="Z85" s="450" t="s">
        <v>92</v>
      </c>
      <c r="AA85" s="451"/>
      <c r="AB85" s="451"/>
      <c r="AC85" s="452"/>
      <c r="AD85" s="449"/>
      <c r="AE85" s="450" t="s">
        <v>92</v>
      </c>
      <c r="AF85" s="451"/>
      <c r="AG85" s="451"/>
      <c r="AH85" s="452"/>
      <c r="AI85" s="449"/>
      <c r="AJ85" s="450" t="s">
        <v>92</v>
      </c>
      <c r="AK85" s="451"/>
      <c r="AL85" s="451"/>
      <c r="AM85" s="452"/>
      <c r="AN85" s="449"/>
      <c r="AO85" s="450" t="s">
        <v>92</v>
      </c>
      <c r="AP85" s="451"/>
      <c r="AQ85" s="451"/>
      <c r="AR85" s="452"/>
      <c r="AS85" s="449"/>
      <c r="AT85" s="450" t="s">
        <v>92</v>
      </c>
      <c r="AU85" s="451"/>
      <c r="AV85" s="451"/>
      <c r="AW85" s="452"/>
      <c r="AX85" s="449"/>
    </row>
    <row r="86" spans="2:50">
      <c r="B86" s="449"/>
      <c r="C86" s="449"/>
      <c r="D86" s="449"/>
      <c r="E86" s="231" t="s">
        <v>93</v>
      </c>
      <c r="F86" s="231" t="s">
        <v>94</v>
      </c>
      <c r="G86" s="231" t="s">
        <v>95</v>
      </c>
      <c r="H86" s="456"/>
      <c r="I86" s="231" t="s">
        <v>93</v>
      </c>
      <c r="J86" s="231" t="s">
        <v>94</v>
      </c>
      <c r="K86" s="231" t="s">
        <v>95</v>
      </c>
      <c r="L86" s="456"/>
      <c r="M86" s="462"/>
      <c r="N86" s="449"/>
      <c r="O86" s="449"/>
      <c r="P86" s="231" t="s">
        <v>93</v>
      </c>
      <c r="Q86" s="231" t="s">
        <v>94</v>
      </c>
      <c r="R86" s="231" t="s">
        <v>95</v>
      </c>
      <c r="S86" s="231" t="s">
        <v>88</v>
      </c>
      <c r="T86" s="449"/>
      <c r="U86" s="231" t="s">
        <v>93</v>
      </c>
      <c r="V86" s="231" t="s">
        <v>94</v>
      </c>
      <c r="W86" s="231" t="s">
        <v>95</v>
      </c>
      <c r="X86" s="231" t="s">
        <v>88</v>
      </c>
      <c r="Y86" s="449"/>
      <c r="Z86" s="231" t="s">
        <v>93</v>
      </c>
      <c r="AA86" s="231" t="s">
        <v>94</v>
      </c>
      <c r="AB86" s="231" t="s">
        <v>95</v>
      </c>
      <c r="AC86" s="231" t="s">
        <v>88</v>
      </c>
      <c r="AD86" s="449"/>
      <c r="AE86" s="231" t="s">
        <v>93</v>
      </c>
      <c r="AF86" s="231" t="s">
        <v>94</v>
      </c>
      <c r="AG86" s="231" t="s">
        <v>95</v>
      </c>
      <c r="AH86" s="231" t="s">
        <v>88</v>
      </c>
      <c r="AI86" s="449"/>
      <c r="AJ86" s="231" t="s">
        <v>93</v>
      </c>
      <c r="AK86" s="231" t="s">
        <v>94</v>
      </c>
      <c r="AL86" s="231" t="s">
        <v>95</v>
      </c>
      <c r="AM86" s="231" t="s">
        <v>88</v>
      </c>
      <c r="AN86" s="449"/>
      <c r="AO86" s="231" t="s">
        <v>93</v>
      </c>
      <c r="AP86" s="231" t="s">
        <v>94</v>
      </c>
      <c r="AQ86" s="231" t="s">
        <v>95</v>
      </c>
      <c r="AR86" s="231" t="s">
        <v>88</v>
      </c>
      <c r="AS86" s="449"/>
      <c r="AT86" s="231" t="s">
        <v>93</v>
      </c>
      <c r="AU86" s="231" t="s">
        <v>94</v>
      </c>
      <c r="AV86" s="231" t="s">
        <v>95</v>
      </c>
      <c r="AW86" s="231" t="s">
        <v>88</v>
      </c>
      <c r="AX86" s="449"/>
    </row>
    <row r="87" spans="2:50">
      <c r="B87" s="449" t="s">
        <v>73</v>
      </c>
      <c r="C87" s="232">
        <v>1</v>
      </c>
      <c r="D87" s="232" t="s">
        <v>114</v>
      </c>
      <c r="E87" s="233">
        <f>VLOOKUP(D87,'12產線配置圖 (2)'!$A$2:$C$30,2,0)</f>
        <v>13</v>
      </c>
      <c r="F87" s="233">
        <f>VLOOKUP(D87,'12產線配置圖 (2)'!$A$2:$C$30,3,0)</f>
        <v>1565</v>
      </c>
      <c r="G87" s="234">
        <f>F87/E87</f>
        <v>120.38461538461539</v>
      </c>
      <c r="H87" s="445">
        <f>AVERAGE(G87:G101)</f>
        <v>127.90865384615384</v>
      </c>
      <c r="I87" s="233">
        <f>AVERAGE(P87,U87,Z86,AE87,AJ87,AO87,AT87)</f>
        <v>13</v>
      </c>
      <c r="J87" s="233">
        <f t="shared" ref="J87:J90" si="21">AVERAGE(Q87,V87,AA87,AF87,AK87,AP87,AU87)</f>
        <v>1484</v>
      </c>
      <c r="K87" s="234">
        <f>AVERAGE(R87,W87,AB87,AG87,AL87)</f>
        <v>114.15384615384615</v>
      </c>
      <c r="L87" s="445">
        <f>IFERROR(AVERAGE(K87:K101),"-")</f>
        <v>107.3707532051282</v>
      </c>
      <c r="M87" s="233">
        <f>RANK(K87,$K$87:$K$101)</f>
        <v>3</v>
      </c>
      <c r="N87" s="449"/>
      <c r="O87" s="449"/>
      <c r="P87" s="233">
        <v>13</v>
      </c>
      <c r="Q87" s="233">
        <v>1554</v>
      </c>
      <c r="R87" s="234">
        <f>Q87/P87</f>
        <v>119.53846153846153</v>
      </c>
      <c r="S87" s="232">
        <f>RANK(R87,$R$87:$R$101)</f>
        <v>3</v>
      </c>
      <c r="T87" s="448">
        <f>AVERAGE(R87:R101)</f>
        <v>112.30128205128206</v>
      </c>
      <c r="U87" s="233">
        <v>13</v>
      </c>
      <c r="V87" s="233">
        <v>1553</v>
      </c>
      <c r="W87" s="234">
        <f>V87/U87</f>
        <v>119.46153846153847</v>
      </c>
      <c r="X87" s="232">
        <f>RANK(W87,$W$87:$W$101)</f>
        <v>3</v>
      </c>
      <c r="Y87" s="448">
        <f>AVERAGE(W87:W101)</f>
        <v>110.65705128205128</v>
      </c>
      <c r="Z87" s="233">
        <v>13</v>
      </c>
      <c r="AA87" s="233">
        <v>1337</v>
      </c>
      <c r="AB87" s="234">
        <f>AA87/Z87</f>
        <v>102.84615384615384</v>
      </c>
      <c r="AC87" s="232">
        <f>RANK(AB87, $AB$87:$AB$101)</f>
        <v>3</v>
      </c>
      <c r="AD87" s="448">
        <f>AVERAGE(AB87:AB101)</f>
        <v>106.31570512820512</v>
      </c>
      <c r="AE87" s="233">
        <v>13</v>
      </c>
      <c r="AF87" s="233">
        <v>1545</v>
      </c>
      <c r="AG87" s="234">
        <f>AF87/AE87</f>
        <v>118.84615384615384</v>
      </c>
      <c r="AH87" s="232">
        <f>RANK(AG87,$AG$87:$AG$101)</f>
        <v>3</v>
      </c>
      <c r="AI87" s="448">
        <f>AVERAGE(AG87:AG101)</f>
        <v>101.83653846153847</v>
      </c>
      <c r="AJ87" s="233">
        <v>13</v>
      </c>
      <c r="AK87" s="233">
        <v>1431</v>
      </c>
      <c r="AL87" s="234">
        <f>AK87/AJ87</f>
        <v>110.07692307692308</v>
      </c>
      <c r="AM87" s="232">
        <f>RANK(AL87,$AL$87:$AL$101)</f>
        <v>3</v>
      </c>
      <c r="AN87" s="448">
        <f>AVERAGE(AL87:AL101)</f>
        <v>118.80341880341881</v>
      </c>
      <c r="AO87" s="233"/>
      <c r="AP87" s="233"/>
      <c r="AQ87" s="234" t="e">
        <f>AP87/AO87</f>
        <v>#DIV/0!</v>
      </c>
      <c r="AR87" s="232" t="e">
        <f>RANK(AQ87, $AQ$67:$AQ$69)</f>
        <v>#DIV/0!</v>
      </c>
      <c r="AS87" s="448" t="e">
        <f>AVERAGE(AQ87:AQ101)</f>
        <v>#DIV/0!</v>
      </c>
      <c r="AT87" s="233"/>
      <c r="AU87" s="233"/>
      <c r="AV87" s="234" t="e">
        <f>AU87/AT87</f>
        <v>#DIV/0!</v>
      </c>
      <c r="AW87" s="232" t="e">
        <f>RANK(AV87, $AV$67:$AV$69)</f>
        <v>#DIV/0!</v>
      </c>
      <c r="AX87" s="448" t="e">
        <f>AVERAGE(AV87:AV101)</f>
        <v>#DIV/0!</v>
      </c>
    </row>
    <row r="88" spans="2:50">
      <c r="B88" s="444"/>
      <c r="C88" s="232">
        <v>2</v>
      </c>
      <c r="D88" s="232" t="s">
        <v>115</v>
      </c>
      <c r="E88" s="233">
        <f>VLOOKUP(D88,'12產線配置圖 (2)'!$A$2:$C$30,2,0)</f>
        <v>12</v>
      </c>
      <c r="F88" s="233">
        <f>VLOOKUP(D88,'12產線配置圖 (2)'!$A$2:$C$30,3,0)</f>
        <v>1565</v>
      </c>
      <c r="G88" s="234">
        <f>F88/E88</f>
        <v>130.41666666666666</v>
      </c>
      <c r="H88" s="446"/>
      <c r="I88" s="233">
        <f>AVERAGE(P88,U88,Z87,AE88,AJ88,AO88,AT88)</f>
        <v>12.2</v>
      </c>
      <c r="J88" s="233">
        <f t="shared" si="21"/>
        <v>1518.8</v>
      </c>
      <c r="K88" s="234">
        <f t="shared" ref="K88:K90" si="22">AVERAGE(R88,W88,AB88,AG88,AL88)</f>
        <v>126.56666666666668</v>
      </c>
      <c r="L88" s="446"/>
      <c r="M88" s="233">
        <f t="shared" ref="M88:M90" si="23">RANK(K88,$K$87:$K$101)</f>
        <v>1</v>
      </c>
      <c r="N88" s="449"/>
      <c r="O88" s="449"/>
      <c r="P88" s="233">
        <v>12</v>
      </c>
      <c r="Q88" s="233">
        <v>1502</v>
      </c>
      <c r="R88" s="234">
        <f>Q88/P88</f>
        <v>125.16666666666667</v>
      </c>
      <c r="S88" s="232">
        <f t="shared" ref="S88:S90" si="24">RANK(R88,$R$87:$R$101)</f>
        <v>1</v>
      </c>
      <c r="T88" s="448"/>
      <c r="U88" s="233">
        <v>12</v>
      </c>
      <c r="V88" s="233">
        <v>1526</v>
      </c>
      <c r="W88" s="234">
        <f>V88/U88</f>
        <v>127.16666666666667</v>
      </c>
      <c r="X88" s="232">
        <f t="shared" ref="X88:X90" si="25">RANK(W88,$W$87:$W$101)</f>
        <v>1</v>
      </c>
      <c r="Y88" s="448"/>
      <c r="Z88" s="233">
        <v>12</v>
      </c>
      <c r="AA88" s="233">
        <v>1526</v>
      </c>
      <c r="AB88" s="234">
        <f>AA88/Z88</f>
        <v>127.16666666666667</v>
      </c>
      <c r="AC88" s="232">
        <f t="shared" ref="AC88:AC90" si="26">RANK(AB88, $AB$87:$AB$101)</f>
        <v>1</v>
      </c>
      <c r="AD88" s="448"/>
      <c r="AE88" s="233">
        <v>12</v>
      </c>
      <c r="AF88" s="233">
        <v>1546</v>
      </c>
      <c r="AG88" s="234">
        <f>AF88/AE88</f>
        <v>128.83333333333334</v>
      </c>
      <c r="AH88" s="232">
        <f t="shared" ref="AH88:AH90" si="27">RANK(AG88,$AG$87:$AG$101)</f>
        <v>1</v>
      </c>
      <c r="AI88" s="448"/>
      <c r="AJ88" s="233">
        <v>12</v>
      </c>
      <c r="AK88" s="233">
        <v>1494</v>
      </c>
      <c r="AL88" s="234">
        <f>AK88/AJ88</f>
        <v>124.5</v>
      </c>
      <c r="AM88" s="232">
        <f t="shared" ref="AM88:AM90" si="28">RANK(AL88,$AL$87:$AL$101)</f>
        <v>1</v>
      </c>
      <c r="AN88" s="448"/>
      <c r="AO88" s="233"/>
      <c r="AP88" s="233"/>
      <c r="AQ88" s="234" t="e">
        <f>AP88/AO88</f>
        <v>#DIV/0!</v>
      </c>
      <c r="AR88" s="232" t="e">
        <f>RANK(AQ88, $AQ$67:$AQ$69)</f>
        <v>#DIV/0!</v>
      </c>
      <c r="AS88" s="448"/>
      <c r="AT88" s="233"/>
      <c r="AU88" s="233"/>
      <c r="AV88" s="234" t="e">
        <f>AU88/AT88</f>
        <v>#DIV/0!</v>
      </c>
      <c r="AW88" s="232" t="e">
        <f>RANK(AV88, $AV$67:$AV$69)</f>
        <v>#DIV/0!</v>
      </c>
      <c r="AX88" s="448"/>
    </row>
    <row r="89" spans="2:50">
      <c r="B89" s="444"/>
      <c r="C89" s="232">
        <v>3</v>
      </c>
      <c r="D89" s="232" t="s">
        <v>116</v>
      </c>
      <c r="E89" s="233">
        <f>VLOOKUP(D89,'12產線配置圖 (2)'!$A$2:$C$30,2,0)</f>
        <v>12</v>
      </c>
      <c r="F89" s="233">
        <f>VLOOKUP(D89,'12產線配置圖 (2)'!$A$2:$C$30,3,0)</f>
        <v>1565</v>
      </c>
      <c r="G89" s="234">
        <f>F89/E89</f>
        <v>130.41666666666666</v>
      </c>
      <c r="H89" s="446"/>
      <c r="I89" s="233">
        <f>AVERAGE(P89,U89,Z89,AE89,AJ89,AO89,AT89)</f>
        <v>12</v>
      </c>
      <c r="J89" s="233">
        <f t="shared" si="21"/>
        <v>798.75</v>
      </c>
      <c r="K89" s="234">
        <f t="shared" si="22"/>
        <v>66.5625</v>
      </c>
      <c r="L89" s="446"/>
      <c r="M89" s="233">
        <f t="shared" si="23"/>
        <v>4</v>
      </c>
      <c r="N89" s="449"/>
      <c r="O89" s="449"/>
      <c r="P89" s="233">
        <v>12</v>
      </c>
      <c r="Q89" s="233">
        <v>1015</v>
      </c>
      <c r="R89" s="234">
        <f>Q89/P89</f>
        <v>84.583333333333329</v>
      </c>
      <c r="S89" s="232">
        <f t="shared" si="24"/>
        <v>4</v>
      </c>
      <c r="T89" s="448"/>
      <c r="U89" s="233">
        <v>12</v>
      </c>
      <c r="V89" s="233">
        <v>890</v>
      </c>
      <c r="W89" s="234">
        <f>V89/U89</f>
        <v>74.166666666666671</v>
      </c>
      <c r="X89" s="232">
        <f t="shared" si="25"/>
        <v>4</v>
      </c>
      <c r="Y89" s="448"/>
      <c r="Z89" s="233">
        <v>12</v>
      </c>
      <c r="AA89" s="233">
        <v>838</v>
      </c>
      <c r="AB89" s="234">
        <f>AA89/Z89</f>
        <v>69.833333333333329</v>
      </c>
      <c r="AC89" s="232">
        <f t="shared" si="26"/>
        <v>4</v>
      </c>
      <c r="AD89" s="448"/>
      <c r="AE89" s="233">
        <v>12</v>
      </c>
      <c r="AF89" s="233">
        <v>452</v>
      </c>
      <c r="AG89" s="234">
        <f>AF89/AE89</f>
        <v>37.666666666666664</v>
      </c>
      <c r="AH89" s="232">
        <f t="shared" si="27"/>
        <v>4</v>
      </c>
      <c r="AI89" s="448"/>
      <c r="AJ89" s="233"/>
      <c r="AK89" s="233"/>
      <c r="AL89" s="234"/>
      <c r="AM89" s="232"/>
      <c r="AN89" s="448"/>
      <c r="AO89" s="233"/>
      <c r="AP89" s="233"/>
      <c r="AQ89" s="234" t="e">
        <f>AP89/AO89</f>
        <v>#DIV/0!</v>
      </c>
      <c r="AR89" s="232" t="e">
        <f>RANK(AQ89, $AQ$67:$AQ$69)</f>
        <v>#DIV/0!</v>
      </c>
      <c r="AS89" s="448"/>
      <c r="AT89" s="233"/>
      <c r="AU89" s="233"/>
      <c r="AV89" s="234" t="e">
        <f>AU89/AT89</f>
        <v>#DIV/0!</v>
      </c>
      <c r="AW89" s="232" t="e">
        <f>RANK(AV89, $AV$67:$AV$69)</f>
        <v>#DIV/0!</v>
      </c>
      <c r="AX89" s="448"/>
    </row>
    <row r="90" spans="2:50">
      <c r="B90" s="444"/>
      <c r="C90" s="232">
        <v>4</v>
      </c>
      <c r="D90" s="232" t="s">
        <v>117</v>
      </c>
      <c r="E90" s="233">
        <f>VLOOKUP(D90,'12產線配置圖 (2)'!$A$2:$C$30,2,0)</f>
        <v>12</v>
      </c>
      <c r="F90" s="233">
        <f>VLOOKUP(D90,'12產線配置圖 (2)'!$A$2:$C$30,3,0)</f>
        <v>1565</v>
      </c>
      <c r="G90" s="234">
        <f>F90/E90</f>
        <v>130.41666666666666</v>
      </c>
      <c r="H90" s="446"/>
      <c r="I90" s="233">
        <f>AVERAGE(P90,U90,Z90,AE90,AJ90,AO90,AT90)</f>
        <v>12</v>
      </c>
      <c r="J90" s="233">
        <f t="shared" si="21"/>
        <v>1466.4</v>
      </c>
      <c r="K90" s="234">
        <f t="shared" si="22"/>
        <v>122.2</v>
      </c>
      <c r="L90" s="446"/>
      <c r="M90" s="233">
        <f t="shared" si="23"/>
        <v>2</v>
      </c>
      <c r="N90" s="449"/>
      <c r="O90" s="449"/>
      <c r="P90" s="233">
        <v>12</v>
      </c>
      <c r="Q90" s="233">
        <v>1439</v>
      </c>
      <c r="R90" s="234">
        <f>Q90/P90</f>
        <v>119.91666666666667</v>
      </c>
      <c r="S90" s="232">
        <f t="shared" si="24"/>
        <v>2</v>
      </c>
      <c r="T90" s="448"/>
      <c r="U90" s="233">
        <v>12</v>
      </c>
      <c r="V90" s="233">
        <v>1462</v>
      </c>
      <c r="W90" s="234">
        <f>V90/U90</f>
        <v>121.83333333333333</v>
      </c>
      <c r="X90" s="232">
        <f t="shared" si="25"/>
        <v>2</v>
      </c>
      <c r="Y90" s="448"/>
      <c r="Z90" s="233">
        <v>12</v>
      </c>
      <c r="AA90" s="233">
        <v>1505</v>
      </c>
      <c r="AB90" s="234">
        <f>AA90/Z90</f>
        <v>125.41666666666667</v>
      </c>
      <c r="AC90" s="232">
        <f t="shared" si="26"/>
        <v>2</v>
      </c>
      <c r="AD90" s="448"/>
      <c r="AE90" s="233">
        <v>12</v>
      </c>
      <c r="AF90" s="233">
        <v>1464</v>
      </c>
      <c r="AG90" s="234">
        <f>AF90/AE90</f>
        <v>122</v>
      </c>
      <c r="AH90" s="232">
        <f t="shared" si="27"/>
        <v>2</v>
      </c>
      <c r="AI90" s="448"/>
      <c r="AJ90" s="233">
        <v>12</v>
      </c>
      <c r="AK90" s="233">
        <v>1462</v>
      </c>
      <c r="AL90" s="234">
        <f>AK90/AJ90</f>
        <v>121.83333333333333</v>
      </c>
      <c r="AM90" s="232">
        <f t="shared" si="28"/>
        <v>2</v>
      </c>
      <c r="AN90" s="448"/>
      <c r="AO90" s="233"/>
      <c r="AP90" s="233"/>
      <c r="AQ90" s="234" t="e">
        <f>AP90/AO90</f>
        <v>#DIV/0!</v>
      </c>
      <c r="AR90" s="232" t="e">
        <f>RANK(AQ90, $AQ$67:$AQ$69)</f>
        <v>#DIV/0!</v>
      </c>
      <c r="AS90" s="448"/>
      <c r="AT90" s="233"/>
      <c r="AU90" s="233"/>
      <c r="AV90" s="234" t="e">
        <f>AU90/AT90</f>
        <v>#DIV/0!</v>
      </c>
      <c r="AW90" s="232" t="e">
        <f>RANK(AV90, $AV$67:$AV$69)</f>
        <v>#DIV/0!</v>
      </c>
      <c r="AX90" s="448"/>
    </row>
    <row r="91" spans="2:50">
      <c r="B91" s="444"/>
      <c r="C91" s="232">
        <v>5</v>
      </c>
      <c r="D91" s="232"/>
      <c r="E91" s="233"/>
      <c r="F91" s="233"/>
      <c r="G91" s="234"/>
      <c r="H91" s="446"/>
      <c r="I91" s="233"/>
      <c r="J91" s="233"/>
      <c r="K91" s="234"/>
      <c r="L91" s="446"/>
      <c r="M91" s="233"/>
      <c r="N91" s="449"/>
      <c r="O91" s="449"/>
      <c r="P91" s="233"/>
      <c r="Q91" s="233"/>
      <c r="R91" s="232"/>
      <c r="S91" s="232"/>
      <c r="T91" s="448"/>
      <c r="U91" s="233"/>
      <c r="V91" s="233"/>
      <c r="W91" s="232"/>
      <c r="X91" s="232"/>
      <c r="Y91" s="448"/>
      <c r="Z91" s="233"/>
      <c r="AA91" s="233"/>
      <c r="AB91" s="232"/>
      <c r="AC91" s="232"/>
      <c r="AD91" s="448"/>
      <c r="AE91" s="233"/>
      <c r="AF91" s="233"/>
      <c r="AG91" s="232"/>
      <c r="AH91" s="232"/>
      <c r="AI91" s="448"/>
      <c r="AJ91" s="233"/>
      <c r="AK91" s="233"/>
      <c r="AL91" s="232"/>
      <c r="AM91" s="232"/>
      <c r="AN91" s="448"/>
      <c r="AO91" s="233"/>
      <c r="AP91" s="233"/>
      <c r="AQ91" s="232"/>
      <c r="AR91" s="232"/>
      <c r="AS91" s="448"/>
      <c r="AT91" s="233"/>
      <c r="AU91" s="233"/>
      <c r="AV91" s="232"/>
      <c r="AW91" s="232"/>
      <c r="AX91" s="448"/>
    </row>
    <row r="92" spans="2:50">
      <c r="B92" s="444"/>
      <c r="C92" s="232">
        <v>6</v>
      </c>
      <c r="D92" s="232"/>
      <c r="E92" s="233"/>
      <c r="F92" s="233"/>
      <c r="G92" s="234"/>
      <c r="H92" s="446"/>
      <c r="I92" s="233"/>
      <c r="J92" s="233"/>
      <c r="K92" s="234"/>
      <c r="L92" s="446"/>
      <c r="M92" s="233"/>
      <c r="N92" s="449"/>
      <c r="O92" s="449"/>
      <c r="P92" s="233"/>
      <c r="Q92" s="233"/>
      <c r="R92" s="232"/>
      <c r="S92" s="232"/>
      <c r="T92" s="448"/>
      <c r="U92" s="233"/>
      <c r="V92" s="233"/>
      <c r="W92" s="232"/>
      <c r="X92" s="232"/>
      <c r="Y92" s="448"/>
      <c r="Z92" s="233"/>
      <c r="AA92" s="233"/>
      <c r="AB92" s="232"/>
      <c r="AC92" s="232"/>
      <c r="AD92" s="448"/>
      <c r="AE92" s="233"/>
      <c r="AF92" s="233"/>
      <c r="AG92" s="232"/>
      <c r="AH92" s="232"/>
      <c r="AI92" s="448"/>
      <c r="AJ92" s="233"/>
      <c r="AK92" s="233"/>
      <c r="AL92" s="232"/>
      <c r="AM92" s="232"/>
      <c r="AN92" s="448"/>
      <c r="AO92" s="233"/>
      <c r="AP92" s="233"/>
      <c r="AQ92" s="232"/>
      <c r="AR92" s="232"/>
      <c r="AS92" s="448"/>
      <c r="AT92" s="233"/>
      <c r="AU92" s="233"/>
      <c r="AV92" s="232"/>
      <c r="AW92" s="232"/>
      <c r="AX92" s="448"/>
    </row>
    <row r="93" spans="2:50">
      <c r="B93" s="444"/>
      <c r="C93" s="232">
        <v>7</v>
      </c>
      <c r="D93" s="232"/>
      <c r="E93" s="233"/>
      <c r="F93" s="233"/>
      <c r="G93" s="234"/>
      <c r="H93" s="446"/>
      <c r="I93" s="233"/>
      <c r="J93" s="233"/>
      <c r="K93" s="234"/>
      <c r="L93" s="446"/>
      <c r="M93" s="233"/>
      <c r="N93" s="449"/>
      <c r="O93" s="449"/>
      <c r="P93" s="233"/>
      <c r="Q93" s="233"/>
      <c r="R93" s="232"/>
      <c r="S93" s="232"/>
      <c r="T93" s="448"/>
      <c r="U93" s="233"/>
      <c r="V93" s="233"/>
      <c r="W93" s="232"/>
      <c r="X93" s="232"/>
      <c r="Y93" s="448"/>
      <c r="Z93" s="233"/>
      <c r="AA93" s="233"/>
      <c r="AB93" s="232"/>
      <c r="AC93" s="232"/>
      <c r="AD93" s="448"/>
      <c r="AE93" s="233"/>
      <c r="AF93" s="233"/>
      <c r="AG93" s="232"/>
      <c r="AH93" s="232"/>
      <c r="AI93" s="448"/>
      <c r="AJ93" s="233"/>
      <c r="AK93" s="233"/>
      <c r="AL93" s="232"/>
      <c r="AM93" s="232"/>
      <c r="AN93" s="448"/>
      <c r="AO93" s="233"/>
      <c r="AP93" s="233"/>
      <c r="AQ93" s="232"/>
      <c r="AR93" s="232"/>
      <c r="AS93" s="448"/>
      <c r="AT93" s="233"/>
      <c r="AU93" s="233"/>
      <c r="AV93" s="232"/>
      <c r="AW93" s="232"/>
      <c r="AX93" s="448"/>
    </row>
    <row r="94" spans="2:50">
      <c r="B94" s="444"/>
      <c r="C94" s="232">
        <v>8</v>
      </c>
      <c r="D94" s="232"/>
      <c r="E94" s="232"/>
      <c r="F94" s="232"/>
      <c r="G94" s="232"/>
      <c r="H94" s="446"/>
      <c r="I94" s="233"/>
      <c r="J94" s="233"/>
      <c r="K94" s="234"/>
      <c r="L94" s="446"/>
      <c r="M94" s="233"/>
      <c r="N94" s="449"/>
      <c r="O94" s="449"/>
      <c r="P94" s="233"/>
      <c r="Q94" s="233"/>
      <c r="R94" s="232"/>
      <c r="S94" s="232"/>
      <c r="T94" s="448"/>
      <c r="U94" s="233"/>
      <c r="V94" s="233"/>
      <c r="W94" s="232"/>
      <c r="X94" s="232"/>
      <c r="Y94" s="448"/>
      <c r="Z94" s="233"/>
      <c r="AA94" s="233"/>
      <c r="AB94" s="232"/>
      <c r="AC94" s="232"/>
      <c r="AD94" s="448"/>
      <c r="AE94" s="233"/>
      <c r="AF94" s="233"/>
      <c r="AG94" s="232"/>
      <c r="AH94" s="232"/>
      <c r="AI94" s="448"/>
      <c r="AJ94" s="233"/>
      <c r="AK94" s="233"/>
      <c r="AL94" s="232"/>
      <c r="AM94" s="232"/>
      <c r="AN94" s="448"/>
      <c r="AO94" s="233"/>
      <c r="AP94" s="233"/>
      <c r="AQ94" s="232"/>
      <c r="AR94" s="232"/>
      <c r="AS94" s="448"/>
      <c r="AT94" s="233"/>
      <c r="AU94" s="233"/>
      <c r="AV94" s="232"/>
      <c r="AW94" s="232"/>
      <c r="AX94" s="448"/>
    </row>
    <row r="95" spans="2:50">
      <c r="B95" s="444"/>
      <c r="C95" s="232">
        <v>9</v>
      </c>
      <c r="D95" s="232"/>
      <c r="E95" s="232"/>
      <c r="F95" s="232"/>
      <c r="G95" s="232"/>
      <c r="H95" s="446"/>
      <c r="I95" s="233"/>
      <c r="J95" s="233"/>
      <c r="K95" s="234"/>
      <c r="L95" s="446"/>
      <c r="M95" s="233"/>
      <c r="N95" s="449"/>
      <c r="O95" s="449"/>
      <c r="P95" s="233"/>
      <c r="Q95" s="233"/>
      <c r="R95" s="232"/>
      <c r="S95" s="232"/>
      <c r="T95" s="448"/>
      <c r="U95" s="233"/>
      <c r="V95" s="233"/>
      <c r="W95" s="232"/>
      <c r="X95" s="232"/>
      <c r="Y95" s="448"/>
      <c r="Z95" s="233"/>
      <c r="AA95" s="233"/>
      <c r="AB95" s="232"/>
      <c r="AC95" s="232"/>
      <c r="AD95" s="448"/>
      <c r="AE95" s="233"/>
      <c r="AF95" s="233"/>
      <c r="AG95" s="232"/>
      <c r="AH95" s="232"/>
      <c r="AI95" s="448"/>
      <c r="AJ95" s="233"/>
      <c r="AK95" s="233"/>
      <c r="AL95" s="232"/>
      <c r="AM95" s="232"/>
      <c r="AN95" s="448"/>
      <c r="AO95" s="233"/>
      <c r="AP95" s="233"/>
      <c r="AQ95" s="232"/>
      <c r="AR95" s="232"/>
      <c r="AS95" s="448"/>
      <c r="AT95" s="233"/>
      <c r="AU95" s="233"/>
      <c r="AV95" s="232"/>
      <c r="AW95" s="232"/>
      <c r="AX95" s="448"/>
    </row>
    <row r="96" spans="2:50">
      <c r="B96" s="444"/>
      <c r="C96" s="232">
        <v>10</v>
      </c>
      <c r="D96" s="232"/>
      <c r="E96" s="232"/>
      <c r="F96" s="232"/>
      <c r="G96" s="232"/>
      <c r="H96" s="446"/>
      <c r="I96" s="233"/>
      <c r="J96" s="233"/>
      <c r="K96" s="234"/>
      <c r="L96" s="446"/>
      <c r="M96" s="233"/>
      <c r="N96" s="449"/>
      <c r="O96" s="449"/>
      <c r="P96" s="233"/>
      <c r="Q96" s="233"/>
      <c r="R96" s="232"/>
      <c r="S96" s="232"/>
      <c r="T96" s="448"/>
      <c r="U96" s="233"/>
      <c r="V96" s="233"/>
      <c r="W96" s="232"/>
      <c r="X96" s="232"/>
      <c r="Y96" s="448"/>
      <c r="Z96" s="233"/>
      <c r="AA96" s="233"/>
      <c r="AB96" s="232"/>
      <c r="AC96" s="232"/>
      <c r="AD96" s="448"/>
      <c r="AE96" s="233"/>
      <c r="AF96" s="233"/>
      <c r="AG96" s="232"/>
      <c r="AH96" s="232"/>
      <c r="AI96" s="448"/>
      <c r="AJ96" s="233"/>
      <c r="AK96" s="233"/>
      <c r="AL96" s="232"/>
      <c r="AM96" s="232"/>
      <c r="AN96" s="448"/>
      <c r="AO96" s="233"/>
      <c r="AP96" s="233"/>
      <c r="AQ96" s="232"/>
      <c r="AR96" s="232"/>
      <c r="AS96" s="448"/>
      <c r="AT96" s="233"/>
      <c r="AU96" s="233"/>
      <c r="AV96" s="232"/>
      <c r="AW96" s="232"/>
      <c r="AX96" s="448"/>
    </row>
    <row r="97" spans="2:50">
      <c r="B97" s="444"/>
      <c r="C97" s="232">
        <v>11</v>
      </c>
      <c r="D97" s="232"/>
      <c r="E97" s="232"/>
      <c r="F97" s="232"/>
      <c r="G97" s="232"/>
      <c r="H97" s="446"/>
      <c r="I97" s="233"/>
      <c r="J97" s="233"/>
      <c r="K97" s="234"/>
      <c r="L97" s="446"/>
      <c r="M97" s="233"/>
      <c r="N97" s="449"/>
      <c r="O97" s="449"/>
      <c r="P97" s="232"/>
      <c r="Q97" s="232"/>
      <c r="R97" s="232"/>
      <c r="S97" s="232"/>
      <c r="T97" s="448"/>
      <c r="U97" s="232"/>
      <c r="V97" s="232"/>
      <c r="W97" s="232"/>
      <c r="X97" s="232"/>
      <c r="Y97" s="448"/>
      <c r="Z97" s="232"/>
      <c r="AA97" s="232"/>
      <c r="AB97" s="232"/>
      <c r="AC97" s="232"/>
      <c r="AD97" s="448"/>
      <c r="AE97" s="232"/>
      <c r="AF97" s="232"/>
      <c r="AG97" s="232"/>
      <c r="AH97" s="232"/>
      <c r="AI97" s="448"/>
      <c r="AJ97" s="232"/>
      <c r="AK97" s="232"/>
      <c r="AL97" s="232"/>
      <c r="AM97" s="232"/>
      <c r="AN97" s="448"/>
      <c r="AO97" s="232"/>
      <c r="AP97" s="232"/>
      <c r="AQ97" s="232"/>
      <c r="AR97" s="232"/>
      <c r="AS97" s="448"/>
      <c r="AT97" s="232"/>
      <c r="AU97" s="232"/>
      <c r="AV97" s="232"/>
      <c r="AW97" s="232"/>
      <c r="AX97" s="448"/>
    </row>
    <row r="98" spans="2:50">
      <c r="B98" s="444"/>
      <c r="C98" s="232">
        <v>12</v>
      </c>
      <c r="D98" s="232"/>
      <c r="E98" s="232"/>
      <c r="F98" s="232"/>
      <c r="G98" s="232"/>
      <c r="H98" s="446"/>
      <c r="I98" s="233"/>
      <c r="J98" s="233"/>
      <c r="K98" s="234"/>
      <c r="L98" s="446"/>
      <c r="M98" s="233"/>
      <c r="N98" s="449"/>
      <c r="O98" s="449"/>
      <c r="P98" s="232"/>
      <c r="Q98" s="232"/>
      <c r="R98" s="232"/>
      <c r="S98" s="232"/>
      <c r="T98" s="448"/>
      <c r="U98" s="232"/>
      <c r="V98" s="232"/>
      <c r="W98" s="232"/>
      <c r="X98" s="232"/>
      <c r="Y98" s="448"/>
      <c r="Z98" s="232"/>
      <c r="AA98" s="232"/>
      <c r="AB98" s="232"/>
      <c r="AC98" s="232"/>
      <c r="AD98" s="448"/>
      <c r="AE98" s="232"/>
      <c r="AF98" s="232"/>
      <c r="AG98" s="232"/>
      <c r="AH98" s="232"/>
      <c r="AI98" s="448"/>
      <c r="AJ98" s="232"/>
      <c r="AK98" s="232"/>
      <c r="AL98" s="232"/>
      <c r="AM98" s="232"/>
      <c r="AN98" s="448"/>
      <c r="AO98" s="232"/>
      <c r="AP98" s="232"/>
      <c r="AQ98" s="232"/>
      <c r="AR98" s="232"/>
      <c r="AS98" s="448"/>
      <c r="AT98" s="232"/>
      <c r="AU98" s="232"/>
      <c r="AV98" s="232"/>
      <c r="AW98" s="232"/>
      <c r="AX98" s="448"/>
    </row>
    <row r="99" spans="2:50">
      <c r="B99" s="444"/>
      <c r="C99" s="232">
        <v>13</v>
      </c>
      <c r="D99" s="232"/>
      <c r="E99" s="232"/>
      <c r="F99" s="232"/>
      <c r="G99" s="232"/>
      <c r="H99" s="446"/>
      <c r="I99" s="233"/>
      <c r="J99" s="233"/>
      <c r="K99" s="234"/>
      <c r="L99" s="446"/>
      <c r="M99" s="233"/>
      <c r="N99" s="449"/>
      <c r="O99" s="449"/>
      <c r="P99" s="232"/>
      <c r="Q99" s="232"/>
      <c r="R99" s="232"/>
      <c r="S99" s="232"/>
      <c r="T99" s="448"/>
      <c r="U99" s="232"/>
      <c r="V99" s="232"/>
      <c r="W99" s="232"/>
      <c r="X99" s="232"/>
      <c r="Y99" s="448"/>
      <c r="Z99" s="232"/>
      <c r="AA99" s="232"/>
      <c r="AB99" s="232"/>
      <c r="AC99" s="232"/>
      <c r="AD99" s="448"/>
      <c r="AE99" s="232"/>
      <c r="AF99" s="232"/>
      <c r="AG99" s="232"/>
      <c r="AH99" s="232"/>
      <c r="AI99" s="448"/>
      <c r="AJ99" s="232"/>
      <c r="AK99" s="232"/>
      <c r="AL99" s="232"/>
      <c r="AM99" s="232"/>
      <c r="AN99" s="448"/>
      <c r="AO99" s="232"/>
      <c r="AP99" s="232"/>
      <c r="AQ99" s="232"/>
      <c r="AR99" s="232"/>
      <c r="AS99" s="448"/>
      <c r="AT99" s="232"/>
      <c r="AU99" s="232"/>
      <c r="AV99" s="232"/>
      <c r="AW99" s="232"/>
      <c r="AX99" s="448"/>
    </row>
    <row r="100" spans="2:50">
      <c r="B100" s="444"/>
      <c r="C100" s="232">
        <v>14</v>
      </c>
      <c r="D100" s="232"/>
      <c r="E100" s="232"/>
      <c r="F100" s="232"/>
      <c r="G100" s="232"/>
      <c r="H100" s="446"/>
      <c r="I100" s="233"/>
      <c r="J100" s="233"/>
      <c r="K100" s="234"/>
      <c r="L100" s="446"/>
      <c r="M100" s="233"/>
      <c r="N100" s="449"/>
      <c r="O100" s="449"/>
      <c r="P100" s="232"/>
      <c r="Q100" s="232"/>
      <c r="R100" s="232"/>
      <c r="S100" s="232"/>
      <c r="T100" s="448"/>
      <c r="U100" s="232"/>
      <c r="V100" s="232"/>
      <c r="W100" s="232"/>
      <c r="X100" s="232"/>
      <c r="Y100" s="448"/>
      <c r="Z100" s="232"/>
      <c r="AA100" s="232"/>
      <c r="AB100" s="232"/>
      <c r="AC100" s="232"/>
      <c r="AD100" s="448"/>
      <c r="AE100" s="232"/>
      <c r="AF100" s="232"/>
      <c r="AG100" s="232"/>
      <c r="AH100" s="232"/>
      <c r="AI100" s="448"/>
      <c r="AJ100" s="232"/>
      <c r="AK100" s="232"/>
      <c r="AL100" s="232"/>
      <c r="AM100" s="232"/>
      <c r="AN100" s="448"/>
      <c r="AO100" s="232"/>
      <c r="AP100" s="232"/>
      <c r="AQ100" s="232"/>
      <c r="AR100" s="232"/>
      <c r="AS100" s="448"/>
      <c r="AT100" s="232"/>
      <c r="AU100" s="232"/>
      <c r="AV100" s="232"/>
      <c r="AW100" s="232"/>
      <c r="AX100" s="448"/>
    </row>
    <row r="101" spans="2:50">
      <c r="B101" s="444"/>
      <c r="C101" s="232">
        <v>15</v>
      </c>
      <c r="D101" s="232"/>
      <c r="E101" s="232"/>
      <c r="F101" s="232"/>
      <c r="G101" s="232"/>
      <c r="H101" s="447"/>
      <c r="I101" s="233"/>
      <c r="J101" s="233"/>
      <c r="K101" s="234"/>
      <c r="L101" s="447"/>
      <c r="M101" s="233"/>
      <c r="N101" s="449"/>
      <c r="O101" s="449"/>
      <c r="P101" s="232"/>
      <c r="Q101" s="232"/>
      <c r="R101" s="232"/>
      <c r="S101" s="232"/>
      <c r="T101" s="448"/>
      <c r="U101" s="232"/>
      <c r="V101" s="232"/>
      <c r="W101" s="232"/>
      <c r="X101" s="232"/>
      <c r="Y101" s="448"/>
      <c r="Z101" s="232"/>
      <c r="AA101" s="232"/>
      <c r="AB101" s="232"/>
      <c r="AC101" s="232"/>
      <c r="AD101" s="448"/>
      <c r="AE101" s="232"/>
      <c r="AF101" s="232"/>
      <c r="AG101" s="232"/>
      <c r="AH101" s="232"/>
      <c r="AI101" s="448"/>
      <c r="AJ101" s="232"/>
      <c r="AK101" s="232"/>
      <c r="AL101" s="232"/>
      <c r="AM101" s="232"/>
      <c r="AN101" s="448"/>
      <c r="AO101" s="232"/>
      <c r="AP101" s="232"/>
      <c r="AQ101" s="232"/>
      <c r="AR101" s="232"/>
      <c r="AS101" s="448"/>
      <c r="AT101" s="232"/>
      <c r="AU101" s="232"/>
      <c r="AV101" s="232"/>
      <c r="AW101" s="232"/>
      <c r="AX101" s="448"/>
    </row>
    <row r="102" spans="2:50" ht="15.6">
      <c r="B102" s="468" t="s">
        <v>82</v>
      </c>
      <c r="C102" s="459"/>
      <c r="D102" s="459"/>
      <c r="E102" s="459"/>
      <c r="F102" s="459"/>
      <c r="G102" s="459"/>
      <c r="H102" s="459"/>
      <c r="I102" s="226"/>
      <c r="J102" s="226"/>
      <c r="K102" s="226"/>
      <c r="L102" s="226"/>
      <c r="M102" s="227"/>
      <c r="N102" s="461" t="s">
        <v>83</v>
      </c>
      <c r="O102" s="461" t="s">
        <v>43</v>
      </c>
      <c r="P102" s="457"/>
      <c r="Q102" s="444"/>
      <c r="R102" s="444"/>
      <c r="S102" s="444"/>
      <c r="T102" s="444"/>
      <c r="U102" s="457"/>
      <c r="V102" s="444"/>
      <c r="W102" s="444"/>
      <c r="X102" s="444"/>
      <c r="Y102" s="444"/>
      <c r="Z102" s="457"/>
      <c r="AA102" s="444"/>
      <c r="AB102" s="444"/>
      <c r="AC102" s="444"/>
      <c r="AD102" s="444"/>
      <c r="AE102" s="457"/>
      <c r="AF102" s="444"/>
      <c r="AG102" s="444"/>
      <c r="AH102" s="444"/>
      <c r="AI102" s="444"/>
      <c r="AJ102" s="457"/>
      <c r="AK102" s="444"/>
      <c r="AL102" s="444"/>
      <c r="AM102" s="444"/>
      <c r="AN102" s="444"/>
      <c r="AO102" s="457"/>
      <c r="AP102" s="444"/>
      <c r="AQ102" s="444"/>
      <c r="AR102" s="444"/>
      <c r="AS102" s="444"/>
      <c r="AT102" s="457"/>
      <c r="AU102" s="444"/>
      <c r="AV102" s="444"/>
      <c r="AW102" s="444"/>
      <c r="AX102" s="444"/>
    </row>
    <row r="103" spans="2:50" ht="15.6">
      <c r="B103" s="460"/>
      <c r="C103" s="460"/>
      <c r="D103" s="460"/>
      <c r="E103" s="460"/>
      <c r="F103" s="460"/>
      <c r="G103" s="460"/>
      <c r="H103" s="460"/>
      <c r="I103" s="228"/>
      <c r="J103" s="228"/>
      <c r="K103" s="228"/>
      <c r="L103" s="228"/>
      <c r="M103" s="229"/>
      <c r="N103" s="462"/>
      <c r="O103" s="462"/>
      <c r="P103" s="457" t="s">
        <v>57</v>
      </c>
      <c r="Q103" s="444"/>
      <c r="R103" s="444"/>
      <c r="S103" s="444"/>
      <c r="T103" s="444"/>
      <c r="U103" s="457" t="s">
        <v>58</v>
      </c>
      <c r="V103" s="444"/>
      <c r="W103" s="444"/>
      <c r="X103" s="444"/>
      <c r="Y103" s="444"/>
      <c r="Z103" s="457" t="s">
        <v>54</v>
      </c>
      <c r="AA103" s="444"/>
      <c r="AB103" s="444"/>
      <c r="AC103" s="444"/>
      <c r="AD103" s="444"/>
      <c r="AE103" s="457" t="s">
        <v>55</v>
      </c>
      <c r="AF103" s="444"/>
      <c r="AG103" s="444"/>
      <c r="AH103" s="444"/>
      <c r="AI103" s="444"/>
      <c r="AJ103" s="457" t="s">
        <v>56</v>
      </c>
      <c r="AK103" s="444"/>
      <c r="AL103" s="444"/>
      <c r="AM103" s="444"/>
      <c r="AN103" s="444"/>
      <c r="AO103" s="457" t="s">
        <v>50</v>
      </c>
      <c r="AP103" s="444"/>
      <c r="AQ103" s="444"/>
      <c r="AR103" s="444"/>
      <c r="AS103" s="444"/>
      <c r="AT103" s="457" t="s">
        <v>53</v>
      </c>
      <c r="AU103" s="444"/>
      <c r="AV103" s="444"/>
      <c r="AW103" s="444"/>
      <c r="AX103" s="444"/>
    </row>
    <row r="104" spans="2:50">
      <c r="B104" s="449" t="s">
        <v>39</v>
      </c>
      <c r="C104" s="449" t="s">
        <v>84</v>
      </c>
      <c r="D104" s="449"/>
      <c r="E104" s="449" t="s">
        <v>85</v>
      </c>
      <c r="F104" s="449"/>
      <c r="G104" s="449"/>
      <c r="H104" s="454" t="s">
        <v>86</v>
      </c>
      <c r="I104" s="449" t="s">
        <v>87</v>
      </c>
      <c r="J104" s="449"/>
      <c r="K104" s="449"/>
      <c r="L104" s="454" t="s">
        <v>86</v>
      </c>
      <c r="M104" s="461" t="s">
        <v>88</v>
      </c>
      <c r="N104" s="449"/>
      <c r="O104" s="449" t="s">
        <v>89</v>
      </c>
      <c r="P104" s="450" t="s">
        <v>90</v>
      </c>
      <c r="Q104" s="451"/>
      <c r="R104" s="451"/>
      <c r="S104" s="452"/>
      <c r="T104" s="449" t="s">
        <v>86</v>
      </c>
      <c r="U104" s="450" t="s">
        <v>90</v>
      </c>
      <c r="V104" s="451"/>
      <c r="W104" s="451"/>
      <c r="X104" s="452"/>
      <c r="Y104" s="449" t="s">
        <v>86</v>
      </c>
      <c r="Z104" s="450" t="s">
        <v>90</v>
      </c>
      <c r="AA104" s="451"/>
      <c r="AB104" s="451"/>
      <c r="AC104" s="452"/>
      <c r="AD104" s="449" t="s">
        <v>86</v>
      </c>
      <c r="AE104" s="450" t="s">
        <v>90</v>
      </c>
      <c r="AF104" s="451"/>
      <c r="AG104" s="451"/>
      <c r="AH104" s="452"/>
      <c r="AI104" s="449" t="s">
        <v>86</v>
      </c>
      <c r="AJ104" s="450" t="s">
        <v>90</v>
      </c>
      <c r="AK104" s="451"/>
      <c r="AL104" s="451"/>
      <c r="AM104" s="452"/>
      <c r="AN104" s="449" t="s">
        <v>86</v>
      </c>
      <c r="AO104" s="450" t="s">
        <v>90</v>
      </c>
      <c r="AP104" s="451"/>
      <c r="AQ104" s="451"/>
      <c r="AR104" s="452"/>
      <c r="AS104" s="449" t="s">
        <v>86</v>
      </c>
      <c r="AT104" s="450" t="s">
        <v>90</v>
      </c>
      <c r="AU104" s="451"/>
      <c r="AV104" s="451"/>
      <c r="AW104" s="452"/>
      <c r="AX104" s="449" t="s">
        <v>86</v>
      </c>
    </row>
    <row r="105" spans="2:50">
      <c r="B105" s="449"/>
      <c r="C105" s="449"/>
      <c r="D105" s="449"/>
      <c r="E105" s="449" t="s">
        <v>91</v>
      </c>
      <c r="F105" s="449"/>
      <c r="G105" s="449"/>
      <c r="H105" s="455"/>
      <c r="I105" s="449" t="s">
        <v>91</v>
      </c>
      <c r="J105" s="449"/>
      <c r="K105" s="449"/>
      <c r="L105" s="455"/>
      <c r="M105" s="472"/>
      <c r="N105" s="449"/>
      <c r="O105" s="449"/>
      <c r="P105" s="450" t="s">
        <v>92</v>
      </c>
      <c r="Q105" s="451"/>
      <c r="R105" s="451"/>
      <c r="S105" s="452"/>
      <c r="T105" s="449"/>
      <c r="U105" s="450" t="s">
        <v>92</v>
      </c>
      <c r="V105" s="451"/>
      <c r="W105" s="451"/>
      <c r="X105" s="452"/>
      <c r="Y105" s="449"/>
      <c r="Z105" s="450" t="s">
        <v>92</v>
      </c>
      <c r="AA105" s="451"/>
      <c r="AB105" s="451"/>
      <c r="AC105" s="452"/>
      <c r="AD105" s="449"/>
      <c r="AE105" s="450" t="s">
        <v>92</v>
      </c>
      <c r="AF105" s="451"/>
      <c r="AG105" s="451"/>
      <c r="AH105" s="452"/>
      <c r="AI105" s="449"/>
      <c r="AJ105" s="450" t="s">
        <v>92</v>
      </c>
      <c r="AK105" s="451"/>
      <c r="AL105" s="451"/>
      <c r="AM105" s="452"/>
      <c r="AN105" s="449"/>
      <c r="AO105" s="450" t="s">
        <v>92</v>
      </c>
      <c r="AP105" s="451"/>
      <c r="AQ105" s="451"/>
      <c r="AR105" s="452"/>
      <c r="AS105" s="449"/>
      <c r="AT105" s="450" t="s">
        <v>92</v>
      </c>
      <c r="AU105" s="451"/>
      <c r="AV105" s="451"/>
      <c r="AW105" s="452"/>
      <c r="AX105" s="449"/>
    </row>
    <row r="106" spans="2:50">
      <c r="B106" s="449"/>
      <c r="C106" s="449"/>
      <c r="D106" s="449"/>
      <c r="E106" s="231" t="s">
        <v>93</v>
      </c>
      <c r="F106" s="231" t="s">
        <v>94</v>
      </c>
      <c r="G106" s="231" t="s">
        <v>95</v>
      </c>
      <c r="H106" s="456"/>
      <c r="I106" s="231" t="s">
        <v>93</v>
      </c>
      <c r="J106" s="231" t="s">
        <v>94</v>
      </c>
      <c r="K106" s="231" t="s">
        <v>95</v>
      </c>
      <c r="L106" s="456"/>
      <c r="M106" s="462"/>
      <c r="N106" s="449"/>
      <c r="O106" s="449"/>
      <c r="P106" s="231" t="s">
        <v>93</v>
      </c>
      <c r="Q106" s="231" t="s">
        <v>94</v>
      </c>
      <c r="R106" s="231" t="s">
        <v>95</v>
      </c>
      <c r="S106" s="231" t="s">
        <v>88</v>
      </c>
      <c r="T106" s="449"/>
      <c r="U106" s="231" t="s">
        <v>93</v>
      </c>
      <c r="V106" s="231" t="s">
        <v>94</v>
      </c>
      <c r="W106" s="231" t="s">
        <v>95</v>
      </c>
      <c r="X106" s="231" t="s">
        <v>88</v>
      </c>
      <c r="Y106" s="449"/>
      <c r="Z106" s="231" t="s">
        <v>93</v>
      </c>
      <c r="AA106" s="231" t="s">
        <v>94</v>
      </c>
      <c r="AB106" s="231" t="s">
        <v>95</v>
      </c>
      <c r="AC106" s="231" t="s">
        <v>88</v>
      </c>
      <c r="AD106" s="449"/>
      <c r="AE106" s="231" t="s">
        <v>93</v>
      </c>
      <c r="AF106" s="231" t="s">
        <v>94</v>
      </c>
      <c r="AG106" s="231" t="s">
        <v>95</v>
      </c>
      <c r="AH106" s="231" t="s">
        <v>88</v>
      </c>
      <c r="AI106" s="449"/>
      <c r="AJ106" s="231" t="s">
        <v>93</v>
      </c>
      <c r="AK106" s="231" t="s">
        <v>94</v>
      </c>
      <c r="AL106" s="231" t="s">
        <v>95</v>
      </c>
      <c r="AM106" s="231" t="s">
        <v>88</v>
      </c>
      <c r="AN106" s="449"/>
      <c r="AO106" s="231" t="s">
        <v>93</v>
      </c>
      <c r="AP106" s="231" t="s">
        <v>94</v>
      </c>
      <c r="AQ106" s="231" t="s">
        <v>95</v>
      </c>
      <c r="AR106" s="231" t="s">
        <v>88</v>
      </c>
      <c r="AS106" s="449"/>
      <c r="AT106" s="231" t="s">
        <v>93</v>
      </c>
      <c r="AU106" s="231" t="s">
        <v>94</v>
      </c>
      <c r="AV106" s="231" t="s">
        <v>95</v>
      </c>
      <c r="AW106" s="231" t="s">
        <v>88</v>
      </c>
      <c r="AX106" s="449"/>
    </row>
    <row r="107" spans="2:50">
      <c r="B107" s="449" t="s">
        <v>73</v>
      </c>
      <c r="C107" s="232">
        <v>1</v>
      </c>
      <c r="D107" s="232" t="s">
        <v>114</v>
      </c>
      <c r="E107" s="233" t="e">
        <f>VLOOKUP(D107,#REF!,2,0)</f>
        <v>#REF!</v>
      </c>
      <c r="F107" s="233" t="e">
        <f>VLOOKUP(D107,#REF!,3,0)</f>
        <v>#REF!</v>
      </c>
      <c r="G107" s="234" t="e">
        <f>F107/E107</f>
        <v>#REF!</v>
      </c>
      <c r="H107" s="445" t="e">
        <f>AVERAGE(G107:G121)</f>
        <v>#REF!</v>
      </c>
      <c r="I107" s="233" t="e">
        <f t="shared" ref="I107:J109" si="29">AVERAGE(P107,U107,Z107,AE107,AJ107,AO107,AT107)</f>
        <v>#DIV/0!</v>
      </c>
      <c r="J107" s="233" t="e">
        <f t="shared" si="29"/>
        <v>#DIV/0!</v>
      </c>
      <c r="K107" s="234" t="e">
        <f>AVERAGE(AG107,AL107,AQ107,AV107)</f>
        <v>#DIV/0!</v>
      </c>
      <c r="L107" s="445" t="str">
        <f>IFERROR(AVERAGE(K107:K121),"-")</f>
        <v>-</v>
      </c>
      <c r="M107" s="235" t="e">
        <f>RANK(K107,$K$107:$K$109)</f>
        <v>#DIV/0!</v>
      </c>
      <c r="N107" s="449"/>
      <c r="O107" s="449"/>
      <c r="P107" s="233"/>
      <c r="Q107" s="233"/>
      <c r="R107" s="234" t="e">
        <f>Q107/P107</f>
        <v>#DIV/0!</v>
      </c>
      <c r="S107" s="232" t="e">
        <f>RANK(R107, R$7:R$21)</f>
        <v>#DIV/0!</v>
      </c>
      <c r="T107" s="448" t="e">
        <f>AVERAGE(R107:R121)</f>
        <v>#DIV/0!</v>
      </c>
      <c r="U107" s="233"/>
      <c r="V107" s="233"/>
      <c r="W107" s="234" t="e">
        <f>V107/U107</f>
        <v>#DIV/0!</v>
      </c>
      <c r="X107" s="232" t="e">
        <f>RANK(W107,W$107:W$109)</f>
        <v>#DIV/0!</v>
      </c>
      <c r="Y107" s="448" t="e">
        <f>AVERAGE(W107:W121)</f>
        <v>#DIV/0!</v>
      </c>
      <c r="Z107" s="233"/>
      <c r="AA107" s="233"/>
      <c r="AB107" s="234" t="e">
        <f>AA107/Z107</f>
        <v>#DIV/0!</v>
      </c>
      <c r="AC107" s="232" t="e">
        <f>RANK(AB107,AB$107:AB$109)</f>
        <v>#DIV/0!</v>
      </c>
      <c r="AD107" s="448" t="e">
        <f>AVERAGE(AB107:AB121)</f>
        <v>#DIV/0!</v>
      </c>
      <c r="AE107" s="233"/>
      <c r="AF107" s="233"/>
      <c r="AG107" s="234" t="e">
        <f>AF107/AE107</f>
        <v>#DIV/0!</v>
      </c>
      <c r="AH107" s="232" t="e">
        <f>RANK(AG107,AG$107:AG$109)</f>
        <v>#DIV/0!</v>
      </c>
      <c r="AI107" s="448" t="e">
        <f>AVERAGE(AG107:AG121)</f>
        <v>#DIV/0!</v>
      </c>
      <c r="AJ107" s="233"/>
      <c r="AK107" s="233"/>
      <c r="AL107" s="234" t="e">
        <f>AK107/AJ107</f>
        <v>#DIV/0!</v>
      </c>
      <c r="AM107" s="232" t="e">
        <f t="shared" ref="AM107:AM109" si="30">RANK(AL107,AL$107:AL$109)</f>
        <v>#DIV/0!</v>
      </c>
      <c r="AN107" s="448" t="e">
        <f>AVERAGE(AL107:AL121)</f>
        <v>#DIV/0!</v>
      </c>
      <c r="AO107" s="233"/>
      <c r="AP107" s="233"/>
      <c r="AQ107" s="234" t="e">
        <f>AP107/AO107</f>
        <v>#DIV/0!</v>
      </c>
      <c r="AR107" s="232" t="e">
        <f t="shared" ref="AR107:AR109" si="31">RANK(AQ107,AQ$107:AQ$109)</f>
        <v>#DIV/0!</v>
      </c>
      <c r="AS107" s="448" t="e">
        <f>AVERAGE(AQ107:AQ121)</f>
        <v>#DIV/0!</v>
      </c>
      <c r="AT107" s="233"/>
      <c r="AU107" s="233"/>
      <c r="AV107" s="234" t="e">
        <f>AU107/AT107</f>
        <v>#DIV/0!</v>
      </c>
      <c r="AW107" s="232" t="e">
        <f t="shared" ref="AW107:AW109" si="32">RANK(AV107,AV$107:AV$109)</f>
        <v>#DIV/0!</v>
      </c>
      <c r="AX107" s="448" t="e">
        <f>AVERAGE(AV107:AV121)</f>
        <v>#DIV/0!</v>
      </c>
    </row>
    <row r="108" spans="2:50">
      <c r="B108" s="444"/>
      <c r="C108" s="232">
        <v>2</v>
      </c>
      <c r="D108" s="232" t="s">
        <v>115</v>
      </c>
      <c r="E108" s="233" t="e">
        <f>VLOOKUP(D108,#REF!,2,0)</f>
        <v>#REF!</v>
      </c>
      <c r="F108" s="233" t="e">
        <f>VLOOKUP(D108,#REF!,3,0)</f>
        <v>#REF!</v>
      </c>
      <c r="G108" s="234" t="e">
        <f>F108/E108</f>
        <v>#REF!</v>
      </c>
      <c r="H108" s="446"/>
      <c r="I108" s="233" t="e">
        <f t="shared" si="29"/>
        <v>#DIV/0!</v>
      </c>
      <c r="J108" s="233" t="e">
        <f t="shared" si="29"/>
        <v>#DIV/0!</v>
      </c>
      <c r="K108" s="234" t="e">
        <f>AVERAGE(AG108,AL108,AQ108,AV108)</f>
        <v>#DIV/0!</v>
      </c>
      <c r="L108" s="446"/>
      <c r="M108" s="235" t="e">
        <f t="shared" ref="M108:M109" si="33">RANK(K108,$K$107:$K$109)</f>
        <v>#DIV/0!</v>
      </c>
      <c r="N108" s="449"/>
      <c r="O108" s="449"/>
      <c r="P108" s="233"/>
      <c r="Q108" s="233"/>
      <c r="R108" s="234" t="e">
        <f t="shared" ref="R108:R109" si="34">Q108/P108</f>
        <v>#DIV/0!</v>
      </c>
      <c r="S108" s="232" t="e">
        <f t="shared" ref="S108:S109" si="35">RANK(R108, R$7:R$21)</f>
        <v>#DIV/0!</v>
      </c>
      <c r="T108" s="448"/>
      <c r="U108" s="233"/>
      <c r="V108" s="233"/>
      <c r="W108" s="234" t="e">
        <f t="shared" ref="W108:W109" si="36">V108/U108</f>
        <v>#DIV/0!</v>
      </c>
      <c r="X108" s="232" t="e">
        <f t="shared" ref="X108:X109" si="37">RANK(W108,W$107:W$109)</f>
        <v>#DIV/0!</v>
      </c>
      <c r="Y108" s="448"/>
      <c r="Z108" s="233"/>
      <c r="AA108" s="233"/>
      <c r="AB108" s="234" t="e">
        <f t="shared" ref="AB108:AB109" si="38">AA108/Z108</f>
        <v>#DIV/0!</v>
      </c>
      <c r="AC108" s="232" t="e">
        <f t="shared" ref="AC108:AC109" si="39">RANK(AB108,AB$107:AB$109)</f>
        <v>#DIV/0!</v>
      </c>
      <c r="AD108" s="448"/>
      <c r="AE108" s="233"/>
      <c r="AF108" s="233"/>
      <c r="AG108" s="234" t="e">
        <f>AF108/AE108</f>
        <v>#DIV/0!</v>
      </c>
      <c r="AH108" s="232" t="e">
        <f t="shared" ref="AH108:AH109" si="40">RANK(AG108,AG$107:AG$109)</f>
        <v>#DIV/0!</v>
      </c>
      <c r="AI108" s="448"/>
      <c r="AJ108" s="233"/>
      <c r="AK108" s="233"/>
      <c r="AL108" s="234" t="e">
        <f>AK108/AJ108</f>
        <v>#DIV/0!</v>
      </c>
      <c r="AM108" s="232" t="e">
        <f t="shared" si="30"/>
        <v>#DIV/0!</v>
      </c>
      <c r="AN108" s="448"/>
      <c r="AO108" s="233"/>
      <c r="AP108" s="233"/>
      <c r="AQ108" s="234" t="e">
        <f>AP108/AO108</f>
        <v>#DIV/0!</v>
      </c>
      <c r="AR108" s="232" t="e">
        <f t="shared" si="31"/>
        <v>#DIV/0!</v>
      </c>
      <c r="AS108" s="448"/>
      <c r="AT108" s="233"/>
      <c r="AU108" s="233"/>
      <c r="AV108" s="234" t="e">
        <f>AU108/AT108</f>
        <v>#DIV/0!</v>
      </c>
      <c r="AW108" s="232" t="e">
        <f t="shared" si="32"/>
        <v>#DIV/0!</v>
      </c>
      <c r="AX108" s="448"/>
    </row>
    <row r="109" spans="2:50">
      <c r="B109" s="444"/>
      <c r="C109" s="232">
        <v>3</v>
      </c>
      <c r="D109" s="232" t="s">
        <v>116</v>
      </c>
      <c r="E109" s="233" t="e">
        <f>VLOOKUP(D109,#REF!,2,0)</f>
        <v>#REF!</v>
      </c>
      <c r="F109" s="233" t="e">
        <f>VLOOKUP(D109,#REF!,3,0)</f>
        <v>#REF!</v>
      </c>
      <c r="G109" s="234" t="e">
        <f>F109/E109</f>
        <v>#REF!</v>
      </c>
      <c r="H109" s="446"/>
      <c r="I109" s="233" t="e">
        <f t="shared" si="29"/>
        <v>#DIV/0!</v>
      </c>
      <c r="J109" s="233" t="e">
        <f t="shared" si="29"/>
        <v>#DIV/0!</v>
      </c>
      <c r="K109" s="234" t="e">
        <f>AVERAGE(AG109,AL109,AQ109,AV109)</f>
        <v>#DIV/0!</v>
      </c>
      <c r="L109" s="446"/>
      <c r="M109" s="235" t="e">
        <f t="shared" si="33"/>
        <v>#DIV/0!</v>
      </c>
      <c r="N109" s="449"/>
      <c r="O109" s="449"/>
      <c r="P109" s="233"/>
      <c r="Q109" s="233"/>
      <c r="R109" s="234" t="e">
        <f t="shared" si="34"/>
        <v>#DIV/0!</v>
      </c>
      <c r="S109" s="232" t="e">
        <f t="shared" si="35"/>
        <v>#DIV/0!</v>
      </c>
      <c r="T109" s="448"/>
      <c r="U109" s="233"/>
      <c r="V109" s="233"/>
      <c r="W109" s="234" t="e">
        <f t="shared" si="36"/>
        <v>#DIV/0!</v>
      </c>
      <c r="X109" s="232" t="e">
        <f t="shared" si="37"/>
        <v>#DIV/0!</v>
      </c>
      <c r="Y109" s="448"/>
      <c r="Z109" s="233"/>
      <c r="AA109" s="233"/>
      <c r="AB109" s="234" t="e">
        <f t="shared" si="38"/>
        <v>#DIV/0!</v>
      </c>
      <c r="AC109" s="232" t="e">
        <f t="shared" si="39"/>
        <v>#DIV/0!</v>
      </c>
      <c r="AD109" s="448"/>
      <c r="AE109" s="233"/>
      <c r="AF109" s="233"/>
      <c r="AG109" s="234" t="e">
        <f>AF109/AE109</f>
        <v>#DIV/0!</v>
      </c>
      <c r="AH109" s="232" t="e">
        <f t="shared" si="40"/>
        <v>#DIV/0!</v>
      </c>
      <c r="AI109" s="448"/>
      <c r="AJ109" s="233"/>
      <c r="AK109" s="233"/>
      <c r="AL109" s="234" t="e">
        <f>AK109/AJ109</f>
        <v>#DIV/0!</v>
      </c>
      <c r="AM109" s="232" t="e">
        <f t="shared" si="30"/>
        <v>#DIV/0!</v>
      </c>
      <c r="AN109" s="448"/>
      <c r="AO109" s="233"/>
      <c r="AP109" s="233"/>
      <c r="AQ109" s="234" t="e">
        <f>AP109/AO109</f>
        <v>#DIV/0!</v>
      </c>
      <c r="AR109" s="232" t="e">
        <f t="shared" si="31"/>
        <v>#DIV/0!</v>
      </c>
      <c r="AS109" s="448"/>
      <c r="AT109" s="233"/>
      <c r="AU109" s="233"/>
      <c r="AV109" s="234" t="e">
        <f>AU109/AT109</f>
        <v>#DIV/0!</v>
      </c>
      <c r="AW109" s="232" t="e">
        <f t="shared" si="32"/>
        <v>#DIV/0!</v>
      </c>
      <c r="AX109" s="448"/>
    </row>
    <row r="110" spans="2:50">
      <c r="B110" s="444"/>
      <c r="C110" s="232">
        <v>4</v>
      </c>
      <c r="D110" s="232"/>
      <c r="E110" s="233"/>
      <c r="F110" s="233"/>
      <c r="G110" s="234"/>
      <c r="H110" s="446"/>
      <c r="I110" s="233"/>
      <c r="J110" s="233"/>
      <c r="K110" s="234"/>
      <c r="L110" s="446"/>
      <c r="M110" s="235"/>
      <c r="N110" s="449"/>
      <c r="O110" s="449"/>
      <c r="P110" s="233"/>
      <c r="Q110" s="233"/>
      <c r="R110" s="234"/>
      <c r="S110" s="232"/>
      <c r="T110" s="448"/>
      <c r="U110" s="233"/>
      <c r="V110" s="233"/>
      <c r="W110" s="234"/>
      <c r="X110" s="232"/>
      <c r="Y110" s="448"/>
      <c r="Z110" s="232"/>
      <c r="AA110" s="233"/>
      <c r="AB110" s="234"/>
      <c r="AC110" s="232"/>
      <c r="AD110" s="448"/>
      <c r="AE110" s="233"/>
      <c r="AF110" s="233"/>
      <c r="AG110" s="234"/>
      <c r="AH110" s="232"/>
      <c r="AI110" s="448"/>
      <c r="AJ110" s="233"/>
      <c r="AK110" s="233"/>
      <c r="AL110" s="234"/>
      <c r="AM110" s="232"/>
      <c r="AN110" s="448"/>
      <c r="AO110" s="233"/>
      <c r="AP110" s="233"/>
      <c r="AQ110" s="234"/>
      <c r="AR110" s="232"/>
      <c r="AS110" s="448"/>
      <c r="AT110" s="233"/>
      <c r="AU110" s="233"/>
      <c r="AV110" s="234"/>
      <c r="AW110" s="232"/>
      <c r="AX110" s="448"/>
    </row>
    <row r="111" spans="2:50">
      <c r="B111" s="444"/>
      <c r="C111" s="232">
        <v>5</v>
      </c>
      <c r="D111" s="232"/>
      <c r="E111" s="233"/>
      <c r="F111" s="233"/>
      <c r="G111" s="234"/>
      <c r="H111" s="446"/>
      <c r="I111" s="233"/>
      <c r="J111" s="233"/>
      <c r="K111" s="234"/>
      <c r="L111" s="446"/>
      <c r="M111" s="235"/>
      <c r="N111" s="449"/>
      <c r="O111" s="449"/>
      <c r="P111" s="233"/>
      <c r="Q111" s="233"/>
      <c r="R111" s="234"/>
      <c r="S111" s="232"/>
      <c r="T111" s="448"/>
      <c r="U111" s="233"/>
      <c r="V111" s="233"/>
      <c r="W111" s="234"/>
      <c r="X111" s="232"/>
      <c r="Y111" s="448"/>
      <c r="Z111" s="232"/>
      <c r="AA111" s="233"/>
      <c r="AB111" s="234"/>
      <c r="AC111" s="232"/>
      <c r="AD111" s="448"/>
      <c r="AE111" s="233"/>
      <c r="AF111" s="233"/>
      <c r="AG111" s="234"/>
      <c r="AH111" s="232"/>
      <c r="AI111" s="448"/>
      <c r="AJ111" s="233"/>
      <c r="AK111" s="233"/>
      <c r="AL111" s="234"/>
      <c r="AM111" s="232"/>
      <c r="AN111" s="448"/>
      <c r="AO111" s="233"/>
      <c r="AP111" s="233"/>
      <c r="AQ111" s="234"/>
      <c r="AR111" s="232"/>
      <c r="AS111" s="448"/>
      <c r="AT111" s="233"/>
      <c r="AU111" s="233"/>
      <c r="AV111" s="234"/>
      <c r="AW111" s="232"/>
      <c r="AX111" s="448"/>
    </row>
    <row r="112" spans="2:50">
      <c r="B112" s="444"/>
      <c r="C112" s="232">
        <v>6</v>
      </c>
      <c r="D112" s="232"/>
      <c r="E112" s="233"/>
      <c r="F112" s="233"/>
      <c r="G112" s="234"/>
      <c r="H112" s="446"/>
      <c r="I112" s="233"/>
      <c r="J112" s="233"/>
      <c r="K112" s="234"/>
      <c r="L112" s="446"/>
      <c r="M112" s="235"/>
      <c r="N112" s="449"/>
      <c r="O112" s="449"/>
      <c r="P112" s="233"/>
      <c r="Q112" s="233"/>
      <c r="R112" s="234"/>
      <c r="S112" s="232"/>
      <c r="T112" s="448"/>
      <c r="U112" s="233"/>
      <c r="V112" s="233"/>
      <c r="W112" s="234"/>
      <c r="X112" s="232"/>
      <c r="Y112" s="448"/>
      <c r="Z112" s="232"/>
      <c r="AA112" s="233"/>
      <c r="AB112" s="234"/>
      <c r="AC112" s="232"/>
      <c r="AD112" s="448"/>
      <c r="AE112" s="233"/>
      <c r="AF112" s="233"/>
      <c r="AG112" s="234"/>
      <c r="AH112" s="232"/>
      <c r="AI112" s="448"/>
      <c r="AJ112" s="233"/>
      <c r="AK112" s="233"/>
      <c r="AL112" s="234"/>
      <c r="AM112" s="232"/>
      <c r="AN112" s="448"/>
      <c r="AO112" s="233"/>
      <c r="AP112" s="233"/>
      <c r="AQ112" s="234"/>
      <c r="AR112" s="232"/>
      <c r="AS112" s="448"/>
      <c r="AT112" s="233"/>
      <c r="AU112" s="233"/>
      <c r="AV112" s="234"/>
      <c r="AW112" s="232"/>
      <c r="AX112" s="448"/>
    </row>
    <row r="113" spans="2:50">
      <c r="B113" s="444"/>
      <c r="C113" s="232">
        <v>7</v>
      </c>
      <c r="D113" s="232"/>
      <c r="E113" s="233"/>
      <c r="F113" s="233"/>
      <c r="G113" s="234"/>
      <c r="H113" s="446"/>
      <c r="I113" s="233"/>
      <c r="J113" s="233"/>
      <c r="K113" s="234"/>
      <c r="L113" s="446"/>
      <c r="M113" s="235"/>
      <c r="N113" s="449"/>
      <c r="O113" s="449"/>
      <c r="P113" s="233"/>
      <c r="Q113" s="233"/>
      <c r="R113" s="234"/>
      <c r="S113" s="232"/>
      <c r="T113" s="448"/>
      <c r="U113" s="233"/>
      <c r="V113" s="233"/>
      <c r="W113" s="234"/>
      <c r="X113" s="232"/>
      <c r="Y113" s="448"/>
      <c r="Z113" s="232"/>
      <c r="AA113" s="233"/>
      <c r="AB113" s="234"/>
      <c r="AC113" s="232"/>
      <c r="AD113" s="448"/>
      <c r="AE113" s="233"/>
      <c r="AF113" s="233"/>
      <c r="AG113" s="234"/>
      <c r="AH113" s="232"/>
      <c r="AI113" s="448"/>
      <c r="AJ113" s="233"/>
      <c r="AK113" s="233"/>
      <c r="AL113" s="234"/>
      <c r="AM113" s="232"/>
      <c r="AN113" s="448"/>
      <c r="AO113" s="233"/>
      <c r="AP113" s="233"/>
      <c r="AQ113" s="234"/>
      <c r="AR113" s="232"/>
      <c r="AS113" s="448"/>
      <c r="AT113" s="233"/>
      <c r="AU113" s="233"/>
      <c r="AV113" s="234"/>
      <c r="AW113" s="232"/>
      <c r="AX113" s="448"/>
    </row>
    <row r="114" spans="2:50">
      <c r="B114" s="444"/>
      <c r="C114" s="232">
        <v>8</v>
      </c>
      <c r="D114" s="232"/>
      <c r="E114" s="233"/>
      <c r="F114" s="233"/>
      <c r="G114" s="234"/>
      <c r="H114" s="446"/>
      <c r="I114" s="233"/>
      <c r="J114" s="233"/>
      <c r="K114" s="234"/>
      <c r="L114" s="446"/>
      <c r="M114" s="235"/>
      <c r="N114" s="449"/>
      <c r="O114" s="449"/>
      <c r="P114" s="233"/>
      <c r="Q114" s="233"/>
      <c r="R114" s="234"/>
      <c r="S114" s="232"/>
      <c r="T114" s="448"/>
      <c r="U114" s="233"/>
      <c r="V114" s="233"/>
      <c r="W114" s="234"/>
      <c r="X114" s="232"/>
      <c r="Y114" s="448"/>
      <c r="Z114" s="232"/>
      <c r="AA114" s="233"/>
      <c r="AB114" s="234"/>
      <c r="AC114" s="232"/>
      <c r="AD114" s="448"/>
      <c r="AE114" s="233"/>
      <c r="AF114" s="233"/>
      <c r="AG114" s="234"/>
      <c r="AH114" s="232"/>
      <c r="AI114" s="448"/>
      <c r="AJ114" s="233"/>
      <c r="AK114" s="233"/>
      <c r="AL114" s="234"/>
      <c r="AM114" s="232"/>
      <c r="AN114" s="448"/>
      <c r="AO114" s="233"/>
      <c r="AP114" s="233"/>
      <c r="AQ114" s="234"/>
      <c r="AR114" s="232"/>
      <c r="AS114" s="448"/>
      <c r="AT114" s="233"/>
      <c r="AU114" s="233"/>
      <c r="AV114" s="234"/>
      <c r="AW114" s="232"/>
      <c r="AX114" s="448"/>
    </row>
    <row r="115" spans="2:50">
      <c r="B115" s="444"/>
      <c r="C115" s="232">
        <v>9</v>
      </c>
      <c r="D115" s="232"/>
      <c r="E115" s="233"/>
      <c r="F115" s="233"/>
      <c r="G115" s="234"/>
      <c r="H115" s="446"/>
      <c r="I115" s="233"/>
      <c r="J115" s="233"/>
      <c r="K115" s="234"/>
      <c r="L115" s="446"/>
      <c r="M115" s="235"/>
      <c r="N115" s="449"/>
      <c r="O115" s="449"/>
      <c r="P115" s="233"/>
      <c r="Q115" s="233"/>
      <c r="R115" s="234"/>
      <c r="S115" s="232"/>
      <c r="T115" s="448"/>
      <c r="U115" s="233"/>
      <c r="V115" s="233"/>
      <c r="W115" s="234"/>
      <c r="X115" s="232"/>
      <c r="Y115" s="448"/>
      <c r="Z115" s="232"/>
      <c r="AA115" s="233"/>
      <c r="AB115" s="234"/>
      <c r="AC115" s="232"/>
      <c r="AD115" s="448"/>
      <c r="AE115" s="233"/>
      <c r="AF115" s="233"/>
      <c r="AG115" s="234"/>
      <c r="AH115" s="232"/>
      <c r="AI115" s="448"/>
      <c r="AJ115" s="233"/>
      <c r="AK115" s="233"/>
      <c r="AL115" s="234"/>
      <c r="AM115" s="232"/>
      <c r="AN115" s="448"/>
      <c r="AO115" s="233"/>
      <c r="AP115" s="233"/>
      <c r="AQ115" s="234"/>
      <c r="AR115" s="232"/>
      <c r="AS115" s="448"/>
      <c r="AT115" s="233"/>
      <c r="AU115" s="233"/>
      <c r="AV115" s="234"/>
      <c r="AW115" s="232"/>
      <c r="AX115" s="448"/>
    </row>
    <row r="116" spans="2:50">
      <c r="B116" s="444"/>
      <c r="C116" s="232">
        <v>10</v>
      </c>
      <c r="D116" s="232"/>
      <c r="E116" s="233"/>
      <c r="F116" s="233"/>
      <c r="G116" s="234"/>
      <c r="H116" s="446"/>
      <c r="I116" s="233"/>
      <c r="J116" s="233"/>
      <c r="K116" s="234"/>
      <c r="L116" s="446"/>
      <c r="M116" s="235"/>
      <c r="N116" s="449"/>
      <c r="O116" s="449"/>
      <c r="P116" s="233"/>
      <c r="Q116" s="233"/>
      <c r="R116" s="234"/>
      <c r="S116" s="232"/>
      <c r="T116" s="448"/>
      <c r="U116" s="233"/>
      <c r="V116" s="233"/>
      <c r="W116" s="234"/>
      <c r="X116" s="232"/>
      <c r="Y116" s="448"/>
      <c r="Z116" s="232"/>
      <c r="AA116" s="233"/>
      <c r="AB116" s="234"/>
      <c r="AC116" s="232"/>
      <c r="AD116" s="448"/>
      <c r="AE116" s="233"/>
      <c r="AF116" s="233"/>
      <c r="AG116" s="234"/>
      <c r="AH116" s="232"/>
      <c r="AI116" s="448"/>
      <c r="AJ116" s="233"/>
      <c r="AK116" s="233"/>
      <c r="AL116" s="234"/>
      <c r="AM116" s="232"/>
      <c r="AN116" s="448"/>
      <c r="AO116" s="233"/>
      <c r="AP116" s="233"/>
      <c r="AQ116" s="234"/>
      <c r="AR116" s="232"/>
      <c r="AS116" s="448"/>
      <c r="AT116" s="233"/>
      <c r="AU116" s="233"/>
      <c r="AV116" s="234"/>
      <c r="AW116" s="232"/>
      <c r="AX116" s="448"/>
    </row>
    <row r="117" spans="2:50">
      <c r="B117" s="444"/>
      <c r="C117" s="232">
        <v>11</v>
      </c>
      <c r="D117" s="232"/>
      <c r="E117" s="233"/>
      <c r="F117" s="233"/>
      <c r="G117" s="234"/>
      <c r="H117" s="446"/>
      <c r="I117" s="233"/>
      <c r="J117" s="233"/>
      <c r="K117" s="234"/>
      <c r="L117" s="446"/>
      <c r="M117" s="235"/>
      <c r="N117" s="449"/>
      <c r="O117" s="449"/>
      <c r="P117" s="232"/>
      <c r="Q117" s="232"/>
      <c r="R117" s="234"/>
      <c r="S117" s="232"/>
      <c r="T117" s="448"/>
      <c r="U117" s="232"/>
      <c r="V117" s="232"/>
      <c r="W117" s="234"/>
      <c r="X117" s="232"/>
      <c r="Y117" s="448"/>
      <c r="Z117" s="232"/>
      <c r="AA117" s="232"/>
      <c r="AB117" s="234"/>
      <c r="AC117" s="232"/>
      <c r="AD117" s="448"/>
      <c r="AE117" s="232"/>
      <c r="AF117" s="232"/>
      <c r="AG117" s="234"/>
      <c r="AH117" s="232"/>
      <c r="AI117" s="448"/>
      <c r="AJ117" s="232"/>
      <c r="AK117" s="232"/>
      <c r="AL117" s="232"/>
      <c r="AM117" s="232"/>
      <c r="AN117" s="448"/>
      <c r="AO117" s="232"/>
      <c r="AP117" s="232"/>
      <c r="AQ117" s="234"/>
      <c r="AR117" s="232"/>
      <c r="AS117" s="448"/>
      <c r="AT117" s="232"/>
      <c r="AU117" s="232"/>
      <c r="AV117" s="234"/>
      <c r="AW117" s="232"/>
      <c r="AX117" s="448"/>
    </row>
    <row r="118" spans="2:50">
      <c r="B118" s="444"/>
      <c r="C118" s="232">
        <v>12</v>
      </c>
      <c r="D118" s="232"/>
      <c r="E118" s="233"/>
      <c r="F118" s="233"/>
      <c r="G118" s="234"/>
      <c r="H118" s="446"/>
      <c r="I118" s="233"/>
      <c r="J118" s="233"/>
      <c r="K118" s="234"/>
      <c r="L118" s="446"/>
      <c r="M118" s="235"/>
      <c r="N118" s="449"/>
      <c r="O118" s="449"/>
      <c r="P118" s="232"/>
      <c r="Q118" s="232"/>
      <c r="R118" s="234"/>
      <c r="S118" s="232"/>
      <c r="T118" s="448"/>
      <c r="U118" s="232"/>
      <c r="V118" s="232"/>
      <c r="W118" s="234"/>
      <c r="X118" s="232"/>
      <c r="Y118" s="448"/>
      <c r="Z118" s="232"/>
      <c r="AA118" s="232"/>
      <c r="AB118" s="234"/>
      <c r="AC118" s="232"/>
      <c r="AD118" s="448"/>
      <c r="AE118" s="232"/>
      <c r="AF118" s="232"/>
      <c r="AG118" s="234"/>
      <c r="AH118" s="232"/>
      <c r="AI118" s="448"/>
      <c r="AJ118" s="232"/>
      <c r="AK118" s="232"/>
      <c r="AL118" s="232"/>
      <c r="AM118" s="232"/>
      <c r="AN118" s="448"/>
      <c r="AO118" s="232"/>
      <c r="AP118" s="232"/>
      <c r="AQ118" s="234"/>
      <c r="AR118" s="232"/>
      <c r="AS118" s="448"/>
      <c r="AT118" s="232"/>
      <c r="AU118" s="232"/>
      <c r="AV118" s="234"/>
      <c r="AW118" s="232"/>
      <c r="AX118" s="448"/>
    </row>
    <row r="119" spans="2:50">
      <c r="B119" s="444"/>
      <c r="C119" s="232">
        <v>13</v>
      </c>
      <c r="D119" s="232"/>
      <c r="E119" s="233"/>
      <c r="F119" s="233"/>
      <c r="G119" s="234"/>
      <c r="H119" s="446"/>
      <c r="I119" s="233"/>
      <c r="J119" s="233"/>
      <c r="K119" s="234"/>
      <c r="L119" s="446"/>
      <c r="M119" s="235"/>
      <c r="N119" s="449"/>
      <c r="O119" s="449"/>
      <c r="P119" s="232"/>
      <c r="Q119" s="232"/>
      <c r="R119" s="234"/>
      <c r="S119" s="232"/>
      <c r="T119" s="448"/>
      <c r="U119" s="232"/>
      <c r="V119" s="232"/>
      <c r="W119" s="234"/>
      <c r="X119" s="232"/>
      <c r="Y119" s="448"/>
      <c r="Z119" s="232"/>
      <c r="AA119" s="232"/>
      <c r="AB119" s="234"/>
      <c r="AC119" s="232"/>
      <c r="AD119" s="448"/>
      <c r="AE119" s="232"/>
      <c r="AF119" s="232"/>
      <c r="AG119" s="234"/>
      <c r="AH119" s="232"/>
      <c r="AI119" s="448"/>
      <c r="AJ119" s="232"/>
      <c r="AK119" s="232"/>
      <c r="AL119" s="232"/>
      <c r="AM119" s="232"/>
      <c r="AN119" s="448"/>
      <c r="AO119" s="232"/>
      <c r="AP119" s="232"/>
      <c r="AQ119" s="234"/>
      <c r="AR119" s="232"/>
      <c r="AS119" s="448"/>
      <c r="AT119" s="232"/>
      <c r="AU119" s="232"/>
      <c r="AV119" s="234"/>
      <c r="AW119" s="232"/>
      <c r="AX119" s="448"/>
    </row>
    <row r="120" spans="2:50">
      <c r="B120" s="444"/>
      <c r="C120" s="232">
        <v>14</v>
      </c>
      <c r="D120" s="232"/>
      <c r="E120" s="233"/>
      <c r="F120" s="233"/>
      <c r="G120" s="234"/>
      <c r="H120" s="446"/>
      <c r="I120" s="233"/>
      <c r="J120" s="233"/>
      <c r="K120" s="234"/>
      <c r="L120" s="446"/>
      <c r="M120" s="235"/>
      <c r="N120" s="449"/>
      <c r="O120" s="449"/>
      <c r="P120" s="232"/>
      <c r="Q120" s="232"/>
      <c r="R120" s="234"/>
      <c r="S120" s="232"/>
      <c r="T120" s="448"/>
      <c r="U120" s="232"/>
      <c r="V120" s="232"/>
      <c r="W120" s="234"/>
      <c r="X120" s="232"/>
      <c r="Y120" s="448"/>
      <c r="Z120" s="232"/>
      <c r="AA120" s="232"/>
      <c r="AB120" s="234"/>
      <c r="AC120" s="232"/>
      <c r="AD120" s="448"/>
      <c r="AE120" s="232"/>
      <c r="AF120" s="232"/>
      <c r="AG120" s="234"/>
      <c r="AH120" s="232"/>
      <c r="AI120" s="448"/>
      <c r="AJ120" s="232"/>
      <c r="AK120" s="232"/>
      <c r="AL120" s="232"/>
      <c r="AM120" s="232"/>
      <c r="AN120" s="448"/>
      <c r="AO120" s="232"/>
      <c r="AP120" s="232"/>
      <c r="AQ120" s="234"/>
      <c r="AR120" s="232"/>
      <c r="AS120" s="448"/>
      <c r="AT120" s="232"/>
      <c r="AU120" s="232"/>
      <c r="AV120" s="234"/>
      <c r="AW120" s="232"/>
      <c r="AX120" s="448"/>
    </row>
    <row r="121" spans="2:50">
      <c r="B121" s="444"/>
      <c r="C121" s="232">
        <v>15</v>
      </c>
      <c r="D121" s="232"/>
      <c r="E121" s="233"/>
      <c r="F121" s="233"/>
      <c r="G121" s="234"/>
      <c r="H121" s="447"/>
      <c r="I121" s="233"/>
      <c r="J121" s="233"/>
      <c r="K121" s="234"/>
      <c r="L121" s="447"/>
      <c r="M121" s="233"/>
      <c r="N121" s="449"/>
      <c r="O121" s="449"/>
      <c r="P121" s="232"/>
      <c r="Q121" s="232"/>
      <c r="R121" s="234"/>
      <c r="S121" s="232"/>
      <c r="T121" s="448"/>
      <c r="U121" s="232"/>
      <c r="V121" s="232"/>
      <c r="W121" s="234"/>
      <c r="X121" s="232"/>
      <c r="Y121" s="448"/>
      <c r="Z121" s="232"/>
      <c r="AA121" s="232"/>
      <c r="AB121" s="234"/>
      <c r="AC121" s="232"/>
      <c r="AD121" s="448"/>
      <c r="AE121" s="232"/>
      <c r="AF121" s="232"/>
      <c r="AG121" s="234"/>
      <c r="AH121" s="232"/>
      <c r="AI121" s="448"/>
      <c r="AJ121" s="232"/>
      <c r="AK121" s="232"/>
      <c r="AL121" s="232"/>
      <c r="AM121" s="232"/>
      <c r="AN121" s="448"/>
      <c r="AO121" s="232"/>
      <c r="AP121" s="232"/>
      <c r="AQ121" s="234"/>
      <c r="AR121" s="232"/>
      <c r="AS121" s="448"/>
      <c r="AT121" s="232"/>
      <c r="AU121" s="232"/>
      <c r="AV121" s="234"/>
      <c r="AW121" s="232"/>
      <c r="AX121" s="448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E105:AH105"/>
    <mergeCell ref="AJ105:AM105"/>
    <mergeCell ref="AE104:AH104"/>
    <mergeCell ref="B102:H103"/>
    <mergeCell ref="N102:N103"/>
    <mergeCell ref="L104:L106"/>
    <mergeCell ref="M104:M106"/>
    <mergeCell ref="N104:N121"/>
    <mergeCell ref="O104:O121"/>
    <mergeCell ref="P104:S104"/>
    <mergeCell ref="AI104:AI106"/>
    <mergeCell ref="AJ104:AM104"/>
    <mergeCell ref="I105:K105"/>
    <mergeCell ref="P105:S105"/>
    <mergeCell ref="U105:X105"/>
    <mergeCell ref="Z105:AC105"/>
    <mergeCell ref="O102:O103"/>
    <mergeCell ref="P102:T102"/>
    <mergeCell ref="U102:Y102"/>
    <mergeCell ref="Z102:AD102"/>
    <mergeCell ref="AE102:AI102"/>
    <mergeCell ref="P103:T103"/>
    <mergeCell ref="U103:Y103"/>
    <mergeCell ref="Z103:AD103"/>
    <mergeCell ref="AT103:AX103"/>
    <mergeCell ref="AJ102:AN102"/>
    <mergeCell ref="AO102:AS102"/>
    <mergeCell ref="AT104:AW104"/>
    <mergeCell ref="AX104:AX106"/>
    <mergeCell ref="AO105:AR105"/>
    <mergeCell ref="AT105:AW105"/>
    <mergeCell ref="AN104:AN106"/>
    <mergeCell ref="AO104:AR104"/>
    <mergeCell ref="AS104:AS106"/>
    <mergeCell ref="AT102:AX102"/>
    <mergeCell ref="AT5:AW5"/>
    <mergeCell ref="AI7:AI21"/>
    <mergeCell ref="AN7:AN21"/>
    <mergeCell ref="AS7:AS21"/>
    <mergeCell ref="AO22:AS22"/>
    <mergeCell ref="AS4:AS6"/>
    <mergeCell ref="AT4:AW4"/>
    <mergeCell ref="AX4:AX6"/>
    <mergeCell ref="E5:G5"/>
    <mergeCell ref="I5:K5"/>
    <mergeCell ref="AE4:AH4"/>
    <mergeCell ref="Y4:Y6"/>
    <mergeCell ref="AI4:AI6"/>
    <mergeCell ref="AJ4:AM4"/>
    <mergeCell ref="AN4:AN6"/>
    <mergeCell ref="AT22:AX22"/>
    <mergeCell ref="AX7:AX21"/>
    <mergeCell ref="AE103:AI103"/>
    <mergeCell ref="AJ103:AN103"/>
    <mergeCell ref="AO103:AS103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E2:AI2"/>
    <mergeCell ref="AJ2:AN2"/>
    <mergeCell ref="AO2:AS2"/>
    <mergeCell ref="AO4:AR4"/>
    <mergeCell ref="Z4:AC4"/>
    <mergeCell ref="AD4:AD6"/>
    <mergeCell ref="Z5:AC5"/>
    <mergeCell ref="AE5:AH5"/>
    <mergeCell ref="AJ5:AM5"/>
    <mergeCell ref="AO5:AR5"/>
    <mergeCell ref="Y104:Y106"/>
    <mergeCell ref="Z104:AC104"/>
    <mergeCell ref="AD104:AD106"/>
    <mergeCell ref="E105:G105"/>
    <mergeCell ref="B7:B21"/>
    <mergeCell ref="H7:H21"/>
    <mergeCell ref="L7:L21"/>
    <mergeCell ref="T7:T21"/>
    <mergeCell ref="Y7:Y21"/>
    <mergeCell ref="AD7:AD21"/>
    <mergeCell ref="M24:M26"/>
    <mergeCell ref="H104:H106"/>
    <mergeCell ref="I104:K104"/>
    <mergeCell ref="B104:B106"/>
    <mergeCell ref="C104:D106"/>
    <mergeCell ref="E104:G104"/>
    <mergeCell ref="Z23:AD23"/>
    <mergeCell ref="B24:B26"/>
    <mergeCell ref="C24:D26"/>
    <mergeCell ref="B44:B46"/>
    <mergeCell ref="C44:D46"/>
    <mergeCell ref="E44:G44"/>
    <mergeCell ref="H44:H46"/>
    <mergeCell ref="I44:K44"/>
    <mergeCell ref="B2:H3"/>
    <mergeCell ref="N2:N3"/>
    <mergeCell ref="O2:O3"/>
    <mergeCell ref="T104:T106"/>
    <mergeCell ref="U104:X104"/>
    <mergeCell ref="B4:B6"/>
    <mergeCell ref="C4:D6"/>
    <mergeCell ref="E4:G4"/>
    <mergeCell ref="H4:H6"/>
    <mergeCell ref="I4:K4"/>
    <mergeCell ref="L4:L6"/>
    <mergeCell ref="P4:S4"/>
    <mergeCell ref="T4:T6"/>
    <mergeCell ref="P5:S5"/>
    <mergeCell ref="U5:X5"/>
    <mergeCell ref="U4:X4"/>
    <mergeCell ref="B22:H23"/>
    <mergeCell ref="N22:N23"/>
    <mergeCell ref="O22:O23"/>
    <mergeCell ref="M4:M6"/>
    <mergeCell ref="N4:N21"/>
    <mergeCell ref="O4:O21"/>
    <mergeCell ref="P23:T23"/>
    <mergeCell ref="U23:Y23"/>
    <mergeCell ref="AE23:AI23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I24:K24"/>
    <mergeCell ref="L24:L26"/>
    <mergeCell ref="AT25:AW25"/>
    <mergeCell ref="AO24:AR24"/>
    <mergeCell ref="AO25:AR25"/>
    <mergeCell ref="N24:N41"/>
    <mergeCell ref="O24:O41"/>
    <mergeCell ref="P24:S24"/>
    <mergeCell ref="AJ25:AM25"/>
    <mergeCell ref="AS24:AS26"/>
    <mergeCell ref="AT24:AW24"/>
    <mergeCell ref="AX27:AX41"/>
    <mergeCell ref="B42:H43"/>
    <mergeCell ref="N42:N43"/>
    <mergeCell ref="O42:O43"/>
    <mergeCell ref="U42:Y42"/>
    <mergeCell ref="AE42:AI4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T24:T26"/>
    <mergeCell ref="U24:X24"/>
    <mergeCell ref="AN24:AN26"/>
    <mergeCell ref="E24:G24"/>
    <mergeCell ref="H24:H26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P42:T42"/>
    <mergeCell ref="Z45:AC45"/>
    <mergeCell ref="Z44:AC44"/>
    <mergeCell ref="U44:X44"/>
    <mergeCell ref="U43:Y43"/>
    <mergeCell ref="Z43:AD43"/>
    <mergeCell ref="Y44:Y46"/>
    <mergeCell ref="Z42:AD42"/>
    <mergeCell ref="AT43:AX43"/>
    <mergeCell ref="U45:X45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AE43:AI43"/>
    <mergeCell ref="AJ43:AN43"/>
    <mergeCell ref="AO43:AS43"/>
    <mergeCell ref="AD44:AD46"/>
    <mergeCell ref="L44:L46"/>
    <mergeCell ref="M44:M46"/>
    <mergeCell ref="N44:N61"/>
    <mergeCell ref="O44:O61"/>
    <mergeCell ref="P44:S44"/>
    <mergeCell ref="T44:T46"/>
    <mergeCell ref="E45:G45"/>
    <mergeCell ref="I45:K45"/>
    <mergeCell ref="P43:T43"/>
    <mergeCell ref="P45:S45"/>
    <mergeCell ref="B47:B61"/>
    <mergeCell ref="H47:H61"/>
    <mergeCell ref="L47:L61"/>
    <mergeCell ref="T47:T61"/>
    <mergeCell ref="Y47:Y61"/>
    <mergeCell ref="AT62:AX62"/>
    <mergeCell ref="B62:H63"/>
    <mergeCell ref="N62:N63"/>
    <mergeCell ref="O62:O63"/>
    <mergeCell ref="P62:T62"/>
    <mergeCell ref="U62:Y62"/>
    <mergeCell ref="P63:T63"/>
    <mergeCell ref="Z62:AD62"/>
    <mergeCell ref="AE62:AI62"/>
    <mergeCell ref="AJ62:AN62"/>
    <mergeCell ref="AO62:AS62"/>
    <mergeCell ref="AD47:AD61"/>
    <mergeCell ref="AI47:AI61"/>
    <mergeCell ref="AN47:AN61"/>
    <mergeCell ref="AS47:AS61"/>
    <mergeCell ref="U63:Y63"/>
    <mergeCell ref="AE44:AH44"/>
    <mergeCell ref="AE45:AH45"/>
    <mergeCell ref="Z83:AD83"/>
    <mergeCell ref="AE83:AI83"/>
    <mergeCell ref="AJ83:AN83"/>
    <mergeCell ref="AO83:AS83"/>
    <mergeCell ref="AO64:AR64"/>
    <mergeCell ref="AS64:AS66"/>
    <mergeCell ref="AJ85:AM85"/>
    <mergeCell ref="AN84:AN86"/>
    <mergeCell ref="AJ84:AM84"/>
    <mergeCell ref="Z63:AD63"/>
    <mergeCell ref="AE63:AI63"/>
    <mergeCell ref="Z82:AD82"/>
    <mergeCell ref="AE82:AI82"/>
    <mergeCell ref="AE65:AH65"/>
    <mergeCell ref="AT85:AW85"/>
    <mergeCell ref="AN87:AN101"/>
    <mergeCell ref="AT83:AX83"/>
    <mergeCell ref="AO84:AR84"/>
    <mergeCell ref="AS84:AS86"/>
    <mergeCell ref="AT84:AW84"/>
    <mergeCell ref="AX84:AX86"/>
    <mergeCell ref="AO44:AR44"/>
    <mergeCell ref="AS44:AS46"/>
    <mergeCell ref="AT44:AW44"/>
    <mergeCell ref="AT63:AX63"/>
    <mergeCell ref="AO82:AS82"/>
    <mergeCell ref="AT82:AX82"/>
    <mergeCell ref="AS67:AS81"/>
    <mergeCell ref="AO65:AR65"/>
    <mergeCell ref="AT65:AW65"/>
    <mergeCell ref="AX67:AX81"/>
    <mergeCell ref="AJ82:AN82"/>
    <mergeCell ref="AJ63:AN63"/>
    <mergeCell ref="AO63:AS63"/>
    <mergeCell ref="AJ65:AM65"/>
    <mergeCell ref="AX47:AX61"/>
    <mergeCell ref="H87:H101"/>
    <mergeCell ref="L87:L101"/>
    <mergeCell ref="M64:M66"/>
    <mergeCell ref="AT64:AW64"/>
    <mergeCell ref="AX64:AX66"/>
    <mergeCell ref="H64:H66"/>
    <mergeCell ref="AI67:AI81"/>
    <mergeCell ref="AN67:AN81"/>
    <mergeCell ref="AN64:AN66"/>
    <mergeCell ref="Y67:Y81"/>
    <mergeCell ref="AD67:AD81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S87:AS101"/>
    <mergeCell ref="AX87:AX101"/>
    <mergeCell ref="AO85:AR85"/>
    <mergeCell ref="B64:B66"/>
    <mergeCell ref="N64:N81"/>
    <mergeCell ref="O64:O81"/>
    <mergeCell ref="P64:S64"/>
    <mergeCell ref="T64:T66"/>
    <mergeCell ref="U64:X64"/>
    <mergeCell ref="C64:D66"/>
    <mergeCell ref="I64:K64"/>
    <mergeCell ref="L64:L66"/>
    <mergeCell ref="E64:G64"/>
    <mergeCell ref="H67:H81"/>
    <mergeCell ref="L67:L81"/>
    <mergeCell ref="T67:T81"/>
    <mergeCell ref="E65:G65"/>
    <mergeCell ref="B67:B81"/>
    <mergeCell ref="N84:N101"/>
    <mergeCell ref="O84:O101"/>
    <mergeCell ref="U85:X85"/>
    <mergeCell ref="N82:N83"/>
    <mergeCell ref="O82:O83"/>
    <mergeCell ref="P82:T82"/>
    <mergeCell ref="U82:Y82"/>
    <mergeCell ref="P83:T83"/>
    <mergeCell ref="U83:Y83"/>
    <mergeCell ref="Y87:Y101"/>
    <mergeCell ref="Y84:Y86"/>
    <mergeCell ref="E85:G85"/>
    <mergeCell ref="B82:H83"/>
    <mergeCell ref="AD87:AD101"/>
    <mergeCell ref="AI87:AI101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P84:S84"/>
    <mergeCell ref="T84:T86"/>
    <mergeCell ref="T87:T101"/>
    <mergeCell ref="B87:B101"/>
    <mergeCell ref="B84:B86"/>
    <mergeCell ref="C84:D86"/>
    <mergeCell ref="E84:G84"/>
    <mergeCell ref="M84:M86"/>
    <mergeCell ref="U84:X84"/>
    <mergeCell ref="I85:K85"/>
    <mergeCell ref="P85:S8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'12產線配置圖 (2)'!$A$25:$A$28</xm:f>
          </x14:formula1>
          <xm:sqref>D67:D81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M39"/>
  <sheetViews>
    <sheetView view="pageBreakPreview" topLeftCell="A7" zoomScaleNormal="60" zoomScaleSheetLayoutView="100" workbookViewId="0">
      <selection activeCell="J34" sqref="J34"/>
    </sheetView>
  </sheetViews>
  <sheetFormatPr defaultColWidth="12.5703125" defaultRowHeight="15.75" customHeight="1"/>
  <cols>
    <col min="1" max="1" width="6.42578125" style="176" customWidth="1"/>
    <col min="2" max="10" width="11.5703125" style="176" customWidth="1"/>
    <col min="11" max="12" width="12.85546875" style="176" customWidth="1"/>
    <col min="13" max="13" width="12.5703125" style="177" customWidth="1"/>
    <col min="14" max="17" width="12.5703125" style="176" customWidth="1"/>
    <col min="18" max="16384" width="12.5703125" style="176"/>
  </cols>
  <sheetData>
    <row r="1" spans="1:13" ht="15.75" customHeight="1">
      <c r="A1" s="492" t="s">
        <v>118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176"/>
    </row>
    <row r="2" spans="1:13" s="177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</row>
    <row r="3" spans="1:13" ht="15.75" customHeight="1">
      <c r="A3" s="493" t="s">
        <v>119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176"/>
    </row>
    <row r="4" spans="1:13" s="17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</row>
    <row r="5" spans="1:13" s="200" customFormat="1" ht="16.350000000000001" customHeight="1">
      <c r="A5" s="482" t="s">
        <v>39</v>
      </c>
      <c r="B5" s="198">
        <v>1</v>
      </c>
      <c r="C5" s="198">
        <v>2</v>
      </c>
      <c r="D5" s="198">
        <v>3</v>
      </c>
      <c r="E5" s="199"/>
      <c r="F5" s="199"/>
      <c r="G5" s="199"/>
    </row>
    <row r="6" spans="1:13" ht="16.350000000000001" customHeight="1">
      <c r="A6" s="482"/>
      <c r="B6" s="201" t="s">
        <v>120</v>
      </c>
      <c r="C6" s="201" t="s">
        <v>121</v>
      </c>
      <c r="D6" s="201" t="s">
        <v>73</v>
      </c>
      <c r="E6" s="202"/>
      <c r="F6" s="202"/>
      <c r="G6" s="177"/>
      <c r="M6" s="176"/>
    </row>
    <row r="7" spans="1:13" s="200" customFormat="1" ht="15.75" customHeight="1">
      <c r="A7" s="485" t="s">
        <v>39</v>
      </c>
      <c r="B7" s="485"/>
      <c r="C7" s="203" t="s">
        <v>88</v>
      </c>
      <c r="D7" s="485" t="s">
        <v>122</v>
      </c>
      <c r="E7" s="495"/>
      <c r="F7" s="495"/>
      <c r="G7" s="203" t="s">
        <v>93</v>
      </c>
      <c r="H7" s="203" t="s">
        <v>123</v>
      </c>
      <c r="I7" s="203" t="s">
        <v>124</v>
      </c>
      <c r="J7" s="204" t="s">
        <v>125</v>
      </c>
      <c r="K7" s="485" t="s">
        <v>126</v>
      </c>
      <c r="L7" s="495"/>
      <c r="M7" s="199"/>
    </row>
    <row r="8" spans="1:13" ht="15.75" customHeight="1">
      <c r="A8" s="482">
        <v>1</v>
      </c>
      <c r="B8" s="485" t="s">
        <v>127</v>
      </c>
      <c r="C8" s="205">
        <v>1</v>
      </c>
      <c r="D8" s="486" t="s">
        <v>97</v>
      </c>
      <c r="E8" s="487"/>
      <c r="F8" s="488"/>
      <c r="G8" s="206">
        <v>12</v>
      </c>
      <c r="H8" s="212">
        <v>1821.6214285714286</v>
      </c>
      <c r="I8" s="213">
        <v>151.4</v>
      </c>
      <c r="J8" s="241">
        <v>1.008</v>
      </c>
      <c r="K8" s="484"/>
      <c r="L8" s="477"/>
    </row>
    <row r="9" spans="1:13" ht="15.75" customHeight="1">
      <c r="A9" s="482"/>
      <c r="B9" s="485"/>
      <c r="C9" s="205">
        <v>2</v>
      </c>
      <c r="D9" s="486" t="s">
        <v>99</v>
      </c>
      <c r="E9" s="487"/>
      <c r="F9" s="488"/>
      <c r="G9" s="212">
        <v>13.085714285714285</v>
      </c>
      <c r="H9" s="212">
        <v>1846.5500000000002</v>
      </c>
      <c r="I9" s="213">
        <v>142.77739403453688</v>
      </c>
      <c r="J9" s="241">
        <v>0.98399999999999999</v>
      </c>
      <c r="K9" s="476"/>
      <c r="L9" s="477"/>
    </row>
    <row r="10" spans="1:13" ht="15.75" customHeight="1">
      <c r="A10" s="482"/>
      <c r="B10" s="485"/>
      <c r="C10" s="205">
        <v>3</v>
      </c>
      <c r="D10" s="486" t="s">
        <v>101</v>
      </c>
      <c r="E10" s="487"/>
      <c r="F10" s="488"/>
      <c r="G10" s="212">
        <v>13.635714285714286</v>
      </c>
      <c r="H10" s="212">
        <v>1836.0142857142857</v>
      </c>
      <c r="I10" s="213">
        <v>136.63626373626374</v>
      </c>
      <c r="J10" s="241">
        <v>1.0069999999999999</v>
      </c>
      <c r="K10" s="479"/>
      <c r="L10" s="477"/>
    </row>
    <row r="11" spans="1:13" ht="15.75" customHeight="1">
      <c r="A11" s="482"/>
      <c r="B11" s="485"/>
      <c r="C11" s="205">
        <v>4</v>
      </c>
      <c r="D11" s="490" t="s">
        <v>98</v>
      </c>
      <c r="E11" s="487"/>
      <c r="F11" s="488"/>
      <c r="G11" s="212">
        <v>13.75</v>
      </c>
      <c r="H11" s="212">
        <v>1824.8928571428571</v>
      </c>
      <c r="I11" s="213">
        <v>134.94446624803766</v>
      </c>
      <c r="J11" s="241">
        <v>0.95799999999999996</v>
      </c>
      <c r="K11" s="491" t="s">
        <v>128</v>
      </c>
      <c r="L11" s="477"/>
    </row>
    <row r="12" spans="1:13" ht="15.75" customHeight="1">
      <c r="A12" s="482"/>
      <c r="B12" s="485"/>
      <c r="C12" s="205">
        <v>5</v>
      </c>
      <c r="D12" s="489" t="s">
        <v>113</v>
      </c>
      <c r="E12" s="487"/>
      <c r="F12" s="488"/>
      <c r="G12" s="212">
        <v>15.857142857142858</v>
      </c>
      <c r="H12" s="212">
        <v>1701.0142857142855</v>
      </c>
      <c r="I12" s="213">
        <v>107.29808673469387</v>
      </c>
      <c r="J12" s="241"/>
      <c r="K12" s="476"/>
      <c r="L12" s="477"/>
    </row>
    <row r="13" spans="1:13" ht="15.75" customHeight="1">
      <c r="A13" s="482"/>
      <c r="B13" s="485"/>
      <c r="C13" s="207" t="s">
        <v>129</v>
      </c>
      <c r="D13" s="486" t="s">
        <v>111</v>
      </c>
      <c r="E13" s="487"/>
      <c r="F13" s="488"/>
      <c r="G13" s="212">
        <v>16.299999999999997</v>
      </c>
      <c r="H13" s="212">
        <v>1152.9071428571428</v>
      </c>
      <c r="I13" s="213">
        <v>71.696783042164228</v>
      </c>
      <c r="J13" s="241">
        <v>1.6910000000000001</v>
      </c>
      <c r="K13" s="479" t="s">
        <v>130</v>
      </c>
      <c r="L13" s="477"/>
    </row>
    <row r="14" spans="1:13" ht="15.75" customHeight="1">
      <c r="A14" s="482"/>
      <c r="B14" s="485"/>
      <c r="C14" s="207" t="s">
        <v>131</v>
      </c>
      <c r="D14" s="486" t="s">
        <v>110</v>
      </c>
      <c r="E14" s="487"/>
      <c r="F14" s="488"/>
      <c r="G14" s="212">
        <v>15.242857142857144</v>
      </c>
      <c r="H14" s="212">
        <v>1113.4642857142858</v>
      </c>
      <c r="I14" s="213">
        <v>71.99282260981316</v>
      </c>
      <c r="J14" s="241">
        <v>1.175</v>
      </c>
      <c r="K14" s="479" t="s">
        <v>132</v>
      </c>
      <c r="L14" s="477"/>
    </row>
    <row r="15" spans="1:13" ht="15.75" customHeight="1">
      <c r="A15" s="482"/>
      <c r="B15" s="485"/>
      <c r="C15" s="207" t="s">
        <v>133</v>
      </c>
      <c r="D15" s="486" t="s">
        <v>104</v>
      </c>
      <c r="E15" s="487"/>
      <c r="F15" s="488"/>
      <c r="G15" s="212">
        <v>15.671428571428571</v>
      </c>
      <c r="H15" s="212">
        <v>1153.9357142857143</v>
      </c>
      <c r="I15" s="213">
        <v>73.139816926770706</v>
      </c>
      <c r="J15" s="241">
        <v>1.038</v>
      </c>
      <c r="K15" s="479"/>
      <c r="L15" s="477"/>
    </row>
    <row r="16" spans="1:13" ht="15.75" customHeight="1">
      <c r="A16" s="482"/>
      <c r="B16" s="485"/>
      <c r="C16" s="207" t="s">
        <v>134</v>
      </c>
      <c r="D16" s="486" t="s">
        <v>107</v>
      </c>
      <c r="E16" s="487"/>
      <c r="F16" s="488"/>
      <c r="G16" s="212">
        <v>13.878571428571428</v>
      </c>
      <c r="H16" s="212">
        <v>999.36428571428576</v>
      </c>
      <c r="I16" s="213">
        <v>73.374912676609114</v>
      </c>
      <c r="J16" s="241">
        <v>1.0089999999999999</v>
      </c>
      <c r="K16" s="479"/>
      <c r="L16" s="477"/>
      <c r="M16" s="176"/>
    </row>
    <row r="17" spans="1:13" ht="15.75" customHeight="1">
      <c r="A17" s="482"/>
      <c r="B17" s="485"/>
      <c r="C17" s="207" t="s">
        <v>135</v>
      </c>
      <c r="D17" s="489" t="s">
        <v>103</v>
      </c>
      <c r="E17" s="487"/>
      <c r="F17" s="488"/>
      <c r="G17" s="212">
        <v>14.357142857142858</v>
      </c>
      <c r="H17" s="212">
        <v>1118.2142857142858</v>
      </c>
      <c r="I17" s="213">
        <v>80.073155416012554</v>
      </c>
      <c r="J17" s="241">
        <v>1.0109999999999999</v>
      </c>
      <c r="K17" s="479"/>
      <c r="L17" s="477"/>
      <c r="M17" s="176"/>
    </row>
    <row r="18" spans="1:13" s="210" customFormat="1" ht="15.75" customHeight="1">
      <c r="A18" s="480" t="s">
        <v>39</v>
      </c>
      <c r="B18" s="480"/>
      <c r="C18" s="208" t="s">
        <v>88</v>
      </c>
      <c r="D18" s="480" t="s">
        <v>122</v>
      </c>
      <c r="E18" s="481"/>
      <c r="F18" s="481"/>
      <c r="G18" s="208" t="s">
        <v>93</v>
      </c>
      <c r="H18" s="208" t="s">
        <v>123</v>
      </c>
      <c r="I18" s="208" t="s">
        <v>124</v>
      </c>
      <c r="J18" s="209" t="s">
        <v>125</v>
      </c>
      <c r="K18" s="480" t="s">
        <v>126</v>
      </c>
      <c r="L18" s="481"/>
      <c r="M18" s="202"/>
    </row>
    <row r="19" spans="1:13" ht="15.75" customHeight="1">
      <c r="A19" s="482">
        <v>2</v>
      </c>
      <c r="B19" s="485" t="s">
        <v>136</v>
      </c>
      <c r="C19" s="205">
        <v>1</v>
      </c>
      <c r="D19" s="478"/>
      <c r="E19" s="477"/>
      <c r="F19" s="477"/>
      <c r="G19" s="206"/>
      <c r="H19" s="206"/>
      <c r="I19" s="206"/>
      <c r="J19" s="206"/>
      <c r="K19" s="478"/>
      <c r="L19" s="477"/>
      <c r="M19" s="176"/>
    </row>
    <row r="20" spans="1:13" ht="15.75" customHeight="1">
      <c r="A20" s="482"/>
      <c r="B20" s="485"/>
      <c r="C20" s="205">
        <v>2</v>
      </c>
      <c r="D20" s="476"/>
      <c r="E20" s="477"/>
      <c r="F20" s="477"/>
      <c r="G20" s="206"/>
      <c r="H20" s="206"/>
      <c r="I20" s="206"/>
      <c r="J20" s="206"/>
      <c r="K20" s="476"/>
      <c r="L20" s="477"/>
      <c r="M20" s="176"/>
    </row>
    <row r="21" spans="1:13" ht="15.75" customHeight="1">
      <c r="A21" s="482"/>
      <c r="B21" s="485"/>
      <c r="C21" s="205">
        <v>3</v>
      </c>
      <c r="D21" s="476"/>
      <c r="E21" s="477"/>
      <c r="F21" s="477"/>
      <c r="G21" s="206"/>
      <c r="H21" s="206"/>
      <c r="I21" s="206"/>
      <c r="J21" s="206"/>
      <c r="K21" s="476"/>
      <c r="L21" s="477"/>
      <c r="M21" s="176"/>
    </row>
    <row r="22" spans="1:13" ht="15.75" customHeight="1">
      <c r="A22" s="482"/>
      <c r="B22" s="485"/>
      <c r="C22" s="205">
        <v>4</v>
      </c>
      <c r="D22" s="476"/>
      <c r="E22" s="477"/>
      <c r="F22" s="477"/>
      <c r="G22" s="206"/>
      <c r="H22" s="206"/>
      <c r="I22" s="206"/>
      <c r="J22" s="206"/>
      <c r="K22" s="476"/>
      <c r="L22" s="477"/>
      <c r="M22" s="176"/>
    </row>
    <row r="23" spans="1:13" ht="15.75" customHeight="1">
      <c r="A23" s="482"/>
      <c r="B23" s="485"/>
      <c r="C23" s="205">
        <v>5</v>
      </c>
      <c r="D23" s="476"/>
      <c r="E23" s="477"/>
      <c r="F23" s="477"/>
      <c r="G23" s="206"/>
      <c r="H23" s="206"/>
      <c r="I23" s="206"/>
      <c r="J23" s="206"/>
      <c r="K23" s="476"/>
      <c r="L23" s="477"/>
      <c r="M23" s="176"/>
    </row>
    <row r="24" spans="1:13" ht="15.75" customHeight="1">
      <c r="A24" s="482"/>
      <c r="B24" s="485"/>
      <c r="C24" s="207" t="s">
        <v>129</v>
      </c>
      <c r="D24" s="478"/>
      <c r="E24" s="477"/>
      <c r="F24" s="477"/>
      <c r="G24" s="206"/>
      <c r="H24" s="206"/>
      <c r="I24" s="206"/>
      <c r="J24" s="206"/>
      <c r="K24" s="478"/>
      <c r="L24" s="477"/>
      <c r="M24" s="176"/>
    </row>
    <row r="25" spans="1:13" ht="15.75" customHeight="1">
      <c r="A25" s="482"/>
      <c r="B25" s="485"/>
      <c r="C25" s="207" t="s">
        <v>131</v>
      </c>
      <c r="D25" s="476"/>
      <c r="E25" s="477"/>
      <c r="F25" s="477"/>
      <c r="G25" s="206"/>
      <c r="H25" s="206"/>
      <c r="I25" s="206"/>
      <c r="J25" s="206"/>
      <c r="K25" s="476"/>
      <c r="L25" s="477"/>
      <c r="M25" s="176"/>
    </row>
    <row r="26" spans="1:13" ht="15.75" customHeight="1">
      <c r="A26" s="482"/>
      <c r="B26" s="485"/>
      <c r="C26" s="207" t="s">
        <v>133</v>
      </c>
      <c r="D26" s="476"/>
      <c r="E26" s="477"/>
      <c r="F26" s="477"/>
      <c r="G26" s="206"/>
      <c r="H26" s="206"/>
      <c r="I26" s="206"/>
      <c r="J26" s="206"/>
      <c r="K26" s="476"/>
      <c r="L26" s="477"/>
      <c r="M26" s="176"/>
    </row>
    <row r="27" spans="1:13" ht="15.75" customHeight="1">
      <c r="A27" s="482"/>
      <c r="B27" s="485"/>
      <c r="C27" s="207" t="s">
        <v>134</v>
      </c>
      <c r="D27" s="476"/>
      <c r="E27" s="477"/>
      <c r="F27" s="477"/>
      <c r="G27" s="206"/>
      <c r="H27" s="206"/>
      <c r="I27" s="206"/>
      <c r="J27" s="206"/>
      <c r="K27" s="476"/>
      <c r="L27" s="477"/>
      <c r="M27" s="176"/>
    </row>
    <row r="28" spans="1:13" ht="15.75" customHeight="1">
      <c r="A28" s="482"/>
      <c r="B28" s="485"/>
      <c r="C28" s="207" t="s">
        <v>135</v>
      </c>
      <c r="D28" s="476"/>
      <c r="E28" s="477"/>
      <c r="F28" s="477"/>
      <c r="G28" s="206"/>
      <c r="H28" s="206"/>
      <c r="I28" s="206"/>
      <c r="J28" s="206"/>
      <c r="K28" s="476"/>
      <c r="L28" s="477"/>
      <c r="M28" s="176"/>
    </row>
    <row r="29" spans="1:13" ht="15.75" customHeight="1">
      <c r="A29" s="480" t="s">
        <v>39</v>
      </c>
      <c r="B29" s="480"/>
      <c r="C29" s="208" t="s">
        <v>88</v>
      </c>
      <c r="D29" s="480" t="s">
        <v>122</v>
      </c>
      <c r="E29" s="481"/>
      <c r="F29" s="481"/>
      <c r="G29" s="208" t="s">
        <v>93</v>
      </c>
      <c r="H29" s="208" t="s">
        <v>123</v>
      </c>
      <c r="I29" s="208" t="s">
        <v>124</v>
      </c>
      <c r="J29" s="209" t="s">
        <v>125</v>
      </c>
      <c r="K29" s="480" t="s">
        <v>126</v>
      </c>
      <c r="L29" s="481"/>
    </row>
    <row r="30" spans="1:13" ht="15.75" customHeight="1">
      <c r="A30" s="482">
        <v>3</v>
      </c>
      <c r="B30" s="483" t="s">
        <v>73</v>
      </c>
      <c r="C30" s="205">
        <v>1</v>
      </c>
      <c r="D30" s="478" t="s">
        <v>117</v>
      </c>
      <c r="E30" s="477"/>
      <c r="F30" s="477"/>
      <c r="G30" s="212">
        <v>12</v>
      </c>
      <c r="H30" s="212">
        <v>1408.4142857142856</v>
      </c>
      <c r="I30" s="213">
        <v>117.36785714285715</v>
      </c>
      <c r="J30" s="241"/>
      <c r="K30" s="484"/>
      <c r="L30" s="477"/>
    </row>
    <row r="31" spans="1:13" ht="15.75" customHeight="1">
      <c r="A31" s="482"/>
      <c r="B31" s="483"/>
      <c r="C31" s="205">
        <v>2</v>
      </c>
      <c r="D31" s="479" t="s">
        <v>115</v>
      </c>
      <c r="E31" s="477"/>
      <c r="F31" s="477"/>
      <c r="G31" s="212">
        <v>11.754285714285714</v>
      </c>
      <c r="H31" s="213">
        <v>1365.3314285714284</v>
      </c>
      <c r="I31" s="213">
        <v>117.21333333333334</v>
      </c>
      <c r="J31" s="241">
        <v>1.0029999999999999</v>
      </c>
      <c r="K31" s="478"/>
      <c r="L31" s="477"/>
    </row>
    <row r="32" spans="1:13" ht="15.75" customHeight="1">
      <c r="A32" s="482"/>
      <c r="B32" s="483"/>
      <c r="C32" s="205">
        <v>3</v>
      </c>
      <c r="D32" s="476" t="s">
        <v>114</v>
      </c>
      <c r="E32" s="477"/>
      <c r="F32" s="477"/>
      <c r="G32" s="212">
        <v>12.742857142857144</v>
      </c>
      <c r="H32" s="213">
        <v>1418.4571428571428</v>
      </c>
      <c r="I32" s="213">
        <v>111.07603646353645</v>
      </c>
      <c r="J32" s="241">
        <v>0.96299999999999997</v>
      </c>
      <c r="K32" s="484"/>
      <c r="L32" s="477"/>
    </row>
    <row r="33" spans="1:12" ht="15.75" customHeight="1">
      <c r="A33" s="482"/>
      <c r="B33" s="483"/>
      <c r="C33" s="205">
        <v>4</v>
      </c>
      <c r="D33" s="476" t="s">
        <v>116</v>
      </c>
      <c r="E33" s="477"/>
      <c r="F33" s="477"/>
      <c r="G33" s="212">
        <v>11.62857142857143</v>
      </c>
      <c r="H33" s="212">
        <v>924.49285714285725</v>
      </c>
      <c r="I33" s="213">
        <v>78.30244172494173</v>
      </c>
      <c r="J33" s="241">
        <v>0.79800000000000004</v>
      </c>
      <c r="K33" s="476" t="s">
        <v>137</v>
      </c>
      <c r="L33" s="477"/>
    </row>
    <row r="34" spans="1:12" ht="15.75" customHeight="1">
      <c r="A34" s="482"/>
      <c r="B34" s="483"/>
      <c r="C34" s="205">
        <v>5</v>
      </c>
      <c r="D34" s="476"/>
      <c r="E34" s="477"/>
      <c r="F34" s="477"/>
      <c r="G34" s="206"/>
      <c r="H34" s="206"/>
      <c r="I34" s="206"/>
      <c r="J34" s="206"/>
      <c r="K34" s="476"/>
      <c r="L34" s="477"/>
    </row>
    <row r="35" spans="1:12" ht="15.75" customHeight="1">
      <c r="A35" s="482"/>
      <c r="B35" s="483"/>
      <c r="C35" s="207" t="s">
        <v>129</v>
      </c>
      <c r="D35" s="478"/>
      <c r="E35" s="477"/>
      <c r="F35" s="477"/>
      <c r="G35" s="212"/>
      <c r="H35" s="213"/>
      <c r="I35" s="213"/>
      <c r="J35" s="206"/>
      <c r="K35" s="478"/>
      <c r="L35" s="477"/>
    </row>
    <row r="36" spans="1:12" ht="15.75" customHeight="1">
      <c r="A36" s="482"/>
      <c r="B36" s="483"/>
      <c r="C36" s="207" t="s">
        <v>131</v>
      </c>
      <c r="D36" s="479"/>
      <c r="E36" s="477"/>
      <c r="F36" s="477"/>
      <c r="G36" s="212"/>
      <c r="H36" s="213"/>
      <c r="I36" s="213"/>
      <c r="J36" s="206"/>
      <c r="K36" s="476"/>
      <c r="L36" s="477"/>
    </row>
    <row r="37" spans="1:12" ht="15.75" customHeight="1">
      <c r="A37" s="482"/>
      <c r="B37" s="483"/>
      <c r="C37" s="207" t="s">
        <v>133</v>
      </c>
      <c r="D37" s="476"/>
      <c r="E37" s="477"/>
      <c r="F37" s="477"/>
      <c r="G37" s="212"/>
      <c r="H37" s="213"/>
      <c r="I37" s="213"/>
      <c r="J37" s="206"/>
      <c r="K37" s="476"/>
      <c r="L37" s="477"/>
    </row>
    <row r="38" spans="1:12" ht="15.75" customHeight="1">
      <c r="A38" s="482"/>
      <c r="B38" s="483"/>
      <c r="C38" s="207" t="s">
        <v>134</v>
      </c>
      <c r="D38" s="476"/>
      <c r="E38" s="477"/>
      <c r="F38" s="477"/>
      <c r="G38" s="206"/>
      <c r="H38" s="206"/>
      <c r="I38" s="206"/>
      <c r="J38" s="206"/>
      <c r="K38" s="476"/>
      <c r="L38" s="477"/>
    </row>
    <row r="39" spans="1:12" ht="15.75" customHeight="1">
      <c r="A39" s="482"/>
      <c r="B39" s="483"/>
      <c r="C39" s="207" t="s">
        <v>135</v>
      </c>
      <c r="D39" s="476"/>
      <c r="E39" s="477"/>
      <c r="F39" s="477"/>
      <c r="G39" s="206"/>
      <c r="H39" s="206"/>
      <c r="I39" s="206"/>
      <c r="J39" s="206"/>
      <c r="K39" s="476"/>
      <c r="L39" s="477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L16" sqref="L16"/>
    </sheetView>
  </sheetViews>
  <sheetFormatPr defaultColWidth="12.5703125" defaultRowHeight="15.75" customHeight="1"/>
  <cols>
    <col min="1" max="1" width="7.5703125" style="176" customWidth="1"/>
    <col min="2" max="2" width="14.85546875" style="176" customWidth="1"/>
    <col min="3" max="3" width="12.85546875" style="176" customWidth="1"/>
    <col min="4" max="4" width="2.5703125" style="176" customWidth="1"/>
    <col min="5" max="5" width="7.5703125" style="176" customWidth="1"/>
    <col min="6" max="6" width="12.85546875" style="176" customWidth="1"/>
    <col min="7" max="7" width="9.42578125" style="176" customWidth="1"/>
    <col min="8" max="8" width="12.85546875" style="176" customWidth="1"/>
    <col min="9" max="9" width="9.42578125" style="176" customWidth="1"/>
    <col min="10" max="10" width="12.85546875" style="176" customWidth="1"/>
    <col min="11" max="11" width="9.42578125" style="176" customWidth="1"/>
    <col min="12" max="12" width="12.85546875" style="176" customWidth="1"/>
    <col min="13" max="13" width="9.42578125" style="176" customWidth="1"/>
    <col min="14" max="17" width="12.5703125" style="176" customWidth="1"/>
    <col min="18" max="16384" width="12.5703125" style="176"/>
  </cols>
  <sheetData>
    <row r="1" spans="1:13" ht="15.75" customHeight="1">
      <c r="A1" s="492" t="s">
        <v>118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</row>
    <row r="2" spans="1:13" s="177" customFormat="1" ht="15.75" customHeight="1">
      <c r="A2" s="492"/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</row>
    <row r="3" spans="1:13" ht="15.75" customHeight="1">
      <c r="A3" s="493" t="s">
        <v>138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</row>
    <row r="4" spans="1:13" s="177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</row>
    <row r="5" spans="1:13" ht="15.75" customHeight="1">
      <c r="A5" s="178" t="s">
        <v>14</v>
      </c>
      <c r="B5" s="179">
        <v>73906002</v>
      </c>
    </row>
    <row r="6" spans="1:13" ht="15.75" customHeight="1">
      <c r="A6" s="499" t="s">
        <v>7</v>
      </c>
      <c r="B6" s="500" t="s">
        <v>139</v>
      </c>
      <c r="C6" s="500"/>
      <c r="D6" s="501"/>
      <c r="E6" s="499" t="s">
        <v>7</v>
      </c>
      <c r="F6" s="482">
        <v>1</v>
      </c>
      <c r="G6" s="482"/>
      <c r="H6" s="482">
        <v>2</v>
      </c>
      <c r="I6" s="482"/>
      <c r="J6" s="482">
        <v>3</v>
      </c>
      <c r="K6" s="482"/>
      <c r="L6" s="482">
        <v>4</v>
      </c>
      <c r="M6" s="482"/>
    </row>
    <row r="7" spans="1:13" ht="31.35" customHeight="1">
      <c r="A7" s="499"/>
      <c r="B7" s="500"/>
      <c r="C7" s="500"/>
      <c r="D7" s="502"/>
      <c r="E7" s="499"/>
      <c r="F7" s="498" t="s">
        <v>140</v>
      </c>
      <c r="G7" s="498"/>
      <c r="H7" s="496" t="s">
        <v>141</v>
      </c>
      <c r="I7" s="496"/>
      <c r="J7" s="496" t="s">
        <v>142</v>
      </c>
      <c r="K7" s="496"/>
      <c r="L7" s="498" t="s">
        <v>143</v>
      </c>
      <c r="M7" s="496"/>
    </row>
    <row r="8" spans="1:13" ht="15.75" customHeight="1">
      <c r="A8" s="499"/>
      <c r="B8" s="196" t="s">
        <v>144</v>
      </c>
      <c r="C8" s="196" t="s">
        <v>34</v>
      </c>
      <c r="D8" s="502"/>
      <c r="E8" s="499"/>
      <c r="F8" s="196" t="s">
        <v>144</v>
      </c>
      <c r="G8" s="196" t="s">
        <v>34</v>
      </c>
      <c r="H8" s="196" t="s">
        <v>144</v>
      </c>
      <c r="I8" s="196" t="s">
        <v>34</v>
      </c>
      <c r="J8" s="196" t="s">
        <v>144</v>
      </c>
      <c r="K8" s="196" t="s">
        <v>34</v>
      </c>
      <c r="L8" s="196" t="s">
        <v>144</v>
      </c>
      <c r="M8" s="196" t="s">
        <v>34</v>
      </c>
    </row>
    <row r="9" spans="1:13" ht="19.350000000000001" customHeight="1">
      <c r="A9" s="180" t="s">
        <v>145</v>
      </c>
      <c r="B9" s="181">
        <v>240807</v>
      </c>
      <c r="C9" s="182">
        <f>B9/$B$5</f>
        <v>3.258287466287244E-3</v>
      </c>
      <c r="D9" s="502"/>
      <c r="E9" s="180" t="s">
        <v>145</v>
      </c>
      <c r="F9" s="183">
        <v>90347</v>
      </c>
      <c r="G9" s="184">
        <f>F9/$B$9</f>
        <v>0.37518427620459538</v>
      </c>
      <c r="H9" s="183">
        <v>37107</v>
      </c>
      <c r="I9" s="184">
        <f>H9/$B$9</f>
        <v>0.15409435772215924</v>
      </c>
      <c r="J9" s="183">
        <v>0</v>
      </c>
      <c r="K9" s="184">
        <v>0</v>
      </c>
      <c r="L9" s="183">
        <v>7311</v>
      </c>
      <c r="M9" s="184">
        <f>L9/$B$9</f>
        <v>3.0360413110914551E-2</v>
      </c>
    </row>
    <row r="10" spans="1:13" ht="19.350000000000001" customHeight="1">
      <c r="A10" s="185" t="s">
        <v>146</v>
      </c>
      <c r="B10" s="186">
        <v>167128</v>
      </c>
      <c r="C10" s="182">
        <f>B10/$B$5</f>
        <v>2.2613589624290594E-3</v>
      </c>
      <c r="D10" s="502"/>
      <c r="E10" s="185" t="s">
        <v>146</v>
      </c>
      <c r="F10" s="183">
        <v>0</v>
      </c>
      <c r="G10" s="184">
        <v>0</v>
      </c>
      <c r="H10" s="183">
        <v>0</v>
      </c>
      <c r="I10" s="184">
        <v>0</v>
      </c>
      <c r="J10" s="183">
        <v>0</v>
      </c>
      <c r="K10" s="184">
        <v>0</v>
      </c>
      <c r="L10" s="183">
        <v>121966</v>
      </c>
      <c r="M10" s="184">
        <f>L10/$B$10</f>
        <v>0.72977598008711886</v>
      </c>
    </row>
    <row r="11" spans="1:13" ht="15.75" customHeight="1">
      <c r="D11" s="502"/>
      <c r="E11" s="499" t="s">
        <v>7</v>
      </c>
      <c r="F11" s="482">
        <v>5</v>
      </c>
      <c r="G11" s="482"/>
      <c r="H11" s="482">
        <v>6</v>
      </c>
      <c r="I11" s="482"/>
      <c r="J11" s="482">
        <v>7</v>
      </c>
      <c r="K11" s="482"/>
      <c r="L11" s="503">
        <v>8</v>
      </c>
      <c r="M11" s="503"/>
    </row>
    <row r="12" spans="1:13" ht="31.35" customHeight="1">
      <c r="D12" s="502"/>
      <c r="E12" s="499"/>
      <c r="F12" s="496" t="s">
        <v>147</v>
      </c>
      <c r="G12" s="496"/>
      <c r="H12" s="496" t="s">
        <v>148</v>
      </c>
      <c r="I12" s="496"/>
      <c r="J12" s="496" t="s">
        <v>149</v>
      </c>
      <c r="K12" s="496"/>
      <c r="L12" s="497" t="s">
        <v>150</v>
      </c>
      <c r="M12" s="497"/>
    </row>
    <row r="13" spans="1:13" ht="15.75" customHeight="1">
      <c r="D13" s="502"/>
      <c r="E13" s="499"/>
      <c r="F13" s="196" t="s">
        <v>144</v>
      </c>
      <c r="G13" s="196" t="s">
        <v>34</v>
      </c>
      <c r="H13" s="196" t="s">
        <v>144</v>
      </c>
      <c r="I13" s="196" t="s">
        <v>34</v>
      </c>
      <c r="J13" s="196" t="s">
        <v>144</v>
      </c>
      <c r="K13" s="196" t="s">
        <v>34</v>
      </c>
      <c r="L13" s="196" t="s">
        <v>144</v>
      </c>
      <c r="M13" s="196" t="s">
        <v>34</v>
      </c>
    </row>
    <row r="14" spans="1:13" ht="19.350000000000001" customHeight="1">
      <c r="D14" s="502"/>
      <c r="E14" s="180" t="s">
        <v>145</v>
      </c>
      <c r="F14" s="183">
        <v>0</v>
      </c>
      <c r="G14" s="184">
        <v>0</v>
      </c>
      <c r="H14" s="183">
        <v>3761</v>
      </c>
      <c r="I14" s="184">
        <f>H14/$B$9</f>
        <v>1.561831674328404E-2</v>
      </c>
      <c r="J14" s="183">
        <v>77056</v>
      </c>
      <c r="K14" s="184">
        <f>J14/$B$9</f>
        <v>0.31999069794482721</v>
      </c>
      <c r="L14" s="183">
        <v>0</v>
      </c>
      <c r="M14" s="184">
        <v>0</v>
      </c>
    </row>
    <row r="15" spans="1:13" ht="19.350000000000001" customHeight="1">
      <c r="D15" s="502"/>
      <c r="E15" s="185" t="s">
        <v>146</v>
      </c>
      <c r="F15" s="183">
        <v>0</v>
      </c>
      <c r="G15" s="184">
        <v>0</v>
      </c>
      <c r="H15" s="183">
        <v>17797</v>
      </c>
      <c r="I15" s="184">
        <f>H15/$B$10</f>
        <v>0.1064872433105165</v>
      </c>
      <c r="J15" s="183">
        <v>0</v>
      </c>
      <c r="K15" s="184">
        <v>0</v>
      </c>
      <c r="L15" s="183">
        <v>0</v>
      </c>
      <c r="M15" s="184"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Q30"/>
  <sheetViews>
    <sheetView view="pageBreakPreview" zoomScale="85" zoomScaleNormal="60" zoomScaleSheetLayoutView="85" workbookViewId="0">
      <selection activeCell="D17" sqref="D17:L21"/>
    </sheetView>
  </sheetViews>
  <sheetFormatPr defaultColWidth="12.5703125" defaultRowHeight="15.75" customHeight="1"/>
  <cols>
    <col min="1" max="1" width="5.42578125" style="118" customWidth="1"/>
    <col min="2" max="2" width="11.42578125" style="169" customWidth="1"/>
    <col min="3" max="3" width="4" style="148" customWidth="1"/>
    <col min="4" max="17" width="9.5703125" style="118" customWidth="1"/>
    <col min="18" max="21" width="12.5703125" style="118" customWidth="1"/>
    <col min="22" max="16384" width="12.5703125" style="118"/>
  </cols>
  <sheetData>
    <row r="1" spans="1:17" ht="15.75" customHeight="1">
      <c r="A1" s="398" t="s">
        <v>118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17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7" ht="15.75" customHeight="1">
      <c r="A3" s="528" t="s">
        <v>151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19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ht="15.75" customHeight="1">
      <c r="A5" s="431" t="s">
        <v>152</v>
      </c>
      <c r="B5" s="530">
        <v>1</v>
      </c>
      <c r="C5" s="530"/>
      <c r="D5" s="530">
        <v>2</v>
      </c>
      <c r="E5" s="530"/>
      <c r="F5" s="530">
        <v>3</v>
      </c>
      <c r="G5" s="530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11">
        <v>8</v>
      </c>
      <c r="Q5" s="511"/>
    </row>
    <row r="6" spans="1:17" ht="15.75" customHeight="1">
      <c r="A6" s="431"/>
      <c r="B6" s="531" t="s">
        <v>153</v>
      </c>
      <c r="C6" s="531"/>
      <c r="D6" s="531" t="s">
        <v>154</v>
      </c>
      <c r="E6" s="531"/>
      <c r="F6" s="531" t="s">
        <v>142</v>
      </c>
      <c r="G6" s="531"/>
      <c r="H6" s="525" t="s">
        <v>143</v>
      </c>
      <c r="I6" s="431"/>
      <c r="J6" s="431" t="s">
        <v>147</v>
      </c>
      <c r="K6" s="431"/>
      <c r="L6" s="431" t="s">
        <v>148</v>
      </c>
      <c r="M6" s="431"/>
      <c r="N6" s="431" t="s">
        <v>149</v>
      </c>
      <c r="O6" s="431"/>
      <c r="P6" s="525" t="s">
        <v>155</v>
      </c>
      <c r="Q6" s="431"/>
    </row>
    <row r="8" spans="1:17" s="124" customFormat="1" ht="15.75" customHeight="1">
      <c r="A8" s="511" t="s">
        <v>152</v>
      </c>
      <c r="B8" s="511"/>
      <c r="C8" s="150" t="s">
        <v>88</v>
      </c>
      <c r="D8" s="519" t="s">
        <v>122</v>
      </c>
      <c r="E8" s="520"/>
      <c r="F8" s="521"/>
      <c r="G8" s="151" t="s">
        <v>156</v>
      </c>
      <c r="H8" s="152"/>
      <c r="I8" s="150"/>
      <c r="J8" s="153" t="s">
        <v>157</v>
      </c>
      <c r="K8" s="153" t="s">
        <v>22</v>
      </c>
      <c r="L8" s="153" t="s">
        <v>158</v>
      </c>
      <c r="M8" s="153" t="s">
        <v>144</v>
      </c>
      <c r="N8" s="153" t="s">
        <v>159</v>
      </c>
      <c r="O8" s="522" t="s">
        <v>126</v>
      </c>
      <c r="P8" s="523"/>
    </row>
    <row r="9" spans="1:17" ht="15.75" customHeight="1">
      <c r="A9" s="511">
        <v>1</v>
      </c>
      <c r="B9" s="512" t="s">
        <v>153</v>
      </c>
      <c r="C9" s="154">
        <v>1</v>
      </c>
      <c r="D9" s="513" t="s">
        <v>109</v>
      </c>
      <c r="E9" s="514"/>
      <c r="F9" s="515"/>
      <c r="G9" s="513" t="s">
        <v>160</v>
      </c>
      <c r="H9" s="514"/>
      <c r="I9" s="515"/>
      <c r="J9" s="155">
        <v>138.6</v>
      </c>
      <c r="K9" s="156">
        <v>5.8000000000000003E-2</v>
      </c>
      <c r="L9" s="155">
        <v>298.89999999999998</v>
      </c>
      <c r="M9" s="214">
        <f t="shared" ref="M9:M11" si="0">L9*J9</f>
        <v>41427.539999999994</v>
      </c>
      <c r="N9" s="360">
        <v>0.71450000000000002</v>
      </c>
      <c r="O9" s="504" t="s">
        <v>161</v>
      </c>
      <c r="P9" s="505"/>
    </row>
    <row r="10" spans="1:17" ht="15.75" customHeight="1">
      <c r="A10" s="511"/>
      <c r="B10" s="512"/>
      <c r="C10" s="154">
        <v>2</v>
      </c>
      <c r="D10" s="513" t="s">
        <v>162</v>
      </c>
      <c r="E10" s="514"/>
      <c r="F10" s="515"/>
      <c r="G10" s="513" t="s">
        <v>163</v>
      </c>
      <c r="H10" s="514"/>
      <c r="I10" s="515"/>
      <c r="J10" s="155">
        <v>80.3</v>
      </c>
      <c r="K10" s="156">
        <v>5.8000000000000003E-2</v>
      </c>
      <c r="L10" s="155">
        <v>189</v>
      </c>
      <c r="M10" s="214">
        <f t="shared" si="0"/>
        <v>15176.699999999999</v>
      </c>
      <c r="N10" s="360">
        <v>0.75870000000000004</v>
      </c>
      <c r="O10" s="504" t="s">
        <v>164</v>
      </c>
      <c r="P10" s="505"/>
    </row>
    <row r="11" spans="1:17" ht="15.75" customHeight="1">
      <c r="A11" s="511"/>
      <c r="B11" s="512"/>
      <c r="C11" s="154">
        <v>3</v>
      </c>
      <c r="D11" s="513" t="s">
        <v>165</v>
      </c>
      <c r="E11" s="514"/>
      <c r="F11" s="515"/>
      <c r="G11" s="513" t="s">
        <v>166</v>
      </c>
      <c r="H11" s="514"/>
      <c r="I11" s="515"/>
      <c r="J11" s="155">
        <v>153.80000000000001</v>
      </c>
      <c r="K11" s="156">
        <v>6.0000000000000001E-3</v>
      </c>
      <c r="L11" s="155">
        <v>53.7</v>
      </c>
      <c r="M11" s="214">
        <f t="shared" si="0"/>
        <v>8259.0600000000013</v>
      </c>
      <c r="N11" s="360"/>
      <c r="O11" s="504" t="s">
        <v>167</v>
      </c>
      <c r="P11" s="505"/>
    </row>
    <row r="12" spans="1:17" ht="15.75" customHeight="1">
      <c r="A12" s="511"/>
      <c r="B12" s="512"/>
      <c r="C12" s="154">
        <v>4</v>
      </c>
      <c r="D12" s="504" t="s">
        <v>103</v>
      </c>
      <c r="E12" s="514"/>
      <c r="F12" s="515"/>
      <c r="G12" s="504" t="s">
        <v>168</v>
      </c>
      <c r="H12" s="514"/>
      <c r="I12" s="515"/>
      <c r="J12" s="155">
        <v>69.099999999999994</v>
      </c>
      <c r="K12" s="156">
        <v>0.05</v>
      </c>
      <c r="L12" s="155">
        <v>75.7</v>
      </c>
      <c r="M12" s="214">
        <f t="shared" ref="M12:M13" si="1">L12*J12</f>
        <v>5230.87</v>
      </c>
      <c r="N12" s="360">
        <v>1.0954999999999999</v>
      </c>
      <c r="O12" s="504" t="s">
        <v>167</v>
      </c>
      <c r="P12" s="505"/>
    </row>
    <row r="13" spans="1:17" ht="15.75" customHeight="1">
      <c r="A13" s="511"/>
      <c r="B13" s="512"/>
      <c r="C13" s="160">
        <v>5</v>
      </c>
      <c r="D13" s="516"/>
      <c r="E13" s="517"/>
      <c r="F13" s="518"/>
      <c r="G13" s="516"/>
      <c r="H13" s="517"/>
      <c r="I13" s="518"/>
      <c r="J13" s="161"/>
      <c r="K13" s="162"/>
      <c r="L13" s="161"/>
      <c r="M13" s="215">
        <f t="shared" si="1"/>
        <v>0</v>
      </c>
      <c r="N13" s="360"/>
      <c r="O13" s="504"/>
      <c r="P13" s="505"/>
    </row>
    <row r="14" spans="1:17" ht="15.75" customHeight="1">
      <c r="A14" s="511"/>
      <c r="B14" s="512"/>
      <c r="C14" s="506"/>
      <c r="D14" s="506"/>
      <c r="E14" s="506"/>
      <c r="F14" s="506"/>
      <c r="G14" s="506"/>
      <c r="H14" s="506"/>
      <c r="I14" s="507"/>
      <c r="J14" s="166" t="s">
        <v>169</v>
      </c>
      <c r="K14" s="167" t="e">
        <f>M14/#REF!</f>
        <v>#REF!</v>
      </c>
      <c r="L14" s="166" t="s">
        <v>170</v>
      </c>
      <c r="M14" s="168">
        <f>SUM(M9:M13)</f>
        <v>70094.169999999984</v>
      </c>
      <c r="N14" s="508"/>
      <c r="O14" s="509"/>
      <c r="P14" s="510"/>
    </row>
    <row r="16" spans="1:17" ht="15.75" customHeight="1">
      <c r="A16" s="511" t="s">
        <v>152</v>
      </c>
      <c r="B16" s="511"/>
      <c r="C16" s="150" t="s">
        <v>88</v>
      </c>
      <c r="D16" s="519" t="s">
        <v>122</v>
      </c>
      <c r="E16" s="520"/>
      <c r="F16" s="521"/>
      <c r="G16" s="151" t="s">
        <v>156</v>
      </c>
      <c r="H16" s="152"/>
      <c r="I16" s="150"/>
      <c r="J16" s="153" t="s">
        <v>157</v>
      </c>
      <c r="K16" s="153" t="s">
        <v>22</v>
      </c>
      <c r="L16" s="153" t="s">
        <v>158</v>
      </c>
      <c r="M16" s="153" t="s">
        <v>144</v>
      </c>
      <c r="N16" s="153" t="s">
        <v>159</v>
      </c>
      <c r="O16" s="522" t="s">
        <v>126</v>
      </c>
      <c r="P16" s="523"/>
    </row>
    <row r="17" spans="1:16" ht="15.75" customHeight="1">
      <c r="A17" s="511">
        <v>2</v>
      </c>
      <c r="B17" s="512" t="s">
        <v>171</v>
      </c>
      <c r="C17" s="154">
        <v>1</v>
      </c>
      <c r="D17" s="513"/>
      <c r="E17" s="514"/>
      <c r="F17" s="515"/>
      <c r="G17" s="513"/>
      <c r="H17" s="514"/>
      <c r="I17" s="515"/>
      <c r="J17" s="155"/>
      <c r="K17" s="156"/>
      <c r="L17" s="155"/>
      <c r="M17" s="214">
        <f t="shared" ref="M17:M21" si="2">L17*J17</f>
        <v>0</v>
      </c>
      <c r="N17" s="243"/>
      <c r="O17" s="504"/>
      <c r="P17" s="505"/>
    </row>
    <row r="18" spans="1:16" ht="15.75" customHeight="1">
      <c r="A18" s="511"/>
      <c r="B18" s="512"/>
      <c r="C18" s="154">
        <v>2</v>
      </c>
      <c r="D18" s="513"/>
      <c r="E18" s="514"/>
      <c r="F18" s="515"/>
      <c r="G18" s="513"/>
      <c r="H18" s="514"/>
      <c r="I18" s="515"/>
      <c r="J18" s="155"/>
      <c r="K18" s="156"/>
      <c r="L18" s="155"/>
      <c r="M18" s="214">
        <f t="shared" si="2"/>
        <v>0</v>
      </c>
      <c r="N18" s="243"/>
      <c r="O18" s="504"/>
      <c r="P18" s="505"/>
    </row>
    <row r="19" spans="1:16" ht="15.75" customHeight="1">
      <c r="A19" s="511"/>
      <c r="B19" s="512"/>
      <c r="C19" s="154">
        <v>3</v>
      </c>
      <c r="D19" s="524"/>
      <c r="E19" s="514"/>
      <c r="F19" s="515"/>
      <c r="G19" s="513"/>
      <c r="H19" s="514"/>
      <c r="I19" s="515"/>
      <c r="J19" s="155"/>
      <c r="K19" s="156"/>
      <c r="L19" s="155"/>
      <c r="M19" s="214">
        <f t="shared" si="2"/>
        <v>0</v>
      </c>
      <c r="N19" s="243"/>
      <c r="O19" s="526"/>
      <c r="P19" s="527"/>
    </row>
    <row r="20" spans="1:16" ht="15.75" customHeight="1">
      <c r="A20" s="511"/>
      <c r="B20" s="512"/>
      <c r="C20" s="154">
        <v>4</v>
      </c>
      <c r="D20" s="524"/>
      <c r="E20" s="514"/>
      <c r="F20" s="515"/>
      <c r="G20" s="513"/>
      <c r="H20" s="514"/>
      <c r="I20" s="515"/>
      <c r="J20" s="155"/>
      <c r="K20" s="156"/>
      <c r="L20" s="155"/>
      <c r="M20" s="214">
        <f t="shared" si="2"/>
        <v>0</v>
      </c>
      <c r="N20" s="243"/>
      <c r="O20" s="526"/>
      <c r="P20" s="527"/>
    </row>
    <row r="21" spans="1:16" ht="15.75" customHeight="1">
      <c r="A21" s="511"/>
      <c r="B21" s="512"/>
      <c r="C21" s="160">
        <v>5</v>
      </c>
      <c r="D21" s="513"/>
      <c r="E21" s="514"/>
      <c r="F21" s="515"/>
      <c r="G21" s="513"/>
      <c r="H21" s="514"/>
      <c r="I21" s="515"/>
      <c r="J21" s="155"/>
      <c r="K21" s="156"/>
      <c r="L21" s="155"/>
      <c r="M21" s="214">
        <f t="shared" si="2"/>
        <v>0</v>
      </c>
      <c r="N21" s="243"/>
      <c r="O21" s="526"/>
      <c r="P21" s="527"/>
    </row>
    <row r="22" spans="1:16" ht="15.75" customHeight="1">
      <c r="A22" s="511"/>
      <c r="B22" s="512"/>
      <c r="C22" s="506"/>
      <c r="D22" s="506"/>
      <c r="E22" s="506"/>
      <c r="F22" s="506"/>
      <c r="G22" s="506"/>
      <c r="H22" s="506"/>
      <c r="I22" s="507"/>
      <c r="J22" s="166" t="s">
        <v>169</v>
      </c>
      <c r="K22" s="167" t="e">
        <f>M22/#REF!</f>
        <v>#REF!</v>
      </c>
      <c r="L22" s="166" t="s">
        <v>170</v>
      </c>
      <c r="M22" s="242">
        <f>SUM(M17:M21)</f>
        <v>0</v>
      </c>
      <c r="N22" s="508"/>
      <c r="O22" s="509"/>
      <c r="P22" s="510"/>
    </row>
    <row r="24" spans="1:16" ht="15.75" customHeight="1">
      <c r="A24" s="511" t="s">
        <v>152</v>
      </c>
      <c r="B24" s="511"/>
      <c r="C24" s="150" t="s">
        <v>88</v>
      </c>
      <c r="D24" s="519" t="s">
        <v>122</v>
      </c>
      <c r="E24" s="520"/>
      <c r="F24" s="521"/>
      <c r="G24" s="151" t="s">
        <v>156</v>
      </c>
      <c r="H24" s="152"/>
      <c r="I24" s="150"/>
      <c r="J24" s="153" t="s">
        <v>157</v>
      </c>
      <c r="K24" s="153" t="s">
        <v>22</v>
      </c>
      <c r="L24" s="153" t="s">
        <v>158</v>
      </c>
      <c r="M24" s="153" t="s">
        <v>144</v>
      </c>
      <c r="N24" s="153" t="s">
        <v>125</v>
      </c>
      <c r="O24" s="522" t="s">
        <v>126</v>
      </c>
      <c r="P24" s="523"/>
    </row>
    <row r="25" spans="1:16" ht="15.75" customHeight="1">
      <c r="A25" s="511">
        <v>3</v>
      </c>
      <c r="B25" s="512" t="s">
        <v>142</v>
      </c>
      <c r="C25" s="154">
        <v>1</v>
      </c>
      <c r="D25" s="513"/>
      <c r="E25" s="514"/>
      <c r="F25" s="515"/>
      <c r="G25" s="513"/>
      <c r="H25" s="514"/>
      <c r="I25" s="515"/>
      <c r="J25" s="155"/>
      <c r="K25" s="156"/>
      <c r="L25" s="155"/>
      <c r="M25" s="157">
        <f t="shared" ref="M25:M29" si="3">L25*J25</f>
        <v>0</v>
      </c>
      <c r="N25" s="155"/>
      <c r="O25" s="158"/>
      <c r="P25" s="159"/>
    </row>
    <row r="26" spans="1:16" ht="15.75" customHeight="1">
      <c r="A26" s="511"/>
      <c r="B26" s="512"/>
      <c r="C26" s="154">
        <v>2</v>
      </c>
      <c r="D26" s="513"/>
      <c r="E26" s="514"/>
      <c r="F26" s="515"/>
      <c r="G26" s="513"/>
      <c r="H26" s="514"/>
      <c r="I26" s="515"/>
      <c r="J26" s="155"/>
      <c r="K26" s="156"/>
      <c r="L26" s="155"/>
      <c r="M26" s="157">
        <f t="shared" si="3"/>
        <v>0</v>
      </c>
      <c r="N26" s="155"/>
      <c r="O26" s="158"/>
      <c r="P26" s="159"/>
    </row>
    <row r="27" spans="1:16" ht="15.75" customHeight="1">
      <c r="A27" s="511"/>
      <c r="B27" s="512"/>
      <c r="C27" s="154">
        <v>3</v>
      </c>
      <c r="D27" s="504"/>
      <c r="E27" s="514"/>
      <c r="F27" s="515"/>
      <c r="G27" s="513"/>
      <c r="H27" s="514"/>
      <c r="I27" s="515"/>
      <c r="J27" s="155"/>
      <c r="K27" s="156"/>
      <c r="L27" s="155"/>
      <c r="M27" s="157">
        <f t="shared" si="3"/>
        <v>0</v>
      </c>
      <c r="N27" s="155"/>
      <c r="O27" s="158"/>
      <c r="P27" s="159"/>
    </row>
    <row r="28" spans="1:16" ht="15.75" customHeight="1">
      <c r="A28" s="511"/>
      <c r="B28" s="512"/>
      <c r="C28" s="154">
        <v>4</v>
      </c>
      <c r="D28" s="504"/>
      <c r="E28" s="514"/>
      <c r="F28" s="515"/>
      <c r="G28" s="504"/>
      <c r="H28" s="514"/>
      <c r="I28" s="515"/>
      <c r="J28" s="155"/>
      <c r="K28" s="156"/>
      <c r="L28" s="155"/>
      <c r="M28" s="157">
        <f t="shared" si="3"/>
        <v>0</v>
      </c>
      <c r="N28" s="155"/>
      <c r="O28" s="158"/>
      <c r="P28" s="159"/>
    </row>
    <row r="29" spans="1:16" ht="15.75" customHeight="1">
      <c r="A29" s="511"/>
      <c r="B29" s="512"/>
      <c r="C29" s="160">
        <v>5</v>
      </c>
      <c r="D29" s="516"/>
      <c r="E29" s="517"/>
      <c r="F29" s="518"/>
      <c r="G29" s="516"/>
      <c r="H29" s="517"/>
      <c r="I29" s="518"/>
      <c r="J29" s="161"/>
      <c r="K29" s="162"/>
      <c r="L29" s="161"/>
      <c r="M29" s="163">
        <f t="shared" si="3"/>
        <v>0</v>
      </c>
      <c r="N29" s="155"/>
      <c r="O29" s="164"/>
      <c r="P29" s="165"/>
    </row>
    <row r="30" spans="1:16" ht="15.75" customHeight="1">
      <c r="A30" s="511"/>
      <c r="B30" s="512"/>
      <c r="C30" s="506"/>
      <c r="D30" s="506"/>
      <c r="E30" s="506"/>
      <c r="F30" s="506"/>
      <c r="G30" s="506"/>
      <c r="H30" s="506"/>
      <c r="I30" s="507"/>
      <c r="J30" s="166" t="s">
        <v>169</v>
      </c>
      <c r="K30" s="167" t="e">
        <f>M30/#REF!</f>
        <v>#REF!</v>
      </c>
      <c r="L30" s="166" t="s">
        <v>170</v>
      </c>
      <c r="M30" s="168">
        <f>SUM(M25:M29)</f>
        <v>0</v>
      </c>
      <c r="N30" s="508"/>
      <c r="O30" s="509"/>
      <c r="P30" s="510"/>
    </row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Q38"/>
  <sheetViews>
    <sheetView view="pageBreakPreview" topLeftCell="A13" zoomScale="115" zoomScaleNormal="60" zoomScaleSheetLayoutView="115" workbookViewId="0">
      <selection activeCell="G20" sqref="G20:I20"/>
    </sheetView>
  </sheetViews>
  <sheetFormatPr defaultColWidth="12.5703125" defaultRowHeight="15.75" customHeight="1"/>
  <cols>
    <col min="1" max="1" width="5.42578125" style="2" customWidth="1"/>
    <col min="2" max="2" width="11.42578125" style="109" customWidth="1"/>
    <col min="3" max="3" width="4" style="107" customWidth="1"/>
    <col min="4" max="17" width="9.5703125" style="2" customWidth="1"/>
    <col min="18" max="21" width="12.5703125" style="2" customWidth="1"/>
    <col min="22" max="16384" width="12.5703125" style="2"/>
  </cols>
  <sheetData>
    <row r="1" spans="1:17" s="118" customFormat="1" ht="15.75" customHeight="1">
      <c r="A1" s="398" t="s">
        <v>118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17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7" s="118" customFormat="1" ht="15.75" customHeight="1">
      <c r="A3" s="528" t="s">
        <v>151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19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s="118" customFormat="1" ht="15.75" customHeight="1">
      <c r="A5" s="431" t="s">
        <v>152</v>
      </c>
      <c r="B5" s="511">
        <v>1</v>
      </c>
      <c r="C5" s="511"/>
      <c r="D5" s="511">
        <v>2</v>
      </c>
      <c r="E5" s="511"/>
      <c r="F5" s="511">
        <v>3</v>
      </c>
      <c r="G5" s="511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11">
        <v>8</v>
      </c>
      <c r="Q5" s="511"/>
    </row>
    <row r="6" spans="1:17" s="118" customFormat="1" ht="15.75" customHeight="1">
      <c r="A6" s="431"/>
      <c r="B6" s="431" t="s">
        <v>153</v>
      </c>
      <c r="C6" s="431"/>
      <c r="D6" s="431" t="s">
        <v>154</v>
      </c>
      <c r="E6" s="431"/>
      <c r="F6" s="431" t="s">
        <v>142</v>
      </c>
      <c r="G6" s="431"/>
      <c r="H6" s="560" t="s">
        <v>143</v>
      </c>
      <c r="I6" s="531"/>
      <c r="J6" s="531" t="s">
        <v>147</v>
      </c>
      <c r="K6" s="531"/>
      <c r="L6" s="531" t="s">
        <v>148</v>
      </c>
      <c r="M6" s="531"/>
      <c r="N6" s="531" t="s">
        <v>149</v>
      </c>
      <c r="O6" s="531"/>
      <c r="P6" s="525" t="s">
        <v>155</v>
      </c>
      <c r="Q6" s="431"/>
    </row>
    <row r="7" spans="1:17" s="118" customFormat="1" ht="15.75" customHeight="1">
      <c r="B7" s="169"/>
      <c r="C7" s="148"/>
    </row>
    <row r="8" spans="1:17" s="108" customFormat="1" ht="15.75" customHeight="1">
      <c r="A8" s="539" t="s">
        <v>152</v>
      </c>
      <c r="B8" s="540"/>
      <c r="C8" s="115" t="s">
        <v>88</v>
      </c>
      <c r="D8" s="541" t="s">
        <v>122</v>
      </c>
      <c r="E8" s="542"/>
      <c r="F8" s="543"/>
      <c r="G8" s="113" t="s">
        <v>156</v>
      </c>
      <c r="H8" s="114"/>
      <c r="I8" s="115"/>
      <c r="J8" s="112" t="s">
        <v>157</v>
      </c>
      <c r="K8" s="112" t="s">
        <v>22</v>
      </c>
      <c r="L8" s="112" t="s">
        <v>158</v>
      </c>
      <c r="M8" s="116" t="s">
        <v>144</v>
      </c>
      <c r="N8" s="116" t="s">
        <v>159</v>
      </c>
      <c r="O8" s="544" t="s">
        <v>126</v>
      </c>
      <c r="P8" s="545"/>
    </row>
    <row r="9" spans="1:17" ht="15.75" customHeight="1">
      <c r="A9" s="540">
        <v>4</v>
      </c>
      <c r="B9" s="554" t="s">
        <v>143</v>
      </c>
      <c r="C9" s="110">
        <v>1</v>
      </c>
      <c r="D9" s="559" t="s">
        <v>114</v>
      </c>
      <c r="E9" s="552"/>
      <c r="F9" s="553"/>
      <c r="G9" s="504" t="s">
        <v>172</v>
      </c>
      <c r="H9" s="549"/>
      <c r="I9" s="550"/>
      <c r="J9" s="4">
        <v>85</v>
      </c>
      <c r="K9" s="14">
        <v>5.0000000000000001E-3</v>
      </c>
      <c r="L9" s="4">
        <v>50.3</v>
      </c>
      <c r="M9" s="216">
        <f>J9*L9</f>
        <v>4275.5</v>
      </c>
      <c r="N9" s="240"/>
      <c r="O9" s="532" t="s">
        <v>173</v>
      </c>
      <c r="P9" s="533"/>
    </row>
    <row r="10" spans="1:17" ht="15.75" customHeight="1">
      <c r="A10" s="540"/>
      <c r="B10" s="555"/>
      <c r="C10" s="110">
        <v>2</v>
      </c>
      <c r="D10" s="557" t="s">
        <v>109</v>
      </c>
      <c r="E10" s="549"/>
      <c r="F10" s="550"/>
      <c r="G10" s="558" t="s">
        <v>174</v>
      </c>
      <c r="H10" s="549"/>
      <c r="I10" s="550"/>
      <c r="J10" s="4">
        <v>66.599999999999994</v>
      </c>
      <c r="K10" s="14">
        <v>3.0000000000000001E-3</v>
      </c>
      <c r="L10" s="4">
        <v>45.6</v>
      </c>
      <c r="M10" s="216">
        <f>J10*L10</f>
        <v>3036.96</v>
      </c>
      <c r="N10" s="240"/>
      <c r="O10" s="532" t="s">
        <v>173</v>
      </c>
      <c r="P10" s="533"/>
    </row>
    <row r="11" spans="1:17" ht="15.75" customHeight="1">
      <c r="A11" s="540"/>
      <c r="B11" s="555"/>
      <c r="C11" s="110">
        <v>3</v>
      </c>
      <c r="D11" s="557" t="s">
        <v>175</v>
      </c>
      <c r="E11" s="549"/>
      <c r="F11" s="550"/>
      <c r="G11" s="504" t="s">
        <v>176</v>
      </c>
      <c r="H11" s="549"/>
      <c r="I11" s="550"/>
      <c r="J11" s="4">
        <v>140.30000000000001</v>
      </c>
      <c r="K11" s="14">
        <v>8.0000000000000002E-3</v>
      </c>
      <c r="L11" s="4">
        <v>10</v>
      </c>
      <c r="M11" s="216">
        <f t="shared" ref="M11:M12" si="0">J11*L11</f>
        <v>1403</v>
      </c>
      <c r="N11" s="240"/>
      <c r="O11" s="532" t="s">
        <v>173</v>
      </c>
      <c r="P11" s="533"/>
    </row>
    <row r="12" spans="1:17" ht="15.75" customHeight="1">
      <c r="A12" s="540"/>
      <c r="B12" s="555"/>
      <c r="C12" s="110">
        <v>4</v>
      </c>
      <c r="D12" s="557" t="s">
        <v>177</v>
      </c>
      <c r="E12" s="549"/>
      <c r="F12" s="550"/>
      <c r="G12" s="504" t="s">
        <v>178</v>
      </c>
      <c r="H12" s="549"/>
      <c r="I12" s="550"/>
      <c r="J12" s="4">
        <v>38.1</v>
      </c>
      <c r="K12" s="14">
        <v>2E-3</v>
      </c>
      <c r="L12" s="4">
        <v>34.799999999999997</v>
      </c>
      <c r="M12" s="216">
        <f t="shared" si="0"/>
        <v>1325.8799999999999</v>
      </c>
      <c r="N12" s="240"/>
      <c r="O12" s="532" t="s">
        <v>173</v>
      </c>
      <c r="P12" s="533"/>
    </row>
    <row r="13" spans="1:17" ht="15.75" customHeight="1">
      <c r="A13" s="540"/>
      <c r="B13" s="555"/>
      <c r="C13" s="111">
        <v>5</v>
      </c>
      <c r="D13" s="559" t="s">
        <v>179</v>
      </c>
      <c r="E13" s="552"/>
      <c r="F13" s="553"/>
      <c r="G13" s="559" t="s">
        <v>180</v>
      </c>
      <c r="H13" s="552"/>
      <c r="I13" s="553"/>
      <c r="J13" s="27">
        <v>353.3</v>
      </c>
      <c r="K13" s="30">
        <v>1E-3</v>
      </c>
      <c r="L13" s="27">
        <v>3</v>
      </c>
      <c r="M13" s="217">
        <f>L13*J13</f>
        <v>1059.9000000000001</v>
      </c>
      <c r="N13" s="240"/>
      <c r="O13" s="532" t="s">
        <v>173</v>
      </c>
      <c r="P13" s="533"/>
    </row>
    <row r="14" spans="1:17" ht="15.75" customHeight="1">
      <c r="A14" s="540"/>
      <c r="B14" s="555"/>
      <c r="C14" s="546"/>
      <c r="D14" s="546"/>
      <c r="E14" s="546"/>
      <c r="F14" s="546"/>
      <c r="G14" s="546"/>
      <c r="H14" s="546"/>
      <c r="I14" s="547"/>
      <c r="J14" s="117" t="s">
        <v>169</v>
      </c>
      <c r="K14" s="167" t="e">
        <f>M14/#REF!</f>
        <v>#REF!</v>
      </c>
      <c r="L14" s="117" t="s">
        <v>170</v>
      </c>
      <c r="M14" s="34">
        <v>0</v>
      </c>
      <c r="N14" s="534"/>
      <c r="O14" s="535"/>
      <c r="P14" s="536"/>
    </row>
    <row r="16" spans="1:17" ht="15.75" customHeight="1">
      <c r="A16" s="539" t="s">
        <v>152</v>
      </c>
      <c r="B16" s="540"/>
      <c r="C16" s="115" t="s">
        <v>88</v>
      </c>
      <c r="D16" s="541" t="s">
        <v>122</v>
      </c>
      <c r="E16" s="542"/>
      <c r="F16" s="543"/>
      <c r="G16" s="113" t="s">
        <v>156</v>
      </c>
      <c r="H16" s="114"/>
      <c r="I16" s="115"/>
      <c r="J16" s="112" t="s">
        <v>157</v>
      </c>
      <c r="K16" s="112" t="s">
        <v>22</v>
      </c>
      <c r="L16" s="112" t="s">
        <v>158</v>
      </c>
      <c r="M16" s="116" t="s">
        <v>144</v>
      </c>
      <c r="N16" s="116" t="s">
        <v>159</v>
      </c>
      <c r="O16" s="544" t="s">
        <v>126</v>
      </c>
      <c r="P16" s="545"/>
    </row>
    <row r="17" spans="1:16" ht="15.75" customHeight="1">
      <c r="A17" s="540">
        <v>5</v>
      </c>
      <c r="B17" s="554" t="s">
        <v>147</v>
      </c>
      <c r="C17" s="110">
        <v>1</v>
      </c>
      <c r="D17" s="559"/>
      <c r="E17" s="552"/>
      <c r="F17" s="553"/>
      <c r="G17" s="504"/>
      <c r="H17" s="549"/>
      <c r="I17" s="550"/>
      <c r="J17" s="4"/>
      <c r="K17" s="14"/>
      <c r="L17" s="4"/>
      <c r="M17" s="216"/>
      <c r="N17" s="4"/>
      <c r="O17" s="532"/>
      <c r="P17" s="533"/>
    </row>
    <row r="18" spans="1:16" ht="15.75" customHeight="1">
      <c r="A18" s="540"/>
      <c r="B18" s="555"/>
      <c r="C18" s="110">
        <v>2</v>
      </c>
      <c r="D18" s="557"/>
      <c r="E18" s="549"/>
      <c r="F18" s="550"/>
      <c r="G18" s="558"/>
      <c r="H18" s="549"/>
      <c r="I18" s="550"/>
      <c r="J18" s="4"/>
      <c r="K18" s="14"/>
      <c r="L18" s="4"/>
      <c r="M18" s="216"/>
      <c r="N18" s="4"/>
      <c r="O18" s="532"/>
      <c r="P18" s="533"/>
    </row>
    <row r="19" spans="1:16" ht="15.75" customHeight="1">
      <c r="A19" s="540"/>
      <c r="B19" s="555"/>
      <c r="C19" s="110">
        <v>3</v>
      </c>
      <c r="D19" s="557"/>
      <c r="E19" s="549"/>
      <c r="F19" s="550"/>
      <c r="G19" s="558"/>
      <c r="H19" s="549"/>
      <c r="I19" s="550"/>
      <c r="J19" s="4"/>
      <c r="K19" s="14"/>
      <c r="L19" s="4"/>
      <c r="M19" s="216"/>
      <c r="N19" s="4"/>
      <c r="O19" s="532"/>
      <c r="P19" s="533"/>
    </row>
    <row r="20" spans="1:16" ht="15.75" customHeight="1">
      <c r="A20" s="540"/>
      <c r="B20" s="555"/>
      <c r="C20" s="110">
        <v>4</v>
      </c>
      <c r="D20" s="557"/>
      <c r="E20" s="549"/>
      <c r="F20" s="550"/>
      <c r="G20" s="504"/>
      <c r="H20" s="549"/>
      <c r="I20" s="550"/>
      <c r="J20" s="4"/>
      <c r="K20" s="14"/>
      <c r="L20" s="4"/>
      <c r="M20" s="216"/>
      <c r="N20" s="4"/>
      <c r="O20" s="76"/>
      <c r="P20" s="74"/>
    </row>
    <row r="21" spans="1:16" ht="15.75" customHeight="1">
      <c r="A21" s="540"/>
      <c r="B21" s="555"/>
      <c r="C21" s="111">
        <v>5</v>
      </c>
      <c r="D21" s="551"/>
      <c r="E21" s="552"/>
      <c r="F21" s="553"/>
      <c r="G21" s="551"/>
      <c r="H21" s="552"/>
      <c r="I21" s="553"/>
      <c r="J21" s="27"/>
      <c r="K21" s="30"/>
      <c r="L21" s="27"/>
      <c r="M21" s="216">
        <f>L21*J21</f>
        <v>0</v>
      </c>
      <c r="N21" s="4"/>
      <c r="O21" s="77"/>
      <c r="P21" s="75"/>
    </row>
    <row r="22" spans="1:16" ht="15.75" customHeight="1">
      <c r="A22" s="540"/>
      <c r="B22" s="555"/>
      <c r="C22" s="546"/>
      <c r="D22" s="546"/>
      <c r="E22" s="546"/>
      <c r="F22" s="546"/>
      <c r="G22" s="546"/>
      <c r="H22" s="546"/>
      <c r="I22" s="547"/>
      <c r="J22" s="117" t="s">
        <v>169</v>
      </c>
      <c r="K22" s="167" t="e">
        <f>M22/#REF!</f>
        <v>#REF!</v>
      </c>
      <c r="L22" s="117" t="s">
        <v>170</v>
      </c>
      <c r="M22" s="34">
        <v>0</v>
      </c>
      <c r="N22" s="534"/>
      <c r="O22" s="535"/>
      <c r="P22" s="536"/>
    </row>
    <row r="24" spans="1:16" ht="15.75" customHeight="1">
      <c r="A24" s="539" t="s">
        <v>152</v>
      </c>
      <c r="B24" s="540"/>
      <c r="C24" s="115" t="s">
        <v>88</v>
      </c>
      <c r="D24" s="541" t="s">
        <v>122</v>
      </c>
      <c r="E24" s="542"/>
      <c r="F24" s="543"/>
      <c r="G24" s="113" t="s">
        <v>156</v>
      </c>
      <c r="H24" s="114"/>
      <c r="I24" s="115"/>
      <c r="J24" s="112" t="s">
        <v>157</v>
      </c>
      <c r="K24" s="112" t="s">
        <v>22</v>
      </c>
      <c r="L24" s="112" t="s">
        <v>158</v>
      </c>
      <c r="M24" s="116" t="s">
        <v>144</v>
      </c>
      <c r="N24" s="116" t="s">
        <v>125</v>
      </c>
      <c r="O24" s="544" t="s">
        <v>126</v>
      </c>
      <c r="P24" s="545"/>
    </row>
    <row r="25" spans="1:16" ht="15.75" customHeight="1">
      <c r="A25" s="540">
        <v>6</v>
      </c>
      <c r="B25" s="554" t="s">
        <v>148</v>
      </c>
      <c r="C25" s="110">
        <v>1</v>
      </c>
      <c r="D25" s="513" t="s">
        <v>175</v>
      </c>
      <c r="E25" s="514"/>
      <c r="F25" s="515"/>
      <c r="G25" s="513" t="s">
        <v>181</v>
      </c>
      <c r="H25" s="514"/>
      <c r="I25" s="515"/>
      <c r="J25" s="155">
        <v>432.2</v>
      </c>
      <c r="K25" s="156">
        <v>8.9999999999999993E-3</v>
      </c>
      <c r="L25" s="155">
        <v>8.6999999999999993</v>
      </c>
      <c r="M25" s="214"/>
      <c r="N25" s="240"/>
      <c r="O25" s="504"/>
      <c r="P25" s="505"/>
    </row>
    <row r="26" spans="1:16" ht="15.75" customHeight="1">
      <c r="A26" s="540"/>
      <c r="B26" s="555"/>
      <c r="C26" s="110">
        <v>2</v>
      </c>
      <c r="D26" s="504"/>
      <c r="E26" s="549"/>
      <c r="F26" s="550"/>
      <c r="G26" s="504"/>
      <c r="H26" s="549"/>
      <c r="I26" s="550"/>
      <c r="J26" s="4"/>
      <c r="K26" s="14"/>
      <c r="L26" s="4"/>
      <c r="M26" s="214"/>
      <c r="N26" s="240"/>
      <c r="O26" s="504"/>
      <c r="P26" s="505"/>
    </row>
    <row r="27" spans="1:16" ht="15.75" customHeight="1">
      <c r="A27" s="540"/>
      <c r="B27" s="555"/>
      <c r="C27" s="110">
        <v>3</v>
      </c>
      <c r="D27" s="504"/>
      <c r="E27" s="549"/>
      <c r="F27" s="550"/>
      <c r="G27" s="556"/>
      <c r="H27" s="549"/>
      <c r="I27" s="550"/>
      <c r="J27" s="4"/>
      <c r="K27" s="14"/>
      <c r="L27" s="4"/>
      <c r="M27" s="214"/>
      <c r="N27" s="240"/>
      <c r="O27" s="504"/>
      <c r="P27" s="505"/>
    </row>
    <row r="28" spans="1:16" ht="15.75" customHeight="1">
      <c r="A28" s="540"/>
      <c r="B28" s="555"/>
      <c r="C28" s="110">
        <v>4</v>
      </c>
      <c r="D28" s="548"/>
      <c r="E28" s="549"/>
      <c r="F28" s="550"/>
      <c r="G28" s="548"/>
      <c r="H28" s="549"/>
      <c r="I28" s="550"/>
      <c r="J28" s="4"/>
      <c r="K28" s="14"/>
      <c r="L28" s="4"/>
      <c r="M28" s="216"/>
      <c r="N28" s="240"/>
      <c r="O28" s="532"/>
      <c r="P28" s="537"/>
    </row>
    <row r="29" spans="1:16" ht="15.75" customHeight="1">
      <c r="A29" s="540"/>
      <c r="B29" s="555"/>
      <c r="C29" s="111">
        <v>5</v>
      </c>
      <c r="D29" s="551"/>
      <c r="E29" s="552"/>
      <c r="F29" s="553"/>
      <c r="G29" s="551"/>
      <c r="H29" s="552"/>
      <c r="I29" s="553"/>
      <c r="J29" s="27"/>
      <c r="K29" s="30"/>
      <c r="L29" s="27"/>
      <c r="M29" s="217"/>
      <c r="N29" s="240"/>
      <c r="O29" s="538"/>
      <c r="P29" s="533"/>
    </row>
    <row r="30" spans="1:16" ht="15.75" customHeight="1">
      <c r="A30" s="540"/>
      <c r="B30" s="555"/>
      <c r="C30" s="546"/>
      <c r="D30" s="546"/>
      <c r="E30" s="546"/>
      <c r="F30" s="546"/>
      <c r="G30" s="546"/>
      <c r="H30" s="546"/>
      <c r="I30" s="547"/>
      <c r="J30" s="117" t="s">
        <v>169</v>
      </c>
      <c r="K30" s="167" t="e">
        <f>M30/#REF!</f>
        <v>#REF!</v>
      </c>
      <c r="L30" s="117" t="s">
        <v>170</v>
      </c>
      <c r="M30" s="34">
        <v>0</v>
      </c>
      <c r="N30" s="534"/>
      <c r="O30" s="535"/>
      <c r="P30" s="536"/>
    </row>
    <row r="32" spans="1:16" ht="15.75" customHeight="1">
      <c r="A32" s="539" t="s">
        <v>152</v>
      </c>
      <c r="B32" s="540"/>
      <c r="C32" s="115" t="s">
        <v>88</v>
      </c>
      <c r="D32" s="541" t="s">
        <v>122</v>
      </c>
      <c r="E32" s="542"/>
      <c r="F32" s="543"/>
      <c r="G32" s="113" t="s">
        <v>156</v>
      </c>
      <c r="H32" s="114"/>
      <c r="I32" s="115"/>
      <c r="J32" s="112" t="s">
        <v>157</v>
      </c>
      <c r="K32" s="112" t="s">
        <v>22</v>
      </c>
      <c r="L32" s="112" t="s">
        <v>158</v>
      </c>
      <c r="M32" s="116" t="s">
        <v>144</v>
      </c>
      <c r="N32" s="116" t="s">
        <v>125</v>
      </c>
      <c r="O32" s="544" t="s">
        <v>126</v>
      </c>
      <c r="P32" s="545"/>
    </row>
    <row r="33" spans="1:16" ht="15.75" customHeight="1">
      <c r="A33" s="540">
        <v>7</v>
      </c>
      <c r="B33" s="554" t="s">
        <v>142</v>
      </c>
      <c r="C33" s="110">
        <v>1</v>
      </c>
      <c r="D33" s="548"/>
      <c r="E33" s="549"/>
      <c r="F33" s="550"/>
      <c r="G33" s="548"/>
      <c r="H33" s="549"/>
      <c r="I33" s="55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40"/>
      <c r="B34" s="555"/>
      <c r="C34" s="110">
        <v>2</v>
      </c>
      <c r="D34" s="548"/>
      <c r="E34" s="549"/>
      <c r="F34" s="550"/>
      <c r="G34" s="548"/>
      <c r="H34" s="549"/>
      <c r="I34" s="55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40"/>
      <c r="B35" s="555"/>
      <c r="C35" s="110">
        <v>3</v>
      </c>
      <c r="D35" s="548"/>
      <c r="E35" s="549"/>
      <c r="F35" s="550"/>
      <c r="G35" s="548"/>
      <c r="H35" s="549"/>
      <c r="I35" s="55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40"/>
      <c r="B36" s="555"/>
      <c r="C36" s="110">
        <v>4</v>
      </c>
      <c r="D36" s="548"/>
      <c r="E36" s="549"/>
      <c r="F36" s="550"/>
      <c r="G36" s="548"/>
      <c r="H36" s="549"/>
      <c r="I36" s="55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40"/>
      <c r="B37" s="555"/>
      <c r="C37" s="111">
        <v>5</v>
      </c>
      <c r="D37" s="551"/>
      <c r="E37" s="552"/>
      <c r="F37" s="553"/>
      <c r="G37" s="551"/>
      <c r="H37" s="552"/>
      <c r="I37" s="55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40"/>
      <c r="B38" s="555"/>
      <c r="C38" s="546"/>
      <c r="D38" s="546"/>
      <c r="E38" s="546"/>
      <c r="F38" s="546"/>
      <c r="G38" s="546"/>
      <c r="H38" s="546"/>
      <c r="I38" s="547"/>
      <c r="J38" s="117" t="s">
        <v>169</v>
      </c>
      <c r="K38" s="167" t="e">
        <f>M38/#REF!</f>
        <v>#REF!</v>
      </c>
      <c r="L38" s="117" t="s">
        <v>170</v>
      </c>
      <c r="M38" s="34">
        <v>0</v>
      </c>
      <c r="N38" s="534"/>
      <c r="O38" s="535"/>
      <c r="P38" s="536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Q30"/>
  <sheetViews>
    <sheetView view="pageBreakPreview" zoomScaleNormal="60" zoomScaleSheetLayoutView="100" workbookViewId="0">
      <selection activeCell="K24" sqref="K24"/>
    </sheetView>
  </sheetViews>
  <sheetFormatPr defaultColWidth="12.5703125" defaultRowHeight="15.75" customHeight="1"/>
  <cols>
    <col min="1" max="1" width="5.42578125" style="118" customWidth="1"/>
    <col min="2" max="2" width="11.42578125" style="169" customWidth="1"/>
    <col min="3" max="3" width="4" style="148" customWidth="1"/>
    <col min="4" max="17" width="9.5703125" style="118" customWidth="1"/>
    <col min="18" max="21" width="12.5703125" style="118" customWidth="1"/>
    <col min="22" max="16384" width="12.5703125" style="118"/>
  </cols>
  <sheetData>
    <row r="1" spans="1:17" ht="15.75" customHeight="1">
      <c r="A1" s="398" t="s">
        <v>118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17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7" ht="15.75" customHeight="1">
      <c r="A3" s="528" t="s">
        <v>182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19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ht="15.75" customHeight="1">
      <c r="A5" s="431" t="s">
        <v>152</v>
      </c>
      <c r="B5" s="530">
        <v>1</v>
      </c>
      <c r="C5" s="530"/>
      <c r="D5" s="530">
        <v>2</v>
      </c>
      <c r="E5" s="530"/>
      <c r="F5" s="530">
        <v>3</v>
      </c>
      <c r="G5" s="530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11">
        <v>8</v>
      </c>
      <c r="Q5" s="511"/>
    </row>
    <row r="6" spans="1:17" ht="15.75" customHeight="1">
      <c r="A6" s="431"/>
      <c r="B6" s="531" t="s">
        <v>153</v>
      </c>
      <c r="C6" s="531"/>
      <c r="D6" s="531" t="s">
        <v>154</v>
      </c>
      <c r="E6" s="531"/>
      <c r="F6" s="531" t="s">
        <v>142</v>
      </c>
      <c r="G6" s="531"/>
      <c r="H6" s="525" t="s">
        <v>143</v>
      </c>
      <c r="I6" s="525"/>
      <c r="J6" s="431" t="s">
        <v>147</v>
      </c>
      <c r="K6" s="431"/>
      <c r="L6" s="431" t="s">
        <v>148</v>
      </c>
      <c r="M6" s="431"/>
      <c r="N6" s="431" t="s">
        <v>149</v>
      </c>
      <c r="O6" s="431"/>
      <c r="P6" s="525" t="s">
        <v>155</v>
      </c>
      <c r="Q6" s="431"/>
    </row>
    <row r="8" spans="1:17" s="124" customFormat="1" ht="15.75" customHeight="1">
      <c r="A8" s="511" t="s">
        <v>152</v>
      </c>
      <c r="B8" s="511"/>
      <c r="C8" s="150" t="s">
        <v>88</v>
      </c>
      <c r="D8" s="519" t="s">
        <v>122</v>
      </c>
      <c r="E8" s="520"/>
      <c r="F8" s="521"/>
      <c r="G8" s="151" t="s">
        <v>156</v>
      </c>
      <c r="H8" s="152"/>
      <c r="I8" s="150"/>
      <c r="J8" s="153" t="s">
        <v>157</v>
      </c>
      <c r="K8" s="319" t="s">
        <v>25</v>
      </c>
      <c r="L8" s="153" t="s">
        <v>158</v>
      </c>
      <c r="M8" s="153" t="s">
        <v>144</v>
      </c>
      <c r="N8" s="153" t="s">
        <v>159</v>
      </c>
      <c r="O8" s="522" t="s">
        <v>126</v>
      </c>
      <c r="P8" s="523"/>
    </row>
    <row r="9" spans="1:17" ht="15.75" customHeight="1">
      <c r="A9" s="511">
        <v>1</v>
      </c>
      <c r="B9" s="512" t="s">
        <v>153</v>
      </c>
      <c r="C9" s="154">
        <v>1</v>
      </c>
      <c r="D9" s="513"/>
      <c r="E9" s="514"/>
      <c r="F9" s="515"/>
      <c r="G9" s="513"/>
      <c r="H9" s="514"/>
      <c r="I9" s="515"/>
      <c r="J9" s="155"/>
      <c r="K9" s="156"/>
      <c r="L9" s="155"/>
      <c r="M9" s="214">
        <f>L9*J9</f>
        <v>0</v>
      </c>
      <c r="N9" s="155"/>
      <c r="O9" s="504"/>
      <c r="P9" s="505"/>
    </row>
    <row r="10" spans="1:17" ht="15.75" customHeight="1">
      <c r="A10" s="511"/>
      <c r="B10" s="512"/>
      <c r="C10" s="154">
        <v>2</v>
      </c>
      <c r="D10" s="513"/>
      <c r="E10" s="514"/>
      <c r="F10" s="515"/>
      <c r="G10" s="513"/>
      <c r="H10" s="514"/>
      <c r="I10" s="515"/>
      <c r="J10" s="155"/>
      <c r="K10" s="156"/>
      <c r="L10" s="155"/>
      <c r="M10" s="214">
        <f t="shared" ref="M10:M13" si="0">L10*J10</f>
        <v>0</v>
      </c>
      <c r="N10" s="155"/>
      <c r="O10" s="504"/>
      <c r="P10" s="505"/>
    </row>
    <row r="11" spans="1:17" ht="15.75" customHeight="1">
      <c r="A11" s="511"/>
      <c r="B11" s="512"/>
      <c r="C11" s="154">
        <v>3</v>
      </c>
      <c r="D11" s="504"/>
      <c r="E11" s="514"/>
      <c r="F11" s="515"/>
      <c r="G11" s="513"/>
      <c r="H11" s="514"/>
      <c r="I11" s="515"/>
      <c r="J11" s="155"/>
      <c r="K11" s="156"/>
      <c r="L11" s="155"/>
      <c r="M11" s="214">
        <f t="shared" si="0"/>
        <v>0</v>
      </c>
      <c r="N11" s="155"/>
      <c r="O11" s="504"/>
      <c r="P11" s="505"/>
    </row>
    <row r="12" spans="1:17" ht="15.75" customHeight="1">
      <c r="A12" s="511"/>
      <c r="B12" s="512"/>
      <c r="C12" s="154">
        <v>4</v>
      </c>
      <c r="D12" s="513"/>
      <c r="E12" s="514"/>
      <c r="F12" s="515"/>
      <c r="G12" s="513"/>
      <c r="H12" s="514"/>
      <c r="I12" s="515"/>
      <c r="J12" s="155"/>
      <c r="K12" s="156"/>
      <c r="L12" s="155"/>
      <c r="M12" s="214">
        <f t="shared" si="0"/>
        <v>0</v>
      </c>
      <c r="N12" s="155"/>
      <c r="O12" s="158"/>
      <c r="P12" s="159"/>
    </row>
    <row r="13" spans="1:17" ht="15.75" customHeight="1">
      <c r="A13" s="511"/>
      <c r="B13" s="512"/>
      <c r="C13" s="160">
        <v>5</v>
      </c>
      <c r="D13" s="516"/>
      <c r="E13" s="517"/>
      <c r="F13" s="518"/>
      <c r="G13" s="516"/>
      <c r="H13" s="517"/>
      <c r="I13" s="518"/>
      <c r="J13" s="161"/>
      <c r="K13" s="162"/>
      <c r="L13" s="161"/>
      <c r="M13" s="215">
        <f t="shared" si="0"/>
        <v>0</v>
      </c>
      <c r="N13" s="155"/>
      <c r="O13" s="164"/>
      <c r="P13" s="165"/>
    </row>
    <row r="14" spans="1:17" ht="15.75" customHeight="1">
      <c r="A14" s="511"/>
      <c r="B14" s="512"/>
      <c r="C14" s="506"/>
      <c r="D14" s="506"/>
      <c r="E14" s="506"/>
      <c r="F14" s="506"/>
      <c r="G14" s="506"/>
      <c r="H14" s="506"/>
      <c r="I14" s="507"/>
      <c r="J14" s="166" t="s">
        <v>169</v>
      </c>
      <c r="K14" s="167" t="e">
        <f>M14/#REF!</f>
        <v>#REF!</v>
      </c>
      <c r="L14" s="166" t="s">
        <v>170</v>
      </c>
      <c r="M14" s="168">
        <f>SUM(M9:M13)</f>
        <v>0</v>
      </c>
      <c r="N14" s="508"/>
      <c r="O14" s="509"/>
      <c r="P14" s="510"/>
    </row>
    <row r="16" spans="1:17" ht="15.75" customHeight="1">
      <c r="A16" s="511" t="s">
        <v>152</v>
      </c>
      <c r="B16" s="511"/>
      <c r="C16" s="150" t="s">
        <v>88</v>
      </c>
      <c r="D16" s="519" t="s">
        <v>122</v>
      </c>
      <c r="E16" s="520"/>
      <c r="F16" s="521"/>
      <c r="G16" s="151" t="s">
        <v>156</v>
      </c>
      <c r="H16" s="152"/>
      <c r="I16" s="150"/>
      <c r="J16" s="153" t="s">
        <v>157</v>
      </c>
      <c r="K16" s="319" t="s">
        <v>25</v>
      </c>
      <c r="L16" s="153" t="s">
        <v>158</v>
      </c>
      <c r="M16" s="153" t="s">
        <v>144</v>
      </c>
      <c r="N16" s="153" t="s">
        <v>159</v>
      </c>
      <c r="O16" s="522" t="s">
        <v>126</v>
      </c>
      <c r="P16" s="523"/>
    </row>
    <row r="17" spans="1:16" ht="15.75" customHeight="1">
      <c r="A17" s="511">
        <v>2</v>
      </c>
      <c r="B17" s="512" t="s">
        <v>171</v>
      </c>
      <c r="C17" s="154">
        <v>1</v>
      </c>
      <c r="D17" s="504"/>
      <c r="E17" s="514"/>
      <c r="F17" s="515"/>
      <c r="G17" s="513"/>
      <c r="H17" s="514"/>
      <c r="I17" s="515"/>
      <c r="J17" s="155"/>
      <c r="K17" s="156"/>
      <c r="L17" s="155"/>
      <c r="M17" s="214"/>
      <c r="N17" s="243"/>
      <c r="O17" s="526"/>
      <c r="P17" s="527"/>
    </row>
    <row r="18" spans="1:16" ht="15.75" customHeight="1">
      <c r="A18" s="511"/>
      <c r="B18" s="512"/>
      <c r="C18" s="154">
        <v>2</v>
      </c>
      <c r="D18" s="504"/>
      <c r="E18" s="514"/>
      <c r="F18" s="515"/>
      <c r="G18" s="504"/>
      <c r="H18" s="514"/>
      <c r="I18" s="515"/>
      <c r="J18" s="155"/>
      <c r="K18" s="156"/>
      <c r="L18" s="155"/>
      <c r="M18" s="214"/>
      <c r="N18" s="243"/>
      <c r="O18" s="526"/>
      <c r="P18" s="527"/>
    </row>
    <row r="19" spans="1:16" ht="15.75" customHeight="1">
      <c r="A19" s="511"/>
      <c r="B19" s="512"/>
      <c r="C19" s="154">
        <v>3</v>
      </c>
      <c r="D19" s="524"/>
      <c r="E19" s="514"/>
      <c r="F19" s="515"/>
      <c r="G19" s="513"/>
      <c r="H19" s="514"/>
      <c r="I19" s="515"/>
      <c r="J19" s="155"/>
      <c r="K19" s="156"/>
      <c r="L19" s="155"/>
      <c r="M19" s="214"/>
      <c r="N19" s="243"/>
      <c r="O19" s="526"/>
      <c r="P19" s="527"/>
    </row>
    <row r="20" spans="1:16" ht="15.75" customHeight="1">
      <c r="A20" s="511"/>
      <c r="B20" s="512"/>
      <c r="C20" s="154">
        <v>4</v>
      </c>
      <c r="D20" s="524"/>
      <c r="E20" s="514"/>
      <c r="F20" s="515"/>
      <c r="G20" s="513"/>
      <c r="H20" s="514"/>
      <c r="I20" s="515"/>
      <c r="J20" s="155"/>
      <c r="K20" s="156"/>
      <c r="L20" s="155"/>
      <c r="M20" s="214"/>
      <c r="N20" s="243"/>
      <c r="O20" s="526"/>
      <c r="P20" s="527"/>
    </row>
    <row r="21" spans="1:16" ht="15.75" customHeight="1">
      <c r="A21" s="511"/>
      <c r="B21" s="512"/>
      <c r="C21" s="160">
        <v>5</v>
      </c>
      <c r="D21" s="513"/>
      <c r="E21" s="514"/>
      <c r="F21" s="515"/>
      <c r="G21" s="513"/>
      <c r="H21" s="514"/>
      <c r="I21" s="515"/>
      <c r="J21" s="155"/>
      <c r="K21" s="156"/>
      <c r="L21" s="155"/>
      <c r="M21" s="214"/>
      <c r="N21" s="243"/>
      <c r="O21" s="526"/>
      <c r="P21" s="527"/>
    </row>
    <row r="22" spans="1:16" ht="15.75" customHeight="1">
      <c r="A22" s="511"/>
      <c r="B22" s="512"/>
      <c r="C22" s="506"/>
      <c r="D22" s="506"/>
      <c r="E22" s="506"/>
      <c r="F22" s="506"/>
      <c r="G22" s="506"/>
      <c r="H22" s="506"/>
      <c r="I22" s="507"/>
      <c r="J22" s="166" t="s">
        <v>169</v>
      </c>
      <c r="K22" s="167" t="e">
        <f>M22/#REF!</f>
        <v>#REF!</v>
      </c>
      <c r="L22" s="166" t="s">
        <v>170</v>
      </c>
      <c r="M22" s="242">
        <f>SUM(M17:M21)</f>
        <v>0</v>
      </c>
      <c r="N22" s="508"/>
      <c r="O22" s="509"/>
      <c r="P22" s="510"/>
    </row>
    <row r="24" spans="1:16" ht="15.75" customHeight="1">
      <c r="A24" s="511" t="s">
        <v>152</v>
      </c>
      <c r="B24" s="511"/>
      <c r="C24" s="150" t="s">
        <v>88</v>
      </c>
      <c r="D24" s="519" t="s">
        <v>122</v>
      </c>
      <c r="E24" s="520"/>
      <c r="F24" s="521"/>
      <c r="G24" s="151" t="s">
        <v>156</v>
      </c>
      <c r="H24" s="152"/>
      <c r="I24" s="150"/>
      <c r="J24" s="153" t="s">
        <v>157</v>
      </c>
      <c r="K24" s="319" t="s">
        <v>25</v>
      </c>
      <c r="L24" s="153" t="s">
        <v>158</v>
      </c>
      <c r="M24" s="153" t="s">
        <v>144</v>
      </c>
      <c r="N24" s="153" t="s">
        <v>125</v>
      </c>
      <c r="O24" s="522" t="s">
        <v>126</v>
      </c>
      <c r="P24" s="523"/>
    </row>
    <row r="25" spans="1:16" ht="15.75" customHeight="1">
      <c r="A25" s="511">
        <v>3</v>
      </c>
      <c r="B25" s="512" t="s">
        <v>142</v>
      </c>
      <c r="C25" s="154">
        <v>1</v>
      </c>
      <c r="D25" s="513"/>
      <c r="E25" s="514"/>
      <c r="F25" s="515"/>
      <c r="G25" s="513"/>
      <c r="H25" s="514"/>
      <c r="I25" s="515"/>
      <c r="J25" s="155"/>
      <c r="K25" s="156"/>
      <c r="L25" s="155"/>
      <c r="M25" s="157">
        <f t="shared" ref="M25:M29" si="1">L25*J25</f>
        <v>0</v>
      </c>
      <c r="N25" s="155"/>
      <c r="O25" s="158"/>
      <c r="P25" s="159"/>
    </row>
    <row r="26" spans="1:16" ht="15.75" customHeight="1">
      <c r="A26" s="511"/>
      <c r="B26" s="512"/>
      <c r="C26" s="154">
        <v>2</v>
      </c>
      <c r="D26" s="513"/>
      <c r="E26" s="514"/>
      <c r="F26" s="515"/>
      <c r="G26" s="513"/>
      <c r="H26" s="514"/>
      <c r="I26" s="515"/>
      <c r="J26" s="155"/>
      <c r="K26" s="156"/>
      <c r="L26" s="155"/>
      <c r="M26" s="157">
        <f t="shared" si="1"/>
        <v>0</v>
      </c>
      <c r="N26" s="155"/>
      <c r="O26" s="158"/>
      <c r="P26" s="159"/>
    </row>
    <row r="27" spans="1:16" ht="15.75" customHeight="1">
      <c r="A27" s="511"/>
      <c r="B27" s="512"/>
      <c r="C27" s="154">
        <v>3</v>
      </c>
      <c r="D27" s="513"/>
      <c r="E27" s="514"/>
      <c r="F27" s="515"/>
      <c r="G27" s="513"/>
      <c r="H27" s="514"/>
      <c r="I27" s="515"/>
      <c r="J27" s="155"/>
      <c r="K27" s="156"/>
      <c r="L27" s="155"/>
      <c r="M27" s="157">
        <f t="shared" si="1"/>
        <v>0</v>
      </c>
      <c r="N27" s="155"/>
      <c r="O27" s="158"/>
      <c r="P27" s="159"/>
    </row>
    <row r="28" spans="1:16" ht="15.75" customHeight="1">
      <c r="A28" s="511"/>
      <c r="B28" s="512"/>
      <c r="C28" s="154">
        <v>4</v>
      </c>
      <c r="D28" s="513"/>
      <c r="E28" s="514"/>
      <c r="F28" s="515"/>
      <c r="G28" s="513"/>
      <c r="H28" s="514"/>
      <c r="I28" s="515"/>
      <c r="J28" s="155"/>
      <c r="K28" s="156"/>
      <c r="L28" s="155"/>
      <c r="M28" s="157">
        <f t="shared" si="1"/>
        <v>0</v>
      </c>
      <c r="N28" s="155"/>
      <c r="O28" s="158"/>
      <c r="P28" s="159"/>
    </row>
    <row r="29" spans="1:16" ht="15.75" customHeight="1">
      <c r="A29" s="511"/>
      <c r="B29" s="512"/>
      <c r="C29" s="160">
        <v>5</v>
      </c>
      <c r="D29" s="516"/>
      <c r="E29" s="517"/>
      <c r="F29" s="518"/>
      <c r="G29" s="516"/>
      <c r="H29" s="517"/>
      <c r="I29" s="518"/>
      <c r="J29" s="161"/>
      <c r="K29" s="162"/>
      <c r="L29" s="161"/>
      <c r="M29" s="163">
        <f t="shared" si="1"/>
        <v>0</v>
      </c>
      <c r="N29" s="155"/>
      <c r="O29" s="164"/>
      <c r="P29" s="165"/>
    </row>
    <row r="30" spans="1:16" ht="15.75" customHeight="1">
      <c r="A30" s="511"/>
      <c r="B30" s="512"/>
      <c r="C30" s="506"/>
      <c r="D30" s="506"/>
      <c r="E30" s="506"/>
      <c r="F30" s="506"/>
      <c r="G30" s="506"/>
      <c r="H30" s="506"/>
      <c r="I30" s="507"/>
      <c r="J30" s="166" t="s">
        <v>169</v>
      </c>
      <c r="K30" s="167" t="e">
        <f>M30/#REF!</f>
        <v>#REF!</v>
      </c>
      <c r="L30" s="166" t="s">
        <v>170</v>
      </c>
      <c r="M30" s="168">
        <f>SUM(M25:M29)</f>
        <v>0</v>
      </c>
      <c r="N30" s="508"/>
      <c r="O30" s="509"/>
      <c r="P30" s="510"/>
    </row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Q38"/>
  <sheetViews>
    <sheetView view="pageBreakPreview" topLeftCell="A4" zoomScaleNormal="60" zoomScaleSheetLayoutView="100" workbookViewId="0">
      <selection activeCell="G18" sqref="G18:I18"/>
    </sheetView>
  </sheetViews>
  <sheetFormatPr defaultColWidth="12.5703125" defaultRowHeight="15.75" customHeight="1"/>
  <cols>
    <col min="1" max="1" width="5.42578125" style="2" customWidth="1"/>
    <col min="2" max="2" width="11.42578125" style="109" customWidth="1"/>
    <col min="3" max="3" width="4" style="107" customWidth="1"/>
    <col min="4" max="17" width="9.5703125" style="2" customWidth="1"/>
    <col min="18" max="21" width="12.5703125" style="2" customWidth="1"/>
    <col min="22" max="16384" width="12.5703125" style="2"/>
  </cols>
  <sheetData>
    <row r="1" spans="1:17" s="118" customFormat="1" ht="15.75" customHeight="1">
      <c r="A1" s="398" t="s">
        <v>118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17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7" s="118" customFormat="1" ht="15.75" customHeight="1">
      <c r="A3" s="528" t="s">
        <v>182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</row>
    <row r="4" spans="1:17" s="119" customFormat="1" ht="15.75" customHeight="1">
      <c r="A4" s="529"/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</row>
    <row r="5" spans="1:17" s="118" customFormat="1" ht="15.75" customHeight="1">
      <c r="A5" s="431" t="s">
        <v>152</v>
      </c>
      <c r="B5" s="511">
        <v>1</v>
      </c>
      <c r="C5" s="511"/>
      <c r="D5" s="511">
        <v>2</v>
      </c>
      <c r="E5" s="511"/>
      <c r="F5" s="511">
        <v>3</v>
      </c>
      <c r="G5" s="511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11">
        <v>8</v>
      </c>
      <c r="Q5" s="511"/>
    </row>
    <row r="6" spans="1:17" s="118" customFormat="1" ht="15.75" customHeight="1">
      <c r="A6" s="431"/>
      <c r="B6" s="431" t="s">
        <v>153</v>
      </c>
      <c r="C6" s="431"/>
      <c r="D6" s="431" t="s">
        <v>154</v>
      </c>
      <c r="E6" s="431"/>
      <c r="F6" s="431" t="s">
        <v>142</v>
      </c>
      <c r="G6" s="431"/>
      <c r="H6" s="531" t="s">
        <v>143</v>
      </c>
      <c r="I6" s="531"/>
      <c r="J6" s="531" t="s">
        <v>147</v>
      </c>
      <c r="K6" s="531"/>
      <c r="L6" s="531" t="s">
        <v>148</v>
      </c>
      <c r="M6" s="531"/>
      <c r="N6" s="531" t="s">
        <v>149</v>
      </c>
      <c r="O6" s="531"/>
      <c r="P6" s="525" t="s">
        <v>155</v>
      </c>
      <c r="Q6" s="431"/>
    </row>
    <row r="7" spans="1:17" s="118" customFormat="1" ht="15.75" customHeight="1">
      <c r="B7" s="169"/>
      <c r="C7" s="148"/>
    </row>
    <row r="8" spans="1:17" s="108" customFormat="1" ht="15.75" customHeight="1">
      <c r="A8" s="539" t="s">
        <v>152</v>
      </c>
      <c r="B8" s="540"/>
      <c r="C8" s="115" t="s">
        <v>88</v>
      </c>
      <c r="D8" s="541" t="s">
        <v>122</v>
      </c>
      <c r="E8" s="542"/>
      <c r="F8" s="543"/>
      <c r="G8" s="113" t="s">
        <v>156</v>
      </c>
      <c r="H8" s="114"/>
      <c r="I8" s="115"/>
      <c r="J8" s="112" t="s">
        <v>157</v>
      </c>
      <c r="K8" s="319" t="s">
        <v>25</v>
      </c>
      <c r="L8" s="112" t="s">
        <v>158</v>
      </c>
      <c r="M8" s="116" t="s">
        <v>144</v>
      </c>
      <c r="N8" s="116" t="s">
        <v>159</v>
      </c>
      <c r="O8" s="544" t="s">
        <v>126</v>
      </c>
      <c r="P8" s="545"/>
    </row>
    <row r="9" spans="1:17" ht="15.75" customHeight="1">
      <c r="A9" s="540">
        <v>4</v>
      </c>
      <c r="B9" s="554" t="s">
        <v>143</v>
      </c>
      <c r="C9" s="110">
        <v>1</v>
      </c>
      <c r="D9" s="559" t="s">
        <v>100</v>
      </c>
      <c r="E9" s="552"/>
      <c r="F9" s="553"/>
      <c r="G9" s="504" t="s">
        <v>183</v>
      </c>
      <c r="H9" s="549"/>
      <c r="I9" s="550"/>
      <c r="J9" s="4">
        <v>200</v>
      </c>
      <c r="K9" s="14">
        <v>3.4000000000000002E-2</v>
      </c>
      <c r="L9" s="4">
        <v>82.9</v>
      </c>
      <c r="M9" s="217">
        <f t="shared" ref="M9:M12" si="0">L9*J9</f>
        <v>16580</v>
      </c>
      <c r="N9" s="240"/>
      <c r="O9" s="532" t="s">
        <v>184</v>
      </c>
      <c r="P9" s="533"/>
    </row>
    <row r="10" spans="1:17" ht="15.75" customHeight="1">
      <c r="A10" s="540"/>
      <c r="B10" s="555"/>
      <c r="C10" s="110">
        <v>2</v>
      </c>
      <c r="D10" s="557" t="s">
        <v>109</v>
      </c>
      <c r="E10" s="549"/>
      <c r="F10" s="550"/>
      <c r="G10" s="504" t="s">
        <v>185</v>
      </c>
      <c r="H10" s="549"/>
      <c r="I10" s="550"/>
      <c r="J10" s="4">
        <v>359.1</v>
      </c>
      <c r="K10" s="14">
        <v>5.3999999999999999E-2</v>
      </c>
      <c r="L10" s="4">
        <v>31.5</v>
      </c>
      <c r="M10" s="217">
        <f t="shared" si="0"/>
        <v>11311.650000000001</v>
      </c>
      <c r="N10" s="240"/>
      <c r="O10" s="532" t="s">
        <v>184</v>
      </c>
      <c r="P10" s="533"/>
    </row>
    <row r="11" spans="1:17" ht="15.75" customHeight="1">
      <c r="A11" s="540"/>
      <c r="B11" s="555"/>
      <c r="C11" s="110">
        <v>3</v>
      </c>
      <c r="D11" s="557" t="s">
        <v>109</v>
      </c>
      <c r="E11" s="549"/>
      <c r="F11" s="550"/>
      <c r="G11" s="558" t="s">
        <v>160</v>
      </c>
      <c r="H11" s="549"/>
      <c r="I11" s="550"/>
      <c r="J11" s="4">
        <v>138.6</v>
      </c>
      <c r="K11" s="14">
        <v>1.4E-2</v>
      </c>
      <c r="L11" s="4">
        <v>71.8</v>
      </c>
      <c r="M11" s="217">
        <f t="shared" si="0"/>
        <v>9951.48</v>
      </c>
      <c r="N11" s="240">
        <v>1.0894999999999999</v>
      </c>
      <c r="O11" s="532" t="s">
        <v>184</v>
      </c>
      <c r="P11" s="533"/>
    </row>
    <row r="12" spans="1:17" ht="15.75" customHeight="1">
      <c r="A12" s="540"/>
      <c r="B12" s="555"/>
      <c r="C12" s="110">
        <v>4</v>
      </c>
      <c r="D12" s="513" t="s">
        <v>114</v>
      </c>
      <c r="E12" s="514"/>
      <c r="F12" s="515"/>
      <c r="G12" s="504" t="s">
        <v>172</v>
      </c>
      <c r="H12" s="549"/>
      <c r="I12" s="550"/>
      <c r="J12" s="4">
        <v>85</v>
      </c>
      <c r="K12" s="14">
        <v>1.0999999999999999E-2</v>
      </c>
      <c r="L12" s="4">
        <v>116.4</v>
      </c>
      <c r="M12" s="217">
        <f t="shared" si="0"/>
        <v>9894</v>
      </c>
      <c r="N12" s="240">
        <v>0.87909999999999999</v>
      </c>
      <c r="O12" s="532" t="s">
        <v>184</v>
      </c>
      <c r="P12" s="533"/>
    </row>
    <row r="13" spans="1:17" ht="15.75" customHeight="1">
      <c r="A13" s="540"/>
      <c r="B13" s="555"/>
      <c r="C13" s="111">
        <v>5</v>
      </c>
      <c r="D13" s="559" t="s">
        <v>109</v>
      </c>
      <c r="E13" s="552"/>
      <c r="F13" s="553"/>
      <c r="G13" s="504" t="s">
        <v>174</v>
      </c>
      <c r="H13" s="549"/>
      <c r="I13" s="550"/>
      <c r="J13" s="4">
        <v>66.599999999999994</v>
      </c>
      <c r="K13" s="30">
        <v>7.0000000000000001E-3</v>
      </c>
      <c r="L13" s="27">
        <v>101.3</v>
      </c>
      <c r="M13" s="217">
        <f>L13*J13</f>
        <v>6746.579999999999</v>
      </c>
      <c r="N13" s="240">
        <v>0.3906</v>
      </c>
      <c r="O13" s="532" t="s">
        <v>184</v>
      </c>
      <c r="P13" s="533"/>
    </row>
    <row r="14" spans="1:17" ht="15.75" customHeight="1">
      <c r="A14" s="540"/>
      <c r="B14" s="555"/>
      <c r="C14" s="546"/>
      <c r="D14" s="546"/>
      <c r="E14" s="546"/>
      <c r="F14" s="546"/>
      <c r="G14" s="546"/>
      <c r="H14" s="546"/>
      <c r="I14" s="547"/>
      <c r="J14" s="117" t="s">
        <v>169</v>
      </c>
      <c r="K14" s="167" t="e">
        <f>M14/#REF!</f>
        <v>#REF!</v>
      </c>
      <c r="L14" s="117" t="s">
        <v>170</v>
      </c>
      <c r="M14" s="34">
        <v>0</v>
      </c>
      <c r="N14" s="534"/>
      <c r="O14" s="535"/>
      <c r="P14" s="536"/>
    </row>
    <row r="16" spans="1:17" ht="15.75" customHeight="1">
      <c r="A16" s="539" t="s">
        <v>152</v>
      </c>
      <c r="B16" s="540"/>
      <c r="C16" s="115" t="s">
        <v>88</v>
      </c>
      <c r="D16" s="541" t="s">
        <v>122</v>
      </c>
      <c r="E16" s="542"/>
      <c r="F16" s="543"/>
      <c r="G16" s="113" t="s">
        <v>156</v>
      </c>
      <c r="H16" s="114"/>
      <c r="I16" s="115"/>
      <c r="J16" s="112" t="s">
        <v>157</v>
      </c>
      <c r="K16" s="319" t="s">
        <v>25</v>
      </c>
      <c r="L16" s="112" t="s">
        <v>158</v>
      </c>
      <c r="M16" s="116" t="s">
        <v>144</v>
      </c>
      <c r="N16" s="116" t="s">
        <v>159</v>
      </c>
      <c r="O16" s="544" t="s">
        <v>126</v>
      </c>
      <c r="P16" s="545"/>
    </row>
    <row r="17" spans="1:16" ht="15.75" customHeight="1">
      <c r="A17" s="540">
        <v>5</v>
      </c>
      <c r="B17" s="554" t="s">
        <v>147</v>
      </c>
      <c r="C17" s="110">
        <v>1</v>
      </c>
      <c r="D17" s="559"/>
      <c r="E17" s="552"/>
      <c r="F17" s="553"/>
      <c r="G17" s="504"/>
      <c r="H17" s="549"/>
      <c r="I17" s="550"/>
      <c r="J17" s="4"/>
      <c r="K17" s="14"/>
      <c r="L17" s="4"/>
      <c r="M17" s="216">
        <f t="shared" ref="M17:M20" si="1">L17*J17</f>
        <v>0</v>
      </c>
      <c r="N17" s="4"/>
      <c r="O17" s="532"/>
      <c r="P17" s="533"/>
    </row>
    <row r="18" spans="1:16" ht="15.75" customHeight="1">
      <c r="A18" s="540"/>
      <c r="B18" s="555"/>
      <c r="C18" s="110">
        <v>2</v>
      </c>
      <c r="D18" s="557"/>
      <c r="E18" s="549"/>
      <c r="F18" s="550"/>
      <c r="G18" s="504"/>
      <c r="H18" s="549"/>
      <c r="I18" s="550"/>
      <c r="J18" s="4"/>
      <c r="K18" s="14"/>
      <c r="L18" s="4"/>
      <c r="M18" s="216">
        <f t="shared" si="1"/>
        <v>0</v>
      </c>
      <c r="N18" s="4"/>
      <c r="O18" s="532"/>
      <c r="P18" s="533"/>
    </row>
    <row r="19" spans="1:16" ht="15.75" customHeight="1">
      <c r="A19" s="540"/>
      <c r="B19" s="555"/>
      <c r="C19" s="110">
        <v>3</v>
      </c>
      <c r="D19" s="557"/>
      <c r="E19" s="549"/>
      <c r="F19" s="550"/>
      <c r="G19" s="558"/>
      <c r="H19" s="549"/>
      <c r="I19" s="550"/>
      <c r="J19" s="4"/>
      <c r="K19" s="14"/>
      <c r="L19" s="4"/>
      <c r="M19" s="216">
        <f t="shared" si="1"/>
        <v>0</v>
      </c>
      <c r="N19" s="4"/>
      <c r="O19" s="532"/>
      <c r="P19" s="533"/>
    </row>
    <row r="20" spans="1:16" ht="15.75" customHeight="1">
      <c r="A20" s="540"/>
      <c r="B20" s="555"/>
      <c r="C20" s="110">
        <v>4</v>
      </c>
      <c r="D20" s="513"/>
      <c r="E20" s="514"/>
      <c r="F20" s="515"/>
      <c r="G20" s="504"/>
      <c r="H20" s="549"/>
      <c r="I20" s="550"/>
      <c r="J20" s="4"/>
      <c r="K20" s="14"/>
      <c r="L20" s="4"/>
      <c r="M20" s="216">
        <f t="shared" si="1"/>
        <v>0</v>
      </c>
      <c r="N20" s="4"/>
      <c r="O20" s="76"/>
      <c r="P20" s="74"/>
    </row>
    <row r="21" spans="1:16" ht="15.75" customHeight="1">
      <c r="A21" s="540"/>
      <c r="B21" s="555"/>
      <c r="C21" s="111">
        <v>5</v>
      </c>
      <c r="D21" s="559"/>
      <c r="E21" s="552"/>
      <c r="F21" s="553"/>
      <c r="G21" s="504"/>
      <c r="H21" s="549"/>
      <c r="I21" s="550"/>
      <c r="J21" s="4"/>
      <c r="K21" s="30"/>
      <c r="L21" s="27"/>
      <c r="M21" s="216">
        <f>L21*J21</f>
        <v>0</v>
      </c>
      <c r="N21" s="4"/>
      <c r="O21" s="77"/>
      <c r="P21" s="75"/>
    </row>
    <row r="22" spans="1:16" ht="15.75" customHeight="1">
      <c r="A22" s="540"/>
      <c r="B22" s="555"/>
      <c r="C22" s="546"/>
      <c r="D22" s="546"/>
      <c r="E22" s="546"/>
      <c r="F22" s="546"/>
      <c r="G22" s="546"/>
      <c r="H22" s="546"/>
      <c r="I22" s="547"/>
      <c r="J22" s="117" t="s">
        <v>169</v>
      </c>
      <c r="K22" s="167" t="e">
        <f>M22/#REF!</f>
        <v>#REF!</v>
      </c>
      <c r="L22" s="117" t="s">
        <v>170</v>
      </c>
      <c r="M22" s="34">
        <v>0</v>
      </c>
      <c r="N22" s="534"/>
      <c r="O22" s="535"/>
      <c r="P22" s="536"/>
    </row>
    <row r="24" spans="1:16" ht="15.75" customHeight="1">
      <c r="A24" s="539" t="s">
        <v>152</v>
      </c>
      <c r="B24" s="540"/>
      <c r="C24" s="115" t="s">
        <v>88</v>
      </c>
      <c r="D24" s="541" t="s">
        <v>122</v>
      </c>
      <c r="E24" s="542"/>
      <c r="F24" s="543"/>
      <c r="G24" s="113" t="s">
        <v>156</v>
      </c>
      <c r="H24" s="114"/>
      <c r="I24" s="115"/>
      <c r="J24" s="112" t="s">
        <v>157</v>
      </c>
      <c r="K24" s="319" t="s">
        <v>25</v>
      </c>
      <c r="L24" s="112" t="s">
        <v>158</v>
      </c>
      <c r="M24" s="116" t="s">
        <v>144</v>
      </c>
      <c r="N24" s="116" t="s">
        <v>125</v>
      </c>
      <c r="O24" s="544" t="s">
        <v>126</v>
      </c>
      <c r="P24" s="545"/>
    </row>
    <row r="25" spans="1:16" ht="15.75" customHeight="1">
      <c r="A25" s="540">
        <v>6</v>
      </c>
      <c r="B25" s="554" t="s">
        <v>148</v>
      </c>
      <c r="C25" s="110">
        <v>1</v>
      </c>
      <c r="D25" s="524" t="s">
        <v>111</v>
      </c>
      <c r="E25" s="549"/>
      <c r="F25" s="550"/>
      <c r="G25" s="556" t="s">
        <v>181</v>
      </c>
      <c r="H25" s="549"/>
      <c r="I25" s="550"/>
      <c r="J25" s="4">
        <v>432.2</v>
      </c>
      <c r="K25" s="14">
        <v>3.3000000000000002E-2</v>
      </c>
      <c r="L25" s="4">
        <v>31</v>
      </c>
      <c r="M25" s="216">
        <f t="shared" ref="M25:M29" si="2">L25*J25</f>
        <v>13398.199999999999</v>
      </c>
      <c r="N25" s="240"/>
      <c r="O25" s="504" t="s">
        <v>186</v>
      </c>
      <c r="P25" s="505"/>
    </row>
    <row r="26" spans="1:16" ht="15.75" customHeight="1">
      <c r="A26" s="540"/>
      <c r="B26" s="555"/>
      <c r="C26" s="110">
        <v>2</v>
      </c>
      <c r="D26" s="524" t="s">
        <v>116</v>
      </c>
      <c r="E26" s="549"/>
      <c r="F26" s="550"/>
      <c r="G26" s="556" t="s">
        <v>187</v>
      </c>
      <c r="H26" s="549"/>
      <c r="I26" s="550"/>
      <c r="J26" s="4">
        <v>81.2</v>
      </c>
      <c r="K26" s="14">
        <v>0.14599999999999999</v>
      </c>
      <c r="L26" s="4">
        <v>54.4</v>
      </c>
      <c r="M26" s="216">
        <f t="shared" si="2"/>
        <v>4417.28</v>
      </c>
      <c r="N26" s="240"/>
      <c r="O26" s="504" t="s">
        <v>188</v>
      </c>
      <c r="P26" s="505"/>
    </row>
    <row r="27" spans="1:16" ht="15.75" customHeight="1">
      <c r="A27" s="540"/>
      <c r="B27" s="555"/>
      <c r="C27" s="110">
        <v>3</v>
      </c>
      <c r="D27" s="524"/>
      <c r="E27" s="549"/>
      <c r="F27" s="550"/>
      <c r="G27" s="556"/>
      <c r="H27" s="549"/>
      <c r="I27" s="550"/>
      <c r="J27" s="4"/>
      <c r="K27" s="14">
        <v>0.20899999999999999</v>
      </c>
      <c r="L27" s="4">
        <v>148.80000000000001</v>
      </c>
      <c r="M27" s="216">
        <f t="shared" si="2"/>
        <v>0</v>
      </c>
      <c r="N27" s="240"/>
      <c r="O27" s="504"/>
      <c r="P27" s="505"/>
    </row>
    <row r="28" spans="1:16" ht="15.75" customHeight="1">
      <c r="A28" s="540"/>
      <c r="B28" s="555"/>
      <c r="C28" s="110">
        <v>4</v>
      </c>
      <c r="D28" s="557"/>
      <c r="E28" s="549"/>
      <c r="F28" s="550"/>
      <c r="G28" s="504"/>
      <c r="H28" s="549"/>
      <c r="I28" s="550"/>
      <c r="J28" s="4"/>
      <c r="K28" s="14"/>
      <c r="L28" s="4"/>
      <c r="M28" s="216">
        <f t="shared" si="2"/>
        <v>0</v>
      </c>
      <c r="N28" s="240"/>
      <c r="O28" s="532"/>
      <c r="P28" s="537"/>
    </row>
    <row r="29" spans="1:16" ht="15.75" customHeight="1">
      <c r="A29" s="540"/>
      <c r="B29" s="555"/>
      <c r="C29" s="111">
        <v>5</v>
      </c>
      <c r="D29" s="559"/>
      <c r="E29" s="552"/>
      <c r="F29" s="553"/>
      <c r="G29" s="559"/>
      <c r="H29" s="552"/>
      <c r="I29" s="553"/>
      <c r="J29" s="27"/>
      <c r="K29" s="30"/>
      <c r="L29" s="27"/>
      <c r="M29" s="216">
        <f t="shared" si="2"/>
        <v>0</v>
      </c>
      <c r="N29" s="240"/>
      <c r="O29" s="538"/>
      <c r="P29" s="533"/>
    </row>
    <row r="30" spans="1:16" ht="15.75" customHeight="1">
      <c r="A30" s="540"/>
      <c r="B30" s="555"/>
      <c r="C30" s="546"/>
      <c r="D30" s="546"/>
      <c r="E30" s="546"/>
      <c r="F30" s="546"/>
      <c r="G30" s="546"/>
      <c r="H30" s="546"/>
      <c r="I30" s="547"/>
      <c r="J30" s="117" t="s">
        <v>169</v>
      </c>
      <c r="K30" s="167" t="e">
        <f>M30/#REF!</f>
        <v>#REF!</v>
      </c>
      <c r="L30" s="117" t="s">
        <v>170</v>
      </c>
      <c r="M30" s="34">
        <v>0</v>
      </c>
      <c r="N30" s="534"/>
      <c r="O30" s="535"/>
      <c r="P30" s="536"/>
    </row>
    <row r="32" spans="1:16" ht="15.75" customHeight="1">
      <c r="A32" s="539" t="s">
        <v>152</v>
      </c>
      <c r="B32" s="540"/>
      <c r="C32" s="115" t="s">
        <v>88</v>
      </c>
      <c r="D32" s="541" t="s">
        <v>122</v>
      </c>
      <c r="E32" s="542"/>
      <c r="F32" s="543"/>
      <c r="G32" s="113" t="s">
        <v>156</v>
      </c>
      <c r="H32" s="114"/>
      <c r="I32" s="115"/>
      <c r="J32" s="112" t="s">
        <v>157</v>
      </c>
      <c r="K32" s="112" t="s">
        <v>22</v>
      </c>
      <c r="L32" s="112" t="s">
        <v>158</v>
      </c>
      <c r="M32" s="116" t="s">
        <v>144</v>
      </c>
      <c r="N32" s="116" t="s">
        <v>125</v>
      </c>
      <c r="O32" s="544" t="s">
        <v>126</v>
      </c>
      <c r="P32" s="545"/>
    </row>
    <row r="33" spans="1:16" ht="15.75" customHeight="1">
      <c r="A33" s="540">
        <v>7</v>
      </c>
      <c r="B33" s="554" t="s">
        <v>142</v>
      </c>
      <c r="C33" s="110">
        <v>1</v>
      </c>
      <c r="D33" s="548"/>
      <c r="E33" s="549"/>
      <c r="F33" s="550"/>
      <c r="G33" s="548"/>
      <c r="H33" s="549"/>
      <c r="I33" s="550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40"/>
      <c r="B34" s="555"/>
      <c r="C34" s="110">
        <v>2</v>
      </c>
      <c r="D34" s="548"/>
      <c r="E34" s="549"/>
      <c r="F34" s="550"/>
      <c r="G34" s="548"/>
      <c r="H34" s="549"/>
      <c r="I34" s="550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40"/>
      <c r="B35" s="555"/>
      <c r="C35" s="110">
        <v>3</v>
      </c>
      <c r="D35" s="548"/>
      <c r="E35" s="549"/>
      <c r="F35" s="550"/>
      <c r="G35" s="548"/>
      <c r="H35" s="549"/>
      <c r="I35" s="550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40"/>
      <c r="B36" s="555"/>
      <c r="C36" s="110">
        <v>4</v>
      </c>
      <c r="D36" s="548"/>
      <c r="E36" s="549"/>
      <c r="F36" s="550"/>
      <c r="G36" s="548"/>
      <c r="H36" s="549"/>
      <c r="I36" s="550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40"/>
      <c r="B37" s="555"/>
      <c r="C37" s="111">
        <v>5</v>
      </c>
      <c r="D37" s="551"/>
      <c r="E37" s="552"/>
      <c r="F37" s="553"/>
      <c r="G37" s="551"/>
      <c r="H37" s="552"/>
      <c r="I37" s="55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40"/>
      <c r="B38" s="555"/>
      <c r="C38" s="546"/>
      <c r="D38" s="546"/>
      <c r="E38" s="546"/>
      <c r="F38" s="546"/>
      <c r="G38" s="546"/>
      <c r="H38" s="546"/>
      <c r="I38" s="547"/>
      <c r="J38" s="117" t="s">
        <v>169</v>
      </c>
      <c r="K38" s="167" t="e">
        <f>M38/#REF!</f>
        <v>#REF!</v>
      </c>
      <c r="L38" s="117" t="s">
        <v>170</v>
      </c>
      <c r="M38" s="34">
        <v>0</v>
      </c>
      <c r="N38" s="534"/>
      <c r="O38" s="535"/>
      <c r="P38" s="536"/>
    </row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703125" defaultRowHeight="15.75" customHeight="1"/>
  <cols>
    <col min="1" max="1" width="5.42578125" style="118" customWidth="1"/>
    <col min="2" max="2" width="7.85546875" style="170" customWidth="1"/>
    <col min="3" max="3" width="4" style="148" customWidth="1"/>
    <col min="4" max="17" width="8.5703125" style="118" customWidth="1"/>
    <col min="18" max="21" width="12.5703125" style="118" customWidth="1"/>
    <col min="22" max="16384" width="12.5703125" style="118"/>
  </cols>
  <sheetData>
    <row r="1" spans="1:17" ht="15.75" customHeight="1">
      <c r="A1" s="398" t="s">
        <v>118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</row>
    <row r="2" spans="1:17" s="119" customFormat="1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</row>
    <row r="3" spans="1:17" ht="15.75" customHeight="1">
      <c r="A3" s="528" t="s">
        <v>189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</row>
    <row r="4" spans="1:17" s="119" customFormat="1" ht="15.75" customHeight="1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</row>
    <row r="5" spans="1:17" ht="15.75" customHeight="1">
      <c r="A5" s="431" t="s">
        <v>152</v>
      </c>
      <c r="B5" s="511">
        <v>1</v>
      </c>
      <c r="C5" s="511"/>
      <c r="D5" s="511">
        <v>2</v>
      </c>
      <c r="E5" s="511"/>
      <c r="F5" s="511">
        <v>3</v>
      </c>
      <c r="G5" s="511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30">
        <v>8</v>
      </c>
      <c r="Q5" s="530"/>
    </row>
    <row r="6" spans="1:17" ht="15.75" customHeight="1">
      <c r="A6" s="431"/>
      <c r="B6" s="431" t="s">
        <v>153</v>
      </c>
      <c r="C6" s="431"/>
      <c r="D6" s="431" t="s">
        <v>154</v>
      </c>
      <c r="E6" s="431"/>
      <c r="F6" s="431" t="s">
        <v>142</v>
      </c>
      <c r="G6" s="431"/>
      <c r="H6" s="525" t="s">
        <v>143</v>
      </c>
      <c r="I6" s="525"/>
      <c r="J6" s="431" t="s">
        <v>147</v>
      </c>
      <c r="K6" s="431"/>
      <c r="L6" s="431" t="s">
        <v>148</v>
      </c>
      <c r="M6" s="431"/>
      <c r="N6" s="431" t="s">
        <v>149</v>
      </c>
      <c r="O6" s="431"/>
      <c r="P6" s="531" t="s">
        <v>155</v>
      </c>
      <c r="Q6" s="531"/>
    </row>
    <row r="8" spans="1:17" s="124" customFormat="1" ht="15.75" customHeight="1">
      <c r="A8" s="149" t="s">
        <v>152</v>
      </c>
      <c r="B8" s="173" t="s">
        <v>190</v>
      </c>
      <c r="C8" s="566" t="s">
        <v>122</v>
      </c>
      <c r="D8" s="566"/>
      <c r="E8" s="566"/>
      <c r="F8" s="566" t="s">
        <v>156</v>
      </c>
      <c r="G8" s="566"/>
      <c r="H8" s="566"/>
      <c r="I8" s="173" t="s">
        <v>157</v>
      </c>
      <c r="J8" s="174" t="s">
        <v>191</v>
      </c>
      <c r="K8" s="173" t="s">
        <v>87</v>
      </c>
      <c r="L8" s="173" t="s">
        <v>10</v>
      </c>
      <c r="M8" s="569" t="s">
        <v>126</v>
      </c>
      <c r="N8" s="506"/>
      <c r="O8" s="506"/>
      <c r="P8" s="506"/>
      <c r="Q8" s="506"/>
    </row>
    <row r="9" spans="1:17" ht="15.75" customHeight="1">
      <c r="A9" s="566" t="s">
        <v>192</v>
      </c>
      <c r="B9" s="147">
        <v>1</v>
      </c>
      <c r="C9" s="561"/>
      <c r="D9" s="562"/>
      <c r="E9" s="562"/>
      <c r="F9" s="561"/>
      <c r="G9" s="562"/>
      <c r="H9" s="562"/>
      <c r="I9" s="126"/>
      <c r="J9" s="137"/>
      <c r="K9" s="137"/>
      <c r="L9" s="172">
        <f t="shared" ref="L9:L13" si="0">K9-J9</f>
        <v>0</v>
      </c>
      <c r="M9" s="561"/>
      <c r="N9" s="561"/>
      <c r="O9" s="561"/>
      <c r="P9" s="561"/>
      <c r="Q9" s="561"/>
    </row>
    <row r="10" spans="1:17" ht="15.75" customHeight="1">
      <c r="A10" s="567"/>
      <c r="B10" s="147">
        <v>2</v>
      </c>
      <c r="C10" s="561"/>
      <c r="D10" s="562"/>
      <c r="E10" s="562"/>
      <c r="F10" s="561"/>
      <c r="G10" s="562"/>
      <c r="H10" s="562"/>
      <c r="I10" s="126"/>
      <c r="J10" s="137"/>
      <c r="K10" s="137"/>
      <c r="L10" s="172">
        <f t="shared" si="0"/>
        <v>0</v>
      </c>
      <c r="M10" s="561"/>
      <c r="N10" s="561"/>
      <c r="O10" s="561"/>
      <c r="P10" s="561"/>
      <c r="Q10" s="561"/>
    </row>
    <row r="11" spans="1:17" ht="15.75" customHeight="1">
      <c r="A11" s="567"/>
      <c r="B11" s="147">
        <v>3</v>
      </c>
      <c r="C11" s="561"/>
      <c r="D11" s="562"/>
      <c r="E11" s="562"/>
      <c r="F11" s="561"/>
      <c r="G11" s="562"/>
      <c r="H11" s="562"/>
      <c r="I11" s="126"/>
      <c r="J11" s="137"/>
      <c r="K11" s="137"/>
      <c r="L11" s="172">
        <f t="shared" si="0"/>
        <v>0</v>
      </c>
      <c r="M11" s="561"/>
      <c r="N11" s="561"/>
      <c r="O11" s="561"/>
      <c r="P11" s="561"/>
      <c r="Q11" s="561"/>
    </row>
    <row r="12" spans="1:17" ht="15.75" customHeight="1">
      <c r="A12" s="567"/>
      <c r="B12" s="147">
        <v>4</v>
      </c>
      <c r="C12" s="561"/>
      <c r="D12" s="562"/>
      <c r="E12" s="562"/>
      <c r="F12" s="561"/>
      <c r="G12" s="562"/>
      <c r="H12" s="562"/>
      <c r="I12" s="126"/>
      <c r="J12" s="137"/>
      <c r="K12" s="137"/>
      <c r="L12" s="172">
        <f t="shared" si="0"/>
        <v>0</v>
      </c>
      <c r="M12" s="561"/>
      <c r="N12" s="561"/>
      <c r="O12" s="561"/>
      <c r="P12" s="561"/>
      <c r="Q12" s="561"/>
    </row>
    <row r="13" spans="1:17" ht="15.75" customHeight="1">
      <c r="A13" s="567"/>
      <c r="B13" s="147">
        <v>5</v>
      </c>
      <c r="C13" s="561"/>
      <c r="D13" s="562"/>
      <c r="E13" s="562"/>
      <c r="F13" s="561"/>
      <c r="G13" s="562"/>
      <c r="H13" s="562"/>
      <c r="I13" s="126"/>
      <c r="J13" s="137"/>
      <c r="K13" s="137"/>
      <c r="L13" s="172">
        <f t="shared" si="0"/>
        <v>0</v>
      </c>
      <c r="M13" s="561"/>
      <c r="N13" s="561"/>
      <c r="O13" s="561"/>
      <c r="P13" s="561"/>
      <c r="Q13" s="561"/>
    </row>
    <row r="14" spans="1:17" ht="15.75" customHeight="1">
      <c r="A14" s="564"/>
      <c r="B14" s="564"/>
      <c r="C14" s="564"/>
      <c r="D14" s="564"/>
      <c r="E14" s="564"/>
      <c r="F14" s="564"/>
      <c r="G14" s="564"/>
      <c r="H14" s="564"/>
      <c r="I14" s="564"/>
      <c r="J14" s="564"/>
      <c r="K14" s="564"/>
      <c r="L14" s="564"/>
      <c r="M14" s="564"/>
      <c r="N14" s="564"/>
      <c r="O14" s="565"/>
    </row>
    <row r="15" spans="1:17" s="124" customFormat="1" ht="15.75" customHeight="1">
      <c r="A15" s="149" t="s">
        <v>152</v>
      </c>
      <c r="B15" s="149" t="s">
        <v>190</v>
      </c>
      <c r="C15" s="563" t="s">
        <v>122</v>
      </c>
      <c r="D15" s="563"/>
      <c r="E15" s="563"/>
      <c r="F15" s="563" t="s">
        <v>156</v>
      </c>
      <c r="G15" s="563"/>
      <c r="H15" s="563"/>
      <c r="I15" s="149" t="s">
        <v>157</v>
      </c>
      <c r="J15" s="171" t="s">
        <v>191</v>
      </c>
      <c r="K15" s="149" t="s">
        <v>87</v>
      </c>
      <c r="L15" s="149" t="s">
        <v>10</v>
      </c>
      <c r="M15" s="563" t="s">
        <v>126</v>
      </c>
      <c r="N15" s="563"/>
      <c r="O15" s="563"/>
      <c r="P15" s="563"/>
      <c r="Q15" s="563"/>
    </row>
    <row r="16" spans="1:17" ht="15.75" customHeight="1">
      <c r="A16" s="563" t="s">
        <v>193</v>
      </c>
      <c r="B16" s="147">
        <v>1</v>
      </c>
      <c r="C16" s="561"/>
      <c r="D16" s="562"/>
      <c r="E16" s="562"/>
      <c r="F16" s="561"/>
      <c r="G16" s="562"/>
      <c r="H16" s="562"/>
      <c r="I16" s="126"/>
      <c r="J16" s="137"/>
      <c r="K16" s="137"/>
      <c r="L16" s="172">
        <f t="shared" ref="L16:L19" si="1">K16-J16</f>
        <v>0</v>
      </c>
      <c r="M16" s="561"/>
      <c r="N16" s="561"/>
      <c r="O16" s="561"/>
      <c r="P16" s="561"/>
      <c r="Q16" s="561"/>
    </row>
    <row r="17" spans="1:17" ht="15.75" customHeight="1">
      <c r="A17" s="563"/>
      <c r="B17" s="147">
        <v>2</v>
      </c>
      <c r="C17" s="561"/>
      <c r="D17" s="562"/>
      <c r="E17" s="562"/>
      <c r="F17" s="561"/>
      <c r="G17" s="562"/>
      <c r="H17" s="562"/>
      <c r="I17" s="126"/>
      <c r="J17" s="137"/>
      <c r="K17" s="137"/>
      <c r="L17" s="172">
        <f t="shared" si="1"/>
        <v>0</v>
      </c>
      <c r="M17" s="561"/>
      <c r="N17" s="561"/>
      <c r="O17" s="561"/>
      <c r="P17" s="561"/>
      <c r="Q17" s="561"/>
    </row>
    <row r="18" spans="1:17" ht="15.75" customHeight="1">
      <c r="A18" s="563"/>
      <c r="B18" s="147">
        <v>3</v>
      </c>
      <c r="C18" s="561"/>
      <c r="D18" s="562"/>
      <c r="E18" s="562"/>
      <c r="F18" s="561"/>
      <c r="G18" s="562"/>
      <c r="H18" s="562"/>
      <c r="I18" s="126"/>
      <c r="J18" s="137"/>
      <c r="K18" s="137"/>
      <c r="L18" s="172">
        <f t="shared" si="1"/>
        <v>0</v>
      </c>
      <c r="M18" s="561"/>
      <c r="N18" s="561"/>
      <c r="O18" s="561"/>
      <c r="P18" s="561"/>
      <c r="Q18" s="561"/>
    </row>
    <row r="19" spans="1:17" ht="15.75" customHeight="1">
      <c r="A19" s="563"/>
      <c r="B19" s="147">
        <v>4</v>
      </c>
      <c r="C19" s="561"/>
      <c r="D19" s="562"/>
      <c r="E19" s="562"/>
      <c r="F19" s="561"/>
      <c r="G19" s="562"/>
      <c r="H19" s="562"/>
      <c r="I19" s="126"/>
      <c r="J19" s="137"/>
      <c r="K19" s="137"/>
      <c r="L19" s="172">
        <f t="shared" si="1"/>
        <v>0</v>
      </c>
      <c r="M19" s="561"/>
      <c r="N19" s="561"/>
      <c r="O19" s="561"/>
      <c r="P19" s="561"/>
      <c r="Q19" s="561"/>
    </row>
    <row r="20" spans="1:17" ht="15.75" customHeight="1">
      <c r="A20" s="563"/>
      <c r="B20" s="147">
        <v>5</v>
      </c>
      <c r="C20" s="561"/>
      <c r="D20" s="562"/>
      <c r="E20" s="562"/>
      <c r="F20" s="561"/>
      <c r="G20" s="562"/>
      <c r="H20" s="562"/>
      <c r="I20" s="126"/>
      <c r="J20" s="137"/>
      <c r="K20" s="137"/>
      <c r="L20" s="172">
        <f>K20-J20</f>
        <v>0</v>
      </c>
      <c r="M20" s="561"/>
      <c r="N20" s="561"/>
      <c r="O20" s="561"/>
      <c r="P20" s="561"/>
      <c r="Q20" s="56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B2:AI297"/>
  <sheetViews>
    <sheetView zoomScale="70" zoomScaleNormal="70" workbookViewId="0">
      <pane xSplit="4" ySplit="6" topLeftCell="U7" activePane="bottomRight" state="frozen"/>
      <selection pane="bottomRight" activeCell="AB8" sqref="AB8:AB9"/>
      <selection pane="bottomLeft" activeCell="W7" sqref="W7"/>
      <selection pane="topRight" activeCell="W7" sqref="W7"/>
    </sheetView>
  </sheetViews>
  <sheetFormatPr defaultColWidth="8.85546875" defaultRowHeight="14.1"/>
  <cols>
    <col min="1" max="1" width="8.85546875" style="187" customWidth="1"/>
    <col min="2" max="2" width="12.42578125" style="187" customWidth="1"/>
    <col min="3" max="3" width="8.85546875" style="187" customWidth="1"/>
    <col min="4" max="4" width="11.5703125" style="187" customWidth="1"/>
    <col min="5" max="5" width="39.140625" style="187" bestFit="1" customWidth="1"/>
    <col min="6" max="6" width="11.42578125" style="187" bestFit="1" customWidth="1"/>
    <col min="7" max="7" width="14.140625" style="187" customWidth="1"/>
    <col min="8" max="8" width="14" style="187" customWidth="1"/>
    <col min="9" max="9" width="16.85546875" style="187" customWidth="1"/>
    <col min="10" max="10" width="14" style="187" customWidth="1"/>
    <col min="11" max="11" width="11.5703125" style="187" bestFit="1" customWidth="1"/>
    <col min="12" max="12" width="8.85546875" style="187" bestFit="1" customWidth="1"/>
    <col min="13" max="13" width="19.140625" style="187" bestFit="1" customWidth="1"/>
    <col min="14" max="14" width="15.28515625" style="187" bestFit="1" customWidth="1"/>
    <col min="15" max="15" width="12.5703125" style="187" bestFit="1" customWidth="1"/>
    <col min="16" max="16" width="9.7109375" style="187" bestFit="1" customWidth="1"/>
    <col min="17" max="17" width="12.140625" style="187" bestFit="1" customWidth="1"/>
    <col min="18" max="18" width="10.7109375" style="187" customWidth="1"/>
    <col min="19" max="19" width="12" style="187" bestFit="1" customWidth="1"/>
    <col min="20" max="20" width="12.42578125" style="187" bestFit="1" customWidth="1"/>
    <col min="21" max="21" width="25.28515625" style="187" bestFit="1" customWidth="1"/>
    <col min="22" max="23" width="88.28515625" style="187" customWidth="1"/>
    <col min="24" max="24" width="7.42578125" style="187" bestFit="1" customWidth="1"/>
    <col min="25" max="25" width="69.5703125" style="187" bestFit="1" customWidth="1"/>
    <col min="26" max="26" width="11.42578125" style="187" bestFit="1" customWidth="1"/>
    <col min="27" max="28" width="21.5703125" style="187" customWidth="1"/>
    <col min="29" max="34" width="14.42578125" style="187" customWidth="1"/>
    <col min="35" max="35" width="11.42578125" style="187" bestFit="1" customWidth="1"/>
    <col min="36" max="39" width="8.85546875" style="187" customWidth="1"/>
    <col min="40" max="16384" width="8.85546875" style="187"/>
  </cols>
  <sheetData>
    <row r="2" spans="2:35" ht="41.1" customHeight="1">
      <c r="B2" s="370" t="s">
        <v>194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AA2" s="188"/>
      <c r="AB2" s="188"/>
    </row>
    <row r="3" spans="2:35" ht="17.100000000000001" customHeight="1">
      <c r="B3" s="372" t="s">
        <v>1</v>
      </c>
      <c r="C3" s="373"/>
      <c r="D3" s="378" t="s">
        <v>195</v>
      </c>
      <c r="E3" s="378"/>
      <c r="F3" s="378"/>
      <c r="G3" s="378" t="s">
        <v>196</v>
      </c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 t="s">
        <v>197</v>
      </c>
      <c r="U3" s="379" t="s">
        <v>198</v>
      </c>
      <c r="V3" s="382" t="s">
        <v>199</v>
      </c>
      <c r="W3" s="382" t="s">
        <v>200</v>
      </c>
      <c r="X3" s="385" t="s">
        <v>201</v>
      </c>
      <c r="Y3" s="386" t="s">
        <v>202</v>
      </c>
      <c r="AA3" s="378" t="s">
        <v>203</v>
      </c>
      <c r="AB3" s="378"/>
      <c r="AC3" s="378"/>
      <c r="AD3" s="378"/>
      <c r="AE3" s="378"/>
      <c r="AF3" s="378"/>
      <c r="AG3" s="378"/>
      <c r="AH3" s="378"/>
      <c r="AI3" s="378"/>
    </row>
    <row r="4" spans="2:35" ht="17.100000000000001" customHeight="1">
      <c r="B4" s="374"/>
      <c r="C4" s="375"/>
      <c r="D4" s="396" t="s">
        <v>204</v>
      </c>
      <c r="E4" s="378" t="s">
        <v>205</v>
      </c>
      <c r="F4" s="378"/>
      <c r="G4" s="378" t="s">
        <v>206</v>
      </c>
      <c r="H4" s="378"/>
      <c r="I4" s="378"/>
      <c r="J4" s="378"/>
      <c r="K4" s="378"/>
      <c r="L4" s="378"/>
      <c r="M4" s="378"/>
      <c r="N4" s="378"/>
      <c r="O4" s="378" t="s">
        <v>207</v>
      </c>
      <c r="P4" s="378"/>
      <c r="Q4" s="378"/>
      <c r="R4" s="378"/>
      <c r="S4" s="378"/>
      <c r="T4" s="378"/>
      <c r="U4" s="380"/>
      <c r="V4" s="383"/>
      <c r="W4" s="394"/>
      <c r="X4" s="383"/>
      <c r="Y4" s="386"/>
      <c r="AA4" s="378"/>
      <c r="AB4" s="378"/>
      <c r="AC4" s="378"/>
      <c r="AD4" s="378"/>
      <c r="AE4" s="378"/>
      <c r="AF4" s="378"/>
      <c r="AG4" s="378"/>
      <c r="AH4" s="378"/>
      <c r="AI4" s="378"/>
    </row>
    <row r="5" spans="2:35" ht="17.100000000000001" customHeight="1">
      <c r="B5" s="374"/>
      <c r="C5" s="375"/>
      <c r="D5" s="396"/>
      <c r="E5" s="396" t="s">
        <v>208</v>
      </c>
      <c r="F5" s="386" t="s">
        <v>209</v>
      </c>
      <c r="G5" s="397" t="s">
        <v>210</v>
      </c>
      <c r="H5" s="397"/>
      <c r="I5" s="397"/>
      <c r="J5" s="397"/>
      <c r="K5" s="397"/>
      <c r="L5" s="397"/>
      <c r="M5" s="397"/>
      <c r="N5" s="397"/>
      <c r="O5" s="397" t="s">
        <v>145</v>
      </c>
      <c r="P5" s="397"/>
      <c r="Q5" s="397" t="s">
        <v>146</v>
      </c>
      <c r="R5" s="397"/>
      <c r="S5" s="397"/>
      <c r="T5" s="378"/>
      <c r="U5" s="380"/>
      <c r="V5" s="383"/>
      <c r="W5" s="394"/>
      <c r="X5" s="383"/>
      <c r="Y5" s="386"/>
      <c r="AA5" s="378"/>
      <c r="AB5" s="378"/>
      <c r="AC5" s="378"/>
      <c r="AD5" s="378"/>
      <c r="AE5" s="378"/>
      <c r="AF5" s="378"/>
      <c r="AG5" s="378"/>
      <c r="AH5" s="378"/>
      <c r="AI5" s="378"/>
    </row>
    <row r="6" spans="2:35" ht="38.450000000000003" customHeight="1">
      <c r="B6" s="376"/>
      <c r="C6" s="377"/>
      <c r="D6" s="396"/>
      <c r="E6" s="396"/>
      <c r="F6" s="386"/>
      <c r="G6" s="250" t="s">
        <v>211</v>
      </c>
      <c r="H6" s="250" t="s">
        <v>212</v>
      </c>
      <c r="I6" s="250" t="s">
        <v>213</v>
      </c>
      <c r="J6" s="250" t="s">
        <v>214</v>
      </c>
      <c r="K6" s="250" t="s">
        <v>215</v>
      </c>
      <c r="L6" s="250" t="s">
        <v>216</v>
      </c>
      <c r="M6" s="250" t="s">
        <v>217</v>
      </c>
      <c r="N6" s="250" t="s">
        <v>218</v>
      </c>
      <c r="O6" s="248" t="s">
        <v>219</v>
      </c>
      <c r="P6" s="248" t="s">
        <v>220</v>
      </c>
      <c r="Q6" s="248" t="s">
        <v>219</v>
      </c>
      <c r="R6" s="248" t="s">
        <v>220</v>
      </c>
      <c r="S6" s="250" t="s">
        <v>221</v>
      </c>
      <c r="T6" s="378"/>
      <c r="U6" s="381"/>
      <c r="V6" s="384"/>
      <c r="W6" s="395"/>
      <c r="X6" s="384"/>
      <c r="Y6" s="386"/>
      <c r="AA6" s="197" t="s">
        <v>222</v>
      </c>
      <c r="AB6" s="197" t="s">
        <v>153</v>
      </c>
      <c r="AC6" s="249" t="s">
        <v>223</v>
      </c>
      <c r="AD6" s="249" t="s">
        <v>142</v>
      </c>
      <c r="AE6" s="249" t="s">
        <v>143</v>
      </c>
      <c r="AF6" s="249" t="s">
        <v>147</v>
      </c>
      <c r="AG6" s="249" t="s">
        <v>148</v>
      </c>
      <c r="AH6" s="249" t="s">
        <v>149</v>
      </c>
      <c r="AI6" s="249" t="s">
        <v>224</v>
      </c>
    </row>
    <row r="7" spans="2:35" s="251" customFormat="1" ht="27" customHeight="1">
      <c r="B7" s="388" t="s">
        <v>53</v>
      </c>
      <c r="C7" s="389"/>
      <c r="D7" s="247">
        <v>1</v>
      </c>
      <c r="E7" s="264" t="s">
        <v>160</v>
      </c>
      <c r="F7" s="320">
        <v>41420</v>
      </c>
      <c r="G7" s="320">
        <v>5113.3</v>
      </c>
      <c r="H7" s="320">
        <v>5484</v>
      </c>
      <c r="I7" s="252">
        <f>H7/G7</f>
        <v>1.0724972131500206</v>
      </c>
      <c r="J7" s="320">
        <v>0</v>
      </c>
      <c r="K7" s="252">
        <f>J7/G7</f>
        <v>0</v>
      </c>
      <c r="L7" s="320">
        <v>138.6</v>
      </c>
      <c r="M7" s="253">
        <f>(H7+J7)/G7</f>
        <v>1.0724972131500206</v>
      </c>
      <c r="N7" s="321">
        <v>370.8</v>
      </c>
      <c r="O7" s="320">
        <v>298.89999999999998</v>
      </c>
      <c r="P7" s="252">
        <f>O7/G7</f>
        <v>5.8455400621907565E-2</v>
      </c>
      <c r="Q7" s="254">
        <f>((H7+J7)-G7)-O7</f>
        <v>71.799999999999841</v>
      </c>
      <c r="R7" s="252">
        <f>Q7/G7</f>
        <v>1.4041812528112929E-2</v>
      </c>
      <c r="S7" s="320">
        <v>9956.2999999999993</v>
      </c>
      <c r="T7" s="255" t="s">
        <v>225</v>
      </c>
      <c r="U7" s="255" t="s">
        <v>153</v>
      </c>
      <c r="V7" s="256" t="s">
        <v>226</v>
      </c>
      <c r="W7" s="255" t="s">
        <v>227</v>
      </c>
      <c r="X7" s="256">
        <v>1</v>
      </c>
      <c r="Y7" s="265" t="s">
        <v>109</v>
      </c>
      <c r="Z7" s="257" t="s">
        <v>228</v>
      </c>
      <c r="AA7" s="258">
        <v>20</v>
      </c>
      <c r="AB7" s="259">
        <f>SUMIF($U$7:$U$26,TRIM(AB6),$X$7:$X$26)</f>
        <v>4</v>
      </c>
      <c r="AC7" s="259">
        <f>SUMIF($U$7:$U$26,TRIM(AC6),$X$7:$X$26)</f>
        <v>1</v>
      </c>
      <c r="AD7" s="259">
        <f t="shared" ref="AD7:AI7" ca="1" si="0">SUMIF($U$7:$U$9710,TRIM(AD6),$X$7:$X$26)</f>
        <v>0</v>
      </c>
      <c r="AE7" s="259">
        <f t="shared" ca="1" si="0"/>
        <v>6</v>
      </c>
      <c r="AF7" s="259">
        <f t="shared" ca="1" si="0"/>
        <v>0</v>
      </c>
      <c r="AG7" s="259">
        <f t="shared" ca="1" si="0"/>
        <v>1</v>
      </c>
      <c r="AH7" s="259">
        <f t="shared" ca="1" si="0"/>
        <v>8</v>
      </c>
      <c r="AI7" s="259">
        <f t="shared" ca="1" si="0"/>
        <v>0</v>
      </c>
    </row>
    <row r="8" spans="2:35" s="251" customFormat="1" ht="27" customHeight="1">
      <c r="B8" s="390"/>
      <c r="C8" s="391"/>
      <c r="D8" s="247">
        <v>2</v>
      </c>
      <c r="E8" s="264" t="s">
        <v>163</v>
      </c>
      <c r="F8" s="320">
        <v>15176.9</v>
      </c>
      <c r="G8" s="320">
        <v>3243.3</v>
      </c>
      <c r="H8" s="320">
        <v>3508.4</v>
      </c>
      <c r="I8" s="252">
        <f t="shared" ref="I8:I26" si="1">H8/G8</f>
        <v>1.0817377362562821</v>
      </c>
      <c r="J8" s="320">
        <v>0</v>
      </c>
      <c r="K8" s="252">
        <f t="shared" ref="K8:K26" si="2">J8/G8</f>
        <v>0</v>
      </c>
      <c r="L8" s="320">
        <v>80.3</v>
      </c>
      <c r="M8" s="253">
        <f t="shared" ref="M8:M26" si="3">(H8+J8)/G8</f>
        <v>1.0817377362562821</v>
      </c>
      <c r="N8" s="321">
        <v>265.10000000000002</v>
      </c>
      <c r="O8" s="320">
        <v>189</v>
      </c>
      <c r="P8" s="252">
        <f t="shared" ref="P8:P26" si="4">O8/G8</f>
        <v>5.8273980205346403E-2</v>
      </c>
      <c r="Q8" s="254">
        <f t="shared" ref="Q8:Q26" si="5">((H8+J8)-G8)-O8</f>
        <v>76.099999999999909</v>
      </c>
      <c r="R8" s="252">
        <f t="shared" ref="R8:R26" si="6">Q8/G8</f>
        <v>2.3463756050935747E-2</v>
      </c>
      <c r="S8" s="320">
        <v>6102.5</v>
      </c>
      <c r="T8" s="260" t="s">
        <v>225</v>
      </c>
      <c r="U8" s="255" t="s">
        <v>153</v>
      </c>
      <c r="V8" s="256" t="s">
        <v>226</v>
      </c>
      <c r="W8" s="255" t="s">
        <v>229</v>
      </c>
      <c r="X8" s="256">
        <v>1</v>
      </c>
      <c r="Y8" s="265" t="s">
        <v>162</v>
      </c>
      <c r="AA8" s="258"/>
      <c r="AB8" s="261">
        <f>SUMIF($U$7:$U$26,TRIM(AB6),$F$7:$F$26)</f>
        <v>70089.8</v>
      </c>
      <c r="AC8" s="261">
        <f>SUMIF($U$7:$U$26,TRIM(AC6),$F$7:$F$26)</f>
        <v>5631.7</v>
      </c>
      <c r="AD8" s="261">
        <f t="shared" ref="AD8:AI8" ca="1" si="7">SUMIF($U$7:$U$176,TRIM(AD6),$F$7:$F$26)</f>
        <v>0</v>
      </c>
      <c r="AE8" s="261">
        <f ca="1">SUMIF($U$7:$U$176,TRIM(AE6),$F$7:$F$26)</f>
        <v>12025.1</v>
      </c>
      <c r="AF8" s="261">
        <f t="shared" ca="1" si="7"/>
        <v>0</v>
      </c>
      <c r="AG8" s="261">
        <f ca="1">SUMIF($U$7:$U$176,TRIM(AG6),$F$7:$F$26)</f>
        <v>3760.5</v>
      </c>
      <c r="AH8" s="261">
        <f ca="1">SUMIF($U$7:$U$176,TRIM(AH6),$F$7:$F$26)</f>
        <v>37689.500000000007</v>
      </c>
      <c r="AI8" s="261">
        <f t="shared" ca="1" si="7"/>
        <v>0</v>
      </c>
    </row>
    <row r="9" spans="2:35" s="251" customFormat="1" ht="27" customHeight="1">
      <c r="B9" s="390"/>
      <c r="C9" s="391"/>
      <c r="D9" s="247">
        <v>3</v>
      </c>
      <c r="E9" s="264" t="s">
        <v>230</v>
      </c>
      <c r="F9" s="320">
        <v>12019.6</v>
      </c>
      <c r="G9" s="320">
        <v>3736.4</v>
      </c>
      <c r="H9" s="320">
        <v>3827.1</v>
      </c>
      <c r="I9" s="252">
        <f t="shared" si="1"/>
        <v>1.0242747029225991</v>
      </c>
      <c r="J9" s="320">
        <v>0</v>
      </c>
      <c r="K9" s="252">
        <f t="shared" si="2"/>
        <v>0</v>
      </c>
      <c r="L9" s="320">
        <v>148.4</v>
      </c>
      <c r="M9" s="253">
        <f t="shared" si="3"/>
        <v>1.0242747029225991</v>
      </c>
      <c r="N9" s="321">
        <v>90.8</v>
      </c>
      <c r="O9" s="320">
        <v>81</v>
      </c>
      <c r="P9" s="252">
        <f t="shared" si="4"/>
        <v>2.1678621132641043E-2</v>
      </c>
      <c r="Q9" s="254">
        <f t="shared" si="5"/>
        <v>9.6999999999998181</v>
      </c>
      <c r="R9" s="252">
        <f t="shared" si="6"/>
        <v>2.5960817899581996E-3</v>
      </c>
      <c r="S9" s="320">
        <v>1449.8</v>
      </c>
      <c r="T9" s="247" t="s">
        <v>225</v>
      </c>
      <c r="U9" s="255" t="s">
        <v>149</v>
      </c>
      <c r="V9" s="256" t="s">
        <v>226</v>
      </c>
      <c r="W9" s="255" t="s">
        <v>227</v>
      </c>
      <c r="X9" s="256">
        <v>1</v>
      </c>
      <c r="Y9" s="265" t="s">
        <v>113</v>
      </c>
      <c r="AB9" s="368">
        <f>AB7/$AA$7</f>
        <v>0.2</v>
      </c>
      <c r="AC9" s="368">
        <f t="shared" ref="AC9:AI9" si="8">AC7/$AA$7</f>
        <v>0.05</v>
      </c>
      <c r="AD9" s="368">
        <f t="shared" ca="1" si="8"/>
        <v>0</v>
      </c>
      <c r="AE9" s="368">
        <f t="shared" ca="1" si="8"/>
        <v>0.3</v>
      </c>
      <c r="AF9" s="368">
        <f t="shared" ca="1" si="8"/>
        <v>0</v>
      </c>
      <c r="AG9" s="368">
        <f t="shared" ca="1" si="8"/>
        <v>0.05</v>
      </c>
      <c r="AH9" s="368">
        <f t="shared" ca="1" si="8"/>
        <v>0.4</v>
      </c>
      <c r="AI9" s="368">
        <f t="shared" ca="1" si="8"/>
        <v>0</v>
      </c>
    </row>
    <row r="10" spans="2:35" s="251" customFormat="1" ht="27" customHeight="1">
      <c r="B10" s="390"/>
      <c r="C10" s="391"/>
      <c r="D10" s="247">
        <v>4</v>
      </c>
      <c r="E10" s="322" t="s">
        <v>231</v>
      </c>
      <c r="F10" s="320">
        <v>8260</v>
      </c>
      <c r="G10" s="320">
        <v>9394.1</v>
      </c>
      <c r="H10" s="320">
        <v>9456.2000000000007</v>
      </c>
      <c r="I10" s="252">
        <f>H10/G10</f>
        <v>1.0066105321425149</v>
      </c>
      <c r="J10" s="320">
        <v>0</v>
      </c>
      <c r="K10" s="252">
        <f t="shared" si="2"/>
        <v>0</v>
      </c>
      <c r="L10" s="320">
        <v>153.80000000000001</v>
      </c>
      <c r="M10" s="253">
        <f t="shared" si="3"/>
        <v>1.0066105321425149</v>
      </c>
      <c r="N10" s="321">
        <v>62.1</v>
      </c>
      <c r="O10" s="320">
        <v>53.7</v>
      </c>
      <c r="P10" s="252">
        <f t="shared" si="4"/>
        <v>5.7163538816917001E-3</v>
      </c>
      <c r="Q10" s="254">
        <f t="shared" si="5"/>
        <v>8.400000000000361</v>
      </c>
      <c r="R10" s="252">
        <f t="shared" si="6"/>
        <v>8.9417826082332109E-4</v>
      </c>
      <c r="S10" s="320">
        <v>1294.7</v>
      </c>
      <c r="T10" s="255" t="s">
        <v>225</v>
      </c>
      <c r="U10" s="255" t="s">
        <v>153</v>
      </c>
      <c r="V10" s="256" t="s">
        <v>226</v>
      </c>
      <c r="W10" s="255" t="s">
        <v>232</v>
      </c>
      <c r="X10" s="256">
        <v>1</v>
      </c>
      <c r="Y10" s="323" t="s">
        <v>99</v>
      </c>
    </row>
    <row r="11" spans="2:35" s="251" customFormat="1" ht="27" customHeight="1">
      <c r="B11" s="390"/>
      <c r="C11" s="391"/>
      <c r="D11" s="247">
        <v>5</v>
      </c>
      <c r="E11" s="264" t="s">
        <v>233</v>
      </c>
      <c r="F11" s="320">
        <v>7901.1</v>
      </c>
      <c r="G11" s="320">
        <v>4294.8999999999996</v>
      </c>
      <c r="H11" s="320">
        <v>4338.7</v>
      </c>
      <c r="I11" s="252">
        <f t="shared" si="1"/>
        <v>1.0101981419823511</v>
      </c>
      <c r="J11" s="320">
        <v>0</v>
      </c>
      <c r="K11" s="252">
        <f t="shared" si="2"/>
        <v>0</v>
      </c>
      <c r="L11" s="320">
        <v>193.2</v>
      </c>
      <c r="M11" s="253">
        <f t="shared" si="3"/>
        <v>1.0101981419823511</v>
      </c>
      <c r="N11" s="321">
        <v>43.9</v>
      </c>
      <c r="O11" s="320">
        <v>40.9</v>
      </c>
      <c r="P11" s="252">
        <f t="shared" si="4"/>
        <v>9.5229225360311063E-3</v>
      </c>
      <c r="Q11" s="254">
        <f t="shared" si="5"/>
        <v>2.9000000000001833</v>
      </c>
      <c r="R11" s="252">
        <f t="shared" si="6"/>
        <v>6.7521944632009678E-4</v>
      </c>
      <c r="S11" s="320">
        <v>575.70000000000005</v>
      </c>
      <c r="T11" s="255" t="s">
        <v>225</v>
      </c>
      <c r="U11" s="255" t="s">
        <v>149</v>
      </c>
      <c r="V11" s="256" t="s">
        <v>226</v>
      </c>
      <c r="W11" s="255" t="s">
        <v>232</v>
      </c>
      <c r="X11" s="256">
        <v>1</v>
      </c>
      <c r="Y11" s="265" t="s">
        <v>105</v>
      </c>
    </row>
    <row r="12" spans="2:35" s="251" customFormat="1" ht="27" customHeight="1">
      <c r="B12" s="390"/>
      <c r="C12" s="391"/>
      <c r="D12" s="247">
        <v>6</v>
      </c>
      <c r="E12" s="264" t="s">
        <v>234</v>
      </c>
      <c r="F12" s="320">
        <v>5631.7</v>
      </c>
      <c r="G12" s="320">
        <v>3637.6</v>
      </c>
      <c r="H12" s="320">
        <v>3711.6</v>
      </c>
      <c r="I12" s="252">
        <f t="shared" si="1"/>
        <v>1.0203430833516605</v>
      </c>
      <c r="J12" s="320">
        <v>0</v>
      </c>
      <c r="K12" s="252">
        <f t="shared" si="2"/>
        <v>0</v>
      </c>
      <c r="L12" s="320">
        <v>100</v>
      </c>
      <c r="M12" s="253">
        <f t="shared" si="3"/>
        <v>1.0203430833516605</v>
      </c>
      <c r="N12" s="321">
        <v>74</v>
      </c>
      <c r="O12" s="320">
        <v>56.3</v>
      </c>
      <c r="P12" s="252">
        <f t="shared" si="4"/>
        <v>1.5477237739168682E-2</v>
      </c>
      <c r="Q12" s="254">
        <f t="shared" si="5"/>
        <v>17.700000000000003</v>
      </c>
      <c r="R12" s="252">
        <f t="shared" si="6"/>
        <v>4.8658456124917541E-3</v>
      </c>
      <c r="S12" s="320">
        <v>1771</v>
      </c>
      <c r="T12" s="255" t="s">
        <v>235</v>
      </c>
      <c r="U12" s="255" t="s">
        <v>236</v>
      </c>
      <c r="V12" s="256" t="s">
        <v>237</v>
      </c>
      <c r="W12" s="256"/>
      <c r="X12" s="256">
        <v>1</v>
      </c>
      <c r="Y12" s="265" t="s">
        <v>238</v>
      </c>
    </row>
    <row r="13" spans="2:35" s="251" customFormat="1" ht="27" customHeight="1">
      <c r="B13" s="390"/>
      <c r="C13" s="391"/>
      <c r="D13" s="247">
        <v>7</v>
      </c>
      <c r="E13" s="264" t="s">
        <v>168</v>
      </c>
      <c r="F13" s="320">
        <v>5232.8999999999996</v>
      </c>
      <c r="G13" s="320">
        <v>1519</v>
      </c>
      <c r="H13" s="320">
        <v>1597.9</v>
      </c>
      <c r="I13" s="252">
        <f t="shared" si="1"/>
        <v>1.0519420671494404</v>
      </c>
      <c r="J13" s="320">
        <v>10</v>
      </c>
      <c r="K13" s="252">
        <f t="shared" si="2"/>
        <v>6.5832784726793945E-3</v>
      </c>
      <c r="L13" s="320">
        <v>69.099999999999994</v>
      </c>
      <c r="M13" s="253">
        <f t="shared" si="3"/>
        <v>1.05852534562212</v>
      </c>
      <c r="N13" s="321">
        <v>89</v>
      </c>
      <c r="O13" s="320">
        <v>75.7</v>
      </c>
      <c r="P13" s="252">
        <f t="shared" si="4"/>
        <v>4.9835418038183019E-2</v>
      </c>
      <c r="Q13" s="254">
        <f t="shared" si="5"/>
        <v>13.200000000000088</v>
      </c>
      <c r="R13" s="252">
        <f t="shared" si="6"/>
        <v>8.689927583936859E-3</v>
      </c>
      <c r="S13" s="320">
        <v>920.1</v>
      </c>
      <c r="T13" s="255" t="s">
        <v>225</v>
      </c>
      <c r="U13" s="255" t="s">
        <v>153</v>
      </c>
      <c r="V13" s="256" t="s">
        <v>226</v>
      </c>
      <c r="W13" s="255" t="s">
        <v>227</v>
      </c>
      <c r="X13" s="256">
        <v>1</v>
      </c>
      <c r="Y13" s="266" t="s">
        <v>103</v>
      </c>
      <c r="AB13" s="251">
        <v>1</v>
      </c>
      <c r="AC13" s="267" t="s">
        <v>153</v>
      </c>
    </row>
    <row r="14" spans="2:35" s="251" customFormat="1" ht="27" customHeight="1">
      <c r="B14" s="390"/>
      <c r="C14" s="391"/>
      <c r="D14" s="247">
        <v>8</v>
      </c>
      <c r="E14" s="264" t="s">
        <v>239</v>
      </c>
      <c r="F14" s="320">
        <v>4800.2</v>
      </c>
      <c r="G14" s="320">
        <v>4846.2</v>
      </c>
      <c r="H14" s="320">
        <v>4906.3999999999996</v>
      </c>
      <c r="I14" s="252">
        <f t="shared" si="1"/>
        <v>1.0124221039164707</v>
      </c>
      <c r="J14" s="320">
        <v>10</v>
      </c>
      <c r="K14" s="252">
        <f>J14/G14</f>
        <v>2.0634724113738601E-3</v>
      </c>
      <c r="L14" s="320">
        <v>86.7</v>
      </c>
      <c r="M14" s="253">
        <f>(H14+J14)/G14</f>
        <v>1.0144855763278444</v>
      </c>
      <c r="N14" s="321">
        <v>70.3</v>
      </c>
      <c r="O14" s="320">
        <v>55.4</v>
      </c>
      <c r="P14" s="252">
        <f t="shared" si="4"/>
        <v>1.1431637159011184E-2</v>
      </c>
      <c r="Q14" s="254">
        <f t="shared" si="5"/>
        <v>14.79999999999982</v>
      </c>
      <c r="R14" s="252">
        <f t="shared" si="6"/>
        <v>3.0539391688332754E-3</v>
      </c>
      <c r="S14" s="320">
        <v>1296.2</v>
      </c>
      <c r="T14" s="255" t="s">
        <v>225</v>
      </c>
      <c r="U14" s="255" t="s">
        <v>149</v>
      </c>
      <c r="V14" s="256" t="s">
        <v>226</v>
      </c>
      <c r="W14" s="255" t="s">
        <v>227</v>
      </c>
      <c r="X14" s="256">
        <v>1</v>
      </c>
      <c r="Y14" s="265" t="s">
        <v>112</v>
      </c>
      <c r="AB14" s="251">
        <v>2</v>
      </c>
      <c r="AC14" s="267" t="s">
        <v>236</v>
      </c>
    </row>
    <row r="15" spans="2:35" s="251" customFormat="1" ht="27" customHeight="1">
      <c r="B15" s="390"/>
      <c r="C15" s="391"/>
      <c r="D15" s="247">
        <v>9</v>
      </c>
      <c r="E15" s="264" t="s">
        <v>172</v>
      </c>
      <c r="F15" s="320">
        <v>4275.5</v>
      </c>
      <c r="G15" s="320">
        <v>10794.6</v>
      </c>
      <c r="H15" s="320">
        <v>10875.3</v>
      </c>
      <c r="I15" s="252">
        <f t="shared" si="1"/>
        <v>1.0074759602023233</v>
      </c>
      <c r="J15" s="320">
        <v>86</v>
      </c>
      <c r="K15" s="252">
        <f t="shared" si="2"/>
        <v>7.9669464361810539E-3</v>
      </c>
      <c r="L15" s="320">
        <v>85</v>
      </c>
      <c r="M15" s="253">
        <f t="shared" si="3"/>
        <v>1.0154429066385042</v>
      </c>
      <c r="N15" s="321">
        <v>166.7</v>
      </c>
      <c r="O15" s="320">
        <v>50.3</v>
      </c>
      <c r="P15" s="252">
        <f t="shared" si="4"/>
        <v>4.6597372760454293E-3</v>
      </c>
      <c r="Q15" s="254">
        <f t="shared" si="5"/>
        <v>116.39999999999891</v>
      </c>
      <c r="R15" s="252">
        <f t="shared" si="6"/>
        <v>1.0783169362458905E-2</v>
      </c>
      <c r="S15" s="320">
        <v>9891.9</v>
      </c>
      <c r="T15" s="255" t="s">
        <v>240</v>
      </c>
      <c r="U15" s="255" t="s">
        <v>143</v>
      </c>
      <c r="V15" s="256" t="s">
        <v>241</v>
      </c>
      <c r="W15" s="255" t="s">
        <v>184</v>
      </c>
      <c r="X15" s="256">
        <v>1</v>
      </c>
      <c r="Y15" s="265" t="s">
        <v>114</v>
      </c>
      <c r="AB15" s="251">
        <v>3</v>
      </c>
      <c r="AC15" s="267" t="s">
        <v>142</v>
      </c>
    </row>
    <row r="16" spans="2:35" s="251" customFormat="1" ht="27" customHeight="1">
      <c r="B16" s="390"/>
      <c r="C16" s="391"/>
      <c r="D16" s="247">
        <v>10</v>
      </c>
      <c r="E16" s="264" t="s">
        <v>242</v>
      </c>
      <c r="F16" s="320">
        <v>3913.4</v>
      </c>
      <c r="G16" s="320">
        <v>7976.1</v>
      </c>
      <c r="H16" s="320">
        <v>8022.7</v>
      </c>
      <c r="I16" s="252">
        <f t="shared" si="1"/>
        <v>1.0058424543323177</v>
      </c>
      <c r="J16" s="320">
        <v>0</v>
      </c>
      <c r="K16" s="252">
        <f t="shared" si="2"/>
        <v>0</v>
      </c>
      <c r="L16" s="320">
        <v>125.6</v>
      </c>
      <c r="M16" s="253">
        <f t="shared" si="3"/>
        <v>1.0058424543323177</v>
      </c>
      <c r="N16" s="321">
        <v>46.6</v>
      </c>
      <c r="O16" s="320">
        <v>31.2</v>
      </c>
      <c r="P16" s="252">
        <f t="shared" si="4"/>
        <v>3.9116861624102E-3</v>
      </c>
      <c r="Q16" s="254">
        <f t="shared" si="5"/>
        <v>15.399999999999455</v>
      </c>
      <c r="R16" s="252">
        <f t="shared" si="6"/>
        <v>1.9307681699075306E-3</v>
      </c>
      <c r="S16" s="320">
        <v>1943.5</v>
      </c>
      <c r="T16" s="255" t="s">
        <v>225</v>
      </c>
      <c r="U16" s="255" t="s">
        <v>149</v>
      </c>
      <c r="V16" s="255" t="s">
        <v>226</v>
      </c>
      <c r="W16" s="255" t="s">
        <v>232</v>
      </c>
      <c r="X16" s="256">
        <v>1</v>
      </c>
      <c r="Y16" s="265" t="s">
        <v>111</v>
      </c>
      <c r="AB16" s="251">
        <v>4</v>
      </c>
      <c r="AC16" s="267" t="s">
        <v>243</v>
      </c>
    </row>
    <row r="17" spans="2:29" s="251" customFormat="1" ht="27" customHeight="1">
      <c r="B17" s="390"/>
      <c r="C17" s="391"/>
      <c r="D17" s="247">
        <v>11</v>
      </c>
      <c r="E17" s="264" t="s">
        <v>181</v>
      </c>
      <c r="F17" s="320">
        <v>3760.5</v>
      </c>
      <c r="G17" s="320">
        <v>941.7</v>
      </c>
      <c r="H17" s="320">
        <v>941.7</v>
      </c>
      <c r="I17" s="252">
        <f t="shared" si="1"/>
        <v>1</v>
      </c>
      <c r="J17" s="320">
        <v>39.700000000000003</v>
      </c>
      <c r="K17" s="252">
        <f t="shared" si="2"/>
        <v>4.2157799723903579E-2</v>
      </c>
      <c r="L17" s="320">
        <v>432.2</v>
      </c>
      <c r="M17" s="253">
        <f t="shared" si="3"/>
        <v>1.0421577997239035</v>
      </c>
      <c r="N17" s="321">
        <v>39.700000000000003</v>
      </c>
      <c r="O17" s="320">
        <v>8.6999999999999993</v>
      </c>
      <c r="P17" s="252">
        <f t="shared" si="4"/>
        <v>9.2386110226186664E-3</v>
      </c>
      <c r="Q17" s="254">
        <f t="shared" si="5"/>
        <v>31.000000000000046</v>
      </c>
      <c r="R17" s="252">
        <f t="shared" si="6"/>
        <v>3.2919188701284956E-2</v>
      </c>
      <c r="S17" s="320">
        <v>13379.6</v>
      </c>
      <c r="T17" s="255" t="s">
        <v>244</v>
      </c>
      <c r="U17" s="255" t="s">
        <v>148</v>
      </c>
      <c r="V17" s="256" t="s">
        <v>245</v>
      </c>
      <c r="W17" s="256"/>
      <c r="X17" s="256">
        <v>1</v>
      </c>
      <c r="Y17" s="265" t="s">
        <v>111</v>
      </c>
      <c r="AB17" s="251">
        <v>5</v>
      </c>
      <c r="AC17" s="267" t="s">
        <v>147</v>
      </c>
    </row>
    <row r="18" spans="2:29" s="251" customFormat="1" ht="27" customHeight="1">
      <c r="B18" s="390"/>
      <c r="C18" s="391"/>
      <c r="D18" s="247">
        <v>12</v>
      </c>
      <c r="E18" s="264" t="s">
        <v>246</v>
      </c>
      <c r="F18" s="320">
        <v>3093.3</v>
      </c>
      <c r="G18" s="320">
        <v>2002.9</v>
      </c>
      <c r="H18" s="320">
        <v>2025.4</v>
      </c>
      <c r="I18" s="252">
        <f t="shared" si="1"/>
        <v>1.0112337111188776</v>
      </c>
      <c r="J18" s="320">
        <v>0</v>
      </c>
      <c r="K18" s="252">
        <f t="shared" si="2"/>
        <v>0</v>
      </c>
      <c r="L18" s="320">
        <v>162.4</v>
      </c>
      <c r="M18" s="253">
        <f t="shared" si="3"/>
        <v>1.0112337111188776</v>
      </c>
      <c r="N18" s="321">
        <v>22.5</v>
      </c>
      <c r="O18" s="320">
        <v>19</v>
      </c>
      <c r="P18" s="252">
        <f t="shared" si="4"/>
        <v>9.4862449448299968E-3</v>
      </c>
      <c r="Q18" s="254">
        <f t="shared" si="5"/>
        <v>3.5</v>
      </c>
      <c r="R18" s="252">
        <f t="shared" si="6"/>
        <v>1.7474661740476309E-3</v>
      </c>
      <c r="S18" s="320">
        <v>564.29999999999995</v>
      </c>
      <c r="T18" s="255" t="s">
        <v>225</v>
      </c>
      <c r="U18" s="255" t="s">
        <v>149</v>
      </c>
      <c r="V18" s="256" t="s">
        <v>226</v>
      </c>
      <c r="W18" s="255" t="s">
        <v>232</v>
      </c>
      <c r="X18" s="256">
        <v>1</v>
      </c>
      <c r="Y18" s="265" t="s">
        <v>104</v>
      </c>
      <c r="AB18" s="251">
        <v>6</v>
      </c>
      <c r="AC18" s="267" t="s">
        <v>148</v>
      </c>
    </row>
    <row r="19" spans="2:29" s="251" customFormat="1" ht="27" customHeight="1">
      <c r="B19" s="390"/>
      <c r="C19" s="391"/>
      <c r="D19" s="247">
        <v>13</v>
      </c>
      <c r="E19" s="264" t="s">
        <v>174</v>
      </c>
      <c r="F19" s="320">
        <v>3035.1</v>
      </c>
      <c r="G19" s="320">
        <v>13651.4</v>
      </c>
      <c r="H19" s="320">
        <v>13651.4</v>
      </c>
      <c r="I19" s="252">
        <f t="shared" si="1"/>
        <v>1</v>
      </c>
      <c r="J19" s="320">
        <v>146.9</v>
      </c>
      <c r="K19" s="252">
        <f t="shared" si="2"/>
        <v>1.0760801089998096E-2</v>
      </c>
      <c r="L19" s="320">
        <v>66.599999999999994</v>
      </c>
      <c r="M19" s="253">
        <f t="shared" si="3"/>
        <v>1.010760801089998</v>
      </c>
      <c r="N19" s="321">
        <v>146.9</v>
      </c>
      <c r="O19" s="320">
        <v>45.6</v>
      </c>
      <c r="P19" s="252">
        <f t="shared" si="4"/>
        <v>3.3403167440702055E-3</v>
      </c>
      <c r="Q19" s="254">
        <f t="shared" si="5"/>
        <v>101.29999999999964</v>
      </c>
      <c r="R19" s="252">
        <f t="shared" si="6"/>
        <v>7.4204843459278642E-3</v>
      </c>
      <c r="S19" s="320">
        <v>6742.5</v>
      </c>
      <c r="T19" s="255" t="s">
        <v>240</v>
      </c>
      <c r="U19" s="255" t="s">
        <v>143</v>
      </c>
      <c r="V19" s="256" t="s">
        <v>241</v>
      </c>
      <c r="W19" s="255" t="s">
        <v>184</v>
      </c>
      <c r="X19" s="256">
        <v>1</v>
      </c>
      <c r="Y19" s="265" t="s">
        <v>109</v>
      </c>
      <c r="AB19" s="251">
        <v>7</v>
      </c>
      <c r="AC19" s="267" t="s">
        <v>149</v>
      </c>
    </row>
    <row r="20" spans="2:29" s="251" customFormat="1" ht="27" customHeight="1">
      <c r="B20" s="390"/>
      <c r="C20" s="391"/>
      <c r="D20" s="247">
        <v>14</v>
      </c>
      <c r="E20" s="264" t="s">
        <v>247</v>
      </c>
      <c r="F20" s="320">
        <v>2557.6999999999998</v>
      </c>
      <c r="G20" s="320">
        <v>1120.2</v>
      </c>
      <c r="H20" s="320">
        <v>1132.4000000000001</v>
      </c>
      <c r="I20" s="252">
        <f t="shared" si="1"/>
        <v>1.0108909123370826</v>
      </c>
      <c r="J20" s="320">
        <v>0</v>
      </c>
      <c r="K20" s="252">
        <f t="shared" si="2"/>
        <v>0</v>
      </c>
      <c r="L20" s="320">
        <v>220.5</v>
      </c>
      <c r="M20" s="253">
        <f t="shared" si="3"/>
        <v>1.0108909123370826</v>
      </c>
      <c r="N20" s="321">
        <v>12.1</v>
      </c>
      <c r="O20" s="320">
        <v>11.6</v>
      </c>
      <c r="P20" s="252">
        <f t="shared" si="4"/>
        <v>1.0355293697554007E-2</v>
      </c>
      <c r="Q20" s="254">
        <f t="shared" si="5"/>
        <v>0.60000000000004583</v>
      </c>
      <c r="R20" s="252">
        <f t="shared" si="6"/>
        <v>5.3561863952869646E-4</v>
      </c>
      <c r="S20" s="320">
        <v>115.8</v>
      </c>
      <c r="T20" s="255" t="s">
        <v>225</v>
      </c>
      <c r="U20" s="255" t="s">
        <v>149</v>
      </c>
      <c r="V20" s="256" t="s">
        <v>226</v>
      </c>
      <c r="W20" s="255" t="s">
        <v>232</v>
      </c>
      <c r="X20" s="256">
        <v>1</v>
      </c>
      <c r="Y20" s="265" t="s">
        <v>117</v>
      </c>
      <c r="AB20" s="251">
        <v>8</v>
      </c>
      <c r="AC20" s="268" t="s">
        <v>248</v>
      </c>
    </row>
    <row r="21" spans="2:29" s="251" customFormat="1" ht="27" customHeight="1">
      <c r="B21" s="390"/>
      <c r="C21" s="391"/>
      <c r="D21" s="247">
        <v>15</v>
      </c>
      <c r="E21" s="264" t="s">
        <v>249</v>
      </c>
      <c r="F21" s="320">
        <v>2101.8000000000002</v>
      </c>
      <c r="G21" s="320">
        <v>2516.5</v>
      </c>
      <c r="H21" s="320">
        <v>2546.1</v>
      </c>
      <c r="I21" s="252">
        <f t="shared" si="1"/>
        <v>1.0117623683687662</v>
      </c>
      <c r="J21" s="320">
        <v>0</v>
      </c>
      <c r="K21" s="252">
        <f t="shared" si="2"/>
        <v>0</v>
      </c>
      <c r="L21" s="320">
        <v>113.6</v>
      </c>
      <c r="M21" s="253">
        <f t="shared" si="3"/>
        <v>1.0117623683687662</v>
      </c>
      <c r="N21" s="321">
        <v>29.6</v>
      </c>
      <c r="O21" s="320">
        <v>18.5</v>
      </c>
      <c r="P21" s="252">
        <f t="shared" si="4"/>
        <v>7.3514802304788397E-3</v>
      </c>
      <c r="Q21" s="254">
        <f t="shared" si="5"/>
        <v>11.099999999999909</v>
      </c>
      <c r="R21" s="252">
        <f t="shared" si="6"/>
        <v>4.4108881382872679E-3</v>
      </c>
      <c r="S21" s="320">
        <v>1258.0999999999999</v>
      </c>
      <c r="T21" s="255" t="s">
        <v>225</v>
      </c>
      <c r="U21" s="255" t="s">
        <v>149</v>
      </c>
      <c r="V21" s="256" t="s">
        <v>226</v>
      </c>
      <c r="W21" s="255" t="s">
        <v>232</v>
      </c>
      <c r="X21" s="256">
        <v>1</v>
      </c>
      <c r="Y21" s="265" t="s">
        <v>117</v>
      </c>
      <c r="AC21" s="267"/>
    </row>
    <row r="22" spans="2:29" s="251" customFormat="1" ht="27" customHeight="1">
      <c r="B22" s="390"/>
      <c r="C22" s="391"/>
      <c r="D22" s="247">
        <v>16</v>
      </c>
      <c r="E22" s="264" t="s">
        <v>250</v>
      </c>
      <c r="F22" s="320">
        <v>1411.5</v>
      </c>
      <c r="G22" s="320">
        <v>1177.0999999999999</v>
      </c>
      <c r="H22" s="320">
        <v>1184.5999999999999</v>
      </c>
      <c r="I22" s="252">
        <f t="shared" si="1"/>
        <v>1.0063715911987088</v>
      </c>
      <c r="J22" s="320">
        <v>49.9</v>
      </c>
      <c r="K22" s="252">
        <f t="shared" si="2"/>
        <v>4.2392320108741825E-2</v>
      </c>
      <c r="L22" s="320">
        <v>140.4</v>
      </c>
      <c r="M22" s="253">
        <f t="shared" si="3"/>
        <v>1.0487639113074505</v>
      </c>
      <c r="N22" s="321">
        <v>57.3</v>
      </c>
      <c r="O22" s="320">
        <v>10</v>
      </c>
      <c r="P22" s="252">
        <f t="shared" si="4"/>
        <v>8.4954549316115877E-3</v>
      </c>
      <c r="Q22" s="254">
        <f t="shared" si="5"/>
        <v>47.400000000000091</v>
      </c>
      <c r="R22" s="252">
        <f t="shared" si="6"/>
        <v>4.0268456375839007E-2</v>
      </c>
      <c r="S22" s="320">
        <v>6639.8</v>
      </c>
      <c r="T22" s="255" t="s">
        <v>240</v>
      </c>
      <c r="U22" s="255" t="s">
        <v>143</v>
      </c>
      <c r="V22" s="256" t="s">
        <v>241</v>
      </c>
      <c r="W22" s="255" t="s">
        <v>184</v>
      </c>
      <c r="X22" s="256">
        <v>1</v>
      </c>
      <c r="Y22" s="265" t="s">
        <v>111</v>
      </c>
      <c r="AC22" s="267"/>
    </row>
    <row r="23" spans="2:29" s="251" customFormat="1" ht="27" customHeight="1">
      <c r="B23" s="390"/>
      <c r="C23" s="391"/>
      <c r="D23" s="247">
        <v>17</v>
      </c>
      <c r="E23" s="264" t="s">
        <v>251</v>
      </c>
      <c r="F23" s="320">
        <v>1326.4</v>
      </c>
      <c r="G23" s="320">
        <v>14181.3</v>
      </c>
      <c r="H23" s="320">
        <v>14181.3</v>
      </c>
      <c r="I23" s="252">
        <f t="shared" si="1"/>
        <v>1</v>
      </c>
      <c r="J23" s="320">
        <v>100</v>
      </c>
      <c r="K23" s="252">
        <f t="shared" si="2"/>
        <v>7.0515397036943024E-3</v>
      </c>
      <c r="L23" s="320">
        <v>38.1</v>
      </c>
      <c r="M23" s="253">
        <f t="shared" si="3"/>
        <v>1.0070515397036943</v>
      </c>
      <c r="N23" s="321">
        <v>100</v>
      </c>
      <c r="O23" s="320">
        <v>34.799999999999997</v>
      </c>
      <c r="P23" s="252">
        <f t="shared" si="4"/>
        <v>2.4539358168856168E-3</v>
      </c>
      <c r="Q23" s="254">
        <f t="shared" si="5"/>
        <v>65.2</v>
      </c>
      <c r="R23" s="252">
        <f t="shared" si="6"/>
        <v>4.5976038868086851E-3</v>
      </c>
      <c r="S23" s="320">
        <v>2479.6</v>
      </c>
      <c r="T23" s="255" t="s">
        <v>240</v>
      </c>
      <c r="U23" s="255" t="s">
        <v>143</v>
      </c>
      <c r="V23" s="256" t="s">
        <v>241</v>
      </c>
      <c r="W23" s="255" t="s">
        <v>184</v>
      </c>
      <c r="X23" s="256">
        <v>1</v>
      </c>
      <c r="Y23" s="265" t="s">
        <v>108</v>
      </c>
      <c r="AB23" s="262">
        <v>1</v>
      </c>
      <c r="AC23" s="267" t="s">
        <v>235</v>
      </c>
    </row>
    <row r="24" spans="2:29" s="251" customFormat="1" ht="27" customHeight="1">
      <c r="B24" s="390"/>
      <c r="C24" s="391"/>
      <c r="D24" s="247">
        <v>18</v>
      </c>
      <c r="E24" s="264" t="s">
        <v>252</v>
      </c>
      <c r="F24" s="320">
        <v>1302.4000000000001</v>
      </c>
      <c r="G24" s="320">
        <v>969.4</v>
      </c>
      <c r="H24" s="320">
        <v>980.7</v>
      </c>
      <c r="I24" s="252">
        <f t="shared" si="1"/>
        <v>1.0116566948628019</v>
      </c>
      <c r="J24" s="320">
        <v>0</v>
      </c>
      <c r="K24" s="252">
        <f t="shared" si="2"/>
        <v>0</v>
      </c>
      <c r="L24" s="320">
        <v>242.5</v>
      </c>
      <c r="M24" s="253">
        <f t="shared" si="3"/>
        <v>1.0116566948628019</v>
      </c>
      <c r="N24" s="321">
        <v>11.3</v>
      </c>
      <c r="O24" s="320">
        <v>5.4</v>
      </c>
      <c r="P24" s="252">
        <f t="shared" si="4"/>
        <v>5.5704559521353421E-3</v>
      </c>
      <c r="Q24" s="254">
        <f t="shared" si="5"/>
        <v>5.9000000000000679</v>
      </c>
      <c r="R24" s="252">
        <f t="shared" si="6"/>
        <v>6.0862389106664614E-3</v>
      </c>
      <c r="S24" s="320">
        <v>1438.3</v>
      </c>
      <c r="T24" s="255" t="s">
        <v>225</v>
      </c>
      <c r="U24" s="255" t="s">
        <v>149</v>
      </c>
      <c r="V24" s="256" t="s">
        <v>226</v>
      </c>
      <c r="W24" s="255" t="s">
        <v>232</v>
      </c>
      <c r="X24" s="256">
        <v>1</v>
      </c>
      <c r="Y24" s="265" t="s">
        <v>117</v>
      </c>
      <c r="AB24" s="251">
        <v>2</v>
      </c>
      <c r="AC24" s="267" t="s">
        <v>240</v>
      </c>
    </row>
    <row r="25" spans="2:29" s="251" customFormat="1" ht="27" customHeight="1">
      <c r="B25" s="390"/>
      <c r="C25" s="391"/>
      <c r="D25" s="247">
        <v>19</v>
      </c>
      <c r="E25" s="264" t="s">
        <v>253</v>
      </c>
      <c r="F25" s="320">
        <v>989.1</v>
      </c>
      <c r="G25" s="320">
        <v>2540.1</v>
      </c>
      <c r="H25" s="320">
        <v>2540.1</v>
      </c>
      <c r="I25" s="252">
        <f t="shared" si="1"/>
        <v>1</v>
      </c>
      <c r="J25" s="320">
        <v>5.5</v>
      </c>
      <c r="K25" s="252">
        <f t="shared" si="2"/>
        <v>2.1652690838943351E-3</v>
      </c>
      <c r="L25" s="320">
        <v>335.3</v>
      </c>
      <c r="M25" s="253">
        <f t="shared" si="3"/>
        <v>1.0021652690838943</v>
      </c>
      <c r="N25" s="321">
        <v>5.5</v>
      </c>
      <c r="O25" s="320">
        <v>3</v>
      </c>
      <c r="P25" s="252">
        <f t="shared" si="4"/>
        <v>1.1810558639423646E-3</v>
      </c>
      <c r="Q25" s="254">
        <f t="shared" si="5"/>
        <v>2.5</v>
      </c>
      <c r="R25" s="252">
        <f t="shared" si="6"/>
        <v>9.8421321995197032E-4</v>
      </c>
      <c r="S25" s="320">
        <v>868.4</v>
      </c>
      <c r="T25" s="255" t="s">
        <v>240</v>
      </c>
      <c r="U25" s="255" t="s">
        <v>143</v>
      </c>
      <c r="V25" s="255" t="s">
        <v>254</v>
      </c>
      <c r="W25" s="255" t="s">
        <v>184</v>
      </c>
      <c r="X25" s="256">
        <v>1</v>
      </c>
      <c r="Y25" s="265" t="s">
        <v>238</v>
      </c>
      <c r="AB25" s="263">
        <v>3</v>
      </c>
      <c r="AC25" s="267" t="s">
        <v>244</v>
      </c>
    </row>
    <row r="26" spans="2:29" s="251" customFormat="1" ht="27" customHeight="1">
      <c r="B26" s="392"/>
      <c r="C26" s="393"/>
      <c r="D26" s="247">
        <v>20</v>
      </c>
      <c r="E26" s="264" t="s">
        <v>255</v>
      </c>
      <c r="F26" s="320">
        <v>987.5</v>
      </c>
      <c r="G26" s="320">
        <v>498.2</v>
      </c>
      <c r="H26" s="320">
        <v>504.9</v>
      </c>
      <c r="I26" s="252">
        <f t="shared" si="1"/>
        <v>1.0134484142914493</v>
      </c>
      <c r="J26" s="320">
        <v>10.6</v>
      </c>
      <c r="K26" s="252">
        <f t="shared" si="2"/>
        <v>2.1276595744680851E-2</v>
      </c>
      <c r="L26" s="320">
        <v>403.1</v>
      </c>
      <c r="M26" s="253">
        <f t="shared" si="3"/>
        <v>1.03472501003613</v>
      </c>
      <c r="N26" s="321">
        <v>17.399999999999999</v>
      </c>
      <c r="O26" s="320">
        <v>2.4</v>
      </c>
      <c r="P26" s="252">
        <f t="shared" si="4"/>
        <v>4.8173424327579281E-3</v>
      </c>
      <c r="Q26" s="254">
        <f t="shared" si="5"/>
        <v>14.900000000000011</v>
      </c>
      <c r="R26" s="252">
        <f t="shared" si="6"/>
        <v>2.9907667603372164E-2</v>
      </c>
      <c r="S26" s="320">
        <v>6012.3</v>
      </c>
      <c r="T26" s="255" t="s">
        <v>240</v>
      </c>
      <c r="U26" s="255" t="s">
        <v>143</v>
      </c>
      <c r="V26" s="255" t="s">
        <v>254</v>
      </c>
      <c r="W26" s="255" t="s">
        <v>184</v>
      </c>
      <c r="X26" s="256">
        <v>1</v>
      </c>
      <c r="Y26" s="265" t="s">
        <v>113</v>
      </c>
      <c r="AB26" s="263">
        <v>4</v>
      </c>
      <c r="AC26" s="267" t="s">
        <v>225</v>
      </c>
    </row>
    <row r="27" spans="2:29" ht="29.45" customHeight="1">
      <c r="C27" s="387"/>
      <c r="AB27" s="251">
        <v>5</v>
      </c>
      <c r="AC27" s="267" t="s">
        <v>256</v>
      </c>
    </row>
    <row r="28" spans="2:29">
      <c r="C28" s="387"/>
    </row>
    <row r="29" spans="2:29">
      <c r="C29" s="387"/>
    </row>
    <row r="30" spans="2:29">
      <c r="C30" s="387"/>
    </row>
    <row r="31" spans="2:29">
      <c r="C31" s="387"/>
    </row>
    <row r="32" spans="2:29">
      <c r="C32" s="387"/>
    </row>
    <row r="33" spans="3:3">
      <c r="C33" s="387"/>
    </row>
    <row r="34" spans="3:3">
      <c r="C34" s="387"/>
    </row>
    <row r="35" spans="3:3">
      <c r="C35" s="387"/>
    </row>
    <row r="36" spans="3:3">
      <c r="C36" s="387"/>
    </row>
    <row r="67" ht="14.1" customHeight="1"/>
    <row r="77" ht="14.1" customHeight="1"/>
    <row r="87" ht="14.1" customHeight="1"/>
    <row r="112" spans="26:26">
      <c r="Z112" s="189" t="s">
        <v>220</v>
      </c>
    </row>
    <row r="113" spans="26:26">
      <c r="Z113" s="251" t="s">
        <v>144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B2:AI297"/>
  <sheetViews>
    <sheetView zoomScale="85" zoomScaleNormal="85" workbookViewId="0">
      <pane xSplit="5" ySplit="6" topLeftCell="U7" activePane="bottomRight" state="frozen"/>
      <selection pane="bottomRight" activeCell="AB7" sqref="AB7:AB8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187" customWidth="1"/>
    <col min="2" max="2" width="12.42578125" style="187" customWidth="1"/>
    <col min="3" max="3" width="8.85546875" style="187" customWidth="1"/>
    <col min="4" max="4" width="11.5703125" style="187" customWidth="1"/>
    <col min="5" max="5" width="39.28515625" style="187" bestFit="1" customWidth="1"/>
    <col min="6" max="6" width="11.42578125" style="187" bestFit="1" customWidth="1"/>
    <col min="7" max="7" width="14.140625" style="187" customWidth="1"/>
    <col min="8" max="8" width="14" style="187" customWidth="1"/>
    <col min="9" max="9" width="16.85546875" style="187" customWidth="1"/>
    <col min="10" max="10" width="14" style="187" customWidth="1"/>
    <col min="11" max="11" width="11.5703125" style="187" bestFit="1" customWidth="1"/>
    <col min="12" max="12" width="8.85546875" style="187" bestFit="1" customWidth="1"/>
    <col min="13" max="13" width="19.140625" style="187" bestFit="1" customWidth="1"/>
    <col min="14" max="14" width="15.28515625" style="187" bestFit="1" customWidth="1"/>
    <col min="15" max="15" width="12.5703125" style="187" bestFit="1" customWidth="1"/>
    <col min="16" max="16" width="9.7109375" style="187" bestFit="1" customWidth="1"/>
    <col min="17" max="17" width="12.140625" style="187" bestFit="1" customWidth="1"/>
    <col min="18" max="18" width="10.7109375" style="187" customWidth="1"/>
    <col min="19" max="19" width="13.42578125" style="187" bestFit="1" customWidth="1"/>
    <col min="20" max="20" width="12.42578125" style="187" bestFit="1" customWidth="1"/>
    <col min="21" max="21" width="11.85546875" style="187" bestFit="1" customWidth="1"/>
    <col min="22" max="22" width="43.140625" style="187" bestFit="1" customWidth="1"/>
    <col min="23" max="23" width="30.7109375" style="187" bestFit="1" customWidth="1"/>
    <col min="24" max="24" width="7.42578125" style="187" bestFit="1" customWidth="1"/>
    <col min="25" max="25" width="28" style="187" bestFit="1" customWidth="1"/>
    <col min="26" max="26" width="11.42578125" style="187" bestFit="1" customWidth="1"/>
    <col min="27" max="28" width="21.5703125" style="187" customWidth="1"/>
    <col min="29" max="34" width="14.42578125" style="187" customWidth="1"/>
    <col min="35" max="35" width="11.42578125" style="187" bestFit="1" customWidth="1"/>
    <col min="36" max="39" width="8.85546875" style="187" customWidth="1"/>
    <col min="40" max="16384" width="8.85546875" style="187"/>
  </cols>
  <sheetData>
    <row r="2" spans="2:35" ht="41.1" customHeight="1">
      <c r="B2" s="370" t="s">
        <v>257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AA2" s="188"/>
      <c r="AB2" s="188"/>
    </row>
    <row r="3" spans="2:35" ht="17.100000000000001" customHeight="1">
      <c r="B3" s="372" t="s">
        <v>1</v>
      </c>
      <c r="C3" s="373"/>
      <c r="D3" s="378" t="s">
        <v>195</v>
      </c>
      <c r="E3" s="378"/>
      <c r="F3" s="378"/>
      <c r="G3" s="378" t="s">
        <v>196</v>
      </c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 t="s">
        <v>197</v>
      </c>
      <c r="U3" s="379" t="s">
        <v>198</v>
      </c>
      <c r="V3" s="382" t="s">
        <v>199</v>
      </c>
      <c r="W3" s="382" t="s">
        <v>200</v>
      </c>
      <c r="X3" s="385" t="s">
        <v>201</v>
      </c>
      <c r="Y3" s="386" t="s">
        <v>202</v>
      </c>
      <c r="AA3" s="378" t="s">
        <v>203</v>
      </c>
      <c r="AB3" s="378"/>
      <c r="AC3" s="378"/>
      <c r="AD3" s="378"/>
      <c r="AE3" s="378"/>
      <c r="AF3" s="378"/>
      <c r="AG3" s="378"/>
      <c r="AH3" s="378"/>
      <c r="AI3" s="378"/>
    </row>
    <row r="4" spans="2:35" ht="17.100000000000001" customHeight="1">
      <c r="B4" s="374"/>
      <c r="C4" s="375"/>
      <c r="D4" s="396" t="s">
        <v>204</v>
      </c>
      <c r="E4" s="378" t="s">
        <v>205</v>
      </c>
      <c r="F4" s="378"/>
      <c r="G4" s="378" t="s">
        <v>206</v>
      </c>
      <c r="H4" s="378"/>
      <c r="I4" s="378"/>
      <c r="J4" s="378"/>
      <c r="K4" s="378"/>
      <c r="L4" s="378"/>
      <c r="M4" s="378"/>
      <c r="N4" s="378"/>
      <c r="O4" s="378" t="s">
        <v>207</v>
      </c>
      <c r="P4" s="378"/>
      <c r="Q4" s="378"/>
      <c r="R4" s="378"/>
      <c r="S4" s="378"/>
      <c r="T4" s="378"/>
      <c r="U4" s="380"/>
      <c r="V4" s="383"/>
      <c r="W4" s="394"/>
      <c r="X4" s="383"/>
      <c r="Y4" s="386"/>
      <c r="AA4" s="378"/>
      <c r="AB4" s="378"/>
      <c r="AC4" s="378"/>
      <c r="AD4" s="378"/>
      <c r="AE4" s="378"/>
      <c r="AF4" s="378"/>
      <c r="AG4" s="378"/>
      <c r="AH4" s="378"/>
      <c r="AI4" s="378"/>
    </row>
    <row r="5" spans="2:35" ht="17.100000000000001" customHeight="1">
      <c r="B5" s="374"/>
      <c r="C5" s="375"/>
      <c r="D5" s="396"/>
      <c r="E5" s="396" t="s">
        <v>208</v>
      </c>
      <c r="F5" s="386" t="s">
        <v>209</v>
      </c>
      <c r="G5" s="397" t="s">
        <v>210</v>
      </c>
      <c r="H5" s="397"/>
      <c r="I5" s="397"/>
      <c r="J5" s="397"/>
      <c r="K5" s="397"/>
      <c r="L5" s="397"/>
      <c r="M5" s="397"/>
      <c r="N5" s="397"/>
      <c r="O5" s="397" t="s">
        <v>145</v>
      </c>
      <c r="P5" s="397"/>
      <c r="Q5" s="397" t="s">
        <v>146</v>
      </c>
      <c r="R5" s="397"/>
      <c r="S5" s="397"/>
      <c r="T5" s="378"/>
      <c r="U5" s="380"/>
      <c r="V5" s="383"/>
      <c r="W5" s="394"/>
      <c r="X5" s="383"/>
      <c r="Y5" s="386"/>
      <c r="AA5" s="378"/>
      <c r="AB5" s="378"/>
      <c r="AC5" s="378"/>
      <c r="AD5" s="378"/>
      <c r="AE5" s="378"/>
      <c r="AF5" s="378"/>
      <c r="AG5" s="378"/>
      <c r="AH5" s="378"/>
      <c r="AI5" s="378"/>
    </row>
    <row r="6" spans="2:35" ht="38.450000000000003" customHeight="1">
      <c r="B6" s="376"/>
      <c r="C6" s="377"/>
      <c r="D6" s="396"/>
      <c r="E6" s="396"/>
      <c r="F6" s="386"/>
      <c r="G6" s="250" t="s">
        <v>211</v>
      </c>
      <c r="H6" s="250" t="s">
        <v>212</v>
      </c>
      <c r="I6" s="250" t="s">
        <v>213</v>
      </c>
      <c r="J6" s="250" t="s">
        <v>214</v>
      </c>
      <c r="K6" s="250" t="s">
        <v>215</v>
      </c>
      <c r="L6" s="250" t="s">
        <v>216</v>
      </c>
      <c r="M6" s="250" t="s">
        <v>217</v>
      </c>
      <c r="N6" s="250" t="s">
        <v>218</v>
      </c>
      <c r="O6" s="248" t="s">
        <v>219</v>
      </c>
      <c r="P6" s="248" t="s">
        <v>220</v>
      </c>
      <c r="Q6" s="248" t="s">
        <v>219</v>
      </c>
      <c r="R6" s="248" t="s">
        <v>220</v>
      </c>
      <c r="S6" s="250" t="s">
        <v>221</v>
      </c>
      <c r="T6" s="378"/>
      <c r="U6" s="381"/>
      <c r="V6" s="384"/>
      <c r="W6" s="395"/>
      <c r="X6" s="384"/>
      <c r="Y6" s="386"/>
      <c r="AA6" s="197" t="s">
        <v>222</v>
      </c>
      <c r="AB6" s="197" t="s">
        <v>153</v>
      </c>
      <c r="AC6" s="249" t="s">
        <v>223</v>
      </c>
      <c r="AD6" s="249" t="s">
        <v>142</v>
      </c>
      <c r="AE6" s="249" t="s">
        <v>143</v>
      </c>
      <c r="AF6" s="249" t="s">
        <v>147</v>
      </c>
      <c r="AG6" s="249" t="s">
        <v>148</v>
      </c>
      <c r="AH6" s="249" t="s">
        <v>149</v>
      </c>
      <c r="AI6" s="249" t="s">
        <v>224</v>
      </c>
    </row>
    <row r="7" spans="2:35" s="251" customFormat="1" ht="27" customHeight="1">
      <c r="B7" s="388" t="s">
        <v>53</v>
      </c>
      <c r="C7" s="389"/>
      <c r="D7" s="247">
        <v>1</v>
      </c>
      <c r="E7" s="264" t="s">
        <v>183</v>
      </c>
      <c r="F7" s="320">
        <v>0</v>
      </c>
      <c r="G7" s="320">
        <v>2473.1999999999998</v>
      </c>
      <c r="H7" s="320">
        <v>2556.1</v>
      </c>
      <c r="I7" s="252">
        <f>H7/G7</f>
        <v>1.0335193271874494</v>
      </c>
      <c r="J7" s="320">
        <v>0</v>
      </c>
      <c r="K7" s="252">
        <f>J7/G7</f>
        <v>0</v>
      </c>
      <c r="L7" s="320">
        <v>200</v>
      </c>
      <c r="M7" s="253">
        <f>(H7+J7)/G7</f>
        <v>1.0335193271874494</v>
      </c>
      <c r="N7" s="321">
        <v>82.9</v>
      </c>
      <c r="O7" s="320">
        <v>0</v>
      </c>
      <c r="P7" s="252">
        <f>O7/G7</f>
        <v>0</v>
      </c>
      <c r="Q7" s="254">
        <f>((H7+J7)-G7)-O7</f>
        <v>82.900000000000091</v>
      </c>
      <c r="R7" s="252">
        <f>Q7/G7</f>
        <v>3.3519327187449495E-2</v>
      </c>
      <c r="S7" s="320">
        <v>16589.2</v>
      </c>
      <c r="T7" s="255" t="s">
        <v>240</v>
      </c>
      <c r="U7" s="255" t="s">
        <v>143</v>
      </c>
      <c r="V7" s="255" t="s">
        <v>146</v>
      </c>
      <c r="W7" s="256" t="s">
        <v>184</v>
      </c>
      <c r="X7" s="256">
        <v>1</v>
      </c>
      <c r="Y7" s="265" t="s">
        <v>100</v>
      </c>
      <c r="Z7" s="257" t="s">
        <v>228</v>
      </c>
      <c r="AA7" s="258">
        <f>SUM(X7:X26)</f>
        <v>20</v>
      </c>
      <c r="AB7" s="259">
        <f>SUMIF($U$7:$U$26,TRIM(AB6),$X$7:$X$26)</f>
        <v>0</v>
      </c>
      <c r="AC7" s="259">
        <f>SUMIF($U$7:$U$26,TRIM(AC6),$X$7:$X$26)</f>
        <v>0</v>
      </c>
      <c r="AD7" s="259">
        <f t="shared" ref="AD7:AI7" ca="1" si="0">SUMIF($U$7:$U$9710,TRIM(AD6),$X$7:$X$26)</f>
        <v>0</v>
      </c>
      <c r="AE7" s="259">
        <f t="shared" ca="1" si="0"/>
        <v>18</v>
      </c>
      <c r="AF7" s="259">
        <f t="shared" ca="1" si="0"/>
        <v>0</v>
      </c>
      <c r="AG7" s="259">
        <f ca="1">SUMIF($U$7:$U$9710,TRIM(AG6),$X$7:$X$26)</f>
        <v>2</v>
      </c>
      <c r="AH7" s="259">
        <f t="shared" ca="1" si="0"/>
        <v>0</v>
      </c>
      <c r="AI7" s="259">
        <f t="shared" ca="1" si="0"/>
        <v>0</v>
      </c>
    </row>
    <row r="8" spans="2:35" s="251" customFormat="1" ht="27" customHeight="1">
      <c r="B8" s="390"/>
      <c r="C8" s="391"/>
      <c r="D8" s="247">
        <v>2</v>
      </c>
      <c r="E8" s="264" t="s">
        <v>181</v>
      </c>
      <c r="F8" s="320">
        <v>3760.5</v>
      </c>
      <c r="G8" s="320">
        <v>941.7</v>
      </c>
      <c r="H8" s="320">
        <v>941.7</v>
      </c>
      <c r="I8" s="252">
        <f t="shared" ref="I8:I26" si="1">H8/G8</f>
        <v>1</v>
      </c>
      <c r="J8" s="320">
        <v>39.700000000000003</v>
      </c>
      <c r="K8" s="252">
        <f t="shared" ref="K8:K26" si="2">J8/G8</f>
        <v>4.2157799723903579E-2</v>
      </c>
      <c r="L8" s="320">
        <v>432.2</v>
      </c>
      <c r="M8" s="253">
        <f t="shared" ref="M8:M26" si="3">(H8+J8)/G8</f>
        <v>1.0421577997239035</v>
      </c>
      <c r="N8" s="321">
        <v>39.700000000000003</v>
      </c>
      <c r="O8" s="320">
        <v>8.6999999999999993</v>
      </c>
      <c r="P8" s="252">
        <f t="shared" ref="P8:P26" si="4">O8/G8</f>
        <v>9.2386110226186664E-3</v>
      </c>
      <c r="Q8" s="254">
        <f t="shared" ref="Q8:Q26" si="5">((H8+J8)-G8)-O8</f>
        <v>31.000000000000046</v>
      </c>
      <c r="R8" s="252">
        <f t="shared" ref="R8:R26" si="6">Q8/G8</f>
        <v>3.2919188701284956E-2</v>
      </c>
      <c r="S8" s="320">
        <v>13379.6</v>
      </c>
      <c r="T8" s="247" t="s">
        <v>244</v>
      </c>
      <c r="U8" s="255" t="s">
        <v>148</v>
      </c>
      <c r="V8" s="255" t="s">
        <v>258</v>
      </c>
      <c r="W8" s="256"/>
      <c r="X8" s="256">
        <v>1</v>
      </c>
      <c r="Y8" s="265" t="s">
        <v>111</v>
      </c>
      <c r="AA8" s="258"/>
      <c r="AB8" s="261">
        <f t="shared" ref="AB8:AD8" ca="1" si="7">SUMIF($U$7:$U$176,TRIM(AB6),$S$7:$S$26)</f>
        <v>0</v>
      </c>
      <c r="AC8" s="261">
        <f t="shared" ca="1" si="7"/>
        <v>0</v>
      </c>
      <c r="AD8" s="261">
        <f t="shared" ca="1" si="7"/>
        <v>0</v>
      </c>
      <c r="AE8" s="261">
        <f ca="1">SUMIF($U$7:$U$176,TRIM(AE6),$S$7:$S$26)</f>
        <v>121965.8</v>
      </c>
      <c r="AF8" s="261">
        <f t="shared" ref="AF8:AI8" ca="1" si="8">SUMIF($U$7:$U$176,TRIM(AF6),$S$7:$S$26)</f>
        <v>0</v>
      </c>
      <c r="AG8" s="261">
        <f t="shared" ca="1" si="8"/>
        <v>17797.099999999999</v>
      </c>
      <c r="AH8" s="261">
        <f t="shared" ca="1" si="8"/>
        <v>0</v>
      </c>
      <c r="AI8" s="261">
        <f t="shared" ca="1" si="8"/>
        <v>0</v>
      </c>
    </row>
    <row r="9" spans="2:35" s="251" customFormat="1" ht="27" customHeight="1">
      <c r="B9" s="390"/>
      <c r="C9" s="391"/>
      <c r="D9" s="247">
        <v>3</v>
      </c>
      <c r="E9" s="264" t="s">
        <v>185</v>
      </c>
      <c r="F9" s="320">
        <v>377</v>
      </c>
      <c r="G9" s="320">
        <v>585.6</v>
      </c>
      <c r="H9" s="320">
        <v>618.1</v>
      </c>
      <c r="I9" s="252">
        <f t="shared" si="1"/>
        <v>1.0554986338797814</v>
      </c>
      <c r="J9" s="320">
        <v>0</v>
      </c>
      <c r="K9" s="252">
        <f t="shared" si="2"/>
        <v>0</v>
      </c>
      <c r="L9" s="320">
        <v>359.1</v>
      </c>
      <c r="M9" s="253">
        <f t="shared" si="3"/>
        <v>1.0554986338797814</v>
      </c>
      <c r="N9" s="321">
        <v>32.6</v>
      </c>
      <c r="O9" s="320">
        <v>1</v>
      </c>
      <c r="P9" s="252">
        <f t="shared" si="4"/>
        <v>1.7076502732240437E-3</v>
      </c>
      <c r="Q9" s="254">
        <f t="shared" si="5"/>
        <v>31.5</v>
      </c>
      <c r="R9" s="252">
        <f t="shared" si="6"/>
        <v>5.3790983606557374E-2</v>
      </c>
      <c r="S9" s="320">
        <v>11312.5</v>
      </c>
      <c r="T9" s="247" t="s">
        <v>240</v>
      </c>
      <c r="U9" s="255" t="s">
        <v>143</v>
      </c>
      <c r="V9" s="256" t="s">
        <v>146</v>
      </c>
      <c r="W9" s="256" t="s">
        <v>184</v>
      </c>
      <c r="X9" s="256">
        <v>1</v>
      </c>
      <c r="Y9" s="265" t="s">
        <v>109</v>
      </c>
    </row>
    <row r="10" spans="2:35" s="251" customFormat="1" ht="27" customHeight="1">
      <c r="B10" s="390"/>
      <c r="C10" s="391"/>
      <c r="D10" s="247">
        <v>4</v>
      </c>
      <c r="E10" s="264" t="s">
        <v>160</v>
      </c>
      <c r="F10" s="320">
        <v>41420</v>
      </c>
      <c r="G10" s="320">
        <v>5113.3</v>
      </c>
      <c r="H10" s="320">
        <v>5484</v>
      </c>
      <c r="I10" s="252">
        <f>H10/G10</f>
        <v>1.0724972131500206</v>
      </c>
      <c r="J10" s="320">
        <v>0</v>
      </c>
      <c r="K10" s="252">
        <f t="shared" si="2"/>
        <v>0</v>
      </c>
      <c r="L10" s="320">
        <v>138.6</v>
      </c>
      <c r="M10" s="253">
        <f t="shared" si="3"/>
        <v>1.0724972131500206</v>
      </c>
      <c r="N10" s="321">
        <v>370.8</v>
      </c>
      <c r="O10" s="320">
        <v>298.89999999999998</v>
      </c>
      <c r="P10" s="252">
        <f t="shared" si="4"/>
        <v>5.8455400621907565E-2</v>
      </c>
      <c r="Q10" s="254">
        <f t="shared" si="5"/>
        <v>71.799999999999841</v>
      </c>
      <c r="R10" s="252">
        <f t="shared" si="6"/>
        <v>1.4041812528112929E-2</v>
      </c>
      <c r="S10" s="320">
        <v>9956.2999999999993</v>
      </c>
      <c r="T10" s="255" t="s">
        <v>240</v>
      </c>
      <c r="U10" s="255" t="s">
        <v>143</v>
      </c>
      <c r="V10" s="256" t="s">
        <v>146</v>
      </c>
      <c r="W10" s="256" t="s">
        <v>184</v>
      </c>
      <c r="X10" s="256">
        <v>1</v>
      </c>
      <c r="Y10" s="265" t="s">
        <v>109</v>
      </c>
    </row>
    <row r="11" spans="2:35" s="251" customFormat="1" ht="27" customHeight="1">
      <c r="B11" s="390"/>
      <c r="C11" s="391"/>
      <c r="D11" s="247">
        <v>5</v>
      </c>
      <c r="E11" s="264" t="s">
        <v>172</v>
      </c>
      <c r="F11" s="320">
        <v>4275.5</v>
      </c>
      <c r="G11" s="320">
        <v>10794.6</v>
      </c>
      <c r="H11" s="320">
        <v>10875.3</v>
      </c>
      <c r="I11" s="252">
        <f t="shared" si="1"/>
        <v>1.0074759602023233</v>
      </c>
      <c r="J11" s="320">
        <v>86</v>
      </c>
      <c r="K11" s="252">
        <f t="shared" si="2"/>
        <v>7.9669464361810539E-3</v>
      </c>
      <c r="L11" s="320">
        <v>85</v>
      </c>
      <c r="M11" s="253">
        <f t="shared" si="3"/>
        <v>1.0154429066385042</v>
      </c>
      <c r="N11" s="321">
        <v>166.7</v>
      </c>
      <c r="O11" s="320">
        <v>50.3</v>
      </c>
      <c r="P11" s="252">
        <f t="shared" si="4"/>
        <v>4.6597372760454293E-3</v>
      </c>
      <c r="Q11" s="254">
        <f t="shared" si="5"/>
        <v>116.39999999999891</v>
      </c>
      <c r="R11" s="252">
        <f t="shared" si="6"/>
        <v>1.0783169362458905E-2</v>
      </c>
      <c r="S11" s="320">
        <v>9891.9</v>
      </c>
      <c r="T11" s="255" t="s">
        <v>240</v>
      </c>
      <c r="U11" s="255" t="s">
        <v>143</v>
      </c>
      <c r="V11" s="256" t="s">
        <v>146</v>
      </c>
      <c r="W11" s="256" t="s">
        <v>184</v>
      </c>
      <c r="X11" s="256">
        <v>1</v>
      </c>
      <c r="Y11" s="265" t="s">
        <v>114</v>
      </c>
    </row>
    <row r="12" spans="2:35" s="251" customFormat="1" ht="27" customHeight="1">
      <c r="B12" s="390"/>
      <c r="C12" s="391"/>
      <c r="D12" s="247">
        <v>6</v>
      </c>
      <c r="E12" s="264" t="s">
        <v>183</v>
      </c>
      <c r="F12" s="320">
        <v>0</v>
      </c>
      <c r="G12" s="320">
        <v>1270.5999999999999</v>
      </c>
      <c r="H12" s="320">
        <v>1316.2</v>
      </c>
      <c r="I12" s="252">
        <f t="shared" si="1"/>
        <v>1.0358885565874392</v>
      </c>
      <c r="J12" s="320">
        <v>0</v>
      </c>
      <c r="K12" s="252">
        <f t="shared" si="2"/>
        <v>0</v>
      </c>
      <c r="L12" s="320">
        <v>200</v>
      </c>
      <c r="M12" s="253">
        <f t="shared" si="3"/>
        <v>1.0358885565874392</v>
      </c>
      <c r="N12" s="321">
        <v>45.6</v>
      </c>
      <c r="O12" s="320">
        <v>0</v>
      </c>
      <c r="P12" s="252">
        <f t="shared" si="4"/>
        <v>0</v>
      </c>
      <c r="Q12" s="254">
        <f t="shared" si="5"/>
        <v>45.600000000000136</v>
      </c>
      <c r="R12" s="252">
        <f t="shared" si="6"/>
        <v>3.5888556587439113E-2</v>
      </c>
      <c r="S12" s="320">
        <v>9123.2000000000007</v>
      </c>
      <c r="T12" s="255" t="s">
        <v>240</v>
      </c>
      <c r="U12" s="255" t="s">
        <v>143</v>
      </c>
      <c r="V12" s="256" t="s">
        <v>146</v>
      </c>
      <c r="W12" s="256" t="s">
        <v>184</v>
      </c>
      <c r="X12" s="256">
        <v>1</v>
      </c>
      <c r="Y12" s="265" t="s">
        <v>97</v>
      </c>
    </row>
    <row r="13" spans="2:35" s="251" customFormat="1" ht="27" customHeight="1">
      <c r="B13" s="390"/>
      <c r="C13" s="391"/>
      <c r="D13" s="247">
        <v>7</v>
      </c>
      <c r="E13" s="264" t="s">
        <v>174</v>
      </c>
      <c r="F13" s="320">
        <v>3035.1</v>
      </c>
      <c r="G13" s="320">
        <v>13651.4</v>
      </c>
      <c r="H13" s="320">
        <v>13651.4</v>
      </c>
      <c r="I13" s="252">
        <f t="shared" si="1"/>
        <v>1</v>
      </c>
      <c r="J13" s="320">
        <v>146.9</v>
      </c>
      <c r="K13" s="252">
        <f t="shared" si="2"/>
        <v>1.0760801089998096E-2</v>
      </c>
      <c r="L13" s="320">
        <v>66.599999999999994</v>
      </c>
      <c r="M13" s="253">
        <f t="shared" si="3"/>
        <v>1.010760801089998</v>
      </c>
      <c r="N13" s="321">
        <v>146.9</v>
      </c>
      <c r="O13" s="320">
        <v>45.6</v>
      </c>
      <c r="P13" s="252">
        <f t="shared" si="4"/>
        <v>3.3403167440702055E-3</v>
      </c>
      <c r="Q13" s="254">
        <f t="shared" si="5"/>
        <v>101.29999999999964</v>
      </c>
      <c r="R13" s="252">
        <f t="shared" si="6"/>
        <v>7.4204843459278642E-3</v>
      </c>
      <c r="S13" s="320">
        <v>6742.5</v>
      </c>
      <c r="T13" s="247" t="s">
        <v>240</v>
      </c>
      <c r="U13" s="255" t="s">
        <v>143</v>
      </c>
      <c r="V13" s="256" t="s">
        <v>146</v>
      </c>
      <c r="W13" s="256" t="s">
        <v>184</v>
      </c>
      <c r="X13" s="256">
        <v>1</v>
      </c>
      <c r="Y13" s="266" t="s">
        <v>109</v>
      </c>
      <c r="AB13" s="251">
        <v>1</v>
      </c>
      <c r="AC13" s="267" t="s">
        <v>153</v>
      </c>
    </row>
    <row r="14" spans="2:35" s="251" customFormat="1" ht="27" customHeight="1">
      <c r="B14" s="390"/>
      <c r="C14" s="391"/>
      <c r="D14" s="247">
        <v>8</v>
      </c>
      <c r="E14" s="264" t="s">
        <v>250</v>
      </c>
      <c r="F14" s="320">
        <v>1411.5</v>
      </c>
      <c r="G14" s="320">
        <v>1177.0999999999999</v>
      </c>
      <c r="H14" s="320">
        <v>1184.5999999999999</v>
      </c>
      <c r="I14" s="252">
        <f t="shared" si="1"/>
        <v>1.0063715911987088</v>
      </c>
      <c r="J14" s="320">
        <v>49.9</v>
      </c>
      <c r="K14" s="252">
        <f>J14/G14</f>
        <v>4.2392320108741825E-2</v>
      </c>
      <c r="L14" s="320">
        <v>140.4</v>
      </c>
      <c r="M14" s="253">
        <f>(H14+J14)/G14</f>
        <v>1.0487639113074505</v>
      </c>
      <c r="N14" s="321">
        <v>57.3</v>
      </c>
      <c r="O14" s="320">
        <v>10</v>
      </c>
      <c r="P14" s="252">
        <f t="shared" si="4"/>
        <v>8.4954549316115877E-3</v>
      </c>
      <c r="Q14" s="254">
        <f t="shared" si="5"/>
        <v>47.400000000000091</v>
      </c>
      <c r="R14" s="252">
        <f t="shared" si="6"/>
        <v>4.0268456375839007E-2</v>
      </c>
      <c r="S14" s="320">
        <v>6639.8</v>
      </c>
      <c r="T14" s="255" t="s">
        <v>240</v>
      </c>
      <c r="U14" s="255" t="s">
        <v>143</v>
      </c>
      <c r="V14" s="256" t="s">
        <v>146</v>
      </c>
      <c r="W14" s="256" t="s">
        <v>184</v>
      </c>
      <c r="X14" s="256">
        <v>1</v>
      </c>
      <c r="Y14" s="265" t="s">
        <v>111</v>
      </c>
      <c r="AB14" s="251">
        <v>2</v>
      </c>
      <c r="AC14" s="267" t="s">
        <v>236</v>
      </c>
    </row>
    <row r="15" spans="2:35" s="251" customFormat="1" ht="27" customHeight="1">
      <c r="B15" s="390"/>
      <c r="C15" s="391"/>
      <c r="D15" s="247">
        <v>9</v>
      </c>
      <c r="E15" s="264" t="s">
        <v>259</v>
      </c>
      <c r="F15" s="320">
        <v>0</v>
      </c>
      <c r="G15" s="320">
        <v>165.2</v>
      </c>
      <c r="H15" s="320">
        <v>184.7</v>
      </c>
      <c r="I15" s="252">
        <f t="shared" si="1"/>
        <v>1.1180387409200969</v>
      </c>
      <c r="J15" s="320">
        <v>0</v>
      </c>
      <c r="K15" s="252">
        <f t="shared" si="2"/>
        <v>0</v>
      </c>
      <c r="L15" s="320">
        <v>340</v>
      </c>
      <c r="M15" s="253">
        <f t="shared" si="3"/>
        <v>1.1180387409200969</v>
      </c>
      <c r="N15" s="321">
        <v>19.5</v>
      </c>
      <c r="O15" s="320">
        <v>0</v>
      </c>
      <c r="P15" s="252">
        <f t="shared" si="4"/>
        <v>0</v>
      </c>
      <c r="Q15" s="254">
        <f t="shared" si="5"/>
        <v>19.5</v>
      </c>
      <c r="R15" s="252">
        <f t="shared" si="6"/>
        <v>0.11803874092009686</v>
      </c>
      <c r="S15" s="320">
        <v>6621.5</v>
      </c>
      <c r="T15" s="255" t="s">
        <v>240</v>
      </c>
      <c r="U15" s="255" t="s">
        <v>143</v>
      </c>
      <c r="V15" s="256" t="s">
        <v>146</v>
      </c>
      <c r="W15" s="256" t="s">
        <v>184</v>
      </c>
      <c r="X15" s="256">
        <v>1</v>
      </c>
      <c r="Y15" s="265" t="s">
        <v>109</v>
      </c>
      <c r="AB15" s="251">
        <v>3</v>
      </c>
      <c r="AC15" s="267" t="s">
        <v>142</v>
      </c>
    </row>
    <row r="16" spans="2:35" s="251" customFormat="1" ht="27" customHeight="1">
      <c r="B16" s="390"/>
      <c r="C16" s="391"/>
      <c r="D16" s="247">
        <v>10</v>
      </c>
      <c r="E16" s="264" t="s">
        <v>163</v>
      </c>
      <c r="F16" s="320">
        <v>15176.9</v>
      </c>
      <c r="G16" s="320">
        <v>3243.3</v>
      </c>
      <c r="H16" s="320">
        <v>3508.4</v>
      </c>
      <c r="I16" s="252">
        <f t="shared" si="1"/>
        <v>1.0817377362562821</v>
      </c>
      <c r="J16" s="320">
        <v>0</v>
      </c>
      <c r="K16" s="252">
        <f t="shared" si="2"/>
        <v>0</v>
      </c>
      <c r="L16" s="320">
        <v>80.3</v>
      </c>
      <c r="M16" s="253">
        <f t="shared" si="3"/>
        <v>1.0817377362562821</v>
      </c>
      <c r="N16" s="321">
        <v>265.10000000000002</v>
      </c>
      <c r="O16" s="320">
        <v>189</v>
      </c>
      <c r="P16" s="252">
        <f t="shared" si="4"/>
        <v>5.8273980205346403E-2</v>
      </c>
      <c r="Q16" s="254">
        <f t="shared" si="5"/>
        <v>76.099999999999909</v>
      </c>
      <c r="R16" s="252">
        <f t="shared" si="6"/>
        <v>2.3463756050935747E-2</v>
      </c>
      <c r="S16" s="320">
        <v>6102.5</v>
      </c>
      <c r="T16" s="255" t="s">
        <v>240</v>
      </c>
      <c r="U16" s="255" t="s">
        <v>143</v>
      </c>
      <c r="V16" s="256" t="s">
        <v>146</v>
      </c>
      <c r="W16" s="256" t="s">
        <v>184</v>
      </c>
      <c r="X16" s="256">
        <v>1</v>
      </c>
      <c r="Y16" s="265" t="s">
        <v>162</v>
      </c>
      <c r="AB16" s="251">
        <v>4</v>
      </c>
      <c r="AC16" s="267" t="s">
        <v>243</v>
      </c>
    </row>
    <row r="17" spans="2:29" s="251" customFormat="1" ht="27" customHeight="1">
      <c r="B17" s="390"/>
      <c r="C17" s="391"/>
      <c r="D17" s="247">
        <v>11</v>
      </c>
      <c r="E17" s="264" t="s">
        <v>255</v>
      </c>
      <c r="F17" s="320">
        <v>987.5</v>
      </c>
      <c r="G17" s="320">
        <v>498.2</v>
      </c>
      <c r="H17" s="320">
        <v>504.9</v>
      </c>
      <c r="I17" s="252">
        <f t="shared" si="1"/>
        <v>1.0134484142914493</v>
      </c>
      <c r="J17" s="320">
        <v>10.6</v>
      </c>
      <c r="K17" s="252">
        <f t="shared" si="2"/>
        <v>2.1276595744680851E-2</v>
      </c>
      <c r="L17" s="320">
        <v>403.1</v>
      </c>
      <c r="M17" s="253">
        <f t="shared" si="3"/>
        <v>1.03472501003613</v>
      </c>
      <c r="N17" s="321">
        <v>17.399999999999999</v>
      </c>
      <c r="O17" s="320">
        <v>2.4</v>
      </c>
      <c r="P17" s="252">
        <f t="shared" si="4"/>
        <v>4.8173424327579281E-3</v>
      </c>
      <c r="Q17" s="254">
        <f t="shared" si="5"/>
        <v>14.900000000000011</v>
      </c>
      <c r="R17" s="252">
        <f t="shared" si="6"/>
        <v>2.9907667603372164E-2</v>
      </c>
      <c r="S17" s="320">
        <v>6012.3</v>
      </c>
      <c r="T17" s="255" t="s">
        <v>240</v>
      </c>
      <c r="U17" s="255" t="s">
        <v>143</v>
      </c>
      <c r="V17" s="256" t="s">
        <v>146</v>
      </c>
      <c r="W17" s="256" t="s">
        <v>184</v>
      </c>
      <c r="X17" s="256">
        <v>1</v>
      </c>
      <c r="Y17" s="265" t="s">
        <v>113</v>
      </c>
      <c r="AB17" s="251">
        <v>5</v>
      </c>
      <c r="AC17" s="267" t="s">
        <v>147</v>
      </c>
    </row>
    <row r="18" spans="2:29" s="251" customFormat="1" ht="27" customHeight="1">
      <c r="B18" s="390"/>
      <c r="C18" s="391"/>
      <c r="D18" s="247">
        <v>12</v>
      </c>
      <c r="E18" s="264" t="s">
        <v>260</v>
      </c>
      <c r="F18" s="320">
        <v>0</v>
      </c>
      <c r="G18" s="320">
        <v>276.5</v>
      </c>
      <c r="H18" s="320">
        <v>301.39999999999998</v>
      </c>
      <c r="I18" s="252">
        <f t="shared" si="1"/>
        <v>1.0900542495479204</v>
      </c>
      <c r="J18" s="320">
        <v>0</v>
      </c>
      <c r="K18" s="252">
        <f t="shared" si="2"/>
        <v>0</v>
      </c>
      <c r="L18" s="320">
        <v>235</v>
      </c>
      <c r="M18" s="253">
        <f t="shared" si="3"/>
        <v>1.0900542495479204</v>
      </c>
      <c r="N18" s="321">
        <v>24.9</v>
      </c>
      <c r="O18" s="320">
        <v>0</v>
      </c>
      <c r="P18" s="252">
        <f t="shared" si="4"/>
        <v>0</v>
      </c>
      <c r="Q18" s="254">
        <f t="shared" si="5"/>
        <v>24.899999999999977</v>
      </c>
      <c r="R18" s="252">
        <f t="shared" si="6"/>
        <v>9.0054249547920351E-2</v>
      </c>
      <c r="S18" s="320">
        <v>5845.4</v>
      </c>
      <c r="T18" s="247" t="s">
        <v>240</v>
      </c>
      <c r="U18" s="255" t="s">
        <v>143</v>
      </c>
      <c r="V18" s="255" t="s">
        <v>146</v>
      </c>
      <c r="W18" s="255" t="s">
        <v>184</v>
      </c>
      <c r="X18" s="256">
        <v>1</v>
      </c>
      <c r="Y18" s="265" t="s">
        <v>98</v>
      </c>
      <c r="AB18" s="251">
        <v>6</v>
      </c>
      <c r="AC18" s="267" t="s">
        <v>148</v>
      </c>
    </row>
    <row r="19" spans="2:29" s="251" customFormat="1" ht="27" customHeight="1">
      <c r="B19" s="390"/>
      <c r="C19" s="391"/>
      <c r="D19" s="247">
        <v>13</v>
      </c>
      <c r="E19" s="264" t="s">
        <v>261</v>
      </c>
      <c r="F19" s="320">
        <v>0</v>
      </c>
      <c r="G19" s="320">
        <v>1527.8</v>
      </c>
      <c r="H19" s="320">
        <v>1545.8</v>
      </c>
      <c r="I19" s="252">
        <f t="shared" si="1"/>
        <v>1.0117816468124099</v>
      </c>
      <c r="J19" s="320">
        <v>0</v>
      </c>
      <c r="K19" s="252">
        <f t="shared" si="2"/>
        <v>0</v>
      </c>
      <c r="L19" s="320">
        <v>287.2</v>
      </c>
      <c r="M19" s="253">
        <f t="shared" si="3"/>
        <v>1.0117816468124099</v>
      </c>
      <c r="N19" s="321">
        <v>17.899999999999999</v>
      </c>
      <c r="O19" s="320">
        <v>0</v>
      </c>
      <c r="P19" s="252">
        <f t="shared" si="4"/>
        <v>0</v>
      </c>
      <c r="Q19" s="254">
        <f t="shared" si="5"/>
        <v>18</v>
      </c>
      <c r="R19" s="252">
        <f t="shared" si="6"/>
        <v>1.1781646812410002E-2</v>
      </c>
      <c r="S19" s="320">
        <v>5153.2</v>
      </c>
      <c r="T19" s="255" t="s">
        <v>240</v>
      </c>
      <c r="U19" s="255" t="s">
        <v>143</v>
      </c>
      <c r="V19" s="255" t="s">
        <v>146</v>
      </c>
      <c r="W19" s="255" t="s">
        <v>184</v>
      </c>
      <c r="X19" s="256">
        <v>1</v>
      </c>
      <c r="Y19" s="265" t="s">
        <v>109</v>
      </c>
      <c r="AB19" s="251">
        <v>7</v>
      </c>
      <c r="AC19" s="267" t="s">
        <v>149</v>
      </c>
    </row>
    <row r="20" spans="2:29" s="251" customFormat="1" ht="27" customHeight="1">
      <c r="B20" s="390"/>
      <c r="C20" s="391"/>
      <c r="D20" s="247">
        <v>14</v>
      </c>
      <c r="E20" s="264" t="s">
        <v>262</v>
      </c>
      <c r="F20" s="320">
        <v>284.3</v>
      </c>
      <c r="G20" s="320">
        <v>288.2</v>
      </c>
      <c r="H20" s="320">
        <v>304.39999999999998</v>
      </c>
      <c r="I20" s="252">
        <f t="shared" si="1"/>
        <v>1.0562109646079112</v>
      </c>
      <c r="J20" s="320">
        <v>0</v>
      </c>
      <c r="K20" s="252">
        <f t="shared" si="2"/>
        <v>0</v>
      </c>
      <c r="L20" s="320">
        <v>299.3</v>
      </c>
      <c r="M20" s="253">
        <f t="shared" si="3"/>
        <v>1.0562109646079112</v>
      </c>
      <c r="N20" s="321">
        <v>16.2</v>
      </c>
      <c r="O20" s="320">
        <v>1</v>
      </c>
      <c r="P20" s="252">
        <f t="shared" si="4"/>
        <v>3.4698126301179739E-3</v>
      </c>
      <c r="Q20" s="254">
        <f t="shared" si="5"/>
        <v>15.199999999999989</v>
      </c>
      <c r="R20" s="252">
        <f t="shared" si="6"/>
        <v>5.2741151977793159E-2</v>
      </c>
      <c r="S20" s="320">
        <v>4562.5</v>
      </c>
      <c r="T20" s="255" t="s">
        <v>240</v>
      </c>
      <c r="U20" s="255" t="s">
        <v>143</v>
      </c>
      <c r="V20" s="256" t="s">
        <v>146</v>
      </c>
      <c r="W20" s="256" t="s">
        <v>184</v>
      </c>
      <c r="X20" s="256">
        <v>1</v>
      </c>
      <c r="Y20" s="265" t="s">
        <v>100</v>
      </c>
      <c r="AB20" s="251">
        <v>8</v>
      </c>
      <c r="AC20" s="268" t="s">
        <v>248</v>
      </c>
    </row>
    <row r="21" spans="2:29" s="251" customFormat="1" ht="27" customHeight="1">
      <c r="B21" s="390"/>
      <c r="C21" s="391"/>
      <c r="D21" s="247">
        <v>15</v>
      </c>
      <c r="E21" s="264" t="s">
        <v>263</v>
      </c>
      <c r="F21" s="320">
        <v>0</v>
      </c>
      <c r="G21" s="320">
        <v>936</v>
      </c>
      <c r="H21" s="320">
        <v>950.6</v>
      </c>
      <c r="I21" s="252">
        <f t="shared" si="1"/>
        <v>1.0155982905982905</v>
      </c>
      <c r="J21" s="320">
        <v>0</v>
      </c>
      <c r="K21" s="252">
        <f t="shared" si="2"/>
        <v>0</v>
      </c>
      <c r="L21" s="320">
        <v>304.8</v>
      </c>
      <c r="M21" s="253">
        <f t="shared" si="3"/>
        <v>1.0155982905982905</v>
      </c>
      <c r="N21" s="321">
        <v>14.6</v>
      </c>
      <c r="O21" s="320">
        <v>0</v>
      </c>
      <c r="P21" s="252">
        <f t="shared" si="4"/>
        <v>0</v>
      </c>
      <c r="Q21" s="254">
        <f t="shared" si="5"/>
        <v>14.600000000000023</v>
      </c>
      <c r="R21" s="252">
        <f t="shared" si="6"/>
        <v>1.5598290598290623E-2</v>
      </c>
      <c r="S21" s="320">
        <v>4462.8999999999996</v>
      </c>
      <c r="T21" s="247" t="s">
        <v>240</v>
      </c>
      <c r="U21" s="255" t="s">
        <v>143</v>
      </c>
      <c r="V21" s="255" t="s">
        <v>146</v>
      </c>
      <c r="W21" s="255" t="s">
        <v>184</v>
      </c>
      <c r="X21" s="256">
        <v>1</v>
      </c>
      <c r="Y21" s="265" t="s">
        <v>98</v>
      </c>
      <c r="AC21" s="267"/>
    </row>
    <row r="22" spans="2:29" s="251" customFormat="1" ht="27" customHeight="1">
      <c r="B22" s="390"/>
      <c r="C22" s="391"/>
      <c r="D22" s="247">
        <v>16</v>
      </c>
      <c r="E22" s="264" t="s">
        <v>264</v>
      </c>
      <c r="F22" s="320">
        <v>0</v>
      </c>
      <c r="G22" s="320">
        <v>371.9</v>
      </c>
      <c r="H22" s="320">
        <v>426.3</v>
      </c>
      <c r="I22" s="252">
        <f t="shared" si="1"/>
        <v>1.1462758806130682</v>
      </c>
      <c r="J22" s="320">
        <v>0</v>
      </c>
      <c r="K22" s="252">
        <f t="shared" si="2"/>
        <v>0</v>
      </c>
      <c r="L22" s="320">
        <v>81.2</v>
      </c>
      <c r="M22" s="253">
        <f t="shared" si="3"/>
        <v>1.1462758806130682</v>
      </c>
      <c r="N22" s="321">
        <v>54.4</v>
      </c>
      <c r="O22" s="320">
        <v>0</v>
      </c>
      <c r="P22" s="252">
        <f t="shared" si="4"/>
        <v>0</v>
      </c>
      <c r="Q22" s="254">
        <f t="shared" si="5"/>
        <v>54.400000000000034</v>
      </c>
      <c r="R22" s="252">
        <f t="shared" si="6"/>
        <v>0.14627588061306812</v>
      </c>
      <c r="S22" s="320">
        <v>4417.5</v>
      </c>
      <c r="T22" s="255" t="s">
        <v>244</v>
      </c>
      <c r="U22" s="255" t="s">
        <v>148</v>
      </c>
      <c r="V22" s="256" t="s">
        <v>265</v>
      </c>
      <c r="W22" s="256"/>
      <c r="X22" s="256">
        <v>1</v>
      </c>
      <c r="Y22" s="265" t="s">
        <v>116</v>
      </c>
      <c r="AC22" s="267"/>
    </row>
    <row r="23" spans="2:29" s="251" customFormat="1" ht="27" customHeight="1">
      <c r="B23" s="390"/>
      <c r="C23" s="391"/>
      <c r="D23" s="247">
        <v>17</v>
      </c>
      <c r="E23" s="264" t="s">
        <v>266</v>
      </c>
      <c r="F23" s="320">
        <v>0</v>
      </c>
      <c r="G23" s="320">
        <v>189.9</v>
      </c>
      <c r="H23" s="320">
        <v>197.1</v>
      </c>
      <c r="I23" s="252">
        <f t="shared" si="1"/>
        <v>1.0379146919431279</v>
      </c>
      <c r="J23" s="320">
        <v>0</v>
      </c>
      <c r="K23" s="252">
        <f t="shared" si="2"/>
        <v>0</v>
      </c>
      <c r="L23" s="320">
        <v>586.6</v>
      </c>
      <c r="M23" s="253">
        <f t="shared" si="3"/>
        <v>1.0379146919431279</v>
      </c>
      <c r="N23" s="321">
        <v>7.1</v>
      </c>
      <c r="O23" s="320">
        <v>0</v>
      </c>
      <c r="P23" s="252">
        <f t="shared" si="4"/>
        <v>0</v>
      </c>
      <c r="Q23" s="254">
        <f t="shared" si="5"/>
        <v>7.1999999999999886</v>
      </c>
      <c r="R23" s="252">
        <f t="shared" si="6"/>
        <v>3.7914691943127903E-2</v>
      </c>
      <c r="S23" s="320">
        <v>4189.2</v>
      </c>
      <c r="T23" s="255" t="s">
        <v>240</v>
      </c>
      <c r="U23" s="255" t="s">
        <v>143</v>
      </c>
      <c r="V23" s="256" t="s">
        <v>146</v>
      </c>
      <c r="W23" s="256" t="s">
        <v>184</v>
      </c>
      <c r="X23" s="256">
        <v>1</v>
      </c>
      <c r="Y23" s="265" t="s">
        <v>103</v>
      </c>
      <c r="AB23" s="262">
        <v>1</v>
      </c>
      <c r="AC23" s="267" t="s">
        <v>235</v>
      </c>
    </row>
    <row r="24" spans="2:29" s="251" customFormat="1" ht="27" customHeight="1">
      <c r="B24" s="390"/>
      <c r="C24" s="391"/>
      <c r="D24" s="247">
        <v>18</v>
      </c>
      <c r="E24" s="264" t="s">
        <v>183</v>
      </c>
      <c r="F24" s="320">
        <v>0</v>
      </c>
      <c r="G24" s="320">
        <v>161.5</v>
      </c>
      <c r="H24" s="320">
        <v>178.7</v>
      </c>
      <c r="I24" s="252">
        <f t="shared" si="1"/>
        <v>1.1065015479876161</v>
      </c>
      <c r="J24" s="320">
        <v>0</v>
      </c>
      <c r="K24" s="252">
        <f t="shared" si="2"/>
        <v>0</v>
      </c>
      <c r="L24" s="320">
        <v>206</v>
      </c>
      <c r="M24" s="253">
        <f t="shared" si="3"/>
        <v>1.1065015479876161</v>
      </c>
      <c r="N24" s="321">
        <v>17.2</v>
      </c>
      <c r="O24" s="320">
        <v>0</v>
      </c>
      <c r="P24" s="252">
        <f t="shared" si="4"/>
        <v>0</v>
      </c>
      <c r="Q24" s="254">
        <f t="shared" si="5"/>
        <v>17.199999999999989</v>
      </c>
      <c r="R24" s="252">
        <f t="shared" si="6"/>
        <v>0.10650154798761603</v>
      </c>
      <c r="S24" s="320">
        <v>3545.7</v>
      </c>
      <c r="T24" s="255" t="s">
        <v>240</v>
      </c>
      <c r="U24" s="255" t="s">
        <v>143</v>
      </c>
      <c r="V24" s="256" t="s">
        <v>146</v>
      </c>
      <c r="W24" s="256" t="s">
        <v>184</v>
      </c>
      <c r="X24" s="256">
        <v>1</v>
      </c>
      <c r="Y24" s="265" t="s">
        <v>267</v>
      </c>
      <c r="AB24" s="251">
        <v>2</v>
      </c>
      <c r="AC24" s="267" t="s">
        <v>240</v>
      </c>
    </row>
    <row r="25" spans="2:29" s="251" customFormat="1" ht="27" customHeight="1">
      <c r="B25" s="390"/>
      <c r="C25" s="391"/>
      <c r="D25" s="247">
        <v>19</v>
      </c>
      <c r="E25" s="264" t="s">
        <v>268</v>
      </c>
      <c r="F25" s="320">
        <v>942.6</v>
      </c>
      <c r="G25" s="320">
        <v>889.4</v>
      </c>
      <c r="H25" s="320">
        <v>916.3</v>
      </c>
      <c r="I25" s="252">
        <f t="shared" si="1"/>
        <v>1.0302451090622891</v>
      </c>
      <c r="J25" s="320">
        <v>18.2</v>
      </c>
      <c r="K25" s="252">
        <f t="shared" si="2"/>
        <v>2.0463233640656622E-2</v>
      </c>
      <c r="L25" s="320">
        <v>81.599999999999994</v>
      </c>
      <c r="M25" s="253">
        <f t="shared" si="3"/>
        <v>1.0507083427029458</v>
      </c>
      <c r="N25" s="321">
        <v>45.1</v>
      </c>
      <c r="O25" s="320">
        <v>11.6</v>
      </c>
      <c r="P25" s="252">
        <f t="shared" si="4"/>
        <v>1.3042500562176748E-2</v>
      </c>
      <c r="Q25" s="254">
        <f t="shared" si="5"/>
        <v>33.500000000000021</v>
      </c>
      <c r="R25" s="252">
        <f t="shared" si="6"/>
        <v>3.7665842140769082E-2</v>
      </c>
      <c r="S25" s="320">
        <v>2735.6</v>
      </c>
      <c r="T25" s="255" t="s">
        <v>240</v>
      </c>
      <c r="U25" s="255" t="s">
        <v>143</v>
      </c>
      <c r="V25" s="256" t="s">
        <v>146</v>
      </c>
      <c r="W25" s="256" t="s">
        <v>184</v>
      </c>
      <c r="X25" s="256">
        <v>1</v>
      </c>
      <c r="Y25" s="265" t="s">
        <v>117</v>
      </c>
      <c r="AB25" s="263">
        <v>3</v>
      </c>
      <c r="AC25" s="267" t="s">
        <v>244</v>
      </c>
    </row>
    <row r="26" spans="2:29" s="251" customFormat="1" ht="27" customHeight="1">
      <c r="B26" s="392"/>
      <c r="C26" s="393"/>
      <c r="D26" s="247">
        <v>20</v>
      </c>
      <c r="E26" s="264" t="s">
        <v>251</v>
      </c>
      <c r="F26" s="320">
        <v>1326.4</v>
      </c>
      <c r="G26" s="320">
        <v>14181.3</v>
      </c>
      <c r="H26" s="320">
        <v>14181.3</v>
      </c>
      <c r="I26" s="252">
        <f t="shared" si="1"/>
        <v>1</v>
      </c>
      <c r="J26" s="320">
        <v>100</v>
      </c>
      <c r="K26" s="252">
        <f t="shared" si="2"/>
        <v>7.0515397036943024E-3</v>
      </c>
      <c r="L26" s="320">
        <v>38.1</v>
      </c>
      <c r="M26" s="253">
        <f t="shared" si="3"/>
        <v>1.0070515397036943</v>
      </c>
      <c r="N26" s="321">
        <v>100</v>
      </c>
      <c r="O26" s="320">
        <v>34.799999999999997</v>
      </c>
      <c r="P26" s="252">
        <f t="shared" si="4"/>
        <v>2.4539358168856168E-3</v>
      </c>
      <c r="Q26" s="254">
        <f t="shared" si="5"/>
        <v>65.2</v>
      </c>
      <c r="R26" s="252">
        <f t="shared" si="6"/>
        <v>4.5976038868086851E-3</v>
      </c>
      <c r="S26" s="320">
        <v>2479.6</v>
      </c>
      <c r="T26" s="255" t="s">
        <v>240</v>
      </c>
      <c r="U26" s="255" t="s">
        <v>143</v>
      </c>
      <c r="V26" s="256" t="s">
        <v>146</v>
      </c>
      <c r="W26" s="256" t="s">
        <v>184</v>
      </c>
      <c r="X26" s="256">
        <v>1</v>
      </c>
      <c r="Y26" s="265" t="s">
        <v>108</v>
      </c>
      <c r="AB26" s="263">
        <v>4</v>
      </c>
      <c r="AC26" s="267" t="s">
        <v>225</v>
      </c>
    </row>
    <row r="27" spans="2:29" ht="29.45" customHeight="1">
      <c r="C27" s="387"/>
      <c r="AB27" s="251">
        <v>5</v>
      </c>
      <c r="AC27" s="267" t="s">
        <v>256</v>
      </c>
    </row>
    <row r="28" spans="2:29">
      <c r="C28" s="387"/>
    </row>
    <row r="29" spans="2:29">
      <c r="C29" s="387"/>
    </row>
    <row r="30" spans="2:29">
      <c r="C30" s="387"/>
    </row>
    <row r="31" spans="2:29">
      <c r="C31" s="387"/>
    </row>
    <row r="32" spans="2:29">
      <c r="C32" s="387"/>
    </row>
    <row r="33" spans="3:3">
      <c r="C33" s="387"/>
    </row>
    <row r="34" spans="3:3">
      <c r="C34" s="387"/>
    </row>
    <row r="35" spans="3:3">
      <c r="C35" s="387"/>
    </row>
    <row r="36" spans="3:3">
      <c r="C36" s="387"/>
    </row>
    <row r="67" ht="14.1" customHeight="1"/>
    <row r="77" ht="14.1" customHeight="1"/>
    <row r="87" ht="14.1" customHeight="1"/>
    <row r="112" spans="26:26">
      <c r="Z112" s="189" t="s">
        <v>220</v>
      </c>
    </row>
    <row r="113" spans="26:26">
      <c r="Z113" s="251" t="s">
        <v>144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6"/>
  <sheetViews>
    <sheetView zoomScale="70" zoomScaleNormal="70" workbookViewId="0">
      <selection activeCell="L26" sqref="L26"/>
    </sheetView>
  </sheetViews>
  <sheetFormatPr defaultColWidth="8.28515625" defaultRowHeight="15.6"/>
  <cols>
    <col min="1" max="1" width="18.42578125" style="270" customWidth="1"/>
    <col min="2" max="2" width="18.85546875" style="270" bestFit="1" customWidth="1"/>
    <col min="3" max="4" width="14.28515625" style="270" customWidth="1"/>
    <col min="5" max="5" width="17.140625" style="270" bestFit="1" customWidth="1"/>
    <col min="6" max="6" width="14.28515625" style="270" customWidth="1"/>
    <col min="7" max="10" width="18.42578125" style="270" customWidth="1"/>
    <col min="11" max="11" width="17.140625" style="270" bestFit="1" customWidth="1"/>
    <col min="12" max="12" width="16" style="270" customWidth="1"/>
    <col min="13" max="13" width="17" style="270" bestFit="1" customWidth="1"/>
    <col min="14" max="15" width="12.7109375" style="270" bestFit="1" customWidth="1"/>
    <col min="16" max="19" width="8.28515625" style="270" customWidth="1"/>
    <col min="20" max="16384" width="8.28515625" style="270"/>
  </cols>
  <sheetData>
    <row r="1" spans="1:18" ht="25.5" customHeight="1">
      <c r="A1" s="570" t="s">
        <v>269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2"/>
    </row>
    <row r="2" spans="1:18" ht="16.5" customHeight="1">
      <c r="A2" s="573" t="s">
        <v>43</v>
      </c>
      <c r="B2" s="575" t="s">
        <v>69</v>
      </c>
      <c r="C2" s="575" t="s">
        <v>270</v>
      </c>
      <c r="D2" s="575" t="s">
        <v>271</v>
      </c>
      <c r="E2" s="575" t="s">
        <v>272</v>
      </c>
      <c r="F2" s="575" t="s">
        <v>25</v>
      </c>
      <c r="G2" s="575" t="s">
        <v>273</v>
      </c>
      <c r="H2" s="575"/>
      <c r="I2" s="575" t="s">
        <v>274</v>
      </c>
      <c r="J2" s="575"/>
      <c r="K2" s="575" t="s">
        <v>275</v>
      </c>
      <c r="L2" s="575"/>
      <c r="M2" s="577" t="s">
        <v>51</v>
      </c>
      <c r="N2" s="578"/>
      <c r="O2" s="579"/>
    </row>
    <row r="3" spans="1:18" ht="37.5" customHeight="1">
      <c r="A3" s="574"/>
      <c r="B3" s="576"/>
      <c r="C3" s="576"/>
      <c r="D3" s="576"/>
      <c r="E3" s="576"/>
      <c r="F3" s="576"/>
      <c r="G3" s="344" t="s">
        <v>276</v>
      </c>
      <c r="H3" s="344" t="s">
        <v>277</v>
      </c>
      <c r="I3" s="344" t="s">
        <v>276</v>
      </c>
      <c r="J3" s="344" t="s">
        <v>277</v>
      </c>
      <c r="K3" s="344" t="s">
        <v>276</v>
      </c>
      <c r="L3" s="344" t="s">
        <v>278</v>
      </c>
      <c r="M3" s="344" t="s">
        <v>69</v>
      </c>
      <c r="N3" s="345" t="s">
        <v>279</v>
      </c>
      <c r="O3" s="346" t="s">
        <v>280</v>
      </c>
    </row>
    <row r="4" spans="1:18" ht="18">
      <c r="A4" s="347">
        <v>46023</v>
      </c>
      <c r="B4" s="271">
        <v>2226674.23</v>
      </c>
      <c r="C4" s="271">
        <v>7607</v>
      </c>
      <c r="D4" s="272">
        <f>C4/B4</f>
        <v>3.41630576108118E-3</v>
      </c>
      <c r="E4" s="273">
        <v>3587</v>
      </c>
      <c r="F4" s="274">
        <f t="shared" ref="F4:F34" si="0">E4/B4</f>
        <v>1.6109226718809245E-3</v>
      </c>
      <c r="G4" s="271">
        <v>7607</v>
      </c>
      <c r="H4" s="274">
        <f t="shared" ref="H4:H34" si="1">G4/C4</f>
        <v>1</v>
      </c>
      <c r="I4" s="275">
        <v>3587</v>
      </c>
      <c r="J4" s="274">
        <f>I4/E4</f>
        <v>1</v>
      </c>
      <c r="K4" s="276">
        <v>0</v>
      </c>
      <c r="L4" s="277">
        <f>K4/C4</f>
        <v>0</v>
      </c>
      <c r="M4" s="348"/>
      <c r="N4" s="349"/>
      <c r="O4" s="350"/>
    </row>
    <row r="5" spans="1:18" ht="18">
      <c r="A5" s="305">
        <f>A4+1</f>
        <v>46024</v>
      </c>
      <c r="B5" s="278">
        <v>1942096.72</v>
      </c>
      <c r="C5" s="278">
        <v>11440</v>
      </c>
      <c r="D5" s="279">
        <f t="shared" ref="D5:D34" si="2">C5/B5</f>
        <v>5.8905408171432373E-3</v>
      </c>
      <c r="E5" s="280">
        <v>4975</v>
      </c>
      <c r="F5" s="281">
        <f t="shared" si="0"/>
        <v>2.5616643850775878E-3</v>
      </c>
      <c r="G5" s="278">
        <v>11440</v>
      </c>
      <c r="H5" s="281">
        <f t="shared" si="1"/>
        <v>1</v>
      </c>
      <c r="I5" s="282">
        <v>4975</v>
      </c>
      <c r="J5" s="281">
        <f t="shared" ref="J5:J34" si="3">I5/E5</f>
        <v>1</v>
      </c>
      <c r="K5" s="283">
        <v>0</v>
      </c>
      <c r="L5" s="284">
        <f t="shared" ref="L5:L34" si="4">K5/C5</f>
        <v>0</v>
      </c>
      <c r="M5" s="580">
        <f>SUM(B5:B11)</f>
        <v>16215256.139999999</v>
      </c>
      <c r="N5" s="580">
        <f>SUM(C5:C11)</f>
        <v>38079</v>
      </c>
      <c r="O5" s="583">
        <f>SUM(E5:E11)</f>
        <v>28948</v>
      </c>
    </row>
    <row r="6" spans="1:18" ht="18">
      <c r="A6" s="351">
        <f t="shared" ref="A6:A34" si="5">A5+1</f>
        <v>46025</v>
      </c>
      <c r="B6" s="285">
        <v>2189422.61</v>
      </c>
      <c r="C6" s="285">
        <v>5201</v>
      </c>
      <c r="D6" s="286">
        <f t="shared" si="2"/>
        <v>2.3755121447293359E-3</v>
      </c>
      <c r="E6" s="287">
        <v>4658</v>
      </c>
      <c r="F6" s="288">
        <f t="shared" si="0"/>
        <v>2.1275015516533831E-3</v>
      </c>
      <c r="G6" s="285">
        <v>5201</v>
      </c>
      <c r="H6" s="288">
        <f t="shared" si="1"/>
        <v>1</v>
      </c>
      <c r="I6" s="289">
        <v>4658</v>
      </c>
      <c r="J6" s="288">
        <f t="shared" si="3"/>
        <v>1</v>
      </c>
      <c r="K6" s="290">
        <v>0</v>
      </c>
      <c r="L6" s="291">
        <f t="shared" si="4"/>
        <v>0</v>
      </c>
      <c r="M6" s="581"/>
      <c r="N6" s="581"/>
      <c r="O6" s="584"/>
    </row>
    <row r="7" spans="1:18" ht="18">
      <c r="A7" s="293">
        <f t="shared" si="5"/>
        <v>46026</v>
      </c>
      <c r="B7" s="285">
        <v>2542916.0900000003</v>
      </c>
      <c r="C7" s="285">
        <v>6549</v>
      </c>
      <c r="D7" s="286">
        <f t="shared" si="2"/>
        <v>2.5753897369063402E-3</v>
      </c>
      <c r="E7" s="287">
        <v>2209</v>
      </c>
      <c r="F7" s="288">
        <f t="shared" si="0"/>
        <v>8.68687727718141E-4</v>
      </c>
      <c r="G7" s="285">
        <v>6549</v>
      </c>
      <c r="H7" s="288">
        <f t="shared" si="1"/>
        <v>1</v>
      </c>
      <c r="I7" s="289">
        <v>2209</v>
      </c>
      <c r="J7" s="288">
        <f t="shared" si="3"/>
        <v>1</v>
      </c>
      <c r="K7" s="290">
        <v>0</v>
      </c>
      <c r="L7" s="291">
        <f t="shared" si="4"/>
        <v>0</v>
      </c>
      <c r="M7" s="581"/>
      <c r="N7" s="581"/>
      <c r="O7" s="584"/>
    </row>
    <row r="8" spans="1:18" ht="18">
      <c r="A8" s="293">
        <f t="shared" si="5"/>
        <v>46027</v>
      </c>
      <c r="B8" s="285">
        <v>2525170.66</v>
      </c>
      <c r="C8" s="285">
        <v>1074</v>
      </c>
      <c r="D8" s="286">
        <f t="shared" si="2"/>
        <v>4.2531778822426199E-4</v>
      </c>
      <c r="E8" s="287">
        <v>2429</v>
      </c>
      <c r="F8" s="288">
        <f t="shared" si="0"/>
        <v>9.6191518398205998E-4</v>
      </c>
      <c r="G8" s="285">
        <v>1074</v>
      </c>
      <c r="H8" s="288">
        <f t="shared" si="1"/>
        <v>1</v>
      </c>
      <c r="I8" s="289">
        <v>2429</v>
      </c>
      <c r="J8" s="288">
        <f t="shared" si="3"/>
        <v>1</v>
      </c>
      <c r="K8" s="290">
        <v>0</v>
      </c>
      <c r="L8" s="291">
        <f t="shared" si="4"/>
        <v>0</v>
      </c>
      <c r="M8" s="581"/>
      <c r="N8" s="581"/>
      <c r="O8" s="584"/>
      <c r="P8" s="292"/>
      <c r="Q8" s="292"/>
    </row>
    <row r="9" spans="1:18" ht="18">
      <c r="A9" s="293">
        <f t="shared" si="5"/>
        <v>46028</v>
      </c>
      <c r="B9" s="285">
        <v>2404271.42</v>
      </c>
      <c r="C9" s="285">
        <v>4412</v>
      </c>
      <c r="D9" s="286">
        <f t="shared" si="2"/>
        <v>1.8350673569126402E-3</v>
      </c>
      <c r="E9" s="287">
        <v>2833</v>
      </c>
      <c r="F9" s="288">
        <f t="shared" si="0"/>
        <v>1.1783195426413214E-3</v>
      </c>
      <c r="G9" s="285">
        <v>4412</v>
      </c>
      <c r="H9" s="288">
        <f t="shared" si="1"/>
        <v>1</v>
      </c>
      <c r="I9" s="289">
        <v>2833</v>
      </c>
      <c r="J9" s="288">
        <f t="shared" si="3"/>
        <v>1</v>
      </c>
      <c r="K9" s="290">
        <v>0</v>
      </c>
      <c r="L9" s="291">
        <f t="shared" si="4"/>
        <v>0</v>
      </c>
      <c r="M9" s="581"/>
      <c r="N9" s="581"/>
      <c r="O9" s="584"/>
    </row>
    <row r="10" spans="1:18" ht="18">
      <c r="A10" s="293">
        <f t="shared" si="5"/>
        <v>46029</v>
      </c>
      <c r="B10" s="285">
        <v>2398862.29</v>
      </c>
      <c r="C10" s="285">
        <v>4441</v>
      </c>
      <c r="D10" s="286">
        <f t="shared" si="2"/>
        <v>1.8512942649992635E-3</v>
      </c>
      <c r="E10" s="287">
        <v>8580</v>
      </c>
      <c r="F10" s="288">
        <f t="shared" si="0"/>
        <v>3.5766955176072235E-3</v>
      </c>
      <c r="G10" s="285">
        <v>4441</v>
      </c>
      <c r="H10" s="288">
        <f t="shared" si="1"/>
        <v>1</v>
      </c>
      <c r="I10" s="289">
        <v>8580</v>
      </c>
      <c r="J10" s="288">
        <f t="shared" si="3"/>
        <v>1</v>
      </c>
      <c r="K10" s="290">
        <v>0</v>
      </c>
      <c r="L10" s="291">
        <f t="shared" si="4"/>
        <v>0</v>
      </c>
      <c r="M10" s="581"/>
      <c r="N10" s="581"/>
      <c r="O10" s="584"/>
    </row>
    <row r="11" spans="1:18" ht="18">
      <c r="A11" s="352">
        <f t="shared" si="5"/>
        <v>46030</v>
      </c>
      <c r="B11" s="295">
        <v>2212516.35</v>
      </c>
      <c r="C11" s="295">
        <v>4962</v>
      </c>
      <c r="D11" s="296">
        <f t="shared" si="2"/>
        <v>2.2426952912686948E-3</v>
      </c>
      <c r="E11" s="295">
        <v>3264</v>
      </c>
      <c r="F11" s="297">
        <f t="shared" si="0"/>
        <v>1.4752433354899275E-3</v>
      </c>
      <c r="G11" s="295">
        <v>4962</v>
      </c>
      <c r="H11" s="297">
        <f t="shared" si="1"/>
        <v>1</v>
      </c>
      <c r="I11" s="295">
        <v>3264</v>
      </c>
      <c r="J11" s="297">
        <f t="shared" si="3"/>
        <v>1</v>
      </c>
      <c r="K11" s="295">
        <v>0</v>
      </c>
      <c r="L11" s="298">
        <f t="shared" si="4"/>
        <v>0</v>
      </c>
      <c r="M11" s="582"/>
      <c r="N11" s="582"/>
      <c r="O11" s="585"/>
    </row>
    <row r="12" spans="1:18" ht="18">
      <c r="A12" s="305">
        <f t="shared" si="5"/>
        <v>46031</v>
      </c>
      <c r="B12" s="278">
        <v>1901554.64</v>
      </c>
      <c r="C12" s="299">
        <v>17370</v>
      </c>
      <c r="D12" s="279">
        <f t="shared" si="2"/>
        <v>9.1346310195956296E-3</v>
      </c>
      <c r="E12" s="280">
        <v>7546</v>
      </c>
      <c r="F12" s="281">
        <f t="shared" si="0"/>
        <v>3.9683319328652055E-3</v>
      </c>
      <c r="G12" s="278">
        <v>17370</v>
      </c>
      <c r="H12" s="281">
        <f t="shared" si="1"/>
        <v>1</v>
      </c>
      <c r="I12" s="282">
        <v>7546</v>
      </c>
      <c r="J12" s="281">
        <f t="shared" si="3"/>
        <v>1</v>
      </c>
      <c r="K12" s="283">
        <v>0</v>
      </c>
      <c r="L12" s="284">
        <f t="shared" si="4"/>
        <v>0</v>
      </c>
      <c r="M12" s="580">
        <f t="shared" ref="M12:N12" si="6">SUM(B12:B18)</f>
        <v>15737532.67</v>
      </c>
      <c r="N12" s="580">
        <f t="shared" si="6"/>
        <v>95502</v>
      </c>
      <c r="O12" s="583">
        <f>SUM(E12:E18)</f>
        <v>39101</v>
      </c>
    </row>
    <row r="13" spans="1:18" ht="18">
      <c r="A13" s="351">
        <f t="shared" si="5"/>
        <v>46032</v>
      </c>
      <c r="B13" s="285">
        <v>2097914.63</v>
      </c>
      <c r="C13" s="285">
        <v>14551</v>
      </c>
      <c r="D13" s="286">
        <f t="shared" si="2"/>
        <v>6.9359352339327558E-3</v>
      </c>
      <c r="E13" s="287">
        <v>3451</v>
      </c>
      <c r="F13" s="288">
        <f t="shared" si="0"/>
        <v>1.6449668402379177E-3</v>
      </c>
      <c r="G13" s="285">
        <v>14551</v>
      </c>
      <c r="H13" s="288">
        <f t="shared" si="1"/>
        <v>1</v>
      </c>
      <c r="I13" s="289">
        <v>3451</v>
      </c>
      <c r="J13" s="288">
        <f t="shared" si="3"/>
        <v>1</v>
      </c>
      <c r="K13" s="290">
        <v>0</v>
      </c>
      <c r="L13" s="291">
        <f t="shared" si="4"/>
        <v>0</v>
      </c>
      <c r="M13" s="581"/>
      <c r="N13" s="581"/>
      <c r="O13" s="584"/>
    </row>
    <row r="14" spans="1:18" ht="18">
      <c r="A14" s="293">
        <f t="shared" si="5"/>
        <v>46033</v>
      </c>
      <c r="B14" s="285">
        <v>2521908.2000000002</v>
      </c>
      <c r="C14" s="285">
        <v>19264</v>
      </c>
      <c r="D14" s="286">
        <f t="shared" si="2"/>
        <v>7.6386602811315645E-3</v>
      </c>
      <c r="E14" s="287">
        <v>4110</v>
      </c>
      <c r="F14" s="288">
        <f t="shared" si="0"/>
        <v>1.6297183220229823E-3</v>
      </c>
      <c r="G14" s="285">
        <v>19264</v>
      </c>
      <c r="H14" s="288">
        <f t="shared" si="1"/>
        <v>1</v>
      </c>
      <c r="I14" s="289">
        <v>4110</v>
      </c>
      <c r="J14" s="288">
        <f t="shared" si="3"/>
        <v>1</v>
      </c>
      <c r="K14" s="290">
        <v>0</v>
      </c>
      <c r="L14" s="291">
        <f t="shared" si="4"/>
        <v>0</v>
      </c>
      <c r="M14" s="581"/>
      <c r="N14" s="581"/>
      <c r="O14" s="584"/>
    </row>
    <row r="15" spans="1:18" ht="18">
      <c r="A15" s="293">
        <f t="shared" si="5"/>
        <v>46034</v>
      </c>
      <c r="B15" s="285">
        <v>2487764.2200000002</v>
      </c>
      <c r="C15" s="285">
        <v>6137</v>
      </c>
      <c r="D15" s="286">
        <f t="shared" si="2"/>
        <v>2.4668736493042736E-3</v>
      </c>
      <c r="E15" s="287">
        <v>6956</v>
      </c>
      <c r="F15" s="288">
        <f t="shared" si="0"/>
        <v>2.7960849119375145E-3</v>
      </c>
      <c r="G15" s="285">
        <v>6137</v>
      </c>
      <c r="H15" s="288">
        <f t="shared" si="1"/>
        <v>1</v>
      </c>
      <c r="I15" s="289">
        <v>6956</v>
      </c>
      <c r="J15" s="288">
        <f t="shared" si="3"/>
        <v>1</v>
      </c>
      <c r="K15" s="290">
        <v>0</v>
      </c>
      <c r="L15" s="291">
        <f t="shared" si="4"/>
        <v>0</v>
      </c>
      <c r="M15" s="581"/>
      <c r="N15" s="581"/>
      <c r="O15" s="584"/>
      <c r="P15" s="300"/>
      <c r="Q15" s="300"/>
      <c r="R15" s="300"/>
    </row>
    <row r="16" spans="1:18" ht="18">
      <c r="A16" s="293">
        <f t="shared" si="5"/>
        <v>46035</v>
      </c>
      <c r="B16" s="285">
        <v>2453924.4700000002</v>
      </c>
      <c r="C16" s="285">
        <v>4616</v>
      </c>
      <c r="D16" s="286">
        <f t="shared" si="2"/>
        <v>1.8810684910770703E-3</v>
      </c>
      <c r="E16" s="287">
        <v>1814</v>
      </c>
      <c r="F16" s="288">
        <f t="shared" si="0"/>
        <v>7.392240560688487E-4</v>
      </c>
      <c r="G16" s="285">
        <v>4616</v>
      </c>
      <c r="H16" s="288">
        <f t="shared" si="1"/>
        <v>1</v>
      </c>
      <c r="I16" s="289">
        <v>1814</v>
      </c>
      <c r="J16" s="288">
        <f t="shared" si="3"/>
        <v>1</v>
      </c>
      <c r="K16" s="290">
        <v>0</v>
      </c>
      <c r="L16" s="291">
        <f t="shared" si="4"/>
        <v>0</v>
      </c>
      <c r="M16" s="581"/>
      <c r="N16" s="581"/>
      <c r="O16" s="584"/>
    </row>
    <row r="17" spans="1:17" ht="18">
      <c r="A17" s="293">
        <f t="shared" si="5"/>
        <v>46036</v>
      </c>
      <c r="B17" s="285">
        <v>2232406.1</v>
      </c>
      <c r="C17" s="285">
        <v>10585</v>
      </c>
      <c r="D17" s="286">
        <f t="shared" si="2"/>
        <v>4.7415208191735362E-3</v>
      </c>
      <c r="E17" s="301">
        <v>6216</v>
      </c>
      <c r="F17" s="288">
        <f t="shared" si="0"/>
        <v>2.7844396232388005E-3</v>
      </c>
      <c r="G17" s="285">
        <v>10585</v>
      </c>
      <c r="H17" s="288">
        <f t="shared" si="1"/>
        <v>1</v>
      </c>
      <c r="I17" s="289">
        <v>6216</v>
      </c>
      <c r="J17" s="288">
        <f t="shared" si="3"/>
        <v>1</v>
      </c>
      <c r="K17" s="290">
        <v>0</v>
      </c>
      <c r="L17" s="291">
        <f t="shared" si="4"/>
        <v>0</v>
      </c>
      <c r="M17" s="581"/>
      <c r="N17" s="581"/>
      <c r="O17" s="584"/>
      <c r="P17" s="369"/>
      <c r="Q17" s="369"/>
    </row>
    <row r="18" spans="1:17" ht="18">
      <c r="A18" s="352">
        <f t="shared" si="5"/>
        <v>46037</v>
      </c>
      <c r="B18" s="295">
        <v>2042060.41</v>
      </c>
      <c r="C18" s="295">
        <v>22979</v>
      </c>
      <c r="D18" s="296">
        <f t="shared" si="2"/>
        <v>1.1252850252358598E-2</v>
      </c>
      <c r="E18" s="302">
        <v>9008</v>
      </c>
      <c r="F18" s="297">
        <f t="shared" si="0"/>
        <v>4.4112309096673592E-3</v>
      </c>
      <c r="G18" s="295">
        <v>22979</v>
      </c>
      <c r="H18" s="297">
        <f t="shared" si="1"/>
        <v>1</v>
      </c>
      <c r="I18" s="303">
        <v>9008</v>
      </c>
      <c r="J18" s="297">
        <f t="shared" si="3"/>
        <v>1</v>
      </c>
      <c r="K18" s="304">
        <v>0</v>
      </c>
      <c r="L18" s="298">
        <f t="shared" si="4"/>
        <v>0</v>
      </c>
      <c r="M18" s="582"/>
      <c r="N18" s="582"/>
      <c r="O18" s="585"/>
    </row>
    <row r="19" spans="1:17" ht="18">
      <c r="A19" s="305">
        <f t="shared" si="5"/>
        <v>46038</v>
      </c>
      <c r="B19" s="278">
        <v>1901136.53</v>
      </c>
      <c r="C19" s="278">
        <v>2173</v>
      </c>
      <c r="D19" s="279">
        <f t="shared" si="2"/>
        <v>1.1430004977075476E-3</v>
      </c>
      <c r="E19" s="280">
        <v>3361</v>
      </c>
      <c r="F19" s="281">
        <f t="shared" si="0"/>
        <v>1.7678898632282869E-3</v>
      </c>
      <c r="G19" s="278">
        <v>2173</v>
      </c>
      <c r="H19" s="281">
        <f t="shared" si="1"/>
        <v>1</v>
      </c>
      <c r="I19" s="282">
        <v>3361</v>
      </c>
      <c r="J19" s="281">
        <f t="shared" si="3"/>
        <v>1</v>
      </c>
      <c r="K19" s="283">
        <v>0</v>
      </c>
      <c r="L19" s="284">
        <f t="shared" si="4"/>
        <v>0</v>
      </c>
      <c r="M19" s="580">
        <f t="shared" ref="M19:N19" si="7">SUM(B19:B25)</f>
        <v>17126135.990000002</v>
      </c>
      <c r="N19" s="580">
        <f t="shared" si="7"/>
        <v>41207</v>
      </c>
      <c r="O19" s="583">
        <f>SUM(E19:E25)</f>
        <v>30762</v>
      </c>
    </row>
    <row r="20" spans="1:17" ht="18">
      <c r="A20" s="351">
        <f t="shared" si="5"/>
        <v>46039</v>
      </c>
      <c r="B20" s="285">
        <v>2122148.15</v>
      </c>
      <c r="C20" s="285">
        <v>4719</v>
      </c>
      <c r="D20" s="286">
        <f t="shared" si="2"/>
        <v>2.2236901792176953E-3</v>
      </c>
      <c r="E20" s="287">
        <v>8269</v>
      </c>
      <c r="F20" s="288">
        <f t="shared" si="0"/>
        <v>3.8965234354632595E-3</v>
      </c>
      <c r="G20" s="285">
        <v>4719</v>
      </c>
      <c r="H20" s="288">
        <f t="shared" si="1"/>
        <v>1</v>
      </c>
      <c r="I20" s="289">
        <v>8269</v>
      </c>
      <c r="J20" s="288">
        <f t="shared" si="3"/>
        <v>1</v>
      </c>
      <c r="K20" s="290">
        <v>0</v>
      </c>
      <c r="L20" s="291">
        <f t="shared" si="4"/>
        <v>0</v>
      </c>
      <c r="M20" s="581"/>
      <c r="N20" s="581"/>
      <c r="O20" s="584"/>
    </row>
    <row r="21" spans="1:17" ht="18">
      <c r="A21" s="293">
        <f t="shared" si="5"/>
        <v>46040</v>
      </c>
      <c r="B21" s="285">
        <v>2467886.46</v>
      </c>
      <c r="C21" s="285">
        <v>4936</v>
      </c>
      <c r="D21" s="286">
        <f t="shared" si="2"/>
        <v>2.0000920139575627E-3</v>
      </c>
      <c r="E21" s="287">
        <v>2837</v>
      </c>
      <c r="F21" s="288">
        <f t="shared" si="0"/>
        <v>1.1495666619930319E-3</v>
      </c>
      <c r="G21" s="285">
        <v>4936</v>
      </c>
      <c r="H21" s="288">
        <f t="shared" si="1"/>
        <v>1</v>
      </c>
      <c r="I21" s="289">
        <v>2837</v>
      </c>
      <c r="J21" s="288">
        <f t="shared" si="3"/>
        <v>1</v>
      </c>
      <c r="K21" s="290">
        <v>0</v>
      </c>
      <c r="L21" s="291">
        <f t="shared" si="4"/>
        <v>0</v>
      </c>
      <c r="M21" s="581"/>
      <c r="N21" s="581"/>
      <c r="O21" s="584"/>
    </row>
    <row r="22" spans="1:17" ht="18">
      <c r="A22" s="293">
        <f t="shared" si="5"/>
        <v>46041</v>
      </c>
      <c r="B22" s="285">
        <v>2494015.69</v>
      </c>
      <c r="C22" s="285">
        <v>4636</v>
      </c>
      <c r="D22" s="286">
        <f t="shared" si="2"/>
        <v>1.8588495728348847E-3</v>
      </c>
      <c r="E22" s="287">
        <v>3930</v>
      </c>
      <c r="F22" s="288">
        <f t="shared" si="0"/>
        <v>1.5757719631667594E-3</v>
      </c>
      <c r="G22" s="285">
        <v>4636</v>
      </c>
      <c r="H22" s="288">
        <f t="shared" si="1"/>
        <v>1</v>
      </c>
      <c r="I22" s="289">
        <v>3930</v>
      </c>
      <c r="J22" s="288">
        <f t="shared" si="3"/>
        <v>1</v>
      </c>
      <c r="K22" s="290">
        <v>0</v>
      </c>
      <c r="L22" s="291">
        <f t="shared" si="4"/>
        <v>0</v>
      </c>
      <c r="M22" s="581"/>
      <c r="N22" s="581"/>
      <c r="O22" s="584"/>
    </row>
    <row r="23" spans="1:17" ht="18">
      <c r="A23" s="293">
        <f t="shared" si="5"/>
        <v>46042</v>
      </c>
      <c r="B23" s="285">
        <v>2998261.92</v>
      </c>
      <c r="C23" s="285">
        <v>8942</v>
      </c>
      <c r="D23" s="286">
        <f t="shared" si="2"/>
        <v>2.9823945467712843E-3</v>
      </c>
      <c r="E23" s="287">
        <v>4750</v>
      </c>
      <c r="F23" s="288">
        <f t="shared" si="0"/>
        <v>1.5842511850999328E-3</v>
      </c>
      <c r="G23" s="285">
        <v>8942</v>
      </c>
      <c r="H23" s="288">
        <f t="shared" si="1"/>
        <v>1</v>
      </c>
      <c r="I23" s="289">
        <v>4750</v>
      </c>
      <c r="J23" s="288">
        <f t="shared" si="3"/>
        <v>1</v>
      </c>
      <c r="K23" s="290">
        <v>0</v>
      </c>
      <c r="L23" s="291">
        <f t="shared" si="4"/>
        <v>0</v>
      </c>
      <c r="M23" s="581"/>
      <c r="N23" s="581"/>
      <c r="O23" s="584"/>
    </row>
    <row r="24" spans="1:17" ht="18">
      <c r="A24" s="293">
        <f t="shared" si="5"/>
        <v>46043</v>
      </c>
      <c r="B24" s="285">
        <v>2518253.0699999998</v>
      </c>
      <c r="C24" s="285">
        <v>10473</v>
      </c>
      <c r="D24" s="286">
        <f t="shared" si="2"/>
        <v>4.1588353945697766E-3</v>
      </c>
      <c r="E24" s="287">
        <v>3400</v>
      </c>
      <c r="F24" s="288">
        <f t="shared" si="0"/>
        <v>1.3501423032118056E-3</v>
      </c>
      <c r="G24" s="285">
        <v>10473</v>
      </c>
      <c r="H24" s="288">
        <f t="shared" si="1"/>
        <v>1</v>
      </c>
      <c r="I24" s="289">
        <v>3400</v>
      </c>
      <c r="J24" s="288">
        <f t="shared" si="3"/>
        <v>1</v>
      </c>
      <c r="K24" s="290">
        <v>0</v>
      </c>
      <c r="L24" s="291">
        <f t="shared" si="4"/>
        <v>0</v>
      </c>
      <c r="M24" s="581"/>
      <c r="N24" s="581"/>
      <c r="O24" s="584"/>
    </row>
    <row r="25" spans="1:17" ht="18">
      <c r="A25" s="352">
        <f t="shared" si="5"/>
        <v>46044</v>
      </c>
      <c r="B25" s="295">
        <v>2624434.17</v>
      </c>
      <c r="C25" s="295">
        <v>5328</v>
      </c>
      <c r="D25" s="296">
        <f t="shared" si="2"/>
        <v>2.0301518936556144E-3</v>
      </c>
      <c r="E25" s="302">
        <v>4215</v>
      </c>
      <c r="F25" s="297">
        <f t="shared" si="0"/>
        <v>1.6060604789336363E-3</v>
      </c>
      <c r="G25" s="295">
        <v>5328</v>
      </c>
      <c r="H25" s="297">
        <f t="shared" si="1"/>
        <v>1</v>
      </c>
      <c r="I25" s="303">
        <v>4215</v>
      </c>
      <c r="J25" s="297">
        <f t="shared" si="3"/>
        <v>1</v>
      </c>
      <c r="K25" s="304">
        <v>0</v>
      </c>
      <c r="L25" s="298">
        <f t="shared" si="4"/>
        <v>0</v>
      </c>
      <c r="M25" s="582"/>
      <c r="N25" s="582"/>
      <c r="O25" s="585"/>
    </row>
    <row r="26" spans="1:17" ht="18">
      <c r="A26" s="305">
        <f t="shared" si="5"/>
        <v>46045</v>
      </c>
      <c r="B26" s="278">
        <v>2037145.6500000001</v>
      </c>
      <c r="C26" s="278">
        <v>4325</v>
      </c>
      <c r="D26" s="279">
        <f t="shared" si="2"/>
        <v>2.1230686180931635E-3</v>
      </c>
      <c r="E26" s="280">
        <v>1001</v>
      </c>
      <c r="F26" s="281">
        <f t="shared" si="0"/>
        <v>4.9137380039566633E-4</v>
      </c>
      <c r="G26" s="278">
        <v>4325</v>
      </c>
      <c r="H26" s="281">
        <f t="shared" si="1"/>
        <v>1</v>
      </c>
      <c r="I26" s="282">
        <v>1001</v>
      </c>
      <c r="J26" s="281">
        <f t="shared" si="3"/>
        <v>1</v>
      </c>
      <c r="K26" s="283">
        <v>0</v>
      </c>
      <c r="L26" s="284">
        <f t="shared" si="4"/>
        <v>0</v>
      </c>
      <c r="M26" s="580">
        <f t="shared" ref="M26:N26" si="8">SUM(B26:B32)</f>
        <v>17812067.299999997</v>
      </c>
      <c r="N26" s="580">
        <f t="shared" si="8"/>
        <v>46710</v>
      </c>
      <c r="O26" s="583">
        <f>SUM(E26:E32)</f>
        <v>42114</v>
      </c>
    </row>
    <row r="27" spans="1:17" ht="18">
      <c r="A27" s="351">
        <f t="shared" si="5"/>
        <v>46046</v>
      </c>
      <c r="B27" s="285">
        <v>2368780.83</v>
      </c>
      <c r="C27" s="285">
        <v>9461</v>
      </c>
      <c r="D27" s="286">
        <f t="shared" si="2"/>
        <v>3.9940377261496159E-3</v>
      </c>
      <c r="E27" s="287">
        <v>10457</v>
      </c>
      <c r="F27" s="288">
        <f t="shared" si="0"/>
        <v>4.4145071876489309E-3</v>
      </c>
      <c r="G27" s="285">
        <v>9461</v>
      </c>
      <c r="H27" s="288">
        <f t="shared" si="1"/>
        <v>1</v>
      </c>
      <c r="I27" s="289">
        <v>10457</v>
      </c>
      <c r="J27" s="288">
        <f t="shared" si="3"/>
        <v>1</v>
      </c>
      <c r="K27" s="290">
        <v>0</v>
      </c>
      <c r="L27" s="291">
        <f t="shared" si="4"/>
        <v>0</v>
      </c>
      <c r="M27" s="581"/>
      <c r="N27" s="581"/>
      <c r="O27" s="584"/>
    </row>
    <row r="28" spans="1:17" ht="18">
      <c r="A28" s="293">
        <f t="shared" si="5"/>
        <v>46047</v>
      </c>
      <c r="B28" s="285">
        <v>2961303.19</v>
      </c>
      <c r="C28" s="285">
        <v>7267</v>
      </c>
      <c r="D28" s="286">
        <f t="shared" si="2"/>
        <v>2.4539871582686542E-3</v>
      </c>
      <c r="E28" s="287">
        <v>8492</v>
      </c>
      <c r="F28" s="288">
        <f t="shared" si="0"/>
        <v>2.8676563847553887E-3</v>
      </c>
      <c r="G28" s="285">
        <v>7267</v>
      </c>
      <c r="H28" s="288">
        <f t="shared" si="1"/>
        <v>1</v>
      </c>
      <c r="I28" s="289">
        <v>8492</v>
      </c>
      <c r="J28" s="288">
        <f t="shared" si="3"/>
        <v>1</v>
      </c>
      <c r="K28" s="290">
        <v>0</v>
      </c>
      <c r="L28" s="291">
        <f t="shared" si="4"/>
        <v>0</v>
      </c>
      <c r="M28" s="581"/>
      <c r="N28" s="581"/>
      <c r="O28" s="584"/>
    </row>
    <row r="29" spans="1:17" ht="18">
      <c r="A29" s="293">
        <f t="shared" si="5"/>
        <v>46048</v>
      </c>
      <c r="B29" s="285">
        <v>2761209.7699999996</v>
      </c>
      <c r="C29" s="285">
        <v>5098</v>
      </c>
      <c r="D29" s="286">
        <f t="shared" si="2"/>
        <v>1.8462921779390925E-3</v>
      </c>
      <c r="E29" s="287">
        <v>3371</v>
      </c>
      <c r="F29" s="288">
        <f t="shared" si="0"/>
        <v>1.220841689257097E-3</v>
      </c>
      <c r="G29" s="285">
        <v>5098</v>
      </c>
      <c r="H29" s="288">
        <f t="shared" si="1"/>
        <v>1</v>
      </c>
      <c r="I29" s="289">
        <v>3371</v>
      </c>
      <c r="J29" s="288">
        <f t="shared" si="3"/>
        <v>1</v>
      </c>
      <c r="K29" s="290">
        <v>0</v>
      </c>
      <c r="L29" s="291">
        <f t="shared" si="4"/>
        <v>0</v>
      </c>
      <c r="M29" s="581"/>
      <c r="N29" s="581"/>
      <c r="O29" s="584"/>
    </row>
    <row r="30" spans="1:17" ht="18">
      <c r="A30" s="293">
        <f t="shared" si="5"/>
        <v>46049</v>
      </c>
      <c r="B30" s="285">
        <v>2551423.8699999996</v>
      </c>
      <c r="C30" s="285">
        <v>5966</v>
      </c>
      <c r="D30" s="286">
        <f t="shared" si="2"/>
        <v>2.3383021810484202E-3</v>
      </c>
      <c r="E30" s="287">
        <v>2635</v>
      </c>
      <c r="F30" s="288">
        <f t="shared" si="0"/>
        <v>1.0327566622632563E-3</v>
      </c>
      <c r="G30" s="285">
        <v>5966</v>
      </c>
      <c r="H30" s="288">
        <f t="shared" si="1"/>
        <v>1</v>
      </c>
      <c r="I30" s="289">
        <v>2635</v>
      </c>
      <c r="J30" s="288">
        <f t="shared" si="3"/>
        <v>1</v>
      </c>
      <c r="K30" s="290">
        <v>0</v>
      </c>
      <c r="L30" s="291">
        <f t="shared" si="4"/>
        <v>0</v>
      </c>
      <c r="M30" s="581"/>
      <c r="N30" s="581"/>
      <c r="O30" s="584"/>
    </row>
    <row r="31" spans="1:17" ht="18">
      <c r="A31" s="293">
        <f t="shared" si="5"/>
        <v>46050</v>
      </c>
      <c r="B31" s="285">
        <v>2542380.25</v>
      </c>
      <c r="C31" s="285">
        <v>5815</v>
      </c>
      <c r="D31" s="286">
        <f t="shared" si="2"/>
        <v>2.2872267041879357E-3</v>
      </c>
      <c r="E31" s="287">
        <v>7514</v>
      </c>
      <c r="F31" s="288">
        <f t="shared" si="0"/>
        <v>2.9554981006480051E-3</v>
      </c>
      <c r="G31" s="285">
        <v>5815</v>
      </c>
      <c r="H31" s="288">
        <f t="shared" si="1"/>
        <v>1</v>
      </c>
      <c r="I31" s="289">
        <v>7514</v>
      </c>
      <c r="J31" s="288">
        <f t="shared" si="3"/>
        <v>1</v>
      </c>
      <c r="K31" s="290">
        <v>0</v>
      </c>
      <c r="L31" s="291">
        <f t="shared" si="4"/>
        <v>0</v>
      </c>
      <c r="M31" s="581"/>
      <c r="N31" s="581"/>
      <c r="O31" s="584"/>
    </row>
    <row r="32" spans="1:17" ht="18">
      <c r="A32" s="352">
        <f t="shared" si="5"/>
        <v>46051</v>
      </c>
      <c r="B32" s="295">
        <v>2589823.7400000002</v>
      </c>
      <c r="C32" s="295">
        <v>8778</v>
      </c>
      <c r="D32" s="296">
        <f t="shared" si="2"/>
        <v>3.3894198529510733E-3</v>
      </c>
      <c r="E32" s="302">
        <v>8644</v>
      </c>
      <c r="F32" s="297">
        <f t="shared" si="0"/>
        <v>3.337678880030654E-3</v>
      </c>
      <c r="G32" s="295">
        <v>8778</v>
      </c>
      <c r="H32" s="297">
        <f t="shared" si="1"/>
        <v>1</v>
      </c>
      <c r="I32" s="303">
        <v>8644</v>
      </c>
      <c r="J32" s="297">
        <f t="shared" si="3"/>
        <v>1</v>
      </c>
      <c r="K32" s="304">
        <v>0</v>
      </c>
      <c r="L32" s="298">
        <f t="shared" si="4"/>
        <v>0</v>
      </c>
      <c r="M32" s="582"/>
      <c r="N32" s="582"/>
      <c r="O32" s="585"/>
    </row>
    <row r="33" spans="1:15" ht="18">
      <c r="A33" s="353">
        <f t="shared" si="5"/>
        <v>46052</v>
      </c>
      <c r="B33" s="306">
        <v>2295961.2799999998</v>
      </c>
      <c r="C33" s="306">
        <v>5473</v>
      </c>
      <c r="D33" s="307">
        <f t="shared" si="2"/>
        <v>2.3837510012363972E-3</v>
      </c>
      <c r="E33" s="308">
        <v>6420</v>
      </c>
      <c r="F33" s="309">
        <f t="shared" si="0"/>
        <v>2.7962144030582261E-3</v>
      </c>
      <c r="G33" s="306">
        <v>5473</v>
      </c>
      <c r="H33" s="309">
        <f t="shared" si="1"/>
        <v>1</v>
      </c>
      <c r="I33" s="310">
        <v>6420</v>
      </c>
      <c r="J33" s="309">
        <f t="shared" si="3"/>
        <v>1</v>
      </c>
      <c r="K33" s="311">
        <v>0</v>
      </c>
      <c r="L33" s="312">
        <f t="shared" si="4"/>
        <v>0</v>
      </c>
      <c r="M33" s="354"/>
      <c r="N33" s="354"/>
      <c r="O33" s="355"/>
    </row>
    <row r="34" spans="1:15" ht="18">
      <c r="A34" s="294">
        <f t="shared" si="5"/>
        <v>46053</v>
      </c>
      <c r="B34" s="295">
        <v>2492374.5900000003</v>
      </c>
      <c r="C34" s="295">
        <v>6229</v>
      </c>
      <c r="D34" s="296">
        <f t="shared" si="2"/>
        <v>2.4992230401450206E-3</v>
      </c>
      <c r="E34" s="302">
        <v>16196</v>
      </c>
      <c r="F34" s="297">
        <f t="shared" si="0"/>
        <v>6.4982206386560853E-3</v>
      </c>
      <c r="G34" s="295">
        <v>6229</v>
      </c>
      <c r="H34" s="297">
        <f t="shared" si="1"/>
        <v>1</v>
      </c>
      <c r="I34" s="303">
        <v>16196</v>
      </c>
      <c r="J34" s="297">
        <f t="shared" si="3"/>
        <v>1</v>
      </c>
      <c r="K34" s="311">
        <v>0</v>
      </c>
      <c r="L34" s="298">
        <f t="shared" si="4"/>
        <v>0</v>
      </c>
      <c r="M34" s="356"/>
      <c r="N34" s="356"/>
      <c r="O34" s="357"/>
    </row>
    <row r="35" spans="1:15" ht="18">
      <c r="A35" s="358" t="s">
        <v>281</v>
      </c>
      <c r="B35" s="306">
        <f>AVERAGE(B4:B34)</f>
        <v>2384064.5870967745</v>
      </c>
      <c r="C35" s="306">
        <f>AVERAGE(C4:C34)</f>
        <v>7767.9677419354839</v>
      </c>
      <c r="D35" s="307">
        <f>C35/B35</f>
        <v>3.2582874574698614E-3</v>
      </c>
      <c r="E35" s="308">
        <f>AVERAGE(E4:E34)</f>
        <v>5391.2258064516127</v>
      </c>
      <c r="F35" s="359">
        <f>E35/B35</f>
        <v>2.2613589563095049E-3</v>
      </c>
      <c r="G35" s="306">
        <f>AVERAGE(G4:G34)</f>
        <v>7767.9677419354839</v>
      </c>
      <c r="H35" s="309">
        <f>G35/C35</f>
        <v>1</v>
      </c>
      <c r="I35" s="310">
        <f>AVERAGE(I4:I34)</f>
        <v>5391.2258064516127</v>
      </c>
      <c r="J35" s="309">
        <f>I35/E35</f>
        <v>1</v>
      </c>
      <c r="K35" s="311">
        <f>AVERAGE(K4:K34)</f>
        <v>0</v>
      </c>
      <c r="L35" s="312">
        <f>K35/C35</f>
        <v>0</v>
      </c>
      <c r="M35" s="313"/>
    </row>
    <row r="36" spans="1:15" ht="18">
      <c r="A36" s="314" t="s">
        <v>139</v>
      </c>
      <c r="B36" s="285">
        <f>SUM(B4:B34)</f>
        <v>73906002.200000003</v>
      </c>
      <c r="C36" s="285">
        <f>SUM(C4:C34)</f>
        <v>240807</v>
      </c>
      <c r="D36" s="286">
        <f>C36/B36</f>
        <v>3.2582874574698614E-3</v>
      </c>
      <c r="E36" s="287">
        <f>SUM(E4:E34)</f>
        <v>167128</v>
      </c>
      <c r="F36" s="315">
        <f>E36/B36</f>
        <v>2.2613589563095053E-3</v>
      </c>
      <c r="G36" s="285">
        <f>SUM(G4:G34)</f>
        <v>240807</v>
      </c>
      <c r="H36" s="288">
        <f>G36/C36</f>
        <v>1</v>
      </c>
      <c r="I36" s="289">
        <f>SUM(I4:I34)</f>
        <v>167128</v>
      </c>
      <c r="J36" s="288">
        <f>I36/E36</f>
        <v>1</v>
      </c>
      <c r="K36" s="290">
        <f>SUM(K4:K34)</f>
        <v>0</v>
      </c>
      <c r="L36" s="291">
        <f>K36/C36</f>
        <v>0</v>
      </c>
      <c r="M36" s="313"/>
    </row>
    <row r="37" spans="1:15" ht="25.5">
      <c r="A37" s="586"/>
      <c r="B37" s="586"/>
      <c r="C37" s="586"/>
      <c r="D37" s="586"/>
      <c r="E37" s="586"/>
      <c r="F37" s="316"/>
      <c r="G37" s="316"/>
      <c r="H37" s="316"/>
      <c r="I37" s="316"/>
      <c r="J37" s="316"/>
      <c r="K37" s="316"/>
      <c r="L37" s="316"/>
      <c r="M37" s="316"/>
    </row>
    <row r="38" spans="1:15" ht="18">
      <c r="A38" s="316"/>
      <c r="B38" s="316"/>
      <c r="C38" s="316"/>
      <c r="D38" s="316"/>
      <c r="E38" s="316"/>
      <c r="F38" s="316"/>
      <c r="G38" s="316"/>
      <c r="H38" s="316"/>
      <c r="I38" s="316"/>
      <c r="J38" s="316"/>
      <c r="K38" s="316"/>
      <c r="L38" s="316"/>
      <c r="M38" s="316"/>
    </row>
    <row r="39" spans="1:15" ht="18">
      <c r="A39" s="316"/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</row>
    <row r="40" spans="1:15" ht="18">
      <c r="A40" s="316"/>
      <c r="B40" s="316"/>
      <c r="C40" s="316"/>
      <c r="D40" s="316"/>
      <c r="E40" s="316"/>
      <c r="F40" s="316"/>
      <c r="G40" s="316"/>
      <c r="H40" s="316"/>
      <c r="I40" s="316"/>
      <c r="J40" s="316"/>
      <c r="K40" s="316"/>
      <c r="L40" s="316"/>
      <c r="M40" s="316"/>
    </row>
    <row r="41" spans="1:15" ht="18">
      <c r="A41" s="316"/>
      <c r="B41" s="316"/>
      <c r="C41" s="316"/>
      <c r="D41" s="316"/>
      <c r="E41" s="316"/>
      <c r="F41" s="316"/>
      <c r="G41" s="316"/>
      <c r="H41" s="316"/>
      <c r="I41" s="316"/>
      <c r="J41" s="316"/>
      <c r="K41" s="316"/>
      <c r="L41" s="316"/>
      <c r="M41" s="316"/>
    </row>
    <row r="42" spans="1:15" ht="18">
      <c r="A42" s="316"/>
      <c r="B42" s="316"/>
      <c r="C42" s="316"/>
      <c r="D42" s="316"/>
      <c r="E42" s="317"/>
      <c r="F42" s="316"/>
      <c r="G42" s="316"/>
      <c r="H42" s="316"/>
      <c r="I42" s="316"/>
      <c r="J42" s="316"/>
      <c r="K42" s="316"/>
      <c r="L42" s="316"/>
      <c r="M42" s="316"/>
    </row>
    <row r="43" spans="1:15" ht="18">
      <c r="A43" s="316"/>
      <c r="B43" s="316"/>
      <c r="C43" s="316"/>
      <c r="D43" s="316"/>
      <c r="E43" s="318"/>
      <c r="F43" s="316"/>
      <c r="G43" s="316"/>
      <c r="H43" s="316"/>
      <c r="I43" s="316"/>
      <c r="J43" s="316"/>
      <c r="K43" s="316"/>
      <c r="L43" s="316"/>
      <c r="M43" s="316"/>
    </row>
    <row r="44" spans="1:15" ht="18">
      <c r="A44" s="316"/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</row>
    <row r="45" spans="1:15" ht="18">
      <c r="A45" s="316"/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</row>
    <row r="46" spans="1:15" ht="18">
      <c r="A46" s="316"/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</row>
    <row r="47" spans="1:15" ht="18">
      <c r="A47" s="316"/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</row>
    <row r="48" spans="1:15" ht="18">
      <c r="A48" s="316"/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</row>
    <row r="49" spans="1:13" ht="18">
      <c r="A49" s="316"/>
      <c r="B49" s="316"/>
      <c r="C49" s="316"/>
      <c r="D49" s="316"/>
      <c r="E49" s="316"/>
      <c r="F49" s="316"/>
      <c r="G49" s="316"/>
      <c r="H49" s="316"/>
      <c r="I49" s="316"/>
      <c r="J49" s="316"/>
      <c r="K49" s="316"/>
      <c r="L49" s="316"/>
      <c r="M49" s="316"/>
    </row>
    <row r="50" spans="1:13" ht="18">
      <c r="A50" s="316"/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</row>
    <row r="51" spans="1:13" ht="18">
      <c r="A51" s="316"/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</row>
    <row r="52" spans="1:13" ht="18">
      <c r="A52" s="316"/>
      <c r="B52" s="316"/>
      <c r="C52" s="316"/>
      <c r="D52" s="316"/>
      <c r="E52" s="316"/>
      <c r="F52" s="316"/>
      <c r="G52" s="316"/>
      <c r="H52" s="316"/>
      <c r="I52" s="316"/>
      <c r="J52" s="316"/>
      <c r="K52" s="316"/>
      <c r="L52" s="316"/>
      <c r="M52" s="316"/>
    </row>
    <row r="53" spans="1:13" ht="18">
      <c r="A53" s="316"/>
      <c r="B53" s="316"/>
      <c r="C53" s="316"/>
      <c r="D53" s="316"/>
      <c r="E53" s="316"/>
      <c r="F53" s="316"/>
      <c r="G53" s="316"/>
      <c r="H53" s="316"/>
      <c r="I53" s="316"/>
      <c r="J53" s="316"/>
      <c r="K53" s="316"/>
      <c r="L53" s="316"/>
      <c r="M53" s="316"/>
    </row>
    <row r="54" spans="1:13" ht="18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</row>
    <row r="55" spans="1:13" ht="18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</row>
    <row r="56" spans="1:13" ht="18">
      <c r="A56" s="316"/>
      <c r="B56" s="316"/>
      <c r="C56" s="316"/>
      <c r="D56" s="316"/>
      <c r="E56" s="316"/>
      <c r="F56" s="316"/>
      <c r="G56" s="316"/>
      <c r="H56" s="316"/>
      <c r="I56" s="316"/>
      <c r="J56" s="316"/>
      <c r="K56" s="316"/>
      <c r="L56" s="316"/>
      <c r="M56" s="316"/>
    </row>
    <row r="57" spans="1:13" ht="18">
      <c r="A57" s="316"/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</row>
    <row r="58" spans="1:13" ht="18">
      <c r="A58" s="316"/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</row>
    <row r="59" spans="1:13" ht="18">
      <c r="A59" s="316"/>
      <c r="B59" s="316"/>
      <c r="C59" s="316"/>
      <c r="D59" s="316"/>
      <c r="E59" s="316"/>
      <c r="F59" s="316"/>
      <c r="G59" s="316"/>
      <c r="H59" s="316"/>
      <c r="I59" s="316"/>
      <c r="J59" s="316"/>
      <c r="K59" s="316"/>
      <c r="L59" s="316"/>
      <c r="M59" s="316"/>
    </row>
    <row r="60" spans="1:13" ht="18">
      <c r="A60" s="316"/>
      <c r="B60" s="316"/>
      <c r="C60" s="316"/>
      <c r="D60" s="316"/>
      <c r="E60" s="316"/>
      <c r="F60" s="316"/>
      <c r="G60" s="316"/>
      <c r="H60" s="316"/>
      <c r="I60" s="316"/>
      <c r="J60" s="316"/>
      <c r="K60" s="316"/>
      <c r="L60" s="316"/>
      <c r="M60" s="316"/>
    </row>
    <row r="61" spans="1:13" ht="18">
      <c r="A61" s="316"/>
      <c r="B61" s="316"/>
      <c r="C61" s="316"/>
      <c r="D61" s="316"/>
      <c r="E61" s="316"/>
      <c r="F61" s="316"/>
      <c r="G61" s="316"/>
      <c r="H61" s="316"/>
      <c r="I61" s="316"/>
      <c r="J61" s="316"/>
      <c r="K61" s="316"/>
      <c r="L61" s="316"/>
      <c r="M61" s="316"/>
    </row>
    <row r="62" spans="1:13" ht="18">
      <c r="A62" s="316"/>
      <c r="B62" s="316"/>
      <c r="C62" s="316"/>
      <c r="D62" s="316"/>
      <c r="E62" s="316"/>
      <c r="F62" s="316"/>
      <c r="G62" s="316"/>
      <c r="H62" s="316"/>
      <c r="I62" s="316"/>
      <c r="J62" s="316"/>
      <c r="K62" s="316"/>
      <c r="L62" s="316"/>
      <c r="M62" s="316"/>
    </row>
    <row r="63" spans="1:13" ht="18">
      <c r="A63" s="316"/>
      <c r="B63" s="316"/>
      <c r="C63" s="316"/>
      <c r="D63" s="316"/>
      <c r="E63" s="316"/>
      <c r="F63" s="316"/>
      <c r="G63" s="316"/>
      <c r="H63" s="316"/>
      <c r="I63" s="316"/>
      <c r="J63" s="316"/>
      <c r="K63" s="316"/>
      <c r="L63" s="316"/>
      <c r="M63" s="316"/>
    </row>
    <row r="64" spans="1:13" ht="18">
      <c r="A64" s="316"/>
      <c r="B64" s="316"/>
      <c r="C64" s="316"/>
      <c r="D64" s="316"/>
      <c r="E64" s="316"/>
      <c r="F64" s="316"/>
      <c r="G64" s="316"/>
      <c r="H64" s="316"/>
      <c r="I64" s="316"/>
      <c r="J64" s="316"/>
      <c r="K64" s="316"/>
      <c r="L64" s="316"/>
      <c r="M64" s="316"/>
    </row>
    <row r="65" spans="1:13" ht="18">
      <c r="A65" s="316"/>
      <c r="B65" s="316"/>
      <c r="C65" s="316"/>
      <c r="D65" s="316"/>
      <c r="E65" s="316"/>
      <c r="F65" s="316"/>
      <c r="G65" s="316"/>
      <c r="H65" s="316"/>
      <c r="I65" s="316"/>
      <c r="J65" s="316"/>
      <c r="K65" s="316"/>
      <c r="L65" s="316"/>
      <c r="M65" s="316"/>
    </row>
    <row r="66" spans="1:13" ht="18">
      <c r="A66" s="316"/>
      <c r="B66" s="316"/>
      <c r="C66" s="316"/>
      <c r="D66" s="316"/>
      <c r="E66" s="316"/>
      <c r="F66" s="316"/>
      <c r="G66" s="316"/>
      <c r="H66" s="316"/>
      <c r="I66" s="316"/>
      <c r="J66" s="316"/>
      <c r="K66" s="316"/>
      <c r="L66" s="316"/>
      <c r="M66" s="316"/>
    </row>
  </sheetData>
  <mergeCells count="24">
    <mergeCell ref="A37:E37"/>
    <mergeCell ref="M19:M25"/>
    <mergeCell ref="N19:N25"/>
    <mergeCell ref="O19:O25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4" operator="greaterThan">
      <formula>0.0025</formula>
    </cfRule>
  </conditionalFormatting>
  <conditionalFormatting sqref="H4:H36 J4:J36">
    <cfRule type="cellIs" dxfId="2" priority="2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6" width="12.5703125" style="2" customWidth="1"/>
    <col min="7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282</v>
      </c>
      <c r="D2" s="5" t="s">
        <v>283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284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9</v>
      </c>
      <c r="K5" s="7" t="s">
        <v>11</v>
      </c>
      <c r="L5" s="62" t="s">
        <v>13</v>
      </c>
      <c r="M5" s="7"/>
      <c r="N5" s="49" t="s">
        <v>8</v>
      </c>
      <c r="O5" s="49" t="s">
        <v>34</v>
      </c>
      <c r="P5" s="49" t="s">
        <v>9</v>
      </c>
      <c r="Q5" s="49" t="s">
        <v>10</v>
      </c>
      <c r="R5" s="67"/>
      <c r="S5" s="7"/>
      <c r="T5" s="49" t="s">
        <v>8</v>
      </c>
      <c r="U5" s="49" t="s">
        <v>34</v>
      </c>
      <c r="V5" s="49" t="s">
        <v>9</v>
      </c>
      <c r="W5" s="49" t="s">
        <v>10</v>
      </c>
    </row>
    <row r="6" spans="1:23" ht="15.75" customHeight="1">
      <c r="A6" s="49" t="s">
        <v>14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285</v>
      </c>
      <c r="H6" s="11">
        <v>110</v>
      </c>
      <c r="I6" s="11">
        <v>100</v>
      </c>
      <c r="J6" s="11">
        <v>90</v>
      </c>
      <c r="K6" s="12"/>
      <c r="L6" s="62" t="s">
        <v>286</v>
      </c>
      <c r="M6" s="49" t="s">
        <v>287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287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17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288</v>
      </c>
      <c r="H7" s="14">
        <v>0.8</v>
      </c>
      <c r="I7" s="14">
        <v>0.85</v>
      </c>
      <c r="J7" s="14">
        <v>0.81</v>
      </c>
      <c r="K7" s="14">
        <v>0.84</v>
      </c>
      <c r="L7" s="66" t="s">
        <v>19</v>
      </c>
      <c r="M7" s="49" t="s">
        <v>289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289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20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290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22</v>
      </c>
      <c r="M8" s="49" t="s">
        <v>291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291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23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292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25</v>
      </c>
      <c r="M9" s="49" t="s">
        <v>293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293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26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28</v>
      </c>
      <c r="M10" s="49" t="s">
        <v>295</v>
      </c>
      <c r="N10" s="9" t="s">
        <v>296</v>
      </c>
      <c r="O10" s="13" t="str">
        <f t="shared" si="2"/>
        <v/>
      </c>
      <c r="P10" s="4" t="s">
        <v>297</v>
      </c>
      <c r="Q10" s="13" t="str">
        <f t="shared" si="3"/>
        <v/>
      </c>
      <c r="S10" s="49" t="s">
        <v>295</v>
      </c>
      <c r="T10" s="9" t="s">
        <v>296</v>
      </c>
      <c r="U10" s="13" t="str">
        <f t="shared" si="4"/>
        <v/>
      </c>
      <c r="V10" s="4" t="s">
        <v>297</v>
      </c>
      <c r="W10" s="13" t="str">
        <f t="shared" si="5"/>
        <v/>
      </c>
    </row>
    <row r="11" spans="1:23" ht="15.75" customHeight="1">
      <c r="A11" s="49" t="s">
        <v>29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31</v>
      </c>
      <c r="M11" s="49" t="s">
        <v>299</v>
      </c>
      <c r="N11" s="9" t="s">
        <v>296</v>
      </c>
      <c r="O11" s="13" t="str">
        <f t="shared" si="2"/>
        <v/>
      </c>
      <c r="P11" s="4" t="s">
        <v>297</v>
      </c>
      <c r="Q11" s="13" t="str">
        <f t="shared" si="3"/>
        <v/>
      </c>
      <c r="S11" s="49" t="s">
        <v>299</v>
      </c>
      <c r="T11" s="9" t="s">
        <v>296</v>
      </c>
      <c r="U11" s="13" t="str">
        <f t="shared" si="4"/>
        <v/>
      </c>
      <c r="V11" s="4" t="s">
        <v>297</v>
      </c>
      <c r="W11" s="13" t="str">
        <f t="shared" si="5"/>
        <v/>
      </c>
    </row>
    <row r="12" spans="1:23" ht="15.75" customHeight="1">
      <c r="M12" s="49" t="s">
        <v>300</v>
      </c>
      <c r="N12" s="9" t="s">
        <v>296</v>
      </c>
      <c r="O12" s="13" t="str">
        <f t="shared" si="2"/>
        <v/>
      </c>
      <c r="P12" s="4" t="s">
        <v>297</v>
      </c>
      <c r="Q12" s="13" t="str">
        <f t="shared" si="3"/>
        <v/>
      </c>
      <c r="S12" s="49" t="s">
        <v>300</v>
      </c>
      <c r="T12" s="9" t="s">
        <v>296</v>
      </c>
      <c r="U12" s="13" t="str">
        <f t="shared" si="4"/>
        <v/>
      </c>
      <c r="V12" s="4" t="s">
        <v>297</v>
      </c>
      <c r="W12" s="13" t="str">
        <f t="shared" si="5"/>
        <v/>
      </c>
    </row>
    <row r="13" spans="1:23" ht="15.75" customHeight="1">
      <c r="A13" s="60" t="s">
        <v>301</v>
      </c>
      <c r="B13" s="67"/>
      <c r="C13" s="67"/>
      <c r="D13" s="67"/>
      <c r="E13" s="67"/>
      <c r="F13" s="67"/>
      <c r="M13" s="49" t="s">
        <v>302</v>
      </c>
      <c r="N13" s="9" t="s">
        <v>296</v>
      </c>
      <c r="O13" s="13" t="str">
        <f t="shared" si="2"/>
        <v/>
      </c>
      <c r="P13" s="4" t="s">
        <v>297</v>
      </c>
      <c r="Q13" s="13" t="str">
        <f t="shared" si="3"/>
        <v/>
      </c>
      <c r="S13" s="49" t="s">
        <v>302</v>
      </c>
      <c r="T13" s="9" t="s">
        <v>296</v>
      </c>
      <c r="U13" s="13" t="str">
        <f t="shared" si="4"/>
        <v/>
      </c>
      <c r="V13" s="4" t="s">
        <v>297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287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295</v>
      </c>
      <c r="H15" s="4"/>
      <c r="I15" s="4"/>
      <c r="J15" s="16">
        <f t="shared" ref="J15:J18" si="12">H15-I15</f>
        <v>0</v>
      </c>
      <c r="K15" s="17"/>
      <c r="M15" s="60" t="s">
        <v>303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289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299</v>
      </c>
      <c r="H16" s="4"/>
      <c r="I16" s="4"/>
      <c r="J16" s="16">
        <f t="shared" si="12"/>
        <v>0</v>
      </c>
      <c r="K16" s="17"/>
      <c r="M16" s="18"/>
      <c r="N16" s="46" t="s">
        <v>139</v>
      </c>
      <c r="O16" s="19"/>
      <c r="P16" s="58" t="s">
        <v>192</v>
      </c>
      <c r="Q16" s="19"/>
      <c r="R16" s="51" t="s">
        <v>304</v>
      </c>
      <c r="S16" s="19"/>
    </row>
    <row r="17" spans="1:27" ht="15.75" customHeight="1">
      <c r="A17" s="49" t="s">
        <v>291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300</v>
      </c>
      <c r="H17" s="4"/>
      <c r="I17" s="4"/>
      <c r="J17" s="16">
        <f t="shared" si="12"/>
        <v>0</v>
      </c>
      <c r="K17" s="17"/>
      <c r="M17" s="20"/>
      <c r="N17" s="21" t="s">
        <v>144</v>
      </c>
      <c r="O17" s="50" t="s">
        <v>34</v>
      </c>
      <c r="P17" s="8" t="s">
        <v>144</v>
      </c>
      <c r="Q17" s="50" t="s">
        <v>34</v>
      </c>
      <c r="R17" s="8" t="s">
        <v>144</v>
      </c>
      <c r="S17" s="50" t="s">
        <v>34</v>
      </c>
    </row>
    <row r="18" spans="1:27" ht="15.75" customHeight="1">
      <c r="A18" s="49" t="s">
        <v>293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302</v>
      </c>
      <c r="H18" s="4"/>
      <c r="I18" s="4"/>
      <c r="J18" s="16">
        <f t="shared" si="12"/>
        <v>0</v>
      </c>
      <c r="K18" s="17"/>
      <c r="M18" s="49" t="s">
        <v>290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292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305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88</v>
      </c>
      <c r="C21" s="605" t="s">
        <v>122</v>
      </c>
      <c r="D21" s="589"/>
      <c r="E21" s="587"/>
      <c r="F21" s="49" t="s">
        <v>93</v>
      </c>
      <c r="G21" s="49" t="s">
        <v>306</v>
      </c>
      <c r="H21" s="49" t="s">
        <v>307</v>
      </c>
      <c r="I21" s="8" t="s">
        <v>125</v>
      </c>
      <c r="J21" s="602" t="s">
        <v>126</v>
      </c>
      <c r="K21" s="587"/>
      <c r="M21" s="60" t="s">
        <v>151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287</v>
      </c>
      <c r="B22" s="6">
        <v>1</v>
      </c>
      <c r="C22" s="548" t="s">
        <v>308</v>
      </c>
      <c r="D22" s="589"/>
      <c r="E22" s="587"/>
      <c r="F22" s="4">
        <v>3</v>
      </c>
      <c r="G22" s="4">
        <v>3000</v>
      </c>
      <c r="H22" s="4">
        <v>1000</v>
      </c>
      <c r="I22" s="4">
        <v>10</v>
      </c>
      <c r="J22" s="588" t="s">
        <v>309</v>
      </c>
      <c r="K22" s="587"/>
      <c r="M22" s="52" t="s">
        <v>290</v>
      </c>
      <c r="N22" s="57" t="s">
        <v>88</v>
      </c>
      <c r="O22" s="598" t="s">
        <v>122</v>
      </c>
      <c r="P22" s="589"/>
      <c r="Q22" s="587"/>
      <c r="R22" s="607" t="s">
        <v>156</v>
      </c>
      <c r="S22" s="589"/>
      <c r="T22" s="587"/>
      <c r="U22" s="57" t="s">
        <v>157</v>
      </c>
      <c r="V22" s="57" t="s">
        <v>22</v>
      </c>
      <c r="W22" s="57" t="s">
        <v>158</v>
      </c>
      <c r="X22" s="8" t="s">
        <v>144</v>
      </c>
      <c r="Y22" s="8" t="s">
        <v>125</v>
      </c>
      <c r="Z22" s="602" t="s">
        <v>126</v>
      </c>
      <c r="AA22" s="587"/>
    </row>
    <row r="23" spans="1:27" ht="15.75" customHeight="1">
      <c r="A23" s="23"/>
      <c r="B23" s="6">
        <v>2</v>
      </c>
      <c r="C23" s="606"/>
      <c r="D23" s="589"/>
      <c r="E23" s="587"/>
      <c r="F23" s="4"/>
      <c r="G23" s="4"/>
      <c r="H23" s="4"/>
      <c r="I23" s="4"/>
      <c r="J23" s="606"/>
      <c r="K23" s="587"/>
      <c r="M23" s="56" t="s">
        <v>192</v>
      </c>
      <c r="N23" s="24">
        <v>1</v>
      </c>
      <c r="O23" s="588" t="s">
        <v>310</v>
      </c>
      <c r="P23" s="589"/>
      <c r="Q23" s="587"/>
      <c r="R23" s="588" t="s">
        <v>311</v>
      </c>
      <c r="S23" s="589"/>
      <c r="T23" s="587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588" t="s">
        <v>312</v>
      </c>
      <c r="AA23" s="587"/>
    </row>
    <row r="24" spans="1:27" ht="15.75" customHeight="1">
      <c r="A24" s="23"/>
      <c r="B24" s="6">
        <v>3</v>
      </c>
      <c r="C24" s="606"/>
      <c r="D24" s="589"/>
      <c r="E24" s="587"/>
      <c r="F24" s="4"/>
      <c r="G24" s="4"/>
      <c r="H24" s="4"/>
      <c r="I24" s="4"/>
      <c r="J24" s="606"/>
      <c r="K24" s="587"/>
      <c r="M24" s="25"/>
      <c r="N24" s="24">
        <v>2</v>
      </c>
      <c r="O24" s="548"/>
      <c r="P24" s="589"/>
      <c r="Q24" s="587"/>
      <c r="R24" s="548"/>
      <c r="S24" s="589"/>
      <c r="T24" s="587"/>
      <c r="U24" s="4"/>
      <c r="V24" s="14"/>
      <c r="W24" s="4"/>
      <c r="X24" s="16">
        <f t="shared" si="15"/>
        <v>0</v>
      </c>
      <c r="Y24" s="4"/>
      <c r="Z24" s="548"/>
      <c r="AA24" s="587"/>
    </row>
    <row r="25" spans="1:27" ht="15.75" customHeight="1">
      <c r="A25" s="23"/>
      <c r="B25" s="6">
        <v>4</v>
      </c>
      <c r="C25" s="606"/>
      <c r="D25" s="589"/>
      <c r="E25" s="587"/>
      <c r="F25" s="4"/>
      <c r="G25" s="4"/>
      <c r="H25" s="4"/>
      <c r="I25" s="4"/>
      <c r="J25" s="606"/>
      <c r="K25" s="587"/>
      <c r="M25" s="25"/>
      <c r="N25" s="24">
        <v>3</v>
      </c>
      <c r="O25" s="548"/>
      <c r="P25" s="589"/>
      <c r="Q25" s="587"/>
      <c r="R25" s="548"/>
      <c r="S25" s="589"/>
      <c r="T25" s="587"/>
      <c r="U25" s="4"/>
      <c r="V25" s="14"/>
      <c r="W25" s="4"/>
      <c r="X25" s="16">
        <f t="shared" si="15"/>
        <v>0</v>
      </c>
      <c r="Y25" s="4"/>
      <c r="Z25" s="548"/>
      <c r="AA25" s="587"/>
    </row>
    <row r="26" spans="1:27" ht="15.75" customHeight="1">
      <c r="A26" s="23"/>
      <c r="B26" s="26">
        <v>5</v>
      </c>
      <c r="C26" s="610"/>
      <c r="D26" s="590"/>
      <c r="E26" s="591"/>
      <c r="F26" s="27"/>
      <c r="G26" s="27"/>
      <c r="H26" s="27"/>
      <c r="I26" s="27"/>
      <c r="J26" s="610"/>
      <c r="K26" s="591"/>
      <c r="M26" s="25"/>
      <c r="N26" s="24">
        <v>4</v>
      </c>
      <c r="O26" s="548"/>
      <c r="P26" s="589"/>
      <c r="Q26" s="587"/>
      <c r="R26" s="548"/>
      <c r="S26" s="589"/>
      <c r="T26" s="587"/>
      <c r="U26" s="4"/>
      <c r="V26" s="14"/>
      <c r="W26" s="4"/>
      <c r="X26" s="16">
        <f t="shared" si="15"/>
        <v>0</v>
      </c>
      <c r="Y26" s="4"/>
      <c r="Z26" s="548"/>
      <c r="AA26" s="587"/>
    </row>
    <row r="27" spans="1:27" ht="15.75" customHeight="1">
      <c r="A27" s="23"/>
      <c r="B27" s="69" t="s">
        <v>313</v>
      </c>
      <c r="C27" s="595" t="s">
        <v>314</v>
      </c>
      <c r="D27" s="596"/>
      <c r="E27" s="597"/>
      <c r="F27" s="28">
        <v>4</v>
      </c>
      <c r="G27" s="28">
        <v>2800</v>
      </c>
      <c r="H27" s="28">
        <v>700</v>
      </c>
      <c r="I27" s="28" t="s">
        <v>315</v>
      </c>
      <c r="J27" s="595" t="s">
        <v>316</v>
      </c>
      <c r="K27" s="597"/>
      <c r="M27" s="25"/>
      <c r="N27" s="29">
        <v>5</v>
      </c>
      <c r="O27" s="551"/>
      <c r="P27" s="590"/>
      <c r="Q27" s="591"/>
      <c r="R27" s="551"/>
      <c r="S27" s="590"/>
      <c r="T27" s="591"/>
      <c r="U27" s="27"/>
      <c r="V27" s="30"/>
      <c r="W27" s="27"/>
      <c r="X27" s="31">
        <f t="shared" si="15"/>
        <v>0</v>
      </c>
      <c r="Y27" s="4"/>
      <c r="Z27" s="551"/>
      <c r="AA27" s="591"/>
    </row>
    <row r="28" spans="1:27" ht="15.75" customHeight="1">
      <c r="A28" s="23"/>
      <c r="B28" s="70" t="s">
        <v>317</v>
      </c>
      <c r="C28" s="606"/>
      <c r="D28" s="589"/>
      <c r="E28" s="587"/>
      <c r="F28" s="4"/>
      <c r="G28" s="4"/>
      <c r="H28" s="4"/>
      <c r="I28" s="4"/>
      <c r="J28" s="606"/>
      <c r="K28" s="587"/>
      <c r="M28" s="32"/>
      <c r="N28" s="55"/>
      <c r="O28" s="592"/>
      <c r="P28" s="589"/>
      <c r="Q28" s="589"/>
      <c r="R28" s="592"/>
      <c r="S28" s="589"/>
      <c r="T28" s="589"/>
      <c r="U28" s="59" t="s">
        <v>169</v>
      </c>
      <c r="V28" s="33">
        <f>X28/N18</f>
        <v>8.3333333333333329E-2</v>
      </c>
      <c r="W28" s="59" t="s">
        <v>170</v>
      </c>
      <c r="X28" s="34">
        <f>SUM(X23:X27)</f>
        <v>100</v>
      </c>
      <c r="Y28" s="45"/>
      <c r="Z28" s="592"/>
      <c r="AA28" s="587"/>
    </row>
    <row r="29" spans="1:27" ht="15.75" customHeight="1">
      <c r="A29" s="23"/>
      <c r="B29" s="70" t="s">
        <v>318</v>
      </c>
      <c r="C29" s="606"/>
      <c r="D29" s="589"/>
      <c r="E29" s="587"/>
      <c r="F29" s="4"/>
      <c r="G29" s="4"/>
      <c r="H29" s="4"/>
      <c r="I29" s="4"/>
      <c r="J29" s="606"/>
      <c r="K29" s="587"/>
      <c r="M29" s="56" t="s">
        <v>304</v>
      </c>
      <c r="N29" s="24">
        <v>1</v>
      </c>
      <c r="O29" s="611" t="s">
        <v>319</v>
      </c>
      <c r="P29" s="604"/>
      <c r="Q29" s="594"/>
      <c r="R29" s="593" t="s">
        <v>320</v>
      </c>
      <c r="S29" s="604"/>
      <c r="T29" s="594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593" t="s">
        <v>321</v>
      </c>
      <c r="AA29" s="594"/>
    </row>
    <row r="30" spans="1:27" ht="15.75" customHeight="1">
      <c r="A30" s="23"/>
      <c r="B30" s="70" t="s">
        <v>322</v>
      </c>
      <c r="C30" s="606"/>
      <c r="D30" s="589"/>
      <c r="E30" s="587"/>
      <c r="F30" s="4"/>
      <c r="G30" s="4"/>
      <c r="H30" s="4"/>
      <c r="I30" s="4"/>
      <c r="J30" s="606"/>
      <c r="K30" s="587"/>
      <c r="M30" s="25"/>
      <c r="N30" s="24">
        <v>2</v>
      </c>
      <c r="O30" s="548"/>
      <c r="P30" s="589"/>
      <c r="Q30" s="587"/>
      <c r="R30" s="548"/>
      <c r="S30" s="589"/>
      <c r="T30" s="587"/>
      <c r="U30" s="4"/>
      <c r="V30" s="14"/>
      <c r="W30" s="4"/>
      <c r="X30" s="16">
        <f t="shared" si="16"/>
        <v>0</v>
      </c>
      <c r="Y30" s="4"/>
      <c r="Z30" s="548"/>
      <c r="AA30" s="587"/>
    </row>
    <row r="31" spans="1:27" ht="15.75" customHeight="1">
      <c r="A31" s="20"/>
      <c r="B31" s="70" t="s">
        <v>323</v>
      </c>
      <c r="C31" s="606"/>
      <c r="D31" s="589"/>
      <c r="E31" s="587"/>
      <c r="F31" s="4"/>
      <c r="G31" s="4"/>
      <c r="H31" s="4"/>
      <c r="I31" s="4"/>
      <c r="J31" s="606"/>
      <c r="K31" s="587"/>
      <c r="M31" s="25"/>
      <c r="N31" s="24">
        <v>3</v>
      </c>
      <c r="O31" s="548"/>
      <c r="P31" s="589"/>
      <c r="Q31" s="587"/>
      <c r="R31" s="548"/>
      <c r="S31" s="589"/>
      <c r="T31" s="587"/>
      <c r="U31" s="4"/>
      <c r="V31" s="14"/>
      <c r="W31" s="4"/>
      <c r="X31" s="16">
        <f t="shared" si="16"/>
        <v>0</v>
      </c>
      <c r="Y31" s="4"/>
      <c r="Z31" s="548"/>
      <c r="AA31" s="587"/>
    </row>
    <row r="32" spans="1:27" ht="15.75" customHeight="1">
      <c r="A32" s="67"/>
      <c r="M32" s="25"/>
      <c r="N32" s="24">
        <v>4</v>
      </c>
      <c r="O32" s="548"/>
      <c r="P32" s="589"/>
      <c r="Q32" s="587"/>
      <c r="R32" s="548"/>
      <c r="S32" s="589"/>
      <c r="T32" s="587"/>
      <c r="U32" s="4"/>
      <c r="V32" s="14"/>
      <c r="W32" s="4"/>
      <c r="X32" s="16">
        <f t="shared" si="16"/>
        <v>0</v>
      </c>
      <c r="Y32" s="4"/>
      <c r="Z32" s="548"/>
      <c r="AA32" s="587"/>
    </row>
    <row r="33" spans="1:27" ht="15.75" customHeight="1">
      <c r="A33" s="18"/>
      <c r="B33" s="49" t="s">
        <v>88</v>
      </c>
      <c r="C33" s="605" t="s">
        <v>122</v>
      </c>
      <c r="D33" s="589"/>
      <c r="E33" s="587"/>
      <c r="F33" s="49" t="s">
        <v>93</v>
      </c>
      <c r="G33" s="49" t="s">
        <v>306</v>
      </c>
      <c r="H33" s="49" t="s">
        <v>307</v>
      </c>
      <c r="I33" s="8" t="s">
        <v>125</v>
      </c>
      <c r="J33" s="602" t="s">
        <v>126</v>
      </c>
      <c r="K33" s="587"/>
      <c r="M33" s="25"/>
      <c r="N33" s="29">
        <v>5</v>
      </c>
      <c r="O33" s="548"/>
      <c r="P33" s="589"/>
      <c r="Q33" s="587"/>
      <c r="R33" s="548"/>
      <c r="S33" s="589"/>
      <c r="T33" s="587"/>
      <c r="U33" s="27"/>
      <c r="V33" s="30"/>
      <c r="W33" s="27"/>
      <c r="X33" s="31">
        <f t="shared" si="16"/>
        <v>0</v>
      </c>
      <c r="Y33" s="4"/>
      <c r="Z33" s="548"/>
      <c r="AA33" s="587"/>
    </row>
    <row r="34" spans="1:27" ht="15.75" customHeight="1">
      <c r="A34" s="52" t="s">
        <v>289</v>
      </c>
      <c r="B34" s="6">
        <v>1</v>
      </c>
      <c r="C34" s="588" t="s">
        <v>324</v>
      </c>
      <c r="D34" s="589"/>
      <c r="E34" s="587"/>
      <c r="F34" s="4">
        <v>3</v>
      </c>
      <c r="G34" s="4">
        <v>2500</v>
      </c>
      <c r="H34" s="4">
        <v>833.33</v>
      </c>
      <c r="I34" s="4">
        <v>20</v>
      </c>
      <c r="J34" s="588" t="s">
        <v>325</v>
      </c>
      <c r="K34" s="587"/>
      <c r="M34" s="68"/>
      <c r="N34" s="45"/>
      <c r="O34" s="592"/>
      <c r="P34" s="589"/>
      <c r="Q34" s="589"/>
      <c r="R34" s="592"/>
      <c r="S34" s="589"/>
      <c r="T34" s="589"/>
      <c r="U34" s="59" t="s">
        <v>169</v>
      </c>
      <c r="V34" s="33">
        <f>X34/N18</f>
        <v>0.23125000000000001</v>
      </c>
      <c r="W34" s="59" t="s">
        <v>170</v>
      </c>
      <c r="X34" s="34">
        <f>SUM(X29:X33)</f>
        <v>277.5</v>
      </c>
      <c r="Y34" s="45"/>
      <c r="Z34" s="592"/>
      <c r="AA34" s="587"/>
    </row>
    <row r="35" spans="1:27" ht="15.75" customHeight="1">
      <c r="A35" s="23"/>
      <c r="B35" s="6">
        <v>2</v>
      </c>
      <c r="C35" s="548"/>
      <c r="D35" s="589"/>
      <c r="E35" s="587"/>
      <c r="F35" s="4"/>
      <c r="G35" s="4"/>
      <c r="H35" s="4"/>
      <c r="I35" s="4"/>
      <c r="J35" s="548"/>
      <c r="K35" s="587"/>
      <c r="M35" s="1"/>
      <c r="N35" s="1"/>
      <c r="O35" s="600"/>
      <c r="P35" s="601"/>
      <c r="Q35" s="601"/>
      <c r="R35" s="600"/>
      <c r="S35" s="601"/>
      <c r="T35" s="601"/>
      <c r="U35" s="1"/>
      <c r="V35" s="38"/>
      <c r="W35" s="1"/>
      <c r="X35" s="1"/>
      <c r="Y35" s="600"/>
      <c r="Z35" s="601"/>
      <c r="AA35" s="601"/>
    </row>
    <row r="36" spans="1:27" ht="15.75" customHeight="1">
      <c r="A36" s="23"/>
      <c r="B36" s="6">
        <v>3</v>
      </c>
      <c r="C36" s="548"/>
      <c r="D36" s="589"/>
      <c r="E36" s="587"/>
      <c r="F36" s="4"/>
      <c r="G36" s="4"/>
      <c r="H36" s="4"/>
      <c r="I36" s="4"/>
      <c r="J36" s="548"/>
      <c r="K36" s="587"/>
      <c r="M36" s="52" t="s">
        <v>292</v>
      </c>
      <c r="N36" s="57" t="s">
        <v>88</v>
      </c>
      <c r="O36" s="598" t="s">
        <v>122</v>
      </c>
      <c r="P36" s="592"/>
      <c r="Q36" s="599"/>
      <c r="R36" s="607" t="s">
        <v>156</v>
      </c>
      <c r="S36" s="608"/>
      <c r="T36" s="609"/>
      <c r="U36" s="57" t="s">
        <v>157</v>
      </c>
      <c r="V36" s="57" t="s">
        <v>22</v>
      </c>
      <c r="W36" s="57" t="s">
        <v>158</v>
      </c>
      <c r="X36" s="8" t="s">
        <v>144</v>
      </c>
      <c r="Y36" s="8" t="s">
        <v>125</v>
      </c>
      <c r="Z36" s="602" t="s">
        <v>126</v>
      </c>
      <c r="AA36" s="603"/>
    </row>
    <row r="37" spans="1:27" ht="15.75" customHeight="1">
      <c r="A37" s="23"/>
      <c r="B37" s="6">
        <v>4</v>
      </c>
      <c r="C37" s="548"/>
      <c r="D37" s="589"/>
      <c r="E37" s="587"/>
      <c r="F37" s="4"/>
      <c r="G37" s="4"/>
      <c r="H37" s="4"/>
      <c r="I37" s="4"/>
      <c r="J37" s="548"/>
      <c r="K37" s="587"/>
      <c r="M37" s="56" t="s">
        <v>192</v>
      </c>
      <c r="N37" s="24">
        <v>1</v>
      </c>
      <c r="O37" s="588" t="s">
        <v>326</v>
      </c>
      <c r="P37" s="589"/>
      <c r="Q37" s="587"/>
      <c r="R37" s="588" t="s">
        <v>327</v>
      </c>
      <c r="S37" s="589"/>
      <c r="T37" s="587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588" t="s">
        <v>328</v>
      </c>
      <c r="AA37" s="587"/>
    </row>
    <row r="38" spans="1:27" ht="15.75" customHeight="1">
      <c r="A38" s="23"/>
      <c r="B38" s="26">
        <v>5</v>
      </c>
      <c r="C38" s="551"/>
      <c r="D38" s="590"/>
      <c r="E38" s="591"/>
      <c r="F38" s="27"/>
      <c r="G38" s="27"/>
      <c r="H38" s="27"/>
      <c r="I38" s="27"/>
      <c r="J38" s="551"/>
      <c r="K38" s="591"/>
      <c r="M38" s="25"/>
      <c r="N38" s="24">
        <v>2</v>
      </c>
      <c r="O38" s="548"/>
      <c r="P38" s="589"/>
      <c r="Q38" s="587"/>
      <c r="R38" s="548"/>
      <c r="S38" s="589"/>
      <c r="T38" s="587"/>
      <c r="U38" s="4"/>
      <c r="V38" s="14"/>
      <c r="W38" s="4"/>
      <c r="X38" s="16">
        <f t="shared" si="17"/>
        <v>0</v>
      </c>
      <c r="Y38" s="4"/>
      <c r="Z38" s="548"/>
      <c r="AA38" s="587"/>
    </row>
    <row r="39" spans="1:27" ht="14.1">
      <c r="A39" s="23"/>
      <c r="B39" s="69" t="s">
        <v>313</v>
      </c>
      <c r="C39" s="595" t="s">
        <v>329</v>
      </c>
      <c r="D39" s="596"/>
      <c r="E39" s="597"/>
      <c r="F39" s="28">
        <v>7</v>
      </c>
      <c r="G39" s="28">
        <v>2200</v>
      </c>
      <c r="H39" s="28">
        <v>314.29000000000002</v>
      </c>
      <c r="I39" s="28">
        <v>-15</v>
      </c>
      <c r="J39" s="595" t="s">
        <v>330</v>
      </c>
      <c r="K39" s="597"/>
      <c r="M39" s="25"/>
      <c r="N39" s="24">
        <v>3</v>
      </c>
      <c r="O39" s="548"/>
      <c r="P39" s="589"/>
      <c r="Q39" s="587"/>
      <c r="R39" s="548"/>
      <c r="S39" s="589"/>
      <c r="T39" s="587"/>
      <c r="U39" s="4"/>
      <c r="V39" s="14"/>
      <c r="W39" s="4"/>
      <c r="X39" s="16">
        <f t="shared" si="17"/>
        <v>0</v>
      </c>
      <c r="Y39" s="4"/>
      <c r="Z39" s="548"/>
      <c r="AA39" s="587"/>
    </row>
    <row r="40" spans="1:27" ht="14.1">
      <c r="A40" s="23"/>
      <c r="B40" s="70" t="s">
        <v>317</v>
      </c>
      <c r="C40" s="548"/>
      <c r="D40" s="589"/>
      <c r="E40" s="587"/>
      <c r="F40" s="4"/>
      <c r="G40" s="4"/>
      <c r="H40" s="4"/>
      <c r="I40" s="4"/>
      <c r="J40" s="548"/>
      <c r="K40" s="587"/>
      <c r="M40" s="25"/>
      <c r="N40" s="24">
        <v>4</v>
      </c>
      <c r="O40" s="548"/>
      <c r="P40" s="589"/>
      <c r="Q40" s="587"/>
      <c r="R40" s="548"/>
      <c r="S40" s="589"/>
      <c r="T40" s="587"/>
      <c r="U40" s="4"/>
      <c r="V40" s="14"/>
      <c r="W40" s="4"/>
      <c r="X40" s="16">
        <f t="shared" si="17"/>
        <v>0</v>
      </c>
      <c r="Y40" s="4"/>
      <c r="Z40" s="548"/>
      <c r="AA40" s="587"/>
    </row>
    <row r="41" spans="1:27" ht="14.1">
      <c r="A41" s="23"/>
      <c r="B41" s="70" t="s">
        <v>318</v>
      </c>
      <c r="C41" s="548"/>
      <c r="D41" s="589"/>
      <c r="E41" s="587"/>
      <c r="F41" s="4"/>
      <c r="G41" s="4"/>
      <c r="H41" s="4"/>
      <c r="I41" s="4"/>
      <c r="J41" s="548"/>
      <c r="K41" s="587"/>
      <c r="M41" s="25"/>
      <c r="N41" s="29">
        <v>5</v>
      </c>
      <c r="O41" s="551"/>
      <c r="P41" s="590"/>
      <c r="Q41" s="591"/>
      <c r="R41" s="551"/>
      <c r="S41" s="590"/>
      <c r="T41" s="591"/>
      <c r="U41" s="27"/>
      <c r="V41" s="30"/>
      <c r="W41" s="27"/>
      <c r="X41" s="31">
        <f t="shared" si="17"/>
        <v>0</v>
      </c>
      <c r="Y41" s="4"/>
      <c r="Z41" s="548"/>
      <c r="AA41" s="587"/>
    </row>
    <row r="42" spans="1:27" ht="14.1">
      <c r="A42" s="23"/>
      <c r="B42" s="70" t="s">
        <v>322</v>
      </c>
      <c r="C42" s="548"/>
      <c r="D42" s="589"/>
      <c r="E42" s="587"/>
      <c r="F42" s="4"/>
      <c r="G42" s="4"/>
      <c r="H42" s="4"/>
      <c r="I42" s="4"/>
      <c r="J42" s="548"/>
      <c r="K42" s="587"/>
      <c r="M42" s="32"/>
      <c r="N42" s="54"/>
      <c r="O42" s="592"/>
      <c r="P42" s="589"/>
      <c r="Q42" s="589"/>
      <c r="R42" s="592"/>
      <c r="S42" s="589"/>
      <c r="T42" s="589"/>
      <c r="U42" s="59" t="s">
        <v>169</v>
      </c>
      <c r="V42" s="33">
        <f>X42/N19</f>
        <v>5.5555555555555552E-2</v>
      </c>
      <c r="W42" s="59" t="s">
        <v>170</v>
      </c>
      <c r="X42" s="34">
        <f>SUM(X37:X41)</f>
        <v>250</v>
      </c>
      <c r="Y42" s="45"/>
      <c r="Z42" s="592"/>
      <c r="AA42" s="587"/>
    </row>
    <row r="43" spans="1:27" ht="14.1">
      <c r="A43" s="20"/>
      <c r="B43" s="70" t="s">
        <v>323</v>
      </c>
      <c r="C43" s="548"/>
      <c r="D43" s="589"/>
      <c r="E43" s="587"/>
      <c r="F43" s="4"/>
      <c r="G43" s="4"/>
      <c r="H43" s="4"/>
      <c r="I43" s="4"/>
      <c r="J43" s="548"/>
      <c r="K43" s="587"/>
      <c r="M43" s="56" t="s">
        <v>304</v>
      </c>
      <c r="N43" s="24">
        <v>1</v>
      </c>
      <c r="O43" s="588" t="s">
        <v>326</v>
      </c>
      <c r="P43" s="589"/>
      <c r="Q43" s="587"/>
      <c r="R43" s="593" t="s">
        <v>331</v>
      </c>
      <c r="S43" s="604"/>
      <c r="T43" s="594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588" t="s">
        <v>332</v>
      </c>
      <c r="AA43" s="587"/>
    </row>
    <row r="44" spans="1:27" ht="14.1">
      <c r="A44" s="67"/>
      <c r="M44" s="25"/>
      <c r="N44" s="24">
        <v>2</v>
      </c>
      <c r="O44" s="548"/>
      <c r="P44" s="589"/>
      <c r="Q44" s="587"/>
      <c r="R44" s="548"/>
      <c r="S44" s="589"/>
      <c r="T44" s="587"/>
      <c r="U44" s="4"/>
      <c r="V44" s="14"/>
      <c r="W44" s="4"/>
      <c r="X44" s="37">
        <f t="shared" si="18"/>
        <v>0</v>
      </c>
      <c r="Y44" s="4"/>
      <c r="Z44" s="548"/>
      <c r="AA44" s="587"/>
    </row>
    <row r="45" spans="1:27" ht="14.1">
      <c r="A45" s="18"/>
      <c r="B45" s="49" t="s">
        <v>88</v>
      </c>
      <c r="C45" s="605" t="s">
        <v>122</v>
      </c>
      <c r="D45" s="589"/>
      <c r="E45" s="587"/>
      <c r="F45" s="49" t="s">
        <v>93</v>
      </c>
      <c r="G45" s="49" t="s">
        <v>306</v>
      </c>
      <c r="H45" s="49" t="s">
        <v>307</v>
      </c>
      <c r="I45" s="8" t="s">
        <v>125</v>
      </c>
      <c r="J45" s="602" t="s">
        <v>126</v>
      </c>
      <c r="K45" s="587"/>
      <c r="M45" s="25"/>
      <c r="N45" s="24">
        <v>3</v>
      </c>
      <c r="O45" s="548"/>
      <c r="P45" s="589"/>
      <c r="Q45" s="587"/>
      <c r="R45" s="548"/>
      <c r="S45" s="589"/>
      <c r="T45" s="587"/>
      <c r="U45" s="4"/>
      <c r="V45" s="14"/>
      <c r="W45" s="4"/>
      <c r="X45" s="37">
        <f t="shared" si="18"/>
        <v>0</v>
      </c>
      <c r="Y45" s="4"/>
      <c r="Z45" s="548"/>
      <c r="AA45" s="587"/>
    </row>
    <row r="46" spans="1:27" ht="14.1">
      <c r="A46" s="52" t="s">
        <v>291</v>
      </c>
      <c r="B46" s="6">
        <v>1</v>
      </c>
      <c r="C46" s="588" t="s">
        <v>310</v>
      </c>
      <c r="D46" s="589"/>
      <c r="E46" s="587"/>
      <c r="F46" s="4">
        <v>15</v>
      </c>
      <c r="G46" s="4">
        <v>1200</v>
      </c>
      <c r="H46" s="4">
        <v>80</v>
      </c>
      <c r="I46" s="4">
        <v>5</v>
      </c>
      <c r="J46" s="588" t="s">
        <v>333</v>
      </c>
      <c r="K46" s="587"/>
      <c r="M46" s="25"/>
      <c r="N46" s="24">
        <v>4</v>
      </c>
      <c r="O46" s="548"/>
      <c r="P46" s="589"/>
      <c r="Q46" s="587"/>
      <c r="R46" s="548"/>
      <c r="S46" s="589"/>
      <c r="T46" s="587"/>
      <c r="U46" s="4"/>
      <c r="V46" s="14"/>
      <c r="W46" s="4"/>
      <c r="X46" s="37">
        <f t="shared" si="18"/>
        <v>0</v>
      </c>
      <c r="Y46" s="4"/>
      <c r="Z46" s="548"/>
      <c r="AA46" s="587"/>
    </row>
    <row r="47" spans="1:27" ht="14.1">
      <c r="A47" s="23"/>
      <c r="B47" s="6">
        <v>2</v>
      </c>
      <c r="C47" s="548"/>
      <c r="D47" s="589"/>
      <c r="E47" s="587"/>
      <c r="F47" s="4"/>
      <c r="G47" s="4"/>
      <c r="H47" s="4"/>
      <c r="I47" s="4"/>
      <c r="J47" s="548"/>
      <c r="K47" s="587"/>
      <c r="M47" s="25"/>
      <c r="N47" s="29">
        <v>5</v>
      </c>
      <c r="O47" s="548"/>
      <c r="P47" s="589"/>
      <c r="Q47" s="587"/>
      <c r="R47" s="548"/>
      <c r="S47" s="589"/>
      <c r="T47" s="587"/>
      <c r="U47" s="27"/>
      <c r="V47" s="30"/>
      <c r="W47" s="27"/>
      <c r="X47" s="40">
        <f t="shared" si="18"/>
        <v>0</v>
      </c>
      <c r="Y47" s="4"/>
      <c r="Z47" s="548"/>
      <c r="AA47" s="587"/>
    </row>
    <row r="48" spans="1:27" ht="14.1">
      <c r="A48" s="23"/>
      <c r="B48" s="6">
        <v>3</v>
      </c>
      <c r="C48" s="548"/>
      <c r="D48" s="589"/>
      <c r="E48" s="587"/>
      <c r="F48" s="4"/>
      <c r="G48" s="4"/>
      <c r="H48" s="4"/>
      <c r="I48" s="4"/>
      <c r="J48" s="548"/>
      <c r="K48" s="587"/>
      <c r="M48" s="68"/>
      <c r="N48" s="45"/>
      <c r="O48" s="592"/>
      <c r="P48" s="589"/>
      <c r="Q48" s="589"/>
      <c r="R48" s="592"/>
      <c r="S48" s="589"/>
      <c r="T48" s="589"/>
      <c r="U48" s="59" t="s">
        <v>169</v>
      </c>
      <c r="V48" s="33">
        <f>X48/N19</f>
        <v>0.13333333333333333</v>
      </c>
      <c r="W48" s="59" t="s">
        <v>170</v>
      </c>
      <c r="X48" s="34">
        <f>SUM(X43:X47)</f>
        <v>600</v>
      </c>
      <c r="Y48" s="45"/>
      <c r="Z48" s="592"/>
      <c r="AA48" s="587"/>
    </row>
    <row r="49" spans="1:27" ht="14.1">
      <c r="A49" s="23"/>
      <c r="B49" s="6">
        <v>4</v>
      </c>
      <c r="C49" s="548"/>
      <c r="D49" s="589"/>
      <c r="E49" s="587"/>
      <c r="F49" s="4"/>
      <c r="G49" s="4"/>
      <c r="H49" s="4"/>
      <c r="I49" s="4"/>
      <c r="J49" s="548"/>
      <c r="K49" s="58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51"/>
      <c r="D50" s="590"/>
      <c r="E50" s="591"/>
      <c r="F50" s="27"/>
      <c r="G50" s="27"/>
      <c r="H50" s="27"/>
      <c r="I50" s="27"/>
      <c r="J50" s="551"/>
      <c r="K50" s="591"/>
      <c r="M50" s="64" t="s">
        <v>334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313</v>
      </c>
      <c r="C51" s="595" t="s">
        <v>326</v>
      </c>
      <c r="D51" s="596"/>
      <c r="E51" s="597"/>
      <c r="F51" s="28">
        <v>18</v>
      </c>
      <c r="G51" s="28">
        <v>800</v>
      </c>
      <c r="H51" s="28">
        <v>44.44</v>
      </c>
      <c r="I51" s="28">
        <v>-15</v>
      </c>
      <c r="J51" s="595" t="s">
        <v>335</v>
      </c>
      <c r="K51" s="597"/>
      <c r="M51" s="8"/>
      <c r="N51" s="8" t="s">
        <v>190</v>
      </c>
      <c r="O51" s="598" t="s">
        <v>122</v>
      </c>
      <c r="P51" s="592"/>
      <c r="Q51" s="599"/>
      <c r="R51" s="607" t="s">
        <v>156</v>
      </c>
      <c r="S51" s="608"/>
      <c r="T51" s="609"/>
      <c r="U51" s="57" t="s">
        <v>157</v>
      </c>
      <c r="V51" s="39" t="s">
        <v>191</v>
      </c>
      <c r="W51" s="57" t="s">
        <v>87</v>
      </c>
      <c r="X51" s="8" t="s">
        <v>10</v>
      </c>
      <c r="Y51" s="598" t="s">
        <v>126</v>
      </c>
      <c r="Z51" s="592"/>
      <c r="AA51" s="599"/>
    </row>
    <row r="52" spans="1:27" ht="14.1">
      <c r="A52" s="23"/>
      <c r="B52" s="70" t="s">
        <v>317</v>
      </c>
      <c r="C52" s="548"/>
      <c r="D52" s="589"/>
      <c r="E52" s="587"/>
      <c r="F52" s="4"/>
      <c r="G52" s="4"/>
      <c r="H52" s="4"/>
      <c r="I52" s="4"/>
      <c r="J52" s="548"/>
      <c r="K52" s="587"/>
      <c r="M52" s="56" t="s">
        <v>192</v>
      </c>
      <c r="N52" s="24">
        <v>1</v>
      </c>
      <c r="O52" s="588" t="s">
        <v>326</v>
      </c>
      <c r="P52" s="589"/>
      <c r="Q52" s="587"/>
      <c r="R52" s="593" t="s">
        <v>331</v>
      </c>
      <c r="S52" s="604"/>
      <c r="T52" s="594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588" t="s">
        <v>336</v>
      </c>
      <c r="Z52" s="589"/>
      <c r="AA52" s="587"/>
    </row>
    <row r="53" spans="1:27" ht="14.1">
      <c r="A53" s="23"/>
      <c r="B53" s="70" t="s">
        <v>318</v>
      </c>
      <c r="C53" s="548"/>
      <c r="D53" s="589"/>
      <c r="E53" s="587"/>
      <c r="F53" s="4"/>
      <c r="G53" s="4"/>
      <c r="H53" s="4"/>
      <c r="I53" s="4"/>
      <c r="J53" s="548"/>
      <c r="K53" s="587"/>
      <c r="M53" s="25"/>
      <c r="N53" s="29">
        <v>2</v>
      </c>
      <c r="O53" s="551"/>
      <c r="P53" s="590"/>
      <c r="Q53" s="591"/>
      <c r="R53" s="551"/>
      <c r="S53" s="590"/>
      <c r="T53" s="591"/>
      <c r="U53" s="27"/>
      <c r="V53" s="30"/>
      <c r="W53" s="30"/>
      <c r="X53" s="41">
        <f t="shared" si="19"/>
        <v>0</v>
      </c>
      <c r="Y53" s="551"/>
      <c r="Z53" s="590"/>
      <c r="AA53" s="591"/>
    </row>
    <row r="54" spans="1:27" ht="14.1">
      <c r="A54" s="23"/>
      <c r="B54" s="70" t="s">
        <v>322</v>
      </c>
      <c r="C54" s="548"/>
      <c r="D54" s="589"/>
      <c r="E54" s="587"/>
      <c r="F54" s="4"/>
      <c r="G54" s="4"/>
      <c r="H54" s="4"/>
      <c r="I54" s="4"/>
      <c r="J54" s="548"/>
      <c r="K54" s="587"/>
      <c r="M54" s="56" t="s">
        <v>304</v>
      </c>
      <c r="N54" s="42">
        <v>1</v>
      </c>
      <c r="O54" s="595" t="s">
        <v>337</v>
      </c>
      <c r="P54" s="596"/>
      <c r="Q54" s="597"/>
      <c r="R54" s="595" t="s">
        <v>338</v>
      </c>
      <c r="S54" s="596"/>
      <c r="T54" s="597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595" t="s">
        <v>339</v>
      </c>
      <c r="Z54" s="596"/>
      <c r="AA54" s="597"/>
    </row>
    <row r="55" spans="1:27" ht="14.1">
      <c r="A55" s="20"/>
      <c r="B55" s="70" t="s">
        <v>323</v>
      </c>
      <c r="C55" s="548"/>
      <c r="D55" s="589"/>
      <c r="E55" s="587"/>
      <c r="F55" s="4"/>
      <c r="G55" s="4"/>
      <c r="H55" s="4"/>
      <c r="I55" s="4"/>
      <c r="J55" s="548"/>
      <c r="K55" s="587"/>
      <c r="M55" s="22"/>
      <c r="N55" s="24">
        <v>2</v>
      </c>
      <c r="O55" s="548"/>
      <c r="P55" s="589"/>
      <c r="Q55" s="587"/>
      <c r="R55" s="548"/>
      <c r="S55" s="589"/>
      <c r="T55" s="587"/>
      <c r="U55" s="4"/>
      <c r="V55" s="14"/>
      <c r="W55" s="14"/>
      <c r="X55" s="13">
        <f t="shared" si="19"/>
        <v>0</v>
      </c>
      <c r="Y55" s="548"/>
      <c r="Z55" s="589"/>
      <c r="AA55" s="587"/>
    </row>
  </sheetData>
  <mergeCells count="162">
    <mergeCell ref="C37:E37"/>
    <mergeCell ref="J37:K37"/>
    <mergeCell ref="O35:Q35"/>
    <mergeCell ref="J35:K35"/>
    <mergeCell ref="J36:K36"/>
    <mergeCell ref="C34:E34"/>
    <mergeCell ref="C35:E35"/>
    <mergeCell ref="C36:E36"/>
    <mergeCell ref="R32:T32"/>
    <mergeCell ref="R33:T33"/>
    <mergeCell ref="R35:T35"/>
    <mergeCell ref="J34:K34"/>
    <mergeCell ref="O32:Q32"/>
    <mergeCell ref="O33:Q33"/>
    <mergeCell ref="R34:T34"/>
    <mergeCell ref="O36:Q36"/>
    <mergeCell ref="O34:Q34"/>
    <mergeCell ref="R36:T36"/>
    <mergeCell ref="R30:T30"/>
    <mergeCell ref="R31:T31"/>
    <mergeCell ref="Z24:AA24"/>
    <mergeCell ref="R25:T25"/>
    <mergeCell ref="Z25:AA25"/>
    <mergeCell ref="C29:E29"/>
    <mergeCell ref="C30:E30"/>
    <mergeCell ref="C26:E26"/>
    <mergeCell ref="C27:E27"/>
    <mergeCell ref="C28:E28"/>
    <mergeCell ref="J26:K26"/>
    <mergeCell ref="O25:Q25"/>
    <mergeCell ref="O26:Q26"/>
    <mergeCell ref="O27:Q27"/>
    <mergeCell ref="J27:K27"/>
    <mergeCell ref="J28:K28"/>
    <mergeCell ref="O29:Q29"/>
    <mergeCell ref="R29:T29"/>
    <mergeCell ref="R28:T28"/>
    <mergeCell ref="R26:T26"/>
    <mergeCell ref="R27:T27"/>
    <mergeCell ref="Z31:AA31"/>
    <mergeCell ref="Z22:AA22"/>
    <mergeCell ref="C23:E23"/>
    <mergeCell ref="Z23:AA23"/>
    <mergeCell ref="O23:Q23"/>
    <mergeCell ref="R23:T23"/>
    <mergeCell ref="J23:K23"/>
    <mergeCell ref="O28:Q28"/>
    <mergeCell ref="C24:E24"/>
    <mergeCell ref="J24:K24"/>
    <mergeCell ref="C25:E25"/>
    <mergeCell ref="J25:K25"/>
    <mergeCell ref="O24:Q24"/>
    <mergeCell ref="R24:T24"/>
    <mergeCell ref="R22:T22"/>
    <mergeCell ref="J22:K22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6:Q46"/>
    <mergeCell ref="R46:T46"/>
    <mergeCell ref="O47:Q47"/>
    <mergeCell ref="R47:T47"/>
    <mergeCell ref="O54:Q54"/>
    <mergeCell ref="C21:E21"/>
    <mergeCell ref="J21:K21"/>
    <mergeCell ref="C22:E22"/>
    <mergeCell ref="O22:Q22"/>
    <mergeCell ref="C52:E52"/>
    <mergeCell ref="C53:E53"/>
    <mergeCell ref="C54:E54"/>
    <mergeCell ref="C31:E31"/>
    <mergeCell ref="C33:E33"/>
    <mergeCell ref="O31:Q31"/>
    <mergeCell ref="O30:Q30"/>
    <mergeCell ref="J29:K29"/>
    <mergeCell ref="J30:K30"/>
    <mergeCell ref="J31:K31"/>
    <mergeCell ref="J33:K33"/>
    <mergeCell ref="J52:K52"/>
    <mergeCell ref="J53:K53"/>
    <mergeCell ref="J54:K54"/>
    <mergeCell ref="O45:Q45"/>
    <mergeCell ref="J55:K55"/>
    <mergeCell ref="J45:K45"/>
    <mergeCell ref="J46:K46"/>
    <mergeCell ref="C55:E55"/>
    <mergeCell ref="C45:E45"/>
    <mergeCell ref="C46:E46"/>
    <mergeCell ref="C47:E47"/>
    <mergeCell ref="C48:E48"/>
    <mergeCell ref="C49:E49"/>
    <mergeCell ref="C50:E50"/>
    <mergeCell ref="J50:K50"/>
    <mergeCell ref="J51:K51"/>
    <mergeCell ref="C51:E51"/>
    <mergeCell ref="R45:T45"/>
    <mergeCell ref="R48:T48"/>
    <mergeCell ref="C38:E38"/>
    <mergeCell ref="C39:E39"/>
    <mergeCell ref="C40:E40"/>
    <mergeCell ref="J40:K40"/>
    <mergeCell ref="J49:K49"/>
    <mergeCell ref="C41:E41"/>
    <mergeCell ref="J41:K41"/>
    <mergeCell ref="C42:E42"/>
    <mergeCell ref="J42:K42"/>
    <mergeCell ref="J43:K43"/>
    <mergeCell ref="J47:K47"/>
    <mergeCell ref="J48:K48"/>
    <mergeCell ref="C43:E43"/>
    <mergeCell ref="J38:K38"/>
    <mergeCell ref="J39:K39"/>
    <mergeCell ref="O44:Q44"/>
    <mergeCell ref="R44:T44"/>
    <mergeCell ref="O39:Q39"/>
    <mergeCell ref="R39:T39"/>
    <mergeCell ref="O40:Q40"/>
    <mergeCell ref="R40:T40"/>
    <mergeCell ref="R41:T41"/>
    <mergeCell ref="O41:Q41"/>
    <mergeCell ref="O42:Q42"/>
    <mergeCell ref="R42:T42"/>
    <mergeCell ref="O37:Q37"/>
    <mergeCell ref="R37:T37"/>
    <mergeCell ref="O43:Q43"/>
    <mergeCell ref="R43:T43"/>
    <mergeCell ref="O38:Q38"/>
    <mergeCell ref="R38:T38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32:AA32"/>
    <mergeCell ref="Y52:AA52"/>
    <mergeCell ref="Y53:AA53"/>
    <mergeCell ref="Z26:AA26"/>
    <mergeCell ref="Z27:AA27"/>
    <mergeCell ref="Z28:AA28"/>
    <mergeCell ref="Z29:AA29"/>
    <mergeCell ref="Z30:AA30"/>
    <mergeCell ref="Z38:AA38"/>
    <mergeCell ref="Z39:AA39"/>
    <mergeCell ref="Z40:AA40"/>
    <mergeCell ref="Z41:AA41"/>
    <mergeCell ref="Z37:AA37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90" customWidth="1"/>
    <col min="3" max="3" width="14" style="190" bestFit="1" customWidth="1"/>
    <col min="4" max="4" width="0.28515625" style="190" customWidth="1"/>
    <col min="5" max="5" width="8.7109375" style="190" customWidth="1"/>
    <col min="6" max="6" width="16.28515625" style="190" bestFit="1" customWidth="1"/>
    <col min="7" max="10" width="8.7109375" style="190" customWidth="1"/>
    <col min="11" max="16384" width="8.7109375" style="190"/>
  </cols>
  <sheetData>
    <row r="2" spans="2:7" ht="15.6">
      <c r="B2" s="612" t="s">
        <v>340</v>
      </c>
      <c r="C2" s="612"/>
      <c r="D2" s="612"/>
      <c r="E2" s="612"/>
      <c r="F2" s="612"/>
    </row>
    <row r="3" spans="2:7" ht="14.45">
      <c r="B3" s="191" t="s">
        <v>341</v>
      </c>
      <c r="C3" s="191" t="s">
        <v>287</v>
      </c>
      <c r="D3" s="192"/>
      <c r="E3" s="191" t="s">
        <v>342</v>
      </c>
      <c r="F3" s="191" t="s">
        <v>343</v>
      </c>
      <c r="G3" s="192"/>
    </row>
    <row r="4" spans="2:7" ht="14.45">
      <c r="B4" s="193" t="s">
        <v>344</v>
      </c>
      <c r="C4" s="193" t="s">
        <v>345</v>
      </c>
      <c r="D4" s="192"/>
      <c r="E4" s="193" t="s">
        <v>346</v>
      </c>
      <c r="F4" s="193" t="s">
        <v>347</v>
      </c>
      <c r="G4" s="192"/>
    </row>
    <row r="5" spans="2:7" ht="14.45">
      <c r="B5" s="193" t="s">
        <v>348</v>
      </c>
      <c r="C5" s="193" t="s">
        <v>349</v>
      </c>
      <c r="D5" s="192"/>
      <c r="E5" s="193" t="s">
        <v>350</v>
      </c>
      <c r="F5" s="193" t="s">
        <v>351</v>
      </c>
      <c r="G5" s="192"/>
    </row>
    <row r="6" spans="2:7" ht="14.45">
      <c r="B6" s="193" t="s">
        <v>352</v>
      </c>
      <c r="C6" s="193" t="s">
        <v>353</v>
      </c>
      <c r="D6" s="192"/>
      <c r="E6" s="194" t="s">
        <v>354</v>
      </c>
      <c r="F6" s="194" t="s">
        <v>355</v>
      </c>
      <c r="G6" s="192"/>
    </row>
    <row r="7" spans="2:7" ht="14.45">
      <c r="B7" s="194" t="s">
        <v>356</v>
      </c>
      <c r="C7" s="194" t="s">
        <v>357</v>
      </c>
      <c r="D7" s="192"/>
      <c r="E7" s="193" t="s">
        <v>358</v>
      </c>
      <c r="F7" s="193" t="s">
        <v>359</v>
      </c>
      <c r="G7" s="192"/>
    </row>
    <row r="8" spans="2:7" ht="14.45">
      <c r="B8" s="193" t="s">
        <v>360</v>
      </c>
      <c r="C8" s="193" t="s">
        <v>361</v>
      </c>
      <c r="D8" s="192"/>
      <c r="E8" s="193" t="s">
        <v>362</v>
      </c>
      <c r="F8" s="193" t="s">
        <v>363</v>
      </c>
      <c r="G8" s="192"/>
    </row>
    <row r="9" spans="2:7" ht="14.45">
      <c r="B9" s="193" t="s">
        <v>364</v>
      </c>
      <c r="C9" s="193" t="s">
        <v>365</v>
      </c>
      <c r="D9" s="192"/>
      <c r="E9" s="194" t="s">
        <v>366</v>
      </c>
      <c r="F9" s="194" t="s">
        <v>96</v>
      </c>
      <c r="G9" s="192"/>
    </row>
    <row r="10" spans="2:7" ht="14.45">
      <c r="B10" s="193" t="s">
        <v>367</v>
      </c>
      <c r="C10" s="193" t="s">
        <v>368</v>
      </c>
      <c r="D10" s="192"/>
      <c r="E10" s="193" t="s">
        <v>369</v>
      </c>
      <c r="F10" s="193" t="s">
        <v>370</v>
      </c>
      <c r="G10" s="192"/>
    </row>
    <row r="11" spans="2:7" ht="14.45">
      <c r="B11" s="193" t="s">
        <v>371</v>
      </c>
      <c r="C11" s="193" t="s">
        <v>372</v>
      </c>
      <c r="D11" s="192"/>
      <c r="E11" s="193" t="s">
        <v>373</v>
      </c>
      <c r="F11" s="193" t="s">
        <v>363</v>
      </c>
      <c r="G11" s="192"/>
    </row>
    <row r="12" spans="2:7" ht="14.45">
      <c r="B12" s="193" t="s">
        <v>374</v>
      </c>
      <c r="C12" s="193" t="s">
        <v>375</v>
      </c>
      <c r="D12" s="192"/>
      <c r="E12" s="193" t="s">
        <v>376</v>
      </c>
      <c r="F12" s="193" t="s">
        <v>300</v>
      </c>
      <c r="G12" s="192"/>
    </row>
    <row r="13" spans="2:7" ht="14.45">
      <c r="B13" s="194" t="s">
        <v>377</v>
      </c>
      <c r="C13" s="194" t="s">
        <v>291</v>
      </c>
      <c r="D13" s="192"/>
      <c r="E13" s="193" t="s">
        <v>378</v>
      </c>
      <c r="F13" s="193" t="s">
        <v>379</v>
      </c>
      <c r="G13" s="192"/>
    </row>
    <row r="14" spans="2:7" ht="14.45">
      <c r="B14" s="193" t="s">
        <v>380</v>
      </c>
      <c r="C14" s="193" t="s">
        <v>381</v>
      </c>
      <c r="D14" s="192"/>
      <c r="E14" s="194" t="s">
        <v>382</v>
      </c>
      <c r="F14" s="194" t="s">
        <v>383</v>
      </c>
      <c r="G14" s="192"/>
    </row>
    <row r="15" spans="2:7" ht="14.45">
      <c r="B15" s="194" t="s">
        <v>384</v>
      </c>
      <c r="C15" s="194" t="s">
        <v>385</v>
      </c>
      <c r="D15" s="192"/>
      <c r="E15" s="193" t="s">
        <v>386</v>
      </c>
      <c r="F15" s="193" t="s">
        <v>383</v>
      </c>
      <c r="G15" s="192"/>
    </row>
    <row r="16" spans="2:7" ht="14.45">
      <c r="B16" s="193" t="s">
        <v>387</v>
      </c>
      <c r="C16" s="193" t="s">
        <v>388</v>
      </c>
      <c r="D16" s="192"/>
      <c r="E16" s="194" t="s">
        <v>389</v>
      </c>
      <c r="F16" s="194" t="s">
        <v>390</v>
      </c>
      <c r="G16" s="192"/>
    </row>
    <row r="17" spans="2:7" ht="14.45">
      <c r="B17" s="193" t="s">
        <v>391</v>
      </c>
      <c r="C17" s="193" t="s">
        <v>392</v>
      </c>
      <c r="D17" s="192"/>
      <c r="E17" s="193" t="s">
        <v>393</v>
      </c>
      <c r="F17" s="193" t="s">
        <v>394</v>
      </c>
      <c r="G17" s="192"/>
    </row>
    <row r="18" spans="2:7" ht="14.45">
      <c r="B18" s="193" t="s">
        <v>395</v>
      </c>
      <c r="C18" s="193" t="s">
        <v>396</v>
      </c>
      <c r="D18" s="192"/>
      <c r="E18" s="193" t="s">
        <v>397</v>
      </c>
      <c r="F18" s="193" t="s">
        <v>398</v>
      </c>
      <c r="G18" s="192"/>
    </row>
    <row r="19" spans="2:7" ht="14.45">
      <c r="B19" s="193" t="s">
        <v>399</v>
      </c>
      <c r="C19" s="193" t="s">
        <v>400</v>
      </c>
      <c r="D19" s="192"/>
      <c r="E19" s="193" t="s">
        <v>401</v>
      </c>
      <c r="F19" s="193" t="s">
        <v>402</v>
      </c>
      <c r="G19" s="192"/>
    </row>
    <row r="20" spans="2:7" ht="14.45">
      <c r="B20" s="193" t="s">
        <v>403</v>
      </c>
      <c r="C20" s="193" t="s">
        <v>404</v>
      </c>
      <c r="D20" s="192"/>
      <c r="G20" s="192"/>
    </row>
    <row r="21" spans="2:7" ht="14.45">
      <c r="D21" s="192"/>
      <c r="G21" s="192"/>
    </row>
    <row r="22" spans="2:7" ht="14.45">
      <c r="D22" s="192"/>
      <c r="G22" s="192"/>
    </row>
    <row r="23" spans="2:7" ht="14.45">
      <c r="D23" s="192"/>
      <c r="G23" s="192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0"/>
  <sheetViews>
    <sheetView workbookViewId="0">
      <selection activeCell="L99" sqref="L99:L116"/>
    </sheetView>
  </sheetViews>
  <sheetFormatPr defaultColWidth="9.140625" defaultRowHeight="15.6"/>
  <cols>
    <col min="1" max="1" width="27.140625" style="363" customWidth="1"/>
    <col min="2" max="6" width="9.140625" style="363" customWidth="1"/>
    <col min="7" max="7" width="26" style="363" bestFit="1" customWidth="1"/>
    <col min="8" max="19" width="9.140625" style="363" customWidth="1"/>
    <col min="20" max="16384" width="9.140625" style="363"/>
  </cols>
  <sheetData>
    <row r="1" spans="1:4">
      <c r="A1" s="361" t="s">
        <v>405</v>
      </c>
      <c r="B1" s="361" t="s">
        <v>93</v>
      </c>
      <c r="C1" s="361" t="s">
        <v>306</v>
      </c>
      <c r="D1" s="362"/>
    </row>
    <row r="2" spans="1:4">
      <c r="A2" s="364" t="s">
        <v>101</v>
      </c>
      <c r="B2" s="364">
        <v>13</v>
      </c>
      <c r="C2" s="364">
        <v>2105</v>
      </c>
      <c r="D2" s="365" t="s">
        <v>406</v>
      </c>
    </row>
    <row r="3" spans="1:4">
      <c r="A3" s="364" t="s">
        <v>407</v>
      </c>
      <c r="B3" s="364">
        <v>15</v>
      </c>
      <c r="C3" s="364">
        <v>1565</v>
      </c>
      <c r="D3" s="365" t="s">
        <v>408</v>
      </c>
    </row>
    <row r="4" spans="1:4">
      <c r="A4" s="364" t="s">
        <v>99</v>
      </c>
      <c r="B4" s="364">
        <v>13</v>
      </c>
      <c r="C4" s="364">
        <v>2000</v>
      </c>
      <c r="D4" s="362"/>
    </row>
    <row r="5" spans="1:4">
      <c r="A5" s="364" t="s">
        <v>97</v>
      </c>
      <c r="B5" s="364">
        <v>12</v>
      </c>
      <c r="C5" s="364">
        <v>2000</v>
      </c>
      <c r="D5" s="362"/>
    </row>
    <row r="6" spans="1:4">
      <c r="A6" s="364" t="s">
        <v>100</v>
      </c>
      <c r="B6" s="364">
        <v>18</v>
      </c>
      <c r="C6" s="364">
        <v>1600</v>
      </c>
      <c r="D6" s="362"/>
    </row>
    <row r="7" spans="1:4">
      <c r="A7" s="364" t="s">
        <v>98</v>
      </c>
      <c r="B7" s="364">
        <v>14</v>
      </c>
      <c r="C7" s="364">
        <v>2000</v>
      </c>
      <c r="D7" s="362"/>
    </row>
    <row r="8" spans="1:4">
      <c r="A8" s="364" t="s">
        <v>102</v>
      </c>
      <c r="B8" s="364">
        <v>17</v>
      </c>
      <c r="C8" s="364">
        <v>2000</v>
      </c>
      <c r="D8" s="362"/>
    </row>
    <row r="9" spans="1:4">
      <c r="A9" s="364" t="s">
        <v>106</v>
      </c>
      <c r="B9" s="364">
        <v>18</v>
      </c>
      <c r="C9" s="364">
        <v>1565</v>
      </c>
      <c r="D9" s="362"/>
    </row>
    <row r="10" spans="1:4">
      <c r="A10" s="364" t="s">
        <v>105</v>
      </c>
      <c r="B10" s="364">
        <v>17</v>
      </c>
      <c r="C10" s="364">
        <v>1565</v>
      </c>
      <c r="D10" s="362"/>
    </row>
    <row r="11" spans="1:4">
      <c r="A11" s="364" t="s">
        <v>409</v>
      </c>
      <c r="B11" s="364">
        <v>14</v>
      </c>
      <c r="C11" s="364">
        <v>1385</v>
      </c>
      <c r="D11" s="362"/>
    </row>
    <row r="12" spans="1:4">
      <c r="A12" s="364" t="s">
        <v>104</v>
      </c>
      <c r="B12" s="364">
        <v>17</v>
      </c>
      <c r="C12" s="364">
        <v>1385</v>
      </c>
      <c r="D12" s="362"/>
    </row>
    <row r="13" spans="1:4">
      <c r="A13" s="364" t="s">
        <v>410</v>
      </c>
      <c r="B13" s="364">
        <v>17</v>
      </c>
      <c r="C13" s="364">
        <v>1385</v>
      </c>
      <c r="D13" s="362"/>
    </row>
    <row r="14" spans="1:4">
      <c r="A14" s="364" t="s">
        <v>103</v>
      </c>
      <c r="B14" s="364">
        <v>16</v>
      </c>
      <c r="C14" s="364">
        <v>1385</v>
      </c>
      <c r="D14" s="362"/>
    </row>
    <row r="15" spans="1:4">
      <c r="A15" s="364" t="s">
        <v>107</v>
      </c>
      <c r="B15" s="364">
        <v>16</v>
      </c>
      <c r="C15" s="364">
        <v>1406</v>
      </c>
      <c r="D15" s="362"/>
    </row>
    <row r="16" spans="1:4">
      <c r="A16" s="364" t="s">
        <v>108</v>
      </c>
      <c r="B16" s="364">
        <v>14</v>
      </c>
      <c r="C16" s="364">
        <v>1440</v>
      </c>
      <c r="D16" s="362"/>
    </row>
    <row r="17" spans="1:5">
      <c r="A17" s="364" t="s">
        <v>411</v>
      </c>
      <c r="B17" s="364">
        <v>16</v>
      </c>
      <c r="C17" s="364">
        <v>1440</v>
      </c>
      <c r="D17" s="362"/>
    </row>
    <row r="18" spans="1:5">
      <c r="A18" s="364" t="s">
        <v>109</v>
      </c>
      <c r="B18" s="364">
        <v>17</v>
      </c>
      <c r="C18" s="364">
        <v>1500</v>
      </c>
      <c r="D18" s="362"/>
    </row>
    <row r="19" spans="1:5">
      <c r="A19" s="364" t="s">
        <v>110</v>
      </c>
      <c r="B19" s="364">
        <v>17</v>
      </c>
      <c r="C19" s="364">
        <v>1440</v>
      </c>
      <c r="D19" s="362"/>
    </row>
    <row r="20" spans="1:5">
      <c r="A20" s="364" t="s">
        <v>111</v>
      </c>
      <c r="B20" s="364">
        <v>19</v>
      </c>
      <c r="C20" s="364">
        <v>1440</v>
      </c>
      <c r="D20" s="362"/>
    </row>
    <row r="21" spans="1:5">
      <c r="A21" s="366" t="s">
        <v>112</v>
      </c>
      <c r="B21" s="364">
        <v>10</v>
      </c>
      <c r="C21" s="364">
        <v>1125</v>
      </c>
      <c r="D21" s="362"/>
    </row>
    <row r="22" spans="1:5">
      <c r="A22" s="364" t="s">
        <v>113</v>
      </c>
      <c r="B22" s="364">
        <v>16</v>
      </c>
      <c r="C22" s="364">
        <v>1800</v>
      </c>
    </row>
    <row r="23" spans="1:5">
      <c r="A23" s="361"/>
      <c r="B23" s="361"/>
      <c r="C23" s="361"/>
      <c r="E23" s="367" t="s">
        <v>412</v>
      </c>
    </row>
    <row r="24" spans="1:5">
      <c r="A24" s="361"/>
      <c r="B24" s="361"/>
      <c r="C24" s="361"/>
    </row>
    <row r="25" spans="1:5">
      <c r="A25" s="361" t="s">
        <v>114</v>
      </c>
      <c r="B25" s="361">
        <v>13</v>
      </c>
      <c r="C25" s="361">
        <v>1565</v>
      </c>
    </row>
    <row r="26" spans="1:5">
      <c r="A26" s="361" t="s">
        <v>115</v>
      </c>
      <c r="B26" s="361">
        <v>12</v>
      </c>
      <c r="C26" s="361">
        <v>1565</v>
      </c>
    </row>
    <row r="27" spans="1:5">
      <c r="A27" s="361" t="s">
        <v>116</v>
      </c>
      <c r="B27" s="361">
        <v>12</v>
      </c>
      <c r="C27" s="361">
        <v>1565</v>
      </c>
    </row>
    <row r="28" spans="1:5">
      <c r="A28" s="364" t="s">
        <v>117</v>
      </c>
      <c r="B28" s="364">
        <v>12</v>
      </c>
      <c r="C28" s="364">
        <v>1565</v>
      </c>
    </row>
    <row r="29" spans="1:5">
      <c r="A29" s="361"/>
      <c r="B29" s="361"/>
      <c r="C29" s="361"/>
    </row>
    <row r="30" spans="1:5">
      <c r="A30" s="361"/>
      <c r="B30" s="361"/>
      <c r="C30" s="361"/>
    </row>
  </sheetData>
  <phoneticPr fontId="11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C2AB0-8D27-461A-83F0-DD8CC947C78F}"/>
</file>

<file path=customXml/itemProps2.xml><?xml version="1.0" encoding="utf-8"?>
<ds:datastoreItem xmlns:ds="http://schemas.openxmlformats.org/officeDocument/2006/customXml" ds:itemID="{A098D6E8-2F53-4064-A060-9B1907CD7578}"/>
</file>

<file path=customXml/itemProps3.xml><?xml version="1.0" encoding="utf-8"?>
<ds:datastoreItem xmlns:ds="http://schemas.openxmlformats.org/officeDocument/2006/customXml" ds:itemID="{76D01A30-F7C0-449F-86AD-079C31DE2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2026-04-08T05:37:26Z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