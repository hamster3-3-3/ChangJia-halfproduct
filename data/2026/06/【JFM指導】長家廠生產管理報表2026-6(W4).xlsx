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6月半成品及日報繳交處\"/>
    </mc:Choice>
  </mc:AlternateContent>
  <xr:revisionPtr revIDLastSave="0" documentId="13_ncr:1_{E67965E4-395B-4C31-A20F-425926410DC0}" xr6:coauthVersionLast="47" xr6:coauthVersionMax="47" xr10:uidLastSave="{00000000-0000-0000-0000-000000000000}"/>
  <bookViews>
    <workbookView xWindow="-120" yWindow="-120" windowWidth="29040" windowHeight="15720" tabRatio="780" firstSheet="10" activeTab="16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57" l="1"/>
  <c r="J9" i="57"/>
  <c r="I9" i="57"/>
  <c r="K8" i="57"/>
  <c r="J8" i="57"/>
  <c r="I8" i="57"/>
  <c r="B10" i="40"/>
  <c r="B9" i="40"/>
  <c r="B5" i="40" l="1"/>
  <c r="G29" i="47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42" i="1" s="1"/>
  <c r="V42" i="1" s="1"/>
  <c r="X33" i="1"/>
  <c r="X32" i="1"/>
  <c r="X34" i="1" s="1"/>
  <c r="V34" i="1" s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Q13" i="1"/>
  <c r="O13" i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Q9" i="1"/>
  <c r="O9" i="1"/>
  <c r="E9" i="1"/>
  <c r="D9" i="1"/>
  <c r="C9" i="1"/>
  <c r="B9" i="1"/>
  <c r="U8" i="1"/>
  <c r="W8" i="1" s="1"/>
  <c r="O8" i="1"/>
  <c r="Q8" i="1" s="1"/>
  <c r="E8" i="1"/>
  <c r="D8" i="1"/>
  <c r="W7" i="1"/>
  <c r="U7" i="1"/>
  <c r="U14" i="1" s="1"/>
  <c r="O7" i="1"/>
  <c r="E7" i="1"/>
  <c r="D7" i="1"/>
  <c r="U6" i="1"/>
  <c r="W6" i="1" s="1"/>
  <c r="O6" i="1"/>
  <c r="Q6" i="1" s="1"/>
  <c r="E6" i="1"/>
  <c r="D6" i="1"/>
  <c r="K36" i="56"/>
  <c r="I36" i="56"/>
  <c r="G36" i="56"/>
  <c r="E36" i="56"/>
  <c r="F36" i="56" s="1"/>
  <c r="C36" i="56"/>
  <c r="L36" i="56" s="1"/>
  <c r="B36" i="56"/>
  <c r="K35" i="56"/>
  <c r="I35" i="56"/>
  <c r="G35" i="56"/>
  <c r="E35" i="56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O25" i="5" s="1"/>
  <c r="D24" i="56"/>
  <c r="L25" i="5" s="1"/>
  <c r="L23" i="56"/>
  <c r="J23" i="56"/>
  <c r="H23" i="56"/>
  <c r="F23" i="56"/>
  <c r="D23" i="56"/>
  <c r="L24" i="5" s="1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O21" i="5" s="1"/>
  <c r="P20" i="5" s="1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O19" i="5" s="1"/>
  <c r="D18" i="56"/>
  <c r="L17" i="56"/>
  <c r="J17" i="56"/>
  <c r="H17" i="56"/>
  <c r="F17" i="56"/>
  <c r="O18" i="5" s="1"/>
  <c r="D17" i="56"/>
  <c r="L18" i="5" s="1"/>
  <c r="L16" i="56"/>
  <c r="J16" i="56"/>
  <c r="H16" i="56"/>
  <c r="F16" i="56"/>
  <c r="D16" i="56"/>
  <c r="L15" i="56"/>
  <c r="J15" i="56"/>
  <c r="H15" i="56"/>
  <c r="F15" i="56"/>
  <c r="O16" i="5" s="1"/>
  <c r="D15" i="56"/>
  <c r="L14" i="56"/>
  <c r="J14" i="56"/>
  <c r="H14" i="56"/>
  <c r="F14" i="56"/>
  <c r="D14" i="56"/>
  <c r="L13" i="56"/>
  <c r="J13" i="56"/>
  <c r="H13" i="56"/>
  <c r="F13" i="56"/>
  <c r="D13" i="56"/>
  <c r="A13" i="56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O12" i="56"/>
  <c r="N12" i="56"/>
  <c r="M12" i="56"/>
  <c r="L12" i="56"/>
  <c r="J12" i="56"/>
  <c r="H12" i="56"/>
  <c r="F12" i="56"/>
  <c r="D12" i="56"/>
  <c r="L11" i="56"/>
  <c r="J11" i="56"/>
  <c r="H11" i="56"/>
  <c r="F11" i="56"/>
  <c r="O12" i="5" s="1"/>
  <c r="D11" i="56"/>
  <c r="L12" i="5" s="1"/>
  <c r="L10" i="56"/>
  <c r="J10" i="56"/>
  <c r="H10" i="56"/>
  <c r="F10" i="56"/>
  <c r="D10" i="56"/>
  <c r="L11" i="5" s="1"/>
  <c r="A10" i="56"/>
  <c r="A11" i="56" s="1"/>
  <c r="A12" i="56" s="1"/>
  <c r="L9" i="56"/>
  <c r="J9" i="56"/>
  <c r="H9" i="56"/>
  <c r="F9" i="56"/>
  <c r="O10" i="5" s="1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O7" i="5" s="1"/>
  <c r="D6" i="56"/>
  <c r="L7" i="5" s="1"/>
  <c r="A6" i="56"/>
  <c r="A7" i="56" s="1"/>
  <c r="A8" i="56" s="1"/>
  <c r="A9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L5" i="5" s="1"/>
  <c r="T24" i="55"/>
  <c r="S24" i="55"/>
  <c r="R24" i="55"/>
  <c r="O24" i="55"/>
  <c r="P24" i="55" s="1"/>
  <c r="N24" i="55"/>
  <c r="L24" i="55"/>
  <c r="J24" i="55"/>
  <c r="U23" i="55"/>
  <c r="T23" i="55"/>
  <c r="F23" i="55" s="1"/>
  <c r="S23" i="55"/>
  <c r="R23" i="55"/>
  <c r="O23" i="55"/>
  <c r="P23" i="55" s="1"/>
  <c r="N23" i="55"/>
  <c r="L23" i="55"/>
  <c r="J23" i="55"/>
  <c r="S22" i="55"/>
  <c r="R22" i="55"/>
  <c r="P22" i="55"/>
  <c r="O22" i="55"/>
  <c r="T22" i="55" s="1"/>
  <c r="N22" i="55"/>
  <c r="L22" i="55"/>
  <c r="J22" i="55"/>
  <c r="S21" i="55"/>
  <c r="R21" i="55"/>
  <c r="P21" i="55"/>
  <c r="O21" i="55"/>
  <c r="T21" i="55" s="1"/>
  <c r="N21" i="55"/>
  <c r="L21" i="55"/>
  <c r="J21" i="55"/>
  <c r="S20" i="55"/>
  <c r="R20" i="55"/>
  <c r="P20" i="55"/>
  <c r="O20" i="55"/>
  <c r="T20" i="55" s="1"/>
  <c r="U20" i="55" s="1"/>
  <c r="N20" i="55"/>
  <c r="L20" i="55"/>
  <c r="J20" i="55"/>
  <c r="F20" i="55"/>
  <c r="S19" i="55"/>
  <c r="R19" i="55"/>
  <c r="O19" i="55"/>
  <c r="T19" i="55" s="1"/>
  <c r="N19" i="55"/>
  <c r="L19" i="55"/>
  <c r="J19" i="55"/>
  <c r="U18" i="55"/>
  <c r="T18" i="55"/>
  <c r="S18" i="55"/>
  <c r="R18" i="55"/>
  <c r="O18" i="55"/>
  <c r="P18" i="55" s="1"/>
  <c r="N18" i="55"/>
  <c r="L18" i="55"/>
  <c r="J18" i="55"/>
  <c r="F18" i="55"/>
  <c r="U17" i="55"/>
  <c r="T17" i="55"/>
  <c r="F17" i="55" s="1"/>
  <c r="S17" i="55"/>
  <c r="R17" i="55"/>
  <c r="O17" i="55"/>
  <c r="P17" i="55" s="1"/>
  <c r="N17" i="55"/>
  <c r="L17" i="55"/>
  <c r="J17" i="55"/>
  <c r="S16" i="55"/>
  <c r="R16" i="55"/>
  <c r="O16" i="55"/>
  <c r="T16" i="55" s="1"/>
  <c r="N16" i="55"/>
  <c r="L16" i="55"/>
  <c r="J16" i="55"/>
  <c r="S15" i="55"/>
  <c r="R15" i="55"/>
  <c r="P15" i="55"/>
  <c r="O15" i="55"/>
  <c r="T15" i="55" s="1"/>
  <c r="N15" i="55"/>
  <c r="L15" i="55"/>
  <c r="J15" i="55"/>
  <c r="S14" i="55"/>
  <c r="R14" i="55"/>
  <c r="O14" i="55"/>
  <c r="N14" i="55"/>
  <c r="L14" i="55"/>
  <c r="J14" i="55"/>
  <c r="S13" i="55"/>
  <c r="R13" i="55"/>
  <c r="O13" i="55"/>
  <c r="T13" i="55" s="1"/>
  <c r="N13" i="55"/>
  <c r="L13" i="55"/>
  <c r="J13" i="55"/>
  <c r="T12" i="55"/>
  <c r="S12" i="55"/>
  <c r="R12" i="55"/>
  <c r="O12" i="55"/>
  <c r="P12" i="55" s="1"/>
  <c r="N12" i="55"/>
  <c r="L12" i="55"/>
  <c r="J12" i="55"/>
  <c r="U11" i="55"/>
  <c r="T11" i="55"/>
  <c r="F11" i="55" s="1"/>
  <c r="S11" i="55"/>
  <c r="R11" i="55"/>
  <c r="O11" i="55"/>
  <c r="P11" i="55" s="1"/>
  <c r="N11" i="55"/>
  <c r="L11" i="55"/>
  <c r="J11" i="55"/>
  <c r="U10" i="55"/>
  <c r="T10" i="55"/>
  <c r="F10" i="55" s="1"/>
  <c r="S10" i="55"/>
  <c r="R10" i="55"/>
  <c r="P10" i="55"/>
  <c r="O10" i="55"/>
  <c r="N10" i="55"/>
  <c r="L10" i="55"/>
  <c r="J10" i="55"/>
  <c r="U9" i="55"/>
  <c r="T9" i="55"/>
  <c r="S9" i="55"/>
  <c r="R9" i="55"/>
  <c r="P9" i="55"/>
  <c r="O9" i="55"/>
  <c r="N9" i="55"/>
  <c r="L9" i="55"/>
  <c r="J9" i="55"/>
  <c r="F9" i="55"/>
  <c r="AJ8" i="55"/>
  <c r="AI8" i="55"/>
  <c r="H15" i="40" s="1"/>
  <c r="AH8" i="55"/>
  <c r="F15" i="40" s="1"/>
  <c r="AF8" i="55"/>
  <c r="J10" i="40" s="1"/>
  <c r="AE8" i="55"/>
  <c r="H10" i="40" s="1"/>
  <c r="S8" i="55"/>
  <c r="R8" i="55"/>
  <c r="P8" i="55"/>
  <c r="O8" i="55"/>
  <c r="T8" i="55" s="1"/>
  <c r="N8" i="55"/>
  <c r="L8" i="55"/>
  <c r="J8" i="55"/>
  <c r="AJ7" i="55"/>
  <c r="AJ9" i="55" s="1"/>
  <c r="K15" i="40" s="1"/>
  <c r="AI7" i="55"/>
  <c r="AI9" i="55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U7" i="55"/>
  <c r="T7" i="55"/>
  <c r="S7" i="55"/>
  <c r="R7" i="55"/>
  <c r="O7" i="55"/>
  <c r="P7" i="55" s="1"/>
  <c r="N7" i="55"/>
  <c r="L7" i="55"/>
  <c r="J7" i="55"/>
  <c r="F7" i="55"/>
  <c r="S6" i="55"/>
  <c r="R6" i="55"/>
  <c r="O6" i="55"/>
  <c r="P6" i="55" s="1"/>
  <c r="N6" i="55"/>
  <c r="L6" i="55"/>
  <c r="J6" i="55"/>
  <c r="T5" i="55"/>
  <c r="S5" i="55"/>
  <c r="R5" i="55"/>
  <c r="O5" i="55"/>
  <c r="P5" i="55" s="1"/>
  <c r="N5" i="55"/>
  <c r="L5" i="55"/>
  <c r="J5" i="55"/>
  <c r="S24" i="52"/>
  <c r="R24" i="52"/>
  <c r="P24" i="52"/>
  <c r="O24" i="52"/>
  <c r="N24" i="52"/>
  <c r="L24" i="52"/>
  <c r="J24" i="52"/>
  <c r="F24" i="52"/>
  <c r="R23" i="52"/>
  <c r="P23" i="52"/>
  <c r="O23" i="52"/>
  <c r="S23" i="52" s="1"/>
  <c r="N23" i="52"/>
  <c r="L23" i="52"/>
  <c r="J23" i="52"/>
  <c r="F23" i="52"/>
  <c r="T22" i="52"/>
  <c r="S22" i="52"/>
  <c r="U22" i="52" s="1"/>
  <c r="R22" i="52"/>
  <c r="O22" i="52"/>
  <c r="P22" i="52" s="1"/>
  <c r="N22" i="52"/>
  <c r="L22" i="52"/>
  <c r="J22" i="52"/>
  <c r="F22" i="52"/>
  <c r="R21" i="52"/>
  <c r="O21" i="52"/>
  <c r="S21" i="52" s="1"/>
  <c r="N21" i="52"/>
  <c r="L21" i="52"/>
  <c r="J21" i="52"/>
  <c r="F21" i="52"/>
  <c r="AG8" i="52" s="1"/>
  <c r="L9" i="40" s="1"/>
  <c r="S20" i="52"/>
  <c r="R20" i="52"/>
  <c r="O20" i="52"/>
  <c r="P20" i="52" s="1"/>
  <c r="N20" i="52"/>
  <c r="L20" i="52"/>
  <c r="J20" i="52"/>
  <c r="F20" i="52"/>
  <c r="R19" i="52"/>
  <c r="P19" i="52"/>
  <c r="O19" i="52"/>
  <c r="S19" i="52" s="1"/>
  <c r="T19" i="52" s="1"/>
  <c r="N19" i="52"/>
  <c r="L19" i="52"/>
  <c r="J19" i="52"/>
  <c r="F19" i="52"/>
  <c r="S18" i="52"/>
  <c r="R18" i="52"/>
  <c r="P18" i="52"/>
  <c r="O18" i="52"/>
  <c r="N18" i="52"/>
  <c r="L18" i="52"/>
  <c r="J18" i="52"/>
  <c r="F18" i="52"/>
  <c r="R17" i="52"/>
  <c r="P17" i="52"/>
  <c r="O17" i="52"/>
  <c r="S17" i="52" s="1"/>
  <c r="N17" i="52"/>
  <c r="L17" i="52"/>
  <c r="J17" i="52"/>
  <c r="F17" i="52"/>
  <c r="AE8" i="52" s="1"/>
  <c r="H9" i="40" s="1"/>
  <c r="T16" i="52"/>
  <c r="S16" i="52"/>
  <c r="U16" i="52" s="1"/>
  <c r="R16" i="52"/>
  <c r="O16" i="52"/>
  <c r="P16" i="52" s="1"/>
  <c r="N16" i="52"/>
  <c r="L16" i="52"/>
  <c r="J16" i="52"/>
  <c r="F16" i="52"/>
  <c r="U15" i="52"/>
  <c r="R15" i="52"/>
  <c r="O15" i="52"/>
  <c r="S15" i="52" s="1"/>
  <c r="T15" i="52" s="1"/>
  <c r="N15" i="52"/>
  <c r="L15" i="52"/>
  <c r="J15" i="52"/>
  <c r="F15" i="52"/>
  <c r="S14" i="52"/>
  <c r="R14" i="52"/>
  <c r="O14" i="52"/>
  <c r="P14" i="52" s="1"/>
  <c r="N14" i="52"/>
  <c r="L14" i="52"/>
  <c r="J14" i="52"/>
  <c r="F14" i="52"/>
  <c r="T13" i="52"/>
  <c r="R13" i="52"/>
  <c r="O13" i="52"/>
  <c r="S13" i="52" s="1"/>
  <c r="U13" i="52" s="1"/>
  <c r="N13" i="52"/>
  <c r="L13" i="52"/>
  <c r="J13" i="52"/>
  <c r="F13" i="52"/>
  <c r="S12" i="52"/>
  <c r="R12" i="52"/>
  <c r="P12" i="52"/>
  <c r="O12" i="52"/>
  <c r="N12" i="52"/>
  <c r="L12" i="52"/>
  <c r="J12" i="52"/>
  <c r="F12" i="52"/>
  <c r="R11" i="52"/>
  <c r="O11" i="52"/>
  <c r="S11" i="52" s="1"/>
  <c r="N11" i="52"/>
  <c r="L11" i="52"/>
  <c r="J11" i="52"/>
  <c r="F11" i="52"/>
  <c r="T10" i="52"/>
  <c r="S10" i="52"/>
  <c r="U10" i="52" s="1"/>
  <c r="R10" i="52"/>
  <c r="O10" i="52"/>
  <c r="P10" i="52" s="1"/>
  <c r="N10" i="52"/>
  <c r="L10" i="52"/>
  <c r="J10" i="52"/>
  <c r="F10" i="52"/>
  <c r="R9" i="52"/>
  <c r="O9" i="52"/>
  <c r="N9" i="52"/>
  <c r="L9" i="52"/>
  <c r="J9" i="52"/>
  <c r="F9" i="52"/>
  <c r="AJ8" i="52"/>
  <c r="J14" i="40" s="1"/>
  <c r="AI8" i="52"/>
  <c r="H14" i="40" s="1"/>
  <c r="AH8" i="52"/>
  <c r="F14" i="40" s="1"/>
  <c r="AF8" i="52"/>
  <c r="J9" i="40" s="1"/>
  <c r="U8" i="52"/>
  <c r="T8" i="52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E7" i="52"/>
  <c r="AD7" i="52"/>
  <c r="AD9" i="52" s="1"/>
  <c r="G9" i="40" s="1"/>
  <c r="AC7" i="52"/>
  <c r="S7" i="52"/>
  <c r="R7" i="52"/>
  <c r="P7" i="52"/>
  <c r="O7" i="52"/>
  <c r="N7" i="52"/>
  <c r="L7" i="52"/>
  <c r="J7" i="52"/>
  <c r="F7" i="52"/>
  <c r="R6" i="52"/>
  <c r="O6" i="52"/>
  <c r="N6" i="52"/>
  <c r="L6" i="52"/>
  <c r="J6" i="52"/>
  <c r="F6" i="52"/>
  <c r="T5" i="52"/>
  <c r="S5" i="52"/>
  <c r="U5" i="52" s="1"/>
  <c r="R5" i="52"/>
  <c r="O5" i="52"/>
  <c r="P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K38" i="51" s="1"/>
  <c r="M30" i="51"/>
  <c r="K30" i="51" s="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21" i="50"/>
  <c r="M20" i="50"/>
  <c r="M19" i="50"/>
  <c r="M18" i="50"/>
  <c r="M17" i="50"/>
  <c r="M13" i="50"/>
  <c r="M12" i="50"/>
  <c r="M11" i="50"/>
  <c r="M10" i="50"/>
  <c r="M9" i="50"/>
  <c r="K38" i="20"/>
  <c r="M26" i="20"/>
  <c r="M30" i="20" s="1"/>
  <c r="M25" i="20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J15" i="40"/>
  <c r="C10" i="40"/>
  <c r="C9" i="40"/>
  <c r="AV109" i="49"/>
  <c r="AW109" i="49" s="1"/>
  <c r="AQ109" i="49"/>
  <c r="AR109" i="49" s="1"/>
  <c r="AG109" i="49"/>
  <c r="AH109" i="49" s="1"/>
  <c r="AC109" i="49"/>
  <c r="AB109" i="49"/>
  <c r="X109" i="49"/>
  <c r="W109" i="49"/>
  <c r="K109" i="49"/>
  <c r="J109" i="49"/>
  <c r="I109" i="49"/>
  <c r="F109" i="49"/>
  <c r="G109" i="49" s="1"/>
  <c r="E109" i="49"/>
  <c r="AV108" i="49"/>
  <c r="AW108" i="49" s="1"/>
  <c r="AR108" i="49"/>
  <c r="AQ108" i="49"/>
  <c r="AL108" i="49"/>
  <c r="AH108" i="49"/>
  <c r="AG108" i="49"/>
  <c r="AB108" i="49"/>
  <c r="AC108" i="49" s="1"/>
  <c r="W108" i="49"/>
  <c r="X108" i="49" s="1"/>
  <c r="K108" i="49"/>
  <c r="M108" i="49" s="1"/>
  <c r="J108" i="49"/>
  <c r="I108" i="49"/>
  <c r="F108" i="49"/>
  <c r="G108" i="49" s="1"/>
  <c r="E108" i="49"/>
  <c r="AV107" i="49"/>
  <c r="AX107" i="49" s="1"/>
  <c r="AQ107" i="49"/>
  <c r="AR107" i="49" s="1"/>
  <c r="AN107" i="49"/>
  <c r="AL107" i="49"/>
  <c r="AM107" i="49" s="1"/>
  <c r="AH107" i="49"/>
  <c r="AG107" i="49"/>
  <c r="AI107" i="49" s="1"/>
  <c r="AC107" i="49"/>
  <c r="AB107" i="49"/>
  <c r="AD107" i="49" s="1"/>
  <c r="W107" i="49"/>
  <c r="X107" i="49" s="1"/>
  <c r="T107" i="49"/>
  <c r="K107" i="49"/>
  <c r="J107" i="49"/>
  <c r="I107" i="49"/>
  <c r="G107" i="49"/>
  <c r="H107" i="49" s="1"/>
  <c r="F107" i="49"/>
  <c r="E107" i="49"/>
  <c r="AV90" i="49"/>
  <c r="AQ90" i="49"/>
  <c r="AL90" i="49"/>
  <c r="AM90" i="49" s="1"/>
  <c r="AG90" i="49"/>
  <c r="AC90" i="49"/>
  <c r="AB90" i="49"/>
  <c r="W90" i="49"/>
  <c r="S90" i="49"/>
  <c r="R90" i="49"/>
  <c r="J90" i="49"/>
  <c r="I90" i="49"/>
  <c r="F90" i="49"/>
  <c r="E90" i="49"/>
  <c r="G90" i="49" s="1"/>
  <c r="AV89" i="49"/>
  <c r="AQ89" i="49"/>
  <c r="AR89" i="49" s="1"/>
  <c r="AM89" i="49"/>
  <c r="AL89" i="49"/>
  <c r="AG89" i="49"/>
  <c r="AB89" i="49"/>
  <c r="W89" i="49"/>
  <c r="S89" i="49"/>
  <c r="R89" i="49"/>
  <c r="K89" i="49" s="1"/>
  <c r="J89" i="49"/>
  <c r="I89" i="49"/>
  <c r="F89" i="49"/>
  <c r="G89" i="49" s="1"/>
  <c r="E89" i="49"/>
  <c r="AV88" i="49"/>
  <c r="AQ88" i="49"/>
  <c r="AM88" i="49"/>
  <c r="AL88" i="49"/>
  <c r="AH88" i="49"/>
  <c r="AG88" i="49"/>
  <c r="AB88" i="49"/>
  <c r="AC88" i="49" s="1"/>
  <c r="W88" i="49"/>
  <c r="R88" i="49"/>
  <c r="J88" i="49"/>
  <c r="I88" i="49"/>
  <c r="G88" i="49"/>
  <c r="F88" i="49"/>
  <c r="E88" i="49"/>
  <c r="AV87" i="49"/>
  <c r="AQ87" i="49"/>
  <c r="AN87" i="49"/>
  <c r="AM87" i="49"/>
  <c r="AL87" i="49"/>
  <c r="AG87" i="49"/>
  <c r="AC87" i="49"/>
  <c r="AB87" i="49"/>
  <c r="W87" i="49"/>
  <c r="S87" i="49"/>
  <c r="R87" i="49"/>
  <c r="J87" i="49"/>
  <c r="I87" i="49"/>
  <c r="F87" i="49"/>
  <c r="E87" i="49"/>
  <c r="G87" i="49" s="1"/>
  <c r="U82" i="49"/>
  <c r="AV70" i="49"/>
  <c r="AQ70" i="49"/>
  <c r="AL70" i="49"/>
  <c r="AG70" i="49"/>
  <c r="AB70" i="49"/>
  <c r="W70" i="49"/>
  <c r="K70" i="49"/>
  <c r="J70" i="49"/>
  <c r="I70" i="49"/>
  <c r="F70" i="49"/>
  <c r="G70" i="49" s="1"/>
  <c r="E70" i="49"/>
  <c r="AV69" i="49"/>
  <c r="AQ69" i="49"/>
  <c r="AL69" i="49"/>
  <c r="AG69" i="49"/>
  <c r="AB69" i="49"/>
  <c r="X69" i="49"/>
  <c r="W69" i="49"/>
  <c r="R69" i="49"/>
  <c r="J69" i="49"/>
  <c r="I69" i="49"/>
  <c r="G69" i="49"/>
  <c r="F69" i="49"/>
  <c r="E69" i="49"/>
  <c r="AV68" i="49"/>
  <c r="AQ68" i="49"/>
  <c r="AL68" i="49"/>
  <c r="AG68" i="49"/>
  <c r="AB68" i="49"/>
  <c r="X68" i="49"/>
  <c r="W68" i="49"/>
  <c r="R68" i="49"/>
  <c r="J68" i="49"/>
  <c r="I68" i="49"/>
  <c r="G68" i="49"/>
  <c r="F68" i="49"/>
  <c r="E68" i="49"/>
  <c r="AV67" i="49"/>
  <c r="AQ67" i="49"/>
  <c r="AL67" i="49"/>
  <c r="AI67" i="49"/>
  <c r="AG67" i="49"/>
  <c r="AB67" i="49"/>
  <c r="X67" i="49"/>
  <c r="W67" i="49"/>
  <c r="Y67" i="49" s="1"/>
  <c r="R67" i="49"/>
  <c r="J67" i="49"/>
  <c r="I67" i="49"/>
  <c r="F67" i="49"/>
  <c r="G67" i="49" s="1"/>
  <c r="H67" i="49" s="1"/>
  <c r="E67" i="49"/>
  <c r="U62" i="49"/>
  <c r="AV49" i="49"/>
  <c r="AW49" i="49" s="1"/>
  <c r="AQ49" i="49"/>
  <c r="AL49" i="49"/>
  <c r="AM48" i="49" s="1"/>
  <c r="AH49" i="49"/>
  <c r="AG49" i="49"/>
  <c r="AB49" i="49"/>
  <c r="X49" i="49"/>
  <c r="W49" i="49"/>
  <c r="R49" i="49"/>
  <c r="J49" i="49"/>
  <c r="I49" i="49"/>
  <c r="G49" i="49"/>
  <c r="F49" i="49"/>
  <c r="E49" i="49"/>
  <c r="AV48" i="49"/>
  <c r="AQ48" i="49"/>
  <c r="AR48" i="49" s="1"/>
  <c r="AL48" i="49"/>
  <c r="AG48" i="49"/>
  <c r="AB48" i="49"/>
  <c r="W48" i="49"/>
  <c r="X48" i="49" s="1"/>
  <c r="R48" i="49"/>
  <c r="K48" i="49" s="1"/>
  <c r="J48" i="49"/>
  <c r="I48" i="49"/>
  <c r="F48" i="49"/>
  <c r="E48" i="49"/>
  <c r="AV47" i="49"/>
  <c r="AR47" i="49"/>
  <c r="AQ47" i="49"/>
  <c r="AM47" i="49"/>
  <c r="AL47" i="49"/>
  <c r="AG47" i="49"/>
  <c r="AI47" i="49" s="1"/>
  <c r="AB47" i="49"/>
  <c r="Y47" i="49"/>
  <c r="X47" i="49"/>
  <c r="W47" i="49"/>
  <c r="R47" i="49"/>
  <c r="K47" i="49"/>
  <c r="J47" i="49"/>
  <c r="I47" i="49"/>
  <c r="G47" i="49"/>
  <c r="F47" i="49"/>
  <c r="E47" i="49"/>
  <c r="U42" i="49"/>
  <c r="AW29" i="49"/>
  <c r="AV29" i="49"/>
  <c r="AQ29" i="49"/>
  <c r="AR29" i="49" s="1"/>
  <c r="AL29" i="49"/>
  <c r="AG29" i="49"/>
  <c r="AH29" i="49" s="1"/>
  <c r="AB29" i="49"/>
  <c r="AC29" i="49" s="1"/>
  <c r="X29" i="49"/>
  <c r="W29" i="49"/>
  <c r="K29" i="49" s="1"/>
  <c r="S29" i="49"/>
  <c r="R29" i="49"/>
  <c r="J29" i="49"/>
  <c r="I29" i="49"/>
  <c r="G29" i="49"/>
  <c r="F29" i="49"/>
  <c r="E29" i="49"/>
  <c r="AV28" i="49"/>
  <c r="AW28" i="49" s="1"/>
  <c r="AR28" i="49"/>
  <c r="AQ28" i="49"/>
  <c r="AL28" i="49"/>
  <c r="AM28" i="49" s="1"/>
  <c r="AH28" i="49"/>
  <c r="AG28" i="49"/>
  <c r="AI27" i="49" s="1"/>
  <c r="AB28" i="49"/>
  <c r="AC28" i="49" s="1"/>
  <c r="W28" i="49"/>
  <c r="R28" i="49"/>
  <c r="J28" i="49"/>
  <c r="I28" i="49"/>
  <c r="F28" i="49"/>
  <c r="G28" i="49" s="1"/>
  <c r="E28" i="49"/>
  <c r="AX27" i="49"/>
  <c r="AW27" i="49"/>
  <c r="AV27" i="49"/>
  <c r="AQ27" i="49"/>
  <c r="AS27" i="49" s="1"/>
  <c r="AL27" i="49"/>
  <c r="AH27" i="49"/>
  <c r="AG27" i="49"/>
  <c r="AD27" i="49"/>
  <c r="AC27" i="49"/>
  <c r="AB27" i="49"/>
  <c r="W27" i="49"/>
  <c r="Y27" i="49" s="1"/>
  <c r="R27" i="49"/>
  <c r="J27" i="49"/>
  <c r="I27" i="49"/>
  <c r="F27" i="49"/>
  <c r="E27" i="49"/>
  <c r="AJ22" i="49"/>
  <c r="Z22" i="49"/>
  <c r="AE22" i="49" s="1"/>
  <c r="AE42" i="49" s="1"/>
  <c r="AE62" i="49" s="1"/>
  <c r="AE82" i="49" s="1"/>
  <c r="U22" i="49"/>
  <c r="AW9" i="49"/>
  <c r="AV9" i="49"/>
  <c r="AB9" i="49"/>
  <c r="AC9" i="49" s="1"/>
  <c r="W9" i="49"/>
  <c r="X9" i="49" s="1"/>
  <c r="S9" i="49"/>
  <c r="R9" i="49"/>
  <c r="K9" i="49"/>
  <c r="J9" i="49"/>
  <c r="I9" i="49"/>
  <c r="F9" i="49"/>
  <c r="G9" i="49" s="1"/>
  <c r="E9" i="49"/>
  <c r="AV8" i="49"/>
  <c r="AW8" i="49" s="1"/>
  <c r="AQ8" i="49"/>
  <c r="AR8" i="49" s="1"/>
  <c r="AL8" i="49"/>
  <c r="AH8" i="49"/>
  <c r="AG8" i="49"/>
  <c r="AB8" i="49"/>
  <c r="AC8" i="49" s="1"/>
  <c r="X8" i="49"/>
  <c r="W8" i="49"/>
  <c r="R8" i="49"/>
  <c r="S8" i="49" s="1"/>
  <c r="J8" i="49"/>
  <c r="I8" i="49"/>
  <c r="G8" i="49"/>
  <c r="F8" i="49"/>
  <c r="E8" i="49"/>
  <c r="AX7" i="49"/>
  <c r="AW7" i="49"/>
  <c r="AV7" i="49"/>
  <c r="AR7" i="49"/>
  <c r="AQ7" i="49"/>
  <c r="AS7" i="49" s="1"/>
  <c r="AN7" i="49"/>
  <c r="AL7" i="49"/>
  <c r="AM7" i="49" s="1"/>
  <c r="AG7" i="49"/>
  <c r="AD7" i="49"/>
  <c r="AC7" i="49"/>
  <c r="AB7" i="49"/>
  <c r="X7" i="49"/>
  <c r="W7" i="49"/>
  <c r="Y7" i="49" s="1"/>
  <c r="T7" i="49"/>
  <c r="R7" i="49"/>
  <c r="K7" i="49"/>
  <c r="J7" i="49"/>
  <c r="I7" i="49"/>
  <c r="F7" i="49"/>
  <c r="E7" i="49"/>
  <c r="AV137" i="48"/>
  <c r="AW137" i="48" s="1"/>
  <c r="AQ137" i="48"/>
  <c r="AR137" i="48" s="1"/>
  <c r="AL137" i="48"/>
  <c r="AM137" i="48" s="1"/>
  <c r="AH137" i="48"/>
  <c r="AG137" i="48"/>
  <c r="AB137" i="48"/>
  <c r="AC137" i="48" s="1"/>
  <c r="W137" i="48"/>
  <c r="X137" i="48" s="1"/>
  <c r="AV136" i="48"/>
  <c r="AW136" i="48" s="1"/>
  <c r="AQ136" i="48"/>
  <c r="AR136" i="48" s="1"/>
  <c r="AL136" i="48"/>
  <c r="AM136" i="48" s="1"/>
  <c r="AH136" i="48"/>
  <c r="AG136" i="48"/>
  <c r="AB136" i="48"/>
  <c r="AC136" i="48" s="1"/>
  <c r="X136" i="48"/>
  <c r="W136" i="48"/>
  <c r="AV135" i="48"/>
  <c r="AW135" i="48" s="1"/>
  <c r="AQ135" i="48"/>
  <c r="AR135" i="48" s="1"/>
  <c r="AL135" i="48"/>
  <c r="AM135" i="48" s="1"/>
  <c r="AH135" i="48"/>
  <c r="AG135" i="48"/>
  <c r="AB135" i="48"/>
  <c r="AC135" i="48" s="1"/>
  <c r="W135" i="48"/>
  <c r="X135" i="48" s="1"/>
  <c r="R135" i="48"/>
  <c r="S135" i="48" s="1"/>
  <c r="J135" i="48"/>
  <c r="I135" i="48"/>
  <c r="G135" i="48"/>
  <c r="F135" i="48"/>
  <c r="E135" i="48"/>
  <c r="AW134" i="48"/>
  <c r="AV134" i="48"/>
  <c r="AR134" i="48"/>
  <c r="AQ134" i="48"/>
  <c r="AL134" i="48"/>
  <c r="AM134" i="48" s="1"/>
  <c r="AH134" i="48"/>
  <c r="AG134" i="48"/>
  <c r="AB134" i="48"/>
  <c r="AC134" i="48" s="1"/>
  <c r="W134" i="48"/>
  <c r="X134" i="48" s="1"/>
  <c r="S134" i="48"/>
  <c r="R134" i="48"/>
  <c r="G134" i="48"/>
  <c r="F134" i="48"/>
  <c r="E134" i="48"/>
  <c r="AV133" i="48"/>
  <c r="AW133" i="48" s="1"/>
  <c r="AQ133" i="48"/>
  <c r="AR133" i="48" s="1"/>
  <c r="AM133" i="48"/>
  <c r="AL133" i="48"/>
  <c r="AG133" i="48"/>
  <c r="AH133" i="48" s="1"/>
  <c r="AB133" i="48"/>
  <c r="AC133" i="48" s="1"/>
  <c r="W133" i="48"/>
  <c r="X133" i="48" s="1"/>
  <c r="R133" i="48"/>
  <c r="J133" i="48"/>
  <c r="I133" i="48"/>
  <c r="F133" i="48"/>
  <c r="G133" i="48" s="1"/>
  <c r="E133" i="48"/>
  <c r="AW132" i="48"/>
  <c r="AV132" i="48"/>
  <c r="AR132" i="48"/>
  <c r="AQ132" i="48"/>
  <c r="AM132" i="48"/>
  <c r="AL132" i="48"/>
  <c r="AH132" i="48"/>
  <c r="AG132" i="48"/>
  <c r="AB132" i="48"/>
  <c r="AC132" i="48" s="1"/>
  <c r="W132" i="48"/>
  <c r="X132" i="48" s="1"/>
  <c r="R132" i="48"/>
  <c r="S132" i="48" s="1"/>
  <c r="K132" i="48"/>
  <c r="M132" i="48" s="1"/>
  <c r="J132" i="48"/>
  <c r="I132" i="48"/>
  <c r="F132" i="48"/>
  <c r="G132" i="48" s="1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X131" i="48"/>
  <c r="W131" i="48"/>
  <c r="R131" i="48"/>
  <c r="J131" i="48"/>
  <c r="I131" i="48"/>
  <c r="F131" i="48"/>
  <c r="G131" i="48" s="1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J130" i="48"/>
  <c r="I130" i="48"/>
  <c r="F130" i="48"/>
  <c r="G130" i="48" s="1"/>
  <c r="E130" i="48"/>
  <c r="AW129" i="48"/>
  <c r="AV129" i="48"/>
  <c r="AR129" i="48"/>
  <c r="AQ129" i="48"/>
  <c r="AM129" i="48"/>
  <c r="AL129" i="48"/>
  <c r="AG129" i="48"/>
  <c r="AH129" i="48" s="1"/>
  <c r="AC129" i="48"/>
  <c r="AB129" i="48"/>
  <c r="W129" i="48"/>
  <c r="X129" i="48" s="1"/>
  <c r="R129" i="48"/>
  <c r="S129" i="48" s="1"/>
  <c r="J129" i="48"/>
  <c r="I129" i="48"/>
  <c r="F129" i="48"/>
  <c r="E129" i="48"/>
  <c r="AW128" i="48"/>
  <c r="AV128" i="48"/>
  <c r="AQ128" i="48"/>
  <c r="AR128" i="48" s="1"/>
  <c r="AL128" i="48"/>
  <c r="AM128" i="48" s="1"/>
  <c r="AG128" i="48"/>
  <c r="AH128" i="48" s="1"/>
  <c r="AB128" i="48"/>
  <c r="AC128" i="48" s="1"/>
  <c r="X128" i="48"/>
  <c r="W128" i="48"/>
  <c r="F128" i="48"/>
  <c r="G128" i="48" s="1"/>
  <c r="E128" i="48"/>
  <c r="AV127" i="48"/>
  <c r="AW127" i="48" s="1"/>
  <c r="AQ127" i="48"/>
  <c r="AR127" i="48" s="1"/>
  <c r="AM127" i="48"/>
  <c r="AL127" i="48"/>
  <c r="AG127" i="48"/>
  <c r="AH127" i="48" s="1"/>
  <c r="AC127" i="48"/>
  <c r="AB127" i="48"/>
  <c r="X127" i="48"/>
  <c r="W127" i="48"/>
  <c r="S127" i="48"/>
  <c r="R127" i="48"/>
  <c r="M127" i="48"/>
  <c r="K127" i="48"/>
  <c r="J127" i="48"/>
  <c r="I127" i="48"/>
  <c r="F127" i="48"/>
  <c r="G127" i="48" s="1"/>
  <c r="E127" i="48"/>
  <c r="AW126" i="48"/>
  <c r="AV126" i="48"/>
  <c r="AR126" i="48"/>
  <c r="AQ126" i="48"/>
  <c r="AM126" i="48"/>
  <c r="AL126" i="48"/>
  <c r="AH126" i="48"/>
  <c r="AG126" i="48"/>
  <c r="AB126" i="48"/>
  <c r="AC126" i="48" s="1"/>
  <c r="W126" i="48"/>
  <c r="X126" i="48" s="1"/>
  <c r="R126" i="48"/>
  <c r="S126" i="48" s="1"/>
  <c r="K126" i="48"/>
  <c r="M126" i="48" s="1"/>
  <c r="J126" i="48"/>
  <c r="I126" i="48"/>
  <c r="F126" i="48"/>
  <c r="G126" i="48" s="1"/>
  <c r="E126" i="48"/>
  <c r="AV125" i="48"/>
  <c r="AW125" i="48" s="1"/>
  <c r="AQ125" i="48"/>
  <c r="AR125" i="48" s="1"/>
  <c r="AL125" i="48"/>
  <c r="AM125" i="48" s="1"/>
  <c r="AG125" i="48"/>
  <c r="AH125" i="48" s="1"/>
  <c r="AC125" i="48"/>
  <c r="AB125" i="48"/>
  <c r="X125" i="48"/>
  <c r="W125" i="48"/>
  <c r="R125" i="48"/>
  <c r="S125" i="48" s="1"/>
  <c r="J125" i="48"/>
  <c r="I125" i="48"/>
  <c r="F125" i="48"/>
  <c r="E125" i="48"/>
  <c r="G125" i="48" s="1"/>
  <c r="AV124" i="48"/>
  <c r="AW124" i="48" s="1"/>
  <c r="AR124" i="48"/>
  <c r="AQ124" i="48"/>
  <c r="AL124" i="48"/>
  <c r="AM124" i="48" s="1"/>
  <c r="AG124" i="48"/>
  <c r="AH124" i="48" s="1"/>
  <c r="AB124" i="48"/>
  <c r="AC124" i="48" s="1"/>
  <c r="W124" i="48"/>
  <c r="X124" i="48" s="1"/>
  <c r="S124" i="48"/>
  <c r="R124" i="48"/>
  <c r="K124" i="48" s="1"/>
  <c r="M124" i="48" s="1"/>
  <c r="J124" i="48"/>
  <c r="I124" i="48"/>
  <c r="F124" i="48"/>
  <c r="G124" i="48" s="1"/>
  <c r="E124" i="48"/>
  <c r="AW123" i="48"/>
  <c r="AV123" i="48"/>
  <c r="AR123" i="48"/>
  <c r="AQ123" i="48"/>
  <c r="AM123" i="48"/>
  <c r="AL123" i="48"/>
  <c r="AG123" i="48"/>
  <c r="AH123" i="48" s="1"/>
  <c r="AB123" i="48"/>
  <c r="AC123" i="48" s="1"/>
  <c r="W123" i="48"/>
  <c r="X123" i="48" s="1"/>
  <c r="R123" i="48"/>
  <c r="J123" i="48"/>
  <c r="I123" i="48"/>
  <c r="F123" i="48"/>
  <c r="E123" i="48"/>
  <c r="AW122" i="48"/>
  <c r="AV122" i="48"/>
  <c r="AX122" i="48" s="1"/>
  <c r="AS122" i="48"/>
  <c r="AQ122" i="48"/>
  <c r="AR122" i="48" s="1"/>
  <c r="AN122" i="48"/>
  <c r="AM122" i="48"/>
  <c r="AL122" i="48"/>
  <c r="AG122" i="48"/>
  <c r="AI122" i="48" s="1"/>
  <c r="AB122" i="48"/>
  <c r="Y122" i="48"/>
  <c r="X122" i="48"/>
  <c r="W122" i="48"/>
  <c r="T122" i="48"/>
  <c r="S122" i="48"/>
  <c r="R122" i="48"/>
  <c r="K122" i="48"/>
  <c r="J122" i="48"/>
  <c r="I122" i="48"/>
  <c r="F122" i="48"/>
  <c r="E122" i="48"/>
  <c r="G122" i="48" s="1"/>
  <c r="AV115" i="48"/>
  <c r="AQ115" i="48"/>
  <c r="AL115" i="48"/>
  <c r="AG115" i="48"/>
  <c r="AB115" i="48"/>
  <c r="W115" i="48"/>
  <c r="R115" i="48"/>
  <c r="J115" i="48"/>
  <c r="I115" i="48"/>
  <c r="G115" i="48"/>
  <c r="F115" i="48"/>
  <c r="E115" i="48"/>
  <c r="AV114" i="48"/>
  <c r="AW107" i="48" s="1"/>
  <c r="AQ114" i="48"/>
  <c r="AL114" i="48"/>
  <c r="AG114" i="48"/>
  <c r="AB114" i="48"/>
  <c r="W114" i="48"/>
  <c r="R114" i="48"/>
  <c r="J114" i="48"/>
  <c r="I114" i="48"/>
  <c r="F114" i="48"/>
  <c r="G114" i="48" s="1"/>
  <c r="E114" i="48"/>
  <c r="AV113" i="48"/>
  <c r="AQ113" i="48"/>
  <c r="AL113" i="48"/>
  <c r="AG113" i="48"/>
  <c r="AB113" i="48"/>
  <c r="W113" i="48"/>
  <c r="X113" i="48" s="1"/>
  <c r="R113" i="48"/>
  <c r="J113" i="48"/>
  <c r="I113" i="48"/>
  <c r="G113" i="48"/>
  <c r="F113" i="48"/>
  <c r="E113" i="48"/>
  <c r="AV112" i="48"/>
  <c r="AQ112" i="48"/>
  <c r="AL112" i="48"/>
  <c r="AG112" i="48"/>
  <c r="AB112" i="48"/>
  <c r="AC105" i="48" s="1"/>
  <c r="X112" i="48"/>
  <c r="W112" i="48"/>
  <c r="R112" i="48"/>
  <c r="J112" i="48"/>
  <c r="I112" i="48"/>
  <c r="G112" i="48"/>
  <c r="F112" i="48"/>
  <c r="E112" i="48"/>
  <c r="AV111" i="48"/>
  <c r="AQ111" i="48"/>
  <c r="AL111" i="48"/>
  <c r="AG111" i="48"/>
  <c r="AB111" i="48"/>
  <c r="W111" i="48"/>
  <c r="R111" i="48"/>
  <c r="J111" i="48"/>
  <c r="I111" i="48"/>
  <c r="G111" i="48"/>
  <c r="F111" i="48"/>
  <c r="AV110" i="48"/>
  <c r="AQ110" i="48"/>
  <c r="AL110" i="48"/>
  <c r="AG110" i="48"/>
  <c r="AB110" i="48"/>
  <c r="W110" i="48"/>
  <c r="R110" i="48"/>
  <c r="J110" i="48"/>
  <c r="I110" i="48"/>
  <c r="F110" i="48"/>
  <c r="E110" i="48"/>
  <c r="G110" i="48" s="1"/>
  <c r="AV109" i="48"/>
  <c r="AQ109" i="48"/>
  <c r="AR109" i="48" s="1"/>
  <c r="AL109" i="48"/>
  <c r="AG109" i="48"/>
  <c r="AB109" i="48"/>
  <c r="W109" i="48"/>
  <c r="R109" i="48"/>
  <c r="J109" i="48"/>
  <c r="I109" i="48"/>
  <c r="G109" i="48"/>
  <c r="F109" i="48"/>
  <c r="E109" i="48"/>
  <c r="AV108" i="48"/>
  <c r="AQ108" i="48"/>
  <c r="AL108" i="48"/>
  <c r="AG108" i="48"/>
  <c r="AB108" i="48"/>
  <c r="W108" i="48"/>
  <c r="R108" i="48"/>
  <c r="K108" i="48"/>
  <c r="J108" i="48"/>
  <c r="I108" i="48"/>
  <c r="F108" i="48"/>
  <c r="G108" i="48" s="1"/>
  <c r="E108" i="48"/>
  <c r="AV107" i="48"/>
  <c r="AQ107" i="48"/>
  <c r="AL107" i="48"/>
  <c r="AG107" i="48"/>
  <c r="AB107" i="48"/>
  <c r="W107" i="48"/>
  <c r="R107" i="48"/>
  <c r="S111" i="48" s="1"/>
  <c r="J107" i="48"/>
  <c r="I107" i="48"/>
  <c r="F107" i="48"/>
  <c r="E107" i="48"/>
  <c r="G107" i="48" s="1"/>
  <c r="AV106" i="48"/>
  <c r="AQ106" i="48"/>
  <c r="AL106" i="48"/>
  <c r="AG106" i="48"/>
  <c r="AB106" i="48"/>
  <c r="K106" i="48" s="1"/>
  <c r="W106" i="48"/>
  <c r="R106" i="48"/>
  <c r="J106" i="48"/>
  <c r="I106" i="48"/>
  <c r="F106" i="48"/>
  <c r="E106" i="48"/>
  <c r="G106" i="48" s="1"/>
  <c r="AV105" i="48"/>
  <c r="AQ105" i="48"/>
  <c r="AL105" i="48"/>
  <c r="AG105" i="48"/>
  <c r="AB105" i="48"/>
  <c r="W105" i="48"/>
  <c r="R105" i="48"/>
  <c r="K105" i="48" s="1"/>
  <c r="J105" i="48"/>
  <c r="I105" i="48"/>
  <c r="E105" i="48"/>
  <c r="G105" i="48" s="1"/>
  <c r="AV104" i="48"/>
  <c r="AQ104" i="48"/>
  <c r="AL104" i="48"/>
  <c r="AH104" i="48"/>
  <c r="AG104" i="48"/>
  <c r="AB104" i="48"/>
  <c r="W104" i="48"/>
  <c r="R104" i="48"/>
  <c r="J104" i="48"/>
  <c r="I104" i="48"/>
  <c r="F104" i="48"/>
  <c r="G104" i="48" s="1"/>
  <c r="E104" i="48"/>
  <c r="AV103" i="48"/>
  <c r="AQ103" i="48"/>
  <c r="AL103" i="48"/>
  <c r="AG103" i="48"/>
  <c r="AC103" i="48"/>
  <c r="AB103" i="48"/>
  <c r="W103" i="48"/>
  <c r="R103" i="48"/>
  <c r="K103" i="48"/>
  <c r="J103" i="48"/>
  <c r="I103" i="48"/>
  <c r="F103" i="48"/>
  <c r="G103" i="48" s="1"/>
  <c r="AV102" i="48"/>
  <c r="AQ102" i="48"/>
  <c r="AL102" i="48"/>
  <c r="AG102" i="48"/>
  <c r="AB102" i="48"/>
  <c r="W102" i="48"/>
  <c r="R102" i="48"/>
  <c r="K102" i="48" s="1"/>
  <c r="J102" i="48"/>
  <c r="I102" i="48"/>
  <c r="G102" i="48"/>
  <c r="F102" i="48"/>
  <c r="E102" i="48"/>
  <c r="AV101" i="48"/>
  <c r="AQ101" i="48"/>
  <c r="AL101" i="48"/>
  <c r="AM110" i="48" s="1"/>
  <c r="AG101" i="48"/>
  <c r="AB101" i="48"/>
  <c r="W101" i="48"/>
  <c r="R101" i="48"/>
  <c r="J101" i="48"/>
  <c r="I101" i="48"/>
  <c r="F101" i="48"/>
  <c r="G101" i="48" s="1"/>
  <c r="E101" i="48"/>
  <c r="AW100" i="48"/>
  <c r="AV100" i="48"/>
  <c r="AQ100" i="48"/>
  <c r="AL100" i="48"/>
  <c r="AG100" i="48"/>
  <c r="AB100" i="48"/>
  <c r="W100" i="48"/>
  <c r="X115" i="48" s="1"/>
  <c r="R100" i="48"/>
  <c r="J100" i="48"/>
  <c r="I100" i="48"/>
  <c r="F100" i="48"/>
  <c r="G100" i="48" s="1"/>
  <c r="E100" i="48"/>
  <c r="AV99" i="48"/>
  <c r="AQ99" i="48"/>
  <c r="AL99" i="48"/>
  <c r="AI99" i="48"/>
  <c r="AG99" i="48"/>
  <c r="AC99" i="48"/>
  <c r="AB99" i="48"/>
  <c r="W99" i="48"/>
  <c r="R99" i="48"/>
  <c r="J99" i="48"/>
  <c r="I99" i="48"/>
  <c r="F99" i="48"/>
  <c r="G99" i="48" s="1"/>
  <c r="U94" i="48"/>
  <c r="AV91" i="48"/>
  <c r="AW91" i="48" s="1"/>
  <c r="AQ91" i="48"/>
  <c r="AL91" i="48"/>
  <c r="AG91" i="48"/>
  <c r="AB91" i="48"/>
  <c r="W91" i="48"/>
  <c r="R91" i="48"/>
  <c r="J91" i="48"/>
  <c r="I91" i="48"/>
  <c r="F91" i="48"/>
  <c r="E91" i="48"/>
  <c r="G91" i="48" s="1"/>
  <c r="AV90" i="48"/>
  <c r="AQ90" i="48"/>
  <c r="AL90" i="48"/>
  <c r="AG90" i="48"/>
  <c r="AB90" i="48"/>
  <c r="W90" i="48"/>
  <c r="R90" i="48"/>
  <c r="J90" i="48"/>
  <c r="I90" i="48"/>
  <c r="F90" i="48"/>
  <c r="G90" i="48" s="1"/>
  <c r="E90" i="48"/>
  <c r="AV89" i="48"/>
  <c r="AQ89" i="48"/>
  <c r="AR89" i="48" s="1"/>
  <c r="AL89" i="48"/>
  <c r="AM89" i="48" s="1"/>
  <c r="AG89" i="48"/>
  <c r="AB89" i="48"/>
  <c r="W89" i="48"/>
  <c r="R89" i="48"/>
  <c r="J89" i="48"/>
  <c r="I89" i="48"/>
  <c r="F89" i="48"/>
  <c r="E89" i="48"/>
  <c r="G89" i="48" s="1"/>
  <c r="AV88" i="48"/>
  <c r="AQ88" i="48"/>
  <c r="AL88" i="48"/>
  <c r="AG88" i="48"/>
  <c r="AB88" i="48"/>
  <c r="W88" i="48"/>
  <c r="R88" i="48"/>
  <c r="J88" i="48"/>
  <c r="I88" i="48"/>
  <c r="F88" i="48"/>
  <c r="G88" i="48" s="1"/>
  <c r="AV87" i="48"/>
  <c r="AQ87" i="48"/>
  <c r="K87" i="48" s="1"/>
  <c r="AL87" i="48"/>
  <c r="AG87" i="48"/>
  <c r="AB87" i="48"/>
  <c r="W87" i="48"/>
  <c r="R87" i="48"/>
  <c r="J87" i="48"/>
  <c r="I87" i="48"/>
  <c r="F87" i="48"/>
  <c r="G87" i="48" s="1"/>
  <c r="E87" i="48"/>
  <c r="AV86" i="48"/>
  <c r="AQ86" i="48"/>
  <c r="AL86" i="48"/>
  <c r="AG86" i="48"/>
  <c r="AB86" i="48"/>
  <c r="W86" i="48"/>
  <c r="S86" i="48"/>
  <c r="R86" i="48"/>
  <c r="J86" i="48"/>
  <c r="I86" i="48"/>
  <c r="G86" i="48"/>
  <c r="F86" i="48"/>
  <c r="E86" i="48"/>
  <c r="AV85" i="48"/>
  <c r="AQ85" i="48"/>
  <c r="AL85" i="48"/>
  <c r="AG85" i="48"/>
  <c r="AB85" i="48"/>
  <c r="W85" i="48"/>
  <c r="R85" i="48"/>
  <c r="K85" i="48"/>
  <c r="J85" i="48"/>
  <c r="I85" i="48"/>
  <c r="F85" i="48"/>
  <c r="G85" i="48" s="1"/>
  <c r="E85" i="48"/>
  <c r="AV84" i="48"/>
  <c r="AQ84" i="48"/>
  <c r="AL84" i="48"/>
  <c r="AG84" i="48"/>
  <c r="AB84" i="48"/>
  <c r="X84" i="48"/>
  <c r="W84" i="48"/>
  <c r="K84" i="48" s="1"/>
  <c r="R84" i="48"/>
  <c r="J84" i="48"/>
  <c r="I84" i="48"/>
  <c r="F84" i="48"/>
  <c r="E84" i="48"/>
  <c r="G84" i="48" s="1"/>
  <c r="AV83" i="48"/>
  <c r="AQ83" i="48"/>
  <c r="AL83" i="48"/>
  <c r="AG83" i="48"/>
  <c r="AB83" i="48"/>
  <c r="W83" i="48"/>
  <c r="R83" i="48"/>
  <c r="J83" i="48"/>
  <c r="I83" i="48"/>
  <c r="F83" i="48"/>
  <c r="G83" i="48" s="1"/>
  <c r="E83" i="48"/>
  <c r="AV82" i="48"/>
  <c r="AQ82" i="48"/>
  <c r="AM82" i="48"/>
  <c r="AL82" i="48"/>
  <c r="AG82" i="48"/>
  <c r="AB82" i="48"/>
  <c r="K82" i="48" s="1"/>
  <c r="W82" i="48"/>
  <c r="R82" i="48"/>
  <c r="J82" i="48"/>
  <c r="I82" i="48"/>
  <c r="G82" i="48"/>
  <c r="E82" i="48"/>
  <c r="AV81" i="48"/>
  <c r="AQ81" i="48"/>
  <c r="AL81" i="48"/>
  <c r="AG81" i="48"/>
  <c r="AB81" i="48"/>
  <c r="AC81" i="48" s="1"/>
  <c r="W81" i="48"/>
  <c r="R81" i="48"/>
  <c r="J81" i="48"/>
  <c r="I81" i="48"/>
  <c r="G81" i="48"/>
  <c r="F81" i="48"/>
  <c r="E81" i="48"/>
  <c r="AV80" i="48"/>
  <c r="AQ80" i="48"/>
  <c r="AL80" i="48"/>
  <c r="AM80" i="48" s="1"/>
  <c r="AG80" i="48"/>
  <c r="AB80" i="48"/>
  <c r="W80" i="48"/>
  <c r="R80" i="48"/>
  <c r="J80" i="48"/>
  <c r="I80" i="48"/>
  <c r="F80" i="48"/>
  <c r="G80" i="48" s="1"/>
  <c r="AV79" i="48"/>
  <c r="AQ79" i="48"/>
  <c r="AL79" i="48"/>
  <c r="AG79" i="48"/>
  <c r="AH79" i="48" s="1"/>
  <c r="AC79" i="48"/>
  <c r="AB79" i="48"/>
  <c r="W79" i="48"/>
  <c r="R79" i="48"/>
  <c r="J79" i="48"/>
  <c r="I79" i="48"/>
  <c r="F79" i="48"/>
  <c r="G79" i="48" s="1"/>
  <c r="E79" i="48"/>
  <c r="AV78" i="48"/>
  <c r="AQ78" i="48"/>
  <c r="AL78" i="48"/>
  <c r="AG78" i="48"/>
  <c r="AB78" i="48"/>
  <c r="W78" i="48"/>
  <c r="R78" i="48"/>
  <c r="J78" i="48"/>
  <c r="I78" i="48"/>
  <c r="F78" i="48"/>
  <c r="E78" i="48"/>
  <c r="G78" i="48" s="1"/>
  <c r="AV77" i="48"/>
  <c r="AQ77" i="48"/>
  <c r="AL77" i="48"/>
  <c r="AG77" i="48"/>
  <c r="AB77" i="48"/>
  <c r="W77" i="48"/>
  <c r="R77" i="48"/>
  <c r="J77" i="48"/>
  <c r="I77" i="48"/>
  <c r="F77" i="48"/>
  <c r="G77" i="48" s="1"/>
  <c r="E77" i="48"/>
  <c r="AV76" i="48"/>
  <c r="AQ76" i="48"/>
  <c r="AL76" i="48"/>
  <c r="AG76" i="48"/>
  <c r="AB76" i="48"/>
  <c r="W76" i="48"/>
  <c r="R76" i="48"/>
  <c r="J76" i="48"/>
  <c r="I76" i="48"/>
  <c r="F76" i="48"/>
  <c r="G76" i="48" s="1"/>
  <c r="U71" i="48"/>
  <c r="AV68" i="48"/>
  <c r="AQ68" i="48"/>
  <c r="AL68" i="48"/>
  <c r="AG68" i="48"/>
  <c r="AH68" i="48" s="1"/>
  <c r="AB68" i="48"/>
  <c r="W68" i="48"/>
  <c r="R68" i="48"/>
  <c r="J68" i="48"/>
  <c r="I68" i="48"/>
  <c r="F68" i="48"/>
  <c r="G68" i="48" s="1"/>
  <c r="E68" i="48"/>
  <c r="AV67" i="48"/>
  <c r="AQ67" i="48"/>
  <c r="AL67" i="48"/>
  <c r="AG67" i="48"/>
  <c r="AB67" i="48"/>
  <c r="W67" i="48"/>
  <c r="R67" i="48"/>
  <c r="J67" i="48"/>
  <c r="I67" i="48"/>
  <c r="G67" i="48"/>
  <c r="F67" i="48"/>
  <c r="E67" i="48"/>
  <c r="AV66" i="48"/>
  <c r="AQ66" i="48"/>
  <c r="AL66" i="48"/>
  <c r="AG66" i="48"/>
  <c r="AB66" i="48"/>
  <c r="W66" i="48"/>
  <c r="R66" i="48"/>
  <c r="J66" i="48"/>
  <c r="I66" i="48"/>
  <c r="F66" i="48"/>
  <c r="E66" i="48"/>
  <c r="AW65" i="48"/>
  <c r="AV65" i="48"/>
  <c r="AQ65" i="48"/>
  <c r="AL65" i="48"/>
  <c r="AG65" i="48"/>
  <c r="AB65" i="48"/>
  <c r="W65" i="48"/>
  <c r="R65" i="48"/>
  <c r="J65" i="48"/>
  <c r="I65" i="48"/>
  <c r="G65" i="48"/>
  <c r="F65" i="48"/>
  <c r="E65" i="48"/>
  <c r="AV64" i="48"/>
  <c r="AQ64" i="48"/>
  <c r="AR64" i="48" s="1"/>
  <c r="AL64" i="48"/>
  <c r="AM64" i="48" s="1"/>
  <c r="AG64" i="48"/>
  <c r="AB64" i="48"/>
  <c r="W64" i="48"/>
  <c r="R64" i="48"/>
  <c r="J64" i="48"/>
  <c r="I64" i="48"/>
  <c r="F64" i="48"/>
  <c r="G64" i="48" s="1"/>
  <c r="E64" i="48"/>
  <c r="AV63" i="48"/>
  <c r="AQ63" i="48"/>
  <c r="AM63" i="48"/>
  <c r="AL63" i="48"/>
  <c r="AG63" i="48"/>
  <c r="AB63" i="48"/>
  <c r="W63" i="48"/>
  <c r="R63" i="48"/>
  <c r="J63" i="48"/>
  <c r="I63" i="48"/>
  <c r="G63" i="48"/>
  <c r="F63" i="48"/>
  <c r="E63" i="48"/>
  <c r="AV62" i="48"/>
  <c r="AQ62" i="48"/>
  <c r="AL62" i="48"/>
  <c r="AG62" i="48"/>
  <c r="AH57" i="48" s="1"/>
  <c r="AB62" i="48"/>
  <c r="W62" i="48"/>
  <c r="R62" i="48"/>
  <c r="J62" i="48"/>
  <c r="I62" i="48"/>
  <c r="G62" i="48"/>
  <c r="F62" i="48"/>
  <c r="E62" i="48"/>
  <c r="AV61" i="48"/>
  <c r="AR61" i="48"/>
  <c r="AQ61" i="48"/>
  <c r="AL61" i="48"/>
  <c r="AG61" i="48"/>
  <c r="AB61" i="48"/>
  <c r="W61" i="48"/>
  <c r="R61" i="48"/>
  <c r="J61" i="48"/>
  <c r="I61" i="48"/>
  <c r="F61" i="48"/>
  <c r="E61" i="48"/>
  <c r="G61" i="48" s="1"/>
  <c r="AV60" i="48"/>
  <c r="AQ60" i="48"/>
  <c r="AL60" i="48"/>
  <c r="AM60" i="48" s="1"/>
  <c r="AG60" i="48"/>
  <c r="AB60" i="48"/>
  <c r="W60" i="48"/>
  <c r="R60" i="48"/>
  <c r="J60" i="48"/>
  <c r="I60" i="48"/>
  <c r="F60" i="48"/>
  <c r="G60" i="48" s="1"/>
  <c r="E60" i="48"/>
  <c r="AV59" i="48"/>
  <c r="AQ59" i="48"/>
  <c r="AL59" i="48"/>
  <c r="AM59" i="48" s="1"/>
  <c r="AG59" i="48"/>
  <c r="AB59" i="48"/>
  <c r="W59" i="48"/>
  <c r="R59" i="48"/>
  <c r="J59" i="48"/>
  <c r="I59" i="48"/>
  <c r="F59" i="48"/>
  <c r="G59" i="48" s="1"/>
  <c r="E59" i="48"/>
  <c r="AW58" i="48"/>
  <c r="AV58" i="48"/>
  <c r="AQ58" i="48"/>
  <c r="AL58" i="48"/>
  <c r="K58" i="48" s="1"/>
  <c r="AG58" i="48"/>
  <c r="AB58" i="48"/>
  <c r="W58" i="48"/>
  <c r="S58" i="48"/>
  <c r="R58" i="48"/>
  <c r="J58" i="48"/>
  <c r="I58" i="48"/>
  <c r="G58" i="48"/>
  <c r="F58" i="48"/>
  <c r="E58" i="48"/>
  <c r="AV57" i="48"/>
  <c r="AQ57" i="48"/>
  <c r="AL57" i="48"/>
  <c r="AG57" i="48"/>
  <c r="AB57" i="48"/>
  <c r="W57" i="48"/>
  <c r="X57" i="48" s="1"/>
  <c r="R57" i="48"/>
  <c r="J57" i="48"/>
  <c r="I57" i="48"/>
  <c r="F57" i="48"/>
  <c r="E57" i="48"/>
  <c r="G57" i="48" s="1"/>
  <c r="AV56" i="48"/>
  <c r="AQ56" i="48"/>
  <c r="AL56" i="48"/>
  <c r="AM67" i="48" s="1"/>
  <c r="AG56" i="48"/>
  <c r="AB56" i="48"/>
  <c r="W56" i="48"/>
  <c r="X58" i="48" s="1"/>
  <c r="R56" i="48"/>
  <c r="J56" i="48"/>
  <c r="I56" i="48"/>
  <c r="F56" i="48"/>
  <c r="G56" i="48" s="1"/>
  <c r="E56" i="48"/>
  <c r="AV55" i="48"/>
  <c r="AQ55" i="48"/>
  <c r="AR57" i="48" s="1"/>
  <c r="AL55" i="48"/>
  <c r="AG55" i="48"/>
  <c r="AB55" i="48"/>
  <c r="X55" i="48"/>
  <c r="W55" i="48"/>
  <c r="R55" i="48"/>
  <c r="J55" i="48"/>
  <c r="I55" i="48"/>
  <c r="F55" i="48"/>
  <c r="G55" i="48" s="1"/>
  <c r="E55" i="48"/>
  <c r="AV54" i="48"/>
  <c r="AQ54" i="48"/>
  <c r="AL54" i="48"/>
  <c r="AG54" i="48"/>
  <c r="AB54" i="48"/>
  <c r="K54" i="48" s="1"/>
  <c r="W54" i="48"/>
  <c r="R54" i="48"/>
  <c r="J54" i="48"/>
  <c r="I54" i="48"/>
  <c r="G54" i="48"/>
  <c r="F54" i="48"/>
  <c r="E54" i="48"/>
  <c r="AV53" i="48"/>
  <c r="AW59" i="48" s="1"/>
  <c r="AQ53" i="48"/>
  <c r="AL53" i="48"/>
  <c r="AG53" i="48"/>
  <c r="AB53" i="48"/>
  <c r="AC53" i="48" s="1"/>
  <c r="W53" i="48"/>
  <c r="R53" i="48"/>
  <c r="J53" i="48"/>
  <c r="I53" i="48"/>
  <c r="F53" i="48"/>
  <c r="G53" i="48" s="1"/>
  <c r="E53" i="48"/>
  <c r="AE48" i="48"/>
  <c r="AE71" i="48" s="1"/>
  <c r="AE94" i="48" s="1"/>
  <c r="Z48" i="48"/>
  <c r="Z71" i="48" s="1"/>
  <c r="Z94" i="48" s="1"/>
  <c r="U48" i="48"/>
  <c r="AV44" i="48"/>
  <c r="AQ44" i="48"/>
  <c r="AR44" i="48" s="1"/>
  <c r="AL44" i="48"/>
  <c r="AG44" i="48"/>
  <c r="AB44" i="48"/>
  <c r="W44" i="48"/>
  <c r="R44" i="48"/>
  <c r="K44" i="48"/>
  <c r="J44" i="48"/>
  <c r="I44" i="48"/>
  <c r="F44" i="48"/>
  <c r="G44" i="48" s="1"/>
  <c r="E44" i="48"/>
  <c r="AV43" i="48"/>
  <c r="AQ43" i="48"/>
  <c r="AR43" i="48" s="1"/>
  <c r="AL43" i="48"/>
  <c r="AG43" i="48"/>
  <c r="AB43" i="48"/>
  <c r="W43" i="48"/>
  <c r="R43" i="48"/>
  <c r="J43" i="48"/>
  <c r="I43" i="48"/>
  <c r="F43" i="48"/>
  <c r="E43" i="48"/>
  <c r="AV42" i="48"/>
  <c r="AQ42" i="48"/>
  <c r="AL42" i="48"/>
  <c r="AG42" i="48"/>
  <c r="AB42" i="48"/>
  <c r="W42" i="48"/>
  <c r="R42" i="48"/>
  <c r="K42" i="48" s="1"/>
  <c r="J42" i="48"/>
  <c r="I42" i="48"/>
  <c r="F42" i="48"/>
  <c r="G42" i="48" s="1"/>
  <c r="AV41" i="48"/>
  <c r="AQ41" i="48"/>
  <c r="AL41" i="48"/>
  <c r="AG41" i="48"/>
  <c r="AB41" i="48"/>
  <c r="W41" i="48"/>
  <c r="R41" i="48"/>
  <c r="K41" i="48"/>
  <c r="J41" i="48"/>
  <c r="I41" i="48"/>
  <c r="F41" i="48"/>
  <c r="G41" i="48" s="1"/>
  <c r="E41" i="48"/>
  <c r="AW40" i="48"/>
  <c r="AV40" i="48"/>
  <c r="AQ40" i="48"/>
  <c r="AL40" i="48"/>
  <c r="AG40" i="48"/>
  <c r="AB40" i="48"/>
  <c r="W40" i="48"/>
  <c r="R40" i="48"/>
  <c r="J40" i="48"/>
  <c r="I40" i="48"/>
  <c r="F40" i="48"/>
  <c r="E40" i="48"/>
  <c r="G40" i="48" s="1"/>
  <c r="AV39" i="48"/>
  <c r="AR39" i="48"/>
  <c r="AQ39" i="48"/>
  <c r="AL39" i="48"/>
  <c r="AG39" i="48"/>
  <c r="AH39" i="48" s="1"/>
  <c r="AB39" i="48"/>
  <c r="W39" i="48"/>
  <c r="R39" i="48"/>
  <c r="J39" i="48"/>
  <c r="I39" i="48"/>
  <c r="F39" i="48"/>
  <c r="G39" i="48" s="1"/>
  <c r="E39" i="48"/>
  <c r="AV38" i="48"/>
  <c r="AQ38" i="48"/>
  <c r="AL38" i="48"/>
  <c r="AG38" i="48"/>
  <c r="AB38" i="48"/>
  <c r="W38" i="48"/>
  <c r="R38" i="48"/>
  <c r="J38" i="48"/>
  <c r="I38" i="48"/>
  <c r="G38" i="48"/>
  <c r="F38" i="48"/>
  <c r="E38" i="48"/>
  <c r="AV37" i="48"/>
  <c r="AQ37" i="48"/>
  <c r="AL37" i="48"/>
  <c r="AG37" i="48"/>
  <c r="AB37" i="48"/>
  <c r="W37" i="48"/>
  <c r="R37" i="48"/>
  <c r="K37" i="48"/>
  <c r="J37" i="48"/>
  <c r="I37" i="48"/>
  <c r="F37" i="48"/>
  <c r="G37" i="48" s="1"/>
  <c r="E37" i="48"/>
  <c r="AV36" i="48"/>
  <c r="AQ36" i="48"/>
  <c r="AR36" i="48" s="1"/>
  <c r="AL36" i="48"/>
  <c r="AM36" i="48" s="1"/>
  <c r="AG36" i="48"/>
  <c r="AB36" i="48"/>
  <c r="W36" i="48"/>
  <c r="R36" i="48"/>
  <c r="J36" i="48"/>
  <c r="I36" i="48"/>
  <c r="F36" i="48"/>
  <c r="G36" i="48" s="1"/>
  <c r="E36" i="48"/>
  <c r="AV35" i="48"/>
  <c r="AQ35" i="48"/>
  <c r="AL35" i="48"/>
  <c r="AG35" i="48"/>
  <c r="AB35" i="48"/>
  <c r="W35" i="48"/>
  <c r="R35" i="48"/>
  <c r="J35" i="48"/>
  <c r="I35" i="48"/>
  <c r="F35" i="48"/>
  <c r="G35" i="48" s="1"/>
  <c r="E35" i="48"/>
  <c r="AV34" i="48"/>
  <c r="AQ34" i="48"/>
  <c r="AL34" i="48"/>
  <c r="AG34" i="48"/>
  <c r="AB34" i="48"/>
  <c r="W34" i="48"/>
  <c r="X34" i="48" s="1"/>
  <c r="R34" i="48"/>
  <c r="T30" i="48" s="1"/>
  <c r="J34" i="48"/>
  <c r="I34" i="48"/>
  <c r="G34" i="48"/>
  <c r="F34" i="48"/>
  <c r="E34" i="48"/>
  <c r="AV33" i="48"/>
  <c r="AQ33" i="48"/>
  <c r="AL33" i="48"/>
  <c r="AG33" i="48"/>
  <c r="AB33" i="48"/>
  <c r="K33" i="48" s="1"/>
  <c r="W33" i="48"/>
  <c r="R33" i="48"/>
  <c r="J33" i="48"/>
  <c r="I33" i="48"/>
  <c r="G33" i="48"/>
  <c r="F33" i="48"/>
  <c r="E33" i="48"/>
  <c r="AV32" i="48"/>
  <c r="AW44" i="48" s="1"/>
  <c r="AR32" i="48"/>
  <c r="AQ32" i="48"/>
  <c r="AL32" i="48"/>
  <c r="AH32" i="48"/>
  <c r="AG32" i="48"/>
  <c r="AB32" i="48"/>
  <c r="W32" i="48"/>
  <c r="R32" i="48"/>
  <c r="J32" i="48"/>
  <c r="I32" i="48"/>
  <c r="G32" i="48"/>
  <c r="F32" i="48"/>
  <c r="E32" i="48"/>
  <c r="AV31" i="48"/>
  <c r="AQ31" i="48"/>
  <c r="AR31" i="48" s="1"/>
  <c r="AL31" i="48"/>
  <c r="AG31" i="48"/>
  <c r="AB31" i="48"/>
  <c r="W31" i="48"/>
  <c r="R31" i="48"/>
  <c r="K31" i="48"/>
  <c r="J31" i="48"/>
  <c r="I31" i="48"/>
  <c r="F31" i="48"/>
  <c r="G31" i="48" s="1"/>
  <c r="E31" i="48"/>
  <c r="AV30" i="48"/>
  <c r="AS30" i="48"/>
  <c r="AQ30" i="48"/>
  <c r="AR41" i="48" s="1"/>
  <c r="AL30" i="48"/>
  <c r="AG30" i="48"/>
  <c r="AB30" i="48"/>
  <c r="W30" i="48"/>
  <c r="X33" i="48" s="1"/>
  <c r="R30" i="48"/>
  <c r="J30" i="48"/>
  <c r="I30" i="48"/>
  <c r="G30" i="48"/>
  <c r="F30" i="48"/>
  <c r="E30" i="48"/>
  <c r="Z25" i="48"/>
  <c r="AE25" i="48" s="1"/>
  <c r="AJ25" i="48" s="1"/>
  <c r="U25" i="48"/>
  <c r="AV21" i="48"/>
  <c r="AQ21" i="48"/>
  <c r="AR21" i="48" s="1"/>
  <c r="AL21" i="48"/>
  <c r="AM21" i="48" s="1"/>
  <c r="AH21" i="48"/>
  <c r="AG21" i="48"/>
  <c r="AC21" i="48"/>
  <c r="AB21" i="48"/>
  <c r="X21" i="48"/>
  <c r="W21" i="48"/>
  <c r="R21" i="48"/>
  <c r="S21" i="48" s="1"/>
  <c r="K21" i="48"/>
  <c r="J21" i="48"/>
  <c r="I21" i="48"/>
  <c r="F21" i="48"/>
  <c r="G21" i="48" s="1"/>
  <c r="E21" i="48"/>
  <c r="AV20" i="48"/>
  <c r="AQ20" i="48"/>
  <c r="AR20" i="48" s="1"/>
  <c r="AM20" i="48"/>
  <c r="AL20" i="48"/>
  <c r="AH20" i="48"/>
  <c r="AG20" i="48"/>
  <c r="AC20" i="48"/>
  <c r="AB20" i="48"/>
  <c r="W20" i="48"/>
  <c r="X20" i="48" s="1"/>
  <c r="R20" i="48"/>
  <c r="S20" i="48" s="1"/>
  <c r="K20" i="48"/>
  <c r="J20" i="48"/>
  <c r="I20" i="48"/>
  <c r="F20" i="48"/>
  <c r="E20" i="48"/>
  <c r="G20" i="48" s="1"/>
  <c r="AV19" i="48"/>
  <c r="K19" i="48" s="1"/>
  <c r="AR19" i="48"/>
  <c r="AQ19" i="48"/>
  <c r="AM19" i="48"/>
  <c r="AL19" i="48"/>
  <c r="AG19" i="48"/>
  <c r="AH19" i="48" s="1"/>
  <c r="AB19" i="48"/>
  <c r="AC19" i="48" s="1"/>
  <c r="W19" i="48"/>
  <c r="X19" i="48" s="1"/>
  <c r="R19" i="48"/>
  <c r="S19" i="48" s="1"/>
  <c r="J19" i="48"/>
  <c r="I19" i="48"/>
  <c r="F19" i="48"/>
  <c r="G19" i="48" s="1"/>
  <c r="E19" i="48"/>
  <c r="AV18" i="48"/>
  <c r="AR18" i="48"/>
  <c r="AQ18" i="48"/>
  <c r="AL18" i="48"/>
  <c r="AM18" i="48" s="1"/>
  <c r="AG18" i="48"/>
  <c r="AH18" i="48" s="1"/>
  <c r="AB18" i="48"/>
  <c r="AC18" i="48" s="1"/>
  <c r="X18" i="48"/>
  <c r="W18" i="48"/>
  <c r="S18" i="48"/>
  <c r="R18" i="48"/>
  <c r="K18" i="48"/>
  <c r="J18" i="48"/>
  <c r="I18" i="48"/>
  <c r="F18" i="48"/>
  <c r="G18" i="48" s="1"/>
  <c r="E18" i="48"/>
  <c r="AV17" i="48"/>
  <c r="K17" i="48" s="1"/>
  <c r="J17" i="48"/>
  <c r="I17" i="48"/>
  <c r="F17" i="48"/>
  <c r="G17" i="48" s="1"/>
  <c r="E17" i="48"/>
  <c r="AV16" i="48"/>
  <c r="K16" i="48" s="1"/>
  <c r="AR16" i="48"/>
  <c r="AQ16" i="48"/>
  <c r="AL16" i="48"/>
  <c r="AM16" i="48" s="1"/>
  <c r="AG16" i="48"/>
  <c r="AH16" i="48" s="1"/>
  <c r="AB16" i="48"/>
  <c r="AC16" i="48" s="1"/>
  <c r="W16" i="48"/>
  <c r="X16" i="48" s="1"/>
  <c r="S16" i="48"/>
  <c r="R16" i="48"/>
  <c r="J16" i="48"/>
  <c r="I16" i="48"/>
  <c r="F16" i="48"/>
  <c r="G16" i="48" s="1"/>
  <c r="E16" i="48"/>
  <c r="AV15" i="48"/>
  <c r="AR15" i="48"/>
  <c r="AQ15" i="48"/>
  <c r="AL15" i="48"/>
  <c r="AM15" i="48" s="1"/>
  <c r="AG15" i="48"/>
  <c r="AH15" i="48" s="1"/>
  <c r="AC15" i="48"/>
  <c r="AB15" i="48"/>
  <c r="X15" i="48"/>
  <c r="W15" i="48"/>
  <c r="S15" i="48"/>
  <c r="R15" i="48"/>
  <c r="K15" i="48"/>
  <c r="J15" i="48"/>
  <c r="I15" i="48"/>
  <c r="F15" i="48"/>
  <c r="E15" i="48"/>
  <c r="AV14" i="48"/>
  <c r="AQ14" i="48"/>
  <c r="AR14" i="48" s="1"/>
  <c r="AM14" i="48"/>
  <c r="AL14" i="48"/>
  <c r="AH14" i="48"/>
  <c r="AG14" i="48"/>
  <c r="AC14" i="48"/>
  <c r="AB14" i="48"/>
  <c r="X14" i="48"/>
  <c r="W14" i="48"/>
  <c r="R14" i="48"/>
  <c r="S14" i="48" s="1"/>
  <c r="K14" i="48"/>
  <c r="J14" i="48"/>
  <c r="I14" i="48"/>
  <c r="G14" i="48"/>
  <c r="F14" i="48"/>
  <c r="E14" i="48"/>
  <c r="AV13" i="48"/>
  <c r="AR13" i="48"/>
  <c r="AQ13" i="48"/>
  <c r="K13" i="48"/>
  <c r="J13" i="48"/>
  <c r="I13" i="48"/>
  <c r="G13" i="48"/>
  <c r="F13" i="48"/>
  <c r="E13" i="48"/>
  <c r="AV12" i="48"/>
  <c r="AQ12" i="48"/>
  <c r="AR12" i="48" s="1"/>
  <c r="AM12" i="48"/>
  <c r="AL12" i="48"/>
  <c r="AH12" i="48"/>
  <c r="AG12" i="48"/>
  <c r="AC12" i="48"/>
  <c r="AB12" i="48"/>
  <c r="W12" i="48"/>
  <c r="X12" i="48" s="1"/>
  <c r="R12" i="48"/>
  <c r="S12" i="48" s="1"/>
  <c r="K12" i="48"/>
  <c r="J12" i="48"/>
  <c r="I12" i="48"/>
  <c r="F12" i="48"/>
  <c r="E12" i="48"/>
  <c r="G12" i="48" s="1"/>
  <c r="AV11" i="48"/>
  <c r="K11" i="48" s="1"/>
  <c r="AR11" i="48"/>
  <c r="AQ11" i="48"/>
  <c r="AM11" i="48"/>
  <c r="AL11" i="48"/>
  <c r="AG11" i="48"/>
  <c r="AH11" i="48" s="1"/>
  <c r="AB11" i="48"/>
  <c r="AC11" i="48" s="1"/>
  <c r="W11" i="48"/>
  <c r="X11" i="48" s="1"/>
  <c r="R11" i="48"/>
  <c r="S11" i="48" s="1"/>
  <c r="J11" i="48"/>
  <c r="I11" i="48"/>
  <c r="F11" i="48"/>
  <c r="G11" i="48" s="1"/>
  <c r="E11" i="48"/>
  <c r="AV10" i="48"/>
  <c r="AR10" i="48"/>
  <c r="AQ10" i="48"/>
  <c r="AL10" i="48"/>
  <c r="AM10" i="48" s="1"/>
  <c r="AG10" i="48"/>
  <c r="AH10" i="48" s="1"/>
  <c r="AB10" i="48"/>
  <c r="AC10" i="48" s="1"/>
  <c r="X10" i="48"/>
  <c r="W10" i="48"/>
  <c r="S10" i="48"/>
  <c r="R10" i="48"/>
  <c r="K10" i="48"/>
  <c r="J10" i="48"/>
  <c r="I10" i="48"/>
  <c r="F10" i="48"/>
  <c r="G10" i="48" s="1"/>
  <c r="E10" i="48"/>
  <c r="AV9" i="48"/>
  <c r="AQ9" i="48"/>
  <c r="AR9" i="48" s="1"/>
  <c r="AL9" i="48"/>
  <c r="AM9" i="48" s="1"/>
  <c r="AG9" i="48"/>
  <c r="AH9" i="48" s="1"/>
  <c r="AC9" i="48"/>
  <c r="AB9" i="48"/>
  <c r="X9" i="48"/>
  <c r="W9" i="48"/>
  <c r="R9" i="48"/>
  <c r="S9" i="48" s="1"/>
  <c r="K9" i="48"/>
  <c r="J9" i="48"/>
  <c r="I9" i="48"/>
  <c r="F9" i="48"/>
  <c r="E9" i="48"/>
  <c r="AV8" i="48"/>
  <c r="AQ8" i="48"/>
  <c r="AR8" i="48" s="1"/>
  <c r="AM8" i="48"/>
  <c r="AL8" i="48"/>
  <c r="AH8" i="48"/>
  <c r="AG8" i="48"/>
  <c r="AB8" i="48"/>
  <c r="AC8" i="48" s="1"/>
  <c r="X8" i="48"/>
  <c r="W8" i="48"/>
  <c r="R8" i="48"/>
  <c r="S8" i="48" s="1"/>
  <c r="K8" i="48"/>
  <c r="J8" i="48"/>
  <c r="I8" i="48"/>
  <c r="G8" i="48"/>
  <c r="F8" i="48"/>
  <c r="E8" i="48"/>
  <c r="AV7" i="48"/>
  <c r="AX7" i="48" s="1"/>
  <c r="AS7" i="48"/>
  <c r="AR7" i="48"/>
  <c r="AQ7" i="48"/>
  <c r="AN7" i="48"/>
  <c r="AM7" i="48"/>
  <c r="AL7" i="48"/>
  <c r="AI7" i="48"/>
  <c r="AG7" i="48"/>
  <c r="AH7" i="48" s="1"/>
  <c r="AB7" i="48"/>
  <c r="AD7" i="48" s="1"/>
  <c r="Y7" i="48"/>
  <c r="X7" i="48"/>
  <c r="W7" i="48"/>
  <c r="T7" i="48"/>
  <c r="S7" i="48"/>
  <c r="R7" i="48"/>
  <c r="J7" i="48"/>
  <c r="I7" i="48"/>
  <c r="F7" i="48"/>
  <c r="G7" i="48" s="1"/>
  <c r="E7" i="48"/>
  <c r="N36" i="6"/>
  <c r="J36" i="6"/>
  <c r="F36" i="6"/>
  <c r="L36" i="6" s="1"/>
  <c r="L35" i="6"/>
  <c r="J35" i="6"/>
  <c r="F35" i="6"/>
  <c r="N35" i="6" s="1"/>
  <c r="F34" i="6"/>
  <c r="N33" i="6"/>
  <c r="J33" i="6"/>
  <c r="F33" i="6"/>
  <c r="L33" i="6" s="1"/>
  <c r="J32" i="6"/>
  <c r="F32" i="6"/>
  <c r="F31" i="6"/>
  <c r="N30" i="6"/>
  <c r="J30" i="6"/>
  <c r="F30" i="6"/>
  <c r="L30" i="6" s="1"/>
  <c r="N29" i="6"/>
  <c r="L29" i="6"/>
  <c r="J29" i="6"/>
  <c r="F29" i="6"/>
  <c r="F28" i="6"/>
  <c r="L27" i="6"/>
  <c r="F27" i="6"/>
  <c r="N26" i="6"/>
  <c r="L26" i="6"/>
  <c r="J26" i="6"/>
  <c r="F26" i="6"/>
  <c r="F25" i="6"/>
  <c r="J25" i="6" s="1"/>
  <c r="L24" i="6"/>
  <c r="F24" i="6"/>
  <c r="N23" i="6"/>
  <c r="L23" i="6"/>
  <c r="J23" i="6"/>
  <c r="F23" i="6"/>
  <c r="N22" i="6"/>
  <c r="L22" i="6"/>
  <c r="J22" i="6"/>
  <c r="F22" i="6"/>
  <c r="N21" i="6"/>
  <c r="J21" i="6"/>
  <c r="F21" i="6"/>
  <c r="L21" i="6" s="1"/>
  <c r="N20" i="6"/>
  <c r="L20" i="6"/>
  <c r="F20" i="6"/>
  <c r="J20" i="6" s="1"/>
  <c r="N19" i="6"/>
  <c r="L19" i="6"/>
  <c r="J19" i="6"/>
  <c r="F19" i="6"/>
  <c r="J18" i="6"/>
  <c r="F18" i="6"/>
  <c r="N17" i="6"/>
  <c r="L17" i="6"/>
  <c r="F17" i="6"/>
  <c r="J17" i="6" s="1"/>
  <c r="N16" i="6"/>
  <c r="L16" i="6"/>
  <c r="J16" i="6"/>
  <c r="F16" i="6"/>
  <c r="F15" i="6"/>
  <c r="N14" i="6"/>
  <c r="L14" i="6"/>
  <c r="J14" i="6"/>
  <c r="F14" i="6"/>
  <c r="N13" i="6"/>
  <c r="L13" i="6"/>
  <c r="F13" i="6"/>
  <c r="J13" i="6" s="1"/>
  <c r="L12" i="6"/>
  <c r="J12" i="6"/>
  <c r="F12" i="6"/>
  <c r="N12" i="6" s="1"/>
  <c r="N11" i="6"/>
  <c r="L11" i="6"/>
  <c r="J11" i="6"/>
  <c r="F11" i="6"/>
  <c r="F10" i="6"/>
  <c r="L9" i="6"/>
  <c r="F9" i="6"/>
  <c r="N9" i="6" s="1"/>
  <c r="N8" i="6"/>
  <c r="F8" i="6"/>
  <c r="F7" i="6"/>
  <c r="N36" i="7"/>
  <c r="L36" i="7"/>
  <c r="F36" i="7"/>
  <c r="J36" i="7" s="1"/>
  <c r="N35" i="7"/>
  <c r="L35" i="7"/>
  <c r="J35" i="7"/>
  <c r="F35" i="7"/>
  <c r="F34" i="7"/>
  <c r="N33" i="7"/>
  <c r="L33" i="7"/>
  <c r="F33" i="7"/>
  <c r="J33" i="7" s="1"/>
  <c r="N32" i="7"/>
  <c r="L32" i="7"/>
  <c r="J32" i="7"/>
  <c r="F32" i="7"/>
  <c r="N31" i="7"/>
  <c r="J31" i="7"/>
  <c r="F31" i="7"/>
  <c r="L31" i="7" s="1"/>
  <c r="N30" i="7"/>
  <c r="L30" i="7"/>
  <c r="F30" i="7"/>
  <c r="J30" i="7" s="1"/>
  <c r="L29" i="7"/>
  <c r="J29" i="7"/>
  <c r="F29" i="7"/>
  <c r="L28" i="7"/>
  <c r="J28" i="7"/>
  <c r="F28" i="7"/>
  <c r="N28" i="7" s="1"/>
  <c r="N27" i="7"/>
  <c r="L27" i="7"/>
  <c r="J27" i="7"/>
  <c r="F27" i="7"/>
  <c r="N26" i="7"/>
  <c r="L26" i="7"/>
  <c r="F26" i="7"/>
  <c r="J26" i="7" s="1"/>
  <c r="F25" i="7"/>
  <c r="N24" i="7"/>
  <c r="L24" i="7"/>
  <c r="J24" i="7"/>
  <c r="F24" i="7"/>
  <c r="F23" i="7"/>
  <c r="L22" i="7"/>
  <c r="J22" i="7"/>
  <c r="F22" i="7"/>
  <c r="N22" i="7" s="1"/>
  <c r="F21" i="7"/>
  <c r="L21" i="7" s="1"/>
  <c r="N20" i="7"/>
  <c r="J20" i="7"/>
  <c r="F20" i="7"/>
  <c r="L20" i="7" s="1"/>
  <c r="J19" i="7"/>
  <c r="F19" i="7"/>
  <c r="L18" i="7"/>
  <c r="F18" i="7"/>
  <c r="N17" i="7"/>
  <c r="J17" i="7"/>
  <c r="F17" i="7"/>
  <c r="L17" i="7" s="1"/>
  <c r="L16" i="7"/>
  <c r="J16" i="7"/>
  <c r="F16" i="7"/>
  <c r="N16" i="7" s="1"/>
  <c r="F15" i="7"/>
  <c r="L14" i="7"/>
  <c r="F14" i="7"/>
  <c r="N13" i="7"/>
  <c r="L13" i="7"/>
  <c r="J13" i="7"/>
  <c r="F13" i="7"/>
  <c r="N12" i="7"/>
  <c r="J12" i="7"/>
  <c r="F12" i="7"/>
  <c r="L12" i="7" s="1"/>
  <c r="F11" i="7"/>
  <c r="N10" i="7"/>
  <c r="L10" i="7"/>
  <c r="J10" i="7"/>
  <c r="F10" i="7"/>
  <c r="N9" i="7"/>
  <c r="J9" i="7"/>
  <c r="F9" i="7"/>
  <c r="L9" i="7" s="1"/>
  <c r="L8" i="7"/>
  <c r="F8" i="7"/>
  <c r="L7" i="7"/>
  <c r="H7" i="7"/>
  <c r="F7" i="7"/>
  <c r="I33" i="5"/>
  <c r="I32" i="5"/>
  <c r="I31" i="5"/>
  <c r="I30" i="5"/>
  <c r="I29" i="5"/>
  <c r="I28" i="5"/>
  <c r="V27" i="5"/>
  <c r="I11" i="57" s="1"/>
  <c r="S27" i="5"/>
  <c r="P27" i="5"/>
  <c r="M27" i="5"/>
  <c r="I27" i="5"/>
  <c r="J27" i="5" s="1"/>
  <c r="G27" i="5"/>
  <c r="O26" i="5"/>
  <c r="L26" i="5"/>
  <c r="I26" i="5"/>
  <c r="I25" i="5"/>
  <c r="O24" i="5"/>
  <c r="I24" i="5"/>
  <c r="O23" i="5"/>
  <c r="L23" i="5"/>
  <c r="I23" i="5"/>
  <c r="O22" i="5"/>
  <c r="L22" i="5"/>
  <c r="I22" i="5"/>
  <c r="L21" i="5"/>
  <c r="I21" i="5"/>
  <c r="V20" i="5"/>
  <c r="S20" i="5"/>
  <c r="O20" i="5"/>
  <c r="L20" i="5"/>
  <c r="I20" i="5"/>
  <c r="J20" i="5" s="1"/>
  <c r="G20" i="5"/>
  <c r="L19" i="5"/>
  <c r="I19" i="5"/>
  <c r="I18" i="5"/>
  <c r="O17" i="5"/>
  <c r="L17" i="5"/>
  <c r="I17" i="5"/>
  <c r="L16" i="5"/>
  <c r="I16" i="5"/>
  <c r="O15" i="5"/>
  <c r="L15" i="5"/>
  <c r="I15" i="5"/>
  <c r="O14" i="5"/>
  <c r="L14" i="5"/>
  <c r="I14" i="5"/>
  <c r="V13" i="5"/>
  <c r="S13" i="5"/>
  <c r="O13" i="5"/>
  <c r="L13" i="5"/>
  <c r="I13" i="5"/>
  <c r="J13" i="5" s="1"/>
  <c r="G13" i="5"/>
  <c r="I12" i="5"/>
  <c r="O11" i="5"/>
  <c r="I11" i="5"/>
  <c r="L10" i="5"/>
  <c r="I10" i="5"/>
  <c r="O9" i="5"/>
  <c r="L9" i="5"/>
  <c r="I9" i="5"/>
  <c r="O8" i="5"/>
  <c r="L8" i="5"/>
  <c r="I8" i="5"/>
  <c r="I7" i="5"/>
  <c r="V6" i="5"/>
  <c r="S6" i="5"/>
  <c r="O6" i="5"/>
  <c r="L6" i="5"/>
  <c r="I6" i="5"/>
  <c r="G6" i="5"/>
  <c r="W5" i="5"/>
  <c r="V5" i="5"/>
  <c r="T5" i="5"/>
  <c r="S5" i="5"/>
  <c r="O5" i="5"/>
  <c r="J5" i="5"/>
  <c r="I5" i="5"/>
  <c r="H5" i="5"/>
  <c r="G5" i="5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P27" i="3"/>
  <c r="O27" i="3"/>
  <c r="M27" i="3"/>
  <c r="J27" i="3"/>
  <c r="B7" i="57" s="1"/>
  <c r="G27" i="3"/>
  <c r="B6" i="57" s="1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M20" i="3"/>
  <c r="J20" i="3"/>
  <c r="G20" i="3"/>
  <c r="P20" i="3" s="1"/>
  <c r="U19" i="3"/>
  <c r="O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M13" i="3"/>
  <c r="J13" i="3"/>
  <c r="G13" i="3"/>
  <c r="P13" i="3" s="1"/>
  <c r="U12" i="3"/>
  <c r="O12" i="3"/>
  <c r="U11" i="3"/>
  <c r="O11" i="3"/>
  <c r="U10" i="3"/>
  <c r="O10" i="3"/>
  <c r="U9" i="3"/>
  <c r="O9" i="3"/>
  <c r="U8" i="3"/>
  <c r="O8" i="3"/>
  <c r="U7" i="3"/>
  <c r="O7" i="3"/>
  <c r="V6" i="3"/>
  <c r="U6" i="3"/>
  <c r="S6" i="3"/>
  <c r="P6" i="3"/>
  <c r="O6" i="3"/>
  <c r="M6" i="3"/>
  <c r="J6" i="3"/>
  <c r="G6" i="3"/>
  <c r="U5" i="3"/>
  <c r="T5" i="3"/>
  <c r="W5" i="3" s="1"/>
  <c r="S5" i="3"/>
  <c r="Q5" i="3"/>
  <c r="P5" i="3"/>
  <c r="O5" i="3"/>
  <c r="N5" i="3"/>
  <c r="M5" i="3"/>
  <c r="K5" i="3"/>
  <c r="J5" i="3"/>
  <c r="H5" i="3"/>
  <c r="E6" i="57" s="1"/>
  <c r="G5" i="3"/>
  <c r="D24" i="57"/>
  <c r="D23" i="57"/>
  <c r="D22" i="57"/>
  <c r="J18" i="57"/>
  <c r="D18" i="57"/>
  <c r="I17" i="57"/>
  <c r="K17" i="57" s="1"/>
  <c r="H17" i="57"/>
  <c r="B17" i="57"/>
  <c r="I16" i="57"/>
  <c r="K16" i="57" s="1"/>
  <c r="E16" i="57"/>
  <c r="C16" i="57"/>
  <c r="H15" i="57"/>
  <c r="I15" i="57" s="1"/>
  <c r="K15" i="57" s="1"/>
  <c r="B15" i="57"/>
  <c r="K11" i="57"/>
  <c r="D11" i="57"/>
  <c r="K10" i="57"/>
  <c r="I10" i="57"/>
  <c r="D10" i="57"/>
  <c r="E9" i="57"/>
  <c r="C9" i="57"/>
  <c r="E8" i="57"/>
  <c r="B8" i="57"/>
  <c r="K7" i="57"/>
  <c r="J7" i="57"/>
  <c r="E7" i="57"/>
  <c r="D7" i="57"/>
  <c r="K6" i="57"/>
  <c r="I6" i="57"/>
  <c r="I7" i="57" s="1"/>
  <c r="H6" i="57"/>
  <c r="D6" i="57"/>
  <c r="P13" i="5" l="1"/>
  <c r="J36" i="56"/>
  <c r="Q5" i="5"/>
  <c r="F35" i="56"/>
  <c r="J35" i="56"/>
  <c r="M13" i="5"/>
  <c r="H36" i="56"/>
  <c r="H35" i="56"/>
  <c r="M20" i="5"/>
  <c r="M14" i="51"/>
  <c r="K14" i="51" s="1"/>
  <c r="M14" i="50"/>
  <c r="K14" i="50" s="1"/>
  <c r="M14" i="20"/>
  <c r="K14" i="20" s="1"/>
  <c r="M14" i="19"/>
  <c r="K14" i="19" s="1"/>
  <c r="M14" i="40"/>
  <c r="AF9" i="52"/>
  <c r="K9" i="40" s="1"/>
  <c r="M19" i="48"/>
  <c r="P5" i="5"/>
  <c r="G9" i="48"/>
  <c r="H7" i="48" s="1"/>
  <c r="AW43" i="48"/>
  <c r="X36" i="48"/>
  <c r="AM66" i="48"/>
  <c r="K66" i="48"/>
  <c r="AR80" i="48"/>
  <c r="S104" i="48"/>
  <c r="X105" i="48"/>
  <c r="X108" i="48"/>
  <c r="X114" i="48"/>
  <c r="X100" i="48"/>
  <c r="X111" i="48"/>
  <c r="Y99" i="48"/>
  <c r="S110" i="48"/>
  <c r="K110" i="48"/>
  <c r="K5" i="5"/>
  <c r="AW14" i="48"/>
  <c r="S30" i="48"/>
  <c r="AW31" i="48"/>
  <c r="AC33" i="48"/>
  <c r="X37" i="48"/>
  <c r="S38" i="48"/>
  <c r="AM68" i="48"/>
  <c r="AR81" i="48"/>
  <c r="AR84" i="48"/>
  <c r="AR78" i="48"/>
  <c r="AR90" i="48"/>
  <c r="AR82" i="48"/>
  <c r="AR77" i="48"/>
  <c r="AW80" i="48"/>
  <c r="AH83" i="48"/>
  <c r="AC85" i="48"/>
  <c r="AH89" i="48"/>
  <c r="X102" i="48"/>
  <c r="X106" i="48"/>
  <c r="AC65" i="48"/>
  <c r="AC67" i="48"/>
  <c r="AC63" i="48"/>
  <c r="AC66" i="48"/>
  <c r="AD53" i="48"/>
  <c r="AC91" i="48"/>
  <c r="K107" i="48"/>
  <c r="S107" i="48"/>
  <c r="L34" i="7"/>
  <c r="N34" i="7"/>
  <c r="J34" i="7"/>
  <c r="N25" i="6"/>
  <c r="L25" i="6"/>
  <c r="AW61" i="48"/>
  <c r="I18" i="57"/>
  <c r="L18" i="6"/>
  <c r="N18" i="6"/>
  <c r="AW9" i="48"/>
  <c r="M14" i="48"/>
  <c r="AH35" i="48"/>
  <c r="AH36" i="48"/>
  <c r="K36" i="48"/>
  <c r="X38" i="48"/>
  <c r="AM55" i="48"/>
  <c r="AC54" i="48"/>
  <c r="AR76" i="48"/>
  <c r="AR91" i="48"/>
  <c r="S113" i="48"/>
  <c r="K113" i="48"/>
  <c r="K34" i="48"/>
  <c r="S34" i="48"/>
  <c r="M8" i="48"/>
  <c r="J10" i="6"/>
  <c r="N10" i="6"/>
  <c r="L10" i="6"/>
  <c r="M9" i="48"/>
  <c r="AW36" i="48"/>
  <c r="AW33" i="48"/>
  <c r="AX30" i="48"/>
  <c r="AW32" i="48"/>
  <c r="AW30" i="48"/>
  <c r="AW38" i="48"/>
  <c r="AM34" i="48"/>
  <c r="J23" i="7"/>
  <c r="N23" i="7"/>
  <c r="L23" i="7"/>
  <c r="G22" i="7"/>
  <c r="AW21" i="48"/>
  <c r="AW66" i="48"/>
  <c r="AW62" i="48"/>
  <c r="AW67" i="48"/>
  <c r="AW63" i="48"/>
  <c r="AW60" i="48"/>
  <c r="AX53" i="48"/>
  <c r="M21" i="48"/>
  <c r="AW34" i="48"/>
  <c r="AW35" i="48"/>
  <c r="K35" i="48"/>
  <c r="AM38" i="48"/>
  <c r="X40" i="48"/>
  <c r="X43" i="48"/>
  <c r="AW53" i="48"/>
  <c r="AN53" i="48"/>
  <c r="AM61" i="48"/>
  <c r="AM57" i="48"/>
  <c r="S61" i="48"/>
  <c r="K61" i="48"/>
  <c r="H76" i="48"/>
  <c r="AW82" i="48"/>
  <c r="AW88" i="48"/>
  <c r="M47" i="49"/>
  <c r="N19" i="7"/>
  <c r="L19" i="7"/>
  <c r="L15" i="6"/>
  <c r="N15" i="6"/>
  <c r="J15" i="6"/>
  <c r="G15" i="6"/>
  <c r="N32" i="6"/>
  <c r="L32" i="6"/>
  <c r="AC7" i="48"/>
  <c r="AW15" i="48"/>
  <c r="AJ48" i="48"/>
  <c r="AJ71" i="48" s="1"/>
  <c r="AJ94" i="48" s="1"/>
  <c r="AO25" i="48"/>
  <c r="AM35" i="48"/>
  <c r="AM32" i="48"/>
  <c r="AM44" i="48"/>
  <c r="AM31" i="48"/>
  <c r="AM39" i="48"/>
  <c r="AN30" i="48"/>
  <c r="AC42" i="48"/>
  <c r="X44" i="48"/>
  <c r="AW54" i="48"/>
  <c r="AM56" i="48"/>
  <c r="X61" i="48"/>
  <c r="X62" i="48"/>
  <c r="Y53" i="48"/>
  <c r="AR87" i="48"/>
  <c r="N21" i="7"/>
  <c r="J21" i="7"/>
  <c r="M18" i="48"/>
  <c r="AM30" i="48"/>
  <c r="X31" i="48"/>
  <c r="AH42" i="48"/>
  <c r="AH43" i="48"/>
  <c r="K43" i="48"/>
  <c r="AC61" i="48"/>
  <c r="S64" i="48"/>
  <c r="K64" i="48"/>
  <c r="K79" i="48"/>
  <c r="S80" i="48"/>
  <c r="K80" i="48"/>
  <c r="AW86" i="48"/>
  <c r="AW114" i="48"/>
  <c r="AW103" i="48"/>
  <c r="AW115" i="48"/>
  <c r="AC122" i="48"/>
  <c r="AD122" i="48"/>
  <c r="B9" i="57"/>
  <c r="D9" i="57" s="1"/>
  <c r="D8" i="57"/>
  <c r="AW18" i="48"/>
  <c r="AW10" i="48"/>
  <c r="AW16" i="48"/>
  <c r="K7" i="48"/>
  <c r="K40" i="48"/>
  <c r="S40" i="48"/>
  <c r="AW19" i="48"/>
  <c r="AC43" i="48"/>
  <c r="AM43" i="48"/>
  <c r="AW55" i="48"/>
  <c r="AH60" i="48"/>
  <c r="S76" i="48"/>
  <c r="K76" i="48"/>
  <c r="S81" i="48"/>
  <c r="S78" i="48"/>
  <c r="T76" i="48"/>
  <c r="S91" i="48"/>
  <c r="S84" i="48"/>
  <c r="S82" i="48"/>
  <c r="X80" i="48"/>
  <c r="X77" i="48"/>
  <c r="X86" i="48"/>
  <c r="AW7" i="48"/>
  <c r="AC57" i="48"/>
  <c r="V5" i="3"/>
  <c r="AW11" i="48"/>
  <c r="N5" i="5"/>
  <c r="AM41" i="48"/>
  <c r="S53" i="48"/>
  <c r="S54" i="48"/>
  <c r="T53" i="48"/>
  <c r="S67" i="48"/>
  <c r="S63" i="48"/>
  <c r="K53" i="48"/>
  <c r="M54" i="48" s="1"/>
  <c r="S66" i="48"/>
  <c r="S62" i="48"/>
  <c r="S56" i="48"/>
  <c r="S59" i="48"/>
  <c r="S65" i="48"/>
  <c r="S55" i="48"/>
  <c r="AW56" i="48"/>
  <c r="AH62" i="48"/>
  <c r="X65" i="48"/>
  <c r="K65" i="48"/>
  <c r="M65" i="48" s="1"/>
  <c r="S68" i="48"/>
  <c r="K68" i="48"/>
  <c r="X78" i="48"/>
  <c r="S131" i="48"/>
  <c r="K131" i="48"/>
  <c r="M131" i="48" s="1"/>
  <c r="AC55" i="48"/>
  <c r="K55" i="48"/>
  <c r="AM115" i="48"/>
  <c r="AM101" i="48"/>
  <c r="AM113" i="48"/>
  <c r="AM106" i="48"/>
  <c r="AM99" i="48"/>
  <c r="AM111" i="48"/>
  <c r="AM108" i="48"/>
  <c r="J6" i="5"/>
  <c r="N15" i="7"/>
  <c r="J15" i="7"/>
  <c r="L15" i="7"/>
  <c r="L7" i="6"/>
  <c r="H7" i="6"/>
  <c r="N7" i="6"/>
  <c r="N28" i="6"/>
  <c r="L28" i="6"/>
  <c r="J28" i="6"/>
  <c r="M6" i="5"/>
  <c r="G15" i="7"/>
  <c r="N25" i="7"/>
  <c r="L25" i="7"/>
  <c r="J25" i="7"/>
  <c r="G7" i="6"/>
  <c r="C17" i="57"/>
  <c r="E17" i="57" s="1"/>
  <c r="M5" i="5"/>
  <c r="P6" i="5"/>
  <c r="J7" i="7"/>
  <c r="G7" i="7"/>
  <c r="N7" i="7"/>
  <c r="N11" i="7"/>
  <c r="J11" i="7"/>
  <c r="G8" i="7"/>
  <c r="L11" i="7"/>
  <c r="J7" i="6"/>
  <c r="G29" i="6"/>
  <c r="AH30" i="48"/>
  <c r="AH34" i="48"/>
  <c r="S33" i="48"/>
  <c r="AW42" i="48"/>
  <c r="AM62" i="48"/>
  <c r="AH64" i="48"/>
  <c r="AC84" i="48"/>
  <c r="X81" i="48"/>
  <c r="X91" i="48"/>
  <c r="X99" i="48"/>
  <c r="K100" i="48"/>
  <c r="S100" i="48"/>
  <c r="S114" i="48"/>
  <c r="S109" i="48"/>
  <c r="S102" i="48"/>
  <c r="S106" i="48"/>
  <c r="K101" i="48"/>
  <c r="K130" i="48"/>
  <c r="M130" i="48" s="1"/>
  <c r="S130" i="48"/>
  <c r="N29" i="7"/>
  <c r="G29" i="7"/>
  <c r="G15" i="48"/>
  <c r="S37" i="48"/>
  <c r="AM42" i="48"/>
  <c r="AH54" i="48"/>
  <c r="AR62" i="48"/>
  <c r="AH63" i="48"/>
  <c r="X64" i="48"/>
  <c r="AR66" i="48"/>
  <c r="AH67" i="48"/>
  <c r="X68" i="48"/>
  <c r="AC78" i="48"/>
  <c r="X79" i="48"/>
  <c r="AC80" i="48"/>
  <c r="AR83" i="48"/>
  <c r="AW87" i="48"/>
  <c r="AH102" i="48"/>
  <c r="AH108" i="48"/>
  <c r="AH103" i="48"/>
  <c r="K109" i="48"/>
  <c r="S123" i="48"/>
  <c r="K123" i="48"/>
  <c r="M123" i="48" s="1"/>
  <c r="AX87" i="49"/>
  <c r="AW88" i="49"/>
  <c r="AW89" i="49"/>
  <c r="AW90" i="49"/>
  <c r="AW87" i="49"/>
  <c r="N14" i="7"/>
  <c r="J14" i="7"/>
  <c r="N18" i="7"/>
  <c r="J18" i="7"/>
  <c r="N24" i="6"/>
  <c r="J24" i="6"/>
  <c r="S43" i="48"/>
  <c r="S36" i="48"/>
  <c r="K30" i="48"/>
  <c r="M41" i="48" s="1"/>
  <c r="AR38" i="48"/>
  <c r="AR34" i="48"/>
  <c r="AR30" i="48"/>
  <c r="S31" i="48"/>
  <c r="AR35" i="48"/>
  <c r="AC36" i="48"/>
  <c r="AW41" i="48"/>
  <c r="AR42" i="48"/>
  <c r="S44" i="48"/>
  <c r="AM54" i="48"/>
  <c r="AW77" i="48"/>
  <c r="AX76" i="48"/>
  <c r="AW90" i="48"/>
  <c r="AW81" i="48"/>
  <c r="AW78" i="48"/>
  <c r="AW76" i="48"/>
  <c r="AH78" i="48"/>
  <c r="AH76" i="48"/>
  <c r="AW83" i="48"/>
  <c r="AM102" i="48"/>
  <c r="AC104" i="48"/>
  <c r="M30" i="19"/>
  <c r="K30" i="19" s="1"/>
  <c r="F22" i="55"/>
  <c r="U22" i="55"/>
  <c r="S41" i="48"/>
  <c r="AC44" i="48"/>
  <c r="AC82" i="48"/>
  <c r="AC86" i="48"/>
  <c r="AH85" i="48"/>
  <c r="S88" i="48"/>
  <c r="K88" i="48"/>
  <c r="S101" i="48"/>
  <c r="AC70" i="49"/>
  <c r="AC67" i="49"/>
  <c r="K87" i="49"/>
  <c r="Y87" i="49"/>
  <c r="X87" i="49"/>
  <c r="X88" i="49"/>
  <c r="X90" i="49"/>
  <c r="M15" i="40"/>
  <c r="I15" i="40"/>
  <c r="X30" i="48"/>
  <c r="AC37" i="48"/>
  <c r="AC34" i="48"/>
  <c r="AC31" i="48"/>
  <c r="AC40" i="48"/>
  <c r="G43" i="48"/>
  <c r="H30" i="48" s="1"/>
  <c r="AR68" i="48"/>
  <c r="AW109" i="48"/>
  <c r="K112" i="48"/>
  <c r="AC112" i="48"/>
  <c r="M122" i="48"/>
  <c r="L122" i="48"/>
  <c r="G22" i="6"/>
  <c r="N34" i="6"/>
  <c r="L34" i="6"/>
  <c r="J34" i="6"/>
  <c r="Y30" i="48"/>
  <c r="AH44" i="48"/>
  <c r="AM33" i="48"/>
  <c r="AM37" i="48"/>
  <c r="AH58" i="48"/>
  <c r="K56" i="48"/>
  <c r="AR60" i="48"/>
  <c r="K62" i="48"/>
  <c r="AH65" i="48"/>
  <c r="AC76" i="48"/>
  <c r="AM85" i="48"/>
  <c r="K86" i="48"/>
  <c r="S87" i="48"/>
  <c r="X88" i="48"/>
  <c r="K90" i="48"/>
  <c r="AC100" i="48"/>
  <c r="AC106" i="48"/>
  <c r="AC114" i="48"/>
  <c r="AC111" i="48"/>
  <c r="AR104" i="48"/>
  <c r="AR103" i="48"/>
  <c r="AS99" i="48"/>
  <c r="AR99" i="48"/>
  <c r="K104" i="48"/>
  <c r="AR101" i="48"/>
  <c r="AR110" i="48"/>
  <c r="AR105" i="48"/>
  <c r="AM69" i="49"/>
  <c r="AM67" i="49"/>
  <c r="AN67" i="49"/>
  <c r="AH55" i="48"/>
  <c r="N8" i="7"/>
  <c r="J8" i="7"/>
  <c r="L8" i="6"/>
  <c r="J8" i="6"/>
  <c r="G8" i="6"/>
  <c r="K32" i="48"/>
  <c r="S35" i="48"/>
  <c r="AC38" i="48"/>
  <c r="AM40" i="48"/>
  <c r="X41" i="48"/>
  <c r="S42" i="48"/>
  <c r="AH53" i="48"/>
  <c r="AC58" i="48"/>
  <c r="AD76" i="48"/>
  <c r="X76" i="48"/>
  <c r="K77" i="48"/>
  <c r="AW79" i="48"/>
  <c r="X82" i="48"/>
  <c r="AW84" i="48"/>
  <c r="AR85" i="48"/>
  <c r="X87" i="48"/>
  <c r="X90" i="48"/>
  <c r="H99" i="48"/>
  <c r="AH107" i="48"/>
  <c r="S133" i="48"/>
  <c r="K133" i="48"/>
  <c r="M133" i="48" s="1"/>
  <c r="AS67" i="49"/>
  <c r="AR70" i="49"/>
  <c r="AR69" i="49"/>
  <c r="AR67" i="49"/>
  <c r="AR68" i="49"/>
  <c r="M16" i="48"/>
  <c r="AC30" i="48"/>
  <c r="S32" i="48"/>
  <c r="AR33" i="48"/>
  <c r="X35" i="48"/>
  <c r="AR37" i="48"/>
  <c r="AH38" i="48"/>
  <c r="S39" i="48"/>
  <c r="K39" i="48"/>
  <c r="AM53" i="48"/>
  <c r="AS53" i="48"/>
  <c r="AR59" i="48"/>
  <c r="AR56" i="48"/>
  <c r="AR53" i="48"/>
  <c r="AR67" i="48"/>
  <c r="AR63" i="48"/>
  <c r="X56" i="48"/>
  <c r="X53" i="48"/>
  <c r="AW57" i="48"/>
  <c r="X59" i="48"/>
  <c r="AM65" i="48"/>
  <c r="X66" i="48"/>
  <c r="S83" i="48"/>
  <c r="K83" i="48"/>
  <c r="AM105" i="48"/>
  <c r="AC101" i="48"/>
  <c r="AM107" i="48"/>
  <c r="AC115" i="48"/>
  <c r="AW20" i="48"/>
  <c r="AJ42" i="49"/>
  <c r="AJ62" i="49" s="1"/>
  <c r="AJ82" i="49" s="1"/>
  <c r="AO22" i="49"/>
  <c r="S49" i="49"/>
  <c r="S47" i="49"/>
  <c r="T47" i="49"/>
  <c r="S48" i="49"/>
  <c r="AW68" i="49"/>
  <c r="AW69" i="49"/>
  <c r="AX67" i="49"/>
  <c r="AW67" i="49"/>
  <c r="K68" i="49"/>
  <c r="C15" i="57"/>
  <c r="AW12" i="48"/>
  <c r="AD30" i="48"/>
  <c r="X32" i="48"/>
  <c r="AC35" i="48"/>
  <c r="AW37" i="48"/>
  <c r="AR40" i="48"/>
  <c r="AC41" i="48"/>
  <c r="X42" i="48"/>
  <c r="AR55" i="48"/>
  <c r="AM58" i="48"/>
  <c r="K59" i="48"/>
  <c r="AC59" i="48"/>
  <c r="AM76" i="48"/>
  <c r="AM84" i="48"/>
  <c r="AM79" i="48"/>
  <c r="AM90" i="48"/>
  <c r="AM81" i="48"/>
  <c r="AM78" i="48"/>
  <c r="AN76" i="48"/>
  <c r="X83" i="48"/>
  <c r="AM86" i="48"/>
  <c r="AM88" i="48"/>
  <c r="AC90" i="48"/>
  <c r="AW105" i="48"/>
  <c r="AR106" i="48"/>
  <c r="J9" i="6"/>
  <c r="N27" i="6"/>
  <c r="J27" i="6"/>
  <c r="N31" i="6"/>
  <c r="L31" i="6"/>
  <c r="J31" i="6"/>
  <c r="AW8" i="48"/>
  <c r="M12" i="48"/>
  <c r="M20" i="48"/>
  <c r="AH40" i="48"/>
  <c r="AC32" i="48"/>
  <c r="AC39" i="48"/>
  <c r="X54" i="48"/>
  <c r="AH56" i="48"/>
  <c r="S57" i="48"/>
  <c r="K57" i="48"/>
  <c r="AR58" i="48"/>
  <c r="AH59" i="48"/>
  <c r="S60" i="48"/>
  <c r="K60" i="48"/>
  <c r="AC62" i="48"/>
  <c r="X63" i="48"/>
  <c r="AR65" i="48"/>
  <c r="X67" i="48"/>
  <c r="AS76" i="48"/>
  <c r="AR86" i="48"/>
  <c r="AH84" i="48"/>
  <c r="AC83" i="48"/>
  <c r="AR88" i="48"/>
  <c r="S115" i="48"/>
  <c r="AX99" i="48"/>
  <c r="AH101" i="48"/>
  <c r="X103" i="48"/>
  <c r="X110" i="48"/>
  <c r="X104" i="48"/>
  <c r="X101" i="48"/>
  <c r="AW106" i="48"/>
  <c r="AW113" i="48"/>
  <c r="AR107" i="48"/>
  <c r="AC108" i="48"/>
  <c r="AR113" i="48"/>
  <c r="AR114" i="48"/>
  <c r="G123" i="48"/>
  <c r="H122" i="48" s="1"/>
  <c r="K88" i="49"/>
  <c r="M88" i="49" s="1"/>
  <c r="AI87" i="49"/>
  <c r="AH87" i="49"/>
  <c r="AH33" i="48"/>
  <c r="AH41" i="48"/>
  <c r="AC56" i="48"/>
  <c r="AC64" i="48"/>
  <c r="AC68" i="48"/>
  <c r="S79" i="48"/>
  <c r="AH81" i="48"/>
  <c r="AM83" i="48"/>
  <c r="AW85" i="48"/>
  <c r="AW89" i="48"/>
  <c r="AH90" i="48"/>
  <c r="K91" i="48"/>
  <c r="AH110" i="48"/>
  <c r="AH106" i="48"/>
  <c r="AH99" i="48"/>
  <c r="S103" i="48"/>
  <c r="AM104" i="48"/>
  <c r="AH105" i="48"/>
  <c r="H47" i="49"/>
  <c r="U7" i="52"/>
  <c r="T7" i="52"/>
  <c r="T14" i="55"/>
  <c r="P14" i="55"/>
  <c r="E11" i="1"/>
  <c r="D11" i="1"/>
  <c r="AH67" i="49"/>
  <c r="AH68" i="49"/>
  <c r="K69" i="49"/>
  <c r="AH70" i="49"/>
  <c r="AH69" i="49"/>
  <c r="P9" i="52"/>
  <c r="S9" i="52"/>
  <c r="F5" i="55"/>
  <c r="U5" i="55"/>
  <c r="F12" i="55"/>
  <c r="U12" i="55"/>
  <c r="F16" i="55"/>
  <c r="U16" i="55"/>
  <c r="AW39" i="48"/>
  <c r="AI53" i="48"/>
  <c r="AR54" i="48"/>
  <c r="AH66" i="48"/>
  <c r="S77" i="48"/>
  <c r="AH86" i="48"/>
  <c r="AW110" i="48"/>
  <c r="AH111" i="48"/>
  <c r="AH122" i="48"/>
  <c r="AI7" i="49"/>
  <c r="AH7" i="49"/>
  <c r="AN47" i="49"/>
  <c r="AC49" i="49"/>
  <c r="AC48" i="49"/>
  <c r="T87" i="49"/>
  <c r="AD8" i="52"/>
  <c r="F9" i="40" s="1"/>
  <c r="S6" i="52"/>
  <c r="P6" i="52"/>
  <c r="F24" i="55"/>
  <c r="U24" i="55"/>
  <c r="U14" i="52"/>
  <c r="T14" i="52"/>
  <c r="X39" i="48"/>
  <c r="K63" i="48"/>
  <c r="G66" i="48"/>
  <c r="H53" i="48" s="1"/>
  <c r="K67" i="48"/>
  <c r="AC77" i="48"/>
  <c r="K78" i="48"/>
  <c r="AH80" i="48"/>
  <c r="K81" i="48"/>
  <c r="M87" i="48" s="1"/>
  <c r="S85" i="48"/>
  <c r="AC87" i="48"/>
  <c r="K89" i="48"/>
  <c r="M89" i="48" s="1"/>
  <c r="AH100" i="48"/>
  <c r="AR102" i="48"/>
  <c r="AR108" i="48"/>
  <c r="AH112" i="48"/>
  <c r="X60" i="48"/>
  <c r="AH61" i="48"/>
  <c r="AW64" i="48"/>
  <c r="AW68" i="48"/>
  <c r="Y76" i="48"/>
  <c r="AH77" i="48"/>
  <c r="X85" i="48"/>
  <c r="AH87" i="48"/>
  <c r="AC88" i="48"/>
  <c r="X89" i="48"/>
  <c r="S108" i="48"/>
  <c r="T99" i="48"/>
  <c r="S99" i="48"/>
  <c r="K99" i="48"/>
  <c r="AM100" i="48"/>
  <c r="X107" i="48"/>
  <c r="M108" i="48"/>
  <c r="AH109" i="48"/>
  <c r="AW111" i="48"/>
  <c r="AM112" i="48"/>
  <c r="AH115" i="48"/>
  <c r="K129" i="48"/>
  <c r="M129" i="48" s="1"/>
  <c r="AW48" i="49"/>
  <c r="U19" i="52"/>
  <c r="U21" i="52"/>
  <c r="T21" i="52"/>
  <c r="O14" i="1"/>
  <c r="Q7" i="1"/>
  <c r="AI30" i="48"/>
  <c r="AH31" i="48"/>
  <c r="AH37" i="48"/>
  <c r="K38" i="48"/>
  <c r="M38" i="48" s="1"/>
  <c r="AC60" i="48"/>
  <c r="AM77" i="48"/>
  <c r="AR79" i="48"/>
  <c r="AH82" i="48"/>
  <c r="AM87" i="48"/>
  <c r="AH88" i="48"/>
  <c r="AC89" i="48"/>
  <c r="S90" i="48"/>
  <c r="AM91" i="48"/>
  <c r="AW108" i="48"/>
  <c r="AW104" i="48"/>
  <c r="AW99" i="48"/>
  <c r="AW102" i="48"/>
  <c r="S105" i="48"/>
  <c r="AC107" i="48"/>
  <c r="AM109" i="48"/>
  <c r="AC110" i="48"/>
  <c r="AR112" i="48"/>
  <c r="AH113" i="48"/>
  <c r="K114" i="48"/>
  <c r="K28" i="49"/>
  <c r="M28" i="49" s="1"/>
  <c r="AM49" i="49"/>
  <c r="S68" i="49"/>
  <c r="S69" i="49"/>
  <c r="T67" i="49"/>
  <c r="P13" i="52"/>
  <c r="AW112" i="48"/>
  <c r="H87" i="49"/>
  <c r="AH91" i="48"/>
  <c r="AC113" i="48"/>
  <c r="AC102" i="48"/>
  <c r="K111" i="48"/>
  <c r="M111" i="48" s="1"/>
  <c r="G129" i="48"/>
  <c r="G7" i="49"/>
  <c r="H7" i="49" s="1"/>
  <c r="AM8" i="49"/>
  <c r="G27" i="49"/>
  <c r="H27" i="49" s="1"/>
  <c r="Z42" i="49"/>
  <c r="Z62" i="49" s="1"/>
  <c r="Z82" i="49" s="1"/>
  <c r="AR49" i="49"/>
  <c r="X70" i="49"/>
  <c r="AD87" i="49"/>
  <c r="AC89" i="49"/>
  <c r="X89" i="49"/>
  <c r="K90" i="49"/>
  <c r="D36" i="56"/>
  <c r="AI76" i="48"/>
  <c r="AD99" i="48"/>
  <c r="AW101" i="48"/>
  <c r="X109" i="48"/>
  <c r="AS47" i="49"/>
  <c r="K49" i="49"/>
  <c r="M49" i="49" s="1"/>
  <c r="K67" i="49"/>
  <c r="M70" i="49" s="1"/>
  <c r="S67" i="49"/>
  <c r="AH89" i="49"/>
  <c r="AM27" i="49"/>
  <c r="AW47" i="49"/>
  <c r="AH48" i="49"/>
  <c r="AR88" i="49"/>
  <c r="M22" i="19"/>
  <c r="K22" i="19" s="1"/>
  <c r="U24" i="52"/>
  <c r="T24" i="52"/>
  <c r="F8" i="55"/>
  <c r="U8" i="55"/>
  <c r="S89" i="48"/>
  <c r="AC109" i="48"/>
  <c r="AH114" i="48"/>
  <c r="K115" i="48"/>
  <c r="K125" i="48"/>
  <c r="M125" i="48" s="1"/>
  <c r="K135" i="48"/>
  <c r="M135" i="48" s="1"/>
  <c r="K8" i="49"/>
  <c r="M9" i="49" s="1"/>
  <c r="AN27" i="49"/>
  <c r="AX47" i="49"/>
  <c r="AC68" i="49"/>
  <c r="AM70" i="49"/>
  <c r="AS107" i="49"/>
  <c r="U18" i="52"/>
  <c r="T18" i="52"/>
  <c r="P16" i="55"/>
  <c r="K27" i="49"/>
  <c r="S27" i="49"/>
  <c r="S28" i="49"/>
  <c r="AC47" i="49"/>
  <c r="M107" i="49"/>
  <c r="M22" i="51"/>
  <c r="K22" i="51" s="1"/>
  <c r="U12" i="52"/>
  <c r="T12" i="52"/>
  <c r="U23" i="52"/>
  <c r="T23" i="52"/>
  <c r="U19" i="55"/>
  <c r="F19" i="55"/>
  <c r="X28" i="1"/>
  <c r="V28" i="1" s="1"/>
  <c r="AM103" i="48"/>
  <c r="AN99" i="48"/>
  <c r="AM114" i="48"/>
  <c r="S107" i="49"/>
  <c r="S110" i="49"/>
  <c r="S108" i="49"/>
  <c r="S7" i="49"/>
  <c r="T27" i="49"/>
  <c r="AR27" i="49"/>
  <c r="AM29" i="49"/>
  <c r="AD47" i="49"/>
  <c r="G48" i="49"/>
  <c r="AC69" i="49"/>
  <c r="AW107" i="49"/>
  <c r="M30" i="50"/>
  <c r="K30" i="50" s="1"/>
  <c r="U17" i="52"/>
  <c r="T17" i="52"/>
  <c r="U13" i="55"/>
  <c r="F13" i="55"/>
  <c r="X28" i="49"/>
  <c r="AM68" i="49"/>
  <c r="AW70" i="49"/>
  <c r="U11" i="52"/>
  <c r="T11" i="52"/>
  <c r="F21" i="55"/>
  <c r="U21" i="55"/>
  <c r="AR115" i="48"/>
  <c r="S112" i="48"/>
  <c r="X27" i="49"/>
  <c r="AH47" i="49"/>
  <c r="AD67" i="49"/>
  <c r="S88" i="49"/>
  <c r="AS87" i="49"/>
  <c r="AR87" i="49"/>
  <c r="AR90" i="49"/>
  <c r="Y107" i="49"/>
  <c r="M22" i="20"/>
  <c r="K22" i="20" s="1"/>
  <c r="P11" i="52"/>
  <c r="U20" i="52"/>
  <c r="T20" i="52"/>
  <c r="F15" i="55"/>
  <c r="U15" i="55"/>
  <c r="T6" i="55"/>
  <c r="AR100" i="48"/>
  <c r="AR111" i="48"/>
  <c r="AH90" i="49"/>
  <c r="M110" i="49"/>
  <c r="P13" i="55"/>
  <c r="P19" i="55"/>
  <c r="AE9" i="52"/>
  <c r="I9" i="40" s="1"/>
  <c r="D35" i="56"/>
  <c r="L107" i="49"/>
  <c r="P8" i="52"/>
  <c r="P15" i="52"/>
  <c r="P21" i="52"/>
  <c r="AM108" i="49"/>
  <c r="U14" i="55" l="1"/>
  <c r="F14" i="55"/>
  <c r="M60" i="48"/>
  <c r="M56" i="48"/>
  <c r="AO48" i="48"/>
  <c r="AO71" i="48" s="1"/>
  <c r="AO94" i="48" s="1"/>
  <c r="AT25" i="48"/>
  <c r="AT48" i="48" s="1"/>
  <c r="AT71" i="48" s="1"/>
  <c r="AT94" i="48" s="1"/>
  <c r="M66" i="48"/>
  <c r="AD8" i="55"/>
  <c r="F10" i="40" s="1"/>
  <c r="M103" i="48"/>
  <c r="M112" i="48"/>
  <c r="U9" i="52"/>
  <c r="T9" i="52"/>
  <c r="M100" i="48"/>
  <c r="M55" i="48"/>
  <c r="M110" i="48"/>
  <c r="M114" i="48"/>
  <c r="M90" i="48"/>
  <c r="M78" i="48"/>
  <c r="M57" i="48"/>
  <c r="M42" i="48"/>
  <c r="M40" i="48"/>
  <c r="M27" i="49"/>
  <c r="L27" i="49"/>
  <c r="M29" i="49"/>
  <c r="M115" i="48"/>
  <c r="M99" i="48"/>
  <c r="L99" i="48"/>
  <c r="M106" i="48"/>
  <c r="M32" i="48"/>
  <c r="M48" i="49"/>
  <c r="L7" i="48"/>
  <c r="M7" i="48"/>
  <c r="M15" i="48"/>
  <c r="M17" i="48"/>
  <c r="M80" i="48"/>
  <c r="M10" i="48"/>
  <c r="M36" i="48"/>
  <c r="M81" i="48"/>
  <c r="U6" i="52"/>
  <c r="T6" i="52"/>
  <c r="M87" i="49"/>
  <c r="L87" i="49"/>
  <c r="M35" i="48"/>
  <c r="M67" i="48"/>
  <c r="M69" i="49"/>
  <c r="M104" i="48"/>
  <c r="M86" i="48"/>
  <c r="M13" i="48"/>
  <c r="M61" i="48"/>
  <c r="M30" i="48"/>
  <c r="L30" i="48"/>
  <c r="M90" i="49"/>
  <c r="AT22" i="49"/>
  <c r="AT42" i="49" s="1"/>
  <c r="AT62" i="49" s="1"/>
  <c r="AT82" i="49" s="1"/>
  <c r="AO42" i="49"/>
  <c r="AO62" i="49" s="1"/>
  <c r="AO82" i="49" s="1"/>
  <c r="M77" i="48"/>
  <c r="M88" i="48"/>
  <c r="M109" i="48"/>
  <c r="M101" i="48"/>
  <c r="M64" i="48"/>
  <c r="M107" i="48"/>
  <c r="M31" i="48"/>
  <c r="M43" i="48"/>
  <c r="M8" i="49"/>
  <c r="M7" i="49"/>
  <c r="L7" i="49"/>
  <c r="M85" i="48"/>
  <c r="M76" i="48"/>
  <c r="M84" i="48"/>
  <c r="L76" i="48"/>
  <c r="M82" i="48"/>
  <c r="M79" i="48"/>
  <c r="M63" i="48"/>
  <c r="C18" i="57"/>
  <c r="E15" i="57"/>
  <c r="M68" i="48"/>
  <c r="L53" i="48"/>
  <c r="M53" i="48"/>
  <c r="L47" i="49"/>
  <c r="M34" i="48"/>
  <c r="M105" i="48"/>
  <c r="M33" i="48"/>
  <c r="M83" i="48"/>
  <c r="M39" i="48"/>
  <c r="L67" i="49"/>
  <c r="M67" i="49"/>
  <c r="F6" i="55"/>
  <c r="AG8" i="55" s="1"/>
  <c r="L10" i="40" s="1"/>
  <c r="U6" i="55"/>
  <c r="M91" i="48"/>
  <c r="M59" i="48"/>
  <c r="M68" i="49"/>
  <c r="M89" i="49"/>
  <c r="M62" i="48"/>
  <c r="M37" i="48"/>
  <c r="M58" i="48"/>
  <c r="M113" i="48"/>
  <c r="M102" i="48"/>
  <c r="M11" i="48"/>
  <c r="C1" i="48" l="1"/>
  <c r="E22" i="57" s="1"/>
  <c r="C1" i="49"/>
  <c r="E24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<sst xmlns="http://schemas.openxmlformats.org/spreadsheetml/2006/main" count="2435" uniqueCount="410">
  <si>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</si>
  <si>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</si>
  <si>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</si>
  <si>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</si>
  <si>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</si>
  <si>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</si>
  <si>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</si>
  <si>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</si>
  <si>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</si>
  <si>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</si>
  <si>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</si>
  <si>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</si>
  <si>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</si>
  <si>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</si>
  <si>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</si>
  <si>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</si>
  <si>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</si>
  <si>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</si>
  <si>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</si>
  <si>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</si>
  <si>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</si>
  <si>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</si>
  <si>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</si>
  <si>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</si>
  <si>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</si>
  <si>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</si>
  <si>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</si>
  <si>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</si>
  <si>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</si>
  <si>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</si>
  <si>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</si>
  <si>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</si>
  <si>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</si>
  <si>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</si>
  <si>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</si>
  <si>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</si>
  <si>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</si>
  <si>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</si>
  <si>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</si>
  <si>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</si>
  <si>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</si>
  <si>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</si>
  <si>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</si>
  <si>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</si>
  <si>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</si>
  <si>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</si>
  <si>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</si>
  <si>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</si>
  <si>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</si>
  <si>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</si>
  <si>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</si>
  <si>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</si>
  <si>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</si>
  <si>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</si>
  <si>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</si>
  <si>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</si>
  <si>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</si>
  <si>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</si>
  <si>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</si>
  <si>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</si>
  <si>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</si>
  <si>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</si>
  <si>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</si>
  <si>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</si>
  <si>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</si>
  <si>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</si>
  <si>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</si>
  <si>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</si>
  <si>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</si>
  <si>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</si>
  <si>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</si>
  <si>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</si>
  <si>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</si>
  <si>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</si>
  <si>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</si>
  <si>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</si>
  <si>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</si>
  <si>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</si>
  <si>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</si>
  <si>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</si>
  <si>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</si>
  <si>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</si>
  <si>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</si>
  <si>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</si>
  <si>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</si>
  <si>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</si>
  <si>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</si>
  <si>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</si>
  <si>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</si>
  <si>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</si>
  <si>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</si>
  <si>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</si>
  <si>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</si>
  <si>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</si>
  <si>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</si>
  <si>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</si>
  <si>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</si>
  <si>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</si>
  <si>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</si>
  <si>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</si>
  <si>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</si>
  <si>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</si>
  <si>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</si>
  <si>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</si>
  <si>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</si>
  <si>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</si>
  <si>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</si>
  <si>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</si>
  <si>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</si>
  <si>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</si>
  <si>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</si>
  <si>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</si>
  <si>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</si>
  <si>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煮麵組由調理支援，流程不熟悉</t>
  </si>
  <si>
    <t>青醬蛤蜊義大利麵</t>
  </si>
  <si>
    <t>白酒清炒鮮蛤義大利麵</t>
  </si>
  <si>
    <t>奶油培根義大利麵</t>
  </si>
  <si>
    <t>香煎魚排佐檸檬奶油義大利麵</t>
  </si>
  <si>
    <t>▼1</t>
  </si>
  <si>
    <t>整條德式香腸義大利麵</t>
  </si>
  <si>
    <t>人員減少測試</t>
  </si>
  <si>
    <t>▼2</t>
  </si>
  <si>
    <t>義式蛋蛋青醬鮪魚冷義大利麵</t>
  </si>
  <si>
    <t>新品</t>
  </si>
  <si>
    <t>▼3</t>
  </si>
  <si>
    <t>焦糖拿鐵烤雞細扁麵</t>
  </si>
  <si>
    <t>▼4</t>
  </si>
  <si>
    <t>府城鹽水意麵</t>
  </si>
  <si>
    <t>▼5</t>
  </si>
  <si>
    <t>奶油鮮蝦明太子細扁麵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</si>
  <si>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</si>
  <si>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重新上巿</t>
  </si>
  <si>
    <t>減少1人</t>
  </si>
  <si>
    <t>袋子上機SOP測試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</si>
  <si>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</si>
  <si>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</si>
  <si>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</si>
  <si>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</si>
  <si>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</si>
  <si>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</si>
  <si>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</si>
  <si>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</si>
  <si>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</si>
  <si>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</si>
  <si>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</si>
  <si>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</si>
  <si>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</si>
  <si>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</si>
  <si>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</si>
  <si>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</si>
  <si>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</si>
  <si>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</si>
  <si>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</si>
  <si>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</si>
  <si>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</si>
  <si>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</si>
  <si>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</si>
  <si>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義麵-海鮮湯凍(115年)</t>
  </si>
  <si>
    <t>除中式麵外，A級3i依預估90%配料，其餘品項拉低預估量</t>
  </si>
  <si>
    <t>蒜香奶油蝦蝦義大利麵</t>
  </si>
  <si>
    <t>義麵-蒜味蝦醬(115年)</t>
  </si>
  <si>
    <t>青花椒麻雞肉拌麵</t>
  </si>
  <si>
    <t>煮青花椒湯凍(114年)</t>
  </si>
  <si>
    <t>奶香白醬</t>
  </si>
  <si>
    <t>焗烤起司肉醬筆尖麵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</si>
  <si>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</si>
  <si>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</si>
  <si>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</si>
  <si>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</si>
  <si>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t>焗烤起司雙饗筆尖麵</t>
  </si>
  <si>
    <t>義麵-蛋黃白醬(113年)</t>
  </si>
  <si>
    <t>義麵-經典肉醬(114年)</t>
  </si>
  <si>
    <t>包裝超用超補→加強教育訓練</t>
  </si>
  <si>
    <t>川燙-切紅黃甜椒絲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</si>
  <si>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</si>
  <si>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</si>
  <si>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義麵-拿鐵醬</t>
  </si>
  <si>
    <t>持續追蹤，連續3天調整出料率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</si>
  <si>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</si>
  <si>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</si>
  <si>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</si>
  <si>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</si>
  <si>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</si>
  <si>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</si>
  <si>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</si>
  <si>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</si>
  <si>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</si>
  <si>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</si>
  <si>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</si>
  <si>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</si>
  <si>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</si>
  <si>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</si>
  <si>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</si>
  <si>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</si>
  <si>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</si>
  <si>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</si>
  <si>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</si>
  <si>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</si>
  <si>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</si>
  <si>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</si>
  <si>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</si>
  <si>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</si>
  <si>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</si>
  <si>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</si>
  <si>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</si>
  <si>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細明體"/>
        <family val="2"/>
        <charset val="136"/>
      </rPr>
      <t>623</t>
    </r>
    <r>
      <rPr>
        <sz val="12"/>
        <color rgb="FF000000"/>
        <rFont val="Meiryo UI"/>
        <family val="2"/>
      </rPr>
      <t>-06</t>
    </r>
    <r>
      <rPr>
        <sz val="12"/>
        <color rgb="FF000000"/>
        <rFont val="細明體"/>
        <family val="2"/>
        <charset val="136"/>
      </rPr>
      <t>29</t>
    </r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</si>
  <si>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</si>
  <si>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</si>
  <si>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</si>
  <si>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</si>
  <si>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煮意麵肉燥</t>
  </si>
  <si>
    <t>包裝</t>
  </si>
  <si>
    <t>加強教育訓練，抓樣範圍95%~103%</t>
  </si>
  <si>
    <t>百分比</t>
  </si>
  <si>
    <t>調理</t>
  </si>
  <si>
    <t>調理多產</t>
  </si>
  <si>
    <t>製成率正常範圍</t>
  </si>
  <si>
    <t>混拌玉米美乃滋鮪魚</t>
  </si>
  <si>
    <t>混蒜酥洋香菜(114年)</t>
  </si>
  <si>
    <t>研發</t>
  </si>
  <si>
    <t>113年煮沙茶炒麵湯凍</t>
  </si>
  <si>
    <t>沙茶豬肉炒麵</t>
  </si>
  <si>
    <t>原物料</t>
  </si>
  <si>
    <t>川燙油菜</t>
  </si>
  <si>
    <t>義式辣味嫩烤雞排義大利麵</t>
  </si>
  <si>
    <t>炒沙茶醬</t>
  </si>
  <si>
    <t>義麵(BIG)-蒜辣湯凍(115年)</t>
  </si>
  <si>
    <t>煮鹽水意麵</t>
  </si>
  <si>
    <t>炒韓式冬粉</t>
  </si>
  <si>
    <t>紅切達起司絲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</si>
  <si>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</si>
  <si>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</si>
  <si>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炒油菜紅蘿蔔絲</t>
  </si>
  <si>
    <t>鮮食雙色起司絲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</si>
  <si>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</si>
  <si>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</si>
  <si>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</si>
  <si>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</si>
  <si>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</si>
  <si>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</si>
  <si>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</si>
  <si>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</si>
  <si>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</si>
  <si>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</si>
  <si>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</si>
  <si>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</si>
  <si>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</si>
  <si>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</si>
  <si>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</si>
  <si>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</si>
  <si>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</si>
  <si>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</si>
  <si>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</si>
  <si>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</si>
  <si>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</si>
  <si>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</si>
  <si>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</si>
  <si>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</si>
  <si>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</si>
  <si>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</si>
  <si>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</si>
  <si>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</si>
  <si>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</si>
  <si>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</si>
  <si>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</si>
  <si>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</si>
  <si>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</si>
  <si>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</si>
  <si>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</si>
  <si>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</si>
  <si>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</si>
  <si>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</si>
  <si>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</si>
  <si>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</si>
  <si>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</si>
  <si>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</si>
  <si>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</si>
  <si>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</si>
  <si>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</si>
  <si>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</si>
  <si>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</si>
  <si>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</si>
  <si>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</si>
  <si>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</si>
  <si>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</si>
  <si>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</si>
  <si>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</si>
  <si>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</si>
  <si>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</si>
  <si>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</si>
  <si>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</si>
  <si>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</si>
  <si>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</si>
  <si>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</si>
  <si>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</si>
  <si>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</si>
  <si>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</si>
  <si>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</si>
  <si>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</si>
  <si>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</si>
  <si>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</si>
  <si>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</si>
  <si>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</si>
  <si>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</si>
  <si>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</si>
  <si>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</si>
  <si>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</si>
  <si>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</si>
  <si>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</si>
  <si>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</si>
  <si>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</si>
  <si>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</si>
  <si>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</si>
  <si>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</si>
  <si>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</si>
  <si>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</si>
  <si>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</si>
  <si>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</si>
  <si>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</si>
  <si>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</si>
  <si>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</si>
  <si>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</si>
  <si>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</si>
  <si>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</si>
  <si>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</si>
  <si>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</si>
  <si>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</si>
  <si>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</si>
  <si>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</si>
  <si>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</si>
  <si>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</si>
  <si>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</si>
  <si>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</si>
  <si>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</si>
  <si>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</si>
  <si>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</si>
  <si>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</si>
  <si>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</si>
  <si>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</si>
  <si>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</si>
  <si>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</si>
  <si>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</si>
  <si>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</si>
  <si>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</si>
  <si>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</si>
  <si>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</si>
  <si>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</si>
  <si>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</si>
  <si>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</si>
  <si>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</si>
  <si>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</si>
  <si>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</si>
  <si>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</si>
  <si>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</si>
  <si>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</si>
  <si>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</si>
  <si>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</si>
  <si>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</si>
  <si>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</si>
  <si>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</si>
  <si>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</si>
  <si>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</si>
  <si>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</si>
  <si>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</si>
  <si>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</si>
  <si>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</si>
  <si>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</si>
  <si>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</si>
  <si>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</si>
  <si>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</si>
  <si>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</si>
  <si>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</si>
  <si>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</si>
  <si>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</si>
  <si>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</si>
  <si>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</si>
  <si>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</si>
  <si>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</si>
  <si>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</si>
  <si>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義式辣味嫩烤雞腿排義大利麵</t>
  </si>
  <si>
    <t>黑松露野菇義大利麵</t>
  </si>
  <si>
    <t>焗烤起司肉醬筆尖麵-降</t>
  </si>
  <si>
    <t>白酒蛤蜊義大利麵-手</t>
  </si>
  <si>
    <t>剝皮辣椒雞奶油扁麵</t>
  </si>
  <si>
    <t>濃拿坡里義大利麵</t>
  </si>
  <si>
    <t>辣味香菜雞肉義大利麵</t>
  </si>
  <si>
    <t>燻火腿貓耳朵麵</t>
  </si>
  <si>
    <t>補料需拆超1包，剩餘報廢</t>
    <phoneticPr fontId="22" type="noConversion"/>
  </si>
  <si>
    <t>加強教育訓練，抓樣範圍95%~103%</t>
    <phoneticPr fontId="22" type="noConversion"/>
  </si>
  <si>
    <t>義麵-拿鐵醬</t>
    <phoneticPr fontId="22" type="noConversion"/>
  </si>
  <si>
    <t>焦糖拿鐵烤雞細扁麵</t>
    <phoneticPr fontId="22" type="noConversion"/>
  </si>
  <si>
    <t>川燙-切紅黃甜椒絲</t>
    <phoneticPr fontId="22" type="noConversion"/>
  </si>
  <si>
    <t>混蒜酥洋香菜(114年)</t>
    <phoneticPr fontId="22" type="noConversion"/>
  </si>
  <si>
    <t>113年煮沙茶炒麵湯凍</t>
    <phoneticPr fontId="22" type="noConversion"/>
  </si>
  <si>
    <t>沙茶豬肉炒麵</t>
    <phoneticPr fontId="22" type="noConversion"/>
  </si>
  <si>
    <t>義麵-海鮮湯凍(115年)</t>
    <phoneticPr fontId="22" type="noConversion"/>
  </si>
  <si>
    <t>白酒清炒鮮蛤義大利麵</t>
    <phoneticPr fontId="22" type="noConversion"/>
  </si>
  <si>
    <t>煮意麵肉燥</t>
    <phoneticPr fontId="22" type="noConversion"/>
  </si>
  <si>
    <t>府城鹽水意麵</t>
    <phoneticPr fontId="22" type="noConversion"/>
  </si>
  <si>
    <t>義麵-經典肉醬(114年)</t>
    <phoneticPr fontId="22" type="noConversion"/>
  </si>
  <si>
    <t>義式蕃茄起司義大利麵</t>
    <phoneticPr fontId="22" type="noConversion"/>
  </si>
  <si>
    <t>煮青花椒湯凍(114年)</t>
    <phoneticPr fontId="22" type="noConversion"/>
  </si>
  <si>
    <t>青花椒麻雞肉拌麵</t>
    <phoneticPr fontId="22" type="noConversion"/>
  </si>
  <si>
    <t>義麵-蛋黃白醬(113年)</t>
    <phoneticPr fontId="22" type="noConversion"/>
  </si>
  <si>
    <t>焗烤起司雙饗筆尖麵</t>
    <phoneticPr fontId="22" type="noConversion"/>
  </si>
  <si>
    <t>混拌玉米美乃滋鮪魚</t>
    <phoneticPr fontId="22" type="noConversion"/>
  </si>
  <si>
    <t>義式蛋蛋青醬鮪魚冷義大利麵</t>
    <phoneticPr fontId="22" type="noConversion"/>
  </si>
  <si>
    <t>煮鹽水意麵</t>
    <phoneticPr fontId="22" type="noConversion"/>
  </si>
  <si>
    <t>炒韓式冬粉</t>
    <phoneticPr fontId="22" type="noConversion"/>
  </si>
  <si>
    <t>韓式炒冬粉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</si>
</sst>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Arial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455">
    <xf numFmtId="0" fontId="0" fillId="0" borderId="0"/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8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7" fillId="0" borderId="0"/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2">
    <xf numFmtId="0" fontId="0" fillId="0" borderId="0" xfId="0"/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1" xfId="0" applyFont="1" applyBorder="1" applyAlignment="1">
      <alignment horizontal="right" shrinkToFit="1"/>
    </xf>
    <xf numFmtId="0" fontId="16" fillId="0" borderId="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3" fontId="16" fillId="0" borderId="1" xfId="0" applyNumberFormat="1" applyFont="1" applyBorder="1" applyAlignment="1">
      <alignment shrinkToFit="1"/>
    </xf>
    <xf numFmtId="3" fontId="16" fillId="3" borderId="1" xfId="0" applyNumberFormat="1" applyFont="1" applyFill="1" applyBorder="1" applyAlignment="1">
      <alignment shrinkToFit="1"/>
    </xf>
    <xf numFmtId="4" fontId="16" fillId="0" borderId="1" xfId="0" applyNumberFormat="1" applyFont="1" applyBorder="1" applyAlignment="1">
      <alignment horizontal="right" shrinkToFit="1"/>
    </xf>
    <xf numFmtId="10" fontId="16" fillId="2" borderId="1" xfId="0" applyNumberFormat="1" applyFont="1" applyFill="1" applyBorder="1" applyAlignment="1">
      <alignment horizontal="right" shrinkToFit="1"/>
    </xf>
    <xf numFmtId="10" fontId="16" fillId="3" borderId="1" xfId="0" applyNumberFormat="1" applyFont="1" applyFill="1" applyBorder="1" applyAlignment="1">
      <alignment shrinkToFit="1"/>
    </xf>
    <xf numFmtId="10" fontId="16" fillId="0" borderId="1" xfId="0" applyNumberFormat="1" applyFont="1" applyBorder="1" applyAlignment="1">
      <alignment shrinkToFit="1"/>
    </xf>
    <xf numFmtId="10" fontId="17" fillId="0" borderId="0" xfId="0" applyNumberFormat="1" applyFont="1" applyAlignment="1">
      <alignment shrinkToFit="1"/>
    </xf>
    <xf numFmtId="0" fontId="16" fillId="3" borderId="1" xfId="0" applyFont="1" applyFill="1" applyBorder="1" applyAlignment="1">
      <alignment shrinkToFit="1"/>
    </xf>
    <xf numFmtId="4" fontId="16" fillId="0" borderId="1" xfId="0" applyNumberFormat="1" applyFont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6" fillId="0" borderId="5" xfId="0" applyFont="1" applyBorder="1" applyAlignment="1">
      <alignment shrinkToFit="1"/>
    </xf>
    <xf numFmtId="0" fontId="16" fillId="0" borderId="14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10" fontId="16" fillId="0" borderId="5" xfId="0" applyNumberFormat="1" applyFont="1" applyBorder="1" applyAlignment="1">
      <alignment shrinkToFit="1"/>
    </xf>
    <xf numFmtId="0" fontId="16" fillId="3" borderId="5" xfId="0" applyFont="1" applyFill="1" applyBorder="1" applyAlignment="1">
      <alignment shrinkToFit="1"/>
    </xf>
    <xf numFmtId="0" fontId="16" fillId="2" borderId="15" xfId="0" applyFont="1" applyFill="1" applyBorder="1" applyAlignment="1">
      <alignment shrinkToFit="1"/>
    </xf>
    <xf numFmtId="10" fontId="16" fillId="3" borderId="17" xfId="0" applyNumberFormat="1" applyFont="1" applyFill="1" applyBorder="1" applyAlignment="1">
      <alignment shrinkToFit="1"/>
    </xf>
    <xf numFmtId="0" fontId="16" fillId="3" borderId="18" xfId="0" applyFont="1" applyFill="1" applyBorder="1" applyAlignment="1">
      <alignment shrinkToFit="1"/>
    </xf>
    <xf numFmtId="0" fontId="16" fillId="0" borderId="6" xfId="0" applyFont="1" applyBorder="1" applyAlignment="1">
      <alignment shrinkToFit="1"/>
    </xf>
    <xf numFmtId="10" fontId="16" fillId="0" borderId="6" xfId="0" applyNumberFormat="1" applyFont="1" applyBorder="1" applyAlignment="1">
      <alignment shrinkToFit="1"/>
    </xf>
    <xf numFmtId="0" fontId="16" fillId="3" borderId="6" xfId="0" applyFont="1" applyFill="1" applyBorder="1" applyAlignment="1">
      <alignment shrinkToFit="1"/>
    </xf>
    <xf numFmtId="10" fontId="16" fillId="0" borderId="0" xfId="0" applyNumberFormat="1" applyFont="1" applyAlignment="1">
      <alignment shrinkToFit="1"/>
    </xf>
    <xf numFmtId="10" fontId="16" fillId="2" borderId="1" xfId="0" applyNumberFormat="1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10" fontId="16" fillId="3" borderId="5" xfId="0" applyNumberFormat="1" applyFont="1" applyFill="1" applyBorder="1" applyAlignment="1">
      <alignment shrinkToFit="1"/>
    </xf>
    <xf numFmtId="0" fontId="16" fillId="0" borderId="11" xfId="0" applyFont="1" applyBorder="1" applyAlignment="1">
      <alignment shrinkToFit="1"/>
    </xf>
    <xf numFmtId="10" fontId="16" fillId="0" borderId="14" xfId="0" applyNumberFormat="1" applyFont="1" applyBorder="1" applyAlignment="1">
      <alignment shrinkToFit="1"/>
    </xf>
    <xf numFmtId="10" fontId="16" fillId="3" borderId="14" xfId="0" applyNumberFormat="1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0" borderId="1" xfId="0" applyFont="1" applyBorder="1" applyAlignment="1">
      <alignment shrinkToFit="1"/>
    </xf>
    <xf numFmtId="0" fontId="19" fillId="2" borderId="1" xfId="0" applyFont="1" applyFill="1" applyBorder="1" applyAlignment="1">
      <alignment horizontal="left" shrinkToFit="1"/>
    </xf>
    <xf numFmtId="0" fontId="20" fillId="2" borderId="1" xfId="0" applyFont="1" applyFill="1" applyBorder="1" applyAlignment="1">
      <alignment shrinkToFit="1"/>
    </xf>
    <xf numFmtId="0" fontId="19" fillId="2" borderId="6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20" fillId="2" borderId="5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23" xfId="0" applyFont="1" applyFill="1" applyBorder="1" applyAlignment="1">
      <alignment shrinkToFit="1"/>
    </xf>
    <xf numFmtId="0" fontId="19" fillId="2" borderId="22" xfId="0" applyFont="1" applyFill="1" applyBorder="1" applyAlignment="1">
      <alignment shrinkToFit="1"/>
    </xf>
    <xf numFmtId="0" fontId="19" fillId="2" borderId="1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16" xfId="0" applyFont="1" applyFill="1" applyBorder="1" applyAlignment="1">
      <alignment shrinkToFit="1"/>
    </xf>
    <xf numFmtId="0" fontId="19" fillId="4" borderId="0" xfId="0" applyFont="1" applyFill="1"/>
    <xf numFmtId="0" fontId="20" fillId="4" borderId="0" xfId="0" applyFont="1" applyFill="1" applyAlignment="1">
      <alignment shrinkToFit="1"/>
    </xf>
    <xf numFmtId="0" fontId="19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6" fillId="4" borderId="0" xfId="0" applyFont="1" applyFill="1"/>
    <xf numFmtId="10" fontId="16" fillId="4" borderId="0" xfId="0" applyNumberFormat="1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6" fillId="2" borderId="24" xfId="0" applyFont="1" applyFill="1" applyBorder="1" applyAlignment="1">
      <alignment shrinkToFit="1"/>
    </xf>
    <xf numFmtId="0" fontId="20" fillId="0" borderId="11" xfId="0" applyFont="1" applyBorder="1" applyAlignment="1">
      <alignment horizontal="right" shrinkToFit="1"/>
    </xf>
    <xf numFmtId="0" fontId="20" fillId="0" borderId="3" xfId="0" applyFont="1" applyBorder="1" applyAlignment="1">
      <alignment horizontal="right" shrinkToFit="1"/>
    </xf>
    <xf numFmtId="0" fontId="21" fillId="0" borderId="0" xfId="0" applyFont="1" applyAlignment="1">
      <alignment horizontal="center"/>
    </xf>
    <xf numFmtId="10" fontId="21" fillId="0" borderId="0" xfId="0" applyNumberFormat="1" applyFont="1"/>
    <xf numFmtId="0" fontId="21" fillId="0" borderId="0" xfId="0" applyFont="1"/>
    <xf numFmtId="0" fontId="18" fillId="0" borderId="3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21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3" fillId="0" borderId="0" xfId="0" applyFont="1"/>
    <xf numFmtId="177" fontId="29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6" fillId="0" borderId="3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2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9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29" fillId="0" borderId="0" xfId="0" applyFont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5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5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29" fillId="0" borderId="0" xfId="159" applyFont="1" applyAlignment="1">
      <alignment shrinkToFit="1"/>
    </xf>
    <xf numFmtId="0" fontId="29" fillId="4" borderId="0" xfId="159" applyFont="1" applyFill="1" applyAlignment="1">
      <alignment shrinkToFit="1"/>
    </xf>
    <xf numFmtId="0" fontId="44" fillId="0" borderId="6" xfId="159" applyFont="1" applyBorder="1" applyAlignment="1">
      <alignment horizontal="center" shrinkToFit="1"/>
    </xf>
    <xf numFmtId="3" fontId="39" fillId="0" borderId="6" xfId="159" applyNumberFormat="1" applyFont="1" applyBorder="1" applyAlignment="1">
      <alignment shrinkToFit="1"/>
    </xf>
    <xf numFmtId="10" fontId="39" fillId="0" borderId="6" xfId="159" applyNumberFormat="1" applyFont="1" applyBorder="1" applyAlignment="1">
      <alignment shrinkToFit="1"/>
    </xf>
    <xf numFmtId="3" fontId="31" fillId="0" borderId="22" xfId="159" applyNumberFormat="1" applyFont="1" applyBorder="1" applyAlignment="1">
      <alignment shrinkToFit="1"/>
    </xf>
    <xf numFmtId="10" fontId="31" fillId="0" borderId="22" xfId="159" applyNumberFormat="1" applyFont="1" applyBorder="1" applyAlignment="1">
      <alignment shrinkToFit="1"/>
    </xf>
    <xf numFmtId="0" fontId="44" fillId="0" borderId="1" xfId="159" applyFont="1" applyBorder="1" applyAlignment="1">
      <alignment horizontal="center" shrinkToFit="1"/>
    </xf>
    <xf numFmtId="3" fontId="39" fillId="0" borderId="1" xfId="159" applyNumberFormat="1" applyFont="1" applyBorder="1" applyAlignment="1">
      <alignment shrinkToFit="1"/>
    </xf>
    <xf numFmtId="0" fontId="33" fillId="0" borderId="0" xfId="159" applyFont="1"/>
    <xf numFmtId="0" fontId="33" fillId="0" borderId="0" xfId="159" applyFont="1" applyAlignment="1">
      <alignment vertical="center"/>
    </xf>
    <xf numFmtId="0" fontId="16" fillId="0" borderId="0" xfId="180"/>
    <xf numFmtId="0" fontId="58" fillId="9" borderId="30" xfId="180" applyFont="1" applyFill="1" applyBorder="1"/>
    <xf numFmtId="0" fontId="58" fillId="0" borderId="0" xfId="180" applyFont="1"/>
    <xf numFmtId="0" fontId="58" fillId="0" borderId="22" xfId="180" applyFont="1" applyBorder="1"/>
    <xf numFmtId="0" fontId="58" fillId="9" borderId="22" xfId="180" applyFont="1" applyFill="1" applyBorder="1"/>
    <xf numFmtId="185" fontId="29" fillId="0" borderId="0" xfId="0" applyNumberFormat="1" applyFont="1"/>
    <xf numFmtId="0" fontId="33" fillId="5" borderId="23" xfId="159" applyFont="1" applyFill="1" applyBorder="1" applyAlignment="1">
      <alignment horizontal="center" vertical="center"/>
    </xf>
    <xf numFmtId="0" fontId="31" fillId="5" borderId="22" xfId="159" applyFont="1" applyFill="1" applyBorder="1" applyAlignment="1">
      <alignment horizontal="center" vertical="center" shrinkToFit="1"/>
    </xf>
    <xf numFmtId="0" fontId="29" fillId="4" borderId="0" xfId="159" applyFont="1" applyFill="1" applyAlignment="1">
      <alignment horizontal="center" vertical="center" shrinkToFit="1"/>
    </xf>
    <xf numFmtId="0" fontId="29" fillId="0" borderId="0" xfId="159" applyFont="1" applyAlignment="1">
      <alignment horizontal="center" vertical="center" shrinkToFit="1"/>
    </xf>
    <xf numFmtId="0" fontId="31" fillId="5" borderId="22" xfId="159" applyFont="1" applyFill="1" applyBorder="1" applyAlignment="1">
      <alignment horizontal="center" shrinkToFit="1"/>
    </xf>
    <xf numFmtId="0" fontId="29" fillId="4" borderId="0" xfId="159" applyFont="1" applyFill="1" applyAlignment="1">
      <alignment horizont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31" fillId="2" borderId="22" xfId="159" applyFont="1" applyFill="1" applyBorder="1" applyAlignment="1">
      <alignment horizontal="center" vertical="center" shrinkToFit="1"/>
    </xf>
    <xf numFmtId="0" fontId="44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horizontal="right" shrinkToFit="1"/>
    </xf>
    <xf numFmtId="0" fontId="44" fillId="2" borderId="22" xfId="159" applyFont="1" applyFill="1" applyBorder="1" applyAlignment="1">
      <alignment horizontal="center" shrinkToFit="1"/>
    </xf>
    <xf numFmtId="0" fontId="31" fillId="2" borderId="22" xfId="159" applyFont="1" applyFill="1" applyBorder="1" applyAlignment="1">
      <alignment horizontal="center" shrinkToFit="1"/>
    </xf>
    <xf numFmtId="0" fontId="29" fillId="0" borderId="0" xfId="159" applyFont="1" applyAlignment="1">
      <alignment horizontal="center" shrinkToFit="1"/>
    </xf>
    <xf numFmtId="1" fontId="31" fillId="0" borderId="22" xfId="159" applyNumberFormat="1" applyFont="1" applyBorder="1" applyAlignment="1">
      <alignment shrinkToFit="1"/>
    </xf>
    <xf numFmtId="183" fontId="31" fillId="0" borderId="22" xfId="159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6" fillId="3" borderId="1" xfId="0" applyNumberFormat="1" applyFont="1" applyFill="1" applyBorder="1" applyAlignment="1">
      <alignment shrinkToFit="1"/>
    </xf>
    <xf numFmtId="183" fontId="16" fillId="3" borderId="5" xfId="0" applyNumberFormat="1" applyFont="1" applyFill="1" applyBorder="1" applyAlignment="1">
      <alignment shrinkToFit="1"/>
    </xf>
    <xf numFmtId="0" fontId="40" fillId="0" borderId="0" xfId="221" applyFont="1" applyAlignment="1">
      <alignment horizontal="center" vertical="center"/>
    </xf>
    <xf numFmtId="0" fontId="9" fillId="0" borderId="0" xfId="221">
      <alignment vertical="center"/>
    </xf>
    <xf numFmtId="0" fontId="62" fillId="0" borderId="0" xfId="221" applyFont="1" applyAlignment="1">
      <alignment horizontal="center" vertical="center"/>
    </xf>
    <xf numFmtId="186" fontId="29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59" applyFont="1" applyAlignment="1">
      <alignment horizontal="left" vertical="center"/>
    </xf>
    <xf numFmtId="0" fontId="59" fillId="0" borderId="0" xfId="159" applyFont="1" applyAlignment="1">
      <alignment vertical="center"/>
    </xf>
    <xf numFmtId="183" fontId="27" fillId="0" borderId="0" xfId="159" applyNumberFormat="1" applyAlignment="1">
      <alignment horizontal="center" vertical="center"/>
    </xf>
    <xf numFmtId="0" fontId="27" fillId="0" borderId="0" xfId="159" applyAlignment="1">
      <alignment horizontal="center" vertical="center"/>
    </xf>
    <xf numFmtId="0" fontId="27" fillId="0" borderId="0" xfId="159" applyAlignment="1">
      <alignment vertical="center"/>
    </xf>
    <xf numFmtId="0" fontId="29" fillId="0" borderId="0" xfId="159" applyFont="1" applyAlignment="1">
      <alignment vertical="center"/>
    </xf>
    <xf numFmtId="0" fontId="38" fillId="0" borderId="0" xfId="159" applyFont="1" applyAlignment="1">
      <alignment horizontal="left" vertical="center"/>
    </xf>
    <xf numFmtId="0" fontId="38" fillId="0" borderId="34" xfId="159" applyFont="1" applyBorder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8" fillId="0" borderId="36" xfId="159" applyFont="1" applyBorder="1" applyAlignment="1">
      <alignment horizontal="left" vertical="center"/>
    </xf>
    <xf numFmtId="0" fontId="29" fillId="0" borderId="0" xfId="159" applyFont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1" fontId="27" fillId="0" borderId="22" xfId="159" applyNumberForma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1" fontId="27" fillId="0" borderId="31" xfId="159" applyNumberFormat="1" applyBorder="1" applyAlignment="1">
      <alignment horizontal="center" vertical="center"/>
    </xf>
    <xf numFmtId="0" fontId="61" fillId="0" borderId="22" xfId="159" applyFont="1" applyBorder="1" applyAlignment="1">
      <alignment horizontal="center" vertical="center"/>
    </xf>
    <xf numFmtId="0" fontId="38" fillId="0" borderId="37" xfId="159" applyFont="1" applyBorder="1" applyAlignment="1">
      <alignment horizontal="left" vertical="center"/>
    </xf>
    <xf numFmtId="0" fontId="38" fillId="0" borderId="32" xfId="159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6" fillId="0" borderId="1" xfId="402" applyNumberFormat="1" applyFont="1" applyBorder="1" applyAlignment="1">
      <alignment shrinkToFit="1"/>
    </xf>
    <xf numFmtId="185" fontId="31" fillId="0" borderId="22" xfId="402" applyNumberFormat="1" applyFont="1" applyBorder="1" applyAlignment="1">
      <alignment shrinkToFit="1"/>
    </xf>
    <xf numFmtId="183" fontId="31" fillId="3" borderId="18" xfId="0" applyNumberFormat="1" applyFont="1" applyFill="1" applyBorder="1" applyAlignment="1">
      <alignment shrinkToFit="1"/>
    </xf>
    <xf numFmtId="185" fontId="31" fillId="0" borderId="1" xfId="0" applyNumberFormat="1" applyFont="1" applyBorder="1" applyAlignment="1">
      <alignment shrinkToFit="1"/>
    </xf>
    <xf numFmtId="185" fontId="29" fillId="0" borderId="0" xfId="0" applyNumberFormat="1" applyFont="1" applyAlignment="1">
      <alignment vertical="center"/>
    </xf>
    <xf numFmtId="0" fontId="33" fillId="0" borderId="22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3" fillId="0" borderId="0" xfId="159" applyFont="1" applyAlignment="1">
      <alignment horizontal="center" vertical="center"/>
    </xf>
    <xf numFmtId="0" fontId="64" fillId="0" borderId="22" xfId="159" applyFont="1" applyBorder="1" applyAlignment="1">
      <alignment horizontal="center" vertical="center"/>
    </xf>
    <xf numFmtId="0" fontId="39" fillId="0" borderId="22" xfId="159" applyFont="1" applyBorder="1" applyAlignment="1">
      <alignment horizontal="center" vertical="center"/>
    </xf>
    <xf numFmtId="0" fontId="33" fillId="0" borderId="41" xfId="159" applyFont="1" applyBorder="1" applyAlignment="1">
      <alignment horizontal="center" vertical="center"/>
    </xf>
    <xf numFmtId="0" fontId="39" fillId="0" borderId="22" xfId="159" applyFont="1" applyBorder="1" applyAlignment="1">
      <alignment horizontal="left" vertical="center"/>
    </xf>
    <xf numFmtId="0" fontId="64" fillId="0" borderId="22" xfId="159" applyFont="1" applyBorder="1" applyAlignment="1">
      <alignment horizontal="left" vertical="center"/>
    </xf>
    <xf numFmtId="0" fontId="33" fillId="0" borderId="0" xfId="159" applyFont="1" applyAlignment="1">
      <alignment horizontal="left" vertical="center"/>
    </xf>
    <xf numFmtId="186" fontId="29" fillId="0" borderId="22" xfId="0" applyNumberFormat="1" applyFont="1" applyBorder="1"/>
    <xf numFmtId="0" fontId="6" fillId="0" borderId="0" xfId="29">
      <alignment vertical="center"/>
    </xf>
    <xf numFmtId="189" fontId="74" fillId="9" borderId="43" xfId="29" applyNumberFormat="1" applyFont="1" applyFill="1" applyBorder="1" applyAlignment="1">
      <alignment horizontal="center" vertical="center"/>
    </xf>
    <xf numFmtId="190" fontId="74" fillId="0" borderId="43" xfId="29" applyNumberFormat="1" applyFont="1" applyBorder="1" applyAlignment="1">
      <alignment horizontal="center" vertical="center"/>
    </xf>
    <xf numFmtId="189" fontId="74" fillId="9" borderId="43" xfId="100" applyNumberFormat="1" applyFont="1" applyFill="1" applyBorder="1" applyAlignment="1">
      <alignment horizontal="center" vertical="center"/>
    </xf>
    <xf numFmtId="10" fontId="74" fillId="0" borderId="43" xfId="409" applyNumberFormat="1" applyFont="1" applyBorder="1" applyAlignment="1">
      <alignment horizontal="center" vertical="center"/>
    </xf>
    <xf numFmtId="189" fontId="74" fillId="9" borderId="43" xfId="409" applyNumberFormat="1" applyFont="1" applyFill="1" applyBorder="1" applyAlignment="1">
      <alignment horizontal="center" vertical="center"/>
    </xf>
    <xf numFmtId="191" fontId="74" fillId="9" borderId="43" xfId="29" applyNumberFormat="1" applyFont="1" applyFill="1" applyBorder="1" applyAlignment="1">
      <alignment horizontal="center" vertical="center"/>
    </xf>
    <xf numFmtId="10" fontId="74" fillId="0" borderId="43" xfId="29" applyNumberFormat="1" applyFont="1" applyBorder="1" applyAlignment="1">
      <alignment horizontal="center" vertical="center"/>
    </xf>
    <xf numFmtId="189" fontId="74" fillId="9" borderId="22" xfId="29" applyNumberFormat="1" applyFont="1" applyFill="1" applyBorder="1" applyAlignment="1">
      <alignment horizontal="center" vertical="center"/>
    </xf>
    <xf numFmtId="190" fontId="74" fillId="0" borderId="22" xfId="29" applyNumberFormat="1" applyFont="1" applyBorder="1" applyAlignment="1">
      <alignment horizontal="center" vertical="center"/>
    </xf>
    <xf numFmtId="189" fontId="74" fillId="9" borderId="22" xfId="100" applyNumberFormat="1" applyFont="1" applyFill="1" applyBorder="1" applyAlignment="1">
      <alignment horizontal="center" vertical="center"/>
    </xf>
    <xf numFmtId="10" fontId="74" fillId="0" borderId="22" xfId="409" applyNumberFormat="1" applyFont="1" applyBorder="1" applyAlignment="1">
      <alignment horizontal="center" vertical="center"/>
    </xf>
    <xf numFmtId="189" fontId="74" fillId="9" borderId="22" xfId="409" applyNumberFormat="1" applyFont="1" applyFill="1" applyBorder="1" applyAlignment="1">
      <alignment horizontal="center" vertical="center"/>
    </xf>
    <xf numFmtId="191" fontId="74" fillId="9" borderId="22" xfId="29" applyNumberFormat="1" applyFont="1" applyFill="1" applyBorder="1" applyAlignment="1">
      <alignment horizontal="center" vertical="center"/>
    </xf>
    <xf numFmtId="10" fontId="74" fillId="0" borderId="22" xfId="29" applyNumberFormat="1" applyFont="1" applyBorder="1" applyAlignment="1">
      <alignment horizontal="center" vertical="center"/>
    </xf>
    <xf numFmtId="1" fontId="6" fillId="0" borderId="0" xfId="29" applyNumberFormat="1">
      <alignment vertical="center"/>
    </xf>
    <xf numFmtId="188" fontId="74" fillId="0" borderId="45" xfId="180" applyNumberFormat="1" applyFont="1" applyBorder="1" applyAlignment="1">
      <alignment horizontal="center" vertical="center"/>
    </xf>
    <xf numFmtId="189" fontId="74" fillId="9" borderId="47" xfId="29" applyNumberFormat="1" applyFont="1" applyFill="1" applyBorder="1" applyAlignment="1">
      <alignment horizontal="center" vertical="center"/>
    </xf>
    <xf numFmtId="190" fontId="74" fillId="0" borderId="47" xfId="29" applyNumberFormat="1" applyFont="1" applyBorder="1" applyAlignment="1">
      <alignment horizontal="center" vertical="center"/>
    </xf>
    <xf numFmtId="10" fontId="74" fillId="0" borderId="47" xfId="409" applyNumberFormat="1" applyFont="1" applyBorder="1" applyAlignment="1">
      <alignment horizontal="center" vertical="center"/>
    </xf>
    <xf numFmtId="10" fontId="74" fillId="0" borderId="47" xfId="29" applyNumberFormat="1" applyFont="1" applyBorder="1" applyAlignment="1">
      <alignment horizontal="center" vertical="center"/>
    </xf>
    <xf numFmtId="3" fontId="6" fillId="0" borderId="0" xfId="29" applyNumberFormat="1">
      <alignment vertical="center"/>
    </xf>
    <xf numFmtId="190" fontId="6" fillId="0" borderId="0" xfId="409" applyNumberFormat="1" applyFont="1" applyAlignment="1">
      <alignment vertical="center"/>
    </xf>
    <xf numFmtId="189" fontId="74" fillId="9" borderId="47" xfId="100" applyNumberFormat="1" applyFont="1" applyFill="1" applyBorder="1" applyAlignment="1">
      <alignment horizontal="center" vertical="center"/>
    </xf>
    <xf numFmtId="189" fontId="74" fillId="9" borderId="47" xfId="409" applyNumberFormat="1" applyFont="1" applyFill="1" applyBorder="1" applyAlignment="1">
      <alignment horizontal="center" vertical="center"/>
    </xf>
    <xf numFmtId="191" fontId="74" fillId="9" borderId="47" xfId="29" applyNumberFormat="1" applyFont="1" applyFill="1" applyBorder="1" applyAlignment="1">
      <alignment horizontal="center" vertical="center"/>
    </xf>
    <xf numFmtId="188" fontId="74" fillId="0" borderId="42" xfId="180" applyNumberFormat="1" applyFont="1" applyBorder="1" applyAlignment="1">
      <alignment horizontal="center" vertical="center"/>
    </xf>
    <xf numFmtId="189" fontId="74" fillId="9" borderId="30" xfId="29" applyNumberFormat="1" applyFont="1" applyFill="1" applyBorder="1" applyAlignment="1">
      <alignment horizontal="center" vertical="center"/>
    </xf>
    <xf numFmtId="190" fontId="74" fillId="0" borderId="30" xfId="29" applyNumberFormat="1" applyFont="1" applyBorder="1" applyAlignment="1">
      <alignment horizontal="center" vertical="center"/>
    </xf>
    <xf numFmtId="189" fontId="74" fillId="9" borderId="30" xfId="100" applyNumberFormat="1" applyFont="1" applyFill="1" applyBorder="1" applyAlignment="1">
      <alignment horizontal="center" vertical="center"/>
    </xf>
    <xf numFmtId="10" fontId="74" fillId="0" borderId="30" xfId="409" applyNumberFormat="1" applyFont="1" applyBorder="1" applyAlignment="1">
      <alignment horizontal="center" vertical="center"/>
    </xf>
    <xf numFmtId="189" fontId="74" fillId="9" borderId="30" xfId="409" applyNumberFormat="1" applyFont="1" applyFill="1" applyBorder="1" applyAlignment="1">
      <alignment horizontal="center" vertical="center"/>
    </xf>
    <xf numFmtId="191" fontId="74" fillId="9" borderId="30" xfId="29" applyNumberFormat="1" applyFont="1" applyFill="1" applyBorder="1" applyAlignment="1">
      <alignment horizontal="center" vertical="center"/>
    </xf>
    <xf numFmtId="10" fontId="74" fillId="0" borderId="30" xfId="29" applyNumberFormat="1" applyFont="1" applyBorder="1" applyAlignment="1">
      <alignment horizontal="center" vertical="center"/>
    </xf>
    <xf numFmtId="10" fontId="74" fillId="0" borderId="0" xfId="29" applyNumberFormat="1" applyFont="1" applyAlignment="1">
      <alignment horizontal="center" vertical="center"/>
    </xf>
    <xf numFmtId="188" fontId="75" fillId="0" borderId="22" xfId="180" applyNumberFormat="1" applyFont="1" applyBorder="1" applyAlignment="1">
      <alignment horizontal="center" vertical="center"/>
    </xf>
    <xf numFmtId="10" fontId="73" fillId="0" borderId="22" xfId="409" applyNumberFormat="1" applyFont="1" applyBorder="1" applyAlignment="1">
      <alignment horizontal="center" vertical="center"/>
    </xf>
    <xf numFmtId="0" fontId="74" fillId="0" borderId="0" xfId="29" applyFont="1">
      <alignment vertical="center"/>
    </xf>
    <xf numFmtId="1" fontId="74" fillId="0" borderId="0" xfId="29" applyNumberFormat="1" applyFont="1">
      <alignment vertical="center"/>
    </xf>
    <xf numFmtId="189" fontId="74" fillId="0" borderId="0" xfId="29" applyNumberFormat="1" applyFont="1">
      <alignment vertical="center"/>
    </xf>
    <xf numFmtId="0" fontId="48" fillId="0" borderId="22" xfId="159" applyFont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0" fontId="77" fillId="0" borderId="22" xfId="159" applyFont="1" applyBorder="1" applyAlignment="1">
      <alignment horizontal="center" vertical="center" shrinkToFit="1"/>
    </xf>
    <xf numFmtId="0" fontId="78" fillId="9" borderId="22" xfId="159" applyFont="1" applyFill="1" applyBorder="1" applyAlignment="1">
      <alignment horizontal="center" vertical="center" shrinkToFit="1"/>
    </xf>
    <xf numFmtId="0" fontId="31" fillId="4" borderId="0" xfId="159" applyFont="1" applyFill="1" applyAlignment="1">
      <alignment shrinkToFit="1"/>
    </xf>
    <xf numFmtId="0" fontId="46" fillId="0" borderId="0" xfId="159" applyFont="1"/>
    <xf numFmtId="0" fontId="44" fillId="0" borderId="0" xfId="159" applyFont="1" applyAlignment="1">
      <alignment shrinkToFit="1"/>
    </xf>
    <xf numFmtId="0" fontId="47" fillId="0" borderId="0" xfId="159" applyFont="1"/>
    <xf numFmtId="0" fontId="49" fillId="0" borderId="22" xfId="159" applyFont="1" applyBorder="1" applyAlignment="1">
      <alignment horizontal="center" shrinkToFit="1"/>
    </xf>
    <xf numFmtId="0" fontId="44" fillId="0" borderId="22" xfId="159" applyFont="1" applyBorder="1" applyAlignment="1">
      <alignment horizontal="center" shrinkToFit="1"/>
    </xf>
    <xf numFmtId="0" fontId="31" fillId="0" borderId="0" xfId="159" applyFont="1" applyAlignment="1">
      <alignment horizontal="center" shrinkToFit="1"/>
    </xf>
    <xf numFmtId="4" fontId="31" fillId="0" borderId="22" xfId="159" applyNumberFormat="1" applyFont="1" applyBorder="1" applyAlignment="1">
      <alignment horizontal="right" shrinkToFit="1"/>
    </xf>
    <xf numFmtId="0" fontId="31" fillId="0" borderId="0" xfId="159" applyFont="1" applyAlignment="1">
      <alignment shrinkToFit="1"/>
    </xf>
    <xf numFmtId="0" fontId="44" fillId="0" borderId="22" xfId="159" applyFont="1" applyBorder="1" applyAlignment="1">
      <alignment horizontal="center" vertical="center" shrinkToFit="1"/>
    </xf>
    <xf numFmtId="0" fontId="49" fillId="0" borderId="22" xfId="159" applyFont="1" applyBorder="1" applyAlignment="1">
      <alignment horizontal="center" vertical="center" shrinkToFit="1"/>
    </xf>
    <xf numFmtId="10" fontId="44" fillId="0" borderId="0" xfId="159" applyNumberFormat="1" applyFont="1" applyAlignment="1">
      <alignment shrinkToFit="1"/>
    </xf>
    <xf numFmtId="0" fontId="45" fillId="0" borderId="0" xfId="159" applyFont="1"/>
    <xf numFmtId="0" fontId="49" fillId="0" borderId="22" xfId="159" applyFont="1" applyBorder="1" applyAlignment="1">
      <alignment shrinkToFit="1"/>
    </xf>
    <xf numFmtId="0" fontId="16" fillId="0" borderId="0" xfId="159" applyFont="1" applyAlignment="1">
      <alignment horizontal="center" vertical="center" shrinkToFit="1"/>
    </xf>
    <xf numFmtId="0" fontId="27" fillId="4" borderId="0" xfId="159" applyFill="1" applyAlignment="1">
      <alignment horizontal="center" vertical="center" shrinkToFit="1"/>
    </xf>
    <xf numFmtId="0" fontId="16" fillId="0" borderId="0" xfId="159" applyFont="1" applyAlignment="1">
      <alignment horizontal="right" shrinkToFit="1"/>
    </xf>
    <xf numFmtId="0" fontId="19" fillId="0" borderId="0" xfId="159" applyFont="1" applyAlignment="1">
      <alignment shrinkToFit="1"/>
    </xf>
    <xf numFmtId="0" fontId="16" fillId="0" borderId="0" xfId="159" applyFont="1" applyAlignment="1">
      <alignment shrinkToFit="1"/>
    </xf>
    <xf numFmtId="0" fontId="17" fillId="0" borderId="0" xfId="159" applyFont="1" applyAlignment="1">
      <alignment shrinkToFit="1"/>
    </xf>
    <xf numFmtId="0" fontId="27" fillId="4" borderId="0" xfId="159" applyFill="1" applyAlignment="1">
      <alignment shrinkToFit="1"/>
    </xf>
    <xf numFmtId="0" fontId="16" fillId="4" borderId="0" xfId="159" applyFont="1" applyFill="1" applyAlignment="1">
      <alignment shrinkToFit="1"/>
    </xf>
    <xf numFmtId="188" fontId="75" fillId="0" borderId="30" xfId="180" applyNumberFormat="1" applyFont="1" applyBorder="1" applyAlignment="1">
      <alignment horizontal="center" vertical="center"/>
    </xf>
    <xf numFmtId="10" fontId="73" fillId="0" borderId="30" xfId="409" applyNumberFormat="1" applyFont="1" applyBorder="1" applyAlignment="1">
      <alignment horizontal="center" vertical="center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3" xfId="29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179" fontId="29" fillId="0" borderId="0" xfId="159" applyNumberFormat="1" applyFont="1" applyAlignment="1">
      <alignment horizontal="center"/>
    </xf>
    <xf numFmtId="179" fontId="68" fillId="0" borderId="0" xfId="159" applyNumberFormat="1" applyFont="1" applyAlignment="1">
      <alignment horizontal="center"/>
    </xf>
    <xf numFmtId="183" fontId="16" fillId="0" borderId="1" xfId="0" applyNumberFormat="1" applyFont="1" applyBorder="1" applyAlignment="1">
      <alignment shrinkToFit="1"/>
    </xf>
    <xf numFmtId="0" fontId="79" fillId="0" borderId="0" xfId="221" applyFont="1">
      <alignment vertical="center"/>
    </xf>
    <xf numFmtId="179" fontId="29" fillId="0" borderId="0" xfId="159" applyNumberFormat="1" applyFont="1" applyAlignment="1">
      <alignment vertical="center"/>
    </xf>
    <xf numFmtId="187" fontId="29" fillId="0" borderId="0" xfId="159" applyNumberFormat="1" applyFont="1" applyAlignment="1">
      <alignment vertical="center"/>
    </xf>
    <xf numFmtId="186" fontId="29" fillId="0" borderId="0" xfId="0" applyNumberFormat="1" applyFont="1" applyAlignment="1">
      <alignment horizontal="right"/>
    </xf>
    <xf numFmtId="189" fontId="73" fillId="9" borderId="22" xfId="100" applyNumberFormat="1" applyFont="1" applyFill="1" applyBorder="1" applyAlignment="1">
      <alignment horizontal="center" vertical="center"/>
    </xf>
    <xf numFmtId="189" fontId="74" fillId="9" borderId="23" xfId="29" applyNumberFormat="1" applyFont="1" applyFill="1" applyBorder="1" applyAlignment="1">
      <alignment horizontal="center" vertical="center"/>
    </xf>
    <xf numFmtId="190" fontId="74" fillId="0" borderId="23" xfId="29" applyNumberFormat="1" applyFont="1" applyBorder="1" applyAlignment="1">
      <alignment horizontal="center" vertical="center"/>
    </xf>
    <xf numFmtId="189" fontId="74" fillId="9" borderId="23" xfId="100" applyNumberFormat="1" applyFont="1" applyFill="1" applyBorder="1" applyAlignment="1">
      <alignment horizontal="center" vertical="center"/>
    </xf>
    <xf numFmtId="10" fontId="74" fillId="0" borderId="23" xfId="409" applyNumberFormat="1" applyFont="1" applyBorder="1" applyAlignment="1">
      <alignment horizontal="center" vertical="center"/>
    </xf>
    <xf numFmtId="189" fontId="74" fillId="9" borderId="23" xfId="409" applyNumberFormat="1" applyFont="1" applyFill="1" applyBorder="1" applyAlignment="1">
      <alignment horizontal="center" vertical="center"/>
    </xf>
    <xf numFmtId="191" fontId="74" fillId="9" borderId="23" xfId="29" applyNumberFormat="1" applyFont="1" applyFill="1" applyBorder="1" applyAlignment="1">
      <alignment horizontal="center" vertical="center"/>
    </xf>
    <xf numFmtId="10" fontId="74" fillId="0" borderId="23" xfId="29" applyNumberFormat="1" applyFont="1" applyBorder="1" applyAlignment="1">
      <alignment horizontal="center" vertical="center"/>
    </xf>
    <xf numFmtId="192" fontId="74" fillId="0" borderId="23" xfId="29" applyNumberFormat="1" applyFont="1" applyBorder="1">
      <alignment vertical="center"/>
    </xf>
    <xf numFmtId="192" fontId="6" fillId="0" borderId="23" xfId="29" applyNumberFormat="1" applyBorder="1">
      <alignment vertical="center"/>
    </xf>
    <xf numFmtId="0" fontId="31" fillId="0" borderId="22" xfId="159" applyFont="1" applyBorder="1" applyAlignment="1">
      <alignment horizontal="center" vertical="center" shrinkToFit="1"/>
    </xf>
    <xf numFmtId="0" fontId="45" fillId="0" borderId="50" xfId="159" applyFont="1" applyBorder="1" applyAlignment="1">
      <alignment shrinkToFit="1"/>
    </xf>
    <xf numFmtId="184" fontId="55" fillId="0" borderId="51" xfId="159" applyNumberFormat="1" applyFont="1" applyBorder="1" applyAlignment="1">
      <alignment shrinkToFit="1"/>
    </xf>
    <xf numFmtId="0" fontId="29" fillId="0" borderId="51" xfId="159" applyFont="1" applyBorder="1" applyAlignment="1">
      <alignment shrinkToFit="1"/>
    </xf>
    <xf numFmtId="0" fontId="31" fillId="0" borderId="52" xfId="159" applyFont="1" applyBorder="1" applyAlignment="1">
      <alignment horizontal="center" vertical="center" shrinkToFit="1"/>
    </xf>
    <xf numFmtId="0" fontId="44" fillId="0" borderId="53" xfId="159" applyFont="1" applyBorder="1" applyAlignment="1">
      <alignment horizontal="center" shrinkToFit="1"/>
    </xf>
    <xf numFmtId="10" fontId="31" fillId="0" borderId="52" xfId="159" applyNumberFormat="1" applyFont="1" applyBorder="1" applyAlignment="1">
      <alignment shrinkToFit="1"/>
    </xf>
    <xf numFmtId="0" fontId="44" fillId="0" borderId="54" xfId="159" applyFont="1" applyBorder="1" applyAlignment="1">
      <alignment horizontal="center" shrinkToFit="1"/>
    </xf>
    <xf numFmtId="0" fontId="29" fillId="0" borderId="55" xfId="159" applyFont="1" applyBorder="1" applyAlignment="1">
      <alignment shrinkToFit="1"/>
    </xf>
    <xf numFmtId="0" fontId="29" fillId="0" borderId="56" xfId="159" applyFont="1" applyBorder="1" applyAlignment="1">
      <alignment shrinkToFit="1"/>
    </xf>
    <xf numFmtId="0" fontId="29" fillId="0" borderId="57" xfId="159" applyFont="1" applyBorder="1" applyAlignment="1">
      <alignment shrinkToFit="1"/>
    </xf>
    <xf numFmtId="0" fontId="44" fillId="0" borderId="58" xfId="159" applyFont="1" applyBorder="1" applyAlignment="1">
      <alignment horizontal="center" shrinkToFit="1"/>
    </xf>
    <xf numFmtId="3" fontId="31" fillId="0" borderId="47" xfId="159" applyNumberFormat="1" applyFont="1" applyBorder="1" applyAlignment="1">
      <alignment shrinkToFit="1"/>
    </xf>
    <xf numFmtId="10" fontId="31" fillId="0" borderId="47" xfId="159" applyNumberFormat="1" applyFont="1" applyBorder="1" applyAlignment="1">
      <alignment shrinkToFit="1"/>
    </xf>
    <xf numFmtId="10" fontId="31" fillId="0" borderId="59" xfId="159" applyNumberFormat="1" applyFont="1" applyBorder="1" applyAlignment="1">
      <alignment shrinkToFit="1"/>
    </xf>
    <xf numFmtId="10" fontId="29" fillId="0" borderId="0" xfId="0" applyNumberFormat="1" applyFont="1" applyAlignment="1">
      <alignment horizontal="right" vertical="center"/>
    </xf>
    <xf numFmtId="192" fontId="74" fillId="0" borderId="29" xfId="29" applyNumberFormat="1" applyFont="1" applyBorder="1">
      <alignment vertical="center"/>
    </xf>
    <xf numFmtId="192" fontId="74" fillId="0" borderId="48" xfId="29" applyNumberFormat="1" applyFont="1" applyBorder="1">
      <alignment vertical="center"/>
    </xf>
    <xf numFmtId="188" fontId="73" fillId="0" borderId="45" xfId="180" applyNumberFormat="1" applyFont="1" applyBorder="1" applyAlignment="1">
      <alignment horizontal="center" vertical="center"/>
    </xf>
    <xf numFmtId="188" fontId="74" fillId="0" borderId="60" xfId="180" applyNumberFormat="1" applyFont="1" applyBorder="1" applyAlignment="1">
      <alignment horizontal="center" vertical="center"/>
    </xf>
    <xf numFmtId="188" fontId="74" fillId="0" borderId="46" xfId="180" applyNumberFormat="1" applyFont="1" applyBorder="1" applyAlignment="1">
      <alignment horizontal="center" vertical="center"/>
    </xf>
    <xf numFmtId="188" fontId="74" fillId="0" borderId="64" xfId="180" applyNumberFormat="1" applyFont="1" applyBorder="1" applyAlignment="1">
      <alignment horizontal="center" vertical="center"/>
    </xf>
    <xf numFmtId="189" fontId="73" fillId="9" borderId="43" xfId="29" applyNumberFormat="1" applyFont="1" applyFill="1" applyBorder="1" applyAlignment="1">
      <alignment horizontal="center" vertical="center"/>
    </xf>
    <xf numFmtId="0" fontId="72" fillId="10" borderId="66" xfId="29" applyFont="1" applyFill="1" applyBorder="1" applyAlignment="1">
      <alignment horizontal="center" vertical="center"/>
    </xf>
    <xf numFmtId="192" fontId="6" fillId="0" borderId="66" xfId="29" applyNumberFormat="1" applyBorder="1">
      <alignment vertical="center"/>
    </xf>
    <xf numFmtId="192" fontId="74" fillId="0" borderId="62" xfId="29" applyNumberFormat="1" applyFont="1" applyBorder="1">
      <alignment vertical="center"/>
    </xf>
    <xf numFmtId="192" fontId="74" fillId="0" borderId="63" xfId="29" applyNumberFormat="1" applyFont="1" applyBorder="1">
      <alignment vertical="center"/>
    </xf>
    <xf numFmtId="180" fontId="29" fillId="0" borderId="0" xfId="0" applyNumberFormat="1" applyFont="1" applyAlignment="1">
      <alignment vertical="center"/>
    </xf>
    <xf numFmtId="185" fontId="31" fillId="0" borderId="1" xfId="402" applyNumberFormat="1" applyFont="1" applyBorder="1" applyAlignment="1">
      <alignment shrinkToFit="1"/>
    </xf>
    <xf numFmtId="183" fontId="80" fillId="0" borderId="22" xfId="159" applyNumberFormat="1" applyFont="1" applyBorder="1" applyAlignment="1">
      <alignment horizontal="center" vertical="center"/>
    </xf>
    <xf numFmtId="1" fontId="80" fillId="0" borderId="22" xfId="159" applyNumberFormat="1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40" fillId="0" borderId="22" xfId="12" applyFont="1" applyBorder="1" applyAlignment="1">
      <alignment horizontal="center" vertical="center"/>
    </xf>
    <xf numFmtId="3" fontId="58" fillId="0" borderId="22" xfId="159" applyNumberFormat="1" applyFont="1" applyBorder="1" applyAlignment="1">
      <alignment shrinkToFit="1"/>
    </xf>
    <xf numFmtId="187" fontId="29" fillId="0" borderId="0" xfId="0" applyNumberFormat="1" applyFont="1" applyAlignment="1">
      <alignment vertical="center"/>
    </xf>
    <xf numFmtId="183" fontId="81" fillId="0" borderId="22" xfId="159" applyNumberFormat="1" applyFont="1" applyBorder="1" applyAlignment="1">
      <alignment horizontal="center" vertical="center"/>
    </xf>
    <xf numFmtId="180" fontId="68" fillId="0" borderId="0" xfId="0" applyNumberFormat="1" applyFont="1"/>
    <xf numFmtId="0" fontId="17" fillId="0" borderId="22" xfId="159" applyFont="1" applyBorder="1" applyAlignment="1">
      <alignment horizontal="center" vertical="center"/>
    </xf>
    <xf numFmtId="1" fontId="17" fillId="0" borderId="22" xfId="159" applyNumberFormat="1" applyFont="1" applyBorder="1" applyAlignment="1">
      <alignment horizontal="center" vertical="center"/>
    </xf>
    <xf numFmtId="10" fontId="21" fillId="0" borderId="0" xfId="402" applyNumberFormat="1" applyFont="1" applyAlignment="1"/>
    <xf numFmtId="193" fontId="31" fillId="0" borderId="22" xfId="159" applyNumberFormat="1" applyFont="1" applyBorder="1" applyAlignment="1">
      <alignment horizontal="right" shrinkToFit="1"/>
    </xf>
    <xf numFmtId="0" fontId="17" fillId="12" borderId="22" xfId="159" applyFont="1" applyFill="1" applyBorder="1" applyAlignment="1">
      <alignment horizontal="center" vertical="center"/>
    </xf>
    <xf numFmtId="1" fontId="17" fillId="12" borderId="22" xfId="159" applyNumberFormat="1" applyFont="1" applyFill="1" applyBorder="1" applyAlignment="1">
      <alignment horizontal="center" vertical="center"/>
    </xf>
    <xf numFmtId="0" fontId="40" fillId="0" borderId="22" xfId="132" applyFont="1" applyBorder="1" applyAlignment="1">
      <alignment horizontal="center"/>
    </xf>
    <xf numFmtId="0" fontId="82" fillId="0" borderId="0" xfId="159" applyFont="1" applyAlignment="1">
      <alignment horizontal="left" vertical="center"/>
    </xf>
    <xf numFmtId="0" fontId="20" fillId="0" borderId="0" xfId="159" applyFont="1" applyAlignment="1">
      <alignment vertical="center"/>
    </xf>
    <xf numFmtId="183" fontId="17" fillId="0" borderId="0" xfId="159" applyNumberFormat="1" applyFont="1" applyAlignment="1">
      <alignment horizontal="center" vertical="center"/>
    </xf>
    <xf numFmtId="0" fontId="17" fillId="0" borderId="0" xfId="159" applyFont="1" applyAlignment="1">
      <alignment horizontal="center" vertical="center"/>
    </xf>
    <xf numFmtId="0" fontId="17" fillId="0" borderId="0" xfId="159" applyFont="1" applyAlignment="1">
      <alignment vertical="center"/>
    </xf>
    <xf numFmtId="0" fontId="44" fillId="0" borderId="0" xfId="159" applyFont="1" applyAlignment="1">
      <alignment vertical="center"/>
    </xf>
    <xf numFmtId="0" fontId="84" fillId="0" borderId="0" xfId="159" applyFont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4" fillId="0" borderId="32" xfId="159" applyFont="1" applyBorder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84" fillId="0" borderId="36" xfId="159" applyFont="1" applyBorder="1" applyAlignment="1">
      <alignment horizontal="left" vertical="center"/>
    </xf>
    <xf numFmtId="0" fontId="20" fillId="0" borderId="22" xfId="159" applyFont="1" applyBorder="1" applyAlignment="1">
      <alignment horizontal="center" vertical="center"/>
    </xf>
    <xf numFmtId="0" fontId="44" fillId="0" borderId="0" xfId="159" applyFont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84" fillId="0" borderId="34" xfId="159" applyFont="1" applyBorder="1" applyAlignment="1">
      <alignment horizontal="left" vertical="center"/>
    </xf>
    <xf numFmtId="1" fontId="17" fillId="0" borderId="31" xfId="159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0" fontId="29" fillId="0" borderId="0" xfId="159" applyNumberFormat="1" applyFont="1" applyAlignment="1">
      <alignment vertical="center"/>
    </xf>
    <xf numFmtId="176" fontId="29" fillId="0" borderId="0" xfId="0" applyNumberFormat="1" applyFont="1" applyAlignment="1">
      <alignment vertical="center"/>
    </xf>
    <xf numFmtId="183" fontId="39" fillId="9" borderId="22" xfId="413" applyNumberFormat="1" applyFont="1" applyFill="1" applyBorder="1" applyAlignment="1">
      <alignment horizontal="center" vertical="center"/>
    </xf>
    <xf numFmtId="183" fontId="39" fillId="9" borderId="22" xfId="159" applyNumberFormat="1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33" fillId="9" borderId="22" xfId="159" applyFont="1" applyFill="1" applyBorder="1" applyAlignment="1">
      <alignment horizontal="left" vertical="center"/>
    </xf>
    <xf numFmtId="192" fontId="39" fillId="4" borderId="22" xfId="159" applyNumberFormat="1" applyFont="1" applyFill="1" applyBorder="1" applyAlignment="1">
      <alignment horizontal="center" vertical="center"/>
    </xf>
    <xf numFmtId="185" fontId="39" fillId="0" borderId="22" xfId="413" applyNumberFormat="1" applyFont="1" applyFill="1" applyBorder="1" applyAlignment="1">
      <alignment horizontal="center" vertical="center"/>
    </xf>
    <xf numFmtId="194" fontId="39" fillId="0" borderId="22" xfId="159" applyNumberFormat="1" applyFont="1" applyBorder="1" applyAlignment="1">
      <alignment horizontal="center" vertical="center"/>
    </xf>
    <xf numFmtId="192" fontId="39" fillId="0" borderId="22" xfId="159" applyNumberFormat="1" applyFont="1" applyBorder="1" applyAlignment="1">
      <alignment horizontal="center" vertical="center"/>
    </xf>
    <xf numFmtId="1" fontId="33" fillId="0" borderId="67" xfId="159" applyNumberFormat="1" applyFont="1" applyBorder="1" applyAlignment="1">
      <alignment horizontal="center" vertical="center"/>
    </xf>
    <xf numFmtId="1" fontId="33" fillId="0" borderId="22" xfId="159" applyNumberFormat="1" applyFont="1" applyBorder="1" applyAlignment="1">
      <alignment horizontal="center" vertical="center"/>
    </xf>
    <xf numFmtId="1" fontId="56" fillId="0" borderId="68" xfId="159" applyNumberFormat="1" applyFont="1" applyBorder="1" applyAlignment="1">
      <alignment horizontal="center" vertical="center"/>
    </xf>
    <xf numFmtId="9" fontId="33" fillId="0" borderId="68" xfId="413" applyFont="1" applyBorder="1" applyAlignment="1">
      <alignment horizontal="center" vertical="center"/>
    </xf>
    <xf numFmtId="192" fontId="39" fillId="0" borderId="22" xfId="413" applyNumberFormat="1" applyFont="1" applyFill="1" applyBorder="1" applyAlignment="1">
      <alignment horizontal="center" vertical="center"/>
    </xf>
    <xf numFmtId="193" fontId="31" fillId="0" borderId="22" xfId="159" applyNumberFormat="1" applyFont="1" applyBorder="1" applyAlignment="1">
      <alignment shrinkToFit="1"/>
    </xf>
    <xf numFmtId="1" fontId="27" fillId="12" borderId="22" xfId="159" applyNumberFormat="1" applyFill="1" applyBorder="1" applyAlignment="1">
      <alignment horizontal="center" vertical="center"/>
    </xf>
    <xf numFmtId="0" fontId="81" fillId="0" borderId="22" xfId="159" applyFont="1" applyBorder="1" applyAlignment="1">
      <alignment horizontal="center" vertical="center"/>
    </xf>
    <xf numFmtId="0" fontId="88" fillId="0" borderId="0" xfId="159" applyFont="1" applyAlignment="1">
      <alignment horizontal="left" vertical="center"/>
    </xf>
    <xf numFmtId="1" fontId="81" fillId="0" borderId="22" xfId="159" applyNumberFormat="1" applyFont="1" applyBorder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187" fontId="29" fillId="0" borderId="37" xfId="159" applyNumberFormat="1" applyFont="1" applyBorder="1" applyAlignment="1">
      <alignment horizontal="center" vertical="center"/>
    </xf>
    <xf numFmtId="186" fontId="29" fillId="0" borderId="37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182" fontId="29" fillId="0" borderId="0" xfId="0" applyNumberFormat="1" applyFont="1" applyAlignment="1">
      <alignment vertical="center"/>
    </xf>
    <xf numFmtId="0" fontId="80" fillId="0" borderId="22" xfId="159" applyFont="1" applyBorder="1" applyAlignment="1">
      <alignment horizontal="center" vertical="center"/>
    </xf>
    <xf numFmtId="183" fontId="16" fillId="3" borderId="18" xfId="0" applyNumberFormat="1" applyFont="1" applyFill="1" applyBorder="1" applyAlignment="1">
      <alignment shrinkToFit="1"/>
    </xf>
    <xf numFmtId="10" fontId="90" fillId="13" borderId="69" xfId="0" applyNumberFormat="1" applyFont="1" applyFill="1" applyBorder="1" applyAlignment="1">
      <alignment horizontal="center" shrinkToFit="1"/>
    </xf>
    <xf numFmtId="183" fontId="80" fillId="0" borderId="22" xfId="0" applyNumberFormat="1" applyFont="1" applyBorder="1" applyAlignment="1">
      <alignment horizontal="center" vertical="center"/>
    </xf>
    <xf numFmtId="1" fontId="81" fillId="12" borderId="22" xfId="159" applyNumberFormat="1" applyFont="1" applyFill="1" applyBorder="1" applyAlignment="1">
      <alignment horizontal="center" vertical="center"/>
    </xf>
    <xf numFmtId="1" fontId="80" fillId="12" borderId="22" xfId="159" applyNumberFormat="1" applyFont="1" applyFill="1" applyBorder="1" applyAlignment="1">
      <alignment horizontal="center" vertical="center"/>
    </xf>
    <xf numFmtId="189" fontId="73" fillId="9" borderId="22" xfId="29" applyNumberFormat="1" applyFont="1" applyFill="1" applyBorder="1" applyAlignment="1">
      <alignment horizontal="center" vertical="center"/>
    </xf>
    <xf numFmtId="0" fontId="43" fillId="0" borderId="0" xfId="159" applyFont="1" applyAlignment="1">
      <alignment horizontal="center" vertical="center" shrinkToFit="1"/>
    </xf>
    <xf numFmtId="0" fontId="50" fillId="0" borderId="0" xfId="159" applyFont="1" applyAlignment="1">
      <alignment horizontal="left" vertical="center" shrinkToFit="1"/>
    </xf>
    <xf numFmtId="0" fontId="51" fillId="0" borderId="0" xfId="159" applyFont="1" applyAlignment="1">
      <alignment horizontal="left" vertical="center" shrinkToFit="1"/>
    </xf>
    <xf numFmtId="0" fontId="29" fillId="0" borderId="22" xfId="159" applyFont="1" applyBorder="1" applyAlignment="1">
      <alignment horizontal="center" vertic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52" fillId="0" borderId="22" xfId="159" applyFont="1" applyBorder="1" applyAlignment="1">
      <alignment horizontal="center" vertical="center" shrinkToFit="1"/>
    </xf>
    <xf numFmtId="0" fontId="65" fillId="0" borderId="27" xfId="159" applyFont="1" applyBorder="1" applyAlignment="1">
      <alignment shrinkToFit="1"/>
    </xf>
    <xf numFmtId="0" fontId="31" fillId="0" borderId="28" xfId="159" applyFont="1" applyBorder="1" applyAlignment="1">
      <alignment shrinkToFit="1"/>
    </xf>
    <xf numFmtId="0" fontId="31" fillId="0" borderId="25" xfId="159" applyFont="1" applyBorder="1" applyAlignment="1">
      <alignment shrinkToFit="1"/>
    </xf>
    <xf numFmtId="0" fontId="67" fillId="0" borderId="22" xfId="159" applyFont="1" applyBorder="1" applyAlignment="1">
      <alignment shrinkToFit="1"/>
    </xf>
    <xf numFmtId="0" fontId="52" fillId="0" borderId="22" xfId="159" applyFont="1" applyBorder="1" applyAlignment="1">
      <alignment shrinkToFit="1"/>
    </xf>
    <xf numFmtId="0" fontId="66" fillId="0" borderId="27" xfId="159" applyFont="1" applyBorder="1" applyAlignment="1">
      <alignment shrinkToFit="1"/>
    </xf>
    <xf numFmtId="0" fontId="44" fillId="2" borderId="22" xfId="159" applyFont="1" applyFill="1" applyBorder="1" applyAlignment="1">
      <alignment horizontal="center" shrinkToFit="1"/>
    </xf>
    <xf numFmtId="0" fontId="52" fillId="0" borderId="22" xfId="159" applyFont="1" applyBorder="1" applyAlignment="1">
      <alignment horizontal="center"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shrinkToFit="1"/>
    </xf>
    <xf numFmtId="0" fontId="60" fillId="2" borderId="22" xfId="159" applyFont="1" applyFill="1" applyBorder="1" applyAlignment="1">
      <alignment horizontal="center" vertical="center" shrinkToFit="1"/>
    </xf>
    <xf numFmtId="0" fontId="65" fillId="0" borderId="22" xfId="159" applyFont="1" applyBorder="1" applyAlignment="1">
      <alignment shrinkToFit="1"/>
    </xf>
    <xf numFmtId="0" fontId="31" fillId="0" borderId="27" xfId="159" applyFont="1" applyBorder="1" applyAlignment="1">
      <alignment horizontal="left" shrinkToFit="1"/>
    </xf>
    <xf numFmtId="0" fontId="31" fillId="0" borderId="28" xfId="159" applyFont="1" applyBorder="1" applyAlignment="1">
      <alignment horizontal="left" shrinkToFit="1"/>
    </xf>
    <xf numFmtId="0" fontId="31" fillId="0" borderId="25" xfId="159" applyFont="1" applyBorder="1" applyAlignment="1">
      <alignment horizontal="left" shrinkToFit="1"/>
    </xf>
    <xf numFmtId="0" fontId="77" fillId="9" borderId="22" xfId="159" applyFont="1" applyFill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187" fontId="29" fillId="0" borderId="0" xfId="159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7" fontId="29" fillId="0" borderId="0" xfId="0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79" fontId="29" fillId="0" borderId="0" xfId="159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0" fontId="22" fillId="5" borderId="0" xfId="0" applyNumberFormat="1" applyFont="1" applyFill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82" fontId="29" fillId="0" borderId="32" xfId="0" applyNumberFormat="1" applyFont="1" applyBorder="1" applyAlignment="1">
      <alignment horizontal="center" vertical="center"/>
    </xf>
    <xf numFmtId="182" fontId="29" fillId="0" borderId="34" xfId="0" applyNumberFormat="1" applyFont="1" applyBorder="1" applyAlignment="1">
      <alignment horizontal="center" vertical="center"/>
    </xf>
    <xf numFmtId="186" fontId="29" fillId="0" borderId="32" xfId="0" applyNumberFormat="1" applyFont="1" applyBorder="1" applyAlignment="1">
      <alignment horizontal="center" vertical="center"/>
    </xf>
    <xf numFmtId="186" fontId="29" fillId="0" borderId="34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0" fontId="17" fillId="0" borderId="22" xfId="159" applyFont="1" applyBorder="1" applyAlignment="1">
      <alignment horizontal="center" vertical="center"/>
    </xf>
    <xf numFmtId="183" fontId="17" fillId="0" borderId="31" xfId="159" applyNumberFormat="1" applyFont="1" applyBorder="1" applyAlignment="1">
      <alignment horizontal="center" vertical="center"/>
    </xf>
    <xf numFmtId="183" fontId="17" fillId="0" borderId="33" xfId="159" applyNumberFormat="1" applyFont="1" applyBorder="1" applyAlignment="1">
      <alignment horizontal="center" vertical="center"/>
    </xf>
    <xf numFmtId="183" fontId="17" fillId="0" borderId="35" xfId="159" applyNumberFormat="1" applyFont="1" applyBorder="1" applyAlignment="1">
      <alignment horizontal="center" vertical="center"/>
    </xf>
    <xf numFmtId="0" fontId="20" fillId="0" borderId="22" xfId="159" applyFont="1" applyBorder="1" applyAlignment="1">
      <alignment horizontal="center" vertical="center"/>
    </xf>
    <xf numFmtId="179" fontId="20" fillId="0" borderId="22" xfId="159" applyNumberFormat="1" applyFont="1" applyBorder="1" applyAlignment="1">
      <alignment horizontal="center" vertical="center"/>
    </xf>
    <xf numFmtId="0" fontId="20" fillId="0" borderId="27" xfId="159" applyFont="1" applyBorder="1" applyAlignment="1">
      <alignment horizontal="center" vertical="center"/>
    </xf>
    <xf numFmtId="0" fontId="20" fillId="0" borderId="28" xfId="159" applyFont="1" applyBorder="1" applyAlignment="1">
      <alignment horizontal="center" vertical="center"/>
    </xf>
    <xf numFmtId="0" fontId="20" fillId="0" borderId="25" xfId="159" applyFont="1" applyBorder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20" fillId="0" borderId="31" xfId="159" applyFont="1" applyBorder="1" applyAlignment="1">
      <alignment horizontal="center" vertical="center"/>
    </xf>
    <xf numFmtId="0" fontId="20" fillId="0" borderId="33" xfId="159" applyFont="1" applyBorder="1" applyAlignment="1">
      <alignment horizontal="center" vertical="center"/>
    </xf>
    <xf numFmtId="0" fontId="20" fillId="0" borderId="35" xfId="159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20" fillId="0" borderId="23" xfId="159" applyFont="1" applyBorder="1" applyAlignment="1">
      <alignment horizontal="center" vertical="center"/>
    </xf>
    <xf numFmtId="0" fontId="20" fillId="0" borderId="29" xfId="159" applyFont="1" applyBorder="1" applyAlignment="1">
      <alignment horizontal="center" vertical="center"/>
    </xf>
    <xf numFmtId="0" fontId="20" fillId="0" borderId="30" xfId="159" applyFont="1" applyBorder="1" applyAlignment="1">
      <alignment horizontal="center" vertical="center"/>
    </xf>
    <xf numFmtId="183" fontId="17" fillId="0" borderId="23" xfId="159" applyNumberFormat="1" applyFont="1" applyBorder="1" applyAlignment="1">
      <alignment horizontal="center" vertical="center"/>
    </xf>
    <xf numFmtId="183" fontId="17" fillId="0" borderId="29" xfId="159" applyNumberFormat="1" applyFont="1" applyBorder="1" applyAlignment="1">
      <alignment horizontal="center" vertical="center"/>
    </xf>
    <xf numFmtId="183" fontId="17" fillId="0" borderId="30" xfId="159" applyNumberFormat="1" applyFont="1" applyBorder="1" applyAlignment="1">
      <alignment horizontal="center" vertical="center"/>
    </xf>
    <xf numFmtId="0" fontId="83" fillId="0" borderId="0" xfId="159" applyFont="1" applyAlignment="1">
      <alignment horizontal="left" vertical="center"/>
    </xf>
    <xf numFmtId="0" fontId="84" fillId="0" borderId="0" xfId="159" applyFont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72" fillId="0" borderId="0" xfId="159" applyFont="1" applyAlignment="1">
      <alignment horizontal="left" vertical="center"/>
    </xf>
    <xf numFmtId="0" fontId="17" fillId="0" borderId="32" xfId="159" applyFont="1" applyBorder="1" applyAlignment="1">
      <alignment horizontal="center" vertical="center"/>
    </xf>
    <xf numFmtId="0" fontId="17" fillId="0" borderId="34" xfId="159" applyFont="1" applyBorder="1" applyAlignment="1">
      <alignment horizontal="center" vertical="center"/>
    </xf>
    <xf numFmtId="0" fontId="85" fillId="0" borderId="23" xfId="159" applyFont="1" applyBorder="1" applyAlignment="1">
      <alignment horizontal="center" vertical="center"/>
    </xf>
    <xf numFmtId="0" fontId="83" fillId="0" borderId="37" xfId="159" applyFont="1" applyBorder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17" fillId="0" borderId="23" xfId="159" applyFont="1" applyBorder="1" applyAlignment="1">
      <alignment horizontal="center" vertical="center"/>
    </xf>
    <xf numFmtId="0" fontId="17" fillId="0" borderId="29" xfId="159" applyFont="1" applyBorder="1" applyAlignment="1">
      <alignment horizontal="center" vertical="center"/>
    </xf>
    <xf numFmtId="0" fontId="17" fillId="0" borderId="30" xfId="159" applyFont="1" applyBorder="1" applyAlignment="1">
      <alignment horizontal="center" vertical="center"/>
    </xf>
    <xf numFmtId="0" fontId="36" fillId="0" borderId="31" xfId="159" applyFont="1" applyBorder="1" applyAlignment="1">
      <alignment horizontal="center" vertical="center"/>
    </xf>
    <xf numFmtId="0" fontId="36" fillId="0" borderId="33" xfId="159" applyFont="1" applyBorder="1" applyAlignment="1">
      <alignment horizontal="center" vertical="center"/>
    </xf>
    <xf numFmtId="0" fontId="36" fillId="0" borderId="35" xfId="159" applyFont="1" applyBorder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183" fontId="27" fillId="0" borderId="31" xfId="159" applyNumberFormat="1" applyBorder="1" applyAlignment="1">
      <alignment horizontal="center" vertical="center"/>
    </xf>
    <xf numFmtId="183" fontId="27" fillId="0" borderId="33" xfId="159" applyNumberFormat="1" applyBorder="1" applyAlignment="1">
      <alignment horizontal="center" vertical="center"/>
    </xf>
    <xf numFmtId="183" fontId="27" fillId="0" borderId="35" xfId="159" applyNumberForma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0" fontId="36" fillId="0" borderId="23" xfId="159" applyFont="1" applyBorder="1" applyAlignment="1">
      <alignment horizontal="center" vertical="center"/>
    </xf>
    <xf numFmtId="0" fontId="36" fillId="0" borderId="29" xfId="159" applyFont="1" applyBorder="1" applyAlignment="1">
      <alignment horizontal="center" vertical="center"/>
    </xf>
    <xf numFmtId="0" fontId="36" fillId="0" borderId="30" xfId="159" applyFont="1" applyBorder="1" applyAlignment="1">
      <alignment horizontal="center" vertical="center"/>
    </xf>
    <xf numFmtId="0" fontId="36" fillId="0" borderId="27" xfId="159" applyFont="1" applyBorder="1" applyAlignment="1">
      <alignment horizontal="center" vertical="center"/>
    </xf>
    <xf numFmtId="0" fontId="36" fillId="0" borderId="28" xfId="159" applyFont="1" applyBorder="1" applyAlignment="1">
      <alignment horizontal="center" vertical="center"/>
    </xf>
    <xf numFmtId="0" fontId="36" fillId="0" borderId="25" xfId="159" applyFont="1" applyBorder="1" applyAlignment="1">
      <alignment horizontal="center" vertical="center"/>
    </xf>
    <xf numFmtId="0" fontId="37" fillId="0" borderId="0" xfId="159" applyFont="1" applyAlignment="1">
      <alignment horizontal="left" vertical="center"/>
    </xf>
    <xf numFmtId="0" fontId="38" fillId="0" borderId="0" xfId="159" applyFont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179" fontId="36" fillId="0" borderId="22" xfId="159" applyNumberFormat="1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0" fontId="37" fillId="0" borderId="37" xfId="159" applyFont="1" applyBorder="1" applyAlignment="1">
      <alignment horizontal="left" vertical="center"/>
    </xf>
    <xf numFmtId="0" fontId="38" fillId="0" borderId="37" xfId="159" applyFont="1" applyBorder="1" applyAlignment="1">
      <alignment horizontal="left" vertical="center"/>
    </xf>
    <xf numFmtId="0" fontId="21" fillId="11" borderId="43" xfId="159" applyFont="1" applyFill="1" applyBorder="1" applyAlignment="1">
      <alignment horizontal="center" vertical="center" shrinkToFit="1"/>
    </xf>
    <xf numFmtId="0" fontId="21" fillId="11" borderId="49" xfId="159" applyFont="1" applyFill="1" applyBorder="1" applyAlignment="1">
      <alignment horizontal="center" vertical="center" shrinkToFit="1"/>
    </xf>
    <xf numFmtId="0" fontId="45" fillId="0" borderId="45" xfId="159" applyFont="1" applyBorder="1" applyAlignment="1">
      <alignment horizontal="center" vertical="center"/>
    </xf>
    <xf numFmtId="0" fontId="31" fillId="0" borderId="22" xfId="159" applyFont="1" applyBorder="1" applyAlignment="1">
      <alignment horizontal="center" vertical="center" shrinkToFit="1"/>
    </xf>
    <xf numFmtId="0" fontId="31" fillId="0" borderId="37" xfId="159" applyFont="1" applyBorder="1" applyAlignment="1">
      <alignment horizontal="center" vertical="center" shrinkToFit="1"/>
    </xf>
    <xf numFmtId="0" fontId="31" fillId="0" borderId="0" xfId="159" applyFont="1" applyAlignment="1">
      <alignment horizontal="center" vertical="center" shrinkToFit="1"/>
    </xf>
    <xf numFmtId="0" fontId="31" fillId="0" borderId="57" xfId="159" applyFont="1" applyBorder="1" applyAlignment="1">
      <alignment horizontal="center" vertical="center" shrinkToFit="1"/>
    </xf>
    <xf numFmtId="0" fontId="45" fillId="0" borderId="22" xfId="159" applyFont="1" applyBorder="1" applyAlignment="1">
      <alignment horizontal="center" vertical="center"/>
    </xf>
    <xf numFmtId="0" fontId="29" fillId="0" borderId="52" xfId="159" applyFont="1" applyBorder="1" applyAlignment="1">
      <alignment horizontal="center" vertical="center" shrinkToFit="1"/>
    </xf>
    <xf numFmtId="0" fontId="29" fillId="0" borderId="22" xfId="159" applyFont="1" applyBorder="1" applyAlignment="1">
      <alignment horizontal="center" shrinkToFit="1"/>
    </xf>
    <xf numFmtId="0" fontId="29" fillId="0" borderId="52" xfId="159" applyFont="1" applyBorder="1" applyAlignment="1">
      <alignment horizontal="center" shrinkToFit="1"/>
    </xf>
    <xf numFmtId="0" fontId="53" fillId="0" borderId="22" xfId="159" applyFont="1" applyBorder="1" applyAlignment="1">
      <alignment horizontal="center" vertical="center" shrinkToFit="1"/>
    </xf>
    <xf numFmtId="0" fontId="34" fillId="0" borderId="22" xfId="159" applyFont="1" applyBorder="1" applyAlignment="1">
      <alignment horizontal="center" vertical="center" shrinkToFit="1"/>
    </xf>
    <xf numFmtId="0" fontId="34" fillId="0" borderId="52" xfId="159" applyFont="1" applyBorder="1" applyAlignment="1">
      <alignment horizontal="center" vertical="center" shrinkToFit="1"/>
    </xf>
    <xf numFmtId="0" fontId="69" fillId="0" borderId="22" xfId="159" applyFont="1" applyBorder="1" applyAlignment="1">
      <alignment horizontal="center" vertical="center" shrinkToFit="1"/>
    </xf>
    <xf numFmtId="0" fontId="53" fillId="0" borderId="52" xfId="159" applyFont="1" applyBorder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51" fillId="0" borderId="0" xfId="0" applyFont="1" applyAlignment="1">
      <alignment horizontal="left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left" shrinkToFit="1"/>
    </xf>
    <xf numFmtId="0" fontId="65" fillId="0" borderId="3" xfId="0" applyFont="1" applyBorder="1" applyAlignment="1">
      <alignment horizontal="left"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4" fillId="9" borderId="22" xfId="0" applyFont="1" applyFill="1" applyBorder="1" applyAlignment="1">
      <alignment horizontal="center" vertical="center" shrinkToFit="1"/>
    </xf>
    <xf numFmtId="0" fontId="36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36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8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39" xfId="0" applyFont="1" applyFill="1" applyBorder="1" applyAlignment="1">
      <alignment horizontal="center" shrinkToFit="1"/>
    </xf>
    <xf numFmtId="0" fontId="16" fillId="2" borderId="2" xfId="0" applyFont="1" applyFill="1" applyBorder="1" applyAlignment="1">
      <alignment horizontal="center" shrinkToFit="1"/>
    </xf>
    <xf numFmtId="0" fontId="16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6" fillId="0" borderId="3" xfId="0" applyFont="1" applyBorder="1" applyAlignment="1">
      <alignment horizontal="center" shrinkToFit="1"/>
    </xf>
    <xf numFmtId="0" fontId="16" fillId="2" borderId="0" xfId="0" applyFont="1" applyFill="1" applyAlignment="1">
      <alignment horizontal="center" vertical="center" shrinkToFit="1"/>
    </xf>
    <xf numFmtId="0" fontId="16" fillId="2" borderId="40" xfId="0" applyFont="1" applyFill="1" applyBorder="1" applyAlignment="1">
      <alignment horizontal="center" vertical="center" shrinkToFit="1"/>
    </xf>
    <xf numFmtId="0" fontId="6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6" fillId="0" borderId="4" xfId="0" applyFont="1" applyBorder="1" applyAlignment="1">
      <alignment horizontal="center" shrinkToFit="1"/>
    </xf>
    <xf numFmtId="0" fontId="89" fillId="0" borderId="4" xfId="0" applyFont="1" applyBorder="1" applyAlignment="1">
      <alignment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31" fillId="2" borderId="33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33" fillId="0" borderId="31" xfId="159" applyFont="1" applyBorder="1" applyAlignment="1">
      <alignment horizontal="center" vertical="center"/>
    </xf>
    <xf numFmtId="0" fontId="33" fillId="0" borderId="32" xfId="159" applyFont="1" applyBorder="1" applyAlignment="1">
      <alignment horizontal="center" vertical="center"/>
    </xf>
    <xf numFmtId="0" fontId="33" fillId="0" borderId="33" xfId="159" applyFont="1" applyBorder="1" applyAlignment="1">
      <alignment horizontal="center" vertical="center"/>
    </xf>
    <xf numFmtId="0" fontId="33" fillId="0" borderId="34" xfId="159" applyFont="1" applyBorder="1" applyAlignment="1">
      <alignment horizontal="center" vertical="center"/>
    </xf>
    <xf numFmtId="0" fontId="33" fillId="0" borderId="35" xfId="159" applyFont="1" applyBorder="1" applyAlignment="1">
      <alignment horizontal="center" vertical="center"/>
    </xf>
    <xf numFmtId="0" fontId="33" fillId="0" borderId="36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9" fillId="5" borderId="30" xfId="180" applyFont="1" applyFill="1" applyBorder="1" applyAlignment="1">
      <alignment horizontal="center" vertical="center"/>
    </xf>
    <xf numFmtId="0" fontId="39" fillId="5" borderId="23" xfId="31" applyFont="1" applyFill="1" applyBorder="1" applyAlignment="1">
      <alignment horizontal="center" vertical="center" wrapText="1"/>
    </xf>
    <xf numFmtId="0" fontId="39" fillId="5" borderId="30" xfId="31" applyFont="1" applyFill="1" applyBorder="1" applyAlignment="1">
      <alignment horizontal="center" vertical="center" wrapText="1"/>
    </xf>
    <xf numFmtId="0" fontId="33" fillId="5" borderId="33" xfId="159" applyFont="1" applyFill="1" applyBorder="1" applyAlignment="1">
      <alignment horizontal="center" vertical="center"/>
    </xf>
    <xf numFmtId="0" fontId="33" fillId="5" borderId="34" xfId="159" applyFont="1" applyFill="1" applyBorder="1" applyAlignment="1">
      <alignment horizontal="center" vertical="center"/>
    </xf>
    <xf numFmtId="0" fontId="33" fillId="5" borderId="35" xfId="159" applyFont="1" applyFill="1" applyBorder="1" applyAlignment="1">
      <alignment horizontal="center" vertical="center"/>
    </xf>
    <xf numFmtId="0" fontId="33" fillId="5" borderId="36" xfId="159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/>
    </xf>
    <xf numFmtId="0" fontId="48" fillId="5" borderId="31" xfId="180" applyFont="1" applyFill="1" applyBorder="1" applyAlignment="1">
      <alignment horizontal="center" vertical="center"/>
    </xf>
    <xf numFmtId="0" fontId="48" fillId="5" borderId="37" xfId="180" applyFont="1" applyFill="1" applyBorder="1" applyAlignment="1">
      <alignment horizontal="center" vertical="center"/>
    </xf>
    <xf numFmtId="0" fontId="48" fillId="5" borderId="32" xfId="180" applyFont="1" applyFill="1" applyBorder="1" applyAlignment="1">
      <alignment horizontal="center" vertical="center"/>
    </xf>
    <xf numFmtId="0" fontId="48" fillId="5" borderId="33" xfId="180" applyFont="1" applyFill="1" applyBorder="1" applyAlignment="1">
      <alignment horizontal="center" vertical="center"/>
    </xf>
    <xf numFmtId="0" fontId="48" fillId="5" borderId="0" xfId="180" applyFont="1" applyFill="1" applyAlignment="1">
      <alignment horizontal="center" vertical="center"/>
    </xf>
    <xf numFmtId="0" fontId="48" fillId="5" borderId="34" xfId="180" applyFont="1" applyFill="1" applyBorder="1" applyAlignment="1">
      <alignment horizontal="center" vertical="center"/>
    </xf>
    <xf numFmtId="0" fontId="48" fillId="5" borderId="35" xfId="180" applyFont="1" applyFill="1" applyBorder="1" applyAlignment="1">
      <alignment horizontal="center" vertical="center"/>
    </xf>
    <xf numFmtId="0" fontId="48" fillId="5" borderId="26" xfId="180" applyFont="1" applyFill="1" applyBorder="1" applyAlignment="1">
      <alignment horizontal="center" vertical="center"/>
    </xf>
    <xf numFmtId="0" fontId="48" fillId="5" borderId="36" xfId="180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/>
    </xf>
    <xf numFmtId="0" fontId="41" fillId="5" borderId="25" xfId="31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 wrapText="1"/>
    </xf>
    <xf numFmtId="0" fontId="41" fillId="5" borderId="25" xfId="31" applyFont="1" applyFill="1" applyBorder="1" applyAlignment="1">
      <alignment horizontal="center" vertical="center" wrapText="1"/>
    </xf>
    <xf numFmtId="0" fontId="42" fillId="0" borderId="26" xfId="159" applyFont="1" applyBorder="1" applyAlignment="1">
      <alignment horizontal="center" vertical="center"/>
    </xf>
    <xf numFmtId="0" fontId="35" fillId="0" borderId="26" xfId="159" applyFont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3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/>
    </xf>
    <xf numFmtId="192" fontId="74" fillId="0" borderId="44" xfId="29" applyNumberFormat="1" applyFont="1" applyBorder="1" applyAlignment="1">
      <alignment horizontal="center" vertical="center"/>
    </xf>
    <xf numFmtId="192" fontId="74" fillId="0" borderId="29" xfId="29" applyNumberFormat="1" applyFont="1" applyBorder="1" applyAlignment="1">
      <alignment horizontal="center" vertical="center"/>
    </xf>
    <xf numFmtId="192" fontId="74" fillId="0" borderId="48" xfId="29" applyNumberFormat="1" applyFont="1" applyBorder="1" applyAlignment="1">
      <alignment horizontal="center" vertical="center"/>
    </xf>
    <xf numFmtId="192" fontId="74" fillId="0" borderId="61" xfId="29" applyNumberFormat="1" applyFont="1" applyBorder="1" applyAlignment="1">
      <alignment horizontal="center" vertical="center"/>
    </xf>
    <xf numFmtId="192" fontId="74" fillId="0" borderId="62" xfId="29" applyNumberFormat="1" applyFont="1" applyBorder="1" applyAlignment="1">
      <alignment horizontal="center" vertical="center"/>
    </xf>
    <xf numFmtId="192" fontId="74" fillId="0" borderId="63" xfId="29" applyNumberFormat="1" applyFont="1" applyBorder="1" applyAlignment="1">
      <alignment horizontal="center" vertical="center"/>
    </xf>
    <xf numFmtId="0" fontId="76" fillId="0" borderId="0" xfId="180" applyFont="1" applyAlignment="1">
      <alignment horizontal="left" vertical="center"/>
    </xf>
    <xf numFmtId="0" fontId="70" fillId="5" borderId="42" xfId="29" applyFont="1" applyFill="1" applyBorder="1" applyAlignment="1">
      <alignment horizontal="center" vertical="center"/>
    </xf>
    <xf numFmtId="0" fontId="70" fillId="5" borderId="43" xfId="29" applyFont="1" applyFill="1" applyBorder="1" applyAlignment="1">
      <alignment horizontal="center" vertical="center"/>
    </xf>
    <xf numFmtId="0" fontId="70" fillId="5" borderId="49" xfId="29" applyFont="1" applyFill="1" applyBorder="1" applyAlignment="1">
      <alignment horizontal="center" vertical="center"/>
    </xf>
    <xf numFmtId="0" fontId="71" fillId="10" borderId="45" xfId="29" applyFont="1" applyFill="1" applyBorder="1" applyAlignment="1">
      <alignment horizontal="center" vertical="center" wrapText="1"/>
    </xf>
    <xf numFmtId="0" fontId="71" fillId="10" borderId="64" xfId="29" applyFont="1" applyFill="1" applyBorder="1" applyAlignment="1">
      <alignment horizontal="center" vertical="center" wrapText="1"/>
    </xf>
    <xf numFmtId="0" fontId="71" fillId="10" borderId="22" xfId="29" applyFont="1" applyFill="1" applyBorder="1" applyAlignment="1">
      <alignment horizontal="center" vertical="center" wrapText="1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7" xfId="29" applyFont="1" applyFill="1" applyBorder="1" applyAlignment="1">
      <alignment horizontal="center" vertical="center"/>
    </xf>
    <xf numFmtId="0" fontId="72" fillId="10" borderId="28" xfId="29" applyFont="1" applyFill="1" applyBorder="1" applyAlignment="1">
      <alignment horizontal="center" vertical="center"/>
    </xf>
    <xf numFmtId="0" fontId="72" fillId="10" borderId="65" xfId="29" applyFont="1" applyFill="1" applyBorder="1" applyAlignment="1">
      <alignment horizontal="center" vertical="center"/>
    </xf>
    <xf numFmtId="0" fontId="19" fillId="0" borderId="4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9" fillId="0" borderId="19" xfId="0" applyFont="1" applyBorder="1" applyAlignment="1">
      <alignment shrinkToFit="1"/>
    </xf>
    <xf numFmtId="0" fontId="18" fillId="0" borderId="20" xfId="0" applyFont="1" applyBorder="1" applyAlignment="1">
      <alignment shrinkToFit="1"/>
    </xf>
    <xf numFmtId="0" fontId="18" fillId="0" borderId="2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8" fillId="0" borderId="2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8" fillId="0" borderId="10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9" fillId="0" borderId="12" xfId="0" applyFont="1" applyBorder="1" applyAlignment="1">
      <alignment shrinkToFit="1"/>
    </xf>
    <xf numFmtId="0" fontId="18" fillId="0" borderId="13" xfId="0" applyFont="1" applyBorder="1" applyAlignment="1">
      <alignment shrinkToFit="1"/>
    </xf>
    <xf numFmtId="0" fontId="18" fillId="0" borderId="11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40" fillId="5" borderId="22" xfId="180" applyFont="1" applyFill="1" applyBorder="1" applyAlignment="1">
      <alignment horizontal="center"/>
    </xf>
    <xf numFmtId="0" fontId="65" fillId="0" borderId="2" xfId="0" applyFont="1" applyBorder="1" applyAlignment="1">
      <alignment shrinkToFit="1"/>
    </xf>
    <xf numFmtId="0" fontId="65" fillId="0" borderId="3" xfId="0" applyFont="1" applyBorder="1" applyAlignment="1">
      <alignment shrinkToFit="1"/>
    </xf>
    <xf numFmtId="9" fontId="31" fillId="0" borderId="1" xfId="402" applyFont="1" applyBorder="1" applyAlignment="1">
      <alignment shrinkToFit="1"/>
    </xf>
  </cellXfs>
  <cellStyles count="45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3" xfId="4" xr:uid="{F8FB5540-BF23-497D-B6F5-4FD8F7D23425}"/>
    <cellStyle name="一般 10 4" xfId="5" xr:uid="{AF6EA111-34B1-4DDF-A938-3FC0285F871C}"/>
    <cellStyle name="一般 11" xfId="6" xr:uid="{00000000-0005-0000-0000-000003000000}"/>
    <cellStyle name="一般 11 2" xfId="7" xr:uid="{00000000-0005-0000-0000-000004000000}"/>
    <cellStyle name="一般 11 2 2" xfId="8" xr:uid="{68FCB014-3230-4C94-AAF3-92C3D111E8A2}"/>
    <cellStyle name="一般 11 3" xfId="9" xr:uid="{5CB74B6B-1EBC-4F63-A882-9EAB3D1C8DD8}"/>
    <cellStyle name="一般 11 4" xfId="10" xr:uid="{1F218CEF-914D-4A99-8891-0178CF4D0240}"/>
    <cellStyle name="一般 12" xfId="11" xr:uid="{BCFB3671-EFBB-402C-8B50-D9491EC6BD3C}"/>
    <cellStyle name="一般 2" xfId="12" xr:uid="{00000000-0005-0000-0000-000005000000}"/>
    <cellStyle name="一般 2 17 2" xfId="13" xr:uid="{840EC81D-C134-435D-B183-F823118FEB9F}"/>
    <cellStyle name="一般 2 17 2 2" xfId="14" xr:uid="{47EE5DCD-9168-471C-AD1D-B4F46637E7A6}"/>
    <cellStyle name="一般 2 17 2 3" xfId="15" xr:uid="{F03E1DB5-BDAA-4AD3-B68A-551268E0CC75}"/>
    <cellStyle name="一般 2 18" xfId="16" xr:uid="{980C6D1A-3746-49BB-9AA7-0D2231082B21}"/>
    <cellStyle name="一般 2 18 2" xfId="17" xr:uid="{F14C4798-9460-431A-A841-EB7E20639127}"/>
    <cellStyle name="一般 2 18 3" xfId="18" xr:uid="{5D416464-EA9F-48A3-AEA8-AF130D540F91}"/>
    <cellStyle name="一般 2 2" xfId="19" xr:uid="{00000000-0005-0000-0000-000006000000}"/>
    <cellStyle name="一般 2 2 10" xfId="20" xr:uid="{3392B9AB-9349-4FC1-9D84-50CE7E22BAD8}"/>
    <cellStyle name="一般 2 2 2" xfId="21" xr:uid="{00000000-0005-0000-0000-000007000000}"/>
    <cellStyle name="一般 2 2 2 2" xfId="22" xr:uid="{FC903EAD-821C-4EBF-AA01-EF414A3E4C41}"/>
    <cellStyle name="一般 2 2 2 2 2" xfId="23" xr:uid="{4A64ABEE-C14D-4811-BF4E-6E9B710BFC55}"/>
    <cellStyle name="一般 2 2 2 2 3" xfId="24" xr:uid="{2EDE8354-2DCC-479E-81CB-6EC9D4757723}"/>
    <cellStyle name="一般 2 2 3" xfId="25" xr:uid="{6E310142-1FA2-45D2-80CE-85A34A6221E6}"/>
    <cellStyle name="一般 2 2 30 2 2 30 2" xfId="26" xr:uid="{00000000-0005-0000-0000-000008000000}"/>
    <cellStyle name="一般 2 2 30 2 2 30 2 10" xfId="27" xr:uid="{73F1B91B-32B8-43F2-B091-14210E6CE42E}"/>
    <cellStyle name="一般 2 2 30 2 2 30 2 2" xfId="28" xr:uid="{00000000-0005-0000-0000-000009000000}"/>
    <cellStyle name="一般 2 2 30 2 2 30 2 2 2" xfId="29" xr:uid="{00000000-0005-0000-0000-00000A000000}"/>
    <cellStyle name="一般 2 2 30 2 2 30 2 2 2 2" xfId="30" xr:uid="{9BBAF59A-B672-48A7-AFCF-A143C54D6BF6}"/>
    <cellStyle name="一般 2 2 30 2 2 30 2 2 2 2 2" xfId="31" xr:uid="{D19CECF8-DCD8-4202-954A-00D656C4D69A}"/>
    <cellStyle name="一般 2 2 30 2 2 30 2 2 2 3" xfId="32" xr:uid="{ABAEB5B4-E74C-4280-B3D1-0B6890C46737}"/>
    <cellStyle name="一般 2 2 30 2 2 30 2 2 3" xfId="33" xr:uid="{00000000-0005-0000-0000-00000B000000}"/>
    <cellStyle name="一般 2 2 30 2 2 30 2 2 3 2" xfId="34" xr:uid="{56C8A491-45BB-46AD-A26A-CCE8789423AC}"/>
    <cellStyle name="一般 2 2 30 2 2 30 2 2 4" xfId="35" xr:uid="{33F8A430-BCFA-4C00-A2FE-86D1E5C08046}"/>
    <cellStyle name="一般 2 2 30 2 2 30 2 3" xfId="36" xr:uid="{00000000-0005-0000-0000-00000C000000}"/>
    <cellStyle name="一般 2 2 30 2 2 30 2 3 2" xfId="37" xr:uid="{00000000-0005-0000-0000-00000D000000}"/>
    <cellStyle name="一般 2 2 30 2 2 30 2 3 2 2" xfId="38" xr:uid="{73F120B9-2EB0-4706-9EE0-EB20C0D45783}"/>
    <cellStyle name="一般 2 2 30 2 2 30 2 3 3" xfId="39" xr:uid="{71391230-3DFB-4067-A841-FA8FE5F76074}"/>
    <cellStyle name="一般 2 2 30 2 2 30 2 3 4" xfId="40" xr:uid="{910EFC0F-0AC1-4C4D-90D5-C2273A485E26}"/>
    <cellStyle name="一般 2 2 30 2 2 30 2 4" xfId="41" xr:uid="{00000000-0005-0000-0000-00000E000000}"/>
    <cellStyle name="一般 2 2 30 2 2 30 2 4 2" xfId="42" xr:uid="{00000000-0005-0000-0000-00000F000000}"/>
    <cellStyle name="一般 2 2 30 2 2 30 2 4 2 2" xfId="43" xr:uid="{00000000-0005-0000-0000-000010000000}"/>
    <cellStyle name="一般 2 2 30 2 2 30 2 4 2 2 2" xfId="44" xr:uid="{F627AA02-AEA6-401E-BD61-029F5D9CA1CE}"/>
    <cellStyle name="一般 2 2 30 2 2 30 2 4 2 3" xfId="45" xr:uid="{40BCCA23-86DD-42FF-B2A2-5F76CE8D9964}"/>
    <cellStyle name="一般 2 2 30 2 2 30 2 4 2 4" xfId="46" xr:uid="{2EAE1BE9-6E07-4FF2-AC40-9F1088A35B25}"/>
    <cellStyle name="一般 2 2 30 2 2 30 2 4 3" xfId="47" xr:uid="{00000000-0005-0000-0000-000011000000}"/>
    <cellStyle name="一般 2 2 30 2 2 30 2 4 3 2" xfId="48" xr:uid="{00000000-0005-0000-0000-000012000000}"/>
    <cellStyle name="一般 2 2 30 2 2 30 2 4 3 2 2" xfId="49" xr:uid="{00000000-0005-0000-0000-000013000000}"/>
    <cellStyle name="一般 2 2 30 2 2 30 2 4 3 2 2 2" xfId="50" xr:uid="{C4C92197-CE1A-483A-BF54-8B35393FB2FA}"/>
    <cellStyle name="一般 2 2 30 2 2 30 2 4 3 2 3" xfId="51" xr:uid="{F4E2DE29-DED3-4E95-894C-D22C5F7B80C6}"/>
    <cellStyle name="一般 2 2 30 2 2 30 2 4 3 2 4" xfId="52" xr:uid="{CCE0E27E-6B2A-4DE2-8E99-E69CA48CDE07}"/>
    <cellStyle name="一般 2 2 30 2 2 30 2 4 3 3" xfId="53" xr:uid="{00000000-0005-0000-0000-000014000000}"/>
    <cellStyle name="一般 2 2 30 2 2 30 2 4 3 3 2" xfId="54" xr:uid="{00000000-0005-0000-0000-000015000000}"/>
    <cellStyle name="一般 2 2 30 2 2 30 2 4 3 3 2 2" xfId="55" xr:uid="{978FEAA4-FD1B-41B1-AB2F-43A714E23B22}"/>
    <cellStyle name="一般 2 2 30 2 2 30 2 4 3 3 3" xfId="56" xr:uid="{151926C4-437D-4A73-97B1-149794330404}"/>
    <cellStyle name="一般 2 2 30 2 2 30 2 4 3 3 4" xfId="57" xr:uid="{139B8A3F-63EC-461C-BAC1-4806004DA7F2}"/>
    <cellStyle name="一般 2 2 30 2 2 30 2 4 3 4" xfId="58" xr:uid="{00000000-0005-0000-0000-000016000000}"/>
    <cellStyle name="一般 2 2 30 2 2 30 2 4 3 4 2" xfId="59" xr:uid="{00000000-0005-0000-0000-000017000000}"/>
    <cellStyle name="一般 2 2 30 2 2 30 2 4 3 4 2 2" xfId="60" xr:uid="{7BADD9E9-62FF-43DC-A181-77458ACE7A14}"/>
    <cellStyle name="一般 2 2 30 2 2 30 2 4 3 4 3" xfId="61" xr:uid="{62A3A3B3-4A45-4646-8455-9FE278C9A1F2}"/>
    <cellStyle name="一般 2 2 30 2 2 30 2 4 3 4 4" xfId="62" xr:uid="{A3FE5AB8-1456-411C-82C0-55C6535B9FC8}"/>
    <cellStyle name="一般 2 2 30 2 2 30 2 4 3 5" xfId="63" xr:uid="{00000000-0005-0000-0000-000018000000}"/>
    <cellStyle name="一般 2 2 30 2 2 30 2 4 3 5 2" xfId="64" xr:uid="{0BEA1F7E-2558-40FE-8DCB-0E79C250E755}"/>
    <cellStyle name="一般 2 2 30 2 2 30 2 4 3 6" xfId="65" xr:uid="{C1DC1536-CF2D-45FA-9A77-A275F9C3D867}"/>
    <cellStyle name="一般 2 2 30 2 2 30 2 4 3 7" xfId="66" xr:uid="{D705C2E6-7434-407D-B725-8DA51D70A8A9}"/>
    <cellStyle name="一般 2 2 30 2 2 30 2 4 4" xfId="67" xr:uid="{00000000-0005-0000-0000-000019000000}"/>
    <cellStyle name="一般 2 2 30 2 2 30 2 4 4 2" xfId="68" xr:uid="{00000000-0005-0000-0000-00001A000000}"/>
    <cellStyle name="一般 2 2 30 2 2 30 2 4 4 2 2" xfId="69" xr:uid="{99C9E3CC-3B87-4EE1-9D77-BBA78BE3CD8A}"/>
    <cellStyle name="一般 2 2 30 2 2 30 2 4 4 3" xfId="70" xr:uid="{DD88B523-C260-4530-B773-70D96415CC18}"/>
    <cellStyle name="一般 2 2 30 2 2 30 2 4 4 4" xfId="71" xr:uid="{E1C0DD16-997B-4215-B4CE-721C824AFD0A}"/>
    <cellStyle name="一般 2 2 30 2 2 30 2 4 5" xfId="72" xr:uid="{00000000-0005-0000-0000-00001B000000}"/>
    <cellStyle name="一般 2 2 30 2 2 30 2 4 5 2" xfId="73" xr:uid="{00000000-0005-0000-0000-00001C000000}"/>
    <cellStyle name="一般 2 2 30 2 2 30 2 4 5 2 2" xfId="74" xr:uid="{B041B3BF-4F43-4A3C-85FC-CA3C292D4205}"/>
    <cellStyle name="一般 2 2 30 2 2 30 2 4 5 3" xfId="75" xr:uid="{6D56E1C9-8511-4D6D-B86C-0A6126250CBD}"/>
    <cellStyle name="一般 2 2 30 2 2 30 2 4 5 4" xfId="76" xr:uid="{90F5F201-A8A9-4282-A6F5-838F371EF388}"/>
    <cellStyle name="一般 2 2 30 2 2 30 2 4 6" xfId="77" xr:uid="{00000000-0005-0000-0000-00001D000000}"/>
    <cellStyle name="一般 2 2 30 2 2 30 2 4 6 2" xfId="78" xr:uid="{01DA9B75-6171-4C86-8FB4-9FA9CF485F4B}"/>
    <cellStyle name="一般 2 2 30 2 2 30 2 4 7" xfId="79" xr:uid="{36EE91C6-0330-487B-AE4F-8BA4486424CE}"/>
    <cellStyle name="一般 2 2 30 2 2 30 2 4 8" xfId="80" xr:uid="{F4F3BB48-C9DF-42E8-B4E0-01DF6337E935}"/>
    <cellStyle name="一般 2 2 30 2 2 30 2 5" xfId="81" xr:uid="{00000000-0005-0000-0000-00001E000000}"/>
    <cellStyle name="一般 2 2 30 2 2 30 2 5 2" xfId="82" xr:uid="{00000000-0005-0000-0000-00001F000000}"/>
    <cellStyle name="一般 2 2 30 2 2 30 2 5 2 2" xfId="83" xr:uid="{C3E0B1F4-4473-42DE-859B-8AE3F78105F0}"/>
    <cellStyle name="一般 2 2 30 2 2 30 2 5 3" xfId="84" xr:uid="{0FC39D77-DE50-4144-AE13-8D09D9FE2722}"/>
    <cellStyle name="一般 2 2 30 2 2 30 2 5 4" xfId="85" xr:uid="{E5F4E20B-33DC-47A0-B239-D5D58E1CE2CF}"/>
    <cellStyle name="一般 2 2 30 2 2 30 2 6" xfId="86" xr:uid="{00000000-0005-0000-0000-000020000000}"/>
    <cellStyle name="一般 2 2 30 2 2 30 2 6 2" xfId="87" xr:uid="{00000000-0005-0000-0000-000021000000}"/>
    <cellStyle name="一般 2 2 30 2 2 30 2 6 2 2" xfId="88" xr:uid="{1EDCD655-5270-4910-8AFC-64C8877426F8}"/>
    <cellStyle name="一般 2 2 30 2 2 30 2 6 3" xfId="89" xr:uid="{FF9E2871-948E-41DE-9B81-72C9785D23FC}"/>
    <cellStyle name="一般 2 2 30 2 2 30 2 6 4" xfId="90" xr:uid="{13326321-F092-4313-84CB-D321A14CA78C}"/>
    <cellStyle name="一般 2 2 30 2 2 30 2 7" xfId="91" xr:uid="{00000000-0005-0000-0000-000022000000}"/>
    <cellStyle name="一般 2 2 30 2 2 30 2 7 2" xfId="92" xr:uid="{00000000-0005-0000-0000-000023000000}"/>
    <cellStyle name="一般 2 2 30 2 2 30 2 7 2 2" xfId="93" xr:uid="{5FA28D60-8AFC-448D-BA56-725825B8BC47}"/>
    <cellStyle name="一般 2 2 30 2 2 30 2 7 3" xfId="94" xr:uid="{A22B2491-1FB6-4C40-9DFE-DE40D9CBA1CB}"/>
    <cellStyle name="一般 2 2 30 2 2 30 2 7 4" xfId="95" xr:uid="{CFADD014-C5A8-4FBD-A46A-88F920B6C64E}"/>
    <cellStyle name="一般 2 2 30 2 2 30 2 8" xfId="96" xr:uid="{00000000-0005-0000-0000-000024000000}"/>
    <cellStyle name="一般 2 2 30 2 2 30 2 8 2" xfId="97" xr:uid="{924C9310-2FC4-4DD7-B26E-0864119E64CA}"/>
    <cellStyle name="一般 2 2 30 2 2 30 2 9" xfId="98" xr:uid="{3BB15D78-D8BC-4BA6-A8EE-9C6B7BA10E20}"/>
    <cellStyle name="一般 2 2 30 2 3 2" xfId="99" xr:uid="{00000000-0005-0000-0000-000025000000}"/>
    <cellStyle name="一般 2 2 30 2 3 2 2" xfId="100" xr:uid="{00000000-0005-0000-0000-000026000000}"/>
    <cellStyle name="一般 2 2 30 2 3 2 2 2" xfId="101" xr:uid="{5879A4B5-3D91-40A9-9BC5-7A6E7EFD654B}"/>
    <cellStyle name="一般 2 2 30 2 3 2 2 3" xfId="102" xr:uid="{16263DBB-7FE1-4DE6-86AC-3FC68CCF417E}"/>
    <cellStyle name="一般 2 2 30 2 3 2 3" xfId="103" xr:uid="{00000000-0005-0000-0000-000027000000}"/>
    <cellStyle name="一般 2 2 30 2 3 2 3 2" xfId="104" xr:uid="{72D50F6C-AC53-4365-BFAE-ACF536EB1796}"/>
    <cellStyle name="一般 2 2 30 2 3 2 4" xfId="105" xr:uid="{473EB76A-F5DB-4A38-8EF1-3F7FF0ACFE66}"/>
    <cellStyle name="一般 2 2 30 3 30" xfId="106" xr:uid="{00000000-0005-0000-0000-000028000000}"/>
    <cellStyle name="一般 2 2 30 3 30 2" xfId="107" xr:uid="{00000000-0005-0000-0000-000029000000}"/>
    <cellStyle name="一般 2 2 30 3 30 2 2" xfId="108" xr:uid="{8F68F138-5672-4635-8B5A-F33EA8D97B1D}"/>
    <cellStyle name="一般 2 2 30 3 30 3" xfId="109" xr:uid="{A0CF8BBA-6A8F-4754-B06C-02E6FFFAB0EB}"/>
    <cellStyle name="一般 2 2 30 3 30 4" xfId="110" xr:uid="{00000000-0005-0000-0000-00002A000000}"/>
    <cellStyle name="一般 2 2 30 3 30 4 2" xfId="111" xr:uid="{00000000-0005-0000-0000-00002B000000}"/>
    <cellStyle name="一般 2 2 30 3 30 4 2 2" xfId="112" xr:uid="{00000000-0005-0000-0000-00002C000000}"/>
    <cellStyle name="一般 2 2 30 3 30 4 2 2 2" xfId="113" xr:uid="{4299CD64-AD25-4041-9F34-EC015A0939D1}"/>
    <cellStyle name="一般 2 2 30 3 30 4 2 3" xfId="114" xr:uid="{25296B72-EDCA-4640-800D-F4C08869D2EF}"/>
    <cellStyle name="一般 2 2 30 3 30 4 2 4" xfId="115" xr:uid="{7819310A-2A3F-48DA-A2C7-3F85867BD66A}"/>
    <cellStyle name="一般 2 2 30 3 30 4 3" xfId="116" xr:uid="{00000000-0005-0000-0000-00002D000000}"/>
    <cellStyle name="一般 2 2 30 3 30 4 3 2" xfId="117" xr:uid="{00000000-0005-0000-0000-00002E000000}"/>
    <cellStyle name="一般 2 2 30 3 30 4 3 2 2" xfId="118" xr:uid="{D79757C5-37CD-4C72-8BB6-25C520EA9C4B}"/>
    <cellStyle name="一般 2 2 30 3 30 4 3 3" xfId="119" xr:uid="{78B88302-5CDB-4910-8FD8-731035C6CC9A}"/>
    <cellStyle name="一般 2 2 30 3 30 4 3 4" xfId="120" xr:uid="{30EC76C9-6BB7-450C-BFAF-261A8947F667}"/>
    <cellStyle name="一般 2 2 30 3 30 4 4" xfId="121" xr:uid="{00000000-0005-0000-0000-00002F000000}"/>
    <cellStyle name="一般 2 2 30 3 30 4 4 2" xfId="122" xr:uid="{00000000-0005-0000-0000-000030000000}"/>
    <cellStyle name="一般 2 2 30 3 30 4 4 2 2" xfId="123" xr:uid="{8B00923B-3ADD-4461-A5A6-6B7FD44B750A}"/>
    <cellStyle name="一般 2 2 30 3 30 4 4 3" xfId="124" xr:uid="{AECEA48D-00BB-4251-BA12-554A998D537E}"/>
    <cellStyle name="一般 2 2 30 3 30 4 4 4" xfId="125" xr:uid="{83DF961F-5B74-4BAD-AE71-7D80F6E21445}"/>
    <cellStyle name="一般 2 2 30 3 30 4 5" xfId="126" xr:uid="{00000000-0005-0000-0000-000031000000}"/>
    <cellStyle name="一般 2 2 30 3 30 4 5 2" xfId="127" xr:uid="{5C383C08-014C-4BE3-9FB4-82B8B3BA1BDA}"/>
    <cellStyle name="一般 2 2 30 3 30 4 6" xfId="128" xr:uid="{5C7FB26A-4FFA-4532-BF21-33A5548AA954}"/>
    <cellStyle name="一般 2 2 30 3 30 4 7" xfId="129" xr:uid="{07B2A739-3D17-4326-878D-25C12B745EC4}"/>
    <cellStyle name="一般 2 2 30 3 30 5" xfId="130" xr:uid="{1F395330-2AFA-400A-ACA3-520CC4FF881C}"/>
    <cellStyle name="一般 2 2 4" xfId="131" xr:uid="{00000000-0005-0000-0000-000032000000}"/>
    <cellStyle name="一般 2 2 4 2" xfId="132" xr:uid="{00000000-0005-0000-0000-000033000000}"/>
    <cellStyle name="一般 2 2 4 2 2" xfId="133" xr:uid="{00000000-0005-0000-0000-000034000000}"/>
    <cellStyle name="一般 2 2 4 2 2 2" xfId="134" xr:uid="{D56D6DB5-5B99-41D0-9AC3-27713F3BC3BB}"/>
    <cellStyle name="一般 2 2 4 2 3" xfId="135" xr:uid="{9D79834C-EE78-4C92-BB2B-DFBAA1FBEA52}"/>
    <cellStyle name="一般 2 2 4 2 3 2" xfId="136" xr:uid="{D4FE7D99-AA1B-4648-956D-09EA9511083F}"/>
    <cellStyle name="一般 2 2 4 2 4" xfId="137" xr:uid="{C811102D-3861-43E3-A77F-4BEE46165C95}"/>
    <cellStyle name="一般 2 2 4 3" xfId="138" xr:uid="{00000000-0005-0000-0000-000035000000}"/>
    <cellStyle name="一般 2 2 4 3 2" xfId="139" xr:uid="{00000000-0005-0000-0000-000036000000}"/>
    <cellStyle name="一般 2 2 4 3 2 2" xfId="140" xr:uid="{223068E2-EC8B-4416-BAED-B35E46504A30}"/>
    <cellStyle name="一般 2 2 4 3 3" xfId="141" xr:uid="{DA1B1F1C-EA8F-4863-8A1F-435F5A0B3BFB}"/>
    <cellStyle name="一般 2 2 4 3 3 2" xfId="142" xr:uid="{F086CFA3-ECBB-43AC-8A09-AD0E62E72693}"/>
    <cellStyle name="一般 2 2 4 3 4" xfId="143" xr:uid="{8080BA45-66D2-4430-A6A8-453635A109D4}"/>
    <cellStyle name="一般 2 2 4 4" xfId="144" xr:uid="{00000000-0005-0000-0000-000037000000}"/>
    <cellStyle name="一般 2 2 4 4 2" xfId="145" xr:uid="{351CB045-C033-4474-A744-DD96B1D9D463}"/>
    <cellStyle name="一般 2 2 4 5" xfId="146" xr:uid="{7B694A0F-CE06-42D7-BBDB-8E3837CD277D}"/>
    <cellStyle name="一般 2 2 4 5 2" xfId="147" xr:uid="{B764A395-CC12-44E3-A743-52B3CFA565EE}"/>
    <cellStyle name="一般 2 2 4 6" xfId="148" xr:uid="{F480F69D-5FEC-4A44-A13C-2FDFC138E875}"/>
    <cellStyle name="一般 2 2 4 7" xfId="149" xr:uid="{FD767409-AC63-486E-BDDE-1B865479FE35}"/>
    <cellStyle name="一般 2 3" xfId="150" xr:uid="{CE6D02E6-340F-4C52-B008-04DA19994BE5}"/>
    <cellStyle name="一般 2 3 2" xfId="151" xr:uid="{51F9D908-D07D-4DB4-B32D-5B0A35E13D4C}"/>
    <cellStyle name="一般 2 4" xfId="152" xr:uid="{EA67DC1A-246D-4698-BC12-D15AD3FB64EE}"/>
    <cellStyle name="一般 2 4 2" xfId="153" xr:uid="{00000000-0005-0000-0000-000038000000}"/>
    <cellStyle name="一般 2 5" xfId="154" xr:uid="{410D0077-D454-4D61-9183-E2660D7CF8FE}"/>
    <cellStyle name="一般 2 8" xfId="155" xr:uid="{BDCF7075-5635-4C5F-A0FD-2A262F440E83}"/>
    <cellStyle name="一般 2 8 2" xfId="156" xr:uid="{56EC57A8-2BB9-4A75-B381-DC509DD4B426}"/>
    <cellStyle name="一般 2 8 23" xfId="157" xr:uid="{CC32046D-358A-49BB-B52F-6A39226DAADC}"/>
    <cellStyle name="一般 2 8 3" xfId="158" xr:uid="{08483DB8-5ED3-4A25-98B6-D6225EAC039E}"/>
    <cellStyle name="一般 3" xfId="159" xr:uid="{00000000-0005-0000-0000-000039000000}"/>
    <cellStyle name="一般 3 3 3 2" xfId="160" xr:uid="{00000000-0005-0000-0000-00003A000000}"/>
    <cellStyle name="一般 3 3 3 2 2" xfId="161" xr:uid="{00000000-0005-0000-0000-00003B000000}"/>
    <cellStyle name="一般 3 3 3 2 2 2" xfId="162" xr:uid="{00000000-0005-0000-0000-00003C000000}"/>
    <cellStyle name="一般 3 3 3 2 2 2 2" xfId="163" xr:uid="{974F6594-087A-4640-A46E-1EE5DE6A6C2B}"/>
    <cellStyle name="一般 3 3 3 2 2 3" xfId="164" xr:uid="{C879B325-46DC-40C7-A842-77A089A7C097}"/>
    <cellStyle name="一般 3 3 3 2 2 4" xfId="165" xr:uid="{728A2F15-9443-4B01-A9E7-CBBBCC25ADDF}"/>
    <cellStyle name="一般 3 3 3 2 3" xfId="166" xr:uid="{00000000-0005-0000-0000-00003D000000}"/>
    <cellStyle name="一般 3 3 3 2 3 2" xfId="167" xr:uid="{00000000-0005-0000-0000-00003E000000}"/>
    <cellStyle name="一般 3 3 3 2 3 2 2" xfId="168" xr:uid="{D92BEEBF-0645-4E74-96D2-60FB9DD30DEF}"/>
    <cellStyle name="一般 3 3 3 2 3 3" xfId="169" xr:uid="{AD092754-4B3D-4D07-AAAA-6F66ECC8A658}"/>
    <cellStyle name="一般 3 3 3 2 3 4" xfId="170" xr:uid="{DD6D7B38-1329-4104-A125-F32A27B3F0F8}"/>
    <cellStyle name="一般 3 3 3 2 4" xfId="171" xr:uid="{00000000-0005-0000-0000-00003F000000}"/>
    <cellStyle name="一般 3 3 3 2 4 2" xfId="172" xr:uid="{00000000-0005-0000-0000-000040000000}"/>
    <cellStyle name="一般 3 3 3 2 4 2 2" xfId="173" xr:uid="{D83F936B-BDBD-48A4-AFD5-B158999AB4DA}"/>
    <cellStyle name="一般 3 3 3 2 4 3" xfId="174" xr:uid="{D766CD9A-CB1A-4B03-834B-5F2B1F54E11C}"/>
    <cellStyle name="一般 3 3 3 2 4 4" xfId="175" xr:uid="{654EDCCB-3A37-4E86-B202-ABF7642D7C62}"/>
    <cellStyle name="一般 3 3 3 2 5" xfId="176" xr:uid="{00000000-0005-0000-0000-000041000000}"/>
    <cellStyle name="一般 3 3 3 2 5 2" xfId="177" xr:uid="{DB6906A0-BE47-4AA5-949B-F8B17717442F}"/>
    <cellStyle name="一般 3 3 3 2 6" xfId="178" xr:uid="{A3BA0872-6E0A-4394-ABB4-7872E78C55DE}"/>
    <cellStyle name="一般 3 3 3 2 7" xfId="179" xr:uid="{D0D513D2-11A2-4FC4-9FCE-897EE07571F0}"/>
    <cellStyle name="一般 4" xfId="180" xr:uid="{00000000-0005-0000-0000-000042000000}"/>
    <cellStyle name="一般 5" xfId="181" xr:uid="{00000000-0005-0000-0000-000043000000}"/>
    <cellStyle name="一般 5 2" xfId="182" xr:uid="{00000000-0005-0000-0000-000044000000}"/>
    <cellStyle name="一般 5 2 2" xfId="183" xr:uid="{00000000-0005-0000-0000-000045000000}"/>
    <cellStyle name="一般 5 2 2 2" xfId="184" xr:uid="{DA23F747-FCF1-4F07-B5E2-A229F0E21F47}"/>
    <cellStyle name="一般 5 2 3" xfId="185" xr:uid="{B85DEDEA-29C0-464E-8D37-7A7B42B6F148}"/>
    <cellStyle name="一般 5 2 4" xfId="186" xr:uid="{AE21AC60-1EB8-4691-B691-342597140906}"/>
    <cellStyle name="一般 5 3" xfId="187" xr:uid="{00000000-0005-0000-0000-000046000000}"/>
    <cellStyle name="一般 5 3 2" xfId="188" xr:uid="{00000000-0005-0000-0000-000047000000}"/>
    <cellStyle name="一般 5 3 2 2" xfId="189" xr:uid="{BAAF3A00-8F4F-48B1-BB5C-706DAE8CD93A}"/>
    <cellStyle name="一般 5 3 3" xfId="190" xr:uid="{EF830A6F-7B36-458F-B309-64F2F8275DCB}"/>
    <cellStyle name="一般 5 3 4" xfId="191" xr:uid="{C1B6FF90-8FA7-4642-849F-6DD5AAE69382}"/>
    <cellStyle name="一般 5 4" xfId="192" xr:uid="{00000000-0005-0000-0000-000048000000}"/>
    <cellStyle name="一般 5 4 2" xfId="193" xr:uid="{00000000-0005-0000-0000-000049000000}"/>
    <cellStyle name="一般 5 4 2 2" xfId="194" xr:uid="{B114D30A-CC81-4CFB-8EE5-493482CAF9EF}"/>
    <cellStyle name="一般 5 4 3" xfId="195" xr:uid="{BFEB5C13-BB63-464A-A558-2B0D0511A3CD}"/>
    <cellStyle name="一般 5 4 4" xfId="196" xr:uid="{10F2819A-033B-4924-B0B6-4146CB6BB888}"/>
    <cellStyle name="一般 5 5" xfId="197" xr:uid="{00000000-0005-0000-0000-00004A000000}"/>
    <cellStyle name="一般 5 5 2" xfId="198" xr:uid="{00000000-0005-0000-0000-00004B000000}"/>
    <cellStyle name="一般 5 5 2 2" xfId="199" xr:uid="{28F182CB-1665-471E-85F5-A1597CB6E4FB}"/>
    <cellStyle name="一般 5 5 3" xfId="200" xr:uid="{AFB81EA6-A22C-4CF8-BD9B-D3CA75EA7D7C}"/>
    <cellStyle name="一般 5 5 4" xfId="201" xr:uid="{865004A4-3160-4AAF-8E19-22E7E24C22A9}"/>
    <cellStyle name="一般 5 6" xfId="202" xr:uid="{00000000-0005-0000-0000-00004C000000}"/>
    <cellStyle name="一般 5 6 2" xfId="203" xr:uid="{42C7B2ED-7CA6-4B2A-8EA5-B4C9ADA1B455}"/>
    <cellStyle name="一般 5 7" xfId="204" xr:uid="{51558519-DCE4-4056-B247-961A5FE7FB66}"/>
    <cellStyle name="一般 5 8" xfId="205" xr:uid="{64DFD79C-22EF-4211-9AE2-F370AFC13F08}"/>
    <cellStyle name="一般 6" xfId="206" xr:uid="{00000000-0005-0000-0000-00004D000000}"/>
    <cellStyle name="一般 6 2" xfId="207" xr:uid="{00000000-0005-0000-0000-00004E000000}"/>
    <cellStyle name="一般 6 2 2" xfId="208" xr:uid="{4AEB89A2-9BEB-48A0-A781-D11AA5505C1D}"/>
    <cellStyle name="一般 6 3" xfId="209" xr:uid="{B8ADDB35-C187-491C-B65F-93CD581631BD}"/>
    <cellStyle name="一般 6 4" xfId="210" xr:uid="{F5212934-4B8A-4186-8D92-85D375645BC0}"/>
    <cellStyle name="一般 7" xfId="211" xr:uid="{00000000-0005-0000-0000-00004F000000}"/>
    <cellStyle name="一般 7 2" xfId="212" xr:uid="{00000000-0005-0000-0000-000050000000}"/>
    <cellStyle name="一般 7 2 2" xfId="213" xr:uid="{7021D9A3-AC9A-40FE-BDC7-061544386D57}"/>
    <cellStyle name="一般 7 3" xfId="214" xr:uid="{9E3BA9A4-1974-4D83-AF8E-CA2128160A71}"/>
    <cellStyle name="一般 7 4" xfId="215" xr:uid="{CF88D79E-725E-4BDE-A17E-D115B9AFA501}"/>
    <cellStyle name="一般 8" xfId="216" xr:uid="{00000000-0005-0000-0000-000051000000}"/>
    <cellStyle name="一般 8 2" xfId="217" xr:uid="{00000000-0005-0000-0000-000052000000}"/>
    <cellStyle name="一般 8 2 2" xfId="218" xr:uid="{42B6CB9C-9D6A-4DC1-B01F-EDBD5B722C49}"/>
    <cellStyle name="一般 8 3" xfId="219" xr:uid="{65DEF198-8C45-4824-AF25-14A0706A7EB4}"/>
    <cellStyle name="一般 8 4" xfId="220" xr:uid="{8022A0A1-A096-4D64-BD01-EC885E5476CF}"/>
    <cellStyle name="一般 9" xfId="221" xr:uid="{00000000-0005-0000-0000-000053000000}"/>
    <cellStyle name="一般 9 2" xfId="222" xr:uid="{00000000-0005-0000-0000-000054000000}"/>
    <cellStyle name="一般 9 2 2" xfId="223" xr:uid="{9BEA7041-F88C-42F4-86D6-CC736D1AEBE4}"/>
    <cellStyle name="一般 9 3" xfId="224" xr:uid="{82E1E7D8-B3B1-44DC-B0B9-1D8893B73480}"/>
    <cellStyle name="一般 9 4" xfId="225" xr:uid="{5CAAD22A-0812-47F6-B6D0-6FD77C01E9D0}"/>
    <cellStyle name="千分位 2" xfId="226" xr:uid="{00000000-0005-0000-0000-000056000000}"/>
    <cellStyle name="千分位 2 10" xfId="227" xr:uid="{F16F8959-D051-446D-AADE-C1580C75C5F7}"/>
    <cellStyle name="千分位 2 10 2" xfId="228" xr:uid="{510C8FFB-B8ED-44C7-84AA-975997D7FFFB}"/>
    <cellStyle name="千分位 2 10 2 2" xfId="229" xr:uid="{91B7B640-3F7F-46A2-9F6D-C7D7F9E6CDCE}"/>
    <cellStyle name="千分位 2 10 2 2 2" xfId="230" xr:uid="{891B062C-F08E-4AD8-8AD4-31909BAC7D04}"/>
    <cellStyle name="千分位 2 10 2 2 2 2" xfId="231" xr:uid="{B0E9B175-93E0-4506-923C-9C9E31DDEF41}"/>
    <cellStyle name="千分位 2 10 2 2 2 2 2" xfId="232" xr:uid="{1FFBBE62-26EF-44AD-8A34-8B5F230DA03D}"/>
    <cellStyle name="千分位 2 10 2 2 2 3" xfId="233" xr:uid="{9444DD0C-7E05-468E-AEAC-2F2396A4818C}"/>
    <cellStyle name="千分位 2 10 2 2 3" xfId="234" xr:uid="{6EE93FD9-6D55-4008-BBC9-1387CAF23AC4}"/>
    <cellStyle name="千分位 2 10 2 2 3 2" xfId="235" xr:uid="{982C3510-FA4C-4EA2-BA56-D40024E8E161}"/>
    <cellStyle name="千分位 2 10 2 2 4" xfId="236" xr:uid="{4D8A8C5B-BC2E-416B-83DF-E8B5ECF993A3}"/>
    <cellStyle name="千分位 2 10 2 3" xfId="237" xr:uid="{E3061DCE-3B09-4659-9932-8F2B076433B1}"/>
    <cellStyle name="千分位 2 10 2 3 2" xfId="238" xr:uid="{D5B441CB-5F8F-4DAC-8697-F8E872D67D1A}"/>
    <cellStyle name="千分位 2 10 2 3 2 2" xfId="239" xr:uid="{7162B933-966B-4B08-90D5-2294CDEE688D}"/>
    <cellStyle name="千分位 2 10 2 3 3" xfId="240" xr:uid="{8DDA5F5A-109D-4C7C-BAB0-FA0B6B210B14}"/>
    <cellStyle name="千分位 2 10 2 4" xfId="241" xr:uid="{662661E6-4A96-4FA0-9003-8D44F2C1503B}"/>
    <cellStyle name="千分位 2 10 2 4 2" xfId="242" xr:uid="{F6532E6D-5C82-4AFB-8622-E8B8E3C0EF0F}"/>
    <cellStyle name="千分位 2 10 2 5" xfId="243" xr:uid="{33A5E1A1-0602-485C-AB70-11A8C19ACFFD}"/>
    <cellStyle name="千分位 2 10 3" xfId="244" xr:uid="{3F66933B-BFC2-4B58-B683-754832E9992B}"/>
    <cellStyle name="千分位 2 10 3 2" xfId="245" xr:uid="{2D0590E5-5EF0-46BC-A5DE-3C9B6EC016C0}"/>
    <cellStyle name="千分位 2 10 3 2 2" xfId="246" xr:uid="{2FB3FB66-3929-4CB9-993D-D1AFAF4EFF12}"/>
    <cellStyle name="千分位 2 10 3 2 2 2" xfId="247" xr:uid="{0CA48076-6237-442E-A328-B0D4A5DF5E7E}"/>
    <cellStyle name="千分位 2 10 3 2 3" xfId="248" xr:uid="{C591833D-762A-4684-951F-1F47BF502B63}"/>
    <cellStyle name="千分位 2 10 3 3" xfId="249" xr:uid="{2E630BA9-E5E7-440F-BDB0-5F668A660ABC}"/>
    <cellStyle name="千分位 2 10 3 3 2" xfId="250" xr:uid="{B3ACEFE3-1544-4BBD-9B3E-944085BC7058}"/>
    <cellStyle name="千分位 2 10 3 4" xfId="251" xr:uid="{F10A11BB-65EC-4128-BB5A-BEB8B0C7EC2F}"/>
    <cellStyle name="千分位 2 10 4" xfId="252" xr:uid="{0B7D1CA5-2996-45E1-B3D1-EFDB7D9F4EF4}"/>
    <cellStyle name="千分位 2 10 4 2" xfId="253" xr:uid="{EDABF1F6-CD38-4AD9-A843-FD01B0D1540C}"/>
    <cellStyle name="千分位 2 10 4 2 2" xfId="254" xr:uid="{3EC00895-06E3-4610-BA18-ECFD6A64F2B2}"/>
    <cellStyle name="千分位 2 10 4 3" xfId="255" xr:uid="{39EA2617-8BCC-4C36-9151-426FAFAC6991}"/>
    <cellStyle name="千分位 2 10 5" xfId="256" xr:uid="{7ECD9B14-47F1-4955-BC46-120FEFB1C839}"/>
    <cellStyle name="千分位 2 10 5 2" xfId="257" xr:uid="{F50BDD2B-2260-45B8-AF05-6AB37EF451AA}"/>
    <cellStyle name="千分位 2 10 6" xfId="258" xr:uid="{A1CA0EC4-1BF1-487D-BCD4-A2981D0E3DC1}"/>
    <cellStyle name="千分位 2 11" xfId="259" xr:uid="{0A37F661-0028-4EE9-89D3-19367866D58C}"/>
    <cellStyle name="千分位 2 2" xfId="260" xr:uid="{00000000-0005-0000-0000-000057000000}"/>
    <cellStyle name="千分位 2 2 2" xfId="261" xr:uid="{00000000-0005-0000-0000-000058000000}"/>
    <cellStyle name="千分位 2 2 2 2" xfId="262" xr:uid="{FB9B9639-6E8A-4C14-B3C2-BD94A0E49872}"/>
    <cellStyle name="千分位 2 2 2 2 2" xfId="263" xr:uid="{661DF30A-C3CE-4BAA-97B5-5A7C4706B16A}"/>
    <cellStyle name="千分位 2 2 2 2 2 2" xfId="264" xr:uid="{483414E8-DB46-4306-A7F4-5C17D0A7C14A}"/>
    <cellStyle name="千分位 2 2 2 2 3" xfId="265" xr:uid="{9CA42FB0-EA5D-4D93-8C01-EA2D894A7B40}"/>
    <cellStyle name="千分位 2 2 2 3" xfId="266" xr:uid="{C04E7857-9263-4CC8-9D9C-C5A320FBC7AF}"/>
    <cellStyle name="千分位 2 2 2 3 2" xfId="267" xr:uid="{B40A2782-A2F9-4645-B090-2241F68E0DC3}"/>
    <cellStyle name="千分位 2 2 2 4" xfId="268" xr:uid="{2F38C4CF-CA62-40DF-8608-67DAE838E344}"/>
    <cellStyle name="千分位 2 2 2 5" xfId="269" xr:uid="{3C7CFFED-0C82-45D6-8DF3-E287BB083E8A}"/>
    <cellStyle name="千分位 2 2 2 6" xfId="270" xr:uid="{28931E99-0090-45D3-B46F-27641801FFEB}"/>
    <cellStyle name="千分位 2 2 3" xfId="271" xr:uid="{362CCA17-A0F5-4670-ABA1-6041B21D94C7}"/>
    <cellStyle name="千分位 2 2 3 2" xfId="272" xr:uid="{C08ED967-F305-4402-9D58-744AA7BA7973}"/>
    <cellStyle name="千分位 2 2 3 2 2" xfId="273" xr:uid="{7F904925-1635-465B-94D1-778A44A27900}"/>
    <cellStyle name="千分位 2 2 3 3" xfId="274" xr:uid="{A014E15E-DF71-4D9C-BA52-B64B92CC1FA5}"/>
    <cellStyle name="千分位 2 2 3 4" xfId="275" xr:uid="{305428B8-9516-4B6C-A89C-BDB09F68FB4B}"/>
    <cellStyle name="千分位 2 2 4" xfId="276" xr:uid="{1BB75A2A-6C7B-44BE-9D0A-9C0D0C7248FC}"/>
    <cellStyle name="千分位 2 2 4 2" xfId="277" xr:uid="{630E93F6-7CB2-4525-AED4-09590BF788F1}"/>
    <cellStyle name="千分位 2 2 5" xfId="278" xr:uid="{DE2A5E2D-44C3-496C-BFAB-EB654711F9CA}"/>
    <cellStyle name="千分位 2 2 6" xfId="279" xr:uid="{8ED38AD6-A7F2-4DDB-94E5-549DAFBFB108}"/>
    <cellStyle name="千分位 2 2 7" xfId="280" xr:uid="{69265FBB-24B2-40B1-BDD8-74ABE03DA58C}"/>
    <cellStyle name="千分位 2 3" xfId="281" xr:uid="{00000000-0005-0000-0000-000059000000}"/>
    <cellStyle name="千分位 2 3 2" xfId="282" xr:uid="{00000000-0005-0000-0000-00005A000000}"/>
    <cellStyle name="千分位 2 3 2 2" xfId="283" xr:uid="{8090E5ED-5371-494D-A48D-15C4C910F43A}"/>
    <cellStyle name="千分位 2 3 2 2 2" xfId="284" xr:uid="{9CF94084-D332-40BD-B658-3AD3842BF196}"/>
    <cellStyle name="千分位 2 3 2 2 2 2" xfId="285" xr:uid="{0E2CD161-9B01-4548-8981-44683BCBE51F}"/>
    <cellStyle name="千分位 2 3 2 2 3" xfId="286" xr:uid="{30E7655C-1850-43FB-B1D3-A3DEF1BAD6C6}"/>
    <cellStyle name="千分位 2 3 2 3" xfId="287" xr:uid="{2A8CB286-2BD4-4FDF-9201-98DA97FAC9F3}"/>
    <cellStyle name="千分位 2 3 2 3 2" xfId="288" xr:uid="{A1B81D8C-7E72-4F68-8167-EB7AB1EA54F2}"/>
    <cellStyle name="千分位 2 3 2 4" xfId="289" xr:uid="{5AFFB647-DFA5-4357-AFB0-2D75165AC957}"/>
    <cellStyle name="千分位 2 3 2 5" xfId="290" xr:uid="{C72221E5-B317-4604-92F8-B022EAB270A4}"/>
    <cellStyle name="千分位 2 3 2 6" xfId="291" xr:uid="{E4179D6E-05F6-4F40-B403-676F9473CC87}"/>
    <cellStyle name="千分位 2 3 3" xfId="292" xr:uid="{06CE07BA-057E-4C90-9645-05F086E68D4E}"/>
    <cellStyle name="千分位 2 3 3 2" xfId="293" xr:uid="{BB3C7E21-6008-44E2-913B-E83B726023AA}"/>
    <cellStyle name="千分位 2 3 3 2 2" xfId="294" xr:uid="{F2C8AD50-D5C2-4D9C-A2B6-986247A1C354}"/>
    <cellStyle name="千分位 2 3 3 3" xfId="295" xr:uid="{AFBE8115-6FE4-4539-96FD-79E32C933680}"/>
    <cellStyle name="千分位 2 3 3 4" xfId="296" xr:uid="{B78C2AF6-205D-4C0D-8AB9-0827D955B43E}"/>
    <cellStyle name="千分位 2 3 4" xfId="297" xr:uid="{81D7B82B-2107-4004-9DB6-9A12063D59DE}"/>
    <cellStyle name="千分位 2 3 4 2" xfId="298" xr:uid="{47139D08-D10E-4E72-B58C-79E8D8EAB694}"/>
    <cellStyle name="千分位 2 3 5" xfId="299" xr:uid="{EDDA62C3-DD59-4574-890A-B58ABE137273}"/>
    <cellStyle name="千分位 2 3 6" xfId="300" xr:uid="{C2749002-8304-4C14-85E9-D4A6638951FF}"/>
    <cellStyle name="千分位 2 3 7" xfId="301" xr:uid="{11924974-8939-42D4-AA58-B87F5CED4DEB}"/>
    <cellStyle name="千分位 2 4" xfId="302" xr:uid="{00000000-0005-0000-0000-00005B000000}"/>
    <cellStyle name="千分位 2 4 2" xfId="303" xr:uid="{00000000-0005-0000-0000-00005C000000}"/>
    <cellStyle name="千分位 2 4 2 2" xfId="304" xr:uid="{E9702D74-08B4-43E9-BC47-2517E8EBACF1}"/>
    <cellStyle name="千分位 2 4 2 2 2" xfId="305" xr:uid="{D4AA9B05-071A-4E67-A3F0-808ACC31976B}"/>
    <cellStyle name="千分位 2 4 2 3" xfId="306" xr:uid="{50CECB03-B18F-485D-A7C8-E96BB259FF6F}"/>
    <cellStyle name="千分位 2 4 2 4" xfId="307" xr:uid="{348C59C1-FF4B-46C6-AEA7-A8407300C742}"/>
    <cellStyle name="千分位 2 4 2 5" xfId="308" xr:uid="{CC235787-2299-4147-9A93-E5947B2B6488}"/>
    <cellStyle name="千分位 2 4 3" xfId="309" xr:uid="{392FEC40-5586-49E6-A6BC-283BA2F0E8F3}"/>
    <cellStyle name="千分位 2 4 3 2" xfId="310" xr:uid="{B81A687B-122B-4AA6-B85F-5DB1DEEF8DF6}"/>
    <cellStyle name="千分位 2 4 3 3" xfId="311" xr:uid="{2ACFC28E-6CF5-4944-9313-B8F98F80BA3D}"/>
    <cellStyle name="千分位 2 4 4" xfId="312" xr:uid="{E16674DB-4D75-43BC-A8E4-66F09029C4E5}"/>
    <cellStyle name="千分位 2 4 5" xfId="313" xr:uid="{A74EFC45-89A0-40D0-82C5-7B5186C8A713}"/>
    <cellStyle name="千分位 2 4 6" xfId="314" xr:uid="{86438EFC-1825-4631-8E48-DD3DDE714BF4}"/>
    <cellStyle name="千分位 2 5" xfId="315" xr:uid="{00000000-0005-0000-0000-00005D000000}"/>
    <cellStyle name="千分位 2 5 2" xfId="316" xr:uid="{00000000-0005-0000-0000-00005E000000}"/>
    <cellStyle name="千分位 2 5 2 2" xfId="317" xr:uid="{0B9E3AA7-3CCB-4D2B-81E3-14C72E0E06F1}"/>
    <cellStyle name="千分位 2 5 2 3" xfId="318" xr:uid="{8E9CCADF-75B5-40C5-9608-AD73874A3451}"/>
    <cellStyle name="千分位 2 5 2 4" xfId="319" xr:uid="{05C4C7C3-79F3-4173-B66C-20A90D62863A}"/>
    <cellStyle name="千分位 2 5 3" xfId="320" xr:uid="{A47840CA-55F8-4847-9E1E-3EB10DA11F9B}"/>
    <cellStyle name="千分位 2 5 3 2" xfId="321" xr:uid="{40A4C725-6EE9-49AA-B77F-161F795D9AD9}"/>
    <cellStyle name="千分位 2 5 4" xfId="322" xr:uid="{2046A3EB-551C-48E9-9F36-1D5E35C310EE}"/>
    <cellStyle name="千分位 2 5 5" xfId="323" xr:uid="{31B04D1F-D3F1-4A8B-81F9-F63F4523BFF8}"/>
    <cellStyle name="千分位 2 6" xfId="324" xr:uid="{00000000-0005-0000-0000-00005F000000}"/>
    <cellStyle name="千分位 2 6 2" xfId="325" xr:uid="{2C48AEA6-38D3-4515-824D-1DA23F171028}"/>
    <cellStyle name="千分位 2 6 3" xfId="326" xr:uid="{A6FBA685-F057-4A63-8FE0-7075F6B84AEE}"/>
    <cellStyle name="千分位 2 6 4" xfId="327" xr:uid="{C99EB6A1-1371-4B19-83E1-E2BC814E3DCC}"/>
    <cellStyle name="千分位 2 7" xfId="328" xr:uid="{D1A7EF9A-B68B-4097-9A7B-DE480BAA9C86}"/>
    <cellStyle name="千分位 2 7 2" xfId="329" xr:uid="{86F7E588-F62E-41D7-931B-F9F920CDC931}"/>
    <cellStyle name="千分位 2 8" xfId="330" xr:uid="{4F7C4791-D8B3-4CA6-A976-7FD37719DB22}"/>
    <cellStyle name="千分位 2 8 2" xfId="331" xr:uid="{8D3D7031-6125-48DF-A1BF-D921806B2630}"/>
    <cellStyle name="千分位 2 8 2 2" xfId="332" xr:uid="{82A01D8E-4B8D-4D4E-A0E9-C45D0ADB816D}"/>
    <cellStyle name="千分位 2 8 2 2 2" xfId="333" xr:uid="{527F3527-2E92-421F-BF58-063691C293A8}"/>
    <cellStyle name="千分位 2 8 2 2 2 2" xfId="334" xr:uid="{BD36A616-AB9A-4982-B256-5248576F6771}"/>
    <cellStyle name="千分位 2 8 2 2 2 2 2" xfId="335" xr:uid="{C8B3103A-DD09-4278-AF4E-6C8680B762DA}"/>
    <cellStyle name="千分位 2 8 2 2 2 3" xfId="336" xr:uid="{45249F81-2E37-4567-81DB-D9AFB5B37E8C}"/>
    <cellStyle name="千分位 2 8 2 2 3" xfId="337" xr:uid="{231F889E-0EF8-48B4-BF37-5F5F7B91DC0A}"/>
    <cellStyle name="千分位 2 8 2 2 3 2" xfId="338" xr:uid="{71B1FBB9-4A4A-43A7-AA8A-0F5DC7207211}"/>
    <cellStyle name="千分位 2 8 2 2 4" xfId="339" xr:uid="{3E31516D-B99E-4309-A8FB-5BDB055C11B6}"/>
    <cellStyle name="千分位 2 8 2 3" xfId="340" xr:uid="{A35DEA8A-A164-4D00-8E83-BA3206870BC7}"/>
    <cellStyle name="千分位 2 8 2 3 2" xfId="341" xr:uid="{FCE81970-0225-426B-A0F4-7E11EE2035DD}"/>
    <cellStyle name="千分位 2 8 2 3 2 2" xfId="342" xr:uid="{6D2E0CB1-3C62-4BFD-880E-C9BCF96D0412}"/>
    <cellStyle name="千分位 2 8 2 3 3" xfId="343" xr:uid="{A731F9E7-7166-468B-966B-AE3BF27D734F}"/>
    <cellStyle name="千分位 2 8 2 4" xfId="344" xr:uid="{5711F887-8685-4C89-8F53-C0BEFDC2D40D}"/>
    <cellStyle name="千分位 2 8 2 4 2" xfId="345" xr:uid="{006B65CF-529F-4E5B-9A21-3E903198FE0B}"/>
    <cellStyle name="千分位 2 8 2 5" xfId="346" xr:uid="{8D4A43C9-5861-458A-B567-EDD603089FD5}"/>
    <cellStyle name="千分位 2 8 2 6" xfId="347" xr:uid="{BCDA568D-CB17-42FD-AF7F-974072AD9E6C}"/>
    <cellStyle name="千分位 2 8 3" xfId="348" xr:uid="{7248D2E2-CA0B-4C2B-BD82-887C23E76738}"/>
    <cellStyle name="千分位 2 8 3 2" xfId="349" xr:uid="{63A52462-C438-4CA1-9A34-78ABDA8AAD61}"/>
    <cellStyle name="千分位 2 8 3 2 2" xfId="350" xr:uid="{5105B1E6-16C7-4336-BEF4-163E3C7999C6}"/>
    <cellStyle name="千分位 2 8 3 2 2 2" xfId="351" xr:uid="{A8376CDE-B36C-4B0F-A6EB-A92DE6D58029}"/>
    <cellStyle name="千分位 2 8 3 2 3" xfId="352" xr:uid="{2A405AE1-9B28-4084-9013-39B9DA2DF80F}"/>
    <cellStyle name="千分位 2 8 3 3" xfId="353" xr:uid="{563A4DA0-B7E4-43C4-888F-820D8698C7B5}"/>
    <cellStyle name="千分位 2 8 3 3 2" xfId="354" xr:uid="{7CBB5366-8CD1-435F-ACB4-712BF3C41883}"/>
    <cellStyle name="千分位 2 8 3 4" xfId="355" xr:uid="{425D605C-293C-476D-B8B7-091EBAA8EA23}"/>
    <cellStyle name="千分位 2 8 4" xfId="356" xr:uid="{096480B4-CC89-4473-85E5-C3B7F2668308}"/>
    <cellStyle name="千分位 2 8 4 2" xfId="357" xr:uid="{333C264D-50F1-411E-8633-067E7B400654}"/>
    <cellStyle name="千分位 2 8 4 2 2" xfId="358" xr:uid="{C8CBEF20-4BB0-4159-B183-53CAD1636DA4}"/>
    <cellStyle name="千分位 2 8 4 3" xfId="359" xr:uid="{74D89DC4-CBC0-4E12-A705-1D5035D703F7}"/>
    <cellStyle name="千分位 2 8 5" xfId="360" xr:uid="{917C2CF3-126A-4A1E-BBFA-0C460D6C163F}"/>
    <cellStyle name="千分位 2 8 5 2" xfId="361" xr:uid="{D1C168B8-46D2-4698-8BB3-46C08A9B9837}"/>
    <cellStyle name="千分位 2 8 6" xfId="362" xr:uid="{BC5157E6-988B-49D6-B73E-AC3DB8F38A8C}"/>
    <cellStyle name="千分位 2 8 7" xfId="363" xr:uid="{6C893143-D86E-4DFA-81E2-17FE3217201B}"/>
    <cellStyle name="千分位 2 9" xfId="364" xr:uid="{FD188967-B001-4FA3-B860-A4C29E1AA79A}"/>
    <cellStyle name="千分位 3" xfId="365" xr:uid="{00000000-0005-0000-0000-000060000000}"/>
    <cellStyle name="千分位 3 2" xfId="366" xr:uid="{6CDF8FC4-16F7-42EF-A0F2-D98C2BDF07A9}"/>
    <cellStyle name="千分位 4" xfId="367" xr:uid="{3A6DF4C8-822C-4C42-9079-F59E2D742AAC}"/>
    <cellStyle name="千分位 5" xfId="368" xr:uid="{D8E490F9-2F3F-4399-86C7-1C97F7D06279}"/>
    <cellStyle name="千分位 9" xfId="369" xr:uid="{128C1EE2-07F0-4DEB-BB95-DC34BBF52467}"/>
    <cellStyle name="千分位 9 2" xfId="370" xr:uid="{9508EF36-28D5-4642-A46C-491ABB719FDB}"/>
    <cellStyle name="千分位 9 2 2" xfId="371" xr:uid="{54B705FC-E9C7-4837-BB33-CE56C036D93B}"/>
    <cellStyle name="千分位 9 2 2 2" xfId="372" xr:uid="{0F4B4A59-F2D7-44ED-859F-D3ACAEBAAE43}"/>
    <cellStyle name="千分位 9 2 2 2 2" xfId="373" xr:uid="{73792DCB-F1D1-4529-AD1B-FACD8BA00832}"/>
    <cellStyle name="千分位 9 2 2 2 2 2" xfId="374" xr:uid="{D8E267EA-ED5F-4AE4-8CCB-219AA1736FFF}"/>
    <cellStyle name="千分位 9 2 2 2 3" xfId="375" xr:uid="{1F4876F8-895C-4AB4-93E3-D6D79D11253D}"/>
    <cellStyle name="千分位 9 2 2 3" xfId="376" xr:uid="{C2DF8C3D-103D-4A66-BC81-E7A7B77AB041}"/>
    <cellStyle name="千分位 9 2 2 3 2" xfId="377" xr:uid="{2E143A6B-544C-48FE-8C57-01A41A8E3334}"/>
    <cellStyle name="千分位 9 2 2 4" xfId="378" xr:uid="{11BFFB1A-8C1A-4D93-A2B4-7D7F6EDECD1C}"/>
    <cellStyle name="千分位 9 2 3" xfId="379" xr:uid="{FFBDD06D-AF96-4515-80E6-FD4DBD11C251}"/>
    <cellStyle name="千分位 9 2 3 2" xfId="380" xr:uid="{FB245668-C76C-4F13-973D-3D39F5B149A1}"/>
    <cellStyle name="千分位 9 2 3 2 2" xfId="381" xr:uid="{3AA8B189-E867-46D4-9610-7063D5698BF0}"/>
    <cellStyle name="千分位 9 2 3 3" xfId="382" xr:uid="{D0209E9F-3ABA-4F79-82B9-D8F727F48052}"/>
    <cellStyle name="千分位 9 2 4" xfId="383" xr:uid="{5C3C6297-4C79-42B0-A6B7-36EBC6D0A7B8}"/>
    <cellStyle name="千分位 9 2 4 2" xfId="384" xr:uid="{6CC911EF-0F28-488D-A6A2-4EFDAF6EC452}"/>
    <cellStyle name="千分位 9 2 5" xfId="385" xr:uid="{1DEA8574-24A1-415B-9238-B3C2378BD9AE}"/>
    <cellStyle name="千分位 9 3" xfId="386" xr:uid="{85701B98-8809-4737-AC9D-E6A24AB3D644}"/>
    <cellStyle name="千分位 9 3 2" xfId="387" xr:uid="{7CF8AE92-595F-4D5F-9DA3-678D7D8541B1}"/>
    <cellStyle name="千分位 9 3 2 2" xfId="388" xr:uid="{3EF09015-6B4A-45E8-96C3-5CCFC6EFBE1D}"/>
    <cellStyle name="千分位 9 3 2 2 2" xfId="389" xr:uid="{54E51347-AA15-4B43-B8EB-967624AF6E58}"/>
    <cellStyle name="千分位 9 3 2 3" xfId="390" xr:uid="{4B8DB966-D54B-4AFB-97DF-F9BF2F54940F}"/>
    <cellStyle name="千分位 9 3 3" xfId="391" xr:uid="{287FE3D3-F00A-42F5-B065-B9B0F0ADA623}"/>
    <cellStyle name="千分位 9 3 3 2" xfId="392" xr:uid="{38E34ADF-474D-4AAB-AA5B-A373AB3A83A7}"/>
    <cellStyle name="千分位 9 3 4" xfId="393" xr:uid="{D3BF9C48-A27C-4D6B-B9D6-3C657BDF795F}"/>
    <cellStyle name="千分位 9 4" xfId="394" xr:uid="{BA7E03D0-FFE3-4D03-9A44-7C04E5880F65}"/>
    <cellStyle name="千分位 9 4 2" xfId="395" xr:uid="{91850CC1-023A-4ADB-99E9-2FCF56584930}"/>
    <cellStyle name="千分位 9 4 2 2" xfId="396" xr:uid="{C62D7973-F1AB-4C0D-9947-E669C656ECC1}"/>
    <cellStyle name="千分位 9 4 3" xfId="397" xr:uid="{50960BDD-98CF-4C97-9198-7EA0EE42AF63}"/>
    <cellStyle name="千分位 9 5" xfId="398" xr:uid="{3B52D3F8-F979-4916-B923-378FEECFA034}"/>
    <cellStyle name="千分位 9 5 2" xfId="399" xr:uid="{69B7D580-F116-4B4B-AE8D-A5BA4B8A69F3}"/>
    <cellStyle name="千分位 9 5 3" xfId="400" xr:uid="{4716F557-AD6E-4384-BE1E-9D5C15532B92}"/>
    <cellStyle name="千分位 9 6" xfId="401" xr:uid="{958EF142-EE3A-42A6-A0EE-AFF6677659EC}"/>
    <cellStyle name="百分比" xfId="402" builtinId="5"/>
    <cellStyle name="百分比 2" xfId="403" xr:uid="{00000000-0005-0000-0000-000062000000}"/>
    <cellStyle name="百分比 2 2" xfId="404" xr:uid="{00000000-0005-0000-0000-000063000000}"/>
    <cellStyle name="百分比 2 2 2" xfId="405" xr:uid="{00000000-0005-0000-0000-000064000000}"/>
    <cellStyle name="百分比 2 2 2 2" xfId="406" xr:uid="{3B9EECDC-E106-4FE0-943C-A8AF9A6F83DB}"/>
    <cellStyle name="百分比 2 2 2 2 2" xfId="407" xr:uid="{2F95E6D8-5A17-4950-AD62-DE1F408AE814}"/>
    <cellStyle name="百分比 2 2 2 2 3" xfId="408" xr:uid="{0FD875DD-B6F6-43EC-A0C7-F444D4189CD4}"/>
    <cellStyle name="百分比 2 3" xfId="409" xr:uid="{00000000-0005-0000-0000-000065000000}"/>
    <cellStyle name="百分比 2 4" xfId="410" xr:uid="{37815DD2-E54B-4C77-9ACF-4AE8C575F988}"/>
    <cellStyle name="百分比 2 5" xfId="411" xr:uid="{68CAF0C3-147E-4F67-B170-63159E79E0E2}"/>
    <cellStyle name="百分比 3" xfId="412" xr:uid="{00000000-0005-0000-0000-000066000000}"/>
    <cellStyle name="百分比 4" xfId="413" xr:uid="{00000000-0005-0000-0000-000067000000}"/>
    <cellStyle name="百分比 5" xfId="414" xr:uid="{00000000-0005-0000-0000-000068000000}"/>
    <cellStyle name="百分比 5 2" xfId="415" xr:uid="{00000000-0005-0000-0000-000069000000}"/>
    <cellStyle name="百分比 5 2 2" xfId="416" xr:uid="{166D8B89-3727-4F3D-B15A-377C2B4292D5}"/>
    <cellStyle name="百分比 5 3" xfId="417" xr:uid="{16C795B7-EE24-41B9-A379-46DFA25C242E}"/>
    <cellStyle name="百分比 5 4" xfId="418" xr:uid="{B41513D4-C2BA-4CAD-B255-11A692116CF8}"/>
    <cellStyle name="百分比 6" xfId="419" xr:uid="{00000000-0005-0000-0000-00006A000000}"/>
    <cellStyle name="百分比 6 2" xfId="420" xr:uid="{00000000-0005-0000-0000-00006B000000}"/>
    <cellStyle name="百分比 6 2 2" xfId="421" xr:uid="{6B96C8F9-D73F-4F06-A481-3F7DC29CE846}"/>
    <cellStyle name="百分比 6 3" xfId="422" xr:uid="{2BC27672-7B18-4C9A-8B98-429C7279678D}"/>
    <cellStyle name="百分比 6 4" xfId="423" xr:uid="{00000000-0005-0000-0000-00006C000000}"/>
    <cellStyle name="百分比 6 4 2" xfId="424" xr:uid="{00000000-0005-0000-0000-00006D000000}"/>
    <cellStyle name="百分比 6 4 2 2" xfId="425" xr:uid="{00000000-0005-0000-0000-00006E000000}"/>
    <cellStyle name="百分比 6 4 2 2 2" xfId="426" xr:uid="{1F3D5EB2-B887-4D88-BC87-BFA57F2FB6C8}"/>
    <cellStyle name="百分比 6 4 2 3" xfId="427" xr:uid="{2B28AE43-1121-440E-A675-463AF0201403}"/>
    <cellStyle name="百分比 6 4 2 4" xfId="428" xr:uid="{09237303-3596-4339-B1F1-E98A124EC743}"/>
    <cellStyle name="百分比 6 4 3" xfId="429" xr:uid="{00000000-0005-0000-0000-00006F000000}"/>
    <cellStyle name="百分比 6 4 3 2" xfId="430" xr:uid="{00000000-0005-0000-0000-000070000000}"/>
    <cellStyle name="百分比 6 4 3 2 2" xfId="431" xr:uid="{3AF81C8C-CFE7-4425-B981-1F31E375F471}"/>
    <cellStyle name="百分比 6 4 3 3" xfId="432" xr:uid="{2B5C7C25-B0B0-4583-A856-233EE437A454}"/>
    <cellStyle name="百分比 6 4 3 4" xfId="433" xr:uid="{579D6AE0-92DE-4B39-8C61-E02616B13B2F}"/>
    <cellStyle name="百分比 6 4 4" xfId="434" xr:uid="{00000000-0005-0000-0000-000071000000}"/>
    <cellStyle name="百分比 6 4 4 2" xfId="435" xr:uid="{00000000-0005-0000-0000-000072000000}"/>
    <cellStyle name="百分比 6 4 4 2 2" xfId="436" xr:uid="{8886DD24-E9F9-4EC3-95DA-E4C9F44320C4}"/>
    <cellStyle name="百分比 6 4 4 3" xfId="437" xr:uid="{A1E9C3C7-3376-444B-B7B0-AA73379DFB12}"/>
    <cellStyle name="百分比 6 4 4 4" xfId="438" xr:uid="{1C14D180-FB38-4D44-A63C-7A576976B40A}"/>
    <cellStyle name="百分比 6 4 5" xfId="439" xr:uid="{00000000-0005-0000-0000-000073000000}"/>
    <cellStyle name="百分比 6 4 5 2" xfId="440" xr:uid="{C9339DCA-0B66-40A1-BE9A-1E22EB291CCD}"/>
    <cellStyle name="百分比 6 4 6" xfId="441" xr:uid="{B78C6FF1-105D-4508-AC92-5140747F87FF}"/>
    <cellStyle name="百分比 6 4 7" xfId="442" xr:uid="{BE08CBC2-5EBE-42C9-A48C-B1A113339E85}"/>
    <cellStyle name="百分比 6 5" xfId="443" xr:uid="{460B9BBC-466A-4851-A559-45F8260BF566}"/>
    <cellStyle name="百分比 7" xfId="444" xr:uid="{00000000-0005-0000-0000-000074000000}"/>
    <cellStyle name="百分比 7 2" xfId="445" xr:uid="{00000000-0005-0000-0000-000075000000}"/>
    <cellStyle name="百分比 7 2 2" xfId="446" xr:uid="{B1682D47-F4BC-4BF3-BFB8-A410889D4182}"/>
    <cellStyle name="百分比 7 3" xfId="447" xr:uid="{29D8A7F6-8DB0-4487-BFD9-B5903F7848A4}"/>
    <cellStyle name="百分比 7 3 2" xfId="448" xr:uid="{65DC7A7C-83E8-4A69-85DB-5A12ED784F8E}"/>
    <cellStyle name="百分比 7 4" xfId="449" xr:uid="{CD32A1E4-5AC7-4C9B-8331-D1E8C9F49D00}"/>
    <cellStyle name="百分比 8" xfId="450" xr:uid="{00000000-0005-0000-0000-000076000000}"/>
    <cellStyle name="百分比 8 2" xfId="451" xr:uid="{00000000-0005-0000-0000-000077000000}"/>
    <cellStyle name="百分比 8 2 2" xfId="452" xr:uid="{4ADB6253-F575-4CD2-A333-D426DC97C169}"/>
    <cellStyle name="百分比 8 3" xfId="453" xr:uid="{A4C8053C-7F0B-49DD-AA88-D04DF3F66781}"/>
    <cellStyle name="百分比 8 4" xfId="454" xr:uid="{A7ADCBDC-9F1F-4E1C-B22F-036C15764F9E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I31" sqref="I31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8" width="12.5703125" style="150" customWidth="1"/>
    <col min="49" max="16384" width="12.5703125" style="150"/>
  </cols>
  <sheetData>
    <row r="1" spans="1:14" ht="15.75" customHeight="1" x14ac:dyDescent="0.25">
      <c r="A1" s="418" t="s">
        <v>0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150"/>
    </row>
    <row r="2" spans="1:14" s="151" customFormat="1" ht="15.75" customHeight="1" x14ac:dyDescent="0.25">
      <c r="A2" s="418"/>
      <c r="B2" s="418"/>
      <c r="C2" s="418"/>
      <c r="D2" s="418"/>
      <c r="E2" s="418"/>
      <c r="F2" s="418"/>
      <c r="G2" s="418"/>
      <c r="H2" s="418"/>
      <c r="I2" s="418"/>
      <c r="J2" s="418"/>
      <c r="K2" s="418"/>
    </row>
    <row r="3" spans="1:14" ht="21.6" customHeight="1" x14ac:dyDescent="0.25">
      <c r="A3" s="267" t="s">
        <v>1</v>
      </c>
      <c r="B3" s="268">
        <v>6</v>
      </c>
      <c r="C3" s="269" t="s">
        <v>2</v>
      </c>
      <c r="D3" s="270" t="s">
        <v>3</v>
      </c>
      <c r="E3" s="267" t="s">
        <v>4</v>
      </c>
      <c r="F3" s="439" t="s">
        <v>5</v>
      </c>
      <c r="G3" s="440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'（１）收支狀況'!G27/1000</f>
        <v>20223.11838</v>
      </c>
      <c r="C6" s="155">
        <v>18557.273349999999</v>
      </c>
      <c r="D6" s="155">
        <f t="shared" ref="D6:D11" si="0">B6-C6</f>
        <v>1665.8450300000004</v>
      </c>
      <c r="E6" s="155">
        <f>'（１）收支狀況'!H5/1000</f>
        <v>80775.18716999999</v>
      </c>
      <c r="G6" s="175" t="s">
        <v>17</v>
      </c>
      <c r="H6" s="278">
        <f>'（２）ＫＰＩ達成進度'!C1</f>
        <v>122.3</v>
      </c>
      <c r="I6" s="278">
        <f>'（２）ＫＰＩ達成進度'!G27</f>
        <v>108.79999999999998</v>
      </c>
      <c r="J6" s="278">
        <v>113.58571428571429</v>
      </c>
      <c r="K6" s="357">
        <f>'（２）ＫＰＩ達成進度'!H5</f>
        <v>111.22758620689653</v>
      </c>
      <c r="L6" s="279" t="s">
        <v>18</v>
      </c>
    </row>
    <row r="7" spans="1:14" ht="18" customHeight="1" x14ac:dyDescent="0.25">
      <c r="A7" s="175" t="s">
        <v>19</v>
      </c>
      <c r="B7" s="155">
        <f>SUM('（１）收支狀況'!J27)</f>
        <v>444044</v>
      </c>
      <c r="C7" s="155">
        <v>442049</v>
      </c>
      <c r="D7" s="155">
        <f t="shared" si="0"/>
        <v>1995</v>
      </c>
      <c r="E7" s="350">
        <f>'（１）收支狀況'!K5</f>
        <v>1751581</v>
      </c>
      <c r="G7" s="175" t="s">
        <v>20</v>
      </c>
      <c r="H7" s="156">
        <v>0.8</v>
      </c>
      <c r="I7" s="156">
        <f>I6/H6</f>
        <v>0.88961569910057225</v>
      </c>
      <c r="J7" s="156">
        <f>J6/H6</f>
        <v>0.92874664174745947</v>
      </c>
      <c r="K7" s="156">
        <f>K6/H6</f>
        <v>0.90946513660585881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'（１）收支狀況'!M27/1000</f>
        <v>12797.6645794</v>
      </c>
      <c r="C8" s="155">
        <v>11728.682210499999</v>
      </c>
      <c r="D8" s="155">
        <f>B8-C8</f>
        <v>1068.9823689000004</v>
      </c>
      <c r="E8" s="155">
        <f>'（１）收支狀況'!N5/1000</f>
        <v>51140.267917100005</v>
      </c>
      <c r="G8" s="175" t="s">
        <v>23</v>
      </c>
      <c r="H8" s="156">
        <v>2.5000000000000001E-3</v>
      </c>
      <c r="I8" s="156">
        <f>SUM('日別報廢率總表 '!C26:C32)/SUM('日別報廢率總表 '!B26:B32)</f>
        <v>2.4297555983549559E-3</v>
      </c>
      <c r="J8" s="156">
        <f>SUM('日別報廢率總表 '!C19:C25)/SUM('日別報廢率總表 '!B19:B25)</f>
        <v>3.745624326465637E-3</v>
      </c>
      <c r="K8" s="156">
        <f>'日別報廢率總表 '!C36/'日別報廢率總表 '!B36</f>
        <v>2.8298777546490956E-3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0.63282350124877229</v>
      </c>
      <c r="C9" s="156">
        <f>C8/C6</f>
        <v>0.63202615973213538</v>
      </c>
      <c r="D9" s="156">
        <f t="shared" si="0"/>
        <v>7.9734151663690689E-4</v>
      </c>
      <c r="E9" s="156">
        <f>E8/E6</f>
        <v>0.63311853192577394</v>
      </c>
      <c r="G9" s="175" t="s">
        <v>26</v>
      </c>
      <c r="H9" s="156">
        <v>2.5000000000000001E-3</v>
      </c>
      <c r="I9" s="156">
        <f>SUM('日別報廢率總表 '!E26:E32)/SUM('日別報廢率總表 '!B26:B32)</f>
        <v>3.1510731308887294E-3</v>
      </c>
      <c r="J9" s="156">
        <f>SUM('日別報廢率總表 '!E19:E25)/SUM('日別報廢率總表 '!B19:B25)</f>
        <v>6.0725741730183868E-3</v>
      </c>
      <c r="K9" s="156">
        <f>'日別報廢率總表 '!E36/'日別報廢率總表 '!B36</f>
        <v>4.301396570381975E-3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'（２）ＫＰＩ達成進度'!S27</f>
        <v>0.28570000000000001</v>
      </c>
      <c r="J10" s="156">
        <v>0.28570000000000001</v>
      </c>
      <c r="K10" s="156">
        <f>'（２）ＫＰＩ達成進度'!T5</f>
        <v>0.28570000000000012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'（２）ＫＰＩ達成進度'!V27</f>
        <v>0.79999999999999993</v>
      </c>
      <c r="J11" s="156">
        <v>0.79999999999999993</v>
      </c>
      <c r="K11" s="156">
        <f>'（２）ＫＰＩ達成進度'!W5</f>
        <v>0.80000000000000038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SUM('（３）業績構成比'!I29:I35)/1000</f>
        <v>17977.835589999999</v>
      </c>
      <c r="C15" s="156">
        <f>B15/B6</f>
        <v>0.88897445251467688</v>
      </c>
      <c r="D15" s="156">
        <v>0.9079991826581123</v>
      </c>
      <c r="E15" s="156">
        <f>C15-D15</f>
        <v>-1.902473014343542E-2</v>
      </c>
      <c r="G15" s="175" t="s">
        <v>37</v>
      </c>
      <c r="H15" s="155">
        <f>SUM('（４）訂單數量構成比'!I29:I35)</f>
        <v>362699</v>
      </c>
      <c r="I15" s="156">
        <f>IFERROR(H15/$B$7,"")</f>
        <v>0.81680869463386507</v>
      </c>
      <c r="J15" s="156">
        <v>0.79308600294396547</v>
      </c>
      <c r="K15" s="156">
        <f>IFERROR(I15-J15,"")</f>
        <v>2.37226916898996E-2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SUM('（３）業績構成比'!M29:M35)/1000</f>
        <v>2245.2827900000002</v>
      </c>
      <c r="C17" s="156">
        <f>B17/B6</f>
        <v>0.11102554748532309</v>
      </c>
      <c r="D17" s="156">
        <v>9.2000817341887628E-2</v>
      </c>
      <c r="E17" s="156">
        <f>C17-D17</f>
        <v>1.9024730143435462E-2</v>
      </c>
      <c r="G17" s="175" t="s">
        <v>39</v>
      </c>
      <c r="H17" s="155">
        <f>SUM('（４）訂單數量構成比'!M29:M35)</f>
        <v>81345</v>
      </c>
      <c r="I17" s="156">
        <f>IFERROR(H17/$B$7,"")</f>
        <v>0.1831913053661349</v>
      </c>
      <c r="J17" s="156">
        <v>0.2069139970560345</v>
      </c>
      <c r="K17" s="156">
        <f>IFERROR(I17-J17,"")</f>
        <v>-2.37226916898996E-2</v>
      </c>
      <c r="L17" s="150"/>
    </row>
    <row r="18" spans="1:17" ht="15.75" customHeight="1" x14ac:dyDescent="0.25">
      <c r="C18" s="282">
        <f>SUM(C15:C17)</f>
        <v>1</v>
      </c>
      <c r="D18" s="282">
        <f>SUM(D15:D17)</f>
        <v>0.99999999999999989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108.8</v>
      </c>
      <c r="C22" s="176">
        <v>112.8</v>
      </c>
      <c r="D22" s="176">
        <f>B22-C22</f>
        <v>-4</v>
      </c>
      <c r="E22" s="396">
        <f>'（５-1）品群別人時生產性（熱食義麵）'!C1</f>
        <v>110.8404150683532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121.5</v>
      </c>
      <c r="C24" s="176">
        <v>123.6</v>
      </c>
      <c r="D24" s="176">
        <f>B24-C24</f>
        <v>-2.0999999999999943</v>
      </c>
      <c r="E24" s="396">
        <f>'（５-3）品群別人時生產性(微波小吃)'!C1</f>
        <v>116.98271044354028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P27" sqref="P27:P33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9" width="8.85546875" style="79" customWidth="1"/>
    <col min="60" max="16384" width="8.85546875" style="79"/>
  </cols>
  <sheetData>
    <row r="2" spans="2:23" ht="38.1" customHeight="1" x14ac:dyDescent="0.25">
      <c r="B2" s="442" t="s">
        <v>42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</row>
    <row r="3" spans="2:23" s="8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45" t="s">
        <v>46</v>
      </c>
      <c r="G3" s="445"/>
      <c r="H3" s="445"/>
      <c r="I3" s="443" t="s">
        <v>47</v>
      </c>
      <c r="J3" s="443"/>
      <c r="K3" s="443"/>
      <c r="L3" s="444" t="s">
        <v>48</v>
      </c>
      <c r="M3" s="444"/>
      <c r="N3" s="444"/>
      <c r="O3" s="450" t="s">
        <v>49</v>
      </c>
      <c r="P3" s="450"/>
      <c r="Q3" s="450"/>
      <c r="R3" s="449" t="s">
        <v>50</v>
      </c>
      <c r="S3" s="449"/>
      <c r="T3" s="449"/>
      <c r="U3" s="450" t="s">
        <v>51</v>
      </c>
      <c r="V3" s="450"/>
      <c r="W3" s="450"/>
    </row>
    <row r="4" spans="2:23" s="81" customFormat="1" ht="23.45" customHeight="1" x14ac:dyDescent="0.25">
      <c r="B4" s="446"/>
      <c r="C4" s="447"/>
      <c r="D4" s="448"/>
      <c r="E4" s="448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304"/>
      <c r="C5" s="456" t="s">
        <v>55</v>
      </c>
      <c r="D5" s="300">
        <v>46174</v>
      </c>
      <c r="E5" s="301" t="s">
        <v>56</v>
      </c>
      <c r="F5" s="86">
        <v>2835002.98</v>
      </c>
      <c r="G5" s="305">
        <f>SUM(F5)</f>
        <v>2835002.98</v>
      </c>
      <c r="H5" s="452">
        <f>SUM(F5:F34)</f>
        <v>80775187.169999987</v>
      </c>
      <c r="I5" s="190">
        <v>64603</v>
      </c>
      <c r="J5" s="401">
        <f>SUM(I5)</f>
        <v>64603</v>
      </c>
      <c r="K5" s="454">
        <f>SUM(I5:I34)</f>
        <v>1751581</v>
      </c>
      <c r="L5" s="86">
        <v>1795051.8774000001</v>
      </c>
      <c r="M5" s="305">
        <f>SUM(L5)</f>
        <v>1795051.8774000001</v>
      </c>
      <c r="N5" s="452">
        <f>SUM(L5:L34)</f>
        <v>51140267.917100005</v>
      </c>
      <c r="O5" s="332">
        <f>L5/F5</f>
        <v>0.63317459983763402</v>
      </c>
      <c r="P5" s="404">
        <f>M5/G5</f>
        <v>0.63317459983763402</v>
      </c>
      <c r="Q5" s="451">
        <f>N5/H5</f>
        <v>0.63311853192577394</v>
      </c>
      <c r="S5" s="402">
        <f>SUM(R5)</f>
        <v>0</v>
      </c>
      <c r="T5" s="452">
        <f>SUM(R5:R36)</f>
        <v>0</v>
      </c>
      <c r="U5" s="89">
        <f>R5/F5</f>
        <v>0</v>
      </c>
      <c r="V5" s="404">
        <f>S5/M5</f>
        <v>0</v>
      </c>
      <c r="W5" s="451">
        <f>T5/N5</f>
        <v>0</v>
      </c>
    </row>
    <row r="6" spans="2:23" x14ac:dyDescent="0.25">
      <c r="B6" s="455">
        <v>46182</v>
      </c>
      <c r="C6" s="456"/>
      <c r="D6" s="300">
        <v>46175</v>
      </c>
      <c r="E6" s="301" t="s">
        <v>57</v>
      </c>
      <c r="F6" s="86">
        <v>2722521.86</v>
      </c>
      <c r="G6" s="441">
        <f>SUM(F6:F12)</f>
        <v>18052963.149999999</v>
      </c>
      <c r="H6" s="452"/>
      <c r="I6" s="306">
        <v>62091</v>
      </c>
      <c r="J6" s="454">
        <f>SUM(I6:I12)</f>
        <v>407538</v>
      </c>
      <c r="K6" s="454"/>
      <c r="L6" s="86">
        <v>1725188.7718</v>
      </c>
      <c r="M6" s="441">
        <f>SUM(L6:L12)</f>
        <v>11435366.784500001</v>
      </c>
      <c r="N6" s="452"/>
      <c r="O6" s="332">
        <f>L6/F6</f>
        <v>0.63367306508973265</v>
      </c>
      <c r="P6" s="453">
        <f>M6/G6</f>
        <v>0.63343433925416293</v>
      </c>
      <c r="Q6" s="451"/>
      <c r="S6" s="441">
        <f>SUM(R6:R12)</f>
        <v>0</v>
      </c>
      <c r="T6" s="452"/>
      <c r="U6" s="89">
        <f t="shared" ref="U6:U35" si="0">R6/F6</f>
        <v>0</v>
      </c>
      <c r="V6" s="453">
        <f>S6/M6</f>
        <v>0</v>
      </c>
      <c r="W6" s="451"/>
    </row>
    <row r="7" spans="2:23" x14ac:dyDescent="0.25">
      <c r="B7" s="455"/>
      <c r="C7" s="456"/>
      <c r="D7" s="300">
        <v>46176</v>
      </c>
      <c r="E7" s="300" t="s">
        <v>58</v>
      </c>
      <c r="F7" s="86">
        <v>2452866.64</v>
      </c>
      <c r="G7" s="441"/>
      <c r="H7" s="452"/>
      <c r="I7" s="306">
        <v>55658</v>
      </c>
      <c r="J7" s="454"/>
      <c r="K7" s="454"/>
      <c r="L7" s="86">
        <v>1554005.9831999999</v>
      </c>
      <c r="M7" s="441"/>
      <c r="N7" s="452"/>
      <c r="O7" s="332">
        <f t="shared" ref="O7:O34" si="1">L7/F7</f>
        <v>0.63354687036715529</v>
      </c>
      <c r="P7" s="453"/>
      <c r="Q7" s="451"/>
      <c r="S7" s="441"/>
      <c r="T7" s="452"/>
      <c r="U7" s="89">
        <f t="shared" si="0"/>
        <v>0</v>
      </c>
      <c r="V7" s="453"/>
      <c r="W7" s="451"/>
    </row>
    <row r="8" spans="2:23" x14ac:dyDescent="0.25">
      <c r="B8" s="455"/>
      <c r="C8" s="456"/>
      <c r="D8" s="300">
        <v>46177</v>
      </c>
      <c r="E8" s="301" t="s">
        <v>59</v>
      </c>
      <c r="F8" s="86">
        <v>2382946.1100000003</v>
      </c>
      <c r="G8" s="441"/>
      <c r="H8" s="452"/>
      <c r="I8" s="306">
        <v>54358</v>
      </c>
      <c r="J8" s="454"/>
      <c r="K8" s="454"/>
      <c r="L8" s="86">
        <v>1509256.0493000001</v>
      </c>
      <c r="M8" s="441"/>
      <c r="N8" s="452"/>
      <c r="O8" s="332">
        <f t="shared" si="1"/>
        <v>0.63335718880356884</v>
      </c>
      <c r="P8" s="453"/>
      <c r="Q8" s="451"/>
      <c r="S8" s="441"/>
      <c r="T8" s="452"/>
      <c r="U8" s="89">
        <f t="shared" si="0"/>
        <v>0</v>
      </c>
      <c r="V8" s="453"/>
      <c r="W8" s="451"/>
    </row>
    <row r="9" spans="2:23" x14ac:dyDescent="0.25">
      <c r="B9" s="455"/>
      <c r="C9" s="456"/>
      <c r="D9" s="300">
        <v>46178</v>
      </c>
      <c r="E9" s="301" t="s">
        <v>60</v>
      </c>
      <c r="F9" s="86">
        <v>1944479.05</v>
      </c>
      <c r="G9" s="441"/>
      <c r="H9" s="452"/>
      <c r="I9" s="298">
        <v>46341</v>
      </c>
      <c r="J9" s="454"/>
      <c r="K9" s="454"/>
      <c r="L9" s="86">
        <v>1232021.8015000001</v>
      </c>
      <c r="M9" s="441"/>
      <c r="N9" s="452"/>
      <c r="O9" s="332">
        <f t="shared" si="1"/>
        <v>0.63359993593142594</v>
      </c>
      <c r="P9" s="453"/>
      <c r="Q9" s="451"/>
      <c r="S9" s="441"/>
      <c r="T9" s="452"/>
      <c r="U9" s="89">
        <f t="shared" si="0"/>
        <v>0</v>
      </c>
      <c r="V9" s="453"/>
      <c r="W9" s="451"/>
    </row>
    <row r="10" spans="2:23" x14ac:dyDescent="0.25">
      <c r="B10" s="455"/>
      <c r="C10" s="456"/>
      <c r="D10" s="300">
        <v>46179</v>
      </c>
      <c r="E10" s="301" t="s">
        <v>55</v>
      </c>
      <c r="F10" s="86">
        <v>2318273.63</v>
      </c>
      <c r="G10" s="441"/>
      <c r="H10" s="452"/>
      <c r="I10" s="298">
        <v>53256</v>
      </c>
      <c r="J10" s="454"/>
      <c r="K10" s="454"/>
      <c r="L10" s="86">
        <v>1468512.3869</v>
      </c>
      <c r="M10" s="441"/>
      <c r="N10" s="452"/>
      <c r="O10" s="332">
        <f t="shared" si="1"/>
        <v>0.63345084372115301</v>
      </c>
      <c r="P10" s="453"/>
      <c r="Q10" s="451"/>
      <c r="S10" s="441"/>
      <c r="T10" s="452"/>
      <c r="U10" s="89">
        <f t="shared" si="0"/>
        <v>0</v>
      </c>
      <c r="V10" s="453"/>
      <c r="W10" s="451"/>
    </row>
    <row r="11" spans="2:23" x14ac:dyDescent="0.25">
      <c r="B11" s="455"/>
      <c r="C11" s="456"/>
      <c r="D11" s="300">
        <v>46180</v>
      </c>
      <c r="E11" s="301" t="s">
        <v>52</v>
      </c>
      <c r="F11" s="86">
        <v>2991875.15</v>
      </c>
      <c r="G11" s="441"/>
      <c r="H11" s="452"/>
      <c r="I11" s="298">
        <v>68143</v>
      </c>
      <c r="J11" s="454"/>
      <c r="K11" s="454"/>
      <c r="L11" s="86">
        <v>1894881.3444999999</v>
      </c>
      <c r="M11" s="441"/>
      <c r="N11" s="452"/>
      <c r="O11" s="332">
        <f t="shared" si="1"/>
        <v>0.63334238546016863</v>
      </c>
      <c r="P11" s="453"/>
      <c r="Q11" s="451"/>
      <c r="S11" s="441"/>
      <c r="T11" s="452"/>
      <c r="U11" s="89">
        <f t="shared" si="0"/>
        <v>0</v>
      </c>
      <c r="V11" s="453"/>
      <c r="W11" s="451"/>
    </row>
    <row r="12" spans="2:23" x14ac:dyDescent="0.25">
      <c r="B12" s="455"/>
      <c r="C12" s="456"/>
      <c r="D12" s="300">
        <v>46181</v>
      </c>
      <c r="E12" s="301" t="s">
        <v>56</v>
      </c>
      <c r="F12" s="86">
        <v>3240000.71</v>
      </c>
      <c r="G12" s="441"/>
      <c r="H12" s="452"/>
      <c r="I12" s="298">
        <v>67691</v>
      </c>
      <c r="J12" s="454"/>
      <c r="K12" s="454"/>
      <c r="L12" s="86">
        <v>2051500.4473000001</v>
      </c>
      <c r="M12" s="441"/>
      <c r="N12" s="452"/>
      <c r="O12" s="332">
        <f t="shared" si="1"/>
        <v>0.63317901164904378</v>
      </c>
      <c r="P12" s="453"/>
      <c r="Q12" s="451"/>
      <c r="S12" s="441"/>
      <c r="T12" s="452"/>
      <c r="U12" s="89">
        <f t="shared" si="0"/>
        <v>0</v>
      </c>
      <c r="V12" s="453"/>
      <c r="W12" s="451"/>
    </row>
    <row r="13" spans="2:23" x14ac:dyDescent="0.25">
      <c r="B13" s="455">
        <v>46189</v>
      </c>
      <c r="C13" s="456"/>
      <c r="D13" s="300">
        <v>46182</v>
      </c>
      <c r="E13" s="301" t="s">
        <v>57</v>
      </c>
      <c r="F13" s="86">
        <v>3508974.2400000007</v>
      </c>
      <c r="G13" s="441">
        <f>SUM(F13:F19)</f>
        <v>21305360.43</v>
      </c>
      <c r="H13" s="452"/>
      <c r="I13" s="298">
        <v>73200</v>
      </c>
      <c r="J13" s="454">
        <f>SUM(I13:I19)</f>
        <v>442049</v>
      </c>
      <c r="K13" s="454"/>
      <c r="L13" s="86">
        <v>2219653.7711999998</v>
      </c>
      <c r="M13" s="441">
        <f>SUM(L13:L19)</f>
        <v>13486877.070899999</v>
      </c>
      <c r="N13" s="452"/>
      <c r="O13" s="332">
        <f t="shared" si="1"/>
        <v>0.63256485211473068</v>
      </c>
      <c r="P13" s="453">
        <f>M13/G13</f>
        <v>0.63302740712657346</v>
      </c>
      <c r="Q13" s="451"/>
      <c r="S13" s="441">
        <f>SUM(R13:R19)</f>
        <v>0</v>
      </c>
      <c r="T13" s="452"/>
      <c r="U13" s="89">
        <f t="shared" si="0"/>
        <v>0</v>
      </c>
      <c r="V13" s="453">
        <f>S13/M13</f>
        <v>0</v>
      </c>
      <c r="W13" s="451"/>
    </row>
    <row r="14" spans="2:23" x14ac:dyDescent="0.25">
      <c r="B14" s="455"/>
      <c r="C14" s="456"/>
      <c r="D14" s="300">
        <v>46183</v>
      </c>
      <c r="E14" s="300" t="s">
        <v>58</v>
      </c>
      <c r="F14" s="86">
        <v>3139480.9699999997</v>
      </c>
      <c r="G14" s="441"/>
      <c r="H14" s="452"/>
      <c r="I14" s="298">
        <v>64942</v>
      </c>
      <c r="J14" s="454"/>
      <c r="K14" s="454"/>
      <c r="L14" s="86">
        <v>1986873.0111</v>
      </c>
      <c r="M14" s="441"/>
      <c r="N14" s="452"/>
      <c r="O14" s="332">
        <f t="shared" si="1"/>
        <v>0.63286671589539856</v>
      </c>
      <c r="P14" s="453"/>
      <c r="Q14" s="451"/>
      <c r="S14" s="441"/>
      <c r="T14" s="452"/>
      <c r="U14" s="89">
        <f t="shared" si="0"/>
        <v>0</v>
      </c>
      <c r="V14" s="453"/>
      <c r="W14" s="451"/>
    </row>
    <row r="15" spans="2:23" x14ac:dyDescent="0.25">
      <c r="B15" s="455"/>
      <c r="C15" s="456"/>
      <c r="D15" s="300">
        <v>46184</v>
      </c>
      <c r="E15" s="301" t="s">
        <v>59</v>
      </c>
      <c r="F15" s="86">
        <v>3042840.87</v>
      </c>
      <c r="G15" s="441"/>
      <c r="H15" s="452"/>
      <c r="I15" s="298">
        <v>62899</v>
      </c>
      <c r="J15" s="454"/>
      <c r="K15" s="454"/>
      <c r="L15" s="86">
        <v>1926989.7481</v>
      </c>
      <c r="M15" s="441"/>
      <c r="N15" s="452"/>
      <c r="O15" s="332">
        <f t="shared" si="1"/>
        <v>0.63328640255183632</v>
      </c>
      <c r="P15" s="453"/>
      <c r="Q15" s="451"/>
      <c r="S15" s="441"/>
      <c r="T15" s="452"/>
      <c r="U15" s="89">
        <f t="shared" si="0"/>
        <v>0</v>
      </c>
      <c r="V15" s="453"/>
      <c r="W15" s="451"/>
    </row>
    <row r="16" spans="2:23" x14ac:dyDescent="0.25">
      <c r="B16" s="455"/>
      <c r="C16" s="456"/>
      <c r="D16" s="300">
        <v>46185</v>
      </c>
      <c r="E16" s="301" t="s">
        <v>60</v>
      </c>
      <c r="F16" s="86">
        <v>2238951.3900000006</v>
      </c>
      <c r="G16" s="441"/>
      <c r="H16" s="452"/>
      <c r="I16" s="306">
        <v>46456</v>
      </c>
      <c r="J16" s="454"/>
      <c r="K16" s="454"/>
      <c r="L16" s="86">
        <v>1417539.3757</v>
      </c>
      <c r="M16" s="441"/>
      <c r="N16" s="452"/>
      <c r="O16" s="332">
        <f t="shared" si="1"/>
        <v>0.63312646358972524</v>
      </c>
      <c r="P16" s="453"/>
      <c r="Q16" s="451"/>
      <c r="S16" s="441"/>
      <c r="T16" s="452"/>
      <c r="U16" s="89">
        <f t="shared" si="0"/>
        <v>0</v>
      </c>
      <c r="V16" s="453"/>
      <c r="W16" s="451"/>
    </row>
    <row r="17" spans="2:23" x14ac:dyDescent="0.25">
      <c r="B17" s="455"/>
      <c r="C17" s="456"/>
      <c r="D17" s="300">
        <v>46186</v>
      </c>
      <c r="E17" s="301" t="s">
        <v>55</v>
      </c>
      <c r="F17" s="86">
        <v>2665425.63</v>
      </c>
      <c r="G17" s="441"/>
      <c r="H17" s="452"/>
      <c r="I17" s="306">
        <v>55395</v>
      </c>
      <c r="J17" s="454"/>
      <c r="K17" s="454"/>
      <c r="L17" s="86">
        <v>1686718.1469000001</v>
      </c>
      <c r="M17" s="441"/>
      <c r="N17" s="452"/>
      <c r="O17" s="332">
        <f t="shared" si="1"/>
        <v>0.63281380951529309</v>
      </c>
      <c r="P17" s="453"/>
      <c r="Q17" s="451"/>
      <c r="S17" s="441"/>
      <c r="T17" s="452"/>
      <c r="U17" s="89">
        <f t="shared" si="0"/>
        <v>0</v>
      </c>
      <c r="V17" s="453"/>
      <c r="W17" s="451"/>
    </row>
    <row r="18" spans="2:23" x14ac:dyDescent="0.25">
      <c r="B18" s="455"/>
      <c r="C18" s="456"/>
      <c r="D18" s="300">
        <v>46187</v>
      </c>
      <c r="E18" s="301" t="s">
        <v>52</v>
      </c>
      <c r="F18" s="86">
        <v>3415399.91</v>
      </c>
      <c r="G18" s="441"/>
      <c r="H18" s="452"/>
      <c r="I18" s="306">
        <v>70645</v>
      </c>
      <c r="J18" s="454"/>
      <c r="K18" s="454"/>
      <c r="L18" s="86">
        <v>2162701.9432999999</v>
      </c>
      <c r="M18" s="441"/>
      <c r="N18" s="452"/>
      <c r="O18" s="332">
        <f t="shared" si="1"/>
        <v>0.63322070629790461</v>
      </c>
      <c r="P18" s="453"/>
      <c r="Q18" s="451"/>
      <c r="S18" s="441"/>
      <c r="T18" s="452"/>
      <c r="U18" s="89">
        <f t="shared" si="0"/>
        <v>0</v>
      </c>
      <c r="V18" s="453"/>
      <c r="W18" s="451"/>
    </row>
    <row r="19" spans="2:23" x14ac:dyDescent="0.25">
      <c r="B19" s="455"/>
      <c r="C19" s="456"/>
      <c r="D19" s="300">
        <v>46188</v>
      </c>
      <c r="E19" s="301" t="s">
        <v>56</v>
      </c>
      <c r="F19" s="86">
        <v>3294287.42</v>
      </c>
      <c r="G19" s="441"/>
      <c r="H19" s="452"/>
      <c r="I19" s="306">
        <v>68512</v>
      </c>
      <c r="J19" s="454"/>
      <c r="K19" s="454"/>
      <c r="L19" s="86">
        <v>2086401.0745999999</v>
      </c>
      <c r="M19" s="441"/>
      <c r="N19" s="452"/>
      <c r="O19" s="332">
        <f t="shared" si="1"/>
        <v>0.63333911362233231</v>
      </c>
      <c r="P19" s="453"/>
      <c r="Q19" s="451"/>
      <c r="S19" s="441"/>
      <c r="T19" s="452"/>
      <c r="U19" s="89">
        <f t="shared" si="0"/>
        <v>0</v>
      </c>
      <c r="V19" s="453"/>
      <c r="W19" s="451"/>
    </row>
    <row r="20" spans="2:23" x14ac:dyDescent="0.25">
      <c r="B20" s="455">
        <v>46196</v>
      </c>
      <c r="C20" s="456"/>
      <c r="D20" s="300">
        <v>46189</v>
      </c>
      <c r="E20" s="301" t="s">
        <v>57</v>
      </c>
      <c r="F20" s="86">
        <v>3209761.18</v>
      </c>
      <c r="G20" s="441">
        <f>SUM(F20:F26)</f>
        <v>18358742.23</v>
      </c>
      <c r="H20" s="452"/>
      <c r="I20" s="306">
        <v>69273</v>
      </c>
      <c r="J20" s="454">
        <f>SUM(I20:I26)</f>
        <v>393347</v>
      </c>
      <c r="K20" s="454"/>
      <c r="L20" s="86">
        <v>2032149.5434000001</v>
      </c>
      <c r="M20" s="441">
        <f>SUM(L20:L26)</f>
        <v>11625307.604900001</v>
      </c>
      <c r="N20" s="452"/>
      <c r="O20" s="332">
        <f t="shared" si="1"/>
        <v>0.63311549658657162</v>
      </c>
      <c r="P20" s="453">
        <f>M20/G20</f>
        <v>0.63323006877361665</v>
      </c>
      <c r="Q20" s="451"/>
      <c r="S20" s="441">
        <f>SUM(R20:R26)</f>
        <v>0</v>
      </c>
      <c r="T20" s="452"/>
      <c r="U20" s="89">
        <f t="shared" si="0"/>
        <v>0</v>
      </c>
      <c r="V20" s="453">
        <f>S20/M20</f>
        <v>0</v>
      </c>
      <c r="W20" s="451"/>
    </row>
    <row r="21" spans="2:23" x14ac:dyDescent="0.25">
      <c r="B21" s="455"/>
      <c r="C21" s="456"/>
      <c r="D21" s="300">
        <v>46190</v>
      </c>
      <c r="E21" s="300" t="s">
        <v>58</v>
      </c>
      <c r="F21" s="86">
        <v>2739001.4199999995</v>
      </c>
      <c r="G21" s="441"/>
      <c r="H21" s="452"/>
      <c r="I21" s="306">
        <v>59082</v>
      </c>
      <c r="J21" s="454"/>
      <c r="K21" s="454"/>
      <c r="L21" s="86">
        <v>1734570.8946</v>
      </c>
      <c r="M21" s="441"/>
      <c r="N21" s="452"/>
      <c r="O21" s="332">
        <f t="shared" si="1"/>
        <v>0.63328586905223305</v>
      </c>
      <c r="P21" s="453"/>
      <c r="Q21" s="451"/>
      <c r="S21" s="441"/>
      <c r="T21" s="452"/>
      <c r="U21" s="89">
        <f t="shared" si="0"/>
        <v>0</v>
      </c>
      <c r="V21" s="453"/>
      <c r="W21" s="451"/>
    </row>
    <row r="22" spans="2:23" x14ac:dyDescent="0.25">
      <c r="B22" s="455"/>
      <c r="C22" s="456"/>
      <c r="D22" s="300">
        <v>46191</v>
      </c>
      <c r="E22" s="301" t="s">
        <v>59</v>
      </c>
      <c r="F22" s="86">
        <v>2148217.9</v>
      </c>
      <c r="G22" s="441"/>
      <c r="H22" s="452"/>
      <c r="I22" s="306">
        <v>45667</v>
      </c>
      <c r="J22" s="454"/>
      <c r="K22" s="454"/>
      <c r="L22" s="86">
        <v>1360077.277</v>
      </c>
      <c r="M22" s="441"/>
      <c r="N22" s="452"/>
      <c r="O22" s="332">
        <f t="shared" si="1"/>
        <v>0.6331188642455684</v>
      </c>
      <c r="P22" s="453"/>
      <c r="Q22" s="451"/>
      <c r="S22" s="441"/>
      <c r="T22" s="452"/>
      <c r="U22" s="89">
        <f t="shared" si="0"/>
        <v>0</v>
      </c>
      <c r="V22" s="453"/>
      <c r="W22" s="451"/>
    </row>
    <row r="23" spans="2:23" x14ac:dyDescent="0.25">
      <c r="B23" s="455"/>
      <c r="C23" s="456"/>
      <c r="D23" s="300">
        <v>46192</v>
      </c>
      <c r="E23" s="301" t="s">
        <v>60</v>
      </c>
      <c r="F23" s="86">
        <v>2051064.9900000005</v>
      </c>
      <c r="G23" s="441"/>
      <c r="H23" s="452"/>
      <c r="I23" s="306">
        <v>43813</v>
      </c>
      <c r="J23" s="454"/>
      <c r="K23" s="454"/>
      <c r="L23" s="86">
        <v>1299170.9436999999</v>
      </c>
      <c r="M23" s="441"/>
      <c r="N23" s="452"/>
      <c r="O23" s="332">
        <f t="shared" si="1"/>
        <v>0.63341286114000694</v>
      </c>
      <c r="P23" s="453"/>
      <c r="Q23" s="451"/>
      <c r="S23" s="441"/>
      <c r="T23" s="452"/>
      <c r="U23" s="89">
        <f t="shared" si="0"/>
        <v>0</v>
      </c>
      <c r="V23" s="453"/>
      <c r="W23" s="451"/>
    </row>
    <row r="24" spans="2:23" x14ac:dyDescent="0.25">
      <c r="B24" s="455"/>
      <c r="C24" s="456"/>
      <c r="D24" s="300">
        <v>46193</v>
      </c>
      <c r="E24" s="301" t="s">
        <v>55</v>
      </c>
      <c r="F24" s="86">
        <v>2183098.7199999997</v>
      </c>
      <c r="G24" s="441"/>
      <c r="H24" s="452"/>
      <c r="I24" s="306">
        <v>46311</v>
      </c>
      <c r="J24" s="454"/>
      <c r="K24" s="454"/>
      <c r="L24" s="86">
        <v>1382352.1936000001</v>
      </c>
      <c r="M24" s="441"/>
      <c r="N24" s="452"/>
      <c r="O24" s="332">
        <f t="shared" si="1"/>
        <v>0.63320645142423992</v>
      </c>
      <c r="P24" s="453"/>
      <c r="Q24" s="451"/>
      <c r="S24" s="441"/>
      <c r="T24" s="452"/>
      <c r="U24" s="89">
        <f t="shared" si="0"/>
        <v>0</v>
      </c>
      <c r="V24" s="453"/>
      <c r="W24" s="451"/>
    </row>
    <row r="25" spans="2:23" x14ac:dyDescent="0.25">
      <c r="B25" s="455"/>
      <c r="C25" s="456"/>
      <c r="D25" s="300">
        <v>46194</v>
      </c>
      <c r="E25" s="301" t="s">
        <v>52</v>
      </c>
      <c r="F25" s="86">
        <v>3045937.9499999997</v>
      </c>
      <c r="G25" s="441"/>
      <c r="H25" s="452"/>
      <c r="I25" s="306">
        <v>65708</v>
      </c>
      <c r="J25" s="454"/>
      <c r="K25" s="454"/>
      <c r="L25" s="86">
        <v>1928940.9084999999</v>
      </c>
      <c r="M25" s="441"/>
      <c r="N25" s="452"/>
      <c r="O25" s="332">
        <f t="shared" si="1"/>
        <v>0.63328306096977449</v>
      </c>
      <c r="P25" s="453"/>
      <c r="Q25" s="451"/>
      <c r="S25" s="441"/>
      <c r="T25" s="452"/>
      <c r="U25" s="89">
        <f t="shared" si="0"/>
        <v>0</v>
      </c>
      <c r="V25" s="453"/>
      <c r="W25" s="451"/>
    </row>
    <row r="26" spans="2:23" x14ac:dyDescent="0.25">
      <c r="B26" s="455"/>
      <c r="C26" s="456"/>
      <c r="D26" s="300">
        <v>46195</v>
      </c>
      <c r="E26" s="301" t="s">
        <v>56</v>
      </c>
      <c r="F26" s="86">
        <v>2981660.0700000003</v>
      </c>
      <c r="G26" s="441"/>
      <c r="H26" s="452"/>
      <c r="I26" s="306">
        <v>63493</v>
      </c>
      <c r="J26" s="454"/>
      <c r="K26" s="454"/>
      <c r="L26" s="86">
        <v>1888045.8441000001</v>
      </c>
      <c r="M26" s="441"/>
      <c r="N26" s="452"/>
      <c r="O26" s="332">
        <f t="shared" si="1"/>
        <v>0.63321968291979036</v>
      </c>
      <c r="P26" s="453"/>
      <c r="Q26" s="451"/>
      <c r="S26" s="441"/>
      <c r="T26" s="452"/>
      <c r="U26" s="89">
        <f t="shared" si="0"/>
        <v>0</v>
      </c>
      <c r="V26" s="453"/>
      <c r="W26" s="451"/>
    </row>
    <row r="27" spans="2:23" x14ac:dyDescent="0.25">
      <c r="B27" s="455">
        <v>46203</v>
      </c>
      <c r="C27" s="456"/>
      <c r="D27" s="300">
        <v>46196</v>
      </c>
      <c r="E27" s="301" t="s">
        <v>57</v>
      </c>
      <c r="F27" s="86">
        <v>3337100.0000000005</v>
      </c>
      <c r="G27" s="305">
        <f>SUM(F27:F33)</f>
        <v>20223118.379999999</v>
      </c>
      <c r="H27" s="452"/>
      <c r="I27" s="306">
        <v>71426</v>
      </c>
      <c r="J27" s="454">
        <f>SUM(I27:I33)</f>
        <v>444044</v>
      </c>
      <c r="K27" s="454"/>
      <c r="L27" s="86">
        <v>2112373</v>
      </c>
      <c r="M27" s="441">
        <f>SUM(L27:L33)</f>
        <v>12797664.579399999</v>
      </c>
      <c r="N27" s="452"/>
      <c r="O27" s="332">
        <f t="shared" si="1"/>
        <v>0.63299661382637606</v>
      </c>
      <c r="P27" s="453">
        <f>M27/G27</f>
        <v>0.63282350124877229</v>
      </c>
      <c r="Q27" s="451"/>
      <c r="S27" s="441">
        <f>SUM(R27:R33)</f>
        <v>0</v>
      </c>
      <c r="T27" s="452"/>
      <c r="U27" s="89">
        <f t="shared" si="0"/>
        <v>0</v>
      </c>
      <c r="V27" s="453">
        <f>S27/M27</f>
        <v>0</v>
      </c>
      <c r="W27" s="451"/>
    </row>
    <row r="28" spans="2:23" x14ac:dyDescent="0.25">
      <c r="B28" s="455"/>
      <c r="C28" s="456"/>
      <c r="D28" s="300">
        <v>46197</v>
      </c>
      <c r="E28" s="300" t="s">
        <v>58</v>
      </c>
      <c r="F28" s="86">
        <v>2882994.1599999997</v>
      </c>
      <c r="G28" s="305"/>
      <c r="H28" s="452"/>
      <c r="I28" s="306">
        <v>62078</v>
      </c>
      <c r="J28" s="454"/>
      <c r="K28" s="454"/>
      <c r="L28" s="86">
        <v>1825286.3208000001</v>
      </c>
      <c r="M28" s="441"/>
      <c r="N28" s="452"/>
      <c r="O28" s="332">
        <f t="shared" si="1"/>
        <v>0.63312175450261765</v>
      </c>
      <c r="P28" s="453"/>
      <c r="Q28" s="451"/>
      <c r="S28" s="441"/>
      <c r="T28" s="452"/>
      <c r="U28" s="89">
        <f t="shared" si="0"/>
        <v>0</v>
      </c>
      <c r="V28" s="453"/>
      <c r="W28" s="451"/>
    </row>
    <row r="29" spans="2:23" x14ac:dyDescent="0.25">
      <c r="B29" s="455"/>
      <c r="C29" s="456"/>
      <c r="D29" s="300">
        <v>46198</v>
      </c>
      <c r="E29" s="301" t="s">
        <v>59</v>
      </c>
      <c r="F29" s="86">
        <v>2814327.3600000003</v>
      </c>
      <c r="G29" s="305"/>
      <c r="H29" s="452"/>
      <c r="I29" s="306">
        <v>60486</v>
      </c>
      <c r="J29" s="454"/>
      <c r="K29" s="454"/>
      <c r="L29" s="86">
        <v>1781026.2368000001</v>
      </c>
      <c r="M29" s="441"/>
      <c r="N29" s="452"/>
      <c r="O29" s="332">
        <f t="shared" si="1"/>
        <v>0.63284259752923688</v>
      </c>
      <c r="P29" s="453"/>
      <c r="Q29" s="451"/>
      <c r="S29" s="441"/>
      <c r="T29" s="452"/>
      <c r="U29" s="89">
        <f t="shared" si="0"/>
        <v>0</v>
      </c>
      <c r="V29" s="453"/>
      <c r="W29" s="451"/>
    </row>
    <row r="30" spans="2:23" x14ac:dyDescent="0.25">
      <c r="B30" s="455"/>
      <c r="C30" s="456"/>
      <c r="D30" s="300">
        <v>46199</v>
      </c>
      <c r="E30" s="301" t="s">
        <v>60</v>
      </c>
      <c r="F30" s="86">
        <v>2265418.44</v>
      </c>
      <c r="G30" s="305"/>
      <c r="H30" s="452"/>
      <c r="I30" s="306">
        <v>48943</v>
      </c>
      <c r="J30" s="454"/>
      <c r="K30" s="454"/>
      <c r="L30" s="86">
        <v>1433013.6172</v>
      </c>
      <c r="M30" s="441"/>
      <c r="N30" s="452"/>
      <c r="O30" s="332">
        <f t="shared" si="1"/>
        <v>0.63256023341983569</v>
      </c>
      <c r="P30" s="453"/>
      <c r="Q30" s="451"/>
      <c r="S30" s="441"/>
      <c r="T30" s="452"/>
      <c r="U30" s="89">
        <f t="shared" si="0"/>
        <v>0</v>
      </c>
      <c r="V30" s="453"/>
      <c r="W30" s="451"/>
    </row>
    <row r="31" spans="2:23" x14ac:dyDescent="0.25">
      <c r="B31" s="455"/>
      <c r="C31" s="456"/>
      <c r="D31" s="300">
        <v>46200</v>
      </c>
      <c r="E31" s="301" t="s">
        <v>55</v>
      </c>
      <c r="F31" s="86">
        <v>2274198.5499999998</v>
      </c>
      <c r="G31" s="305"/>
      <c r="H31" s="452"/>
      <c r="I31" s="306">
        <v>58607</v>
      </c>
      <c r="J31" s="454"/>
      <c r="K31" s="454"/>
      <c r="L31" s="86">
        <v>1439045.0865</v>
      </c>
      <c r="M31" s="441"/>
      <c r="N31" s="452"/>
      <c r="O31" s="332">
        <f t="shared" si="1"/>
        <v>0.63277020667346751</v>
      </c>
      <c r="P31" s="453"/>
      <c r="Q31" s="451"/>
      <c r="S31" s="441"/>
      <c r="T31" s="452"/>
      <c r="U31" s="89">
        <f t="shared" si="0"/>
        <v>0</v>
      </c>
      <c r="V31" s="453"/>
      <c r="W31" s="451"/>
    </row>
    <row r="32" spans="2:23" x14ac:dyDescent="0.25">
      <c r="B32" s="455"/>
      <c r="C32" s="456"/>
      <c r="D32" s="300">
        <v>46201</v>
      </c>
      <c r="E32" s="301" t="s">
        <v>52</v>
      </c>
      <c r="F32" s="86">
        <v>3370259.74</v>
      </c>
      <c r="G32" s="305"/>
      <c r="H32" s="452"/>
      <c r="I32" s="306">
        <v>72372</v>
      </c>
      <c r="J32" s="454"/>
      <c r="K32" s="454"/>
      <c r="L32" s="86">
        <v>2132263.6362000001</v>
      </c>
      <c r="M32" s="441"/>
      <c r="N32" s="452"/>
      <c r="O32" s="332">
        <f t="shared" si="1"/>
        <v>0.63267041732516438</v>
      </c>
      <c r="P32" s="453"/>
      <c r="Q32" s="451"/>
      <c r="S32" s="441"/>
      <c r="T32" s="452"/>
      <c r="U32" s="89">
        <f t="shared" si="0"/>
        <v>0</v>
      </c>
      <c r="V32" s="453"/>
      <c r="W32" s="451"/>
    </row>
    <row r="33" spans="2:23" x14ac:dyDescent="0.25">
      <c r="B33" s="455"/>
      <c r="C33" s="456"/>
      <c r="D33" s="300">
        <v>46202</v>
      </c>
      <c r="E33" s="301" t="s">
        <v>56</v>
      </c>
      <c r="F33" s="86">
        <v>3278820.13</v>
      </c>
      <c r="G33" s="305"/>
      <c r="H33" s="452"/>
      <c r="I33" s="306">
        <v>70132</v>
      </c>
      <c r="J33" s="454"/>
      <c r="K33" s="454"/>
      <c r="L33" s="86">
        <v>2074656.6819</v>
      </c>
      <c r="M33" s="441"/>
      <c r="N33" s="452"/>
      <c r="O33" s="332">
        <f t="shared" si="1"/>
        <v>0.63274488982108335</v>
      </c>
      <c r="P33" s="453"/>
      <c r="Q33" s="451"/>
      <c r="S33" s="441"/>
      <c r="T33" s="452"/>
      <c r="U33" s="89">
        <f t="shared" si="0"/>
        <v>0</v>
      </c>
      <c r="V33" s="453"/>
      <c r="W33" s="451"/>
    </row>
    <row r="34" spans="2:23" x14ac:dyDescent="0.25">
      <c r="B34" s="304"/>
      <c r="C34" s="456"/>
      <c r="D34" s="300">
        <v>46203</v>
      </c>
      <c r="E34" s="301" t="s">
        <v>57</v>
      </c>
      <c r="G34" s="305"/>
      <c r="H34" s="452"/>
      <c r="I34" s="306"/>
      <c r="J34" s="298"/>
      <c r="K34" s="454"/>
      <c r="L34" s="86"/>
      <c r="M34" s="305"/>
      <c r="N34" s="452"/>
      <c r="O34" s="332" t="e">
        <f t="shared" si="1"/>
        <v>#DIV/0!</v>
      </c>
      <c r="P34" s="380"/>
      <c r="Q34" s="451"/>
      <c r="S34" s="305"/>
      <c r="T34" s="452"/>
      <c r="U34" s="89" t="e">
        <f t="shared" si="0"/>
        <v>#DIV/0!</v>
      </c>
      <c r="V34" s="305"/>
      <c r="W34" s="451"/>
    </row>
    <row r="35" spans="2:23" x14ac:dyDescent="0.25">
      <c r="B35" s="304"/>
      <c r="C35" s="456"/>
      <c r="D35" s="300"/>
      <c r="E35" s="300"/>
      <c r="G35" s="305"/>
      <c r="H35" s="351"/>
      <c r="I35" s="306"/>
      <c r="J35" s="298"/>
      <c r="K35" s="306"/>
      <c r="L35" s="86"/>
      <c r="M35" s="305"/>
      <c r="N35" s="351"/>
      <c r="O35" s="332"/>
      <c r="P35" s="380"/>
      <c r="Q35" s="299"/>
      <c r="S35" s="305"/>
      <c r="T35" s="351"/>
      <c r="U35" s="89" t="e">
        <f t="shared" si="0"/>
        <v>#DIV/0!</v>
      </c>
      <c r="V35" s="305"/>
      <c r="W35" s="351"/>
    </row>
    <row r="36" spans="2:23" x14ac:dyDescent="0.25">
      <c r="B36" s="304"/>
      <c r="C36" s="456"/>
      <c r="D36" s="300"/>
      <c r="E36" s="301"/>
      <c r="G36" s="305"/>
      <c r="H36" s="351"/>
      <c r="I36" s="190"/>
      <c r="J36" s="298"/>
      <c r="K36" s="190"/>
      <c r="L36" s="86"/>
      <c r="M36" s="305"/>
      <c r="N36" s="351"/>
      <c r="O36" s="332"/>
      <c r="P36" s="380"/>
      <c r="Q36" s="299"/>
      <c r="S36" s="305"/>
      <c r="T36" s="351"/>
      <c r="V36" s="305"/>
      <c r="W36" s="351"/>
    </row>
    <row r="37" spans="2:23" x14ac:dyDescent="0.25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299"/>
      <c r="S37" s="305"/>
      <c r="T37" s="381"/>
      <c r="V37" s="86"/>
      <c r="W37" s="86"/>
    </row>
    <row r="38" spans="2:23" x14ac:dyDescent="0.25">
      <c r="B38" s="304"/>
      <c r="D38" s="300"/>
      <c r="E38" s="301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44">
    <mergeCell ref="H5:H34"/>
    <mergeCell ref="K5:K34"/>
    <mergeCell ref="P6:P12"/>
    <mergeCell ref="B27:B33"/>
    <mergeCell ref="G6:G12"/>
    <mergeCell ref="G13:G19"/>
    <mergeCell ref="G20:G26"/>
    <mergeCell ref="B6:B12"/>
    <mergeCell ref="B13:B19"/>
    <mergeCell ref="B20:B26"/>
    <mergeCell ref="C5:C36"/>
    <mergeCell ref="J6:J12"/>
    <mergeCell ref="J13:J19"/>
    <mergeCell ref="J27:J33"/>
    <mergeCell ref="J20:J26"/>
    <mergeCell ref="P20:P26"/>
    <mergeCell ref="V6:V12"/>
    <mergeCell ref="V13:V19"/>
    <mergeCell ref="V20:V26"/>
    <mergeCell ref="V27:V33"/>
    <mergeCell ref="T5:T34"/>
    <mergeCell ref="S27:S33"/>
    <mergeCell ref="M20:M26"/>
    <mergeCell ref="N5:N34"/>
    <mergeCell ref="Q5:Q34"/>
    <mergeCell ref="S6:S12"/>
    <mergeCell ref="P13:P19"/>
    <mergeCell ref="P27:P33"/>
    <mergeCell ref="M27:M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M6:M12"/>
    <mergeCell ref="M13:M19"/>
    <mergeCell ref="S13:S19"/>
    <mergeCell ref="S20:S26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G1" zoomScale="85" zoomScaleNormal="85" workbookViewId="0">
      <selection activeCell="O36" sqref="O36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9" width="8.85546875" style="73" customWidth="1"/>
    <col min="60" max="16384" width="8.85546875" style="73"/>
  </cols>
  <sheetData>
    <row r="1" spans="2:23" x14ac:dyDescent="0.25">
      <c r="C1" s="79">
        <v>122.3</v>
      </c>
      <c r="D1" s="81">
        <v>132.1</v>
      </c>
      <c r="F1" s="353"/>
    </row>
    <row r="2" spans="2:23" ht="38.1" customHeight="1" x14ac:dyDescent="0.25">
      <c r="B2" s="442" t="s">
        <v>8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</row>
    <row r="3" spans="2:23" s="7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60" t="s">
        <v>61</v>
      </c>
      <c r="G3" s="460"/>
      <c r="H3" s="460"/>
      <c r="I3" s="462" t="s">
        <v>62</v>
      </c>
      <c r="J3" s="462"/>
      <c r="K3" s="462"/>
      <c r="L3" s="461" t="s">
        <v>63</v>
      </c>
      <c r="M3" s="461"/>
      <c r="N3" s="461"/>
      <c r="O3" s="461" t="s">
        <v>64</v>
      </c>
      <c r="P3" s="461"/>
      <c r="Q3" s="461"/>
      <c r="R3" s="461" t="s">
        <v>65</v>
      </c>
      <c r="S3" s="461"/>
      <c r="T3" s="461"/>
      <c r="U3" s="461" t="s">
        <v>66</v>
      </c>
      <c r="V3" s="461"/>
      <c r="W3" s="461"/>
    </row>
    <row r="4" spans="2:23" ht="15.75" x14ac:dyDescent="0.25">
      <c r="B4" s="446"/>
      <c r="C4" s="447"/>
      <c r="D4" s="448"/>
      <c r="E4" s="448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 x14ac:dyDescent="0.25">
      <c r="B5" s="304"/>
      <c r="C5" s="456" t="s">
        <v>55</v>
      </c>
      <c r="D5" s="300">
        <v>46174</v>
      </c>
      <c r="E5" s="301" t="s">
        <v>56</v>
      </c>
      <c r="F5" s="92">
        <v>113.1</v>
      </c>
      <c r="G5" s="405">
        <f>AVERAGE(F5)</f>
        <v>113.1</v>
      </c>
      <c r="H5" s="458">
        <f>AVERAGE(F5:F34)</f>
        <v>111.22758620689653</v>
      </c>
      <c r="I5" s="356">
        <f>F5/$C$1</f>
        <v>0.92477514309076037</v>
      </c>
      <c r="J5" s="406">
        <f>AVERAGE(I5)</f>
        <v>0.92477514309076037</v>
      </c>
      <c r="K5" s="457">
        <f>AVERAGE(I5:I34)</f>
        <v>0.90946513660585904</v>
      </c>
      <c r="L5" s="89">
        <f>'日別報廢率總表 '!D4</f>
        <v>1.4061429663823493E-3</v>
      </c>
      <c r="M5" s="403">
        <f>AVERAGE(L5)</f>
        <v>1.4061429663823493E-3</v>
      </c>
      <c r="N5" s="451">
        <f>AVERAGE(L5:L34)</f>
        <v>3.1147950344976622E-3</v>
      </c>
      <c r="O5" s="89">
        <f>'日別報廢率總表 '!F4</f>
        <v>2.3580467911889112E-3</v>
      </c>
      <c r="P5" s="403">
        <f>AVERAGE(O5)</f>
        <v>2.3580467911889112E-3</v>
      </c>
      <c r="Q5" s="451">
        <f>AVERAGE(O5:O34)</f>
        <v>4.6962067576135783E-3</v>
      </c>
      <c r="R5" s="166">
        <v>0.28570000000000001</v>
      </c>
      <c r="S5" s="403">
        <f>AVERAGE(R5)</f>
        <v>0.28570000000000001</v>
      </c>
      <c r="T5" s="451">
        <f>AVERAGE(R5:R33)</f>
        <v>0.28570000000000012</v>
      </c>
      <c r="U5" s="166">
        <v>0.95</v>
      </c>
      <c r="V5" s="403">
        <f>AVERAGE(U5)</f>
        <v>0.95</v>
      </c>
      <c r="W5" s="451">
        <f>AVERAGE(U5:U33)</f>
        <v>0.80000000000000038</v>
      </c>
    </row>
    <row r="6" spans="2:23" ht="14.45" customHeight="1" x14ac:dyDescent="0.25">
      <c r="B6" s="455">
        <v>46182</v>
      </c>
      <c r="C6" s="456"/>
      <c r="D6" s="300">
        <v>46175</v>
      </c>
      <c r="E6" s="301" t="s">
        <v>57</v>
      </c>
      <c r="F6" s="92">
        <v>104.1</v>
      </c>
      <c r="G6" s="458">
        <f>AVERAGE(F6:F12)</f>
        <v>108.45714285714284</v>
      </c>
      <c r="H6" s="458"/>
      <c r="I6" s="356">
        <f t="shared" ref="I6:I33" si="0">F6/$C$1</f>
        <v>0.85118560915780861</v>
      </c>
      <c r="J6" s="457">
        <f>AVERAGE(I6:I12)</f>
        <v>0.8868122882840791</v>
      </c>
      <c r="K6" s="457"/>
      <c r="L6" s="89">
        <f>'日別報廢率總表 '!D5</f>
        <v>1.0512731016235073E-3</v>
      </c>
      <c r="M6" s="451">
        <f>AVERAGE(L6:L12)</f>
        <v>3.3285442143589044E-3</v>
      </c>
      <c r="N6" s="451"/>
      <c r="O6" s="89">
        <f>'日別報廢率總表 '!F5</f>
        <v>2.5922333200292485E-3</v>
      </c>
      <c r="P6" s="451">
        <f>AVERAGE(O6:O12)</f>
        <v>4.9776007706363165E-3</v>
      </c>
      <c r="Q6" s="451"/>
      <c r="R6" s="166">
        <v>0.28570000000000001</v>
      </c>
      <c r="S6" s="451">
        <f>AVERAGE(R6:R12)</f>
        <v>0.28570000000000001</v>
      </c>
      <c r="T6" s="451"/>
      <c r="U6" s="166">
        <v>0.75</v>
      </c>
      <c r="V6" s="451">
        <f>AVERAGE(U6:U12)</f>
        <v>0.77857142857142847</v>
      </c>
      <c r="W6" s="451"/>
    </row>
    <row r="7" spans="2:23" ht="14.45" customHeight="1" x14ac:dyDescent="0.25">
      <c r="B7" s="455"/>
      <c r="C7" s="456"/>
      <c r="D7" s="300">
        <v>46176</v>
      </c>
      <c r="E7" s="300" t="s">
        <v>58</v>
      </c>
      <c r="F7" s="92">
        <v>104.6</v>
      </c>
      <c r="G7" s="458"/>
      <c r="H7" s="458"/>
      <c r="I7" s="356">
        <f t="shared" si="0"/>
        <v>0.85527391659852814</v>
      </c>
      <c r="J7" s="457"/>
      <c r="K7" s="457"/>
      <c r="L7" s="89">
        <f>'日別報廢率總表 '!D6</f>
        <v>3.2308752015967729E-3</v>
      </c>
      <c r="M7" s="451"/>
      <c r="N7" s="451"/>
      <c r="O7" s="89">
        <f>'日別報廢率總表 '!F6</f>
        <v>5.3133246983211417E-3</v>
      </c>
      <c r="P7" s="451"/>
      <c r="Q7" s="451"/>
      <c r="R7" s="166">
        <v>0.28570000000000001</v>
      </c>
      <c r="S7" s="451"/>
      <c r="T7" s="451"/>
      <c r="U7" s="166">
        <v>0.75</v>
      </c>
      <c r="V7" s="451"/>
      <c r="W7" s="451"/>
    </row>
    <row r="8" spans="2:23" ht="14.45" customHeight="1" x14ac:dyDescent="0.25">
      <c r="B8" s="455"/>
      <c r="C8" s="456"/>
      <c r="D8" s="300">
        <v>46177</v>
      </c>
      <c r="E8" s="301" t="s">
        <v>59</v>
      </c>
      <c r="F8" s="92">
        <v>111.8</v>
      </c>
      <c r="G8" s="458"/>
      <c r="H8" s="458"/>
      <c r="I8" s="356">
        <f t="shared" si="0"/>
        <v>0.91414554374488965</v>
      </c>
      <c r="J8" s="457"/>
      <c r="K8" s="457"/>
      <c r="L8" s="89">
        <f>'日別報廢率總表 '!D7</f>
        <v>2.341024321359915E-3</v>
      </c>
      <c r="M8" s="451"/>
      <c r="N8" s="451"/>
      <c r="O8" s="89">
        <f>'日別報廢率總表 '!F7</f>
        <v>2.2957243879929787E-3</v>
      </c>
      <c r="P8" s="451"/>
      <c r="Q8" s="451"/>
      <c r="R8" s="166">
        <v>0.28570000000000001</v>
      </c>
      <c r="S8" s="451"/>
      <c r="T8" s="451"/>
      <c r="U8" s="166">
        <v>0.75</v>
      </c>
      <c r="V8" s="451"/>
      <c r="W8" s="451"/>
    </row>
    <row r="9" spans="2:23" ht="14.45" customHeight="1" x14ac:dyDescent="0.25">
      <c r="B9" s="455"/>
      <c r="C9" s="456"/>
      <c r="D9" s="300">
        <v>46178</v>
      </c>
      <c r="E9" s="301" t="s">
        <v>60</v>
      </c>
      <c r="F9" s="92">
        <v>110.3</v>
      </c>
      <c r="G9" s="458"/>
      <c r="H9" s="458"/>
      <c r="I9" s="356">
        <f t="shared" si="0"/>
        <v>0.90188062142273095</v>
      </c>
      <c r="J9" s="457"/>
      <c r="K9" s="457"/>
      <c r="L9" s="89">
        <f>'日別報廢率總表 '!D8</f>
        <v>1.3257477626205331E-2</v>
      </c>
      <c r="M9" s="451"/>
      <c r="N9" s="451"/>
      <c r="O9" s="89">
        <f>'日別報廢率總表 '!F8</f>
        <v>1.8265766998106763E-2</v>
      </c>
      <c r="P9" s="451"/>
      <c r="Q9" s="451"/>
      <c r="R9" s="166">
        <v>0.28570000000000001</v>
      </c>
      <c r="S9" s="451"/>
      <c r="T9" s="451"/>
      <c r="U9" s="166">
        <v>0.8</v>
      </c>
      <c r="V9" s="451"/>
      <c r="W9" s="451"/>
    </row>
    <row r="10" spans="2:23" ht="14.45" customHeight="1" x14ac:dyDescent="0.25">
      <c r="B10" s="455"/>
      <c r="C10" s="456"/>
      <c r="D10" s="300">
        <v>46179</v>
      </c>
      <c r="E10" s="301" t="s">
        <v>55</v>
      </c>
      <c r="F10" s="92">
        <v>107.8</v>
      </c>
      <c r="G10" s="458"/>
      <c r="H10" s="458"/>
      <c r="I10" s="356">
        <f t="shared" si="0"/>
        <v>0.88143908421913331</v>
      </c>
      <c r="J10" s="457"/>
      <c r="K10" s="457"/>
      <c r="L10" s="89">
        <f>'日別報廢率總表 '!D9</f>
        <v>1.033213236351224E-3</v>
      </c>
      <c r="M10" s="451"/>
      <c r="N10" s="451"/>
      <c r="O10" s="89">
        <f>'日別報廢率總表 '!F9</f>
        <v>3.3441432019394516E-3</v>
      </c>
      <c r="P10" s="451"/>
      <c r="Q10" s="451"/>
      <c r="R10" s="166">
        <v>0.28570000000000001</v>
      </c>
      <c r="S10" s="451"/>
      <c r="T10" s="451"/>
      <c r="U10" s="166">
        <v>0.8</v>
      </c>
      <c r="V10" s="451"/>
      <c r="W10" s="451"/>
    </row>
    <row r="11" spans="2:23" ht="14.45" customHeight="1" x14ac:dyDescent="0.25">
      <c r="B11" s="455"/>
      <c r="C11" s="456"/>
      <c r="D11" s="300">
        <v>46180</v>
      </c>
      <c r="E11" s="301" t="s">
        <v>52</v>
      </c>
      <c r="F11" s="92">
        <v>110.8</v>
      </c>
      <c r="G11" s="458"/>
      <c r="H11" s="458"/>
      <c r="I11" s="356">
        <f t="shared" si="0"/>
        <v>0.90596892886345048</v>
      </c>
      <c r="J11" s="457"/>
      <c r="K11" s="457"/>
      <c r="L11" s="89">
        <f>'日別報廢率總表 '!D10</f>
        <v>1.021000324829731E-3</v>
      </c>
      <c r="M11" s="451"/>
      <c r="N11" s="451"/>
      <c r="O11" s="89">
        <f>'日別報廢率總表 '!F10</f>
        <v>2.449189458991963E-3</v>
      </c>
      <c r="P11" s="451"/>
      <c r="Q11" s="451"/>
      <c r="R11" s="166">
        <v>0.28570000000000001</v>
      </c>
      <c r="S11" s="451"/>
      <c r="T11" s="451"/>
      <c r="U11" s="166">
        <v>0.8</v>
      </c>
      <c r="V11" s="451"/>
      <c r="W11" s="451"/>
    </row>
    <row r="12" spans="2:23" ht="14.45" customHeight="1" x14ac:dyDescent="0.25">
      <c r="B12" s="455"/>
      <c r="C12" s="456"/>
      <c r="D12" s="300">
        <v>46181</v>
      </c>
      <c r="E12" s="301" t="s">
        <v>56</v>
      </c>
      <c r="F12" s="92">
        <v>109.8</v>
      </c>
      <c r="G12" s="458"/>
      <c r="H12" s="458"/>
      <c r="I12" s="356">
        <f t="shared" si="0"/>
        <v>0.89779231398201143</v>
      </c>
      <c r="J12" s="457"/>
      <c r="K12" s="457"/>
      <c r="L12" s="89">
        <f>'日別報廢率總表 '!D11</f>
        <v>1.3649456885458523E-3</v>
      </c>
      <c r="M12" s="451"/>
      <c r="N12" s="451"/>
      <c r="O12" s="89">
        <f>'日別報廢率總表 '!F11</f>
        <v>5.828233290726656E-4</v>
      </c>
      <c r="P12" s="451"/>
      <c r="Q12" s="451"/>
      <c r="R12" s="166">
        <v>0.28570000000000001</v>
      </c>
      <c r="S12" s="451"/>
      <c r="T12" s="451"/>
      <c r="U12" s="166">
        <v>0.8</v>
      </c>
      <c r="V12" s="451"/>
      <c r="W12" s="451"/>
    </row>
    <row r="13" spans="2:23" ht="14.45" customHeight="1" x14ac:dyDescent="0.25">
      <c r="B13" s="455">
        <v>46189</v>
      </c>
      <c r="C13" s="456"/>
      <c r="D13" s="300">
        <v>46182</v>
      </c>
      <c r="E13" s="301" t="s">
        <v>57</v>
      </c>
      <c r="F13" s="92">
        <v>110.1</v>
      </c>
      <c r="G13" s="458">
        <f>AVERAGE(F13:F19)</f>
        <v>113.8</v>
      </c>
      <c r="H13" s="458"/>
      <c r="I13" s="356">
        <f t="shared" si="0"/>
        <v>0.90024529844644319</v>
      </c>
      <c r="J13" s="457">
        <f>AVERAGE(I13:I19)</f>
        <v>0.93049877350776777</v>
      </c>
      <c r="K13" s="457"/>
      <c r="L13" s="89">
        <f>'日別報廢率總表 '!D12</f>
        <v>1.5576526432408346E-3</v>
      </c>
      <c r="M13" s="451">
        <f>AVERAGE(L13:L19)</f>
        <v>2.7684545398409146E-3</v>
      </c>
      <c r="N13" s="451"/>
      <c r="O13" s="89">
        <f>'日別報廢率總表 '!F12</f>
        <v>3.1435726641299046E-3</v>
      </c>
      <c r="P13" s="451">
        <f>AVERAGE(O13:O19)</f>
        <v>4.2695458413446376E-3</v>
      </c>
      <c r="Q13" s="451"/>
      <c r="R13" s="166">
        <v>0.28570000000000001</v>
      </c>
      <c r="S13" s="451">
        <f>AVERAGE(R13:R19)</f>
        <v>0.28570000000000001</v>
      </c>
      <c r="T13" s="451"/>
      <c r="U13" s="166">
        <v>0.8</v>
      </c>
      <c r="V13" s="451">
        <f>AVERAGE(U13:U19)</f>
        <v>0.79999999999999993</v>
      </c>
      <c r="W13" s="451"/>
    </row>
    <row r="14" spans="2:23" ht="14.45" customHeight="1" x14ac:dyDescent="0.25">
      <c r="B14" s="455"/>
      <c r="C14" s="456"/>
      <c r="D14" s="300">
        <v>46183</v>
      </c>
      <c r="E14" s="300" t="s">
        <v>58</v>
      </c>
      <c r="F14" s="92">
        <v>113.3</v>
      </c>
      <c r="G14" s="458"/>
      <c r="H14" s="458"/>
      <c r="I14" s="356">
        <f t="shared" si="0"/>
        <v>0.92641046606704824</v>
      </c>
      <c r="J14" s="457"/>
      <c r="K14" s="457"/>
      <c r="L14" s="89">
        <f>'日別報廢率總表 '!D13</f>
        <v>2.8392494444710713E-3</v>
      </c>
      <c r="M14" s="451"/>
      <c r="N14" s="451"/>
      <c r="O14" s="89">
        <f>'日別報廢率總表 '!F13</f>
        <v>4.1986054784081102E-3</v>
      </c>
      <c r="P14" s="451"/>
      <c r="Q14" s="451"/>
      <c r="R14" s="166">
        <v>0.28570000000000001</v>
      </c>
      <c r="S14" s="451"/>
      <c r="T14" s="451"/>
      <c r="U14" s="166">
        <v>0.8</v>
      </c>
      <c r="V14" s="451"/>
      <c r="W14" s="451"/>
    </row>
    <row r="15" spans="2:23" ht="14.45" customHeight="1" x14ac:dyDescent="0.25">
      <c r="B15" s="455"/>
      <c r="C15" s="456"/>
      <c r="D15" s="300">
        <v>46184</v>
      </c>
      <c r="E15" s="301" t="s">
        <v>59</v>
      </c>
      <c r="F15" s="92">
        <v>112.6</v>
      </c>
      <c r="G15" s="458"/>
      <c r="H15" s="458"/>
      <c r="I15" s="356">
        <f t="shared" si="0"/>
        <v>0.92068683565004084</v>
      </c>
      <c r="J15" s="457"/>
      <c r="K15" s="457"/>
      <c r="L15" s="89">
        <f>'日別報廢率總表 '!D14</f>
        <v>8.5563330822488936E-4</v>
      </c>
      <c r="M15" s="451"/>
      <c r="N15" s="451"/>
      <c r="O15" s="89">
        <f>'日別報廢率總表 '!F14</f>
        <v>1.3354120355298094E-3</v>
      </c>
      <c r="P15" s="451"/>
      <c r="Q15" s="451"/>
      <c r="R15" s="166">
        <v>0.28570000000000001</v>
      </c>
      <c r="S15" s="451"/>
      <c r="T15" s="451"/>
      <c r="U15" s="166">
        <v>0.8</v>
      </c>
      <c r="V15" s="451"/>
      <c r="W15" s="451"/>
    </row>
    <row r="16" spans="2:23" ht="14.45" customHeight="1" x14ac:dyDescent="0.25">
      <c r="B16" s="455"/>
      <c r="C16" s="456"/>
      <c r="D16" s="300">
        <v>46185</v>
      </c>
      <c r="E16" s="301" t="s">
        <v>60</v>
      </c>
      <c r="F16" s="92">
        <v>114.5</v>
      </c>
      <c r="G16" s="458"/>
      <c r="H16" s="458"/>
      <c r="I16" s="356">
        <f t="shared" si="0"/>
        <v>0.93622240392477518</v>
      </c>
      <c r="J16" s="457"/>
      <c r="K16" s="457"/>
      <c r="L16" s="89">
        <f>'日別報廢率總表 '!D15</f>
        <v>7.2236617428304206E-3</v>
      </c>
      <c r="M16" s="451"/>
      <c r="N16" s="451"/>
      <c r="O16" s="89">
        <f>'日別報廢率總表 '!F15</f>
        <v>8.7700051585309306E-3</v>
      </c>
      <c r="P16" s="451"/>
      <c r="Q16" s="451"/>
      <c r="R16" s="166">
        <v>0.28570000000000001</v>
      </c>
      <c r="S16" s="451"/>
      <c r="T16" s="451"/>
      <c r="U16" s="166">
        <v>0.8</v>
      </c>
      <c r="V16" s="451"/>
      <c r="W16" s="451"/>
    </row>
    <row r="17" spans="2:23" ht="14.45" customHeight="1" x14ac:dyDescent="0.25">
      <c r="B17" s="455"/>
      <c r="C17" s="456"/>
      <c r="D17" s="300">
        <v>46186</v>
      </c>
      <c r="E17" s="301" t="s">
        <v>55</v>
      </c>
      <c r="F17" s="92">
        <v>115.4</v>
      </c>
      <c r="G17" s="458"/>
      <c r="H17" s="458"/>
      <c r="I17" s="356">
        <f t="shared" si="0"/>
        <v>0.94358135731807036</v>
      </c>
      <c r="J17" s="457"/>
      <c r="K17" s="457"/>
      <c r="L17" s="89">
        <f>'日別報廢率總表 '!D16</f>
        <v>2.4199710648088874E-3</v>
      </c>
      <c r="M17" s="451"/>
      <c r="N17" s="451"/>
      <c r="O17" s="89">
        <f>'日別報廢率總表 '!F16</f>
        <v>3.5087385349408524E-3</v>
      </c>
      <c r="P17" s="451"/>
      <c r="Q17" s="451"/>
      <c r="R17" s="166">
        <v>0.28570000000000001</v>
      </c>
      <c r="S17" s="451"/>
      <c r="T17" s="451"/>
      <c r="U17" s="166">
        <v>0.8</v>
      </c>
      <c r="V17" s="451"/>
      <c r="W17" s="451"/>
    </row>
    <row r="18" spans="2:23" ht="14.45" customHeight="1" x14ac:dyDescent="0.25">
      <c r="B18" s="455"/>
      <c r="C18" s="456"/>
      <c r="D18" s="300">
        <v>46187</v>
      </c>
      <c r="E18" s="301" t="s">
        <v>52</v>
      </c>
      <c r="F18" s="92">
        <v>112.1</v>
      </c>
      <c r="G18" s="458"/>
      <c r="H18" s="458"/>
      <c r="I18" s="356">
        <f t="shared" si="0"/>
        <v>0.91659852820932131</v>
      </c>
      <c r="J18" s="457"/>
      <c r="K18" s="457"/>
      <c r="L18" s="89">
        <f>'日別報廢率總表 '!D17</f>
        <v>2.5047059569665445E-3</v>
      </c>
      <c r="M18" s="451"/>
      <c r="N18" s="451"/>
      <c r="O18" s="89">
        <f>'日別報廢率總表 '!F17</f>
        <v>6.7843472010866209E-3</v>
      </c>
      <c r="P18" s="451"/>
      <c r="Q18" s="451"/>
      <c r="R18" s="166">
        <v>0.28570000000000001</v>
      </c>
      <c r="S18" s="451"/>
      <c r="T18" s="451"/>
      <c r="U18" s="166">
        <v>0.8</v>
      </c>
      <c r="V18" s="451"/>
      <c r="W18" s="451"/>
    </row>
    <row r="19" spans="2:23" ht="14.45" customHeight="1" x14ac:dyDescent="0.25">
      <c r="B19" s="455"/>
      <c r="C19" s="456"/>
      <c r="D19" s="300">
        <v>46188</v>
      </c>
      <c r="E19" s="301" t="s">
        <v>56</v>
      </c>
      <c r="F19" s="92">
        <v>118.6</v>
      </c>
      <c r="G19" s="458"/>
      <c r="H19" s="458"/>
      <c r="I19" s="356">
        <f t="shared" si="0"/>
        <v>0.96974652493867541</v>
      </c>
      <c r="J19" s="457"/>
      <c r="K19" s="457"/>
      <c r="L19" s="89">
        <f>'日別報廢率總表 '!D18</f>
        <v>1.9783076183437567E-3</v>
      </c>
      <c r="M19" s="451"/>
      <c r="N19" s="451"/>
      <c r="O19" s="89">
        <f>'日別報廢率總表 '!F18</f>
        <v>2.1461398167862342E-3</v>
      </c>
      <c r="P19" s="451"/>
      <c r="Q19" s="451"/>
      <c r="R19" s="166">
        <v>0.28570000000000001</v>
      </c>
      <c r="S19" s="451"/>
      <c r="T19" s="451"/>
      <c r="U19" s="166">
        <v>0.8</v>
      </c>
      <c r="V19" s="451"/>
      <c r="W19" s="451"/>
    </row>
    <row r="20" spans="2:23" ht="14.45" customHeight="1" x14ac:dyDescent="0.25">
      <c r="B20" s="455">
        <v>46196</v>
      </c>
      <c r="C20" s="456"/>
      <c r="D20" s="300">
        <v>46189</v>
      </c>
      <c r="E20" s="301" t="s">
        <v>57</v>
      </c>
      <c r="F20" s="92">
        <v>113.8</v>
      </c>
      <c r="G20" s="458">
        <f>AVERAGE(F20:F26)</f>
        <v>113.58571428571429</v>
      </c>
      <c r="H20" s="458"/>
      <c r="I20" s="356">
        <f t="shared" si="0"/>
        <v>0.93049877350776777</v>
      </c>
      <c r="J20" s="457">
        <f>AVERAGE(I20:I26)</f>
        <v>0.92874664174745958</v>
      </c>
      <c r="K20" s="457"/>
      <c r="L20" s="89">
        <f>'日別報廢率總表 '!D19</f>
        <v>3.1413506907700841E-3</v>
      </c>
      <c r="M20" s="451">
        <f>AVERAGE(L20:L26)</f>
        <v>3.8834881792622349E-3</v>
      </c>
      <c r="N20" s="451"/>
      <c r="O20" s="89">
        <f>'日別報廢率總表 '!F19</f>
        <v>4.660744505919908E-3</v>
      </c>
      <c r="P20" s="451">
        <f>AVERAGE(O20:O26)</f>
        <v>6.3281469712614807E-3</v>
      </c>
      <c r="Q20" s="451"/>
      <c r="R20" s="166">
        <v>0.28570000000000001</v>
      </c>
      <c r="S20" s="451">
        <f>AVERAGE(R20:R26)</f>
        <v>0.28570000000000001</v>
      </c>
      <c r="T20" s="451"/>
      <c r="U20" s="166">
        <v>0.8</v>
      </c>
      <c r="V20" s="451">
        <f>AVERAGE(U20:U26)</f>
        <v>0.79999999999999993</v>
      </c>
      <c r="W20" s="451"/>
    </row>
    <row r="21" spans="2:23" ht="14.45" customHeight="1" x14ac:dyDescent="0.25">
      <c r="B21" s="455"/>
      <c r="C21" s="456"/>
      <c r="D21" s="300">
        <v>46190</v>
      </c>
      <c r="E21" s="300" t="s">
        <v>58</v>
      </c>
      <c r="F21" s="92">
        <v>114.5</v>
      </c>
      <c r="G21" s="458"/>
      <c r="H21" s="458"/>
      <c r="I21" s="356">
        <f t="shared" si="0"/>
        <v>0.93622240392477518</v>
      </c>
      <c r="J21" s="457"/>
      <c r="K21" s="457"/>
      <c r="L21" s="89">
        <f>'日別報廢率總表 '!D20</f>
        <v>7.6825286932490902E-3</v>
      </c>
      <c r="M21" s="451"/>
      <c r="N21" s="451"/>
      <c r="O21" s="89">
        <f>'日別報廢率總表 '!F20</f>
        <v>1.0863590344542434E-2</v>
      </c>
      <c r="P21" s="451"/>
      <c r="Q21" s="451"/>
      <c r="R21" s="166">
        <v>0.28570000000000001</v>
      </c>
      <c r="S21" s="451"/>
      <c r="T21" s="451"/>
      <c r="U21" s="166">
        <v>0.8</v>
      </c>
      <c r="V21" s="451"/>
      <c r="W21" s="451"/>
    </row>
    <row r="22" spans="2:23" ht="14.45" customHeight="1" x14ac:dyDescent="0.25">
      <c r="B22" s="455"/>
      <c r="C22" s="456"/>
      <c r="D22" s="300">
        <v>46191</v>
      </c>
      <c r="E22" s="301" t="s">
        <v>59</v>
      </c>
      <c r="F22" s="92">
        <v>111.5</v>
      </c>
      <c r="G22" s="458"/>
      <c r="H22" s="458"/>
      <c r="I22" s="356">
        <f t="shared" si="0"/>
        <v>0.91169255928045789</v>
      </c>
      <c r="J22" s="457"/>
      <c r="K22" s="457"/>
      <c r="L22" s="89">
        <f>'日別報廢率總表 '!D21</f>
        <v>7.6925699669479529E-3</v>
      </c>
      <c r="M22" s="451"/>
      <c r="N22" s="451"/>
      <c r="O22" s="89">
        <f>'日別報廢率總表 '!F21</f>
        <v>1.3364993113594292E-2</v>
      </c>
      <c r="P22" s="451"/>
      <c r="Q22" s="451"/>
      <c r="R22" s="166">
        <v>0.28570000000000001</v>
      </c>
      <c r="S22" s="451"/>
      <c r="T22" s="451"/>
      <c r="U22" s="166">
        <v>0.8</v>
      </c>
      <c r="V22" s="451"/>
      <c r="W22" s="451"/>
    </row>
    <row r="23" spans="2:23" ht="14.45" customHeight="1" x14ac:dyDescent="0.25">
      <c r="B23" s="455"/>
      <c r="C23" s="456"/>
      <c r="D23" s="300">
        <v>46192</v>
      </c>
      <c r="E23" s="301" t="s">
        <v>60</v>
      </c>
      <c r="F23" s="92">
        <v>112.1</v>
      </c>
      <c r="G23" s="458"/>
      <c r="H23" s="458"/>
      <c r="I23" s="356">
        <f t="shared" si="0"/>
        <v>0.91659852820932131</v>
      </c>
      <c r="J23" s="457"/>
      <c r="K23" s="457"/>
      <c r="L23" s="89">
        <f>'日別報廢率總表 '!D22</f>
        <v>4.4302162751069128E-3</v>
      </c>
      <c r="M23" s="451"/>
      <c r="N23" s="451"/>
      <c r="O23" s="89">
        <f>'日別報廢率總表 '!F22</f>
        <v>6.2738244437588455E-3</v>
      </c>
      <c r="P23" s="451"/>
      <c r="Q23" s="451"/>
      <c r="R23" s="166">
        <v>0.28570000000000001</v>
      </c>
      <c r="S23" s="451"/>
      <c r="T23" s="451"/>
      <c r="U23" s="166">
        <v>0.8</v>
      </c>
      <c r="V23" s="451"/>
      <c r="W23" s="451"/>
    </row>
    <row r="24" spans="2:23" ht="14.45" customHeight="1" x14ac:dyDescent="0.25">
      <c r="B24" s="455"/>
      <c r="C24" s="456"/>
      <c r="D24" s="300">
        <v>46193</v>
      </c>
      <c r="E24" s="301" t="s">
        <v>55</v>
      </c>
      <c r="F24" s="92">
        <v>114.7</v>
      </c>
      <c r="G24" s="458"/>
      <c r="H24" s="458"/>
      <c r="I24" s="356">
        <f t="shared" si="0"/>
        <v>0.93785772690106306</v>
      </c>
      <c r="J24" s="457"/>
      <c r="K24" s="457"/>
      <c r="L24" s="89">
        <f>'日別報廢率總表 '!D23</f>
        <v>9.1542355904088483E-4</v>
      </c>
      <c r="M24" s="451"/>
      <c r="N24" s="451"/>
      <c r="O24" s="89">
        <f>'日別報廢率總表 '!F23</f>
        <v>2.8476962324452269E-3</v>
      </c>
      <c r="P24" s="451"/>
      <c r="Q24" s="451"/>
      <c r="R24" s="166">
        <v>0.28570000000000001</v>
      </c>
      <c r="S24" s="451"/>
      <c r="T24" s="451"/>
      <c r="U24" s="166">
        <v>0.8</v>
      </c>
      <c r="V24" s="451"/>
      <c r="W24" s="451"/>
    </row>
    <row r="25" spans="2:23" ht="14.45" customHeight="1" x14ac:dyDescent="0.25">
      <c r="B25" s="455"/>
      <c r="C25" s="456"/>
      <c r="D25" s="300">
        <v>46194</v>
      </c>
      <c r="E25" s="301" t="s">
        <v>52</v>
      </c>
      <c r="F25" s="92">
        <v>113.6</v>
      </c>
      <c r="G25" s="458"/>
      <c r="H25" s="458"/>
      <c r="I25" s="356">
        <f t="shared" si="0"/>
        <v>0.9288634505314799</v>
      </c>
      <c r="J25" s="457"/>
      <c r="K25" s="457"/>
      <c r="L25" s="89">
        <f>'日別報廢率總表 '!D24</f>
        <v>1.9138474242392238E-3</v>
      </c>
      <c r="M25" s="451"/>
      <c r="N25" s="451"/>
      <c r="O25" s="89">
        <f>'日別報廢率總表 '!F24</f>
        <v>3.5869924205120477E-3</v>
      </c>
      <c r="P25" s="451"/>
      <c r="Q25" s="451"/>
      <c r="R25" s="166">
        <v>0.28570000000000001</v>
      </c>
      <c r="S25" s="451"/>
      <c r="T25" s="451"/>
      <c r="U25" s="166">
        <v>0.8</v>
      </c>
      <c r="V25" s="451"/>
      <c r="W25" s="451"/>
    </row>
    <row r="26" spans="2:23" ht="14.45" customHeight="1" x14ac:dyDescent="0.25">
      <c r="B26" s="455"/>
      <c r="C26" s="456"/>
      <c r="D26" s="300">
        <v>46195</v>
      </c>
      <c r="E26" s="301" t="s">
        <v>56</v>
      </c>
      <c r="F26" s="92">
        <v>114.9</v>
      </c>
      <c r="G26" s="458"/>
      <c r="H26" s="458"/>
      <c r="I26" s="356">
        <f t="shared" si="0"/>
        <v>0.93949304987735083</v>
      </c>
      <c r="J26" s="457"/>
      <c r="K26" s="457"/>
      <c r="L26" s="89">
        <f>'日別報廢率總表 '!D25</f>
        <v>1.408480645481495E-3</v>
      </c>
      <c r="M26" s="451"/>
      <c r="N26" s="451"/>
      <c r="O26" s="89">
        <f>'日別報廢率總表 '!F25</f>
        <v>2.6991877380576103E-3</v>
      </c>
      <c r="P26" s="451"/>
      <c r="Q26" s="451"/>
      <c r="R26" s="166">
        <v>0.28570000000000001</v>
      </c>
      <c r="S26" s="451"/>
      <c r="T26" s="451"/>
      <c r="U26" s="166">
        <v>0.8</v>
      </c>
      <c r="V26" s="451"/>
      <c r="W26" s="451"/>
    </row>
    <row r="27" spans="2:23" ht="14.45" customHeight="1" x14ac:dyDescent="0.25">
      <c r="B27" s="455">
        <v>46203</v>
      </c>
      <c r="C27" s="456"/>
      <c r="D27" s="300">
        <v>46196</v>
      </c>
      <c r="E27" s="301" t="s">
        <v>57</v>
      </c>
      <c r="F27" s="92">
        <v>110.1</v>
      </c>
      <c r="G27" s="458">
        <f>AVERAGE(F27:F33)</f>
        <v>108.79999999999998</v>
      </c>
      <c r="H27" s="458"/>
      <c r="I27" s="356">
        <f t="shared" si="0"/>
        <v>0.90024529844644319</v>
      </c>
      <c r="J27" s="457">
        <f>AVERAGE(I27:I33)</f>
        <v>0.88961569910057225</v>
      </c>
      <c r="K27" s="457"/>
      <c r="L27" s="89">
        <v>1.2687568547541277E-3</v>
      </c>
      <c r="M27" s="451">
        <f>AVERAGE(L27:L33)</f>
        <v>2.7227863571164983E-3</v>
      </c>
      <c r="N27" s="451"/>
      <c r="O27" s="89">
        <v>1.9496222019118369E-3</v>
      </c>
      <c r="P27" s="451">
        <f>AVERAGE(O27:O33)</f>
        <v>3.5435562995582534E-3</v>
      </c>
      <c r="Q27" s="451"/>
      <c r="R27" s="166">
        <v>0.28570000000000001</v>
      </c>
      <c r="S27" s="451">
        <f>AVERAGE(R27:R33)</f>
        <v>0.28570000000000001</v>
      </c>
      <c r="T27" s="451"/>
      <c r="U27" s="166">
        <v>0.8</v>
      </c>
      <c r="V27" s="451">
        <f>AVERAGE(U27:U33)</f>
        <v>0.79999999999999993</v>
      </c>
      <c r="W27" s="451"/>
    </row>
    <row r="28" spans="2:23" ht="14.45" customHeight="1" x14ac:dyDescent="0.25">
      <c r="B28" s="455"/>
      <c r="C28" s="456"/>
      <c r="D28" s="300">
        <v>46197</v>
      </c>
      <c r="E28" s="300" t="s">
        <v>58</v>
      </c>
      <c r="F28" s="92">
        <v>108</v>
      </c>
      <c r="G28" s="458"/>
      <c r="H28" s="458"/>
      <c r="I28" s="356">
        <f t="shared" si="0"/>
        <v>0.88307440719542107</v>
      </c>
      <c r="J28" s="457"/>
      <c r="K28" s="457"/>
      <c r="L28" s="89">
        <v>1.3829079348533957E-3</v>
      </c>
      <c r="M28" s="451"/>
      <c r="N28" s="451"/>
      <c r="O28" s="89">
        <v>2.2644906467656541E-3</v>
      </c>
      <c r="P28" s="451"/>
      <c r="Q28" s="451"/>
      <c r="R28" s="166">
        <v>0.28570000000000001</v>
      </c>
      <c r="S28" s="451"/>
      <c r="T28" s="451"/>
      <c r="U28" s="166">
        <v>0.8</v>
      </c>
      <c r="V28" s="451"/>
      <c r="W28" s="451"/>
    </row>
    <row r="29" spans="2:23" ht="14.45" customHeight="1" x14ac:dyDescent="0.25">
      <c r="B29" s="455"/>
      <c r="C29" s="456"/>
      <c r="D29" s="300">
        <v>46198</v>
      </c>
      <c r="E29" s="301" t="s">
        <v>59</v>
      </c>
      <c r="F29" s="92">
        <v>108.6</v>
      </c>
      <c r="G29" s="458"/>
      <c r="H29" s="458"/>
      <c r="I29" s="356">
        <f t="shared" si="0"/>
        <v>0.88798037612428449</v>
      </c>
      <c r="J29" s="457"/>
      <c r="K29" s="457"/>
      <c r="L29" s="89">
        <v>2.0971448396109823E-3</v>
      </c>
      <c r="M29" s="451"/>
      <c r="N29" s="451"/>
      <c r="O29" s="89">
        <v>3.2410442188217925E-3</v>
      </c>
      <c r="P29" s="451"/>
      <c r="Q29" s="451"/>
      <c r="R29" s="166">
        <v>0.28570000000000001</v>
      </c>
      <c r="S29" s="451"/>
      <c r="T29" s="451"/>
      <c r="U29" s="166">
        <v>0.8</v>
      </c>
      <c r="V29" s="451"/>
      <c r="W29" s="451"/>
    </row>
    <row r="30" spans="2:23" ht="14.45" customHeight="1" x14ac:dyDescent="0.25">
      <c r="B30" s="455"/>
      <c r="C30" s="456"/>
      <c r="D30" s="300">
        <v>46199</v>
      </c>
      <c r="E30" s="301" t="s">
        <v>60</v>
      </c>
      <c r="F30" s="92">
        <v>107</v>
      </c>
      <c r="G30" s="458"/>
      <c r="H30" s="458"/>
      <c r="I30" s="356">
        <f t="shared" si="0"/>
        <v>0.87489779231398201</v>
      </c>
      <c r="J30" s="457"/>
      <c r="K30" s="457"/>
      <c r="L30" s="89">
        <v>1.0418428482466133E-2</v>
      </c>
      <c r="M30" s="451"/>
      <c r="N30" s="451"/>
      <c r="O30" s="89">
        <v>1.3413623621780005E-2</v>
      </c>
      <c r="P30" s="451"/>
      <c r="Q30" s="451"/>
      <c r="R30" s="166">
        <v>0.28570000000000001</v>
      </c>
      <c r="S30" s="451"/>
      <c r="T30" s="451"/>
      <c r="U30" s="166">
        <v>0.8</v>
      </c>
      <c r="V30" s="451"/>
      <c r="W30" s="451"/>
    </row>
    <row r="31" spans="2:23" ht="14.45" customHeight="1" x14ac:dyDescent="0.25">
      <c r="B31" s="455"/>
      <c r="C31" s="456"/>
      <c r="D31" s="300">
        <v>46200</v>
      </c>
      <c r="E31" s="301" t="s">
        <v>55</v>
      </c>
      <c r="F31" s="92">
        <v>108.1</v>
      </c>
      <c r="G31" s="458"/>
      <c r="H31" s="458"/>
      <c r="I31" s="356">
        <f t="shared" si="0"/>
        <v>0.88389206868356496</v>
      </c>
      <c r="J31" s="457"/>
      <c r="K31" s="457"/>
      <c r="L31" s="89">
        <v>1.4966272403964026E-3</v>
      </c>
      <c r="M31" s="451"/>
      <c r="N31" s="451"/>
      <c r="O31" s="89">
        <v>1.8751045285821677E-3</v>
      </c>
      <c r="P31" s="451"/>
      <c r="Q31" s="451"/>
      <c r="R31" s="166">
        <v>0.28570000000000001</v>
      </c>
      <c r="S31" s="451"/>
      <c r="T31" s="451"/>
      <c r="U31" s="166">
        <v>0.8</v>
      </c>
      <c r="V31" s="451"/>
      <c r="W31" s="451"/>
    </row>
    <row r="32" spans="2:23" ht="14.45" customHeight="1" x14ac:dyDescent="0.25">
      <c r="B32" s="455"/>
      <c r="C32" s="456"/>
      <c r="D32" s="300">
        <v>46201</v>
      </c>
      <c r="E32" s="301" t="s">
        <v>52</v>
      </c>
      <c r="F32" s="92">
        <v>109.5</v>
      </c>
      <c r="G32" s="458"/>
      <c r="H32" s="458"/>
      <c r="I32" s="356">
        <f t="shared" si="0"/>
        <v>0.89533932951757977</v>
      </c>
      <c r="J32" s="457"/>
      <c r="K32" s="457"/>
      <c r="L32" s="89">
        <v>1.6809087242634897E-3</v>
      </c>
      <c r="M32" s="451"/>
      <c r="N32" s="451"/>
      <c r="O32" s="89">
        <v>1.7395116763315103E-3</v>
      </c>
      <c r="P32" s="451"/>
      <c r="Q32" s="451"/>
      <c r="R32" s="166">
        <v>0.28570000000000001</v>
      </c>
      <c r="S32" s="451"/>
      <c r="T32" s="451"/>
      <c r="U32" s="166">
        <v>0.8</v>
      </c>
      <c r="V32" s="451"/>
      <c r="W32" s="451"/>
    </row>
    <row r="33" spans="2:23" ht="14.45" customHeight="1" x14ac:dyDescent="0.25">
      <c r="B33" s="455"/>
      <c r="C33" s="456"/>
      <c r="D33" s="300">
        <v>46202</v>
      </c>
      <c r="E33" s="301" t="s">
        <v>56</v>
      </c>
      <c r="F33" s="92">
        <v>110.3</v>
      </c>
      <c r="G33" s="458"/>
      <c r="H33" s="458"/>
      <c r="I33" s="356">
        <f t="shared" si="0"/>
        <v>0.90188062142273095</v>
      </c>
      <c r="J33" s="457"/>
      <c r="K33" s="216"/>
      <c r="L33" s="89">
        <v>7.1473042347095753E-4</v>
      </c>
      <c r="M33" s="451"/>
      <c r="N33" s="299"/>
      <c r="O33" s="89">
        <v>3.2149720271480801E-4</v>
      </c>
      <c r="P33" s="451"/>
      <c r="Q33" s="299"/>
      <c r="R33" s="166">
        <v>0.28570000000000001</v>
      </c>
      <c r="S33" s="451"/>
      <c r="T33" s="299"/>
      <c r="U33" s="166">
        <v>0.8</v>
      </c>
      <c r="V33" s="451"/>
      <c r="W33" s="299"/>
    </row>
    <row r="34" spans="2:23" ht="14.45" customHeight="1" x14ac:dyDescent="0.25">
      <c r="B34" s="304"/>
      <c r="C34" s="456"/>
      <c r="D34" s="300">
        <v>46203</v>
      </c>
      <c r="E34" s="301" t="s">
        <v>57</v>
      </c>
      <c r="F34" s="92"/>
      <c r="G34" s="344"/>
      <c r="H34" s="458"/>
      <c r="I34" s="356"/>
      <c r="J34" s="216"/>
      <c r="K34" s="216"/>
      <c r="L34" s="89"/>
      <c r="M34" s="299"/>
      <c r="N34" s="299"/>
      <c r="O34" s="89"/>
      <c r="P34" s="299"/>
      <c r="Q34" s="299"/>
      <c r="R34" s="166"/>
      <c r="S34" s="299"/>
      <c r="T34" s="299"/>
      <c r="U34" s="166"/>
      <c r="V34" s="299"/>
      <c r="W34" s="299"/>
    </row>
    <row r="35" spans="2:23" x14ac:dyDescent="0.25">
      <c r="B35" s="304"/>
      <c r="C35" s="409"/>
      <c r="D35" s="300"/>
      <c r="E35" s="300"/>
      <c r="F35" s="92"/>
      <c r="G35" s="344"/>
      <c r="H35" s="458"/>
      <c r="I35" s="356"/>
      <c r="J35" s="216"/>
      <c r="K35" s="216"/>
      <c r="L35" s="89"/>
      <c r="M35" s="299"/>
      <c r="N35" s="299"/>
      <c r="O35" s="89"/>
      <c r="P35" s="299"/>
      <c r="Q35" s="299"/>
      <c r="R35" s="166"/>
      <c r="S35" s="299"/>
      <c r="T35" s="299"/>
      <c r="U35" s="166"/>
      <c r="V35" s="299"/>
      <c r="W35" s="299"/>
    </row>
    <row r="36" spans="2:23" x14ac:dyDescent="0.25">
      <c r="B36" s="304"/>
      <c r="C36" s="409"/>
      <c r="D36" s="300"/>
      <c r="E36" s="301"/>
      <c r="F36" s="92"/>
      <c r="G36" s="344"/>
      <c r="H36" s="92"/>
      <c r="I36" s="356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25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6">
        <v>0.91568163908589439</v>
      </c>
    </row>
    <row r="46" spans="2:23" x14ac:dyDescent="0.25">
      <c r="H46" s="356">
        <v>0.90622537431048067</v>
      </c>
    </row>
    <row r="47" spans="2:23" x14ac:dyDescent="0.25">
      <c r="H47" s="356">
        <v>0.88967691095350665</v>
      </c>
    </row>
    <row r="48" spans="2:23" x14ac:dyDescent="0.25">
      <c r="H48" s="356">
        <v>0.8699763593380615</v>
      </c>
    </row>
    <row r="49" spans="8:8" x14ac:dyDescent="0.25">
      <c r="H49" s="356">
        <v>0.91883372734436553</v>
      </c>
    </row>
    <row r="50" spans="8:8" x14ac:dyDescent="0.25">
      <c r="H50" s="356">
        <v>0.88337273443656417</v>
      </c>
    </row>
    <row r="51" spans="8:8" x14ac:dyDescent="0.25">
      <c r="H51" s="356">
        <v>0.92277383766745458</v>
      </c>
    </row>
  </sheetData>
  <mergeCells count="45">
    <mergeCell ref="G27:G33"/>
    <mergeCell ref="M13:M19"/>
    <mergeCell ref="P13:P19"/>
    <mergeCell ref="S13:S19"/>
    <mergeCell ref="W5:W32"/>
    <mergeCell ref="V6:V12"/>
    <mergeCell ref="V20:V26"/>
    <mergeCell ref="P20:P26"/>
    <mergeCell ref="S6:S12"/>
    <mergeCell ref="S20:S26"/>
    <mergeCell ref="Q5:Q32"/>
    <mergeCell ref="P6:P12"/>
    <mergeCell ref="T5:T32"/>
    <mergeCell ref="V13:V19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20:B26"/>
    <mergeCell ref="B27:B33"/>
    <mergeCell ref="C5:C34"/>
    <mergeCell ref="N5:N32"/>
    <mergeCell ref="M6:M12"/>
    <mergeCell ref="M20:M26"/>
    <mergeCell ref="B6:B12"/>
    <mergeCell ref="B13:B19"/>
    <mergeCell ref="H5:H35"/>
    <mergeCell ref="G6:G12"/>
    <mergeCell ref="G20:G26"/>
    <mergeCell ref="K5:K32"/>
    <mergeCell ref="J6:J12"/>
    <mergeCell ref="J20:J26"/>
    <mergeCell ref="G13:G19"/>
    <mergeCell ref="J13:J19"/>
    <mergeCell ref="J27:J33"/>
    <mergeCell ref="M27:M33"/>
    <mergeCell ref="P27:P33"/>
    <mergeCell ref="S27:S33"/>
    <mergeCell ref="V27:V33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zoomScale="85" zoomScaleNormal="85" workbookViewId="0">
      <selection activeCell="M7" sqref="M7:M35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50" width="8.85546875" style="79" customWidth="1"/>
    <col min="51" max="16384" width="8.85546875" style="79"/>
  </cols>
  <sheetData>
    <row r="2" spans="1:14" ht="38.1" customHeight="1" x14ac:dyDescent="0.25">
      <c r="A2" s="78"/>
      <c r="B2" s="442" t="s">
        <v>69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</row>
    <row r="3" spans="1:14" ht="25.35" customHeight="1" x14ac:dyDescent="0.25">
      <c r="B3" s="464" t="s">
        <v>43</v>
      </c>
      <c r="C3" s="465" t="s">
        <v>70</v>
      </c>
      <c r="D3" s="466" t="s">
        <v>45</v>
      </c>
      <c r="E3" s="466"/>
      <c r="F3" s="467" t="s">
        <v>71</v>
      </c>
      <c r="G3" s="467"/>
      <c r="H3" s="467"/>
      <c r="I3" s="469" t="s">
        <v>72</v>
      </c>
      <c r="J3" s="470"/>
      <c r="K3" s="470"/>
      <c r="L3" s="470"/>
      <c r="M3" s="470"/>
      <c r="N3" s="471"/>
    </row>
    <row r="4" spans="1:14" ht="25.35" customHeight="1" x14ac:dyDescent="0.25">
      <c r="B4" s="464"/>
      <c r="C4" s="465"/>
      <c r="D4" s="466"/>
      <c r="E4" s="466"/>
      <c r="F4" s="467"/>
      <c r="G4" s="467"/>
      <c r="H4" s="467"/>
      <c r="I4" s="463" t="s">
        <v>73</v>
      </c>
      <c r="J4" s="463"/>
      <c r="K4" s="463" t="s">
        <v>74</v>
      </c>
      <c r="L4" s="463"/>
      <c r="M4" s="463" t="s">
        <v>75</v>
      </c>
      <c r="N4" s="463"/>
    </row>
    <row r="5" spans="1:14" ht="25.35" customHeight="1" x14ac:dyDescent="0.25">
      <c r="B5" s="464"/>
      <c r="C5" s="465"/>
      <c r="D5" s="466"/>
      <c r="E5" s="466"/>
      <c r="F5" s="468" t="s">
        <v>52</v>
      </c>
      <c r="G5" s="468" t="s">
        <v>53</v>
      </c>
      <c r="H5" s="468" t="s">
        <v>54</v>
      </c>
      <c r="I5" s="463" t="s">
        <v>76</v>
      </c>
      <c r="J5" s="463"/>
      <c r="K5" s="463" t="s">
        <v>76</v>
      </c>
      <c r="L5" s="463"/>
      <c r="M5" s="463" t="s">
        <v>76</v>
      </c>
      <c r="N5" s="463"/>
    </row>
    <row r="6" spans="1:14" s="81" customFormat="1" ht="23.45" customHeight="1" x14ac:dyDescent="0.25">
      <c r="B6" s="464"/>
      <c r="C6" s="465"/>
      <c r="D6" s="466"/>
      <c r="E6" s="466"/>
      <c r="F6" s="468"/>
      <c r="G6" s="468"/>
      <c r="H6" s="468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 x14ac:dyDescent="0.25">
      <c r="B7" s="304"/>
      <c r="C7" s="456" t="s">
        <v>55</v>
      </c>
      <c r="D7" s="300">
        <v>46174</v>
      </c>
      <c r="E7" s="301" t="s">
        <v>56</v>
      </c>
      <c r="F7" s="96">
        <f>I7+M7</f>
        <v>2835002.98</v>
      </c>
      <c r="G7" s="407">
        <f>SUM(F7)</f>
        <v>2835002.98</v>
      </c>
      <c r="H7" s="472">
        <f>SUM(F7:F36)</f>
        <v>80775187.169999987</v>
      </c>
      <c r="I7" s="96">
        <v>2544713.85</v>
      </c>
      <c r="J7" s="100">
        <f t="shared" ref="J7:J36" si="0">I7/F7</f>
        <v>0.89760535278167508</v>
      </c>
      <c r="K7" s="99"/>
      <c r="L7" s="100">
        <f t="shared" ref="L7:L36" si="1">K7/F7</f>
        <v>0</v>
      </c>
      <c r="M7" s="96">
        <v>290289.13</v>
      </c>
      <c r="N7" s="100">
        <f t="shared" ref="N7:N36" si="2">M7/F7</f>
        <v>0.10239464721832497</v>
      </c>
    </row>
    <row r="8" spans="1:14" ht="14.25" x14ac:dyDescent="0.25">
      <c r="B8" s="455">
        <v>46182</v>
      </c>
      <c r="C8" s="456"/>
      <c r="D8" s="300">
        <v>46175</v>
      </c>
      <c r="E8" s="301" t="s">
        <v>57</v>
      </c>
      <c r="F8" s="96">
        <f t="shared" ref="F8:F36" si="3">I8+M8</f>
        <v>2722521.86</v>
      </c>
      <c r="G8" s="441">
        <f>SUM(F8:F14)</f>
        <v>18052963.149999999</v>
      </c>
      <c r="H8" s="473"/>
      <c r="I8" s="99">
        <v>2443673.2999999998</v>
      </c>
      <c r="J8" s="100">
        <f t="shared" si="0"/>
        <v>0.89757710889417797</v>
      </c>
      <c r="K8" s="99"/>
      <c r="L8" s="100">
        <f t="shared" si="1"/>
        <v>0</v>
      </c>
      <c r="M8" s="99">
        <v>278848.56</v>
      </c>
      <c r="N8" s="100">
        <f t="shared" si="2"/>
        <v>0.10242289110582202</v>
      </c>
    </row>
    <row r="9" spans="1:14" ht="14.25" x14ac:dyDescent="0.25">
      <c r="B9" s="455"/>
      <c r="C9" s="456"/>
      <c r="D9" s="300">
        <v>46176</v>
      </c>
      <c r="E9" s="300" t="s">
        <v>58</v>
      </c>
      <c r="F9" s="96">
        <f t="shared" si="3"/>
        <v>2452866.64</v>
      </c>
      <c r="G9" s="441"/>
      <c r="H9" s="473"/>
      <c r="I9" s="99">
        <v>2208140.67</v>
      </c>
      <c r="J9" s="100">
        <f t="shared" si="0"/>
        <v>0.90022858723375188</v>
      </c>
      <c r="K9" s="99"/>
      <c r="L9" s="100">
        <f t="shared" si="1"/>
        <v>0</v>
      </c>
      <c r="M9" s="99">
        <v>244725.97</v>
      </c>
      <c r="N9" s="100">
        <f t="shared" si="2"/>
        <v>9.9771412766248055E-2</v>
      </c>
    </row>
    <row r="10" spans="1:14" ht="14.25" x14ac:dyDescent="0.25">
      <c r="B10" s="455"/>
      <c r="C10" s="456"/>
      <c r="D10" s="300">
        <v>46177</v>
      </c>
      <c r="E10" s="301" t="s">
        <v>59</v>
      </c>
      <c r="F10" s="96">
        <f t="shared" si="3"/>
        <v>2382946.1100000003</v>
      </c>
      <c r="G10" s="441"/>
      <c r="H10" s="473"/>
      <c r="I10" s="99">
        <v>2144642.4300000002</v>
      </c>
      <c r="J10" s="100">
        <f t="shared" si="0"/>
        <v>0.89999619420684251</v>
      </c>
      <c r="K10" s="99"/>
      <c r="L10" s="100">
        <f t="shared" si="1"/>
        <v>0</v>
      </c>
      <c r="M10" s="99">
        <v>238303.68</v>
      </c>
      <c r="N10" s="100">
        <f t="shared" si="2"/>
        <v>0.10000380579315743</v>
      </c>
    </row>
    <row r="11" spans="1:14" ht="14.25" x14ac:dyDescent="0.25">
      <c r="B11" s="455"/>
      <c r="C11" s="456"/>
      <c r="D11" s="300">
        <v>46178</v>
      </c>
      <c r="E11" s="301" t="s">
        <v>60</v>
      </c>
      <c r="F11" s="96">
        <f t="shared" si="3"/>
        <v>1944479.05</v>
      </c>
      <c r="G11" s="441"/>
      <c r="H11" s="473"/>
      <c r="I11" s="99">
        <v>1727826.71</v>
      </c>
      <c r="J11" s="100">
        <f t="shared" si="0"/>
        <v>0.88858077951521253</v>
      </c>
      <c r="K11" s="99"/>
      <c r="L11" s="100">
        <f t="shared" si="1"/>
        <v>0</v>
      </c>
      <c r="M11" s="99">
        <v>216652.34</v>
      </c>
      <c r="N11" s="100">
        <f t="shared" si="2"/>
        <v>0.11141922048478742</v>
      </c>
    </row>
    <row r="12" spans="1:14" ht="14.25" x14ac:dyDescent="0.25">
      <c r="B12" s="455"/>
      <c r="C12" s="456"/>
      <c r="D12" s="300">
        <v>46179</v>
      </c>
      <c r="E12" s="301" t="s">
        <v>55</v>
      </c>
      <c r="F12" s="96">
        <f t="shared" si="3"/>
        <v>2318273.63</v>
      </c>
      <c r="G12" s="441"/>
      <c r="H12" s="473"/>
      <c r="I12" s="99">
        <v>2087765.59</v>
      </c>
      <c r="J12" s="100">
        <f t="shared" si="0"/>
        <v>0.90056909718634037</v>
      </c>
      <c r="K12" s="99"/>
      <c r="L12" s="100">
        <f t="shared" si="1"/>
        <v>0</v>
      </c>
      <c r="M12" s="99">
        <v>230508.04</v>
      </c>
      <c r="N12" s="100">
        <f t="shared" si="2"/>
        <v>9.9430902813659669E-2</v>
      </c>
    </row>
    <row r="13" spans="1:14" ht="14.25" x14ac:dyDescent="0.25">
      <c r="B13" s="455"/>
      <c r="C13" s="456"/>
      <c r="D13" s="300">
        <v>46180</v>
      </c>
      <c r="E13" s="301" t="s">
        <v>52</v>
      </c>
      <c r="F13" s="96">
        <f t="shared" si="3"/>
        <v>2991875.15</v>
      </c>
      <c r="G13" s="441"/>
      <c r="H13" s="473"/>
      <c r="I13" s="99">
        <v>2708252.01</v>
      </c>
      <c r="J13" s="100">
        <f t="shared" si="0"/>
        <v>0.90520221406966128</v>
      </c>
      <c r="K13" s="99"/>
      <c r="L13" s="100">
        <f t="shared" si="1"/>
        <v>0</v>
      </c>
      <c r="M13" s="99">
        <v>283623.14</v>
      </c>
      <c r="N13" s="100">
        <f t="shared" si="2"/>
        <v>9.4797785930338718E-2</v>
      </c>
    </row>
    <row r="14" spans="1:14" ht="14.25" x14ac:dyDescent="0.25">
      <c r="B14" s="455"/>
      <c r="C14" s="456"/>
      <c r="D14" s="300">
        <v>46181</v>
      </c>
      <c r="E14" s="301" t="s">
        <v>56</v>
      </c>
      <c r="F14" s="96">
        <f t="shared" si="3"/>
        <v>3240000.71</v>
      </c>
      <c r="G14" s="441"/>
      <c r="H14" s="473"/>
      <c r="I14" s="99">
        <v>2957745.49</v>
      </c>
      <c r="J14" s="100">
        <f t="shared" si="0"/>
        <v>0.91288421044821322</v>
      </c>
      <c r="K14" s="99"/>
      <c r="L14" s="100">
        <f t="shared" si="1"/>
        <v>0</v>
      </c>
      <c r="M14" s="99">
        <v>282255.21999999997</v>
      </c>
      <c r="N14" s="100">
        <f t="shared" si="2"/>
        <v>8.7115789551786851E-2</v>
      </c>
    </row>
    <row r="15" spans="1:14" ht="14.25" x14ac:dyDescent="0.25">
      <c r="B15" s="455">
        <v>46189</v>
      </c>
      <c r="C15" s="456"/>
      <c r="D15" s="300">
        <v>46182</v>
      </c>
      <c r="E15" s="301" t="s">
        <v>57</v>
      </c>
      <c r="F15" s="96">
        <f t="shared" si="3"/>
        <v>3508974.2400000007</v>
      </c>
      <c r="G15" s="441">
        <f>SUM(F15:F21)</f>
        <v>21305360.43</v>
      </c>
      <c r="H15" s="473"/>
      <c r="I15" s="99">
        <v>3234220.5600000005</v>
      </c>
      <c r="J15" s="100">
        <f t="shared" si="0"/>
        <v>0.92169971586910249</v>
      </c>
      <c r="K15" s="99"/>
      <c r="L15" s="100">
        <f t="shared" si="1"/>
        <v>0</v>
      </c>
      <c r="M15" s="99">
        <v>274753.68</v>
      </c>
      <c r="N15" s="100">
        <f t="shared" si="2"/>
        <v>7.8300284130897443E-2</v>
      </c>
    </row>
    <row r="16" spans="1:14" ht="14.25" x14ac:dyDescent="0.25">
      <c r="B16" s="455"/>
      <c r="C16" s="456"/>
      <c r="D16" s="300">
        <v>46183</v>
      </c>
      <c r="E16" s="300" t="s">
        <v>58</v>
      </c>
      <c r="F16" s="96">
        <f t="shared" si="3"/>
        <v>3139480.9699999997</v>
      </c>
      <c r="G16" s="441"/>
      <c r="H16" s="473"/>
      <c r="I16" s="99">
        <v>2895039.11</v>
      </c>
      <c r="J16" s="100">
        <f t="shared" si="0"/>
        <v>0.92213940382635928</v>
      </c>
      <c r="K16" s="99"/>
      <c r="L16" s="100">
        <f t="shared" si="1"/>
        <v>0</v>
      </c>
      <c r="M16" s="99">
        <v>244441.86</v>
      </c>
      <c r="N16" s="100">
        <f t="shared" si="2"/>
        <v>7.7860596173640773E-2</v>
      </c>
    </row>
    <row r="17" spans="2:14" ht="14.25" x14ac:dyDescent="0.25">
      <c r="B17" s="455"/>
      <c r="C17" s="456"/>
      <c r="D17" s="300">
        <v>46184</v>
      </c>
      <c r="E17" s="301" t="s">
        <v>59</v>
      </c>
      <c r="F17" s="96">
        <f t="shared" si="3"/>
        <v>3042840.87</v>
      </c>
      <c r="G17" s="441"/>
      <c r="H17" s="473"/>
      <c r="I17" s="99">
        <v>2806182.38</v>
      </c>
      <c r="J17" s="100">
        <f t="shared" si="0"/>
        <v>0.92222449345502577</v>
      </c>
      <c r="K17" s="99"/>
      <c r="L17" s="100">
        <f t="shared" si="1"/>
        <v>0</v>
      </c>
      <c r="M17" s="99">
        <v>236658.49</v>
      </c>
      <c r="N17" s="100">
        <f t="shared" si="2"/>
        <v>7.7775506544974199E-2</v>
      </c>
    </row>
    <row r="18" spans="2:14" ht="14.25" x14ac:dyDescent="0.25">
      <c r="B18" s="455"/>
      <c r="C18" s="456"/>
      <c r="D18" s="300">
        <v>46185</v>
      </c>
      <c r="E18" s="301" t="s">
        <v>60</v>
      </c>
      <c r="F18" s="96">
        <f t="shared" si="3"/>
        <v>2238951.3900000006</v>
      </c>
      <c r="G18" s="441"/>
      <c r="H18" s="473"/>
      <c r="I18" s="99">
        <v>2043345.1200000003</v>
      </c>
      <c r="J18" s="100">
        <f t="shared" si="0"/>
        <v>0.91263487413185862</v>
      </c>
      <c r="K18" s="99"/>
      <c r="L18" s="100">
        <f t="shared" si="1"/>
        <v>0</v>
      </c>
      <c r="M18" s="99">
        <v>195606.27000000002</v>
      </c>
      <c r="N18" s="100">
        <f t="shared" si="2"/>
        <v>8.7365125868141325E-2</v>
      </c>
    </row>
    <row r="19" spans="2:14" ht="14.25" x14ac:dyDescent="0.25">
      <c r="B19" s="455"/>
      <c r="C19" s="456"/>
      <c r="D19" s="300">
        <v>46186</v>
      </c>
      <c r="E19" s="301" t="s">
        <v>55</v>
      </c>
      <c r="F19" s="96">
        <f t="shared" si="3"/>
        <v>2665425.63</v>
      </c>
      <c r="G19" s="441"/>
      <c r="H19" s="473"/>
      <c r="I19" s="99">
        <v>2446847.58</v>
      </c>
      <c r="J19" s="100">
        <f t="shared" si="0"/>
        <v>0.91799506707677314</v>
      </c>
      <c r="K19" s="99"/>
      <c r="L19" s="100">
        <f t="shared" si="1"/>
        <v>0</v>
      </c>
      <c r="M19" s="99">
        <v>218578.05000000002</v>
      </c>
      <c r="N19" s="100">
        <f t="shared" si="2"/>
        <v>8.2004932923226984E-2</v>
      </c>
    </row>
    <row r="20" spans="2:14" ht="14.25" x14ac:dyDescent="0.25">
      <c r="B20" s="455"/>
      <c r="C20" s="456"/>
      <c r="D20" s="300">
        <v>46187</v>
      </c>
      <c r="E20" s="301" t="s">
        <v>52</v>
      </c>
      <c r="F20" s="96">
        <f t="shared" si="3"/>
        <v>3415399.91</v>
      </c>
      <c r="G20" s="441"/>
      <c r="H20" s="473"/>
      <c r="I20" s="99">
        <v>3155486.8800000004</v>
      </c>
      <c r="J20" s="100">
        <f t="shared" si="0"/>
        <v>0.92389967885195623</v>
      </c>
      <c r="K20" s="99"/>
      <c r="L20" s="100">
        <f t="shared" si="1"/>
        <v>0</v>
      </c>
      <c r="M20" s="99">
        <v>259913.03</v>
      </c>
      <c r="N20" s="100">
        <f t="shared" si="2"/>
        <v>7.6100321148043826E-2</v>
      </c>
    </row>
    <row r="21" spans="2:14" ht="14.25" x14ac:dyDescent="0.25">
      <c r="B21" s="455"/>
      <c r="C21" s="456"/>
      <c r="D21" s="300">
        <v>46188</v>
      </c>
      <c r="E21" s="301" t="s">
        <v>56</v>
      </c>
      <c r="F21" s="96">
        <f t="shared" si="3"/>
        <v>3294287.42</v>
      </c>
      <c r="G21" s="441"/>
      <c r="H21" s="473"/>
      <c r="I21" s="99">
        <v>3017030.4499999997</v>
      </c>
      <c r="J21" s="100">
        <f t="shared" si="0"/>
        <v>0.91583704314421954</v>
      </c>
      <c r="K21" s="99"/>
      <c r="L21" s="100">
        <f t="shared" si="1"/>
        <v>0</v>
      </c>
      <c r="M21" s="99">
        <v>277256.97000000003</v>
      </c>
      <c r="N21" s="100">
        <f t="shared" si="2"/>
        <v>8.4162956855780374E-2</v>
      </c>
    </row>
    <row r="22" spans="2:14" ht="14.25" x14ac:dyDescent="0.25">
      <c r="B22" s="455">
        <v>46196</v>
      </c>
      <c r="C22" s="456"/>
      <c r="D22" s="300">
        <v>46189</v>
      </c>
      <c r="E22" s="301" t="s">
        <v>57</v>
      </c>
      <c r="F22" s="96">
        <f t="shared" si="3"/>
        <v>3209761.18</v>
      </c>
      <c r="G22" s="441">
        <f>SUM(F22:F28)</f>
        <v>18358742.23</v>
      </c>
      <c r="H22" s="473"/>
      <c r="I22" s="99">
        <v>2788792.8600000003</v>
      </c>
      <c r="J22" s="100">
        <f t="shared" si="0"/>
        <v>0.86884746359852238</v>
      </c>
      <c r="K22" s="99"/>
      <c r="L22" s="100">
        <f t="shared" si="1"/>
        <v>0</v>
      </c>
      <c r="M22" s="99">
        <v>420968.32</v>
      </c>
      <c r="N22" s="100">
        <f t="shared" si="2"/>
        <v>0.1311525364014777</v>
      </c>
    </row>
    <row r="23" spans="2:14" ht="14.25" x14ac:dyDescent="0.25">
      <c r="B23" s="455"/>
      <c r="C23" s="456"/>
      <c r="D23" s="300">
        <v>46190</v>
      </c>
      <c r="E23" s="300" t="s">
        <v>58</v>
      </c>
      <c r="F23" s="96">
        <f t="shared" si="3"/>
        <v>2739001.4199999995</v>
      </c>
      <c r="G23" s="441"/>
      <c r="H23" s="473"/>
      <c r="I23" s="99">
        <v>2378480.3499999996</v>
      </c>
      <c r="J23" s="100">
        <f t="shared" si="0"/>
        <v>0.86837499704545607</v>
      </c>
      <c r="K23" s="99"/>
      <c r="L23" s="100">
        <f t="shared" si="1"/>
        <v>0</v>
      </c>
      <c r="M23" s="99">
        <v>360521.07</v>
      </c>
      <c r="N23" s="100">
        <f t="shared" si="2"/>
        <v>0.13162500295454396</v>
      </c>
    </row>
    <row r="24" spans="2:14" ht="14.25" x14ac:dyDescent="0.25">
      <c r="B24" s="455"/>
      <c r="C24" s="456"/>
      <c r="D24" s="300">
        <v>46191</v>
      </c>
      <c r="E24" s="301" t="s">
        <v>59</v>
      </c>
      <c r="F24" s="96">
        <f t="shared" si="3"/>
        <v>2148217.9</v>
      </c>
      <c r="G24" s="441"/>
      <c r="H24" s="473"/>
      <c r="I24" s="99">
        <v>1909519.32</v>
      </c>
      <c r="J24" s="100">
        <f t="shared" si="0"/>
        <v>0.88888530348806805</v>
      </c>
      <c r="K24" s="99"/>
      <c r="L24" s="100">
        <f t="shared" si="1"/>
        <v>0</v>
      </c>
      <c r="M24" s="99">
        <v>238698.58</v>
      </c>
      <c r="N24" s="100">
        <f t="shared" si="2"/>
        <v>0.11111469651193205</v>
      </c>
    </row>
    <row r="25" spans="2:14" ht="14.25" x14ac:dyDescent="0.25">
      <c r="B25" s="455"/>
      <c r="C25" s="456"/>
      <c r="D25" s="300">
        <v>46192</v>
      </c>
      <c r="E25" s="301" t="s">
        <v>60</v>
      </c>
      <c r="F25" s="96">
        <f t="shared" si="3"/>
        <v>2051064.9900000005</v>
      </c>
      <c r="G25" s="441"/>
      <c r="H25" s="473"/>
      <c r="I25" s="99">
        <v>1797796.4400000004</v>
      </c>
      <c r="J25" s="100">
        <f t="shared" si="0"/>
        <v>0.87651851538843728</v>
      </c>
      <c r="K25" s="99"/>
      <c r="L25" s="100">
        <f t="shared" si="1"/>
        <v>0</v>
      </c>
      <c r="M25" s="99">
        <v>253268.55</v>
      </c>
      <c r="N25" s="100">
        <f t="shared" si="2"/>
        <v>0.12348148461156266</v>
      </c>
    </row>
    <row r="26" spans="2:14" ht="14.25" x14ac:dyDescent="0.25">
      <c r="B26" s="455"/>
      <c r="C26" s="456"/>
      <c r="D26" s="300">
        <v>46193</v>
      </c>
      <c r="E26" s="301" t="s">
        <v>55</v>
      </c>
      <c r="F26" s="96">
        <f t="shared" si="3"/>
        <v>2183098.7199999997</v>
      </c>
      <c r="G26" s="441"/>
      <c r="H26" s="473"/>
      <c r="I26" s="99">
        <v>1939583.8799999997</v>
      </c>
      <c r="J26" s="100">
        <f t="shared" si="0"/>
        <v>0.88845449920835462</v>
      </c>
      <c r="K26" s="99"/>
      <c r="L26" s="100">
        <f t="shared" si="1"/>
        <v>0</v>
      </c>
      <c r="M26" s="99">
        <v>243514.84</v>
      </c>
      <c r="N26" s="100">
        <f t="shared" si="2"/>
        <v>0.11154550079164538</v>
      </c>
    </row>
    <row r="27" spans="2:14" ht="14.25" x14ac:dyDescent="0.25">
      <c r="B27" s="455"/>
      <c r="C27" s="456"/>
      <c r="D27" s="300">
        <v>46194</v>
      </c>
      <c r="E27" s="301" t="s">
        <v>52</v>
      </c>
      <c r="F27" s="96">
        <f t="shared" si="3"/>
        <v>3045937.9499999997</v>
      </c>
      <c r="G27" s="441"/>
      <c r="H27" s="473"/>
      <c r="I27" s="99">
        <v>2651797.9299999997</v>
      </c>
      <c r="J27" s="100">
        <f t="shared" si="0"/>
        <v>0.87060142837118526</v>
      </c>
      <c r="K27" s="99"/>
      <c r="L27" s="100">
        <f t="shared" si="1"/>
        <v>0</v>
      </c>
      <c r="M27" s="99">
        <v>394140.02</v>
      </c>
      <c r="N27" s="100">
        <f t="shared" si="2"/>
        <v>0.12939857162881471</v>
      </c>
    </row>
    <row r="28" spans="2:14" ht="14.25" x14ac:dyDescent="0.25">
      <c r="B28" s="455"/>
      <c r="C28" s="456"/>
      <c r="D28" s="300">
        <v>46195</v>
      </c>
      <c r="E28" s="301" t="s">
        <v>56</v>
      </c>
      <c r="F28" s="96">
        <f t="shared" si="3"/>
        <v>2981660.0700000003</v>
      </c>
      <c r="G28" s="441"/>
      <c r="H28" s="473"/>
      <c r="I28" s="99">
        <v>2644154.9300000002</v>
      </c>
      <c r="J28" s="100">
        <f t="shared" si="0"/>
        <v>0.88680629847922265</v>
      </c>
      <c r="K28" s="99"/>
      <c r="L28" s="100">
        <f t="shared" si="1"/>
        <v>0</v>
      </c>
      <c r="M28" s="99">
        <v>337505.14</v>
      </c>
      <c r="N28" s="100">
        <f t="shared" si="2"/>
        <v>0.1131937015207773</v>
      </c>
    </row>
    <row r="29" spans="2:14" ht="14.25" x14ac:dyDescent="0.25">
      <c r="B29" s="455">
        <v>46203</v>
      </c>
      <c r="C29" s="456"/>
      <c r="D29" s="300">
        <v>46196</v>
      </c>
      <c r="E29" s="301" t="s">
        <v>57</v>
      </c>
      <c r="F29" s="96">
        <f t="shared" si="3"/>
        <v>3337100.0000000005</v>
      </c>
      <c r="G29" s="441">
        <f>SUM(F29:F35)</f>
        <v>20223118.379999999</v>
      </c>
      <c r="H29" s="473"/>
      <c r="I29" s="99">
        <v>3007578.8800000004</v>
      </c>
      <c r="J29" s="100">
        <f t="shared" si="0"/>
        <v>0.90125524557250303</v>
      </c>
      <c r="K29" s="99"/>
      <c r="L29" s="100">
        <f t="shared" si="1"/>
        <v>0</v>
      </c>
      <c r="M29" s="99">
        <v>329521.12</v>
      </c>
      <c r="N29" s="100">
        <f t="shared" si="2"/>
        <v>9.8744754427496917E-2</v>
      </c>
    </row>
    <row r="30" spans="2:14" ht="14.25" x14ac:dyDescent="0.25">
      <c r="B30" s="455"/>
      <c r="C30" s="456"/>
      <c r="D30" s="300">
        <v>46197</v>
      </c>
      <c r="E30" s="300" t="s">
        <v>58</v>
      </c>
      <c r="F30" s="96">
        <f t="shared" si="3"/>
        <v>2882994.1599999997</v>
      </c>
      <c r="G30" s="441"/>
      <c r="H30" s="473"/>
      <c r="I30" s="99">
        <v>2553464.61</v>
      </c>
      <c r="J30" s="100">
        <f t="shared" si="0"/>
        <v>0.88569884928244191</v>
      </c>
      <c r="K30" s="99"/>
      <c r="L30" s="100">
        <f t="shared" si="1"/>
        <v>0</v>
      </c>
      <c r="M30" s="99">
        <v>329529.55</v>
      </c>
      <c r="N30" s="100">
        <f t="shared" si="2"/>
        <v>0.11430115071755817</v>
      </c>
    </row>
    <row r="31" spans="2:14" ht="14.25" x14ac:dyDescent="0.25">
      <c r="B31" s="455"/>
      <c r="C31" s="456"/>
      <c r="D31" s="300">
        <v>46198</v>
      </c>
      <c r="E31" s="301" t="s">
        <v>59</v>
      </c>
      <c r="F31" s="96">
        <f t="shared" si="3"/>
        <v>2814327.3600000003</v>
      </c>
      <c r="G31" s="441"/>
      <c r="H31" s="473"/>
      <c r="I31" s="99">
        <v>2498396.08</v>
      </c>
      <c r="J31" s="100">
        <f t="shared" si="0"/>
        <v>0.88774181550791587</v>
      </c>
      <c r="K31" s="99"/>
      <c r="L31" s="100">
        <f t="shared" si="1"/>
        <v>0</v>
      </c>
      <c r="M31" s="99">
        <v>315931.28000000003</v>
      </c>
      <c r="N31" s="100">
        <f t="shared" si="2"/>
        <v>0.11225818449208411</v>
      </c>
    </row>
    <row r="32" spans="2:14" ht="14.25" x14ac:dyDescent="0.25">
      <c r="B32" s="455"/>
      <c r="C32" s="456"/>
      <c r="D32" s="300">
        <v>46199</v>
      </c>
      <c r="E32" s="301" t="s">
        <v>60</v>
      </c>
      <c r="F32" s="96">
        <f t="shared" si="3"/>
        <v>2265418.44</v>
      </c>
      <c r="G32" s="441"/>
      <c r="H32" s="473"/>
      <c r="I32" s="99">
        <v>2001352.72</v>
      </c>
      <c r="J32" s="100">
        <f t="shared" si="0"/>
        <v>0.88343622734879834</v>
      </c>
      <c r="K32" s="99"/>
      <c r="L32" s="100">
        <f t="shared" si="1"/>
        <v>0</v>
      </c>
      <c r="M32" s="99">
        <v>264065.71999999997</v>
      </c>
      <c r="N32" s="100">
        <f t="shared" si="2"/>
        <v>0.11656377265120169</v>
      </c>
    </row>
    <row r="33" spans="1:22" ht="14.25" x14ac:dyDescent="0.25">
      <c r="B33" s="455"/>
      <c r="C33" s="456"/>
      <c r="D33" s="300">
        <v>46200</v>
      </c>
      <c r="E33" s="301" t="s">
        <v>55</v>
      </c>
      <c r="F33" s="96">
        <f t="shared" si="3"/>
        <v>2274198.5499999998</v>
      </c>
      <c r="G33" s="441"/>
      <c r="H33" s="473"/>
      <c r="I33" s="99">
        <v>1976105.03</v>
      </c>
      <c r="J33" s="100">
        <f t="shared" si="0"/>
        <v>0.86892370501247584</v>
      </c>
      <c r="K33" s="99"/>
      <c r="L33" s="100">
        <f t="shared" si="1"/>
        <v>0</v>
      </c>
      <c r="M33" s="99">
        <v>298093.52</v>
      </c>
      <c r="N33" s="100">
        <f t="shared" si="2"/>
        <v>0.13107629498752429</v>
      </c>
    </row>
    <row r="34" spans="1:22" ht="14.25" x14ac:dyDescent="0.25">
      <c r="B34" s="455"/>
      <c r="C34" s="456"/>
      <c r="D34" s="300">
        <v>46201</v>
      </c>
      <c r="E34" s="301" t="s">
        <v>52</v>
      </c>
      <c r="F34" s="96">
        <f t="shared" si="3"/>
        <v>3370259.74</v>
      </c>
      <c r="G34" s="441"/>
      <c r="H34" s="473"/>
      <c r="I34" s="99">
        <v>3016228</v>
      </c>
      <c r="J34" s="100">
        <f t="shared" si="0"/>
        <v>0.89495416753843426</v>
      </c>
      <c r="K34" s="99"/>
      <c r="L34" s="100">
        <f t="shared" si="1"/>
        <v>0</v>
      </c>
      <c r="M34" s="99">
        <v>354031.74</v>
      </c>
      <c r="N34" s="100">
        <f t="shared" si="2"/>
        <v>0.10504583246156569</v>
      </c>
    </row>
    <row r="35" spans="1:22" ht="14.25" x14ac:dyDescent="0.25">
      <c r="B35" s="455"/>
      <c r="C35" s="456"/>
      <c r="D35" s="300">
        <v>46202</v>
      </c>
      <c r="E35" s="301" t="s">
        <v>56</v>
      </c>
      <c r="F35" s="96">
        <f t="shared" si="3"/>
        <v>3278820.13</v>
      </c>
      <c r="G35" s="441"/>
      <c r="H35" s="473"/>
      <c r="I35" s="99">
        <v>2924710.27</v>
      </c>
      <c r="J35" s="100">
        <f t="shared" si="0"/>
        <v>0.89200082774897449</v>
      </c>
      <c r="K35" s="99"/>
      <c r="L35" s="100">
        <f t="shared" si="1"/>
        <v>0</v>
      </c>
      <c r="M35" s="99">
        <v>354109.86</v>
      </c>
      <c r="N35" s="100">
        <f t="shared" si="2"/>
        <v>0.10799917225102555</v>
      </c>
    </row>
    <row r="36" spans="1:22" ht="14.25" x14ac:dyDescent="0.25">
      <c r="B36" s="304"/>
      <c r="C36" s="456"/>
      <c r="D36" s="300">
        <v>46203</v>
      </c>
      <c r="E36" s="301" t="s">
        <v>57</v>
      </c>
      <c r="F36" s="96">
        <f t="shared" si="3"/>
        <v>0</v>
      </c>
      <c r="G36" s="305"/>
      <c r="H36" s="473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09"/>
      <c r="D37" s="300"/>
      <c r="E37" s="301"/>
      <c r="F37" s="96"/>
      <c r="G37" s="305"/>
      <c r="H37" s="410"/>
      <c r="I37" s="99"/>
      <c r="J37" s="100"/>
      <c r="K37" s="99"/>
      <c r="L37" s="100"/>
      <c r="M37" s="99"/>
      <c r="N37" s="100"/>
    </row>
    <row r="38" spans="1:22" ht="14.25" x14ac:dyDescent="0.25">
      <c r="B38" s="304"/>
      <c r="C38" s="409"/>
      <c r="D38" s="300"/>
      <c r="E38" s="301"/>
      <c r="F38" s="96"/>
      <c r="G38" s="305"/>
      <c r="H38" s="410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/>
      <c r="G40" s="96"/>
      <c r="H40" s="96"/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</row>
    <row r="43" spans="1:22" ht="14.25" x14ac:dyDescent="0.25">
      <c r="B43" s="82"/>
      <c r="C43" s="79"/>
      <c r="D43" s="81"/>
      <c r="F43" s="96"/>
      <c r="G43" s="96"/>
      <c r="H43" s="96"/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5">
    <mergeCell ref="G8:G14"/>
    <mergeCell ref="G15:G21"/>
    <mergeCell ref="G22:G28"/>
    <mergeCell ref="G29:G35"/>
    <mergeCell ref="H7:H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C7:C36"/>
    <mergeCell ref="B8:B14"/>
    <mergeCell ref="B15:B21"/>
    <mergeCell ref="B22:B28"/>
    <mergeCell ref="B29:B35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zoomScale="85" zoomScaleNormal="85" workbookViewId="0">
      <selection activeCell="M7" sqref="M7:M35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0" width="8.85546875" style="79" customWidth="1"/>
    <col min="51" max="16384" width="8.85546875" style="79"/>
  </cols>
  <sheetData>
    <row r="2" spans="1:14" ht="38.1" customHeight="1" x14ac:dyDescent="0.25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64" t="s">
        <v>43</v>
      </c>
      <c r="C3" s="465" t="s">
        <v>70</v>
      </c>
      <c r="D3" s="466" t="s">
        <v>45</v>
      </c>
      <c r="E3" s="466"/>
      <c r="F3" s="477" t="s">
        <v>80</v>
      </c>
      <c r="G3" s="478"/>
      <c r="H3" s="478"/>
      <c r="I3" s="479" t="s">
        <v>81</v>
      </c>
      <c r="J3" s="480"/>
      <c r="K3" s="480"/>
      <c r="L3" s="480"/>
      <c r="M3" s="480"/>
      <c r="N3" s="481"/>
    </row>
    <row r="4" spans="1:14" ht="25.35" customHeight="1" x14ac:dyDescent="0.25">
      <c r="B4" s="464"/>
      <c r="C4" s="465"/>
      <c r="D4" s="466"/>
      <c r="E4" s="466"/>
      <c r="F4" s="478"/>
      <c r="G4" s="478"/>
      <c r="H4" s="478"/>
      <c r="I4" s="482" t="s">
        <v>73</v>
      </c>
      <c r="J4" s="482"/>
      <c r="K4" s="482" t="s">
        <v>74</v>
      </c>
      <c r="L4" s="482"/>
      <c r="M4" s="482" t="s">
        <v>75</v>
      </c>
      <c r="N4" s="482"/>
    </row>
    <row r="5" spans="1:14" ht="25.35" customHeight="1" x14ac:dyDescent="0.25">
      <c r="B5" s="464"/>
      <c r="C5" s="465"/>
      <c r="D5" s="466"/>
      <c r="E5" s="466"/>
      <c r="F5" s="476" t="s">
        <v>52</v>
      </c>
      <c r="G5" s="476" t="s">
        <v>53</v>
      </c>
      <c r="H5" s="476" t="s">
        <v>54</v>
      </c>
      <c r="I5" s="482" t="s">
        <v>76</v>
      </c>
      <c r="J5" s="482"/>
      <c r="K5" s="482" t="s">
        <v>76</v>
      </c>
      <c r="L5" s="482"/>
      <c r="M5" s="482" t="s">
        <v>76</v>
      </c>
      <c r="N5" s="482"/>
    </row>
    <row r="6" spans="1:14" s="81" customFormat="1" ht="23.45" customHeight="1" x14ac:dyDescent="0.25">
      <c r="B6" s="464"/>
      <c r="C6" s="465"/>
      <c r="D6" s="466"/>
      <c r="E6" s="466"/>
      <c r="F6" s="476"/>
      <c r="G6" s="476"/>
      <c r="H6" s="476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 x14ac:dyDescent="0.25">
      <c r="B7" s="304"/>
      <c r="C7" s="456" t="s">
        <v>55</v>
      </c>
      <c r="D7" s="300">
        <v>46174</v>
      </c>
      <c r="E7" s="301" t="s">
        <v>56</v>
      </c>
      <c r="F7" s="190">
        <f>SUM(I7,K7,M7)</f>
        <v>64603</v>
      </c>
      <c r="G7" s="408">
        <f>SUM(F7)</f>
        <v>64603</v>
      </c>
      <c r="H7" s="474">
        <f>SUM(F7:F36)</f>
        <v>1751581</v>
      </c>
      <c r="I7" s="226">
        <v>53944</v>
      </c>
      <c r="J7" s="100">
        <f t="shared" ref="J7:J36" si="0">I7/F7</f>
        <v>0.83500766218287081</v>
      </c>
      <c r="K7" s="105"/>
      <c r="L7" s="100">
        <f t="shared" ref="L7:L36" si="1">K7/F7</f>
        <v>0</v>
      </c>
      <c r="M7" s="226">
        <v>10659</v>
      </c>
      <c r="N7" s="100">
        <f t="shared" ref="N7:N36" si="2">M7/F7</f>
        <v>0.16499233781712924</v>
      </c>
    </row>
    <row r="8" spans="1:14" ht="14.25" x14ac:dyDescent="0.25">
      <c r="B8" s="455">
        <v>46182</v>
      </c>
      <c r="C8" s="456"/>
      <c r="D8" s="300">
        <v>46175</v>
      </c>
      <c r="E8" s="301" t="s">
        <v>57</v>
      </c>
      <c r="F8" s="190">
        <f t="shared" ref="F8:F36" si="3">SUM(I8,K8,M8)</f>
        <v>62091</v>
      </c>
      <c r="G8" s="454">
        <f>SUM(F8:F14)</f>
        <v>407538</v>
      </c>
      <c r="H8" s="475"/>
      <c r="I8" s="226">
        <v>51859</v>
      </c>
      <c r="J8" s="100">
        <f t="shared" si="0"/>
        <v>0.83520961169895802</v>
      </c>
      <c r="K8" s="105"/>
      <c r="L8" s="100">
        <f t="shared" si="1"/>
        <v>0</v>
      </c>
      <c r="M8" s="226">
        <v>10232</v>
      </c>
      <c r="N8" s="100">
        <f t="shared" si="2"/>
        <v>0.16479038830104201</v>
      </c>
    </row>
    <row r="9" spans="1:14" ht="14.25" x14ac:dyDescent="0.25">
      <c r="B9" s="455"/>
      <c r="C9" s="456"/>
      <c r="D9" s="300">
        <v>46176</v>
      </c>
      <c r="E9" s="300" t="s">
        <v>58</v>
      </c>
      <c r="F9" s="190">
        <f t="shared" si="3"/>
        <v>55658</v>
      </c>
      <c r="G9" s="454"/>
      <c r="H9" s="475"/>
      <c r="I9" s="226">
        <v>46680</v>
      </c>
      <c r="J9" s="100">
        <f t="shared" si="0"/>
        <v>0.8386934492795286</v>
      </c>
      <c r="K9" s="105"/>
      <c r="L9" s="100">
        <f t="shared" si="1"/>
        <v>0</v>
      </c>
      <c r="M9" s="226">
        <v>8978</v>
      </c>
      <c r="N9" s="100">
        <f t="shared" si="2"/>
        <v>0.16130655072047145</v>
      </c>
    </row>
    <row r="10" spans="1:14" ht="14.25" x14ac:dyDescent="0.25">
      <c r="B10" s="455"/>
      <c r="C10" s="456"/>
      <c r="D10" s="300">
        <v>46177</v>
      </c>
      <c r="E10" s="301" t="s">
        <v>59</v>
      </c>
      <c r="F10" s="190">
        <f t="shared" si="3"/>
        <v>54358</v>
      </c>
      <c r="G10" s="454"/>
      <c r="H10" s="475"/>
      <c r="I10" s="226">
        <v>45611</v>
      </c>
      <c r="J10" s="100">
        <f t="shared" si="0"/>
        <v>0.83908532322749185</v>
      </c>
      <c r="K10" s="105"/>
      <c r="L10" s="100">
        <f t="shared" si="1"/>
        <v>0</v>
      </c>
      <c r="M10" s="226">
        <v>8747</v>
      </c>
      <c r="N10" s="100">
        <f t="shared" si="2"/>
        <v>0.16091467677250818</v>
      </c>
    </row>
    <row r="11" spans="1:14" ht="14.25" x14ac:dyDescent="0.25">
      <c r="B11" s="455"/>
      <c r="C11" s="456"/>
      <c r="D11" s="300">
        <v>46178</v>
      </c>
      <c r="E11" s="301" t="s">
        <v>60</v>
      </c>
      <c r="F11" s="190">
        <f t="shared" si="3"/>
        <v>46341</v>
      </c>
      <c r="G11" s="454"/>
      <c r="H11" s="475"/>
      <c r="I11" s="226">
        <v>38387</v>
      </c>
      <c r="J11" s="100">
        <f t="shared" si="0"/>
        <v>0.82835933622494118</v>
      </c>
      <c r="K11" s="105"/>
      <c r="L11" s="100">
        <f t="shared" si="1"/>
        <v>0</v>
      </c>
      <c r="M11" s="226">
        <v>7954</v>
      </c>
      <c r="N11" s="100">
        <f t="shared" si="2"/>
        <v>0.17164066377505879</v>
      </c>
    </row>
    <row r="12" spans="1:14" ht="14.25" x14ac:dyDescent="0.25">
      <c r="B12" s="455"/>
      <c r="C12" s="456"/>
      <c r="D12" s="300">
        <v>46179</v>
      </c>
      <c r="E12" s="301" t="s">
        <v>55</v>
      </c>
      <c r="F12" s="190">
        <f t="shared" si="3"/>
        <v>53256</v>
      </c>
      <c r="G12" s="454"/>
      <c r="H12" s="475"/>
      <c r="I12" s="226">
        <v>44801</v>
      </c>
      <c r="J12" s="100">
        <f t="shared" si="0"/>
        <v>0.84123854589154279</v>
      </c>
      <c r="K12" s="105"/>
      <c r="L12" s="100">
        <f t="shared" si="1"/>
        <v>0</v>
      </c>
      <c r="M12" s="226">
        <v>8455</v>
      </c>
      <c r="N12" s="100">
        <f t="shared" si="2"/>
        <v>0.15876145410845727</v>
      </c>
    </row>
    <row r="13" spans="1:14" ht="14.25" x14ac:dyDescent="0.25">
      <c r="B13" s="455"/>
      <c r="C13" s="456"/>
      <c r="D13" s="300">
        <v>46180</v>
      </c>
      <c r="E13" s="301" t="s">
        <v>52</v>
      </c>
      <c r="F13" s="190">
        <f t="shared" si="3"/>
        <v>68143</v>
      </c>
      <c r="G13" s="454"/>
      <c r="H13" s="475"/>
      <c r="I13" s="226">
        <v>57735</v>
      </c>
      <c r="J13" s="100">
        <f t="shared" si="0"/>
        <v>0.84726237471200272</v>
      </c>
      <c r="K13" s="105"/>
      <c r="L13" s="100">
        <f t="shared" si="1"/>
        <v>0</v>
      </c>
      <c r="M13" s="226">
        <v>10408</v>
      </c>
      <c r="N13" s="100">
        <f t="shared" si="2"/>
        <v>0.15273762528799731</v>
      </c>
    </row>
    <row r="14" spans="1:14" ht="14.25" x14ac:dyDescent="0.25">
      <c r="B14" s="455"/>
      <c r="C14" s="456"/>
      <c r="D14" s="300">
        <v>46181</v>
      </c>
      <c r="E14" s="301" t="s">
        <v>56</v>
      </c>
      <c r="F14" s="190">
        <f t="shared" si="3"/>
        <v>67691</v>
      </c>
      <c r="G14" s="454"/>
      <c r="H14" s="475"/>
      <c r="I14" s="226">
        <v>57337</v>
      </c>
      <c r="J14" s="100">
        <f t="shared" si="0"/>
        <v>0.84704022691347447</v>
      </c>
      <c r="K14" s="105"/>
      <c r="L14" s="100">
        <f t="shared" si="1"/>
        <v>0</v>
      </c>
      <c r="M14" s="226">
        <v>10354</v>
      </c>
      <c r="N14" s="100">
        <f t="shared" si="2"/>
        <v>0.15295977308652553</v>
      </c>
    </row>
    <row r="15" spans="1:14" ht="14.25" x14ac:dyDescent="0.25">
      <c r="B15" s="455">
        <v>46189</v>
      </c>
      <c r="C15" s="456"/>
      <c r="D15" s="300">
        <v>46182</v>
      </c>
      <c r="E15" s="301" t="s">
        <v>57</v>
      </c>
      <c r="F15" s="190">
        <f t="shared" si="3"/>
        <v>73200</v>
      </c>
      <c r="G15" s="454">
        <f>SUM(F15:F21)</f>
        <v>442049</v>
      </c>
      <c r="H15" s="475"/>
      <c r="I15" s="226">
        <v>63123</v>
      </c>
      <c r="J15" s="100">
        <f t="shared" si="0"/>
        <v>0.86233606557377052</v>
      </c>
      <c r="K15" s="105"/>
      <c r="L15" s="100">
        <f t="shared" si="1"/>
        <v>0</v>
      </c>
      <c r="M15" s="226">
        <v>10077</v>
      </c>
      <c r="N15" s="100">
        <f t="shared" si="2"/>
        <v>0.13766393442622951</v>
      </c>
    </row>
    <row r="16" spans="1:14" ht="14.25" x14ac:dyDescent="0.25">
      <c r="B16" s="455"/>
      <c r="C16" s="456"/>
      <c r="D16" s="300">
        <v>46183</v>
      </c>
      <c r="E16" s="300" t="s">
        <v>58</v>
      </c>
      <c r="F16" s="190">
        <f t="shared" si="3"/>
        <v>64942</v>
      </c>
      <c r="G16" s="454"/>
      <c r="H16" s="475"/>
      <c r="I16" s="226">
        <v>55966</v>
      </c>
      <c r="J16" s="100">
        <f t="shared" si="0"/>
        <v>0.86178436143019921</v>
      </c>
      <c r="K16" s="105"/>
      <c r="L16" s="100">
        <f t="shared" si="1"/>
        <v>0</v>
      </c>
      <c r="M16" s="226">
        <v>8976</v>
      </c>
      <c r="N16" s="100">
        <f t="shared" si="2"/>
        <v>0.13821563856980074</v>
      </c>
    </row>
    <row r="17" spans="2:14" ht="14.25" x14ac:dyDescent="0.25">
      <c r="B17" s="455"/>
      <c r="C17" s="456"/>
      <c r="D17" s="300">
        <v>46184</v>
      </c>
      <c r="E17" s="301" t="s">
        <v>59</v>
      </c>
      <c r="F17" s="190">
        <f t="shared" si="3"/>
        <v>62899</v>
      </c>
      <c r="G17" s="454"/>
      <c r="H17" s="475"/>
      <c r="I17" s="226">
        <v>54213</v>
      </c>
      <c r="J17" s="100">
        <f t="shared" si="0"/>
        <v>0.86190559468354033</v>
      </c>
      <c r="K17" s="105"/>
      <c r="L17" s="100">
        <f t="shared" si="1"/>
        <v>0</v>
      </c>
      <c r="M17" s="226">
        <v>8686</v>
      </c>
      <c r="N17" s="100">
        <f t="shared" si="2"/>
        <v>0.13809440531645972</v>
      </c>
    </row>
    <row r="18" spans="2:14" ht="14.25" x14ac:dyDescent="0.25">
      <c r="B18" s="455"/>
      <c r="C18" s="456"/>
      <c r="D18" s="300">
        <v>46185</v>
      </c>
      <c r="E18" s="301" t="s">
        <v>60</v>
      </c>
      <c r="F18" s="190">
        <f t="shared" si="3"/>
        <v>46456</v>
      </c>
      <c r="G18" s="454"/>
      <c r="H18" s="475"/>
      <c r="I18" s="226">
        <v>39286</v>
      </c>
      <c r="J18" s="100">
        <f t="shared" si="0"/>
        <v>0.84566040985018076</v>
      </c>
      <c r="K18" s="105"/>
      <c r="L18" s="100">
        <f t="shared" si="1"/>
        <v>0</v>
      </c>
      <c r="M18" s="226">
        <v>7170</v>
      </c>
      <c r="N18" s="100">
        <f t="shared" si="2"/>
        <v>0.15433959014981918</v>
      </c>
    </row>
    <row r="19" spans="2:14" ht="14.25" x14ac:dyDescent="0.25">
      <c r="B19" s="455"/>
      <c r="C19" s="456"/>
      <c r="D19" s="300">
        <v>46186</v>
      </c>
      <c r="E19" s="301" t="s">
        <v>55</v>
      </c>
      <c r="F19" s="190">
        <f t="shared" si="3"/>
        <v>55395</v>
      </c>
      <c r="G19" s="454"/>
      <c r="H19" s="475"/>
      <c r="I19" s="226">
        <v>47382</v>
      </c>
      <c r="J19" s="100">
        <f t="shared" si="0"/>
        <v>0.85534795559165988</v>
      </c>
      <c r="K19" s="105"/>
      <c r="L19" s="100">
        <f t="shared" si="1"/>
        <v>0</v>
      </c>
      <c r="M19" s="226">
        <v>8013</v>
      </c>
      <c r="N19" s="100">
        <f t="shared" si="2"/>
        <v>0.14465204440834009</v>
      </c>
    </row>
    <row r="20" spans="2:14" ht="14.25" x14ac:dyDescent="0.25">
      <c r="B20" s="455"/>
      <c r="C20" s="456"/>
      <c r="D20" s="300">
        <v>46187</v>
      </c>
      <c r="E20" s="301" t="s">
        <v>52</v>
      </c>
      <c r="F20" s="190">
        <f t="shared" si="3"/>
        <v>70645</v>
      </c>
      <c r="G20" s="454"/>
      <c r="H20" s="475"/>
      <c r="I20" s="226">
        <v>61112</v>
      </c>
      <c r="J20" s="100">
        <f t="shared" si="0"/>
        <v>0.86505768278009765</v>
      </c>
      <c r="K20" s="105"/>
      <c r="L20" s="100">
        <f t="shared" si="1"/>
        <v>0</v>
      </c>
      <c r="M20" s="226">
        <v>9533</v>
      </c>
      <c r="N20" s="100">
        <f t="shared" si="2"/>
        <v>0.13494231721990232</v>
      </c>
    </row>
    <row r="21" spans="2:14" ht="14.25" x14ac:dyDescent="0.25">
      <c r="B21" s="455"/>
      <c r="C21" s="456"/>
      <c r="D21" s="300">
        <v>46188</v>
      </c>
      <c r="E21" s="301" t="s">
        <v>56</v>
      </c>
      <c r="F21" s="190">
        <f t="shared" si="3"/>
        <v>68512</v>
      </c>
      <c r="G21" s="454"/>
      <c r="H21" s="475"/>
      <c r="I21" s="226">
        <v>58336</v>
      </c>
      <c r="J21" s="100">
        <f t="shared" si="0"/>
        <v>0.85147127510509113</v>
      </c>
      <c r="K21" s="105"/>
      <c r="L21" s="100">
        <f t="shared" si="1"/>
        <v>0</v>
      </c>
      <c r="M21" s="226">
        <v>10176</v>
      </c>
      <c r="N21" s="100">
        <f t="shared" si="2"/>
        <v>0.14852872489490893</v>
      </c>
    </row>
    <row r="22" spans="2:14" ht="14.25" x14ac:dyDescent="0.25">
      <c r="B22" s="455">
        <v>46196</v>
      </c>
      <c r="C22" s="456"/>
      <c r="D22" s="300">
        <v>46189</v>
      </c>
      <c r="E22" s="301" t="s">
        <v>57</v>
      </c>
      <c r="F22" s="190">
        <f t="shared" si="3"/>
        <v>69273</v>
      </c>
      <c r="G22" s="454">
        <f>SUM(F22:F28)</f>
        <v>393347</v>
      </c>
      <c r="H22" s="475"/>
      <c r="I22" s="226">
        <v>54069</v>
      </c>
      <c r="J22" s="100">
        <f t="shared" si="0"/>
        <v>0.78052054913169633</v>
      </c>
      <c r="K22" s="105"/>
      <c r="L22" s="100">
        <f t="shared" si="1"/>
        <v>0</v>
      </c>
      <c r="M22" s="226">
        <v>15204</v>
      </c>
      <c r="N22" s="100">
        <f t="shared" si="2"/>
        <v>0.21947945086830367</v>
      </c>
    </row>
    <row r="23" spans="2:14" ht="14.25" x14ac:dyDescent="0.25">
      <c r="B23" s="455"/>
      <c r="C23" s="456"/>
      <c r="D23" s="300">
        <v>46190</v>
      </c>
      <c r="E23" s="300" t="s">
        <v>58</v>
      </c>
      <c r="F23" s="190">
        <f t="shared" si="3"/>
        <v>59082</v>
      </c>
      <c r="G23" s="454"/>
      <c r="H23" s="475"/>
      <c r="I23" s="226">
        <v>46055</v>
      </c>
      <c r="J23" s="100">
        <f t="shared" si="0"/>
        <v>0.77950983379032535</v>
      </c>
      <c r="K23" s="105"/>
      <c r="L23" s="100">
        <f t="shared" si="1"/>
        <v>0</v>
      </c>
      <c r="M23" s="226">
        <v>13027</v>
      </c>
      <c r="N23" s="100">
        <f t="shared" si="2"/>
        <v>0.22049016620967468</v>
      </c>
    </row>
    <row r="24" spans="2:14" ht="14.25" x14ac:dyDescent="0.25">
      <c r="B24" s="455"/>
      <c r="C24" s="456"/>
      <c r="D24" s="300">
        <v>46191</v>
      </c>
      <c r="E24" s="301" t="s">
        <v>59</v>
      </c>
      <c r="F24" s="190">
        <f t="shared" si="3"/>
        <v>45667</v>
      </c>
      <c r="G24" s="454"/>
      <c r="H24" s="475"/>
      <c r="I24" s="226">
        <v>37013</v>
      </c>
      <c r="J24" s="100">
        <f t="shared" si="0"/>
        <v>0.81049773359318544</v>
      </c>
      <c r="K24" s="105"/>
      <c r="L24" s="100">
        <f t="shared" si="1"/>
        <v>0</v>
      </c>
      <c r="M24" s="226">
        <v>8654</v>
      </c>
      <c r="N24" s="100">
        <f t="shared" si="2"/>
        <v>0.18950226640681456</v>
      </c>
    </row>
    <row r="25" spans="2:14" ht="14.25" x14ac:dyDescent="0.25">
      <c r="B25" s="455"/>
      <c r="C25" s="456"/>
      <c r="D25" s="300">
        <v>46192</v>
      </c>
      <c r="E25" s="301" t="s">
        <v>60</v>
      </c>
      <c r="F25" s="190">
        <f t="shared" si="3"/>
        <v>43813</v>
      </c>
      <c r="G25" s="454"/>
      <c r="H25" s="475"/>
      <c r="I25" s="226">
        <v>34640</v>
      </c>
      <c r="J25" s="100">
        <f t="shared" si="0"/>
        <v>0.79063291717070272</v>
      </c>
      <c r="K25" s="105"/>
      <c r="L25" s="100">
        <f t="shared" si="1"/>
        <v>0</v>
      </c>
      <c r="M25" s="226">
        <v>9173</v>
      </c>
      <c r="N25" s="100">
        <f t="shared" si="2"/>
        <v>0.20936708282929725</v>
      </c>
    </row>
    <row r="26" spans="2:14" ht="14.25" x14ac:dyDescent="0.25">
      <c r="B26" s="455"/>
      <c r="C26" s="456"/>
      <c r="D26" s="300">
        <v>46193</v>
      </c>
      <c r="E26" s="301" t="s">
        <v>55</v>
      </c>
      <c r="F26" s="190">
        <f t="shared" si="3"/>
        <v>46311</v>
      </c>
      <c r="G26" s="454"/>
      <c r="H26" s="475"/>
      <c r="I26" s="226">
        <v>37481</v>
      </c>
      <c r="J26" s="100">
        <f t="shared" si="0"/>
        <v>0.80933255598022069</v>
      </c>
      <c r="K26" s="105"/>
      <c r="L26" s="100">
        <f t="shared" si="1"/>
        <v>0</v>
      </c>
      <c r="M26" s="226">
        <v>8830</v>
      </c>
      <c r="N26" s="100">
        <f t="shared" si="2"/>
        <v>0.19066744401977931</v>
      </c>
    </row>
    <row r="27" spans="2:14" ht="14.25" x14ac:dyDescent="0.25">
      <c r="B27" s="455"/>
      <c r="C27" s="456"/>
      <c r="D27" s="300">
        <v>46194</v>
      </c>
      <c r="E27" s="301" t="s">
        <v>52</v>
      </c>
      <c r="F27" s="190">
        <f t="shared" si="3"/>
        <v>65708</v>
      </c>
      <c r="G27" s="454"/>
      <c r="H27" s="475"/>
      <c r="I27" s="226">
        <v>51451</v>
      </c>
      <c r="J27" s="100">
        <f t="shared" si="0"/>
        <v>0.78302489803372499</v>
      </c>
      <c r="K27" s="105"/>
      <c r="L27" s="100">
        <f t="shared" si="1"/>
        <v>0</v>
      </c>
      <c r="M27" s="226">
        <v>14257</v>
      </c>
      <c r="N27" s="100">
        <f t="shared" si="2"/>
        <v>0.21697510196627504</v>
      </c>
    </row>
    <row r="28" spans="2:14" ht="14.25" x14ac:dyDescent="0.25">
      <c r="B28" s="455"/>
      <c r="C28" s="456"/>
      <c r="D28" s="300">
        <v>46195</v>
      </c>
      <c r="E28" s="301" t="s">
        <v>56</v>
      </c>
      <c r="F28" s="190">
        <f t="shared" si="3"/>
        <v>63493</v>
      </c>
      <c r="G28" s="454"/>
      <c r="H28" s="475"/>
      <c r="I28" s="226">
        <v>51249</v>
      </c>
      <c r="J28" s="100">
        <f t="shared" si="0"/>
        <v>0.80715984439229527</v>
      </c>
      <c r="K28" s="105"/>
      <c r="L28" s="100">
        <f t="shared" si="1"/>
        <v>0</v>
      </c>
      <c r="M28" s="226">
        <v>12244</v>
      </c>
      <c r="N28" s="100">
        <f t="shared" si="2"/>
        <v>0.19284015560770479</v>
      </c>
    </row>
    <row r="29" spans="2:14" ht="14.25" x14ac:dyDescent="0.25">
      <c r="B29" s="455">
        <v>46203</v>
      </c>
      <c r="C29" s="456"/>
      <c r="D29" s="300">
        <v>46196</v>
      </c>
      <c r="E29" s="301" t="s">
        <v>57</v>
      </c>
      <c r="F29" s="190">
        <f t="shared" si="3"/>
        <v>71426</v>
      </c>
      <c r="G29" s="454">
        <f>SUM(F29:F35)</f>
        <v>444044</v>
      </c>
      <c r="H29" s="475"/>
      <c r="I29" s="226">
        <v>59460</v>
      </c>
      <c r="J29" s="100">
        <f t="shared" si="0"/>
        <v>0.83246996891888103</v>
      </c>
      <c r="K29" s="105"/>
      <c r="L29" s="100">
        <f t="shared" si="1"/>
        <v>0</v>
      </c>
      <c r="M29" s="226">
        <v>11966</v>
      </c>
      <c r="N29" s="100">
        <f t="shared" si="2"/>
        <v>0.16753003108111891</v>
      </c>
    </row>
    <row r="30" spans="2:14" ht="14.25" x14ac:dyDescent="0.25">
      <c r="B30" s="455"/>
      <c r="C30" s="456"/>
      <c r="D30" s="300">
        <v>46197</v>
      </c>
      <c r="E30" s="300" t="s">
        <v>58</v>
      </c>
      <c r="F30" s="190">
        <f t="shared" si="3"/>
        <v>62078</v>
      </c>
      <c r="G30" s="454"/>
      <c r="H30" s="475"/>
      <c r="I30" s="226">
        <v>50140</v>
      </c>
      <c r="J30" s="100">
        <f t="shared" si="0"/>
        <v>0.80769354682818395</v>
      </c>
      <c r="K30" s="105"/>
      <c r="L30" s="100">
        <f t="shared" si="1"/>
        <v>0</v>
      </c>
      <c r="M30" s="226">
        <v>11938</v>
      </c>
      <c r="N30" s="100">
        <f t="shared" si="2"/>
        <v>0.19230645317181611</v>
      </c>
    </row>
    <row r="31" spans="2:14" ht="14.25" x14ac:dyDescent="0.25">
      <c r="B31" s="455"/>
      <c r="C31" s="456"/>
      <c r="D31" s="300">
        <v>46198</v>
      </c>
      <c r="E31" s="301" t="s">
        <v>59</v>
      </c>
      <c r="F31" s="190">
        <f t="shared" si="3"/>
        <v>60486</v>
      </c>
      <c r="G31" s="454"/>
      <c r="H31" s="475"/>
      <c r="I31" s="226">
        <v>49053</v>
      </c>
      <c r="J31" s="100">
        <f t="shared" si="0"/>
        <v>0.81098105346691796</v>
      </c>
      <c r="K31" s="105"/>
      <c r="L31" s="100">
        <f t="shared" si="1"/>
        <v>0</v>
      </c>
      <c r="M31" s="226">
        <v>11433</v>
      </c>
      <c r="N31" s="100">
        <f t="shared" si="2"/>
        <v>0.18901894653308204</v>
      </c>
    </row>
    <row r="32" spans="2:14" ht="14.25" x14ac:dyDescent="0.25">
      <c r="B32" s="455"/>
      <c r="C32" s="456"/>
      <c r="D32" s="300">
        <v>46199</v>
      </c>
      <c r="E32" s="301" t="s">
        <v>60</v>
      </c>
      <c r="F32" s="190">
        <f t="shared" si="3"/>
        <v>48943</v>
      </c>
      <c r="G32" s="454"/>
      <c r="H32" s="475"/>
      <c r="I32" s="226">
        <v>39390</v>
      </c>
      <c r="J32" s="100">
        <f t="shared" si="0"/>
        <v>0.8048137629487363</v>
      </c>
      <c r="K32" s="105"/>
      <c r="L32" s="100">
        <f t="shared" si="1"/>
        <v>0</v>
      </c>
      <c r="M32" s="226">
        <v>9553</v>
      </c>
      <c r="N32" s="100">
        <f t="shared" si="2"/>
        <v>0.19518623705126373</v>
      </c>
    </row>
    <row r="33" spans="2:14" ht="14.25" x14ac:dyDescent="0.25">
      <c r="B33" s="455"/>
      <c r="C33" s="456"/>
      <c r="D33" s="300">
        <v>46200</v>
      </c>
      <c r="E33" s="301" t="s">
        <v>55</v>
      </c>
      <c r="F33" s="190">
        <f t="shared" si="3"/>
        <v>58607</v>
      </c>
      <c r="G33" s="454"/>
      <c r="H33" s="475"/>
      <c r="I33" s="226">
        <v>47811</v>
      </c>
      <c r="J33" s="100">
        <f t="shared" si="0"/>
        <v>0.8157899227054789</v>
      </c>
      <c r="K33" s="105"/>
      <c r="L33" s="100">
        <f t="shared" si="1"/>
        <v>0</v>
      </c>
      <c r="M33" s="226">
        <v>10796</v>
      </c>
      <c r="N33" s="100">
        <f t="shared" si="2"/>
        <v>0.18421007729452113</v>
      </c>
    </row>
    <row r="34" spans="2:14" ht="14.25" x14ac:dyDescent="0.25">
      <c r="B34" s="455"/>
      <c r="C34" s="456"/>
      <c r="D34" s="300">
        <v>46201</v>
      </c>
      <c r="E34" s="301" t="s">
        <v>52</v>
      </c>
      <c r="F34" s="190">
        <f t="shared" si="3"/>
        <v>72372</v>
      </c>
      <c r="G34" s="454"/>
      <c r="H34" s="475"/>
      <c r="I34" s="226">
        <v>59541</v>
      </c>
      <c r="J34" s="100">
        <f t="shared" si="0"/>
        <v>0.82270767700215552</v>
      </c>
      <c r="K34" s="105"/>
      <c r="L34" s="100">
        <f t="shared" si="1"/>
        <v>0</v>
      </c>
      <c r="M34" s="226">
        <v>12831</v>
      </c>
      <c r="N34" s="100">
        <f t="shared" si="2"/>
        <v>0.17729232299784448</v>
      </c>
    </row>
    <row r="35" spans="2:14" ht="14.25" x14ac:dyDescent="0.25">
      <c r="B35" s="455"/>
      <c r="C35" s="456"/>
      <c r="D35" s="300">
        <v>46202</v>
      </c>
      <c r="E35" s="301" t="s">
        <v>56</v>
      </c>
      <c r="F35" s="190">
        <f t="shared" si="3"/>
        <v>70132</v>
      </c>
      <c r="G35" s="454"/>
      <c r="H35" s="475"/>
      <c r="I35" s="226">
        <v>57304</v>
      </c>
      <c r="J35" s="100">
        <f t="shared" si="0"/>
        <v>0.81708777733416982</v>
      </c>
      <c r="K35" s="105"/>
      <c r="L35" s="100">
        <f t="shared" si="1"/>
        <v>0</v>
      </c>
      <c r="M35" s="226">
        <v>12828</v>
      </c>
      <c r="N35" s="100">
        <f t="shared" si="2"/>
        <v>0.18291222266583015</v>
      </c>
    </row>
    <row r="36" spans="2:14" ht="14.25" x14ac:dyDescent="0.25">
      <c r="B36" s="304"/>
      <c r="C36" s="456"/>
      <c r="D36" s="300">
        <v>46203</v>
      </c>
      <c r="E36" s="301" t="s">
        <v>57</v>
      </c>
      <c r="F36" s="190">
        <f t="shared" si="3"/>
        <v>0</v>
      </c>
      <c r="G36" s="298"/>
      <c r="H36" s="475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09"/>
      <c r="D37" s="300"/>
      <c r="E37" s="301"/>
      <c r="F37" s="190"/>
      <c r="G37" s="298"/>
      <c r="H37" s="475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409"/>
      <c r="D38" s="300"/>
      <c r="E38" s="301"/>
      <c r="F38" s="190"/>
      <c r="G38" s="298"/>
      <c r="H38" s="475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87"/>
      <c r="G40" s="87"/>
      <c r="H40" s="87"/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4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6"/>
    <mergeCell ref="B8:B14"/>
    <mergeCell ref="B15:B21"/>
    <mergeCell ref="B22:B28"/>
    <mergeCell ref="B29:B35"/>
    <mergeCell ref="H7:H38"/>
    <mergeCell ref="G8:G14"/>
    <mergeCell ref="G15:G21"/>
    <mergeCell ref="G22:G28"/>
    <mergeCell ref="G29:G35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75" activePane="bottomRight" state="frozen"/>
      <selection pane="topRight" activeCell="I1" sqref="I1"/>
      <selection pane="bottomLeft" activeCell="A7" sqref="A7"/>
      <selection pane="bottomRight" activeCell="I99" sqref="I99:K115"/>
    </sheetView>
  </sheetViews>
  <sheetFormatPr defaultColWidth="8.85546875" defaultRowHeight="12.75" x14ac:dyDescent="0.2"/>
  <cols>
    <col min="1" max="1" width="5.5703125" style="365" customWidth="1"/>
    <col min="2" max="2" width="12.42578125" style="365" customWidth="1"/>
    <col min="3" max="3" width="8.85546875" style="364" customWidth="1"/>
    <col min="4" max="4" width="26.42578125" style="364" customWidth="1"/>
    <col min="5" max="7" width="8.42578125" style="364" customWidth="1"/>
    <col min="8" max="8" width="11.140625" style="364" bestFit="1" customWidth="1"/>
    <col min="9" max="12" width="11.140625" style="364" customWidth="1"/>
    <col min="13" max="13" width="13.5703125" style="364" customWidth="1"/>
    <col min="14" max="14" width="9.85546875" style="364" customWidth="1"/>
    <col min="15" max="15" width="7.140625" style="364" customWidth="1"/>
    <col min="16" max="18" width="12.85546875" style="364" customWidth="1"/>
    <col min="19" max="19" width="5.42578125" style="364" customWidth="1"/>
    <col min="20" max="20" width="12.85546875" style="364" customWidth="1"/>
    <col min="21" max="23" width="12.85546875" style="365" customWidth="1"/>
    <col min="24" max="24" width="5.42578125" style="364" customWidth="1"/>
    <col min="25" max="28" width="12.85546875" style="365" customWidth="1"/>
    <col min="29" max="29" width="7.7109375" style="364" bestFit="1" customWidth="1"/>
    <col min="30" max="30" width="12.85546875" style="365" customWidth="1"/>
    <col min="31" max="33" width="12.5703125" style="365" customWidth="1"/>
    <col min="34" max="34" width="7.7109375" style="364" bestFit="1" customWidth="1"/>
    <col min="35" max="35" width="13" style="365" customWidth="1"/>
    <col min="36" max="38" width="12.5703125" style="365" customWidth="1"/>
    <col min="39" max="39" width="5.42578125" style="364" customWidth="1"/>
    <col min="40" max="40" width="13" style="365" customWidth="1"/>
    <col min="41" max="43" width="13.140625" style="365" customWidth="1"/>
    <col min="44" max="44" width="5.42578125" style="365" customWidth="1"/>
    <col min="45" max="48" width="13.140625" style="365" customWidth="1"/>
    <col min="49" max="49" width="5.42578125" style="365" customWidth="1"/>
    <col min="50" max="50" width="13.140625" style="365" customWidth="1"/>
    <col min="51" max="86" width="8.85546875" style="365" customWidth="1"/>
    <col min="87" max="16384" width="8.85546875" style="365"/>
  </cols>
  <sheetData>
    <row r="1" spans="1:50" ht="24" x14ac:dyDescent="0.2">
      <c r="A1" s="361"/>
      <c r="B1" s="362" t="s">
        <v>83</v>
      </c>
      <c r="C1" s="363">
        <f>AVERAGE(L7,L30,L53,L76,L99,L122)</f>
        <v>110.8404150683532</v>
      </c>
    </row>
    <row r="2" spans="1:50" ht="15.75" customHeight="1" x14ac:dyDescent="0.2">
      <c r="A2" s="366"/>
      <c r="B2" s="503" t="s">
        <v>84</v>
      </c>
      <c r="C2" s="504"/>
      <c r="D2" s="504"/>
      <c r="E2" s="504"/>
      <c r="F2" s="504"/>
      <c r="G2" s="504"/>
      <c r="H2" s="504"/>
      <c r="I2" s="368"/>
      <c r="J2" s="368"/>
      <c r="K2" s="368"/>
      <c r="L2" s="368"/>
      <c r="M2" s="369"/>
      <c r="N2" s="497" t="s">
        <v>85</v>
      </c>
      <c r="O2" s="497" t="s">
        <v>45</v>
      </c>
      <c r="P2" s="488"/>
      <c r="Q2" s="483"/>
      <c r="R2" s="483"/>
      <c r="S2" s="483"/>
      <c r="T2" s="483"/>
      <c r="U2" s="488"/>
      <c r="V2" s="483"/>
      <c r="W2" s="483"/>
      <c r="X2" s="483"/>
      <c r="Y2" s="483"/>
      <c r="Z2" s="488"/>
      <c r="AA2" s="483"/>
      <c r="AB2" s="483"/>
      <c r="AC2" s="483"/>
      <c r="AD2" s="483"/>
      <c r="AE2" s="488"/>
      <c r="AF2" s="483"/>
      <c r="AG2" s="483"/>
      <c r="AH2" s="483"/>
      <c r="AI2" s="483"/>
      <c r="AJ2" s="488"/>
      <c r="AK2" s="483"/>
      <c r="AL2" s="483"/>
      <c r="AM2" s="483"/>
      <c r="AN2" s="483"/>
      <c r="AO2" s="488"/>
      <c r="AP2" s="483"/>
      <c r="AQ2" s="483"/>
      <c r="AR2" s="483"/>
      <c r="AS2" s="483"/>
      <c r="AT2" s="488">
        <v>46174</v>
      </c>
      <c r="AU2" s="483"/>
      <c r="AV2" s="483"/>
      <c r="AW2" s="483"/>
      <c r="AX2" s="483"/>
    </row>
    <row r="3" spans="1:50" ht="15.75" x14ac:dyDescent="0.2">
      <c r="A3" s="366"/>
      <c r="B3" s="505"/>
      <c r="C3" s="505"/>
      <c r="D3" s="505"/>
      <c r="E3" s="505"/>
      <c r="F3" s="505"/>
      <c r="G3" s="505"/>
      <c r="H3" s="505"/>
      <c r="I3" s="370"/>
      <c r="J3" s="370"/>
      <c r="K3" s="370"/>
      <c r="L3" s="370"/>
      <c r="M3" s="371"/>
      <c r="N3" s="499"/>
      <c r="O3" s="499"/>
      <c r="P3" s="488" t="s">
        <v>57</v>
      </c>
      <c r="Q3" s="483"/>
      <c r="R3" s="483"/>
      <c r="S3" s="483"/>
      <c r="T3" s="483"/>
      <c r="U3" s="488" t="s">
        <v>58</v>
      </c>
      <c r="V3" s="483"/>
      <c r="W3" s="483"/>
      <c r="X3" s="483"/>
      <c r="Y3" s="483"/>
      <c r="Z3" s="488" t="s">
        <v>59</v>
      </c>
      <c r="AA3" s="483"/>
      <c r="AB3" s="483"/>
      <c r="AC3" s="483"/>
      <c r="AD3" s="483"/>
      <c r="AE3" s="488" t="s">
        <v>60</v>
      </c>
      <c r="AF3" s="483"/>
      <c r="AG3" s="483"/>
      <c r="AH3" s="483"/>
      <c r="AI3" s="483"/>
      <c r="AJ3" s="488" t="s">
        <v>55</v>
      </c>
      <c r="AK3" s="483"/>
      <c r="AL3" s="483"/>
      <c r="AM3" s="483"/>
      <c r="AN3" s="483"/>
      <c r="AO3" s="488" t="s">
        <v>52</v>
      </c>
      <c r="AP3" s="483"/>
      <c r="AQ3" s="483"/>
      <c r="AR3" s="483"/>
      <c r="AS3" s="483"/>
      <c r="AT3" s="488" t="s">
        <v>56</v>
      </c>
      <c r="AU3" s="483"/>
      <c r="AV3" s="483"/>
      <c r="AW3" s="483"/>
      <c r="AX3" s="483"/>
    </row>
    <row r="4" spans="1:50" ht="14.25" x14ac:dyDescent="0.2">
      <c r="A4" s="366"/>
      <c r="B4" s="487" t="s">
        <v>41</v>
      </c>
      <c r="C4" s="487" t="s">
        <v>86</v>
      </c>
      <c r="D4" s="487"/>
      <c r="E4" s="487" t="s">
        <v>87</v>
      </c>
      <c r="F4" s="487"/>
      <c r="G4" s="487"/>
      <c r="H4" s="493" t="s">
        <v>88</v>
      </c>
      <c r="I4" s="487" t="s">
        <v>89</v>
      </c>
      <c r="J4" s="487"/>
      <c r="K4" s="487"/>
      <c r="L4" s="493" t="s">
        <v>88</v>
      </c>
      <c r="M4" s="497" t="s">
        <v>90</v>
      </c>
      <c r="N4" s="497"/>
      <c r="O4" s="497" t="s">
        <v>91</v>
      </c>
      <c r="P4" s="489" t="s">
        <v>92</v>
      </c>
      <c r="Q4" s="490"/>
      <c r="R4" s="490"/>
      <c r="S4" s="491"/>
      <c r="T4" s="487" t="s">
        <v>88</v>
      </c>
      <c r="U4" s="489" t="s">
        <v>92</v>
      </c>
      <c r="V4" s="490"/>
      <c r="W4" s="490"/>
      <c r="X4" s="491"/>
      <c r="Y4" s="487" t="s">
        <v>88</v>
      </c>
      <c r="Z4" s="489" t="s">
        <v>92</v>
      </c>
      <c r="AA4" s="490"/>
      <c r="AB4" s="490"/>
      <c r="AC4" s="491"/>
      <c r="AD4" s="487" t="s">
        <v>88</v>
      </c>
      <c r="AE4" s="489" t="s">
        <v>92</v>
      </c>
      <c r="AF4" s="490"/>
      <c r="AG4" s="490"/>
      <c r="AH4" s="491"/>
      <c r="AI4" s="487" t="s">
        <v>88</v>
      </c>
      <c r="AJ4" s="489" t="s">
        <v>92</v>
      </c>
      <c r="AK4" s="490"/>
      <c r="AL4" s="490"/>
      <c r="AM4" s="491"/>
      <c r="AN4" s="487" t="s">
        <v>88</v>
      </c>
      <c r="AO4" s="489" t="s">
        <v>92</v>
      </c>
      <c r="AP4" s="490"/>
      <c r="AQ4" s="490"/>
      <c r="AR4" s="491"/>
      <c r="AS4" s="487" t="s">
        <v>88</v>
      </c>
      <c r="AT4" s="489" t="s">
        <v>92</v>
      </c>
      <c r="AU4" s="490"/>
      <c r="AV4" s="490"/>
      <c r="AW4" s="491"/>
      <c r="AX4" s="487" t="s">
        <v>88</v>
      </c>
    </row>
    <row r="5" spans="1:50" ht="14.25" x14ac:dyDescent="0.2">
      <c r="A5" s="366"/>
      <c r="B5" s="487"/>
      <c r="C5" s="487"/>
      <c r="D5" s="487"/>
      <c r="E5" s="487" t="s">
        <v>93</v>
      </c>
      <c r="F5" s="487"/>
      <c r="G5" s="487"/>
      <c r="H5" s="494"/>
      <c r="I5" s="487" t="s">
        <v>93</v>
      </c>
      <c r="J5" s="487"/>
      <c r="K5" s="487"/>
      <c r="L5" s="494"/>
      <c r="M5" s="498"/>
      <c r="N5" s="498"/>
      <c r="O5" s="498"/>
      <c r="P5" s="489" t="s">
        <v>94</v>
      </c>
      <c r="Q5" s="490"/>
      <c r="R5" s="490"/>
      <c r="S5" s="491"/>
      <c r="T5" s="487"/>
      <c r="U5" s="489" t="s">
        <v>94</v>
      </c>
      <c r="V5" s="490"/>
      <c r="W5" s="490"/>
      <c r="X5" s="491"/>
      <c r="Y5" s="487"/>
      <c r="Z5" s="489" t="s">
        <v>94</v>
      </c>
      <c r="AA5" s="490"/>
      <c r="AB5" s="490"/>
      <c r="AC5" s="491"/>
      <c r="AD5" s="487"/>
      <c r="AE5" s="489" t="s">
        <v>94</v>
      </c>
      <c r="AF5" s="490"/>
      <c r="AG5" s="490"/>
      <c r="AH5" s="491"/>
      <c r="AI5" s="487"/>
      <c r="AJ5" s="489" t="s">
        <v>94</v>
      </c>
      <c r="AK5" s="490"/>
      <c r="AL5" s="490"/>
      <c r="AM5" s="491"/>
      <c r="AN5" s="487"/>
      <c r="AO5" s="489" t="s">
        <v>94</v>
      </c>
      <c r="AP5" s="490"/>
      <c r="AQ5" s="490"/>
      <c r="AR5" s="491"/>
      <c r="AS5" s="487"/>
      <c r="AT5" s="489" t="s">
        <v>94</v>
      </c>
      <c r="AU5" s="490"/>
      <c r="AV5" s="490"/>
      <c r="AW5" s="491"/>
      <c r="AX5" s="487"/>
    </row>
    <row r="6" spans="1:50" ht="14.25" x14ac:dyDescent="0.2">
      <c r="A6" s="373"/>
      <c r="B6" s="487"/>
      <c r="C6" s="487"/>
      <c r="D6" s="487"/>
      <c r="E6" s="372" t="s">
        <v>95</v>
      </c>
      <c r="F6" s="372" t="s">
        <v>96</v>
      </c>
      <c r="G6" s="372" t="s">
        <v>97</v>
      </c>
      <c r="H6" s="495"/>
      <c r="I6" s="372" t="s">
        <v>95</v>
      </c>
      <c r="J6" s="372" t="s">
        <v>96</v>
      </c>
      <c r="K6" s="372" t="s">
        <v>97</v>
      </c>
      <c r="L6" s="495"/>
      <c r="M6" s="499"/>
      <c r="N6" s="498"/>
      <c r="O6" s="498"/>
      <c r="P6" s="372" t="s">
        <v>95</v>
      </c>
      <c r="Q6" s="372" t="s">
        <v>96</v>
      </c>
      <c r="R6" s="372" t="s">
        <v>97</v>
      </c>
      <c r="S6" s="372" t="s">
        <v>90</v>
      </c>
      <c r="T6" s="487"/>
      <c r="U6" s="372" t="s">
        <v>95</v>
      </c>
      <c r="V6" s="372" t="s">
        <v>96</v>
      </c>
      <c r="W6" s="372" t="s">
        <v>97</v>
      </c>
      <c r="X6" s="372" t="s">
        <v>90</v>
      </c>
      <c r="Y6" s="487"/>
      <c r="Z6" s="372" t="s">
        <v>95</v>
      </c>
      <c r="AA6" s="372" t="s">
        <v>96</v>
      </c>
      <c r="AB6" s="372" t="s">
        <v>97</v>
      </c>
      <c r="AC6" s="372" t="s">
        <v>90</v>
      </c>
      <c r="AD6" s="487"/>
      <c r="AE6" s="372" t="s">
        <v>95</v>
      </c>
      <c r="AF6" s="372" t="s">
        <v>96</v>
      </c>
      <c r="AG6" s="372" t="s">
        <v>97</v>
      </c>
      <c r="AH6" s="372" t="s">
        <v>90</v>
      </c>
      <c r="AI6" s="487"/>
      <c r="AJ6" s="372" t="s">
        <v>95</v>
      </c>
      <c r="AK6" s="372" t="s">
        <v>96</v>
      </c>
      <c r="AL6" s="372" t="s">
        <v>97</v>
      </c>
      <c r="AM6" s="372" t="s">
        <v>90</v>
      </c>
      <c r="AN6" s="487"/>
      <c r="AO6" s="372" t="s">
        <v>95</v>
      </c>
      <c r="AP6" s="372" t="s">
        <v>96</v>
      </c>
      <c r="AQ6" s="372" t="s">
        <v>97</v>
      </c>
      <c r="AR6" s="372" t="s">
        <v>90</v>
      </c>
      <c r="AS6" s="487"/>
      <c r="AT6" s="372" t="s">
        <v>95</v>
      </c>
      <c r="AU6" s="372" t="s">
        <v>96</v>
      </c>
      <c r="AV6" s="372" t="s">
        <v>97</v>
      </c>
      <c r="AW6" s="372" t="s">
        <v>90</v>
      </c>
      <c r="AX6" s="487"/>
    </row>
    <row r="7" spans="1:50" ht="14.25" x14ac:dyDescent="0.2">
      <c r="A7" s="366"/>
      <c r="B7" s="507" t="s">
        <v>334</v>
      </c>
      <c r="C7" s="354">
        <v>1</v>
      </c>
      <c r="D7" s="374" t="s">
        <v>112</v>
      </c>
      <c r="E7" s="355">
        <f>VLOOKUP(D7,'12產線配置圖'!$A$2:$C$25,2,0)</f>
        <v>13</v>
      </c>
      <c r="F7" s="355">
        <f>VLOOKUP(D7,'12產線配置圖'!$A$2:$C$25,3,0)</f>
        <v>2250</v>
      </c>
      <c r="G7" s="348">
        <f>F7/E7</f>
        <v>173.07692307692307</v>
      </c>
      <c r="H7" s="500">
        <f>AVERAGE(G7:G21)</f>
        <v>124.70503148267852</v>
      </c>
      <c r="I7" s="355">
        <f>AVERAGE(P7,U7,Z7,AE7,AJ7,AO7,AT7)</f>
        <v>13</v>
      </c>
      <c r="J7" s="355">
        <f>AVERAGE(Q7,V7,AA7,AF7,AK7,AP7,AU7)</f>
        <v>1975</v>
      </c>
      <c r="K7" s="348">
        <f>AVERAGE(AV7)</f>
        <v>151.92307692307693</v>
      </c>
      <c r="L7" s="500">
        <f>IFERROR(AVERAGE(K7:K24),"-")</f>
        <v>112.42017507002801</v>
      </c>
      <c r="M7" s="355">
        <f>RANK(K7,$K$7:$K$24)</f>
        <v>1</v>
      </c>
      <c r="N7" s="498"/>
      <c r="O7" s="498"/>
      <c r="P7" s="355"/>
      <c r="Q7" s="355"/>
      <c r="R7" s="348" t="e">
        <f>Q7/P7</f>
        <v>#DIV/0!</v>
      </c>
      <c r="S7" s="354" t="e">
        <f>RANK(R7,$R$99:$R$116)</f>
        <v>#DIV/0!</v>
      </c>
      <c r="T7" s="500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500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500" t="e">
        <f>AVERAGE(AB7:AB24)</f>
        <v>#DIV/0!</v>
      </c>
      <c r="AE7" s="355"/>
      <c r="AF7" s="355"/>
      <c r="AG7" s="348" t="e">
        <f>AF7/AE7</f>
        <v>#DIV/0!</v>
      </c>
      <c r="AH7" s="354" t="e">
        <f>RANK(AG7,$AG$7:$AG$24)</f>
        <v>#DIV/0!</v>
      </c>
      <c r="AI7" s="500" t="e">
        <f>AVERAGE(AG7:AG24)</f>
        <v>#DIV/0!</v>
      </c>
      <c r="AJ7" s="355"/>
      <c r="AK7" s="355"/>
      <c r="AL7" s="348" t="e">
        <f>AK7/AJ7</f>
        <v>#DIV/0!</v>
      </c>
      <c r="AM7" s="354" t="e">
        <f>RANK(AL7,$AL$7:$AL$24)</f>
        <v>#DIV/0!</v>
      </c>
      <c r="AN7" s="500" t="e">
        <f>AVERAGE(AL7:AL24)</f>
        <v>#DIV/0!</v>
      </c>
      <c r="AO7" s="355"/>
      <c r="AP7" s="355"/>
      <c r="AQ7" s="348" t="e">
        <f>AP7/AO7</f>
        <v>#DIV/0!</v>
      </c>
      <c r="AR7" s="354" t="e">
        <f>RANK(AQ7,$AQ$7:$AQ$21)</f>
        <v>#DIV/0!</v>
      </c>
      <c r="AS7" s="500" t="e">
        <f>AVERAGE(AQ7:AQ24)</f>
        <v>#DIV/0!</v>
      </c>
      <c r="AT7" s="355">
        <v>13</v>
      </c>
      <c r="AU7" s="355">
        <v>1975</v>
      </c>
      <c r="AV7" s="348">
        <f>AU7/AT7</f>
        <v>151.92307692307693</v>
      </c>
      <c r="AW7" s="354">
        <f>RANK(AV7,$AV$7:$AV$21)</f>
        <v>1</v>
      </c>
      <c r="AX7" s="500">
        <f>AVERAGE(AV7:AV24)</f>
        <v>112.42017507002801</v>
      </c>
    </row>
    <row r="8" spans="1:50" ht="15" customHeight="1" x14ac:dyDescent="0.2">
      <c r="A8" s="366"/>
      <c r="B8" s="508"/>
      <c r="C8" s="354">
        <v>2</v>
      </c>
      <c r="D8" s="354" t="s">
        <v>116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501"/>
      <c r="I8" s="355">
        <f t="shared" ref="I8:I11" si="1">AVERAGE(P8,U8,Z8,AE8,AJ8,AO8,AT8)</f>
        <v>15</v>
      </c>
      <c r="J8" s="355">
        <f t="shared" ref="J8:J11" si="2">AVERAGE(Q8,V8,AA8,AF8,AK8,AP8,AU8)</f>
        <v>2110</v>
      </c>
      <c r="K8" s="348">
        <f t="shared" ref="K8:K21" si="3">AVERAGE(AV8)</f>
        <v>140.66666666666666</v>
      </c>
      <c r="L8" s="501"/>
      <c r="M8" s="355">
        <f t="shared" ref="M8:M21" si="4">RANK(K8,$K$7:$K$24)</f>
        <v>4</v>
      </c>
      <c r="N8" s="498"/>
      <c r="O8" s="498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501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501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501"/>
      <c r="AE8" s="355"/>
      <c r="AF8" s="355"/>
      <c r="AG8" s="348" t="e">
        <f t="shared" ref="AG8:AG12" si="10">AF8/AE8</f>
        <v>#DIV/0!</v>
      </c>
      <c r="AH8" s="354" t="e">
        <f t="shared" ref="AH8:AH21" si="11">RANK(AG8,$AG$7:$AG$24)</f>
        <v>#DIV/0!</v>
      </c>
      <c r="AI8" s="501"/>
      <c r="AJ8" s="355"/>
      <c r="AK8" s="355"/>
      <c r="AL8" s="348" t="e">
        <f t="shared" ref="AL8:AL12" si="12">AK8/AJ8</f>
        <v>#DIV/0!</v>
      </c>
      <c r="AM8" s="354" t="e">
        <f t="shared" ref="AM8:AM21" si="13">RANK(AL8,$AL$7:$AL$24)</f>
        <v>#DIV/0!</v>
      </c>
      <c r="AN8" s="501"/>
      <c r="AO8" s="355"/>
      <c r="AP8" s="355"/>
      <c r="AQ8" s="348" t="e">
        <f t="shared" ref="AQ8:AQ16" si="14">AP8/AO8</f>
        <v>#DIV/0!</v>
      </c>
      <c r="AR8" s="354" t="e">
        <f t="shared" ref="AR8:AR21" si="15">RANK(AQ8,$AQ$7:$AQ$21)</f>
        <v>#DIV/0!</v>
      </c>
      <c r="AS8" s="501"/>
      <c r="AT8" s="355">
        <v>15</v>
      </c>
      <c r="AU8" s="355">
        <v>2110</v>
      </c>
      <c r="AV8" s="348">
        <f t="shared" ref="AV8:AV21" si="16">AU8/AT8</f>
        <v>140.66666666666666</v>
      </c>
      <c r="AW8" s="354">
        <f t="shared" ref="AW8:AW21" si="17">RANK(AV8,$AV$7:$AV$21)</f>
        <v>4</v>
      </c>
      <c r="AX8" s="501"/>
    </row>
    <row r="9" spans="1:50" ht="14.25" x14ac:dyDescent="0.2">
      <c r="A9" s="366"/>
      <c r="B9" s="508"/>
      <c r="C9" s="354">
        <v>3</v>
      </c>
      <c r="D9" s="354" t="s">
        <v>115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501"/>
      <c r="I9" s="355">
        <f t="shared" si="1"/>
        <v>15</v>
      </c>
      <c r="J9" s="355">
        <f t="shared" si="2"/>
        <v>2109</v>
      </c>
      <c r="K9" s="348">
        <f t="shared" si="3"/>
        <v>140.6</v>
      </c>
      <c r="L9" s="501"/>
      <c r="M9" s="355">
        <f t="shared" si="4"/>
        <v>5</v>
      </c>
      <c r="N9" s="498"/>
      <c r="O9" s="498"/>
      <c r="P9" s="355"/>
      <c r="Q9" s="355"/>
      <c r="R9" s="348" t="e">
        <f t="shared" si="5"/>
        <v>#DIV/0!</v>
      </c>
      <c r="S9" s="354" t="e">
        <f t="shared" si="6"/>
        <v>#DIV/0!</v>
      </c>
      <c r="T9" s="501"/>
      <c r="U9" s="355"/>
      <c r="V9" s="355"/>
      <c r="W9" s="348" t="e">
        <f t="shared" si="7"/>
        <v>#DIV/0!</v>
      </c>
      <c r="X9" s="354" t="e">
        <f t="shared" si="8"/>
        <v>#DIV/0!</v>
      </c>
      <c r="Y9" s="501"/>
      <c r="Z9" s="355"/>
      <c r="AA9" s="355"/>
      <c r="AB9" s="348" t="e">
        <f>AA9/Z9</f>
        <v>#DIV/0!</v>
      </c>
      <c r="AC9" s="354" t="e">
        <f t="shared" si="9"/>
        <v>#DIV/0!</v>
      </c>
      <c r="AD9" s="501"/>
      <c r="AE9" s="355"/>
      <c r="AF9" s="355"/>
      <c r="AG9" s="348" t="e">
        <f t="shared" si="10"/>
        <v>#DIV/0!</v>
      </c>
      <c r="AH9" s="354" t="e">
        <f t="shared" si="11"/>
        <v>#DIV/0!</v>
      </c>
      <c r="AI9" s="501"/>
      <c r="AJ9" s="355"/>
      <c r="AK9" s="355"/>
      <c r="AL9" s="348" t="e">
        <f t="shared" si="12"/>
        <v>#DIV/0!</v>
      </c>
      <c r="AM9" s="354" t="e">
        <f t="shared" si="13"/>
        <v>#DIV/0!</v>
      </c>
      <c r="AN9" s="501"/>
      <c r="AO9" s="355"/>
      <c r="AP9" s="355"/>
      <c r="AQ9" s="348" t="e">
        <f t="shared" si="14"/>
        <v>#DIV/0!</v>
      </c>
      <c r="AR9" s="354" t="e">
        <f t="shared" si="15"/>
        <v>#DIV/0!</v>
      </c>
      <c r="AS9" s="501"/>
      <c r="AT9" s="355">
        <v>15</v>
      </c>
      <c r="AU9" s="355">
        <v>2109</v>
      </c>
      <c r="AV9" s="348">
        <f t="shared" si="16"/>
        <v>140.6</v>
      </c>
      <c r="AW9" s="354">
        <f t="shared" si="17"/>
        <v>5</v>
      </c>
      <c r="AX9" s="501"/>
    </row>
    <row r="10" spans="1:50" ht="14.25" x14ac:dyDescent="0.2">
      <c r="A10" s="366"/>
      <c r="B10" s="508"/>
      <c r="C10" s="354">
        <v>4</v>
      </c>
      <c r="D10" s="354" t="s">
        <v>169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501"/>
      <c r="I10" s="355">
        <f t="shared" si="1"/>
        <v>15</v>
      </c>
      <c r="J10" s="355">
        <f t="shared" si="2"/>
        <v>1504</v>
      </c>
      <c r="K10" s="348">
        <f t="shared" si="3"/>
        <v>100.26666666666667</v>
      </c>
      <c r="L10" s="501"/>
      <c r="M10" s="355">
        <f t="shared" si="4"/>
        <v>8</v>
      </c>
      <c r="N10" s="498"/>
      <c r="O10" s="498"/>
      <c r="P10" s="355"/>
      <c r="Q10" s="355"/>
      <c r="R10" s="348" t="e">
        <f t="shared" si="5"/>
        <v>#DIV/0!</v>
      </c>
      <c r="S10" s="354" t="e">
        <f t="shared" si="6"/>
        <v>#DIV/0!</v>
      </c>
      <c r="T10" s="501"/>
      <c r="U10" s="355"/>
      <c r="V10" s="355"/>
      <c r="W10" s="348" t="e">
        <f t="shared" si="7"/>
        <v>#DIV/0!</v>
      </c>
      <c r="X10" s="354" t="e">
        <f t="shared" si="8"/>
        <v>#DIV/0!</v>
      </c>
      <c r="Y10" s="501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501"/>
      <c r="AE10" s="359"/>
      <c r="AF10" s="355"/>
      <c r="AG10" s="348" t="e">
        <f t="shared" si="10"/>
        <v>#DIV/0!</v>
      </c>
      <c r="AH10" s="354" t="e">
        <f t="shared" si="11"/>
        <v>#DIV/0!</v>
      </c>
      <c r="AI10" s="501"/>
      <c r="AJ10" s="355"/>
      <c r="AK10" s="355"/>
      <c r="AL10" s="348" t="e">
        <f t="shared" si="12"/>
        <v>#DIV/0!</v>
      </c>
      <c r="AM10" s="354" t="e">
        <f t="shared" si="13"/>
        <v>#DIV/0!</v>
      </c>
      <c r="AN10" s="501"/>
      <c r="AO10" s="355"/>
      <c r="AP10" s="355"/>
      <c r="AQ10" s="348" t="e">
        <f t="shared" si="14"/>
        <v>#DIV/0!</v>
      </c>
      <c r="AR10" s="354" t="e">
        <f t="shared" si="15"/>
        <v>#DIV/0!</v>
      </c>
      <c r="AS10" s="501"/>
      <c r="AT10" s="359">
        <v>15</v>
      </c>
      <c r="AU10" s="355">
        <v>1504</v>
      </c>
      <c r="AV10" s="348">
        <f t="shared" si="16"/>
        <v>100.26666666666667</v>
      </c>
      <c r="AW10" s="354">
        <f t="shared" si="17"/>
        <v>8</v>
      </c>
      <c r="AX10" s="501"/>
    </row>
    <row r="11" spans="1:50" ht="14.25" x14ac:dyDescent="0.2">
      <c r="A11" s="366"/>
      <c r="B11" s="508"/>
      <c r="C11" s="354">
        <v>5</v>
      </c>
      <c r="D11" s="375" t="s">
        <v>114</v>
      </c>
      <c r="E11" s="355">
        <f>VLOOKUP(D11,'12產線配置圖'!$A$2:$C$25,2,0)</f>
        <v>14</v>
      </c>
      <c r="F11" s="355">
        <f>VLOOKUP(D11,'12產線配置圖'!$A$2:$C$25,3,0)</f>
        <v>2250</v>
      </c>
      <c r="G11" s="348">
        <f t="shared" si="0"/>
        <v>160.71428571428572</v>
      </c>
      <c r="H11" s="501"/>
      <c r="I11" s="355">
        <f t="shared" si="1"/>
        <v>14</v>
      </c>
      <c r="J11" s="355">
        <f t="shared" si="2"/>
        <v>2053</v>
      </c>
      <c r="K11" s="348">
        <f t="shared" si="3"/>
        <v>146.64285714285714</v>
      </c>
      <c r="L11" s="501"/>
      <c r="M11" s="355">
        <f t="shared" si="4"/>
        <v>2</v>
      </c>
      <c r="N11" s="498"/>
      <c r="O11" s="498"/>
      <c r="P11" s="355"/>
      <c r="Q11" s="355"/>
      <c r="R11" s="348" t="e">
        <f t="shared" si="5"/>
        <v>#DIV/0!</v>
      </c>
      <c r="S11" s="354" t="e">
        <f t="shared" si="6"/>
        <v>#DIV/0!</v>
      </c>
      <c r="T11" s="501"/>
      <c r="U11" s="355"/>
      <c r="V11" s="355"/>
      <c r="W11" s="348" t="e">
        <f t="shared" si="7"/>
        <v>#DIV/0!</v>
      </c>
      <c r="X11" s="354" t="e">
        <f t="shared" si="8"/>
        <v>#DIV/0!</v>
      </c>
      <c r="Y11" s="501"/>
      <c r="Z11" s="355"/>
      <c r="AA11" s="355"/>
      <c r="AB11" s="348" t="e">
        <f t="shared" si="18"/>
        <v>#DIV/0!</v>
      </c>
      <c r="AC11" s="354" t="e">
        <f t="shared" si="9"/>
        <v>#DIV/0!</v>
      </c>
      <c r="AD11" s="501"/>
      <c r="AE11" s="355"/>
      <c r="AF11" s="355"/>
      <c r="AG11" s="348" t="e">
        <f t="shared" si="10"/>
        <v>#DIV/0!</v>
      </c>
      <c r="AH11" s="354" t="e">
        <f t="shared" si="11"/>
        <v>#DIV/0!</v>
      </c>
      <c r="AI11" s="501"/>
      <c r="AJ11" s="355"/>
      <c r="AK11" s="355"/>
      <c r="AL11" s="348" t="e">
        <f t="shared" si="12"/>
        <v>#DIV/0!</v>
      </c>
      <c r="AM11" s="354" t="e">
        <f t="shared" si="13"/>
        <v>#DIV/0!</v>
      </c>
      <c r="AN11" s="501"/>
      <c r="AO11" s="355"/>
      <c r="AP11" s="355"/>
      <c r="AQ11" s="348" t="e">
        <f t="shared" si="14"/>
        <v>#DIV/0!</v>
      </c>
      <c r="AR11" s="354" t="e">
        <f t="shared" si="15"/>
        <v>#DIV/0!</v>
      </c>
      <c r="AS11" s="501"/>
      <c r="AT11" s="355">
        <v>14</v>
      </c>
      <c r="AU11" s="355">
        <v>2053</v>
      </c>
      <c r="AV11" s="348">
        <f t="shared" si="16"/>
        <v>146.64285714285714</v>
      </c>
      <c r="AW11" s="354">
        <f t="shared" si="17"/>
        <v>2</v>
      </c>
      <c r="AX11" s="501"/>
    </row>
    <row r="12" spans="1:50" ht="14.25" x14ac:dyDescent="0.2">
      <c r="A12" s="366"/>
      <c r="B12" s="508"/>
      <c r="C12" s="354">
        <v>6</v>
      </c>
      <c r="D12" s="354" t="s">
        <v>161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501"/>
      <c r="I12" s="355">
        <f>AVERAGE(P12,U12,Z12,AE12,AJ12,AO12,AT12)</f>
        <v>15</v>
      </c>
      <c r="J12" s="355">
        <f>AVERAGE(Q12,V12,AA12,AF12,AK12,AP12,AU12)</f>
        <v>1529</v>
      </c>
      <c r="K12" s="348">
        <f t="shared" si="3"/>
        <v>101.93333333333334</v>
      </c>
      <c r="L12" s="501"/>
      <c r="M12" s="355">
        <f t="shared" si="4"/>
        <v>7</v>
      </c>
      <c r="N12" s="498"/>
      <c r="O12" s="498"/>
      <c r="P12" s="355"/>
      <c r="Q12" s="355"/>
      <c r="R12" s="348" t="e">
        <f>Q12/P12</f>
        <v>#DIV/0!</v>
      </c>
      <c r="S12" s="354" t="e">
        <f>RANK(R12,$R$99:$R$116)</f>
        <v>#DIV/0!</v>
      </c>
      <c r="T12" s="501"/>
      <c r="U12" s="355"/>
      <c r="V12" s="355"/>
      <c r="W12" s="348" t="e">
        <f>V12/U12</f>
        <v>#DIV/0!</v>
      </c>
      <c r="X12" s="354" t="e">
        <f>RANK(W12,$W$99:$W$116)</f>
        <v>#DIV/0!</v>
      </c>
      <c r="Y12" s="501"/>
      <c r="Z12" s="355"/>
      <c r="AA12" s="355"/>
      <c r="AB12" s="348" t="e">
        <f t="shared" si="18"/>
        <v>#DIV/0!</v>
      </c>
      <c r="AC12" s="354" t="e">
        <f t="shared" si="9"/>
        <v>#DIV/0!</v>
      </c>
      <c r="AD12" s="501"/>
      <c r="AE12" s="359"/>
      <c r="AF12" s="355"/>
      <c r="AG12" s="348" t="e">
        <f t="shared" si="10"/>
        <v>#DIV/0!</v>
      </c>
      <c r="AH12" s="354" t="e">
        <f t="shared" si="11"/>
        <v>#DIV/0!</v>
      </c>
      <c r="AI12" s="501"/>
      <c r="AJ12" s="355"/>
      <c r="AK12" s="355"/>
      <c r="AL12" s="348" t="e">
        <f t="shared" si="12"/>
        <v>#DIV/0!</v>
      </c>
      <c r="AM12" s="354" t="e">
        <f t="shared" si="13"/>
        <v>#DIV/0!</v>
      </c>
      <c r="AN12" s="501"/>
      <c r="AO12" s="355"/>
      <c r="AP12" s="355"/>
      <c r="AQ12" s="348" t="e">
        <f t="shared" si="14"/>
        <v>#DIV/0!</v>
      </c>
      <c r="AR12" s="354" t="e">
        <f t="shared" si="15"/>
        <v>#DIV/0!</v>
      </c>
      <c r="AS12" s="501"/>
      <c r="AT12" s="355">
        <v>15</v>
      </c>
      <c r="AU12" s="355">
        <v>1529</v>
      </c>
      <c r="AV12" s="348">
        <f t="shared" si="16"/>
        <v>101.93333333333334</v>
      </c>
      <c r="AW12" s="354">
        <f t="shared" si="17"/>
        <v>7</v>
      </c>
      <c r="AX12" s="501"/>
    </row>
    <row r="13" spans="1:50" ht="14.25" x14ac:dyDescent="0.2">
      <c r="A13" s="366"/>
      <c r="B13" s="508"/>
      <c r="C13" s="354">
        <v>7</v>
      </c>
      <c r="D13" s="354" t="s">
        <v>221</v>
      </c>
      <c r="E13" s="355">
        <f>VLOOKUP(D13,'12產線配置圖'!$A$2:$C$25,2,0)</f>
        <v>17</v>
      </c>
      <c r="F13" s="355">
        <f>VLOOKUP(D13,'12產線配置圖'!$A$2:$C$25,3,0)</f>
        <v>1800</v>
      </c>
      <c r="G13" s="348">
        <f t="shared" ref="G13:G21" si="19">F13/E13</f>
        <v>105.88235294117646</v>
      </c>
      <c r="H13" s="501"/>
      <c r="I13" s="355">
        <f>AVERAGE(P13,U13,Z13,AE13,AJ13,AO13,AT13)</f>
        <v>16</v>
      </c>
      <c r="J13" s="355">
        <f>AVERAGE(Q13,V13,AA13,AF13,AK13,AP13,AU13)</f>
        <v>1475</v>
      </c>
      <c r="K13" s="348">
        <f t="shared" si="3"/>
        <v>92.1875</v>
      </c>
      <c r="L13" s="501"/>
      <c r="M13" s="355">
        <f t="shared" si="4"/>
        <v>11</v>
      </c>
      <c r="N13" s="498"/>
      <c r="O13" s="498"/>
      <c r="P13" s="355"/>
      <c r="Q13" s="355"/>
      <c r="R13" s="348"/>
      <c r="S13" s="354"/>
      <c r="T13" s="501"/>
      <c r="U13" s="355"/>
      <c r="V13" s="355"/>
      <c r="W13" s="348"/>
      <c r="X13" s="354"/>
      <c r="Y13" s="501"/>
      <c r="Z13" s="355"/>
      <c r="AA13" s="355"/>
      <c r="AB13" s="348"/>
      <c r="AC13" s="354"/>
      <c r="AD13" s="501"/>
      <c r="AE13" s="355"/>
      <c r="AF13" s="355"/>
      <c r="AG13" s="348"/>
      <c r="AH13" s="354"/>
      <c r="AI13" s="501"/>
      <c r="AJ13" s="355"/>
      <c r="AK13" s="355"/>
      <c r="AL13" s="348"/>
      <c r="AM13" s="354"/>
      <c r="AN13" s="501"/>
      <c r="AO13" s="355"/>
      <c r="AP13" s="355"/>
      <c r="AQ13" s="348" t="e">
        <f t="shared" si="14"/>
        <v>#DIV/0!</v>
      </c>
      <c r="AR13" s="354" t="e">
        <f t="shared" si="15"/>
        <v>#DIV/0!</v>
      </c>
      <c r="AS13" s="501"/>
      <c r="AT13" s="359">
        <v>16</v>
      </c>
      <c r="AU13" s="355">
        <v>1475</v>
      </c>
      <c r="AV13" s="348">
        <f t="shared" si="16"/>
        <v>92.1875</v>
      </c>
      <c r="AW13" s="354"/>
      <c r="AX13" s="501"/>
    </row>
    <row r="14" spans="1:50" ht="14.25" x14ac:dyDescent="0.2">
      <c r="A14" s="366"/>
      <c r="B14" s="508"/>
      <c r="C14" s="354">
        <v>8</v>
      </c>
      <c r="D14" s="354" t="s">
        <v>127</v>
      </c>
      <c r="E14" s="355">
        <f>VLOOKUP(D14,'12產線配置圖'!$A$2:$C$25,2,0)</f>
        <v>17</v>
      </c>
      <c r="F14" s="355">
        <f>VLOOKUP(D14,'12產線配置圖'!$A$2:$C$25,3,0)</f>
        <v>1636</v>
      </c>
      <c r="G14" s="348">
        <f t="shared" si="19"/>
        <v>96.235294117647058</v>
      </c>
      <c r="H14" s="501"/>
      <c r="I14" s="355">
        <f t="shared" ref="I14:I16" si="20">AVERAGE(P14,U14,Z14,AE14,AJ14,AO14,AT14)</f>
        <v>17</v>
      </c>
      <c r="J14" s="355">
        <f t="shared" ref="J14:J16" si="21">AVERAGE(Q14,V14,AA14,AF14,AK14,AP14,AU14)</f>
        <v>1559</v>
      </c>
      <c r="K14" s="348">
        <f t="shared" si="3"/>
        <v>91.705882352941174</v>
      </c>
      <c r="L14" s="501"/>
      <c r="M14" s="355">
        <f t="shared" si="4"/>
        <v>12</v>
      </c>
      <c r="N14" s="498"/>
      <c r="O14" s="498"/>
      <c r="P14" s="354"/>
      <c r="Q14" s="355"/>
      <c r="R14" s="348" t="e">
        <f t="shared" ref="R14:R16" si="22">Q14/P14</f>
        <v>#DIV/0!</v>
      </c>
      <c r="S14" s="354" t="e">
        <f t="shared" ref="S14:S16" si="23">RANK(R14,$R$99:$R$116)</f>
        <v>#DIV/0!</v>
      </c>
      <c r="T14" s="501"/>
      <c r="U14" s="354"/>
      <c r="V14" s="355"/>
      <c r="W14" s="348" t="e">
        <f t="shared" ref="W14:W16" si="24">V14/U14</f>
        <v>#DIV/0!</v>
      </c>
      <c r="X14" s="354" t="e">
        <f t="shared" ref="X14:X16" si="25">RANK(W14,$W$99:$W$116)</f>
        <v>#DIV/0!</v>
      </c>
      <c r="Y14" s="501"/>
      <c r="Z14" s="354"/>
      <c r="AA14" s="355"/>
      <c r="AB14" s="348" t="e">
        <f t="shared" ref="AB14:AB16" si="26">AA14/Z14</f>
        <v>#DIV/0!</v>
      </c>
      <c r="AC14" s="354" t="e">
        <f t="shared" ref="AC14:AC16" si="27">RANK(AB14, $AB$99:$AB$116)</f>
        <v>#DIV/0!</v>
      </c>
      <c r="AD14" s="501"/>
      <c r="AE14" s="354"/>
      <c r="AF14" s="355"/>
      <c r="AG14" s="348" t="e">
        <f t="shared" ref="AG14:AG16" si="28">AF14/AE14</f>
        <v>#DIV/0!</v>
      </c>
      <c r="AH14" s="354" t="e">
        <f t="shared" si="11"/>
        <v>#DIV/0!</v>
      </c>
      <c r="AI14" s="501"/>
      <c r="AJ14" s="354"/>
      <c r="AK14" s="355"/>
      <c r="AL14" s="348" t="e">
        <f t="shared" ref="AL14:AL16" si="29">AK14/AJ14</f>
        <v>#DIV/0!</v>
      </c>
      <c r="AM14" s="354" t="e">
        <f t="shared" si="13"/>
        <v>#DIV/0!</v>
      </c>
      <c r="AN14" s="501"/>
      <c r="AO14" s="354"/>
      <c r="AP14" s="355"/>
      <c r="AQ14" s="348" t="e">
        <f t="shared" si="14"/>
        <v>#DIV/0!</v>
      </c>
      <c r="AR14" s="354" t="e">
        <f t="shared" si="15"/>
        <v>#DIV/0!</v>
      </c>
      <c r="AS14" s="501"/>
      <c r="AT14" s="354">
        <v>17</v>
      </c>
      <c r="AU14" s="355">
        <v>1559</v>
      </c>
      <c r="AV14" s="348">
        <f t="shared" si="16"/>
        <v>91.705882352941174</v>
      </c>
      <c r="AW14" s="354">
        <f t="shared" si="17"/>
        <v>12</v>
      </c>
      <c r="AX14" s="501"/>
    </row>
    <row r="15" spans="1:50" ht="14.25" x14ac:dyDescent="0.2">
      <c r="A15" s="366"/>
      <c r="B15" s="508"/>
      <c r="C15" s="354">
        <v>9</v>
      </c>
      <c r="D15" s="354" t="s">
        <v>164</v>
      </c>
      <c r="E15" s="355">
        <f>VLOOKUP(D15,'12產線配置圖'!$A$2:$C$25,2,0)</f>
        <v>13</v>
      </c>
      <c r="F15" s="355">
        <f>VLOOKUP(D15,'12產線配置圖'!$A$2:$C$25,3,0)</f>
        <v>1440</v>
      </c>
      <c r="G15" s="348">
        <f t="shared" si="19"/>
        <v>110.76923076923077</v>
      </c>
      <c r="H15" s="501"/>
      <c r="I15" s="355">
        <f t="shared" si="20"/>
        <v>13</v>
      </c>
      <c r="J15" s="355">
        <f t="shared" si="21"/>
        <v>1288</v>
      </c>
      <c r="K15" s="348">
        <f t="shared" si="3"/>
        <v>99.07692307692308</v>
      </c>
      <c r="L15" s="501"/>
      <c r="M15" s="355">
        <f t="shared" si="4"/>
        <v>9</v>
      </c>
      <c r="N15" s="498"/>
      <c r="O15" s="498"/>
      <c r="P15" s="354"/>
      <c r="Q15" s="355"/>
      <c r="R15" s="348" t="e">
        <f t="shared" si="22"/>
        <v>#DIV/0!</v>
      </c>
      <c r="S15" s="354" t="e">
        <f t="shared" si="23"/>
        <v>#DIV/0!</v>
      </c>
      <c r="T15" s="501"/>
      <c r="U15" s="354"/>
      <c r="V15" s="355"/>
      <c r="W15" s="348" t="e">
        <f t="shared" si="24"/>
        <v>#DIV/0!</v>
      </c>
      <c r="X15" s="354" t="e">
        <f t="shared" si="25"/>
        <v>#DIV/0!</v>
      </c>
      <c r="Y15" s="501"/>
      <c r="Z15" s="354"/>
      <c r="AA15" s="355"/>
      <c r="AB15" s="348" t="e">
        <f t="shared" si="26"/>
        <v>#DIV/0!</v>
      </c>
      <c r="AC15" s="354" t="e">
        <f t="shared" si="27"/>
        <v>#DIV/0!</v>
      </c>
      <c r="AD15" s="501"/>
      <c r="AE15" s="358"/>
      <c r="AF15" s="355"/>
      <c r="AG15" s="348" t="e">
        <f t="shared" si="28"/>
        <v>#DIV/0!</v>
      </c>
      <c r="AH15" s="354" t="e">
        <f t="shared" si="11"/>
        <v>#DIV/0!</v>
      </c>
      <c r="AI15" s="501"/>
      <c r="AJ15" s="354"/>
      <c r="AK15" s="355"/>
      <c r="AL15" s="348" t="e">
        <f t="shared" si="29"/>
        <v>#DIV/0!</v>
      </c>
      <c r="AM15" s="354" t="e">
        <f t="shared" si="13"/>
        <v>#DIV/0!</v>
      </c>
      <c r="AN15" s="501"/>
      <c r="AO15" s="354"/>
      <c r="AP15" s="355"/>
      <c r="AQ15" s="348" t="e">
        <f t="shared" si="14"/>
        <v>#DIV/0!</v>
      </c>
      <c r="AR15" s="354" t="e">
        <f t="shared" si="15"/>
        <v>#DIV/0!</v>
      </c>
      <c r="AS15" s="501"/>
      <c r="AT15" s="354">
        <v>13</v>
      </c>
      <c r="AU15" s="355">
        <v>1288</v>
      </c>
      <c r="AV15" s="348">
        <f t="shared" si="16"/>
        <v>99.07692307692308</v>
      </c>
      <c r="AW15" s="354">
        <f t="shared" si="17"/>
        <v>9</v>
      </c>
      <c r="AX15" s="501"/>
    </row>
    <row r="16" spans="1:50" ht="14.25" x14ac:dyDescent="0.2">
      <c r="A16" s="366"/>
      <c r="B16" s="508"/>
      <c r="C16" s="354">
        <v>10</v>
      </c>
      <c r="D16" s="354" t="s">
        <v>159</v>
      </c>
      <c r="E16" s="355">
        <f>VLOOKUP(D16,'12產線配置圖'!$A$2:$C$25,2,0)</f>
        <v>17</v>
      </c>
      <c r="F16" s="355">
        <f>VLOOKUP(D16,'12產線配置圖'!$A$2:$C$25,3,0)</f>
        <v>2250</v>
      </c>
      <c r="G16" s="348">
        <f t="shared" si="19"/>
        <v>132.35294117647058</v>
      </c>
      <c r="H16" s="501"/>
      <c r="I16" s="355">
        <f t="shared" si="20"/>
        <v>17</v>
      </c>
      <c r="J16" s="355">
        <f t="shared" si="21"/>
        <v>1663</v>
      </c>
      <c r="K16" s="348">
        <f t="shared" si="3"/>
        <v>97.82352941176471</v>
      </c>
      <c r="L16" s="501"/>
      <c r="M16" s="355">
        <f t="shared" si="4"/>
        <v>10</v>
      </c>
      <c r="N16" s="498"/>
      <c r="O16" s="498"/>
      <c r="P16" s="354"/>
      <c r="Q16" s="355"/>
      <c r="R16" s="348" t="e">
        <f t="shared" si="22"/>
        <v>#DIV/0!</v>
      </c>
      <c r="S16" s="354" t="e">
        <f t="shared" si="23"/>
        <v>#DIV/0!</v>
      </c>
      <c r="T16" s="501"/>
      <c r="U16" s="354"/>
      <c r="V16" s="355"/>
      <c r="W16" s="348" t="e">
        <f t="shared" si="24"/>
        <v>#DIV/0!</v>
      </c>
      <c r="X16" s="354" t="e">
        <f t="shared" si="25"/>
        <v>#DIV/0!</v>
      </c>
      <c r="Y16" s="501"/>
      <c r="Z16" s="354"/>
      <c r="AA16" s="355"/>
      <c r="AB16" s="348" t="e">
        <f t="shared" si="26"/>
        <v>#DIV/0!</v>
      </c>
      <c r="AC16" s="354" t="e">
        <f t="shared" si="27"/>
        <v>#DIV/0!</v>
      </c>
      <c r="AD16" s="501"/>
      <c r="AE16" s="354"/>
      <c r="AF16" s="355"/>
      <c r="AG16" s="348" t="e">
        <f t="shared" si="28"/>
        <v>#DIV/0!</v>
      </c>
      <c r="AH16" s="354" t="e">
        <f t="shared" si="11"/>
        <v>#DIV/0!</v>
      </c>
      <c r="AI16" s="501"/>
      <c r="AJ16" s="354"/>
      <c r="AK16" s="355"/>
      <c r="AL16" s="348" t="e">
        <f t="shared" si="29"/>
        <v>#DIV/0!</v>
      </c>
      <c r="AM16" s="354" t="e">
        <f t="shared" si="13"/>
        <v>#DIV/0!</v>
      </c>
      <c r="AN16" s="501"/>
      <c r="AO16" s="354"/>
      <c r="AP16" s="355"/>
      <c r="AQ16" s="348" t="e">
        <f t="shared" si="14"/>
        <v>#DIV/0!</v>
      </c>
      <c r="AR16" s="354" t="e">
        <f t="shared" si="15"/>
        <v>#DIV/0!</v>
      </c>
      <c r="AS16" s="501"/>
      <c r="AT16" s="354">
        <v>17</v>
      </c>
      <c r="AU16" s="355">
        <v>1663</v>
      </c>
      <c r="AV16" s="348">
        <f t="shared" si="16"/>
        <v>97.82352941176471</v>
      </c>
      <c r="AW16" s="354">
        <f t="shared" si="17"/>
        <v>10</v>
      </c>
      <c r="AX16" s="501"/>
    </row>
    <row r="17" spans="2:50" x14ac:dyDescent="0.2">
      <c r="B17" s="508"/>
      <c r="C17" s="354">
        <v>11</v>
      </c>
      <c r="D17" s="354" t="s">
        <v>379</v>
      </c>
      <c r="E17" s="355">
        <f>VLOOKUP(D17,'12產線配置圖'!$A$2:$C$25,2,0)</f>
        <v>15</v>
      </c>
      <c r="F17" s="355">
        <f>VLOOKUP(D17,'12產線配置圖'!$A$2:$C$25,3,0)</f>
        <v>2250</v>
      </c>
      <c r="G17" s="348">
        <f t="shared" si="19"/>
        <v>150</v>
      </c>
      <c r="H17" s="501"/>
      <c r="I17" s="355">
        <f>AVERAGE(P17,U17,Z17,AE17,AJ17,AO17,AT17)</f>
        <v>15</v>
      </c>
      <c r="J17" s="355">
        <f>AVERAGE(Q17,V17,AA17,AF17,AK17,AP17,AU17)</f>
        <v>1969</v>
      </c>
      <c r="K17" s="348">
        <f t="shared" si="3"/>
        <v>131.26666666666668</v>
      </c>
      <c r="L17" s="501"/>
      <c r="M17" s="355">
        <f t="shared" si="4"/>
        <v>6</v>
      </c>
      <c r="N17" s="498"/>
      <c r="O17" s="498"/>
      <c r="P17" s="354"/>
      <c r="Q17" s="354"/>
      <c r="R17" s="348"/>
      <c r="S17" s="354"/>
      <c r="T17" s="501"/>
      <c r="U17" s="354"/>
      <c r="V17" s="354"/>
      <c r="W17" s="348"/>
      <c r="X17" s="354"/>
      <c r="Y17" s="501"/>
      <c r="Z17" s="354"/>
      <c r="AA17" s="354"/>
      <c r="AB17" s="348"/>
      <c r="AC17" s="354"/>
      <c r="AD17" s="501"/>
      <c r="AE17" s="354"/>
      <c r="AF17" s="354"/>
      <c r="AG17" s="348"/>
      <c r="AH17" s="354"/>
      <c r="AI17" s="501"/>
      <c r="AJ17" s="354"/>
      <c r="AK17" s="354"/>
      <c r="AL17" s="348"/>
      <c r="AM17" s="354"/>
      <c r="AN17" s="501"/>
      <c r="AO17" s="354"/>
      <c r="AP17" s="354"/>
      <c r="AQ17" s="348"/>
      <c r="AR17" s="354"/>
      <c r="AS17" s="501"/>
      <c r="AT17" s="354">
        <v>15</v>
      </c>
      <c r="AU17" s="354">
        <v>1969</v>
      </c>
      <c r="AV17" s="348">
        <f t="shared" si="16"/>
        <v>131.26666666666668</v>
      </c>
      <c r="AW17" s="354"/>
      <c r="AX17" s="501"/>
    </row>
    <row r="18" spans="2:50" x14ac:dyDescent="0.2">
      <c r="B18" s="508"/>
      <c r="C18" s="354">
        <v>12</v>
      </c>
      <c r="D18" s="354" t="s">
        <v>117</v>
      </c>
      <c r="E18" s="355">
        <f>VLOOKUP(D18,'12產線配置圖'!$A$2:$C$25,2,0)</f>
        <v>15</v>
      </c>
      <c r="F18" s="355">
        <f>VLOOKUP(D18,'12產線配置圖'!$A$2:$C$25,3,0)</f>
        <v>2250</v>
      </c>
      <c r="G18" s="348">
        <f t="shared" si="19"/>
        <v>150</v>
      </c>
      <c r="H18" s="501"/>
      <c r="I18" s="355">
        <f>AVERAGE(P18,U18,Z18,AE18,AJ18,AO18,AT18)</f>
        <v>15</v>
      </c>
      <c r="J18" s="355">
        <f>AVERAGE(Q18,V18,AA18,AF18,AK18,AP18,AU18)</f>
        <v>2146</v>
      </c>
      <c r="K18" s="348">
        <f t="shared" si="3"/>
        <v>143.06666666666666</v>
      </c>
      <c r="L18" s="501"/>
      <c r="M18" s="355">
        <f t="shared" si="4"/>
        <v>3</v>
      </c>
      <c r="N18" s="498"/>
      <c r="O18" s="498"/>
      <c r="P18" s="354"/>
      <c r="Q18" s="354"/>
      <c r="R18" s="348" t="e">
        <f>Q18/P18</f>
        <v>#DIV/0!</v>
      </c>
      <c r="S18" s="354" t="e">
        <f>RANK(R18,$R$99:$R$116)</f>
        <v>#DIV/0!</v>
      </c>
      <c r="T18" s="501"/>
      <c r="U18" s="354"/>
      <c r="V18" s="354"/>
      <c r="W18" s="348" t="e">
        <f>V18/U18</f>
        <v>#DIV/0!</v>
      </c>
      <c r="X18" s="354" t="e">
        <f>RANK(W18,$W$99:$W$116)</f>
        <v>#DIV/0!</v>
      </c>
      <c r="Y18" s="501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501"/>
      <c r="AE18" s="358"/>
      <c r="AF18" s="354"/>
      <c r="AG18" s="348" t="e">
        <f t="shared" ref="AG18:AG21" si="30">AF18/AE18</f>
        <v>#DIV/0!</v>
      </c>
      <c r="AH18" s="354" t="e">
        <f t="shared" si="11"/>
        <v>#DIV/0!</v>
      </c>
      <c r="AI18" s="501"/>
      <c r="AJ18" s="358"/>
      <c r="AK18" s="354"/>
      <c r="AL18" s="348" t="e">
        <f t="shared" ref="AL18:AL20" si="31">AK18/AJ18</f>
        <v>#DIV/0!</v>
      </c>
      <c r="AM18" s="354" t="e">
        <f t="shared" si="13"/>
        <v>#DIV/0!</v>
      </c>
      <c r="AN18" s="501"/>
      <c r="AO18" s="354"/>
      <c r="AP18" s="354"/>
      <c r="AQ18" s="348" t="e">
        <f t="shared" ref="AQ18:AQ21" si="32">AP18/AO18</f>
        <v>#DIV/0!</v>
      </c>
      <c r="AR18" s="354" t="e">
        <f t="shared" si="15"/>
        <v>#DIV/0!</v>
      </c>
      <c r="AS18" s="501"/>
      <c r="AT18" s="354">
        <v>15</v>
      </c>
      <c r="AU18" s="354">
        <v>2146</v>
      </c>
      <c r="AV18" s="348">
        <f t="shared" si="16"/>
        <v>143.06666666666666</v>
      </c>
      <c r="AW18" s="354">
        <f t="shared" si="17"/>
        <v>3</v>
      </c>
      <c r="AX18" s="501"/>
    </row>
    <row r="19" spans="2:50" x14ac:dyDescent="0.2">
      <c r="B19" s="508"/>
      <c r="C19" s="354">
        <v>13</v>
      </c>
      <c r="D19" s="354" t="s">
        <v>380</v>
      </c>
      <c r="E19" s="355">
        <f>VLOOKUP(D19,'12產線配置圖'!$A$2:$C$25,2,0)</f>
        <v>18</v>
      </c>
      <c r="F19" s="355">
        <f>VLOOKUP(D19,'12產線配置圖'!$A$2:$C$25,3,0)</f>
        <v>1565</v>
      </c>
      <c r="G19" s="348">
        <f t="shared" si="19"/>
        <v>86.944444444444443</v>
      </c>
      <c r="H19" s="501"/>
      <c r="I19" s="355">
        <f t="shared" ref="I19:I21" si="33">AVERAGE(P19,U19,Z19,AE19,AJ19,AO19,AT19)</f>
        <v>16</v>
      </c>
      <c r="J19" s="355">
        <f t="shared" ref="J19:J21" si="34">AVERAGE(Q19,V19,AA19,AF19,AK19,AP19,AU19)</f>
        <v>1322</v>
      </c>
      <c r="K19" s="348">
        <f t="shared" si="3"/>
        <v>82.625</v>
      </c>
      <c r="L19" s="501"/>
      <c r="M19" s="355">
        <f t="shared" si="4"/>
        <v>14</v>
      </c>
      <c r="N19" s="498"/>
      <c r="O19" s="498"/>
      <c r="P19" s="354"/>
      <c r="Q19" s="354"/>
      <c r="R19" s="348" t="e">
        <f>Q19/P19</f>
        <v>#DIV/0!</v>
      </c>
      <c r="S19" s="354" t="e">
        <f t="shared" ref="S19:S20" si="35">RANK(R19,$R$99:$R$116)</f>
        <v>#DIV/0!</v>
      </c>
      <c r="T19" s="501"/>
      <c r="U19" s="354"/>
      <c r="V19" s="354"/>
      <c r="W19" s="348" t="e">
        <f>V19/U19</f>
        <v>#DIV/0!</v>
      </c>
      <c r="X19" s="354" t="e">
        <f>RANK(W19,$W$99:$W$116)</f>
        <v>#DIV/0!</v>
      </c>
      <c r="Y19" s="501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501"/>
      <c r="AE19" s="354"/>
      <c r="AF19" s="354"/>
      <c r="AG19" s="348" t="e">
        <f t="shared" si="30"/>
        <v>#DIV/0!</v>
      </c>
      <c r="AH19" s="354" t="e">
        <f t="shared" si="11"/>
        <v>#DIV/0!</v>
      </c>
      <c r="AI19" s="501"/>
      <c r="AJ19" s="354"/>
      <c r="AK19" s="354"/>
      <c r="AL19" s="348" t="e">
        <f t="shared" si="31"/>
        <v>#DIV/0!</v>
      </c>
      <c r="AM19" s="354" t="e">
        <f t="shared" si="13"/>
        <v>#DIV/0!</v>
      </c>
      <c r="AN19" s="501"/>
      <c r="AO19" s="354"/>
      <c r="AP19" s="354"/>
      <c r="AQ19" s="348" t="e">
        <f t="shared" si="32"/>
        <v>#DIV/0!</v>
      </c>
      <c r="AR19" s="354" t="e">
        <f t="shared" si="15"/>
        <v>#DIV/0!</v>
      </c>
      <c r="AS19" s="501"/>
      <c r="AT19" s="358">
        <v>16</v>
      </c>
      <c r="AU19" s="354">
        <v>1322</v>
      </c>
      <c r="AV19" s="348">
        <f t="shared" si="16"/>
        <v>82.625</v>
      </c>
      <c r="AW19" s="354">
        <f t="shared" si="17"/>
        <v>14</v>
      </c>
      <c r="AX19" s="501"/>
    </row>
    <row r="20" spans="2:50" x14ac:dyDescent="0.2">
      <c r="B20" s="508"/>
      <c r="C20" s="354">
        <v>14</v>
      </c>
      <c r="D20" s="354" t="s">
        <v>119</v>
      </c>
      <c r="E20" s="355">
        <f>VLOOKUP(D20,'12產線配置圖'!$A$2:$C$25,2,0)</f>
        <v>18</v>
      </c>
      <c r="F20" s="355">
        <f>VLOOKUP(D20,'12產線配置圖'!$A$2:$C$25,3,0)</f>
        <v>1565</v>
      </c>
      <c r="G20" s="348">
        <f t="shared" si="19"/>
        <v>86.944444444444443</v>
      </c>
      <c r="H20" s="501"/>
      <c r="I20" s="355">
        <f t="shared" si="33"/>
        <v>14</v>
      </c>
      <c r="J20" s="355">
        <f t="shared" si="34"/>
        <v>1143</v>
      </c>
      <c r="K20" s="348">
        <f t="shared" si="3"/>
        <v>81.642857142857139</v>
      </c>
      <c r="L20" s="501"/>
      <c r="M20" s="355">
        <f t="shared" si="4"/>
        <v>15</v>
      </c>
      <c r="N20" s="498"/>
      <c r="O20" s="498"/>
      <c r="P20" s="354"/>
      <c r="Q20" s="354"/>
      <c r="R20" s="348" t="e">
        <f>Q20/P20</f>
        <v>#DIV/0!</v>
      </c>
      <c r="S20" s="354" t="e">
        <f t="shared" si="35"/>
        <v>#DIV/0!</v>
      </c>
      <c r="T20" s="501"/>
      <c r="U20" s="354"/>
      <c r="V20" s="354"/>
      <c r="W20" s="348" t="e">
        <f>V20/U20</f>
        <v>#DIV/0!</v>
      </c>
      <c r="X20" s="354" t="e">
        <f>RANK(W20,$W$99:$W$116)</f>
        <v>#DIV/0!</v>
      </c>
      <c r="Y20" s="501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501"/>
      <c r="AE20" s="354"/>
      <c r="AF20" s="354"/>
      <c r="AG20" s="348" t="e">
        <f t="shared" si="30"/>
        <v>#DIV/0!</v>
      </c>
      <c r="AH20" s="354" t="e">
        <f t="shared" si="11"/>
        <v>#DIV/0!</v>
      </c>
      <c r="AI20" s="501"/>
      <c r="AJ20" s="354"/>
      <c r="AK20" s="354"/>
      <c r="AL20" s="348" t="e">
        <f t="shared" si="31"/>
        <v>#DIV/0!</v>
      </c>
      <c r="AM20" s="354" t="e">
        <f t="shared" si="13"/>
        <v>#DIV/0!</v>
      </c>
      <c r="AN20" s="501"/>
      <c r="AO20" s="354"/>
      <c r="AP20" s="354"/>
      <c r="AQ20" s="348" t="e">
        <f t="shared" si="32"/>
        <v>#DIV/0!</v>
      </c>
      <c r="AR20" s="354" t="e">
        <f t="shared" si="15"/>
        <v>#DIV/0!</v>
      </c>
      <c r="AS20" s="501"/>
      <c r="AT20" s="358">
        <v>14</v>
      </c>
      <c r="AU20" s="354">
        <v>1143</v>
      </c>
      <c r="AV20" s="348">
        <f t="shared" si="16"/>
        <v>81.642857142857139</v>
      </c>
      <c r="AW20" s="354">
        <f t="shared" si="17"/>
        <v>15</v>
      </c>
      <c r="AX20" s="501"/>
    </row>
    <row r="21" spans="2:50" x14ac:dyDescent="0.2">
      <c r="B21" s="508"/>
      <c r="C21" s="354">
        <v>15</v>
      </c>
      <c r="D21" s="354" t="s">
        <v>129</v>
      </c>
      <c r="E21" s="355">
        <f>VLOOKUP(D21,'12產線配置圖'!$A$2:$C$25,2,0)</f>
        <v>18</v>
      </c>
      <c r="F21" s="355">
        <f>VLOOKUP(D21,'12產線配置圖'!$A$2:$C$25,3,0)</f>
        <v>1636</v>
      </c>
      <c r="G21" s="348">
        <f t="shared" si="19"/>
        <v>90.888888888888886</v>
      </c>
      <c r="H21" s="501"/>
      <c r="I21" s="355">
        <f t="shared" si="33"/>
        <v>16</v>
      </c>
      <c r="J21" s="355">
        <f t="shared" si="34"/>
        <v>1358</v>
      </c>
      <c r="K21" s="348">
        <f t="shared" si="3"/>
        <v>84.875</v>
      </c>
      <c r="L21" s="501"/>
      <c r="M21" s="355">
        <f t="shared" si="4"/>
        <v>13</v>
      </c>
      <c r="N21" s="498"/>
      <c r="O21" s="498"/>
      <c r="P21" s="354"/>
      <c r="Q21" s="354"/>
      <c r="R21" s="348" t="e">
        <f>Q21/P21</f>
        <v>#DIV/0!</v>
      </c>
      <c r="S21" s="354" t="e">
        <f>RANK(R21,$R$99:$R$116)</f>
        <v>#DIV/0!</v>
      </c>
      <c r="T21" s="501"/>
      <c r="U21" s="354"/>
      <c r="V21" s="354"/>
      <c r="W21" s="348" t="e">
        <f>V21/U21</f>
        <v>#DIV/0!</v>
      </c>
      <c r="X21" s="354" t="e">
        <f>RANK(W21,$W$99:$W$116)</f>
        <v>#DIV/0!</v>
      </c>
      <c r="Y21" s="501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501"/>
      <c r="AE21" s="358"/>
      <c r="AF21" s="354"/>
      <c r="AG21" s="348" t="e">
        <f t="shared" si="30"/>
        <v>#DIV/0!</v>
      </c>
      <c r="AH21" s="354" t="e">
        <f t="shared" si="11"/>
        <v>#DIV/0!</v>
      </c>
      <c r="AI21" s="501"/>
      <c r="AJ21" s="354"/>
      <c r="AK21" s="354"/>
      <c r="AL21" s="348" t="e">
        <f>AK21/AJ21</f>
        <v>#DIV/0!</v>
      </c>
      <c r="AM21" s="354" t="e">
        <f t="shared" si="13"/>
        <v>#DIV/0!</v>
      </c>
      <c r="AN21" s="501"/>
      <c r="AO21" s="354"/>
      <c r="AP21" s="354"/>
      <c r="AQ21" s="348" t="e">
        <f t="shared" si="32"/>
        <v>#DIV/0!</v>
      </c>
      <c r="AR21" s="354" t="e">
        <f t="shared" si="15"/>
        <v>#DIV/0!</v>
      </c>
      <c r="AS21" s="501"/>
      <c r="AT21" s="358">
        <v>16</v>
      </c>
      <c r="AU21" s="354">
        <v>1358</v>
      </c>
      <c r="AV21" s="348">
        <f t="shared" si="16"/>
        <v>84.875</v>
      </c>
      <c r="AW21" s="354">
        <f t="shared" si="17"/>
        <v>13</v>
      </c>
      <c r="AX21" s="501"/>
    </row>
    <row r="22" spans="2:50" x14ac:dyDescent="0.2">
      <c r="B22" s="508"/>
      <c r="C22" s="354">
        <v>16</v>
      </c>
      <c r="D22" s="354"/>
      <c r="E22" s="355"/>
      <c r="F22" s="355"/>
      <c r="G22" s="348"/>
      <c r="H22" s="501"/>
      <c r="I22" s="355"/>
      <c r="J22" s="355"/>
      <c r="K22" s="348"/>
      <c r="L22" s="501"/>
      <c r="M22" s="355"/>
      <c r="N22" s="498"/>
      <c r="O22" s="498"/>
      <c r="P22" s="354"/>
      <c r="Q22" s="354"/>
      <c r="R22" s="348"/>
      <c r="S22" s="354"/>
      <c r="T22" s="501"/>
      <c r="U22" s="354"/>
      <c r="V22" s="354"/>
      <c r="W22" s="348"/>
      <c r="X22" s="354"/>
      <c r="Y22" s="501"/>
      <c r="Z22" s="354"/>
      <c r="AA22" s="354"/>
      <c r="AB22" s="348"/>
      <c r="AC22" s="354"/>
      <c r="AD22" s="501"/>
      <c r="AE22" s="354"/>
      <c r="AF22" s="354"/>
      <c r="AG22" s="348"/>
      <c r="AH22" s="354"/>
      <c r="AI22" s="501"/>
      <c r="AJ22" s="354"/>
      <c r="AK22" s="354"/>
      <c r="AL22" s="348"/>
      <c r="AM22" s="354"/>
      <c r="AN22" s="501"/>
      <c r="AO22" s="354"/>
      <c r="AP22" s="354"/>
      <c r="AQ22" s="348"/>
      <c r="AR22" s="354"/>
      <c r="AS22" s="501"/>
      <c r="AT22" s="354"/>
      <c r="AU22" s="354"/>
      <c r="AV22" s="348"/>
      <c r="AW22" s="354"/>
      <c r="AX22" s="501"/>
    </row>
    <row r="23" spans="2:50" x14ac:dyDescent="0.2">
      <c r="B23" s="508"/>
      <c r="C23" s="354">
        <v>17</v>
      </c>
      <c r="D23" s="354"/>
      <c r="E23" s="355"/>
      <c r="F23" s="355"/>
      <c r="G23" s="348"/>
      <c r="H23" s="501"/>
      <c r="I23" s="355"/>
      <c r="J23" s="355"/>
      <c r="K23" s="348"/>
      <c r="L23" s="501"/>
      <c r="M23" s="355"/>
      <c r="N23" s="498"/>
      <c r="O23" s="498"/>
      <c r="P23" s="354"/>
      <c r="Q23" s="354"/>
      <c r="R23" s="348"/>
      <c r="S23" s="354"/>
      <c r="T23" s="501"/>
      <c r="U23" s="354"/>
      <c r="V23" s="354"/>
      <c r="W23" s="348"/>
      <c r="X23" s="354"/>
      <c r="Y23" s="501"/>
      <c r="Z23" s="354"/>
      <c r="AA23" s="354"/>
      <c r="AB23" s="348"/>
      <c r="AC23" s="354"/>
      <c r="AD23" s="501"/>
      <c r="AE23" s="354"/>
      <c r="AF23" s="354"/>
      <c r="AG23" s="348"/>
      <c r="AH23" s="354"/>
      <c r="AI23" s="501"/>
      <c r="AJ23" s="354"/>
      <c r="AK23" s="354"/>
      <c r="AL23" s="348"/>
      <c r="AM23" s="354"/>
      <c r="AN23" s="501"/>
      <c r="AO23" s="354"/>
      <c r="AP23" s="354"/>
      <c r="AQ23" s="348"/>
      <c r="AR23" s="354"/>
      <c r="AS23" s="501"/>
      <c r="AT23" s="354"/>
      <c r="AU23" s="354"/>
      <c r="AV23" s="348"/>
      <c r="AW23" s="354"/>
      <c r="AX23" s="501"/>
    </row>
    <row r="24" spans="2:50" x14ac:dyDescent="0.2">
      <c r="B24" s="508"/>
      <c r="C24" s="354">
        <v>18</v>
      </c>
      <c r="D24" s="354"/>
      <c r="E24" s="354"/>
      <c r="F24" s="354"/>
      <c r="G24" s="354"/>
      <c r="H24" s="501"/>
      <c r="I24" s="354"/>
      <c r="J24" s="354"/>
      <c r="K24" s="354"/>
      <c r="L24" s="502"/>
      <c r="M24" s="355"/>
      <c r="N24" s="499"/>
      <c r="O24" s="499"/>
      <c r="P24" s="354"/>
      <c r="Q24" s="354"/>
      <c r="R24" s="354"/>
      <c r="S24" s="354"/>
      <c r="T24" s="502"/>
      <c r="U24" s="354"/>
      <c r="V24" s="354"/>
      <c r="W24" s="348"/>
      <c r="X24" s="354"/>
      <c r="Y24" s="502"/>
      <c r="Z24" s="354"/>
      <c r="AA24" s="354"/>
      <c r="AB24" s="348"/>
      <c r="AC24" s="354"/>
      <c r="AD24" s="502"/>
      <c r="AE24" s="354"/>
      <c r="AF24" s="354"/>
      <c r="AG24" s="348"/>
      <c r="AH24" s="354"/>
      <c r="AI24" s="502"/>
      <c r="AJ24" s="354"/>
      <c r="AK24" s="354"/>
      <c r="AL24" s="348"/>
      <c r="AM24" s="354"/>
      <c r="AN24" s="502"/>
      <c r="AO24" s="354"/>
      <c r="AP24" s="354"/>
      <c r="AQ24" s="348"/>
      <c r="AR24" s="354"/>
      <c r="AS24" s="502"/>
      <c r="AT24" s="354"/>
      <c r="AU24" s="354"/>
      <c r="AV24" s="348"/>
      <c r="AW24" s="354"/>
      <c r="AX24" s="502"/>
    </row>
    <row r="25" spans="2:50" ht="15.75" x14ac:dyDescent="0.2">
      <c r="B25" s="510" t="s">
        <v>84</v>
      </c>
      <c r="C25" s="511"/>
      <c r="D25" s="511"/>
      <c r="E25" s="511"/>
      <c r="F25" s="511"/>
      <c r="G25" s="511"/>
      <c r="H25" s="511"/>
      <c r="I25" s="367"/>
      <c r="J25" s="367"/>
      <c r="K25" s="367"/>
      <c r="L25" s="367"/>
      <c r="M25" s="376"/>
      <c r="N25" s="497" t="s">
        <v>85</v>
      </c>
      <c r="O25" s="497" t="s">
        <v>45</v>
      </c>
      <c r="P25" s="488">
        <v>46175</v>
      </c>
      <c r="Q25" s="483"/>
      <c r="R25" s="483"/>
      <c r="S25" s="483"/>
      <c r="T25" s="483"/>
      <c r="U25" s="488">
        <f>P25+1</f>
        <v>46176</v>
      </c>
      <c r="V25" s="483"/>
      <c r="W25" s="483"/>
      <c r="X25" s="483"/>
      <c r="Y25" s="483"/>
      <c r="Z25" s="488">
        <f>U25+1</f>
        <v>46177</v>
      </c>
      <c r="AA25" s="483"/>
      <c r="AB25" s="483"/>
      <c r="AC25" s="483"/>
      <c r="AD25" s="483"/>
      <c r="AE25" s="488">
        <f>Z25+1</f>
        <v>46178</v>
      </c>
      <c r="AF25" s="483"/>
      <c r="AG25" s="483"/>
      <c r="AH25" s="483"/>
      <c r="AI25" s="483"/>
      <c r="AJ25" s="488">
        <f>AE25+1</f>
        <v>46179</v>
      </c>
      <c r="AK25" s="483"/>
      <c r="AL25" s="483"/>
      <c r="AM25" s="483"/>
      <c r="AN25" s="483"/>
      <c r="AO25" s="488">
        <f>AJ25+1</f>
        <v>46180</v>
      </c>
      <c r="AP25" s="483"/>
      <c r="AQ25" s="483"/>
      <c r="AR25" s="483"/>
      <c r="AS25" s="483"/>
      <c r="AT25" s="488">
        <f>AO25+1</f>
        <v>46181</v>
      </c>
      <c r="AU25" s="483"/>
      <c r="AV25" s="483"/>
      <c r="AW25" s="483"/>
      <c r="AX25" s="483"/>
    </row>
    <row r="26" spans="2:50" ht="15.75" x14ac:dyDescent="0.2">
      <c r="B26" s="505"/>
      <c r="C26" s="505"/>
      <c r="D26" s="505"/>
      <c r="E26" s="505"/>
      <c r="F26" s="505"/>
      <c r="G26" s="505"/>
      <c r="H26" s="505"/>
      <c r="I26" s="370"/>
      <c r="J26" s="370"/>
      <c r="K26" s="370"/>
      <c r="L26" s="370"/>
      <c r="M26" s="371"/>
      <c r="N26" s="499"/>
      <c r="O26" s="499"/>
      <c r="P26" s="488" t="s">
        <v>57</v>
      </c>
      <c r="Q26" s="483"/>
      <c r="R26" s="483"/>
      <c r="S26" s="483"/>
      <c r="T26" s="483"/>
      <c r="U26" s="488" t="s">
        <v>58</v>
      </c>
      <c r="V26" s="483"/>
      <c r="W26" s="483"/>
      <c r="X26" s="483"/>
      <c r="Y26" s="483"/>
      <c r="Z26" s="488" t="s">
        <v>59</v>
      </c>
      <c r="AA26" s="483"/>
      <c r="AB26" s="483"/>
      <c r="AC26" s="483"/>
      <c r="AD26" s="483"/>
      <c r="AE26" s="488" t="s">
        <v>60</v>
      </c>
      <c r="AF26" s="483"/>
      <c r="AG26" s="483"/>
      <c r="AH26" s="483"/>
      <c r="AI26" s="483"/>
      <c r="AJ26" s="488" t="s">
        <v>55</v>
      </c>
      <c r="AK26" s="483"/>
      <c r="AL26" s="483"/>
      <c r="AM26" s="483"/>
      <c r="AN26" s="483"/>
      <c r="AO26" s="488" t="s">
        <v>52</v>
      </c>
      <c r="AP26" s="483"/>
      <c r="AQ26" s="483"/>
      <c r="AR26" s="483"/>
      <c r="AS26" s="483"/>
      <c r="AT26" s="488" t="s">
        <v>56</v>
      </c>
      <c r="AU26" s="483"/>
      <c r="AV26" s="483"/>
      <c r="AW26" s="483"/>
      <c r="AX26" s="483"/>
    </row>
    <row r="27" spans="2:50" x14ac:dyDescent="0.2">
      <c r="B27" s="487" t="s">
        <v>41</v>
      </c>
      <c r="C27" s="492" t="s">
        <v>86</v>
      </c>
      <c r="D27" s="487"/>
      <c r="E27" s="487" t="s">
        <v>87</v>
      </c>
      <c r="F27" s="487"/>
      <c r="G27" s="487"/>
      <c r="H27" s="493" t="s">
        <v>88</v>
      </c>
      <c r="I27" s="487" t="s">
        <v>89</v>
      </c>
      <c r="J27" s="487"/>
      <c r="K27" s="487"/>
      <c r="L27" s="493" t="s">
        <v>88</v>
      </c>
      <c r="M27" s="497" t="s">
        <v>90</v>
      </c>
      <c r="N27" s="487"/>
      <c r="O27" s="487" t="s">
        <v>91</v>
      </c>
      <c r="P27" s="489" t="s">
        <v>92</v>
      </c>
      <c r="Q27" s="490"/>
      <c r="R27" s="490"/>
      <c r="S27" s="491"/>
      <c r="T27" s="487" t="s">
        <v>88</v>
      </c>
      <c r="U27" s="489" t="s">
        <v>92</v>
      </c>
      <c r="V27" s="490"/>
      <c r="W27" s="490"/>
      <c r="X27" s="491"/>
      <c r="Y27" s="487" t="s">
        <v>88</v>
      </c>
      <c r="Z27" s="489" t="s">
        <v>92</v>
      </c>
      <c r="AA27" s="490"/>
      <c r="AB27" s="490"/>
      <c r="AC27" s="491"/>
      <c r="AD27" s="487" t="s">
        <v>88</v>
      </c>
      <c r="AE27" s="489" t="s">
        <v>92</v>
      </c>
      <c r="AF27" s="490"/>
      <c r="AG27" s="490"/>
      <c r="AH27" s="491"/>
      <c r="AI27" s="487" t="s">
        <v>88</v>
      </c>
      <c r="AJ27" s="489" t="s">
        <v>92</v>
      </c>
      <c r="AK27" s="490"/>
      <c r="AL27" s="490"/>
      <c r="AM27" s="491"/>
      <c r="AN27" s="487" t="s">
        <v>88</v>
      </c>
      <c r="AO27" s="489" t="s">
        <v>92</v>
      </c>
      <c r="AP27" s="490"/>
      <c r="AQ27" s="490"/>
      <c r="AR27" s="491"/>
      <c r="AS27" s="487" t="s">
        <v>88</v>
      </c>
      <c r="AT27" s="489" t="s">
        <v>92</v>
      </c>
      <c r="AU27" s="490"/>
      <c r="AV27" s="490"/>
      <c r="AW27" s="491"/>
      <c r="AX27" s="487" t="s">
        <v>88</v>
      </c>
    </row>
    <row r="28" spans="2:50" x14ac:dyDescent="0.2">
      <c r="B28" s="487"/>
      <c r="C28" s="487"/>
      <c r="D28" s="487"/>
      <c r="E28" s="487" t="s">
        <v>93</v>
      </c>
      <c r="F28" s="487"/>
      <c r="G28" s="487"/>
      <c r="H28" s="494"/>
      <c r="I28" s="487" t="s">
        <v>93</v>
      </c>
      <c r="J28" s="487"/>
      <c r="K28" s="487"/>
      <c r="L28" s="494"/>
      <c r="M28" s="498"/>
      <c r="N28" s="487"/>
      <c r="O28" s="487"/>
      <c r="P28" s="489" t="s">
        <v>94</v>
      </c>
      <c r="Q28" s="490"/>
      <c r="R28" s="490"/>
      <c r="S28" s="491"/>
      <c r="T28" s="487"/>
      <c r="U28" s="489" t="s">
        <v>94</v>
      </c>
      <c r="V28" s="490"/>
      <c r="W28" s="490"/>
      <c r="X28" s="491"/>
      <c r="Y28" s="487"/>
      <c r="Z28" s="489" t="s">
        <v>94</v>
      </c>
      <c r="AA28" s="490"/>
      <c r="AB28" s="490"/>
      <c r="AC28" s="491"/>
      <c r="AD28" s="487"/>
      <c r="AE28" s="489" t="s">
        <v>94</v>
      </c>
      <c r="AF28" s="490"/>
      <c r="AG28" s="490"/>
      <c r="AH28" s="491"/>
      <c r="AI28" s="487"/>
      <c r="AJ28" s="489" t="s">
        <v>94</v>
      </c>
      <c r="AK28" s="490"/>
      <c r="AL28" s="490"/>
      <c r="AM28" s="491"/>
      <c r="AN28" s="487"/>
      <c r="AO28" s="489" t="s">
        <v>94</v>
      </c>
      <c r="AP28" s="490"/>
      <c r="AQ28" s="490"/>
      <c r="AR28" s="491"/>
      <c r="AS28" s="487"/>
      <c r="AT28" s="489" t="s">
        <v>94</v>
      </c>
      <c r="AU28" s="490"/>
      <c r="AV28" s="490"/>
      <c r="AW28" s="491"/>
      <c r="AX28" s="487"/>
    </row>
    <row r="29" spans="2:50" x14ac:dyDescent="0.2">
      <c r="B29" s="487"/>
      <c r="C29" s="487"/>
      <c r="D29" s="487"/>
      <c r="E29" s="372" t="s">
        <v>95</v>
      </c>
      <c r="F29" s="372" t="s">
        <v>96</v>
      </c>
      <c r="G29" s="372" t="s">
        <v>97</v>
      </c>
      <c r="H29" s="495"/>
      <c r="I29" s="372" t="s">
        <v>95</v>
      </c>
      <c r="J29" s="372" t="s">
        <v>96</v>
      </c>
      <c r="K29" s="372" t="s">
        <v>97</v>
      </c>
      <c r="L29" s="495"/>
      <c r="M29" s="499"/>
      <c r="N29" s="487"/>
      <c r="O29" s="487"/>
      <c r="P29" s="372" t="s">
        <v>95</v>
      </c>
      <c r="Q29" s="372" t="s">
        <v>96</v>
      </c>
      <c r="R29" s="372" t="s">
        <v>97</v>
      </c>
      <c r="S29" s="372" t="s">
        <v>90</v>
      </c>
      <c r="T29" s="487"/>
      <c r="U29" s="372" t="s">
        <v>95</v>
      </c>
      <c r="V29" s="372" t="s">
        <v>96</v>
      </c>
      <c r="W29" s="372" t="s">
        <v>97</v>
      </c>
      <c r="X29" s="372" t="s">
        <v>90</v>
      </c>
      <c r="Y29" s="487"/>
      <c r="Z29" s="372" t="s">
        <v>95</v>
      </c>
      <c r="AA29" s="372" t="s">
        <v>96</v>
      </c>
      <c r="AB29" s="372" t="s">
        <v>97</v>
      </c>
      <c r="AC29" s="372" t="s">
        <v>90</v>
      </c>
      <c r="AD29" s="487"/>
      <c r="AE29" s="372" t="s">
        <v>95</v>
      </c>
      <c r="AF29" s="372" t="s">
        <v>96</v>
      </c>
      <c r="AG29" s="372" t="s">
        <v>97</v>
      </c>
      <c r="AH29" s="372" t="s">
        <v>90</v>
      </c>
      <c r="AI29" s="487"/>
      <c r="AJ29" s="372" t="s">
        <v>95</v>
      </c>
      <c r="AK29" s="372" t="s">
        <v>96</v>
      </c>
      <c r="AL29" s="372" t="s">
        <v>97</v>
      </c>
      <c r="AM29" s="372" t="s">
        <v>90</v>
      </c>
      <c r="AN29" s="487"/>
      <c r="AO29" s="372" t="s">
        <v>95</v>
      </c>
      <c r="AP29" s="372" t="s">
        <v>96</v>
      </c>
      <c r="AQ29" s="372" t="s">
        <v>97</v>
      </c>
      <c r="AR29" s="372" t="s">
        <v>90</v>
      </c>
      <c r="AS29" s="487"/>
      <c r="AT29" s="372" t="s">
        <v>95</v>
      </c>
      <c r="AU29" s="372" t="s">
        <v>96</v>
      </c>
      <c r="AV29" s="372" t="s">
        <v>97</v>
      </c>
      <c r="AW29" s="372" t="s">
        <v>90</v>
      </c>
      <c r="AX29" s="487"/>
    </row>
    <row r="30" spans="2:50" ht="13.5" x14ac:dyDescent="0.2">
      <c r="B30" s="483" t="s">
        <v>334</v>
      </c>
      <c r="C30" s="354">
        <v>1</v>
      </c>
      <c r="D30" s="374" t="s">
        <v>112</v>
      </c>
      <c r="E30" s="355">
        <f>VLOOKUP(D30,'12產線配置圖'!$A$2:$C$25,2,0)</f>
        <v>13</v>
      </c>
      <c r="F30" s="355">
        <f>VLOOKUP(D30,'12產線配置圖'!$A$2:$C$25,3,0)</f>
        <v>2250</v>
      </c>
      <c r="G30" s="348">
        <f t="shared" ref="G30:G42" si="36">F30/E30</f>
        <v>173.07692307692307</v>
      </c>
      <c r="H30" s="484">
        <f>AVERAGE(G30:G47)</f>
        <v>124.70503148267852</v>
      </c>
      <c r="I30" s="355">
        <f>AVERAGE(P30,U30,Z30,AE30,AJ30,AO30,AT30)</f>
        <v>13</v>
      </c>
      <c r="J30" s="355">
        <f>AVERAGE(Q30,V30,AA30,AF30,AK30,AP30,AU30)</f>
        <v>2034</v>
      </c>
      <c r="K30" s="348">
        <f>AVERAGE(R30,W30,AB30,AG30,AL30,AQ30,AV30)</f>
        <v>156.46153846153848</v>
      </c>
      <c r="L30" s="484">
        <f>IFERROR(AVERAGE(K30:K47),"-")</f>
        <v>111.07682396035338</v>
      </c>
      <c r="M30" s="377">
        <f>RANK(K30, K$30:$K$47)</f>
        <v>1</v>
      </c>
      <c r="N30" s="487"/>
      <c r="O30" s="487"/>
      <c r="P30" s="355">
        <v>13</v>
      </c>
      <c r="Q30" s="355">
        <v>1830</v>
      </c>
      <c r="R30" s="346">
        <f>Q30/P30</f>
        <v>140.76923076923077</v>
      </c>
      <c r="S30" s="354">
        <f>RANK(R30,$R$30:$R$47)</f>
        <v>1</v>
      </c>
      <c r="T30" s="496">
        <f>AVERAGE(R30:R47)</f>
        <v>104.06673382173383</v>
      </c>
      <c r="U30" s="355">
        <v>13</v>
      </c>
      <c r="V30" s="355">
        <v>1903</v>
      </c>
      <c r="W30" s="346">
        <f>V30/U30</f>
        <v>146.38461538461539</v>
      </c>
      <c r="X30" s="354">
        <f>RANK(W30, $W$30:$W$47)</f>
        <v>2</v>
      </c>
      <c r="Y30" s="496">
        <f>AVERAGE(W30:W47)</f>
        <v>110.63293058248941</v>
      </c>
      <c r="Z30" s="347">
        <v>13</v>
      </c>
      <c r="AA30" s="355">
        <v>2082</v>
      </c>
      <c r="AB30" s="346">
        <f>AA30/Z30</f>
        <v>160.15384615384616</v>
      </c>
      <c r="AC30" s="354">
        <f>RANK(AB30, $AB$30:$AB$47)</f>
        <v>1</v>
      </c>
      <c r="AD30" s="496">
        <f>AVERAGE(AB30:AB47)</f>
        <v>113.68753639062463</v>
      </c>
      <c r="AE30" s="347">
        <v>13</v>
      </c>
      <c r="AF30" s="355">
        <v>2065</v>
      </c>
      <c r="AG30" s="348">
        <f>AF30/AE30</f>
        <v>158.84615384615384</v>
      </c>
      <c r="AH30" s="354">
        <f>RANK(AG30, $AG$30:$AG$47)</f>
        <v>1</v>
      </c>
      <c r="AI30" s="496">
        <f>AVERAGE(AG30:AG47)</f>
        <v>112.21334572290455</v>
      </c>
      <c r="AJ30" s="355">
        <v>13</v>
      </c>
      <c r="AK30" s="355">
        <v>2162</v>
      </c>
      <c r="AL30" s="348">
        <f>AK30/AJ30</f>
        <v>166.30769230769232</v>
      </c>
      <c r="AM30" s="354">
        <f>RANK(AL30, $AL$30:$AL$47)</f>
        <v>1</v>
      </c>
      <c r="AN30" s="496">
        <f>AVERAGE(AL30:AL47)</f>
        <v>111.99543177954943</v>
      </c>
      <c r="AO30" s="355">
        <v>13</v>
      </c>
      <c r="AP30" s="355">
        <v>2079</v>
      </c>
      <c r="AQ30" s="348">
        <f>AP30/AO30</f>
        <v>159.92307692307693</v>
      </c>
      <c r="AR30" s="354">
        <f>RANK(AQ30,$AQ$30:$AQ$47)</f>
        <v>1</v>
      </c>
      <c r="AS30" s="496">
        <f>AVERAGE(AQ30:AQ47)</f>
        <v>111.16332238023413</v>
      </c>
      <c r="AT30" s="355">
        <v>13</v>
      </c>
      <c r="AU30" s="355">
        <v>2117</v>
      </c>
      <c r="AV30" s="348">
        <f>AU30/AT30</f>
        <v>162.84615384615384</v>
      </c>
      <c r="AW30" s="354">
        <f>RANK(AV30, $AV$30:$AV$47)</f>
        <v>1</v>
      </c>
      <c r="AX30" s="496">
        <f>AVERAGE(AV30:AV47)</f>
        <v>113.77846704493763</v>
      </c>
    </row>
    <row r="31" spans="2:50" x14ac:dyDescent="0.2">
      <c r="B31" s="483"/>
      <c r="C31" s="354">
        <v>2</v>
      </c>
      <c r="D31" s="354" t="s">
        <v>116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6"/>
        <v>150</v>
      </c>
      <c r="H31" s="485"/>
      <c r="I31" s="355">
        <f t="shared" ref="I31:K41" si="37">AVERAGE(P31,U31,Z31,AE31,AJ31,AO31,AT31)</f>
        <v>15</v>
      </c>
      <c r="J31" s="355">
        <f t="shared" si="37"/>
        <v>2016.7142857142858</v>
      </c>
      <c r="K31" s="348">
        <f t="shared" si="37"/>
        <v>134.44761904761904</v>
      </c>
      <c r="L31" s="485"/>
      <c r="M31" s="377">
        <f>RANK(K31, K$30:$K$47)</f>
        <v>4</v>
      </c>
      <c r="N31" s="487"/>
      <c r="O31" s="487"/>
      <c r="P31" s="355">
        <v>15</v>
      </c>
      <c r="Q31" s="355">
        <v>1884</v>
      </c>
      <c r="R31" s="346">
        <f t="shared" ref="R31:R39" si="38">Q31/P31</f>
        <v>125.6</v>
      </c>
      <c r="S31" s="354">
        <f t="shared" ref="S31:S41" si="39">RANK(R31,$R$30:$R$47)</f>
        <v>3</v>
      </c>
      <c r="T31" s="496"/>
      <c r="U31" s="355">
        <v>15</v>
      </c>
      <c r="V31" s="355">
        <v>1951</v>
      </c>
      <c r="W31" s="346">
        <f t="shared" ref="W31:W39" si="40">V31/U31</f>
        <v>130.06666666666666</v>
      </c>
      <c r="X31" s="354">
        <f t="shared" ref="X31:X41" si="41">RANK(W31, $W$30:$W$47)</f>
        <v>5</v>
      </c>
      <c r="Y31" s="496"/>
      <c r="Z31" s="355">
        <v>15</v>
      </c>
      <c r="AA31" s="355">
        <v>1971</v>
      </c>
      <c r="AB31" s="346">
        <f t="shared" ref="AB31:AB39" si="42">AA31/Z31</f>
        <v>131.4</v>
      </c>
      <c r="AC31" s="354">
        <f t="shared" ref="AC31:AC42" si="43">RANK(AB31, $AB$30:$AB$47)</f>
        <v>6</v>
      </c>
      <c r="AD31" s="496"/>
      <c r="AE31" s="355">
        <v>15</v>
      </c>
      <c r="AF31" s="355">
        <v>2069</v>
      </c>
      <c r="AG31" s="348">
        <f t="shared" ref="AG31:AG39" si="44">AF31/AE31</f>
        <v>137.93333333333334</v>
      </c>
      <c r="AH31" s="354">
        <f t="shared" ref="AH31:AH41" si="45">RANK(AG31, $AG$30:$AG$47)</f>
        <v>4</v>
      </c>
      <c r="AI31" s="496"/>
      <c r="AJ31" s="355">
        <v>15</v>
      </c>
      <c r="AK31" s="355">
        <v>2147</v>
      </c>
      <c r="AL31" s="348">
        <f t="shared" ref="AL31:AL39" si="46">AK31/AJ31</f>
        <v>143.13333333333333</v>
      </c>
      <c r="AM31" s="354">
        <f t="shared" ref="AM31:AM41" si="47">RANK(AL31, $AL$30:$AL$47)</f>
        <v>3</v>
      </c>
      <c r="AN31" s="496"/>
      <c r="AO31" s="355">
        <v>15</v>
      </c>
      <c r="AP31" s="355">
        <v>2058</v>
      </c>
      <c r="AQ31" s="348">
        <f>AP31/AO31</f>
        <v>137.19999999999999</v>
      </c>
      <c r="AR31" s="354">
        <f>RANK(AQ31,$AQ$30:$AQ$47)</f>
        <v>5</v>
      </c>
      <c r="AS31" s="496"/>
      <c r="AT31" s="355">
        <v>15</v>
      </c>
      <c r="AU31" s="355">
        <v>2037</v>
      </c>
      <c r="AV31" s="348">
        <f t="shared" ref="AV31:AV44" si="48">AU31/AT31</f>
        <v>135.80000000000001</v>
      </c>
      <c r="AW31" s="354">
        <f t="shared" ref="AW31:AW44" si="49">RANK(AV31, $AV$30:$AV$47)</f>
        <v>4</v>
      </c>
      <c r="AX31" s="496"/>
    </row>
    <row r="32" spans="2:50" x14ac:dyDescent="0.2">
      <c r="B32" s="483"/>
      <c r="C32" s="354">
        <v>3</v>
      </c>
      <c r="D32" s="354" t="s">
        <v>115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6"/>
        <v>150</v>
      </c>
      <c r="H32" s="485"/>
      <c r="I32" s="355">
        <f t="shared" si="37"/>
        <v>15.142857142857142</v>
      </c>
      <c r="J32" s="355">
        <f t="shared" si="37"/>
        <v>2019.1428571428571</v>
      </c>
      <c r="K32" s="348">
        <f>AVERAGE(R32,W32,AB32,AG32,AL32,AQ32,AV32)</f>
        <v>133.55059523809524</v>
      </c>
      <c r="L32" s="485"/>
      <c r="M32" s="377">
        <f>RANK(K32, K$30:$K$47)</f>
        <v>5</v>
      </c>
      <c r="N32" s="487"/>
      <c r="O32" s="487"/>
      <c r="P32" s="355">
        <v>15</v>
      </c>
      <c r="Q32" s="355">
        <v>1850</v>
      </c>
      <c r="R32" s="346">
        <f t="shared" si="38"/>
        <v>123.33333333333333</v>
      </c>
      <c r="S32" s="354">
        <f t="shared" si="39"/>
        <v>5</v>
      </c>
      <c r="T32" s="496"/>
      <c r="U32" s="355">
        <v>15</v>
      </c>
      <c r="V32" s="355">
        <v>2146</v>
      </c>
      <c r="W32" s="348">
        <f t="shared" si="40"/>
        <v>143.06666666666666</v>
      </c>
      <c r="X32" s="354">
        <f t="shared" si="41"/>
        <v>4</v>
      </c>
      <c r="Y32" s="496"/>
      <c r="Z32" s="355">
        <v>15</v>
      </c>
      <c r="AA32" s="355">
        <v>2139</v>
      </c>
      <c r="AB32" s="348">
        <f t="shared" si="42"/>
        <v>142.6</v>
      </c>
      <c r="AC32" s="354">
        <f t="shared" si="43"/>
        <v>4</v>
      </c>
      <c r="AD32" s="496"/>
      <c r="AE32" s="355">
        <v>15</v>
      </c>
      <c r="AF32" s="355">
        <v>2111</v>
      </c>
      <c r="AG32" s="348">
        <f t="shared" si="44"/>
        <v>140.73333333333332</v>
      </c>
      <c r="AH32" s="354">
        <f t="shared" si="45"/>
        <v>3</v>
      </c>
      <c r="AI32" s="496"/>
      <c r="AJ32" s="355">
        <v>15</v>
      </c>
      <c r="AK32" s="355">
        <v>2102</v>
      </c>
      <c r="AL32" s="348">
        <f>AK32/AJ32</f>
        <v>140.13333333333333</v>
      </c>
      <c r="AM32" s="354">
        <f>RANK(AL32, $AL$30:$AL$47)</f>
        <v>4</v>
      </c>
      <c r="AN32" s="496"/>
      <c r="AO32" s="347">
        <v>16</v>
      </c>
      <c r="AP32" s="355">
        <v>1779</v>
      </c>
      <c r="AQ32" s="346">
        <f t="shared" ref="AQ32:AQ34" si="50">AP32/AO32</f>
        <v>111.1875</v>
      </c>
      <c r="AR32" s="354">
        <f t="shared" ref="AR32:AR34" si="51">RANK(AQ32,$AQ$30:$AQ$47)</f>
        <v>7</v>
      </c>
      <c r="AS32" s="496"/>
      <c r="AT32" s="355">
        <v>15</v>
      </c>
      <c r="AU32" s="355">
        <v>2007</v>
      </c>
      <c r="AV32" s="348">
        <f t="shared" si="48"/>
        <v>133.80000000000001</v>
      </c>
      <c r="AW32" s="354">
        <f t="shared" si="49"/>
        <v>6</v>
      </c>
      <c r="AX32" s="496"/>
    </row>
    <row r="33" spans="2:50" x14ac:dyDescent="0.2">
      <c r="B33" s="483"/>
      <c r="C33" s="354">
        <v>4</v>
      </c>
      <c r="D33" s="354" t="s">
        <v>169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6"/>
        <v>112.5</v>
      </c>
      <c r="H33" s="485"/>
      <c r="I33" s="355">
        <f t="shared" si="37"/>
        <v>16</v>
      </c>
      <c r="J33" s="355">
        <f t="shared" si="37"/>
        <v>1566.5714285714287</v>
      </c>
      <c r="K33" s="348">
        <f t="shared" si="37"/>
        <v>97.910714285714292</v>
      </c>
      <c r="L33" s="485"/>
      <c r="M33" s="377">
        <f>RANK(K33, K$30:$K$47)</f>
        <v>10</v>
      </c>
      <c r="N33" s="487"/>
      <c r="O33" s="487"/>
      <c r="P33" s="355">
        <v>16</v>
      </c>
      <c r="Q33" s="355">
        <v>1526</v>
      </c>
      <c r="R33" s="348">
        <f t="shared" si="38"/>
        <v>95.375</v>
      </c>
      <c r="S33" s="354">
        <f t="shared" si="39"/>
        <v>8</v>
      </c>
      <c r="T33" s="496"/>
      <c r="U33" s="355">
        <v>16</v>
      </c>
      <c r="V33" s="355">
        <v>1511</v>
      </c>
      <c r="W33" s="348">
        <f t="shared" si="40"/>
        <v>94.4375</v>
      </c>
      <c r="X33" s="354">
        <f t="shared" si="41"/>
        <v>9</v>
      </c>
      <c r="Y33" s="496"/>
      <c r="Z33" s="355">
        <v>16</v>
      </c>
      <c r="AA33" s="355">
        <v>1509</v>
      </c>
      <c r="AB33" s="346">
        <f t="shared" si="42"/>
        <v>94.3125</v>
      </c>
      <c r="AC33" s="354">
        <f t="shared" si="43"/>
        <v>10</v>
      </c>
      <c r="AD33" s="496"/>
      <c r="AE33" s="355">
        <v>16</v>
      </c>
      <c r="AF33" s="355">
        <v>1601</v>
      </c>
      <c r="AG33" s="348">
        <f t="shared" si="44"/>
        <v>100.0625</v>
      </c>
      <c r="AH33" s="354">
        <f t="shared" si="45"/>
        <v>10</v>
      </c>
      <c r="AI33" s="496"/>
      <c r="AJ33" s="355">
        <v>16</v>
      </c>
      <c r="AK33" s="355">
        <v>1554</v>
      </c>
      <c r="AL33" s="348">
        <f t="shared" si="46"/>
        <v>97.125</v>
      </c>
      <c r="AM33" s="354">
        <f t="shared" si="47"/>
        <v>10</v>
      </c>
      <c r="AN33" s="496"/>
      <c r="AO33" s="355">
        <v>16</v>
      </c>
      <c r="AP33" s="355">
        <v>1661</v>
      </c>
      <c r="AQ33" s="348">
        <f t="shared" si="50"/>
        <v>103.8125</v>
      </c>
      <c r="AR33" s="354">
        <f t="shared" si="51"/>
        <v>10</v>
      </c>
      <c r="AS33" s="496"/>
      <c r="AT33" s="355">
        <v>16</v>
      </c>
      <c r="AU33" s="355">
        <v>1604</v>
      </c>
      <c r="AV33" s="348">
        <f t="shared" si="48"/>
        <v>100.25</v>
      </c>
      <c r="AW33" s="354">
        <f t="shared" si="49"/>
        <v>10</v>
      </c>
      <c r="AX33" s="496"/>
    </row>
    <row r="34" spans="2:50" x14ac:dyDescent="0.2">
      <c r="B34" s="483"/>
      <c r="C34" s="354">
        <v>5</v>
      </c>
      <c r="D34" s="375" t="s">
        <v>114</v>
      </c>
      <c r="E34" s="355">
        <f>VLOOKUP(D34,'12產線配置圖'!$A$2:$C$25,2,0)</f>
        <v>14</v>
      </c>
      <c r="F34" s="355">
        <f>VLOOKUP(D34,'12產線配置圖'!$A$2:$C$25,3,0)</f>
        <v>2250</v>
      </c>
      <c r="G34" s="348">
        <f t="shared" si="36"/>
        <v>160.71428571428572</v>
      </c>
      <c r="H34" s="485"/>
      <c r="I34" s="355">
        <f t="shared" si="37"/>
        <v>14</v>
      </c>
      <c r="J34" s="355">
        <f t="shared" si="37"/>
        <v>2075.8571428571427</v>
      </c>
      <c r="K34" s="348">
        <f t="shared" si="37"/>
        <v>148.27551020408166</v>
      </c>
      <c r="L34" s="485"/>
      <c r="M34" s="377">
        <f>RANK(K34, K$30:$K$47)</f>
        <v>2</v>
      </c>
      <c r="N34" s="487"/>
      <c r="O34" s="487"/>
      <c r="P34" s="347">
        <v>14</v>
      </c>
      <c r="Q34" s="355">
        <v>1952</v>
      </c>
      <c r="R34" s="346">
        <f t="shared" si="38"/>
        <v>139.42857142857142</v>
      </c>
      <c r="S34" s="354">
        <f t="shared" si="39"/>
        <v>2</v>
      </c>
      <c r="T34" s="496"/>
      <c r="U34" s="355">
        <v>14</v>
      </c>
      <c r="V34" s="355">
        <v>2171</v>
      </c>
      <c r="W34" s="348">
        <f t="shared" si="40"/>
        <v>155.07142857142858</v>
      </c>
      <c r="X34" s="354">
        <f t="shared" si="41"/>
        <v>1</v>
      </c>
      <c r="Y34" s="496"/>
      <c r="Z34" s="347">
        <v>14</v>
      </c>
      <c r="AA34" s="355">
        <v>2024</v>
      </c>
      <c r="AB34" s="346">
        <f t="shared" si="42"/>
        <v>144.57142857142858</v>
      </c>
      <c r="AC34" s="354">
        <f t="shared" si="43"/>
        <v>3</v>
      </c>
      <c r="AD34" s="496"/>
      <c r="AE34" s="347">
        <v>14</v>
      </c>
      <c r="AF34" s="355">
        <v>2203</v>
      </c>
      <c r="AG34" s="348">
        <f t="shared" si="44"/>
        <v>157.35714285714286</v>
      </c>
      <c r="AH34" s="354">
        <f t="shared" si="45"/>
        <v>2</v>
      </c>
      <c r="AI34" s="496"/>
      <c r="AJ34" s="355">
        <v>14</v>
      </c>
      <c r="AK34" s="355">
        <v>2079</v>
      </c>
      <c r="AL34" s="348">
        <f t="shared" si="46"/>
        <v>148.5</v>
      </c>
      <c r="AM34" s="354">
        <f t="shared" si="47"/>
        <v>2</v>
      </c>
      <c r="AN34" s="496"/>
      <c r="AO34" s="355">
        <v>14</v>
      </c>
      <c r="AP34" s="355">
        <v>2097</v>
      </c>
      <c r="AQ34" s="348">
        <f t="shared" si="50"/>
        <v>149.78571428571428</v>
      </c>
      <c r="AR34" s="354">
        <f t="shared" si="51"/>
        <v>2</v>
      </c>
      <c r="AS34" s="496"/>
      <c r="AT34" s="355">
        <v>14</v>
      </c>
      <c r="AU34" s="355">
        <v>2005</v>
      </c>
      <c r="AV34" s="348">
        <f t="shared" si="48"/>
        <v>143.21428571428572</v>
      </c>
      <c r="AW34" s="354">
        <f t="shared" si="49"/>
        <v>3</v>
      </c>
      <c r="AX34" s="496"/>
    </row>
    <row r="35" spans="2:50" ht="14.25" customHeight="1" x14ac:dyDescent="0.2">
      <c r="B35" s="483"/>
      <c r="C35" s="354">
        <v>6</v>
      </c>
      <c r="D35" s="354" t="s">
        <v>161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6"/>
        <v>114.26666666666667</v>
      </c>
      <c r="H35" s="485"/>
      <c r="I35" s="355">
        <f t="shared" si="37"/>
        <v>14.714285714285714</v>
      </c>
      <c r="J35" s="355">
        <f t="shared" si="37"/>
        <v>1518.1428571428571</v>
      </c>
      <c r="K35" s="348">
        <f t="shared" si="37"/>
        <v>103.20068027210884</v>
      </c>
      <c r="L35" s="485"/>
      <c r="M35" s="377">
        <f>RANK(K35, K$30:$K$47)</f>
        <v>8</v>
      </c>
      <c r="N35" s="487"/>
      <c r="O35" s="487"/>
      <c r="P35" s="355">
        <v>15</v>
      </c>
      <c r="Q35" s="355">
        <v>1414</v>
      </c>
      <c r="R35" s="348">
        <f>Q35/P35</f>
        <v>94.266666666666666</v>
      </c>
      <c r="S35" s="354">
        <f t="shared" si="39"/>
        <v>9</v>
      </c>
      <c r="T35" s="496"/>
      <c r="U35" s="355">
        <v>15</v>
      </c>
      <c r="V35" s="355">
        <v>1516</v>
      </c>
      <c r="W35" s="348">
        <f t="shared" si="40"/>
        <v>101.06666666666666</v>
      </c>
      <c r="X35" s="354">
        <f t="shared" si="41"/>
        <v>8</v>
      </c>
      <c r="Y35" s="496"/>
      <c r="Z35" s="359">
        <v>14</v>
      </c>
      <c r="AA35" s="355">
        <v>1515</v>
      </c>
      <c r="AB35" s="348">
        <f t="shared" si="42"/>
        <v>108.21428571428571</v>
      </c>
      <c r="AC35" s="354">
        <f t="shared" si="43"/>
        <v>8</v>
      </c>
      <c r="AD35" s="496"/>
      <c r="AE35" s="355">
        <v>15</v>
      </c>
      <c r="AF35" s="355">
        <v>1631</v>
      </c>
      <c r="AG35" s="348">
        <f t="shared" si="44"/>
        <v>108.73333333333333</v>
      </c>
      <c r="AH35" s="354">
        <f t="shared" si="45"/>
        <v>8</v>
      </c>
      <c r="AI35" s="496"/>
      <c r="AJ35" s="359">
        <v>14</v>
      </c>
      <c r="AK35" s="355">
        <v>1412</v>
      </c>
      <c r="AL35" s="348">
        <f t="shared" si="46"/>
        <v>100.85714285714286</v>
      </c>
      <c r="AM35" s="354">
        <f t="shared" si="47"/>
        <v>9</v>
      </c>
      <c r="AN35" s="496"/>
      <c r="AO35" s="355">
        <v>15</v>
      </c>
      <c r="AP35" s="355">
        <v>1601</v>
      </c>
      <c r="AQ35" s="348">
        <f t="shared" ref="AQ35:AQ44" si="52">AP35/AO35</f>
        <v>106.73333333333333</v>
      </c>
      <c r="AR35" s="354">
        <f t="shared" ref="AR35:AR44" si="53">RANK(AQ35,$AQ$30:$AQ$47)</f>
        <v>8</v>
      </c>
      <c r="AS35" s="496"/>
      <c r="AT35" s="355">
        <v>15</v>
      </c>
      <c r="AU35" s="355">
        <v>1538</v>
      </c>
      <c r="AV35" s="348">
        <f t="shared" si="48"/>
        <v>102.53333333333333</v>
      </c>
      <c r="AW35" s="354">
        <f t="shared" si="49"/>
        <v>9</v>
      </c>
      <c r="AX35" s="496"/>
    </row>
    <row r="36" spans="2:50" x14ac:dyDescent="0.2">
      <c r="B36" s="483"/>
      <c r="C36" s="354">
        <v>7</v>
      </c>
      <c r="D36" s="354" t="s">
        <v>221</v>
      </c>
      <c r="E36" s="355">
        <f>VLOOKUP(D36,'12產線配置圖'!$A$2:$C$25,2,0)</f>
        <v>17</v>
      </c>
      <c r="F36" s="355">
        <f>VLOOKUP(D36,'12產線配置圖'!$A$2:$C$25,3,0)</f>
        <v>1800</v>
      </c>
      <c r="G36" s="348">
        <f t="shared" si="36"/>
        <v>105.88235294117646</v>
      </c>
      <c r="H36" s="485"/>
      <c r="I36" s="355">
        <f t="shared" si="37"/>
        <v>16.714285714285715</v>
      </c>
      <c r="J36" s="355">
        <f t="shared" si="37"/>
        <v>1528</v>
      </c>
      <c r="K36" s="348">
        <f t="shared" si="37"/>
        <v>91.439600840336126</v>
      </c>
      <c r="L36" s="485"/>
      <c r="M36" s="377">
        <f>RANK(K36, K$30:$K$47)</f>
        <v>11</v>
      </c>
      <c r="N36" s="487"/>
      <c r="O36" s="487"/>
      <c r="P36" s="355">
        <v>17</v>
      </c>
      <c r="Q36" s="355">
        <v>1549</v>
      </c>
      <c r="R36" s="348">
        <f t="shared" si="38"/>
        <v>91.117647058823536</v>
      </c>
      <c r="S36" s="354">
        <f t="shared" si="39"/>
        <v>10</v>
      </c>
      <c r="T36" s="496"/>
      <c r="U36" s="359">
        <v>16</v>
      </c>
      <c r="V36" s="355">
        <v>1474</v>
      </c>
      <c r="W36" s="348">
        <f t="shared" si="40"/>
        <v>92.125</v>
      </c>
      <c r="X36" s="354">
        <f t="shared" si="41"/>
        <v>11</v>
      </c>
      <c r="Y36" s="496"/>
      <c r="Z36" s="355">
        <v>17</v>
      </c>
      <c r="AA36" s="355">
        <v>1575</v>
      </c>
      <c r="AB36" s="348">
        <f t="shared" si="42"/>
        <v>92.647058823529406</v>
      </c>
      <c r="AC36" s="354">
        <f t="shared" si="43"/>
        <v>11</v>
      </c>
      <c r="AD36" s="496"/>
      <c r="AE36" s="355">
        <v>17</v>
      </c>
      <c r="AF36" s="355">
        <v>1528</v>
      </c>
      <c r="AG36" s="346">
        <f t="shared" si="44"/>
        <v>89.882352941176464</v>
      </c>
      <c r="AH36" s="354">
        <f t="shared" si="45"/>
        <v>11</v>
      </c>
      <c r="AI36" s="496"/>
      <c r="AJ36" s="355">
        <v>17</v>
      </c>
      <c r="AK36" s="355">
        <v>1487</v>
      </c>
      <c r="AL36" s="346">
        <f t="shared" si="46"/>
        <v>87.470588235294116</v>
      </c>
      <c r="AM36" s="354">
        <f t="shared" si="47"/>
        <v>11</v>
      </c>
      <c r="AN36" s="496"/>
      <c r="AO36" s="359">
        <v>16</v>
      </c>
      <c r="AP36" s="355">
        <v>1491</v>
      </c>
      <c r="AQ36" s="348">
        <f t="shared" si="52"/>
        <v>93.1875</v>
      </c>
      <c r="AR36" s="354">
        <f t="shared" si="53"/>
        <v>11</v>
      </c>
      <c r="AS36" s="496"/>
      <c r="AT36" s="355">
        <v>17</v>
      </c>
      <c r="AU36" s="355">
        <v>1592</v>
      </c>
      <c r="AV36" s="348">
        <f t="shared" si="48"/>
        <v>93.647058823529406</v>
      </c>
      <c r="AW36" s="354">
        <f t="shared" si="49"/>
        <v>11</v>
      </c>
      <c r="AX36" s="496"/>
    </row>
    <row r="37" spans="2:50" x14ac:dyDescent="0.2">
      <c r="B37" s="483"/>
      <c r="C37" s="354">
        <v>8</v>
      </c>
      <c r="D37" s="354" t="s">
        <v>127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6"/>
        <v>96.235294117647058</v>
      </c>
      <c r="H37" s="485"/>
      <c r="I37" s="355">
        <f t="shared" si="37"/>
        <v>16.857142857142858</v>
      </c>
      <c r="J37" s="355">
        <f t="shared" si="37"/>
        <v>1413.8571428571429</v>
      </c>
      <c r="K37" s="348">
        <f t="shared" si="37"/>
        <v>83.879201680672267</v>
      </c>
      <c r="L37" s="485"/>
      <c r="M37" s="377">
        <f>RANK(K37, K$30:$K$47)</f>
        <v>12</v>
      </c>
      <c r="N37" s="487"/>
      <c r="O37" s="487"/>
      <c r="P37" s="354">
        <v>17</v>
      </c>
      <c r="Q37" s="355">
        <v>1347</v>
      </c>
      <c r="R37" s="346">
        <f t="shared" si="38"/>
        <v>79.235294117647058</v>
      </c>
      <c r="S37" s="354">
        <f t="shared" si="39"/>
        <v>14</v>
      </c>
      <c r="T37" s="496"/>
      <c r="U37" s="354">
        <v>17</v>
      </c>
      <c r="V37" s="355">
        <v>1486</v>
      </c>
      <c r="W37" s="346">
        <f t="shared" si="40"/>
        <v>87.411764705882348</v>
      </c>
      <c r="X37" s="354">
        <f t="shared" si="41"/>
        <v>12</v>
      </c>
      <c r="Y37" s="496"/>
      <c r="Z37" s="354">
        <v>17</v>
      </c>
      <c r="AA37" s="355">
        <v>1441</v>
      </c>
      <c r="AB37" s="346">
        <f t="shared" si="42"/>
        <v>84.764705882352942</v>
      </c>
      <c r="AC37" s="354">
        <f t="shared" si="43"/>
        <v>13</v>
      </c>
      <c r="AD37" s="496"/>
      <c r="AE37" s="354">
        <v>17</v>
      </c>
      <c r="AF37" s="355">
        <v>1388</v>
      </c>
      <c r="AG37" s="346">
        <f t="shared" si="44"/>
        <v>81.647058823529406</v>
      </c>
      <c r="AH37" s="354">
        <f t="shared" si="45"/>
        <v>13</v>
      </c>
      <c r="AI37" s="496"/>
      <c r="AJ37" s="358">
        <v>16</v>
      </c>
      <c r="AK37" s="355">
        <v>1354</v>
      </c>
      <c r="AL37" s="346">
        <f>AK37/AJ37</f>
        <v>84.625</v>
      </c>
      <c r="AM37" s="354">
        <f>RANK(AL37, $AL$30:$AL$47)</f>
        <v>12</v>
      </c>
      <c r="AN37" s="496"/>
      <c r="AO37" s="354">
        <v>17</v>
      </c>
      <c r="AP37" s="355">
        <v>1398</v>
      </c>
      <c r="AQ37" s="346">
        <f t="shared" si="52"/>
        <v>82.235294117647058</v>
      </c>
      <c r="AR37" s="354">
        <f t="shared" si="53"/>
        <v>13</v>
      </c>
      <c r="AS37" s="496"/>
      <c r="AT37" s="354">
        <v>17</v>
      </c>
      <c r="AU37" s="355">
        <v>1483</v>
      </c>
      <c r="AV37" s="346">
        <f t="shared" si="48"/>
        <v>87.235294117647058</v>
      </c>
      <c r="AW37" s="354">
        <f t="shared" si="49"/>
        <v>12</v>
      </c>
      <c r="AX37" s="496"/>
    </row>
    <row r="38" spans="2:50" x14ac:dyDescent="0.2">
      <c r="B38" s="483"/>
      <c r="C38" s="354">
        <v>9</v>
      </c>
      <c r="D38" s="354" t="s">
        <v>164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6"/>
        <v>110.76923076923077</v>
      </c>
      <c r="H38" s="485"/>
      <c r="I38" s="355">
        <f t="shared" si="37"/>
        <v>13</v>
      </c>
      <c r="J38" s="355">
        <f t="shared" si="37"/>
        <v>1316.8571428571429</v>
      </c>
      <c r="K38" s="348">
        <f t="shared" si="37"/>
        <v>101.29670329670328</v>
      </c>
      <c r="L38" s="485"/>
      <c r="M38" s="377">
        <f>RANK(K38, K$30:$K$47)</f>
        <v>9</v>
      </c>
      <c r="N38" s="487"/>
      <c r="O38" s="487"/>
      <c r="P38" s="354">
        <v>13</v>
      </c>
      <c r="Q38" s="355">
        <v>1176</v>
      </c>
      <c r="R38" s="348">
        <f t="shared" si="38"/>
        <v>90.461538461538467</v>
      </c>
      <c r="S38" s="354">
        <f t="shared" si="39"/>
        <v>11</v>
      </c>
      <c r="T38" s="496"/>
      <c r="U38" s="354">
        <v>13</v>
      </c>
      <c r="V38" s="355">
        <v>1224</v>
      </c>
      <c r="W38" s="348">
        <f t="shared" si="40"/>
        <v>94.15384615384616</v>
      </c>
      <c r="X38" s="354">
        <f t="shared" si="41"/>
        <v>10</v>
      </c>
      <c r="Y38" s="496"/>
      <c r="Z38" s="354">
        <v>13</v>
      </c>
      <c r="AA38" s="355">
        <v>1364</v>
      </c>
      <c r="AB38" s="348">
        <f t="shared" si="42"/>
        <v>104.92307692307692</v>
      </c>
      <c r="AC38" s="354">
        <f t="shared" si="43"/>
        <v>9</v>
      </c>
      <c r="AD38" s="496"/>
      <c r="AE38" s="354">
        <v>13</v>
      </c>
      <c r="AF38" s="355">
        <v>1363</v>
      </c>
      <c r="AG38" s="348">
        <f t="shared" si="44"/>
        <v>104.84615384615384</v>
      </c>
      <c r="AH38" s="354">
        <f t="shared" si="45"/>
        <v>9</v>
      </c>
      <c r="AI38" s="496"/>
      <c r="AJ38" s="354">
        <v>13</v>
      </c>
      <c r="AK38" s="355">
        <v>1357</v>
      </c>
      <c r="AL38" s="348">
        <f t="shared" si="46"/>
        <v>104.38461538461539</v>
      </c>
      <c r="AM38" s="354">
        <f t="shared" si="47"/>
        <v>8</v>
      </c>
      <c r="AN38" s="496"/>
      <c r="AO38" s="354">
        <v>13</v>
      </c>
      <c r="AP38" s="355">
        <v>1362</v>
      </c>
      <c r="AQ38" s="348">
        <f t="shared" si="52"/>
        <v>104.76923076923077</v>
      </c>
      <c r="AR38" s="354">
        <f t="shared" si="53"/>
        <v>9</v>
      </c>
      <c r="AS38" s="496"/>
      <c r="AT38" s="354">
        <v>13</v>
      </c>
      <c r="AU38" s="355">
        <v>1372</v>
      </c>
      <c r="AV38" s="348">
        <f t="shared" si="48"/>
        <v>105.53846153846153</v>
      </c>
      <c r="AW38" s="354">
        <f t="shared" si="49"/>
        <v>8</v>
      </c>
      <c r="AX38" s="496"/>
    </row>
    <row r="39" spans="2:50" x14ac:dyDescent="0.2">
      <c r="B39" s="483"/>
      <c r="C39" s="354">
        <v>10</v>
      </c>
      <c r="D39" s="354" t="s">
        <v>159</v>
      </c>
      <c r="E39" s="355">
        <f>VLOOKUP(D39,'12產線配置圖'!$A$2:$C$25,2,0)</f>
        <v>17</v>
      </c>
      <c r="F39" s="355">
        <f>VLOOKUP(D39,'12產線配置圖'!$A$2:$C$25,3,0)</f>
        <v>2250</v>
      </c>
      <c r="G39" s="348">
        <f t="shared" si="36"/>
        <v>132.35294117647058</v>
      </c>
      <c r="H39" s="485"/>
      <c r="I39" s="355">
        <f t="shared" si="37"/>
        <v>17</v>
      </c>
      <c r="J39" s="355">
        <f t="shared" si="37"/>
        <v>1948.8571428571429</v>
      </c>
      <c r="K39" s="348">
        <f t="shared" si="37"/>
        <v>114.63865546218487</v>
      </c>
      <c r="L39" s="485"/>
      <c r="M39" s="377">
        <f>RANK(K39, K$30:$K$47)</f>
        <v>7</v>
      </c>
      <c r="N39" s="487"/>
      <c r="O39" s="487"/>
      <c r="P39" s="354">
        <v>17</v>
      </c>
      <c r="Q39" s="355">
        <v>1810</v>
      </c>
      <c r="R39" s="348">
        <f t="shared" si="38"/>
        <v>106.47058823529412</v>
      </c>
      <c r="S39" s="354">
        <f t="shared" si="39"/>
        <v>7</v>
      </c>
      <c r="T39" s="496"/>
      <c r="U39" s="354">
        <v>17</v>
      </c>
      <c r="V39" s="355">
        <v>1839</v>
      </c>
      <c r="W39" s="348">
        <f t="shared" si="40"/>
        <v>108.17647058823529</v>
      </c>
      <c r="X39" s="354">
        <f t="shared" si="41"/>
        <v>7</v>
      </c>
      <c r="Y39" s="496"/>
      <c r="Z39" s="354">
        <v>17</v>
      </c>
      <c r="AA39" s="355">
        <v>1878</v>
      </c>
      <c r="AB39" s="348">
        <f t="shared" si="42"/>
        <v>110.47058823529412</v>
      </c>
      <c r="AC39" s="354">
        <f t="shared" si="43"/>
        <v>7</v>
      </c>
      <c r="AD39" s="496"/>
      <c r="AE39" s="354">
        <v>17</v>
      </c>
      <c r="AF39" s="355">
        <v>1856</v>
      </c>
      <c r="AG39" s="348">
        <f t="shared" si="44"/>
        <v>109.17647058823529</v>
      </c>
      <c r="AH39" s="354">
        <f t="shared" si="45"/>
        <v>7</v>
      </c>
      <c r="AI39" s="496"/>
      <c r="AJ39" s="354">
        <v>17</v>
      </c>
      <c r="AK39" s="355">
        <v>2052</v>
      </c>
      <c r="AL39" s="348">
        <f t="shared" si="46"/>
        <v>120.70588235294117</v>
      </c>
      <c r="AM39" s="354">
        <f t="shared" si="47"/>
        <v>7</v>
      </c>
      <c r="AN39" s="496"/>
      <c r="AO39" s="354">
        <v>17</v>
      </c>
      <c r="AP39" s="355">
        <v>2072</v>
      </c>
      <c r="AQ39" s="348">
        <f t="shared" si="52"/>
        <v>121.88235294117646</v>
      </c>
      <c r="AR39" s="354">
        <f t="shared" si="53"/>
        <v>6</v>
      </c>
      <c r="AS39" s="496"/>
      <c r="AT39" s="354">
        <v>17</v>
      </c>
      <c r="AU39" s="355">
        <v>2135</v>
      </c>
      <c r="AV39" s="348">
        <f t="shared" si="48"/>
        <v>125.58823529411765</v>
      </c>
      <c r="AW39" s="354">
        <f t="shared" si="49"/>
        <v>7</v>
      </c>
      <c r="AX39" s="496"/>
    </row>
    <row r="40" spans="2:50" x14ac:dyDescent="0.2">
      <c r="B40" s="483"/>
      <c r="C40" s="354">
        <v>11</v>
      </c>
      <c r="D40" s="354" t="s">
        <v>379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6"/>
        <v>150</v>
      </c>
      <c r="H40" s="485"/>
      <c r="I40" s="355">
        <f t="shared" si="37"/>
        <v>15</v>
      </c>
      <c r="J40" s="355">
        <f t="shared" si="37"/>
        <v>1982.5714285714287</v>
      </c>
      <c r="K40" s="348">
        <f t="shared" si="37"/>
        <v>132.17142857142858</v>
      </c>
      <c r="L40" s="485"/>
      <c r="M40" s="377">
        <f>RANK(K40, K$30:$K$47)</f>
        <v>6</v>
      </c>
      <c r="N40" s="487"/>
      <c r="O40" s="487"/>
      <c r="P40" s="354">
        <v>15</v>
      </c>
      <c r="Q40" s="354">
        <v>1867</v>
      </c>
      <c r="R40" s="346">
        <f>Q40/P40</f>
        <v>124.46666666666667</v>
      </c>
      <c r="S40" s="354">
        <f t="shared" si="39"/>
        <v>4</v>
      </c>
      <c r="T40" s="496"/>
      <c r="U40" s="354">
        <v>15</v>
      </c>
      <c r="V40" s="354">
        <v>1929</v>
      </c>
      <c r="W40" s="346">
        <f>V40/U40</f>
        <v>128.6</v>
      </c>
      <c r="X40" s="354">
        <f t="shared" si="41"/>
        <v>6</v>
      </c>
      <c r="Y40" s="496"/>
      <c r="Z40" s="354">
        <v>15</v>
      </c>
      <c r="AA40" s="354">
        <v>2037</v>
      </c>
      <c r="AB40" s="346">
        <f>AA40/Z40</f>
        <v>135.80000000000001</v>
      </c>
      <c r="AC40" s="354">
        <f t="shared" si="43"/>
        <v>5</v>
      </c>
      <c r="AD40" s="496"/>
      <c r="AE40" s="354">
        <v>15</v>
      </c>
      <c r="AF40" s="354">
        <v>1862</v>
      </c>
      <c r="AG40" s="348">
        <f>AF40/AE40</f>
        <v>124.13333333333334</v>
      </c>
      <c r="AH40" s="354">
        <f t="shared" si="45"/>
        <v>6</v>
      </c>
      <c r="AI40" s="496"/>
      <c r="AJ40" s="354">
        <v>15</v>
      </c>
      <c r="AK40" s="354">
        <v>2093</v>
      </c>
      <c r="AL40" s="348">
        <f>AK40/AJ40</f>
        <v>139.53333333333333</v>
      </c>
      <c r="AM40" s="354">
        <f t="shared" si="47"/>
        <v>5</v>
      </c>
      <c r="AN40" s="496"/>
      <c r="AO40" s="354">
        <v>15</v>
      </c>
      <c r="AP40" s="354">
        <v>2062</v>
      </c>
      <c r="AQ40" s="348">
        <f t="shared" si="52"/>
        <v>137.46666666666667</v>
      </c>
      <c r="AR40" s="354">
        <f t="shared" si="53"/>
        <v>4</v>
      </c>
      <c r="AS40" s="496"/>
      <c r="AT40" s="354">
        <v>15</v>
      </c>
      <c r="AU40" s="354">
        <v>2028</v>
      </c>
      <c r="AV40" s="348">
        <f t="shared" si="48"/>
        <v>135.19999999999999</v>
      </c>
      <c r="AW40" s="354">
        <f t="shared" si="49"/>
        <v>5</v>
      </c>
      <c r="AX40" s="496"/>
    </row>
    <row r="41" spans="2:50" x14ac:dyDescent="0.2">
      <c r="B41" s="483"/>
      <c r="C41" s="354">
        <v>12</v>
      </c>
      <c r="D41" s="354" t="s">
        <v>117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6"/>
        <v>150</v>
      </c>
      <c r="H41" s="485"/>
      <c r="I41" s="355">
        <f t="shared" si="37"/>
        <v>15</v>
      </c>
      <c r="J41" s="355">
        <f t="shared" si="37"/>
        <v>2069</v>
      </c>
      <c r="K41" s="348">
        <f t="shared" si="37"/>
        <v>137.93333333333334</v>
      </c>
      <c r="L41" s="485"/>
      <c r="M41" s="377">
        <f>RANK(K41, K$30:$K$47)</f>
        <v>3</v>
      </c>
      <c r="N41" s="487"/>
      <c r="O41" s="487"/>
      <c r="P41" s="354">
        <v>15</v>
      </c>
      <c r="Q41" s="354">
        <v>1727</v>
      </c>
      <c r="R41" s="346">
        <f>Q41/P41</f>
        <v>115.13333333333334</v>
      </c>
      <c r="S41" s="354">
        <f t="shared" si="39"/>
        <v>6</v>
      </c>
      <c r="T41" s="496"/>
      <c r="U41" s="354">
        <v>15</v>
      </c>
      <c r="V41" s="354">
        <v>2154</v>
      </c>
      <c r="W41" s="348">
        <f>V41/U41</f>
        <v>143.6</v>
      </c>
      <c r="X41" s="354">
        <f t="shared" si="41"/>
        <v>3</v>
      </c>
      <c r="Y41" s="496"/>
      <c r="Z41" s="354">
        <v>15</v>
      </c>
      <c r="AA41" s="354">
        <v>2171</v>
      </c>
      <c r="AB41" s="348">
        <f>AA41/Z41</f>
        <v>144.73333333333332</v>
      </c>
      <c r="AC41" s="354">
        <f t="shared" si="43"/>
        <v>2</v>
      </c>
      <c r="AD41" s="496"/>
      <c r="AE41" s="354">
        <v>15</v>
      </c>
      <c r="AF41" s="354">
        <v>2032</v>
      </c>
      <c r="AG41" s="348">
        <f>AF41/AE41</f>
        <v>135.46666666666667</v>
      </c>
      <c r="AH41" s="354">
        <f t="shared" si="45"/>
        <v>5</v>
      </c>
      <c r="AI41" s="496"/>
      <c r="AJ41" s="354">
        <v>15</v>
      </c>
      <c r="AK41" s="354">
        <v>2089</v>
      </c>
      <c r="AL41" s="348">
        <f>AK41/AJ41</f>
        <v>139.26666666666668</v>
      </c>
      <c r="AM41" s="354">
        <f t="shared" si="47"/>
        <v>6</v>
      </c>
      <c r="AN41" s="496"/>
      <c r="AO41" s="354">
        <v>15</v>
      </c>
      <c r="AP41" s="354">
        <v>2119</v>
      </c>
      <c r="AQ41" s="348">
        <f t="shared" si="52"/>
        <v>141.26666666666668</v>
      </c>
      <c r="AR41" s="354">
        <f t="shared" si="53"/>
        <v>3</v>
      </c>
      <c r="AS41" s="496"/>
      <c r="AT41" s="354">
        <v>15</v>
      </c>
      <c r="AU41" s="354">
        <v>2191</v>
      </c>
      <c r="AV41" s="348">
        <f t="shared" si="48"/>
        <v>146.06666666666666</v>
      </c>
      <c r="AW41" s="354">
        <f t="shared" si="49"/>
        <v>2</v>
      </c>
      <c r="AX41" s="496"/>
    </row>
    <row r="42" spans="2:50" x14ac:dyDescent="0.2">
      <c r="B42" s="483"/>
      <c r="C42" s="354">
        <v>13</v>
      </c>
      <c r="D42" s="354" t="s">
        <v>380</v>
      </c>
      <c r="E42" s="355">
        <v>18</v>
      </c>
      <c r="F42" s="355">
        <f>VLOOKUP(D42,'12產線配置圖'!$A$2:$C$25,3,0)</f>
        <v>1565</v>
      </c>
      <c r="G42" s="348">
        <f t="shared" si="36"/>
        <v>86.944444444444443</v>
      </c>
      <c r="H42" s="485"/>
      <c r="I42" s="355">
        <f>AVERAGE(P42,U42,Z42,AE42,AJ42,AO42,AT42)</f>
        <v>17.857142857142858</v>
      </c>
      <c r="J42" s="355">
        <f t="shared" ref="J42:J44" si="54">AVERAGE(Q42,V42,AA42,AF42,AK42,AP42,AU42)</f>
        <v>1464.5714285714287</v>
      </c>
      <c r="K42" s="348">
        <f t="shared" ref="K42:K44" si="55">AVERAGE(R42,W42,AB42,AG42,AL42,AQ42,AV42)</f>
        <v>82.005602240896351</v>
      </c>
      <c r="L42" s="485"/>
      <c r="M42" s="377">
        <f>RANK(K42, K$30:$K$47)</f>
        <v>13</v>
      </c>
      <c r="N42" s="487"/>
      <c r="O42" s="487"/>
      <c r="P42" s="358">
        <v>17</v>
      </c>
      <c r="Q42" s="354">
        <v>1372</v>
      </c>
      <c r="R42" s="346">
        <f t="shared" ref="R42:R43" si="56">Q42/P42</f>
        <v>80.705882352941174</v>
      </c>
      <c r="S42" s="354">
        <f t="shared" ref="S42:S43" si="57">RANK(R42,$R$30:$R$47)</f>
        <v>13</v>
      </c>
      <c r="T42" s="496"/>
      <c r="U42" s="354">
        <v>18</v>
      </c>
      <c r="V42" s="354">
        <v>1488</v>
      </c>
      <c r="W42" s="346">
        <f t="shared" ref="W42:W43" si="58">V42/U42</f>
        <v>82.666666666666671</v>
      </c>
      <c r="X42" s="354">
        <f t="shared" ref="X42:X43" si="59">RANK(W42, $W$30:$W$47)</f>
        <v>13</v>
      </c>
      <c r="Y42" s="496"/>
      <c r="Z42" s="354">
        <v>18</v>
      </c>
      <c r="AA42" s="354">
        <v>1489</v>
      </c>
      <c r="AB42" s="346">
        <f>AA42/Z42</f>
        <v>82.722222222222229</v>
      </c>
      <c r="AC42" s="354">
        <f t="shared" si="43"/>
        <v>14</v>
      </c>
      <c r="AD42" s="496"/>
      <c r="AE42" s="354">
        <v>18</v>
      </c>
      <c r="AF42" s="354">
        <v>1418</v>
      </c>
      <c r="AG42" s="346">
        <f t="shared" ref="AG42:AG43" si="60">AF42/AE42</f>
        <v>78.777777777777771</v>
      </c>
      <c r="AH42" s="354">
        <f t="shared" ref="AH42:AH43" si="61">RANK(AG42, $AG$30:$AG$47)</f>
        <v>14</v>
      </c>
      <c r="AI42" s="496"/>
      <c r="AJ42" s="354">
        <v>18</v>
      </c>
      <c r="AK42" s="354">
        <v>1480</v>
      </c>
      <c r="AL42" s="346">
        <f t="shared" ref="AL42:AL44" si="62">AK42/AJ42</f>
        <v>82.222222222222229</v>
      </c>
      <c r="AM42" s="354">
        <f t="shared" ref="AM42:AM44" si="63">RANK(AL42, $AL$30:$AL$47)</f>
        <v>13</v>
      </c>
      <c r="AN42" s="496"/>
      <c r="AO42" s="354">
        <v>18</v>
      </c>
      <c r="AP42" s="354">
        <v>1486</v>
      </c>
      <c r="AQ42" s="346">
        <f t="shared" si="52"/>
        <v>82.555555555555557</v>
      </c>
      <c r="AR42" s="354">
        <f t="shared" si="53"/>
        <v>12</v>
      </c>
      <c r="AS42" s="496"/>
      <c r="AT42" s="354">
        <v>18</v>
      </c>
      <c r="AU42" s="354">
        <v>1519</v>
      </c>
      <c r="AV42" s="346">
        <f t="shared" si="48"/>
        <v>84.388888888888886</v>
      </c>
      <c r="AW42" s="354">
        <f t="shared" si="49"/>
        <v>13</v>
      </c>
      <c r="AX42" s="496"/>
    </row>
    <row r="43" spans="2:50" x14ac:dyDescent="0.2">
      <c r="B43" s="483"/>
      <c r="C43" s="354">
        <v>14</v>
      </c>
      <c r="D43" s="354" t="s">
        <v>119</v>
      </c>
      <c r="E43" s="355">
        <f>VLOOKUP(D43,'12產線配置圖'!$A$2:$C$25,2,0)</f>
        <v>18</v>
      </c>
      <c r="F43" s="355">
        <f>VLOOKUP(D43,'12產線配置圖'!$A$2:$C$25,3,0)</f>
        <v>1565</v>
      </c>
      <c r="G43" s="348">
        <f>F43/E43</f>
        <v>86.944444444444443</v>
      </c>
      <c r="H43" s="485"/>
      <c r="I43" s="355">
        <f>AVERAGE(P43,U43,Z43,AE43,AJ43,AO43,AT43)</f>
        <v>17.714285714285715</v>
      </c>
      <c r="J43" s="355">
        <f t="shared" si="54"/>
        <v>1267.4285714285713</v>
      </c>
      <c r="K43" s="348">
        <f t="shared" si="55"/>
        <v>71.634920634920633</v>
      </c>
      <c r="L43" s="485"/>
      <c r="M43" s="377">
        <f>RANK(K43, K$30:$K$47)</f>
        <v>15</v>
      </c>
      <c r="N43" s="487"/>
      <c r="O43" s="487"/>
      <c r="P43" s="354">
        <v>18</v>
      </c>
      <c r="Q43" s="354">
        <v>1299</v>
      </c>
      <c r="R43" s="346">
        <f t="shared" si="56"/>
        <v>72.166666666666671</v>
      </c>
      <c r="S43" s="354">
        <f t="shared" si="57"/>
        <v>15</v>
      </c>
      <c r="T43" s="496"/>
      <c r="U43" s="354">
        <v>18</v>
      </c>
      <c r="V43" s="354">
        <v>1441</v>
      </c>
      <c r="W43" s="346">
        <f t="shared" si="58"/>
        <v>80.055555555555557</v>
      </c>
      <c r="X43" s="354">
        <f t="shared" si="59"/>
        <v>14</v>
      </c>
      <c r="Y43" s="496"/>
      <c r="Z43" s="358">
        <v>17</v>
      </c>
      <c r="AA43" s="354">
        <v>1390</v>
      </c>
      <c r="AB43" s="346">
        <f>AA43/Z43</f>
        <v>81.764705882352942</v>
      </c>
      <c r="AC43" s="354">
        <f>RANK(AB43, $AB$30:$AB$47)</f>
        <v>15</v>
      </c>
      <c r="AD43" s="496"/>
      <c r="AE43" s="354">
        <v>18</v>
      </c>
      <c r="AF43" s="354">
        <v>1273</v>
      </c>
      <c r="AG43" s="346">
        <f t="shared" si="60"/>
        <v>70.722222222222229</v>
      </c>
      <c r="AH43" s="354">
        <f t="shared" si="61"/>
        <v>15</v>
      </c>
      <c r="AI43" s="496"/>
      <c r="AJ43" s="354">
        <v>18</v>
      </c>
      <c r="AK43" s="354">
        <v>1063</v>
      </c>
      <c r="AL43" s="346">
        <f t="shared" si="62"/>
        <v>59.055555555555557</v>
      </c>
      <c r="AM43" s="354">
        <f t="shared" si="63"/>
        <v>15</v>
      </c>
      <c r="AN43" s="496"/>
      <c r="AO43" s="354">
        <v>18</v>
      </c>
      <c r="AP43" s="354">
        <v>1178</v>
      </c>
      <c r="AQ43" s="346">
        <f t="shared" si="52"/>
        <v>65.444444444444443</v>
      </c>
      <c r="AR43" s="354">
        <f t="shared" si="53"/>
        <v>15</v>
      </c>
      <c r="AS43" s="496"/>
      <c r="AT43" s="354">
        <v>17</v>
      </c>
      <c r="AU43" s="354">
        <v>1228</v>
      </c>
      <c r="AV43" s="346">
        <f t="shared" si="48"/>
        <v>72.235294117647058</v>
      </c>
      <c r="AW43" s="354">
        <f t="shared" si="49"/>
        <v>15</v>
      </c>
      <c r="AX43" s="496"/>
    </row>
    <row r="44" spans="2:50" ht="13.5" x14ac:dyDescent="0.2">
      <c r="B44" s="483"/>
      <c r="C44" s="354">
        <v>15</v>
      </c>
      <c r="D44" s="374" t="s">
        <v>129</v>
      </c>
      <c r="E44" s="355">
        <f>VLOOKUP(D44,'12產線配置圖'!$A$2:$C$25,2,0)</f>
        <v>18</v>
      </c>
      <c r="F44" s="355">
        <f>VLOOKUP(D44,'12產線配置圖'!$A$2:$C$25,3,0)</f>
        <v>1636</v>
      </c>
      <c r="G44" s="348">
        <f>F44/E44</f>
        <v>90.888888888888886</v>
      </c>
      <c r="H44" s="485"/>
      <c r="I44" s="355">
        <f>AVERAGE(P44,U44,Z44,AE44,AJ44,AO44,AT44)</f>
        <v>17.571428571428573</v>
      </c>
      <c r="J44" s="355">
        <f t="shared" si="54"/>
        <v>1355.2857142857142</v>
      </c>
      <c r="K44" s="348">
        <f t="shared" si="55"/>
        <v>77.306255835667599</v>
      </c>
      <c r="L44" s="485"/>
      <c r="M44" s="377"/>
      <c r="N44" s="487"/>
      <c r="O44" s="487"/>
      <c r="P44" s="354">
        <v>17</v>
      </c>
      <c r="Q44" s="354">
        <v>1402</v>
      </c>
      <c r="R44" s="346">
        <f>Q44/P44</f>
        <v>82.470588235294116</v>
      </c>
      <c r="S44" s="354">
        <f>RANK(R44,$R$30:$R$47)</f>
        <v>12</v>
      </c>
      <c r="T44" s="496"/>
      <c r="U44" s="411">
        <v>18</v>
      </c>
      <c r="V44" s="354">
        <v>1307</v>
      </c>
      <c r="W44" s="346">
        <f>V44/U44</f>
        <v>72.611111111111114</v>
      </c>
      <c r="X44" s="354">
        <f>RANK(W44, $W$30:$W$47)</f>
        <v>15</v>
      </c>
      <c r="Y44" s="496"/>
      <c r="Z44" s="354">
        <v>17</v>
      </c>
      <c r="AA44" s="354">
        <v>1466</v>
      </c>
      <c r="AB44" s="346">
        <f>AA44/Z44</f>
        <v>86.235294117647058</v>
      </c>
      <c r="AC44" s="354">
        <f>RANK(AB44, $AB$30:$AB$47)</f>
        <v>12</v>
      </c>
      <c r="AD44" s="496"/>
      <c r="AE44" s="354">
        <v>17</v>
      </c>
      <c r="AF44" s="354">
        <v>1443</v>
      </c>
      <c r="AG44" s="346">
        <f>AF44/AE44</f>
        <v>84.882352941176464</v>
      </c>
      <c r="AH44" s="354">
        <f>RANK(AG44, $AG$30:$AG$47)</f>
        <v>12</v>
      </c>
      <c r="AI44" s="496"/>
      <c r="AJ44" s="354">
        <v>18</v>
      </c>
      <c r="AK44" s="354">
        <v>1199</v>
      </c>
      <c r="AL44" s="346">
        <f t="shared" si="62"/>
        <v>66.611111111111114</v>
      </c>
      <c r="AM44" s="354">
        <f t="shared" si="63"/>
        <v>14</v>
      </c>
      <c r="AN44" s="496"/>
      <c r="AO44" s="354">
        <v>18</v>
      </c>
      <c r="AP44" s="354">
        <v>1260</v>
      </c>
      <c r="AQ44" s="346">
        <f t="shared" si="52"/>
        <v>70</v>
      </c>
      <c r="AR44" s="354">
        <f t="shared" si="53"/>
        <v>14</v>
      </c>
      <c r="AS44" s="496"/>
      <c r="AT44" s="354">
        <v>18</v>
      </c>
      <c r="AU44" s="354">
        <v>1410</v>
      </c>
      <c r="AV44" s="346">
        <f t="shared" si="48"/>
        <v>78.333333333333329</v>
      </c>
      <c r="AW44" s="354">
        <f t="shared" si="49"/>
        <v>14</v>
      </c>
      <c r="AX44" s="496"/>
    </row>
    <row r="45" spans="2:50" x14ac:dyDescent="0.2">
      <c r="B45" s="483"/>
      <c r="C45" s="354">
        <v>16</v>
      </c>
      <c r="D45" s="354"/>
      <c r="E45" s="355"/>
      <c r="F45" s="355"/>
      <c r="G45" s="348"/>
      <c r="H45" s="485"/>
      <c r="I45" s="355"/>
      <c r="J45" s="355"/>
      <c r="K45" s="348"/>
      <c r="L45" s="485"/>
      <c r="M45" s="377"/>
      <c r="N45" s="487"/>
      <c r="O45" s="487"/>
      <c r="P45" s="354"/>
      <c r="Q45" s="354"/>
      <c r="R45" s="348"/>
      <c r="S45" s="354"/>
      <c r="T45" s="496"/>
      <c r="U45" s="354"/>
      <c r="V45" s="354"/>
      <c r="W45" s="348"/>
      <c r="X45" s="354"/>
      <c r="Y45" s="496"/>
      <c r="Z45" s="354"/>
      <c r="AA45" s="354"/>
      <c r="AB45" s="348"/>
      <c r="AC45" s="354"/>
      <c r="AD45" s="496"/>
      <c r="AE45" s="354"/>
      <c r="AF45" s="354"/>
      <c r="AG45" s="348"/>
      <c r="AH45" s="354"/>
      <c r="AI45" s="496"/>
      <c r="AJ45" s="354"/>
      <c r="AK45" s="354"/>
      <c r="AL45" s="348"/>
      <c r="AM45" s="354"/>
      <c r="AN45" s="496"/>
      <c r="AO45" s="354"/>
      <c r="AP45" s="354"/>
      <c r="AQ45" s="348"/>
      <c r="AR45" s="354"/>
      <c r="AS45" s="496"/>
      <c r="AT45" s="354"/>
      <c r="AU45" s="354"/>
      <c r="AV45" s="348"/>
      <c r="AW45" s="354"/>
      <c r="AX45" s="496"/>
    </row>
    <row r="46" spans="2:50" x14ac:dyDescent="0.2">
      <c r="B46" s="483"/>
      <c r="C46" s="354">
        <v>17</v>
      </c>
      <c r="D46" s="354"/>
      <c r="E46" s="355"/>
      <c r="F46" s="355"/>
      <c r="G46" s="348"/>
      <c r="H46" s="485"/>
      <c r="I46" s="354"/>
      <c r="J46" s="354"/>
      <c r="K46" s="354"/>
      <c r="L46" s="485"/>
      <c r="M46" s="355"/>
      <c r="N46" s="487"/>
      <c r="O46" s="487"/>
      <c r="P46" s="354"/>
      <c r="Q46" s="354"/>
      <c r="R46" s="354"/>
      <c r="S46" s="354"/>
      <c r="T46" s="496"/>
      <c r="U46" s="354"/>
      <c r="V46" s="354"/>
      <c r="W46" s="354"/>
      <c r="X46" s="354"/>
      <c r="Y46" s="496"/>
      <c r="Z46" s="354"/>
      <c r="AA46" s="354"/>
      <c r="AB46" s="354"/>
      <c r="AC46" s="354"/>
      <c r="AD46" s="496"/>
      <c r="AE46" s="354"/>
      <c r="AF46" s="354"/>
      <c r="AG46" s="354"/>
      <c r="AH46" s="354"/>
      <c r="AI46" s="496"/>
      <c r="AJ46" s="354"/>
      <c r="AK46" s="354"/>
      <c r="AL46" s="354"/>
      <c r="AM46" s="354"/>
      <c r="AN46" s="496"/>
      <c r="AO46" s="354"/>
      <c r="AP46" s="354"/>
      <c r="AQ46" s="354"/>
      <c r="AR46" s="354"/>
      <c r="AS46" s="496"/>
      <c r="AT46" s="354"/>
      <c r="AU46" s="354"/>
      <c r="AV46" s="348"/>
      <c r="AW46" s="354"/>
      <c r="AX46" s="496"/>
    </row>
    <row r="47" spans="2:50" x14ac:dyDescent="0.2">
      <c r="B47" s="483"/>
      <c r="C47" s="354">
        <v>18</v>
      </c>
      <c r="D47" s="354"/>
      <c r="E47" s="355"/>
      <c r="F47" s="355"/>
      <c r="G47" s="348"/>
      <c r="H47" s="486"/>
      <c r="I47" s="354"/>
      <c r="J47" s="354"/>
      <c r="K47" s="354"/>
      <c r="L47" s="486"/>
      <c r="M47" s="355"/>
      <c r="N47" s="487"/>
      <c r="O47" s="487"/>
      <c r="P47" s="354"/>
      <c r="Q47" s="354"/>
      <c r="R47" s="354"/>
      <c r="S47" s="354"/>
      <c r="T47" s="496"/>
      <c r="U47" s="354"/>
      <c r="V47" s="354"/>
      <c r="W47" s="354"/>
      <c r="X47" s="354"/>
      <c r="Y47" s="496"/>
      <c r="Z47" s="354"/>
      <c r="AA47" s="354"/>
      <c r="AB47" s="354"/>
      <c r="AC47" s="354"/>
      <c r="AD47" s="496"/>
      <c r="AE47" s="354"/>
      <c r="AF47" s="354"/>
      <c r="AG47" s="354"/>
      <c r="AH47" s="354"/>
      <c r="AI47" s="496"/>
      <c r="AJ47" s="354"/>
      <c r="AK47" s="354"/>
      <c r="AL47" s="354"/>
      <c r="AM47" s="354"/>
      <c r="AN47" s="496"/>
      <c r="AO47" s="354"/>
      <c r="AP47" s="354"/>
      <c r="AQ47" s="354"/>
      <c r="AR47" s="354"/>
      <c r="AS47" s="496"/>
      <c r="AT47" s="354"/>
      <c r="AU47" s="354"/>
      <c r="AV47" s="348"/>
      <c r="AW47" s="354"/>
      <c r="AX47" s="496"/>
    </row>
    <row r="48" spans="2:50" ht="15.75" x14ac:dyDescent="0.2">
      <c r="B48" s="510" t="s">
        <v>84</v>
      </c>
      <c r="C48" s="511"/>
      <c r="D48" s="511"/>
      <c r="E48" s="511"/>
      <c r="F48" s="511"/>
      <c r="G48" s="511"/>
      <c r="H48" s="511"/>
      <c r="I48" s="368"/>
      <c r="J48" s="367"/>
      <c r="K48" s="368"/>
      <c r="L48" s="368"/>
      <c r="M48" s="376"/>
      <c r="N48" s="497" t="s">
        <v>85</v>
      </c>
      <c r="O48" s="497" t="s">
        <v>45</v>
      </c>
      <c r="P48" s="488">
        <v>46182</v>
      </c>
      <c r="Q48" s="483"/>
      <c r="R48" s="483"/>
      <c r="S48" s="483"/>
      <c r="T48" s="483"/>
      <c r="U48" s="488">
        <f>P48+1</f>
        <v>46183</v>
      </c>
      <c r="V48" s="483"/>
      <c r="W48" s="483"/>
      <c r="X48" s="483"/>
      <c r="Y48" s="483"/>
      <c r="Z48" s="488">
        <f>Z25+7</f>
        <v>46184</v>
      </c>
      <c r="AA48" s="483"/>
      <c r="AB48" s="483"/>
      <c r="AC48" s="483"/>
      <c r="AD48" s="483"/>
      <c r="AE48" s="488">
        <f>AE25+7</f>
        <v>46185</v>
      </c>
      <c r="AF48" s="483"/>
      <c r="AG48" s="483"/>
      <c r="AH48" s="483"/>
      <c r="AI48" s="483"/>
      <c r="AJ48" s="488">
        <f>AJ25+7</f>
        <v>46186</v>
      </c>
      <c r="AK48" s="483"/>
      <c r="AL48" s="483"/>
      <c r="AM48" s="483"/>
      <c r="AN48" s="483"/>
      <c r="AO48" s="488">
        <f>AO25+7</f>
        <v>46187</v>
      </c>
      <c r="AP48" s="483"/>
      <c r="AQ48" s="483"/>
      <c r="AR48" s="483"/>
      <c r="AS48" s="483"/>
      <c r="AT48" s="488">
        <f>AT25+7</f>
        <v>46188</v>
      </c>
      <c r="AU48" s="483"/>
      <c r="AV48" s="483"/>
      <c r="AW48" s="483"/>
      <c r="AX48" s="483"/>
    </row>
    <row r="49" spans="2:50" ht="15.75" x14ac:dyDescent="0.2">
      <c r="B49" s="505"/>
      <c r="C49" s="505"/>
      <c r="D49" s="505"/>
      <c r="E49" s="505"/>
      <c r="F49" s="505"/>
      <c r="G49" s="505"/>
      <c r="H49" s="505"/>
      <c r="I49" s="370"/>
      <c r="J49" s="370"/>
      <c r="K49" s="370"/>
      <c r="L49" s="370"/>
      <c r="M49" s="371"/>
      <c r="N49" s="499"/>
      <c r="O49" s="499"/>
      <c r="P49" s="488" t="s">
        <v>57</v>
      </c>
      <c r="Q49" s="483"/>
      <c r="R49" s="483"/>
      <c r="S49" s="483"/>
      <c r="T49" s="483"/>
      <c r="U49" s="488" t="s">
        <v>58</v>
      </c>
      <c r="V49" s="483"/>
      <c r="W49" s="483"/>
      <c r="X49" s="483"/>
      <c r="Y49" s="483"/>
      <c r="Z49" s="488" t="s">
        <v>59</v>
      </c>
      <c r="AA49" s="483"/>
      <c r="AB49" s="483"/>
      <c r="AC49" s="483"/>
      <c r="AD49" s="483"/>
      <c r="AE49" s="488" t="s">
        <v>60</v>
      </c>
      <c r="AF49" s="483"/>
      <c r="AG49" s="483"/>
      <c r="AH49" s="483"/>
      <c r="AI49" s="483"/>
      <c r="AJ49" s="488" t="s">
        <v>55</v>
      </c>
      <c r="AK49" s="483"/>
      <c r="AL49" s="483"/>
      <c r="AM49" s="483"/>
      <c r="AN49" s="483"/>
      <c r="AO49" s="488" t="s">
        <v>52</v>
      </c>
      <c r="AP49" s="483"/>
      <c r="AQ49" s="483"/>
      <c r="AR49" s="483"/>
      <c r="AS49" s="483"/>
      <c r="AT49" s="488" t="s">
        <v>56</v>
      </c>
      <c r="AU49" s="483"/>
      <c r="AV49" s="483"/>
      <c r="AW49" s="483"/>
      <c r="AX49" s="483"/>
    </row>
    <row r="50" spans="2:50" x14ac:dyDescent="0.2">
      <c r="B50" s="487" t="s">
        <v>41</v>
      </c>
      <c r="C50" s="487" t="s">
        <v>86</v>
      </c>
      <c r="D50" s="487"/>
      <c r="E50" s="487" t="s">
        <v>87</v>
      </c>
      <c r="F50" s="487"/>
      <c r="G50" s="487"/>
      <c r="H50" s="493" t="s">
        <v>88</v>
      </c>
      <c r="I50" s="487" t="s">
        <v>89</v>
      </c>
      <c r="J50" s="487"/>
      <c r="K50" s="487"/>
      <c r="L50" s="493" t="s">
        <v>88</v>
      </c>
      <c r="M50" s="497" t="s">
        <v>90</v>
      </c>
      <c r="N50" s="487"/>
      <c r="O50" s="487" t="s">
        <v>91</v>
      </c>
      <c r="P50" s="489" t="s">
        <v>92</v>
      </c>
      <c r="Q50" s="490"/>
      <c r="R50" s="490"/>
      <c r="S50" s="491"/>
      <c r="T50" s="487" t="s">
        <v>88</v>
      </c>
      <c r="U50" s="489" t="s">
        <v>92</v>
      </c>
      <c r="V50" s="490"/>
      <c r="W50" s="490"/>
      <c r="X50" s="491"/>
      <c r="Y50" s="487" t="s">
        <v>88</v>
      </c>
      <c r="Z50" s="489" t="s">
        <v>92</v>
      </c>
      <c r="AA50" s="490"/>
      <c r="AB50" s="490"/>
      <c r="AC50" s="491"/>
      <c r="AD50" s="487" t="s">
        <v>88</v>
      </c>
      <c r="AE50" s="489" t="s">
        <v>92</v>
      </c>
      <c r="AF50" s="490"/>
      <c r="AG50" s="490"/>
      <c r="AH50" s="491"/>
      <c r="AI50" s="487" t="s">
        <v>88</v>
      </c>
      <c r="AJ50" s="489" t="s">
        <v>92</v>
      </c>
      <c r="AK50" s="490"/>
      <c r="AL50" s="490"/>
      <c r="AM50" s="491"/>
      <c r="AN50" s="487" t="s">
        <v>88</v>
      </c>
      <c r="AO50" s="489" t="s">
        <v>92</v>
      </c>
      <c r="AP50" s="490"/>
      <c r="AQ50" s="490"/>
      <c r="AR50" s="491"/>
      <c r="AS50" s="487" t="s">
        <v>88</v>
      </c>
      <c r="AT50" s="489" t="s">
        <v>92</v>
      </c>
      <c r="AU50" s="490"/>
      <c r="AV50" s="490"/>
      <c r="AW50" s="491"/>
      <c r="AX50" s="487" t="s">
        <v>88</v>
      </c>
    </row>
    <row r="51" spans="2:50" x14ac:dyDescent="0.2">
      <c r="B51" s="487"/>
      <c r="C51" s="487"/>
      <c r="D51" s="487"/>
      <c r="E51" s="487" t="s">
        <v>93</v>
      </c>
      <c r="F51" s="487"/>
      <c r="G51" s="487"/>
      <c r="H51" s="494"/>
      <c r="I51" s="487" t="s">
        <v>93</v>
      </c>
      <c r="J51" s="487"/>
      <c r="K51" s="487"/>
      <c r="L51" s="494"/>
      <c r="M51" s="498"/>
      <c r="N51" s="487"/>
      <c r="O51" s="487"/>
      <c r="P51" s="489" t="s">
        <v>94</v>
      </c>
      <c r="Q51" s="490"/>
      <c r="R51" s="490"/>
      <c r="S51" s="491"/>
      <c r="T51" s="487"/>
      <c r="U51" s="489" t="s">
        <v>94</v>
      </c>
      <c r="V51" s="490"/>
      <c r="W51" s="490"/>
      <c r="X51" s="491"/>
      <c r="Y51" s="487"/>
      <c r="Z51" s="489" t="s">
        <v>94</v>
      </c>
      <c r="AA51" s="490"/>
      <c r="AB51" s="490"/>
      <c r="AC51" s="491"/>
      <c r="AD51" s="487"/>
      <c r="AE51" s="489" t="s">
        <v>94</v>
      </c>
      <c r="AF51" s="490"/>
      <c r="AG51" s="490"/>
      <c r="AH51" s="491"/>
      <c r="AI51" s="487"/>
      <c r="AJ51" s="489" t="s">
        <v>94</v>
      </c>
      <c r="AK51" s="490"/>
      <c r="AL51" s="490"/>
      <c r="AM51" s="491"/>
      <c r="AN51" s="487"/>
      <c r="AO51" s="489" t="s">
        <v>94</v>
      </c>
      <c r="AP51" s="490"/>
      <c r="AQ51" s="490"/>
      <c r="AR51" s="491"/>
      <c r="AS51" s="487"/>
      <c r="AT51" s="489" t="s">
        <v>94</v>
      </c>
      <c r="AU51" s="490"/>
      <c r="AV51" s="490"/>
      <c r="AW51" s="491"/>
      <c r="AX51" s="487"/>
    </row>
    <row r="52" spans="2:50" x14ac:dyDescent="0.2">
      <c r="B52" s="487"/>
      <c r="C52" s="487"/>
      <c r="D52" s="487"/>
      <c r="E52" s="372" t="s">
        <v>95</v>
      </c>
      <c r="F52" s="372" t="s">
        <v>96</v>
      </c>
      <c r="G52" s="372" t="s">
        <v>97</v>
      </c>
      <c r="H52" s="495"/>
      <c r="I52" s="372" t="s">
        <v>95</v>
      </c>
      <c r="J52" s="372" t="s">
        <v>96</v>
      </c>
      <c r="K52" s="372" t="s">
        <v>97</v>
      </c>
      <c r="L52" s="495"/>
      <c r="M52" s="499"/>
      <c r="N52" s="487"/>
      <c r="O52" s="487"/>
      <c r="P52" s="372" t="s">
        <v>95</v>
      </c>
      <c r="Q52" s="372" t="s">
        <v>96</v>
      </c>
      <c r="R52" s="372" t="s">
        <v>97</v>
      </c>
      <c r="S52" s="372" t="s">
        <v>90</v>
      </c>
      <c r="T52" s="487"/>
      <c r="U52" s="372" t="s">
        <v>95</v>
      </c>
      <c r="V52" s="372" t="s">
        <v>96</v>
      </c>
      <c r="W52" s="372" t="s">
        <v>97</v>
      </c>
      <c r="X52" s="372" t="s">
        <v>90</v>
      </c>
      <c r="Y52" s="487"/>
      <c r="Z52" s="372" t="s">
        <v>95</v>
      </c>
      <c r="AA52" s="372" t="s">
        <v>96</v>
      </c>
      <c r="AB52" s="372" t="s">
        <v>97</v>
      </c>
      <c r="AC52" s="372" t="s">
        <v>90</v>
      </c>
      <c r="AD52" s="487"/>
      <c r="AE52" s="372" t="s">
        <v>95</v>
      </c>
      <c r="AF52" s="372" t="s">
        <v>96</v>
      </c>
      <c r="AG52" s="372" t="s">
        <v>97</v>
      </c>
      <c r="AH52" s="372" t="s">
        <v>90</v>
      </c>
      <c r="AI52" s="487"/>
      <c r="AJ52" s="372" t="s">
        <v>95</v>
      </c>
      <c r="AK52" s="372" t="s">
        <v>96</v>
      </c>
      <c r="AL52" s="372" t="s">
        <v>97</v>
      </c>
      <c r="AM52" s="372" t="s">
        <v>90</v>
      </c>
      <c r="AN52" s="487"/>
      <c r="AO52" s="372" t="s">
        <v>95</v>
      </c>
      <c r="AP52" s="372" t="s">
        <v>96</v>
      </c>
      <c r="AQ52" s="372" t="s">
        <v>97</v>
      </c>
      <c r="AR52" s="372" t="s">
        <v>90</v>
      </c>
      <c r="AS52" s="487"/>
      <c r="AT52" s="372" t="s">
        <v>95</v>
      </c>
      <c r="AU52" s="372" t="s">
        <v>96</v>
      </c>
      <c r="AV52" s="372" t="s">
        <v>97</v>
      </c>
      <c r="AW52" s="372" t="s">
        <v>90</v>
      </c>
      <c r="AX52" s="487"/>
    </row>
    <row r="53" spans="2:50" ht="13.5" x14ac:dyDescent="0.2">
      <c r="B53" s="483" t="s">
        <v>334</v>
      </c>
      <c r="C53" s="354">
        <v>1</v>
      </c>
      <c r="D53" s="374" t="s">
        <v>112</v>
      </c>
      <c r="E53" s="355">
        <f>VLOOKUP(D53,'12產線配置圖'!$A$2:$C$25,2,0)</f>
        <v>13</v>
      </c>
      <c r="F53" s="355">
        <f>VLOOKUP(D53,'12產線配置圖'!$A$2:$C$25,3,0)</f>
        <v>2250</v>
      </c>
      <c r="G53" s="348">
        <f t="shared" ref="G53:G68" si="64">F53/E53</f>
        <v>173.07692307692307</v>
      </c>
      <c r="H53" s="484">
        <f>AVERAGE(G53:G70)</f>
        <v>122.34499479278888</v>
      </c>
      <c r="I53" s="355">
        <f>AVERAGE(P53,U53,Z53,AE53,AJ53,AO53,AT53)</f>
        <v>13</v>
      </c>
      <c r="J53" s="355">
        <f>AVERAGE(Q53,V53,AA53,AF53,AK53,AP53,AU53)</f>
        <v>2057.7142857142858</v>
      </c>
      <c r="K53" s="348">
        <f>AVERAGE(R53,W53,AB53,AG53,AL53,AQ53,AV53)</f>
        <v>158.28571428571428</v>
      </c>
      <c r="L53" s="484">
        <f>IFERROR(AVERAGE(K53:K70),"-")</f>
        <v>112.2443605982603</v>
      </c>
      <c r="M53" s="355">
        <f>RANK(K53, K$53:$K$70)</f>
        <v>1</v>
      </c>
      <c r="N53" s="487"/>
      <c r="O53" s="487"/>
      <c r="P53" s="355">
        <v>13</v>
      </c>
      <c r="Q53" s="355">
        <v>2119</v>
      </c>
      <c r="R53" s="348">
        <f t="shared" ref="R53:R55" si="65">Q53/P53</f>
        <v>163</v>
      </c>
      <c r="S53" s="354">
        <f t="shared" ref="S53:S55" si="66">RANK(R53, $R$53:$R$70)</f>
        <v>1</v>
      </c>
      <c r="T53" s="496">
        <f>AVERAGE(R53:R70)</f>
        <v>109.72986617141029</v>
      </c>
      <c r="U53" s="355">
        <v>13</v>
      </c>
      <c r="V53" s="355">
        <v>2052</v>
      </c>
      <c r="W53" s="348">
        <f>V53/U53</f>
        <v>157.84615384615384</v>
      </c>
      <c r="X53" s="354">
        <f>RANK(W53,$W$53:$W$70)</f>
        <v>1</v>
      </c>
      <c r="Y53" s="496">
        <f>AVERAGE(W53:W70)</f>
        <v>111.59910310277957</v>
      </c>
      <c r="Z53" s="355">
        <v>13</v>
      </c>
      <c r="AA53" s="355">
        <v>2158</v>
      </c>
      <c r="AB53" s="348">
        <f>AA53/Z53</f>
        <v>166</v>
      </c>
      <c r="AC53" s="354">
        <f>RANK(AB53, $AB$53:$AB$70)</f>
        <v>1</v>
      </c>
      <c r="AD53" s="496">
        <f>AVERAGE(AB53:AB70)</f>
        <v>114.27220106792717</v>
      </c>
      <c r="AE53" s="355">
        <v>13</v>
      </c>
      <c r="AF53" s="355">
        <v>1969</v>
      </c>
      <c r="AG53" s="346">
        <f>AF53/AE53</f>
        <v>151.46153846153845</v>
      </c>
      <c r="AH53" s="354">
        <f>RANK(AG53, $AG$53:$AG$70)</f>
        <v>1</v>
      </c>
      <c r="AI53" s="496">
        <f>AVERAGE(AG53:AG70)</f>
        <v>111.36729271035337</v>
      </c>
      <c r="AJ53" s="355">
        <v>13</v>
      </c>
      <c r="AK53" s="355">
        <v>2087</v>
      </c>
      <c r="AL53" s="348">
        <f>AK53/AJ53</f>
        <v>160.53846153846155</v>
      </c>
      <c r="AM53" s="354">
        <f>RANK(AL53,$AL$53:$AL$70)</f>
        <v>1</v>
      </c>
      <c r="AN53" s="496">
        <f>AVERAGE(AL53:AL70)</f>
        <v>113.53184809981684</v>
      </c>
      <c r="AO53" s="355">
        <v>13</v>
      </c>
      <c r="AP53" s="355">
        <v>1904</v>
      </c>
      <c r="AQ53" s="348">
        <f>AP53/AO53</f>
        <v>146.46153846153845</v>
      </c>
      <c r="AR53" s="354">
        <f>RANK(AQ53,$AQ$53:$AQ$70)</f>
        <v>2</v>
      </c>
      <c r="AS53" s="496">
        <f>AVERAGE(AQ53:AQ70)</f>
        <v>109.12562121803849</v>
      </c>
      <c r="AT53" s="355">
        <v>13</v>
      </c>
      <c r="AU53" s="355">
        <v>2115</v>
      </c>
      <c r="AV53" s="348">
        <f>AU53/AT53</f>
        <v>162.69230769230768</v>
      </c>
      <c r="AW53" s="354">
        <f>RANK(AV53,$AV$53:$AV$70)</f>
        <v>1</v>
      </c>
      <c r="AX53" s="496">
        <f>AVERAGE(AV53:AV70)</f>
        <v>116.08459181749622</v>
      </c>
    </row>
    <row r="54" spans="2:50" x14ac:dyDescent="0.2">
      <c r="B54" s="483"/>
      <c r="C54" s="354">
        <v>2</v>
      </c>
      <c r="D54" s="354" t="s">
        <v>116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si="64"/>
        <v>150</v>
      </c>
      <c r="H54" s="485"/>
      <c r="I54" s="355">
        <f t="shared" ref="I54:K58" si="67">AVERAGE(P54,U54,Z54,AE54,AJ54,AO54,AT54)</f>
        <v>15</v>
      </c>
      <c r="J54" s="355">
        <f t="shared" si="67"/>
        <v>2118.8571428571427</v>
      </c>
      <c r="K54" s="348">
        <f t="shared" si="67"/>
        <v>141.25714285714287</v>
      </c>
      <c r="L54" s="485"/>
      <c r="M54" s="355">
        <f>RANK(K54, K$53:$K$70)</f>
        <v>4</v>
      </c>
      <c r="N54" s="487"/>
      <c r="O54" s="487"/>
      <c r="P54" s="355">
        <v>15</v>
      </c>
      <c r="Q54" s="355">
        <v>2132</v>
      </c>
      <c r="R54" s="348">
        <f t="shared" si="65"/>
        <v>142.13333333333333</v>
      </c>
      <c r="S54" s="354">
        <f t="shared" si="66"/>
        <v>3</v>
      </c>
      <c r="T54" s="496"/>
      <c r="U54" s="355">
        <v>15</v>
      </c>
      <c r="V54" s="355">
        <v>2181</v>
      </c>
      <c r="W54" s="348">
        <f t="shared" ref="W54:W68" si="68">V54/U54</f>
        <v>145.4</v>
      </c>
      <c r="X54" s="354">
        <f t="shared" ref="X54:X68" si="69">RANK(W54,$W$53:$W$70)</f>
        <v>3</v>
      </c>
      <c r="Y54" s="496"/>
      <c r="Z54" s="355">
        <v>15</v>
      </c>
      <c r="AA54" s="355">
        <v>2157</v>
      </c>
      <c r="AB54" s="348">
        <f t="shared" ref="AB54:AB68" si="70">AA54/Z54</f>
        <v>143.80000000000001</v>
      </c>
      <c r="AC54" s="354">
        <f t="shared" ref="AC54:AC68" si="71">RANK(AB54, $AB$53:$AB$70)</f>
        <v>4</v>
      </c>
      <c r="AD54" s="496"/>
      <c r="AE54" s="355">
        <v>15</v>
      </c>
      <c r="AF54" s="355">
        <v>2068</v>
      </c>
      <c r="AG54" s="346">
        <f t="shared" ref="AG54:AG68" si="72">AF54/AE54</f>
        <v>137.86666666666667</v>
      </c>
      <c r="AH54" s="354">
        <f t="shared" ref="AH54:AH68" si="73">RANK(AG54, $AG$53:$AG$70)</f>
        <v>4</v>
      </c>
      <c r="AI54" s="496"/>
      <c r="AJ54" s="355">
        <v>15</v>
      </c>
      <c r="AK54" s="355">
        <v>2053</v>
      </c>
      <c r="AL54" s="348">
        <f t="shared" ref="AL54:AL68" si="74">AK54/AJ54</f>
        <v>136.86666666666667</v>
      </c>
      <c r="AM54" s="354">
        <f t="shared" ref="AM54:AM68" si="75">RANK(AL54,$AL$53:$AL$70)</f>
        <v>5</v>
      </c>
      <c r="AN54" s="496"/>
      <c r="AO54" s="355">
        <v>15</v>
      </c>
      <c r="AP54" s="355">
        <v>2122</v>
      </c>
      <c r="AQ54" s="348">
        <f t="shared" ref="AQ54:AQ68" si="76">AP54/AO54</f>
        <v>141.46666666666667</v>
      </c>
      <c r="AR54" s="354">
        <f t="shared" ref="AR54:AR68" si="77">RANK(AQ54,$AQ$53:$AQ$70)</f>
        <v>5</v>
      </c>
      <c r="AS54" s="496"/>
      <c r="AT54" s="355">
        <v>15</v>
      </c>
      <c r="AU54" s="355">
        <v>2119</v>
      </c>
      <c r="AV54" s="348">
        <f t="shared" ref="AV54:AV68" si="78">AU54/AT54</f>
        <v>141.26666666666668</v>
      </c>
      <c r="AW54" s="354">
        <f t="shared" ref="AW54:AW68" si="79">RANK(AV54,$AV$53:$AV$70)</f>
        <v>6</v>
      </c>
      <c r="AX54" s="496"/>
    </row>
    <row r="55" spans="2:50" x14ac:dyDescent="0.2">
      <c r="B55" s="483"/>
      <c r="C55" s="354">
        <v>3</v>
      </c>
      <c r="D55" s="354" t="s">
        <v>115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4"/>
        <v>150</v>
      </c>
      <c r="H55" s="485"/>
      <c r="I55" s="355">
        <f t="shared" si="67"/>
        <v>15</v>
      </c>
      <c r="J55" s="355">
        <f t="shared" si="67"/>
        <v>2103.5714285714284</v>
      </c>
      <c r="K55" s="348">
        <f t="shared" si="67"/>
        <v>140.23809523809524</v>
      </c>
      <c r="L55" s="485"/>
      <c r="M55" s="355">
        <f>RANK(K55, K$53:$K$70)</f>
        <v>5</v>
      </c>
      <c r="N55" s="487"/>
      <c r="O55" s="487"/>
      <c r="P55" s="355">
        <v>15</v>
      </c>
      <c r="Q55" s="355">
        <v>2011</v>
      </c>
      <c r="R55" s="348">
        <f t="shared" si="65"/>
        <v>134.06666666666666</v>
      </c>
      <c r="S55" s="354">
        <f t="shared" si="66"/>
        <v>5</v>
      </c>
      <c r="T55" s="496"/>
      <c r="U55" s="355">
        <v>15</v>
      </c>
      <c r="V55" s="355">
        <v>2151</v>
      </c>
      <c r="W55" s="348">
        <f t="shared" si="68"/>
        <v>143.4</v>
      </c>
      <c r="X55" s="354">
        <f t="shared" si="69"/>
        <v>4</v>
      </c>
      <c r="Y55" s="496"/>
      <c r="Z55" s="355">
        <v>15</v>
      </c>
      <c r="AA55" s="355">
        <v>2178</v>
      </c>
      <c r="AB55" s="348">
        <f t="shared" si="70"/>
        <v>145.19999999999999</v>
      </c>
      <c r="AC55" s="354">
        <f t="shared" si="71"/>
        <v>3</v>
      </c>
      <c r="AD55" s="496"/>
      <c r="AE55" s="355">
        <v>15</v>
      </c>
      <c r="AF55" s="355">
        <v>2025</v>
      </c>
      <c r="AG55" s="346">
        <f t="shared" si="72"/>
        <v>135</v>
      </c>
      <c r="AH55" s="354">
        <f t="shared" si="73"/>
        <v>5</v>
      </c>
      <c r="AI55" s="496"/>
      <c r="AJ55" s="355">
        <v>15</v>
      </c>
      <c r="AK55" s="355">
        <v>2056</v>
      </c>
      <c r="AL55" s="348">
        <f t="shared" si="74"/>
        <v>137.06666666666666</v>
      </c>
      <c r="AM55" s="354">
        <f t="shared" si="75"/>
        <v>4</v>
      </c>
      <c r="AN55" s="496"/>
      <c r="AO55" s="355">
        <v>15</v>
      </c>
      <c r="AP55" s="355">
        <v>2158</v>
      </c>
      <c r="AQ55" s="348">
        <f t="shared" si="76"/>
        <v>143.86666666666667</v>
      </c>
      <c r="AR55" s="354">
        <f t="shared" si="77"/>
        <v>3</v>
      </c>
      <c r="AS55" s="496"/>
      <c r="AT55" s="355">
        <v>15</v>
      </c>
      <c r="AU55" s="355">
        <v>2146</v>
      </c>
      <c r="AV55" s="348">
        <f t="shared" si="78"/>
        <v>143.06666666666666</v>
      </c>
      <c r="AW55" s="354">
        <f t="shared" si="79"/>
        <v>5</v>
      </c>
      <c r="AX55" s="496"/>
    </row>
    <row r="56" spans="2:50" x14ac:dyDescent="0.2">
      <c r="B56" s="483"/>
      <c r="C56" s="354">
        <v>4</v>
      </c>
      <c r="D56" s="354" t="s">
        <v>169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4"/>
        <v>112.5</v>
      </c>
      <c r="H56" s="485"/>
      <c r="I56" s="355">
        <f t="shared" si="67"/>
        <v>15.571428571428571</v>
      </c>
      <c r="J56" s="355">
        <f t="shared" si="67"/>
        <v>1635.5714285714287</v>
      </c>
      <c r="K56" s="348">
        <f t="shared" si="67"/>
        <v>105.09464285714286</v>
      </c>
      <c r="L56" s="485"/>
      <c r="M56" s="355">
        <f>RANK(K56, K$53:$K$70)</f>
        <v>8</v>
      </c>
      <c r="N56" s="487"/>
      <c r="O56" s="487"/>
      <c r="P56" s="359">
        <v>15</v>
      </c>
      <c r="Q56" s="355">
        <v>1597</v>
      </c>
      <c r="R56" s="348">
        <f t="shared" ref="R56:R59" si="80">Q56/P56</f>
        <v>106.46666666666667</v>
      </c>
      <c r="S56" s="354">
        <f t="shared" ref="S56:S59" si="81">RANK(R56, $R$53:$R$70)</f>
        <v>8</v>
      </c>
      <c r="T56" s="496"/>
      <c r="U56" s="355">
        <v>16</v>
      </c>
      <c r="V56" s="355">
        <v>1584</v>
      </c>
      <c r="W56" s="348">
        <f t="shared" si="68"/>
        <v>99</v>
      </c>
      <c r="X56" s="354">
        <f t="shared" si="69"/>
        <v>8</v>
      </c>
      <c r="Y56" s="496"/>
      <c r="Z56" s="355">
        <v>16</v>
      </c>
      <c r="AA56" s="355">
        <v>1736</v>
      </c>
      <c r="AB56" s="348">
        <f t="shared" si="70"/>
        <v>108.5</v>
      </c>
      <c r="AC56" s="354">
        <f t="shared" si="71"/>
        <v>8</v>
      </c>
      <c r="AD56" s="496"/>
      <c r="AE56" s="359">
        <v>15</v>
      </c>
      <c r="AF56" s="355">
        <v>1615</v>
      </c>
      <c r="AG56" s="348">
        <f t="shared" si="72"/>
        <v>107.66666666666667</v>
      </c>
      <c r="AH56" s="354">
        <f t="shared" si="73"/>
        <v>8</v>
      </c>
      <c r="AI56" s="496"/>
      <c r="AJ56" s="359">
        <v>15</v>
      </c>
      <c r="AK56" s="355">
        <v>1612</v>
      </c>
      <c r="AL56" s="348">
        <f t="shared" si="74"/>
        <v>107.46666666666667</v>
      </c>
      <c r="AM56" s="354">
        <f t="shared" si="75"/>
        <v>10</v>
      </c>
      <c r="AN56" s="496"/>
      <c r="AO56" s="355">
        <v>16</v>
      </c>
      <c r="AP56" s="355">
        <v>1643</v>
      </c>
      <c r="AQ56" s="348">
        <f t="shared" si="76"/>
        <v>102.6875</v>
      </c>
      <c r="AR56" s="354">
        <f t="shared" si="77"/>
        <v>8</v>
      </c>
      <c r="AS56" s="496"/>
      <c r="AT56" s="355">
        <v>16</v>
      </c>
      <c r="AU56" s="355">
        <v>1662</v>
      </c>
      <c r="AV56" s="348">
        <f t="shared" si="78"/>
        <v>103.875</v>
      </c>
      <c r="AW56" s="354">
        <f t="shared" si="79"/>
        <v>8</v>
      </c>
      <c r="AX56" s="496"/>
    </row>
    <row r="57" spans="2:50" ht="13.5" x14ac:dyDescent="0.2">
      <c r="B57" s="483"/>
      <c r="C57" s="354">
        <v>5</v>
      </c>
      <c r="D57" s="374" t="s">
        <v>114</v>
      </c>
      <c r="E57" s="355">
        <f>VLOOKUP(D57,'12產線配置圖'!$A$2:$C$25,2,0)</f>
        <v>14</v>
      </c>
      <c r="F57" s="355">
        <f>VLOOKUP(D57,'12產線配置圖'!$A$2:$C$25,3,0)</f>
        <v>2250</v>
      </c>
      <c r="G57" s="348">
        <f t="shared" si="64"/>
        <v>160.71428571428572</v>
      </c>
      <c r="H57" s="485"/>
      <c r="I57" s="355">
        <f t="shared" si="67"/>
        <v>14</v>
      </c>
      <c r="J57" s="355">
        <f t="shared" si="67"/>
        <v>2090.1428571428573</v>
      </c>
      <c r="K57" s="348">
        <f t="shared" si="67"/>
        <v>149.29591836734693</v>
      </c>
      <c r="L57" s="485"/>
      <c r="M57" s="355">
        <f>RANK(K57, K$53:$K$70)</f>
        <v>2</v>
      </c>
      <c r="N57" s="487"/>
      <c r="O57" s="487"/>
      <c r="P57" s="355">
        <v>14</v>
      </c>
      <c r="Q57" s="355">
        <v>2032</v>
      </c>
      <c r="R57" s="348">
        <f t="shared" si="80"/>
        <v>145.14285714285714</v>
      </c>
      <c r="S57" s="354">
        <f t="shared" si="81"/>
        <v>2</v>
      </c>
      <c r="T57" s="496"/>
      <c r="U57" s="355">
        <v>14</v>
      </c>
      <c r="V57" s="355">
        <v>2064</v>
      </c>
      <c r="W57" s="348">
        <f t="shared" si="68"/>
        <v>147.42857142857142</v>
      </c>
      <c r="X57" s="354">
        <f t="shared" si="69"/>
        <v>2</v>
      </c>
      <c r="Y57" s="496"/>
      <c r="Z57" s="355">
        <v>14</v>
      </c>
      <c r="AA57" s="355">
        <v>2124</v>
      </c>
      <c r="AB57" s="348">
        <f t="shared" si="70"/>
        <v>151.71428571428572</v>
      </c>
      <c r="AC57" s="354">
        <f t="shared" si="71"/>
        <v>2</v>
      </c>
      <c r="AD57" s="496"/>
      <c r="AE57" s="355">
        <v>14</v>
      </c>
      <c r="AF57" s="355">
        <v>1936</v>
      </c>
      <c r="AG57" s="346">
        <f t="shared" si="72"/>
        <v>138.28571428571428</v>
      </c>
      <c r="AH57" s="354">
        <f t="shared" si="73"/>
        <v>3</v>
      </c>
      <c r="AI57" s="496"/>
      <c r="AJ57" s="355">
        <v>14</v>
      </c>
      <c r="AK57" s="355">
        <v>2178</v>
      </c>
      <c r="AL57" s="348">
        <f t="shared" si="74"/>
        <v>155.57142857142858</v>
      </c>
      <c r="AM57" s="354">
        <f t="shared" si="75"/>
        <v>2</v>
      </c>
      <c r="AN57" s="496"/>
      <c r="AO57" s="355">
        <v>14</v>
      </c>
      <c r="AP57" s="355">
        <v>2120</v>
      </c>
      <c r="AQ57" s="348">
        <f t="shared" si="76"/>
        <v>151.42857142857142</v>
      </c>
      <c r="AR57" s="354">
        <f t="shared" si="77"/>
        <v>1</v>
      </c>
      <c r="AS57" s="496"/>
      <c r="AT57" s="355">
        <v>14</v>
      </c>
      <c r="AU57" s="355">
        <v>2177</v>
      </c>
      <c r="AV57" s="348">
        <f t="shared" si="78"/>
        <v>155.5</v>
      </c>
      <c r="AW57" s="354">
        <f t="shared" si="79"/>
        <v>2</v>
      </c>
      <c r="AX57" s="496"/>
    </row>
    <row r="58" spans="2:50" x14ac:dyDescent="0.2">
      <c r="B58" s="483"/>
      <c r="C58" s="354">
        <v>6</v>
      </c>
      <c r="D58" s="354" t="s">
        <v>161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4"/>
        <v>114.26666666666667</v>
      </c>
      <c r="H58" s="485"/>
      <c r="I58" s="355">
        <f t="shared" si="67"/>
        <v>14.857142857142858</v>
      </c>
      <c r="J58" s="355">
        <f t="shared" si="67"/>
        <v>1522.8571428571429</v>
      </c>
      <c r="K58" s="348">
        <f t="shared" si="67"/>
        <v>102.4421768707483</v>
      </c>
      <c r="L58" s="485"/>
      <c r="M58" s="355">
        <f>RANK(K58, K$53:$K$70)</f>
        <v>9</v>
      </c>
      <c r="N58" s="487"/>
      <c r="O58" s="487"/>
      <c r="P58" s="355">
        <v>15</v>
      </c>
      <c r="Q58" s="355">
        <v>1576</v>
      </c>
      <c r="R58" s="348">
        <f t="shared" si="80"/>
        <v>105.06666666666666</v>
      </c>
      <c r="S58" s="354">
        <f t="shared" si="81"/>
        <v>9</v>
      </c>
      <c r="T58" s="496"/>
      <c r="U58" s="359">
        <v>14</v>
      </c>
      <c r="V58" s="355">
        <v>1350</v>
      </c>
      <c r="W58" s="348">
        <f t="shared" si="68"/>
        <v>96.428571428571431</v>
      </c>
      <c r="X58" s="354">
        <f t="shared" si="69"/>
        <v>10</v>
      </c>
      <c r="Y58" s="496"/>
      <c r="Z58" s="355">
        <v>15</v>
      </c>
      <c r="AA58" s="355">
        <v>1583</v>
      </c>
      <c r="AB58" s="348">
        <f t="shared" si="70"/>
        <v>105.53333333333333</v>
      </c>
      <c r="AC58" s="354">
        <f t="shared" si="71"/>
        <v>9</v>
      </c>
      <c r="AD58" s="496"/>
      <c r="AE58" s="355">
        <v>15</v>
      </c>
      <c r="AF58" s="355">
        <v>1588</v>
      </c>
      <c r="AG58" s="348">
        <f t="shared" si="72"/>
        <v>105.86666666666666</v>
      </c>
      <c r="AH58" s="354">
        <f t="shared" si="73"/>
        <v>9</v>
      </c>
      <c r="AI58" s="496"/>
      <c r="AJ58" s="355">
        <v>15</v>
      </c>
      <c r="AK58" s="355">
        <v>1645</v>
      </c>
      <c r="AL58" s="348">
        <f t="shared" si="74"/>
        <v>109.66666666666667</v>
      </c>
      <c r="AM58" s="354">
        <f t="shared" si="75"/>
        <v>8</v>
      </c>
      <c r="AN58" s="496"/>
      <c r="AO58" s="355">
        <v>15</v>
      </c>
      <c r="AP58" s="355">
        <v>1512</v>
      </c>
      <c r="AQ58" s="348">
        <f t="shared" si="76"/>
        <v>100.8</v>
      </c>
      <c r="AR58" s="354">
        <f t="shared" si="77"/>
        <v>9</v>
      </c>
      <c r="AS58" s="496"/>
      <c r="AT58" s="355">
        <v>15</v>
      </c>
      <c r="AU58" s="355">
        <v>1406</v>
      </c>
      <c r="AV58" s="346">
        <f t="shared" si="78"/>
        <v>93.733333333333334</v>
      </c>
      <c r="AW58" s="354">
        <f t="shared" si="79"/>
        <v>11</v>
      </c>
      <c r="AX58" s="496"/>
    </row>
    <row r="59" spans="2:50" x14ac:dyDescent="0.2">
      <c r="B59" s="483"/>
      <c r="C59" s="354">
        <v>7</v>
      </c>
      <c r="D59" s="354" t="s">
        <v>221</v>
      </c>
      <c r="E59" s="355">
        <f>VLOOKUP(D59,'12產線配置圖'!$A$2:$C$25,2,0)</f>
        <v>17</v>
      </c>
      <c r="F59" s="355">
        <f>VLOOKUP(D59,'12產線配置圖'!$A$2:$C$25,3,0)</f>
        <v>1800</v>
      </c>
      <c r="G59" s="348">
        <f t="shared" si="64"/>
        <v>105.88235294117646</v>
      </c>
      <c r="H59" s="485"/>
      <c r="I59" s="355">
        <f t="shared" ref="I59:I63" si="82">AVERAGE(P59,U59,Z59,AE59,AJ59,AO59,AT59)</f>
        <v>16.714285714285715</v>
      </c>
      <c r="J59" s="355">
        <f t="shared" ref="J59:J63" si="83">AVERAGE(Q59,V59,AA59,AF59,AK59,AP59,AU59)</f>
        <v>1625.7142857142858</v>
      </c>
      <c r="K59" s="348">
        <f t="shared" ref="K59:K63" si="84">AVERAGE(R59,W59,AB59,AG59,AL59,AQ59,AV59)</f>
        <v>97.316701680672267</v>
      </c>
      <c r="L59" s="485"/>
      <c r="M59" s="355">
        <f>RANK(K59, K$53:$K$70)</f>
        <v>10</v>
      </c>
      <c r="N59" s="487"/>
      <c r="O59" s="487"/>
      <c r="P59" s="355">
        <v>17</v>
      </c>
      <c r="Q59" s="355">
        <v>1540</v>
      </c>
      <c r="R59" s="348">
        <f t="shared" si="80"/>
        <v>90.588235294117652</v>
      </c>
      <c r="S59" s="354">
        <f t="shared" si="81"/>
        <v>10</v>
      </c>
      <c r="T59" s="496"/>
      <c r="U59" s="355">
        <v>17</v>
      </c>
      <c r="V59" s="355">
        <v>1665</v>
      </c>
      <c r="W59" s="348">
        <f t="shared" si="68"/>
        <v>97.941176470588232</v>
      </c>
      <c r="X59" s="354">
        <f t="shared" si="69"/>
        <v>9</v>
      </c>
      <c r="Y59" s="496"/>
      <c r="Z59" s="355">
        <v>17</v>
      </c>
      <c r="AA59" s="355">
        <v>1645</v>
      </c>
      <c r="AB59" s="348">
        <f t="shared" si="70"/>
        <v>96.764705882352942</v>
      </c>
      <c r="AC59" s="354">
        <f t="shared" si="71"/>
        <v>10</v>
      </c>
      <c r="AD59" s="496"/>
      <c r="AE59" s="359">
        <v>16</v>
      </c>
      <c r="AF59" s="355">
        <v>1598</v>
      </c>
      <c r="AG59" s="348">
        <f t="shared" si="72"/>
        <v>99.875</v>
      </c>
      <c r="AH59" s="354">
        <f t="shared" si="73"/>
        <v>10</v>
      </c>
      <c r="AI59" s="496"/>
      <c r="AJ59" s="359">
        <v>16</v>
      </c>
      <c r="AK59" s="355">
        <v>1613</v>
      </c>
      <c r="AL59" s="348">
        <f t="shared" si="74"/>
        <v>100.8125</v>
      </c>
      <c r="AM59" s="354">
        <f t="shared" si="75"/>
        <v>11</v>
      </c>
      <c r="AN59" s="496"/>
      <c r="AO59" s="355">
        <v>17</v>
      </c>
      <c r="AP59" s="355">
        <v>1574</v>
      </c>
      <c r="AQ59" s="348">
        <f t="shared" si="76"/>
        <v>92.588235294117652</v>
      </c>
      <c r="AR59" s="354">
        <f t="shared" si="77"/>
        <v>10</v>
      </c>
      <c r="AS59" s="496"/>
      <c r="AT59" s="355">
        <v>17</v>
      </c>
      <c r="AU59" s="355">
        <v>1745</v>
      </c>
      <c r="AV59" s="348">
        <f t="shared" si="78"/>
        <v>102.64705882352941</v>
      </c>
      <c r="AW59" s="354">
        <f t="shared" si="79"/>
        <v>9</v>
      </c>
      <c r="AX59" s="496"/>
    </row>
    <row r="60" spans="2:50" x14ac:dyDescent="0.2">
      <c r="B60" s="483"/>
      <c r="C60" s="354">
        <v>8</v>
      </c>
      <c r="D60" s="354" t="s">
        <v>127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64"/>
        <v>96.235294117647058</v>
      </c>
      <c r="H60" s="485"/>
      <c r="I60" s="355">
        <f t="shared" si="82"/>
        <v>17</v>
      </c>
      <c r="J60" s="355">
        <f t="shared" si="83"/>
        <v>1444.2857142857142</v>
      </c>
      <c r="K60" s="348">
        <f t="shared" si="84"/>
        <v>85.028361344537828</v>
      </c>
      <c r="L60" s="485"/>
      <c r="M60" s="355">
        <f>RANK(K60, K$53:$K$70)</f>
        <v>14</v>
      </c>
      <c r="N60" s="487"/>
      <c r="O60" s="487"/>
      <c r="P60" s="354">
        <v>17</v>
      </c>
      <c r="Q60" s="355">
        <v>1465</v>
      </c>
      <c r="R60" s="346">
        <f t="shared" ref="R60:R66" si="85">Q60/P60</f>
        <v>86.17647058823529</v>
      </c>
      <c r="S60" s="354">
        <f t="shared" ref="S60:S66" si="86">RANK(R60, $R$53:$R$70)</f>
        <v>11</v>
      </c>
      <c r="T60" s="496"/>
      <c r="U60" s="354">
        <v>17</v>
      </c>
      <c r="V60" s="355">
        <v>1403</v>
      </c>
      <c r="W60" s="346">
        <f t="shared" si="68"/>
        <v>82.529411764705884</v>
      </c>
      <c r="X60" s="354">
        <f t="shared" si="69"/>
        <v>14</v>
      </c>
      <c r="Y60" s="496"/>
      <c r="Z60" s="354">
        <v>17</v>
      </c>
      <c r="AA60" s="355">
        <v>1500</v>
      </c>
      <c r="AB60" s="346">
        <f t="shared" si="70"/>
        <v>88.235294117647058</v>
      </c>
      <c r="AC60" s="354">
        <f t="shared" si="71"/>
        <v>13</v>
      </c>
      <c r="AD60" s="496"/>
      <c r="AE60" s="354">
        <v>17</v>
      </c>
      <c r="AF60" s="355">
        <v>1420</v>
      </c>
      <c r="AG60" s="346">
        <f t="shared" si="72"/>
        <v>83.529411764705884</v>
      </c>
      <c r="AH60" s="354">
        <f t="shared" si="73"/>
        <v>14</v>
      </c>
      <c r="AI60" s="496"/>
      <c r="AJ60" s="411">
        <v>18</v>
      </c>
      <c r="AK60" s="355">
        <v>1440</v>
      </c>
      <c r="AL60" s="346">
        <f t="shared" si="74"/>
        <v>80</v>
      </c>
      <c r="AM60" s="354">
        <f t="shared" si="75"/>
        <v>15</v>
      </c>
      <c r="AN60" s="496"/>
      <c r="AO60" s="354">
        <v>17</v>
      </c>
      <c r="AP60" s="355">
        <v>1468</v>
      </c>
      <c r="AQ60" s="346">
        <f t="shared" si="76"/>
        <v>86.352941176470594</v>
      </c>
      <c r="AR60" s="354">
        <f t="shared" si="77"/>
        <v>12</v>
      </c>
      <c r="AS60" s="496"/>
      <c r="AT60" s="358">
        <v>16</v>
      </c>
      <c r="AU60" s="355">
        <v>1414</v>
      </c>
      <c r="AV60" s="346">
        <f t="shared" si="78"/>
        <v>88.375</v>
      </c>
      <c r="AW60" s="354">
        <f t="shared" si="79"/>
        <v>14</v>
      </c>
      <c r="AX60" s="496"/>
    </row>
    <row r="61" spans="2:50" x14ac:dyDescent="0.2">
      <c r="B61" s="483"/>
      <c r="C61" s="354">
        <v>9</v>
      </c>
      <c r="D61" s="354" t="s">
        <v>164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64"/>
        <v>110.76923076923077</v>
      </c>
      <c r="H61" s="485"/>
      <c r="I61" s="355">
        <f t="shared" si="82"/>
        <v>11.428571428571429</v>
      </c>
      <c r="J61" s="355">
        <f t="shared" si="83"/>
        <v>1086.4285714285713</v>
      </c>
      <c r="K61" s="348">
        <f t="shared" si="84"/>
        <v>93.578310578310592</v>
      </c>
      <c r="L61" s="485"/>
      <c r="M61" s="355">
        <f>RANK(K61, K$53:$K$70)</f>
        <v>11</v>
      </c>
      <c r="N61" s="487"/>
      <c r="O61" s="487"/>
      <c r="P61" s="358">
        <v>11</v>
      </c>
      <c r="Q61" s="355">
        <v>947</v>
      </c>
      <c r="R61" s="346">
        <f t="shared" si="85"/>
        <v>86.090909090909093</v>
      </c>
      <c r="S61" s="354">
        <f t="shared" si="86"/>
        <v>12</v>
      </c>
      <c r="T61" s="496"/>
      <c r="U61" s="354">
        <v>12</v>
      </c>
      <c r="V61" s="355">
        <v>1096</v>
      </c>
      <c r="W61" s="348">
        <f t="shared" si="68"/>
        <v>91.333333333333329</v>
      </c>
      <c r="X61" s="354">
        <f t="shared" si="69"/>
        <v>11</v>
      </c>
      <c r="Y61" s="496"/>
      <c r="Z61" s="358">
        <v>9</v>
      </c>
      <c r="AA61" s="355">
        <v>822</v>
      </c>
      <c r="AB61" s="348">
        <f t="shared" si="70"/>
        <v>91.333333333333329</v>
      </c>
      <c r="AC61" s="354">
        <f t="shared" si="71"/>
        <v>11</v>
      </c>
      <c r="AD61" s="496"/>
      <c r="AE61" s="354">
        <v>13</v>
      </c>
      <c r="AF61" s="355">
        <v>1436</v>
      </c>
      <c r="AG61" s="348">
        <f t="shared" si="72"/>
        <v>110.46153846153847</v>
      </c>
      <c r="AH61" s="354">
        <f t="shared" si="73"/>
        <v>7</v>
      </c>
      <c r="AI61" s="496"/>
      <c r="AJ61" s="354">
        <v>13</v>
      </c>
      <c r="AK61" s="355">
        <v>1406</v>
      </c>
      <c r="AL61" s="348">
        <f t="shared" si="74"/>
        <v>108.15384615384616</v>
      </c>
      <c r="AM61" s="354">
        <f t="shared" si="75"/>
        <v>9</v>
      </c>
      <c r="AN61" s="496"/>
      <c r="AO61" s="358">
        <v>9</v>
      </c>
      <c r="AP61" s="355">
        <v>634</v>
      </c>
      <c r="AQ61" s="346">
        <f t="shared" si="76"/>
        <v>70.444444444444443</v>
      </c>
      <c r="AR61" s="354">
        <f t="shared" si="77"/>
        <v>15</v>
      </c>
      <c r="AS61" s="496"/>
      <c r="AT61" s="354">
        <v>13</v>
      </c>
      <c r="AU61" s="355">
        <v>1264</v>
      </c>
      <c r="AV61" s="348">
        <f t="shared" si="78"/>
        <v>97.230769230769226</v>
      </c>
      <c r="AW61" s="354">
        <f t="shared" si="79"/>
        <v>10</v>
      </c>
      <c r="AX61" s="496"/>
    </row>
    <row r="62" spans="2:50" x14ac:dyDescent="0.2">
      <c r="B62" s="483"/>
      <c r="C62" s="354">
        <v>10</v>
      </c>
      <c r="D62" s="354" t="s">
        <v>159</v>
      </c>
      <c r="E62" s="355">
        <f>VLOOKUP(D62,'12產線配置圖'!$A$2:$C$25,2,0)</f>
        <v>17</v>
      </c>
      <c r="F62" s="355">
        <f>VLOOKUP(D62,'12產線配置圖'!$A$2:$C$25,3,0)</f>
        <v>2250</v>
      </c>
      <c r="G62" s="348">
        <f t="shared" si="64"/>
        <v>132.35294117647058</v>
      </c>
      <c r="H62" s="485"/>
      <c r="I62" s="355">
        <f t="shared" si="82"/>
        <v>16.857142857142858</v>
      </c>
      <c r="J62" s="355">
        <f t="shared" si="83"/>
        <v>2088.2857142857142</v>
      </c>
      <c r="K62" s="348">
        <f t="shared" si="84"/>
        <v>123.8408613445378</v>
      </c>
      <c r="L62" s="485"/>
      <c r="M62" s="355">
        <f>RANK(K62, K$53:$K$70)</f>
        <v>7</v>
      </c>
      <c r="N62" s="487"/>
      <c r="O62" s="487"/>
      <c r="P62" s="354">
        <v>17</v>
      </c>
      <c r="Q62" s="355">
        <v>2047</v>
      </c>
      <c r="R62" s="348">
        <f t="shared" si="85"/>
        <v>120.41176470588235</v>
      </c>
      <c r="S62" s="354">
        <f t="shared" si="86"/>
        <v>7</v>
      </c>
      <c r="T62" s="496"/>
      <c r="U62" s="354">
        <v>17</v>
      </c>
      <c r="V62" s="355">
        <v>2058</v>
      </c>
      <c r="W62" s="348">
        <f t="shared" si="68"/>
        <v>121.05882352941177</v>
      </c>
      <c r="X62" s="354">
        <f t="shared" si="69"/>
        <v>7</v>
      </c>
      <c r="Y62" s="496"/>
      <c r="Z62" s="358">
        <v>16</v>
      </c>
      <c r="AA62" s="355">
        <v>1905</v>
      </c>
      <c r="AB62" s="346">
        <f t="shared" si="70"/>
        <v>119.0625</v>
      </c>
      <c r="AC62" s="354">
        <f t="shared" si="71"/>
        <v>7</v>
      </c>
      <c r="AD62" s="496"/>
      <c r="AE62" s="354">
        <v>17</v>
      </c>
      <c r="AF62" s="355">
        <v>2115</v>
      </c>
      <c r="AG62" s="348">
        <f t="shared" si="72"/>
        <v>124.41176470588235</v>
      </c>
      <c r="AH62" s="354">
        <f t="shared" si="73"/>
        <v>6</v>
      </c>
      <c r="AI62" s="496"/>
      <c r="AJ62" s="354">
        <v>17</v>
      </c>
      <c r="AK62" s="355">
        <v>2168</v>
      </c>
      <c r="AL62" s="348">
        <f t="shared" si="74"/>
        <v>127.52941176470588</v>
      </c>
      <c r="AM62" s="354">
        <f t="shared" si="75"/>
        <v>7</v>
      </c>
      <c r="AN62" s="496"/>
      <c r="AO62" s="354">
        <v>17</v>
      </c>
      <c r="AP62" s="355">
        <v>2134</v>
      </c>
      <c r="AQ62" s="348">
        <f t="shared" si="76"/>
        <v>125.52941176470588</v>
      </c>
      <c r="AR62" s="354">
        <f t="shared" si="77"/>
        <v>7</v>
      </c>
      <c r="AS62" s="496"/>
      <c r="AT62" s="354">
        <v>17</v>
      </c>
      <c r="AU62" s="355">
        <v>2191</v>
      </c>
      <c r="AV62" s="348">
        <f t="shared" si="78"/>
        <v>128.88235294117646</v>
      </c>
      <c r="AW62" s="354">
        <f t="shared" si="79"/>
        <v>7</v>
      </c>
      <c r="AX62" s="496"/>
    </row>
    <row r="63" spans="2:50" x14ac:dyDescent="0.2">
      <c r="B63" s="483"/>
      <c r="C63" s="354">
        <v>11</v>
      </c>
      <c r="D63" s="354" t="s">
        <v>379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64"/>
        <v>150</v>
      </c>
      <c r="H63" s="485"/>
      <c r="I63" s="355">
        <f t="shared" si="82"/>
        <v>15</v>
      </c>
      <c r="J63" s="355">
        <f t="shared" si="83"/>
        <v>1955.8571428571429</v>
      </c>
      <c r="K63" s="348">
        <f t="shared" si="84"/>
        <v>130.39047619047619</v>
      </c>
      <c r="L63" s="485"/>
      <c r="M63" s="355">
        <f>RANK(K63, K$53:$K$70)</f>
        <v>6</v>
      </c>
      <c r="N63" s="487"/>
      <c r="O63" s="487"/>
      <c r="P63" s="354">
        <v>15</v>
      </c>
      <c r="Q63" s="354">
        <v>1885</v>
      </c>
      <c r="R63" s="346">
        <f t="shared" si="85"/>
        <v>125.66666666666667</v>
      </c>
      <c r="S63" s="354">
        <f t="shared" si="86"/>
        <v>6</v>
      </c>
      <c r="T63" s="496"/>
      <c r="U63" s="354">
        <v>15</v>
      </c>
      <c r="V63" s="354">
        <v>2003</v>
      </c>
      <c r="W63" s="348">
        <f t="shared" si="68"/>
        <v>133.53333333333333</v>
      </c>
      <c r="X63" s="354">
        <f t="shared" si="69"/>
        <v>6</v>
      </c>
      <c r="Y63" s="496"/>
      <c r="Z63" s="354">
        <v>15</v>
      </c>
      <c r="AA63" s="354">
        <v>2066</v>
      </c>
      <c r="AB63" s="348">
        <f t="shared" si="70"/>
        <v>137.73333333333332</v>
      </c>
      <c r="AC63" s="354">
        <f t="shared" si="71"/>
        <v>6</v>
      </c>
      <c r="AD63" s="496"/>
      <c r="AE63" s="354">
        <v>15</v>
      </c>
      <c r="AF63" s="354">
        <v>1471</v>
      </c>
      <c r="AG63" s="346">
        <f t="shared" si="72"/>
        <v>98.066666666666663</v>
      </c>
      <c r="AH63" s="354">
        <f t="shared" si="73"/>
        <v>11</v>
      </c>
      <c r="AI63" s="496"/>
      <c r="AJ63" s="354">
        <v>15</v>
      </c>
      <c r="AK63" s="354">
        <v>2070</v>
      </c>
      <c r="AL63" s="348">
        <f t="shared" si="74"/>
        <v>138</v>
      </c>
      <c r="AM63" s="354">
        <f t="shared" si="75"/>
        <v>3</v>
      </c>
      <c r="AN63" s="496"/>
      <c r="AO63" s="354">
        <v>15</v>
      </c>
      <c r="AP63" s="354">
        <v>2019</v>
      </c>
      <c r="AQ63" s="348">
        <f t="shared" si="76"/>
        <v>134.6</v>
      </c>
      <c r="AR63" s="354">
        <f t="shared" si="77"/>
        <v>6</v>
      </c>
      <c r="AS63" s="496"/>
      <c r="AT63" s="354">
        <v>15</v>
      </c>
      <c r="AU63" s="354">
        <v>2177</v>
      </c>
      <c r="AV63" s="348">
        <f t="shared" si="78"/>
        <v>145.13333333333333</v>
      </c>
      <c r="AW63" s="354">
        <f t="shared" si="79"/>
        <v>4</v>
      </c>
      <c r="AX63" s="496"/>
    </row>
    <row r="64" spans="2:50" x14ac:dyDescent="0.2">
      <c r="B64" s="483"/>
      <c r="C64" s="354">
        <v>12</v>
      </c>
      <c r="D64" s="354" t="s">
        <v>117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4"/>
        <v>150</v>
      </c>
      <c r="H64" s="485"/>
      <c r="I64" s="355">
        <f>AVERAGE(P64,U64,Z64,AE64,AJ64,AO64,AT64)</f>
        <v>15</v>
      </c>
      <c r="J64" s="355">
        <f>AVERAGE(Q64,V64,AA64,AF64,AK64,AP64,AU64)</f>
        <v>2120.5714285714284</v>
      </c>
      <c r="K64" s="348">
        <f>AVERAGE(R64,W64,AB64,AG64,AL64,AQ64,AV64)</f>
        <v>141.37142857142857</v>
      </c>
      <c r="L64" s="485"/>
      <c r="M64" s="355">
        <f>RANK(K64, K$53:$K$70)</f>
        <v>3</v>
      </c>
      <c r="N64" s="487"/>
      <c r="O64" s="487"/>
      <c r="P64" s="354">
        <v>15</v>
      </c>
      <c r="Q64" s="354">
        <v>2052</v>
      </c>
      <c r="R64" s="348">
        <f t="shared" si="85"/>
        <v>136.80000000000001</v>
      </c>
      <c r="S64" s="354">
        <f t="shared" si="86"/>
        <v>4</v>
      </c>
      <c r="T64" s="496"/>
      <c r="U64" s="354">
        <v>15</v>
      </c>
      <c r="V64" s="354">
        <v>2105</v>
      </c>
      <c r="W64" s="348">
        <f t="shared" si="68"/>
        <v>140.33333333333334</v>
      </c>
      <c r="X64" s="354">
        <f t="shared" si="69"/>
        <v>5</v>
      </c>
      <c r="Y64" s="496"/>
      <c r="Z64" s="354">
        <v>15</v>
      </c>
      <c r="AA64" s="354">
        <v>2101</v>
      </c>
      <c r="AB64" s="348">
        <f t="shared" si="70"/>
        <v>140.06666666666666</v>
      </c>
      <c r="AC64" s="354">
        <f t="shared" si="71"/>
        <v>5</v>
      </c>
      <c r="AD64" s="496"/>
      <c r="AE64" s="354">
        <v>15</v>
      </c>
      <c r="AF64" s="354">
        <v>2158</v>
      </c>
      <c r="AG64" s="348">
        <f t="shared" si="72"/>
        <v>143.86666666666667</v>
      </c>
      <c r="AH64" s="354">
        <f t="shared" si="73"/>
        <v>2</v>
      </c>
      <c r="AI64" s="496"/>
      <c r="AJ64" s="354">
        <v>15</v>
      </c>
      <c r="AK64" s="354">
        <v>2053</v>
      </c>
      <c r="AL64" s="348">
        <f t="shared" si="74"/>
        <v>136.86666666666667</v>
      </c>
      <c r="AM64" s="354">
        <f t="shared" si="75"/>
        <v>5</v>
      </c>
      <c r="AN64" s="496"/>
      <c r="AO64" s="354">
        <v>15</v>
      </c>
      <c r="AP64" s="354">
        <v>2135</v>
      </c>
      <c r="AQ64" s="348">
        <f t="shared" si="76"/>
        <v>142.33333333333334</v>
      </c>
      <c r="AR64" s="354">
        <f t="shared" si="77"/>
        <v>4</v>
      </c>
      <c r="AS64" s="496"/>
      <c r="AT64" s="354">
        <v>15</v>
      </c>
      <c r="AU64" s="354">
        <v>2240</v>
      </c>
      <c r="AV64" s="348">
        <f t="shared" si="78"/>
        <v>149.33333333333334</v>
      </c>
      <c r="AW64" s="354">
        <f t="shared" si="79"/>
        <v>3</v>
      </c>
      <c r="AX64" s="496"/>
    </row>
    <row r="65" spans="2:50" x14ac:dyDescent="0.2">
      <c r="B65" s="483"/>
      <c r="C65" s="354">
        <v>13</v>
      </c>
      <c r="D65" s="354" t="s">
        <v>380</v>
      </c>
      <c r="E65" s="355">
        <f>VLOOKUP(D65,'12產線配置圖'!$A$2:$C$25,2,0)</f>
        <v>18</v>
      </c>
      <c r="F65" s="355">
        <f>VLOOKUP(D65,'12產線配置圖'!$A$2:$C$25,3,0)</f>
        <v>1565</v>
      </c>
      <c r="G65" s="348">
        <f t="shared" si="64"/>
        <v>86.944444444444443</v>
      </c>
      <c r="H65" s="485"/>
      <c r="I65" s="355">
        <f t="shared" ref="I65:K66" si="87">AVERAGE(P65,U65,Z65,AE65,AJ65,AO65,AT65)</f>
        <v>16.571428571428573</v>
      </c>
      <c r="J65" s="355">
        <f t="shared" si="87"/>
        <v>1418.7142857142858</v>
      </c>
      <c r="K65" s="348">
        <f t="shared" si="87"/>
        <v>85.666491596638664</v>
      </c>
      <c r="L65" s="485"/>
      <c r="M65" s="355">
        <f>RANK(K65, K$53:$K$70)</f>
        <v>13</v>
      </c>
      <c r="N65" s="487"/>
      <c r="O65" s="487"/>
      <c r="P65" s="358">
        <v>17</v>
      </c>
      <c r="Q65" s="354">
        <v>1450</v>
      </c>
      <c r="R65" s="346">
        <f t="shared" si="85"/>
        <v>85.294117647058826</v>
      </c>
      <c r="S65" s="354">
        <f t="shared" si="86"/>
        <v>13</v>
      </c>
      <c r="T65" s="496"/>
      <c r="U65" s="358">
        <v>17</v>
      </c>
      <c r="V65" s="354">
        <v>1462</v>
      </c>
      <c r="W65" s="346">
        <f t="shared" si="68"/>
        <v>86</v>
      </c>
      <c r="X65" s="354">
        <f t="shared" si="69"/>
        <v>12</v>
      </c>
      <c r="Y65" s="496"/>
      <c r="Z65" s="358">
        <v>17</v>
      </c>
      <c r="AA65" s="354">
        <v>1412</v>
      </c>
      <c r="AB65" s="346">
        <f t="shared" si="70"/>
        <v>83.058823529411768</v>
      </c>
      <c r="AC65" s="354">
        <f t="shared" si="71"/>
        <v>14</v>
      </c>
      <c r="AD65" s="496"/>
      <c r="AE65" s="358">
        <v>16</v>
      </c>
      <c r="AF65" s="354">
        <v>1389</v>
      </c>
      <c r="AG65" s="346">
        <f t="shared" si="72"/>
        <v>86.8125</v>
      </c>
      <c r="AH65" s="354">
        <f t="shared" si="73"/>
        <v>13</v>
      </c>
      <c r="AI65" s="496"/>
      <c r="AJ65" s="358">
        <v>16</v>
      </c>
      <c r="AK65" s="354">
        <v>1400</v>
      </c>
      <c r="AL65" s="346">
        <f t="shared" si="74"/>
        <v>87.5</v>
      </c>
      <c r="AM65" s="354">
        <f t="shared" si="75"/>
        <v>12</v>
      </c>
      <c r="AN65" s="496"/>
      <c r="AO65" s="358">
        <v>17</v>
      </c>
      <c r="AP65" s="354">
        <v>1394</v>
      </c>
      <c r="AQ65" s="346">
        <f t="shared" si="76"/>
        <v>82</v>
      </c>
      <c r="AR65" s="354">
        <f t="shared" si="77"/>
        <v>13</v>
      </c>
      <c r="AS65" s="496"/>
      <c r="AT65" s="358">
        <v>16</v>
      </c>
      <c r="AU65" s="354">
        <v>1424</v>
      </c>
      <c r="AV65" s="346">
        <f t="shared" si="78"/>
        <v>89</v>
      </c>
      <c r="AW65" s="354">
        <f t="shared" si="79"/>
        <v>13</v>
      </c>
      <c r="AX65" s="496"/>
    </row>
    <row r="66" spans="2:50" x14ac:dyDescent="0.2">
      <c r="B66" s="483"/>
      <c r="C66" s="354">
        <v>14</v>
      </c>
      <c r="D66" s="354" t="s">
        <v>119</v>
      </c>
      <c r="E66" s="355">
        <f>VLOOKUP(D66,'12產線配置圖'!$A$2:$C$25,2,0)</f>
        <v>18</v>
      </c>
      <c r="F66" s="355">
        <f>VLOOKUP(D66,'12產線配置圖'!$A$2:$C$25,3,0)</f>
        <v>1565</v>
      </c>
      <c r="G66" s="348">
        <f t="shared" si="64"/>
        <v>86.944444444444443</v>
      </c>
      <c r="H66" s="485"/>
      <c r="I66" s="355">
        <f t="shared" si="87"/>
        <v>15.857142857142858</v>
      </c>
      <c r="J66" s="355">
        <f t="shared" si="87"/>
        <v>1183.1428571428571</v>
      </c>
      <c r="K66" s="348">
        <f t="shared" si="87"/>
        <v>74.111967864068703</v>
      </c>
      <c r="L66" s="485"/>
      <c r="M66" s="355">
        <f>RANK(K66, K$53:$K$70)</f>
        <v>16</v>
      </c>
      <c r="N66" s="487"/>
      <c r="O66" s="487"/>
      <c r="P66" s="358">
        <v>13</v>
      </c>
      <c r="Q66" s="354">
        <v>915</v>
      </c>
      <c r="R66" s="346">
        <f t="shared" si="85"/>
        <v>70.384615384615387</v>
      </c>
      <c r="S66" s="354">
        <f t="shared" si="86"/>
        <v>16</v>
      </c>
      <c r="T66" s="496"/>
      <c r="U66" s="358">
        <v>17</v>
      </c>
      <c r="V66" s="354">
        <v>1308</v>
      </c>
      <c r="W66" s="346">
        <f t="shared" si="68"/>
        <v>76.941176470588232</v>
      </c>
      <c r="X66" s="354">
        <f t="shared" si="69"/>
        <v>16</v>
      </c>
      <c r="Y66" s="496"/>
      <c r="Z66" s="358">
        <v>17</v>
      </c>
      <c r="AA66" s="354">
        <v>1363</v>
      </c>
      <c r="AB66" s="346">
        <f t="shared" si="70"/>
        <v>80.17647058823529</v>
      </c>
      <c r="AC66" s="354">
        <f t="shared" si="71"/>
        <v>16</v>
      </c>
      <c r="AD66" s="496"/>
      <c r="AE66" s="358">
        <v>17</v>
      </c>
      <c r="AF66" s="354">
        <v>1414</v>
      </c>
      <c r="AG66" s="346">
        <f t="shared" si="72"/>
        <v>83.17647058823529</v>
      </c>
      <c r="AH66" s="354">
        <f t="shared" si="73"/>
        <v>16</v>
      </c>
      <c r="AI66" s="496"/>
      <c r="AJ66" s="358">
        <v>17</v>
      </c>
      <c r="AK66" s="354">
        <v>1142</v>
      </c>
      <c r="AL66" s="346">
        <f t="shared" si="74"/>
        <v>67.17647058823529</v>
      </c>
      <c r="AM66" s="354">
        <f t="shared" si="75"/>
        <v>16</v>
      </c>
      <c r="AN66" s="496"/>
      <c r="AO66" s="358">
        <v>14</v>
      </c>
      <c r="AP66" s="354">
        <v>804</v>
      </c>
      <c r="AQ66" s="346">
        <f t="shared" si="76"/>
        <v>57.428571428571431</v>
      </c>
      <c r="AR66" s="354">
        <f t="shared" si="77"/>
        <v>16</v>
      </c>
      <c r="AS66" s="496"/>
      <c r="AT66" s="358">
        <v>16</v>
      </c>
      <c r="AU66" s="354">
        <v>1336</v>
      </c>
      <c r="AV66" s="346">
        <f t="shared" si="78"/>
        <v>83.5</v>
      </c>
      <c r="AW66" s="354">
        <f t="shared" si="79"/>
        <v>15</v>
      </c>
      <c r="AX66" s="496"/>
    </row>
    <row r="67" spans="2:50" x14ac:dyDescent="0.2">
      <c r="B67" s="483"/>
      <c r="C67" s="354">
        <v>15</v>
      </c>
      <c r="D67" s="354" t="s">
        <v>129</v>
      </c>
      <c r="E67" s="355">
        <f>VLOOKUP(D67,'12產線配置圖'!$A$2:$C$25,2,0)</f>
        <v>18</v>
      </c>
      <c r="F67" s="355">
        <f>VLOOKUP(D67,'12產線配置圖'!$A$2:$C$25,3,0)</f>
        <v>1636</v>
      </c>
      <c r="G67" s="348">
        <f t="shared" si="64"/>
        <v>90.888888888888886</v>
      </c>
      <c r="H67" s="485"/>
      <c r="I67" s="355">
        <f t="shared" ref="I67:I68" si="88">AVERAGE(P67,U67,Z67,AE67,AJ67,AO67,AT67)</f>
        <v>17.142857142857142</v>
      </c>
      <c r="J67" s="355">
        <f t="shared" ref="J67:J68" si="89">AVERAGE(Q67,V67,AA67,AF67,AK67,AP67,AU67)</f>
        <v>1482.2857142857142</v>
      </c>
      <c r="K67" s="348">
        <f t="shared" ref="K67:K68" si="90">AVERAGE(R67,W67,AB67,AG67,AL67,AQ67,AV67)</f>
        <v>86.517740429505139</v>
      </c>
      <c r="L67" s="485"/>
      <c r="M67" s="355">
        <f>RANK(K67, K$53:$K$70)</f>
        <v>12</v>
      </c>
      <c r="N67" s="487"/>
      <c r="O67" s="487"/>
      <c r="P67" s="354">
        <v>18</v>
      </c>
      <c r="Q67" s="354">
        <v>1447</v>
      </c>
      <c r="R67" s="346">
        <f t="shared" ref="R67:R68" si="91">Q67/P67</f>
        <v>80.388888888888886</v>
      </c>
      <c r="S67" s="354">
        <f t="shared" ref="S67:S68" si="92">RANK(R67, $R$53:$R$70)</f>
        <v>14</v>
      </c>
      <c r="T67" s="496"/>
      <c r="U67" s="358">
        <v>17</v>
      </c>
      <c r="V67" s="354">
        <v>1393</v>
      </c>
      <c r="W67" s="346">
        <f t="shared" si="68"/>
        <v>81.941176470588232</v>
      </c>
      <c r="X67" s="354">
        <f t="shared" si="69"/>
        <v>15</v>
      </c>
      <c r="Y67" s="496"/>
      <c r="Z67" s="358">
        <v>17</v>
      </c>
      <c r="AA67" s="354">
        <v>1518</v>
      </c>
      <c r="AB67" s="346">
        <f t="shared" si="70"/>
        <v>89.294117647058826</v>
      </c>
      <c r="AC67" s="354">
        <f t="shared" si="71"/>
        <v>12</v>
      </c>
      <c r="AD67" s="496"/>
      <c r="AE67" s="358">
        <v>17</v>
      </c>
      <c r="AF67" s="354">
        <v>1569</v>
      </c>
      <c r="AG67" s="348">
        <f t="shared" si="72"/>
        <v>92.294117647058826</v>
      </c>
      <c r="AH67" s="354">
        <f t="shared" si="73"/>
        <v>12</v>
      </c>
      <c r="AI67" s="496"/>
      <c r="AJ67" s="358">
        <v>17</v>
      </c>
      <c r="AK67" s="354">
        <v>1389</v>
      </c>
      <c r="AL67" s="346">
        <f t="shared" si="74"/>
        <v>81.705882352941174</v>
      </c>
      <c r="AM67" s="354">
        <f t="shared" si="75"/>
        <v>13</v>
      </c>
      <c r="AN67" s="496"/>
      <c r="AO67" s="358">
        <v>17</v>
      </c>
      <c r="AP67" s="354">
        <v>1507</v>
      </c>
      <c r="AQ67" s="346">
        <f t="shared" si="76"/>
        <v>88.647058823529406</v>
      </c>
      <c r="AR67" s="354">
        <f t="shared" si="77"/>
        <v>11</v>
      </c>
      <c r="AS67" s="496"/>
      <c r="AT67" s="358">
        <v>17</v>
      </c>
      <c r="AU67" s="354">
        <v>1553</v>
      </c>
      <c r="AV67" s="348">
        <f t="shared" si="78"/>
        <v>91.352941176470594</v>
      </c>
      <c r="AW67" s="354">
        <f t="shared" si="79"/>
        <v>12</v>
      </c>
      <c r="AX67" s="496"/>
    </row>
    <row r="68" spans="2:50" x14ac:dyDescent="0.2">
      <c r="B68" s="483"/>
      <c r="C68" s="354">
        <v>16</v>
      </c>
      <c r="D68" s="354" t="s">
        <v>125</v>
      </c>
      <c r="E68" s="355">
        <f>VLOOKUP(D68,'12產線配置圖'!$A$2:$C$25,2,0)</f>
        <v>18</v>
      </c>
      <c r="F68" s="355">
        <f>VLOOKUP(D68,'12產線配置圖'!$A$2:$C$25,3,0)</f>
        <v>1565</v>
      </c>
      <c r="G68" s="348">
        <f t="shared" si="64"/>
        <v>86.944444444444443</v>
      </c>
      <c r="H68" s="485"/>
      <c r="I68" s="355">
        <f t="shared" si="88"/>
        <v>17</v>
      </c>
      <c r="J68" s="355">
        <f t="shared" si="89"/>
        <v>1384.8571428571429</v>
      </c>
      <c r="K68" s="348">
        <f t="shared" si="90"/>
        <v>81.473739495798313</v>
      </c>
      <c r="L68" s="485"/>
      <c r="M68" s="355">
        <f>RANK(K68, K$53:$K$70)</f>
        <v>15</v>
      </c>
      <c r="N68" s="487"/>
      <c r="O68" s="487"/>
      <c r="P68" s="354">
        <v>18</v>
      </c>
      <c r="Q68" s="354">
        <v>1404</v>
      </c>
      <c r="R68" s="346">
        <f t="shared" si="91"/>
        <v>78</v>
      </c>
      <c r="S68" s="354">
        <f t="shared" si="92"/>
        <v>15</v>
      </c>
      <c r="T68" s="496"/>
      <c r="U68" s="358">
        <v>17</v>
      </c>
      <c r="V68" s="354">
        <v>1436</v>
      </c>
      <c r="W68" s="346">
        <f t="shared" si="68"/>
        <v>84.470588235294116</v>
      </c>
      <c r="X68" s="354">
        <f t="shared" si="69"/>
        <v>13</v>
      </c>
      <c r="Y68" s="496"/>
      <c r="Z68" s="358">
        <v>17</v>
      </c>
      <c r="AA68" s="354">
        <v>1392</v>
      </c>
      <c r="AB68" s="346">
        <f t="shared" si="70"/>
        <v>81.882352941176464</v>
      </c>
      <c r="AC68" s="354">
        <f t="shared" si="71"/>
        <v>15</v>
      </c>
      <c r="AD68" s="496"/>
      <c r="AE68" s="358">
        <v>17</v>
      </c>
      <c r="AF68" s="354">
        <v>1415</v>
      </c>
      <c r="AG68" s="346">
        <f t="shared" si="72"/>
        <v>83.235294117647058</v>
      </c>
      <c r="AH68" s="354">
        <f t="shared" si="73"/>
        <v>15</v>
      </c>
      <c r="AI68" s="496"/>
      <c r="AJ68" s="358">
        <v>17</v>
      </c>
      <c r="AK68" s="354">
        <v>1387</v>
      </c>
      <c r="AL68" s="346">
        <f t="shared" si="74"/>
        <v>81.588235294117652</v>
      </c>
      <c r="AM68" s="354">
        <f t="shared" si="75"/>
        <v>14</v>
      </c>
      <c r="AN68" s="496"/>
      <c r="AO68" s="358">
        <v>16</v>
      </c>
      <c r="AP68" s="354">
        <v>1270</v>
      </c>
      <c r="AQ68" s="346">
        <f t="shared" si="76"/>
        <v>79.375</v>
      </c>
      <c r="AR68" s="354">
        <f t="shared" si="77"/>
        <v>14</v>
      </c>
      <c r="AS68" s="496"/>
      <c r="AT68" s="358">
        <v>17</v>
      </c>
      <c r="AU68" s="354">
        <v>1390</v>
      </c>
      <c r="AV68" s="346">
        <f t="shared" si="78"/>
        <v>81.764705882352942</v>
      </c>
      <c r="AW68" s="354">
        <f t="shared" si="79"/>
        <v>16</v>
      </c>
      <c r="AX68" s="496"/>
    </row>
    <row r="69" spans="2:50" x14ac:dyDescent="0.2">
      <c r="B69" s="483"/>
      <c r="C69" s="354">
        <v>17</v>
      </c>
      <c r="D69" s="354"/>
      <c r="E69" s="354"/>
      <c r="F69" s="354"/>
      <c r="G69" s="348"/>
      <c r="H69" s="485"/>
      <c r="I69" s="354"/>
      <c r="J69" s="355"/>
      <c r="K69" s="348"/>
      <c r="L69" s="485"/>
      <c r="M69" s="355"/>
      <c r="N69" s="487"/>
      <c r="O69" s="487"/>
      <c r="P69" s="354"/>
      <c r="Q69" s="354"/>
      <c r="R69" s="348"/>
      <c r="S69" s="354"/>
      <c r="T69" s="496"/>
      <c r="U69" s="354"/>
      <c r="V69" s="354"/>
      <c r="W69" s="348"/>
      <c r="X69" s="354"/>
      <c r="Y69" s="496"/>
      <c r="Z69" s="354"/>
      <c r="AA69" s="354"/>
      <c r="AB69" s="348"/>
      <c r="AC69" s="354"/>
      <c r="AD69" s="496"/>
      <c r="AE69" s="354"/>
      <c r="AF69" s="354"/>
      <c r="AG69" s="348"/>
      <c r="AH69" s="354"/>
      <c r="AI69" s="496"/>
      <c r="AJ69" s="354"/>
      <c r="AK69" s="354"/>
      <c r="AL69" s="348"/>
      <c r="AM69" s="354"/>
      <c r="AN69" s="496"/>
      <c r="AO69" s="354"/>
      <c r="AP69" s="354"/>
      <c r="AQ69" s="348"/>
      <c r="AR69" s="354"/>
      <c r="AS69" s="496"/>
      <c r="AT69" s="354"/>
      <c r="AU69" s="354"/>
      <c r="AV69" s="348"/>
      <c r="AW69" s="354"/>
      <c r="AX69" s="496"/>
    </row>
    <row r="70" spans="2:50" x14ac:dyDescent="0.2">
      <c r="B70" s="483"/>
      <c r="C70" s="354">
        <v>18</v>
      </c>
      <c r="D70" s="354"/>
      <c r="E70" s="354"/>
      <c r="F70" s="354"/>
      <c r="G70" s="348"/>
      <c r="H70" s="486"/>
      <c r="I70" s="354"/>
      <c r="J70" s="355"/>
      <c r="K70" s="348"/>
      <c r="L70" s="486"/>
      <c r="M70" s="355"/>
      <c r="N70" s="487"/>
      <c r="O70" s="487"/>
      <c r="P70" s="354"/>
      <c r="Q70" s="354"/>
      <c r="R70" s="348"/>
      <c r="S70" s="354"/>
      <c r="T70" s="496"/>
      <c r="U70" s="354"/>
      <c r="V70" s="354"/>
      <c r="W70" s="348"/>
      <c r="X70" s="354"/>
      <c r="Y70" s="496"/>
      <c r="Z70" s="354"/>
      <c r="AA70" s="354"/>
      <c r="AB70" s="348"/>
      <c r="AC70" s="354"/>
      <c r="AD70" s="496"/>
      <c r="AE70" s="354"/>
      <c r="AF70" s="354"/>
      <c r="AG70" s="348"/>
      <c r="AH70" s="354"/>
      <c r="AI70" s="496"/>
      <c r="AJ70" s="354"/>
      <c r="AK70" s="354"/>
      <c r="AL70" s="348"/>
      <c r="AM70" s="354"/>
      <c r="AN70" s="496"/>
      <c r="AO70" s="354"/>
      <c r="AP70" s="354"/>
      <c r="AQ70" s="348"/>
      <c r="AR70" s="354"/>
      <c r="AS70" s="496"/>
      <c r="AT70" s="354"/>
      <c r="AU70" s="354"/>
      <c r="AV70" s="348"/>
      <c r="AW70" s="354"/>
      <c r="AX70" s="496"/>
    </row>
    <row r="71" spans="2:50" ht="15.75" x14ac:dyDescent="0.2">
      <c r="B71" s="503" t="s">
        <v>84</v>
      </c>
      <c r="C71" s="504"/>
      <c r="D71" s="504"/>
      <c r="E71" s="504"/>
      <c r="F71" s="504"/>
      <c r="G71" s="504"/>
      <c r="H71" s="504"/>
      <c r="I71" s="368"/>
      <c r="J71" s="368"/>
      <c r="K71" s="368"/>
      <c r="L71" s="368"/>
      <c r="M71" s="369"/>
      <c r="N71" s="497" t="s">
        <v>85</v>
      </c>
      <c r="O71" s="497" t="s">
        <v>45</v>
      </c>
      <c r="P71" s="488">
        <v>46189</v>
      </c>
      <c r="Q71" s="483"/>
      <c r="R71" s="483"/>
      <c r="S71" s="483"/>
      <c r="T71" s="483"/>
      <c r="U71" s="488">
        <f>P71+1</f>
        <v>46190</v>
      </c>
      <c r="V71" s="483"/>
      <c r="W71" s="483"/>
      <c r="X71" s="483"/>
      <c r="Y71" s="483"/>
      <c r="Z71" s="488">
        <f>Z48+7</f>
        <v>46191</v>
      </c>
      <c r="AA71" s="483"/>
      <c r="AB71" s="483"/>
      <c r="AC71" s="483"/>
      <c r="AD71" s="483"/>
      <c r="AE71" s="488">
        <f>AE48+7</f>
        <v>46192</v>
      </c>
      <c r="AF71" s="483"/>
      <c r="AG71" s="483"/>
      <c r="AH71" s="483"/>
      <c r="AI71" s="483"/>
      <c r="AJ71" s="488">
        <f>AJ48+7</f>
        <v>46193</v>
      </c>
      <c r="AK71" s="483"/>
      <c r="AL71" s="483"/>
      <c r="AM71" s="483"/>
      <c r="AN71" s="483"/>
      <c r="AO71" s="488">
        <f>AO48+7</f>
        <v>46194</v>
      </c>
      <c r="AP71" s="483"/>
      <c r="AQ71" s="483"/>
      <c r="AR71" s="483"/>
      <c r="AS71" s="483"/>
      <c r="AT71" s="488">
        <f>AT48+7</f>
        <v>46195</v>
      </c>
      <c r="AU71" s="483"/>
      <c r="AV71" s="483"/>
      <c r="AW71" s="483"/>
      <c r="AX71" s="483"/>
    </row>
    <row r="72" spans="2:50" ht="15.75" x14ac:dyDescent="0.2">
      <c r="B72" s="505"/>
      <c r="C72" s="505"/>
      <c r="D72" s="505"/>
      <c r="E72" s="505"/>
      <c r="F72" s="505"/>
      <c r="G72" s="505"/>
      <c r="H72" s="505"/>
      <c r="I72" s="370"/>
      <c r="J72" s="370"/>
      <c r="K72" s="370"/>
      <c r="L72" s="370"/>
      <c r="M72" s="371"/>
      <c r="N72" s="499"/>
      <c r="O72" s="499"/>
      <c r="P72" s="488" t="s">
        <v>57</v>
      </c>
      <c r="Q72" s="483"/>
      <c r="R72" s="483"/>
      <c r="S72" s="483"/>
      <c r="T72" s="483"/>
      <c r="U72" s="488" t="s">
        <v>58</v>
      </c>
      <c r="V72" s="483"/>
      <c r="W72" s="483"/>
      <c r="X72" s="483"/>
      <c r="Y72" s="483"/>
      <c r="Z72" s="488" t="s">
        <v>59</v>
      </c>
      <c r="AA72" s="483"/>
      <c r="AB72" s="483"/>
      <c r="AC72" s="483"/>
      <c r="AD72" s="483"/>
      <c r="AE72" s="488" t="s">
        <v>60</v>
      </c>
      <c r="AF72" s="483"/>
      <c r="AG72" s="483"/>
      <c r="AH72" s="483"/>
      <c r="AI72" s="483"/>
      <c r="AJ72" s="488" t="s">
        <v>55</v>
      </c>
      <c r="AK72" s="483"/>
      <c r="AL72" s="483"/>
      <c r="AM72" s="483"/>
      <c r="AN72" s="483"/>
      <c r="AO72" s="488" t="s">
        <v>52</v>
      </c>
      <c r="AP72" s="483"/>
      <c r="AQ72" s="483"/>
      <c r="AR72" s="483"/>
      <c r="AS72" s="483"/>
      <c r="AT72" s="488" t="s">
        <v>56</v>
      </c>
      <c r="AU72" s="483"/>
      <c r="AV72" s="483"/>
      <c r="AW72" s="483"/>
      <c r="AX72" s="483"/>
    </row>
    <row r="73" spans="2:50" x14ac:dyDescent="0.2">
      <c r="B73" s="487" t="s">
        <v>41</v>
      </c>
      <c r="C73" s="492" t="s">
        <v>86</v>
      </c>
      <c r="D73" s="487"/>
      <c r="E73" s="487" t="s">
        <v>87</v>
      </c>
      <c r="F73" s="487"/>
      <c r="G73" s="487"/>
      <c r="H73" s="493" t="s">
        <v>88</v>
      </c>
      <c r="I73" s="487" t="s">
        <v>89</v>
      </c>
      <c r="J73" s="487"/>
      <c r="K73" s="487"/>
      <c r="L73" s="493" t="s">
        <v>88</v>
      </c>
      <c r="M73" s="509" t="s">
        <v>90</v>
      </c>
      <c r="N73" s="497"/>
      <c r="O73" s="497" t="s">
        <v>91</v>
      </c>
      <c r="P73" s="489" t="s">
        <v>92</v>
      </c>
      <c r="Q73" s="490"/>
      <c r="R73" s="490"/>
      <c r="S73" s="491"/>
      <c r="T73" s="487" t="s">
        <v>88</v>
      </c>
      <c r="U73" s="489" t="s">
        <v>92</v>
      </c>
      <c r="V73" s="490"/>
      <c r="W73" s="490"/>
      <c r="X73" s="491"/>
      <c r="Y73" s="487" t="s">
        <v>88</v>
      </c>
      <c r="Z73" s="489" t="s">
        <v>92</v>
      </c>
      <c r="AA73" s="490"/>
      <c r="AB73" s="490"/>
      <c r="AC73" s="491"/>
      <c r="AD73" s="487" t="s">
        <v>88</v>
      </c>
      <c r="AE73" s="489" t="s">
        <v>92</v>
      </c>
      <c r="AF73" s="490"/>
      <c r="AG73" s="490"/>
      <c r="AH73" s="491"/>
      <c r="AI73" s="487" t="s">
        <v>88</v>
      </c>
      <c r="AJ73" s="489" t="s">
        <v>92</v>
      </c>
      <c r="AK73" s="490"/>
      <c r="AL73" s="490"/>
      <c r="AM73" s="491"/>
      <c r="AN73" s="487" t="s">
        <v>88</v>
      </c>
      <c r="AO73" s="489" t="s">
        <v>92</v>
      </c>
      <c r="AP73" s="490"/>
      <c r="AQ73" s="490"/>
      <c r="AR73" s="491"/>
      <c r="AS73" s="487" t="s">
        <v>88</v>
      </c>
      <c r="AT73" s="489" t="s">
        <v>92</v>
      </c>
      <c r="AU73" s="490"/>
      <c r="AV73" s="490"/>
      <c r="AW73" s="491"/>
      <c r="AX73" s="487" t="s">
        <v>88</v>
      </c>
    </row>
    <row r="74" spans="2:50" x14ac:dyDescent="0.2">
      <c r="B74" s="487"/>
      <c r="C74" s="487"/>
      <c r="D74" s="487"/>
      <c r="E74" s="487" t="s">
        <v>93</v>
      </c>
      <c r="F74" s="487"/>
      <c r="G74" s="487"/>
      <c r="H74" s="494"/>
      <c r="I74" s="487" t="s">
        <v>93</v>
      </c>
      <c r="J74" s="487"/>
      <c r="K74" s="487"/>
      <c r="L74" s="494"/>
      <c r="M74" s="498"/>
      <c r="N74" s="498"/>
      <c r="O74" s="498"/>
      <c r="P74" s="489" t="s">
        <v>94</v>
      </c>
      <c r="Q74" s="490"/>
      <c r="R74" s="490"/>
      <c r="S74" s="491"/>
      <c r="T74" s="487"/>
      <c r="U74" s="489" t="s">
        <v>94</v>
      </c>
      <c r="V74" s="490"/>
      <c r="W74" s="490"/>
      <c r="X74" s="491"/>
      <c r="Y74" s="487"/>
      <c r="Z74" s="489" t="s">
        <v>94</v>
      </c>
      <c r="AA74" s="490"/>
      <c r="AB74" s="490"/>
      <c r="AC74" s="491"/>
      <c r="AD74" s="487"/>
      <c r="AE74" s="489" t="s">
        <v>94</v>
      </c>
      <c r="AF74" s="490"/>
      <c r="AG74" s="490"/>
      <c r="AH74" s="491"/>
      <c r="AI74" s="487"/>
      <c r="AJ74" s="489" t="s">
        <v>94</v>
      </c>
      <c r="AK74" s="490"/>
      <c r="AL74" s="490"/>
      <c r="AM74" s="491"/>
      <c r="AN74" s="487"/>
      <c r="AO74" s="489" t="s">
        <v>94</v>
      </c>
      <c r="AP74" s="490"/>
      <c r="AQ74" s="490"/>
      <c r="AR74" s="491"/>
      <c r="AS74" s="487"/>
      <c r="AT74" s="489" t="s">
        <v>94</v>
      </c>
      <c r="AU74" s="490"/>
      <c r="AV74" s="490"/>
      <c r="AW74" s="491"/>
      <c r="AX74" s="487"/>
    </row>
    <row r="75" spans="2:50" x14ac:dyDescent="0.2">
      <c r="B75" s="487"/>
      <c r="C75" s="487"/>
      <c r="D75" s="487"/>
      <c r="E75" s="372" t="s">
        <v>95</v>
      </c>
      <c r="F75" s="372" t="s">
        <v>96</v>
      </c>
      <c r="G75" s="372" t="s">
        <v>97</v>
      </c>
      <c r="H75" s="495"/>
      <c r="I75" s="372" t="s">
        <v>95</v>
      </c>
      <c r="J75" s="372" t="s">
        <v>96</v>
      </c>
      <c r="K75" s="372" t="s">
        <v>97</v>
      </c>
      <c r="L75" s="495"/>
      <c r="M75" s="499"/>
      <c r="N75" s="498"/>
      <c r="O75" s="498"/>
      <c r="P75" s="372" t="s">
        <v>95</v>
      </c>
      <c r="Q75" s="372" t="s">
        <v>96</v>
      </c>
      <c r="R75" s="372" t="s">
        <v>97</v>
      </c>
      <c r="S75" s="372" t="s">
        <v>90</v>
      </c>
      <c r="T75" s="487"/>
      <c r="U75" s="372" t="s">
        <v>95</v>
      </c>
      <c r="V75" s="372" t="s">
        <v>96</v>
      </c>
      <c r="W75" s="372" t="s">
        <v>97</v>
      </c>
      <c r="X75" s="372" t="s">
        <v>90</v>
      </c>
      <c r="Y75" s="487"/>
      <c r="Z75" s="372" t="s">
        <v>95</v>
      </c>
      <c r="AA75" s="372" t="s">
        <v>96</v>
      </c>
      <c r="AB75" s="372" t="s">
        <v>97</v>
      </c>
      <c r="AC75" s="372" t="s">
        <v>90</v>
      </c>
      <c r="AD75" s="487"/>
      <c r="AE75" s="372" t="s">
        <v>95</v>
      </c>
      <c r="AF75" s="372" t="s">
        <v>96</v>
      </c>
      <c r="AG75" s="372" t="s">
        <v>97</v>
      </c>
      <c r="AH75" s="372" t="s">
        <v>90</v>
      </c>
      <c r="AI75" s="487"/>
      <c r="AJ75" s="372" t="s">
        <v>95</v>
      </c>
      <c r="AK75" s="372" t="s">
        <v>96</v>
      </c>
      <c r="AL75" s="372" t="s">
        <v>97</v>
      </c>
      <c r="AM75" s="372" t="s">
        <v>90</v>
      </c>
      <c r="AN75" s="487"/>
      <c r="AO75" s="372" t="s">
        <v>95</v>
      </c>
      <c r="AP75" s="372" t="s">
        <v>96</v>
      </c>
      <c r="AQ75" s="372" t="s">
        <v>97</v>
      </c>
      <c r="AR75" s="372" t="s">
        <v>90</v>
      </c>
      <c r="AS75" s="487"/>
      <c r="AT75" s="372" t="s">
        <v>95</v>
      </c>
      <c r="AU75" s="372" t="s">
        <v>96</v>
      </c>
      <c r="AV75" s="372" t="s">
        <v>97</v>
      </c>
      <c r="AW75" s="372" t="s">
        <v>90</v>
      </c>
      <c r="AX75" s="487"/>
    </row>
    <row r="76" spans="2:50" ht="13.5" x14ac:dyDescent="0.2">
      <c r="B76" s="512" t="s">
        <v>334</v>
      </c>
      <c r="C76" s="354">
        <v>1</v>
      </c>
      <c r="D76" s="374" t="s">
        <v>112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500">
        <f>AVERAGE(G76:G90)</f>
        <v>124.70503148267852</v>
      </c>
      <c r="I76" s="355">
        <f>AVERAGE(P76,U76,Z76,AE76,AJ76,AO76,AT76)</f>
        <v>13</v>
      </c>
      <c r="J76" s="355">
        <f>AVERAGE(Q76,V76,AA76,AF76,AK76,AP76,AU76)</f>
        <v>2029.1428571428571</v>
      </c>
      <c r="K76" s="348">
        <f>AVERAGE(R76,W76,AB76,AG76,AL76,AQ76,AV76)</f>
        <v>156.08791208791212</v>
      </c>
      <c r="L76" s="500">
        <f>IFERROR(AVERAGE(K76:K93),"-")</f>
        <v>112.78254321760758</v>
      </c>
      <c r="M76" s="355">
        <f>RANK(K76, $K$76:$K$93)</f>
        <v>1</v>
      </c>
      <c r="N76" s="498"/>
      <c r="O76" s="498"/>
      <c r="P76" s="355">
        <v>13</v>
      </c>
      <c r="Q76" s="355">
        <v>2151</v>
      </c>
      <c r="R76" s="378">
        <f>Q76/P76</f>
        <v>165.46153846153845</v>
      </c>
      <c r="S76" s="379">
        <f>RANK(R76, $R$76:$R$93)</f>
        <v>1</v>
      </c>
      <c r="T76" s="500">
        <f>AVERAGE(R76:R93)</f>
        <v>114.42377097473604</v>
      </c>
      <c r="U76" s="355">
        <v>13</v>
      </c>
      <c r="V76" s="355">
        <v>2005</v>
      </c>
      <c r="W76" s="348">
        <f>V76/U76</f>
        <v>154.23076923076923</v>
      </c>
      <c r="X76" s="354">
        <f>RANK(W76, $W$76:$W$93)</f>
        <v>2</v>
      </c>
      <c r="Y76" s="500">
        <f>AVERAGE(W76:W93)</f>
        <v>114.61731779250162</v>
      </c>
      <c r="Z76" s="355">
        <v>13</v>
      </c>
      <c r="AA76" s="355">
        <v>2027</v>
      </c>
      <c r="AB76" s="348">
        <f>AA76/Z76</f>
        <v>155.92307692307693</v>
      </c>
      <c r="AC76" s="354">
        <f>RANK(AB76, $AB$76:$AB$93)</f>
        <v>1</v>
      </c>
      <c r="AD76" s="500">
        <f>AVERAGE(AB76:AB93)</f>
        <v>108.85131521358544</v>
      </c>
      <c r="AE76" s="355">
        <v>13</v>
      </c>
      <c r="AF76" s="355">
        <v>1744</v>
      </c>
      <c r="AG76" s="346">
        <f>AF76/AE76</f>
        <v>134.15384615384616</v>
      </c>
      <c r="AH76" s="354">
        <f>RANK(AG76, $AG$76:$AG$93)</f>
        <v>4</v>
      </c>
      <c r="AI76" s="500">
        <f>AVERAGE(AG76:AG93)</f>
        <v>108.92391507083602</v>
      </c>
      <c r="AJ76" s="355">
        <v>13</v>
      </c>
      <c r="AK76" s="355">
        <v>2102</v>
      </c>
      <c r="AL76" s="348">
        <f>AK76/AJ76</f>
        <v>161.69230769230768</v>
      </c>
      <c r="AM76" s="354">
        <f>RANK(AL76, $AL$76:$AL$93)</f>
        <v>1</v>
      </c>
      <c r="AN76" s="500">
        <f>AVERAGE(AL76:AL93)</f>
        <v>114.03584760827408</v>
      </c>
      <c r="AO76" s="355">
        <v>13</v>
      </c>
      <c r="AP76" s="355">
        <v>2108</v>
      </c>
      <c r="AQ76" s="348">
        <f>AP76/AO76</f>
        <v>162.15384615384616</v>
      </c>
      <c r="AR76" s="354">
        <f>RANK(AQ76, $AQ$76:$AQ$93)</f>
        <v>1</v>
      </c>
      <c r="AS76" s="500">
        <f>AVERAGE(AQ76:AQ93)</f>
        <v>112.36305197559793</v>
      </c>
      <c r="AT76" s="355">
        <v>13</v>
      </c>
      <c r="AU76" s="355">
        <v>2067</v>
      </c>
      <c r="AV76" s="348">
        <f>AU76/AT76</f>
        <v>159</v>
      </c>
      <c r="AW76" s="354">
        <f>RANK(AV76, $AV$76:$AV$93)</f>
        <v>1</v>
      </c>
      <c r="AX76" s="500">
        <f>AVERAGE(AV76:AV93)</f>
        <v>116.26258388772176</v>
      </c>
    </row>
    <row r="77" spans="2:50" x14ac:dyDescent="0.2">
      <c r="B77" s="513"/>
      <c r="C77" s="354">
        <v>2</v>
      </c>
      <c r="D77" s="354" t="s">
        <v>116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93">F77/E77</f>
        <v>150</v>
      </c>
      <c r="H77" s="501"/>
      <c r="I77" s="355">
        <f t="shared" ref="I77:K84" si="94">AVERAGE(P77,U77,Z77,AE77,AJ77,AO77,AT77)</f>
        <v>15</v>
      </c>
      <c r="J77" s="355">
        <f t="shared" si="94"/>
        <v>2061.5714285714284</v>
      </c>
      <c r="K77" s="348">
        <f t="shared" si="94"/>
        <v>137.43809523809526</v>
      </c>
      <c r="L77" s="501"/>
      <c r="M77" s="355">
        <f t="shared" ref="M77:M91" si="95">RANK(K77, $K$76:$K$93)</f>
        <v>5</v>
      </c>
      <c r="N77" s="498"/>
      <c r="O77" s="498"/>
      <c r="P77" s="355">
        <v>15</v>
      </c>
      <c r="Q77" s="355">
        <v>2091</v>
      </c>
      <c r="R77" s="378">
        <f t="shared" ref="R77:R81" si="96">Q77/P77</f>
        <v>139.4</v>
      </c>
      <c r="S77" s="379">
        <f t="shared" ref="S77:S81" si="97">RANK(R77, $R$76:$R$93)</f>
        <v>5</v>
      </c>
      <c r="T77" s="501"/>
      <c r="U77" s="355">
        <v>15</v>
      </c>
      <c r="V77" s="355">
        <v>2105</v>
      </c>
      <c r="W77" s="348">
        <f t="shared" ref="W77:W91" si="98">V77/U77</f>
        <v>140.33333333333334</v>
      </c>
      <c r="X77" s="354">
        <f t="shared" ref="X77:X91" si="99">RANK(W77, $W$76:$W$93)</f>
        <v>4</v>
      </c>
      <c r="Y77" s="501"/>
      <c r="Z77" s="355">
        <v>15</v>
      </c>
      <c r="AA77" s="355">
        <v>2016</v>
      </c>
      <c r="AB77" s="348">
        <f t="shared" ref="AB77:AB91" si="100">AA77/Z77</f>
        <v>134.4</v>
      </c>
      <c r="AC77" s="354">
        <f t="shared" ref="AC77:AC91" si="101">RANK(AB77, $AB$76:$AB$93)</f>
        <v>5</v>
      </c>
      <c r="AD77" s="501"/>
      <c r="AE77" s="355">
        <v>15</v>
      </c>
      <c r="AF77" s="355">
        <v>1836</v>
      </c>
      <c r="AG77" s="346">
        <f t="shared" ref="AG77:AG91" si="102">AF77/AE77</f>
        <v>122.4</v>
      </c>
      <c r="AH77" s="354">
        <f t="shared" ref="AH77:AH91" si="103">RANK(AG77, $AG$76:$AG$93)</f>
        <v>6</v>
      </c>
      <c r="AI77" s="501"/>
      <c r="AJ77" s="355">
        <v>15</v>
      </c>
      <c r="AK77" s="355">
        <v>2135</v>
      </c>
      <c r="AL77" s="348">
        <f t="shared" ref="AL77:AL91" si="104">AK77/AJ77</f>
        <v>142.33333333333334</v>
      </c>
      <c r="AM77" s="354">
        <f t="shared" ref="AM77:AM91" si="105">RANK(AL77, $AL$76:$AL$93)</f>
        <v>4</v>
      </c>
      <c r="AN77" s="501"/>
      <c r="AO77" s="355">
        <v>15</v>
      </c>
      <c r="AP77" s="355">
        <v>2092</v>
      </c>
      <c r="AQ77" s="348">
        <f t="shared" ref="AQ77:AQ91" si="106">AP77/AO77</f>
        <v>139.46666666666667</v>
      </c>
      <c r="AR77" s="354">
        <f t="shared" ref="AR77:AR91" si="107">RANK(AQ77, $AQ$76:$AQ$93)</f>
        <v>4</v>
      </c>
      <c r="AS77" s="501"/>
      <c r="AT77" s="355">
        <v>15</v>
      </c>
      <c r="AU77" s="355">
        <v>2156</v>
      </c>
      <c r="AV77" s="348">
        <f t="shared" ref="AV77:AV91" si="108">AU77/AT77</f>
        <v>143.73333333333332</v>
      </c>
      <c r="AW77" s="354">
        <f t="shared" ref="AW77:AW91" si="109">RANK(AV77, $AV$76:$AV$93)</f>
        <v>4</v>
      </c>
      <c r="AX77" s="501"/>
    </row>
    <row r="78" spans="2:50" x14ac:dyDescent="0.2">
      <c r="B78" s="513"/>
      <c r="C78" s="354">
        <v>3</v>
      </c>
      <c r="D78" s="354" t="s">
        <v>115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93"/>
        <v>150</v>
      </c>
      <c r="H78" s="501"/>
      <c r="I78" s="355">
        <f t="shared" si="94"/>
        <v>15</v>
      </c>
      <c r="J78" s="355">
        <f t="shared" si="94"/>
        <v>2070.8571428571427</v>
      </c>
      <c r="K78" s="348">
        <f t="shared" si="94"/>
        <v>138.05714285714285</v>
      </c>
      <c r="L78" s="501"/>
      <c r="M78" s="355">
        <f t="shared" si="95"/>
        <v>4</v>
      </c>
      <c r="N78" s="498"/>
      <c r="O78" s="498"/>
      <c r="P78" s="355">
        <v>15</v>
      </c>
      <c r="Q78" s="355">
        <v>2166</v>
      </c>
      <c r="R78" s="378">
        <f t="shared" si="96"/>
        <v>144.4</v>
      </c>
      <c r="S78" s="379">
        <f t="shared" si="97"/>
        <v>3</v>
      </c>
      <c r="T78" s="501"/>
      <c r="U78" s="355">
        <v>15</v>
      </c>
      <c r="V78" s="355">
        <v>2130</v>
      </c>
      <c r="W78" s="348">
        <f t="shared" si="98"/>
        <v>142</v>
      </c>
      <c r="X78" s="354">
        <f t="shared" si="99"/>
        <v>3</v>
      </c>
      <c r="Y78" s="501"/>
      <c r="Z78" s="355">
        <v>15</v>
      </c>
      <c r="AA78" s="355">
        <v>2035</v>
      </c>
      <c r="AB78" s="348">
        <f t="shared" si="100"/>
        <v>135.66666666666666</v>
      </c>
      <c r="AC78" s="354">
        <f t="shared" si="101"/>
        <v>4</v>
      </c>
      <c r="AD78" s="501"/>
      <c r="AE78" s="355">
        <v>15</v>
      </c>
      <c r="AF78" s="355">
        <v>1959</v>
      </c>
      <c r="AG78" s="346">
        <f t="shared" si="102"/>
        <v>130.6</v>
      </c>
      <c r="AH78" s="354">
        <f t="shared" si="103"/>
        <v>5</v>
      </c>
      <c r="AI78" s="501"/>
      <c r="AJ78" s="355">
        <v>15</v>
      </c>
      <c r="AK78" s="355">
        <v>1903</v>
      </c>
      <c r="AL78" s="346">
        <f t="shared" si="104"/>
        <v>126.86666666666666</v>
      </c>
      <c r="AM78" s="354">
        <f t="shared" si="105"/>
        <v>6</v>
      </c>
      <c r="AN78" s="501"/>
      <c r="AO78" s="355">
        <v>15</v>
      </c>
      <c r="AP78" s="355">
        <v>2081</v>
      </c>
      <c r="AQ78" s="348">
        <f t="shared" si="106"/>
        <v>138.73333333333332</v>
      </c>
      <c r="AR78" s="354">
        <f t="shared" si="107"/>
        <v>5</v>
      </c>
      <c r="AS78" s="501"/>
      <c r="AT78" s="355">
        <v>15</v>
      </c>
      <c r="AU78" s="355">
        <v>2222</v>
      </c>
      <c r="AV78" s="348">
        <f t="shared" si="108"/>
        <v>148.13333333333333</v>
      </c>
      <c r="AW78" s="354">
        <f t="shared" si="109"/>
        <v>3</v>
      </c>
      <c r="AX78" s="501"/>
    </row>
    <row r="79" spans="2:50" x14ac:dyDescent="0.2">
      <c r="B79" s="513"/>
      <c r="C79" s="354">
        <v>4</v>
      </c>
      <c r="D79" s="354" t="s">
        <v>169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93"/>
        <v>112.5</v>
      </c>
      <c r="H79" s="501"/>
      <c r="I79" s="355">
        <f t="shared" si="94"/>
        <v>15.714285714285714</v>
      </c>
      <c r="J79" s="355">
        <f t="shared" si="94"/>
        <v>1628.4285714285713</v>
      </c>
      <c r="K79" s="348">
        <f t="shared" si="94"/>
        <v>103.65119047619046</v>
      </c>
      <c r="L79" s="501"/>
      <c r="M79" s="355">
        <f t="shared" si="95"/>
        <v>10</v>
      </c>
      <c r="N79" s="498"/>
      <c r="O79" s="498"/>
      <c r="P79" s="355">
        <v>16</v>
      </c>
      <c r="Q79" s="355">
        <v>1653</v>
      </c>
      <c r="R79" s="378">
        <f t="shared" si="96"/>
        <v>103.3125</v>
      </c>
      <c r="S79" s="379">
        <f t="shared" si="97"/>
        <v>10</v>
      </c>
      <c r="T79" s="501"/>
      <c r="U79" s="355">
        <v>16</v>
      </c>
      <c r="V79" s="355">
        <v>1645</v>
      </c>
      <c r="W79" s="348">
        <f t="shared" si="98"/>
        <v>102.8125</v>
      </c>
      <c r="X79" s="354">
        <f t="shared" si="99"/>
        <v>9</v>
      </c>
      <c r="Y79" s="501"/>
      <c r="Z79" s="355">
        <v>16</v>
      </c>
      <c r="AA79" s="355">
        <v>1633</v>
      </c>
      <c r="AB79" s="348">
        <f t="shared" si="100"/>
        <v>102.0625</v>
      </c>
      <c r="AC79" s="354">
        <f t="shared" si="101"/>
        <v>9</v>
      </c>
      <c r="AD79" s="501"/>
      <c r="AE79" s="355">
        <v>16</v>
      </c>
      <c r="AF79" s="355">
        <v>1637</v>
      </c>
      <c r="AG79" s="348">
        <f t="shared" si="102"/>
        <v>102.3125</v>
      </c>
      <c r="AH79" s="354">
        <f t="shared" si="103"/>
        <v>9</v>
      </c>
      <c r="AI79" s="501"/>
      <c r="AJ79" s="359">
        <v>15</v>
      </c>
      <c r="AK79" s="355">
        <v>1532</v>
      </c>
      <c r="AL79" s="348">
        <f t="shared" si="104"/>
        <v>102.13333333333334</v>
      </c>
      <c r="AM79" s="354">
        <f t="shared" si="105"/>
        <v>10</v>
      </c>
      <c r="AN79" s="501"/>
      <c r="AO79" s="355">
        <v>16</v>
      </c>
      <c r="AP79" s="355">
        <v>1682</v>
      </c>
      <c r="AQ79" s="348">
        <f t="shared" si="106"/>
        <v>105.125</v>
      </c>
      <c r="AR79" s="354">
        <f t="shared" si="107"/>
        <v>9</v>
      </c>
      <c r="AS79" s="501"/>
      <c r="AT79" s="359">
        <v>15</v>
      </c>
      <c r="AU79" s="355">
        <v>1617</v>
      </c>
      <c r="AV79" s="348">
        <f t="shared" si="108"/>
        <v>107.8</v>
      </c>
      <c r="AW79" s="354">
        <f t="shared" si="109"/>
        <v>10</v>
      </c>
      <c r="AX79" s="501"/>
    </row>
    <row r="80" spans="2:50" ht="13.5" x14ac:dyDescent="0.2">
      <c r="B80" s="513"/>
      <c r="C80" s="354">
        <v>5</v>
      </c>
      <c r="D80" s="374" t="s">
        <v>114</v>
      </c>
      <c r="E80" s="355">
        <v>14</v>
      </c>
      <c r="F80" s="355">
        <f>VLOOKUP(D80,'12產線配置圖'!$A$2:$C$25,3,0)</f>
        <v>2250</v>
      </c>
      <c r="G80" s="348">
        <f t="shared" si="93"/>
        <v>160.71428571428572</v>
      </c>
      <c r="H80" s="501"/>
      <c r="I80" s="355">
        <f t="shared" si="94"/>
        <v>14</v>
      </c>
      <c r="J80" s="355">
        <f>AVERAGE(Q80,V80,AA80,AF80,AK80,AP80,AU80)</f>
        <v>2082.2857142857142</v>
      </c>
      <c r="K80" s="348">
        <f t="shared" si="94"/>
        <v>148.73469387755102</v>
      </c>
      <c r="L80" s="501"/>
      <c r="M80" s="355">
        <f t="shared" si="95"/>
        <v>2</v>
      </c>
      <c r="N80" s="498"/>
      <c r="O80" s="498"/>
      <c r="P80" s="355">
        <v>14</v>
      </c>
      <c r="Q80" s="355">
        <v>2107</v>
      </c>
      <c r="R80" s="378">
        <f t="shared" si="96"/>
        <v>150.5</v>
      </c>
      <c r="S80" s="379">
        <f t="shared" si="97"/>
        <v>2</v>
      </c>
      <c r="T80" s="501"/>
      <c r="U80" s="355">
        <v>14</v>
      </c>
      <c r="V80" s="355">
        <v>2248</v>
      </c>
      <c r="W80" s="348">
        <f t="shared" si="98"/>
        <v>160.57142857142858</v>
      </c>
      <c r="X80" s="354">
        <f t="shared" si="99"/>
        <v>1</v>
      </c>
      <c r="Y80" s="501"/>
      <c r="Z80" s="355">
        <v>14</v>
      </c>
      <c r="AA80" s="355">
        <v>2076</v>
      </c>
      <c r="AB80" s="348">
        <f t="shared" si="100"/>
        <v>148.28571428571428</v>
      </c>
      <c r="AC80" s="354">
        <f t="shared" si="101"/>
        <v>2</v>
      </c>
      <c r="AD80" s="501"/>
      <c r="AE80" s="355">
        <v>14</v>
      </c>
      <c r="AF80" s="355">
        <v>2055</v>
      </c>
      <c r="AG80" s="348">
        <f t="shared" si="102"/>
        <v>146.78571428571428</v>
      </c>
      <c r="AH80" s="354">
        <f t="shared" si="103"/>
        <v>1</v>
      </c>
      <c r="AI80" s="501"/>
      <c r="AJ80" s="355">
        <v>14</v>
      </c>
      <c r="AK80" s="355">
        <v>2005</v>
      </c>
      <c r="AL80" s="348">
        <f t="shared" si="104"/>
        <v>143.21428571428572</v>
      </c>
      <c r="AM80" s="354">
        <f t="shared" si="105"/>
        <v>2</v>
      </c>
      <c r="AN80" s="501"/>
      <c r="AO80" s="355">
        <v>14</v>
      </c>
      <c r="AP80" s="355">
        <v>1994</v>
      </c>
      <c r="AQ80" s="348">
        <f t="shared" si="106"/>
        <v>142.42857142857142</v>
      </c>
      <c r="AR80" s="354">
        <f t="shared" si="107"/>
        <v>2</v>
      </c>
      <c r="AS80" s="501"/>
      <c r="AT80" s="355">
        <v>14</v>
      </c>
      <c r="AU80" s="355">
        <v>2091</v>
      </c>
      <c r="AV80" s="348">
        <f t="shared" si="108"/>
        <v>149.35714285714286</v>
      </c>
      <c r="AW80" s="354">
        <f t="shared" si="109"/>
        <v>2</v>
      </c>
      <c r="AX80" s="501"/>
    </row>
    <row r="81" spans="2:50" ht="13.5" customHeight="1" x14ac:dyDescent="0.2">
      <c r="B81" s="513"/>
      <c r="C81" s="354">
        <v>6</v>
      </c>
      <c r="D81" s="354" t="s">
        <v>161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93"/>
        <v>114.26666666666667</v>
      </c>
      <c r="H81" s="501"/>
      <c r="I81" s="355">
        <f>AVERAGE(P81,U81,Z81,AE81,AJ81,AO81,AT81)</f>
        <v>14.857142857142858</v>
      </c>
      <c r="J81" s="355">
        <f>AVERAGE(Q81,V81,AA81,AF81,AK81,AP81,AU81)</f>
        <v>1592.4285714285713</v>
      </c>
      <c r="K81" s="348">
        <f>AVERAGE(R81,W81,AB81,AG81,AL81,AQ81,AV81)</f>
        <v>107.20340136054423</v>
      </c>
      <c r="L81" s="501"/>
      <c r="M81" s="355">
        <f t="shared" si="95"/>
        <v>8</v>
      </c>
      <c r="N81" s="498"/>
      <c r="O81" s="498"/>
      <c r="P81" s="355">
        <v>15</v>
      </c>
      <c r="Q81" s="355">
        <v>1564</v>
      </c>
      <c r="R81" s="378">
        <f t="shared" si="96"/>
        <v>104.26666666666667</v>
      </c>
      <c r="S81" s="379">
        <f t="shared" si="97"/>
        <v>9</v>
      </c>
      <c r="T81" s="501"/>
      <c r="U81" s="355">
        <v>15</v>
      </c>
      <c r="V81" s="355">
        <v>1524</v>
      </c>
      <c r="W81" s="348">
        <f t="shared" si="98"/>
        <v>101.6</v>
      </c>
      <c r="X81" s="354">
        <f t="shared" si="99"/>
        <v>10</v>
      </c>
      <c r="Y81" s="501"/>
      <c r="Z81" s="359">
        <v>14</v>
      </c>
      <c r="AA81" s="355">
        <v>1531</v>
      </c>
      <c r="AB81" s="348">
        <f t="shared" si="100"/>
        <v>109.35714285714286</v>
      </c>
      <c r="AC81" s="354">
        <f t="shared" si="101"/>
        <v>7</v>
      </c>
      <c r="AD81" s="501"/>
      <c r="AE81" s="355">
        <v>15</v>
      </c>
      <c r="AF81" s="355">
        <v>1666</v>
      </c>
      <c r="AG81" s="348">
        <f t="shared" si="102"/>
        <v>111.06666666666666</v>
      </c>
      <c r="AH81" s="354">
        <f t="shared" si="103"/>
        <v>7</v>
      </c>
      <c r="AI81" s="501"/>
      <c r="AJ81" s="355">
        <v>15</v>
      </c>
      <c r="AK81" s="355">
        <v>1645</v>
      </c>
      <c r="AL81" s="348">
        <f t="shared" si="104"/>
        <v>109.66666666666667</v>
      </c>
      <c r="AM81" s="354">
        <f t="shared" si="105"/>
        <v>8</v>
      </c>
      <c r="AN81" s="501"/>
      <c r="AO81" s="355">
        <v>15</v>
      </c>
      <c r="AP81" s="355">
        <v>1556</v>
      </c>
      <c r="AQ81" s="348">
        <f t="shared" si="106"/>
        <v>103.73333333333333</v>
      </c>
      <c r="AR81" s="354">
        <f t="shared" si="107"/>
        <v>10</v>
      </c>
      <c r="AS81" s="501"/>
      <c r="AT81" s="355">
        <v>15</v>
      </c>
      <c r="AU81" s="355">
        <v>1661</v>
      </c>
      <c r="AV81" s="348">
        <f t="shared" si="108"/>
        <v>110.73333333333333</v>
      </c>
      <c r="AW81" s="354">
        <f t="shared" si="109"/>
        <v>9</v>
      </c>
      <c r="AX81" s="501"/>
    </row>
    <row r="82" spans="2:50" x14ac:dyDescent="0.2">
      <c r="B82" s="513"/>
      <c r="C82" s="354">
        <v>7</v>
      </c>
      <c r="D82" s="354" t="s">
        <v>221</v>
      </c>
      <c r="E82" s="355">
        <f>VLOOKUP(D82,'12產線配置圖'!$A$2:$C$25,2,0)</f>
        <v>17</v>
      </c>
      <c r="F82" s="355">
        <v>1800</v>
      </c>
      <c r="G82" s="348">
        <f t="shared" si="93"/>
        <v>105.88235294117646</v>
      </c>
      <c r="H82" s="501"/>
      <c r="I82" s="355">
        <f>AVERAGE(P82,U82,Z82,AE82,AJ82,AO82,AT82)</f>
        <v>16.571428571428573</v>
      </c>
      <c r="J82" s="355">
        <f>AVERAGE(Q82,V82,AA82,AF82,AK82,AP82,AU82)</f>
        <v>1583.4285714285713</v>
      </c>
      <c r="K82" s="348">
        <f>AVERAGE(R82,W82,AB82,AG82,AL82,AQ82,AV82)</f>
        <v>95.571428571428569</v>
      </c>
      <c r="L82" s="501"/>
      <c r="M82" s="355">
        <f t="shared" si="95"/>
        <v>11</v>
      </c>
      <c r="N82" s="498"/>
      <c r="O82" s="498"/>
      <c r="P82" s="355">
        <v>17</v>
      </c>
      <c r="Q82" s="355">
        <v>1626</v>
      </c>
      <c r="R82" s="378">
        <f t="shared" ref="R82:R86" si="110">Q82/P82</f>
        <v>95.647058823529406</v>
      </c>
      <c r="S82" s="379">
        <f t="shared" ref="S82:S86" si="111">RANK(R82, $R$76:$R$93)</f>
        <v>11</v>
      </c>
      <c r="T82" s="501"/>
      <c r="U82" s="355">
        <v>17</v>
      </c>
      <c r="V82" s="355">
        <v>1703</v>
      </c>
      <c r="W82" s="348">
        <f t="shared" si="98"/>
        <v>100.17647058823529</v>
      </c>
      <c r="X82" s="354">
        <f t="shared" si="99"/>
        <v>11</v>
      </c>
      <c r="Y82" s="501"/>
      <c r="Z82" s="355">
        <v>17</v>
      </c>
      <c r="AA82" s="355">
        <v>1503</v>
      </c>
      <c r="AB82" s="346">
        <f t="shared" si="100"/>
        <v>88.411764705882348</v>
      </c>
      <c r="AC82" s="354">
        <f t="shared" si="101"/>
        <v>11</v>
      </c>
      <c r="AD82" s="501"/>
      <c r="AE82" s="359">
        <v>16</v>
      </c>
      <c r="AF82" s="355">
        <v>1459</v>
      </c>
      <c r="AG82" s="348">
        <f t="shared" si="102"/>
        <v>91.1875</v>
      </c>
      <c r="AH82" s="354">
        <f t="shared" si="103"/>
        <v>12</v>
      </c>
      <c r="AI82" s="501"/>
      <c r="AJ82" s="359">
        <v>16</v>
      </c>
      <c r="AK82" s="355">
        <v>1602</v>
      </c>
      <c r="AL82" s="348">
        <f t="shared" si="104"/>
        <v>100.125</v>
      </c>
      <c r="AM82" s="354">
        <f t="shared" si="105"/>
        <v>11</v>
      </c>
      <c r="AN82" s="501"/>
      <c r="AO82" s="355">
        <v>17</v>
      </c>
      <c r="AP82" s="355">
        <v>1628</v>
      </c>
      <c r="AQ82" s="348">
        <f t="shared" si="106"/>
        <v>95.764705882352942</v>
      </c>
      <c r="AR82" s="354">
        <f t="shared" si="107"/>
        <v>11</v>
      </c>
      <c r="AS82" s="501"/>
      <c r="AT82" s="359">
        <v>16</v>
      </c>
      <c r="AU82" s="355">
        <v>1563</v>
      </c>
      <c r="AV82" s="348">
        <f t="shared" si="108"/>
        <v>97.6875</v>
      </c>
      <c r="AW82" s="354">
        <f t="shared" si="109"/>
        <v>11</v>
      </c>
      <c r="AX82" s="501"/>
    </row>
    <row r="83" spans="2:50" x14ac:dyDescent="0.2">
      <c r="B83" s="513"/>
      <c r="C83" s="354">
        <v>8</v>
      </c>
      <c r="D83" s="354" t="s">
        <v>127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93"/>
        <v>96.235294117647058</v>
      </c>
      <c r="H83" s="501"/>
      <c r="I83" s="355">
        <f t="shared" si="94"/>
        <v>17</v>
      </c>
      <c r="J83" s="355">
        <f t="shared" si="94"/>
        <v>1478</v>
      </c>
      <c r="K83" s="348">
        <f t="shared" si="94"/>
        <v>87.041491596638679</v>
      </c>
      <c r="L83" s="501"/>
      <c r="M83" s="355">
        <f t="shared" si="95"/>
        <v>12</v>
      </c>
      <c r="N83" s="498"/>
      <c r="O83" s="498"/>
      <c r="P83" s="354">
        <v>17</v>
      </c>
      <c r="Q83" s="355">
        <v>1565</v>
      </c>
      <c r="R83" s="378">
        <f t="shared" si="110"/>
        <v>92.058823529411768</v>
      </c>
      <c r="S83" s="379">
        <f t="shared" si="111"/>
        <v>12</v>
      </c>
      <c r="T83" s="501"/>
      <c r="U83" s="354">
        <v>17</v>
      </c>
      <c r="V83" s="355">
        <v>1434</v>
      </c>
      <c r="W83" s="346">
        <f t="shared" si="98"/>
        <v>84.352941176470594</v>
      </c>
      <c r="X83" s="354">
        <f t="shared" si="99"/>
        <v>15</v>
      </c>
      <c r="Y83" s="501"/>
      <c r="Z83" s="354">
        <v>17</v>
      </c>
      <c r="AA83" s="355">
        <v>1398</v>
      </c>
      <c r="AB83" s="346">
        <f t="shared" si="100"/>
        <v>82.235294117647058</v>
      </c>
      <c r="AC83" s="354">
        <f t="shared" si="101"/>
        <v>13</v>
      </c>
      <c r="AD83" s="501"/>
      <c r="AE83" s="358">
        <v>16</v>
      </c>
      <c r="AF83" s="355">
        <v>1511</v>
      </c>
      <c r="AG83" s="348">
        <f t="shared" si="102"/>
        <v>94.4375</v>
      </c>
      <c r="AH83" s="354">
        <f t="shared" si="103"/>
        <v>11</v>
      </c>
      <c r="AI83" s="501"/>
      <c r="AJ83" s="354">
        <v>17</v>
      </c>
      <c r="AK83" s="355">
        <v>1500</v>
      </c>
      <c r="AL83" s="346">
        <f t="shared" si="104"/>
        <v>88.235294117647058</v>
      </c>
      <c r="AM83" s="354">
        <f t="shared" si="105"/>
        <v>12</v>
      </c>
      <c r="AN83" s="501"/>
      <c r="AO83" s="411">
        <v>18</v>
      </c>
      <c r="AP83" s="355">
        <v>1485</v>
      </c>
      <c r="AQ83" s="346">
        <f t="shared" si="106"/>
        <v>82.5</v>
      </c>
      <c r="AR83" s="354">
        <f t="shared" si="107"/>
        <v>15</v>
      </c>
      <c r="AS83" s="501"/>
      <c r="AT83" s="354">
        <v>17</v>
      </c>
      <c r="AU83" s="355">
        <v>1453</v>
      </c>
      <c r="AV83" s="346">
        <f t="shared" si="108"/>
        <v>85.470588235294116</v>
      </c>
      <c r="AW83" s="354">
        <f t="shared" si="109"/>
        <v>13</v>
      </c>
      <c r="AX83" s="501"/>
    </row>
    <row r="84" spans="2:50" x14ac:dyDescent="0.2">
      <c r="B84" s="513"/>
      <c r="C84" s="354">
        <v>9</v>
      </c>
      <c r="D84" s="354" t="s">
        <v>164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93"/>
        <v>110.76923076923077</v>
      </c>
      <c r="H84" s="501"/>
      <c r="I84" s="355">
        <f t="shared" si="94"/>
        <v>12.428571428571429</v>
      </c>
      <c r="J84" s="355">
        <f t="shared" ref="J84:K86" si="112">AVERAGE(Q84,V84,AA84,AF84,AK84,AP84,AU84)</f>
        <v>1309.5714285714287</v>
      </c>
      <c r="K84" s="348">
        <f t="shared" si="112"/>
        <v>106.07448107448108</v>
      </c>
      <c r="L84" s="501"/>
      <c r="M84" s="355">
        <f t="shared" si="95"/>
        <v>9</v>
      </c>
      <c r="N84" s="498"/>
      <c r="O84" s="498"/>
      <c r="P84" s="354">
        <v>13</v>
      </c>
      <c r="Q84" s="355">
        <v>1380</v>
      </c>
      <c r="R84" s="378">
        <f t="shared" si="110"/>
        <v>106.15384615384616</v>
      </c>
      <c r="S84" s="379">
        <f t="shared" si="111"/>
        <v>8</v>
      </c>
      <c r="T84" s="501"/>
      <c r="U84" s="354">
        <v>13</v>
      </c>
      <c r="V84" s="355">
        <v>1368</v>
      </c>
      <c r="W84" s="348">
        <f t="shared" si="98"/>
        <v>105.23076923076923</v>
      </c>
      <c r="X84" s="354">
        <f t="shared" si="99"/>
        <v>8</v>
      </c>
      <c r="Y84" s="501"/>
      <c r="Z84" s="354">
        <v>13</v>
      </c>
      <c r="AA84" s="355">
        <v>1314</v>
      </c>
      <c r="AB84" s="348">
        <f t="shared" si="100"/>
        <v>101.07692307692308</v>
      </c>
      <c r="AC84" s="354">
        <f t="shared" si="101"/>
        <v>10</v>
      </c>
      <c r="AD84" s="501"/>
      <c r="AE84" s="354">
        <v>13</v>
      </c>
      <c r="AF84" s="355">
        <v>1256</v>
      </c>
      <c r="AG84" s="348">
        <f t="shared" si="102"/>
        <v>96.615384615384613</v>
      </c>
      <c r="AH84" s="354">
        <f t="shared" si="103"/>
        <v>10</v>
      </c>
      <c r="AI84" s="501"/>
      <c r="AJ84" s="354">
        <v>13</v>
      </c>
      <c r="AK84" s="355">
        <v>1383</v>
      </c>
      <c r="AL84" s="348">
        <f t="shared" si="104"/>
        <v>106.38461538461539</v>
      </c>
      <c r="AM84" s="354">
        <f t="shared" si="105"/>
        <v>9</v>
      </c>
      <c r="AN84" s="501"/>
      <c r="AO84" s="354">
        <v>13</v>
      </c>
      <c r="AP84" s="355">
        <v>1373</v>
      </c>
      <c r="AQ84" s="348">
        <f t="shared" si="106"/>
        <v>105.61538461538461</v>
      </c>
      <c r="AR84" s="354">
        <f t="shared" si="107"/>
        <v>8</v>
      </c>
      <c r="AS84" s="501"/>
      <c r="AT84" s="358">
        <v>9</v>
      </c>
      <c r="AU84" s="355">
        <v>1093</v>
      </c>
      <c r="AV84" s="348">
        <f t="shared" si="108"/>
        <v>121.44444444444444</v>
      </c>
      <c r="AW84" s="354">
        <f t="shared" si="109"/>
        <v>8</v>
      </c>
      <c r="AX84" s="501"/>
    </row>
    <row r="85" spans="2:50" x14ac:dyDescent="0.2">
      <c r="B85" s="513"/>
      <c r="C85" s="354">
        <v>10</v>
      </c>
      <c r="D85" s="354" t="s">
        <v>159</v>
      </c>
      <c r="E85" s="355">
        <f>VLOOKUP(D85,'12產線配置圖'!$A$2:$C$25,2,0)</f>
        <v>17</v>
      </c>
      <c r="F85" s="355">
        <f>VLOOKUP(D85,'12產線配置圖'!$A$2:$C$25,3,0)</f>
        <v>2250</v>
      </c>
      <c r="G85" s="348">
        <f t="shared" si="93"/>
        <v>132.35294117647058</v>
      </c>
      <c r="H85" s="501"/>
      <c r="I85" s="355">
        <f>AVERAGE(P85,U85,Z85,AE85,AJ85,AO85,AT85)</f>
        <v>17</v>
      </c>
      <c r="J85" s="355">
        <f t="shared" si="112"/>
        <v>2003.5714285714287</v>
      </c>
      <c r="K85" s="348">
        <f t="shared" si="112"/>
        <v>117.85714285714285</v>
      </c>
      <c r="L85" s="501"/>
      <c r="M85" s="355">
        <f t="shared" si="95"/>
        <v>7</v>
      </c>
      <c r="N85" s="498"/>
      <c r="O85" s="498"/>
      <c r="P85" s="354">
        <v>17</v>
      </c>
      <c r="Q85" s="355">
        <v>2103</v>
      </c>
      <c r="R85" s="378">
        <f t="shared" si="110"/>
        <v>123.70588235294117</v>
      </c>
      <c r="S85" s="379">
        <f t="shared" si="111"/>
        <v>7</v>
      </c>
      <c r="T85" s="501"/>
      <c r="U85" s="354">
        <v>17</v>
      </c>
      <c r="V85" s="355">
        <v>2038</v>
      </c>
      <c r="W85" s="348">
        <f t="shared" si="98"/>
        <v>119.88235294117646</v>
      </c>
      <c r="X85" s="354">
        <f t="shared" si="99"/>
        <v>7</v>
      </c>
      <c r="Y85" s="501"/>
      <c r="Z85" s="354">
        <v>17</v>
      </c>
      <c r="AA85" s="355">
        <v>1849</v>
      </c>
      <c r="AB85" s="348">
        <f t="shared" si="100"/>
        <v>108.76470588235294</v>
      </c>
      <c r="AC85" s="354">
        <f t="shared" si="101"/>
        <v>8</v>
      </c>
      <c r="AD85" s="501"/>
      <c r="AE85" s="354">
        <v>17</v>
      </c>
      <c r="AF85" s="355">
        <v>1801</v>
      </c>
      <c r="AG85" s="346">
        <f t="shared" si="102"/>
        <v>105.94117647058823</v>
      </c>
      <c r="AH85" s="354">
        <f t="shared" si="103"/>
        <v>8</v>
      </c>
      <c r="AI85" s="501"/>
      <c r="AJ85" s="354">
        <v>17</v>
      </c>
      <c r="AK85" s="355">
        <v>2121</v>
      </c>
      <c r="AL85" s="348">
        <f t="shared" si="104"/>
        <v>124.76470588235294</v>
      </c>
      <c r="AM85" s="354">
        <f t="shared" si="105"/>
        <v>7</v>
      </c>
      <c r="AN85" s="501"/>
      <c r="AO85" s="354">
        <v>17</v>
      </c>
      <c r="AP85" s="355">
        <v>1985</v>
      </c>
      <c r="AQ85" s="348">
        <f t="shared" si="106"/>
        <v>116.76470588235294</v>
      </c>
      <c r="AR85" s="354">
        <f t="shared" si="107"/>
        <v>7</v>
      </c>
      <c r="AS85" s="501"/>
      <c r="AT85" s="354">
        <v>17</v>
      </c>
      <c r="AU85" s="355">
        <v>2128</v>
      </c>
      <c r="AV85" s="348">
        <f t="shared" si="108"/>
        <v>125.17647058823529</v>
      </c>
      <c r="AW85" s="354">
        <f t="shared" si="109"/>
        <v>7</v>
      </c>
      <c r="AX85" s="501"/>
    </row>
    <row r="86" spans="2:50" x14ac:dyDescent="0.2">
      <c r="B86" s="513"/>
      <c r="C86" s="354">
        <v>11</v>
      </c>
      <c r="D86" s="354" t="s">
        <v>379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93"/>
        <v>150</v>
      </c>
      <c r="H86" s="501"/>
      <c r="I86" s="355">
        <f>AVERAGE(P86,U86,Z86,AE86,AJ86,AO86,AT86)</f>
        <v>15</v>
      </c>
      <c r="J86" s="355">
        <f t="shared" si="112"/>
        <v>1995.8571428571429</v>
      </c>
      <c r="K86" s="348">
        <f t="shared" si="112"/>
        <v>133.05714285714288</v>
      </c>
      <c r="L86" s="501"/>
      <c r="M86" s="355">
        <f t="shared" si="95"/>
        <v>6</v>
      </c>
      <c r="N86" s="498"/>
      <c r="O86" s="498"/>
      <c r="P86" s="354">
        <v>15</v>
      </c>
      <c r="Q86" s="354">
        <v>1907</v>
      </c>
      <c r="R86" s="378">
        <f t="shared" si="110"/>
        <v>127.13333333333334</v>
      </c>
      <c r="S86" s="379">
        <f t="shared" si="111"/>
        <v>6</v>
      </c>
      <c r="T86" s="501"/>
      <c r="U86" s="354">
        <v>15</v>
      </c>
      <c r="V86" s="354">
        <v>2012</v>
      </c>
      <c r="W86" s="348">
        <f t="shared" si="98"/>
        <v>134.13333333333333</v>
      </c>
      <c r="X86" s="354">
        <f t="shared" si="99"/>
        <v>6</v>
      </c>
      <c r="Y86" s="501"/>
      <c r="Z86" s="354">
        <v>15</v>
      </c>
      <c r="AA86" s="354">
        <v>1897</v>
      </c>
      <c r="AB86" s="348">
        <f t="shared" si="100"/>
        <v>126.46666666666667</v>
      </c>
      <c r="AC86" s="354">
        <f t="shared" si="101"/>
        <v>6</v>
      </c>
      <c r="AD86" s="501"/>
      <c r="AE86" s="354">
        <v>15</v>
      </c>
      <c r="AF86" s="354">
        <v>2067</v>
      </c>
      <c r="AG86" s="348">
        <f t="shared" si="102"/>
        <v>137.80000000000001</v>
      </c>
      <c r="AH86" s="354">
        <f t="shared" si="103"/>
        <v>3</v>
      </c>
      <c r="AI86" s="501"/>
      <c r="AJ86" s="354">
        <v>15</v>
      </c>
      <c r="AK86" s="354">
        <v>2129</v>
      </c>
      <c r="AL86" s="348">
        <f t="shared" si="104"/>
        <v>141.93333333333334</v>
      </c>
      <c r="AM86" s="354">
        <f t="shared" si="105"/>
        <v>5</v>
      </c>
      <c r="AN86" s="501"/>
      <c r="AO86" s="354">
        <v>15</v>
      </c>
      <c r="AP86" s="354">
        <v>1982</v>
      </c>
      <c r="AQ86" s="348">
        <f t="shared" si="106"/>
        <v>132.13333333333333</v>
      </c>
      <c r="AR86" s="354">
        <f t="shared" si="107"/>
        <v>6</v>
      </c>
      <c r="AS86" s="501"/>
      <c r="AT86" s="354">
        <v>15</v>
      </c>
      <c r="AU86" s="354">
        <v>1977</v>
      </c>
      <c r="AV86" s="348">
        <f t="shared" si="108"/>
        <v>131.80000000000001</v>
      </c>
      <c r="AW86" s="354">
        <f t="shared" si="109"/>
        <v>6</v>
      </c>
      <c r="AX86" s="501"/>
    </row>
    <row r="87" spans="2:50" x14ac:dyDescent="0.2">
      <c r="B87" s="513"/>
      <c r="C87" s="354">
        <v>12</v>
      </c>
      <c r="D87" s="354" t="s">
        <v>117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93"/>
        <v>150</v>
      </c>
      <c r="H87" s="501"/>
      <c r="I87" s="355">
        <f t="shared" ref="I87:I88" si="113">AVERAGE(P87,U87,Z87,AE87,AJ87,AO87,AT87)</f>
        <v>15</v>
      </c>
      <c r="J87" s="355">
        <f t="shared" ref="J87:J88" si="114">AVERAGE(Q87,V87,AA87,AF87,AK87,AP87,AU87)</f>
        <v>2112.7142857142858</v>
      </c>
      <c r="K87" s="348">
        <f t="shared" ref="K87:K88" si="115">AVERAGE(R87,W87,AB87,AG87,AL87,AQ87,AV87)</f>
        <v>140.84761904761905</v>
      </c>
      <c r="L87" s="501"/>
      <c r="M87" s="355">
        <f t="shared" si="95"/>
        <v>3</v>
      </c>
      <c r="N87" s="498"/>
      <c r="O87" s="498"/>
      <c r="P87" s="354">
        <v>15</v>
      </c>
      <c r="Q87" s="354">
        <v>2126</v>
      </c>
      <c r="R87" s="378">
        <f t="shared" ref="R87:R88" si="116">Q87/P87</f>
        <v>141.73333333333332</v>
      </c>
      <c r="S87" s="379">
        <f t="shared" ref="S87:S88" si="117">RANK(R87, $R$76:$R$93)</f>
        <v>4</v>
      </c>
      <c r="T87" s="501"/>
      <c r="U87" s="354">
        <v>15</v>
      </c>
      <c r="V87" s="354">
        <v>2096</v>
      </c>
      <c r="W87" s="348">
        <f t="shared" si="98"/>
        <v>139.73333333333332</v>
      </c>
      <c r="X87" s="354">
        <f t="shared" si="99"/>
        <v>5</v>
      </c>
      <c r="Y87" s="501"/>
      <c r="Z87" s="354">
        <v>15</v>
      </c>
      <c r="AA87" s="354">
        <v>2088</v>
      </c>
      <c r="AB87" s="348">
        <f t="shared" si="100"/>
        <v>139.19999999999999</v>
      </c>
      <c r="AC87" s="354">
        <f t="shared" si="101"/>
        <v>3</v>
      </c>
      <c r="AD87" s="501"/>
      <c r="AE87" s="354">
        <v>15</v>
      </c>
      <c r="AF87" s="354">
        <v>2109</v>
      </c>
      <c r="AG87" s="348">
        <f t="shared" si="102"/>
        <v>140.6</v>
      </c>
      <c r="AH87" s="354">
        <f t="shared" si="103"/>
        <v>2</v>
      </c>
      <c r="AI87" s="501"/>
      <c r="AJ87" s="354">
        <v>15</v>
      </c>
      <c r="AK87" s="354">
        <v>2137</v>
      </c>
      <c r="AL87" s="348">
        <f t="shared" si="104"/>
        <v>142.46666666666667</v>
      </c>
      <c r="AM87" s="354">
        <f t="shared" si="105"/>
        <v>3</v>
      </c>
      <c r="AN87" s="501"/>
      <c r="AO87" s="354">
        <v>15</v>
      </c>
      <c r="AP87" s="354">
        <v>2093</v>
      </c>
      <c r="AQ87" s="348">
        <f t="shared" si="106"/>
        <v>139.53333333333333</v>
      </c>
      <c r="AR87" s="354">
        <f t="shared" si="107"/>
        <v>3</v>
      </c>
      <c r="AS87" s="501"/>
      <c r="AT87" s="354">
        <v>15</v>
      </c>
      <c r="AU87" s="354">
        <v>2140</v>
      </c>
      <c r="AV87" s="348">
        <f t="shared" si="108"/>
        <v>142.66666666666666</v>
      </c>
      <c r="AW87" s="354">
        <f t="shared" si="109"/>
        <v>5</v>
      </c>
      <c r="AX87" s="501"/>
    </row>
    <row r="88" spans="2:50" x14ac:dyDescent="0.2">
      <c r="B88" s="513"/>
      <c r="C88" s="354">
        <v>13</v>
      </c>
      <c r="D88" s="354" t="s">
        <v>380</v>
      </c>
      <c r="E88" s="355">
        <v>18</v>
      </c>
      <c r="F88" s="355">
        <f>VLOOKUP(D88,'12產線配置圖'!$A$2:$C$25,3,0)</f>
        <v>1565</v>
      </c>
      <c r="G88" s="348">
        <f t="shared" si="93"/>
        <v>86.944444444444443</v>
      </c>
      <c r="H88" s="501"/>
      <c r="I88" s="355">
        <f t="shared" si="113"/>
        <v>16.714285714285715</v>
      </c>
      <c r="J88" s="355">
        <f t="shared" si="114"/>
        <v>1411.1428571428571</v>
      </c>
      <c r="K88" s="348">
        <f t="shared" si="115"/>
        <v>84.569152661064422</v>
      </c>
      <c r="L88" s="501"/>
      <c r="M88" s="355">
        <f t="shared" si="95"/>
        <v>14</v>
      </c>
      <c r="N88" s="498"/>
      <c r="O88" s="498"/>
      <c r="P88" s="358">
        <v>16</v>
      </c>
      <c r="Q88" s="354">
        <v>1358</v>
      </c>
      <c r="R88" s="414">
        <f t="shared" si="116"/>
        <v>84.875</v>
      </c>
      <c r="S88" s="379">
        <f t="shared" si="117"/>
        <v>14</v>
      </c>
      <c r="T88" s="501"/>
      <c r="U88" s="358">
        <v>17</v>
      </c>
      <c r="V88" s="354">
        <v>1512</v>
      </c>
      <c r="W88" s="346">
        <f t="shared" si="98"/>
        <v>88.941176470588232</v>
      </c>
      <c r="X88" s="354">
        <f t="shared" si="99"/>
        <v>13</v>
      </c>
      <c r="Y88" s="501"/>
      <c r="Z88" s="354">
        <v>18</v>
      </c>
      <c r="AA88" s="354">
        <v>1347</v>
      </c>
      <c r="AB88" s="346">
        <f t="shared" si="100"/>
        <v>74.833333333333329</v>
      </c>
      <c r="AC88" s="354">
        <f t="shared" si="101"/>
        <v>15</v>
      </c>
      <c r="AD88" s="501"/>
      <c r="AE88" s="358">
        <v>17</v>
      </c>
      <c r="AF88" s="354">
        <v>1407</v>
      </c>
      <c r="AG88" s="346">
        <f t="shared" si="102"/>
        <v>82.764705882352942</v>
      </c>
      <c r="AH88" s="354">
        <f t="shared" si="103"/>
        <v>14</v>
      </c>
      <c r="AI88" s="501"/>
      <c r="AJ88" s="358">
        <v>16</v>
      </c>
      <c r="AK88" s="354">
        <v>1384</v>
      </c>
      <c r="AL88" s="346">
        <f t="shared" si="104"/>
        <v>86.5</v>
      </c>
      <c r="AM88" s="354">
        <f t="shared" si="105"/>
        <v>13</v>
      </c>
      <c r="AN88" s="501"/>
      <c r="AO88" s="358">
        <v>17</v>
      </c>
      <c r="AP88" s="354">
        <v>1443</v>
      </c>
      <c r="AQ88" s="346">
        <f t="shared" si="106"/>
        <v>84.882352941176464</v>
      </c>
      <c r="AR88" s="354">
        <f t="shared" si="107"/>
        <v>13</v>
      </c>
      <c r="AS88" s="501"/>
      <c r="AT88" s="358">
        <v>16</v>
      </c>
      <c r="AU88" s="354">
        <v>1427</v>
      </c>
      <c r="AV88" s="346">
        <f t="shared" si="108"/>
        <v>89.1875</v>
      </c>
      <c r="AW88" s="354">
        <f t="shared" si="109"/>
        <v>12</v>
      </c>
      <c r="AX88" s="501"/>
    </row>
    <row r="89" spans="2:50" x14ac:dyDescent="0.2">
      <c r="B89" s="513"/>
      <c r="C89" s="354">
        <v>14</v>
      </c>
      <c r="D89" s="354" t="s">
        <v>119</v>
      </c>
      <c r="E89" s="355">
        <f>VLOOKUP(D89,'12產線配置圖'!$A$2:$C$25,2,0)</f>
        <v>18</v>
      </c>
      <c r="F89" s="355">
        <f>VLOOKUP(D89,'12產線配置圖'!$A$2:$C$25,3,0)</f>
        <v>1565</v>
      </c>
      <c r="G89" s="348">
        <f t="shared" si="93"/>
        <v>86.944444444444443</v>
      </c>
      <c r="H89" s="501"/>
      <c r="I89" s="355">
        <f>AVERAGE(P89,U89,Z89,AE89,AJ89,AO89,AT89)</f>
        <v>16.285714285714285</v>
      </c>
      <c r="J89" s="355">
        <f>AVERAGE(Q89,V89,AA89,AF89,AK89,AP89,AU89)</f>
        <v>1298.1428571428571</v>
      </c>
      <c r="K89" s="348">
        <f>AVERAGE(R89,W89,AB89,AG89,AL89,AQ89,AV89)</f>
        <v>79.598284313725486</v>
      </c>
      <c r="L89" s="501"/>
      <c r="M89" s="355">
        <f t="shared" si="95"/>
        <v>16</v>
      </c>
      <c r="N89" s="498"/>
      <c r="O89" s="498"/>
      <c r="P89" s="358">
        <v>17</v>
      </c>
      <c r="Q89" s="354">
        <v>1416</v>
      </c>
      <c r="R89" s="414">
        <f>Q89/P89</f>
        <v>83.294117647058826</v>
      </c>
      <c r="S89" s="379">
        <f>RANK(R89, $R$76:$R$93)</f>
        <v>15</v>
      </c>
      <c r="T89" s="501"/>
      <c r="U89" s="358">
        <v>17</v>
      </c>
      <c r="V89" s="354">
        <v>1396</v>
      </c>
      <c r="W89" s="346">
        <f t="shared" si="98"/>
        <v>82.117647058823536</v>
      </c>
      <c r="X89" s="354">
        <f t="shared" si="99"/>
        <v>16</v>
      </c>
      <c r="Y89" s="501"/>
      <c r="Z89" s="358">
        <v>15</v>
      </c>
      <c r="AA89" s="354">
        <v>1066</v>
      </c>
      <c r="AB89" s="346">
        <f t="shared" si="100"/>
        <v>71.066666666666663</v>
      </c>
      <c r="AC89" s="354">
        <f t="shared" si="101"/>
        <v>16</v>
      </c>
      <c r="AD89" s="501"/>
      <c r="AE89" s="358">
        <v>17</v>
      </c>
      <c r="AF89" s="354">
        <v>1320</v>
      </c>
      <c r="AG89" s="346">
        <f t="shared" si="102"/>
        <v>77.647058823529406</v>
      </c>
      <c r="AH89" s="354">
        <f t="shared" si="103"/>
        <v>16</v>
      </c>
      <c r="AI89" s="501"/>
      <c r="AJ89" s="358">
        <v>16</v>
      </c>
      <c r="AK89" s="354">
        <v>1334</v>
      </c>
      <c r="AL89" s="346">
        <f t="shared" si="104"/>
        <v>83.375</v>
      </c>
      <c r="AM89" s="354">
        <f t="shared" si="105"/>
        <v>15</v>
      </c>
      <c r="AN89" s="501"/>
      <c r="AO89" s="358">
        <v>16</v>
      </c>
      <c r="AP89" s="354">
        <v>1289</v>
      </c>
      <c r="AQ89" s="346">
        <f t="shared" si="106"/>
        <v>80.5625</v>
      </c>
      <c r="AR89" s="354">
        <f t="shared" si="107"/>
        <v>16</v>
      </c>
      <c r="AS89" s="501"/>
      <c r="AT89" s="358">
        <v>16</v>
      </c>
      <c r="AU89" s="354">
        <v>1266</v>
      </c>
      <c r="AV89" s="346">
        <f t="shared" si="108"/>
        <v>79.125</v>
      </c>
      <c r="AW89" s="354">
        <f t="shared" si="109"/>
        <v>16</v>
      </c>
      <c r="AX89" s="501"/>
    </row>
    <row r="90" spans="2:50" x14ac:dyDescent="0.2">
      <c r="B90" s="513"/>
      <c r="C90" s="354">
        <v>15</v>
      </c>
      <c r="D90" s="354" t="s">
        <v>129</v>
      </c>
      <c r="E90" s="355">
        <f>VLOOKUP(D90,'12產線配置圖'!$A$2:$C$25,2,0)</f>
        <v>18</v>
      </c>
      <c r="F90" s="355">
        <f>VLOOKUP(D90,'12產線配置圖'!$A$2:$C$25,3,0)</f>
        <v>1636</v>
      </c>
      <c r="G90" s="348">
        <f>F90/E90</f>
        <v>90.888888888888886</v>
      </c>
      <c r="H90" s="501"/>
      <c r="I90" s="355">
        <f>AVERAGE(P90,U90,Z90,AE90,AJ90,AO90,AT90)</f>
        <v>16.571428571428573</v>
      </c>
      <c r="J90" s="355">
        <f>AVERAGE(Q90,V90,AA90,AF90,AK90,AP90,AU90)</f>
        <v>1433.7142857142858</v>
      </c>
      <c r="K90" s="348">
        <f t="shared" ref="K90:K91" si="118">AVERAGE(R90,W90,AB90,AG90,AL90,AQ90,AV90)</f>
        <v>86.503046218487398</v>
      </c>
      <c r="L90" s="501"/>
      <c r="M90" s="355">
        <f t="shared" si="95"/>
        <v>13</v>
      </c>
      <c r="N90" s="498"/>
      <c r="O90" s="498"/>
      <c r="P90" s="358">
        <v>17</v>
      </c>
      <c r="Q90" s="354">
        <v>1489</v>
      </c>
      <c r="R90" s="414">
        <f t="shared" ref="R90:R91" si="119">Q90/P90</f>
        <v>87.588235294117652</v>
      </c>
      <c r="S90" s="379">
        <f t="shared" ref="S90:S91" si="120">RANK(R90, $R$76:$R$93)</f>
        <v>13</v>
      </c>
      <c r="T90" s="501"/>
      <c r="U90" s="358">
        <v>17</v>
      </c>
      <c r="V90" s="354">
        <v>1544</v>
      </c>
      <c r="W90" s="348">
        <f t="shared" si="98"/>
        <v>90.82352941176471</v>
      </c>
      <c r="X90" s="354">
        <f t="shared" si="99"/>
        <v>12</v>
      </c>
      <c r="Y90" s="501"/>
      <c r="Z90" s="358">
        <v>15</v>
      </c>
      <c r="AA90" s="354">
        <v>1296</v>
      </c>
      <c r="AB90" s="346">
        <f t="shared" si="100"/>
        <v>86.4</v>
      </c>
      <c r="AC90" s="354">
        <f t="shared" si="101"/>
        <v>12</v>
      </c>
      <c r="AD90" s="501"/>
      <c r="AE90" s="358">
        <v>17</v>
      </c>
      <c r="AF90" s="354">
        <v>1465</v>
      </c>
      <c r="AG90" s="346">
        <f t="shared" si="102"/>
        <v>86.17647058823529</v>
      </c>
      <c r="AH90" s="354">
        <f t="shared" si="103"/>
        <v>13</v>
      </c>
      <c r="AI90" s="501"/>
      <c r="AJ90" s="358">
        <v>17</v>
      </c>
      <c r="AK90" s="354">
        <v>1428</v>
      </c>
      <c r="AL90" s="346">
        <f t="shared" si="104"/>
        <v>84</v>
      </c>
      <c r="AM90" s="354">
        <f t="shared" si="105"/>
        <v>14</v>
      </c>
      <c r="AN90" s="501"/>
      <c r="AO90" s="358">
        <v>17</v>
      </c>
      <c r="AP90" s="354">
        <v>1453</v>
      </c>
      <c r="AQ90" s="346">
        <f t="shared" si="106"/>
        <v>85.470588235294116</v>
      </c>
      <c r="AR90" s="354">
        <f t="shared" si="107"/>
        <v>12</v>
      </c>
      <c r="AS90" s="501"/>
      <c r="AT90" s="358">
        <v>16</v>
      </c>
      <c r="AU90" s="354">
        <v>1361</v>
      </c>
      <c r="AV90" s="346">
        <f t="shared" si="108"/>
        <v>85.0625</v>
      </c>
      <c r="AW90" s="354">
        <f t="shared" si="109"/>
        <v>14</v>
      </c>
      <c r="AX90" s="501"/>
    </row>
    <row r="91" spans="2:50" x14ac:dyDescent="0.2">
      <c r="B91" s="513"/>
      <c r="C91" s="354">
        <v>16</v>
      </c>
      <c r="D91" s="354" t="s">
        <v>125</v>
      </c>
      <c r="E91" s="355">
        <f>VLOOKUP(D91,'12產線配置圖'!$A$2:$C$25,2,0)</f>
        <v>18</v>
      </c>
      <c r="F91" s="355">
        <f>VLOOKUP(D91,'12產線配置圖'!$A$2:$C$25,3,0)</f>
        <v>1565</v>
      </c>
      <c r="G91" s="348">
        <f>F91/E91</f>
        <v>86.944444444444443</v>
      </c>
      <c r="H91" s="501"/>
      <c r="I91" s="355">
        <f>AVERAGE(P91,U91,Z91,AE91,AJ91,AO91,AT91)</f>
        <v>16.714285714285715</v>
      </c>
      <c r="J91" s="355">
        <f>AVERAGE(Q91,V91,AA91,AF91,AK91,AP91,AU91)</f>
        <v>1373.8571428571429</v>
      </c>
      <c r="K91" s="348">
        <f t="shared" si="118"/>
        <v>82.228466386554615</v>
      </c>
      <c r="L91" s="501"/>
      <c r="M91" s="355">
        <f t="shared" si="95"/>
        <v>15</v>
      </c>
      <c r="N91" s="498"/>
      <c r="O91" s="498"/>
      <c r="P91" s="358">
        <v>16</v>
      </c>
      <c r="Q91" s="354">
        <v>1300</v>
      </c>
      <c r="R91" s="414">
        <f t="shared" si="119"/>
        <v>81.25</v>
      </c>
      <c r="S91" s="379">
        <f t="shared" si="120"/>
        <v>16</v>
      </c>
      <c r="T91" s="501"/>
      <c r="U91" s="358">
        <v>16</v>
      </c>
      <c r="V91" s="354">
        <v>1391</v>
      </c>
      <c r="W91" s="346">
        <f t="shared" si="98"/>
        <v>86.9375</v>
      </c>
      <c r="X91" s="354">
        <f t="shared" si="99"/>
        <v>14</v>
      </c>
      <c r="Y91" s="501"/>
      <c r="Z91" s="358">
        <v>17</v>
      </c>
      <c r="AA91" s="354">
        <v>1317</v>
      </c>
      <c r="AB91" s="346">
        <f t="shared" si="100"/>
        <v>77.470588235294116</v>
      </c>
      <c r="AC91" s="354">
        <f t="shared" si="101"/>
        <v>14</v>
      </c>
      <c r="AD91" s="501"/>
      <c r="AE91" s="358">
        <v>17</v>
      </c>
      <c r="AF91" s="354">
        <v>1399</v>
      </c>
      <c r="AG91" s="346">
        <f t="shared" si="102"/>
        <v>82.294117647058826</v>
      </c>
      <c r="AH91" s="354">
        <f t="shared" si="103"/>
        <v>15</v>
      </c>
      <c r="AI91" s="501"/>
      <c r="AJ91" s="358">
        <v>17</v>
      </c>
      <c r="AK91" s="354">
        <v>1375</v>
      </c>
      <c r="AL91" s="346">
        <f t="shared" si="104"/>
        <v>80.882352941176464</v>
      </c>
      <c r="AM91" s="354">
        <f t="shared" si="105"/>
        <v>16</v>
      </c>
      <c r="AN91" s="501"/>
      <c r="AO91" s="358">
        <v>17</v>
      </c>
      <c r="AP91" s="354">
        <v>1410</v>
      </c>
      <c r="AQ91" s="346">
        <f t="shared" si="106"/>
        <v>82.941176470588232</v>
      </c>
      <c r="AR91" s="354">
        <f t="shared" si="107"/>
        <v>14</v>
      </c>
      <c r="AS91" s="501"/>
      <c r="AT91" s="358">
        <v>17</v>
      </c>
      <c r="AU91" s="354">
        <v>1425</v>
      </c>
      <c r="AV91" s="346">
        <f t="shared" si="108"/>
        <v>83.82352941176471</v>
      </c>
      <c r="AW91" s="354">
        <f t="shared" si="109"/>
        <v>15</v>
      </c>
      <c r="AX91" s="501"/>
    </row>
    <row r="92" spans="2:50" x14ac:dyDescent="0.2">
      <c r="B92" s="513"/>
      <c r="C92" s="354">
        <v>17</v>
      </c>
      <c r="D92" s="354"/>
      <c r="E92" s="355"/>
      <c r="F92" s="355"/>
      <c r="G92" s="348"/>
      <c r="H92" s="501"/>
      <c r="I92" s="355"/>
      <c r="J92" s="355"/>
      <c r="K92" s="348"/>
      <c r="L92" s="501"/>
      <c r="M92" s="355"/>
      <c r="N92" s="498"/>
      <c r="O92" s="498"/>
      <c r="P92" s="354"/>
      <c r="Q92" s="354"/>
      <c r="R92" s="378"/>
      <c r="S92" s="379"/>
      <c r="T92" s="501"/>
      <c r="U92" s="354"/>
      <c r="V92" s="354"/>
      <c r="W92" s="348"/>
      <c r="X92" s="354"/>
      <c r="Y92" s="501"/>
      <c r="Z92" s="354"/>
      <c r="AA92" s="354"/>
      <c r="AB92" s="348"/>
      <c r="AC92" s="354"/>
      <c r="AD92" s="501"/>
      <c r="AE92" s="354"/>
      <c r="AF92" s="354"/>
      <c r="AG92" s="348"/>
      <c r="AH92" s="354"/>
      <c r="AI92" s="501"/>
      <c r="AJ92" s="354"/>
      <c r="AK92" s="354"/>
      <c r="AL92" s="348"/>
      <c r="AM92" s="354"/>
      <c r="AN92" s="501"/>
      <c r="AO92" s="354"/>
      <c r="AP92" s="354"/>
      <c r="AQ92" s="348"/>
      <c r="AR92" s="354"/>
      <c r="AS92" s="501"/>
      <c r="AT92" s="354"/>
      <c r="AU92" s="354"/>
      <c r="AV92" s="348"/>
      <c r="AW92" s="354"/>
      <c r="AX92" s="501"/>
    </row>
    <row r="93" spans="2:50" x14ac:dyDescent="0.2">
      <c r="B93" s="514"/>
      <c r="C93" s="354">
        <v>18</v>
      </c>
      <c r="D93" s="354"/>
      <c r="E93" s="355"/>
      <c r="F93" s="355"/>
      <c r="G93" s="348"/>
      <c r="H93" s="501"/>
      <c r="I93" s="354"/>
      <c r="J93" s="354"/>
      <c r="K93" s="354"/>
      <c r="L93" s="502"/>
      <c r="M93" s="355"/>
      <c r="N93" s="499"/>
      <c r="O93" s="499"/>
      <c r="P93" s="354"/>
      <c r="Q93" s="354"/>
      <c r="R93" s="378"/>
      <c r="S93" s="379"/>
      <c r="T93" s="502"/>
      <c r="U93" s="354"/>
      <c r="V93" s="354"/>
      <c r="W93" s="348"/>
      <c r="X93" s="354"/>
      <c r="Y93" s="502"/>
      <c r="Z93" s="354"/>
      <c r="AA93" s="354"/>
      <c r="AB93" s="348"/>
      <c r="AC93" s="354"/>
      <c r="AD93" s="502"/>
      <c r="AE93" s="354"/>
      <c r="AF93" s="354"/>
      <c r="AG93" s="348"/>
      <c r="AH93" s="354"/>
      <c r="AI93" s="502"/>
      <c r="AJ93" s="354"/>
      <c r="AK93" s="354"/>
      <c r="AL93" s="348"/>
      <c r="AM93" s="354"/>
      <c r="AN93" s="502"/>
      <c r="AO93" s="354"/>
      <c r="AP93" s="354"/>
      <c r="AQ93" s="348"/>
      <c r="AR93" s="354"/>
      <c r="AS93" s="502"/>
      <c r="AT93" s="354"/>
      <c r="AU93" s="354"/>
      <c r="AV93" s="348"/>
      <c r="AW93" s="354"/>
      <c r="AX93" s="502"/>
    </row>
    <row r="94" spans="2:50" ht="15.75" x14ac:dyDescent="0.2">
      <c r="B94" s="503" t="s">
        <v>84</v>
      </c>
      <c r="C94" s="504"/>
      <c r="D94" s="504"/>
      <c r="E94" s="504"/>
      <c r="F94" s="504"/>
      <c r="G94" s="504"/>
      <c r="H94" s="504"/>
      <c r="I94" s="368"/>
      <c r="J94" s="368"/>
      <c r="K94" s="368"/>
      <c r="L94" s="368"/>
      <c r="M94" s="369"/>
      <c r="N94" s="497" t="s">
        <v>85</v>
      </c>
      <c r="O94" s="497" t="s">
        <v>45</v>
      </c>
      <c r="P94" s="488">
        <v>46196</v>
      </c>
      <c r="Q94" s="483"/>
      <c r="R94" s="483"/>
      <c r="S94" s="483"/>
      <c r="T94" s="483"/>
      <c r="U94" s="488">
        <f>P94+1</f>
        <v>46197</v>
      </c>
      <c r="V94" s="483"/>
      <c r="W94" s="483"/>
      <c r="X94" s="483"/>
      <c r="Y94" s="483"/>
      <c r="Z94" s="488">
        <f>Z71+7</f>
        <v>46198</v>
      </c>
      <c r="AA94" s="483"/>
      <c r="AB94" s="483"/>
      <c r="AC94" s="483"/>
      <c r="AD94" s="483"/>
      <c r="AE94" s="488">
        <f>AE71+7</f>
        <v>46199</v>
      </c>
      <c r="AF94" s="483"/>
      <c r="AG94" s="483"/>
      <c r="AH94" s="483"/>
      <c r="AI94" s="483"/>
      <c r="AJ94" s="488">
        <f>AJ71+7</f>
        <v>46200</v>
      </c>
      <c r="AK94" s="483"/>
      <c r="AL94" s="483"/>
      <c r="AM94" s="483"/>
      <c r="AN94" s="483"/>
      <c r="AO94" s="488">
        <f>AO71+7</f>
        <v>46201</v>
      </c>
      <c r="AP94" s="483"/>
      <c r="AQ94" s="483"/>
      <c r="AR94" s="483"/>
      <c r="AS94" s="483"/>
      <c r="AT94" s="488">
        <f>AT71+7</f>
        <v>46202</v>
      </c>
      <c r="AU94" s="483"/>
      <c r="AV94" s="483"/>
      <c r="AW94" s="483"/>
      <c r="AX94" s="483"/>
    </row>
    <row r="95" spans="2:50" ht="15.75" x14ac:dyDescent="0.2">
      <c r="B95" s="505"/>
      <c r="C95" s="505"/>
      <c r="D95" s="505"/>
      <c r="E95" s="505"/>
      <c r="F95" s="505"/>
      <c r="G95" s="505"/>
      <c r="H95" s="505"/>
      <c r="I95" s="370"/>
      <c r="J95" s="370"/>
      <c r="K95" s="370"/>
      <c r="L95" s="370"/>
      <c r="M95" s="371"/>
      <c r="N95" s="499"/>
      <c r="O95" s="499"/>
      <c r="P95" s="488" t="s">
        <v>57</v>
      </c>
      <c r="Q95" s="483"/>
      <c r="R95" s="483"/>
      <c r="S95" s="483"/>
      <c r="T95" s="483"/>
      <c r="U95" s="488" t="s">
        <v>58</v>
      </c>
      <c r="V95" s="483"/>
      <c r="W95" s="483"/>
      <c r="X95" s="483"/>
      <c r="Y95" s="483"/>
      <c r="Z95" s="488" t="s">
        <v>59</v>
      </c>
      <c r="AA95" s="483"/>
      <c r="AB95" s="483"/>
      <c r="AC95" s="483"/>
      <c r="AD95" s="483"/>
      <c r="AE95" s="488" t="s">
        <v>60</v>
      </c>
      <c r="AF95" s="483"/>
      <c r="AG95" s="483"/>
      <c r="AH95" s="483"/>
      <c r="AI95" s="483"/>
      <c r="AJ95" s="488" t="s">
        <v>55</v>
      </c>
      <c r="AK95" s="483"/>
      <c r="AL95" s="483"/>
      <c r="AM95" s="483"/>
      <c r="AN95" s="483"/>
      <c r="AO95" s="488" t="s">
        <v>52</v>
      </c>
      <c r="AP95" s="483"/>
      <c r="AQ95" s="483"/>
      <c r="AR95" s="483"/>
      <c r="AS95" s="483"/>
      <c r="AT95" s="488" t="s">
        <v>56</v>
      </c>
      <c r="AU95" s="483"/>
      <c r="AV95" s="483"/>
      <c r="AW95" s="483"/>
      <c r="AX95" s="483"/>
    </row>
    <row r="96" spans="2:50" x14ac:dyDescent="0.2">
      <c r="B96" s="487" t="s">
        <v>41</v>
      </c>
      <c r="C96" s="487" t="s">
        <v>86</v>
      </c>
      <c r="D96" s="487"/>
      <c r="E96" s="487" t="s">
        <v>87</v>
      </c>
      <c r="F96" s="487"/>
      <c r="G96" s="487"/>
      <c r="H96" s="493" t="s">
        <v>88</v>
      </c>
      <c r="I96" s="487" t="s">
        <v>89</v>
      </c>
      <c r="J96" s="487"/>
      <c r="K96" s="487"/>
      <c r="L96" s="493" t="s">
        <v>88</v>
      </c>
      <c r="M96" s="497" t="s">
        <v>90</v>
      </c>
      <c r="N96" s="497"/>
      <c r="O96" s="497" t="s">
        <v>91</v>
      </c>
      <c r="P96" s="489" t="s">
        <v>92</v>
      </c>
      <c r="Q96" s="490"/>
      <c r="R96" s="490"/>
      <c r="S96" s="491"/>
      <c r="T96" s="487" t="s">
        <v>88</v>
      </c>
      <c r="U96" s="489" t="s">
        <v>92</v>
      </c>
      <c r="V96" s="490"/>
      <c r="W96" s="490"/>
      <c r="X96" s="491"/>
      <c r="Y96" s="487" t="s">
        <v>88</v>
      </c>
      <c r="Z96" s="489" t="s">
        <v>92</v>
      </c>
      <c r="AA96" s="490"/>
      <c r="AB96" s="490"/>
      <c r="AC96" s="491"/>
      <c r="AD96" s="487" t="s">
        <v>88</v>
      </c>
      <c r="AE96" s="489" t="s">
        <v>92</v>
      </c>
      <c r="AF96" s="490"/>
      <c r="AG96" s="490"/>
      <c r="AH96" s="491"/>
      <c r="AI96" s="487" t="s">
        <v>88</v>
      </c>
      <c r="AJ96" s="489" t="s">
        <v>92</v>
      </c>
      <c r="AK96" s="490"/>
      <c r="AL96" s="490"/>
      <c r="AM96" s="491"/>
      <c r="AN96" s="487" t="s">
        <v>88</v>
      </c>
      <c r="AO96" s="489" t="s">
        <v>92</v>
      </c>
      <c r="AP96" s="490"/>
      <c r="AQ96" s="490"/>
      <c r="AR96" s="491"/>
      <c r="AS96" s="487" t="s">
        <v>88</v>
      </c>
      <c r="AT96" s="489" t="s">
        <v>92</v>
      </c>
      <c r="AU96" s="490"/>
      <c r="AV96" s="490"/>
      <c r="AW96" s="491"/>
      <c r="AX96" s="487" t="s">
        <v>88</v>
      </c>
    </row>
    <row r="97" spans="1:50" x14ac:dyDescent="0.2">
      <c r="B97" s="487"/>
      <c r="C97" s="487"/>
      <c r="D97" s="487"/>
      <c r="E97" s="487" t="s">
        <v>93</v>
      </c>
      <c r="F97" s="487"/>
      <c r="G97" s="487"/>
      <c r="H97" s="494"/>
      <c r="I97" s="487" t="s">
        <v>93</v>
      </c>
      <c r="J97" s="487"/>
      <c r="K97" s="487"/>
      <c r="L97" s="494"/>
      <c r="M97" s="498"/>
      <c r="N97" s="498"/>
      <c r="O97" s="498"/>
      <c r="P97" s="489" t="s">
        <v>94</v>
      </c>
      <c r="Q97" s="490"/>
      <c r="R97" s="490"/>
      <c r="S97" s="491"/>
      <c r="T97" s="487"/>
      <c r="U97" s="489" t="s">
        <v>94</v>
      </c>
      <c r="V97" s="490"/>
      <c r="W97" s="490"/>
      <c r="X97" s="491"/>
      <c r="Y97" s="487"/>
      <c r="Z97" s="489" t="s">
        <v>94</v>
      </c>
      <c r="AA97" s="490"/>
      <c r="AB97" s="490"/>
      <c r="AC97" s="491"/>
      <c r="AD97" s="487"/>
      <c r="AE97" s="489" t="s">
        <v>94</v>
      </c>
      <c r="AF97" s="490"/>
      <c r="AG97" s="490"/>
      <c r="AH97" s="491"/>
      <c r="AI97" s="487"/>
      <c r="AJ97" s="489" t="s">
        <v>94</v>
      </c>
      <c r="AK97" s="490"/>
      <c r="AL97" s="490"/>
      <c r="AM97" s="491"/>
      <c r="AN97" s="487"/>
      <c r="AO97" s="489" t="s">
        <v>94</v>
      </c>
      <c r="AP97" s="490"/>
      <c r="AQ97" s="490"/>
      <c r="AR97" s="491"/>
      <c r="AS97" s="487"/>
      <c r="AT97" s="489" t="s">
        <v>94</v>
      </c>
      <c r="AU97" s="490"/>
      <c r="AV97" s="490"/>
      <c r="AW97" s="491"/>
      <c r="AX97" s="487"/>
    </row>
    <row r="98" spans="1:50" x14ac:dyDescent="0.2">
      <c r="B98" s="487"/>
      <c r="C98" s="487"/>
      <c r="D98" s="487"/>
      <c r="E98" s="372" t="s">
        <v>95</v>
      </c>
      <c r="F98" s="372" t="s">
        <v>96</v>
      </c>
      <c r="G98" s="372" t="s">
        <v>97</v>
      </c>
      <c r="H98" s="495"/>
      <c r="I98" s="372" t="s">
        <v>95</v>
      </c>
      <c r="J98" s="372" t="s">
        <v>96</v>
      </c>
      <c r="K98" s="372" t="s">
        <v>97</v>
      </c>
      <c r="L98" s="495"/>
      <c r="M98" s="499"/>
      <c r="N98" s="498"/>
      <c r="O98" s="498"/>
      <c r="P98" s="372" t="s">
        <v>95</v>
      </c>
      <c r="Q98" s="372" t="s">
        <v>96</v>
      </c>
      <c r="R98" s="372" t="s">
        <v>97</v>
      </c>
      <c r="S98" s="372" t="s">
        <v>90</v>
      </c>
      <c r="T98" s="487"/>
      <c r="U98" s="372" t="s">
        <v>95</v>
      </c>
      <c r="V98" s="372" t="s">
        <v>96</v>
      </c>
      <c r="W98" s="372" t="s">
        <v>97</v>
      </c>
      <c r="X98" s="372" t="s">
        <v>90</v>
      </c>
      <c r="Y98" s="487"/>
      <c r="Z98" s="372" t="s">
        <v>95</v>
      </c>
      <c r="AA98" s="372" t="s">
        <v>96</v>
      </c>
      <c r="AB98" s="372" t="s">
        <v>97</v>
      </c>
      <c r="AC98" s="372" t="s">
        <v>90</v>
      </c>
      <c r="AD98" s="487"/>
      <c r="AE98" s="372" t="s">
        <v>95</v>
      </c>
      <c r="AF98" s="372" t="s">
        <v>96</v>
      </c>
      <c r="AG98" s="372" t="s">
        <v>97</v>
      </c>
      <c r="AH98" s="372" t="s">
        <v>90</v>
      </c>
      <c r="AI98" s="487"/>
      <c r="AJ98" s="372" t="s">
        <v>95</v>
      </c>
      <c r="AK98" s="372" t="s">
        <v>96</v>
      </c>
      <c r="AL98" s="372" t="s">
        <v>97</v>
      </c>
      <c r="AM98" s="372" t="s">
        <v>90</v>
      </c>
      <c r="AN98" s="487"/>
      <c r="AO98" s="372" t="s">
        <v>95</v>
      </c>
      <c r="AP98" s="372" t="s">
        <v>96</v>
      </c>
      <c r="AQ98" s="372" t="s">
        <v>97</v>
      </c>
      <c r="AR98" s="372" t="s">
        <v>90</v>
      </c>
      <c r="AS98" s="487"/>
      <c r="AT98" s="372" t="s">
        <v>95</v>
      </c>
      <c r="AU98" s="372" t="s">
        <v>96</v>
      </c>
      <c r="AV98" s="372" t="s">
        <v>97</v>
      </c>
      <c r="AW98" s="372" t="s">
        <v>90</v>
      </c>
      <c r="AX98" s="487"/>
    </row>
    <row r="99" spans="1:50" ht="13.5" x14ac:dyDescent="0.2">
      <c r="B99" s="507" t="s">
        <v>334</v>
      </c>
      <c r="C99" s="354">
        <v>1</v>
      </c>
      <c r="D99" s="374" t="s">
        <v>112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500">
        <f>AVERAGE(G99:G113)</f>
        <v>124.70503148267852</v>
      </c>
      <c r="I99" s="355">
        <f>AVERAGE(P99,U99,Z99,AE99,AJ99,AO99,AT99)</f>
        <v>13</v>
      </c>
      <c r="J99" s="355">
        <f>AVERAGE(Q99,V99,AA99,AF99,AK99,AP99,AU99)</f>
        <v>1936.4285714285713</v>
      </c>
      <c r="K99" s="348">
        <f>AVERAGE(R99,W99,AB99,AG99,AL99,AQ99,AV99)</f>
        <v>148.95604395604394</v>
      </c>
      <c r="L99" s="500">
        <f>IFERROR(AVERAGE(K99:K116),"-")</f>
        <v>105.67817249551678</v>
      </c>
      <c r="M99" s="355">
        <f>RANK(K99, K$99:$K$116)</f>
        <v>1</v>
      </c>
      <c r="N99" s="498"/>
      <c r="O99" s="498"/>
      <c r="P99" s="355">
        <v>13</v>
      </c>
      <c r="Q99" s="355">
        <v>1863</v>
      </c>
      <c r="R99" s="348">
        <f>Q99/P99</f>
        <v>143.30769230769232</v>
      </c>
      <c r="S99" s="354">
        <f>RANK(R99,$R$99:$R$116)</f>
        <v>1</v>
      </c>
      <c r="T99" s="500">
        <f>AVERAGE(R99:R116)</f>
        <v>107.01882111064639</v>
      </c>
      <c r="U99" s="355">
        <v>13</v>
      </c>
      <c r="V99" s="355">
        <v>1905</v>
      </c>
      <c r="W99" s="348">
        <f>V99/U99</f>
        <v>146.53846153846155</v>
      </c>
      <c r="X99" s="354">
        <f>RANK(W99,$W$99:$W$116)</f>
        <v>1</v>
      </c>
      <c r="Y99" s="500">
        <f>AVERAGE(W99:W116)</f>
        <v>105.63300347288235</v>
      </c>
      <c r="Z99" s="355">
        <v>13</v>
      </c>
      <c r="AA99" s="355">
        <v>1831</v>
      </c>
      <c r="AB99" s="348">
        <f>AA99/Z99</f>
        <v>140.84615384615384</v>
      </c>
      <c r="AC99" s="354">
        <f>RANK(AB99, $AB$99:$AB$116)</f>
        <v>1</v>
      </c>
      <c r="AD99" s="500">
        <f>AVERAGE(AB99:AB116)</f>
        <v>103.09907278899493</v>
      </c>
      <c r="AE99" s="355">
        <v>13</v>
      </c>
      <c r="AF99" s="355">
        <v>1982</v>
      </c>
      <c r="AG99" s="348">
        <f>AF99/AE99</f>
        <v>152.46153846153845</v>
      </c>
      <c r="AH99" s="354">
        <f>RANK(AG99,$AG$99:$AG$116)</f>
        <v>1</v>
      </c>
      <c r="AI99" s="500">
        <f>AVERAGE(AG99:AG116)</f>
        <v>104.19447782129443</v>
      </c>
      <c r="AJ99" s="355">
        <v>13</v>
      </c>
      <c r="AK99" s="355">
        <v>1961</v>
      </c>
      <c r="AL99" s="348">
        <f>AK99/AJ99</f>
        <v>150.84615384615384</v>
      </c>
      <c r="AM99" s="354">
        <f>RANK(AL99,$AL$99:$AL$116)</f>
        <v>2</v>
      </c>
      <c r="AN99" s="500">
        <f>AVERAGE(AL99:AL116)</f>
        <v>107.16083337558248</v>
      </c>
      <c r="AO99" s="355">
        <v>13</v>
      </c>
      <c r="AP99" s="355">
        <v>1952</v>
      </c>
      <c r="AQ99" s="348">
        <f>AP99/AO99</f>
        <v>150.15384615384616</v>
      </c>
      <c r="AR99" s="354">
        <f>RANK(AQ99,$AQ$99:$AQ$116)</f>
        <v>1</v>
      </c>
      <c r="AS99" s="500">
        <f>AVERAGE(AQ99:AQ116)</f>
        <v>105.33284118323047</v>
      </c>
      <c r="AT99" s="355">
        <v>13</v>
      </c>
      <c r="AU99" s="355">
        <v>2061</v>
      </c>
      <c r="AV99" s="348">
        <f>AU99/AT99</f>
        <v>158.53846153846155</v>
      </c>
      <c r="AW99" s="354">
        <f>RANK(AV99,$AV$99:$AV$116)</f>
        <v>1</v>
      </c>
      <c r="AX99" s="500">
        <f>AVERAGE(AV99:AV116)</f>
        <v>107.30815771598641</v>
      </c>
    </row>
    <row r="100" spans="1:50" x14ac:dyDescent="0.2">
      <c r="B100" s="508"/>
      <c r="C100" s="354">
        <v>2</v>
      </c>
      <c r="D100" s="354" t="s">
        <v>116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21">F100/E100</f>
        <v>150</v>
      </c>
      <c r="H100" s="501"/>
      <c r="I100" s="355">
        <f t="shared" ref="I100:I103" si="122">AVERAGE(P100,U100,Z100,AE100,AJ100,AO100,AT100)</f>
        <v>15</v>
      </c>
      <c r="J100" s="355">
        <f t="shared" ref="J100:J103" si="123">AVERAGE(Q100,V100,AA100,AF100,AK100,AP100,AU100)</f>
        <v>1936.8571428571429</v>
      </c>
      <c r="K100" s="348">
        <f t="shared" ref="K100:K103" si="124">AVERAGE(R100,W100,AB100,AG100,AL100,AQ100,AV100)</f>
        <v>129.12380952380951</v>
      </c>
      <c r="L100" s="501"/>
      <c r="M100" s="355">
        <f>RANK(K100, K$99:$K$116)</f>
        <v>4</v>
      </c>
      <c r="N100" s="498"/>
      <c r="O100" s="498"/>
      <c r="P100" s="355">
        <v>15</v>
      </c>
      <c r="Q100" s="355">
        <v>2010</v>
      </c>
      <c r="R100" s="348">
        <f t="shared" ref="R100:R115" si="125">Q100/P100</f>
        <v>134</v>
      </c>
      <c r="S100" s="354">
        <f t="shared" ref="S100:S115" si="126">RANK(R100,$R$99:$R$116)</f>
        <v>3</v>
      </c>
      <c r="T100" s="501"/>
      <c r="U100" s="355">
        <v>15</v>
      </c>
      <c r="V100" s="355">
        <v>2048</v>
      </c>
      <c r="W100" s="348">
        <f t="shared" ref="W100:W115" si="127">V100/U100</f>
        <v>136.53333333333333</v>
      </c>
      <c r="X100" s="354">
        <f t="shared" ref="X100:X115" si="128">RANK(W100,$W$99:$W$116)</f>
        <v>3</v>
      </c>
      <c r="Y100" s="501"/>
      <c r="Z100" s="355">
        <v>15</v>
      </c>
      <c r="AA100" s="355">
        <v>1893</v>
      </c>
      <c r="AB100" s="348">
        <f t="shared" ref="AB100:AB115" si="129">AA100/Z100</f>
        <v>126.2</v>
      </c>
      <c r="AC100" s="354">
        <f t="shared" ref="AC100:AC115" si="130">RANK(AB100, $AB$99:$AB$116)</f>
        <v>4</v>
      </c>
      <c r="AD100" s="501"/>
      <c r="AE100" s="355">
        <v>15</v>
      </c>
      <c r="AF100" s="355">
        <v>1909</v>
      </c>
      <c r="AG100" s="348">
        <f t="shared" ref="AG100:AG115" si="131">AF100/AE100</f>
        <v>127.26666666666667</v>
      </c>
      <c r="AH100" s="354">
        <f t="shared" ref="AH100:AH115" si="132">RANK(AG100,$AG$99:$AG$116)</f>
        <v>4</v>
      </c>
      <c r="AI100" s="501"/>
      <c r="AJ100" s="355">
        <v>15</v>
      </c>
      <c r="AK100" s="355">
        <v>1910</v>
      </c>
      <c r="AL100" s="348">
        <f t="shared" ref="AL100:AL115" si="133">AK100/AJ100</f>
        <v>127.33333333333333</v>
      </c>
      <c r="AM100" s="354">
        <f t="shared" ref="AM100:AM115" si="134">RANK(AL100,$AL$99:$AL$116)</f>
        <v>4</v>
      </c>
      <c r="AN100" s="501"/>
      <c r="AO100" s="355">
        <v>15</v>
      </c>
      <c r="AP100" s="355">
        <v>1829</v>
      </c>
      <c r="AQ100" s="348">
        <f t="shared" ref="AQ100:AQ115" si="135">AP100/AO100</f>
        <v>121.93333333333334</v>
      </c>
      <c r="AR100" s="354">
        <f t="shared" ref="AR100:AR115" si="136">RANK(AQ100,$AQ$99:$AQ$116)</f>
        <v>5</v>
      </c>
      <c r="AS100" s="501"/>
      <c r="AT100" s="355">
        <v>15</v>
      </c>
      <c r="AU100" s="355">
        <v>1959</v>
      </c>
      <c r="AV100" s="348">
        <f t="shared" ref="AV100:AV115" si="137">AU100/AT100</f>
        <v>130.6</v>
      </c>
      <c r="AW100" s="354">
        <f t="shared" ref="AW100:AW115" si="138">RANK(AV100,$AV$99:$AV$116)</f>
        <v>5</v>
      </c>
      <c r="AX100" s="501"/>
    </row>
    <row r="101" spans="1:50" x14ac:dyDescent="0.2">
      <c r="B101" s="508"/>
      <c r="C101" s="354">
        <v>3</v>
      </c>
      <c r="D101" s="354" t="s">
        <v>115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21"/>
        <v>150</v>
      </c>
      <c r="H101" s="501"/>
      <c r="I101" s="355">
        <f t="shared" si="122"/>
        <v>15</v>
      </c>
      <c r="J101" s="355">
        <f t="shared" si="123"/>
        <v>1977.7142857142858</v>
      </c>
      <c r="K101" s="348">
        <f t="shared" si="124"/>
        <v>131.84761904761905</v>
      </c>
      <c r="L101" s="501"/>
      <c r="M101" s="355">
        <f>RANK(K101, K$99:$K$116)</f>
        <v>3</v>
      </c>
      <c r="N101" s="498"/>
      <c r="O101" s="498"/>
      <c r="P101" s="355">
        <v>15</v>
      </c>
      <c r="Q101" s="355">
        <v>1977</v>
      </c>
      <c r="R101" s="348">
        <f t="shared" si="125"/>
        <v>131.80000000000001</v>
      </c>
      <c r="S101" s="354">
        <f t="shared" si="126"/>
        <v>5</v>
      </c>
      <c r="T101" s="501"/>
      <c r="U101" s="355">
        <v>15</v>
      </c>
      <c r="V101" s="355">
        <v>2041</v>
      </c>
      <c r="W101" s="348">
        <f t="shared" si="127"/>
        <v>136.06666666666666</v>
      </c>
      <c r="X101" s="354">
        <f t="shared" si="128"/>
        <v>4</v>
      </c>
      <c r="Y101" s="501"/>
      <c r="Z101" s="355">
        <v>15</v>
      </c>
      <c r="AA101" s="355">
        <v>1885</v>
      </c>
      <c r="AB101" s="348">
        <f t="shared" si="129"/>
        <v>125.66666666666667</v>
      </c>
      <c r="AC101" s="354">
        <f t="shared" si="130"/>
        <v>5</v>
      </c>
      <c r="AD101" s="501"/>
      <c r="AE101" s="355">
        <v>15</v>
      </c>
      <c r="AF101" s="355">
        <v>1921</v>
      </c>
      <c r="AG101" s="348">
        <f t="shared" si="131"/>
        <v>128.06666666666666</v>
      </c>
      <c r="AH101" s="354">
        <f t="shared" si="132"/>
        <v>3</v>
      </c>
      <c r="AI101" s="501"/>
      <c r="AJ101" s="355">
        <v>15</v>
      </c>
      <c r="AK101" s="355">
        <v>2049</v>
      </c>
      <c r="AL101" s="348">
        <f t="shared" si="133"/>
        <v>136.6</v>
      </c>
      <c r="AM101" s="354">
        <f t="shared" si="134"/>
        <v>3</v>
      </c>
      <c r="AN101" s="501"/>
      <c r="AO101" s="355">
        <v>15</v>
      </c>
      <c r="AP101" s="355">
        <v>2044</v>
      </c>
      <c r="AQ101" s="348">
        <f t="shared" si="135"/>
        <v>136.26666666666668</v>
      </c>
      <c r="AR101" s="354">
        <f t="shared" si="136"/>
        <v>3</v>
      </c>
      <c r="AS101" s="501"/>
      <c r="AT101" s="355">
        <v>15</v>
      </c>
      <c r="AU101" s="355">
        <v>1927</v>
      </c>
      <c r="AV101" s="348">
        <f t="shared" si="137"/>
        <v>128.46666666666667</v>
      </c>
      <c r="AW101" s="354">
        <f t="shared" si="138"/>
        <v>6</v>
      </c>
      <c r="AX101" s="501"/>
    </row>
    <row r="102" spans="1:50" x14ac:dyDescent="0.2">
      <c r="A102" s="365">
        <v>18</v>
      </c>
      <c r="B102" s="508"/>
      <c r="C102" s="354">
        <v>4</v>
      </c>
      <c r="D102" s="354" t="s">
        <v>169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21"/>
        <v>112.5</v>
      </c>
      <c r="H102" s="501"/>
      <c r="I102" s="355">
        <f t="shared" si="122"/>
        <v>16.142857142857142</v>
      </c>
      <c r="J102" s="355">
        <f t="shared" si="123"/>
        <v>1594.4285714285713</v>
      </c>
      <c r="K102" s="348">
        <f t="shared" si="124"/>
        <v>98.90003501400561</v>
      </c>
      <c r="L102" s="501"/>
      <c r="M102" s="355">
        <f>RANK(K102, K$99:$K$116)</f>
        <v>9</v>
      </c>
      <c r="N102" s="498"/>
      <c r="O102" s="498"/>
      <c r="P102" s="355">
        <v>15</v>
      </c>
      <c r="Q102" s="355">
        <v>1565</v>
      </c>
      <c r="R102" s="348">
        <f t="shared" si="125"/>
        <v>104.33333333333333</v>
      </c>
      <c r="S102" s="354">
        <f t="shared" si="126"/>
        <v>9</v>
      </c>
      <c r="T102" s="501"/>
      <c r="U102" s="347">
        <v>17</v>
      </c>
      <c r="V102" s="355">
        <v>1561</v>
      </c>
      <c r="W102" s="348">
        <f t="shared" si="127"/>
        <v>91.82352941176471</v>
      </c>
      <c r="X102" s="354">
        <f t="shared" si="128"/>
        <v>11</v>
      </c>
      <c r="Y102" s="501"/>
      <c r="Z102" s="347">
        <v>17</v>
      </c>
      <c r="AA102" s="355">
        <v>1644</v>
      </c>
      <c r="AB102" s="348">
        <f t="shared" si="129"/>
        <v>96.705882352941174</v>
      </c>
      <c r="AC102" s="354">
        <f t="shared" si="130"/>
        <v>10</v>
      </c>
      <c r="AD102" s="501"/>
      <c r="AE102" s="355">
        <v>16</v>
      </c>
      <c r="AF102" s="355">
        <v>1572</v>
      </c>
      <c r="AG102" s="348">
        <f t="shared" si="131"/>
        <v>98.25</v>
      </c>
      <c r="AH102" s="354">
        <f t="shared" si="132"/>
        <v>8</v>
      </c>
      <c r="AI102" s="501"/>
      <c r="AJ102" s="355">
        <v>16</v>
      </c>
      <c r="AK102" s="355">
        <v>1563</v>
      </c>
      <c r="AL102" s="348">
        <f t="shared" si="133"/>
        <v>97.6875</v>
      </c>
      <c r="AM102" s="354">
        <f t="shared" si="134"/>
        <v>9</v>
      </c>
      <c r="AN102" s="501"/>
      <c r="AO102" s="355">
        <v>16</v>
      </c>
      <c r="AP102" s="355">
        <v>1620</v>
      </c>
      <c r="AQ102" s="348">
        <f t="shared" si="135"/>
        <v>101.25</v>
      </c>
      <c r="AR102" s="354">
        <f t="shared" si="136"/>
        <v>9</v>
      </c>
      <c r="AS102" s="501"/>
      <c r="AT102" s="355">
        <v>16</v>
      </c>
      <c r="AU102" s="355">
        <v>1636</v>
      </c>
      <c r="AV102" s="348">
        <f t="shared" si="137"/>
        <v>102.25</v>
      </c>
      <c r="AW102" s="354">
        <f t="shared" si="138"/>
        <v>8</v>
      </c>
      <c r="AX102" s="501"/>
    </row>
    <row r="103" spans="1:50" ht="13.5" x14ac:dyDescent="0.2">
      <c r="B103" s="508"/>
      <c r="C103" s="354">
        <v>5</v>
      </c>
      <c r="D103" s="374" t="s">
        <v>114</v>
      </c>
      <c r="E103" s="355">
        <v>14</v>
      </c>
      <c r="F103" s="355">
        <f>VLOOKUP(D103,'12產線配置圖'!$A$2:$C$25,3,0)</f>
        <v>2250</v>
      </c>
      <c r="G103" s="348">
        <f t="shared" si="121"/>
        <v>160.71428571428572</v>
      </c>
      <c r="H103" s="501"/>
      <c r="I103" s="355">
        <f t="shared" si="122"/>
        <v>14</v>
      </c>
      <c r="J103" s="355">
        <f t="shared" si="123"/>
        <v>1959</v>
      </c>
      <c r="K103" s="348">
        <f t="shared" si="124"/>
        <v>139.92857142857142</v>
      </c>
      <c r="L103" s="501"/>
      <c r="M103" s="355">
        <f>RANK(K103, K$99:$K$116)</f>
        <v>2</v>
      </c>
      <c r="N103" s="498"/>
      <c r="O103" s="498"/>
      <c r="P103" s="355">
        <v>14</v>
      </c>
      <c r="Q103" s="355">
        <v>1901</v>
      </c>
      <c r="R103" s="348">
        <f t="shared" si="125"/>
        <v>135.78571428571428</v>
      </c>
      <c r="S103" s="354">
        <f t="shared" si="126"/>
        <v>2</v>
      </c>
      <c r="T103" s="501"/>
      <c r="U103" s="355">
        <v>14</v>
      </c>
      <c r="V103" s="355">
        <v>1901</v>
      </c>
      <c r="W103" s="348">
        <f t="shared" si="127"/>
        <v>135.78571428571428</v>
      </c>
      <c r="X103" s="354">
        <f t="shared" si="128"/>
        <v>5</v>
      </c>
      <c r="Y103" s="501"/>
      <c r="Z103" s="355">
        <v>14</v>
      </c>
      <c r="AA103" s="355">
        <v>1845</v>
      </c>
      <c r="AB103" s="348">
        <f t="shared" si="129"/>
        <v>131.78571428571428</v>
      </c>
      <c r="AC103" s="354">
        <f t="shared" si="130"/>
        <v>2</v>
      </c>
      <c r="AD103" s="501"/>
      <c r="AE103" s="355">
        <v>14</v>
      </c>
      <c r="AF103" s="355">
        <v>1896</v>
      </c>
      <c r="AG103" s="348">
        <f t="shared" si="131"/>
        <v>135.42857142857142</v>
      </c>
      <c r="AH103" s="354">
        <f t="shared" si="132"/>
        <v>2</v>
      </c>
      <c r="AI103" s="501"/>
      <c r="AJ103" s="355">
        <v>14</v>
      </c>
      <c r="AK103" s="355">
        <v>2178</v>
      </c>
      <c r="AL103" s="348">
        <f t="shared" si="133"/>
        <v>155.57142857142858</v>
      </c>
      <c r="AM103" s="354">
        <f t="shared" si="134"/>
        <v>1</v>
      </c>
      <c r="AN103" s="501"/>
      <c r="AO103" s="355">
        <v>14</v>
      </c>
      <c r="AP103" s="355">
        <v>2007</v>
      </c>
      <c r="AQ103" s="348">
        <f t="shared" si="135"/>
        <v>143.35714285714286</v>
      </c>
      <c r="AR103" s="354">
        <f t="shared" si="136"/>
        <v>2</v>
      </c>
      <c r="AS103" s="501"/>
      <c r="AT103" s="355">
        <v>14</v>
      </c>
      <c r="AU103" s="355">
        <v>1985</v>
      </c>
      <c r="AV103" s="348">
        <f t="shared" si="137"/>
        <v>141.78571428571428</v>
      </c>
      <c r="AW103" s="354">
        <f t="shared" si="138"/>
        <v>2</v>
      </c>
      <c r="AX103" s="501"/>
    </row>
    <row r="104" spans="1:50" x14ac:dyDescent="0.2">
      <c r="B104" s="508"/>
      <c r="C104" s="354">
        <v>6</v>
      </c>
      <c r="D104" s="354" t="s">
        <v>161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21"/>
        <v>114.26666666666667</v>
      </c>
      <c r="H104" s="501"/>
      <c r="I104" s="355">
        <f>AVERAGE(P104,U104,Z104,AE104,AJ104,AO104,AT104)</f>
        <v>15.142857142857142</v>
      </c>
      <c r="J104" s="355">
        <f>AVERAGE(Q104,V104,AA104,AF104,AK104,AP104,AU104)</f>
        <v>1540</v>
      </c>
      <c r="K104" s="348">
        <f>AVERAGE(R104,W104,AB104,AG104,AL104,AQ104,AV104)</f>
        <v>101.74523809523809</v>
      </c>
      <c r="L104" s="501"/>
      <c r="M104" s="355">
        <f>RANK(K104, K$99:$K$116)</f>
        <v>8</v>
      </c>
      <c r="N104" s="498"/>
      <c r="O104" s="498"/>
      <c r="P104" s="355">
        <v>15</v>
      </c>
      <c r="Q104" s="355">
        <v>1512</v>
      </c>
      <c r="R104" s="348">
        <f t="shared" si="125"/>
        <v>100.8</v>
      </c>
      <c r="S104" s="354">
        <f t="shared" si="126"/>
        <v>11</v>
      </c>
      <c r="T104" s="501"/>
      <c r="U104" s="355">
        <v>15</v>
      </c>
      <c r="V104" s="355">
        <v>1581</v>
      </c>
      <c r="W104" s="348">
        <f t="shared" si="127"/>
        <v>105.4</v>
      </c>
      <c r="X104" s="354">
        <f t="shared" si="128"/>
        <v>8</v>
      </c>
      <c r="Y104" s="501"/>
      <c r="Z104" s="355">
        <v>15</v>
      </c>
      <c r="AA104" s="355">
        <v>1657</v>
      </c>
      <c r="AB104" s="348">
        <f t="shared" si="129"/>
        <v>110.46666666666667</v>
      </c>
      <c r="AC104" s="354">
        <f t="shared" si="130"/>
        <v>7</v>
      </c>
      <c r="AD104" s="501"/>
      <c r="AE104" s="355">
        <v>15</v>
      </c>
      <c r="AF104" s="355">
        <v>1599</v>
      </c>
      <c r="AG104" s="348">
        <f t="shared" si="131"/>
        <v>106.6</v>
      </c>
      <c r="AH104" s="354">
        <f t="shared" si="132"/>
        <v>7</v>
      </c>
      <c r="AI104" s="501"/>
      <c r="AJ104" s="355">
        <v>15</v>
      </c>
      <c r="AK104" s="355">
        <v>1499</v>
      </c>
      <c r="AL104" s="348">
        <f t="shared" si="133"/>
        <v>99.933333333333337</v>
      </c>
      <c r="AM104" s="354">
        <f t="shared" si="134"/>
        <v>8</v>
      </c>
      <c r="AN104" s="501"/>
      <c r="AO104" s="347">
        <v>16</v>
      </c>
      <c r="AP104" s="355">
        <v>1548</v>
      </c>
      <c r="AQ104" s="348">
        <f t="shared" si="135"/>
        <v>96.75</v>
      </c>
      <c r="AR104" s="354">
        <f t="shared" si="136"/>
        <v>10</v>
      </c>
      <c r="AS104" s="501"/>
      <c r="AT104" s="355">
        <v>15</v>
      </c>
      <c r="AU104" s="355">
        <v>1384</v>
      </c>
      <c r="AV104" s="348">
        <f t="shared" si="137"/>
        <v>92.266666666666666</v>
      </c>
      <c r="AW104" s="354">
        <f t="shared" si="138"/>
        <v>10</v>
      </c>
      <c r="AX104" s="501"/>
    </row>
    <row r="105" spans="1:50" x14ac:dyDescent="0.2">
      <c r="B105" s="508"/>
      <c r="C105" s="354">
        <v>7</v>
      </c>
      <c r="D105" s="354" t="s">
        <v>221</v>
      </c>
      <c r="E105" s="355">
        <f>VLOOKUP(D105,'12產線配置圖'!$A$2:$C$25,2,0)</f>
        <v>17</v>
      </c>
      <c r="F105" s="355">
        <v>1800</v>
      </c>
      <c r="G105" s="348">
        <f t="shared" si="121"/>
        <v>105.88235294117646</v>
      </c>
      <c r="H105" s="501"/>
      <c r="I105" s="355">
        <f t="shared" ref="I105:I115" si="139">AVERAGE(P105,U105,Z105,AE105,AJ105,AO105,AT105)</f>
        <v>16.714285714285715</v>
      </c>
      <c r="J105" s="355">
        <f t="shared" ref="J105:J115" si="140">AVERAGE(Q105,V105,AA105,AF105,AK105,AP105,AU105)</f>
        <v>1648.1428571428571</v>
      </c>
      <c r="K105" s="348">
        <f t="shared" ref="K105:K115" si="141">AVERAGE(R105,W105,AB105,AG105,AL105,AQ105,AV105)</f>
        <v>98.647058823529406</v>
      </c>
      <c r="L105" s="501"/>
      <c r="M105" s="355">
        <f>RANK(K105, K$99:$K$116)</f>
        <v>10</v>
      </c>
      <c r="N105" s="498"/>
      <c r="O105" s="498"/>
      <c r="P105" s="359">
        <v>16</v>
      </c>
      <c r="Q105" s="355">
        <v>1621</v>
      </c>
      <c r="R105" s="348">
        <f t="shared" si="125"/>
        <v>101.3125</v>
      </c>
      <c r="S105" s="354">
        <f t="shared" si="126"/>
        <v>10</v>
      </c>
      <c r="T105" s="501"/>
      <c r="U105" s="359">
        <v>16</v>
      </c>
      <c r="V105" s="355">
        <v>1611</v>
      </c>
      <c r="W105" s="348">
        <f t="shared" si="127"/>
        <v>100.6875</v>
      </c>
      <c r="X105" s="354">
        <f t="shared" si="128"/>
        <v>10</v>
      </c>
      <c r="Y105" s="501"/>
      <c r="Z105" s="355">
        <v>17</v>
      </c>
      <c r="AA105" s="355">
        <v>1686</v>
      </c>
      <c r="AB105" s="348">
        <f t="shared" si="129"/>
        <v>99.17647058823529</v>
      </c>
      <c r="AC105" s="354">
        <f t="shared" si="130"/>
        <v>9</v>
      </c>
      <c r="AD105" s="501"/>
      <c r="AE105" s="355">
        <v>17</v>
      </c>
      <c r="AF105" s="355">
        <v>1470</v>
      </c>
      <c r="AG105" s="346">
        <f t="shared" si="131"/>
        <v>86.470588235294116</v>
      </c>
      <c r="AH105" s="354">
        <f t="shared" si="132"/>
        <v>11</v>
      </c>
      <c r="AI105" s="501"/>
      <c r="AJ105" s="355">
        <v>17</v>
      </c>
      <c r="AK105" s="355">
        <v>1645</v>
      </c>
      <c r="AL105" s="348">
        <f t="shared" si="133"/>
        <v>96.764705882352942</v>
      </c>
      <c r="AM105" s="354">
        <f t="shared" si="134"/>
        <v>10</v>
      </c>
      <c r="AN105" s="501"/>
      <c r="AO105" s="355">
        <v>17</v>
      </c>
      <c r="AP105" s="355">
        <v>1776</v>
      </c>
      <c r="AQ105" s="348">
        <f t="shared" si="135"/>
        <v>104.47058823529412</v>
      </c>
      <c r="AR105" s="354">
        <f t="shared" si="136"/>
        <v>7</v>
      </c>
      <c r="AS105" s="501"/>
      <c r="AT105" s="355">
        <v>17</v>
      </c>
      <c r="AU105" s="355">
        <v>1728</v>
      </c>
      <c r="AV105" s="348">
        <f t="shared" si="137"/>
        <v>101.64705882352941</v>
      </c>
      <c r="AW105" s="354">
        <f t="shared" si="138"/>
        <v>9</v>
      </c>
      <c r="AX105" s="501"/>
    </row>
    <row r="106" spans="1:50" x14ac:dyDescent="0.2">
      <c r="B106" s="508"/>
      <c r="C106" s="354">
        <v>8</v>
      </c>
      <c r="D106" s="354" t="s">
        <v>127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21"/>
        <v>96.235294117647058</v>
      </c>
      <c r="H106" s="501"/>
      <c r="I106" s="355">
        <f t="shared" si="139"/>
        <v>16.857142857142858</v>
      </c>
      <c r="J106" s="355">
        <f t="shared" si="140"/>
        <v>1421</v>
      </c>
      <c r="K106" s="348">
        <f t="shared" si="141"/>
        <v>84.288690476190482</v>
      </c>
      <c r="L106" s="501"/>
      <c r="M106" s="355">
        <f>RANK(K106, K$99:$K$116)</f>
        <v>14</v>
      </c>
      <c r="N106" s="498"/>
      <c r="O106" s="498"/>
      <c r="P106" s="354">
        <v>17</v>
      </c>
      <c r="Q106" s="355">
        <v>1377</v>
      </c>
      <c r="R106" s="348">
        <f t="shared" si="125"/>
        <v>81</v>
      </c>
      <c r="S106" s="354">
        <f t="shared" si="126"/>
        <v>14</v>
      </c>
      <c r="T106" s="501"/>
      <c r="U106" s="358">
        <v>16</v>
      </c>
      <c r="V106" s="355">
        <v>1274</v>
      </c>
      <c r="W106" s="346">
        <f t="shared" si="127"/>
        <v>79.625</v>
      </c>
      <c r="X106" s="354">
        <f t="shared" si="128"/>
        <v>14</v>
      </c>
      <c r="Y106" s="501"/>
      <c r="Z106" s="358">
        <v>16</v>
      </c>
      <c r="AA106" s="355">
        <v>1417</v>
      </c>
      <c r="AB106" s="348">
        <f t="shared" si="129"/>
        <v>88.5625</v>
      </c>
      <c r="AC106" s="354">
        <f t="shared" si="130"/>
        <v>11</v>
      </c>
      <c r="AD106" s="501"/>
      <c r="AE106" s="354">
        <v>17</v>
      </c>
      <c r="AF106" s="355">
        <v>1448</v>
      </c>
      <c r="AG106" s="346">
        <f t="shared" si="131"/>
        <v>85.17647058823529</v>
      </c>
      <c r="AH106" s="354">
        <f t="shared" si="132"/>
        <v>14</v>
      </c>
      <c r="AI106" s="501"/>
      <c r="AJ106" s="354">
        <v>17</v>
      </c>
      <c r="AK106" s="355">
        <v>1516</v>
      </c>
      <c r="AL106" s="348">
        <f t="shared" si="133"/>
        <v>89.17647058823529</v>
      </c>
      <c r="AM106" s="354">
        <f t="shared" si="134"/>
        <v>12</v>
      </c>
      <c r="AN106" s="501"/>
      <c r="AO106" s="354">
        <v>17</v>
      </c>
      <c r="AP106" s="355">
        <v>1388</v>
      </c>
      <c r="AQ106" s="346">
        <f t="shared" si="135"/>
        <v>81.647058823529406</v>
      </c>
      <c r="AR106" s="354">
        <f t="shared" si="136"/>
        <v>16</v>
      </c>
      <c r="AS106" s="501"/>
      <c r="AT106" s="411">
        <v>18</v>
      </c>
      <c r="AU106" s="355">
        <v>1527</v>
      </c>
      <c r="AV106" s="348">
        <f t="shared" si="137"/>
        <v>84.833333333333329</v>
      </c>
      <c r="AW106" s="354">
        <f t="shared" si="138"/>
        <v>14</v>
      </c>
      <c r="AX106" s="501"/>
    </row>
    <row r="107" spans="1:50" x14ac:dyDescent="0.2">
      <c r="B107" s="508"/>
      <c r="C107" s="354">
        <v>9</v>
      </c>
      <c r="D107" s="354" t="s">
        <v>164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21"/>
        <v>110.76923076923077</v>
      </c>
      <c r="H107" s="501"/>
      <c r="I107" s="355">
        <f t="shared" si="139"/>
        <v>11.571428571428571</v>
      </c>
      <c r="J107" s="355">
        <f t="shared" si="140"/>
        <v>1091</v>
      </c>
      <c r="K107" s="348">
        <f t="shared" si="141"/>
        <v>93.319141969141967</v>
      </c>
      <c r="L107" s="501"/>
      <c r="M107" s="355">
        <f>RANK(K107, K$99:$K$116)</f>
        <v>11</v>
      </c>
      <c r="N107" s="498"/>
      <c r="O107" s="498"/>
      <c r="P107" s="354">
        <v>13</v>
      </c>
      <c r="Q107" s="355">
        <v>1378</v>
      </c>
      <c r="R107" s="348">
        <f t="shared" si="125"/>
        <v>106</v>
      </c>
      <c r="S107" s="354">
        <f t="shared" si="126"/>
        <v>8</v>
      </c>
      <c r="T107" s="501"/>
      <c r="U107" s="354">
        <v>13</v>
      </c>
      <c r="V107" s="355">
        <v>1360</v>
      </c>
      <c r="W107" s="348">
        <f t="shared" si="127"/>
        <v>104.61538461538461</v>
      </c>
      <c r="X107" s="354">
        <f t="shared" si="128"/>
        <v>9</v>
      </c>
      <c r="Y107" s="501"/>
      <c r="Z107" s="358">
        <v>9</v>
      </c>
      <c r="AA107" s="355">
        <v>704</v>
      </c>
      <c r="AB107" s="346">
        <f t="shared" si="129"/>
        <v>78.222222222222229</v>
      </c>
      <c r="AC107" s="354">
        <f t="shared" si="130"/>
        <v>16</v>
      </c>
      <c r="AD107" s="501"/>
      <c r="AE107" s="358">
        <v>10</v>
      </c>
      <c r="AF107" s="355">
        <v>902</v>
      </c>
      <c r="AG107" s="348">
        <f t="shared" si="131"/>
        <v>90.2</v>
      </c>
      <c r="AH107" s="354">
        <f t="shared" si="132"/>
        <v>10</v>
      </c>
      <c r="AI107" s="501"/>
      <c r="AJ107" s="358">
        <v>12</v>
      </c>
      <c r="AK107" s="355">
        <v>1079</v>
      </c>
      <c r="AL107" s="348">
        <f t="shared" si="133"/>
        <v>89.916666666666671</v>
      </c>
      <c r="AM107" s="354">
        <f t="shared" si="134"/>
        <v>11</v>
      </c>
      <c r="AN107" s="501"/>
      <c r="AO107" s="354">
        <v>13</v>
      </c>
      <c r="AP107" s="355">
        <v>1215</v>
      </c>
      <c r="AQ107" s="348">
        <f t="shared" si="135"/>
        <v>93.461538461538467</v>
      </c>
      <c r="AR107" s="354">
        <f t="shared" si="136"/>
        <v>11</v>
      </c>
      <c r="AS107" s="501"/>
      <c r="AT107" s="358">
        <v>11</v>
      </c>
      <c r="AU107" s="355">
        <v>999</v>
      </c>
      <c r="AV107" s="348">
        <f t="shared" si="137"/>
        <v>90.818181818181813</v>
      </c>
      <c r="AW107" s="354">
        <f t="shared" si="138"/>
        <v>11</v>
      </c>
      <c r="AX107" s="501"/>
    </row>
    <row r="108" spans="1:50" x14ac:dyDescent="0.2">
      <c r="B108" s="508"/>
      <c r="C108" s="354">
        <v>10</v>
      </c>
      <c r="D108" s="354" t="s">
        <v>159</v>
      </c>
      <c r="E108" s="355">
        <f>VLOOKUP(D108,'12產線配置圖'!$A$2:$C$25,2,0)</f>
        <v>17</v>
      </c>
      <c r="F108" s="355">
        <f>VLOOKUP(D108,'12產線配置圖'!$A$2:$C$25,3,0)</f>
        <v>2250</v>
      </c>
      <c r="G108" s="348">
        <f t="shared" si="121"/>
        <v>132.35294117647058</v>
      </c>
      <c r="H108" s="501"/>
      <c r="I108" s="355">
        <f t="shared" si="139"/>
        <v>16.857142857142858</v>
      </c>
      <c r="J108" s="355">
        <f t="shared" si="140"/>
        <v>1866.8571428571429</v>
      </c>
      <c r="K108" s="348">
        <f t="shared" si="141"/>
        <v>110.78939075630252</v>
      </c>
      <c r="L108" s="501"/>
      <c r="M108" s="355">
        <f>RANK(K108, K$99:$K$116)</f>
        <v>7</v>
      </c>
      <c r="N108" s="498"/>
      <c r="O108" s="498"/>
      <c r="P108" s="354">
        <v>17</v>
      </c>
      <c r="Q108" s="355">
        <v>1927</v>
      </c>
      <c r="R108" s="348">
        <f t="shared" si="125"/>
        <v>113.35294117647059</v>
      </c>
      <c r="S108" s="354">
        <f t="shared" si="126"/>
        <v>7</v>
      </c>
      <c r="T108" s="501"/>
      <c r="U108" s="354">
        <v>17</v>
      </c>
      <c r="V108" s="355">
        <v>1919</v>
      </c>
      <c r="W108" s="348">
        <f t="shared" si="127"/>
        <v>112.88235294117646</v>
      </c>
      <c r="X108" s="354">
        <f t="shared" si="128"/>
        <v>7</v>
      </c>
      <c r="Y108" s="501"/>
      <c r="Z108" s="354">
        <v>17</v>
      </c>
      <c r="AA108" s="355">
        <v>1863</v>
      </c>
      <c r="AB108" s="348">
        <f t="shared" si="129"/>
        <v>109.58823529411765</v>
      </c>
      <c r="AC108" s="354">
        <f t="shared" si="130"/>
        <v>8</v>
      </c>
      <c r="AD108" s="501"/>
      <c r="AE108" s="354">
        <v>17</v>
      </c>
      <c r="AF108" s="355">
        <v>1662</v>
      </c>
      <c r="AG108" s="348">
        <f t="shared" si="131"/>
        <v>97.764705882352942</v>
      </c>
      <c r="AH108" s="354">
        <f t="shared" si="132"/>
        <v>9</v>
      </c>
      <c r="AI108" s="501"/>
      <c r="AJ108" s="354">
        <v>17</v>
      </c>
      <c r="AK108" s="355">
        <v>1866</v>
      </c>
      <c r="AL108" s="348">
        <f t="shared" si="133"/>
        <v>109.76470588235294</v>
      </c>
      <c r="AM108" s="354">
        <f t="shared" si="134"/>
        <v>7</v>
      </c>
      <c r="AN108" s="501"/>
      <c r="AO108" s="358">
        <v>16</v>
      </c>
      <c r="AP108" s="355">
        <v>1855</v>
      </c>
      <c r="AQ108" s="348">
        <f t="shared" si="135"/>
        <v>115.9375</v>
      </c>
      <c r="AR108" s="354">
        <f t="shared" si="136"/>
        <v>6</v>
      </c>
      <c r="AS108" s="501"/>
      <c r="AT108" s="354">
        <v>17</v>
      </c>
      <c r="AU108" s="355">
        <v>1976</v>
      </c>
      <c r="AV108" s="348">
        <f t="shared" si="137"/>
        <v>116.23529411764706</v>
      </c>
      <c r="AW108" s="354">
        <f t="shared" si="138"/>
        <v>7</v>
      </c>
      <c r="AX108" s="501"/>
    </row>
    <row r="109" spans="1:50" x14ac:dyDescent="0.2">
      <c r="B109" s="508"/>
      <c r="C109" s="354">
        <v>11</v>
      </c>
      <c r="D109" s="354" t="s">
        <v>379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21"/>
        <v>150</v>
      </c>
      <c r="H109" s="501"/>
      <c r="I109" s="355">
        <f t="shared" si="139"/>
        <v>15</v>
      </c>
      <c r="J109" s="355">
        <f t="shared" si="140"/>
        <v>1881.1428571428571</v>
      </c>
      <c r="K109" s="348">
        <f t="shared" si="141"/>
        <v>125.4095238095238</v>
      </c>
      <c r="L109" s="501"/>
      <c r="M109" s="355">
        <f>RANK(K109, K$99:$K$116)</f>
        <v>6</v>
      </c>
      <c r="N109" s="498"/>
      <c r="O109" s="498"/>
      <c r="P109" s="354">
        <v>15</v>
      </c>
      <c r="Q109" s="354">
        <v>1984</v>
      </c>
      <c r="R109" s="348">
        <f t="shared" si="125"/>
        <v>132.26666666666668</v>
      </c>
      <c r="S109" s="354">
        <f t="shared" si="126"/>
        <v>4</v>
      </c>
      <c r="T109" s="501"/>
      <c r="U109" s="354">
        <v>15</v>
      </c>
      <c r="V109" s="354">
        <v>1879</v>
      </c>
      <c r="W109" s="348">
        <f t="shared" si="127"/>
        <v>125.26666666666667</v>
      </c>
      <c r="X109" s="354">
        <f t="shared" si="128"/>
        <v>6</v>
      </c>
      <c r="Y109" s="501"/>
      <c r="Z109" s="354">
        <v>15</v>
      </c>
      <c r="AA109" s="354">
        <v>1905</v>
      </c>
      <c r="AB109" s="348">
        <f t="shared" si="129"/>
        <v>127</v>
      </c>
      <c r="AC109" s="354">
        <f t="shared" si="130"/>
        <v>3</v>
      </c>
      <c r="AD109" s="501"/>
      <c r="AE109" s="354">
        <v>15</v>
      </c>
      <c r="AF109" s="354">
        <v>1869</v>
      </c>
      <c r="AG109" s="348">
        <f t="shared" si="131"/>
        <v>124.6</v>
      </c>
      <c r="AH109" s="354">
        <f t="shared" si="132"/>
        <v>5</v>
      </c>
      <c r="AI109" s="501"/>
      <c r="AJ109" s="354">
        <v>15</v>
      </c>
      <c r="AK109" s="354">
        <v>1854</v>
      </c>
      <c r="AL109" s="348">
        <f t="shared" si="133"/>
        <v>123.6</v>
      </c>
      <c r="AM109" s="354">
        <f t="shared" si="134"/>
        <v>5</v>
      </c>
      <c r="AN109" s="501"/>
      <c r="AO109" s="354">
        <v>15</v>
      </c>
      <c r="AP109" s="354">
        <v>1560</v>
      </c>
      <c r="AQ109" s="348">
        <f t="shared" si="135"/>
        <v>104</v>
      </c>
      <c r="AR109" s="354">
        <f t="shared" si="136"/>
        <v>8</v>
      </c>
      <c r="AS109" s="501"/>
      <c r="AT109" s="354">
        <v>15</v>
      </c>
      <c r="AU109" s="354">
        <v>2117</v>
      </c>
      <c r="AV109" s="348">
        <f t="shared" si="137"/>
        <v>141.13333333333333</v>
      </c>
      <c r="AW109" s="354">
        <f t="shared" si="138"/>
        <v>3</v>
      </c>
      <c r="AX109" s="501"/>
    </row>
    <row r="110" spans="1:50" x14ac:dyDescent="0.2">
      <c r="B110" s="508"/>
      <c r="C110" s="354">
        <v>12</v>
      </c>
      <c r="D110" s="354" t="s">
        <v>117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21"/>
        <v>150</v>
      </c>
      <c r="H110" s="501"/>
      <c r="I110" s="355">
        <f t="shared" si="139"/>
        <v>15</v>
      </c>
      <c r="J110" s="355">
        <f t="shared" si="140"/>
        <v>1904.5714285714287</v>
      </c>
      <c r="K110" s="348">
        <f t="shared" si="141"/>
        <v>126.9714285714286</v>
      </c>
      <c r="L110" s="501"/>
      <c r="M110" s="355">
        <f>RANK(K110, K$99:$K$116)</f>
        <v>5</v>
      </c>
      <c r="N110" s="498"/>
      <c r="O110" s="498"/>
      <c r="P110" s="354">
        <v>15</v>
      </c>
      <c r="Q110" s="354">
        <v>1950</v>
      </c>
      <c r="R110" s="348">
        <f t="shared" si="125"/>
        <v>130</v>
      </c>
      <c r="S110" s="354">
        <f t="shared" si="126"/>
        <v>6</v>
      </c>
      <c r="T110" s="501"/>
      <c r="U110" s="354">
        <v>15</v>
      </c>
      <c r="V110" s="354">
        <v>2109</v>
      </c>
      <c r="W110" s="348">
        <f t="shared" si="127"/>
        <v>140.6</v>
      </c>
      <c r="X110" s="354">
        <f t="shared" si="128"/>
        <v>2</v>
      </c>
      <c r="Y110" s="501"/>
      <c r="Z110" s="354">
        <v>15</v>
      </c>
      <c r="AA110" s="354">
        <v>1884</v>
      </c>
      <c r="AB110" s="348">
        <f t="shared" si="129"/>
        <v>125.6</v>
      </c>
      <c r="AC110" s="354">
        <f t="shared" si="130"/>
        <v>6</v>
      </c>
      <c r="AD110" s="501"/>
      <c r="AE110" s="354">
        <v>15</v>
      </c>
      <c r="AF110" s="354">
        <v>1821</v>
      </c>
      <c r="AG110" s="348">
        <f t="shared" si="131"/>
        <v>121.4</v>
      </c>
      <c r="AH110" s="354">
        <f t="shared" si="132"/>
        <v>6</v>
      </c>
      <c r="AI110" s="501"/>
      <c r="AJ110" s="354">
        <v>15</v>
      </c>
      <c r="AK110" s="354">
        <v>1728</v>
      </c>
      <c r="AL110" s="348">
        <f t="shared" si="133"/>
        <v>115.2</v>
      </c>
      <c r="AM110" s="354">
        <f t="shared" si="134"/>
        <v>6</v>
      </c>
      <c r="AN110" s="501"/>
      <c r="AO110" s="354">
        <v>15</v>
      </c>
      <c r="AP110" s="354">
        <v>1863</v>
      </c>
      <c r="AQ110" s="348">
        <f t="shared" si="135"/>
        <v>124.2</v>
      </c>
      <c r="AR110" s="354">
        <f t="shared" si="136"/>
        <v>4</v>
      </c>
      <c r="AS110" s="501"/>
      <c r="AT110" s="354">
        <v>15</v>
      </c>
      <c r="AU110" s="354">
        <v>1977</v>
      </c>
      <c r="AV110" s="348">
        <f t="shared" si="137"/>
        <v>131.80000000000001</v>
      </c>
      <c r="AW110" s="354">
        <f t="shared" si="138"/>
        <v>4</v>
      </c>
      <c r="AX110" s="501"/>
    </row>
    <row r="111" spans="1:50" x14ac:dyDescent="0.2">
      <c r="B111" s="508"/>
      <c r="C111" s="354">
        <v>13</v>
      </c>
      <c r="D111" s="354" t="s">
        <v>380</v>
      </c>
      <c r="E111" s="355">
        <v>18</v>
      </c>
      <c r="F111" s="355">
        <f>VLOOKUP(D111,'12產線配置圖'!$A$2:$C$25,3,0)</f>
        <v>1565</v>
      </c>
      <c r="G111" s="348">
        <f t="shared" si="121"/>
        <v>86.944444444444443</v>
      </c>
      <c r="H111" s="501"/>
      <c r="I111" s="355">
        <f t="shared" si="139"/>
        <v>17.142857142857142</v>
      </c>
      <c r="J111" s="355">
        <f t="shared" si="140"/>
        <v>1481.5714285714287</v>
      </c>
      <c r="K111" s="348">
        <f t="shared" si="141"/>
        <v>86.407212885154067</v>
      </c>
      <c r="L111" s="501"/>
      <c r="M111" s="355">
        <f>RANK(K111, K$99:$K$116)</f>
        <v>12</v>
      </c>
      <c r="N111" s="498"/>
      <c r="O111" s="498"/>
      <c r="P111" s="358">
        <v>16</v>
      </c>
      <c r="Q111" s="354">
        <v>1346</v>
      </c>
      <c r="R111" s="348">
        <f t="shared" si="125"/>
        <v>84.125</v>
      </c>
      <c r="S111" s="354">
        <f t="shared" si="126"/>
        <v>13</v>
      </c>
      <c r="T111" s="501"/>
      <c r="U111" s="354">
        <v>17</v>
      </c>
      <c r="V111" s="354">
        <v>1542</v>
      </c>
      <c r="W111" s="352">
        <f t="shared" si="127"/>
        <v>90.705882352941174</v>
      </c>
      <c r="X111" s="354">
        <f t="shared" si="128"/>
        <v>12</v>
      </c>
      <c r="Y111" s="501"/>
      <c r="Z111" s="354">
        <v>18</v>
      </c>
      <c r="AA111" s="354">
        <v>1488</v>
      </c>
      <c r="AB111" s="346">
        <f t="shared" si="129"/>
        <v>82.666666666666671</v>
      </c>
      <c r="AC111" s="354">
        <f t="shared" si="130"/>
        <v>14</v>
      </c>
      <c r="AD111" s="501"/>
      <c r="AE111" s="358">
        <v>17</v>
      </c>
      <c r="AF111" s="354">
        <v>1424</v>
      </c>
      <c r="AG111" s="346">
        <f t="shared" si="131"/>
        <v>83.764705882352942</v>
      </c>
      <c r="AH111" s="354">
        <f t="shared" si="132"/>
        <v>15</v>
      </c>
      <c r="AI111" s="501"/>
      <c r="AJ111" s="358">
        <v>17</v>
      </c>
      <c r="AK111" s="354">
        <v>1481</v>
      </c>
      <c r="AL111" s="348">
        <f t="shared" si="133"/>
        <v>87.117647058823536</v>
      </c>
      <c r="AM111" s="354">
        <f t="shared" si="134"/>
        <v>14</v>
      </c>
      <c r="AN111" s="501"/>
      <c r="AO111" s="354">
        <v>18</v>
      </c>
      <c r="AP111" s="354">
        <v>1620</v>
      </c>
      <c r="AQ111" s="348">
        <f t="shared" si="135"/>
        <v>90</v>
      </c>
      <c r="AR111" s="354">
        <f t="shared" si="136"/>
        <v>12</v>
      </c>
      <c r="AS111" s="501"/>
      <c r="AT111" s="358">
        <v>17</v>
      </c>
      <c r="AU111" s="354">
        <v>1470</v>
      </c>
      <c r="AV111" s="348">
        <f t="shared" si="137"/>
        <v>86.470588235294116</v>
      </c>
      <c r="AW111" s="354">
        <f t="shared" si="138"/>
        <v>12</v>
      </c>
      <c r="AX111" s="501"/>
    </row>
    <row r="112" spans="1:50" x14ac:dyDescent="0.2">
      <c r="B112" s="508"/>
      <c r="C112" s="354">
        <v>14</v>
      </c>
      <c r="D112" s="354" t="s">
        <v>119</v>
      </c>
      <c r="E112" s="355">
        <f>VLOOKUP(D112,'12產線配置圖'!$A$2:$C$25,2,0)</f>
        <v>18</v>
      </c>
      <c r="F112" s="355">
        <f>VLOOKUP(D112,'12產線配置圖'!$A$2:$C$25,3,0)</f>
        <v>1565</v>
      </c>
      <c r="G112" s="348">
        <f t="shared" si="121"/>
        <v>86.944444444444443</v>
      </c>
      <c r="H112" s="501"/>
      <c r="I112" s="355">
        <f t="shared" si="139"/>
        <v>16.428571428571427</v>
      </c>
      <c r="J112" s="355">
        <f t="shared" si="140"/>
        <v>1160.1428571428571</v>
      </c>
      <c r="K112" s="348">
        <f t="shared" si="141"/>
        <v>70.06114945978392</v>
      </c>
      <c r="L112" s="501"/>
      <c r="M112" s="355">
        <f>RANK(K112, K$99:$K$116)</f>
        <v>17</v>
      </c>
      <c r="N112" s="498"/>
      <c r="O112" s="498"/>
      <c r="P112" s="354">
        <v>16</v>
      </c>
      <c r="Q112" s="354">
        <v>1162</v>
      </c>
      <c r="R112" s="348">
        <f t="shared" si="125"/>
        <v>72.625</v>
      </c>
      <c r="S112" s="354">
        <f t="shared" si="126"/>
        <v>17</v>
      </c>
      <c r="T112" s="501"/>
      <c r="U112" s="358">
        <v>14</v>
      </c>
      <c r="V112" s="354">
        <v>820</v>
      </c>
      <c r="W112" s="348">
        <f t="shared" si="127"/>
        <v>58.571428571428569</v>
      </c>
      <c r="X112" s="354">
        <f t="shared" si="128"/>
        <v>17</v>
      </c>
      <c r="Y112" s="501"/>
      <c r="Z112" s="358">
        <v>16</v>
      </c>
      <c r="AA112" s="354">
        <v>956</v>
      </c>
      <c r="AB112" s="346">
        <f t="shared" si="129"/>
        <v>59.75</v>
      </c>
      <c r="AC112" s="354">
        <f t="shared" si="130"/>
        <v>17</v>
      </c>
      <c r="AD112" s="501"/>
      <c r="AE112" s="354">
        <v>18</v>
      </c>
      <c r="AF112" s="354">
        <v>1417</v>
      </c>
      <c r="AG112" s="346">
        <f t="shared" si="131"/>
        <v>78.722222222222229</v>
      </c>
      <c r="AH112" s="354">
        <f t="shared" si="132"/>
        <v>17</v>
      </c>
      <c r="AI112" s="501"/>
      <c r="AJ112" s="354">
        <v>18</v>
      </c>
      <c r="AK112" s="354">
        <v>1508</v>
      </c>
      <c r="AL112" s="348">
        <f t="shared" si="133"/>
        <v>83.777777777777771</v>
      </c>
      <c r="AM112" s="354">
        <f t="shared" si="134"/>
        <v>17</v>
      </c>
      <c r="AN112" s="501"/>
      <c r="AO112" s="358">
        <v>17</v>
      </c>
      <c r="AP112" s="354">
        <v>1127</v>
      </c>
      <c r="AQ112" s="346">
        <f t="shared" si="135"/>
        <v>66.294117647058826</v>
      </c>
      <c r="AR112" s="354">
        <f t="shared" si="136"/>
        <v>17</v>
      </c>
      <c r="AS112" s="501"/>
      <c r="AT112" s="358">
        <v>16</v>
      </c>
      <c r="AU112" s="354">
        <v>1131</v>
      </c>
      <c r="AV112" s="348">
        <f t="shared" si="137"/>
        <v>70.6875</v>
      </c>
      <c r="AW112" s="354">
        <f t="shared" si="138"/>
        <v>17</v>
      </c>
      <c r="AX112" s="501"/>
    </row>
    <row r="113" spans="2:50" x14ac:dyDescent="0.2">
      <c r="B113" s="508"/>
      <c r="C113" s="354">
        <v>15</v>
      </c>
      <c r="D113" s="354" t="s">
        <v>129</v>
      </c>
      <c r="E113" s="355">
        <f>VLOOKUP(D113,'12產線配置圖'!$A$2:$C$25,2,0)</f>
        <v>18</v>
      </c>
      <c r="F113" s="355">
        <f>VLOOKUP(D113,'12產線配置圖'!$A$2:$C$25,3,0)</f>
        <v>1636</v>
      </c>
      <c r="G113" s="348">
        <f>F113/E113</f>
        <v>90.888888888888886</v>
      </c>
      <c r="H113" s="501"/>
      <c r="I113" s="355">
        <f t="shared" si="139"/>
        <v>17.571428571428573</v>
      </c>
      <c r="J113" s="355">
        <f t="shared" si="140"/>
        <v>1499.4285714285713</v>
      </c>
      <c r="K113" s="348">
        <f t="shared" si="141"/>
        <v>85.247899159663845</v>
      </c>
      <c r="L113" s="501"/>
      <c r="M113" s="355">
        <f>RANK(K113, K$99:$K$116)</f>
        <v>13</v>
      </c>
      <c r="N113" s="498"/>
      <c r="O113" s="498"/>
      <c r="P113" s="354">
        <v>18</v>
      </c>
      <c r="Q113" s="354">
        <v>1585</v>
      </c>
      <c r="R113" s="348">
        <f t="shared" si="125"/>
        <v>88.055555555555557</v>
      </c>
      <c r="S113" s="354">
        <f t="shared" si="126"/>
        <v>12</v>
      </c>
      <c r="T113" s="501"/>
      <c r="U113" s="358">
        <v>17</v>
      </c>
      <c r="V113" s="354">
        <v>1375</v>
      </c>
      <c r="W113" s="346">
        <f t="shared" si="127"/>
        <v>80.882352941176464</v>
      </c>
      <c r="X113" s="354">
        <f t="shared" si="128"/>
        <v>13</v>
      </c>
      <c r="Y113" s="501"/>
      <c r="Z113" s="358">
        <v>17</v>
      </c>
      <c r="AA113" s="354">
        <v>1470</v>
      </c>
      <c r="AB113" s="346">
        <f t="shared" si="129"/>
        <v>86.470588235294116</v>
      </c>
      <c r="AC113" s="354">
        <f t="shared" si="130"/>
        <v>12</v>
      </c>
      <c r="AD113" s="501"/>
      <c r="AE113" s="354">
        <v>18</v>
      </c>
      <c r="AF113" s="354">
        <v>1552</v>
      </c>
      <c r="AG113" s="346">
        <f t="shared" si="131"/>
        <v>86.222222222222229</v>
      </c>
      <c r="AH113" s="354">
        <f t="shared" si="132"/>
        <v>13</v>
      </c>
      <c r="AI113" s="501"/>
      <c r="AJ113" s="354">
        <v>18</v>
      </c>
      <c r="AK113" s="354">
        <v>1601</v>
      </c>
      <c r="AL113" s="348">
        <f t="shared" si="133"/>
        <v>88.944444444444443</v>
      </c>
      <c r="AM113" s="354">
        <f t="shared" si="134"/>
        <v>13</v>
      </c>
      <c r="AN113" s="501"/>
      <c r="AO113" s="354">
        <v>18</v>
      </c>
      <c r="AP113" s="354">
        <v>1589</v>
      </c>
      <c r="AQ113" s="346">
        <f t="shared" si="135"/>
        <v>88.277777777777771</v>
      </c>
      <c r="AR113" s="354">
        <f t="shared" si="136"/>
        <v>14</v>
      </c>
      <c r="AS113" s="501"/>
      <c r="AT113" s="358">
        <v>17</v>
      </c>
      <c r="AU113" s="354">
        <v>1324</v>
      </c>
      <c r="AV113" s="348">
        <f t="shared" si="137"/>
        <v>77.882352941176464</v>
      </c>
      <c r="AW113" s="354">
        <f t="shared" si="138"/>
        <v>16</v>
      </c>
      <c r="AX113" s="501"/>
    </row>
    <row r="114" spans="2:50" x14ac:dyDescent="0.2">
      <c r="B114" s="508"/>
      <c r="C114" s="354">
        <v>16</v>
      </c>
      <c r="D114" s="354" t="s">
        <v>125</v>
      </c>
      <c r="E114" s="355">
        <f>VLOOKUP(D114,'12產線配置圖'!$A$2:$C$25,2,0)</f>
        <v>18</v>
      </c>
      <c r="F114" s="355">
        <f>VLOOKUP(D114,'12產線配置圖'!$A$2:$C$25,3,0)</f>
        <v>1565</v>
      </c>
      <c r="G114" s="348">
        <f>F114/E114</f>
        <v>86.944444444444443</v>
      </c>
      <c r="H114" s="501"/>
      <c r="I114" s="355">
        <f t="shared" si="139"/>
        <v>17.428571428571427</v>
      </c>
      <c r="J114" s="355">
        <f t="shared" si="140"/>
        <v>1451.7142857142858</v>
      </c>
      <c r="K114" s="348">
        <f t="shared" si="141"/>
        <v>83.196603641456591</v>
      </c>
      <c r="L114" s="501"/>
      <c r="M114" s="355">
        <f>RANK(K114, K$99:$K$116)</f>
        <v>15</v>
      </c>
      <c r="N114" s="498"/>
      <c r="O114" s="498"/>
      <c r="P114" s="354">
        <v>18</v>
      </c>
      <c r="Q114" s="354">
        <v>1450</v>
      </c>
      <c r="R114" s="348">
        <f t="shared" si="125"/>
        <v>80.555555555555557</v>
      </c>
      <c r="S114" s="354">
        <f t="shared" si="126"/>
        <v>15</v>
      </c>
      <c r="T114" s="501"/>
      <c r="U114" s="358">
        <v>16</v>
      </c>
      <c r="V114" s="354">
        <v>1233</v>
      </c>
      <c r="W114" s="346">
        <f t="shared" si="127"/>
        <v>77.0625</v>
      </c>
      <c r="X114" s="354">
        <f t="shared" si="128"/>
        <v>15</v>
      </c>
      <c r="Y114" s="501"/>
      <c r="Z114" s="358">
        <v>17</v>
      </c>
      <c r="AA114" s="354">
        <v>1414</v>
      </c>
      <c r="AB114" s="346">
        <f t="shared" si="129"/>
        <v>83.17647058823529</v>
      </c>
      <c r="AC114" s="354">
        <f t="shared" si="130"/>
        <v>13</v>
      </c>
      <c r="AD114" s="501"/>
      <c r="AE114" s="354">
        <v>18</v>
      </c>
      <c r="AF114" s="354">
        <v>1485</v>
      </c>
      <c r="AG114" s="346">
        <f t="shared" si="131"/>
        <v>82.5</v>
      </c>
      <c r="AH114" s="354">
        <f t="shared" si="132"/>
        <v>16</v>
      </c>
      <c r="AI114" s="501"/>
      <c r="AJ114" s="354">
        <v>18</v>
      </c>
      <c r="AK114" s="354">
        <v>1542</v>
      </c>
      <c r="AL114" s="348">
        <f t="shared" si="133"/>
        <v>85.666666666666671</v>
      </c>
      <c r="AM114" s="354">
        <f t="shared" si="134"/>
        <v>15</v>
      </c>
      <c r="AN114" s="501"/>
      <c r="AO114" s="354">
        <v>18</v>
      </c>
      <c r="AP114" s="354">
        <v>1619</v>
      </c>
      <c r="AQ114" s="346">
        <f t="shared" si="135"/>
        <v>89.944444444444443</v>
      </c>
      <c r="AR114" s="354">
        <f t="shared" si="136"/>
        <v>13</v>
      </c>
      <c r="AS114" s="501"/>
      <c r="AT114" s="358">
        <v>17</v>
      </c>
      <c r="AU114" s="354">
        <v>1419</v>
      </c>
      <c r="AV114" s="348">
        <f t="shared" si="137"/>
        <v>83.470588235294116</v>
      </c>
      <c r="AW114" s="354">
        <f t="shared" si="138"/>
        <v>15</v>
      </c>
      <c r="AX114" s="501"/>
    </row>
    <row r="115" spans="2:50" ht="13.5" x14ac:dyDescent="0.2">
      <c r="B115" s="508"/>
      <c r="C115" s="354">
        <v>17</v>
      </c>
      <c r="D115" s="374" t="s">
        <v>122</v>
      </c>
      <c r="E115" s="355">
        <f>VLOOKUP(D115,'12產線配置圖'!$A$2:$C$25,2,0)</f>
        <v>17</v>
      </c>
      <c r="F115" s="355">
        <f>VLOOKUP(D115,'12產線配置圖'!$A$2:$C$25,3,0)</f>
        <v>1500</v>
      </c>
      <c r="G115" s="348">
        <f>F115/E115</f>
        <v>88.235294117647058</v>
      </c>
      <c r="H115" s="501"/>
      <c r="I115" s="355">
        <f t="shared" si="139"/>
        <v>15.857142857142858</v>
      </c>
      <c r="J115" s="355">
        <f t="shared" si="140"/>
        <v>1299.5714285714287</v>
      </c>
      <c r="K115" s="348">
        <f t="shared" si="141"/>
        <v>81.689515806322532</v>
      </c>
      <c r="L115" s="501"/>
      <c r="M115" s="355">
        <f>RANK(K115, K$99:$K$116)</f>
        <v>16</v>
      </c>
      <c r="N115" s="498"/>
      <c r="O115" s="498"/>
      <c r="P115" s="358">
        <v>16</v>
      </c>
      <c r="Q115" s="354">
        <v>1280</v>
      </c>
      <c r="R115" s="348">
        <f t="shared" si="125"/>
        <v>80</v>
      </c>
      <c r="S115" s="354">
        <f t="shared" si="126"/>
        <v>16</v>
      </c>
      <c r="T115" s="501"/>
      <c r="U115" s="358">
        <v>14</v>
      </c>
      <c r="V115" s="354">
        <v>1018</v>
      </c>
      <c r="W115" s="346">
        <f t="shared" si="127"/>
        <v>72.714285714285708</v>
      </c>
      <c r="X115" s="354">
        <f t="shared" si="128"/>
        <v>16</v>
      </c>
      <c r="Y115" s="501"/>
      <c r="Z115" s="354">
        <v>15</v>
      </c>
      <c r="AA115" s="354">
        <v>1212</v>
      </c>
      <c r="AB115" s="346">
        <f t="shared" si="129"/>
        <v>80.8</v>
      </c>
      <c r="AC115" s="354">
        <f t="shared" si="130"/>
        <v>15</v>
      </c>
      <c r="AD115" s="501"/>
      <c r="AE115" s="354">
        <v>17</v>
      </c>
      <c r="AF115" s="354">
        <v>1469</v>
      </c>
      <c r="AG115" s="346">
        <f t="shared" si="131"/>
        <v>86.411764705882348</v>
      </c>
      <c r="AH115" s="354">
        <f t="shared" si="132"/>
        <v>12</v>
      </c>
      <c r="AI115" s="501"/>
      <c r="AJ115" s="411">
        <v>18</v>
      </c>
      <c r="AK115" s="354">
        <v>1509</v>
      </c>
      <c r="AL115" s="348">
        <f t="shared" si="133"/>
        <v>83.833333333333329</v>
      </c>
      <c r="AM115" s="354">
        <f t="shared" si="134"/>
        <v>16</v>
      </c>
      <c r="AN115" s="501"/>
      <c r="AO115" s="358">
        <v>14</v>
      </c>
      <c r="AP115" s="354">
        <v>1158</v>
      </c>
      <c r="AQ115" s="346">
        <f t="shared" si="135"/>
        <v>82.714285714285708</v>
      </c>
      <c r="AR115" s="354">
        <f t="shared" si="136"/>
        <v>15</v>
      </c>
      <c r="AS115" s="501"/>
      <c r="AT115" s="354">
        <v>17</v>
      </c>
      <c r="AU115" s="354">
        <v>1451</v>
      </c>
      <c r="AV115" s="348">
        <f t="shared" si="137"/>
        <v>85.352941176470594</v>
      </c>
      <c r="AW115" s="354">
        <f t="shared" si="138"/>
        <v>13</v>
      </c>
      <c r="AX115" s="501"/>
    </row>
    <row r="116" spans="2:50" x14ac:dyDescent="0.2">
      <c r="B116" s="508"/>
      <c r="C116" s="354">
        <v>18</v>
      </c>
      <c r="D116" s="354"/>
      <c r="E116" s="354"/>
      <c r="F116" s="354"/>
      <c r="G116" s="354"/>
      <c r="H116" s="501"/>
      <c r="I116" s="354"/>
      <c r="J116" s="354"/>
      <c r="K116" s="354"/>
      <c r="L116" s="502"/>
      <c r="M116" s="355"/>
      <c r="N116" s="499"/>
      <c r="O116" s="499"/>
      <c r="P116" s="354"/>
      <c r="Q116" s="354"/>
      <c r="R116" s="354"/>
      <c r="S116" s="354"/>
      <c r="T116" s="502"/>
      <c r="U116" s="354"/>
      <c r="V116" s="354"/>
      <c r="W116" s="348"/>
      <c r="X116" s="354"/>
      <c r="Y116" s="502"/>
      <c r="Z116" s="354"/>
      <c r="AA116" s="354"/>
      <c r="AB116" s="348"/>
      <c r="AC116" s="354"/>
      <c r="AD116" s="502"/>
      <c r="AE116" s="354"/>
      <c r="AF116" s="354"/>
      <c r="AG116" s="348"/>
      <c r="AH116" s="354"/>
      <c r="AI116" s="502"/>
      <c r="AJ116" s="354"/>
      <c r="AK116" s="354"/>
      <c r="AL116" s="348"/>
      <c r="AM116" s="354"/>
      <c r="AN116" s="502"/>
      <c r="AO116" s="354"/>
      <c r="AP116" s="354"/>
      <c r="AQ116" s="348"/>
      <c r="AR116" s="354"/>
      <c r="AS116" s="502"/>
      <c r="AT116" s="354"/>
      <c r="AU116" s="354"/>
      <c r="AV116" s="348"/>
      <c r="AW116" s="354"/>
      <c r="AX116" s="502"/>
    </row>
    <row r="117" spans="2:50" ht="15.75" x14ac:dyDescent="0.2">
      <c r="B117" s="506" t="s">
        <v>84</v>
      </c>
      <c r="C117" s="504"/>
      <c r="D117" s="504"/>
      <c r="E117" s="504"/>
      <c r="F117" s="504"/>
      <c r="G117" s="504"/>
      <c r="H117" s="504"/>
      <c r="I117" s="367"/>
      <c r="J117" s="367"/>
      <c r="K117" s="367"/>
      <c r="L117" s="367"/>
      <c r="M117" s="376"/>
      <c r="N117" s="497" t="s">
        <v>85</v>
      </c>
      <c r="O117" s="497" t="s">
        <v>45</v>
      </c>
      <c r="P117" s="488">
        <v>46203</v>
      </c>
      <c r="Q117" s="483"/>
      <c r="R117" s="483"/>
      <c r="S117" s="483"/>
      <c r="T117" s="483"/>
      <c r="U117" s="488"/>
      <c r="V117" s="483"/>
      <c r="W117" s="483"/>
      <c r="X117" s="483"/>
      <c r="Y117" s="483"/>
      <c r="Z117" s="488"/>
      <c r="AA117" s="483"/>
      <c r="AB117" s="483"/>
      <c r="AC117" s="483"/>
      <c r="AD117" s="483"/>
      <c r="AE117" s="488"/>
      <c r="AF117" s="483"/>
      <c r="AG117" s="483"/>
      <c r="AH117" s="483"/>
      <c r="AI117" s="483"/>
      <c r="AJ117" s="488"/>
      <c r="AK117" s="483"/>
      <c r="AL117" s="483"/>
      <c r="AM117" s="483"/>
      <c r="AN117" s="483"/>
      <c r="AO117" s="488"/>
      <c r="AP117" s="483"/>
      <c r="AQ117" s="483"/>
      <c r="AR117" s="483"/>
      <c r="AS117" s="483"/>
      <c r="AT117" s="488"/>
      <c r="AU117" s="483"/>
      <c r="AV117" s="483"/>
      <c r="AW117" s="483"/>
      <c r="AX117" s="483"/>
    </row>
    <row r="118" spans="2:50" ht="15.75" x14ac:dyDescent="0.2">
      <c r="B118" s="505"/>
      <c r="C118" s="505"/>
      <c r="D118" s="505"/>
      <c r="E118" s="505"/>
      <c r="F118" s="505"/>
      <c r="G118" s="505"/>
      <c r="H118" s="505"/>
      <c r="I118" s="370"/>
      <c r="J118" s="370"/>
      <c r="K118" s="370"/>
      <c r="L118" s="370"/>
      <c r="M118" s="371"/>
      <c r="N118" s="499"/>
      <c r="O118" s="499"/>
      <c r="P118" s="488" t="s">
        <v>57</v>
      </c>
      <c r="Q118" s="483"/>
      <c r="R118" s="483"/>
      <c r="S118" s="483"/>
      <c r="T118" s="483"/>
      <c r="U118" s="488" t="s">
        <v>58</v>
      </c>
      <c r="V118" s="483"/>
      <c r="W118" s="483"/>
      <c r="X118" s="483"/>
      <c r="Y118" s="483"/>
      <c r="Z118" s="488" t="s">
        <v>59</v>
      </c>
      <c r="AA118" s="483"/>
      <c r="AB118" s="483"/>
      <c r="AC118" s="483"/>
      <c r="AD118" s="483"/>
      <c r="AE118" s="488" t="s">
        <v>60</v>
      </c>
      <c r="AF118" s="483"/>
      <c r="AG118" s="483"/>
      <c r="AH118" s="483"/>
      <c r="AI118" s="483"/>
      <c r="AJ118" s="488" t="s">
        <v>55</v>
      </c>
      <c r="AK118" s="483"/>
      <c r="AL118" s="483"/>
      <c r="AM118" s="483"/>
      <c r="AN118" s="483"/>
      <c r="AO118" s="488" t="s">
        <v>52</v>
      </c>
      <c r="AP118" s="483"/>
      <c r="AQ118" s="483"/>
      <c r="AR118" s="483"/>
      <c r="AS118" s="483"/>
      <c r="AT118" s="488" t="s">
        <v>56</v>
      </c>
      <c r="AU118" s="483"/>
      <c r="AV118" s="483"/>
      <c r="AW118" s="483"/>
      <c r="AX118" s="483"/>
    </row>
    <row r="119" spans="2:50" x14ac:dyDescent="0.2">
      <c r="B119" s="487" t="s">
        <v>41</v>
      </c>
      <c r="C119" s="492" t="s">
        <v>86</v>
      </c>
      <c r="D119" s="487"/>
      <c r="E119" s="487" t="s">
        <v>87</v>
      </c>
      <c r="F119" s="487"/>
      <c r="G119" s="487"/>
      <c r="H119" s="493" t="s">
        <v>88</v>
      </c>
      <c r="I119" s="487" t="s">
        <v>89</v>
      </c>
      <c r="J119" s="487"/>
      <c r="K119" s="487"/>
      <c r="L119" s="493" t="s">
        <v>88</v>
      </c>
      <c r="M119" s="497" t="s">
        <v>90</v>
      </c>
      <c r="N119" s="487"/>
      <c r="O119" s="487" t="s">
        <v>91</v>
      </c>
      <c r="P119" s="489" t="s">
        <v>92</v>
      </c>
      <c r="Q119" s="490"/>
      <c r="R119" s="490"/>
      <c r="S119" s="491"/>
      <c r="T119" s="487" t="s">
        <v>88</v>
      </c>
      <c r="U119" s="489" t="s">
        <v>92</v>
      </c>
      <c r="V119" s="490"/>
      <c r="W119" s="490"/>
      <c r="X119" s="491"/>
      <c r="Y119" s="487" t="s">
        <v>88</v>
      </c>
      <c r="Z119" s="489" t="s">
        <v>92</v>
      </c>
      <c r="AA119" s="490"/>
      <c r="AB119" s="490"/>
      <c r="AC119" s="491"/>
      <c r="AD119" s="487" t="s">
        <v>88</v>
      </c>
      <c r="AE119" s="489" t="s">
        <v>92</v>
      </c>
      <c r="AF119" s="490"/>
      <c r="AG119" s="490"/>
      <c r="AH119" s="491"/>
      <c r="AI119" s="487" t="s">
        <v>88</v>
      </c>
      <c r="AJ119" s="489" t="s">
        <v>92</v>
      </c>
      <c r="AK119" s="490"/>
      <c r="AL119" s="490"/>
      <c r="AM119" s="491"/>
      <c r="AN119" s="487" t="s">
        <v>88</v>
      </c>
      <c r="AO119" s="489" t="s">
        <v>92</v>
      </c>
      <c r="AP119" s="490"/>
      <c r="AQ119" s="490"/>
      <c r="AR119" s="491"/>
      <c r="AS119" s="487" t="s">
        <v>88</v>
      </c>
      <c r="AT119" s="489" t="s">
        <v>92</v>
      </c>
      <c r="AU119" s="490"/>
      <c r="AV119" s="490"/>
      <c r="AW119" s="491"/>
      <c r="AX119" s="487" t="s">
        <v>88</v>
      </c>
    </row>
    <row r="120" spans="2:50" x14ac:dyDescent="0.2">
      <c r="B120" s="487"/>
      <c r="C120" s="487"/>
      <c r="D120" s="487"/>
      <c r="E120" s="487" t="s">
        <v>93</v>
      </c>
      <c r="F120" s="487"/>
      <c r="G120" s="487"/>
      <c r="H120" s="494"/>
      <c r="I120" s="487" t="s">
        <v>93</v>
      </c>
      <c r="J120" s="487"/>
      <c r="K120" s="487"/>
      <c r="L120" s="494"/>
      <c r="M120" s="498"/>
      <c r="N120" s="487"/>
      <c r="O120" s="487"/>
      <c r="P120" s="489" t="s">
        <v>94</v>
      </c>
      <c r="Q120" s="490"/>
      <c r="R120" s="490"/>
      <c r="S120" s="491"/>
      <c r="T120" s="487"/>
      <c r="U120" s="489" t="s">
        <v>94</v>
      </c>
      <c r="V120" s="490"/>
      <c r="W120" s="490"/>
      <c r="X120" s="491"/>
      <c r="Y120" s="487"/>
      <c r="Z120" s="489" t="s">
        <v>94</v>
      </c>
      <c r="AA120" s="490"/>
      <c r="AB120" s="490"/>
      <c r="AC120" s="491"/>
      <c r="AD120" s="487"/>
      <c r="AE120" s="489" t="s">
        <v>94</v>
      </c>
      <c r="AF120" s="490"/>
      <c r="AG120" s="490"/>
      <c r="AH120" s="491"/>
      <c r="AI120" s="487"/>
      <c r="AJ120" s="489" t="s">
        <v>94</v>
      </c>
      <c r="AK120" s="490"/>
      <c r="AL120" s="490"/>
      <c r="AM120" s="491"/>
      <c r="AN120" s="487"/>
      <c r="AO120" s="489" t="s">
        <v>94</v>
      </c>
      <c r="AP120" s="490"/>
      <c r="AQ120" s="490"/>
      <c r="AR120" s="491"/>
      <c r="AS120" s="487"/>
      <c r="AT120" s="489" t="s">
        <v>94</v>
      </c>
      <c r="AU120" s="490"/>
      <c r="AV120" s="490"/>
      <c r="AW120" s="491"/>
      <c r="AX120" s="487"/>
    </row>
    <row r="121" spans="2:50" x14ac:dyDescent="0.2">
      <c r="B121" s="487"/>
      <c r="C121" s="487"/>
      <c r="D121" s="487"/>
      <c r="E121" s="372" t="s">
        <v>95</v>
      </c>
      <c r="F121" s="372" t="s">
        <v>96</v>
      </c>
      <c r="G121" s="372" t="s">
        <v>97</v>
      </c>
      <c r="H121" s="495"/>
      <c r="I121" s="372" t="s">
        <v>95</v>
      </c>
      <c r="J121" s="372" t="s">
        <v>96</v>
      </c>
      <c r="K121" s="372" t="s">
        <v>97</v>
      </c>
      <c r="L121" s="495"/>
      <c r="M121" s="499"/>
      <c r="N121" s="487"/>
      <c r="O121" s="487"/>
      <c r="P121" s="372" t="s">
        <v>95</v>
      </c>
      <c r="Q121" s="372" t="s">
        <v>96</v>
      </c>
      <c r="R121" s="372" t="s">
        <v>97</v>
      </c>
      <c r="S121" s="372" t="s">
        <v>90</v>
      </c>
      <c r="T121" s="487"/>
      <c r="U121" s="372" t="s">
        <v>95</v>
      </c>
      <c r="V121" s="372" t="s">
        <v>96</v>
      </c>
      <c r="W121" s="372" t="s">
        <v>97</v>
      </c>
      <c r="X121" s="372" t="s">
        <v>90</v>
      </c>
      <c r="Y121" s="487"/>
      <c r="Z121" s="372" t="s">
        <v>95</v>
      </c>
      <c r="AA121" s="372" t="s">
        <v>96</v>
      </c>
      <c r="AB121" s="372" t="s">
        <v>97</v>
      </c>
      <c r="AC121" s="372" t="s">
        <v>90</v>
      </c>
      <c r="AD121" s="487"/>
      <c r="AE121" s="372" t="s">
        <v>95</v>
      </c>
      <c r="AF121" s="372" t="s">
        <v>96</v>
      </c>
      <c r="AG121" s="372" t="s">
        <v>97</v>
      </c>
      <c r="AH121" s="372" t="s">
        <v>90</v>
      </c>
      <c r="AI121" s="487"/>
      <c r="AJ121" s="372" t="s">
        <v>95</v>
      </c>
      <c r="AK121" s="372" t="s">
        <v>96</v>
      </c>
      <c r="AL121" s="372" t="s">
        <v>97</v>
      </c>
      <c r="AM121" s="372" t="s">
        <v>90</v>
      </c>
      <c r="AN121" s="487"/>
      <c r="AO121" s="372" t="s">
        <v>95</v>
      </c>
      <c r="AP121" s="372" t="s">
        <v>96</v>
      </c>
      <c r="AQ121" s="372" t="s">
        <v>97</v>
      </c>
      <c r="AR121" s="372" t="s">
        <v>90</v>
      </c>
      <c r="AS121" s="487"/>
      <c r="AT121" s="372" t="s">
        <v>95</v>
      </c>
      <c r="AU121" s="372" t="s">
        <v>96</v>
      </c>
      <c r="AV121" s="372" t="s">
        <v>97</v>
      </c>
      <c r="AW121" s="372" t="s">
        <v>90</v>
      </c>
      <c r="AX121" s="487"/>
    </row>
    <row r="122" spans="2:50" ht="13.5" x14ac:dyDescent="0.2">
      <c r="B122" s="483" t="s">
        <v>334</v>
      </c>
      <c r="C122" s="354">
        <v>1</v>
      </c>
      <c r="D122" s="374" t="s">
        <v>112</v>
      </c>
      <c r="E122" s="355">
        <f>VLOOKUP(D122,'12產線配置圖'!$A$2:$C$25,2,0)</f>
        <v>13</v>
      </c>
      <c r="F122" s="355">
        <f>VLOOKUP(D122,'12產線配置圖'!$A$2:$C$25,3,0)</f>
        <v>2250</v>
      </c>
      <c r="G122" s="348">
        <f>F122/E122</f>
        <v>173.07692307692307</v>
      </c>
      <c r="H122" s="484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84" t="str">
        <f>IFERROR(AVERAGE(K122:K139),"-")</f>
        <v>-</v>
      </c>
      <c r="M122" s="377" t="e">
        <f>RANK(K122,$K$122:$K$139)</f>
        <v>#DIV/0!</v>
      </c>
      <c r="N122" s="487"/>
      <c r="O122" s="487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96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96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96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96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42">RANK(AL122,AL$122:AL$137)</f>
        <v>#DIV/0!</v>
      </c>
      <c r="AN122" s="496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43">RANK(AQ122,AQ$122:AQ$137)</f>
        <v>#DIV/0!</v>
      </c>
      <c r="AS122" s="496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44">RANK(AV122,AV$122:AV$137)</f>
        <v>#DIV/0!</v>
      </c>
      <c r="AX122" s="496" t="e">
        <f>AVERAGE(AV122:AV139)</f>
        <v>#DIV/0!</v>
      </c>
    </row>
    <row r="123" spans="2:50" x14ac:dyDescent="0.2">
      <c r="B123" s="483"/>
      <c r="C123" s="354">
        <v>2</v>
      </c>
      <c r="D123" s="354" t="s">
        <v>116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45">F123/E123</f>
        <v>150</v>
      </c>
      <c r="H123" s="485"/>
      <c r="I123" s="355" t="e">
        <f t="shared" ref="I123:I127" si="146">AVERAGE(P123,U123,Z123,AE123,AJ123,AO123,AT123)</f>
        <v>#DIV/0!</v>
      </c>
      <c r="J123" s="355" t="e">
        <f t="shared" ref="J123:J127" si="147">AVERAGE(Q123,V123,AA123,AF123,AK123,AP123,AU123)</f>
        <v>#DIV/0!</v>
      </c>
      <c r="K123" s="348" t="e">
        <f t="shared" ref="K123:K127" si="148">AVERAGE(R123)</f>
        <v>#DIV/0!</v>
      </c>
      <c r="L123" s="485"/>
      <c r="M123" s="377" t="e">
        <f t="shared" ref="M123:M135" si="149">RANK(K123,$K$122:$K$139)</f>
        <v>#DIV/0!</v>
      </c>
      <c r="N123" s="487"/>
      <c r="O123" s="487"/>
      <c r="P123" s="355"/>
      <c r="Q123" s="355"/>
      <c r="R123" s="348" t="e">
        <f t="shared" ref="R123:R127" si="150">Q123/P123</f>
        <v>#DIV/0!</v>
      </c>
      <c r="S123" s="354" t="e">
        <f t="shared" ref="S123:S127" si="151">RANK(R123,$R$122:$R$139)</f>
        <v>#DIV/0!</v>
      </c>
      <c r="T123" s="496"/>
      <c r="U123" s="355"/>
      <c r="V123" s="355"/>
      <c r="W123" s="348" t="e">
        <f t="shared" ref="W123:W131" si="152">V123/U123</f>
        <v>#DIV/0!</v>
      </c>
      <c r="X123" s="354" t="e">
        <f t="shared" ref="X123:X137" si="153">RANK(W123,$W$122:$W$137)</f>
        <v>#DIV/0!</v>
      </c>
      <c r="Y123" s="496"/>
      <c r="Z123" s="355"/>
      <c r="AA123" s="355"/>
      <c r="AB123" s="348" t="e">
        <f t="shared" ref="AB123:AB131" si="154">AA123/Z123</f>
        <v>#DIV/0!</v>
      </c>
      <c r="AC123" s="354" t="e">
        <f t="shared" ref="AC123:AC137" si="155">RANK(AB123,AB$122:AB$137)</f>
        <v>#DIV/0!</v>
      </c>
      <c r="AD123" s="496"/>
      <c r="AE123" s="355"/>
      <c r="AF123" s="355"/>
      <c r="AG123" s="348" t="e">
        <f t="shared" ref="AG123:AG131" si="156">AF123/AE123</f>
        <v>#DIV/0!</v>
      </c>
      <c r="AH123" s="354" t="e">
        <f t="shared" ref="AH123:AH137" si="157">RANK(AG123,AG$122:AG$137)</f>
        <v>#DIV/0!</v>
      </c>
      <c r="AI123" s="496"/>
      <c r="AJ123" s="355"/>
      <c r="AK123" s="355"/>
      <c r="AL123" s="348" t="e">
        <f t="shared" ref="AL123:AL131" si="158">AK123/AJ123</f>
        <v>#DIV/0!</v>
      </c>
      <c r="AM123" s="354" t="e">
        <f t="shared" si="142"/>
        <v>#DIV/0!</v>
      </c>
      <c r="AN123" s="496"/>
      <c r="AO123" s="355"/>
      <c r="AP123" s="355"/>
      <c r="AQ123" s="348" t="e">
        <f t="shared" ref="AQ123:AQ131" si="159">AP123/AO123</f>
        <v>#DIV/0!</v>
      </c>
      <c r="AR123" s="354" t="e">
        <f t="shared" si="143"/>
        <v>#DIV/0!</v>
      </c>
      <c r="AS123" s="496"/>
      <c r="AT123" s="355"/>
      <c r="AU123" s="355"/>
      <c r="AV123" s="348" t="e">
        <f t="shared" ref="AV123:AV135" si="160">AU123/AT123</f>
        <v>#DIV/0!</v>
      </c>
      <c r="AW123" s="354" t="e">
        <f t="shared" si="144"/>
        <v>#DIV/0!</v>
      </c>
      <c r="AX123" s="496"/>
    </row>
    <row r="124" spans="2:50" x14ac:dyDescent="0.2">
      <c r="B124" s="483"/>
      <c r="C124" s="354">
        <v>3</v>
      </c>
      <c r="D124" s="354" t="s">
        <v>114</v>
      </c>
      <c r="E124" s="355">
        <f>VLOOKUP(D124,'12產線配置圖'!$A$2:$C$25,2,0)</f>
        <v>14</v>
      </c>
      <c r="F124" s="355">
        <f>VLOOKUP(D124,'12產線配置圖'!$A$2:$C$25,3,0)</f>
        <v>2250</v>
      </c>
      <c r="G124" s="348">
        <f t="shared" si="145"/>
        <v>160.71428571428572</v>
      </c>
      <c r="H124" s="485"/>
      <c r="I124" s="355" t="e">
        <f t="shared" si="146"/>
        <v>#DIV/0!</v>
      </c>
      <c r="J124" s="355" t="e">
        <f t="shared" si="147"/>
        <v>#DIV/0!</v>
      </c>
      <c r="K124" s="348" t="e">
        <f t="shared" si="148"/>
        <v>#DIV/0!</v>
      </c>
      <c r="L124" s="485"/>
      <c r="M124" s="377" t="e">
        <f t="shared" si="149"/>
        <v>#DIV/0!</v>
      </c>
      <c r="N124" s="487"/>
      <c r="O124" s="487"/>
      <c r="P124" s="355"/>
      <c r="Q124" s="355"/>
      <c r="R124" s="348" t="e">
        <f t="shared" si="150"/>
        <v>#DIV/0!</v>
      </c>
      <c r="S124" s="354" t="e">
        <f t="shared" si="151"/>
        <v>#DIV/0!</v>
      </c>
      <c r="T124" s="496"/>
      <c r="U124" s="355"/>
      <c r="V124" s="355"/>
      <c r="W124" s="348" t="e">
        <f t="shared" si="152"/>
        <v>#DIV/0!</v>
      </c>
      <c r="X124" s="354" t="e">
        <f t="shared" si="153"/>
        <v>#DIV/0!</v>
      </c>
      <c r="Y124" s="496"/>
      <c r="Z124" s="355"/>
      <c r="AA124" s="355"/>
      <c r="AB124" s="348" t="e">
        <f t="shared" si="154"/>
        <v>#DIV/0!</v>
      </c>
      <c r="AC124" s="354" t="e">
        <f t="shared" si="155"/>
        <v>#DIV/0!</v>
      </c>
      <c r="AD124" s="496"/>
      <c r="AE124" s="355"/>
      <c r="AF124" s="355"/>
      <c r="AG124" s="348" t="e">
        <f t="shared" si="156"/>
        <v>#DIV/0!</v>
      </c>
      <c r="AH124" s="354" t="e">
        <f t="shared" si="157"/>
        <v>#DIV/0!</v>
      </c>
      <c r="AI124" s="496"/>
      <c r="AJ124" s="355"/>
      <c r="AK124" s="355"/>
      <c r="AL124" s="348" t="e">
        <f t="shared" si="158"/>
        <v>#DIV/0!</v>
      </c>
      <c r="AM124" s="354" t="e">
        <f t="shared" si="142"/>
        <v>#DIV/0!</v>
      </c>
      <c r="AN124" s="496"/>
      <c r="AO124" s="355"/>
      <c r="AP124" s="355"/>
      <c r="AQ124" s="348" t="e">
        <f t="shared" si="159"/>
        <v>#DIV/0!</v>
      </c>
      <c r="AR124" s="354" t="e">
        <f t="shared" si="143"/>
        <v>#DIV/0!</v>
      </c>
      <c r="AS124" s="496"/>
      <c r="AT124" s="355"/>
      <c r="AU124" s="355"/>
      <c r="AV124" s="348" t="e">
        <f t="shared" si="160"/>
        <v>#DIV/0!</v>
      </c>
      <c r="AW124" s="354" t="e">
        <f t="shared" si="144"/>
        <v>#DIV/0!</v>
      </c>
      <c r="AX124" s="496"/>
    </row>
    <row r="125" spans="2:50" x14ac:dyDescent="0.2">
      <c r="B125" s="483"/>
      <c r="C125" s="354">
        <v>4</v>
      </c>
      <c r="D125" s="354" t="s">
        <v>169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45"/>
        <v>112.5</v>
      </c>
      <c r="H125" s="485"/>
      <c r="I125" s="355" t="e">
        <f t="shared" si="146"/>
        <v>#DIV/0!</v>
      </c>
      <c r="J125" s="355" t="e">
        <f t="shared" si="147"/>
        <v>#DIV/0!</v>
      </c>
      <c r="K125" s="348" t="e">
        <f t="shared" si="148"/>
        <v>#DIV/0!</v>
      </c>
      <c r="L125" s="485"/>
      <c r="M125" s="377" t="e">
        <f t="shared" si="149"/>
        <v>#DIV/0!</v>
      </c>
      <c r="N125" s="487"/>
      <c r="O125" s="487"/>
      <c r="P125" s="355"/>
      <c r="Q125" s="355"/>
      <c r="R125" s="348" t="e">
        <f t="shared" si="150"/>
        <v>#DIV/0!</v>
      </c>
      <c r="S125" s="354" t="e">
        <f t="shared" si="151"/>
        <v>#DIV/0!</v>
      </c>
      <c r="T125" s="496"/>
      <c r="U125" s="355"/>
      <c r="V125" s="355"/>
      <c r="W125" s="348" t="e">
        <f t="shared" si="152"/>
        <v>#DIV/0!</v>
      </c>
      <c r="X125" s="354" t="e">
        <f t="shared" si="153"/>
        <v>#DIV/0!</v>
      </c>
      <c r="Y125" s="496"/>
      <c r="Z125" s="355"/>
      <c r="AA125" s="355"/>
      <c r="AB125" s="348" t="e">
        <f t="shared" si="154"/>
        <v>#DIV/0!</v>
      </c>
      <c r="AC125" s="354" t="e">
        <f t="shared" si="155"/>
        <v>#DIV/0!</v>
      </c>
      <c r="AD125" s="496"/>
      <c r="AE125" s="355"/>
      <c r="AF125" s="355"/>
      <c r="AG125" s="348" t="e">
        <f t="shared" si="156"/>
        <v>#DIV/0!</v>
      </c>
      <c r="AH125" s="354" t="e">
        <f t="shared" si="157"/>
        <v>#DIV/0!</v>
      </c>
      <c r="AI125" s="496"/>
      <c r="AJ125" s="355"/>
      <c r="AK125" s="355"/>
      <c r="AL125" s="348" t="e">
        <f t="shared" si="158"/>
        <v>#DIV/0!</v>
      </c>
      <c r="AM125" s="354" t="e">
        <f t="shared" si="142"/>
        <v>#DIV/0!</v>
      </c>
      <c r="AN125" s="496"/>
      <c r="AO125" s="355"/>
      <c r="AP125" s="355"/>
      <c r="AQ125" s="348" t="e">
        <f t="shared" si="159"/>
        <v>#DIV/0!</v>
      </c>
      <c r="AR125" s="354" t="e">
        <f t="shared" si="143"/>
        <v>#DIV/0!</v>
      </c>
      <c r="AS125" s="496"/>
      <c r="AT125" s="355"/>
      <c r="AU125" s="355"/>
      <c r="AV125" s="348" t="e">
        <f t="shared" si="160"/>
        <v>#DIV/0!</v>
      </c>
      <c r="AW125" s="354" t="e">
        <f t="shared" si="144"/>
        <v>#DIV/0!</v>
      </c>
      <c r="AX125" s="496"/>
    </row>
    <row r="126" spans="2:50" x14ac:dyDescent="0.2">
      <c r="B126" s="483"/>
      <c r="C126" s="354">
        <v>5</v>
      </c>
      <c r="D126" s="354" t="s">
        <v>382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45"/>
        <v>#N/A</v>
      </c>
      <c r="H126" s="485"/>
      <c r="I126" s="355" t="e">
        <f t="shared" si="146"/>
        <v>#DIV/0!</v>
      </c>
      <c r="J126" s="355" t="e">
        <f t="shared" si="147"/>
        <v>#DIV/0!</v>
      </c>
      <c r="K126" s="348" t="e">
        <f t="shared" si="148"/>
        <v>#DIV/0!</v>
      </c>
      <c r="L126" s="485"/>
      <c r="M126" s="377" t="e">
        <f t="shared" si="149"/>
        <v>#DIV/0!</v>
      </c>
      <c r="N126" s="487"/>
      <c r="O126" s="487"/>
      <c r="P126" s="355"/>
      <c r="Q126" s="355"/>
      <c r="R126" s="348" t="e">
        <f t="shared" si="150"/>
        <v>#DIV/0!</v>
      </c>
      <c r="S126" s="354" t="e">
        <f t="shared" si="151"/>
        <v>#DIV/0!</v>
      </c>
      <c r="T126" s="496"/>
      <c r="U126" s="355"/>
      <c r="V126" s="355"/>
      <c r="W126" s="348" t="e">
        <f t="shared" si="152"/>
        <v>#DIV/0!</v>
      </c>
      <c r="X126" s="354" t="e">
        <f t="shared" si="153"/>
        <v>#DIV/0!</v>
      </c>
      <c r="Y126" s="496"/>
      <c r="Z126" s="355"/>
      <c r="AA126" s="355"/>
      <c r="AB126" s="348" t="e">
        <f t="shared" si="154"/>
        <v>#DIV/0!</v>
      </c>
      <c r="AC126" s="354" t="e">
        <f t="shared" si="155"/>
        <v>#DIV/0!</v>
      </c>
      <c r="AD126" s="496"/>
      <c r="AE126" s="355"/>
      <c r="AF126" s="355"/>
      <c r="AG126" s="348" t="e">
        <f t="shared" si="156"/>
        <v>#DIV/0!</v>
      </c>
      <c r="AH126" s="354" t="e">
        <f t="shared" si="157"/>
        <v>#DIV/0!</v>
      </c>
      <c r="AI126" s="496"/>
      <c r="AJ126" s="355"/>
      <c r="AK126" s="355"/>
      <c r="AL126" s="348" t="e">
        <f t="shared" si="158"/>
        <v>#DIV/0!</v>
      </c>
      <c r="AM126" s="354" t="e">
        <f t="shared" si="142"/>
        <v>#DIV/0!</v>
      </c>
      <c r="AN126" s="496"/>
      <c r="AO126" s="355"/>
      <c r="AP126" s="355"/>
      <c r="AQ126" s="348" t="e">
        <f t="shared" si="159"/>
        <v>#DIV/0!</v>
      </c>
      <c r="AR126" s="354" t="e">
        <f t="shared" si="143"/>
        <v>#DIV/0!</v>
      </c>
      <c r="AS126" s="496"/>
      <c r="AT126" s="355"/>
      <c r="AU126" s="355"/>
      <c r="AV126" s="348" t="e">
        <f t="shared" si="160"/>
        <v>#DIV/0!</v>
      </c>
      <c r="AW126" s="354" t="e">
        <f t="shared" si="144"/>
        <v>#DIV/0!</v>
      </c>
      <c r="AX126" s="496"/>
    </row>
    <row r="127" spans="2:50" x14ac:dyDescent="0.2">
      <c r="B127" s="483"/>
      <c r="C127" s="354">
        <v>6</v>
      </c>
      <c r="D127" s="354" t="s">
        <v>161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45"/>
        <v>114.26666666666667</v>
      </c>
      <c r="H127" s="485"/>
      <c r="I127" s="355" t="e">
        <f t="shared" si="146"/>
        <v>#DIV/0!</v>
      </c>
      <c r="J127" s="355" t="e">
        <f t="shared" si="147"/>
        <v>#DIV/0!</v>
      </c>
      <c r="K127" s="348" t="e">
        <f t="shared" si="148"/>
        <v>#DIV/0!</v>
      </c>
      <c r="L127" s="485"/>
      <c r="M127" s="377" t="e">
        <f t="shared" si="149"/>
        <v>#DIV/0!</v>
      </c>
      <c r="N127" s="487"/>
      <c r="O127" s="487"/>
      <c r="P127" s="355"/>
      <c r="Q127" s="355"/>
      <c r="R127" s="348" t="e">
        <f t="shared" si="150"/>
        <v>#DIV/0!</v>
      </c>
      <c r="S127" s="354" t="e">
        <f t="shared" si="151"/>
        <v>#DIV/0!</v>
      </c>
      <c r="T127" s="496"/>
      <c r="U127" s="355"/>
      <c r="V127" s="355"/>
      <c r="W127" s="348" t="e">
        <f t="shared" si="152"/>
        <v>#DIV/0!</v>
      </c>
      <c r="X127" s="354" t="e">
        <f t="shared" si="153"/>
        <v>#DIV/0!</v>
      </c>
      <c r="Y127" s="496"/>
      <c r="Z127" s="355"/>
      <c r="AA127" s="355"/>
      <c r="AB127" s="348" t="e">
        <f t="shared" si="154"/>
        <v>#DIV/0!</v>
      </c>
      <c r="AC127" s="354" t="e">
        <f t="shared" si="155"/>
        <v>#DIV/0!</v>
      </c>
      <c r="AD127" s="496"/>
      <c r="AE127" s="355"/>
      <c r="AF127" s="355"/>
      <c r="AG127" s="348" t="e">
        <f t="shared" si="156"/>
        <v>#DIV/0!</v>
      </c>
      <c r="AH127" s="354" t="e">
        <f t="shared" si="157"/>
        <v>#DIV/0!</v>
      </c>
      <c r="AI127" s="496"/>
      <c r="AJ127" s="355"/>
      <c r="AK127" s="355"/>
      <c r="AL127" s="348" t="e">
        <f t="shared" si="158"/>
        <v>#DIV/0!</v>
      </c>
      <c r="AM127" s="354" t="e">
        <f t="shared" si="142"/>
        <v>#DIV/0!</v>
      </c>
      <c r="AN127" s="496"/>
      <c r="AO127" s="355"/>
      <c r="AP127" s="355"/>
      <c r="AQ127" s="348" t="e">
        <f t="shared" si="159"/>
        <v>#DIV/0!</v>
      </c>
      <c r="AR127" s="354" t="e">
        <f t="shared" si="143"/>
        <v>#DIV/0!</v>
      </c>
      <c r="AS127" s="496"/>
      <c r="AT127" s="355"/>
      <c r="AU127" s="355"/>
      <c r="AV127" s="348" t="e">
        <f t="shared" si="160"/>
        <v>#DIV/0!</v>
      </c>
      <c r="AW127" s="354" t="e">
        <f t="shared" si="144"/>
        <v>#DIV/0!</v>
      </c>
      <c r="AX127" s="496"/>
    </row>
    <row r="128" spans="2:50" x14ac:dyDescent="0.2">
      <c r="B128" s="483"/>
      <c r="C128" s="354">
        <v>7</v>
      </c>
      <c r="D128" s="354" t="s">
        <v>383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45"/>
        <v>#N/A</v>
      </c>
      <c r="H128" s="485"/>
      <c r="I128" s="355"/>
      <c r="J128" s="355"/>
      <c r="K128" s="348"/>
      <c r="L128" s="485"/>
      <c r="M128" s="377"/>
      <c r="N128" s="487"/>
      <c r="O128" s="487"/>
      <c r="P128" s="355"/>
      <c r="Q128" s="355"/>
      <c r="R128" s="348"/>
      <c r="S128" s="354"/>
      <c r="T128" s="496"/>
      <c r="U128" s="355"/>
      <c r="V128" s="355"/>
      <c r="W128" s="348" t="e">
        <f>V128/U127</f>
        <v>#DIV/0!</v>
      </c>
      <c r="X128" s="354" t="e">
        <f t="shared" si="153"/>
        <v>#DIV/0!</v>
      </c>
      <c r="Y128" s="496"/>
      <c r="Z128" s="355"/>
      <c r="AA128" s="355"/>
      <c r="AB128" s="348" t="e">
        <f t="shared" si="154"/>
        <v>#DIV/0!</v>
      </c>
      <c r="AC128" s="354" t="e">
        <f t="shared" si="155"/>
        <v>#DIV/0!</v>
      </c>
      <c r="AD128" s="496"/>
      <c r="AE128" s="355"/>
      <c r="AF128" s="355"/>
      <c r="AG128" s="348" t="e">
        <f t="shared" si="156"/>
        <v>#DIV/0!</v>
      </c>
      <c r="AH128" s="354" t="e">
        <f t="shared" si="157"/>
        <v>#DIV/0!</v>
      </c>
      <c r="AI128" s="496"/>
      <c r="AJ128" s="355"/>
      <c r="AK128" s="355"/>
      <c r="AL128" s="348" t="e">
        <f t="shared" si="158"/>
        <v>#DIV/0!</v>
      </c>
      <c r="AM128" s="354" t="e">
        <f t="shared" si="142"/>
        <v>#DIV/0!</v>
      </c>
      <c r="AN128" s="496"/>
      <c r="AO128" s="355"/>
      <c r="AP128" s="355"/>
      <c r="AQ128" s="348" t="e">
        <f t="shared" si="159"/>
        <v>#DIV/0!</v>
      </c>
      <c r="AR128" s="354" t="e">
        <f t="shared" si="143"/>
        <v>#DIV/0!</v>
      </c>
      <c r="AS128" s="496"/>
      <c r="AT128" s="355"/>
      <c r="AU128" s="355"/>
      <c r="AV128" s="348" t="e">
        <f t="shared" si="160"/>
        <v>#DIV/0!</v>
      </c>
      <c r="AW128" s="354" t="e">
        <f t="shared" si="144"/>
        <v>#DIV/0!</v>
      </c>
      <c r="AX128" s="496"/>
    </row>
    <row r="129" spans="2:50" x14ac:dyDescent="0.2">
      <c r="B129" s="483"/>
      <c r="C129" s="354">
        <v>8</v>
      </c>
      <c r="D129" s="354" t="s">
        <v>384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45"/>
        <v>#N/A</v>
      </c>
      <c r="H129" s="485"/>
      <c r="I129" s="355" t="e">
        <f t="shared" ref="I129:I135" si="161">AVERAGE(P129,U129,Z129,AE129,AJ129,AO129,AT129)</f>
        <v>#DIV/0!</v>
      </c>
      <c r="J129" s="355" t="e">
        <f t="shared" ref="J129:J135" si="162">AVERAGE(Q129,V129,AA129,AF129,AK129,AP129,AU129)</f>
        <v>#DIV/0!</v>
      </c>
      <c r="K129" s="348" t="e">
        <f t="shared" ref="K129:K135" si="163">AVERAGE(R129)</f>
        <v>#DIV/0!</v>
      </c>
      <c r="L129" s="485"/>
      <c r="M129" s="377" t="e">
        <f t="shared" si="149"/>
        <v>#DIV/0!</v>
      </c>
      <c r="N129" s="487"/>
      <c r="O129" s="487"/>
      <c r="P129" s="354"/>
      <c r="Q129" s="355"/>
      <c r="R129" s="348" t="e">
        <f t="shared" ref="R129:R135" si="164">Q129/P129</f>
        <v>#DIV/0!</v>
      </c>
      <c r="S129" s="354" t="e">
        <f t="shared" ref="S129:S135" si="165">RANK(R129,$R$122:$R$139)</f>
        <v>#DIV/0!</v>
      </c>
      <c r="T129" s="496"/>
      <c r="U129" s="355"/>
      <c r="V129" s="355"/>
      <c r="W129" s="348" t="e">
        <f t="shared" si="152"/>
        <v>#DIV/0!</v>
      </c>
      <c r="X129" s="354" t="e">
        <f t="shared" si="153"/>
        <v>#DIV/0!</v>
      </c>
      <c r="Y129" s="496"/>
      <c r="Z129" s="355"/>
      <c r="AA129" s="355"/>
      <c r="AB129" s="348" t="e">
        <f t="shared" si="154"/>
        <v>#DIV/0!</v>
      </c>
      <c r="AC129" s="354" t="e">
        <f t="shared" si="155"/>
        <v>#DIV/0!</v>
      </c>
      <c r="AD129" s="496"/>
      <c r="AE129" s="355"/>
      <c r="AF129" s="355"/>
      <c r="AG129" s="348" t="e">
        <f t="shared" si="156"/>
        <v>#DIV/0!</v>
      </c>
      <c r="AH129" s="354" t="e">
        <f t="shared" si="157"/>
        <v>#DIV/0!</v>
      </c>
      <c r="AI129" s="496"/>
      <c r="AJ129" s="355"/>
      <c r="AK129" s="355"/>
      <c r="AL129" s="348" t="e">
        <f t="shared" si="158"/>
        <v>#DIV/0!</v>
      </c>
      <c r="AM129" s="354" t="e">
        <f t="shared" si="142"/>
        <v>#DIV/0!</v>
      </c>
      <c r="AN129" s="496"/>
      <c r="AO129" s="355"/>
      <c r="AP129" s="355"/>
      <c r="AQ129" s="348" t="e">
        <f t="shared" si="159"/>
        <v>#DIV/0!</v>
      </c>
      <c r="AR129" s="354" t="e">
        <f t="shared" si="143"/>
        <v>#DIV/0!</v>
      </c>
      <c r="AS129" s="496"/>
      <c r="AT129" s="355"/>
      <c r="AU129" s="355"/>
      <c r="AV129" s="348" t="e">
        <f t="shared" si="160"/>
        <v>#DIV/0!</v>
      </c>
      <c r="AW129" s="354" t="e">
        <f t="shared" si="144"/>
        <v>#DIV/0!</v>
      </c>
      <c r="AX129" s="496"/>
    </row>
    <row r="130" spans="2:50" x14ac:dyDescent="0.2">
      <c r="B130" s="483"/>
      <c r="C130" s="354">
        <v>9</v>
      </c>
      <c r="D130" s="354" t="s">
        <v>221</v>
      </c>
      <c r="E130" s="355">
        <f>VLOOKUP(D130,'12產線配置圖'!$A$2:$C$25,2,0)</f>
        <v>17</v>
      </c>
      <c r="F130" s="355">
        <f>VLOOKUP(D130,'12產線配置圖'!$A$2:$C$25,3,0)</f>
        <v>1800</v>
      </c>
      <c r="G130" s="348">
        <f t="shared" si="145"/>
        <v>105.88235294117646</v>
      </c>
      <c r="H130" s="485"/>
      <c r="I130" s="355" t="e">
        <f t="shared" si="161"/>
        <v>#DIV/0!</v>
      </c>
      <c r="J130" s="355" t="e">
        <f t="shared" si="162"/>
        <v>#DIV/0!</v>
      </c>
      <c r="K130" s="348" t="e">
        <f t="shared" si="163"/>
        <v>#DIV/0!</v>
      </c>
      <c r="L130" s="485"/>
      <c r="M130" s="377" t="e">
        <f t="shared" si="149"/>
        <v>#DIV/0!</v>
      </c>
      <c r="N130" s="487"/>
      <c r="O130" s="487"/>
      <c r="P130" s="354"/>
      <c r="Q130" s="355"/>
      <c r="R130" s="348" t="e">
        <f t="shared" si="164"/>
        <v>#DIV/0!</v>
      </c>
      <c r="S130" s="354" t="e">
        <f t="shared" si="165"/>
        <v>#DIV/0!</v>
      </c>
      <c r="T130" s="496"/>
      <c r="U130" s="355"/>
      <c r="V130" s="355"/>
      <c r="W130" s="348" t="e">
        <f t="shared" si="152"/>
        <v>#DIV/0!</v>
      </c>
      <c r="X130" s="354" t="e">
        <f t="shared" si="153"/>
        <v>#DIV/0!</v>
      </c>
      <c r="Y130" s="496"/>
      <c r="Z130" s="355"/>
      <c r="AA130" s="355"/>
      <c r="AB130" s="348" t="e">
        <f t="shared" si="154"/>
        <v>#DIV/0!</v>
      </c>
      <c r="AC130" s="354" t="e">
        <f t="shared" si="155"/>
        <v>#DIV/0!</v>
      </c>
      <c r="AD130" s="496"/>
      <c r="AE130" s="355"/>
      <c r="AF130" s="355"/>
      <c r="AG130" s="348" t="e">
        <f t="shared" si="156"/>
        <v>#DIV/0!</v>
      </c>
      <c r="AH130" s="354" t="e">
        <f t="shared" si="157"/>
        <v>#DIV/0!</v>
      </c>
      <c r="AI130" s="496"/>
      <c r="AJ130" s="355"/>
      <c r="AK130" s="355"/>
      <c r="AL130" s="348" t="e">
        <f t="shared" si="158"/>
        <v>#DIV/0!</v>
      </c>
      <c r="AM130" s="354" t="e">
        <f t="shared" si="142"/>
        <v>#DIV/0!</v>
      </c>
      <c r="AN130" s="496"/>
      <c r="AO130" s="355"/>
      <c r="AP130" s="355"/>
      <c r="AQ130" s="348" t="e">
        <f t="shared" si="159"/>
        <v>#DIV/0!</v>
      </c>
      <c r="AR130" s="354" t="e">
        <f t="shared" si="143"/>
        <v>#DIV/0!</v>
      </c>
      <c r="AS130" s="496"/>
      <c r="AT130" s="355"/>
      <c r="AU130" s="355"/>
      <c r="AV130" s="348" t="e">
        <f t="shared" si="160"/>
        <v>#DIV/0!</v>
      </c>
      <c r="AW130" s="354" t="e">
        <f t="shared" si="144"/>
        <v>#DIV/0!</v>
      </c>
      <c r="AX130" s="496"/>
    </row>
    <row r="131" spans="2:50" x14ac:dyDescent="0.2">
      <c r="B131" s="483"/>
      <c r="C131" s="354">
        <v>10</v>
      </c>
      <c r="D131" s="354" t="s">
        <v>127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45"/>
        <v>96.235294117647058</v>
      </c>
      <c r="H131" s="485"/>
      <c r="I131" s="355" t="e">
        <f t="shared" si="161"/>
        <v>#DIV/0!</v>
      </c>
      <c r="J131" s="355" t="e">
        <f t="shared" si="162"/>
        <v>#DIV/0!</v>
      </c>
      <c r="K131" s="348" t="e">
        <f t="shared" si="163"/>
        <v>#DIV/0!</v>
      </c>
      <c r="L131" s="485"/>
      <c r="M131" s="377" t="e">
        <f t="shared" si="149"/>
        <v>#DIV/0!</v>
      </c>
      <c r="N131" s="487"/>
      <c r="O131" s="487"/>
      <c r="P131" s="354"/>
      <c r="Q131" s="355"/>
      <c r="R131" s="348" t="e">
        <f t="shared" si="164"/>
        <v>#DIV/0!</v>
      </c>
      <c r="S131" s="354" t="e">
        <f t="shared" si="165"/>
        <v>#DIV/0!</v>
      </c>
      <c r="T131" s="496"/>
      <c r="U131" s="355"/>
      <c r="V131" s="355"/>
      <c r="W131" s="348" t="e">
        <f t="shared" si="152"/>
        <v>#DIV/0!</v>
      </c>
      <c r="X131" s="354" t="e">
        <f t="shared" si="153"/>
        <v>#DIV/0!</v>
      </c>
      <c r="Y131" s="496"/>
      <c r="Z131" s="355"/>
      <c r="AA131" s="355"/>
      <c r="AB131" s="348" t="e">
        <f t="shared" si="154"/>
        <v>#DIV/0!</v>
      </c>
      <c r="AC131" s="354" t="e">
        <f t="shared" si="155"/>
        <v>#DIV/0!</v>
      </c>
      <c r="AD131" s="496"/>
      <c r="AE131" s="355"/>
      <c r="AF131" s="355"/>
      <c r="AG131" s="348" t="e">
        <f t="shared" si="156"/>
        <v>#DIV/0!</v>
      </c>
      <c r="AH131" s="354" t="e">
        <f t="shared" si="157"/>
        <v>#DIV/0!</v>
      </c>
      <c r="AI131" s="496"/>
      <c r="AJ131" s="355"/>
      <c r="AK131" s="355"/>
      <c r="AL131" s="348" t="e">
        <f t="shared" si="158"/>
        <v>#DIV/0!</v>
      </c>
      <c r="AM131" s="354" t="e">
        <f t="shared" si="142"/>
        <v>#DIV/0!</v>
      </c>
      <c r="AN131" s="496"/>
      <c r="AO131" s="355"/>
      <c r="AP131" s="355"/>
      <c r="AQ131" s="348" t="e">
        <f t="shared" si="159"/>
        <v>#DIV/0!</v>
      </c>
      <c r="AR131" s="354" t="e">
        <f t="shared" si="143"/>
        <v>#DIV/0!</v>
      </c>
      <c r="AS131" s="496"/>
      <c r="AT131" s="355"/>
      <c r="AU131" s="355"/>
      <c r="AV131" s="348" t="e">
        <f t="shared" si="160"/>
        <v>#DIV/0!</v>
      </c>
      <c r="AW131" s="354" t="e">
        <f t="shared" si="144"/>
        <v>#DIV/0!</v>
      </c>
      <c r="AX131" s="496"/>
    </row>
    <row r="132" spans="2:50" x14ac:dyDescent="0.2">
      <c r="B132" s="483"/>
      <c r="C132" s="354">
        <v>11</v>
      </c>
      <c r="D132" s="354" t="s">
        <v>164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45"/>
        <v>110.76923076923077</v>
      </c>
      <c r="H132" s="485"/>
      <c r="I132" s="355" t="e">
        <f t="shared" si="161"/>
        <v>#DIV/0!</v>
      </c>
      <c r="J132" s="355" t="e">
        <f t="shared" si="162"/>
        <v>#DIV/0!</v>
      </c>
      <c r="K132" s="348" t="e">
        <f t="shared" si="163"/>
        <v>#DIV/0!</v>
      </c>
      <c r="L132" s="485"/>
      <c r="M132" s="377" t="e">
        <f t="shared" si="149"/>
        <v>#DIV/0!</v>
      </c>
      <c r="N132" s="487"/>
      <c r="O132" s="487"/>
      <c r="P132" s="354"/>
      <c r="Q132" s="354"/>
      <c r="R132" s="348" t="e">
        <f t="shared" si="164"/>
        <v>#DIV/0!</v>
      </c>
      <c r="S132" s="354" t="e">
        <f t="shared" si="165"/>
        <v>#DIV/0!</v>
      </c>
      <c r="T132" s="496"/>
      <c r="U132" s="354"/>
      <c r="V132" s="354"/>
      <c r="W132" s="348" t="e">
        <f>V132/U132</f>
        <v>#DIV/0!</v>
      </c>
      <c r="X132" s="354" t="e">
        <f t="shared" si="153"/>
        <v>#DIV/0!</v>
      </c>
      <c r="Y132" s="496"/>
      <c r="Z132" s="354"/>
      <c r="AA132" s="354"/>
      <c r="AB132" s="348" t="e">
        <f>AA132/Z132</f>
        <v>#DIV/0!</v>
      </c>
      <c r="AC132" s="354" t="e">
        <f t="shared" si="155"/>
        <v>#DIV/0!</v>
      </c>
      <c r="AD132" s="496"/>
      <c r="AE132" s="354"/>
      <c r="AF132" s="354"/>
      <c r="AG132" s="348" t="e">
        <f>AF132/AE132</f>
        <v>#DIV/0!</v>
      </c>
      <c r="AH132" s="354" t="e">
        <f t="shared" si="157"/>
        <v>#DIV/0!</v>
      </c>
      <c r="AI132" s="496"/>
      <c r="AJ132" s="354"/>
      <c r="AK132" s="354"/>
      <c r="AL132" s="348" t="e">
        <f t="shared" ref="AL132:AL137" si="166">AK132/AJ132</f>
        <v>#DIV/0!</v>
      </c>
      <c r="AM132" s="354" t="e">
        <f t="shared" si="142"/>
        <v>#DIV/0!</v>
      </c>
      <c r="AN132" s="496"/>
      <c r="AO132" s="354"/>
      <c r="AP132" s="354"/>
      <c r="AQ132" s="348" t="e">
        <f t="shared" ref="AQ132:AQ137" si="167">AP132/AO132</f>
        <v>#DIV/0!</v>
      </c>
      <c r="AR132" s="354" t="e">
        <f t="shared" si="143"/>
        <v>#DIV/0!</v>
      </c>
      <c r="AS132" s="496"/>
      <c r="AT132" s="354"/>
      <c r="AU132" s="354"/>
      <c r="AV132" s="348" t="e">
        <f t="shared" si="160"/>
        <v>#DIV/0!</v>
      </c>
      <c r="AW132" s="354" t="e">
        <f t="shared" si="144"/>
        <v>#DIV/0!</v>
      </c>
      <c r="AX132" s="496"/>
    </row>
    <row r="133" spans="2:50" x14ac:dyDescent="0.2">
      <c r="B133" s="483"/>
      <c r="C133" s="354">
        <v>12</v>
      </c>
      <c r="D133" s="354" t="s">
        <v>385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45"/>
        <v>#N/A</v>
      </c>
      <c r="H133" s="485"/>
      <c r="I133" s="355" t="e">
        <f t="shared" si="161"/>
        <v>#DIV/0!</v>
      </c>
      <c r="J133" s="355" t="e">
        <f t="shared" si="162"/>
        <v>#DIV/0!</v>
      </c>
      <c r="K133" s="348" t="e">
        <f t="shared" si="163"/>
        <v>#DIV/0!</v>
      </c>
      <c r="L133" s="485"/>
      <c r="M133" s="377" t="e">
        <f t="shared" si="149"/>
        <v>#DIV/0!</v>
      </c>
      <c r="N133" s="487"/>
      <c r="O133" s="487"/>
      <c r="P133" s="354"/>
      <c r="Q133" s="354"/>
      <c r="R133" s="348" t="e">
        <f t="shared" si="164"/>
        <v>#DIV/0!</v>
      </c>
      <c r="S133" s="354" t="e">
        <f t="shared" si="165"/>
        <v>#DIV/0!</v>
      </c>
      <c r="T133" s="496"/>
      <c r="U133" s="354"/>
      <c r="V133" s="355"/>
      <c r="W133" s="348" t="e">
        <f t="shared" ref="W133:W137" si="168">V133/U133</f>
        <v>#DIV/0!</v>
      </c>
      <c r="X133" s="354" t="e">
        <f t="shared" si="153"/>
        <v>#DIV/0!</v>
      </c>
      <c r="Y133" s="496"/>
      <c r="Z133" s="354"/>
      <c r="AA133" s="355"/>
      <c r="AB133" s="348" t="e">
        <f t="shared" ref="AB133:AB137" si="169">AA133/Z133</f>
        <v>#DIV/0!</v>
      </c>
      <c r="AC133" s="354" t="e">
        <f t="shared" si="155"/>
        <v>#DIV/0!</v>
      </c>
      <c r="AD133" s="496"/>
      <c r="AE133" s="354"/>
      <c r="AF133" s="355"/>
      <c r="AG133" s="348" t="e">
        <f>AF133/AE133</f>
        <v>#DIV/0!</v>
      </c>
      <c r="AH133" s="354" t="e">
        <f t="shared" si="157"/>
        <v>#DIV/0!</v>
      </c>
      <c r="AI133" s="496"/>
      <c r="AJ133" s="354"/>
      <c r="AK133" s="355"/>
      <c r="AL133" s="348" t="e">
        <f t="shared" si="166"/>
        <v>#DIV/0!</v>
      </c>
      <c r="AM133" s="354" t="e">
        <f t="shared" si="142"/>
        <v>#DIV/0!</v>
      </c>
      <c r="AN133" s="496"/>
      <c r="AO133" s="354"/>
      <c r="AP133" s="355"/>
      <c r="AQ133" s="348" t="e">
        <f t="shared" si="167"/>
        <v>#DIV/0!</v>
      </c>
      <c r="AR133" s="354" t="e">
        <f t="shared" si="143"/>
        <v>#DIV/0!</v>
      </c>
      <c r="AS133" s="496"/>
      <c r="AT133" s="354"/>
      <c r="AU133" s="355"/>
      <c r="AV133" s="348" t="e">
        <f t="shared" si="160"/>
        <v>#DIV/0!</v>
      </c>
      <c r="AW133" s="354" t="e">
        <f t="shared" si="144"/>
        <v>#DIV/0!</v>
      </c>
      <c r="AX133" s="496"/>
    </row>
    <row r="134" spans="2:50" x14ac:dyDescent="0.2">
      <c r="B134" s="483"/>
      <c r="C134" s="354">
        <v>13</v>
      </c>
      <c r="D134" s="354" t="s">
        <v>386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45"/>
        <v>#N/A</v>
      </c>
      <c r="H134" s="485"/>
      <c r="I134" s="355"/>
      <c r="J134" s="355"/>
      <c r="K134" s="348"/>
      <c r="L134" s="485"/>
      <c r="M134" s="377"/>
      <c r="N134" s="487"/>
      <c r="O134" s="487"/>
      <c r="P134" s="354"/>
      <c r="Q134" s="354"/>
      <c r="R134" s="348" t="e">
        <f t="shared" si="164"/>
        <v>#DIV/0!</v>
      </c>
      <c r="S134" s="354" t="e">
        <f t="shared" si="165"/>
        <v>#DIV/0!</v>
      </c>
      <c r="T134" s="496"/>
      <c r="U134" s="354"/>
      <c r="V134" s="354"/>
      <c r="W134" s="348" t="e">
        <f t="shared" si="168"/>
        <v>#DIV/0!</v>
      </c>
      <c r="X134" s="354" t="e">
        <f t="shared" si="153"/>
        <v>#DIV/0!</v>
      </c>
      <c r="Y134" s="496"/>
      <c r="Z134" s="354"/>
      <c r="AA134" s="354"/>
      <c r="AB134" s="348" t="e">
        <f t="shared" si="169"/>
        <v>#DIV/0!</v>
      </c>
      <c r="AC134" s="354" t="e">
        <f t="shared" si="155"/>
        <v>#DIV/0!</v>
      </c>
      <c r="AD134" s="496"/>
      <c r="AE134" s="354"/>
      <c r="AF134" s="354"/>
      <c r="AG134" s="348" t="e">
        <f>AF134/AE134</f>
        <v>#DIV/0!</v>
      </c>
      <c r="AH134" s="354" t="e">
        <f t="shared" si="157"/>
        <v>#DIV/0!</v>
      </c>
      <c r="AI134" s="496"/>
      <c r="AJ134" s="354"/>
      <c r="AK134" s="354"/>
      <c r="AL134" s="348" t="e">
        <f t="shared" si="166"/>
        <v>#DIV/0!</v>
      </c>
      <c r="AM134" s="354" t="e">
        <f t="shared" si="142"/>
        <v>#DIV/0!</v>
      </c>
      <c r="AN134" s="496"/>
      <c r="AO134" s="354"/>
      <c r="AP134" s="354"/>
      <c r="AQ134" s="348" t="e">
        <f t="shared" si="167"/>
        <v>#DIV/0!</v>
      </c>
      <c r="AR134" s="354" t="e">
        <f t="shared" si="143"/>
        <v>#DIV/0!</v>
      </c>
      <c r="AS134" s="496"/>
      <c r="AT134" s="354"/>
      <c r="AU134" s="354"/>
      <c r="AV134" s="348" t="e">
        <f t="shared" si="160"/>
        <v>#DIV/0!</v>
      </c>
      <c r="AW134" s="354" t="e">
        <f t="shared" si="144"/>
        <v>#DIV/0!</v>
      </c>
      <c r="AX134" s="496"/>
    </row>
    <row r="135" spans="2:50" x14ac:dyDescent="0.2">
      <c r="B135" s="483"/>
      <c r="C135" s="354">
        <v>14</v>
      </c>
      <c r="D135" s="354" t="s">
        <v>159</v>
      </c>
      <c r="E135" s="355">
        <f>VLOOKUP(D135,'12產線配置圖'!$A$2:$C$25,2,0)</f>
        <v>17</v>
      </c>
      <c r="F135" s="355">
        <f>VLOOKUP(D135,'12產線配置圖'!$A$2:$C$25,3,0)</f>
        <v>2250</v>
      </c>
      <c r="G135" s="348">
        <f t="shared" si="145"/>
        <v>132.35294117647058</v>
      </c>
      <c r="H135" s="485"/>
      <c r="I135" s="355" t="e">
        <f t="shared" si="161"/>
        <v>#DIV/0!</v>
      </c>
      <c r="J135" s="355" t="e">
        <f t="shared" si="162"/>
        <v>#DIV/0!</v>
      </c>
      <c r="K135" s="348" t="e">
        <f t="shared" si="163"/>
        <v>#DIV/0!</v>
      </c>
      <c r="L135" s="485"/>
      <c r="M135" s="377" t="e">
        <f t="shared" si="149"/>
        <v>#DIV/0!</v>
      </c>
      <c r="N135" s="487"/>
      <c r="O135" s="487"/>
      <c r="P135" s="354"/>
      <c r="Q135" s="354"/>
      <c r="R135" s="348" t="e">
        <f t="shared" si="164"/>
        <v>#DIV/0!</v>
      </c>
      <c r="S135" s="354" t="e">
        <f t="shared" si="165"/>
        <v>#DIV/0!</v>
      </c>
      <c r="T135" s="496"/>
      <c r="U135" s="354"/>
      <c r="V135" s="354"/>
      <c r="W135" s="348" t="e">
        <f t="shared" si="168"/>
        <v>#DIV/0!</v>
      </c>
      <c r="X135" s="354" t="e">
        <f t="shared" si="153"/>
        <v>#DIV/0!</v>
      </c>
      <c r="Y135" s="496"/>
      <c r="Z135" s="354"/>
      <c r="AA135" s="354"/>
      <c r="AB135" s="348" t="e">
        <f t="shared" si="169"/>
        <v>#DIV/0!</v>
      </c>
      <c r="AC135" s="354" t="e">
        <f t="shared" si="155"/>
        <v>#DIV/0!</v>
      </c>
      <c r="AD135" s="496"/>
      <c r="AE135" s="354"/>
      <c r="AF135" s="354"/>
      <c r="AG135" s="348" t="e">
        <f>AF135/AE135</f>
        <v>#DIV/0!</v>
      </c>
      <c r="AH135" s="354" t="e">
        <f t="shared" si="157"/>
        <v>#DIV/0!</v>
      </c>
      <c r="AI135" s="496"/>
      <c r="AJ135" s="354"/>
      <c r="AK135" s="354"/>
      <c r="AL135" s="348" t="e">
        <f t="shared" si="166"/>
        <v>#DIV/0!</v>
      </c>
      <c r="AM135" s="354" t="e">
        <f t="shared" si="142"/>
        <v>#DIV/0!</v>
      </c>
      <c r="AN135" s="496"/>
      <c r="AO135" s="354"/>
      <c r="AP135" s="354"/>
      <c r="AQ135" s="348" t="e">
        <f t="shared" si="167"/>
        <v>#DIV/0!</v>
      </c>
      <c r="AR135" s="354" t="e">
        <f t="shared" si="143"/>
        <v>#DIV/0!</v>
      </c>
      <c r="AS135" s="496"/>
      <c r="AT135" s="354"/>
      <c r="AU135" s="354"/>
      <c r="AV135" s="348" t="e">
        <f t="shared" si="160"/>
        <v>#DIV/0!</v>
      </c>
      <c r="AW135" s="354" t="e">
        <f t="shared" si="144"/>
        <v>#DIV/0!</v>
      </c>
      <c r="AX135" s="496"/>
    </row>
    <row r="136" spans="2:50" x14ac:dyDescent="0.2">
      <c r="B136" s="483"/>
      <c r="C136" s="354">
        <v>15</v>
      </c>
      <c r="D136" s="354"/>
      <c r="E136" s="355"/>
      <c r="F136" s="355"/>
      <c r="G136" s="348"/>
      <c r="H136" s="485"/>
      <c r="I136" s="355"/>
      <c r="J136" s="355"/>
      <c r="K136" s="348"/>
      <c r="L136" s="485"/>
      <c r="M136" s="377"/>
      <c r="N136" s="487"/>
      <c r="O136" s="487"/>
      <c r="P136" s="354"/>
      <c r="Q136" s="354"/>
      <c r="R136" s="348"/>
      <c r="S136" s="354"/>
      <c r="T136" s="496"/>
      <c r="U136" s="354"/>
      <c r="V136" s="354"/>
      <c r="W136" s="348" t="e">
        <f t="shared" si="168"/>
        <v>#DIV/0!</v>
      </c>
      <c r="X136" s="354" t="e">
        <f t="shared" si="153"/>
        <v>#DIV/0!</v>
      </c>
      <c r="Y136" s="496"/>
      <c r="Z136" s="354"/>
      <c r="AA136" s="354"/>
      <c r="AB136" s="348" t="e">
        <f t="shared" si="169"/>
        <v>#DIV/0!</v>
      </c>
      <c r="AC136" s="354" t="e">
        <f t="shared" si="155"/>
        <v>#DIV/0!</v>
      </c>
      <c r="AD136" s="496"/>
      <c r="AE136" s="354"/>
      <c r="AF136" s="354"/>
      <c r="AG136" s="348" t="e">
        <f t="shared" ref="AG136:AG137" si="170">AF136/AE136</f>
        <v>#DIV/0!</v>
      </c>
      <c r="AH136" s="354" t="e">
        <f t="shared" si="157"/>
        <v>#DIV/0!</v>
      </c>
      <c r="AI136" s="496"/>
      <c r="AJ136" s="354"/>
      <c r="AK136" s="354"/>
      <c r="AL136" s="348" t="e">
        <f t="shared" si="166"/>
        <v>#DIV/0!</v>
      </c>
      <c r="AM136" s="354" t="e">
        <f t="shared" si="142"/>
        <v>#DIV/0!</v>
      </c>
      <c r="AN136" s="496"/>
      <c r="AO136" s="354"/>
      <c r="AP136" s="354"/>
      <c r="AQ136" s="348" t="e">
        <f t="shared" si="167"/>
        <v>#DIV/0!</v>
      </c>
      <c r="AR136" s="354" t="e">
        <f t="shared" si="143"/>
        <v>#DIV/0!</v>
      </c>
      <c r="AS136" s="496"/>
      <c r="AT136" s="354"/>
      <c r="AU136" s="354"/>
      <c r="AV136" s="348" t="e">
        <f>AU136/AT136</f>
        <v>#DIV/0!</v>
      </c>
      <c r="AW136" s="354" t="e">
        <f t="shared" si="144"/>
        <v>#DIV/0!</v>
      </c>
      <c r="AX136" s="496"/>
    </row>
    <row r="137" spans="2:50" x14ac:dyDescent="0.2">
      <c r="B137" s="483"/>
      <c r="C137" s="354">
        <v>16</v>
      </c>
      <c r="D137" s="354"/>
      <c r="E137" s="355"/>
      <c r="F137" s="355"/>
      <c r="G137" s="348"/>
      <c r="H137" s="485"/>
      <c r="I137" s="355"/>
      <c r="J137" s="355"/>
      <c r="K137" s="348"/>
      <c r="L137" s="485"/>
      <c r="M137" s="377"/>
      <c r="N137" s="487"/>
      <c r="O137" s="487"/>
      <c r="P137" s="354"/>
      <c r="Q137" s="354"/>
      <c r="R137" s="348"/>
      <c r="S137" s="354"/>
      <c r="T137" s="496"/>
      <c r="U137" s="354"/>
      <c r="V137" s="354"/>
      <c r="W137" s="348" t="e">
        <f t="shared" si="168"/>
        <v>#DIV/0!</v>
      </c>
      <c r="X137" s="354" t="e">
        <f t="shared" si="153"/>
        <v>#DIV/0!</v>
      </c>
      <c r="Y137" s="496"/>
      <c r="Z137" s="354"/>
      <c r="AA137" s="354"/>
      <c r="AB137" s="348" t="e">
        <f t="shared" si="169"/>
        <v>#DIV/0!</v>
      </c>
      <c r="AC137" s="354" t="e">
        <f t="shared" si="155"/>
        <v>#DIV/0!</v>
      </c>
      <c r="AD137" s="496"/>
      <c r="AE137" s="354"/>
      <c r="AF137" s="354"/>
      <c r="AG137" s="348" t="e">
        <f t="shared" si="170"/>
        <v>#DIV/0!</v>
      </c>
      <c r="AH137" s="354" t="e">
        <f t="shared" si="157"/>
        <v>#DIV/0!</v>
      </c>
      <c r="AI137" s="496"/>
      <c r="AJ137" s="354"/>
      <c r="AK137" s="354"/>
      <c r="AL137" s="348" t="e">
        <f t="shared" si="166"/>
        <v>#DIV/0!</v>
      </c>
      <c r="AM137" s="354" t="e">
        <f t="shared" si="142"/>
        <v>#DIV/0!</v>
      </c>
      <c r="AN137" s="496"/>
      <c r="AO137" s="354"/>
      <c r="AP137" s="354"/>
      <c r="AQ137" s="348" t="e">
        <f t="shared" si="167"/>
        <v>#DIV/0!</v>
      </c>
      <c r="AR137" s="354" t="e">
        <f t="shared" si="143"/>
        <v>#DIV/0!</v>
      </c>
      <c r="AS137" s="496"/>
      <c r="AT137" s="354"/>
      <c r="AU137" s="354"/>
      <c r="AV137" s="348" t="e">
        <f>AU137/AT137</f>
        <v>#DIV/0!</v>
      </c>
      <c r="AW137" s="354" t="e">
        <f t="shared" si="144"/>
        <v>#DIV/0!</v>
      </c>
      <c r="AX137" s="496"/>
    </row>
    <row r="138" spans="2:50" x14ac:dyDescent="0.2">
      <c r="B138" s="483"/>
      <c r="C138" s="354">
        <v>17</v>
      </c>
      <c r="D138" s="354"/>
      <c r="E138" s="355"/>
      <c r="F138" s="355"/>
      <c r="G138" s="348"/>
      <c r="H138" s="485"/>
      <c r="I138" s="354"/>
      <c r="J138" s="354"/>
      <c r="K138" s="348"/>
      <c r="L138" s="485"/>
      <c r="M138" s="377"/>
      <c r="N138" s="487"/>
      <c r="O138" s="487"/>
      <c r="P138" s="354"/>
      <c r="Q138" s="354"/>
      <c r="R138" s="348"/>
      <c r="S138" s="354"/>
      <c r="T138" s="496"/>
      <c r="U138" s="354"/>
      <c r="V138" s="354"/>
      <c r="W138" s="348"/>
      <c r="X138" s="354"/>
      <c r="Y138" s="496"/>
      <c r="Z138" s="354"/>
      <c r="AA138" s="354"/>
      <c r="AB138" s="354"/>
      <c r="AC138" s="354"/>
      <c r="AD138" s="496"/>
      <c r="AE138" s="354"/>
      <c r="AF138" s="354"/>
      <c r="AG138" s="348"/>
      <c r="AH138" s="354"/>
      <c r="AI138" s="496"/>
      <c r="AJ138" s="354"/>
      <c r="AK138" s="354"/>
      <c r="AL138" s="354"/>
      <c r="AM138" s="354"/>
      <c r="AN138" s="496"/>
      <c r="AO138" s="354"/>
      <c r="AP138" s="354"/>
      <c r="AQ138" s="354"/>
      <c r="AR138" s="354"/>
      <c r="AS138" s="496"/>
      <c r="AT138" s="354"/>
      <c r="AU138" s="354"/>
      <c r="AV138" s="354"/>
      <c r="AW138" s="354"/>
      <c r="AX138" s="496"/>
    </row>
    <row r="139" spans="2:50" x14ac:dyDescent="0.2">
      <c r="B139" s="483"/>
      <c r="C139" s="354">
        <v>18</v>
      </c>
      <c r="D139" s="354"/>
      <c r="E139" s="355"/>
      <c r="F139" s="355"/>
      <c r="G139" s="348"/>
      <c r="H139" s="486"/>
      <c r="I139" s="354"/>
      <c r="J139" s="354"/>
      <c r="K139" s="348"/>
      <c r="L139" s="486"/>
      <c r="M139" s="377"/>
      <c r="N139" s="487"/>
      <c r="O139" s="487"/>
      <c r="P139" s="354"/>
      <c r="Q139" s="354"/>
      <c r="R139" s="348"/>
      <c r="S139" s="354"/>
      <c r="T139" s="496"/>
      <c r="U139" s="354"/>
      <c r="V139" s="354"/>
      <c r="W139" s="348"/>
      <c r="X139" s="354"/>
      <c r="Y139" s="496"/>
      <c r="Z139" s="354"/>
      <c r="AA139" s="354"/>
      <c r="AB139" s="354"/>
      <c r="AC139" s="354"/>
      <c r="AD139" s="496"/>
      <c r="AE139" s="354"/>
      <c r="AF139" s="354"/>
      <c r="AG139" s="348"/>
      <c r="AH139" s="354"/>
      <c r="AI139" s="496"/>
      <c r="AJ139" s="354"/>
      <c r="AK139" s="354"/>
      <c r="AL139" s="354"/>
      <c r="AM139" s="354"/>
      <c r="AN139" s="496"/>
      <c r="AO139" s="354"/>
      <c r="AP139" s="354"/>
      <c r="AQ139" s="354"/>
      <c r="AR139" s="354"/>
      <c r="AS139" s="496"/>
      <c r="AT139" s="354"/>
      <c r="AU139" s="354"/>
      <c r="AV139" s="354"/>
      <c r="AW139" s="354"/>
      <c r="AX139" s="496"/>
    </row>
  </sheetData>
  <mergeCells count="354">
    <mergeCell ref="U28:X28"/>
    <mergeCell ref="P26:T26"/>
    <mergeCell ref="P27:S27"/>
    <mergeCell ref="O25:O26"/>
    <mergeCell ref="U27:X27"/>
    <mergeCell ref="P25:T25"/>
    <mergeCell ref="Y7:Y24"/>
    <mergeCell ref="U25:Y25"/>
    <mergeCell ref="U4:X4"/>
    <mergeCell ref="U5:X5"/>
    <mergeCell ref="U26:Y26"/>
    <mergeCell ref="Y4:Y6"/>
    <mergeCell ref="E5:G5"/>
    <mergeCell ref="I5:K5"/>
    <mergeCell ref="E4:G4"/>
    <mergeCell ref="B2:H3"/>
    <mergeCell ref="B4:B6"/>
    <mergeCell ref="N2:N3"/>
    <mergeCell ref="M4:M6"/>
    <mergeCell ref="N4:N24"/>
    <mergeCell ref="L7:L24"/>
    <mergeCell ref="H4:H6"/>
    <mergeCell ref="I4:K4"/>
    <mergeCell ref="L4:L6"/>
    <mergeCell ref="H7:H24"/>
    <mergeCell ref="T7:T24"/>
    <mergeCell ref="B25:H26"/>
    <mergeCell ref="B27:B29"/>
    <mergeCell ref="C27:D29"/>
    <mergeCell ref="I27:K27"/>
    <mergeCell ref="B7:B24"/>
    <mergeCell ref="P28:S28"/>
    <mergeCell ref="N27:N47"/>
    <mergeCell ref="O27:O47"/>
    <mergeCell ref="T30:T47"/>
    <mergeCell ref="T27:T29"/>
    <mergeCell ref="N25:N26"/>
    <mergeCell ref="O4:O24"/>
    <mergeCell ref="P5:S5"/>
    <mergeCell ref="O2:O3"/>
    <mergeCell ref="P3:T3"/>
    <mergeCell ref="P2:T2"/>
    <mergeCell ref="T4:T6"/>
    <mergeCell ref="P4:S4"/>
    <mergeCell ref="C50:D52"/>
    <mergeCell ref="C73:D75"/>
    <mergeCell ref="E50:G50"/>
    <mergeCell ref="H53:H70"/>
    <mergeCell ref="I73:K73"/>
    <mergeCell ref="E51:G51"/>
    <mergeCell ref="I51:K51"/>
    <mergeCell ref="E73:G73"/>
    <mergeCell ref="C4:D6"/>
    <mergeCell ref="M73:M75"/>
    <mergeCell ref="L76:L93"/>
    <mergeCell ref="B48:H49"/>
    <mergeCell ref="B30:B47"/>
    <mergeCell ref="H73:H75"/>
    <mergeCell ref="E74:G74"/>
    <mergeCell ref="B71:H72"/>
    <mergeCell ref="L50:L52"/>
    <mergeCell ref="B50:B52"/>
    <mergeCell ref="B73:B75"/>
    <mergeCell ref="L30:L47"/>
    <mergeCell ref="B53:B70"/>
    <mergeCell ref="L73:L75"/>
    <mergeCell ref="B76:B93"/>
    <mergeCell ref="I74:K74"/>
    <mergeCell ref="H76:H93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H99:H116"/>
    <mergeCell ref="P71:T71"/>
    <mergeCell ref="AD27:AD29"/>
    <mergeCell ref="U48:Y48"/>
    <mergeCell ref="Z27:AC27"/>
    <mergeCell ref="H50:H52"/>
    <mergeCell ref="O48:O49"/>
    <mergeCell ref="P48:T48"/>
    <mergeCell ref="P49:T49"/>
    <mergeCell ref="O50:O70"/>
    <mergeCell ref="N48:N49"/>
    <mergeCell ref="P51:S51"/>
    <mergeCell ref="T53:T70"/>
    <mergeCell ref="P50:S50"/>
    <mergeCell ref="T50:T52"/>
    <mergeCell ref="N50:N70"/>
    <mergeCell ref="Y27:Y29"/>
    <mergeCell ref="E27:G27"/>
    <mergeCell ref="H30:H47"/>
    <mergeCell ref="L53:L70"/>
    <mergeCell ref="I50:K50"/>
    <mergeCell ref="Z95:AD95"/>
    <mergeCell ref="O71:O72"/>
    <mergeCell ref="N94:N95"/>
    <mergeCell ref="N71:N72"/>
    <mergeCell ref="B94:H95"/>
    <mergeCell ref="L27:L29"/>
    <mergeCell ref="I28:K28"/>
    <mergeCell ref="E28:G28"/>
    <mergeCell ref="H27:H29"/>
    <mergeCell ref="O73:O93"/>
    <mergeCell ref="M50:M52"/>
    <mergeCell ref="M27:M29"/>
    <mergeCell ref="U96:X96"/>
    <mergeCell ref="P96:S96"/>
    <mergeCell ref="T96:T98"/>
    <mergeCell ref="Y99:Y116"/>
    <mergeCell ref="P94:T94"/>
    <mergeCell ref="P97:S97"/>
    <mergeCell ref="U94:Y94"/>
    <mergeCell ref="U95:Y95"/>
    <mergeCell ref="U97:X97"/>
    <mergeCell ref="Y96:Y98"/>
    <mergeCell ref="P95:T95"/>
    <mergeCell ref="O117:O118"/>
    <mergeCell ref="N73:N93"/>
    <mergeCell ref="N96:N116"/>
    <mergeCell ref="O94:O95"/>
    <mergeCell ref="P118:T118"/>
    <mergeCell ref="P117:T117"/>
    <mergeCell ref="T99:T116"/>
    <mergeCell ref="P74:S74"/>
    <mergeCell ref="P73:S73"/>
    <mergeCell ref="O96:O116"/>
    <mergeCell ref="N117:N118"/>
    <mergeCell ref="Z73:AC73"/>
    <mergeCell ref="AD73:AD75"/>
    <mergeCell ref="U72:Y72"/>
    <mergeCell ref="P72:T72"/>
    <mergeCell ref="AI73:AI75"/>
    <mergeCell ref="AE73:AH73"/>
    <mergeCell ref="AE74:AH74"/>
    <mergeCell ref="Z74:AC74"/>
    <mergeCell ref="Z72:AD72"/>
    <mergeCell ref="T76:T93"/>
    <mergeCell ref="Y73:Y75"/>
    <mergeCell ref="U73:X73"/>
    <mergeCell ref="T73:T75"/>
    <mergeCell ref="U74:X74"/>
    <mergeCell ref="Y76:Y93"/>
    <mergeCell ref="AE72:AI72"/>
    <mergeCell ref="U50:X50"/>
    <mergeCell ref="AE51:AH51"/>
    <mergeCell ref="AD53:AD70"/>
    <mergeCell ref="Z51:AC51"/>
    <mergeCell ref="U71:Y71"/>
    <mergeCell ref="Y53:Y70"/>
    <mergeCell ref="AE71:AI71"/>
    <mergeCell ref="Z71:AD71"/>
    <mergeCell ref="AI53:AI70"/>
    <mergeCell ref="U51:X51"/>
    <mergeCell ref="AI50:AI52"/>
    <mergeCell ref="AD50:AD52"/>
    <mergeCell ref="Y30:Y47"/>
    <mergeCell ref="Z28:AC28"/>
    <mergeCell ref="AE28:AH28"/>
    <mergeCell ref="AJ96:AM96"/>
    <mergeCell ref="AE94:AI94"/>
    <mergeCell ref="AI96:AI98"/>
    <mergeCell ref="AE97:AH97"/>
    <mergeCell ref="Z96:AC96"/>
    <mergeCell ref="AI76:AI93"/>
    <mergeCell ref="Z94:AD94"/>
    <mergeCell ref="AE95:AI95"/>
    <mergeCell ref="AE96:AH96"/>
    <mergeCell ref="AD76:AD93"/>
    <mergeCell ref="AD96:AD98"/>
    <mergeCell ref="Z97:AC97"/>
    <mergeCell ref="AJ95:AN95"/>
    <mergeCell ref="Z49:AD49"/>
    <mergeCell ref="AE48:AI48"/>
    <mergeCell ref="Y50:Y52"/>
    <mergeCell ref="Z50:AC50"/>
    <mergeCell ref="AE50:AH50"/>
    <mergeCell ref="AE49:AI49"/>
    <mergeCell ref="U49:Y49"/>
    <mergeCell ref="Z4:AC4"/>
    <mergeCell ref="Z5:AC5"/>
    <mergeCell ref="AE26:AI26"/>
    <mergeCell ref="AI4:AI6"/>
    <mergeCell ref="AE4:AH4"/>
    <mergeCell ref="AE5:AH5"/>
    <mergeCell ref="AD4:AD6"/>
    <mergeCell ref="U3:Y3"/>
    <mergeCell ref="Z3:AD3"/>
    <mergeCell ref="AE3:AI3"/>
    <mergeCell ref="AJ3:AN3"/>
    <mergeCell ref="U2:Y2"/>
    <mergeCell ref="Z2:AD2"/>
    <mergeCell ref="AJ2:AN2"/>
    <mergeCell ref="AT2:AX2"/>
    <mergeCell ref="AO3:AS3"/>
    <mergeCell ref="AT3:AX3"/>
    <mergeCell ref="AO2:AS2"/>
    <mergeCell ref="AI30:AI47"/>
    <mergeCell ref="AI27:AI29"/>
    <mergeCell ref="AE25:AI25"/>
    <mergeCell ref="AE2:AI2"/>
    <mergeCell ref="AS4:AS6"/>
    <mergeCell ref="AO4:AR4"/>
    <mergeCell ref="AD30:AD47"/>
    <mergeCell ref="AJ48:AN48"/>
    <mergeCell ref="AN7:AN24"/>
    <mergeCell ref="AJ26:AN26"/>
    <mergeCell ref="AJ25:AN25"/>
    <mergeCell ref="AE27:AH27"/>
    <mergeCell ref="Z48:AD48"/>
    <mergeCell ref="AO5:AR5"/>
    <mergeCell ref="AJ5:AM5"/>
    <mergeCell ref="AT25:AX25"/>
    <mergeCell ref="AT28:AW28"/>
    <mergeCell ref="Z26:AD26"/>
    <mergeCell ref="AD7:AD24"/>
    <mergeCell ref="AO27:AR27"/>
    <mergeCell ref="AN27:AN29"/>
    <mergeCell ref="AS27:AS29"/>
    <mergeCell ref="AI7:AI24"/>
    <mergeCell ref="Z25:AD25"/>
    <mergeCell ref="AS7:AS24"/>
    <mergeCell ref="AO25:AS25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J4:AM4"/>
    <mergeCell ref="AO26:AS26"/>
    <mergeCell ref="AT26:AX26"/>
    <mergeCell ref="AX7:AX24"/>
    <mergeCell ref="AO49:AS49"/>
    <mergeCell ref="AT48:AX48"/>
    <mergeCell ref="AX50:AX52"/>
    <mergeCell ref="AT50:AW50"/>
    <mergeCell ref="AO51:AR51"/>
    <mergeCell ref="AO50:AR50"/>
    <mergeCell ref="AT51:AW51"/>
    <mergeCell ref="AO48:AS48"/>
    <mergeCell ref="AO95:AS95"/>
    <mergeCell ref="AX53:AX70"/>
    <mergeCell ref="AT72:AX72"/>
    <mergeCell ref="AO71:AS71"/>
    <mergeCell ref="AN50:AN52"/>
    <mergeCell ref="AS50:AS52"/>
    <mergeCell ref="AJ72:AN72"/>
    <mergeCell ref="AJ50:AM50"/>
    <mergeCell ref="AJ51:AM51"/>
    <mergeCell ref="AS53:AS70"/>
    <mergeCell ref="AO72:AS72"/>
    <mergeCell ref="AO74:AR74"/>
    <mergeCell ref="AS73:AS75"/>
    <mergeCell ref="AT94:AX94"/>
    <mergeCell ref="AO94:AS94"/>
    <mergeCell ref="AS76:AS93"/>
    <mergeCell ref="AT95:AX95"/>
    <mergeCell ref="AJ49:AN49"/>
    <mergeCell ref="AO73:AR73"/>
    <mergeCell ref="AX76:AX93"/>
    <mergeCell ref="AT49:AX49"/>
    <mergeCell ref="AJ74:AM74"/>
    <mergeCell ref="AJ73:AM73"/>
    <mergeCell ref="AT74:AW74"/>
    <mergeCell ref="AT73:AW73"/>
    <mergeCell ref="AX73:AX75"/>
    <mergeCell ref="AN73:AN75"/>
    <mergeCell ref="AN76:AN93"/>
    <mergeCell ref="AJ94:AN94"/>
    <mergeCell ref="AT71:AX71"/>
    <mergeCell ref="AN53:AN70"/>
    <mergeCell ref="AJ71:AN71"/>
    <mergeCell ref="AX99:AX116"/>
    <mergeCell ref="AO97:AR97"/>
    <mergeCell ref="AO96:AR96"/>
    <mergeCell ref="AX96:AX98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D99:AD116"/>
    <mergeCell ref="AI99:AI116"/>
    <mergeCell ref="U118:Y118"/>
    <mergeCell ref="AJ117:AN117"/>
    <mergeCell ref="AO118:AS118"/>
    <mergeCell ref="AE117:AI117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T122:T139"/>
    <mergeCell ref="Y122:Y139"/>
    <mergeCell ref="AD122:AD139"/>
    <mergeCell ref="AI122:AI139"/>
    <mergeCell ref="M119:M121"/>
    <mergeCell ref="P119:S119"/>
    <mergeCell ref="T119:T121"/>
    <mergeCell ref="U119:X119"/>
    <mergeCell ref="U120:X120"/>
    <mergeCell ref="AI119:AI121"/>
    <mergeCell ref="AE120:AH120"/>
    <mergeCell ref="U117:Y117"/>
    <mergeCell ref="Z118:AD118"/>
    <mergeCell ref="AE119:AH119"/>
    <mergeCell ref="Y119:Y121"/>
    <mergeCell ref="Z119:AC119"/>
    <mergeCell ref="Z120:AC120"/>
    <mergeCell ref="AE118:AI118"/>
    <mergeCell ref="B122:B139"/>
    <mergeCell ref="H122:H139"/>
    <mergeCell ref="L122:L139"/>
    <mergeCell ref="B119:B121"/>
    <mergeCell ref="Z117:AD117"/>
    <mergeCell ref="AD119:AD121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3" activePane="bottomRight" state="frozen"/>
      <selection pane="topRight" activeCell="I1" sqref="I1"/>
      <selection pane="bottomLeft" activeCell="A7" sqref="A7"/>
      <selection pane="bottomRight" activeCell="I87" sqref="I87:K90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6" width="8.85546875" style="196" customWidth="1"/>
    <col min="87" max="16384" width="8.85546875" style="196"/>
  </cols>
  <sheetData>
    <row r="1" spans="1:50" ht="24" x14ac:dyDescent="0.2">
      <c r="A1" s="192"/>
      <c r="B1" s="193" t="s">
        <v>83</v>
      </c>
      <c r="C1" s="194">
        <f>AVERAGE(L7,L27,L47,L67,L87,L107)</f>
        <v>116.98271044354028</v>
      </c>
    </row>
    <row r="2" spans="1:50" ht="15.75" x14ac:dyDescent="0.2">
      <c r="A2" s="197"/>
      <c r="B2" s="529" t="s">
        <v>84</v>
      </c>
      <c r="C2" s="530"/>
      <c r="D2" s="530"/>
      <c r="E2" s="530"/>
      <c r="F2" s="530"/>
      <c r="G2" s="530"/>
      <c r="H2" s="530"/>
      <c r="I2" s="198"/>
      <c r="J2" s="198"/>
      <c r="K2" s="198"/>
      <c r="L2" s="198"/>
      <c r="M2" s="199"/>
      <c r="N2" s="523" t="s">
        <v>85</v>
      </c>
      <c r="O2" s="523" t="s">
        <v>45</v>
      </c>
      <c r="P2" s="532"/>
      <c r="Q2" s="533"/>
      <c r="R2" s="533"/>
      <c r="S2" s="533"/>
      <c r="T2" s="533"/>
      <c r="U2" s="532"/>
      <c r="V2" s="533"/>
      <c r="W2" s="533"/>
      <c r="X2" s="533"/>
      <c r="Y2" s="533"/>
      <c r="Z2" s="532"/>
      <c r="AA2" s="533"/>
      <c r="AB2" s="533"/>
      <c r="AC2" s="533"/>
      <c r="AD2" s="533"/>
      <c r="AE2" s="532"/>
      <c r="AF2" s="533"/>
      <c r="AG2" s="533"/>
      <c r="AH2" s="533"/>
      <c r="AI2" s="533"/>
      <c r="AJ2" s="532"/>
      <c r="AK2" s="533"/>
      <c r="AL2" s="533"/>
      <c r="AM2" s="533"/>
      <c r="AN2" s="533"/>
      <c r="AO2" s="532"/>
      <c r="AP2" s="533"/>
      <c r="AQ2" s="533"/>
      <c r="AR2" s="533"/>
      <c r="AS2" s="533"/>
      <c r="AT2" s="532">
        <v>46146</v>
      </c>
      <c r="AU2" s="533"/>
      <c r="AV2" s="533"/>
      <c r="AW2" s="533"/>
      <c r="AX2" s="533"/>
    </row>
    <row r="3" spans="1:50" ht="15.75" x14ac:dyDescent="0.2">
      <c r="A3" s="197"/>
      <c r="B3" s="531"/>
      <c r="C3" s="531"/>
      <c r="D3" s="531"/>
      <c r="E3" s="531"/>
      <c r="F3" s="531"/>
      <c r="G3" s="531"/>
      <c r="H3" s="531"/>
      <c r="I3" s="200"/>
      <c r="J3" s="200"/>
      <c r="K3" s="200"/>
      <c r="L3" s="200"/>
      <c r="M3" s="201"/>
      <c r="N3" s="525"/>
      <c r="O3" s="525"/>
      <c r="P3" s="532" t="s">
        <v>57</v>
      </c>
      <c r="Q3" s="533"/>
      <c r="R3" s="533"/>
      <c r="S3" s="533"/>
      <c r="T3" s="533"/>
      <c r="U3" s="532" t="s">
        <v>58</v>
      </c>
      <c r="V3" s="533"/>
      <c r="W3" s="533"/>
      <c r="X3" s="533"/>
      <c r="Y3" s="533"/>
      <c r="Z3" s="532" t="s">
        <v>59</v>
      </c>
      <c r="AA3" s="533"/>
      <c r="AB3" s="533"/>
      <c r="AC3" s="533"/>
      <c r="AD3" s="533"/>
      <c r="AE3" s="532" t="s">
        <v>60</v>
      </c>
      <c r="AF3" s="533"/>
      <c r="AG3" s="533"/>
      <c r="AH3" s="533"/>
      <c r="AI3" s="533"/>
      <c r="AJ3" s="532" t="s">
        <v>55</v>
      </c>
      <c r="AK3" s="533"/>
      <c r="AL3" s="533"/>
      <c r="AM3" s="533"/>
      <c r="AN3" s="533"/>
      <c r="AO3" s="532" t="s">
        <v>52</v>
      </c>
      <c r="AP3" s="533"/>
      <c r="AQ3" s="533"/>
      <c r="AR3" s="533"/>
      <c r="AS3" s="533"/>
      <c r="AT3" s="532" t="s">
        <v>56</v>
      </c>
      <c r="AU3" s="533"/>
      <c r="AV3" s="533"/>
      <c r="AW3" s="533"/>
      <c r="AX3" s="533"/>
    </row>
    <row r="4" spans="1:50" ht="14.25" x14ac:dyDescent="0.2">
      <c r="A4" s="197"/>
      <c r="B4" s="518" t="s">
        <v>41</v>
      </c>
      <c r="C4" s="518" t="s">
        <v>86</v>
      </c>
      <c r="D4" s="518"/>
      <c r="E4" s="518" t="s">
        <v>87</v>
      </c>
      <c r="F4" s="518"/>
      <c r="G4" s="518"/>
      <c r="H4" s="515" t="s">
        <v>88</v>
      </c>
      <c r="I4" s="518" t="s">
        <v>89</v>
      </c>
      <c r="J4" s="518"/>
      <c r="K4" s="518"/>
      <c r="L4" s="515" t="s">
        <v>88</v>
      </c>
      <c r="M4" s="523" t="s">
        <v>90</v>
      </c>
      <c r="N4" s="518"/>
      <c r="O4" s="518" t="s">
        <v>91</v>
      </c>
      <c r="P4" s="526" t="s">
        <v>92</v>
      </c>
      <c r="Q4" s="527"/>
      <c r="R4" s="527"/>
      <c r="S4" s="528"/>
      <c r="T4" s="518" t="s">
        <v>88</v>
      </c>
      <c r="U4" s="526" t="s">
        <v>92</v>
      </c>
      <c r="V4" s="527"/>
      <c r="W4" s="527"/>
      <c r="X4" s="528"/>
      <c r="Y4" s="518" t="s">
        <v>88</v>
      </c>
      <c r="Z4" s="526" t="s">
        <v>92</v>
      </c>
      <c r="AA4" s="527"/>
      <c r="AB4" s="527"/>
      <c r="AC4" s="528"/>
      <c r="AD4" s="518" t="s">
        <v>88</v>
      </c>
      <c r="AE4" s="526" t="s">
        <v>92</v>
      </c>
      <c r="AF4" s="527"/>
      <c r="AG4" s="527"/>
      <c r="AH4" s="528"/>
      <c r="AI4" s="518" t="s">
        <v>88</v>
      </c>
      <c r="AJ4" s="526" t="s">
        <v>92</v>
      </c>
      <c r="AK4" s="527"/>
      <c r="AL4" s="527"/>
      <c r="AM4" s="528"/>
      <c r="AN4" s="518" t="s">
        <v>88</v>
      </c>
      <c r="AO4" s="526" t="s">
        <v>92</v>
      </c>
      <c r="AP4" s="527"/>
      <c r="AQ4" s="527"/>
      <c r="AR4" s="528"/>
      <c r="AS4" s="518" t="s">
        <v>88</v>
      </c>
      <c r="AT4" s="526" t="s">
        <v>92</v>
      </c>
      <c r="AU4" s="527"/>
      <c r="AV4" s="527"/>
      <c r="AW4" s="528"/>
      <c r="AX4" s="518" t="s">
        <v>88</v>
      </c>
    </row>
    <row r="5" spans="1:50" ht="14.25" x14ac:dyDescent="0.2">
      <c r="A5" s="197"/>
      <c r="B5" s="518"/>
      <c r="C5" s="518"/>
      <c r="D5" s="518"/>
      <c r="E5" s="518" t="s">
        <v>93</v>
      </c>
      <c r="F5" s="518"/>
      <c r="G5" s="518"/>
      <c r="H5" s="516"/>
      <c r="I5" s="518" t="s">
        <v>93</v>
      </c>
      <c r="J5" s="518"/>
      <c r="K5" s="518"/>
      <c r="L5" s="516"/>
      <c r="M5" s="524"/>
      <c r="N5" s="518"/>
      <c r="O5" s="518"/>
      <c r="P5" s="526" t="s">
        <v>94</v>
      </c>
      <c r="Q5" s="527"/>
      <c r="R5" s="527"/>
      <c r="S5" s="528"/>
      <c r="T5" s="518"/>
      <c r="U5" s="526" t="s">
        <v>94</v>
      </c>
      <c r="V5" s="527"/>
      <c r="W5" s="527"/>
      <c r="X5" s="528"/>
      <c r="Y5" s="518"/>
      <c r="Z5" s="526" t="s">
        <v>94</v>
      </c>
      <c r="AA5" s="527"/>
      <c r="AB5" s="527"/>
      <c r="AC5" s="528"/>
      <c r="AD5" s="518"/>
      <c r="AE5" s="526" t="s">
        <v>94</v>
      </c>
      <c r="AF5" s="527"/>
      <c r="AG5" s="527"/>
      <c r="AH5" s="528"/>
      <c r="AI5" s="518"/>
      <c r="AJ5" s="526" t="s">
        <v>94</v>
      </c>
      <c r="AK5" s="527"/>
      <c r="AL5" s="527"/>
      <c r="AM5" s="528"/>
      <c r="AN5" s="518"/>
      <c r="AO5" s="526" t="s">
        <v>94</v>
      </c>
      <c r="AP5" s="527"/>
      <c r="AQ5" s="527"/>
      <c r="AR5" s="528"/>
      <c r="AS5" s="518"/>
      <c r="AT5" s="526" t="s">
        <v>94</v>
      </c>
      <c r="AU5" s="527"/>
      <c r="AV5" s="527"/>
      <c r="AW5" s="528"/>
      <c r="AX5" s="518"/>
    </row>
    <row r="6" spans="1:50" ht="14.25" x14ac:dyDescent="0.2">
      <c r="A6" s="202"/>
      <c r="B6" s="518"/>
      <c r="C6" s="518"/>
      <c r="D6" s="518"/>
      <c r="E6" s="203" t="s">
        <v>95</v>
      </c>
      <c r="F6" s="203" t="s">
        <v>96</v>
      </c>
      <c r="G6" s="203" t="s">
        <v>97</v>
      </c>
      <c r="H6" s="517"/>
      <c r="I6" s="203" t="s">
        <v>95</v>
      </c>
      <c r="J6" s="203" t="s">
        <v>96</v>
      </c>
      <c r="K6" s="203" t="s">
        <v>97</v>
      </c>
      <c r="L6" s="517"/>
      <c r="M6" s="525"/>
      <c r="N6" s="518"/>
      <c r="O6" s="518"/>
      <c r="P6" s="203" t="s">
        <v>95</v>
      </c>
      <c r="Q6" s="203" t="s">
        <v>96</v>
      </c>
      <c r="R6" s="203" t="s">
        <v>97</v>
      </c>
      <c r="S6" s="203" t="s">
        <v>90</v>
      </c>
      <c r="T6" s="518"/>
      <c r="U6" s="203" t="s">
        <v>95</v>
      </c>
      <c r="V6" s="203" t="s">
        <v>96</v>
      </c>
      <c r="W6" s="203" t="s">
        <v>97</v>
      </c>
      <c r="X6" s="203" t="s">
        <v>90</v>
      </c>
      <c r="Y6" s="518"/>
      <c r="Z6" s="203" t="s">
        <v>95</v>
      </c>
      <c r="AA6" s="203" t="s">
        <v>96</v>
      </c>
      <c r="AB6" s="203" t="s">
        <v>97</v>
      </c>
      <c r="AC6" s="203" t="s">
        <v>90</v>
      </c>
      <c r="AD6" s="518"/>
      <c r="AE6" s="203" t="s">
        <v>95</v>
      </c>
      <c r="AF6" s="203" t="s">
        <v>96</v>
      </c>
      <c r="AG6" s="203" t="s">
        <v>97</v>
      </c>
      <c r="AH6" s="203" t="s">
        <v>90</v>
      </c>
      <c r="AI6" s="518"/>
      <c r="AJ6" s="203" t="s">
        <v>95</v>
      </c>
      <c r="AK6" s="203" t="s">
        <v>96</v>
      </c>
      <c r="AL6" s="203" t="s">
        <v>97</v>
      </c>
      <c r="AM6" s="203" t="s">
        <v>90</v>
      </c>
      <c r="AN6" s="518"/>
      <c r="AO6" s="203" t="s">
        <v>95</v>
      </c>
      <c r="AP6" s="203" t="s">
        <v>96</v>
      </c>
      <c r="AQ6" s="203" t="s">
        <v>97</v>
      </c>
      <c r="AR6" s="203" t="s">
        <v>90</v>
      </c>
      <c r="AS6" s="518"/>
      <c r="AT6" s="203" t="s">
        <v>95</v>
      </c>
      <c r="AU6" s="203" t="s">
        <v>96</v>
      </c>
      <c r="AV6" s="203" t="s">
        <v>97</v>
      </c>
      <c r="AW6" s="203" t="s">
        <v>90</v>
      </c>
      <c r="AX6" s="518"/>
    </row>
    <row r="7" spans="1:50" ht="14.25" x14ac:dyDescent="0.2">
      <c r="A7" s="197"/>
      <c r="B7" s="518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519">
        <f>AVERAGE(G7:G21)</f>
        <v>125.67424242424242</v>
      </c>
      <c r="I7" s="205">
        <f t="shared" ref="I7:J8" si="1">AVERAGE(P7,U7,Z7,AE7,AJ7,AO7,AT7)</f>
        <v>14.666666666666666</v>
      </c>
      <c r="J7" s="205">
        <f t="shared" si="1"/>
        <v>1412.3333333333333</v>
      </c>
      <c r="K7" s="206">
        <f>AVERAGE(AV7)</f>
        <v>93.2</v>
      </c>
      <c r="L7" s="519">
        <f>IFERROR(AVERAGE(K7:K21),"-")</f>
        <v>113.86717171717173</v>
      </c>
      <c r="M7" s="207">
        <f>RANK(K7,$K$7:$K$21)</f>
        <v>3</v>
      </c>
      <c r="N7" s="518"/>
      <c r="O7" s="518"/>
      <c r="P7" s="400"/>
      <c r="Q7" s="400"/>
      <c r="R7" s="206" t="e">
        <f>Q7/P7</f>
        <v>#DIV/0!</v>
      </c>
      <c r="S7" s="204" t="e">
        <f>RANK(R7, R$7:R$21)</f>
        <v>#DIV/0!</v>
      </c>
      <c r="T7" s="522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522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522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522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522">
        <f>AVERAGE(AL7:AL21)</f>
        <v>107.76666666666667</v>
      </c>
      <c r="AO7" s="205"/>
      <c r="AP7" s="205"/>
      <c r="AQ7" s="206" t="e">
        <f>AP7/AO7</f>
        <v>#DIV/0!</v>
      </c>
      <c r="AR7" s="204" t="e">
        <f>RANK(AQ7,$AQ$7:$AQ$21)</f>
        <v>#DIV/0!</v>
      </c>
      <c r="AS7" s="522" t="e">
        <f>AVERAGE(AQ7:AQ21)</f>
        <v>#DIV/0!</v>
      </c>
      <c r="AT7" s="205">
        <v>15</v>
      </c>
      <c r="AU7" s="205">
        <v>1398</v>
      </c>
      <c r="AV7" s="206">
        <f>AU7/AT7</f>
        <v>93.2</v>
      </c>
      <c r="AW7" s="204">
        <f>RANK(AV7,$AV$7:$AV$21)</f>
        <v>3</v>
      </c>
      <c r="AX7" s="522">
        <f>AVERAGE(AV7:AV21)</f>
        <v>113.86717171717173</v>
      </c>
    </row>
    <row r="8" spans="1:50" ht="15" customHeight="1" x14ac:dyDescent="0.2">
      <c r="A8" s="197"/>
      <c r="B8" s="533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520"/>
      <c r="I8" s="205">
        <f t="shared" si="1"/>
        <v>11.666666666666666</v>
      </c>
      <c r="J8" s="205">
        <f t="shared" si="1"/>
        <v>1392.3333333333333</v>
      </c>
      <c r="K8" s="206">
        <f>AVERAGE(AV8)</f>
        <v>122.58333333333333</v>
      </c>
      <c r="L8" s="520"/>
      <c r="M8" s="207">
        <f t="shared" ref="M8:M9" si="2">RANK(K8,$K$7:$K$21)</f>
        <v>2</v>
      </c>
      <c r="N8" s="518"/>
      <c r="O8" s="518"/>
      <c r="P8" s="400"/>
      <c r="Q8" s="400"/>
      <c r="R8" s="206" t="e">
        <f t="shared" ref="R8:R9" si="3">Q8/P8</f>
        <v>#DIV/0!</v>
      </c>
      <c r="S8" s="204" t="e">
        <f t="shared" ref="S8:S9" si="4">RANK(R8, R$7:R$21)</f>
        <v>#DIV/0!</v>
      </c>
      <c r="T8" s="522"/>
      <c r="U8" s="205"/>
      <c r="V8" s="205"/>
      <c r="W8" s="206" t="e">
        <f t="shared" ref="W8:W9" si="5">V8/U8</f>
        <v>#DIV/0!</v>
      </c>
      <c r="X8" s="204" t="e">
        <f t="shared" ref="X8:X9" si="6">RANK(W8,$W$7:$W$21)</f>
        <v>#DIV/0!</v>
      </c>
      <c r="Y8" s="522"/>
      <c r="Z8" s="205"/>
      <c r="AA8" s="205"/>
      <c r="AB8" s="206" t="e">
        <f t="shared" ref="AB8:AB9" si="7">AA8/Z8</f>
        <v>#DIV/0!</v>
      </c>
      <c r="AC8" s="204" t="e">
        <f t="shared" ref="AC8:AC9" si="8">RANK(AB8,$AB$7:$AB$21)</f>
        <v>#DIV/0!</v>
      </c>
      <c r="AD8" s="522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522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522"/>
      <c r="AO8" s="205"/>
      <c r="AP8" s="205"/>
      <c r="AQ8" s="206" t="e">
        <f>AP8/AO8</f>
        <v>#DIV/0!</v>
      </c>
      <c r="AR8" s="204" t="e">
        <f>RANK(AQ8,$AQ$7:$AQ$21)</f>
        <v>#DIV/0!</v>
      </c>
      <c r="AS8" s="522"/>
      <c r="AT8" s="205">
        <v>12</v>
      </c>
      <c r="AU8" s="205">
        <v>1471</v>
      </c>
      <c r="AV8" s="206">
        <f>AU8/AT8</f>
        <v>122.58333333333333</v>
      </c>
      <c r="AW8" s="204">
        <f>RANK(AV8,$AV$7:$AV$21)</f>
        <v>2</v>
      </c>
      <c r="AX8" s="522"/>
    </row>
    <row r="9" spans="1:50" ht="14.25" x14ac:dyDescent="0.2">
      <c r="A9" s="197"/>
      <c r="B9" s="533"/>
      <c r="C9" s="204">
        <v>3</v>
      </c>
      <c r="D9" s="208" t="s">
        <v>100</v>
      </c>
      <c r="E9" s="205">
        <f>VLOOKUP(D9,'12產線配置圖'!$A$26:$C$33,2,0)</f>
        <v>11</v>
      </c>
      <c r="F9" s="205">
        <f>VLOOKUP(D9,'12產線配置圖'!$A$26:$C$33,3,0)</f>
        <v>1565</v>
      </c>
      <c r="G9" s="206">
        <f t="shared" si="0"/>
        <v>142.27272727272728</v>
      </c>
      <c r="H9" s="520"/>
      <c r="I9" s="205">
        <f>AVERAGE(P9,U9,Z9,AE9,AJ9,AO9,AT9)</f>
        <v>11</v>
      </c>
      <c r="J9" s="205">
        <f>AVERAGE(Q9,V9,AA9,AF9,AK9,AP9,AU9)</f>
        <v>1384</v>
      </c>
      <c r="K9" s="206">
        <f>AVERAGE(AV9)</f>
        <v>125.81818181818181</v>
      </c>
      <c r="L9" s="520"/>
      <c r="M9" s="207">
        <f t="shared" si="2"/>
        <v>1</v>
      </c>
      <c r="N9" s="518"/>
      <c r="O9" s="518"/>
      <c r="P9" s="400"/>
      <c r="Q9" s="400"/>
      <c r="R9" s="206" t="e">
        <f t="shared" si="3"/>
        <v>#DIV/0!</v>
      </c>
      <c r="S9" s="204" t="e">
        <f t="shared" si="4"/>
        <v>#DIV/0!</v>
      </c>
      <c r="T9" s="522"/>
      <c r="U9" s="205"/>
      <c r="V9" s="205"/>
      <c r="W9" s="206" t="e">
        <f t="shared" si="5"/>
        <v>#DIV/0!</v>
      </c>
      <c r="X9" s="204" t="e">
        <f t="shared" si="6"/>
        <v>#DIV/0!</v>
      </c>
      <c r="Y9" s="522"/>
      <c r="Z9" s="205"/>
      <c r="AA9" s="205"/>
      <c r="AB9" s="206" t="e">
        <f t="shared" si="7"/>
        <v>#DIV/0!</v>
      </c>
      <c r="AC9" s="204" t="e">
        <f t="shared" si="8"/>
        <v>#DIV/0!</v>
      </c>
      <c r="AD9" s="522"/>
      <c r="AE9" s="347"/>
      <c r="AF9" s="205"/>
      <c r="AG9" s="206"/>
      <c r="AH9" s="204"/>
      <c r="AI9" s="522"/>
      <c r="AJ9" s="347"/>
      <c r="AK9" s="205"/>
      <c r="AL9" s="348"/>
      <c r="AM9" s="204"/>
      <c r="AN9" s="522"/>
      <c r="AO9" s="347"/>
      <c r="AP9" s="205"/>
      <c r="AQ9" s="346"/>
      <c r="AR9" s="204"/>
      <c r="AS9" s="522"/>
      <c r="AT9" s="397">
        <v>11</v>
      </c>
      <c r="AU9" s="205">
        <v>1384</v>
      </c>
      <c r="AV9" s="206">
        <f>AU9/AT9</f>
        <v>125.81818181818181</v>
      </c>
      <c r="AW9" s="204">
        <f>RANK(AV9,$AV$7:$AV$21)</f>
        <v>1</v>
      </c>
      <c r="AX9" s="522"/>
    </row>
    <row r="10" spans="1:50" ht="14.25" x14ac:dyDescent="0.2">
      <c r="A10" s="197"/>
      <c r="B10" s="533"/>
      <c r="C10" s="204">
        <v>4</v>
      </c>
      <c r="D10" s="208"/>
      <c r="E10" s="205"/>
      <c r="F10" s="205"/>
      <c r="G10" s="206"/>
      <c r="H10" s="520"/>
      <c r="I10" s="205"/>
      <c r="J10" s="205"/>
      <c r="K10" s="206"/>
      <c r="L10" s="520"/>
      <c r="M10" s="207"/>
      <c r="N10" s="518"/>
      <c r="O10" s="518"/>
      <c r="P10" s="400"/>
      <c r="Q10" s="400"/>
      <c r="R10" s="206"/>
      <c r="S10" s="204"/>
      <c r="T10" s="522"/>
      <c r="U10" s="205"/>
      <c r="V10" s="205"/>
      <c r="W10" s="206"/>
      <c r="X10" s="204"/>
      <c r="Y10" s="522"/>
      <c r="Z10" s="205"/>
      <c r="AA10" s="205"/>
      <c r="AB10" s="206"/>
      <c r="AC10" s="204"/>
      <c r="AD10" s="522"/>
      <c r="AE10" s="205"/>
      <c r="AF10" s="205"/>
      <c r="AG10" s="346"/>
      <c r="AH10" s="204"/>
      <c r="AI10" s="522"/>
      <c r="AJ10" s="205"/>
      <c r="AK10" s="205"/>
      <c r="AL10" s="348"/>
      <c r="AM10" s="204"/>
      <c r="AN10" s="522"/>
      <c r="AO10" s="205"/>
      <c r="AP10" s="205"/>
      <c r="AQ10" s="346"/>
      <c r="AR10" s="204"/>
      <c r="AS10" s="522"/>
      <c r="AT10" s="205"/>
      <c r="AU10" s="205"/>
      <c r="AV10" s="346"/>
      <c r="AW10" s="204"/>
      <c r="AX10" s="522"/>
    </row>
    <row r="11" spans="1:50" ht="14.25" x14ac:dyDescent="0.2">
      <c r="A11" s="197"/>
      <c r="B11" s="533"/>
      <c r="C11" s="204">
        <v>5</v>
      </c>
      <c r="D11" s="208"/>
      <c r="E11" s="205"/>
      <c r="F11" s="205"/>
      <c r="G11" s="206"/>
      <c r="H11" s="520"/>
      <c r="I11" s="205"/>
      <c r="J11" s="205"/>
      <c r="K11" s="206"/>
      <c r="L11" s="520"/>
      <c r="M11" s="207"/>
      <c r="N11" s="518"/>
      <c r="O11" s="518"/>
      <c r="P11" s="400"/>
      <c r="Q11" s="400"/>
      <c r="R11" s="206"/>
      <c r="S11" s="204"/>
      <c r="T11" s="522"/>
      <c r="U11" s="205"/>
      <c r="V11" s="205"/>
      <c r="W11" s="206"/>
      <c r="X11" s="204"/>
      <c r="Y11" s="522"/>
      <c r="Z11" s="205"/>
      <c r="AA11" s="205"/>
      <c r="AB11" s="206"/>
      <c r="AC11" s="204"/>
      <c r="AD11" s="522"/>
      <c r="AE11" s="205"/>
      <c r="AF11" s="205"/>
      <c r="AG11" s="204"/>
      <c r="AH11" s="204"/>
      <c r="AI11" s="522"/>
      <c r="AJ11" s="205"/>
      <c r="AK11" s="205"/>
      <c r="AL11" s="204"/>
      <c r="AM11" s="204"/>
      <c r="AN11" s="522"/>
      <c r="AO11" s="205"/>
      <c r="AP11" s="205"/>
      <c r="AQ11" s="204"/>
      <c r="AR11" s="204"/>
      <c r="AS11" s="522"/>
      <c r="AT11" s="205"/>
      <c r="AU11" s="205"/>
      <c r="AV11" s="204"/>
      <c r="AW11" s="204"/>
      <c r="AX11" s="522"/>
    </row>
    <row r="12" spans="1:50" ht="14.25" x14ac:dyDescent="0.2">
      <c r="A12" s="197"/>
      <c r="B12" s="533"/>
      <c r="C12" s="204">
        <v>6</v>
      </c>
      <c r="D12" s="208"/>
      <c r="E12" s="205"/>
      <c r="F12" s="205"/>
      <c r="G12" s="206"/>
      <c r="H12" s="520"/>
      <c r="I12" s="205"/>
      <c r="J12" s="205"/>
      <c r="K12" s="206"/>
      <c r="L12" s="520"/>
      <c r="M12" s="207"/>
      <c r="N12" s="518"/>
      <c r="O12" s="518"/>
      <c r="P12" s="400"/>
      <c r="Q12" s="400"/>
      <c r="R12" s="206"/>
      <c r="S12" s="204"/>
      <c r="T12" s="522"/>
      <c r="U12" s="205"/>
      <c r="V12" s="205"/>
      <c r="W12" s="206"/>
      <c r="X12" s="204"/>
      <c r="Y12" s="522"/>
      <c r="Z12" s="205"/>
      <c r="AA12" s="205"/>
      <c r="AB12" s="206"/>
      <c r="AC12" s="204"/>
      <c r="AD12" s="522"/>
      <c r="AE12" s="205"/>
      <c r="AF12" s="205"/>
      <c r="AG12" s="204"/>
      <c r="AH12" s="204"/>
      <c r="AI12" s="522"/>
      <c r="AJ12" s="205"/>
      <c r="AK12" s="205"/>
      <c r="AL12" s="204"/>
      <c r="AM12" s="204"/>
      <c r="AN12" s="522"/>
      <c r="AO12" s="205"/>
      <c r="AP12" s="205"/>
      <c r="AQ12" s="204"/>
      <c r="AR12" s="204"/>
      <c r="AS12" s="522"/>
      <c r="AT12" s="205"/>
      <c r="AU12" s="205"/>
      <c r="AV12" s="204"/>
      <c r="AW12" s="204"/>
      <c r="AX12" s="522"/>
    </row>
    <row r="13" spans="1:50" ht="14.25" x14ac:dyDescent="0.2">
      <c r="A13" s="197"/>
      <c r="B13" s="533"/>
      <c r="C13" s="204">
        <v>7</v>
      </c>
      <c r="D13" s="208"/>
      <c r="E13" s="205"/>
      <c r="F13" s="205"/>
      <c r="G13" s="206"/>
      <c r="H13" s="520"/>
      <c r="I13" s="205"/>
      <c r="J13" s="205"/>
      <c r="K13" s="206"/>
      <c r="L13" s="520"/>
      <c r="M13" s="207"/>
      <c r="N13" s="518"/>
      <c r="O13" s="518"/>
      <c r="P13" s="400"/>
      <c r="Q13" s="400"/>
      <c r="R13" s="206"/>
      <c r="S13" s="204"/>
      <c r="T13" s="522"/>
      <c r="U13" s="205"/>
      <c r="V13" s="205"/>
      <c r="W13" s="206"/>
      <c r="X13" s="204"/>
      <c r="Y13" s="522"/>
      <c r="Z13" s="205"/>
      <c r="AA13" s="205"/>
      <c r="AB13" s="206"/>
      <c r="AC13" s="204"/>
      <c r="AD13" s="522"/>
      <c r="AE13" s="205"/>
      <c r="AF13" s="205"/>
      <c r="AG13" s="204"/>
      <c r="AH13" s="204"/>
      <c r="AI13" s="522"/>
      <c r="AJ13" s="205"/>
      <c r="AK13" s="205"/>
      <c r="AL13" s="204"/>
      <c r="AM13" s="204"/>
      <c r="AN13" s="522"/>
      <c r="AO13" s="205"/>
      <c r="AP13" s="205"/>
      <c r="AQ13" s="204"/>
      <c r="AR13" s="204"/>
      <c r="AS13" s="522"/>
      <c r="AT13" s="205"/>
      <c r="AU13" s="205"/>
      <c r="AV13" s="204"/>
      <c r="AW13" s="204"/>
      <c r="AX13" s="522"/>
    </row>
    <row r="14" spans="1:50" ht="14.25" x14ac:dyDescent="0.2">
      <c r="A14" s="197"/>
      <c r="B14" s="533"/>
      <c r="C14" s="204">
        <v>8</v>
      </c>
      <c r="D14" s="208"/>
      <c r="E14" s="205"/>
      <c r="F14" s="205"/>
      <c r="G14" s="206"/>
      <c r="H14" s="520"/>
      <c r="I14" s="205"/>
      <c r="J14" s="205"/>
      <c r="K14" s="206"/>
      <c r="L14" s="520"/>
      <c r="M14" s="207"/>
      <c r="N14" s="518"/>
      <c r="O14" s="518"/>
      <c r="P14" s="400"/>
      <c r="Q14" s="400"/>
      <c r="R14" s="206"/>
      <c r="S14" s="204"/>
      <c r="T14" s="522"/>
      <c r="U14" s="205"/>
      <c r="V14" s="205"/>
      <c r="W14" s="206"/>
      <c r="X14" s="204"/>
      <c r="Y14" s="522"/>
      <c r="Z14" s="205"/>
      <c r="AA14" s="205"/>
      <c r="AB14" s="206"/>
      <c r="AC14" s="204"/>
      <c r="AD14" s="522"/>
      <c r="AE14" s="205"/>
      <c r="AF14" s="205"/>
      <c r="AG14" s="204"/>
      <c r="AH14" s="204"/>
      <c r="AI14" s="522"/>
      <c r="AJ14" s="205"/>
      <c r="AK14" s="205"/>
      <c r="AL14" s="204"/>
      <c r="AM14" s="204"/>
      <c r="AN14" s="522"/>
      <c r="AO14" s="205"/>
      <c r="AP14" s="205"/>
      <c r="AQ14" s="204"/>
      <c r="AR14" s="204"/>
      <c r="AS14" s="522"/>
      <c r="AT14" s="205"/>
      <c r="AU14" s="205"/>
      <c r="AV14" s="204"/>
      <c r="AW14" s="204"/>
      <c r="AX14" s="522"/>
    </row>
    <row r="15" spans="1:50" ht="14.25" x14ac:dyDescent="0.2">
      <c r="A15" s="197"/>
      <c r="B15" s="533"/>
      <c r="C15" s="204">
        <v>9</v>
      </c>
      <c r="D15" s="208"/>
      <c r="E15" s="205"/>
      <c r="F15" s="205"/>
      <c r="G15" s="206"/>
      <c r="H15" s="520"/>
      <c r="I15" s="205"/>
      <c r="J15" s="205"/>
      <c r="K15" s="206"/>
      <c r="L15" s="520"/>
      <c r="M15" s="207"/>
      <c r="N15" s="518"/>
      <c r="O15" s="518"/>
      <c r="P15" s="400"/>
      <c r="Q15" s="400"/>
      <c r="R15" s="206"/>
      <c r="S15" s="204"/>
      <c r="T15" s="522"/>
      <c r="U15" s="205"/>
      <c r="V15" s="205"/>
      <c r="W15" s="206"/>
      <c r="X15" s="204"/>
      <c r="Y15" s="522"/>
      <c r="Z15" s="205"/>
      <c r="AA15" s="205"/>
      <c r="AB15" s="206"/>
      <c r="AC15" s="204"/>
      <c r="AD15" s="522"/>
      <c r="AE15" s="205"/>
      <c r="AF15" s="205"/>
      <c r="AG15" s="204"/>
      <c r="AH15" s="204"/>
      <c r="AI15" s="522"/>
      <c r="AJ15" s="205"/>
      <c r="AK15" s="205"/>
      <c r="AL15" s="204"/>
      <c r="AM15" s="204"/>
      <c r="AN15" s="522"/>
      <c r="AO15" s="205"/>
      <c r="AP15" s="205"/>
      <c r="AQ15" s="204"/>
      <c r="AR15" s="204"/>
      <c r="AS15" s="522"/>
      <c r="AT15" s="205"/>
      <c r="AU15" s="205"/>
      <c r="AV15" s="204"/>
      <c r="AW15" s="204"/>
      <c r="AX15" s="522"/>
    </row>
    <row r="16" spans="1:50" ht="14.25" x14ac:dyDescent="0.2">
      <c r="A16" s="197"/>
      <c r="B16" s="533"/>
      <c r="C16" s="204">
        <v>10</v>
      </c>
      <c r="D16" s="208"/>
      <c r="E16" s="205"/>
      <c r="F16" s="205"/>
      <c r="G16" s="206"/>
      <c r="H16" s="520"/>
      <c r="I16" s="205"/>
      <c r="J16" s="205"/>
      <c r="K16" s="206"/>
      <c r="L16" s="520"/>
      <c r="M16" s="207"/>
      <c r="N16" s="518"/>
      <c r="O16" s="518"/>
      <c r="P16" s="400"/>
      <c r="Q16" s="400"/>
      <c r="R16" s="206"/>
      <c r="S16" s="204"/>
      <c r="T16" s="522"/>
      <c r="U16" s="205"/>
      <c r="V16" s="205"/>
      <c r="W16" s="206"/>
      <c r="X16" s="204"/>
      <c r="Y16" s="522"/>
      <c r="Z16" s="205"/>
      <c r="AA16" s="205"/>
      <c r="AB16" s="206"/>
      <c r="AC16" s="204"/>
      <c r="AD16" s="522"/>
      <c r="AE16" s="205"/>
      <c r="AF16" s="205"/>
      <c r="AG16" s="204"/>
      <c r="AH16" s="204"/>
      <c r="AI16" s="522"/>
      <c r="AJ16" s="205"/>
      <c r="AK16" s="205"/>
      <c r="AL16" s="204"/>
      <c r="AM16" s="204"/>
      <c r="AN16" s="522"/>
      <c r="AO16" s="205"/>
      <c r="AP16" s="205"/>
      <c r="AQ16" s="204"/>
      <c r="AR16" s="204"/>
      <c r="AS16" s="522"/>
      <c r="AT16" s="205"/>
      <c r="AU16" s="205"/>
      <c r="AV16" s="204"/>
      <c r="AW16" s="204"/>
      <c r="AX16" s="522"/>
    </row>
    <row r="17" spans="2:50" ht="13.5" x14ac:dyDescent="0.2">
      <c r="B17" s="533"/>
      <c r="C17" s="204">
        <v>11</v>
      </c>
      <c r="D17" s="208"/>
      <c r="E17" s="205"/>
      <c r="F17" s="205"/>
      <c r="G17" s="206"/>
      <c r="H17" s="520"/>
      <c r="I17" s="205"/>
      <c r="J17" s="205"/>
      <c r="K17" s="206"/>
      <c r="L17" s="520"/>
      <c r="M17" s="207"/>
      <c r="N17" s="518"/>
      <c r="O17" s="518"/>
      <c r="P17" s="398"/>
      <c r="Q17" s="398"/>
      <c r="R17" s="206"/>
      <c r="S17" s="204"/>
      <c r="T17" s="522"/>
      <c r="U17" s="204"/>
      <c r="V17" s="204"/>
      <c r="W17" s="206"/>
      <c r="X17" s="204"/>
      <c r="Y17" s="522"/>
      <c r="Z17" s="204"/>
      <c r="AA17" s="204"/>
      <c r="AB17" s="206"/>
      <c r="AC17" s="204"/>
      <c r="AD17" s="522"/>
      <c r="AE17" s="204"/>
      <c r="AF17" s="204"/>
      <c r="AG17" s="204"/>
      <c r="AH17" s="204"/>
      <c r="AI17" s="522"/>
      <c r="AJ17" s="204"/>
      <c r="AK17" s="204"/>
      <c r="AL17" s="204"/>
      <c r="AM17" s="204"/>
      <c r="AN17" s="522"/>
      <c r="AO17" s="204"/>
      <c r="AP17" s="204"/>
      <c r="AQ17" s="204"/>
      <c r="AR17" s="204"/>
      <c r="AS17" s="522"/>
      <c r="AT17" s="204"/>
      <c r="AU17" s="204"/>
      <c r="AV17" s="204"/>
      <c r="AW17" s="204"/>
      <c r="AX17" s="522"/>
    </row>
    <row r="18" spans="2:50" ht="13.5" x14ac:dyDescent="0.2">
      <c r="B18" s="533"/>
      <c r="C18" s="204">
        <v>12</v>
      </c>
      <c r="D18" s="208"/>
      <c r="E18" s="205"/>
      <c r="F18" s="205"/>
      <c r="G18" s="206"/>
      <c r="H18" s="520"/>
      <c r="I18" s="205"/>
      <c r="J18" s="205"/>
      <c r="K18" s="206"/>
      <c r="L18" s="520"/>
      <c r="M18" s="207"/>
      <c r="N18" s="518"/>
      <c r="O18" s="518"/>
      <c r="P18" s="398"/>
      <c r="Q18" s="398"/>
      <c r="R18" s="206"/>
      <c r="S18" s="204"/>
      <c r="T18" s="522"/>
      <c r="U18" s="204"/>
      <c r="V18" s="204"/>
      <c r="W18" s="206"/>
      <c r="X18" s="204"/>
      <c r="Y18" s="522"/>
      <c r="Z18" s="204"/>
      <c r="AA18" s="204"/>
      <c r="AB18" s="206"/>
      <c r="AC18" s="204"/>
      <c r="AD18" s="522"/>
      <c r="AE18" s="204"/>
      <c r="AF18" s="204"/>
      <c r="AG18" s="204"/>
      <c r="AH18" s="204"/>
      <c r="AI18" s="522"/>
      <c r="AJ18" s="204"/>
      <c r="AK18" s="204"/>
      <c r="AL18" s="204"/>
      <c r="AM18" s="204"/>
      <c r="AN18" s="522"/>
      <c r="AO18" s="204"/>
      <c r="AP18" s="204"/>
      <c r="AQ18" s="204"/>
      <c r="AR18" s="204"/>
      <c r="AS18" s="522"/>
      <c r="AT18" s="204"/>
      <c r="AU18" s="204"/>
      <c r="AV18" s="204"/>
      <c r="AW18" s="204"/>
      <c r="AX18" s="522"/>
    </row>
    <row r="19" spans="2:50" ht="13.5" x14ac:dyDescent="0.2">
      <c r="B19" s="533"/>
      <c r="C19" s="204">
        <v>13</v>
      </c>
      <c r="D19" s="208"/>
      <c r="E19" s="205"/>
      <c r="F19" s="205"/>
      <c r="G19" s="206"/>
      <c r="H19" s="520"/>
      <c r="I19" s="205"/>
      <c r="J19" s="205"/>
      <c r="K19" s="206"/>
      <c r="L19" s="520"/>
      <c r="M19" s="207"/>
      <c r="N19" s="518"/>
      <c r="O19" s="518"/>
      <c r="P19" s="398"/>
      <c r="Q19" s="398"/>
      <c r="R19" s="206"/>
      <c r="S19" s="204"/>
      <c r="T19" s="522"/>
      <c r="U19" s="204"/>
      <c r="V19" s="204"/>
      <c r="W19" s="206"/>
      <c r="X19" s="204"/>
      <c r="Y19" s="522"/>
      <c r="Z19" s="204"/>
      <c r="AA19" s="204"/>
      <c r="AB19" s="206"/>
      <c r="AC19" s="204"/>
      <c r="AD19" s="522"/>
      <c r="AE19" s="204"/>
      <c r="AF19" s="204"/>
      <c r="AG19" s="204"/>
      <c r="AH19" s="204"/>
      <c r="AI19" s="522"/>
      <c r="AJ19" s="204"/>
      <c r="AK19" s="204"/>
      <c r="AL19" s="204"/>
      <c r="AM19" s="204"/>
      <c r="AN19" s="522"/>
      <c r="AO19" s="204"/>
      <c r="AP19" s="204"/>
      <c r="AQ19" s="204"/>
      <c r="AR19" s="204"/>
      <c r="AS19" s="522"/>
      <c r="AT19" s="204"/>
      <c r="AU19" s="204"/>
      <c r="AV19" s="204"/>
      <c r="AW19" s="204"/>
      <c r="AX19" s="522"/>
    </row>
    <row r="20" spans="2:50" ht="13.5" x14ac:dyDescent="0.2">
      <c r="B20" s="533"/>
      <c r="C20" s="204">
        <v>14</v>
      </c>
      <c r="D20" s="208"/>
      <c r="E20" s="205"/>
      <c r="F20" s="205"/>
      <c r="G20" s="206"/>
      <c r="H20" s="520"/>
      <c r="I20" s="205"/>
      <c r="J20" s="205"/>
      <c r="K20" s="206"/>
      <c r="L20" s="520"/>
      <c r="M20" s="207"/>
      <c r="N20" s="518"/>
      <c r="O20" s="518"/>
      <c r="P20" s="398"/>
      <c r="Q20" s="398"/>
      <c r="R20" s="206"/>
      <c r="S20" s="204"/>
      <c r="T20" s="522"/>
      <c r="U20" s="204"/>
      <c r="V20" s="204"/>
      <c r="W20" s="206"/>
      <c r="X20" s="204"/>
      <c r="Y20" s="522"/>
      <c r="Z20" s="204"/>
      <c r="AA20" s="204"/>
      <c r="AB20" s="206"/>
      <c r="AC20" s="204"/>
      <c r="AD20" s="522"/>
      <c r="AE20" s="204"/>
      <c r="AF20" s="204"/>
      <c r="AG20" s="204"/>
      <c r="AH20" s="204"/>
      <c r="AI20" s="522"/>
      <c r="AJ20" s="204"/>
      <c r="AK20" s="204"/>
      <c r="AL20" s="204"/>
      <c r="AM20" s="204"/>
      <c r="AN20" s="522"/>
      <c r="AO20" s="204"/>
      <c r="AP20" s="204"/>
      <c r="AQ20" s="204"/>
      <c r="AR20" s="204"/>
      <c r="AS20" s="522"/>
      <c r="AT20" s="204"/>
      <c r="AU20" s="204"/>
      <c r="AV20" s="204"/>
      <c r="AW20" s="204"/>
      <c r="AX20" s="522"/>
    </row>
    <row r="21" spans="2:50" ht="13.5" x14ac:dyDescent="0.2">
      <c r="B21" s="533"/>
      <c r="C21" s="204">
        <v>15</v>
      </c>
      <c r="D21" s="208"/>
      <c r="E21" s="205"/>
      <c r="F21" s="205"/>
      <c r="G21" s="206"/>
      <c r="H21" s="521"/>
      <c r="I21" s="205"/>
      <c r="J21" s="205"/>
      <c r="K21" s="206"/>
      <c r="L21" s="521"/>
      <c r="M21" s="205"/>
      <c r="N21" s="518"/>
      <c r="O21" s="518"/>
      <c r="P21" s="398"/>
      <c r="Q21" s="398"/>
      <c r="R21" s="206"/>
      <c r="S21" s="204"/>
      <c r="T21" s="522"/>
      <c r="U21" s="204"/>
      <c r="V21" s="204"/>
      <c r="W21" s="206"/>
      <c r="X21" s="204"/>
      <c r="Y21" s="522"/>
      <c r="Z21" s="204"/>
      <c r="AA21" s="204"/>
      <c r="AB21" s="206"/>
      <c r="AC21" s="204"/>
      <c r="AD21" s="522"/>
      <c r="AE21" s="204"/>
      <c r="AF21" s="204"/>
      <c r="AG21" s="204"/>
      <c r="AH21" s="204"/>
      <c r="AI21" s="522"/>
      <c r="AJ21" s="204"/>
      <c r="AK21" s="204"/>
      <c r="AL21" s="204"/>
      <c r="AM21" s="204"/>
      <c r="AN21" s="522"/>
      <c r="AO21" s="204"/>
      <c r="AP21" s="204"/>
      <c r="AQ21" s="204"/>
      <c r="AR21" s="204"/>
      <c r="AS21" s="522"/>
      <c r="AT21" s="204"/>
      <c r="AU21" s="204"/>
      <c r="AV21" s="204"/>
      <c r="AW21" s="204"/>
      <c r="AX21" s="522"/>
    </row>
    <row r="22" spans="2:50" ht="15.75" x14ac:dyDescent="0.2">
      <c r="B22" s="534" t="s">
        <v>84</v>
      </c>
      <c r="C22" s="535"/>
      <c r="D22" s="535"/>
      <c r="E22" s="535"/>
      <c r="F22" s="535"/>
      <c r="G22" s="535"/>
      <c r="H22" s="535"/>
      <c r="I22" s="198"/>
      <c r="J22" s="198"/>
      <c r="K22" s="198"/>
      <c r="L22" s="198"/>
      <c r="M22" s="199"/>
      <c r="N22" s="523" t="s">
        <v>85</v>
      </c>
      <c r="O22" s="523" t="s">
        <v>45</v>
      </c>
      <c r="P22" s="532">
        <v>46175</v>
      </c>
      <c r="Q22" s="533"/>
      <c r="R22" s="533"/>
      <c r="S22" s="533"/>
      <c r="T22" s="533"/>
      <c r="U22" s="532">
        <f>P22+1</f>
        <v>46176</v>
      </c>
      <c r="V22" s="533"/>
      <c r="W22" s="533"/>
      <c r="X22" s="533"/>
      <c r="Y22" s="533"/>
      <c r="Z22" s="532">
        <f>U22+1</f>
        <v>46177</v>
      </c>
      <c r="AA22" s="533"/>
      <c r="AB22" s="533"/>
      <c r="AC22" s="533"/>
      <c r="AD22" s="533"/>
      <c r="AE22" s="532">
        <f>Z22+1</f>
        <v>46178</v>
      </c>
      <c r="AF22" s="533"/>
      <c r="AG22" s="533"/>
      <c r="AH22" s="533"/>
      <c r="AI22" s="533"/>
      <c r="AJ22" s="532">
        <f>AE22+1</f>
        <v>46179</v>
      </c>
      <c r="AK22" s="533"/>
      <c r="AL22" s="533"/>
      <c r="AM22" s="533"/>
      <c r="AN22" s="533"/>
      <c r="AO22" s="532">
        <f>AJ22+1</f>
        <v>46180</v>
      </c>
      <c r="AP22" s="533"/>
      <c r="AQ22" s="533"/>
      <c r="AR22" s="533"/>
      <c r="AS22" s="533"/>
      <c r="AT22" s="532">
        <f>AO22+1</f>
        <v>46181</v>
      </c>
      <c r="AU22" s="533"/>
      <c r="AV22" s="533"/>
      <c r="AW22" s="533"/>
      <c r="AX22" s="533"/>
    </row>
    <row r="23" spans="2:50" ht="15.75" x14ac:dyDescent="0.2">
      <c r="B23" s="531"/>
      <c r="C23" s="531"/>
      <c r="D23" s="531"/>
      <c r="E23" s="531"/>
      <c r="F23" s="531"/>
      <c r="G23" s="531"/>
      <c r="H23" s="531"/>
      <c r="I23" s="200"/>
      <c r="J23" s="200"/>
      <c r="K23" s="200"/>
      <c r="L23" s="200"/>
      <c r="M23" s="201"/>
      <c r="N23" s="525"/>
      <c r="O23" s="525"/>
      <c r="P23" s="532" t="s">
        <v>57</v>
      </c>
      <c r="Q23" s="533"/>
      <c r="R23" s="533"/>
      <c r="S23" s="533"/>
      <c r="T23" s="533"/>
      <c r="U23" s="532" t="s">
        <v>58</v>
      </c>
      <c r="V23" s="533"/>
      <c r="W23" s="533"/>
      <c r="X23" s="533"/>
      <c r="Y23" s="533"/>
      <c r="Z23" s="532" t="s">
        <v>59</v>
      </c>
      <c r="AA23" s="533"/>
      <c r="AB23" s="533"/>
      <c r="AC23" s="533"/>
      <c r="AD23" s="533"/>
      <c r="AE23" s="532" t="s">
        <v>60</v>
      </c>
      <c r="AF23" s="533"/>
      <c r="AG23" s="533"/>
      <c r="AH23" s="533"/>
      <c r="AI23" s="533"/>
      <c r="AJ23" s="532" t="s">
        <v>55</v>
      </c>
      <c r="AK23" s="533"/>
      <c r="AL23" s="533"/>
      <c r="AM23" s="533"/>
      <c r="AN23" s="533"/>
      <c r="AO23" s="532" t="s">
        <v>52</v>
      </c>
      <c r="AP23" s="533"/>
      <c r="AQ23" s="533"/>
      <c r="AR23" s="533"/>
      <c r="AS23" s="533"/>
      <c r="AT23" s="532" t="s">
        <v>56</v>
      </c>
      <c r="AU23" s="533"/>
      <c r="AV23" s="533"/>
      <c r="AW23" s="533"/>
      <c r="AX23" s="533"/>
    </row>
    <row r="24" spans="2:50" x14ac:dyDescent="0.2">
      <c r="B24" s="518" t="s">
        <v>41</v>
      </c>
      <c r="C24" s="518" t="s">
        <v>86</v>
      </c>
      <c r="D24" s="518"/>
      <c r="E24" s="518" t="s">
        <v>87</v>
      </c>
      <c r="F24" s="518"/>
      <c r="G24" s="518"/>
      <c r="H24" s="515" t="s">
        <v>88</v>
      </c>
      <c r="I24" s="518" t="s">
        <v>89</v>
      </c>
      <c r="J24" s="518"/>
      <c r="K24" s="518"/>
      <c r="L24" s="515" t="s">
        <v>88</v>
      </c>
      <c r="M24" s="523" t="s">
        <v>90</v>
      </c>
      <c r="N24" s="518"/>
      <c r="O24" s="518" t="s">
        <v>91</v>
      </c>
      <c r="P24" s="526" t="s">
        <v>92</v>
      </c>
      <c r="Q24" s="527"/>
      <c r="R24" s="527"/>
      <c r="S24" s="528"/>
      <c r="T24" s="518" t="s">
        <v>88</v>
      </c>
      <c r="U24" s="526" t="s">
        <v>92</v>
      </c>
      <c r="V24" s="527"/>
      <c r="W24" s="527"/>
      <c r="X24" s="528"/>
      <c r="Y24" s="518" t="s">
        <v>88</v>
      </c>
      <c r="Z24" s="526" t="s">
        <v>92</v>
      </c>
      <c r="AA24" s="527"/>
      <c r="AB24" s="527"/>
      <c r="AC24" s="528"/>
      <c r="AD24" s="518" t="s">
        <v>88</v>
      </c>
      <c r="AE24" s="526" t="s">
        <v>92</v>
      </c>
      <c r="AF24" s="527"/>
      <c r="AG24" s="527"/>
      <c r="AH24" s="528"/>
      <c r="AI24" s="518" t="s">
        <v>88</v>
      </c>
      <c r="AJ24" s="526" t="s">
        <v>92</v>
      </c>
      <c r="AK24" s="527"/>
      <c r="AL24" s="527"/>
      <c r="AM24" s="528"/>
      <c r="AN24" s="518" t="s">
        <v>88</v>
      </c>
      <c r="AO24" s="526" t="s">
        <v>92</v>
      </c>
      <c r="AP24" s="527"/>
      <c r="AQ24" s="527"/>
      <c r="AR24" s="528"/>
      <c r="AS24" s="518" t="s">
        <v>88</v>
      </c>
      <c r="AT24" s="526" t="s">
        <v>92</v>
      </c>
      <c r="AU24" s="527"/>
      <c r="AV24" s="527"/>
      <c r="AW24" s="528"/>
      <c r="AX24" s="518" t="s">
        <v>88</v>
      </c>
    </row>
    <row r="25" spans="2:50" x14ac:dyDescent="0.2">
      <c r="B25" s="518"/>
      <c r="C25" s="518"/>
      <c r="D25" s="518"/>
      <c r="E25" s="518" t="s">
        <v>93</v>
      </c>
      <c r="F25" s="518"/>
      <c r="G25" s="518"/>
      <c r="H25" s="516"/>
      <c r="I25" s="518" t="s">
        <v>93</v>
      </c>
      <c r="J25" s="518"/>
      <c r="K25" s="518"/>
      <c r="L25" s="516"/>
      <c r="M25" s="524"/>
      <c r="N25" s="518"/>
      <c r="O25" s="518"/>
      <c r="P25" s="526" t="s">
        <v>94</v>
      </c>
      <c r="Q25" s="527"/>
      <c r="R25" s="527"/>
      <c r="S25" s="528"/>
      <c r="T25" s="518"/>
      <c r="U25" s="526" t="s">
        <v>94</v>
      </c>
      <c r="V25" s="527"/>
      <c r="W25" s="527"/>
      <c r="X25" s="528"/>
      <c r="Y25" s="518"/>
      <c r="Z25" s="526" t="s">
        <v>94</v>
      </c>
      <c r="AA25" s="527"/>
      <c r="AB25" s="527"/>
      <c r="AC25" s="528"/>
      <c r="AD25" s="518"/>
      <c r="AE25" s="526" t="s">
        <v>94</v>
      </c>
      <c r="AF25" s="527"/>
      <c r="AG25" s="527"/>
      <c r="AH25" s="528"/>
      <c r="AI25" s="518"/>
      <c r="AJ25" s="526" t="s">
        <v>94</v>
      </c>
      <c r="AK25" s="527"/>
      <c r="AL25" s="527"/>
      <c r="AM25" s="528"/>
      <c r="AN25" s="518"/>
      <c r="AO25" s="526" t="s">
        <v>94</v>
      </c>
      <c r="AP25" s="527"/>
      <c r="AQ25" s="527"/>
      <c r="AR25" s="528"/>
      <c r="AS25" s="518"/>
      <c r="AT25" s="526" t="s">
        <v>94</v>
      </c>
      <c r="AU25" s="527"/>
      <c r="AV25" s="527"/>
      <c r="AW25" s="528"/>
      <c r="AX25" s="518"/>
    </row>
    <row r="26" spans="2:50" x14ac:dyDescent="0.2">
      <c r="B26" s="518"/>
      <c r="C26" s="518"/>
      <c r="D26" s="518"/>
      <c r="E26" s="203" t="s">
        <v>95</v>
      </c>
      <c r="F26" s="203" t="s">
        <v>96</v>
      </c>
      <c r="G26" s="203" t="s">
        <v>97</v>
      </c>
      <c r="H26" s="517"/>
      <c r="I26" s="203" t="s">
        <v>95</v>
      </c>
      <c r="J26" s="203" t="s">
        <v>96</v>
      </c>
      <c r="K26" s="203" t="s">
        <v>97</v>
      </c>
      <c r="L26" s="517"/>
      <c r="M26" s="525"/>
      <c r="N26" s="518"/>
      <c r="O26" s="518"/>
      <c r="P26" s="203" t="s">
        <v>95</v>
      </c>
      <c r="Q26" s="203" t="s">
        <v>96</v>
      </c>
      <c r="R26" s="203" t="s">
        <v>97</v>
      </c>
      <c r="S26" s="203" t="s">
        <v>90</v>
      </c>
      <c r="T26" s="518"/>
      <c r="U26" s="203" t="s">
        <v>95</v>
      </c>
      <c r="V26" s="203" t="s">
        <v>96</v>
      </c>
      <c r="W26" s="203" t="s">
        <v>97</v>
      </c>
      <c r="X26" s="203" t="s">
        <v>90</v>
      </c>
      <c r="Y26" s="518"/>
      <c r="Z26" s="203" t="s">
        <v>95</v>
      </c>
      <c r="AA26" s="203" t="s">
        <v>96</v>
      </c>
      <c r="AB26" s="203" t="s">
        <v>97</v>
      </c>
      <c r="AC26" s="203" t="s">
        <v>90</v>
      </c>
      <c r="AD26" s="518"/>
      <c r="AE26" s="203" t="s">
        <v>95</v>
      </c>
      <c r="AF26" s="203" t="s">
        <v>96</v>
      </c>
      <c r="AG26" s="203" t="s">
        <v>97</v>
      </c>
      <c r="AH26" s="203" t="s">
        <v>90</v>
      </c>
      <c r="AI26" s="518"/>
      <c r="AJ26" s="203" t="s">
        <v>95</v>
      </c>
      <c r="AK26" s="203" t="s">
        <v>96</v>
      </c>
      <c r="AL26" s="203" t="s">
        <v>97</v>
      </c>
      <c r="AM26" s="203" t="s">
        <v>90</v>
      </c>
      <c r="AN26" s="518"/>
      <c r="AO26" s="203" t="s">
        <v>95</v>
      </c>
      <c r="AP26" s="203" t="s">
        <v>96</v>
      </c>
      <c r="AQ26" s="203" t="s">
        <v>97</v>
      </c>
      <c r="AR26" s="203" t="s">
        <v>90</v>
      </c>
      <c r="AS26" s="518"/>
      <c r="AT26" s="203" t="s">
        <v>95</v>
      </c>
      <c r="AU26" s="203" t="s">
        <v>96</v>
      </c>
      <c r="AV26" s="203" t="s">
        <v>97</v>
      </c>
      <c r="AW26" s="203" t="s">
        <v>90</v>
      </c>
      <c r="AX26" s="518"/>
    </row>
    <row r="27" spans="2:50" ht="13.5" x14ac:dyDescent="0.2">
      <c r="B27" s="518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519">
        <f>AVERAGE(G27:G41)</f>
        <v>125.67424242424242</v>
      </c>
      <c r="I27" s="205">
        <f>AVERAGE(P27,U27,Z27,AE27,AJ27,AO27,AT27)</f>
        <v>15.571428571428571</v>
      </c>
      <c r="J27" s="205">
        <f>AVERAGE(Q27,V27,AA27,AF27,AK27,AP27,AU27)</f>
        <v>1430.8571428571429</v>
      </c>
      <c r="K27" s="206">
        <f>AVERAGE(R27,W27,AB27,AG27,AL27,AQ27,AV27)</f>
        <v>92.029551820728301</v>
      </c>
      <c r="L27" s="519">
        <f>IFERROR(AVERAGE(K27:K41),"-")</f>
        <v>110.90211786346241</v>
      </c>
      <c r="M27" s="207">
        <f>RANK(K27, K$27:$K$41)</f>
        <v>3</v>
      </c>
      <c r="N27" s="518"/>
      <c r="O27" s="518"/>
      <c r="P27" s="400">
        <v>15</v>
      </c>
      <c r="Q27" s="400">
        <v>1314</v>
      </c>
      <c r="R27" s="346">
        <f>Q27/P27</f>
        <v>87.6</v>
      </c>
      <c r="S27" s="204">
        <f>RANK(R27, $R$27:$R$41)</f>
        <v>3</v>
      </c>
      <c r="T27" s="522">
        <f>AVERAGE(R27:R41)</f>
        <v>111.82373737373736</v>
      </c>
      <c r="U27" s="347">
        <v>16</v>
      </c>
      <c r="V27" s="400">
        <v>1220</v>
      </c>
      <c r="W27" s="346">
        <f>V27/U27</f>
        <v>76.25</v>
      </c>
      <c r="X27" s="204">
        <f>RANK(W27, $W$27:$W$41)</f>
        <v>3</v>
      </c>
      <c r="Y27" s="522">
        <f>AVERAGE(W27:W41)</f>
        <v>102.28333333333335</v>
      </c>
      <c r="Z27" s="400">
        <v>15</v>
      </c>
      <c r="AA27" s="400">
        <v>1501</v>
      </c>
      <c r="AB27" s="206">
        <f>AA27/Z27</f>
        <v>100.06666666666666</v>
      </c>
      <c r="AC27" s="204">
        <f>RANK(AB27,$AB$27:$AB$41)</f>
        <v>3</v>
      </c>
      <c r="AD27" s="522">
        <f>AVERAGE(AB27:AB41)</f>
        <v>115.85555555555555</v>
      </c>
      <c r="AE27" s="347">
        <v>16</v>
      </c>
      <c r="AF27" s="400">
        <v>1552</v>
      </c>
      <c r="AG27" s="346">
        <f>AF27/AE27</f>
        <v>97</v>
      </c>
      <c r="AH27" s="398">
        <f>RANK(AG27, $AG$27:$AG$41)</f>
        <v>3</v>
      </c>
      <c r="AI27" s="522">
        <f>AVERAGE(AG27:AG41)</f>
        <v>112.28632478632478</v>
      </c>
      <c r="AJ27" s="400">
        <v>15</v>
      </c>
      <c r="AK27" s="400">
        <v>1528</v>
      </c>
      <c r="AL27" s="206">
        <f>AK27/AJ27</f>
        <v>101.86666666666666</v>
      </c>
      <c r="AM27" s="204">
        <f>RANK(AL27, $AL$27:$AL$41)</f>
        <v>3</v>
      </c>
      <c r="AN27" s="522">
        <f>AVERAGE(AL27:AL41)</f>
        <v>113.59696969696968</v>
      </c>
      <c r="AO27" s="400">
        <v>15</v>
      </c>
      <c r="AP27" s="400">
        <v>1374</v>
      </c>
      <c r="AQ27" s="346">
        <f>AP27/AO27</f>
        <v>91.6</v>
      </c>
      <c r="AR27" s="204">
        <f>RANK(AQ27, $AQ$27:$AQ$41)</f>
        <v>3</v>
      </c>
      <c r="AS27" s="522">
        <f>AVERAGE(AQ27:AQ41)</f>
        <v>112.82626262626263</v>
      </c>
      <c r="AT27" s="347">
        <v>17</v>
      </c>
      <c r="AU27" s="400">
        <v>1527</v>
      </c>
      <c r="AV27" s="346">
        <f>AU27/AT27</f>
        <v>89.82352941176471</v>
      </c>
      <c r="AW27" s="204">
        <f>RANK(AV27, $AV$27:$AV$41)</f>
        <v>3</v>
      </c>
      <c r="AX27" s="522">
        <f>AVERAGE(AV27:AV41)</f>
        <v>107.64264167205344</v>
      </c>
    </row>
    <row r="28" spans="2:50" ht="13.5" x14ac:dyDescent="0.2">
      <c r="B28" s="533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520"/>
      <c r="I28" s="205">
        <f t="shared" ref="I28:K28" si="9">AVERAGE(P28,U28,Z28,AE28,AJ28,AO28,AT28)</f>
        <v>12.571428571428571</v>
      </c>
      <c r="J28" s="205">
        <f t="shared" si="9"/>
        <v>1534.4285714285713</v>
      </c>
      <c r="K28" s="206">
        <f t="shared" si="9"/>
        <v>122.20264259549974</v>
      </c>
      <c r="L28" s="520"/>
      <c r="M28" s="207">
        <f>RANK(K28, K$27:$K$41)</f>
        <v>1</v>
      </c>
      <c r="N28" s="518"/>
      <c r="O28" s="518"/>
      <c r="P28" s="400">
        <v>12</v>
      </c>
      <c r="Q28" s="400">
        <v>1481</v>
      </c>
      <c r="R28" s="206">
        <f>Q28/P28</f>
        <v>123.41666666666667</v>
      </c>
      <c r="S28" s="204">
        <f>RANK(R28, $R$27:$R$41)</f>
        <v>2</v>
      </c>
      <c r="T28" s="522"/>
      <c r="U28" s="347">
        <v>13</v>
      </c>
      <c r="V28" s="400">
        <v>1651</v>
      </c>
      <c r="W28" s="206">
        <f>V28/U28</f>
        <v>127</v>
      </c>
      <c r="X28" s="204">
        <f>RANK(W28, $W$27:$W$41)</f>
        <v>1</v>
      </c>
      <c r="Y28" s="522"/>
      <c r="Z28" s="400">
        <v>12</v>
      </c>
      <c r="AA28" s="400">
        <v>1422</v>
      </c>
      <c r="AB28" s="346">
        <f>AA28/Z28</f>
        <v>118.5</v>
      </c>
      <c r="AC28" s="204">
        <f>RANK(AB28,$AB$27:$AB$41)</f>
        <v>2</v>
      </c>
      <c r="AD28" s="522"/>
      <c r="AE28" s="347">
        <v>13</v>
      </c>
      <c r="AF28" s="400">
        <v>1608</v>
      </c>
      <c r="AG28" s="352">
        <f>AF28/AE28</f>
        <v>123.69230769230769</v>
      </c>
      <c r="AH28" s="398">
        <f>RANK(AG28, $AG$27:$AG$41)</f>
        <v>1</v>
      </c>
      <c r="AI28" s="522"/>
      <c r="AJ28" s="400">
        <v>12</v>
      </c>
      <c r="AK28" s="400">
        <v>1474</v>
      </c>
      <c r="AL28" s="206">
        <f>AK28/AJ28</f>
        <v>122.83333333333333</v>
      </c>
      <c r="AM28" s="204">
        <f>RANK(AL28, $AL$27:$AL$41)</f>
        <v>1</v>
      </c>
      <c r="AN28" s="522"/>
      <c r="AO28" s="400">
        <v>12</v>
      </c>
      <c r="AP28" s="400">
        <v>1528</v>
      </c>
      <c r="AQ28" s="206">
        <f>AP28/AO28</f>
        <v>127.33333333333333</v>
      </c>
      <c r="AR28" s="204">
        <f>RANK(AQ28, $AQ$27:$AQ$41)</f>
        <v>1</v>
      </c>
      <c r="AS28" s="522"/>
      <c r="AT28" s="347">
        <v>14</v>
      </c>
      <c r="AU28" s="400">
        <v>1577</v>
      </c>
      <c r="AV28" s="346">
        <f>AU28/AT28</f>
        <v>112.64285714285714</v>
      </c>
      <c r="AW28" s="204">
        <f>RANK(AV28, $AV$27:$AV$41)</f>
        <v>2</v>
      </c>
      <c r="AX28" s="522"/>
    </row>
    <row r="29" spans="2:50" ht="13.5" x14ac:dyDescent="0.2">
      <c r="B29" s="533"/>
      <c r="C29" s="204">
        <v>3</v>
      </c>
      <c r="D29" s="208" t="s">
        <v>100</v>
      </c>
      <c r="E29" s="205">
        <f>VLOOKUP(D29,'12產線配置圖'!$A$26:$C$33,2,0)</f>
        <v>11</v>
      </c>
      <c r="F29" s="205">
        <f>VLOOKUP(D29,'12產線配置圖'!$A$26:$C$33,3,0)</f>
        <v>1565</v>
      </c>
      <c r="G29" s="206">
        <f>F29/E29</f>
        <v>142.27272727272728</v>
      </c>
      <c r="H29" s="520"/>
      <c r="I29" s="205">
        <f>AVERAGE(P29,U29,Z29,AE29,AJ29,AO29,AT29)</f>
        <v>12</v>
      </c>
      <c r="J29" s="205">
        <f>AVERAGE(Q29,V29,AA29,AF29,AK29,AP29,AU29)</f>
        <v>1413.4285714285713</v>
      </c>
      <c r="K29" s="206">
        <f>AVERAGE(R29,W29,AB29,AG29,AL29,AQ29,AV29)</f>
        <v>118.47415917415917</v>
      </c>
      <c r="L29" s="520"/>
      <c r="M29" s="207">
        <f>RANK(K29, K$27:$K$41)</f>
        <v>2</v>
      </c>
      <c r="N29" s="518"/>
      <c r="O29" s="518"/>
      <c r="P29" s="400">
        <v>11</v>
      </c>
      <c r="Q29" s="400">
        <v>1369</v>
      </c>
      <c r="R29" s="206">
        <f>Q29/P29</f>
        <v>124.45454545454545</v>
      </c>
      <c r="S29" s="204">
        <f>RANK(R29, $R$27:$R$41)</f>
        <v>1</v>
      </c>
      <c r="T29" s="522"/>
      <c r="U29" s="347">
        <v>15</v>
      </c>
      <c r="V29" s="400">
        <v>1554</v>
      </c>
      <c r="W29" s="206">
        <f>V29/U29</f>
        <v>103.6</v>
      </c>
      <c r="X29" s="204">
        <f>RANK(W29, $W$27:$W$41)</f>
        <v>2</v>
      </c>
      <c r="Y29" s="522"/>
      <c r="Z29" s="400">
        <v>11</v>
      </c>
      <c r="AA29" s="400">
        <v>1419</v>
      </c>
      <c r="AB29" s="206">
        <f>AA29/Z29</f>
        <v>129</v>
      </c>
      <c r="AC29" s="204">
        <f>RANK(AB29,$AB$27:$AB$41)</f>
        <v>1</v>
      </c>
      <c r="AD29" s="522"/>
      <c r="AE29" s="400">
        <v>12</v>
      </c>
      <c r="AF29" s="400">
        <v>1394</v>
      </c>
      <c r="AG29" s="346">
        <f>AF29/AE29</f>
        <v>116.16666666666667</v>
      </c>
      <c r="AH29" s="398">
        <f>RANK(AG29, $AG$27:$AG$41)</f>
        <v>2</v>
      </c>
      <c r="AI29" s="522"/>
      <c r="AJ29" s="400">
        <v>11</v>
      </c>
      <c r="AK29" s="400">
        <v>1277</v>
      </c>
      <c r="AL29" s="206">
        <f>AK29/AJ29</f>
        <v>116.09090909090909</v>
      </c>
      <c r="AM29" s="204">
        <f>RANK(AL29, $AL$27:$AL$41)</f>
        <v>2</v>
      </c>
      <c r="AN29" s="522"/>
      <c r="AO29" s="400">
        <v>11</v>
      </c>
      <c r="AP29" s="400">
        <v>1315</v>
      </c>
      <c r="AQ29" s="346">
        <f>AP29/AO29</f>
        <v>119.54545454545455</v>
      </c>
      <c r="AR29" s="204">
        <f>RANK(AQ29, $AQ$27:$AQ$41)</f>
        <v>2</v>
      </c>
      <c r="AS29" s="522"/>
      <c r="AT29" s="347">
        <v>13</v>
      </c>
      <c r="AU29" s="400">
        <v>1566</v>
      </c>
      <c r="AV29" s="346">
        <f>AU29/AT29</f>
        <v>120.46153846153847</v>
      </c>
      <c r="AW29" s="204">
        <f>RANK(AV29, $AV$27:$AV$41)</f>
        <v>1</v>
      </c>
      <c r="AX29" s="522"/>
    </row>
    <row r="30" spans="2:50" ht="13.5" x14ac:dyDescent="0.2">
      <c r="B30" s="533"/>
      <c r="C30" s="204">
        <v>4</v>
      </c>
      <c r="D30" s="208"/>
      <c r="E30" s="205"/>
      <c r="F30" s="205"/>
      <c r="G30" s="206"/>
      <c r="H30" s="520"/>
      <c r="I30" s="205"/>
      <c r="J30" s="205"/>
      <c r="K30" s="206"/>
      <c r="L30" s="520"/>
      <c r="M30" s="207"/>
      <c r="N30" s="518"/>
      <c r="O30" s="518"/>
      <c r="P30" s="400"/>
      <c r="Q30" s="400"/>
      <c r="R30" s="206"/>
      <c r="S30" s="204"/>
      <c r="T30" s="522"/>
      <c r="U30" s="400"/>
      <c r="V30" s="400"/>
      <c r="W30" s="348"/>
      <c r="X30" s="354"/>
      <c r="Y30" s="522"/>
      <c r="Z30" s="400"/>
      <c r="AA30" s="400"/>
      <c r="AB30" s="206"/>
      <c r="AC30" s="204"/>
      <c r="AD30" s="522"/>
      <c r="AE30" s="400"/>
      <c r="AF30" s="400"/>
      <c r="AG30" s="206"/>
      <c r="AH30" s="204"/>
      <c r="AI30" s="522"/>
      <c r="AJ30" s="400"/>
      <c r="AK30" s="400"/>
      <c r="AL30" s="206"/>
      <c r="AM30" s="204"/>
      <c r="AN30" s="522"/>
      <c r="AO30" s="400"/>
      <c r="AP30" s="400"/>
      <c r="AQ30" s="206"/>
      <c r="AR30" s="204"/>
      <c r="AS30" s="522"/>
      <c r="AT30" s="400"/>
      <c r="AU30" s="400"/>
      <c r="AV30" s="206"/>
      <c r="AW30" s="204"/>
      <c r="AX30" s="522"/>
    </row>
    <row r="31" spans="2:50" ht="13.5" x14ac:dyDescent="0.2">
      <c r="B31" s="533"/>
      <c r="C31" s="204">
        <v>5</v>
      </c>
      <c r="D31" s="208"/>
      <c r="E31" s="205"/>
      <c r="F31" s="205"/>
      <c r="G31" s="206"/>
      <c r="H31" s="520"/>
      <c r="I31" s="205"/>
      <c r="J31" s="205"/>
      <c r="K31" s="206"/>
      <c r="L31" s="520"/>
      <c r="M31" s="207"/>
      <c r="N31" s="518"/>
      <c r="O31" s="518"/>
      <c r="P31" s="400"/>
      <c r="Q31" s="400"/>
      <c r="R31" s="204"/>
      <c r="S31" s="204"/>
      <c r="T31" s="522"/>
      <c r="U31" s="400"/>
      <c r="V31" s="400"/>
      <c r="W31" s="204"/>
      <c r="X31" s="204"/>
      <c r="Y31" s="522"/>
      <c r="Z31" s="400"/>
      <c r="AA31" s="400"/>
      <c r="AB31" s="204"/>
      <c r="AC31" s="204"/>
      <c r="AD31" s="522"/>
      <c r="AE31" s="400"/>
      <c r="AF31" s="400"/>
      <c r="AG31" s="204"/>
      <c r="AH31" s="204"/>
      <c r="AI31" s="522"/>
      <c r="AJ31" s="400"/>
      <c r="AK31" s="400"/>
      <c r="AL31" s="204"/>
      <c r="AM31" s="204"/>
      <c r="AN31" s="522"/>
      <c r="AO31" s="400"/>
      <c r="AP31" s="400"/>
      <c r="AQ31" s="204"/>
      <c r="AR31" s="204"/>
      <c r="AS31" s="522"/>
      <c r="AT31" s="400"/>
      <c r="AU31" s="400"/>
      <c r="AV31" s="204"/>
      <c r="AW31" s="204"/>
      <c r="AX31" s="522"/>
    </row>
    <row r="32" spans="2:50" ht="13.5" x14ac:dyDescent="0.2">
      <c r="B32" s="533"/>
      <c r="C32" s="204">
        <v>6</v>
      </c>
      <c r="D32" s="208"/>
      <c r="E32" s="205"/>
      <c r="F32" s="205"/>
      <c r="G32" s="206"/>
      <c r="H32" s="520"/>
      <c r="I32" s="205"/>
      <c r="J32" s="205"/>
      <c r="K32" s="206"/>
      <c r="L32" s="520"/>
      <c r="M32" s="207"/>
      <c r="N32" s="518"/>
      <c r="O32" s="518"/>
      <c r="P32" s="400"/>
      <c r="Q32" s="400"/>
      <c r="R32" s="204"/>
      <c r="S32" s="204"/>
      <c r="T32" s="522"/>
      <c r="U32" s="400"/>
      <c r="V32" s="400"/>
      <c r="W32" s="204"/>
      <c r="X32" s="204"/>
      <c r="Y32" s="522"/>
      <c r="Z32" s="400"/>
      <c r="AA32" s="400"/>
      <c r="AB32" s="204"/>
      <c r="AC32" s="204"/>
      <c r="AD32" s="522"/>
      <c r="AE32" s="400"/>
      <c r="AF32" s="400"/>
      <c r="AG32" s="204"/>
      <c r="AH32" s="204"/>
      <c r="AI32" s="522"/>
      <c r="AJ32" s="400"/>
      <c r="AK32" s="400"/>
      <c r="AL32" s="204"/>
      <c r="AM32" s="204"/>
      <c r="AN32" s="522"/>
      <c r="AO32" s="400"/>
      <c r="AP32" s="400"/>
      <c r="AQ32" s="204"/>
      <c r="AR32" s="204"/>
      <c r="AS32" s="522"/>
      <c r="AT32" s="400"/>
      <c r="AU32" s="400"/>
      <c r="AV32" s="204"/>
      <c r="AW32" s="204"/>
      <c r="AX32" s="522"/>
    </row>
    <row r="33" spans="2:50" ht="13.5" x14ac:dyDescent="0.2">
      <c r="B33" s="533"/>
      <c r="C33" s="204">
        <v>7</v>
      </c>
      <c r="D33" s="208"/>
      <c r="E33" s="205"/>
      <c r="F33" s="205"/>
      <c r="G33" s="206"/>
      <c r="H33" s="520"/>
      <c r="I33" s="205"/>
      <c r="J33" s="205"/>
      <c r="K33" s="206"/>
      <c r="L33" s="520"/>
      <c r="M33" s="207"/>
      <c r="N33" s="518"/>
      <c r="O33" s="518"/>
      <c r="P33" s="400"/>
      <c r="Q33" s="400"/>
      <c r="R33" s="204"/>
      <c r="S33" s="204"/>
      <c r="T33" s="522"/>
      <c r="U33" s="400"/>
      <c r="V33" s="400"/>
      <c r="W33" s="204"/>
      <c r="X33" s="204"/>
      <c r="Y33" s="522"/>
      <c r="Z33" s="400"/>
      <c r="AA33" s="400"/>
      <c r="AB33" s="204"/>
      <c r="AC33" s="204"/>
      <c r="AD33" s="522"/>
      <c r="AE33" s="400"/>
      <c r="AF33" s="400"/>
      <c r="AG33" s="204"/>
      <c r="AH33" s="204"/>
      <c r="AI33" s="522"/>
      <c r="AJ33" s="400"/>
      <c r="AK33" s="400"/>
      <c r="AL33" s="204"/>
      <c r="AM33" s="204"/>
      <c r="AN33" s="522"/>
      <c r="AO33" s="400"/>
      <c r="AP33" s="400"/>
      <c r="AQ33" s="204"/>
      <c r="AR33" s="204"/>
      <c r="AS33" s="522"/>
      <c r="AT33" s="400"/>
      <c r="AU33" s="400"/>
      <c r="AV33" s="204"/>
      <c r="AW33" s="204"/>
      <c r="AX33" s="522"/>
    </row>
    <row r="34" spans="2:50" ht="13.5" x14ac:dyDescent="0.2">
      <c r="B34" s="533"/>
      <c r="C34" s="204">
        <v>8</v>
      </c>
      <c r="D34" s="208"/>
      <c r="E34" s="204"/>
      <c r="F34" s="204"/>
      <c r="G34" s="204"/>
      <c r="H34" s="520"/>
      <c r="I34" s="205"/>
      <c r="J34" s="205"/>
      <c r="K34" s="206"/>
      <c r="L34" s="520"/>
      <c r="M34" s="207"/>
      <c r="N34" s="518"/>
      <c r="O34" s="518"/>
      <c r="P34" s="400"/>
      <c r="Q34" s="400"/>
      <c r="R34" s="204"/>
      <c r="S34" s="204"/>
      <c r="T34" s="522"/>
      <c r="U34" s="400"/>
      <c r="V34" s="400"/>
      <c r="W34" s="204"/>
      <c r="X34" s="204"/>
      <c r="Y34" s="522"/>
      <c r="Z34" s="400"/>
      <c r="AA34" s="400"/>
      <c r="AB34" s="204"/>
      <c r="AC34" s="204"/>
      <c r="AD34" s="522"/>
      <c r="AE34" s="400"/>
      <c r="AF34" s="400"/>
      <c r="AG34" s="204"/>
      <c r="AH34" s="204"/>
      <c r="AI34" s="522"/>
      <c r="AJ34" s="400"/>
      <c r="AK34" s="400"/>
      <c r="AL34" s="204"/>
      <c r="AM34" s="204"/>
      <c r="AN34" s="522"/>
      <c r="AO34" s="400"/>
      <c r="AP34" s="400"/>
      <c r="AQ34" s="204"/>
      <c r="AR34" s="204"/>
      <c r="AS34" s="522"/>
      <c r="AT34" s="400"/>
      <c r="AU34" s="400"/>
      <c r="AV34" s="204"/>
      <c r="AW34" s="204"/>
      <c r="AX34" s="522"/>
    </row>
    <row r="35" spans="2:50" ht="13.5" x14ac:dyDescent="0.2">
      <c r="B35" s="533"/>
      <c r="C35" s="204">
        <v>9</v>
      </c>
      <c r="D35" s="208"/>
      <c r="E35" s="204"/>
      <c r="F35" s="204"/>
      <c r="G35" s="204"/>
      <c r="H35" s="520"/>
      <c r="I35" s="205"/>
      <c r="J35" s="205"/>
      <c r="K35" s="206"/>
      <c r="L35" s="520"/>
      <c r="M35" s="207"/>
      <c r="N35" s="518"/>
      <c r="O35" s="518"/>
      <c r="P35" s="400"/>
      <c r="Q35" s="400"/>
      <c r="R35" s="204"/>
      <c r="S35" s="204"/>
      <c r="T35" s="522"/>
      <c r="U35" s="400"/>
      <c r="V35" s="400"/>
      <c r="W35" s="204"/>
      <c r="X35" s="204"/>
      <c r="Y35" s="522"/>
      <c r="Z35" s="400"/>
      <c r="AA35" s="400"/>
      <c r="AB35" s="204"/>
      <c r="AC35" s="204"/>
      <c r="AD35" s="522"/>
      <c r="AE35" s="400"/>
      <c r="AF35" s="400"/>
      <c r="AG35" s="204"/>
      <c r="AH35" s="204"/>
      <c r="AI35" s="522"/>
      <c r="AJ35" s="400"/>
      <c r="AK35" s="400"/>
      <c r="AL35" s="204"/>
      <c r="AM35" s="204"/>
      <c r="AN35" s="522"/>
      <c r="AO35" s="400"/>
      <c r="AP35" s="400"/>
      <c r="AQ35" s="204"/>
      <c r="AR35" s="204"/>
      <c r="AS35" s="522"/>
      <c r="AT35" s="400"/>
      <c r="AU35" s="400"/>
      <c r="AV35" s="204"/>
      <c r="AW35" s="204"/>
      <c r="AX35" s="522"/>
    </row>
    <row r="36" spans="2:50" ht="13.5" x14ac:dyDescent="0.2">
      <c r="B36" s="533"/>
      <c r="C36" s="204">
        <v>10</v>
      </c>
      <c r="D36" s="208"/>
      <c r="E36" s="204"/>
      <c r="F36" s="204"/>
      <c r="G36" s="204"/>
      <c r="H36" s="520"/>
      <c r="I36" s="205"/>
      <c r="J36" s="205"/>
      <c r="K36" s="206"/>
      <c r="L36" s="520"/>
      <c r="M36" s="207"/>
      <c r="N36" s="518"/>
      <c r="O36" s="518"/>
      <c r="P36" s="400"/>
      <c r="Q36" s="400"/>
      <c r="R36" s="204"/>
      <c r="S36" s="204"/>
      <c r="T36" s="522"/>
      <c r="U36" s="400"/>
      <c r="V36" s="400"/>
      <c r="W36" s="204"/>
      <c r="X36" s="204"/>
      <c r="Y36" s="522"/>
      <c r="Z36" s="400"/>
      <c r="AA36" s="400"/>
      <c r="AB36" s="204"/>
      <c r="AC36" s="204"/>
      <c r="AD36" s="522"/>
      <c r="AE36" s="400"/>
      <c r="AF36" s="400"/>
      <c r="AG36" s="204"/>
      <c r="AH36" s="204"/>
      <c r="AI36" s="522"/>
      <c r="AJ36" s="400"/>
      <c r="AK36" s="400"/>
      <c r="AL36" s="204"/>
      <c r="AM36" s="204"/>
      <c r="AN36" s="522"/>
      <c r="AO36" s="400"/>
      <c r="AP36" s="400"/>
      <c r="AQ36" s="204"/>
      <c r="AR36" s="204"/>
      <c r="AS36" s="522"/>
      <c r="AT36" s="400"/>
      <c r="AU36" s="400"/>
      <c r="AV36" s="204"/>
      <c r="AW36" s="204"/>
      <c r="AX36" s="522"/>
    </row>
    <row r="37" spans="2:50" ht="13.5" x14ac:dyDescent="0.2">
      <c r="B37" s="533"/>
      <c r="C37" s="204">
        <v>11</v>
      </c>
      <c r="D37" s="208"/>
      <c r="E37" s="204"/>
      <c r="F37" s="204"/>
      <c r="G37" s="204"/>
      <c r="H37" s="520"/>
      <c r="I37" s="205"/>
      <c r="J37" s="205"/>
      <c r="K37" s="206"/>
      <c r="L37" s="520"/>
      <c r="M37" s="207"/>
      <c r="N37" s="518"/>
      <c r="O37" s="518"/>
      <c r="P37" s="398"/>
      <c r="Q37" s="398"/>
      <c r="R37" s="204"/>
      <c r="S37" s="204"/>
      <c r="T37" s="522"/>
      <c r="U37" s="398"/>
      <c r="V37" s="398"/>
      <c r="W37" s="204"/>
      <c r="X37" s="204"/>
      <c r="Y37" s="522"/>
      <c r="Z37" s="398"/>
      <c r="AA37" s="398"/>
      <c r="AB37" s="204"/>
      <c r="AC37" s="204"/>
      <c r="AD37" s="522"/>
      <c r="AE37" s="398"/>
      <c r="AF37" s="398"/>
      <c r="AG37" s="204"/>
      <c r="AH37" s="204"/>
      <c r="AI37" s="522"/>
      <c r="AJ37" s="398"/>
      <c r="AK37" s="398"/>
      <c r="AL37" s="204"/>
      <c r="AM37" s="204"/>
      <c r="AN37" s="522"/>
      <c r="AO37" s="398"/>
      <c r="AP37" s="398"/>
      <c r="AQ37" s="204"/>
      <c r="AR37" s="204"/>
      <c r="AS37" s="522"/>
      <c r="AT37" s="398"/>
      <c r="AU37" s="398"/>
      <c r="AV37" s="204"/>
      <c r="AW37" s="204"/>
      <c r="AX37" s="522"/>
    </row>
    <row r="38" spans="2:50" ht="13.5" x14ac:dyDescent="0.2">
      <c r="B38" s="533"/>
      <c r="C38" s="204">
        <v>12</v>
      </c>
      <c r="D38" s="208"/>
      <c r="E38" s="204"/>
      <c r="F38" s="204"/>
      <c r="G38" s="204"/>
      <c r="H38" s="520"/>
      <c r="I38" s="205"/>
      <c r="J38" s="205"/>
      <c r="K38" s="206"/>
      <c r="L38" s="520"/>
      <c r="M38" s="207"/>
      <c r="N38" s="518"/>
      <c r="O38" s="518"/>
      <c r="P38" s="398"/>
      <c r="Q38" s="398"/>
      <c r="R38" s="204"/>
      <c r="S38" s="204"/>
      <c r="T38" s="522"/>
      <c r="U38" s="398"/>
      <c r="V38" s="398"/>
      <c r="W38" s="204"/>
      <c r="X38" s="204"/>
      <c r="Y38" s="522"/>
      <c r="Z38" s="398"/>
      <c r="AA38" s="398"/>
      <c r="AB38" s="204"/>
      <c r="AC38" s="204"/>
      <c r="AD38" s="522"/>
      <c r="AE38" s="398"/>
      <c r="AF38" s="398"/>
      <c r="AG38" s="204"/>
      <c r="AH38" s="204"/>
      <c r="AI38" s="522"/>
      <c r="AJ38" s="398"/>
      <c r="AK38" s="398"/>
      <c r="AL38" s="204"/>
      <c r="AM38" s="204"/>
      <c r="AN38" s="522"/>
      <c r="AO38" s="398"/>
      <c r="AP38" s="398"/>
      <c r="AQ38" s="204"/>
      <c r="AR38" s="204"/>
      <c r="AS38" s="522"/>
      <c r="AT38" s="398"/>
      <c r="AU38" s="398"/>
      <c r="AV38" s="204"/>
      <c r="AW38" s="204"/>
      <c r="AX38" s="522"/>
    </row>
    <row r="39" spans="2:50" ht="13.5" x14ac:dyDescent="0.2">
      <c r="B39" s="533"/>
      <c r="C39" s="204">
        <v>13</v>
      </c>
      <c r="D39" s="208"/>
      <c r="E39" s="204"/>
      <c r="F39" s="204"/>
      <c r="G39" s="204"/>
      <c r="H39" s="520"/>
      <c r="I39" s="205"/>
      <c r="J39" s="205"/>
      <c r="K39" s="206"/>
      <c r="L39" s="520"/>
      <c r="M39" s="207"/>
      <c r="N39" s="518"/>
      <c r="O39" s="518"/>
      <c r="P39" s="398"/>
      <c r="Q39" s="398"/>
      <c r="R39" s="204"/>
      <c r="S39" s="204"/>
      <c r="T39" s="522"/>
      <c r="U39" s="398"/>
      <c r="V39" s="398"/>
      <c r="W39" s="204"/>
      <c r="X39" s="204"/>
      <c r="Y39" s="522"/>
      <c r="Z39" s="398"/>
      <c r="AA39" s="398"/>
      <c r="AB39" s="204"/>
      <c r="AC39" s="204"/>
      <c r="AD39" s="522"/>
      <c r="AE39" s="398"/>
      <c r="AF39" s="398"/>
      <c r="AG39" s="204"/>
      <c r="AH39" s="204"/>
      <c r="AI39" s="522"/>
      <c r="AJ39" s="398"/>
      <c r="AK39" s="398"/>
      <c r="AL39" s="204"/>
      <c r="AM39" s="204"/>
      <c r="AN39" s="522"/>
      <c r="AO39" s="398"/>
      <c r="AP39" s="398"/>
      <c r="AQ39" s="204"/>
      <c r="AR39" s="204"/>
      <c r="AS39" s="522"/>
      <c r="AT39" s="398"/>
      <c r="AU39" s="398"/>
      <c r="AV39" s="204"/>
      <c r="AW39" s="204"/>
      <c r="AX39" s="522"/>
    </row>
    <row r="40" spans="2:50" ht="13.5" x14ac:dyDescent="0.2">
      <c r="B40" s="533"/>
      <c r="C40" s="204">
        <v>14</v>
      </c>
      <c r="D40" s="208"/>
      <c r="E40" s="204"/>
      <c r="F40" s="204"/>
      <c r="G40" s="204"/>
      <c r="H40" s="520"/>
      <c r="I40" s="205"/>
      <c r="J40" s="205"/>
      <c r="K40" s="206"/>
      <c r="L40" s="520"/>
      <c r="M40" s="207"/>
      <c r="N40" s="518"/>
      <c r="O40" s="518"/>
      <c r="P40" s="398"/>
      <c r="Q40" s="398"/>
      <c r="R40" s="204"/>
      <c r="S40" s="204"/>
      <c r="T40" s="522"/>
      <c r="U40" s="398"/>
      <c r="V40" s="398"/>
      <c r="W40" s="204"/>
      <c r="X40" s="204"/>
      <c r="Y40" s="522"/>
      <c r="Z40" s="398"/>
      <c r="AA40" s="398"/>
      <c r="AB40" s="204"/>
      <c r="AC40" s="204"/>
      <c r="AD40" s="522"/>
      <c r="AE40" s="398"/>
      <c r="AF40" s="398"/>
      <c r="AG40" s="204"/>
      <c r="AH40" s="204"/>
      <c r="AI40" s="522"/>
      <c r="AJ40" s="398"/>
      <c r="AK40" s="398"/>
      <c r="AL40" s="204"/>
      <c r="AM40" s="204"/>
      <c r="AN40" s="522"/>
      <c r="AO40" s="398"/>
      <c r="AP40" s="398"/>
      <c r="AQ40" s="204"/>
      <c r="AR40" s="204"/>
      <c r="AS40" s="522"/>
      <c r="AT40" s="398"/>
      <c r="AU40" s="398"/>
      <c r="AV40" s="204"/>
      <c r="AW40" s="204"/>
      <c r="AX40" s="522"/>
    </row>
    <row r="41" spans="2:50" ht="13.5" x14ac:dyDescent="0.2">
      <c r="B41" s="533"/>
      <c r="C41" s="204">
        <v>15</v>
      </c>
      <c r="D41" s="208"/>
      <c r="E41" s="204"/>
      <c r="F41" s="204"/>
      <c r="G41" s="204"/>
      <c r="H41" s="521"/>
      <c r="I41" s="205"/>
      <c r="J41" s="205"/>
      <c r="K41" s="206"/>
      <c r="L41" s="521"/>
      <c r="M41" s="205"/>
      <c r="N41" s="518"/>
      <c r="O41" s="518"/>
      <c r="P41" s="398"/>
      <c r="Q41" s="398"/>
      <c r="R41" s="204"/>
      <c r="S41" s="204"/>
      <c r="T41" s="522"/>
      <c r="U41" s="398"/>
      <c r="V41" s="398"/>
      <c r="W41" s="204"/>
      <c r="X41" s="204"/>
      <c r="Y41" s="522"/>
      <c r="Z41" s="398"/>
      <c r="AA41" s="398"/>
      <c r="AB41" s="204"/>
      <c r="AC41" s="204"/>
      <c r="AD41" s="522"/>
      <c r="AE41" s="398"/>
      <c r="AF41" s="398"/>
      <c r="AG41" s="204"/>
      <c r="AH41" s="204"/>
      <c r="AI41" s="522"/>
      <c r="AJ41" s="398"/>
      <c r="AK41" s="398"/>
      <c r="AL41" s="204"/>
      <c r="AM41" s="204"/>
      <c r="AN41" s="522"/>
      <c r="AO41" s="398"/>
      <c r="AP41" s="398"/>
      <c r="AQ41" s="204"/>
      <c r="AR41" s="204"/>
      <c r="AS41" s="522"/>
      <c r="AT41" s="398"/>
      <c r="AU41" s="398"/>
      <c r="AV41" s="204"/>
      <c r="AW41" s="204"/>
      <c r="AX41" s="522"/>
    </row>
    <row r="42" spans="2:50" ht="15.75" x14ac:dyDescent="0.2">
      <c r="B42" s="534" t="s">
        <v>84</v>
      </c>
      <c r="C42" s="535"/>
      <c r="D42" s="535"/>
      <c r="E42" s="535"/>
      <c r="F42" s="535"/>
      <c r="G42" s="535"/>
      <c r="H42" s="535"/>
      <c r="I42" s="209"/>
      <c r="J42" s="198"/>
      <c r="K42" s="209"/>
      <c r="L42" s="209"/>
      <c r="M42" s="199"/>
      <c r="N42" s="523" t="s">
        <v>85</v>
      </c>
      <c r="O42" s="523" t="s">
        <v>45</v>
      </c>
      <c r="P42" s="532">
        <v>46182</v>
      </c>
      <c r="Q42" s="533"/>
      <c r="R42" s="533"/>
      <c r="S42" s="533"/>
      <c r="T42" s="533"/>
      <c r="U42" s="532">
        <f>P42+1</f>
        <v>46183</v>
      </c>
      <c r="V42" s="533"/>
      <c r="W42" s="533"/>
      <c r="X42" s="533"/>
      <c r="Y42" s="533"/>
      <c r="Z42" s="532">
        <f>Z22+7</f>
        <v>46184</v>
      </c>
      <c r="AA42" s="533"/>
      <c r="AB42" s="533"/>
      <c r="AC42" s="533"/>
      <c r="AD42" s="533"/>
      <c r="AE42" s="532">
        <f>AE22+7</f>
        <v>46185</v>
      </c>
      <c r="AF42" s="533"/>
      <c r="AG42" s="533"/>
      <c r="AH42" s="533"/>
      <c r="AI42" s="533"/>
      <c r="AJ42" s="532">
        <f>AJ22+7</f>
        <v>46186</v>
      </c>
      <c r="AK42" s="533"/>
      <c r="AL42" s="533"/>
      <c r="AM42" s="533"/>
      <c r="AN42" s="533"/>
      <c r="AO42" s="532">
        <f>AO22+7</f>
        <v>46187</v>
      </c>
      <c r="AP42" s="533"/>
      <c r="AQ42" s="533"/>
      <c r="AR42" s="533"/>
      <c r="AS42" s="533"/>
      <c r="AT42" s="532">
        <f>AT22+7</f>
        <v>46188</v>
      </c>
      <c r="AU42" s="533"/>
      <c r="AV42" s="533"/>
      <c r="AW42" s="533"/>
      <c r="AX42" s="533"/>
    </row>
    <row r="43" spans="2:50" ht="15.75" x14ac:dyDescent="0.2">
      <c r="B43" s="531"/>
      <c r="C43" s="531"/>
      <c r="D43" s="531"/>
      <c r="E43" s="531"/>
      <c r="F43" s="531"/>
      <c r="G43" s="531"/>
      <c r="H43" s="531"/>
      <c r="I43" s="200"/>
      <c r="J43" s="200"/>
      <c r="K43" s="200"/>
      <c r="L43" s="200"/>
      <c r="M43" s="201"/>
      <c r="N43" s="525"/>
      <c r="O43" s="525"/>
      <c r="P43" s="532" t="s">
        <v>57</v>
      </c>
      <c r="Q43" s="533"/>
      <c r="R43" s="533"/>
      <c r="S43" s="533"/>
      <c r="T43" s="533"/>
      <c r="U43" s="532" t="s">
        <v>58</v>
      </c>
      <c r="V43" s="533"/>
      <c r="W43" s="533"/>
      <c r="X43" s="533"/>
      <c r="Y43" s="533"/>
      <c r="Z43" s="532" t="s">
        <v>59</v>
      </c>
      <c r="AA43" s="533"/>
      <c r="AB43" s="533"/>
      <c r="AC43" s="533"/>
      <c r="AD43" s="533"/>
      <c r="AE43" s="532" t="s">
        <v>60</v>
      </c>
      <c r="AF43" s="533"/>
      <c r="AG43" s="533"/>
      <c r="AH43" s="533"/>
      <c r="AI43" s="533"/>
      <c r="AJ43" s="532" t="s">
        <v>55</v>
      </c>
      <c r="AK43" s="533"/>
      <c r="AL43" s="533"/>
      <c r="AM43" s="533"/>
      <c r="AN43" s="533"/>
      <c r="AO43" s="532" t="s">
        <v>52</v>
      </c>
      <c r="AP43" s="533"/>
      <c r="AQ43" s="533"/>
      <c r="AR43" s="533"/>
      <c r="AS43" s="533"/>
      <c r="AT43" s="532" t="s">
        <v>56</v>
      </c>
      <c r="AU43" s="533"/>
      <c r="AV43" s="533"/>
      <c r="AW43" s="533"/>
      <c r="AX43" s="533"/>
    </row>
    <row r="44" spans="2:50" x14ac:dyDescent="0.2">
      <c r="B44" s="518" t="s">
        <v>41</v>
      </c>
      <c r="C44" s="518" t="s">
        <v>86</v>
      </c>
      <c r="D44" s="518"/>
      <c r="E44" s="518" t="s">
        <v>87</v>
      </c>
      <c r="F44" s="518"/>
      <c r="G44" s="518"/>
      <c r="H44" s="515" t="s">
        <v>88</v>
      </c>
      <c r="I44" s="518" t="s">
        <v>89</v>
      </c>
      <c r="J44" s="518"/>
      <c r="K44" s="518"/>
      <c r="L44" s="515" t="s">
        <v>88</v>
      </c>
      <c r="M44" s="523" t="s">
        <v>90</v>
      </c>
      <c r="N44" s="518"/>
      <c r="O44" s="518" t="s">
        <v>91</v>
      </c>
      <c r="P44" s="526" t="s">
        <v>92</v>
      </c>
      <c r="Q44" s="527"/>
      <c r="R44" s="527"/>
      <c r="S44" s="528"/>
      <c r="T44" s="518" t="s">
        <v>88</v>
      </c>
      <c r="U44" s="526" t="s">
        <v>92</v>
      </c>
      <c r="V44" s="527"/>
      <c r="W44" s="527"/>
      <c r="X44" s="528"/>
      <c r="Y44" s="518" t="s">
        <v>88</v>
      </c>
      <c r="Z44" s="526" t="s">
        <v>92</v>
      </c>
      <c r="AA44" s="527"/>
      <c r="AB44" s="527"/>
      <c r="AC44" s="528"/>
      <c r="AD44" s="518" t="s">
        <v>88</v>
      </c>
      <c r="AE44" s="526" t="s">
        <v>92</v>
      </c>
      <c r="AF44" s="527"/>
      <c r="AG44" s="527"/>
      <c r="AH44" s="528"/>
      <c r="AI44" s="518" t="s">
        <v>88</v>
      </c>
      <c r="AJ44" s="526" t="s">
        <v>92</v>
      </c>
      <c r="AK44" s="527"/>
      <c r="AL44" s="527"/>
      <c r="AM44" s="528"/>
      <c r="AN44" s="518" t="s">
        <v>88</v>
      </c>
      <c r="AO44" s="526" t="s">
        <v>92</v>
      </c>
      <c r="AP44" s="527"/>
      <c r="AQ44" s="527"/>
      <c r="AR44" s="528"/>
      <c r="AS44" s="518" t="s">
        <v>88</v>
      </c>
      <c r="AT44" s="526" t="s">
        <v>92</v>
      </c>
      <c r="AU44" s="527"/>
      <c r="AV44" s="527"/>
      <c r="AW44" s="528"/>
      <c r="AX44" s="518" t="s">
        <v>88</v>
      </c>
    </row>
    <row r="45" spans="2:50" x14ac:dyDescent="0.2">
      <c r="B45" s="518"/>
      <c r="C45" s="518"/>
      <c r="D45" s="518"/>
      <c r="E45" s="518" t="s">
        <v>93</v>
      </c>
      <c r="F45" s="518"/>
      <c r="G45" s="518"/>
      <c r="H45" s="516"/>
      <c r="I45" s="518" t="s">
        <v>93</v>
      </c>
      <c r="J45" s="518"/>
      <c r="K45" s="518"/>
      <c r="L45" s="516"/>
      <c r="M45" s="524"/>
      <c r="N45" s="518"/>
      <c r="O45" s="518"/>
      <c r="P45" s="526" t="s">
        <v>94</v>
      </c>
      <c r="Q45" s="527"/>
      <c r="R45" s="527"/>
      <c r="S45" s="528"/>
      <c r="T45" s="518"/>
      <c r="U45" s="526" t="s">
        <v>94</v>
      </c>
      <c r="V45" s="527"/>
      <c r="W45" s="527"/>
      <c r="X45" s="528"/>
      <c r="Y45" s="518"/>
      <c r="Z45" s="526" t="s">
        <v>94</v>
      </c>
      <c r="AA45" s="527"/>
      <c r="AB45" s="527"/>
      <c r="AC45" s="528"/>
      <c r="AD45" s="518"/>
      <c r="AE45" s="526" t="s">
        <v>94</v>
      </c>
      <c r="AF45" s="527"/>
      <c r="AG45" s="527"/>
      <c r="AH45" s="528"/>
      <c r="AI45" s="518"/>
      <c r="AJ45" s="526" t="s">
        <v>94</v>
      </c>
      <c r="AK45" s="527"/>
      <c r="AL45" s="527"/>
      <c r="AM45" s="528"/>
      <c r="AN45" s="518"/>
      <c r="AO45" s="526" t="s">
        <v>94</v>
      </c>
      <c r="AP45" s="527"/>
      <c r="AQ45" s="527"/>
      <c r="AR45" s="528"/>
      <c r="AS45" s="518"/>
      <c r="AT45" s="526" t="s">
        <v>94</v>
      </c>
      <c r="AU45" s="527"/>
      <c r="AV45" s="527"/>
      <c r="AW45" s="528"/>
      <c r="AX45" s="518"/>
    </row>
    <row r="46" spans="2:50" x14ac:dyDescent="0.2">
      <c r="B46" s="518"/>
      <c r="C46" s="518"/>
      <c r="D46" s="518"/>
      <c r="E46" s="203" t="s">
        <v>95</v>
      </c>
      <c r="F46" s="203" t="s">
        <v>96</v>
      </c>
      <c r="G46" s="203" t="s">
        <v>97</v>
      </c>
      <c r="H46" s="517"/>
      <c r="I46" s="203" t="s">
        <v>95</v>
      </c>
      <c r="J46" s="203" t="s">
        <v>96</v>
      </c>
      <c r="K46" s="203" t="s">
        <v>97</v>
      </c>
      <c r="L46" s="517"/>
      <c r="M46" s="525"/>
      <c r="N46" s="518"/>
      <c r="O46" s="518"/>
      <c r="P46" s="203" t="s">
        <v>95</v>
      </c>
      <c r="Q46" s="203" t="s">
        <v>96</v>
      </c>
      <c r="R46" s="203" t="s">
        <v>97</v>
      </c>
      <c r="S46" s="203" t="s">
        <v>90</v>
      </c>
      <c r="T46" s="518"/>
      <c r="U46" s="203" t="s">
        <v>95</v>
      </c>
      <c r="V46" s="203" t="s">
        <v>96</v>
      </c>
      <c r="W46" s="203" t="s">
        <v>97</v>
      </c>
      <c r="X46" s="203" t="s">
        <v>90</v>
      </c>
      <c r="Y46" s="518"/>
      <c r="Z46" s="203" t="s">
        <v>95</v>
      </c>
      <c r="AA46" s="203" t="s">
        <v>96</v>
      </c>
      <c r="AB46" s="203" t="s">
        <v>97</v>
      </c>
      <c r="AC46" s="203" t="s">
        <v>90</v>
      </c>
      <c r="AD46" s="518"/>
      <c r="AE46" s="203" t="s">
        <v>95</v>
      </c>
      <c r="AF46" s="203" t="s">
        <v>96</v>
      </c>
      <c r="AG46" s="203" t="s">
        <v>97</v>
      </c>
      <c r="AH46" s="203" t="s">
        <v>90</v>
      </c>
      <c r="AI46" s="518"/>
      <c r="AJ46" s="203" t="s">
        <v>95</v>
      </c>
      <c r="AK46" s="203" t="s">
        <v>96</v>
      </c>
      <c r="AL46" s="203" t="s">
        <v>97</v>
      </c>
      <c r="AM46" s="203" t="s">
        <v>90</v>
      </c>
      <c r="AN46" s="518"/>
      <c r="AO46" s="203" t="s">
        <v>95</v>
      </c>
      <c r="AP46" s="203" t="s">
        <v>96</v>
      </c>
      <c r="AQ46" s="203" t="s">
        <v>97</v>
      </c>
      <c r="AR46" s="203" t="s">
        <v>90</v>
      </c>
      <c r="AS46" s="518"/>
      <c r="AT46" s="203" t="s">
        <v>95</v>
      </c>
      <c r="AU46" s="203" t="s">
        <v>96</v>
      </c>
      <c r="AV46" s="203" t="s">
        <v>97</v>
      </c>
      <c r="AW46" s="203" t="s">
        <v>90</v>
      </c>
      <c r="AX46" s="518"/>
    </row>
    <row r="47" spans="2:50" ht="13.5" x14ac:dyDescent="0.2">
      <c r="B47" s="518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10">F47/E47</f>
        <v>104.33333333333333</v>
      </c>
      <c r="H47" s="519">
        <f>AVERAGE(G47:G61)</f>
        <v>125.67424242424242</v>
      </c>
      <c r="I47" s="205">
        <f>AVERAGE(P47,U47,Z47,AE47,AJ47,AO47,AT47)</f>
        <v>15.714285714285714</v>
      </c>
      <c r="J47" s="205">
        <f>AVERAGE(Q47,V47,AA47,AF47,AK47,AP47,AU47)</f>
        <v>1496.4285714285713</v>
      </c>
      <c r="K47" s="206">
        <f>AVERAGE(R47,W47,AB47,AG47,AL47,AQ47,AV47)</f>
        <v>95.32888655462186</v>
      </c>
      <c r="L47" s="519">
        <f>IFERROR(AVERAGE(K47:K61),"-")</f>
        <v>115.15934500839963</v>
      </c>
      <c r="M47" s="205">
        <f>RANK(K47, K$47:$K$61)</f>
        <v>3</v>
      </c>
      <c r="N47" s="518"/>
      <c r="O47" s="518"/>
      <c r="P47" s="347">
        <v>17</v>
      </c>
      <c r="Q47" s="400">
        <v>1560</v>
      </c>
      <c r="R47" s="206">
        <f>Q47/P47</f>
        <v>91.764705882352942</v>
      </c>
      <c r="S47" s="204">
        <f>RANK(R47,$R$47:$R$61)</f>
        <v>3</v>
      </c>
      <c r="T47" s="522">
        <f>AVERAGE(R47:R61)</f>
        <v>111.5479422538246</v>
      </c>
      <c r="U47" s="400">
        <v>15</v>
      </c>
      <c r="V47" s="400">
        <v>1483</v>
      </c>
      <c r="W47" s="206">
        <f>V47/U47</f>
        <v>98.86666666666666</v>
      </c>
      <c r="X47" s="204">
        <f>RANK(W47,$W$47:$W$61)</f>
        <v>3</v>
      </c>
      <c r="Y47" s="522">
        <f>AVERAGE(W47:W61)</f>
        <v>119.09191919191919</v>
      </c>
      <c r="Z47" s="347">
        <v>16</v>
      </c>
      <c r="AA47" s="400">
        <v>1528</v>
      </c>
      <c r="AB47" s="346">
        <f>AA47/Z47</f>
        <v>95.5</v>
      </c>
      <c r="AC47" s="204">
        <f>RANK(AB47,$AB$47:$AB$61)</f>
        <v>3</v>
      </c>
      <c r="AD47" s="522">
        <f>AVERAGE(AB47:AB61)</f>
        <v>110.49786324786326</v>
      </c>
      <c r="AE47" s="347">
        <v>16</v>
      </c>
      <c r="AF47" s="400">
        <v>1548</v>
      </c>
      <c r="AG47" s="346">
        <f>AF47/AE47</f>
        <v>96.75</v>
      </c>
      <c r="AH47" s="204">
        <f>RANK(AG47,$AG$47:$AG$61)</f>
        <v>3</v>
      </c>
      <c r="AI47" s="522">
        <f>AVERAGE(AG47:AG61)</f>
        <v>115.41666666666667</v>
      </c>
      <c r="AJ47" s="400">
        <v>15</v>
      </c>
      <c r="AK47" s="400">
        <v>1452</v>
      </c>
      <c r="AL47" s="346">
        <f>AK47/AJ47</f>
        <v>96.8</v>
      </c>
      <c r="AM47" s="204">
        <f>RANK(AL47, $AL$47:$AL$61)</f>
        <v>3</v>
      </c>
      <c r="AN47" s="522">
        <f>AVERAGE(AL47:AL61)</f>
        <v>117.82727272727273</v>
      </c>
      <c r="AO47" s="347">
        <v>16</v>
      </c>
      <c r="AP47" s="400">
        <v>1435</v>
      </c>
      <c r="AQ47" s="346">
        <f>AP47/AO47</f>
        <v>89.6875</v>
      </c>
      <c r="AR47" s="204">
        <f>RANK(AQ47,$AQ$47:$AQ$61)</f>
        <v>3</v>
      </c>
      <c r="AS47" s="522">
        <f>AVERAGE(AQ47:AQ61)</f>
        <v>112.49839743589745</v>
      </c>
      <c r="AT47" s="400">
        <v>15</v>
      </c>
      <c r="AU47" s="400">
        <v>1469</v>
      </c>
      <c r="AV47" s="346">
        <f>AU47/AT47</f>
        <v>97.933333333333337</v>
      </c>
      <c r="AW47" s="204">
        <f>RANK(AV47,$AV$47:$AV$61)</f>
        <v>3</v>
      </c>
      <c r="AX47" s="522">
        <f>AVERAGE(AV47:AV61)</f>
        <v>119.23535353535355</v>
      </c>
    </row>
    <row r="48" spans="2:50" ht="13.5" x14ac:dyDescent="0.2">
      <c r="B48" s="533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10"/>
        <v>130.41666666666666</v>
      </c>
      <c r="H48" s="520"/>
      <c r="I48" s="205">
        <f t="shared" ref="I48:K48" si="11">AVERAGE(P48,U48,Z48,AE48,AJ48,AO48,AT48)</f>
        <v>12.571428571428571</v>
      </c>
      <c r="J48" s="205">
        <f t="shared" si="11"/>
        <v>1521</v>
      </c>
      <c r="K48" s="206">
        <f t="shared" si="11"/>
        <v>121.10086342229199</v>
      </c>
      <c r="L48" s="520"/>
      <c r="M48" s="205">
        <f>RANK(K48, K$47:$K$61)</f>
        <v>2</v>
      </c>
      <c r="N48" s="518"/>
      <c r="O48" s="518"/>
      <c r="P48" s="347">
        <v>14</v>
      </c>
      <c r="Q48" s="400">
        <v>1660</v>
      </c>
      <c r="R48" s="206">
        <f>Q48/P48</f>
        <v>118.57142857142857</v>
      </c>
      <c r="S48" s="204">
        <f>RANK(R48,$R$47:$R$61)</f>
        <v>2</v>
      </c>
      <c r="T48" s="522"/>
      <c r="U48" s="400">
        <v>12</v>
      </c>
      <c r="V48" s="400">
        <v>1494</v>
      </c>
      <c r="W48" s="206">
        <f>V48/U48</f>
        <v>124.5</v>
      </c>
      <c r="X48" s="204">
        <f>RANK(W48,$W$47:$W$61)</f>
        <v>2</v>
      </c>
      <c r="Y48" s="522"/>
      <c r="Z48" s="347">
        <v>13</v>
      </c>
      <c r="AA48" s="400">
        <v>1522</v>
      </c>
      <c r="AB48" s="206">
        <f t="shared" ref="AB48:AB49" si="12">AA48/Z48</f>
        <v>117.07692307692308</v>
      </c>
      <c r="AC48" s="204">
        <f t="shared" ref="AC48:AC49" si="13">RANK(AB48,$AB$47:$AB$61)</f>
        <v>2</v>
      </c>
      <c r="AD48" s="522"/>
      <c r="AE48" s="400">
        <v>12</v>
      </c>
      <c r="AF48" s="400">
        <v>1467</v>
      </c>
      <c r="AG48" s="206">
        <f t="shared" ref="AG48:AG49" si="14">AF48/AE48</f>
        <v>122.25</v>
      </c>
      <c r="AH48" s="204">
        <f t="shared" ref="AH48:AH49" si="15">RANK(AG48,$AG$47:$AG$61)</f>
        <v>2</v>
      </c>
      <c r="AI48" s="522"/>
      <c r="AJ48" s="400">
        <v>12</v>
      </c>
      <c r="AK48" s="400">
        <v>1470</v>
      </c>
      <c r="AL48" s="206">
        <f t="shared" ref="AL48:AL49" si="16">AK48/AJ48</f>
        <v>122.5</v>
      </c>
      <c r="AM48" s="204">
        <f t="shared" ref="AM48:AM49" si="17">RANK(AL48, $AL$47:$AL$61)</f>
        <v>2</v>
      </c>
      <c r="AN48" s="522"/>
      <c r="AO48" s="347">
        <v>13</v>
      </c>
      <c r="AP48" s="400">
        <v>1564</v>
      </c>
      <c r="AQ48" s="206">
        <f t="shared" ref="AQ48:AQ49" si="18">AP48/AO48</f>
        <v>120.30769230769231</v>
      </c>
      <c r="AR48" s="204">
        <f t="shared" ref="AR48:AR49" si="19">RANK(AQ48,$AQ$47:$AQ$61)</f>
        <v>2</v>
      </c>
      <c r="AS48" s="522"/>
      <c r="AT48" s="400">
        <v>12</v>
      </c>
      <c r="AU48" s="400">
        <v>1470</v>
      </c>
      <c r="AV48" s="206">
        <f t="shared" ref="AV48:AV49" si="20">AU48/AT48</f>
        <v>122.5</v>
      </c>
      <c r="AW48" s="204">
        <f t="shared" ref="AW48:AW49" si="21">RANK(AV48,$AV$47:$AV$61)</f>
        <v>2</v>
      </c>
      <c r="AX48" s="522"/>
    </row>
    <row r="49" spans="2:50" ht="13.5" x14ac:dyDescent="0.2">
      <c r="B49" s="533"/>
      <c r="C49" s="204">
        <v>3</v>
      </c>
      <c r="D49" s="208" t="s">
        <v>100</v>
      </c>
      <c r="E49" s="205">
        <f>VLOOKUP(D49,'12產線配置圖'!$A$26:$C$33,2,0)</f>
        <v>11</v>
      </c>
      <c r="F49" s="205">
        <f>VLOOKUP(D49,'12產線配置圖'!$A$26:$C$33,3,0)</f>
        <v>1565</v>
      </c>
      <c r="G49" s="206">
        <f>F49/E49</f>
        <v>142.27272727272728</v>
      </c>
      <c r="H49" s="520"/>
      <c r="I49" s="205">
        <f>AVERAGE(P49,U49,Z49,AE49,AJ49,AO49,AT49)</f>
        <v>11.714285714285714</v>
      </c>
      <c r="J49" s="205">
        <f>AVERAGE(Q49,V49,AA49,AF49,AK49,AP49,AU49)</f>
        <v>1508.4285714285713</v>
      </c>
      <c r="K49" s="206">
        <f>AVERAGE(R49,W49,AB49,AG49,AL49,AQ49,AV49)</f>
        <v>129.04828504828507</v>
      </c>
      <c r="L49" s="520"/>
      <c r="M49" s="205">
        <f>RANK(K49, K$47:$K$61)</f>
        <v>1</v>
      </c>
      <c r="N49" s="518"/>
      <c r="O49" s="518"/>
      <c r="P49" s="400">
        <v>13</v>
      </c>
      <c r="Q49" s="400">
        <v>1616</v>
      </c>
      <c r="R49" s="206">
        <f>Q49/P49</f>
        <v>124.30769230769231</v>
      </c>
      <c r="S49" s="204">
        <f>RANK(R49,$R$47:$R$61)</f>
        <v>1</v>
      </c>
      <c r="T49" s="522"/>
      <c r="U49" s="400">
        <v>11</v>
      </c>
      <c r="V49" s="400">
        <v>1473</v>
      </c>
      <c r="W49" s="206">
        <f>V49/U49</f>
        <v>133.90909090909091</v>
      </c>
      <c r="X49" s="204">
        <f>RANK(W49,$W$47:$W$61)</f>
        <v>1</v>
      </c>
      <c r="Y49" s="522"/>
      <c r="Z49" s="347">
        <v>12</v>
      </c>
      <c r="AA49" s="400">
        <v>1427</v>
      </c>
      <c r="AB49" s="206">
        <f t="shared" si="12"/>
        <v>118.91666666666667</v>
      </c>
      <c r="AC49" s="204">
        <f t="shared" si="13"/>
        <v>1</v>
      </c>
      <c r="AD49" s="522"/>
      <c r="AE49" s="400">
        <v>12</v>
      </c>
      <c r="AF49" s="400">
        <v>1527</v>
      </c>
      <c r="AG49" s="346">
        <f t="shared" si="14"/>
        <v>127.25</v>
      </c>
      <c r="AH49" s="204">
        <f t="shared" si="15"/>
        <v>1</v>
      </c>
      <c r="AI49" s="522"/>
      <c r="AJ49" s="400">
        <v>11</v>
      </c>
      <c r="AK49" s="400">
        <v>1476</v>
      </c>
      <c r="AL49" s="206">
        <f t="shared" si="16"/>
        <v>134.18181818181819</v>
      </c>
      <c r="AM49" s="204">
        <f t="shared" si="17"/>
        <v>1</v>
      </c>
      <c r="AN49" s="522"/>
      <c r="AO49" s="347">
        <v>12</v>
      </c>
      <c r="AP49" s="400">
        <v>1530</v>
      </c>
      <c r="AQ49" s="206">
        <f t="shared" si="18"/>
        <v>127.5</v>
      </c>
      <c r="AR49" s="204">
        <f t="shared" si="19"/>
        <v>1</v>
      </c>
      <c r="AS49" s="522"/>
      <c r="AT49" s="400">
        <v>11</v>
      </c>
      <c r="AU49" s="400">
        <v>1510</v>
      </c>
      <c r="AV49" s="206">
        <f t="shared" si="20"/>
        <v>137.27272727272728</v>
      </c>
      <c r="AW49" s="204">
        <f t="shared" si="21"/>
        <v>1</v>
      </c>
      <c r="AX49" s="522"/>
    </row>
    <row r="50" spans="2:50" ht="13.5" x14ac:dyDescent="0.2">
      <c r="B50" s="533"/>
      <c r="C50" s="204">
        <v>4</v>
      </c>
      <c r="D50" s="208"/>
      <c r="E50" s="205"/>
      <c r="F50" s="205"/>
      <c r="G50" s="206"/>
      <c r="H50" s="520"/>
      <c r="I50" s="205"/>
      <c r="J50" s="205"/>
      <c r="K50" s="206"/>
      <c r="L50" s="520"/>
      <c r="M50" s="205"/>
      <c r="N50" s="518"/>
      <c r="O50" s="518"/>
      <c r="P50" s="400"/>
      <c r="Q50" s="400"/>
      <c r="R50" s="352"/>
      <c r="S50" s="204"/>
      <c r="T50" s="522"/>
      <c r="U50" s="400"/>
      <c r="V50" s="400"/>
      <c r="W50" s="206"/>
      <c r="X50" s="204"/>
      <c r="Y50" s="522"/>
      <c r="Z50" s="400"/>
      <c r="AA50" s="400"/>
      <c r="AB50" s="206"/>
      <c r="AC50" s="204"/>
      <c r="AD50" s="522"/>
      <c r="AE50" s="400"/>
      <c r="AF50" s="400"/>
      <c r="AG50" s="206"/>
      <c r="AH50" s="204"/>
      <c r="AI50" s="522"/>
      <c r="AJ50" s="400"/>
      <c r="AK50" s="400"/>
      <c r="AL50" s="206"/>
      <c r="AM50" s="204"/>
      <c r="AN50" s="522"/>
      <c r="AO50" s="400"/>
      <c r="AP50" s="400"/>
      <c r="AQ50" s="348"/>
      <c r="AR50" s="204"/>
      <c r="AS50" s="522"/>
      <c r="AT50" s="400"/>
      <c r="AU50" s="400"/>
      <c r="AV50" s="206"/>
      <c r="AW50" s="204"/>
      <c r="AX50" s="522"/>
    </row>
    <row r="51" spans="2:50" ht="13.5" x14ac:dyDescent="0.2">
      <c r="B51" s="533"/>
      <c r="C51" s="204">
        <v>5</v>
      </c>
      <c r="D51" s="208"/>
      <c r="E51" s="205"/>
      <c r="F51" s="205"/>
      <c r="G51" s="206"/>
      <c r="H51" s="520"/>
      <c r="I51" s="205"/>
      <c r="J51" s="205"/>
      <c r="K51" s="206"/>
      <c r="L51" s="520"/>
      <c r="M51" s="205"/>
      <c r="N51" s="518"/>
      <c r="O51" s="518"/>
      <c r="P51" s="400"/>
      <c r="Q51" s="400"/>
      <c r="R51" s="204"/>
      <c r="S51" s="204"/>
      <c r="T51" s="522"/>
      <c r="U51" s="400"/>
      <c r="V51" s="400"/>
      <c r="W51" s="204"/>
      <c r="X51" s="204"/>
      <c r="Y51" s="522"/>
      <c r="Z51" s="400"/>
      <c r="AA51" s="400"/>
      <c r="AB51" s="204"/>
      <c r="AC51" s="204"/>
      <c r="AD51" s="522"/>
      <c r="AE51" s="400"/>
      <c r="AF51" s="400"/>
      <c r="AG51" s="204"/>
      <c r="AH51" s="204"/>
      <c r="AI51" s="522"/>
      <c r="AJ51" s="400"/>
      <c r="AK51" s="400"/>
      <c r="AL51" s="204"/>
      <c r="AM51" s="204"/>
      <c r="AN51" s="522"/>
      <c r="AO51" s="400"/>
      <c r="AP51" s="400"/>
      <c r="AQ51" s="204"/>
      <c r="AR51" s="204"/>
      <c r="AS51" s="522"/>
      <c r="AT51" s="400"/>
      <c r="AU51" s="400"/>
      <c r="AV51" s="204"/>
      <c r="AW51" s="204"/>
      <c r="AX51" s="522"/>
    </row>
    <row r="52" spans="2:50" ht="13.5" x14ac:dyDescent="0.2">
      <c r="B52" s="533"/>
      <c r="C52" s="204">
        <v>6</v>
      </c>
      <c r="D52" s="208"/>
      <c r="E52" s="205"/>
      <c r="F52" s="205"/>
      <c r="G52" s="206"/>
      <c r="H52" s="520"/>
      <c r="I52" s="205"/>
      <c r="J52" s="205"/>
      <c r="K52" s="206"/>
      <c r="L52" s="520"/>
      <c r="M52" s="205"/>
      <c r="N52" s="518"/>
      <c r="O52" s="518"/>
      <c r="P52" s="400"/>
      <c r="Q52" s="400"/>
      <c r="R52" s="204"/>
      <c r="S52" s="204"/>
      <c r="T52" s="522"/>
      <c r="U52" s="400"/>
      <c r="V52" s="400"/>
      <c r="W52" s="204"/>
      <c r="X52" s="204"/>
      <c r="Y52" s="522"/>
      <c r="Z52" s="400"/>
      <c r="AA52" s="400"/>
      <c r="AB52" s="204"/>
      <c r="AC52" s="204"/>
      <c r="AD52" s="522"/>
      <c r="AE52" s="400"/>
      <c r="AF52" s="400"/>
      <c r="AG52" s="204"/>
      <c r="AH52" s="204"/>
      <c r="AI52" s="522"/>
      <c r="AJ52" s="400"/>
      <c r="AK52" s="400"/>
      <c r="AL52" s="204"/>
      <c r="AM52" s="204"/>
      <c r="AN52" s="522"/>
      <c r="AO52" s="400"/>
      <c r="AP52" s="400"/>
      <c r="AQ52" s="204"/>
      <c r="AR52" s="204"/>
      <c r="AS52" s="522"/>
      <c r="AT52" s="400"/>
      <c r="AU52" s="400"/>
      <c r="AV52" s="204"/>
      <c r="AW52" s="204"/>
      <c r="AX52" s="522"/>
    </row>
    <row r="53" spans="2:50" ht="13.5" x14ac:dyDescent="0.2">
      <c r="B53" s="533"/>
      <c r="C53" s="204">
        <v>7</v>
      </c>
      <c r="D53" s="208"/>
      <c r="E53" s="205"/>
      <c r="F53" s="205"/>
      <c r="G53" s="206"/>
      <c r="H53" s="520"/>
      <c r="I53" s="205"/>
      <c r="J53" s="205"/>
      <c r="K53" s="206"/>
      <c r="L53" s="520"/>
      <c r="M53" s="205"/>
      <c r="N53" s="518"/>
      <c r="O53" s="518"/>
      <c r="P53" s="400"/>
      <c r="Q53" s="400"/>
      <c r="R53" s="204"/>
      <c r="S53" s="204"/>
      <c r="T53" s="522"/>
      <c r="U53" s="400"/>
      <c r="V53" s="400"/>
      <c r="W53" s="204"/>
      <c r="X53" s="204"/>
      <c r="Y53" s="522"/>
      <c r="Z53" s="400"/>
      <c r="AA53" s="400"/>
      <c r="AB53" s="204"/>
      <c r="AC53" s="204"/>
      <c r="AD53" s="522"/>
      <c r="AE53" s="400"/>
      <c r="AF53" s="400"/>
      <c r="AG53" s="204"/>
      <c r="AH53" s="204"/>
      <c r="AI53" s="522"/>
      <c r="AJ53" s="400"/>
      <c r="AK53" s="400"/>
      <c r="AL53" s="204"/>
      <c r="AM53" s="204"/>
      <c r="AN53" s="522"/>
      <c r="AO53" s="400"/>
      <c r="AP53" s="400"/>
      <c r="AQ53" s="204"/>
      <c r="AR53" s="204"/>
      <c r="AS53" s="522"/>
      <c r="AT53" s="400"/>
      <c r="AU53" s="400"/>
      <c r="AV53" s="204"/>
      <c r="AW53" s="204"/>
      <c r="AX53" s="522"/>
    </row>
    <row r="54" spans="2:50" ht="13.5" x14ac:dyDescent="0.2">
      <c r="B54" s="533"/>
      <c r="C54" s="204">
        <v>8</v>
      </c>
      <c r="D54" s="208"/>
      <c r="E54" s="204"/>
      <c r="F54" s="204"/>
      <c r="G54" s="204"/>
      <c r="H54" s="520"/>
      <c r="I54" s="205"/>
      <c r="J54" s="205"/>
      <c r="K54" s="206"/>
      <c r="L54" s="520"/>
      <c r="M54" s="205"/>
      <c r="N54" s="518"/>
      <c r="O54" s="518"/>
      <c r="P54" s="400"/>
      <c r="Q54" s="400"/>
      <c r="R54" s="204"/>
      <c r="S54" s="204"/>
      <c r="T54" s="522"/>
      <c r="U54" s="400"/>
      <c r="V54" s="400"/>
      <c r="W54" s="204"/>
      <c r="X54" s="204"/>
      <c r="Y54" s="522"/>
      <c r="Z54" s="400"/>
      <c r="AA54" s="400"/>
      <c r="AB54" s="204"/>
      <c r="AC54" s="204"/>
      <c r="AD54" s="522"/>
      <c r="AE54" s="400"/>
      <c r="AF54" s="400"/>
      <c r="AG54" s="204"/>
      <c r="AH54" s="204"/>
      <c r="AI54" s="522"/>
      <c r="AJ54" s="400"/>
      <c r="AK54" s="400"/>
      <c r="AL54" s="204"/>
      <c r="AM54" s="204"/>
      <c r="AN54" s="522"/>
      <c r="AO54" s="400"/>
      <c r="AP54" s="400"/>
      <c r="AQ54" s="204"/>
      <c r="AR54" s="204"/>
      <c r="AS54" s="522"/>
      <c r="AT54" s="400"/>
      <c r="AU54" s="400"/>
      <c r="AV54" s="204"/>
      <c r="AW54" s="204"/>
      <c r="AX54" s="522"/>
    </row>
    <row r="55" spans="2:50" ht="13.5" x14ac:dyDescent="0.2">
      <c r="B55" s="533"/>
      <c r="C55" s="204">
        <v>9</v>
      </c>
      <c r="D55" s="208"/>
      <c r="E55" s="204"/>
      <c r="F55" s="204"/>
      <c r="G55" s="204"/>
      <c r="H55" s="520"/>
      <c r="I55" s="205"/>
      <c r="J55" s="205"/>
      <c r="K55" s="206"/>
      <c r="L55" s="520"/>
      <c r="M55" s="205"/>
      <c r="N55" s="518"/>
      <c r="O55" s="518"/>
      <c r="P55" s="400"/>
      <c r="Q55" s="400"/>
      <c r="R55" s="204"/>
      <c r="S55" s="204"/>
      <c r="T55" s="522"/>
      <c r="U55" s="400"/>
      <c r="V55" s="400"/>
      <c r="W55" s="204"/>
      <c r="X55" s="204"/>
      <c r="Y55" s="522"/>
      <c r="Z55" s="400"/>
      <c r="AA55" s="400"/>
      <c r="AB55" s="204"/>
      <c r="AC55" s="204"/>
      <c r="AD55" s="522"/>
      <c r="AE55" s="400"/>
      <c r="AF55" s="400"/>
      <c r="AG55" s="204"/>
      <c r="AH55" s="204"/>
      <c r="AI55" s="522"/>
      <c r="AJ55" s="400"/>
      <c r="AK55" s="400"/>
      <c r="AL55" s="204"/>
      <c r="AM55" s="204"/>
      <c r="AN55" s="522"/>
      <c r="AO55" s="400"/>
      <c r="AP55" s="400"/>
      <c r="AQ55" s="204"/>
      <c r="AR55" s="204"/>
      <c r="AS55" s="522"/>
      <c r="AT55" s="400"/>
      <c r="AU55" s="400"/>
      <c r="AV55" s="204"/>
      <c r="AW55" s="204"/>
      <c r="AX55" s="522"/>
    </row>
    <row r="56" spans="2:50" ht="13.5" x14ac:dyDescent="0.2">
      <c r="B56" s="533"/>
      <c r="C56" s="204">
        <v>10</v>
      </c>
      <c r="D56" s="208"/>
      <c r="E56" s="204"/>
      <c r="F56" s="204"/>
      <c r="G56" s="204"/>
      <c r="H56" s="520"/>
      <c r="I56" s="205"/>
      <c r="J56" s="205"/>
      <c r="K56" s="206"/>
      <c r="L56" s="520"/>
      <c r="M56" s="205"/>
      <c r="N56" s="518"/>
      <c r="O56" s="518"/>
      <c r="P56" s="400"/>
      <c r="Q56" s="400"/>
      <c r="R56" s="204"/>
      <c r="S56" s="204"/>
      <c r="T56" s="522"/>
      <c r="U56" s="400"/>
      <c r="V56" s="400"/>
      <c r="W56" s="204"/>
      <c r="X56" s="204"/>
      <c r="Y56" s="522"/>
      <c r="Z56" s="400"/>
      <c r="AA56" s="400"/>
      <c r="AB56" s="204"/>
      <c r="AC56" s="204"/>
      <c r="AD56" s="522"/>
      <c r="AE56" s="400"/>
      <c r="AF56" s="400"/>
      <c r="AG56" s="204"/>
      <c r="AH56" s="204"/>
      <c r="AI56" s="522"/>
      <c r="AJ56" s="400"/>
      <c r="AK56" s="400"/>
      <c r="AL56" s="204"/>
      <c r="AM56" s="204"/>
      <c r="AN56" s="522"/>
      <c r="AO56" s="400"/>
      <c r="AP56" s="400"/>
      <c r="AQ56" s="204"/>
      <c r="AR56" s="204"/>
      <c r="AS56" s="522"/>
      <c r="AT56" s="400"/>
      <c r="AU56" s="400"/>
      <c r="AV56" s="204"/>
      <c r="AW56" s="204"/>
      <c r="AX56" s="522"/>
    </row>
    <row r="57" spans="2:50" ht="13.5" x14ac:dyDescent="0.2">
      <c r="B57" s="533"/>
      <c r="C57" s="204">
        <v>11</v>
      </c>
      <c r="D57" s="208"/>
      <c r="E57" s="204"/>
      <c r="F57" s="204"/>
      <c r="G57" s="204"/>
      <c r="H57" s="520"/>
      <c r="I57" s="205"/>
      <c r="J57" s="205"/>
      <c r="K57" s="206"/>
      <c r="L57" s="520"/>
      <c r="M57" s="205"/>
      <c r="N57" s="518"/>
      <c r="O57" s="518"/>
      <c r="P57" s="398"/>
      <c r="Q57" s="398"/>
      <c r="R57" s="204"/>
      <c r="S57" s="204"/>
      <c r="T57" s="522"/>
      <c r="U57" s="398"/>
      <c r="V57" s="398"/>
      <c r="W57" s="204"/>
      <c r="X57" s="204"/>
      <c r="Y57" s="522"/>
      <c r="Z57" s="398"/>
      <c r="AA57" s="398"/>
      <c r="AB57" s="204"/>
      <c r="AC57" s="204"/>
      <c r="AD57" s="522"/>
      <c r="AE57" s="398"/>
      <c r="AF57" s="398"/>
      <c r="AG57" s="204"/>
      <c r="AH57" s="204"/>
      <c r="AI57" s="522"/>
      <c r="AJ57" s="398"/>
      <c r="AK57" s="398"/>
      <c r="AL57" s="204"/>
      <c r="AM57" s="204"/>
      <c r="AN57" s="522"/>
      <c r="AO57" s="398"/>
      <c r="AP57" s="398"/>
      <c r="AQ57" s="204"/>
      <c r="AR57" s="204"/>
      <c r="AS57" s="522"/>
      <c r="AT57" s="398"/>
      <c r="AU57" s="398"/>
      <c r="AV57" s="204"/>
      <c r="AW57" s="204"/>
      <c r="AX57" s="522"/>
    </row>
    <row r="58" spans="2:50" ht="13.5" x14ac:dyDescent="0.2">
      <c r="B58" s="533"/>
      <c r="C58" s="204">
        <v>12</v>
      </c>
      <c r="D58" s="208"/>
      <c r="E58" s="204"/>
      <c r="F58" s="204"/>
      <c r="G58" s="204"/>
      <c r="H58" s="520"/>
      <c r="I58" s="205"/>
      <c r="J58" s="205"/>
      <c r="K58" s="206"/>
      <c r="L58" s="520"/>
      <c r="M58" s="205"/>
      <c r="N58" s="518"/>
      <c r="O58" s="518"/>
      <c r="P58" s="398"/>
      <c r="Q58" s="398"/>
      <c r="R58" s="204"/>
      <c r="S58" s="204"/>
      <c r="T58" s="522"/>
      <c r="U58" s="398"/>
      <c r="V58" s="398"/>
      <c r="W58" s="204"/>
      <c r="X58" s="204"/>
      <c r="Y58" s="522"/>
      <c r="Z58" s="398"/>
      <c r="AA58" s="398"/>
      <c r="AB58" s="204"/>
      <c r="AC58" s="204"/>
      <c r="AD58" s="522"/>
      <c r="AE58" s="398"/>
      <c r="AF58" s="398"/>
      <c r="AG58" s="204"/>
      <c r="AH58" s="204"/>
      <c r="AI58" s="522"/>
      <c r="AJ58" s="398"/>
      <c r="AK58" s="398"/>
      <c r="AL58" s="204"/>
      <c r="AM58" s="204"/>
      <c r="AN58" s="522"/>
      <c r="AO58" s="398"/>
      <c r="AP58" s="398"/>
      <c r="AQ58" s="204"/>
      <c r="AR58" s="204"/>
      <c r="AS58" s="522"/>
      <c r="AT58" s="398"/>
      <c r="AU58" s="398"/>
      <c r="AV58" s="204"/>
      <c r="AW58" s="204"/>
      <c r="AX58" s="522"/>
    </row>
    <row r="59" spans="2:50" ht="13.5" x14ac:dyDescent="0.2">
      <c r="B59" s="533"/>
      <c r="C59" s="204">
        <v>13</v>
      </c>
      <c r="D59" s="208"/>
      <c r="E59" s="204"/>
      <c r="F59" s="204"/>
      <c r="G59" s="204"/>
      <c r="H59" s="520"/>
      <c r="I59" s="205"/>
      <c r="J59" s="205"/>
      <c r="K59" s="206"/>
      <c r="L59" s="520"/>
      <c r="M59" s="205"/>
      <c r="N59" s="518"/>
      <c r="O59" s="518"/>
      <c r="P59" s="398"/>
      <c r="Q59" s="398"/>
      <c r="R59" s="204"/>
      <c r="S59" s="204"/>
      <c r="T59" s="522"/>
      <c r="U59" s="398"/>
      <c r="V59" s="398"/>
      <c r="W59" s="204"/>
      <c r="X59" s="204"/>
      <c r="Y59" s="522"/>
      <c r="Z59" s="398"/>
      <c r="AA59" s="398"/>
      <c r="AB59" s="204"/>
      <c r="AC59" s="204"/>
      <c r="AD59" s="522"/>
      <c r="AE59" s="398"/>
      <c r="AF59" s="398"/>
      <c r="AG59" s="204"/>
      <c r="AH59" s="204"/>
      <c r="AI59" s="522"/>
      <c r="AJ59" s="398"/>
      <c r="AK59" s="398"/>
      <c r="AL59" s="204"/>
      <c r="AM59" s="204"/>
      <c r="AN59" s="522"/>
      <c r="AO59" s="398"/>
      <c r="AP59" s="398"/>
      <c r="AQ59" s="204"/>
      <c r="AR59" s="204"/>
      <c r="AS59" s="522"/>
      <c r="AT59" s="398"/>
      <c r="AU59" s="398"/>
      <c r="AV59" s="204"/>
      <c r="AW59" s="204"/>
      <c r="AX59" s="522"/>
    </row>
    <row r="60" spans="2:50" ht="13.5" x14ac:dyDescent="0.2">
      <c r="B60" s="533"/>
      <c r="C60" s="204">
        <v>14</v>
      </c>
      <c r="D60" s="208"/>
      <c r="E60" s="204"/>
      <c r="F60" s="204"/>
      <c r="G60" s="204"/>
      <c r="H60" s="520"/>
      <c r="I60" s="205"/>
      <c r="J60" s="205"/>
      <c r="K60" s="206"/>
      <c r="L60" s="520"/>
      <c r="M60" s="205"/>
      <c r="N60" s="518"/>
      <c r="O60" s="518"/>
      <c r="P60" s="398"/>
      <c r="Q60" s="398"/>
      <c r="R60" s="204"/>
      <c r="S60" s="204"/>
      <c r="T60" s="522"/>
      <c r="U60" s="398"/>
      <c r="V60" s="398"/>
      <c r="W60" s="204"/>
      <c r="X60" s="204"/>
      <c r="Y60" s="522"/>
      <c r="Z60" s="398"/>
      <c r="AA60" s="398"/>
      <c r="AB60" s="204"/>
      <c r="AC60" s="204"/>
      <c r="AD60" s="522"/>
      <c r="AE60" s="398"/>
      <c r="AF60" s="398"/>
      <c r="AG60" s="204"/>
      <c r="AH60" s="204"/>
      <c r="AI60" s="522"/>
      <c r="AJ60" s="398"/>
      <c r="AK60" s="398"/>
      <c r="AL60" s="204"/>
      <c r="AM60" s="204"/>
      <c r="AN60" s="522"/>
      <c r="AO60" s="398"/>
      <c r="AP60" s="398"/>
      <c r="AQ60" s="204"/>
      <c r="AR60" s="204"/>
      <c r="AS60" s="522"/>
      <c r="AT60" s="398"/>
      <c r="AU60" s="398"/>
      <c r="AV60" s="204"/>
      <c r="AW60" s="204"/>
      <c r="AX60" s="522"/>
    </row>
    <row r="61" spans="2:50" ht="13.5" x14ac:dyDescent="0.2">
      <c r="B61" s="533"/>
      <c r="C61" s="204">
        <v>15</v>
      </c>
      <c r="D61" s="208"/>
      <c r="E61" s="204"/>
      <c r="F61" s="204"/>
      <c r="G61" s="204"/>
      <c r="H61" s="521"/>
      <c r="I61" s="205"/>
      <c r="J61" s="205"/>
      <c r="K61" s="206"/>
      <c r="L61" s="521"/>
      <c r="M61" s="205"/>
      <c r="N61" s="518"/>
      <c r="O61" s="518"/>
      <c r="P61" s="398"/>
      <c r="Q61" s="398"/>
      <c r="R61" s="204"/>
      <c r="S61" s="204"/>
      <c r="T61" s="522"/>
      <c r="U61" s="398"/>
      <c r="V61" s="398"/>
      <c r="W61" s="204"/>
      <c r="X61" s="204"/>
      <c r="Y61" s="522"/>
      <c r="Z61" s="398"/>
      <c r="AA61" s="398"/>
      <c r="AB61" s="204"/>
      <c r="AC61" s="204"/>
      <c r="AD61" s="522"/>
      <c r="AE61" s="398"/>
      <c r="AF61" s="398"/>
      <c r="AG61" s="204"/>
      <c r="AH61" s="204"/>
      <c r="AI61" s="522"/>
      <c r="AJ61" s="398"/>
      <c r="AK61" s="398"/>
      <c r="AL61" s="204"/>
      <c r="AM61" s="204"/>
      <c r="AN61" s="522"/>
      <c r="AO61" s="398"/>
      <c r="AP61" s="398"/>
      <c r="AQ61" s="204"/>
      <c r="AR61" s="204"/>
      <c r="AS61" s="522"/>
      <c r="AT61" s="398"/>
      <c r="AU61" s="398"/>
      <c r="AV61" s="204"/>
      <c r="AW61" s="204"/>
      <c r="AX61" s="522"/>
    </row>
    <row r="62" spans="2:50" ht="15.75" x14ac:dyDescent="0.2">
      <c r="B62" s="529" t="s">
        <v>84</v>
      </c>
      <c r="C62" s="530"/>
      <c r="D62" s="530"/>
      <c r="E62" s="530"/>
      <c r="F62" s="530"/>
      <c r="G62" s="530"/>
      <c r="H62" s="530"/>
      <c r="I62" s="209"/>
      <c r="J62" s="209"/>
      <c r="K62" s="209"/>
      <c r="L62" s="209"/>
      <c r="M62" s="210"/>
      <c r="N62" s="523" t="s">
        <v>85</v>
      </c>
      <c r="O62" s="523" t="s">
        <v>45</v>
      </c>
      <c r="P62" s="532">
        <v>46189</v>
      </c>
      <c r="Q62" s="533"/>
      <c r="R62" s="533"/>
      <c r="S62" s="533"/>
      <c r="T62" s="533"/>
      <c r="U62" s="532">
        <f>P62+1</f>
        <v>46190</v>
      </c>
      <c r="V62" s="533"/>
      <c r="W62" s="533"/>
      <c r="X62" s="533"/>
      <c r="Y62" s="533"/>
      <c r="Z62" s="532">
        <f>Z42+7</f>
        <v>46191</v>
      </c>
      <c r="AA62" s="533"/>
      <c r="AB62" s="533"/>
      <c r="AC62" s="533"/>
      <c r="AD62" s="533"/>
      <c r="AE62" s="532">
        <f>AE42+7</f>
        <v>46192</v>
      </c>
      <c r="AF62" s="533"/>
      <c r="AG62" s="533"/>
      <c r="AH62" s="533"/>
      <c r="AI62" s="533"/>
      <c r="AJ62" s="532">
        <f>AJ42+7</f>
        <v>46193</v>
      </c>
      <c r="AK62" s="533"/>
      <c r="AL62" s="533"/>
      <c r="AM62" s="533"/>
      <c r="AN62" s="533"/>
      <c r="AO62" s="532">
        <f>AO42+7</f>
        <v>46194</v>
      </c>
      <c r="AP62" s="533"/>
      <c r="AQ62" s="533"/>
      <c r="AR62" s="533"/>
      <c r="AS62" s="533"/>
      <c r="AT62" s="532">
        <f>AT42+7</f>
        <v>46195</v>
      </c>
      <c r="AU62" s="533"/>
      <c r="AV62" s="533"/>
      <c r="AW62" s="533"/>
      <c r="AX62" s="533"/>
    </row>
    <row r="63" spans="2:50" ht="15.75" x14ac:dyDescent="0.2">
      <c r="B63" s="531"/>
      <c r="C63" s="531"/>
      <c r="D63" s="531"/>
      <c r="E63" s="531"/>
      <c r="F63" s="531"/>
      <c r="G63" s="531"/>
      <c r="H63" s="531"/>
      <c r="I63" s="200"/>
      <c r="J63" s="200"/>
      <c r="K63" s="200"/>
      <c r="L63" s="200"/>
      <c r="M63" s="201"/>
      <c r="N63" s="525"/>
      <c r="O63" s="525"/>
      <c r="P63" s="532" t="s">
        <v>57</v>
      </c>
      <c r="Q63" s="533"/>
      <c r="R63" s="533"/>
      <c r="S63" s="533"/>
      <c r="T63" s="533"/>
      <c r="U63" s="532" t="s">
        <v>58</v>
      </c>
      <c r="V63" s="533"/>
      <c r="W63" s="533"/>
      <c r="X63" s="533"/>
      <c r="Y63" s="533"/>
      <c r="Z63" s="532" t="s">
        <v>59</v>
      </c>
      <c r="AA63" s="533"/>
      <c r="AB63" s="533"/>
      <c r="AC63" s="533"/>
      <c r="AD63" s="533"/>
      <c r="AE63" s="532" t="s">
        <v>60</v>
      </c>
      <c r="AF63" s="533"/>
      <c r="AG63" s="533"/>
      <c r="AH63" s="533"/>
      <c r="AI63" s="533"/>
      <c r="AJ63" s="532" t="s">
        <v>55</v>
      </c>
      <c r="AK63" s="533"/>
      <c r="AL63" s="533"/>
      <c r="AM63" s="533"/>
      <c r="AN63" s="533"/>
      <c r="AO63" s="532" t="s">
        <v>52</v>
      </c>
      <c r="AP63" s="533"/>
      <c r="AQ63" s="533"/>
      <c r="AR63" s="533"/>
      <c r="AS63" s="533"/>
      <c r="AT63" s="532" t="s">
        <v>56</v>
      </c>
      <c r="AU63" s="533"/>
      <c r="AV63" s="533"/>
      <c r="AW63" s="533"/>
      <c r="AX63" s="533"/>
    </row>
    <row r="64" spans="2:50" x14ac:dyDescent="0.2">
      <c r="B64" s="518" t="s">
        <v>41</v>
      </c>
      <c r="C64" s="518" t="s">
        <v>86</v>
      </c>
      <c r="D64" s="518"/>
      <c r="E64" s="518" t="s">
        <v>87</v>
      </c>
      <c r="F64" s="518"/>
      <c r="G64" s="518"/>
      <c r="H64" s="515" t="s">
        <v>88</v>
      </c>
      <c r="I64" s="518" t="s">
        <v>89</v>
      </c>
      <c r="J64" s="518"/>
      <c r="K64" s="518"/>
      <c r="L64" s="515" t="s">
        <v>88</v>
      </c>
      <c r="M64" s="523" t="s">
        <v>90</v>
      </c>
      <c r="N64" s="518"/>
      <c r="O64" s="518" t="s">
        <v>91</v>
      </c>
      <c r="P64" s="526" t="s">
        <v>92</v>
      </c>
      <c r="Q64" s="527"/>
      <c r="R64" s="527"/>
      <c r="S64" s="528"/>
      <c r="T64" s="518" t="s">
        <v>88</v>
      </c>
      <c r="U64" s="526" t="s">
        <v>92</v>
      </c>
      <c r="V64" s="527"/>
      <c r="W64" s="527"/>
      <c r="X64" s="528"/>
      <c r="Y64" s="518" t="s">
        <v>88</v>
      </c>
      <c r="Z64" s="526" t="s">
        <v>92</v>
      </c>
      <c r="AA64" s="527"/>
      <c r="AB64" s="527"/>
      <c r="AC64" s="528"/>
      <c r="AD64" s="518" t="s">
        <v>88</v>
      </c>
      <c r="AE64" s="526" t="s">
        <v>92</v>
      </c>
      <c r="AF64" s="527"/>
      <c r="AG64" s="527"/>
      <c r="AH64" s="528"/>
      <c r="AI64" s="518" t="s">
        <v>88</v>
      </c>
      <c r="AJ64" s="526" t="s">
        <v>92</v>
      </c>
      <c r="AK64" s="527"/>
      <c r="AL64" s="527"/>
      <c r="AM64" s="528"/>
      <c r="AN64" s="518" t="s">
        <v>88</v>
      </c>
      <c r="AO64" s="526" t="s">
        <v>92</v>
      </c>
      <c r="AP64" s="527"/>
      <c r="AQ64" s="527"/>
      <c r="AR64" s="528"/>
      <c r="AS64" s="518" t="s">
        <v>88</v>
      </c>
      <c r="AT64" s="526" t="s">
        <v>92</v>
      </c>
      <c r="AU64" s="527"/>
      <c r="AV64" s="527"/>
      <c r="AW64" s="528"/>
      <c r="AX64" s="518" t="s">
        <v>88</v>
      </c>
    </row>
    <row r="65" spans="2:50" x14ac:dyDescent="0.2">
      <c r="B65" s="518"/>
      <c r="C65" s="518"/>
      <c r="D65" s="518"/>
      <c r="E65" s="518" t="s">
        <v>93</v>
      </c>
      <c r="F65" s="518"/>
      <c r="G65" s="518"/>
      <c r="H65" s="516"/>
      <c r="I65" s="518" t="s">
        <v>93</v>
      </c>
      <c r="J65" s="518"/>
      <c r="K65" s="518"/>
      <c r="L65" s="516"/>
      <c r="M65" s="524"/>
      <c r="N65" s="518"/>
      <c r="O65" s="518"/>
      <c r="P65" s="526" t="s">
        <v>94</v>
      </c>
      <c r="Q65" s="527"/>
      <c r="R65" s="527"/>
      <c r="S65" s="528"/>
      <c r="T65" s="518"/>
      <c r="U65" s="526" t="s">
        <v>94</v>
      </c>
      <c r="V65" s="527"/>
      <c r="W65" s="527"/>
      <c r="X65" s="528"/>
      <c r="Y65" s="518"/>
      <c r="Z65" s="526" t="s">
        <v>94</v>
      </c>
      <c r="AA65" s="527"/>
      <c r="AB65" s="527"/>
      <c r="AC65" s="528"/>
      <c r="AD65" s="518"/>
      <c r="AE65" s="526" t="s">
        <v>94</v>
      </c>
      <c r="AF65" s="527"/>
      <c r="AG65" s="527"/>
      <c r="AH65" s="528"/>
      <c r="AI65" s="518"/>
      <c r="AJ65" s="526" t="s">
        <v>94</v>
      </c>
      <c r="AK65" s="527"/>
      <c r="AL65" s="527"/>
      <c r="AM65" s="528"/>
      <c r="AN65" s="518"/>
      <c r="AO65" s="526" t="s">
        <v>94</v>
      </c>
      <c r="AP65" s="527"/>
      <c r="AQ65" s="527"/>
      <c r="AR65" s="528"/>
      <c r="AS65" s="518"/>
      <c r="AT65" s="526" t="s">
        <v>94</v>
      </c>
      <c r="AU65" s="527"/>
      <c r="AV65" s="527"/>
      <c r="AW65" s="528"/>
      <c r="AX65" s="518"/>
    </row>
    <row r="66" spans="2:50" x14ac:dyDescent="0.2">
      <c r="B66" s="518"/>
      <c r="C66" s="518"/>
      <c r="D66" s="518"/>
      <c r="E66" s="203" t="s">
        <v>95</v>
      </c>
      <c r="F66" s="203" t="s">
        <v>96</v>
      </c>
      <c r="G66" s="203" t="s">
        <v>97</v>
      </c>
      <c r="H66" s="517"/>
      <c r="I66" s="203" t="s">
        <v>95</v>
      </c>
      <c r="J66" s="203" t="s">
        <v>96</v>
      </c>
      <c r="K66" s="203" t="s">
        <v>97</v>
      </c>
      <c r="L66" s="517"/>
      <c r="M66" s="525"/>
      <c r="N66" s="518"/>
      <c r="O66" s="518"/>
      <c r="P66" s="203" t="s">
        <v>95</v>
      </c>
      <c r="Q66" s="203" t="s">
        <v>96</v>
      </c>
      <c r="R66" s="203" t="s">
        <v>97</v>
      </c>
      <c r="S66" s="203" t="s">
        <v>90</v>
      </c>
      <c r="T66" s="518"/>
      <c r="U66" s="203" t="s">
        <v>95</v>
      </c>
      <c r="V66" s="203" t="s">
        <v>96</v>
      </c>
      <c r="W66" s="203" t="s">
        <v>97</v>
      </c>
      <c r="X66" s="203" t="s">
        <v>90</v>
      </c>
      <c r="Y66" s="518"/>
      <c r="Z66" s="203" t="s">
        <v>95</v>
      </c>
      <c r="AA66" s="203" t="s">
        <v>96</v>
      </c>
      <c r="AB66" s="203" t="s">
        <v>97</v>
      </c>
      <c r="AC66" s="203" t="s">
        <v>90</v>
      </c>
      <c r="AD66" s="518"/>
      <c r="AE66" s="203" t="s">
        <v>95</v>
      </c>
      <c r="AF66" s="203" t="s">
        <v>96</v>
      </c>
      <c r="AG66" s="203" t="s">
        <v>97</v>
      </c>
      <c r="AH66" s="203" t="s">
        <v>90</v>
      </c>
      <c r="AI66" s="518"/>
      <c r="AJ66" s="203" t="s">
        <v>95</v>
      </c>
      <c r="AK66" s="203" t="s">
        <v>96</v>
      </c>
      <c r="AL66" s="203" t="s">
        <v>97</v>
      </c>
      <c r="AM66" s="203" t="s">
        <v>90</v>
      </c>
      <c r="AN66" s="518"/>
      <c r="AO66" s="203" t="s">
        <v>95</v>
      </c>
      <c r="AP66" s="203" t="s">
        <v>96</v>
      </c>
      <c r="AQ66" s="203" t="s">
        <v>97</v>
      </c>
      <c r="AR66" s="203" t="s">
        <v>90</v>
      </c>
      <c r="AS66" s="518"/>
      <c r="AT66" s="203" t="s">
        <v>95</v>
      </c>
      <c r="AU66" s="203" t="s">
        <v>96</v>
      </c>
      <c r="AV66" s="203" t="s">
        <v>97</v>
      </c>
      <c r="AW66" s="203" t="s">
        <v>90</v>
      </c>
      <c r="AX66" s="518"/>
    </row>
    <row r="67" spans="2:50" ht="13.5" x14ac:dyDescent="0.2">
      <c r="B67" s="518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22">F67/E67</f>
        <v>104.33333333333333</v>
      </c>
      <c r="H67" s="519">
        <f>AVERAGE(G67:G81)</f>
        <v>139.70012626262627</v>
      </c>
      <c r="I67" s="205">
        <f>AVERAGE(P67,U67,Z66,AE67,AJ67,AO67,AT67)</f>
        <v>15</v>
      </c>
      <c r="J67" s="205">
        <f t="shared" ref="J67:K68" si="23">AVERAGE(Q67,V67,AA67,AF67,AK67,AP67,AU67)</f>
        <v>1493.1428571428571</v>
      </c>
      <c r="K67" s="206">
        <f t="shared" si="23"/>
        <v>99.542857142857159</v>
      </c>
      <c r="L67" s="519">
        <f>IFERROR(AVERAGE(K67:K81),"-")</f>
        <v>123.46035954785957</v>
      </c>
      <c r="M67" s="205">
        <f>RANK(K67, K$67:$K$81)</f>
        <v>4</v>
      </c>
      <c r="N67" s="518"/>
      <c r="O67" s="518"/>
      <c r="P67" s="400">
        <v>15</v>
      </c>
      <c r="Q67" s="400">
        <v>1467</v>
      </c>
      <c r="R67" s="346">
        <f>Q67/P67</f>
        <v>97.8</v>
      </c>
      <c r="S67" s="204">
        <f>RANK(R67,$R$67:$R$81)</f>
        <v>3</v>
      </c>
      <c r="T67" s="522">
        <f>AVERAGE(R67:R81)</f>
        <v>119.9989898989899</v>
      </c>
      <c r="U67" s="400">
        <v>15</v>
      </c>
      <c r="V67" s="400">
        <v>1395</v>
      </c>
      <c r="W67" s="346">
        <f>V67/U67</f>
        <v>93</v>
      </c>
      <c r="X67" s="204">
        <f>RANK(W67,$W$67:$W$81)</f>
        <v>4</v>
      </c>
      <c r="Y67" s="522">
        <f>AVERAGE(W67:W81)</f>
        <v>121.75</v>
      </c>
      <c r="Z67" s="400">
        <v>15</v>
      </c>
      <c r="AA67" s="400">
        <v>1478</v>
      </c>
      <c r="AB67" s="346">
        <f>AA67/Z67</f>
        <v>98.533333333333331</v>
      </c>
      <c r="AC67" s="204">
        <f>RANK(AB67, $AB$67:$AB$81)</f>
        <v>4</v>
      </c>
      <c r="AD67" s="522">
        <f>AVERAGE(AB67:AB81)</f>
        <v>124.99886363636364</v>
      </c>
      <c r="AE67" s="400">
        <v>15</v>
      </c>
      <c r="AF67" s="400">
        <v>1495</v>
      </c>
      <c r="AG67" s="346">
        <f>AF67/AE67</f>
        <v>99.666666666666671</v>
      </c>
      <c r="AH67" s="204">
        <f>RANK(AG67, $AG$67:$AG$81)</f>
        <v>4</v>
      </c>
      <c r="AI67" s="522">
        <f>AVERAGE(AG67:AG81)</f>
        <v>122.61742424242425</v>
      </c>
      <c r="AJ67" s="400">
        <v>15</v>
      </c>
      <c r="AK67" s="400">
        <v>1472</v>
      </c>
      <c r="AL67" s="346">
        <f>AK67/AJ67</f>
        <v>98.13333333333334</v>
      </c>
      <c r="AM67" s="204">
        <f>RANK(AL67, $AL$67:$AL$81)</f>
        <v>4</v>
      </c>
      <c r="AN67" s="522">
        <f>AVERAGE(AL67:AL81)</f>
        <v>122.06363636363638</v>
      </c>
      <c r="AO67" s="400">
        <v>15</v>
      </c>
      <c r="AP67" s="400">
        <v>1587</v>
      </c>
      <c r="AQ67" s="206">
        <f>AP67/AO67</f>
        <v>105.8</v>
      </c>
      <c r="AR67" s="204">
        <f>RANK(AQ67, $AQ$67:$AQ$81)</f>
        <v>4</v>
      </c>
      <c r="AS67" s="522">
        <f>AVERAGE(AQ67:AQ81)</f>
        <v>126.37045454545455</v>
      </c>
      <c r="AT67" s="400">
        <v>15</v>
      </c>
      <c r="AU67" s="400">
        <v>1558</v>
      </c>
      <c r="AV67" s="348">
        <f>AU67/AT67</f>
        <v>103.86666666666666</v>
      </c>
      <c r="AW67" s="204">
        <f>RANK(AV67, $AV$67:$AV$81)</f>
        <v>4</v>
      </c>
      <c r="AX67" s="522">
        <f>AVERAGE(AV67:AV81)</f>
        <v>122.12070707070708</v>
      </c>
    </row>
    <row r="68" spans="2:50" ht="13.5" x14ac:dyDescent="0.2">
      <c r="B68" s="533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22"/>
        <v>130.41666666666666</v>
      </c>
      <c r="H68" s="520"/>
      <c r="I68" s="205">
        <f>AVERAGE(P68,U68,Z67,AE68,AJ68,AO68,AT68)</f>
        <v>12.142857142857142</v>
      </c>
      <c r="J68" s="205">
        <f t="shared" si="23"/>
        <v>1472.7142857142858</v>
      </c>
      <c r="K68" s="206">
        <f t="shared" si="23"/>
        <v>125.7521645021645</v>
      </c>
      <c r="L68" s="520"/>
      <c r="M68" s="205">
        <f>RANK(K68, K$67:$K$81)</f>
        <v>3</v>
      </c>
      <c r="N68" s="518"/>
      <c r="O68" s="518"/>
      <c r="P68" s="400">
        <v>12</v>
      </c>
      <c r="Q68" s="400">
        <v>1498</v>
      </c>
      <c r="R68" s="206">
        <f>Q68/P68</f>
        <v>124.83333333333333</v>
      </c>
      <c r="S68" s="204">
        <f>RANK(R68,$R$67:$R$81)</f>
        <v>2</v>
      </c>
      <c r="T68" s="522"/>
      <c r="U68" s="415">
        <v>11</v>
      </c>
      <c r="V68" s="400">
        <v>1384</v>
      </c>
      <c r="W68" s="206">
        <f>V68/U68</f>
        <v>125.81818181818181</v>
      </c>
      <c r="X68" s="204">
        <f>RANK(W68,$W$67:$W$81)</f>
        <v>2</v>
      </c>
      <c r="Y68" s="522"/>
      <c r="Z68" s="400">
        <v>12</v>
      </c>
      <c r="AA68" s="400">
        <v>1487</v>
      </c>
      <c r="AB68" s="206">
        <f>AA68/Z68</f>
        <v>123.91666666666667</v>
      </c>
      <c r="AC68" s="204">
        <f>RANK(AB68, $AB$67:$AB$81)</f>
        <v>3</v>
      </c>
      <c r="AD68" s="522"/>
      <c r="AE68" s="400">
        <v>12</v>
      </c>
      <c r="AF68" s="400">
        <v>1526</v>
      </c>
      <c r="AG68" s="206">
        <f t="shared" ref="AG68:AG70" si="24">AF68/AE68</f>
        <v>127.16666666666667</v>
      </c>
      <c r="AH68" s="204">
        <f t="shared" ref="AH68:AH70" si="25">RANK(AG68, $AG$67:$AG$81)</f>
        <v>2</v>
      </c>
      <c r="AI68" s="522"/>
      <c r="AJ68" s="400">
        <v>12</v>
      </c>
      <c r="AK68" s="400">
        <v>1436</v>
      </c>
      <c r="AL68" s="206">
        <f t="shared" ref="AL68:AL70" si="26">AK68/AJ68</f>
        <v>119.66666666666667</v>
      </c>
      <c r="AM68" s="204">
        <f t="shared" ref="AM68:AM70" si="27">RANK(AL68, $AL$67:$AL$81)</f>
        <v>3</v>
      </c>
      <c r="AN68" s="522"/>
      <c r="AO68" s="400">
        <v>12</v>
      </c>
      <c r="AP68" s="400">
        <v>1566</v>
      </c>
      <c r="AQ68" s="206">
        <f t="shared" ref="AQ68:AQ70" si="28">AP68/AO68</f>
        <v>130.5</v>
      </c>
      <c r="AR68" s="204">
        <f t="shared" ref="AR68:AR70" si="29">RANK(AQ68, $AQ$67:$AQ$81)</f>
        <v>3</v>
      </c>
      <c r="AS68" s="522"/>
      <c r="AT68" s="415">
        <v>11</v>
      </c>
      <c r="AU68" s="400">
        <v>1412</v>
      </c>
      <c r="AV68" s="348">
        <f t="shared" ref="AV68:AV70" si="30">AU68/AT68</f>
        <v>128.36363636363637</v>
      </c>
      <c r="AW68" s="204">
        <f t="shared" ref="AW68:AW70" si="31">RANK(AV68, $AV$67:$AV$81)</f>
        <v>2</v>
      </c>
      <c r="AX68" s="522"/>
    </row>
    <row r="69" spans="2:50" ht="13.5" x14ac:dyDescent="0.2">
      <c r="B69" s="533"/>
      <c r="C69" s="204">
        <v>3</v>
      </c>
      <c r="D69" s="208" t="s">
        <v>100</v>
      </c>
      <c r="E69" s="205">
        <f>VLOOKUP(D69,'12產線配置圖'!$A$26:$C$33,2,0)</f>
        <v>11</v>
      </c>
      <c r="F69" s="205">
        <f>VLOOKUP(D69,'12產線配置圖'!$A$26:$C$33,3,0)</f>
        <v>1565</v>
      </c>
      <c r="G69" s="206">
        <f>F69/E69</f>
        <v>142.27272727272728</v>
      </c>
      <c r="H69" s="520"/>
      <c r="I69" s="205">
        <f>AVERAGE(P69,U69,Z68,AE69,AJ69,AO69,AT69)</f>
        <v>11.142857142857142</v>
      </c>
      <c r="J69" s="205">
        <f>AVERAGE(Q69,V69,AA69,AF69,AK69,AP69,AU69)</f>
        <v>1444.7142857142858</v>
      </c>
      <c r="K69" s="206">
        <f>AVERAGE(R69,W69,AB69,AG69,AL69,AQ69,AV69)</f>
        <v>131.33766233766235</v>
      </c>
      <c r="L69" s="520"/>
      <c r="M69" s="205">
        <f>RANK(K69, K$67:$K$81)</f>
        <v>2</v>
      </c>
      <c r="N69" s="518"/>
      <c r="O69" s="518"/>
      <c r="P69" s="400">
        <v>11</v>
      </c>
      <c r="Q69" s="400">
        <v>1511</v>
      </c>
      <c r="R69" s="206">
        <f>Q69/P69</f>
        <v>137.36363636363637</v>
      </c>
      <c r="S69" s="204">
        <f>RANK(R69,$R$67:$R$81)</f>
        <v>1</v>
      </c>
      <c r="T69" s="522"/>
      <c r="U69" s="400">
        <v>11</v>
      </c>
      <c r="V69" s="400">
        <v>1361</v>
      </c>
      <c r="W69" s="206">
        <f>V69/U69</f>
        <v>123.72727272727273</v>
      </c>
      <c r="X69" s="204">
        <f>RANK(W69,$W$67:$W$81)</f>
        <v>3</v>
      </c>
      <c r="Y69" s="522"/>
      <c r="Z69" s="400">
        <v>11</v>
      </c>
      <c r="AA69" s="400">
        <v>1514</v>
      </c>
      <c r="AB69" s="206">
        <f t="shared" ref="AB69:AB70" si="32">AA69/Z69</f>
        <v>137.63636363636363</v>
      </c>
      <c r="AC69" s="204">
        <f t="shared" ref="AC69:AC70" si="33">RANK(AB69, $AB$67:$AB$81)</f>
        <v>2</v>
      </c>
      <c r="AD69" s="522"/>
      <c r="AE69" s="400">
        <v>11</v>
      </c>
      <c r="AF69" s="400">
        <v>1325</v>
      </c>
      <c r="AG69" s="206">
        <f t="shared" si="24"/>
        <v>120.45454545454545</v>
      </c>
      <c r="AH69" s="204">
        <f t="shared" si="25"/>
        <v>3</v>
      </c>
      <c r="AI69" s="522"/>
      <c r="AJ69" s="400">
        <v>11</v>
      </c>
      <c r="AK69" s="400">
        <v>1499</v>
      </c>
      <c r="AL69" s="206">
        <f t="shared" si="26"/>
        <v>136.27272727272728</v>
      </c>
      <c r="AM69" s="204">
        <f t="shared" si="27"/>
        <v>1</v>
      </c>
      <c r="AN69" s="522"/>
      <c r="AO69" s="400">
        <v>11</v>
      </c>
      <c r="AP69" s="400">
        <v>1447</v>
      </c>
      <c r="AQ69" s="206">
        <f t="shared" si="28"/>
        <v>131.54545454545453</v>
      </c>
      <c r="AR69" s="204">
        <f t="shared" si="29"/>
        <v>2</v>
      </c>
      <c r="AS69" s="522"/>
      <c r="AT69" s="400">
        <v>11</v>
      </c>
      <c r="AU69" s="400">
        <v>1456</v>
      </c>
      <c r="AV69" s="348">
        <f t="shared" si="30"/>
        <v>132.36363636363637</v>
      </c>
      <c r="AW69" s="204">
        <f t="shared" si="31"/>
        <v>1</v>
      </c>
      <c r="AX69" s="522"/>
    </row>
    <row r="70" spans="2:50" ht="13.5" x14ac:dyDescent="0.2">
      <c r="B70" s="533"/>
      <c r="C70" s="204">
        <v>4</v>
      </c>
      <c r="D70" s="208" t="s">
        <v>101</v>
      </c>
      <c r="E70" s="205">
        <f>VLOOKUP(D70,'12產線配置圖'!$A$26:$C$33,2,0)</f>
        <v>9</v>
      </c>
      <c r="F70" s="205">
        <f>VLOOKUP(D70,'12產線配置圖'!$A$26:$C$33,3,0)</f>
        <v>1636</v>
      </c>
      <c r="G70" s="206">
        <f>F70/E70</f>
        <v>181.77777777777777</v>
      </c>
      <c r="H70" s="520"/>
      <c r="I70" s="205">
        <f>AVERAGE(P70,U70,Z69,AE70,AJ70,AO70,AT70)</f>
        <v>10.666666666666666</v>
      </c>
      <c r="J70" s="205">
        <f>AVERAGE(Q70,V70,AA70,AF70,AK70,AP70,AU70)</f>
        <v>1468</v>
      </c>
      <c r="K70" s="206">
        <f>AVERAGE(R70,W70,AB70,AG70,AL70,AQ70,AV70)</f>
        <v>137.20875420875421</v>
      </c>
      <c r="L70" s="520"/>
      <c r="M70" s="205">
        <f>RANK(K70, K$67:$K$81)</f>
        <v>1</v>
      </c>
      <c r="N70" s="518"/>
      <c r="O70" s="518"/>
      <c r="P70" s="400"/>
      <c r="Q70" s="400"/>
      <c r="R70" s="206"/>
      <c r="S70" s="204"/>
      <c r="T70" s="522"/>
      <c r="U70" s="347">
        <v>11</v>
      </c>
      <c r="V70" s="400">
        <v>1589</v>
      </c>
      <c r="W70" s="206">
        <f>V70/U70</f>
        <v>144.45454545454547</v>
      </c>
      <c r="X70" s="204">
        <f>RANK(W70,$W$67:$W$81)</f>
        <v>1</v>
      </c>
      <c r="Y70" s="522"/>
      <c r="Z70" s="347">
        <v>11</v>
      </c>
      <c r="AA70" s="400">
        <v>1539</v>
      </c>
      <c r="AB70" s="206">
        <f t="shared" si="32"/>
        <v>139.90909090909091</v>
      </c>
      <c r="AC70" s="204">
        <f t="shared" si="33"/>
        <v>1</v>
      </c>
      <c r="AD70" s="522"/>
      <c r="AE70" s="347">
        <v>11</v>
      </c>
      <c r="AF70" s="400">
        <v>1575</v>
      </c>
      <c r="AG70" s="206">
        <f t="shared" si="24"/>
        <v>143.18181818181819</v>
      </c>
      <c r="AH70" s="204">
        <f t="shared" si="25"/>
        <v>1</v>
      </c>
      <c r="AI70" s="522"/>
      <c r="AJ70" s="416">
        <v>11</v>
      </c>
      <c r="AK70" s="400">
        <v>1476</v>
      </c>
      <c r="AL70" s="206">
        <f t="shared" si="26"/>
        <v>134.18181818181819</v>
      </c>
      <c r="AM70" s="204">
        <f t="shared" si="27"/>
        <v>2</v>
      </c>
      <c r="AN70" s="522"/>
      <c r="AO70" s="416">
        <v>11</v>
      </c>
      <c r="AP70" s="400">
        <v>1514</v>
      </c>
      <c r="AQ70" s="206">
        <f t="shared" si="28"/>
        <v>137.63636363636363</v>
      </c>
      <c r="AR70" s="204">
        <f t="shared" si="29"/>
        <v>1</v>
      </c>
      <c r="AS70" s="522"/>
      <c r="AT70" s="400">
        <v>9</v>
      </c>
      <c r="AU70" s="400">
        <v>1115</v>
      </c>
      <c r="AV70" s="348">
        <f t="shared" si="30"/>
        <v>123.88888888888889</v>
      </c>
      <c r="AW70" s="204">
        <f t="shared" si="31"/>
        <v>3</v>
      </c>
      <c r="AX70" s="522"/>
    </row>
    <row r="71" spans="2:50" ht="13.5" x14ac:dyDescent="0.2">
      <c r="B71" s="533"/>
      <c r="C71" s="204">
        <v>5</v>
      </c>
      <c r="D71" s="208"/>
      <c r="E71" s="205"/>
      <c r="F71" s="205"/>
      <c r="G71" s="206"/>
      <c r="H71" s="520"/>
      <c r="I71" s="205"/>
      <c r="J71" s="205"/>
      <c r="K71" s="206"/>
      <c r="L71" s="520"/>
      <c r="M71" s="205"/>
      <c r="N71" s="518"/>
      <c r="O71" s="518"/>
      <c r="P71" s="400"/>
      <c r="Q71" s="400"/>
      <c r="R71" s="206"/>
      <c r="S71" s="204"/>
      <c r="T71" s="522"/>
      <c r="U71" s="400"/>
      <c r="V71" s="400"/>
      <c r="W71" s="206"/>
      <c r="X71" s="204"/>
      <c r="Y71" s="522"/>
      <c r="Z71" s="400"/>
      <c r="AA71" s="400"/>
      <c r="AB71" s="352"/>
      <c r="AC71" s="204"/>
      <c r="AD71" s="522"/>
      <c r="AE71" s="400"/>
      <c r="AF71" s="400"/>
      <c r="AG71" s="206"/>
      <c r="AH71" s="204"/>
      <c r="AI71" s="522"/>
      <c r="AJ71" s="400"/>
      <c r="AK71" s="400"/>
      <c r="AL71" s="206"/>
      <c r="AM71" s="204"/>
      <c r="AN71" s="522"/>
      <c r="AO71" s="400"/>
      <c r="AP71" s="400"/>
      <c r="AQ71" s="206"/>
      <c r="AR71" s="204"/>
      <c r="AS71" s="522"/>
      <c r="AT71" s="400"/>
      <c r="AU71" s="400"/>
      <c r="AV71" s="206"/>
      <c r="AW71" s="204"/>
      <c r="AX71" s="522"/>
    </row>
    <row r="72" spans="2:50" ht="13.5" x14ac:dyDescent="0.2">
      <c r="B72" s="533"/>
      <c r="C72" s="204">
        <v>6</v>
      </c>
      <c r="D72" s="208"/>
      <c r="E72" s="205"/>
      <c r="F72" s="205"/>
      <c r="G72" s="206"/>
      <c r="H72" s="520"/>
      <c r="I72" s="205"/>
      <c r="J72" s="205"/>
      <c r="K72" s="206"/>
      <c r="L72" s="520"/>
      <c r="M72" s="205"/>
      <c r="N72" s="518"/>
      <c r="O72" s="518"/>
      <c r="P72" s="400"/>
      <c r="Q72" s="400"/>
      <c r="R72" s="204"/>
      <c r="S72" s="204"/>
      <c r="T72" s="522"/>
      <c r="U72" s="400"/>
      <c r="V72" s="400"/>
      <c r="W72" s="204"/>
      <c r="X72" s="204"/>
      <c r="Y72" s="522"/>
      <c r="Z72" s="400"/>
      <c r="AA72" s="400"/>
      <c r="AB72" s="204"/>
      <c r="AC72" s="204"/>
      <c r="AD72" s="522"/>
      <c r="AE72" s="400"/>
      <c r="AF72" s="400"/>
      <c r="AG72" s="204"/>
      <c r="AH72" s="204"/>
      <c r="AI72" s="522"/>
      <c r="AJ72" s="400"/>
      <c r="AK72" s="400"/>
      <c r="AL72" s="204"/>
      <c r="AM72" s="204"/>
      <c r="AN72" s="522"/>
      <c r="AO72" s="400"/>
      <c r="AP72" s="400"/>
      <c r="AQ72" s="204"/>
      <c r="AR72" s="204"/>
      <c r="AS72" s="522"/>
      <c r="AT72" s="400"/>
      <c r="AU72" s="400"/>
      <c r="AV72" s="204"/>
      <c r="AW72" s="204"/>
      <c r="AX72" s="522"/>
    </row>
    <row r="73" spans="2:50" ht="13.5" x14ac:dyDescent="0.2">
      <c r="B73" s="533"/>
      <c r="C73" s="204">
        <v>7</v>
      </c>
      <c r="D73" s="208"/>
      <c r="E73" s="205"/>
      <c r="F73" s="205"/>
      <c r="G73" s="206"/>
      <c r="H73" s="520"/>
      <c r="I73" s="205"/>
      <c r="J73" s="205"/>
      <c r="K73" s="206"/>
      <c r="L73" s="520"/>
      <c r="M73" s="205"/>
      <c r="N73" s="518"/>
      <c r="O73" s="518"/>
      <c r="P73" s="400"/>
      <c r="Q73" s="400"/>
      <c r="R73" s="204"/>
      <c r="S73" s="204"/>
      <c r="T73" s="522"/>
      <c r="U73" s="400"/>
      <c r="V73" s="400"/>
      <c r="W73" s="204"/>
      <c r="X73" s="204"/>
      <c r="Y73" s="522"/>
      <c r="Z73" s="400"/>
      <c r="AA73" s="400"/>
      <c r="AB73" s="204"/>
      <c r="AC73" s="204"/>
      <c r="AD73" s="522"/>
      <c r="AE73" s="400"/>
      <c r="AF73" s="400"/>
      <c r="AG73" s="204"/>
      <c r="AH73" s="204"/>
      <c r="AI73" s="522"/>
      <c r="AJ73" s="400"/>
      <c r="AK73" s="400"/>
      <c r="AL73" s="204"/>
      <c r="AM73" s="204"/>
      <c r="AN73" s="522"/>
      <c r="AO73" s="400"/>
      <c r="AP73" s="400"/>
      <c r="AQ73" s="204"/>
      <c r="AR73" s="204"/>
      <c r="AS73" s="522"/>
      <c r="AT73" s="400"/>
      <c r="AU73" s="400"/>
      <c r="AV73" s="204"/>
      <c r="AW73" s="204"/>
      <c r="AX73" s="522"/>
    </row>
    <row r="74" spans="2:50" ht="13.5" x14ac:dyDescent="0.2">
      <c r="B74" s="533"/>
      <c r="C74" s="204">
        <v>8</v>
      </c>
      <c r="D74" s="208"/>
      <c r="E74" s="204"/>
      <c r="F74" s="204"/>
      <c r="G74" s="204"/>
      <c r="H74" s="520"/>
      <c r="I74" s="205"/>
      <c r="J74" s="205"/>
      <c r="K74" s="206"/>
      <c r="L74" s="520"/>
      <c r="M74" s="205"/>
      <c r="N74" s="518"/>
      <c r="O74" s="518"/>
      <c r="P74" s="400"/>
      <c r="Q74" s="400"/>
      <c r="R74" s="204"/>
      <c r="S74" s="204"/>
      <c r="T74" s="522"/>
      <c r="U74" s="400"/>
      <c r="V74" s="400"/>
      <c r="W74" s="204"/>
      <c r="X74" s="204"/>
      <c r="Y74" s="522"/>
      <c r="Z74" s="400"/>
      <c r="AA74" s="400"/>
      <c r="AB74" s="204"/>
      <c r="AC74" s="204"/>
      <c r="AD74" s="522"/>
      <c r="AE74" s="400"/>
      <c r="AF74" s="400"/>
      <c r="AG74" s="204"/>
      <c r="AH74" s="204"/>
      <c r="AI74" s="522"/>
      <c r="AJ74" s="400"/>
      <c r="AK74" s="400"/>
      <c r="AL74" s="204"/>
      <c r="AM74" s="204"/>
      <c r="AN74" s="522"/>
      <c r="AO74" s="400"/>
      <c r="AP74" s="400"/>
      <c r="AQ74" s="204"/>
      <c r="AR74" s="204"/>
      <c r="AS74" s="522"/>
      <c r="AT74" s="400"/>
      <c r="AU74" s="400"/>
      <c r="AV74" s="204"/>
      <c r="AW74" s="204"/>
      <c r="AX74" s="522"/>
    </row>
    <row r="75" spans="2:50" ht="13.5" x14ac:dyDescent="0.2">
      <c r="B75" s="533"/>
      <c r="C75" s="204">
        <v>9</v>
      </c>
      <c r="D75" s="208"/>
      <c r="E75" s="204"/>
      <c r="F75" s="204"/>
      <c r="G75" s="204"/>
      <c r="H75" s="520"/>
      <c r="I75" s="205"/>
      <c r="J75" s="205"/>
      <c r="K75" s="206"/>
      <c r="L75" s="520"/>
      <c r="M75" s="205"/>
      <c r="N75" s="518"/>
      <c r="O75" s="518"/>
      <c r="P75" s="400"/>
      <c r="Q75" s="400"/>
      <c r="R75" s="204"/>
      <c r="S75" s="204"/>
      <c r="T75" s="522"/>
      <c r="U75" s="400"/>
      <c r="V75" s="400"/>
      <c r="W75" s="204"/>
      <c r="X75" s="204"/>
      <c r="Y75" s="522"/>
      <c r="Z75" s="400"/>
      <c r="AA75" s="400"/>
      <c r="AB75" s="204"/>
      <c r="AC75" s="204"/>
      <c r="AD75" s="522"/>
      <c r="AE75" s="400"/>
      <c r="AF75" s="400"/>
      <c r="AG75" s="204"/>
      <c r="AH75" s="204"/>
      <c r="AI75" s="522"/>
      <c r="AJ75" s="400"/>
      <c r="AK75" s="400"/>
      <c r="AL75" s="204"/>
      <c r="AM75" s="204"/>
      <c r="AN75" s="522"/>
      <c r="AO75" s="400"/>
      <c r="AP75" s="400"/>
      <c r="AQ75" s="204"/>
      <c r="AR75" s="204"/>
      <c r="AS75" s="522"/>
      <c r="AT75" s="400"/>
      <c r="AU75" s="400"/>
      <c r="AV75" s="204"/>
      <c r="AW75" s="204"/>
      <c r="AX75" s="522"/>
    </row>
    <row r="76" spans="2:50" ht="13.5" x14ac:dyDescent="0.2">
      <c r="B76" s="533"/>
      <c r="C76" s="204">
        <v>10</v>
      </c>
      <c r="D76" s="208"/>
      <c r="E76" s="204"/>
      <c r="F76" s="204"/>
      <c r="G76" s="204"/>
      <c r="H76" s="520"/>
      <c r="I76" s="205"/>
      <c r="J76" s="205"/>
      <c r="K76" s="206"/>
      <c r="L76" s="520"/>
      <c r="M76" s="205"/>
      <c r="N76" s="518"/>
      <c r="O76" s="518"/>
      <c r="P76" s="400"/>
      <c r="Q76" s="400"/>
      <c r="R76" s="204"/>
      <c r="S76" s="204"/>
      <c r="T76" s="522"/>
      <c r="U76" s="400"/>
      <c r="V76" s="400"/>
      <c r="W76" s="204"/>
      <c r="X76" s="204"/>
      <c r="Y76" s="522"/>
      <c r="Z76" s="400"/>
      <c r="AA76" s="400"/>
      <c r="AB76" s="204"/>
      <c r="AC76" s="204"/>
      <c r="AD76" s="522"/>
      <c r="AE76" s="400"/>
      <c r="AF76" s="400"/>
      <c r="AG76" s="204"/>
      <c r="AH76" s="204"/>
      <c r="AI76" s="522"/>
      <c r="AJ76" s="400"/>
      <c r="AK76" s="400"/>
      <c r="AL76" s="204"/>
      <c r="AM76" s="204"/>
      <c r="AN76" s="522"/>
      <c r="AO76" s="400"/>
      <c r="AP76" s="400"/>
      <c r="AQ76" s="204"/>
      <c r="AR76" s="204"/>
      <c r="AS76" s="522"/>
      <c r="AT76" s="400"/>
      <c r="AU76" s="400"/>
      <c r="AV76" s="204"/>
      <c r="AW76" s="204"/>
      <c r="AX76" s="522"/>
    </row>
    <row r="77" spans="2:50" ht="13.5" x14ac:dyDescent="0.2">
      <c r="B77" s="533"/>
      <c r="C77" s="204">
        <v>11</v>
      </c>
      <c r="D77" s="208"/>
      <c r="E77" s="204"/>
      <c r="F77" s="204"/>
      <c r="G77" s="204"/>
      <c r="H77" s="520"/>
      <c r="I77" s="205"/>
      <c r="J77" s="205"/>
      <c r="K77" s="206"/>
      <c r="L77" s="520"/>
      <c r="M77" s="205"/>
      <c r="N77" s="518"/>
      <c r="O77" s="518"/>
      <c r="P77" s="398"/>
      <c r="Q77" s="398"/>
      <c r="R77" s="204"/>
      <c r="S77" s="204"/>
      <c r="T77" s="522"/>
      <c r="U77" s="398"/>
      <c r="V77" s="398"/>
      <c r="W77" s="204"/>
      <c r="X77" s="204"/>
      <c r="Y77" s="522"/>
      <c r="Z77" s="398"/>
      <c r="AA77" s="398"/>
      <c r="AB77" s="204"/>
      <c r="AC77" s="204"/>
      <c r="AD77" s="522"/>
      <c r="AE77" s="398"/>
      <c r="AF77" s="398"/>
      <c r="AG77" s="204"/>
      <c r="AH77" s="204"/>
      <c r="AI77" s="522"/>
      <c r="AJ77" s="398"/>
      <c r="AK77" s="398"/>
      <c r="AL77" s="204"/>
      <c r="AM77" s="204"/>
      <c r="AN77" s="522"/>
      <c r="AO77" s="398"/>
      <c r="AP77" s="398"/>
      <c r="AQ77" s="204"/>
      <c r="AR77" s="204"/>
      <c r="AS77" s="522"/>
      <c r="AT77" s="398"/>
      <c r="AU77" s="398"/>
      <c r="AV77" s="204"/>
      <c r="AW77" s="204"/>
      <c r="AX77" s="522"/>
    </row>
    <row r="78" spans="2:50" ht="13.5" x14ac:dyDescent="0.2">
      <c r="B78" s="533"/>
      <c r="C78" s="204">
        <v>12</v>
      </c>
      <c r="D78" s="208"/>
      <c r="E78" s="204"/>
      <c r="F78" s="204"/>
      <c r="G78" s="204"/>
      <c r="H78" s="520"/>
      <c r="I78" s="205"/>
      <c r="J78" s="205"/>
      <c r="K78" s="206"/>
      <c r="L78" s="520"/>
      <c r="M78" s="205"/>
      <c r="N78" s="518"/>
      <c r="O78" s="518"/>
      <c r="P78" s="398"/>
      <c r="Q78" s="398"/>
      <c r="R78" s="204"/>
      <c r="S78" s="204"/>
      <c r="T78" s="522"/>
      <c r="U78" s="398"/>
      <c r="V78" s="398"/>
      <c r="W78" s="204"/>
      <c r="X78" s="204"/>
      <c r="Y78" s="522"/>
      <c r="Z78" s="398"/>
      <c r="AA78" s="398"/>
      <c r="AB78" s="204"/>
      <c r="AC78" s="204"/>
      <c r="AD78" s="522"/>
      <c r="AE78" s="398"/>
      <c r="AF78" s="398"/>
      <c r="AG78" s="204"/>
      <c r="AH78" s="204"/>
      <c r="AI78" s="522"/>
      <c r="AJ78" s="398"/>
      <c r="AK78" s="398"/>
      <c r="AL78" s="204"/>
      <c r="AM78" s="204"/>
      <c r="AN78" s="522"/>
      <c r="AO78" s="398"/>
      <c r="AP78" s="398"/>
      <c r="AQ78" s="204"/>
      <c r="AR78" s="204"/>
      <c r="AS78" s="522"/>
      <c r="AT78" s="398"/>
      <c r="AU78" s="398"/>
      <c r="AV78" s="204"/>
      <c r="AW78" s="204"/>
      <c r="AX78" s="522"/>
    </row>
    <row r="79" spans="2:50" ht="13.5" x14ac:dyDescent="0.2">
      <c r="B79" s="533"/>
      <c r="C79" s="204">
        <v>13</v>
      </c>
      <c r="D79" s="208"/>
      <c r="E79" s="204"/>
      <c r="F79" s="204"/>
      <c r="G79" s="204"/>
      <c r="H79" s="520"/>
      <c r="I79" s="205"/>
      <c r="J79" s="205"/>
      <c r="K79" s="206"/>
      <c r="L79" s="520"/>
      <c r="M79" s="205"/>
      <c r="N79" s="518"/>
      <c r="O79" s="518"/>
      <c r="P79" s="398"/>
      <c r="Q79" s="398"/>
      <c r="R79" s="204"/>
      <c r="S79" s="204"/>
      <c r="T79" s="522"/>
      <c r="U79" s="398"/>
      <c r="V79" s="398"/>
      <c r="W79" s="204"/>
      <c r="X79" s="204"/>
      <c r="Y79" s="522"/>
      <c r="Z79" s="398"/>
      <c r="AA79" s="398"/>
      <c r="AB79" s="204"/>
      <c r="AC79" s="204"/>
      <c r="AD79" s="522"/>
      <c r="AE79" s="398"/>
      <c r="AF79" s="398"/>
      <c r="AG79" s="204"/>
      <c r="AH79" s="204"/>
      <c r="AI79" s="522"/>
      <c r="AJ79" s="398"/>
      <c r="AK79" s="398"/>
      <c r="AL79" s="204"/>
      <c r="AM79" s="204"/>
      <c r="AN79" s="522"/>
      <c r="AO79" s="398"/>
      <c r="AP79" s="398"/>
      <c r="AQ79" s="204"/>
      <c r="AR79" s="204"/>
      <c r="AS79" s="522"/>
      <c r="AT79" s="398"/>
      <c r="AU79" s="398"/>
      <c r="AV79" s="204"/>
      <c r="AW79" s="204"/>
      <c r="AX79" s="522"/>
    </row>
    <row r="80" spans="2:50" ht="13.5" x14ac:dyDescent="0.2">
      <c r="B80" s="533"/>
      <c r="C80" s="204">
        <v>14</v>
      </c>
      <c r="D80" s="208"/>
      <c r="E80" s="204"/>
      <c r="F80" s="204"/>
      <c r="G80" s="204"/>
      <c r="H80" s="520"/>
      <c r="I80" s="205"/>
      <c r="J80" s="205"/>
      <c r="K80" s="206"/>
      <c r="L80" s="520"/>
      <c r="M80" s="205"/>
      <c r="N80" s="518"/>
      <c r="O80" s="518"/>
      <c r="P80" s="398"/>
      <c r="Q80" s="398"/>
      <c r="R80" s="204"/>
      <c r="S80" s="204"/>
      <c r="T80" s="522"/>
      <c r="U80" s="398"/>
      <c r="V80" s="398"/>
      <c r="W80" s="204"/>
      <c r="X80" s="204"/>
      <c r="Y80" s="522"/>
      <c r="Z80" s="398"/>
      <c r="AA80" s="398"/>
      <c r="AB80" s="204"/>
      <c r="AC80" s="204"/>
      <c r="AD80" s="522"/>
      <c r="AE80" s="398"/>
      <c r="AF80" s="398"/>
      <c r="AG80" s="204"/>
      <c r="AH80" s="204"/>
      <c r="AI80" s="522"/>
      <c r="AJ80" s="398"/>
      <c r="AK80" s="398"/>
      <c r="AL80" s="204"/>
      <c r="AM80" s="204"/>
      <c r="AN80" s="522"/>
      <c r="AO80" s="398"/>
      <c r="AP80" s="398"/>
      <c r="AQ80" s="204"/>
      <c r="AR80" s="204"/>
      <c r="AS80" s="522"/>
      <c r="AT80" s="398"/>
      <c r="AU80" s="398"/>
      <c r="AV80" s="204"/>
      <c r="AW80" s="204"/>
      <c r="AX80" s="522"/>
    </row>
    <row r="81" spans="2:50" ht="13.5" x14ac:dyDescent="0.2">
      <c r="B81" s="533"/>
      <c r="C81" s="204">
        <v>15</v>
      </c>
      <c r="D81" s="208"/>
      <c r="E81" s="204"/>
      <c r="F81" s="204"/>
      <c r="G81" s="204"/>
      <c r="H81" s="521"/>
      <c r="I81" s="205"/>
      <c r="J81" s="205"/>
      <c r="K81" s="206"/>
      <c r="L81" s="521"/>
      <c r="M81" s="205"/>
      <c r="N81" s="518"/>
      <c r="O81" s="518"/>
      <c r="P81" s="398"/>
      <c r="Q81" s="398"/>
      <c r="R81" s="204"/>
      <c r="S81" s="204"/>
      <c r="T81" s="522"/>
      <c r="U81" s="398"/>
      <c r="V81" s="398"/>
      <c r="W81" s="204"/>
      <c r="X81" s="204"/>
      <c r="Y81" s="522"/>
      <c r="Z81" s="398"/>
      <c r="AA81" s="398"/>
      <c r="AB81" s="204"/>
      <c r="AC81" s="204"/>
      <c r="AD81" s="522"/>
      <c r="AE81" s="398"/>
      <c r="AF81" s="398"/>
      <c r="AG81" s="204"/>
      <c r="AH81" s="204"/>
      <c r="AI81" s="522"/>
      <c r="AJ81" s="398"/>
      <c r="AK81" s="398"/>
      <c r="AL81" s="204"/>
      <c r="AM81" s="204"/>
      <c r="AN81" s="522"/>
      <c r="AO81" s="398"/>
      <c r="AP81" s="398"/>
      <c r="AQ81" s="204"/>
      <c r="AR81" s="204"/>
      <c r="AS81" s="522"/>
      <c r="AT81" s="398"/>
      <c r="AU81" s="398"/>
      <c r="AV81" s="204"/>
      <c r="AW81" s="204"/>
      <c r="AX81" s="522"/>
    </row>
    <row r="82" spans="2:50" ht="15.75" x14ac:dyDescent="0.2">
      <c r="B82" s="529" t="s">
        <v>84</v>
      </c>
      <c r="C82" s="530"/>
      <c r="D82" s="530"/>
      <c r="E82" s="530"/>
      <c r="F82" s="530"/>
      <c r="G82" s="530"/>
      <c r="H82" s="530"/>
      <c r="I82" s="209"/>
      <c r="J82" s="209"/>
      <c r="K82" s="209"/>
      <c r="L82" s="209"/>
      <c r="M82" s="210"/>
      <c r="N82" s="523" t="s">
        <v>85</v>
      </c>
      <c r="O82" s="523" t="s">
        <v>45</v>
      </c>
      <c r="P82" s="532">
        <v>46196</v>
      </c>
      <c r="Q82" s="533"/>
      <c r="R82" s="533"/>
      <c r="S82" s="533"/>
      <c r="T82" s="533"/>
      <c r="U82" s="532">
        <f>P82+1</f>
        <v>46197</v>
      </c>
      <c r="V82" s="533"/>
      <c r="W82" s="533"/>
      <c r="X82" s="533"/>
      <c r="Y82" s="533"/>
      <c r="Z82" s="532">
        <f>Z62+7</f>
        <v>46198</v>
      </c>
      <c r="AA82" s="533"/>
      <c r="AB82" s="533"/>
      <c r="AC82" s="533"/>
      <c r="AD82" s="533"/>
      <c r="AE82" s="532">
        <f>AE62+7</f>
        <v>46199</v>
      </c>
      <c r="AF82" s="533"/>
      <c r="AG82" s="533"/>
      <c r="AH82" s="533"/>
      <c r="AI82" s="533"/>
      <c r="AJ82" s="532">
        <f>AJ62+7</f>
        <v>46200</v>
      </c>
      <c r="AK82" s="533"/>
      <c r="AL82" s="533"/>
      <c r="AM82" s="533"/>
      <c r="AN82" s="533"/>
      <c r="AO82" s="532">
        <f>AO62+7</f>
        <v>46201</v>
      </c>
      <c r="AP82" s="533"/>
      <c r="AQ82" s="533"/>
      <c r="AR82" s="533"/>
      <c r="AS82" s="533"/>
      <c r="AT82" s="532">
        <f>AT62+7</f>
        <v>46202</v>
      </c>
      <c r="AU82" s="533"/>
      <c r="AV82" s="533"/>
      <c r="AW82" s="533"/>
      <c r="AX82" s="533"/>
    </row>
    <row r="83" spans="2:50" ht="15.75" x14ac:dyDescent="0.2">
      <c r="B83" s="531"/>
      <c r="C83" s="531"/>
      <c r="D83" s="531"/>
      <c r="E83" s="531"/>
      <c r="F83" s="531"/>
      <c r="G83" s="531"/>
      <c r="H83" s="531"/>
      <c r="I83" s="200"/>
      <c r="J83" s="200"/>
      <c r="K83" s="200"/>
      <c r="L83" s="200"/>
      <c r="M83" s="201"/>
      <c r="N83" s="525"/>
      <c r="O83" s="525"/>
      <c r="P83" s="532" t="s">
        <v>57</v>
      </c>
      <c r="Q83" s="533"/>
      <c r="R83" s="533"/>
      <c r="S83" s="533"/>
      <c r="T83" s="533"/>
      <c r="U83" s="532" t="s">
        <v>58</v>
      </c>
      <c r="V83" s="533"/>
      <c r="W83" s="533"/>
      <c r="X83" s="533"/>
      <c r="Y83" s="533"/>
      <c r="Z83" s="532" t="s">
        <v>59</v>
      </c>
      <c r="AA83" s="533"/>
      <c r="AB83" s="533"/>
      <c r="AC83" s="533"/>
      <c r="AD83" s="533"/>
      <c r="AE83" s="532" t="s">
        <v>60</v>
      </c>
      <c r="AF83" s="533"/>
      <c r="AG83" s="533"/>
      <c r="AH83" s="533"/>
      <c r="AI83" s="533"/>
      <c r="AJ83" s="532" t="s">
        <v>55</v>
      </c>
      <c r="AK83" s="533"/>
      <c r="AL83" s="533"/>
      <c r="AM83" s="533"/>
      <c r="AN83" s="533"/>
      <c r="AO83" s="532" t="s">
        <v>52</v>
      </c>
      <c r="AP83" s="533"/>
      <c r="AQ83" s="533"/>
      <c r="AR83" s="533"/>
      <c r="AS83" s="533"/>
      <c r="AT83" s="532" t="s">
        <v>56</v>
      </c>
      <c r="AU83" s="533"/>
      <c r="AV83" s="533"/>
      <c r="AW83" s="533"/>
      <c r="AX83" s="533"/>
    </row>
    <row r="84" spans="2:50" x14ac:dyDescent="0.2">
      <c r="B84" s="518" t="s">
        <v>41</v>
      </c>
      <c r="C84" s="518" t="s">
        <v>86</v>
      </c>
      <c r="D84" s="518"/>
      <c r="E84" s="518" t="s">
        <v>87</v>
      </c>
      <c r="F84" s="518"/>
      <c r="G84" s="518"/>
      <c r="H84" s="515" t="s">
        <v>88</v>
      </c>
      <c r="I84" s="518" t="s">
        <v>89</v>
      </c>
      <c r="J84" s="518"/>
      <c r="K84" s="518"/>
      <c r="L84" s="515" t="s">
        <v>88</v>
      </c>
      <c r="M84" s="523" t="s">
        <v>90</v>
      </c>
      <c r="N84" s="518"/>
      <c r="O84" s="518" t="s">
        <v>91</v>
      </c>
      <c r="P84" s="526" t="s">
        <v>92</v>
      </c>
      <c r="Q84" s="527"/>
      <c r="R84" s="527"/>
      <c r="S84" s="528"/>
      <c r="T84" s="518" t="s">
        <v>88</v>
      </c>
      <c r="U84" s="526" t="s">
        <v>92</v>
      </c>
      <c r="V84" s="527"/>
      <c r="W84" s="527"/>
      <c r="X84" s="528"/>
      <c r="Y84" s="518" t="s">
        <v>88</v>
      </c>
      <c r="Z84" s="526" t="s">
        <v>92</v>
      </c>
      <c r="AA84" s="527"/>
      <c r="AB84" s="527"/>
      <c r="AC84" s="528"/>
      <c r="AD84" s="518" t="s">
        <v>88</v>
      </c>
      <c r="AE84" s="526" t="s">
        <v>92</v>
      </c>
      <c r="AF84" s="527"/>
      <c r="AG84" s="527"/>
      <c r="AH84" s="528"/>
      <c r="AI84" s="518" t="s">
        <v>88</v>
      </c>
      <c r="AJ84" s="526" t="s">
        <v>92</v>
      </c>
      <c r="AK84" s="527"/>
      <c r="AL84" s="527"/>
      <c r="AM84" s="528"/>
      <c r="AN84" s="518" t="s">
        <v>88</v>
      </c>
      <c r="AO84" s="526" t="s">
        <v>92</v>
      </c>
      <c r="AP84" s="527"/>
      <c r="AQ84" s="527"/>
      <c r="AR84" s="528"/>
      <c r="AS84" s="518" t="s">
        <v>88</v>
      </c>
      <c r="AT84" s="526" t="s">
        <v>92</v>
      </c>
      <c r="AU84" s="527"/>
      <c r="AV84" s="527"/>
      <c r="AW84" s="528"/>
      <c r="AX84" s="518" t="s">
        <v>88</v>
      </c>
    </row>
    <row r="85" spans="2:50" x14ac:dyDescent="0.2">
      <c r="B85" s="518"/>
      <c r="C85" s="518"/>
      <c r="D85" s="518"/>
      <c r="E85" s="518" t="s">
        <v>93</v>
      </c>
      <c r="F85" s="518"/>
      <c r="G85" s="518"/>
      <c r="H85" s="516"/>
      <c r="I85" s="518" t="s">
        <v>93</v>
      </c>
      <c r="J85" s="518"/>
      <c r="K85" s="518"/>
      <c r="L85" s="516"/>
      <c r="M85" s="524"/>
      <c r="N85" s="518"/>
      <c r="O85" s="518"/>
      <c r="P85" s="526" t="s">
        <v>94</v>
      </c>
      <c r="Q85" s="527"/>
      <c r="R85" s="527"/>
      <c r="S85" s="528"/>
      <c r="T85" s="518"/>
      <c r="U85" s="526" t="s">
        <v>94</v>
      </c>
      <c r="V85" s="527"/>
      <c r="W85" s="527"/>
      <c r="X85" s="528"/>
      <c r="Y85" s="518"/>
      <c r="Z85" s="526" t="s">
        <v>94</v>
      </c>
      <c r="AA85" s="527"/>
      <c r="AB85" s="527"/>
      <c r="AC85" s="528"/>
      <c r="AD85" s="518"/>
      <c r="AE85" s="526" t="s">
        <v>94</v>
      </c>
      <c r="AF85" s="527"/>
      <c r="AG85" s="527"/>
      <c r="AH85" s="528"/>
      <c r="AI85" s="518"/>
      <c r="AJ85" s="526" t="s">
        <v>94</v>
      </c>
      <c r="AK85" s="527"/>
      <c r="AL85" s="527"/>
      <c r="AM85" s="528"/>
      <c r="AN85" s="518"/>
      <c r="AO85" s="526" t="s">
        <v>94</v>
      </c>
      <c r="AP85" s="527"/>
      <c r="AQ85" s="527"/>
      <c r="AR85" s="528"/>
      <c r="AS85" s="518"/>
      <c r="AT85" s="526" t="s">
        <v>94</v>
      </c>
      <c r="AU85" s="527"/>
      <c r="AV85" s="527"/>
      <c r="AW85" s="528"/>
      <c r="AX85" s="518"/>
    </row>
    <row r="86" spans="2:50" x14ac:dyDescent="0.2">
      <c r="B86" s="518"/>
      <c r="C86" s="518"/>
      <c r="D86" s="518"/>
      <c r="E86" s="203" t="s">
        <v>95</v>
      </c>
      <c r="F86" s="203" t="s">
        <v>96</v>
      </c>
      <c r="G86" s="203" t="s">
        <v>97</v>
      </c>
      <c r="H86" s="517"/>
      <c r="I86" s="203" t="s">
        <v>95</v>
      </c>
      <c r="J86" s="203" t="s">
        <v>96</v>
      </c>
      <c r="K86" s="203" t="s">
        <v>97</v>
      </c>
      <c r="L86" s="517"/>
      <c r="M86" s="525"/>
      <c r="N86" s="518"/>
      <c r="O86" s="518"/>
      <c r="P86" s="203" t="s">
        <v>95</v>
      </c>
      <c r="Q86" s="203" t="s">
        <v>96</v>
      </c>
      <c r="R86" s="203" t="s">
        <v>97</v>
      </c>
      <c r="S86" s="203" t="s">
        <v>90</v>
      </c>
      <c r="T86" s="518"/>
      <c r="U86" s="203" t="s">
        <v>95</v>
      </c>
      <c r="V86" s="203" t="s">
        <v>96</v>
      </c>
      <c r="W86" s="203" t="s">
        <v>97</v>
      </c>
      <c r="X86" s="203" t="s">
        <v>90</v>
      </c>
      <c r="Y86" s="518"/>
      <c r="Z86" s="203" t="s">
        <v>95</v>
      </c>
      <c r="AA86" s="203" t="s">
        <v>96</v>
      </c>
      <c r="AB86" s="203" t="s">
        <v>97</v>
      </c>
      <c r="AC86" s="203" t="s">
        <v>90</v>
      </c>
      <c r="AD86" s="518"/>
      <c r="AE86" s="203" t="s">
        <v>95</v>
      </c>
      <c r="AF86" s="203" t="s">
        <v>96</v>
      </c>
      <c r="AG86" s="203" t="s">
        <v>97</v>
      </c>
      <c r="AH86" s="203" t="s">
        <v>90</v>
      </c>
      <c r="AI86" s="518"/>
      <c r="AJ86" s="203" t="s">
        <v>95</v>
      </c>
      <c r="AK86" s="203" t="s">
        <v>96</v>
      </c>
      <c r="AL86" s="203" t="s">
        <v>97</v>
      </c>
      <c r="AM86" s="203" t="s">
        <v>90</v>
      </c>
      <c r="AN86" s="518"/>
      <c r="AO86" s="203" t="s">
        <v>95</v>
      </c>
      <c r="AP86" s="203" t="s">
        <v>96</v>
      </c>
      <c r="AQ86" s="203" t="s">
        <v>97</v>
      </c>
      <c r="AR86" s="203" t="s">
        <v>90</v>
      </c>
      <c r="AS86" s="518"/>
      <c r="AT86" s="203" t="s">
        <v>95</v>
      </c>
      <c r="AU86" s="203" t="s">
        <v>96</v>
      </c>
      <c r="AV86" s="203" t="s">
        <v>97</v>
      </c>
      <c r="AW86" s="203" t="s">
        <v>90</v>
      </c>
      <c r="AX86" s="518"/>
    </row>
    <row r="87" spans="2:50" ht="13.5" x14ac:dyDescent="0.2">
      <c r="B87" s="518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34">F87/E87</f>
        <v>104.33333333333333</v>
      </c>
      <c r="H87" s="519">
        <f>AVERAGE(G87:G101)</f>
        <v>139.70012626262627</v>
      </c>
      <c r="I87" s="205">
        <f>AVERAGE(P87,U87,Z86,AE87,AJ87,AO87)</f>
        <v>14.8</v>
      </c>
      <c r="J87" s="205">
        <f>AVERAGE(Q87,V87,AA87,AF87,AK87,AP87)</f>
        <v>1505.3333333333333</v>
      </c>
      <c r="K87" s="206">
        <f>AVERAGE(R87,W87,AB87,AG87,AL87,AQ87)</f>
        <v>101.48333333333333</v>
      </c>
      <c r="L87" s="519">
        <f>IFERROR(AVERAGE(K87:K101),"-")</f>
        <v>121.52455808080808</v>
      </c>
      <c r="M87" s="205">
        <f>RANK(K87,$K$87:$K$101)</f>
        <v>4</v>
      </c>
      <c r="N87" s="518"/>
      <c r="O87" s="518"/>
      <c r="P87" s="400">
        <v>15</v>
      </c>
      <c r="Q87" s="400">
        <v>1536</v>
      </c>
      <c r="R87" s="348">
        <f>Q87/P87</f>
        <v>102.4</v>
      </c>
      <c r="S87" s="204">
        <f>RANK(R87,$R$87:$R$101)</f>
        <v>4</v>
      </c>
      <c r="T87" s="522">
        <f>AVERAGE(R87:R101)</f>
        <v>128.35643939393941</v>
      </c>
      <c r="U87" s="415">
        <v>14</v>
      </c>
      <c r="V87" s="400">
        <v>1421</v>
      </c>
      <c r="W87" s="206">
        <f>V87/U87</f>
        <v>101.5</v>
      </c>
      <c r="X87" s="204">
        <f>RANK(W87,$W$87:$W$101)</f>
        <v>3</v>
      </c>
      <c r="Y87" s="522">
        <f>AVERAGE(W87:W101)</f>
        <v>113.28257575757576</v>
      </c>
      <c r="Z87" s="400">
        <v>15</v>
      </c>
      <c r="AA87" s="400">
        <v>1579</v>
      </c>
      <c r="AB87" s="206">
        <f>AA87/Z87</f>
        <v>105.26666666666667</v>
      </c>
      <c r="AC87" s="204">
        <f>RANK(AB87,$AB$87:$AB$100)</f>
        <v>4</v>
      </c>
      <c r="AD87" s="522">
        <f>AVERAGE(AB87:AB101)</f>
        <v>122.25795454545454</v>
      </c>
      <c r="AE87" s="400">
        <v>15</v>
      </c>
      <c r="AF87" s="400">
        <v>1537</v>
      </c>
      <c r="AG87" s="206">
        <f>AF87/AE87</f>
        <v>102.46666666666667</v>
      </c>
      <c r="AH87" s="204">
        <f>RANK(AG87,$AG$87:$AG$101)</f>
        <v>4</v>
      </c>
      <c r="AI87" s="522">
        <f>AVERAGE(AG87:AG101)</f>
        <v>121.24356060606061</v>
      </c>
      <c r="AJ87" s="400">
        <v>15</v>
      </c>
      <c r="AK87" s="400">
        <v>1443</v>
      </c>
      <c r="AL87" s="348">
        <f>AK87/AJ87</f>
        <v>96.2</v>
      </c>
      <c r="AM87" s="204">
        <f>RANK(AL87,$AL$87:$AL$101)</f>
        <v>4</v>
      </c>
      <c r="AN87" s="522">
        <f>AVERAGE(AL87:AL101)</f>
        <v>119.22045454545454</v>
      </c>
      <c r="AO87" s="400">
        <v>15</v>
      </c>
      <c r="AP87" s="400">
        <v>1516</v>
      </c>
      <c r="AQ87" s="206">
        <f>AP87/AO87</f>
        <v>101.06666666666666</v>
      </c>
      <c r="AR87" s="204">
        <f>RANK(AQ87,$AQ$87:$AQ$101)</f>
        <v>4</v>
      </c>
      <c r="AS87" s="522">
        <f>AVERAGE(AQ87:AQ101)</f>
        <v>124.78636363636362</v>
      </c>
      <c r="AT87" s="400">
        <v>15</v>
      </c>
      <c r="AU87" s="400">
        <v>1563</v>
      </c>
      <c r="AV87" s="206">
        <f>AU87/AT87</f>
        <v>104.2</v>
      </c>
      <c r="AW87" s="204">
        <f>RANK(AV87,$AV$87:$AV$101)</f>
        <v>4</v>
      </c>
      <c r="AX87" s="522">
        <f>AVERAGE(AV87:AV101)</f>
        <v>129.83522727272725</v>
      </c>
    </row>
    <row r="88" spans="2:50" ht="13.5" x14ac:dyDescent="0.2">
      <c r="B88" s="533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34"/>
        <v>130.41666666666666</v>
      </c>
      <c r="H88" s="520"/>
      <c r="I88" s="205">
        <f t="shared" ref="I88:I89" si="35">AVERAGE(P88,U88,Z87,AE88,AJ88,AO88)</f>
        <v>12.5</v>
      </c>
      <c r="J88" s="205">
        <f t="shared" ref="J88:J89" si="36">AVERAGE(Q88,V88,AA88,AF88,AK88,AP88)</f>
        <v>1549.8333333333333</v>
      </c>
      <c r="K88" s="206">
        <f t="shared" ref="K88:K89" si="37">AVERAGE(R88,W88,AB88,AG88,AL88,AQ88)</f>
        <v>129.15277777777777</v>
      </c>
      <c r="L88" s="520"/>
      <c r="M88" s="205">
        <f t="shared" ref="M88:M90" si="38">RANK(K88,$K$87:$K$101)</f>
        <v>2</v>
      </c>
      <c r="N88" s="518"/>
      <c r="O88" s="518"/>
      <c r="P88" s="400">
        <v>12</v>
      </c>
      <c r="Q88" s="400">
        <v>1589</v>
      </c>
      <c r="R88" s="206">
        <f>Q88/P88</f>
        <v>132.41666666666666</v>
      </c>
      <c r="S88" s="204">
        <f>RANK(R88,$R$87:$R$101)</f>
        <v>3</v>
      </c>
      <c r="T88" s="522"/>
      <c r="U88" s="400">
        <v>12</v>
      </c>
      <c r="V88" s="400">
        <v>1592</v>
      </c>
      <c r="W88" s="206">
        <f>V88/U88</f>
        <v>132.66666666666666</v>
      </c>
      <c r="X88" s="204">
        <f>RANK(W88,$W$87:$W$101)</f>
        <v>1</v>
      </c>
      <c r="Y88" s="522"/>
      <c r="Z88" s="400">
        <v>12</v>
      </c>
      <c r="AA88" s="400">
        <v>1591</v>
      </c>
      <c r="AB88" s="206">
        <f>AA88/Z88</f>
        <v>132.58333333333334</v>
      </c>
      <c r="AC88" s="204">
        <f>RANK(AB88,$AB$87:$AB$100)</f>
        <v>2</v>
      </c>
      <c r="AD88" s="522"/>
      <c r="AE88" s="400">
        <v>12</v>
      </c>
      <c r="AF88" s="400">
        <v>1505</v>
      </c>
      <c r="AG88" s="206">
        <f>AF88/AE88</f>
        <v>125.41666666666667</v>
      </c>
      <c r="AH88" s="204">
        <f>RANK(AG88,$AG$87:$AG$101)</f>
        <v>2</v>
      </c>
      <c r="AI88" s="522"/>
      <c r="AJ88" s="400">
        <v>12</v>
      </c>
      <c r="AK88" s="400">
        <v>1542</v>
      </c>
      <c r="AL88" s="348">
        <f t="shared" ref="AL88:AL90" si="39">AK88/AJ88</f>
        <v>128.5</v>
      </c>
      <c r="AM88" s="204">
        <f t="shared" ref="AM88:AM90" si="40">RANK(AL88,$AL$87:$AL$101)</f>
        <v>2</v>
      </c>
      <c r="AN88" s="522"/>
      <c r="AO88" s="400">
        <v>12</v>
      </c>
      <c r="AP88" s="400">
        <v>1480</v>
      </c>
      <c r="AQ88" s="206">
        <f t="shared" ref="AQ88:AQ90" si="41">AP88/AO88</f>
        <v>123.33333333333333</v>
      </c>
      <c r="AR88" s="204">
        <f t="shared" ref="AR88:AR90" si="42">RANK(AQ88,$AQ$87:$AQ$101)</f>
        <v>3</v>
      </c>
      <c r="AS88" s="522"/>
      <c r="AT88" s="400">
        <v>12</v>
      </c>
      <c r="AU88" s="400">
        <v>1593</v>
      </c>
      <c r="AV88" s="206">
        <f t="shared" ref="AV88:AV90" si="43">AU88/AT88</f>
        <v>132.75</v>
      </c>
      <c r="AW88" s="204">
        <f t="shared" ref="AW88:AW90" si="44">RANK(AV88,$AV$87:$AV$101)</f>
        <v>3</v>
      </c>
      <c r="AX88" s="522"/>
    </row>
    <row r="89" spans="2:50" ht="13.5" x14ac:dyDescent="0.2">
      <c r="B89" s="533"/>
      <c r="C89" s="204">
        <v>3</v>
      </c>
      <c r="D89" s="208" t="s">
        <v>100</v>
      </c>
      <c r="E89" s="205">
        <f>VLOOKUP(D89,'12產線配置圖'!$A$26:$C$33,2,0)</f>
        <v>11</v>
      </c>
      <c r="F89" s="205">
        <f>VLOOKUP(D89,'12產線配置圖'!$A$26:$C$33,3,0)</f>
        <v>1565</v>
      </c>
      <c r="G89" s="206">
        <f>F89/E89</f>
        <v>142.27272727272728</v>
      </c>
      <c r="H89" s="520"/>
      <c r="I89" s="205">
        <f t="shared" si="35"/>
        <v>11.166666666666666</v>
      </c>
      <c r="J89" s="205">
        <f t="shared" si="36"/>
        <v>1363</v>
      </c>
      <c r="K89" s="206">
        <f t="shared" si="37"/>
        <v>123.90909090909089</v>
      </c>
      <c r="L89" s="520"/>
      <c r="M89" s="205">
        <f t="shared" si="38"/>
        <v>3</v>
      </c>
      <c r="N89" s="518"/>
      <c r="O89" s="518"/>
      <c r="P89" s="400">
        <v>11</v>
      </c>
      <c r="Q89" s="400">
        <v>1495</v>
      </c>
      <c r="R89" s="206">
        <f>Q89/P89</f>
        <v>135.90909090909091</v>
      </c>
      <c r="S89" s="204">
        <f>RANK(R89,$R$87:$R$101)</f>
        <v>2</v>
      </c>
      <c r="T89" s="522"/>
      <c r="U89" s="400">
        <v>11</v>
      </c>
      <c r="V89" s="400">
        <v>994</v>
      </c>
      <c r="W89" s="346">
        <f>V89/U89</f>
        <v>90.36363636363636</v>
      </c>
      <c r="X89" s="204">
        <f>RANK(W89,$W$87:$W$101)</f>
        <v>4</v>
      </c>
      <c r="Y89" s="522"/>
      <c r="Z89" s="400">
        <v>11</v>
      </c>
      <c r="AA89" s="400">
        <v>1473</v>
      </c>
      <c r="AB89" s="206">
        <f>AA89/Z89</f>
        <v>133.90909090909091</v>
      </c>
      <c r="AC89" s="204">
        <f>RANK(AB89,$AB$87:$AB$100)</f>
        <v>1</v>
      </c>
      <c r="AD89" s="522"/>
      <c r="AE89" s="400">
        <v>11</v>
      </c>
      <c r="AF89" s="400">
        <v>1344</v>
      </c>
      <c r="AG89" s="206">
        <f>AF89/AE89</f>
        <v>122.18181818181819</v>
      </c>
      <c r="AH89" s="204">
        <f>RANK(AG89,$AG$87:$AG$101)</f>
        <v>3</v>
      </c>
      <c r="AI89" s="522"/>
      <c r="AJ89" s="400">
        <v>11</v>
      </c>
      <c r="AK89" s="400">
        <v>1359</v>
      </c>
      <c r="AL89" s="348">
        <f t="shared" si="39"/>
        <v>123.54545454545455</v>
      </c>
      <c r="AM89" s="204">
        <f t="shared" si="40"/>
        <v>3</v>
      </c>
      <c r="AN89" s="522"/>
      <c r="AO89" s="400">
        <v>11</v>
      </c>
      <c r="AP89" s="400">
        <v>1513</v>
      </c>
      <c r="AQ89" s="206">
        <f t="shared" si="41"/>
        <v>137.54545454545453</v>
      </c>
      <c r="AR89" s="204">
        <f t="shared" si="42"/>
        <v>1</v>
      </c>
      <c r="AS89" s="522"/>
      <c r="AT89" s="400">
        <v>11</v>
      </c>
      <c r="AU89" s="400">
        <v>1508</v>
      </c>
      <c r="AV89" s="206">
        <f t="shared" si="43"/>
        <v>137.09090909090909</v>
      </c>
      <c r="AW89" s="204">
        <f t="shared" si="44"/>
        <v>2</v>
      </c>
      <c r="AX89" s="522"/>
    </row>
    <row r="90" spans="2:50" ht="13.5" x14ac:dyDescent="0.2">
      <c r="B90" s="533"/>
      <c r="C90" s="204">
        <v>4</v>
      </c>
      <c r="D90" s="208" t="s">
        <v>101</v>
      </c>
      <c r="E90" s="205">
        <f>VLOOKUP(D90,'12產線配置圖'!$A$26:$C$33,2,0)</f>
        <v>9</v>
      </c>
      <c r="F90" s="205">
        <f>VLOOKUP(D90,'12產線配置圖'!$A$26:$C$33,3,0)</f>
        <v>1636</v>
      </c>
      <c r="G90" s="206">
        <f>F90/E90</f>
        <v>181.77777777777777</v>
      </c>
      <c r="H90" s="520"/>
      <c r="I90" s="205">
        <f>AVERAGE(P90,U90,Z89,AE90,AJ90,AO90)</f>
        <v>10.5</v>
      </c>
      <c r="J90" s="205">
        <f>AVERAGE(Q90,V90,AA90,AF90,AK90,AP90)</f>
        <v>1379</v>
      </c>
      <c r="K90" s="206">
        <f>AVERAGE(R90,W90,AB90,AG90,AL90,AQ90)</f>
        <v>131.55303030303028</v>
      </c>
      <c r="L90" s="520"/>
      <c r="M90" s="205">
        <f t="shared" si="38"/>
        <v>1</v>
      </c>
      <c r="N90" s="518"/>
      <c r="O90" s="518"/>
      <c r="P90" s="400">
        <v>10</v>
      </c>
      <c r="Q90" s="400">
        <v>1427</v>
      </c>
      <c r="R90" s="206">
        <f>Q90/P90</f>
        <v>142.69999999999999</v>
      </c>
      <c r="S90" s="204">
        <f>RANK(R90,$R$87:$R$101)</f>
        <v>1</v>
      </c>
      <c r="T90" s="522"/>
      <c r="U90" s="400">
        <v>10</v>
      </c>
      <c r="V90" s="400">
        <v>1286</v>
      </c>
      <c r="W90" s="206">
        <f>V90/U90</f>
        <v>128.6</v>
      </c>
      <c r="X90" s="204">
        <f>RANK(W90,$W$87:$W$101)</f>
        <v>2</v>
      </c>
      <c r="Y90" s="522"/>
      <c r="Z90" s="400">
        <v>11</v>
      </c>
      <c r="AA90" s="400">
        <v>1290</v>
      </c>
      <c r="AB90" s="206">
        <f>AA90/Z90</f>
        <v>117.27272727272727</v>
      </c>
      <c r="AC90" s="204">
        <f>RANK(AB90,$AB$87:$AB$100)</f>
        <v>3</v>
      </c>
      <c r="AD90" s="522"/>
      <c r="AE90" s="400">
        <v>11</v>
      </c>
      <c r="AF90" s="400">
        <v>1484</v>
      </c>
      <c r="AG90" s="206">
        <f>AF90/AE90</f>
        <v>134.90909090909091</v>
      </c>
      <c r="AH90" s="204">
        <f>RANK(AG90,$AG$87:$AG$101)</f>
        <v>1</v>
      </c>
      <c r="AI90" s="522"/>
      <c r="AJ90" s="347">
        <v>11</v>
      </c>
      <c r="AK90" s="400">
        <v>1415</v>
      </c>
      <c r="AL90" s="348">
        <f t="shared" si="39"/>
        <v>128.63636363636363</v>
      </c>
      <c r="AM90" s="204">
        <f t="shared" si="40"/>
        <v>1</v>
      </c>
      <c r="AN90" s="522"/>
      <c r="AO90" s="400">
        <v>10</v>
      </c>
      <c r="AP90" s="400">
        <v>1372</v>
      </c>
      <c r="AQ90" s="206">
        <f t="shared" si="41"/>
        <v>137.19999999999999</v>
      </c>
      <c r="AR90" s="204">
        <f t="shared" si="42"/>
        <v>2</v>
      </c>
      <c r="AS90" s="522"/>
      <c r="AT90" s="400">
        <v>10</v>
      </c>
      <c r="AU90" s="400">
        <v>1453</v>
      </c>
      <c r="AV90" s="206">
        <f t="shared" si="43"/>
        <v>145.30000000000001</v>
      </c>
      <c r="AW90" s="204">
        <f t="shared" si="44"/>
        <v>1</v>
      </c>
      <c r="AX90" s="522"/>
    </row>
    <row r="91" spans="2:50" ht="13.5" x14ac:dyDescent="0.2">
      <c r="B91" s="533"/>
      <c r="C91" s="204">
        <v>5</v>
      </c>
      <c r="D91" s="208"/>
      <c r="E91" s="205"/>
      <c r="F91" s="205"/>
      <c r="G91" s="206"/>
      <c r="H91" s="520"/>
      <c r="I91" s="205"/>
      <c r="J91" s="205"/>
      <c r="K91" s="206"/>
      <c r="L91" s="520"/>
      <c r="M91" s="205"/>
      <c r="N91" s="518"/>
      <c r="O91" s="518"/>
      <c r="P91" s="400"/>
      <c r="Q91" s="400"/>
      <c r="R91" s="204"/>
      <c r="S91" s="204"/>
      <c r="T91" s="522"/>
      <c r="U91" s="400"/>
      <c r="V91" s="400"/>
      <c r="W91" s="204"/>
      <c r="X91" s="204"/>
      <c r="Y91" s="522"/>
      <c r="Z91" s="400"/>
      <c r="AA91" s="400"/>
      <c r="AB91" s="204"/>
      <c r="AC91" s="204"/>
      <c r="AD91" s="522"/>
      <c r="AE91" s="400"/>
      <c r="AF91" s="400"/>
      <c r="AG91" s="204"/>
      <c r="AH91" s="204"/>
      <c r="AI91" s="522"/>
      <c r="AJ91" s="400"/>
      <c r="AK91" s="400"/>
      <c r="AL91" s="204"/>
      <c r="AM91" s="204"/>
      <c r="AN91" s="522"/>
      <c r="AO91" s="400"/>
      <c r="AP91" s="400"/>
      <c r="AQ91" s="204"/>
      <c r="AR91" s="204"/>
      <c r="AS91" s="522"/>
      <c r="AT91" s="400"/>
      <c r="AU91" s="400"/>
      <c r="AV91" s="204"/>
      <c r="AW91" s="204"/>
      <c r="AX91" s="522"/>
    </row>
    <row r="92" spans="2:50" ht="13.5" x14ac:dyDescent="0.2">
      <c r="B92" s="533"/>
      <c r="C92" s="204">
        <v>6</v>
      </c>
      <c r="D92" s="208"/>
      <c r="E92" s="205"/>
      <c r="F92" s="205"/>
      <c r="G92" s="206"/>
      <c r="H92" s="520"/>
      <c r="I92" s="205"/>
      <c r="J92" s="205"/>
      <c r="K92" s="206"/>
      <c r="L92" s="520"/>
      <c r="M92" s="205"/>
      <c r="N92" s="518"/>
      <c r="O92" s="518"/>
      <c r="P92" s="400"/>
      <c r="Q92" s="400"/>
      <c r="R92" s="204"/>
      <c r="S92" s="204"/>
      <c r="T92" s="522"/>
      <c r="U92" s="400"/>
      <c r="V92" s="400"/>
      <c r="W92" s="204"/>
      <c r="X92" s="204"/>
      <c r="Y92" s="522"/>
      <c r="Z92" s="400"/>
      <c r="AA92" s="400"/>
      <c r="AB92" s="204"/>
      <c r="AC92" s="204"/>
      <c r="AD92" s="522"/>
      <c r="AE92" s="400"/>
      <c r="AF92" s="400"/>
      <c r="AG92" s="204"/>
      <c r="AH92" s="204"/>
      <c r="AI92" s="522"/>
      <c r="AJ92" s="400"/>
      <c r="AK92" s="400"/>
      <c r="AL92" s="204"/>
      <c r="AM92" s="204"/>
      <c r="AN92" s="522"/>
      <c r="AO92" s="400"/>
      <c r="AP92" s="400"/>
      <c r="AQ92" s="204"/>
      <c r="AR92" s="204"/>
      <c r="AS92" s="522"/>
      <c r="AT92" s="400"/>
      <c r="AU92" s="400"/>
      <c r="AV92" s="204"/>
      <c r="AW92" s="204"/>
      <c r="AX92" s="522"/>
    </row>
    <row r="93" spans="2:50" ht="13.5" x14ac:dyDescent="0.2">
      <c r="B93" s="533"/>
      <c r="C93" s="204">
        <v>7</v>
      </c>
      <c r="D93" s="208"/>
      <c r="E93" s="205"/>
      <c r="F93" s="205"/>
      <c r="G93" s="206"/>
      <c r="H93" s="520"/>
      <c r="I93" s="205"/>
      <c r="J93" s="205"/>
      <c r="K93" s="206"/>
      <c r="L93" s="520"/>
      <c r="M93" s="205"/>
      <c r="N93" s="518"/>
      <c r="O93" s="518"/>
      <c r="P93" s="400"/>
      <c r="Q93" s="400"/>
      <c r="R93" s="204"/>
      <c r="S93" s="204"/>
      <c r="T93" s="522"/>
      <c r="U93" s="400"/>
      <c r="V93" s="400"/>
      <c r="W93" s="204"/>
      <c r="X93" s="204"/>
      <c r="Y93" s="522"/>
      <c r="Z93" s="400"/>
      <c r="AA93" s="400"/>
      <c r="AB93" s="204"/>
      <c r="AC93" s="204"/>
      <c r="AD93" s="522"/>
      <c r="AE93" s="400"/>
      <c r="AF93" s="400"/>
      <c r="AG93" s="204"/>
      <c r="AH93" s="204"/>
      <c r="AI93" s="522"/>
      <c r="AJ93" s="400"/>
      <c r="AK93" s="400"/>
      <c r="AL93" s="204"/>
      <c r="AM93" s="204"/>
      <c r="AN93" s="522"/>
      <c r="AO93" s="400"/>
      <c r="AP93" s="400"/>
      <c r="AQ93" s="204"/>
      <c r="AR93" s="204"/>
      <c r="AS93" s="522"/>
      <c r="AT93" s="400"/>
      <c r="AU93" s="400"/>
      <c r="AV93" s="204"/>
      <c r="AW93" s="204"/>
      <c r="AX93" s="522"/>
    </row>
    <row r="94" spans="2:50" ht="13.5" x14ac:dyDescent="0.2">
      <c r="B94" s="533"/>
      <c r="C94" s="204">
        <v>8</v>
      </c>
      <c r="D94" s="208"/>
      <c r="E94" s="204"/>
      <c r="F94" s="204"/>
      <c r="G94" s="204"/>
      <c r="H94" s="520"/>
      <c r="I94" s="205"/>
      <c r="J94" s="205"/>
      <c r="K94" s="206"/>
      <c r="L94" s="520"/>
      <c r="M94" s="205"/>
      <c r="N94" s="518"/>
      <c r="O94" s="518"/>
      <c r="P94" s="400"/>
      <c r="Q94" s="400"/>
      <c r="R94" s="204"/>
      <c r="S94" s="204"/>
      <c r="T94" s="522"/>
      <c r="U94" s="400"/>
      <c r="V94" s="400"/>
      <c r="W94" s="204"/>
      <c r="X94" s="204"/>
      <c r="Y94" s="522"/>
      <c r="Z94" s="400"/>
      <c r="AA94" s="400"/>
      <c r="AB94" s="204"/>
      <c r="AC94" s="204"/>
      <c r="AD94" s="522"/>
      <c r="AE94" s="400"/>
      <c r="AF94" s="400"/>
      <c r="AG94" s="204"/>
      <c r="AH94" s="204"/>
      <c r="AI94" s="522"/>
      <c r="AJ94" s="400"/>
      <c r="AK94" s="400"/>
      <c r="AL94" s="204"/>
      <c r="AM94" s="204"/>
      <c r="AN94" s="522"/>
      <c r="AO94" s="400"/>
      <c r="AP94" s="400"/>
      <c r="AQ94" s="204"/>
      <c r="AR94" s="204"/>
      <c r="AS94" s="522"/>
      <c r="AT94" s="400"/>
      <c r="AU94" s="400"/>
      <c r="AV94" s="204"/>
      <c r="AW94" s="204"/>
      <c r="AX94" s="522"/>
    </row>
    <row r="95" spans="2:50" ht="13.5" x14ac:dyDescent="0.2">
      <c r="B95" s="533"/>
      <c r="C95" s="204">
        <v>9</v>
      </c>
      <c r="D95" s="208"/>
      <c r="E95" s="204"/>
      <c r="F95" s="204"/>
      <c r="G95" s="204"/>
      <c r="H95" s="520"/>
      <c r="I95" s="205"/>
      <c r="J95" s="205"/>
      <c r="K95" s="206"/>
      <c r="L95" s="520"/>
      <c r="M95" s="205"/>
      <c r="N95" s="518"/>
      <c r="O95" s="518"/>
      <c r="P95" s="400"/>
      <c r="Q95" s="400"/>
      <c r="R95" s="204"/>
      <c r="S95" s="204"/>
      <c r="T95" s="522"/>
      <c r="U95" s="400"/>
      <c r="V95" s="400"/>
      <c r="W95" s="204"/>
      <c r="X95" s="204"/>
      <c r="Y95" s="522"/>
      <c r="Z95" s="400"/>
      <c r="AA95" s="400"/>
      <c r="AB95" s="204"/>
      <c r="AC95" s="204"/>
      <c r="AD95" s="522"/>
      <c r="AE95" s="400"/>
      <c r="AF95" s="400"/>
      <c r="AG95" s="204"/>
      <c r="AH95" s="204"/>
      <c r="AI95" s="522"/>
      <c r="AJ95" s="400"/>
      <c r="AK95" s="400"/>
      <c r="AL95" s="204"/>
      <c r="AM95" s="204"/>
      <c r="AN95" s="522"/>
      <c r="AO95" s="400"/>
      <c r="AP95" s="400"/>
      <c r="AQ95" s="204"/>
      <c r="AR95" s="204"/>
      <c r="AS95" s="522"/>
      <c r="AT95" s="400"/>
      <c r="AU95" s="400"/>
      <c r="AV95" s="204"/>
      <c r="AW95" s="204"/>
      <c r="AX95" s="522"/>
    </row>
    <row r="96" spans="2:50" ht="13.5" x14ac:dyDescent="0.2">
      <c r="B96" s="533"/>
      <c r="C96" s="204">
        <v>10</v>
      </c>
      <c r="D96" s="208"/>
      <c r="E96" s="204"/>
      <c r="F96" s="204"/>
      <c r="G96" s="204"/>
      <c r="H96" s="520"/>
      <c r="I96" s="205"/>
      <c r="J96" s="205"/>
      <c r="K96" s="206"/>
      <c r="L96" s="520"/>
      <c r="M96" s="205"/>
      <c r="N96" s="518"/>
      <c r="O96" s="518"/>
      <c r="P96" s="400"/>
      <c r="Q96" s="400"/>
      <c r="R96" s="204"/>
      <c r="S96" s="204"/>
      <c r="T96" s="522"/>
      <c r="U96" s="400"/>
      <c r="V96" s="400"/>
      <c r="W96" s="204"/>
      <c r="X96" s="204"/>
      <c r="Y96" s="522"/>
      <c r="Z96" s="400"/>
      <c r="AA96" s="400"/>
      <c r="AB96" s="204"/>
      <c r="AC96" s="204"/>
      <c r="AD96" s="522"/>
      <c r="AE96" s="400"/>
      <c r="AF96" s="400"/>
      <c r="AG96" s="204"/>
      <c r="AH96" s="204"/>
      <c r="AI96" s="522"/>
      <c r="AJ96" s="400"/>
      <c r="AK96" s="400"/>
      <c r="AL96" s="204"/>
      <c r="AM96" s="204"/>
      <c r="AN96" s="522"/>
      <c r="AO96" s="400"/>
      <c r="AP96" s="400"/>
      <c r="AQ96" s="204"/>
      <c r="AR96" s="204"/>
      <c r="AS96" s="522"/>
      <c r="AT96" s="400"/>
      <c r="AU96" s="400"/>
      <c r="AV96" s="204"/>
      <c r="AW96" s="204"/>
      <c r="AX96" s="522"/>
    </row>
    <row r="97" spans="2:50" ht="13.5" x14ac:dyDescent="0.2">
      <c r="B97" s="533"/>
      <c r="C97" s="204">
        <v>11</v>
      </c>
      <c r="D97" s="208"/>
      <c r="E97" s="204"/>
      <c r="F97" s="204"/>
      <c r="G97" s="204"/>
      <c r="H97" s="520"/>
      <c r="I97" s="205"/>
      <c r="J97" s="205"/>
      <c r="K97" s="206"/>
      <c r="L97" s="520"/>
      <c r="M97" s="205"/>
      <c r="N97" s="518"/>
      <c r="O97" s="518"/>
      <c r="P97" s="398"/>
      <c r="Q97" s="398"/>
      <c r="R97" s="204"/>
      <c r="S97" s="204"/>
      <c r="T97" s="522"/>
      <c r="U97" s="398"/>
      <c r="V97" s="398"/>
      <c r="W97" s="204"/>
      <c r="X97" s="204"/>
      <c r="Y97" s="522"/>
      <c r="Z97" s="398"/>
      <c r="AA97" s="398"/>
      <c r="AB97" s="204"/>
      <c r="AC97" s="204"/>
      <c r="AD97" s="522"/>
      <c r="AE97" s="398"/>
      <c r="AF97" s="398"/>
      <c r="AG97" s="204"/>
      <c r="AH97" s="204"/>
      <c r="AI97" s="522"/>
      <c r="AJ97" s="398"/>
      <c r="AK97" s="398"/>
      <c r="AL97" s="204"/>
      <c r="AM97" s="204"/>
      <c r="AN97" s="522"/>
      <c r="AO97" s="398"/>
      <c r="AP97" s="398"/>
      <c r="AQ97" s="204"/>
      <c r="AR97" s="204"/>
      <c r="AS97" s="522"/>
      <c r="AT97" s="398"/>
      <c r="AU97" s="398"/>
      <c r="AV97" s="204"/>
      <c r="AW97" s="204"/>
      <c r="AX97" s="522"/>
    </row>
    <row r="98" spans="2:50" ht="13.5" x14ac:dyDescent="0.2">
      <c r="B98" s="533"/>
      <c r="C98" s="204">
        <v>12</v>
      </c>
      <c r="D98" s="208"/>
      <c r="E98" s="204"/>
      <c r="F98" s="204"/>
      <c r="G98" s="204"/>
      <c r="H98" s="520"/>
      <c r="I98" s="205"/>
      <c r="J98" s="205"/>
      <c r="K98" s="206"/>
      <c r="L98" s="520"/>
      <c r="M98" s="205"/>
      <c r="N98" s="518"/>
      <c r="O98" s="518"/>
      <c r="P98" s="398"/>
      <c r="Q98" s="398"/>
      <c r="R98" s="204"/>
      <c r="S98" s="204"/>
      <c r="T98" s="522"/>
      <c r="U98" s="398"/>
      <c r="V98" s="398"/>
      <c r="W98" s="204"/>
      <c r="X98" s="204"/>
      <c r="Y98" s="522"/>
      <c r="Z98" s="398"/>
      <c r="AA98" s="398"/>
      <c r="AB98" s="204"/>
      <c r="AC98" s="204"/>
      <c r="AD98" s="522"/>
      <c r="AE98" s="398"/>
      <c r="AF98" s="398"/>
      <c r="AG98" s="204"/>
      <c r="AH98" s="204"/>
      <c r="AI98" s="522"/>
      <c r="AJ98" s="398"/>
      <c r="AK98" s="398"/>
      <c r="AL98" s="204"/>
      <c r="AM98" s="204"/>
      <c r="AN98" s="522"/>
      <c r="AO98" s="398"/>
      <c r="AP98" s="398"/>
      <c r="AQ98" s="204"/>
      <c r="AR98" s="204"/>
      <c r="AS98" s="522"/>
      <c r="AT98" s="398"/>
      <c r="AU98" s="398"/>
      <c r="AV98" s="204"/>
      <c r="AW98" s="204"/>
      <c r="AX98" s="522"/>
    </row>
    <row r="99" spans="2:50" ht="13.5" x14ac:dyDescent="0.2">
      <c r="B99" s="533"/>
      <c r="C99" s="204">
        <v>13</v>
      </c>
      <c r="D99" s="208"/>
      <c r="E99" s="204"/>
      <c r="F99" s="204"/>
      <c r="G99" s="204"/>
      <c r="H99" s="520"/>
      <c r="I99" s="205"/>
      <c r="J99" s="205"/>
      <c r="K99" s="206"/>
      <c r="L99" s="520"/>
      <c r="M99" s="205"/>
      <c r="N99" s="518"/>
      <c r="O99" s="518"/>
      <c r="P99" s="398"/>
      <c r="Q99" s="398"/>
      <c r="R99" s="204"/>
      <c r="S99" s="204"/>
      <c r="T99" s="522"/>
      <c r="U99" s="398"/>
      <c r="V99" s="398"/>
      <c r="W99" s="204"/>
      <c r="X99" s="204"/>
      <c r="Y99" s="522"/>
      <c r="Z99" s="398"/>
      <c r="AA99" s="398"/>
      <c r="AB99" s="204"/>
      <c r="AC99" s="204"/>
      <c r="AD99" s="522"/>
      <c r="AE99" s="398"/>
      <c r="AF99" s="398"/>
      <c r="AG99" s="204"/>
      <c r="AH99" s="204"/>
      <c r="AI99" s="522"/>
      <c r="AJ99" s="398"/>
      <c r="AK99" s="398"/>
      <c r="AL99" s="204"/>
      <c r="AM99" s="204"/>
      <c r="AN99" s="522"/>
      <c r="AO99" s="398"/>
      <c r="AP99" s="398"/>
      <c r="AQ99" s="204"/>
      <c r="AR99" s="204"/>
      <c r="AS99" s="522"/>
      <c r="AT99" s="398"/>
      <c r="AU99" s="398"/>
      <c r="AV99" s="204"/>
      <c r="AW99" s="204"/>
      <c r="AX99" s="522"/>
    </row>
    <row r="100" spans="2:50" ht="13.5" x14ac:dyDescent="0.2">
      <c r="B100" s="533"/>
      <c r="C100" s="204">
        <v>14</v>
      </c>
      <c r="D100" s="208"/>
      <c r="E100" s="204"/>
      <c r="F100" s="204"/>
      <c r="G100" s="204"/>
      <c r="H100" s="520"/>
      <c r="I100" s="205"/>
      <c r="J100" s="205"/>
      <c r="K100" s="206"/>
      <c r="L100" s="520"/>
      <c r="M100" s="205"/>
      <c r="N100" s="518"/>
      <c r="O100" s="518"/>
      <c r="P100" s="398"/>
      <c r="Q100" s="398"/>
      <c r="R100" s="204"/>
      <c r="S100" s="204"/>
      <c r="T100" s="522"/>
      <c r="U100" s="398"/>
      <c r="V100" s="398"/>
      <c r="W100" s="204"/>
      <c r="X100" s="204"/>
      <c r="Y100" s="522"/>
      <c r="Z100" s="398"/>
      <c r="AA100" s="398"/>
      <c r="AB100" s="204"/>
      <c r="AC100" s="204"/>
      <c r="AD100" s="522"/>
      <c r="AE100" s="398"/>
      <c r="AF100" s="398"/>
      <c r="AG100" s="204"/>
      <c r="AH100" s="204"/>
      <c r="AI100" s="522"/>
      <c r="AJ100" s="398"/>
      <c r="AK100" s="398"/>
      <c r="AL100" s="204"/>
      <c r="AM100" s="204"/>
      <c r="AN100" s="522"/>
      <c r="AO100" s="398"/>
      <c r="AP100" s="398"/>
      <c r="AQ100" s="204"/>
      <c r="AR100" s="204"/>
      <c r="AS100" s="522"/>
      <c r="AT100" s="398"/>
      <c r="AU100" s="398"/>
      <c r="AV100" s="204"/>
      <c r="AW100" s="204"/>
      <c r="AX100" s="522"/>
    </row>
    <row r="101" spans="2:50" ht="13.5" x14ac:dyDescent="0.2">
      <c r="B101" s="533"/>
      <c r="C101" s="204">
        <v>15</v>
      </c>
      <c r="D101" s="208"/>
      <c r="E101" s="204"/>
      <c r="F101" s="204"/>
      <c r="G101" s="204"/>
      <c r="H101" s="521"/>
      <c r="I101" s="205"/>
      <c r="J101" s="205"/>
      <c r="K101" s="206"/>
      <c r="L101" s="521"/>
      <c r="M101" s="205"/>
      <c r="N101" s="518"/>
      <c r="O101" s="518"/>
      <c r="P101" s="398"/>
      <c r="Q101" s="398"/>
      <c r="R101" s="204"/>
      <c r="S101" s="204"/>
      <c r="T101" s="522"/>
      <c r="U101" s="398"/>
      <c r="V101" s="398"/>
      <c r="W101" s="204"/>
      <c r="X101" s="204"/>
      <c r="Y101" s="522"/>
      <c r="Z101" s="398"/>
      <c r="AA101" s="398"/>
      <c r="AB101" s="204"/>
      <c r="AC101" s="204"/>
      <c r="AD101" s="522"/>
      <c r="AE101" s="398"/>
      <c r="AF101" s="398"/>
      <c r="AG101" s="204"/>
      <c r="AH101" s="204"/>
      <c r="AI101" s="522"/>
      <c r="AJ101" s="398"/>
      <c r="AK101" s="398"/>
      <c r="AL101" s="204"/>
      <c r="AM101" s="204"/>
      <c r="AN101" s="522"/>
      <c r="AO101" s="398"/>
      <c r="AP101" s="398"/>
      <c r="AQ101" s="204"/>
      <c r="AR101" s="204"/>
      <c r="AS101" s="522"/>
      <c r="AT101" s="398"/>
      <c r="AU101" s="398"/>
      <c r="AV101" s="204"/>
      <c r="AW101" s="204"/>
      <c r="AX101" s="522"/>
    </row>
    <row r="102" spans="2:50" ht="15.75" x14ac:dyDescent="0.2">
      <c r="B102" s="529" t="s">
        <v>84</v>
      </c>
      <c r="C102" s="530"/>
      <c r="D102" s="530"/>
      <c r="E102" s="530"/>
      <c r="F102" s="530"/>
      <c r="G102" s="530"/>
      <c r="H102" s="530"/>
      <c r="I102" s="198"/>
      <c r="J102" s="198"/>
      <c r="K102" s="198"/>
      <c r="L102" s="198"/>
      <c r="M102" s="199"/>
      <c r="N102" s="523" t="s">
        <v>85</v>
      </c>
      <c r="O102" s="523" t="s">
        <v>45</v>
      </c>
      <c r="P102" s="532">
        <v>46203</v>
      </c>
      <c r="Q102" s="533"/>
      <c r="R102" s="533"/>
      <c r="S102" s="533"/>
      <c r="T102" s="533"/>
      <c r="U102" s="532"/>
      <c r="V102" s="533"/>
      <c r="W102" s="533"/>
      <c r="X102" s="533"/>
      <c r="Y102" s="533"/>
      <c r="Z102" s="532"/>
      <c r="AA102" s="533"/>
      <c r="AB102" s="533"/>
      <c r="AC102" s="533"/>
      <c r="AD102" s="533"/>
      <c r="AE102" s="532"/>
      <c r="AF102" s="533"/>
      <c r="AG102" s="533"/>
      <c r="AH102" s="533"/>
      <c r="AI102" s="533"/>
      <c r="AJ102" s="532"/>
      <c r="AK102" s="533"/>
      <c r="AL102" s="533"/>
      <c r="AM102" s="533"/>
      <c r="AN102" s="533"/>
      <c r="AO102" s="532"/>
      <c r="AP102" s="533"/>
      <c r="AQ102" s="533"/>
      <c r="AR102" s="533"/>
      <c r="AS102" s="533"/>
      <c r="AT102" s="532"/>
      <c r="AU102" s="533"/>
      <c r="AV102" s="533"/>
      <c r="AW102" s="533"/>
      <c r="AX102" s="533"/>
    </row>
    <row r="103" spans="2:50" ht="15.75" x14ac:dyDescent="0.2">
      <c r="B103" s="531"/>
      <c r="C103" s="531"/>
      <c r="D103" s="531"/>
      <c r="E103" s="531"/>
      <c r="F103" s="531"/>
      <c r="G103" s="531"/>
      <c r="H103" s="531"/>
      <c r="I103" s="200"/>
      <c r="J103" s="200"/>
      <c r="K103" s="200"/>
      <c r="L103" s="200"/>
      <c r="M103" s="201"/>
      <c r="N103" s="525"/>
      <c r="O103" s="525"/>
      <c r="P103" s="532" t="s">
        <v>57</v>
      </c>
      <c r="Q103" s="533"/>
      <c r="R103" s="533"/>
      <c r="S103" s="533"/>
      <c r="T103" s="533"/>
      <c r="U103" s="532" t="s">
        <v>58</v>
      </c>
      <c r="V103" s="533"/>
      <c r="W103" s="533"/>
      <c r="X103" s="533"/>
      <c r="Y103" s="533"/>
      <c r="Z103" s="532" t="s">
        <v>59</v>
      </c>
      <c r="AA103" s="533"/>
      <c r="AB103" s="533"/>
      <c r="AC103" s="533"/>
      <c r="AD103" s="533"/>
      <c r="AE103" s="532" t="s">
        <v>60</v>
      </c>
      <c r="AF103" s="533"/>
      <c r="AG103" s="533"/>
      <c r="AH103" s="533"/>
      <c r="AI103" s="533"/>
      <c r="AJ103" s="532" t="s">
        <v>55</v>
      </c>
      <c r="AK103" s="533"/>
      <c r="AL103" s="533"/>
      <c r="AM103" s="533"/>
      <c r="AN103" s="533"/>
      <c r="AO103" s="532" t="s">
        <v>52</v>
      </c>
      <c r="AP103" s="533"/>
      <c r="AQ103" s="533"/>
      <c r="AR103" s="533"/>
      <c r="AS103" s="533"/>
      <c r="AT103" s="532" t="s">
        <v>56</v>
      </c>
      <c r="AU103" s="533"/>
      <c r="AV103" s="533"/>
      <c r="AW103" s="533"/>
      <c r="AX103" s="533"/>
    </row>
    <row r="104" spans="2:50" x14ac:dyDescent="0.2">
      <c r="B104" s="518" t="s">
        <v>41</v>
      </c>
      <c r="C104" s="518" t="s">
        <v>86</v>
      </c>
      <c r="D104" s="518"/>
      <c r="E104" s="518" t="s">
        <v>87</v>
      </c>
      <c r="F104" s="518"/>
      <c r="G104" s="518"/>
      <c r="H104" s="515" t="s">
        <v>88</v>
      </c>
      <c r="I104" s="518" t="s">
        <v>89</v>
      </c>
      <c r="J104" s="518"/>
      <c r="K104" s="518"/>
      <c r="L104" s="515" t="s">
        <v>88</v>
      </c>
      <c r="M104" s="523" t="s">
        <v>90</v>
      </c>
      <c r="N104" s="518"/>
      <c r="O104" s="518" t="s">
        <v>91</v>
      </c>
      <c r="P104" s="526" t="s">
        <v>92</v>
      </c>
      <c r="Q104" s="527"/>
      <c r="R104" s="527"/>
      <c r="S104" s="528"/>
      <c r="T104" s="518" t="s">
        <v>88</v>
      </c>
      <c r="U104" s="526" t="s">
        <v>92</v>
      </c>
      <c r="V104" s="527"/>
      <c r="W104" s="527"/>
      <c r="X104" s="528"/>
      <c r="Y104" s="518" t="s">
        <v>88</v>
      </c>
      <c r="Z104" s="526" t="s">
        <v>92</v>
      </c>
      <c r="AA104" s="527"/>
      <c r="AB104" s="527"/>
      <c r="AC104" s="528"/>
      <c r="AD104" s="518" t="s">
        <v>88</v>
      </c>
      <c r="AE104" s="526" t="s">
        <v>92</v>
      </c>
      <c r="AF104" s="527"/>
      <c r="AG104" s="527"/>
      <c r="AH104" s="528"/>
      <c r="AI104" s="518" t="s">
        <v>88</v>
      </c>
      <c r="AJ104" s="526" t="s">
        <v>92</v>
      </c>
      <c r="AK104" s="527"/>
      <c r="AL104" s="527"/>
      <c r="AM104" s="528"/>
      <c r="AN104" s="518" t="s">
        <v>88</v>
      </c>
      <c r="AO104" s="526" t="s">
        <v>92</v>
      </c>
      <c r="AP104" s="527"/>
      <c r="AQ104" s="527"/>
      <c r="AR104" s="528"/>
      <c r="AS104" s="518" t="s">
        <v>88</v>
      </c>
      <c r="AT104" s="526" t="s">
        <v>92</v>
      </c>
      <c r="AU104" s="527"/>
      <c r="AV104" s="527"/>
      <c r="AW104" s="528"/>
      <c r="AX104" s="518" t="s">
        <v>88</v>
      </c>
    </row>
    <row r="105" spans="2:50" x14ac:dyDescent="0.2">
      <c r="B105" s="518"/>
      <c r="C105" s="518"/>
      <c r="D105" s="518"/>
      <c r="E105" s="518" t="s">
        <v>93</v>
      </c>
      <c r="F105" s="518"/>
      <c r="G105" s="518"/>
      <c r="H105" s="516"/>
      <c r="I105" s="518" t="s">
        <v>93</v>
      </c>
      <c r="J105" s="518"/>
      <c r="K105" s="518"/>
      <c r="L105" s="516"/>
      <c r="M105" s="524"/>
      <c r="N105" s="518"/>
      <c r="O105" s="518"/>
      <c r="P105" s="526" t="s">
        <v>94</v>
      </c>
      <c r="Q105" s="527"/>
      <c r="R105" s="527"/>
      <c r="S105" s="528"/>
      <c r="T105" s="518"/>
      <c r="U105" s="526" t="s">
        <v>94</v>
      </c>
      <c r="V105" s="527"/>
      <c r="W105" s="527"/>
      <c r="X105" s="528"/>
      <c r="Y105" s="518"/>
      <c r="Z105" s="526" t="s">
        <v>94</v>
      </c>
      <c r="AA105" s="527"/>
      <c r="AB105" s="527"/>
      <c r="AC105" s="528"/>
      <c r="AD105" s="518"/>
      <c r="AE105" s="526" t="s">
        <v>94</v>
      </c>
      <c r="AF105" s="527"/>
      <c r="AG105" s="527"/>
      <c r="AH105" s="528"/>
      <c r="AI105" s="518"/>
      <c r="AJ105" s="526" t="s">
        <v>94</v>
      </c>
      <c r="AK105" s="527"/>
      <c r="AL105" s="527"/>
      <c r="AM105" s="528"/>
      <c r="AN105" s="518"/>
      <c r="AO105" s="526" t="s">
        <v>94</v>
      </c>
      <c r="AP105" s="527"/>
      <c r="AQ105" s="527"/>
      <c r="AR105" s="528"/>
      <c r="AS105" s="518"/>
      <c r="AT105" s="526" t="s">
        <v>94</v>
      </c>
      <c r="AU105" s="527"/>
      <c r="AV105" s="527"/>
      <c r="AW105" s="528"/>
      <c r="AX105" s="518"/>
    </row>
    <row r="106" spans="2:50" x14ac:dyDescent="0.2">
      <c r="B106" s="518"/>
      <c r="C106" s="518"/>
      <c r="D106" s="518"/>
      <c r="E106" s="203" t="s">
        <v>95</v>
      </c>
      <c r="F106" s="203" t="s">
        <v>96</v>
      </c>
      <c r="G106" s="203" t="s">
        <v>97</v>
      </c>
      <c r="H106" s="517"/>
      <c r="I106" s="203" t="s">
        <v>95</v>
      </c>
      <c r="J106" s="203" t="s">
        <v>96</v>
      </c>
      <c r="K106" s="203" t="s">
        <v>97</v>
      </c>
      <c r="L106" s="517"/>
      <c r="M106" s="525"/>
      <c r="N106" s="518"/>
      <c r="O106" s="518"/>
      <c r="P106" s="203" t="s">
        <v>95</v>
      </c>
      <c r="Q106" s="203" t="s">
        <v>96</v>
      </c>
      <c r="R106" s="203" t="s">
        <v>97</v>
      </c>
      <c r="S106" s="203" t="s">
        <v>90</v>
      </c>
      <c r="T106" s="518"/>
      <c r="U106" s="203" t="s">
        <v>95</v>
      </c>
      <c r="V106" s="203" t="s">
        <v>96</v>
      </c>
      <c r="W106" s="203" t="s">
        <v>97</v>
      </c>
      <c r="X106" s="203" t="s">
        <v>90</v>
      </c>
      <c r="Y106" s="518"/>
      <c r="Z106" s="203" t="s">
        <v>95</v>
      </c>
      <c r="AA106" s="203" t="s">
        <v>96</v>
      </c>
      <c r="AB106" s="203" t="s">
        <v>97</v>
      </c>
      <c r="AC106" s="203" t="s">
        <v>90</v>
      </c>
      <c r="AD106" s="518"/>
      <c r="AE106" s="203" t="s">
        <v>95</v>
      </c>
      <c r="AF106" s="203" t="s">
        <v>96</v>
      </c>
      <c r="AG106" s="203" t="s">
        <v>97</v>
      </c>
      <c r="AH106" s="203" t="s">
        <v>90</v>
      </c>
      <c r="AI106" s="518"/>
      <c r="AJ106" s="203" t="s">
        <v>95</v>
      </c>
      <c r="AK106" s="203" t="s">
        <v>96</v>
      </c>
      <c r="AL106" s="203" t="s">
        <v>97</v>
      </c>
      <c r="AM106" s="203" t="s">
        <v>90</v>
      </c>
      <c r="AN106" s="518"/>
      <c r="AO106" s="203" t="s">
        <v>95</v>
      </c>
      <c r="AP106" s="203" t="s">
        <v>96</v>
      </c>
      <c r="AQ106" s="203" t="s">
        <v>97</v>
      </c>
      <c r="AR106" s="203" t="s">
        <v>90</v>
      </c>
      <c r="AS106" s="518"/>
      <c r="AT106" s="203" t="s">
        <v>95</v>
      </c>
      <c r="AU106" s="203" t="s">
        <v>96</v>
      </c>
      <c r="AV106" s="203" t="s">
        <v>97</v>
      </c>
      <c r="AW106" s="203" t="s">
        <v>90</v>
      </c>
      <c r="AX106" s="518"/>
    </row>
    <row r="107" spans="2:50" ht="13.5" x14ac:dyDescent="0.2">
      <c r="B107" s="518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45">F107/E107</f>
        <v>104.33333333333333</v>
      </c>
      <c r="H107" s="519">
        <f>AVERAGE(G107:G121)</f>
        <v>125.67424242424242</v>
      </c>
      <c r="I107" s="205">
        <f t="shared" ref="I107:J108" si="46">AVERAGE(P107,U107,Z107,AE107,AJ107,AO107,AT107)</f>
        <v>15</v>
      </c>
      <c r="J107" s="205">
        <f t="shared" si="46"/>
        <v>1558</v>
      </c>
      <c r="K107" s="206">
        <f t="shared" ref="K107:K108" si="47">J107/I107</f>
        <v>103.86666666666666</v>
      </c>
      <c r="L107" s="519" t="str">
        <f>IFERROR(AVERAGE(K107:K121),"-")</f>
        <v>-</v>
      </c>
      <c r="M107" s="207" t="e">
        <f>RANK(K107,$K$107:$K$121)</f>
        <v>#DIV/0!</v>
      </c>
      <c r="N107" s="518"/>
      <c r="O107" s="518"/>
      <c r="P107" s="205"/>
      <c r="Q107" s="205"/>
      <c r="R107" s="206"/>
      <c r="S107" s="204" t="e">
        <f>RANK(R107, R$7:R$21)</f>
        <v>#DIV/0!</v>
      </c>
      <c r="T107" s="522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22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22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22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48">RANK(AL107,AL$107:AL$109)</f>
        <v>2</v>
      </c>
      <c r="AN107" s="522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49">RANK(AQ107,AQ$107:AQ$109)</f>
        <v>#DIV/0!</v>
      </c>
      <c r="AS107" s="522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50">RANK(AV107,AV$107:AV$109)</f>
        <v>#DIV/0!</v>
      </c>
      <c r="AX107" s="522" t="e">
        <f>AVERAGE(AV107:AV121)</f>
        <v>#DIV/0!</v>
      </c>
    </row>
    <row r="108" spans="2:50" ht="13.5" x14ac:dyDescent="0.2">
      <c r="B108" s="533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45"/>
        <v>130.41666666666666</v>
      </c>
      <c r="H108" s="520"/>
      <c r="I108" s="205">
        <f t="shared" si="46"/>
        <v>12</v>
      </c>
      <c r="J108" s="205">
        <f t="shared" si="46"/>
        <v>1340</v>
      </c>
      <c r="K108" s="206">
        <f t="shared" si="47"/>
        <v>111.66666666666667</v>
      </c>
      <c r="L108" s="520"/>
      <c r="M108" s="207" t="e">
        <f>RANK(K108,$K$107:$K$121)</f>
        <v>#DIV/0!</v>
      </c>
      <c r="N108" s="518"/>
      <c r="O108" s="518"/>
      <c r="P108" s="205"/>
      <c r="Q108" s="205"/>
      <c r="R108" s="206"/>
      <c r="S108" s="204" t="e">
        <f>RANK(R108, R$7:R$21)</f>
        <v>#DIV/0!</v>
      </c>
      <c r="T108" s="522"/>
      <c r="U108" s="205"/>
      <c r="V108" s="205"/>
      <c r="W108" s="206" t="e">
        <f t="shared" ref="W108:W109" si="51">V108/U108</f>
        <v>#DIV/0!</v>
      </c>
      <c r="X108" s="204" t="e">
        <f t="shared" ref="X108:X109" si="52">RANK(W108,W$107:W$109)</f>
        <v>#DIV/0!</v>
      </c>
      <c r="Y108" s="522"/>
      <c r="Z108" s="205"/>
      <c r="AA108" s="205"/>
      <c r="AB108" s="206" t="e">
        <f t="shared" ref="AB108:AB109" si="53">AA108/Z108</f>
        <v>#DIV/0!</v>
      </c>
      <c r="AC108" s="204" t="e">
        <f t="shared" ref="AC108:AC109" si="54">RANK(AB108,AB$107:AB$109)</f>
        <v>#DIV/0!</v>
      </c>
      <c r="AD108" s="522"/>
      <c r="AE108" s="205"/>
      <c r="AF108" s="205"/>
      <c r="AG108" s="206" t="e">
        <f>AF108/AE108</f>
        <v>#DIV/0!</v>
      </c>
      <c r="AH108" s="204" t="e">
        <f t="shared" ref="AH108:AH109" si="55">RANK(AG108,AG$107:AG$109)</f>
        <v>#DIV/0!</v>
      </c>
      <c r="AI108" s="522"/>
      <c r="AJ108" s="205">
        <v>12</v>
      </c>
      <c r="AK108" s="205">
        <v>1340</v>
      </c>
      <c r="AL108" s="206">
        <f>AK108/AJ108</f>
        <v>111.66666666666667</v>
      </c>
      <c r="AM108" s="204">
        <f t="shared" si="48"/>
        <v>1</v>
      </c>
      <c r="AN108" s="522"/>
      <c r="AO108" s="205"/>
      <c r="AP108" s="205"/>
      <c r="AQ108" s="206" t="e">
        <f>AP108/AO108</f>
        <v>#DIV/0!</v>
      </c>
      <c r="AR108" s="204" t="e">
        <f t="shared" si="49"/>
        <v>#DIV/0!</v>
      </c>
      <c r="AS108" s="522"/>
      <c r="AT108" s="205"/>
      <c r="AU108" s="205"/>
      <c r="AV108" s="206" t="e">
        <f>AU108/AT108</f>
        <v>#DIV/0!</v>
      </c>
      <c r="AW108" s="204" t="e">
        <f t="shared" si="50"/>
        <v>#DIV/0!</v>
      </c>
      <c r="AX108" s="522"/>
    </row>
    <row r="109" spans="2:50" ht="13.5" x14ac:dyDescent="0.2">
      <c r="B109" s="533"/>
      <c r="C109" s="204">
        <v>3</v>
      </c>
      <c r="D109" s="208" t="s">
        <v>100</v>
      </c>
      <c r="E109" s="205">
        <f>VLOOKUP(D109,'12產線配置圖'!$A$26:$C$33,2,0)</f>
        <v>11</v>
      </c>
      <c r="F109" s="205">
        <f>VLOOKUP(D109,'12產線配置圖'!$A$26:$C$33,3,0)</f>
        <v>1565</v>
      </c>
      <c r="G109" s="206">
        <f>F109/E109</f>
        <v>142.27272727272728</v>
      </c>
      <c r="H109" s="520"/>
      <c r="I109" s="205" t="e">
        <f>AVERAGE(P109,U109,Z109,AE109,AJ109,AO109,AT109)</f>
        <v>#DIV/0!</v>
      </c>
      <c r="J109" s="205" t="e">
        <f>AVERAGE(Q109,V109,AA109,AF109,AK109,AP109,AU109)</f>
        <v>#DIV/0!</v>
      </c>
      <c r="K109" s="206" t="e">
        <f>J109/I109</f>
        <v>#DIV/0!</v>
      </c>
      <c r="L109" s="520"/>
      <c r="M109" s="207"/>
      <c r="N109" s="518"/>
      <c r="O109" s="518"/>
      <c r="P109" s="205"/>
      <c r="Q109" s="205"/>
      <c r="R109" s="206"/>
      <c r="S109" s="204"/>
      <c r="T109" s="522"/>
      <c r="U109" s="205"/>
      <c r="V109" s="205"/>
      <c r="W109" s="206" t="e">
        <f t="shared" si="51"/>
        <v>#DIV/0!</v>
      </c>
      <c r="X109" s="204" t="e">
        <f t="shared" si="52"/>
        <v>#DIV/0!</v>
      </c>
      <c r="Y109" s="522"/>
      <c r="Z109" s="205"/>
      <c r="AA109" s="205"/>
      <c r="AB109" s="206" t="e">
        <f t="shared" si="53"/>
        <v>#DIV/0!</v>
      </c>
      <c r="AC109" s="204" t="e">
        <f t="shared" si="54"/>
        <v>#DIV/0!</v>
      </c>
      <c r="AD109" s="522"/>
      <c r="AE109" s="205"/>
      <c r="AF109" s="205"/>
      <c r="AG109" s="206" t="e">
        <f>AF109/AE109</f>
        <v>#DIV/0!</v>
      </c>
      <c r="AH109" s="204" t="e">
        <f t="shared" si="55"/>
        <v>#DIV/0!</v>
      </c>
      <c r="AI109" s="522"/>
      <c r="AJ109" s="205"/>
      <c r="AK109" s="205"/>
      <c r="AL109" s="206"/>
      <c r="AM109" s="204"/>
      <c r="AN109" s="522"/>
      <c r="AO109" s="205"/>
      <c r="AP109" s="205"/>
      <c r="AQ109" s="206" t="e">
        <f>AP109/AO109</f>
        <v>#DIV/0!</v>
      </c>
      <c r="AR109" s="204" t="e">
        <f t="shared" si="49"/>
        <v>#DIV/0!</v>
      </c>
      <c r="AS109" s="522"/>
      <c r="AT109" s="205"/>
      <c r="AU109" s="205"/>
      <c r="AV109" s="206" t="e">
        <f>AU109/AT109</f>
        <v>#DIV/0!</v>
      </c>
      <c r="AW109" s="204" t="e">
        <f t="shared" si="50"/>
        <v>#DIV/0!</v>
      </c>
      <c r="AX109" s="522"/>
    </row>
    <row r="110" spans="2:50" ht="13.5" x14ac:dyDescent="0.2">
      <c r="B110" s="533"/>
      <c r="C110" s="204">
        <v>4</v>
      </c>
      <c r="D110" s="208"/>
      <c r="E110" s="205"/>
      <c r="F110" s="205"/>
      <c r="G110" s="206"/>
      <c r="H110" s="520"/>
      <c r="I110" s="205"/>
      <c r="J110" s="205"/>
      <c r="K110" s="206"/>
      <c r="L110" s="520"/>
      <c r="M110" s="207" t="e">
        <f>RANK(K110,$K$107:$K$121)</f>
        <v>#DIV/0!</v>
      </c>
      <c r="N110" s="518"/>
      <c r="O110" s="518"/>
      <c r="P110" s="205"/>
      <c r="Q110" s="205"/>
      <c r="R110" s="206"/>
      <c r="S110" s="204" t="e">
        <f>RANK(R110, R$7:R$21)</f>
        <v>#DIV/0!</v>
      </c>
      <c r="T110" s="522"/>
      <c r="U110" s="205"/>
      <c r="V110" s="205"/>
      <c r="W110" s="206"/>
      <c r="X110" s="204"/>
      <c r="Y110" s="522"/>
      <c r="Z110" s="204"/>
      <c r="AA110" s="205"/>
      <c r="AB110" s="206"/>
      <c r="AC110" s="204"/>
      <c r="AD110" s="522"/>
      <c r="AE110" s="205"/>
      <c r="AF110" s="205"/>
      <c r="AG110" s="206"/>
      <c r="AH110" s="204"/>
      <c r="AI110" s="522"/>
      <c r="AJ110" s="205"/>
      <c r="AK110" s="205"/>
      <c r="AL110" s="206"/>
      <c r="AM110" s="204"/>
      <c r="AN110" s="522"/>
      <c r="AO110" s="205"/>
      <c r="AP110" s="205"/>
      <c r="AQ110" s="206"/>
      <c r="AR110" s="204"/>
      <c r="AS110" s="522"/>
      <c r="AT110" s="205"/>
      <c r="AU110" s="205"/>
      <c r="AV110" s="206"/>
      <c r="AW110" s="204"/>
      <c r="AX110" s="522"/>
    </row>
    <row r="111" spans="2:50" x14ac:dyDescent="0.2">
      <c r="B111" s="533"/>
      <c r="C111" s="204">
        <v>5</v>
      </c>
      <c r="D111" s="204"/>
      <c r="E111" s="205"/>
      <c r="F111" s="205"/>
      <c r="G111" s="206"/>
      <c r="H111" s="520"/>
      <c r="I111" s="205"/>
      <c r="J111" s="205"/>
      <c r="K111" s="206"/>
      <c r="L111" s="520"/>
      <c r="M111" s="207"/>
      <c r="N111" s="518"/>
      <c r="O111" s="518"/>
      <c r="P111" s="205"/>
      <c r="Q111" s="205"/>
      <c r="R111" s="206"/>
      <c r="S111" s="204"/>
      <c r="T111" s="522"/>
      <c r="U111" s="205"/>
      <c r="V111" s="205"/>
      <c r="W111" s="206"/>
      <c r="X111" s="204"/>
      <c r="Y111" s="522"/>
      <c r="Z111" s="204"/>
      <c r="AA111" s="205"/>
      <c r="AB111" s="206"/>
      <c r="AC111" s="204"/>
      <c r="AD111" s="522"/>
      <c r="AE111" s="205"/>
      <c r="AF111" s="205"/>
      <c r="AG111" s="206"/>
      <c r="AH111" s="204"/>
      <c r="AI111" s="522"/>
      <c r="AJ111" s="205"/>
      <c r="AK111" s="205"/>
      <c r="AL111" s="206"/>
      <c r="AM111" s="204"/>
      <c r="AN111" s="522"/>
      <c r="AO111" s="205"/>
      <c r="AP111" s="205"/>
      <c r="AQ111" s="206"/>
      <c r="AR111" s="204"/>
      <c r="AS111" s="522"/>
      <c r="AT111" s="205"/>
      <c r="AU111" s="205"/>
      <c r="AV111" s="206"/>
      <c r="AW111" s="204"/>
      <c r="AX111" s="522"/>
    </row>
    <row r="112" spans="2:50" x14ac:dyDescent="0.2">
      <c r="B112" s="533"/>
      <c r="C112" s="204">
        <v>6</v>
      </c>
      <c r="D112" s="204"/>
      <c r="E112" s="205"/>
      <c r="F112" s="205"/>
      <c r="G112" s="206"/>
      <c r="H112" s="520"/>
      <c r="I112" s="205"/>
      <c r="J112" s="205"/>
      <c r="K112" s="206"/>
      <c r="L112" s="520"/>
      <c r="M112" s="207"/>
      <c r="N112" s="518"/>
      <c r="O112" s="518"/>
      <c r="P112" s="205"/>
      <c r="Q112" s="205"/>
      <c r="R112" s="206"/>
      <c r="S112" s="204"/>
      <c r="T112" s="522"/>
      <c r="U112" s="205"/>
      <c r="V112" s="205"/>
      <c r="W112" s="206"/>
      <c r="X112" s="204"/>
      <c r="Y112" s="522"/>
      <c r="Z112" s="204"/>
      <c r="AA112" s="205"/>
      <c r="AB112" s="206"/>
      <c r="AC112" s="204"/>
      <c r="AD112" s="522"/>
      <c r="AE112" s="205"/>
      <c r="AF112" s="205"/>
      <c r="AG112" s="206"/>
      <c r="AH112" s="204"/>
      <c r="AI112" s="522"/>
      <c r="AJ112" s="205"/>
      <c r="AK112" s="205"/>
      <c r="AL112" s="206"/>
      <c r="AM112" s="204"/>
      <c r="AN112" s="522"/>
      <c r="AO112" s="205"/>
      <c r="AP112" s="205"/>
      <c r="AQ112" s="206"/>
      <c r="AR112" s="204"/>
      <c r="AS112" s="522"/>
      <c r="AT112" s="205"/>
      <c r="AU112" s="205"/>
      <c r="AV112" s="206"/>
      <c r="AW112" s="204"/>
      <c r="AX112" s="522"/>
    </row>
    <row r="113" spans="2:50" x14ac:dyDescent="0.2">
      <c r="B113" s="533"/>
      <c r="C113" s="204">
        <v>7</v>
      </c>
      <c r="D113" s="204"/>
      <c r="E113" s="205"/>
      <c r="F113" s="205"/>
      <c r="G113" s="206"/>
      <c r="H113" s="520"/>
      <c r="I113" s="205"/>
      <c r="J113" s="205"/>
      <c r="K113" s="206"/>
      <c r="L113" s="520"/>
      <c r="M113" s="207"/>
      <c r="N113" s="518"/>
      <c r="O113" s="518"/>
      <c r="P113" s="205"/>
      <c r="Q113" s="205"/>
      <c r="R113" s="206"/>
      <c r="S113" s="204"/>
      <c r="T113" s="522"/>
      <c r="U113" s="205"/>
      <c r="V113" s="205"/>
      <c r="W113" s="206"/>
      <c r="X113" s="204"/>
      <c r="Y113" s="522"/>
      <c r="Z113" s="204"/>
      <c r="AA113" s="205"/>
      <c r="AB113" s="206"/>
      <c r="AC113" s="204"/>
      <c r="AD113" s="522"/>
      <c r="AE113" s="205"/>
      <c r="AF113" s="205"/>
      <c r="AG113" s="206"/>
      <c r="AH113" s="204"/>
      <c r="AI113" s="522"/>
      <c r="AJ113" s="205"/>
      <c r="AK113" s="205"/>
      <c r="AL113" s="206"/>
      <c r="AM113" s="204"/>
      <c r="AN113" s="522"/>
      <c r="AO113" s="205"/>
      <c r="AP113" s="205"/>
      <c r="AQ113" s="206"/>
      <c r="AR113" s="204"/>
      <c r="AS113" s="522"/>
      <c r="AT113" s="205"/>
      <c r="AU113" s="205"/>
      <c r="AV113" s="206"/>
      <c r="AW113" s="204"/>
      <c r="AX113" s="522"/>
    </row>
    <row r="114" spans="2:50" x14ac:dyDescent="0.2">
      <c r="B114" s="533"/>
      <c r="C114" s="204">
        <v>8</v>
      </c>
      <c r="D114" s="204"/>
      <c r="E114" s="205"/>
      <c r="F114" s="205"/>
      <c r="G114" s="206"/>
      <c r="H114" s="520"/>
      <c r="I114" s="205"/>
      <c r="J114" s="205"/>
      <c r="K114" s="206"/>
      <c r="L114" s="520"/>
      <c r="M114" s="207"/>
      <c r="N114" s="518"/>
      <c r="O114" s="518"/>
      <c r="P114" s="205"/>
      <c r="Q114" s="205"/>
      <c r="R114" s="206"/>
      <c r="S114" s="204"/>
      <c r="T114" s="522"/>
      <c r="U114" s="205"/>
      <c r="V114" s="205"/>
      <c r="W114" s="206"/>
      <c r="X114" s="204"/>
      <c r="Y114" s="522"/>
      <c r="Z114" s="204"/>
      <c r="AA114" s="205"/>
      <c r="AB114" s="206"/>
      <c r="AC114" s="204"/>
      <c r="AD114" s="522"/>
      <c r="AE114" s="205"/>
      <c r="AF114" s="205"/>
      <c r="AG114" s="206"/>
      <c r="AH114" s="204"/>
      <c r="AI114" s="522"/>
      <c r="AJ114" s="205"/>
      <c r="AK114" s="205"/>
      <c r="AL114" s="206"/>
      <c r="AM114" s="204"/>
      <c r="AN114" s="522"/>
      <c r="AO114" s="205"/>
      <c r="AP114" s="205"/>
      <c r="AQ114" s="206"/>
      <c r="AR114" s="204"/>
      <c r="AS114" s="522"/>
      <c r="AT114" s="205"/>
      <c r="AU114" s="205"/>
      <c r="AV114" s="206"/>
      <c r="AW114" s="204"/>
      <c r="AX114" s="522"/>
    </row>
    <row r="115" spans="2:50" x14ac:dyDescent="0.2">
      <c r="B115" s="533"/>
      <c r="C115" s="204">
        <v>9</v>
      </c>
      <c r="D115" s="204"/>
      <c r="E115" s="205"/>
      <c r="F115" s="205"/>
      <c r="G115" s="206"/>
      <c r="H115" s="520"/>
      <c r="I115" s="205"/>
      <c r="J115" s="205"/>
      <c r="K115" s="206"/>
      <c r="L115" s="520"/>
      <c r="M115" s="207"/>
      <c r="N115" s="518"/>
      <c r="O115" s="518"/>
      <c r="P115" s="205"/>
      <c r="Q115" s="205"/>
      <c r="R115" s="206"/>
      <c r="S115" s="204"/>
      <c r="T115" s="522"/>
      <c r="U115" s="205"/>
      <c r="V115" s="205"/>
      <c r="W115" s="206"/>
      <c r="X115" s="204"/>
      <c r="Y115" s="522"/>
      <c r="Z115" s="204"/>
      <c r="AA115" s="205"/>
      <c r="AB115" s="206"/>
      <c r="AC115" s="204"/>
      <c r="AD115" s="522"/>
      <c r="AE115" s="205"/>
      <c r="AF115" s="205"/>
      <c r="AG115" s="206"/>
      <c r="AH115" s="204"/>
      <c r="AI115" s="522"/>
      <c r="AJ115" s="205"/>
      <c r="AK115" s="205"/>
      <c r="AL115" s="206"/>
      <c r="AM115" s="204"/>
      <c r="AN115" s="522"/>
      <c r="AO115" s="205"/>
      <c r="AP115" s="205"/>
      <c r="AQ115" s="206"/>
      <c r="AR115" s="204"/>
      <c r="AS115" s="522"/>
      <c r="AT115" s="205"/>
      <c r="AU115" s="205"/>
      <c r="AV115" s="206"/>
      <c r="AW115" s="204"/>
      <c r="AX115" s="522"/>
    </row>
    <row r="116" spans="2:50" x14ac:dyDescent="0.2">
      <c r="B116" s="533"/>
      <c r="C116" s="204">
        <v>10</v>
      </c>
      <c r="D116" s="204"/>
      <c r="E116" s="205"/>
      <c r="F116" s="205"/>
      <c r="G116" s="206"/>
      <c r="H116" s="520"/>
      <c r="I116" s="205"/>
      <c r="J116" s="205"/>
      <c r="K116" s="206"/>
      <c r="L116" s="520"/>
      <c r="M116" s="207"/>
      <c r="N116" s="518"/>
      <c r="O116" s="518"/>
      <c r="P116" s="205"/>
      <c r="Q116" s="205"/>
      <c r="R116" s="206"/>
      <c r="S116" s="204"/>
      <c r="T116" s="522"/>
      <c r="U116" s="205"/>
      <c r="V116" s="205"/>
      <c r="W116" s="206"/>
      <c r="X116" s="204"/>
      <c r="Y116" s="522"/>
      <c r="Z116" s="204"/>
      <c r="AA116" s="205"/>
      <c r="AB116" s="206"/>
      <c r="AC116" s="204"/>
      <c r="AD116" s="522"/>
      <c r="AE116" s="205"/>
      <c r="AF116" s="205"/>
      <c r="AG116" s="206"/>
      <c r="AH116" s="204"/>
      <c r="AI116" s="522"/>
      <c r="AJ116" s="205"/>
      <c r="AK116" s="205"/>
      <c r="AL116" s="206"/>
      <c r="AM116" s="204"/>
      <c r="AN116" s="522"/>
      <c r="AO116" s="205"/>
      <c r="AP116" s="205"/>
      <c r="AQ116" s="206"/>
      <c r="AR116" s="204"/>
      <c r="AS116" s="522"/>
      <c r="AT116" s="205"/>
      <c r="AU116" s="205"/>
      <c r="AV116" s="206"/>
      <c r="AW116" s="204"/>
      <c r="AX116" s="522"/>
    </row>
    <row r="117" spans="2:50" x14ac:dyDescent="0.2">
      <c r="B117" s="533"/>
      <c r="C117" s="204">
        <v>11</v>
      </c>
      <c r="D117" s="204"/>
      <c r="E117" s="205"/>
      <c r="F117" s="205"/>
      <c r="G117" s="206"/>
      <c r="H117" s="520"/>
      <c r="I117" s="205"/>
      <c r="J117" s="205"/>
      <c r="K117" s="206"/>
      <c r="L117" s="520"/>
      <c r="M117" s="207"/>
      <c r="N117" s="518"/>
      <c r="O117" s="518"/>
      <c r="P117" s="204"/>
      <c r="Q117" s="204"/>
      <c r="R117" s="206"/>
      <c r="S117" s="204"/>
      <c r="T117" s="522"/>
      <c r="U117" s="204"/>
      <c r="V117" s="204"/>
      <c r="W117" s="206"/>
      <c r="X117" s="204"/>
      <c r="Y117" s="522"/>
      <c r="Z117" s="204"/>
      <c r="AA117" s="204"/>
      <c r="AB117" s="206"/>
      <c r="AC117" s="204"/>
      <c r="AD117" s="522"/>
      <c r="AE117" s="204"/>
      <c r="AF117" s="204"/>
      <c r="AG117" s="206"/>
      <c r="AH117" s="204"/>
      <c r="AI117" s="522"/>
      <c r="AJ117" s="204"/>
      <c r="AK117" s="204"/>
      <c r="AL117" s="204"/>
      <c r="AM117" s="204"/>
      <c r="AN117" s="522"/>
      <c r="AO117" s="204"/>
      <c r="AP117" s="204"/>
      <c r="AQ117" s="206"/>
      <c r="AR117" s="204"/>
      <c r="AS117" s="522"/>
      <c r="AT117" s="204"/>
      <c r="AU117" s="204"/>
      <c r="AV117" s="206"/>
      <c r="AW117" s="204"/>
      <c r="AX117" s="522"/>
    </row>
    <row r="118" spans="2:50" x14ac:dyDescent="0.2">
      <c r="B118" s="533"/>
      <c r="C118" s="204">
        <v>12</v>
      </c>
      <c r="D118" s="204"/>
      <c r="E118" s="205"/>
      <c r="F118" s="205"/>
      <c r="G118" s="206"/>
      <c r="H118" s="520"/>
      <c r="I118" s="205"/>
      <c r="J118" s="205"/>
      <c r="K118" s="206"/>
      <c r="L118" s="520"/>
      <c r="M118" s="207"/>
      <c r="N118" s="518"/>
      <c r="O118" s="518"/>
      <c r="P118" s="204"/>
      <c r="Q118" s="204"/>
      <c r="R118" s="206"/>
      <c r="S118" s="204"/>
      <c r="T118" s="522"/>
      <c r="U118" s="204"/>
      <c r="V118" s="204"/>
      <c r="W118" s="206"/>
      <c r="X118" s="204"/>
      <c r="Y118" s="522"/>
      <c r="Z118" s="204"/>
      <c r="AA118" s="204"/>
      <c r="AB118" s="206"/>
      <c r="AC118" s="204"/>
      <c r="AD118" s="522"/>
      <c r="AE118" s="204"/>
      <c r="AF118" s="204"/>
      <c r="AG118" s="206"/>
      <c r="AH118" s="204"/>
      <c r="AI118" s="522"/>
      <c r="AJ118" s="204"/>
      <c r="AK118" s="204"/>
      <c r="AL118" s="204"/>
      <c r="AM118" s="204"/>
      <c r="AN118" s="522"/>
      <c r="AO118" s="204"/>
      <c r="AP118" s="204"/>
      <c r="AQ118" s="206"/>
      <c r="AR118" s="204"/>
      <c r="AS118" s="522"/>
      <c r="AT118" s="204"/>
      <c r="AU118" s="204"/>
      <c r="AV118" s="206"/>
      <c r="AW118" s="204"/>
      <c r="AX118" s="522"/>
    </row>
    <row r="119" spans="2:50" x14ac:dyDescent="0.2">
      <c r="B119" s="533"/>
      <c r="C119" s="204">
        <v>13</v>
      </c>
      <c r="D119" s="204"/>
      <c r="E119" s="205"/>
      <c r="F119" s="205"/>
      <c r="G119" s="206"/>
      <c r="H119" s="520"/>
      <c r="I119" s="205"/>
      <c r="J119" s="205"/>
      <c r="K119" s="206"/>
      <c r="L119" s="520"/>
      <c r="M119" s="207"/>
      <c r="N119" s="518"/>
      <c r="O119" s="518"/>
      <c r="P119" s="204"/>
      <c r="Q119" s="204"/>
      <c r="R119" s="206"/>
      <c r="S119" s="204"/>
      <c r="T119" s="522"/>
      <c r="U119" s="204"/>
      <c r="V119" s="204"/>
      <c r="W119" s="206"/>
      <c r="X119" s="204"/>
      <c r="Y119" s="522"/>
      <c r="Z119" s="204"/>
      <c r="AA119" s="204"/>
      <c r="AB119" s="206"/>
      <c r="AC119" s="204"/>
      <c r="AD119" s="522"/>
      <c r="AE119" s="204"/>
      <c r="AF119" s="204"/>
      <c r="AG119" s="206"/>
      <c r="AH119" s="204"/>
      <c r="AI119" s="522"/>
      <c r="AJ119" s="204"/>
      <c r="AK119" s="204"/>
      <c r="AL119" s="204"/>
      <c r="AM119" s="204"/>
      <c r="AN119" s="522"/>
      <c r="AO119" s="204"/>
      <c r="AP119" s="204"/>
      <c r="AQ119" s="206"/>
      <c r="AR119" s="204"/>
      <c r="AS119" s="522"/>
      <c r="AT119" s="204"/>
      <c r="AU119" s="204"/>
      <c r="AV119" s="206"/>
      <c r="AW119" s="204"/>
      <c r="AX119" s="522"/>
    </row>
    <row r="120" spans="2:50" x14ac:dyDescent="0.2">
      <c r="B120" s="533"/>
      <c r="C120" s="204">
        <v>14</v>
      </c>
      <c r="D120" s="204"/>
      <c r="E120" s="205"/>
      <c r="F120" s="205"/>
      <c r="G120" s="206"/>
      <c r="H120" s="520"/>
      <c r="I120" s="205"/>
      <c r="J120" s="205"/>
      <c r="K120" s="206"/>
      <c r="L120" s="520"/>
      <c r="M120" s="207"/>
      <c r="N120" s="518"/>
      <c r="O120" s="518"/>
      <c r="P120" s="204"/>
      <c r="Q120" s="204"/>
      <c r="R120" s="206"/>
      <c r="S120" s="204"/>
      <c r="T120" s="522"/>
      <c r="U120" s="204"/>
      <c r="V120" s="204"/>
      <c r="W120" s="206"/>
      <c r="X120" s="204"/>
      <c r="Y120" s="522"/>
      <c r="Z120" s="204"/>
      <c r="AA120" s="204"/>
      <c r="AB120" s="206"/>
      <c r="AC120" s="204"/>
      <c r="AD120" s="522"/>
      <c r="AE120" s="204"/>
      <c r="AF120" s="204"/>
      <c r="AG120" s="206"/>
      <c r="AH120" s="204"/>
      <c r="AI120" s="522"/>
      <c r="AJ120" s="204"/>
      <c r="AK120" s="204"/>
      <c r="AL120" s="204"/>
      <c r="AM120" s="204"/>
      <c r="AN120" s="522"/>
      <c r="AO120" s="204"/>
      <c r="AP120" s="204"/>
      <c r="AQ120" s="206"/>
      <c r="AR120" s="204"/>
      <c r="AS120" s="522"/>
      <c r="AT120" s="204"/>
      <c r="AU120" s="204"/>
      <c r="AV120" s="206"/>
      <c r="AW120" s="204"/>
      <c r="AX120" s="522"/>
    </row>
    <row r="121" spans="2:50" x14ac:dyDescent="0.2">
      <c r="B121" s="533"/>
      <c r="C121" s="204">
        <v>15</v>
      </c>
      <c r="D121" s="204"/>
      <c r="E121" s="205"/>
      <c r="F121" s="205"/>
      <c r="G121" s="206"/>
      <c r="H121" s="521"/>
      <c r="I121" s="205"/>
      <c r="J121" s="205"/>
      <c r="K121" s="206"/>
      <c r="L121" s="521"/>
      <c r="M121" s="205"/>
      <c r="N121" s="518"/>
      <c r="O121" s="518"/>
      <c r="P121" s="204"/>
      <c r="Q121" s="204"/>
      <c r="R121" s="206"/>
      <c r="S121" s="204"/>
      <c r="T121" s="522"/>
      <c r="U121" s="204"/>
      <c r="V121" s="204"/>
      <c r="W121" s="206"/>
      <c r="X121" s="204"/>
      <c r="Y121" s="522"/>
      <c r="Z121" s="204"/>
      <c r="AA121" s="204"/>
      <c r="AB121" s="206"/>
      <c r="AC121" s="204"/>
      <c r="AD121" s="522"/>
      <c r="AE121" s="204"/>
      <c r="AF121" s="204"/>
      <c r="AG121" s="206"/>
      <c r="AH121" s="204"/>
      <c r="AI121" s="522"/>
      <c r="AJ121" s="204"/>
      <c r="AK121" s="204"/>
      <c r="AL121" s="204"/>
      <c r="AM121" s="204"/>
      <c r="AN121" s="522"/>
      <c r="AO121" s="204"/>
      <c r="AP121" s="204"/>
      <c r="AQ121" s="206"/>
      <c r="AR121" s="204"/>
      <c r="AS121" s="522"/>
      <c r="AT121" s="204"/>
      <c r="AU121" s="204"/>
      <c r="AV121" s="206"/>
      <c r="AW121" s="204"/>
      <c r="AX121" s="522"/>
    </row>
  </sheetData>
  <mergeCells count="354">
    <mergeCell ref="C64:D66"/>
    <mergeCell ref="E65:G65"/>
    <mergeCell ref="E64:G64"/>
    <mergeCell ref="B82:H83"/>
    <mergeCell ref="N82:N83"/>
    <mergeCell ref="B67:B81"/>
    <mergeCell ref="H67:H81"/>
    <mergeCell ref="L64:L66"/>
    <mergeCell ref="I64:K64"/>
    <mergeCell ref="H64:H66"/>
    <mergeCell ref="B64:B66"/>
    <mergeCell ref="P82:T82"/>
    <mergeCell ref="N64:N81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44:Y46"/>
    <mergeCell ref="P44:S44"/>
    <mergeCell ref="T44:T46"/>
    <mergeCell ref="Y47:Y61"/>
    <mergeCell ref="T47:T61"/>
    <mergeCell ref="U45:X45"/>
    <mergeCell ref="U44:X44"/>
    <mergeCell ref="N62:N63"/>
    <mergeCell ref="N42:N43"/>
    <mergeCell ref="P43:T43"/>
    <mergeCell ref="P42:T42"/>
    <mergeCell ref="O44:O61"/>
    <mergeCell ref="N44:N61"/>
    <mergeCell ref="U63:Y63"/>
    <mergeCell ref="O62:O63"/>
    <mergeCell ref="U62:Y62"/>
    <mergeCell ref="P62:T62"/>
    <mergeCell ref="P63:T63"/>
    <mergeCell ref="Z64:AC64"/>
    <mergeCell ref="Z65:AC65"/>
    <mergeCell ref="Y67:Y81"/>
    <mergeCell ref="L47:L61"/>
    <mergeCell ref="P45:S45"/>
    <mergeCell ref="Z63:AD63"/>
    <mergeCell ref="AD47:AD61"/>
    <mergeCell ref="Z62:AD62"/>
    <mergeCell ref="Z45:AC45"/>
    <mergeCell ref="O64:O81"/>
    <mergeCell ref="L67:L81"/>
    <mergeCell ref="M64:M66"/>
    <mergeCell ref="L44:L46"/>
    <mergeCell ref="AD67:AD81"/>
    <mergeCell ref="Z44:AC44"/>
    <mergeCell ref="AD44:AD46"/>
    <mergeCell ref="M44:M46"/>
    <mergeCell ref="I44:K44"/>
    <mergeCell ref="B42:H43"/>
    <mergeCell ref="I24:K24"/>
    <mergeCell ref="H27:H41"/>
    <mergeCell ref="L24:L26"/>
    <mergeCell ref="L27:L41"/>
    <mergeCell ref="I25:K25"/>
    <mergeCell ref="B24:B26"/>
    <mergeCell ref="B27:B41"/>
    <mergeCell ref="E24:G24"/>
    <mergeCell ref="C24:D26"/>
    <mergeCell ref="E25:G25"/>
    <mergeCell ref="H24:H26"/>
    <mergeCell ref="M24:M26"/>
    <mergeCell ref="T27:T41"/>
    <mergeCell ref="N22:N23"/>
    <mergeCell ref="N24:N41"/>
    <mergeCell ref="O42:O43"/>
    <mergeCell ref="O24:O41"/>
    <mergeCell ref="P25:S25"/>
    <mergeCell ref="P24:S24"/>
    <mergeCell ref="I4:K4"/>
    <mergeCell ref="L4:L6"/>
    <mergeCell ref="O4:O21"/>
    <mergeCell ref="H7:H21"/>
    <mergeCell ref="I65:K65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B22:H23"/>
    <mergeCell ref="O22:O23"/>
    <mergeCell ref="U43:Y43"/>
    <mergeCell ref="AE43:AI43"/>
    <mergeCell ref="AE42:AI42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U42:Y42"/>
    <mergeCell ref="Y24:Y26"/>
    <mergeCell ref="Z23:AD23"/>
    <mergeCell ref="U24:X24"/>
    <mergeCell ref="Z24:AC24"/>
    <mergeCell ref="AD27:AD41"/>
    <mergeCell ref="Z42:AD42"/>
    <mergeCell ref="AT22:AX22"/>
    <mergeCell ref="AO22:AS22"/>
    <mergeCell ref="AO24:AR24"/>
    <mergeCell ref="AX24:AX26"/>
    <mergeCell ref="AE24:AH24"/>
    <mergeCell ref="AE22:AI22"/>
    <mergeCell ref="AJ24:AM24"/>
    <mergeCell ref="AJ25:AM25"/>
    <mergeCell ref="AN24:AN26"/>
    <mergeCell ref="P23:T23"/>
    <mergeCell ref="Y27:Y41"/>
    <mergeCell ref="T24:T26"/>
    <mergeCell ref="U25:X25"/>
    <mergeCell ref="AT25:AW25"/>
    <mergeCell ref="U23:Y23"/>
    <mergeCell ref="Z25:AC25"/>
    <mergeCell ref="AX4:AX6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AT2:AX2"/>
    <mergeCell ref="AT3:AX3"/>
    <mergeCell ref="AE3:AI3"/>
    <mergeCell ref="AJ3:AN3"/>
    <mergeCell ref="AO3:AS3"/>
    <mergeCell ref="AO2:AS2"/>
    <mergeCell ref="AE2:AI2"/>
    <mergeCell ref="AJ2:AN2"/>
    <mergeCell ref="Y7:Y21"/>
    <mergeCell ref="T7:T21"/>
    <mergeCell ref="Z22:AD22"/>
    <mergeCell ref="AD7:AD21"/>
    <mergeCell ref="U22:Y22"/>
    <mergeCell ref="P22:T22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AS27:AS41"/>
    <mergeCell ref="AX27:AX41"/>
    <mergeCell ref="AT24:AW24"/>
    <mergeCell ref="AT23:AX23"/>
    <mergeCell ref="AS24:AS26"/>
    <mergeCell ref="AJ23:AN23"/>
    <mergeCell ref="AO23:AS23"/>
    <mergeCell ref="AD64:AD66"/>
    <mergeCell ref="AO5:AR5"/>
    <mergeCell ref="AJ5:AM5"/>
    <mergeCell ref="AO25:AR25"/>
    <mergeCell ref="AI24:AI26"/>
    <mergeCell ref="AE25:AH25"/>
    <mergeCell ref="AN7:AN21"/>
    <mergeCell ref="AI7:AI21"/>
    <mergeCell ref="AE23:AI23"/>
    <mergeCell ref="AJ43:AN43"/>
    <mergeCell ref="AJ42:AN42"/>
    <mergeCell ref="AE64:AH64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S44:AS46"/>
    <mergeCell ref="AS47:AS61"/>
    <mergeCell ref="AO45:AR45"/>
    <mergeCell ref="AO44:AR44"/>
    <mergeCell ref="AE45:AH45"/>
    <mergeCell ref="AE44:AH44"/>
    <mergeCell ref="AI44:AI46"/>
    <mergeCell ref="AN44:AN46"/>
    <mergeCell ref="AI64:AI66"/>
    <mergeCell ref="AN64:AN66"/>
    <mergeCell ref="AO64:AR64"/>
    <mergeCell ref="AX44:AX46"/>
    <mergeCell ref="AX64:AX66"/>
    <mergeCell ref="AT45:AW45"/>
    <mergeCell ref="AX47:AX61"/>
    <mergeCell ref="AT62:AX62"/>
    <mergeCell ref="AT64:AW64"/>
    <mergeCell ref="AT63:AX63"/>
    <mergeCell ref="AT44:AW44"/>
    <mergeCell ref="AE63:AI63"/>
    <mergeCell ref="AE62:AI62"/>
    <mergeCell ref="AI47:AI61"/>
    <mergeCell ref="AJ45:AM45"/>
    <mergeCell ref="AJ44:AM44"/>
    <mergeCell ref="AO63:AS63"/>
    <mergeCell ref="AO62:AS62"/>
    <mergeCell ref="AN47:AN61"/>
    <mergeCell ref="AJ63:AN63"/>
    <mergeCell ref="AJ62:AN62"/>
    <mergeCell ref="AX67:AX81"/>
    <mergeCell ref="AT82:AX82"/>
    <mergeCell ref="AS67:AS81"/>
    <mergeCell ref="AI67:AI81"/>
    <mergeCell ref="AE82:AI82"/>
    <mergeCell ref="AN67:AN81"/>
    <mergeCell ref="AE65:AH65"/>
    <mergeCell ref="AJ65:AM65"/>
    <mergeCell ref="AJ64:AM64"/>
    <mergeCell ref="AT83:AX83"/>
    <mergeCell ref="AX84:AX86"/>
    <mergeCell ref="AO82:AS82"/>
    <mergeCell ref="AO83:AS83"/>
    <mergeCell ref="AO84:AR84"/>
    <mergeCell ref="AS84:AS86"/>
    <mergeCell ref="AE83:AI83"/>
    <mergeCell ref="AN84:AN86"/>
    <mergeCell ref="AJ84:AM84"/>
    <mergeCell ref="AO85:AR85"/>
    <mergeCell ref="AT65:AW65"/>
    <mergeCell ref="AS64:AS66"/>
    <mergeCell ref="AO65:AR65"/>
    <mergeCell ref="Z82:AD82"/>
    <mergeCell ref="Z83:AD83"/>
    <mergeCell ref="AJ82:AN82"/>
    <mergeCell ref="AN87:AN101"/>
    <mergeCell ref="AE84:AH84"/>
    <mergeCell ref="AI84:AI86"/>
    <mergeCell ref="AE85:AH85"/>
    <mergeCell ref="AJ85:AM85"/>
    <mergeCell ref="AI87:AI101"/>
    <mergeCell ref="AJ83:AN83"/>
    <mergeCell ref="Z103:AD103"/>
    <mergeCell ref="AE103:AI103"/>
    <mergeCell ref="O102:O103"/>
    <mergeCell ref="Z84:AC84"/>
    <mergeCell ref="P85:S85"/>
    <mergeCell ref="T87:T101"/>
    <mergeCell ref="AX87:AX101"/>
    <mergeCell ref="AT85:AW85"/>
    <mergeCell ref="N102:N103"/>
    <mergeCell ref="AS87:AS101"/>
    <mergeCell ref="AT84:AW84"/>
    <mergeCell ref="T84:T86"/>
    <mergeCell ref="P84:S84"/>
    <mergeCell ref="Z85:AC85"/>
    <mergeCell ref="U84:X84"/>
    <mergeCell ref="Y87:Y101"/>
    <mergeCell ref="Y84:Y86"/>
    <mergeCell ref="U85:X85"/>
    <mergeCell ref="AD87:AD101"/>
    <mergeCell ref="AD84:AD86"/>
    <mergeCell ref="U102:Y102"/>
    <mergeCell ref="Z102:AD102"/>
    <mergeCell ref="B84:B86"/>
    <mergeCell ref="L87:L101"/>
    <mergeCell ref="H87:H101"/>
    <mergeCell ref="H84:H86"/>
    <mergeCell ref="C84:D86"/>
    <mergeCell ref="I84:K84"/>
    <mergeCell ref="L84:L86"/>
    <mergeCell ref="E84:G84"/>
    <mergeCell ref="I85:K85"/>
    <mergeCell ref="B87:B101"/>
    <mergeCell ref="AE102:AI102"/>
    <mergeCell ref="T107:T121"/>
    <mergeCell ref="E105:G105"/>
    <mergeCell ref="P102:T102"/>
    <mergeCell ref="E85:G85"/>
    <mergeCell ref="AI104:AI106"/>
    <mergeCell ref="M84:M86"/>
    <mergeCell ref="N84:N101"/>
    <mergeCell ref="O84:O101"/>
    <mergeCell ref="L104:L106"/>
    <mergeCell ref="P103:T103"/>
    <mergeCell ref="AE105:AH105"/>
    <mergeCell ref="AE104:AH104"/>
    <mergeCell ref="N104:N121"/>
    <mergeCell ref="I105:K105"/>
    <mergeCell ref="U103:Y103"/>
    <mergeCell ref="B107:B121"/>
    <mergeCell ref="C104:D106"/>
    <mergeCell ref="E104:G104"/>
    <mergeCell ref="U104:X104"/>
    <mergeCell ref="L107:L121"/>
    <mergeCell ref="U105:X105"/>
    <mergeCell ref="B104:B106"/>
    <mergeCell ref="B102:H103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S107:AS121"/>
    <mergeCell ref="M104:M106"/>
    <mergeCell ref="P105:S105"/>
    <mergeCell ref="T104:T106"/>
    <mergeCell ref="P104:S104"/>
    <mergeCell ref="O104:O121"/>
    <mergeCell ref="Y104:Y106"/>
    <mergeCell ref="AD107:AD121"/>
    <mergeCell ref="Z105:AC105"/>
    <mergeCell ref="Z104:AC104"/>
    <mergeCell ref="AD104:AD106"/>
    <mergeCell ref="Y107:Y121"/>
    <mergeCell ref="H104:H106"/>
    <mergeCell ref="I104:K104"/>
    <mergeCell ref="H107:H121"/>
    <mergeCell ref="AN107:AN121"/>
    <mergeCell ref="AI107:AI121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Normal="60" zoomScaleSheetLayoutView="100" workbookViewId="0">
      <selection activeCell="K9" sqref="K9:L9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9" width="12.5703125" style="150" customWidth="1"/>
    <col min="50" max="16384" width="12.5703125" style="150"/>
  </cols>
  <sheetData>
    <row r="1" spans="1:13" ht="15.75" customHeight="1" x14ac:dyDescent="0.25">
      <c r="A1" s="418" t="s">
        <v>102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150"/>
    </row>
    <row r="2" spans="1:13" s="151" customFormat="1" ht="15.75" customHeight="1" x14ac:dyDescent="0.25">
      <c r="A2" s="418"/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</row>
    <row r="3" spans="1:13" ht="15.75" customHeight="1" x14ac:dyDescent="0.25">
      <c r="A3" s="419" t="s">
        <v>103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150"/>
    </row>
    <row r="4" spans="1:13" s="151" customFormat="1" ht="15.75" customHeight="1" x14ac:dyDescent="0.2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</row>
    <row r="5" spans="1:13" s="170" customFormat="1" ht="16.350000000000001" customHeight="1" x14ac:dyDescent="0.2">
      <c r="A5" s="421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421"/>
      <c r="B6" s="171" t="s">
        <v>104</v>
      </c>
      <c r="C6" s="171" t="s">
        <v>105</v>
      </c>
      <c r="D6" s="171" t="s">
        <v>75</v>
      </c>
      <c r="E6" s="172"/>
      <c r="F6" s="172"/>
      <c r="G6" s="151"/>
      <c r="M6" s="150"/>
    </row>
    <row r="7" spans="1:13" s="170" customFormat="1" ht="15.75" customHeight="1" x14ac:dyDescent="0.2">
      <c r="A7" s="422" t="s">
        <v>41</v>
      </c>
      <c r="B7" s="422"/>
      <c r="C7" s="173" t="s">
        <v>90</v>
      </c>
      <c r="D7" s="422" t="s">
        <v>106</v>
      </c>
      <c r="E7" s="423"/>
      <c r="F7" s="423"/>
      <c r="G7" s="173" t="s">
        <v>95</v>
      </c>
      <c r="H7" s="173" t="s">
        <v>107</v>
      </c>
      <c r="I7" s="173" t="s">
        <v>108</v>
      </c>
      <c r="J7" s="174" t="s">
        <v>109</v>
      </c>
      <c r="K7" s="422" t="s">
        <v>110</v>
      </c>
      <c r="L7" s="423"/>
      <c r="M7" s="169"/>
    </row>
    <row r="8" spans="1:13" ht="15.75" customHeight="1" x14ac:dyDescent="0.25">
      <c r="A8" s="421">
        <v>1</v>
      </c>
      <c r="B8" s="422" t="s">
        <v>111</v>
      </c>
      <c r="C8" s="175">
        <v>1</v>
      </c>
      <c r="D8" s="424" t="s">
        <v>112</v>
      </c>
      <c r="E8" s="425"/>
      <c r="F8" s="426"/>
      <c r="G8" s="181">
        <v>13</v>
      </c>
      <c r="H8" s="181">
        <v>1936.4285714285713</v>
      </c>
      <c r="I8" s="182">
        <v>148.95604395604394</v>
      </c>
      <c r="J8" s="213">
        <v>0.96299999999999997</v>
      </c>
      <c r="K8" s="427" t="s">
        <v>113</v>
      </c>
      <c r="L8" s="428"/>
    </row>
    <row r="9" spans="1:13" ht="15.75" customHeight="1" x14ac:dyDescent="0.25">
      <c r="A9" s="421"/>
      <c r="B9" s="422"/>
      <c r="C9" s="175">
        <v>2</v>
      </c>
      <c r="D9" s="429" t="s">
        <v>114</v>
      </c>
      <c r="E9" s="425"/>
      <c r="F9" s="426"/>
      <c r="G9" s="181">
        <v>14</v>
      </c>
      <c r="H9" s="181">
        <v>1959</v>
      </c>
      <c r="I9" s="182">
        <v>139.92857142857142</v>
      </c>
      <c r="J9" s="213">
        <v>0.90300000000000002</v>
      </c>
      <c r="K9" s="427" t="s">
        <v>113</v>
      </c>
      <c r="L9" s="428"/>
    </row>
    <row r="10" spans="1:13" ht="15.75" customHeight="1" x14ac:dyDescent="0.25">
      <c r="A10" s="421"/>
      <c r="B10" s="422"/>
      <c r="C10" s="175">
        <v>3</v>
      </c>
      <c r="D10" s="429" t="s">
        <v>115</v>
      </c>
      <c r="E10" s="425"/>
      <c r="F10" s="426"/>
      <c r="G10" s="181">
        <v>15</v>
      </c>
      <c r="H10" s="181">
        <v>1977.7142857142858</v>
      </c>
      <c r="I10" s="182">
        <v>131.84761904761905</v>
      </c>
      <c r="J10" s="213">
        <v>0.98399999999999999</v>
      </c>
      <c r="K10" s="427" t="s">
        <v>113</v>
      </c>
      <c r="L10" s="428"/>
    </row>
    <row r="11" spans="1:13" ht="15.75" customHeight="1" x14ac:dyDescent="0.25">
      <c r="A11" s="421"/>
      <c r="B11" s="422"/>
      <c r="C11" s="175">
        <v>4</v>
      </c>
      <c r="D11" s="429" t="s">
        <v>116</v>
      </c>
      <c r="E11" s="425"/>
      <c r="F11" s="426"/>
      <c r="G11" s="181">
        <v>15</v>
      </c>
      <c r="H11" s="181">
        <v>1936.8571428571429</v>
      </c>
      <c r="I11" s="182">
        <v>129.12380952380951</v>
      </c>
      <c r="J11" s="213">
        <v>0.95299999999999996</v>
      </c>
      <c r="K11" s="427" t="s">
        <v>113</v>
      </c>
      <c r="L11" s="428"/>
    </row>
    <row r="12" spans="1:13" ht="15.75" customHeight="1" x14ac:dyDescent="0.25">
      <c r="A12" s="421"/>
      <c r="B12" s="422"/>
      <c r="C12" s="175">
        <v>5</v>
      </c>
      <c r="D12" s="424" t="s">
        <v>117</v>
      </c>
      <c r="E12" s="425"/>
      <c r="F12" s="426"/>
      <c r="G12" s="181">
        <v>15</v>
      </c>
      <c r="H12" s="181">
        <v>1904.5714285714287</v>
      </c>
      <c r="I12" s="182">
        <v>126.9714285714286</v>
      </c>
      <c r="J12" s="213">
        <v>0.94099999999999995</v>
      </c>
      <c r="K12" s="427" t="s">
        <v>113</v>
      </c>
      <c r="L12" s="428"/>
    </row>
    <row r="13" spans="1:13" ht="15.75" customHeight="1" x14ac:dyDescent="0.25">
      <c r="A13" s="421"/>
      <c r="B13" s="422"/>
      <c r="C13" s="177" t="s">
        <v>118</v>
      </c>
      <c r="D13" s="429" t="s">
        <v>119</v>
      </c>
      <c r="E13" s="425"/>
      <c r="F13" s="426"/>
      <c r="G13" s="181">
        <v>16.428571428571427</v>
      </c>
      <c r="H13" s="181">
        <v>1160.1428571428571</v>
      </c>
      <c r="I13" s="182">
        <v>70.06114945978392</v>
      </c>
      <c r="J13" s="213">
        <v>0.98099999999999998</v>
      </c>
      <c r="K13" s="427" t="s">
        <v>120</v>
      </c>
      <c r="L13" s="428"/>
    </row>
    <row r="14" spans="1:13" ht="15.75" customHeight="1" x14ac:dyDescent="0.25">
      <c r="A14" s="421"/>
      <c r="B14" s="422"/>
      <c r="C14" s="177" t="s">
        <v>121</v>
      </c>
      <c r="D14" s="424" t="s">
        <v>122</v>
      </c>
      <c r="E14" s="425"/>
      <c r="F14" s="426"/>
      <c r="G14" s="181">
        <v>15.857142857142858</v>
      </c>
      <c r="H14" s="181">
        <v>1299.5714285714287</v>
      </c>
      <c r="I14" s="182">
        <v>81.689515806322532</v>
      </c>
      <c r="J14" s="213"/>
      <c r="K14" s="427" t="s">
        <v>123</v>
      </c>
      <c r="L14" s="428"/>
    </row>
    <row r="15" spans="1:13" ht="15.75" customHeight="1" x14ac:dyDescent="0.25">
      <c r="A15" s="421"/>
      <c r="B15" s="422"/>
      <c r="C15" s="177" t="s">
        <v>124</v>
      </c>
      <c r="D15" s="429" t="s">
        <v>125</v>
      </c>
      <c r="E15" s="425"/>
      <c r="F15" s="426"/>
      <c r="G15" s="181">
        <v>17.428571428571427</v>
      </c>
      <c r="H15" s="181">
        <v>1451.7142857142858</v>
      </c>
      <c r="I15" s="182">
        <v>83.196603641456591</v>
      </c>
      <c r="J15" s="213"/>
      <c r="K15" s="427" t="s">
        <v>123</v>
      </c>
      <c r="L15" s="428"/>
    </row>
    <row r="16" spans="1:13" ht="15.75" customHeight="1" x14ac:dyDescent="0.25">
      <c r="A16" s="421"/>
      <c r="B16" s="422"/>
      <c r="C16" s="177" t="s">
        <v>126</v>
      </c>
      <c r="D16" s="429" t="s">
        <v>127</v>
      </c>
      <c r="E16" s="425"/>
      <c r="F16" s="426"/>
      <c r="G16" s="181">
        <v>16.857142857142858</v>
      </c>
      <c r="H16" s="181">
        <v>1421</v>
      </c>
      <c r="I16" s="182">
        <v>84.288690476190482</v>
      </c>
      <c r="J16" s="213">
        <v>1.0189999999999999</v>
      </c>
      <c r="K16" s="427"/>
      <c r="L16" s="428"/>
      <c r="M16" s="150"/>
    </row>
    <row r="17" spans="1:13" ht="15.75" customHeight="1" x14ac:dyDescent="0.25">
      <c r="A17" s="421"/>
      <c r="B17" s="422"/>
      <c r="C17" s="177" t="s">
        <v>128</v>
      </c>
      <c r="D17" s="424" t="s">
        <v>129</v>
      </c>
      <c r="E17" s="425"/>
      <c r="F17" s="426"/>
      <c r="G17" s="181">
        <v>17.571428571428573</v>
      </c>
      <c r="H17" s="181">
        <v>1499.4285714285713</v>
      </c>
      <c r="I17" s="182">
        <v>85.247899159663845</v>
      </c>
      <c r="J17" s="213">
        <v>1.002</v>
      </c>
      <c r="K17" s="427"/>
      <c r="L17" s="428"/>
      <c r="M17" s="150"/>
    </row>
    <row r="18" spans="1:13" s="180" customFormat="1" ht="15.75" customHeight="1" x14ac:dyDescent="0.25">
      <c r="A18" s="430" t="s">
        <v>41</v>
      </c>
      <c r="B18" s="430"/>
      <c r="C18" s="178" t="s">
        <v>90</v>
      </c>
      <c r="D18" s="430" t="s">
        <v>106</v>
      </c>
      <c r="E18" s="431"/>
      <c r="F18" s="431"/>
      <c r="G18" s="178" t="s">
        <v>95</v>
      </c>
      <c r="H18" s="178" t="s">
        <v>107</v>
      </c>
      <c r="I18" s="178" t="s">
        <v>108</v>
      </c>
      <c r="J18" s="179" t="s">
        <v>109</v>
      </c>
      <c r="K18" s="430" t="s">
        <v>110</v>
      </c>
      <c r="L18" s="431"/>
      <c r="M18" s="172"/>
    </row>
    <row r="19" spans="1:13" ht="15.75" customHeight="1" x14ac:dyDescent="0.25">
      <c r="A19" s="421">
        <v>2</v>
      </c>
      <c r="B19" s="422" t="s">
        <v>130</v>
      </c>
      <c r="C19" s="175">
        <v>1</v>
      </c>
      <c r="D19" s="424"/>
      <c r="E19" s="425"/>
      <c r="F19" s="426"/>
      <c r="G19" s="181"/>
      <c r="H19" s="181"/>
      <c r="I19" s="182"/>
      <c r="J19" s="213"/>
      <c r="K19" s="432"/>
      <c r="L19" s="428"/>
      <c r="M19" s="150"/>
    </row>
    <row r="20" spans="1:13" ht="15.75" customHeight="1" x14ac:dyDescent="0.25">
      <c r="A20" s="421"/>
      <c r="B20" s="422"/>
      <c r="C20" s="175">
        <v>2</v>
      </c>
      <c r="D20" s="429"/>
      <c r="E20" s="425"/>
      <c r="F20" s="426"/>
      <c r="G20" s="181"/>
      <c r="H20" s="181"/>
      <c r="I20" s="182"/>
      <c r="J20" s="213"/>
      <c r="K20" s="433"/>
      <c r="L20" s="428"/>
      <c r="M20" s="150"/>
    </row>
    <row r="21" spans="1:13" ht="15.75" customHeight="1" x14ac:dyDescent="0.25">
      <c r="A21" s="421"/>
      <c r="B21" s="422"/>
      <c r="C21" s="175">
        <v>3</v>
      </c>
      <c r="D21" s="433"/>
      <c r="E21" s="428"/>
      <c r="F21" s="428"/>
      <c r="G21" s="176"/>
      <c r="H21" s="176"/>
      <c r="I21" s="176"/>
      <c r="J21" s="176"/>
      <c r="K21" s="433"/>
      <c r="L21" s="428"/>
      <c r="M21" s="150"/>
    </row>
    <row r="22" spans="1:13" ht="15.75" customHeight="1" x14ac:dyDescent="0.25">
      <c r="A22" s="421"/>
      <c r="B22" s="422"/>
      <c r="C22" s="175">
        <v>4</v>
      </c>
      <c r="D22" s="433"/>
      <c r="E22" s="428"/>
      <c r="F22" s="428"/>
      <c r="G22" s="176"/>
      <c r="H22" s="176"/>
      <c r="I22" s="176"/>
      <c r="J22" s="176"/>
      <c r="K22" s="433"/>
      <c r="L22" s="428"/>
      <c r="M22" s="150"/>
    </row>
    <row r="23" spans="1:13" ht="15.75" customHeight="1" x14ac:dyDescent="0.25">
      <c r="A23" s="421"/>
      <c r="B23" s="422"/>
      <c r="C23" s="175">
        <v>5</v>
      </c>
      <c r="D23" s="433"/>
      <c r="E23" s="428"/>
      <c r="F23" s="428"/>
      <c r="G23" s="176"/>
      <c r="H23" s="176"/>
      <c r="I23" s="176"/>
      <c r="J23" s="176"/>
      <c r="K23" s="433"/>
      <c r="L23" s="428"/>
      <c r="M23" s="150"/>
    </row>
    <row r="24" spans="1:13" ht="15.75" customHeight="1" x14ac:dyDescent="0.25">
      <c r="A24" s="421"/>
      <c r="B24" s="422"/>
      <c r="C24" s="177" t="s">
        <v>118</v>
      </c>
      <c r="D24" s="432"/>
      <c r="E24" s="428"/>
      <c r="F24" s="428"/>
      <c r="G24" s="176"/>
      <c r="H24" s="176"/>
      <c r="I24" s="176"/>
      <c r="J24" s="176"/>
      <c r="K24" s="432"/>
      <c r="L24" s="428"/>
      <c r="M24" s="150"/>
    </row>
    <row r="25" spans="1:13" ht="15.75" customHeight="1" x14ac:dyDescent="0.25">
      <c r="A25" s="421"/>
      <c r="B25" s="422"/>
      <c r="C25" s="177" t="s">
        <v>121</v>
      </c>
      <c r="D25" s="433"/>
      <c r="E25" s="428"/>
      <c r="F25" s="428"/>
      <c r="G25" s="176"/>
      <c r="H25" s="176"/>
      <c r="I25" s="176"/>
      <c r="J25" s="176"/>
      <c r="K25" s="433"/>
      <c r="L25" s="428"/>
      <c r="M25" s="150"/>
    </row>
    <row r="26" spans="1:13" ht="15.75" customHeight="1" x14ac:dyDescent="0.25">
      <c r="A26" s="421"/>
      <c r="B26" s="422"/>
      <c r="C26" s="177" t="s">
        <v>124</v>
      </c>
      <c r="D26" s="433"/>
      <c r="E26" s="428"/>
      <c r="F26" s="428"/>
      <c r="G26" s="176"/>
      <c r="H26" s="176"/>
      <c r="I26" s="176"/>
      <c r="J26" s="176"/>
      <c r="K26" s="433"/>
      <c r="L26" s="428"/>
      <c r="M26" s="150"/>
    </row>
    <row r="27" spans="1:13" ht="15.75" customHeight="1" x14ac:dyDescent="0.25">
      <c r="A27" s="421"/>
      <c r="B27" s="422"/>
      <c r="C27" s="177" t="s">
        <v>126</v>
      </c>
      <c r="D27" s="433"/>
      <c r="E27" s="428"/>
      <c r="F27" s="428"/>
      <c r="G27" s="176"/>
      <c r="H27" s="176"/>
      <c r="I27" s="176"/>
      <c r="J27" s="176"/>
      <c r="K27" s="433"/>
      <c r="L27" s="428"/>
      <c r="M27" s="150"/>
    </row>
    <row r="28" spans="1:13" ht="15.75" customHeight="1" x14ac:dyDescent="0.25">
      <c r="A28" s="421"/>
      <c r="B28" s="422"/>
      <c r="C28" s="177" t="s">
        <v>128</v>
      </c>
      <c r="D28" s="433"/>
      <c r="E28" s="428"/>
      <c r="F28" s="428"/>
      <c r="G28" s="176"/>
      <c r="H28" s="176"/>
      <c r="I28" s="176"/>
      <c r="J28" s="176"/>
      <c r="K28" s="433"/>
      <c r="L28" s="428"/>
      <c r="M28" s="150"/>
    </row>
    <row r="29" spans="1:13" ht="15.75" customHeight="1" x14ac:dyDescent="0.25">
      <c r="A29" s="430" t="s">
        <v>41</v>
      </c>
      <c r="B29" s="430"/>
      <c r="C29" s="178" t="s">
        <v>90</v>
      </c>
      <c r="D29" s="430" t="s">
        <v>106</v>
      </c>
      <c r="E29" s="431"/>
      <c r="F29" s="431"/>
      <c r="G29" s="178" t="s">
        <v>95</v>
      </c>
      <c r="H29" s="178" t="s">
        <v>107</v>
      </c>
      <c r="I29" s="178" t="s">
        <v>108</v>
      </c>
      <c r="J29" s="179" t="s">
        <v>109</v>
      </c>
      <c r="K29" s="430" t="s">
        <v>110</v>
      </c>
      <c r="L29" s="431"/>
    </row>
    <row r="30" spans="1:13" ht="15.75" customHeight="1" x14ac:dyDescent="0.25">
      <c r="A30" s="421">
        <v>3</v>
      </c>
      <c r="B30" s="434" t="s">
        <v>75</v>
      </c>
      <c r="C30" s="175">
        <v>1</v>
      </c>
      <c r="D30" s="432" t="s">
        <v>101</v>
      </c>
      <c r="E30" s="428"/>
      <c r="F30" s="428"/>
      <c r="G30" s="181">
        <v>10.5</v>
      </c>
      <c r="H30" s="181">
        <v>1379</v>
      </c>
      <c r="I30" s="182">
        <v>131.55303030303028</v>
      </c>
      <c r="J30" s="213"/>
      <c r="K30" s="435" t="s">
        <v>131</v>
      </c>
      <c r="L30" s="428"/>
    </row>
    <row r="31" spans="1:13" ht="15.75" customHeight="1" x14ac:dyDescent="0.25">
      <c r="A31" s="421"/>
      <c r="B31" s="434"/>
      <c r="C31" s="175">
        <v>2</v>
      </c>
      <c r="D31" s="432" t="s">
        <v>99</v>
      </c>
      <c r="E31" s="428"/>
      <c r="F31" s="428"/>
      <c r="G31" s="181">
        <v>12.5</v>
      </c>
      <c r="H31" s="181">
        <v>1549.8333333333333</v>
      </c>
      <c r="I31" s="182">
        <v>129.15277777777777</v>
      </c>
      <c r="J31" s="213">
        <v>1.0669999999999999</v>
      </c>
      <c r="K31" s="435" t="s">
        <v>132</v>
      </c>
      <c r="L31" s="428"/>
    </row>
    <row r="32" spans="1:13" ht="15.75" customHeight="1" x14ac:dyDescent="0.25">
      <c r="A32" s="421"/>
      <c r="B32" s="434"/>
      <c r="C32" s="175">
        <v>3</v>
      </c>
      <c r="D32" s="436" t="s">
        <v>100</v>
      </c>
      <c r="E32" s="437"/>
      <c r="F32" s="438"/>
      <c r="G32" s="181">
        <v>11.166666666666666</v>
      </c>
      <c r="H32" s="181">
        <v>1363</v>
      </c>
      <c r="I32" s="182">
        <v>123.90909090909089</v>
      </c>
      <c r="J32" s="213">
        <v>0.871</v>
      </c>
      <c r="K32" s="435" t="s">
        <v>133</v>
      </c>
      <c r="L32" s="428"/>
    </row>
    <row r="33" spans="1:12" ht="15.75" customHeight="1" x14ac:dyDescent="0.25">
      <c r="A33" s="421"/>
      <c r="B33" s="434"/>
      <c r="C33" s="175">
        <v>4</v>
      </c>
      <c r="D33" s="432" t="s">
        <v>98</v>
      </c>
      <c r="E33" s="428"/>
      <c r="F33" s="428"/>
      <c r="G33" s="181">
        <v>14.8</v>
      </c>
      <c r="H33" s="181">
        <v>1505.3333333333333</v>
      </c>
      <c r="I33" s="182">
        <v>101.48333333333333</v>
      </c>
      <c r="J33" s="213">
        <v>1.0429999999999999</v>
      </c>
      <c r="K33" s="435"/>
      <c r="L33" s="428"/>
    </row>
    <row r="34" spans="1:12" ht="15.75" customHeight="1" x14ac:dyDescent="0.25">
      <c r="A34" s="421"/>
      <c r="B34" s="434"/>
      <c r="C34" s="175">
        <v>5</v>
      </c>
      <c r="D34" s="433"/>
      <c r="E34" s="428"/>
      <c r="F34" s="428"/>
      <c r="G34" s="176"/>
      <c r="H34" s="176"/>
      <c r="I34" s="176"/>
      <c r="J34" s="176"/>
      <c r="K34" s="433"/>
      <c r="L34" s="428"/>
    </row>
    <row r="35" spans="1:12" ht="15.75" customHeight="1" x14ac:dyDescent="0.25">
      <c r="A35" s="421"/>
      <c r="B35" s="434"/>
      <c r="C35" s="177" t="s">
        <v>118</v>
      </c>
      <c r="D35" s="432"/>
      <c r="E35" s="428"/>
      <c r="F35" s="428"/>
      <c r="G35" s="176"/>
      <c r="H35" s="176"/>
      <c r="I35" s="176"/>
      <c r="J35" s="176"/>
      <c r="K35" s="432"/>
      <c r="L35" s="428"/>
    </row>
    <row r="36" spans="1:12" ht="15.75" customHeight="1" x14ac:dyDescent="0.25">
      <c r="A36" s="421"/>
      <c r="B36" s="434"/>
      <c r="C36" s="177" t="s">
        <v>121</v>
      </c>
      <c r="D36" s="433"/>
      <c r="E36" s="428"/>
      <c r="F36" s="428"/>
      <c r="G36" s="176"/>
      <c r="H36" s="176"/>
      <c r="I36" s="176"/>
      <c r="J36" s="176"/>
      <c r="K36" s="433"/>
      <c r="L36" s="428"/>
    </row>
    <row r="37" spans="1:12" ht="15.75" customHeight="1" x14ac:dyDescent="0.25">
      <c r="A37" s="421"/>
      <c r="B37" s="434"/>
      <c r="C37" s="177" t="s">
        <v>124</v>
      </c>
      <c r="D37" s="433"/>
      <c r="E37" s="428"/>
      <c r="F37" s="428"/>
      <c r="G37" s="176"/>
      <c r="H37" s="176"/>
      <c r="I37" s="176"/>
      <c r="J37" s="176"/>
      <c r="K37" s="433"/>
      <c r="L37" s="428"/>
    </row>
    <row r="38" spans="1:12" ht="15.75" customHeight="1" x14ac:dyDescent="0.25">
      <c r="A38" s="421"/>
      <c r="B38" s="434"/>
      <c r="C38" s="177" t="s">
        <v>126</v>
      </c>
      <c r="D38" s="433"/>
      <c r="E38" s="428"/>
      <c r="F38" s="428"/>
      <c r="G38" s="176"/>
      <c r="H38" s="176"/>
      <c r="I38" s="176"/>
      <c r="J38" s="176"/>
      <c r="K38" s="433"/>
      <c r="L38" s="428"/>
    </row>
    <row r="39" spans="1:12" ht="15.75" customHeight="1" x14ac:dyDescent="0.25">
      <c r="A39" s="421"/>
      <c r="B39" s="434"/>
      <c r="C39" s="177" t="s">
        <v>128</v>
      </c>
      <c r="D39" s="433"/>
      <c r="E39" s="428"/>
      <c r="F39" s="428"/>
      <c r="G39" s="176"/>
      <c r="H39" s="176"/>
      <c r="I39" s="176"/>
      <c r="J39" s="176"/>
      <c r="K39" s="433"/>
      <c r="L39" s="428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topLeftCell="B1" zoomScaleNormal="60" zoomScaleSheetLayoutView="100" workbookViewId="0">
      <selection activeCell="C12" sqref="C12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9" width="12.5703125" style="150" customWidth="1"/>
    <col min="50" max="16384" width="12.5703125" style="150"/>
  </cols>
  <sheetData>
    <row r="1" spans="1:13" ht="15.75" customHeight="1" x14ac:dyDescent="0.25">
      <c r="A1" s="418" t="s">
        <v>102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</row>
    <row r="2" spans="1:13" s="151" customFormat="1" ht="15.75" customHeight="1" x14ac:dyDescent="0.25">
      <c r="A2" s="418"/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</row>
    <row r="3" spans="1:13" ht="15.75" customHeight="1" x14ac:dyDescent="0.25">
      <c r="A3" s="419" t="s">
        <v>134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</row>
    <row r="4" spans="1:13" s="151" customFormat="1" ht="15.75" customHeight="1" x14ac:dyDescent="0.25">
      <c r="A4" s="419"/>
      <c r="B4" s="419"/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</row>
    <row r="5" spans="1:13" ht="15.75" customHeight="1" x14ac:dyDescent="0.25">
      <c r="A5" s="318" t="s">
        <v>16</v>
      </c>
      <c r="B5" s="319">
        <f>SUM('日別報廢率總表 '!B26:B32)</f>
        <v>20223118.379999999</v>
      </c>
      <c r="C5" s="320"/>
      <c r="D5" s="320"/>
      <c r="E5" s="536" t="s">
        <v>135</v>
      </c>
      <c r="F5" s="536"/>
      <c r="G5" s="536"/>
      <c r="H5" s="536"/>
      <c r="I5" s="536"/>
      <c r="J5" s="536"/>
      <c r="K5" s="536"/>
      <c r="L5" s="536"/>
      <c r="M5" s="537"/>
    </row>
    <row r="6" spans="1:13" ht="15.75" customHeight="1" x14ac:dyDescent="0.25">
      <c r="A6" s="538" t="s">
        <v>9</v>
      </c>
      <c r="B6" s="539" t="s">
        <v>136</v>
      </c>
      <c r="C6" s="539"/>
      <c r="D6" s="540"/>
      <c r="E6" s="543" t="s">
        <v>9</v>
      </c>
      <c r="F6" s="421">
        <v>1</v>
      </c>
      <c r="G6" s="421"/>
      <c r="H6" s="421">
        <v>2</v>
      </c>
      <c r="I6" s="421"/>
      <c r="J6" s="421">
        <v>3</v>
      </c>
      <c r="K6" s="421"/>
      <c r="L6" s="421">
        <v>4</v>
      </c>
      <c r="M6" s="544"/>
    </row>
    <row r="7" spans="1:13" ht="31.35" customHeight="1" x14ac:dyDescent="0.25">
      <c r="A7" s="538"/>
      <c r="B7" s="539"/>
      <c r="C7" s="539"/>
      <c r="D7" s="541"/>
      <c r="E7" s="543"/>
      <c r="F7" s="547" t="s">
        <v>137</v>
      </c>
      <c r="G7" s="547"/>
      <c r="H7" s="547" t="s">
        <v>138</v>
      </c>
      <c r="I7" s="547"/>
      <c r="J7" s="547" t="s">
        <v>139</v>
      </c>
      <c r="K7" s="547"/>
      <c r="L7" s="550" t="s">
        <v>140</v>
      </c>
      <c r="M7" s="551"/>
    </row>
    <row r="8" spans="1:13" ht="15.75" customHeight="1" x14ac:dyDescent="0.25">
      <c r="A8" s="538"/>
      <c r="B8" s="317" t="s">
        <v>141</v>
      </c>
      <c r="C8" s="317" t="s">
        <v>36</v>
      </c>
      <c r="D8" s="541"/>
      <c r="E8" s="543"/>
      <c r="F8" s="317" t="s">
        <v>141</v>
      </c>
      <c r="G8" s="317" t="s">
        <v>36</v>
      </c>
      <c r="H8" s="317" t="s">
        <v>141</v>
      </c>
      <c r="I8" s="317" t="s">
        <v>36</v>
      </c>
      <c r="J8" s="317" t="s">
        <v>141</v>
      </c>
      <c r="K8" s="317" t="s">
        <v>36</v>
      </c>
      <c r="L8" s="317" t="s">
        <v>141</v>
      </c>
      <c r="M8" s="321" t="s">
        <v>36</v>
      </c>
    </row>
    <row r="9" spans="1:13" ht="19.350000000000001" customHeight="1" x14ac:dyDescent="0.25">
      <c r="A9" s="322" t="s">
        <v>142</v>
      </c>
      <c r="B9" s="153">
        <f>SUM('日別報廢率總表 '!C26:C32)</f>
        <v>49137.235100000005</v>
      </c>
      <c r="C9" s="154">
        <f>B9/$B$5</f>
        <v>2.4297555983549559E-3</v>
      </c>
      <c r="D9" s="541"/>
      <c r="E9" s="152" t="s">
        <v>142</v>
      </c>
      <c r="F9" s="155">
        <f>'報廢－原因別分析 (週)'!AD8</f>
        <v>23316.870000000003</v>
      </c>
      <c r="G9" s="156">
        <f>'報廢－原因別分析 (週)'!AD9</f>
        <v>0.5</v>
      </c>
      <c r="H9" s="155">
        <f>'報廢－原因別分析 (週)'!AE8</f>
        <v>17368.939999999999</v>
      </c>
      <c r="I9" s="156">
        <f>'報廢－原因別分析 (週)'!AE9</f>
        <v>0.35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3066.04</v>
      </c>
      <c r="M9" s="323">
        <f>'報廢－原因別分析 (週)'!AG9</f>
        <v>0.15</v>
      </c>
    </row>
    <row r="10" spans="1:13" ht="19.350000000000001" customHeight="1" x14ac:dyDescent="0.25">
      <c r="A10" s="324" t="s">
        <v>143</v>
      </c>
      <c r="B10" s="158">
        <f>SUM('日別報廢率總表 '!E26:E32)</f>
        <v>63724.524950000006</v>
      </c>
      <c r="C10" s="154">
        <f>B10/$B$5</f>
        <v>3.1510731308887294E-3</v>
      </c>
      <c r="D10" s="541"/>
      <c r="E10" s="157" t="s">
        <v>143</v>
      </c>
      <c r="F10" s="155">
        <f>'超用－原因別分析 (週) '!AD8</f>
        <v>50319.709999999955</v>
      </c>
      <c r="G10" s="156">
        <f>'超用－原因別分析 (週) '!AD9</f>
        <v>0.85</v>
      </c>
      <c r="H10" s="155">
        <f>'超用－原因別分析 (週) '!AE8</f>
        <v>0</v>
      </c>
      <c r="I10" s="156">
        <f>'超用－原因別分析 (週) '!AE9</f>
        <v>0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7464.2400000000198</v>
      </c>
      <c r="M10" s="323">
        <f>'超用－原因別分析 (週) '!AG9</f>
        <v>0.15</v>
      </c>
    </row>
    <row r="11" spans="1:13" ht="15.75" customHeight="1" x14ac:dyDescent="0.25">
      <c r="A11" s="325"/>
      <c r="D11" s="541"/>
      <c r="E11" s="543" t="s">
        <v>9</v>
      </c>
      <c r="F11" s="421">
        <v>5</v>
      </c>
      <c r="G11" s="421"/>
      <c r="H11" s="421">
        <v>6</v>
      </c>
      <c r="I11" s="421"/>
      <c r="J11" s="421">
        <v>7</v>
      </c>
      <c r="K11" s="421"/>
      <c r="L11" s="545">
        <v>8</v>
      </c>
      <c r="M11" s="546"/>
    </row>
    <row r="12" spans="1:13" ht="31.35" customHeight="1" x14ac:dyDescent="0.25">
      <c r="A12" s="325"/>
      <c r="D12" s="541"/>
      <c r="E12" s="543"/>
      <c r="F12" s="547" t="s">
        <v>144</v>
      </c>
      <c r="G12" s="547"/>
      <c r="H12" s="547" t="s">
        <v>145</v>
      </c>
      <c r="I12" s="547"/>
      <c r="J12" s="547" t="s">
        <v>146</v>
      </c>
      <c r="K12" s="547"/>
      <c r="L12" s="548" t="s">
        <v>147</v>
      </c>
      <c r="M12" s="549"/>
    </row>
    <row r="13" spans="1:13" ht="15.75" customHeight="1" x14ac:dyDescent="0.25">
      <c r="A13" s="325"/>
      <c r="D13" s="541"/>
      <c r="E13" s="543"/>
      <c r="F13" s="317" t="s">
        <v>141</v>
      </c>
      <c r="G13" s="317" t="s">
        <v>36</v>
      </c>
      <c r="H13" s="317" t="s">
        <v>141</v>
      </c>
      <c r="I13" s="317" t="s">
        <v>36</v>
      </c>
      <c r="J13" s="317" t="s">
        <v>141</v>
      </c>
      <c r="K13" s="317" t="s">
        <v>36</v>
      </c>
      <c r="L13" s="317" t="s">
        <v>141</v>
      </c>
      <c r="M13" s="321" t="s">
        <v>36</v>
      </c>
    </row>
    <row r="14" spans="1:13" ht="19.350000000000001" customHeight="1" x14ac:dyDescent="0.25">
      <c r="A14" s="325"/>
      <c r="D14" s="541"/>
      <c r="E14" s="152" t="s">
        <v>142</v>
      </c>
      <c r="F14" s="155">
        <f>'報廢－原因別分析 (週)'!AH8</f>
        <v>0</v>
      </c>
      <c r="G14" s="156">
        <f>'報廢－原因別分析 (週)'!AH9</f>
        <v>0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>
        <v>0</v>
      </c>
      <c r="M14" s="323">
        <f>'報廢－原因別分析 (週)'!AI9</f>
        <v>0</v>
      </c>
    </row>
    <row r="15" spans="1:13" ht="19.350000000000001" customHeight="1" x14ac:dyDescent="0.25">
      <c r="A15" s="326"/>
      <c r="B15" s="327"/>
      <c r="C15" s="327"/>
      <c r="D15" s="542"/>
      <c r="E15" s="328" t="s">
        <v>143</v>
      </c>
      <c r="F15" s="329">
        <f>'超用－原因別分析 (週) '!AH8</f>
        <v>0</v>
      </c>
      <c r="G15" s="330">
        <f>'超用－原因別分析 (週) '!AH9</f>
        <v>0</v>
      </c>
      <c r="H15" s="329">
        <f>'超用－原因別分析 (週) '!AI8</f>
        <v>0</v>
      </c>
      <c r="I15" s="330">
        <f>'超用－原因別分析 (週) '!AI9</f>
        <v>0</v>
      </c>
      <c r="J15" s="329">
        <f>'超用－原因別分析 (週) '!AJ8</f>
        <v>0</v>
      </c>
      <c r="K15" s="330">
        <f>'超用－原因別分析 (週) '!AJ9</f>
        <v>0</v>
      </c>
      <c r="L15" s="329">
        <v>0</v>
      </c>
      <c r="M15" s="331">
        <f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25" sqref="D25:L26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3" width="12.5703125" style="117" customWidth="1"/>
    <col min="54" max="16384" width="12.5703125" style="117"/>
  </cols>
  <sheetData>
    <row r="1" spans="1:17" ht="15.75" customHeight="1" x14ac:dyDescent="0.2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18" customFormat="1" ht="15.75" customHeight="1" x14ac:dyDescent="0.25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 x14ac:dyDescent="0.25">
      <c r="A3" s="553" t="s">
        <v>148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18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ht="15.75" customHeight="1" x14ac:dyDescent="0.25">
      <c r="A5" s="466" t="s">
        <v>149</v>
      </c>
      <c r="B5" s="557">
        <v>1</v>
      </c>
      <c r="C5" s="557"/>
      <c r="D5" s="557">
        <v>2</v>
      </c>
      <c r="E5" s="557"/>
      <c r="F5" s="557">
        <v>3</v>
      </c>
      <c r="G5" s="557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5">
        <v>8</v>
      </c>
      <c r="Q5" s="555"/>
    </row>
    <row r="6" spans="1:17" ht="15.75" customHeight="1" x14ac:dyDescent="0.25">
      <c r="A6" s="466"/>
      <c r="B6" s="558" t="s">
        <v>137</v>
      </c>
      <c r="C6" s="558"/>
      <c r="D6" s="558" t="s">
        <v>150</v>
      </c>
      <c r="E6" s="558"/>
      <c r="F6" s="558" t="s">
        <v>139</v>
      </c>
      <c r="G6" s="558"/>
      <c r="H6" s="556" t="s">
        <v>140</v>
      </c>
      <c r="I6" s="466"/>
      <c r="J6" s="466" t="s">
        <v>144</v>
      </c>
      <c r="K6" s="466"/>
      <c r="L6" s="466" t="s">
        <v>145</v>
      </c>
      <c r="M6" s="466"/>
      <c r="N6" s="466" t="s">
        <v>146</v>
      </c>
      <c r="O6" s="466"/>
      <c r="P6" s="556" t="s">
        <v>151</v>
      </c>
      <c r="Q6" s="466"/>
    </row>
    <row r="8" spans="1:17" s="119" customFormat="1" ht="15.75" customHeight="1" x14ac:dyDescent="0.2">
      <c r="A8" s="555" t="s">
        <v>149</v>
      </c>
      <c r="B8" s="555"/>
      <c r="C8" s="125" t="s">
        <v>90</v>
      </c>
      <c r="D8" s="570" t="s">
        <v>106</v>
      </c>
      <c r="E8" s="571"/>
      <c r="F8" s="572"/>
      <c r="G8" s="126" t="s">
        <v>152</v>
      </c>
      <c r="H8" s="127"/>
      <c r="I8" s="125"/>
      <c r="J8" s="128" t="s">
        <v>153</v>
      </c>
      <c r="K8" s="128" t="s">
        <v>24</v>
      </c>
      <c r="L8" s="128" t="s">
        <v>154</v>
      </c>
      <c r="M8" s="128" t="s">
        <v>141</v>
      </c>
      <c r="N8" s="128" t="s">
        <v>155</v>
      </c>
      <c r="O8" s="565" t="s">
        <v>110</v>
      </c>
      <c r="P8" s="566"/>
    </row>
    <row r="9" spans="1:17" ht="15.75" customHeight="1" x14ac:dyDescent="0.25">
      <c r="A9" s="555">
        <v>1</v>
      </c>
      <c r="B9" s="569" t="s">
        <v>156</v>
      </c>
      <c r="C9" s="129">
        <v>1</v>
      </c>
      <c r="D9" s="562" t="s">
        <v>390</v>
      </c>
      <c r="E9" s="563"/>
      <c r="F9" s="564"/>
      <c r="G9" s="562" t="s">
        <v>389</v>
      </c>
      <c r="H9" s="563"/>
      <c r="I9" s="564"/>
      <c r="J9" s="130">
        <v>108.5</v>
      </c>
      <c r="K9" s="131">
        <v>6.7000000000000004E-2</v>
      </c>
      <c r="L9" s="130">
        <v>89.2</v>
      </c>
      <c r="M9" s="183">
        <f>L9*J9</f>
        <v>9678.2000000000007</v>
      </c>
      <c r="N9" s="345">
        <v>3</v>
      </c>
      <c r="O9" s="567" t="s">
        <v>158</v>
      </c>
      <c r="P9" s="568"/>
    </row>
    <row r="10" spans="1:17" ht="15.75" customHeight="1" x14ac:dyDescent="0.25">
      <c r="A10" s="555"/>
      <c r="B10" s="569"/>
      <c r="C10" s="129">
        <v>2</v>
      </c>
      <c r="D10" s="562" t="s">
        <v>390</v>
      </c>
      <c r="E10" s="563"/>
      <c r="F10" s="564"/>
      <c r="G10" s="562" t="s">
        <v>391</v>
      </c>
      <c r="H10" s="563"/>
      <c r="I10" s="564"/>
      <c r="J10" s="130">
        <v>296.8</v>
      </c>
      <c r="K10" s="131">
        <v>0.109</v>
      </c>
      <c r="L10" s="130">
        <v>13</v>
      </c>
      <c r="M10" s="183">
        <f>L10*J10</f>
        <v>3858.4</v>
      </c>
      <c r="N10" s="345">
        <v>2.14</v>
      </c>
      <c r="O10" s="567" t="s">
        <v>158</v>
      </c>
      <c r="P10" s="568"/>
    </row>
    <row r="11" spans="1:17" ht="15.75" customHeight="1" x14ac:dyDescent="0.25">
      <c r="A11" s="555"/>
      <c r="B11" s="569"/>
      <c r="C11" s="129">
        <v>3</v>
      </c>
      <c r="D11" s="562" t="s">
        <v>159</v>
      </c>
      <c r="E11" s="699"/>
      <c r="F11" s="700"/>
      <c r="G11" s="562" t="s">
        <v>160</v>
      </c>
      <c r="H11" s="563"/>
      <c r="I11" s="564"/>
      <c r="J11" s="130">
        <v>118.5</v>
      </c>
      <c r="K11" s="131">
        <v>2.8000000000000001E-2</v>
      </c>
      <c r="L11" s="130">
        <v>23.4</v>
      </c>
      <c r="M11" s="183">
        <f>L11*J11</f>
        <v>2772.8999999999996</v>
      </c>
      <c r="N11" s="345">
        <v>0.37859999999999999</v>
      </c>
      <c r="O11" s="567" t="s">
        <v>158</v>
      </c>
      <c r="P11" s="568"/>
    </row>
    <row r="12" spans="1:17" ht="15.75" customHeight="1" x14ac:dyDescent="0.25">
      <c r="A12" s="555"/>
      <c r="B12" s="569"/>
      <c r="C12" s="129">
        <v>4</v>
      </c>
      <c r="D12" s="562" t="s">
        <v>159</v>
      </c>
      <c r="E12" s="699"/>
      <c r="F12" s="700"/>
      <c r="G12" s="562" t="s">
        <v>392</v>
      </c>
      <c r="H12" s="563"/>
      <c r="I12" s="564"/>
      <c r="J12" s="130">
        <v>850.9</v>
      </c>
      <c r="K12" s="131">
        <v>3.4000000000000002E-2</v>
      </c>
      <c r="L12" s="130">
        <v>2</v>
      </c>
      <c r="M12" s="183">
        <f>L12*J12</f>
        <v>1701.8</v>
      </c>
      <c r="N12" s="345">
        <v>2.31</v>
      </c>
      <c r="O12" s="567" t="s">
        <v>158</v>
      </c>
      <c r="P12" s="568"/>
    </row>
    <row r="13" spans="1:17" ht="15.75" customHeight="1" x14ac:dyDescent="0.25">
      <c r="A13" s="555"/>
      <c r="B13" s="569"/>
      <c r="C13" s="135">
        <v>5</v>
      </c>
      <c r="D13" s="562" t="s">
        <v>394</v>
      </c>
      <c r="E13" s="563"/>
      <c r="F13" s="564"/>
      <c r="G13" s="562" t="s">
        <v>393</v>
      </c>
      <c r="H13" s="563"/>
      <c r="I13" s="564"/>
      <c r="J13" s="130">
        <v>82.8</v>
      </c>
      <c r="K13" s="137">
        <v>2.9000000000000001E-2</v>
      </c>
      <c r="L13" s="136">
        <v>17.8</v>
      </c>
      <c r="M13" s="184">
        <f>L13*J13</f>
        <v>1473.84</v>
      </c>
      <c r="N13" s="345">
        <v>0.30719999999999997</v>
      </c>
      <c r="O13" s="567" t="s">
        <v>158</v>
      </c>
      <c r="P13" s="568"/>
    </row>
    <row r="14" spans="1:17" ht="15.75" customHeight="1" x14ac:dyDescent="0.25">
      <c r="A14" s="555"/>
      <c r="B14" s="569"/>
      <c r="C14" s="573"/>
      <c r="D14" s="573"/>
      <c r="E14" s="573"/>
      <c r="F14" s="573"/>
      <c r="G14" s="573"/>
      <c r="H14" s="573"/>
      <c r="I14" s="574"/>
      <c r="J14" s="141" t="s">
        <v>165</v>
      </c>
      <c r="K14" s="413">
        <f>M14/SUM('日別報廢率總表 '!$C$12:$C$18)</f>
        <v>0.35635863993334388</v>
      </c>
      <c r="L14" s="141" t="s">
        <v>166</v>
      </c>
      <c r="M14" s="143">
        <f>SUM(M9:M13)</f>
        <v>19485.14</v>
      </c>
      <c r="N14" s="559"/>
      <c r="O14" s="560"/>
      <c r="P14" s="561"/>
    </row>
    <row r="16" spans="1:17" ht="15.75" customHeight="1" x14ac:dyDescent="0.25">
      <c r="A16" s="555" t="s">
        <v>149</v>
      </c>
      <c r="B16" s="555"/>
      <c r="C16" s="125" t="s">
        <v>90</v>
      </c>
      <c r="D16" s="570" t="s">
        <v>106</v>
      </c>
      <c r="E16" s="571"/>
      <c r="F16" s="572"/>
      <c r="G16" s="126" t="s">
        <v>152</v>
      </c>
      <c r="H16" s="127"/>
      <c r="I16" s="125"/>
      <c r="J16" s="128" t="s">
        <v>153</v>
      </c>
      <c r="K16" s="128" t="s">
        <v>24</v>
      </c>
      <c r="L16" s="128" t="s">
        <v>154</v>
      </c>
      <c r="M16" s="128" t="s">
        <v>141</v>
      </c>
      <c r="N16" s="128" t="s">
        <v>155</v>
      </c>
      <c r="O16" s="565" t="s">
        <v>110</v>
      </c>
      <c r="P16" s="566"/>
    </row>
    <row r="17" spans="1:16" ht="15.75" customHeight="1" x14ac:dyDescent="0.25">
      <c r="A17" s="555">
        <v>2</v>
      </c>
      <c r="B17" s="569" t="s">
        <v>167</v>
      </c>
      <c r="C17" s="129">
        <v>1</v>
      </c>
      <c r="D17" s="562" t="s">
        <v>396</v>
      </c>
      <c r="E17" s="563"/>
      <c r="F17" s="564"/>
      <c r="G17" s="562" t="s">
        <v>395</v>
      </c>
      <c r="H17" s="563"/>
      <c r="I17" s="564"/>
      <c r="J17" s="130">
        <v>140.6</v>
      </c>
      <c r="K17" s="131">
        <v>2.8000000000000001E-2</v>
      </c>
      <c r="L17" s="130">
        <v>41.6</v>
      </c>
      <c r="M17" s="183">
        <f>J17*L17</f>
        <v>5848.96</v>
      </c>
      <c r="N17" s="215"/>
      <c r="O17" s="562" t="s">
        <v>168</v>
      </c>
      <c r="P17" s="576"/>
    </row>
    <row r="18" spans="1:16" ht="15.75" customHeight="1" x14ac:dyDescent="0.25">
      <c r="A18" s="555"/>
      <c r="B18" s="569"/>
      <c r="C18" s="129">
        <v>2</v>
      </c>
      <c r="D18" s="562" t="s">
        <v>398</v>
      </c>
      <c r="E18" s="563"/>
      <c r="F18" s="564"/>
      <c r="G18" s="562" t="s">
        <v>397</v>
      </c>
      <c r="H18" s="563"/>
      <c r="I18" s="564"/>
      <c r="J18" s="130">
        <v>125.6</v>
      </c>
      <c r="K18" s="131">
        <v>1.2E-2</v>
      </c>
      <c r="L18" s="130">
        <v>31.1</v>
      </c>
      <c r="M18" s="183">
        <f t="shared" ref="M18:M21" si="0">J18*L18</f>
        <v>3906.16</v>
      </c>
      <c r="N18" s="215"/>
      <c r="O18" s="562" t="s">
        <v>168</v>
      </c>
      <c r="P18" s="576"/>
    </row>
    <row r="19" spans="1:16" ht="15.75" customHeight="1" x14ac:dyDescent="0.25">
      <c r="A19" s="555"/>
      <c r="B19" s="569"/>
      <c r="C19" s="129">
        <v>3</v>
      </c>
      <c r="D19" s="562" t="s">
        <v>400</v>
      </c>
      <c r="E19" s="563"/>
      <c r="F19" s="564"/>
      <c r="G19" s="562" t="s">
        <v>399</v>
      </c>
      <c r="H19" s="563"/>
      <c r="I19" s="564"/>
      <c r="J19" s="130">
        <v>156.69999999999999</v>
      </c>
      <c r="K19" s="131">
        <v>4.0000000000000001E-3</v>
      </c>
      <c r="L19" s="130">
        <v>17.399999999999999</v>
      </c>
      <c r="M19" s="183">
        <f t="shared" si="0"/>
        <v>2726.5799999999995</v>
      </c>
      <c r="N19" s="215"/>
      <c r="O19" s="562" t="s">
        <v>168</v>
      </c>
      <c r="P19" s="576"/>
    </row>
    <row r="20" spans="1:16" ht="15.75" customHeight="1" x14ac:dyDescent="0.25">
      <c r="A20" s="555"/>
      <c r="B20" s="569"/>
      <c r="C20" s="129">
        <v>4</v>
      </c>
      <c r="D20" s="562" t="s">
        <v>402</v>
      </c>
      <c r="E20" s="563"/>
      <c r="F20" s="564"/>
      <c r="G20" s="575" t="s">
        <v>401</v>
      </c>
      <c r="H20" s="563"/>
      <c r="I20" s="564"/>
      <c r="J20" s="130">
        <v>193.2</v>
      </c>
      <c r="K20" s="131">
        <v>0.01</v>
      </c>
      <c r="L20" s="130">
        <v>13.6</v>
      </c>
      <c r="M20" s="183">
        <f t="shared" si="0"/>
        <v>2627.52</v>
      </c>
      <c r="N20" s="215"/>
      <c r="O20" s="562" t="s">
        <v>168</v>
      </c>
      <c r="P20" s="576"/>
    </row>
    <row r="21" spans="1:16" ht="15.75" customHeight="1" x14ac:dyDescent="0.25">
      <c r="A21" s="555"/>
      <c r="B21" s="569"/>
      <c r="C21" s="135">
        <v>5</v>
      </c>
      <c r="D21" s="562" t="s">
        <v>404</v>
      </c>
      <c r="E21" s="563"/>
      <c r="F21" s="564"/>
      <c r="G21" s="562" t="s">
        <v>403</v>
      </c>
      <c r="H21" s="563"/>
      <c r="I21" s="564"/>
      <c r="J21" s="130">
        <v>77.3</v>
      </c>
      <c r="K21" s="137">
        <v>3.0000000000000001E-3</v>
      </c>
      <c r="L21" s="136">
        <v>14.4</v>
      </c>
      <c r="M21" s="183">
        <f t="shared" si="0"/>
        <v>1113.1199999999999</v>
      </c>
      <c r="N21" s="215">
        <v>0.873</v>
      </c>
      <c r="O21" s="562" t="s">
        <v>168</v>
      </c>
      <c r="P21" s="576"/>
    </row>
    <row r="22" spans="1:16" ht="15.75" customHeight="1" x14ac:dyDescent="0.25">
      <c r="A22" s="555"/>
      <c r="B22" s="569"/>
      <c r="C22" s="573"/>
      <c r="D22" s="573"/>
      <c r="E22" s="573"/>
      <c r="F22" s="573"/>
      <c r="G22" s="573"/>
      <c r="H22" s="573"/>
      <c r="I22" s="574"/>
      <c r="J22" s="141" t="s">
        <v>165</v>
      </c>
      <c r="K22" s="413">
        <f>M22/SUM('日別報廢率總表 '!$C$12:$C$18)</f>
        <v>0.29668614230825552</v>
      </c>
      <c r="L22" s="141" t="s">
        <v>166</v>
      </c>
      <c r="M22" s="214">
        <f>SUM(M17:M21)</f>
        <v>16222.34</v>
      </c>
      <c r="N22" s="559"/>
      <c r="O22" s="560"/>
      <c r="P22" s="561"/>
    </row>
    <row r="24" spans="1:16" ht="15.75" customHeight="1" x14ac:dyDescent="0.25">
      <c r="A24" s="555" t="s">
        <v>149</v>
      </c>
      <c r="B24" s="555"/>
      <c r="C24" s="125" t="s">
        <v>90</v>
      </c>
      <c r="D24" s="570" t="s">
        <v>106</v>
      </c>
      <c r="E24" s="571"/>
      <c r="F24" s="572"/>
      <c r="G24" s="126" t="s">
        <v>152</v>
      </c>
      <c r="H24" s="127"/>
      <c r="I24" s="125"/>
      <c r="J24" s="128" t="s">
        <v>153</v>
      </c>
      <c r="K24" s="128" t="s">
        <v>24</v>
      </c>
      <c r="L24" s="128" t="s">
        <v>154</v>
      </c>
      <c r="M24" s="128" t="s">
        <v>141</v>
      </c>
      <c r="N24" s="128" t="s">
        <v>109</v>
      </c>
      <c r="O24" s="565" t="s">
        <v>110</v>
      </c>
      <c r="P24" s="566"/>
    </row>
    <row r="25" spans="1:16" ht="15.75" customHeight="1" x14ac:dyDescent="0.25">
      <c r="A25" s="555">
        <v>3</v>
      </c>
      <c r="B25" s="569" t="s">
        <v>139</v>
      </c>
      <c r="C25" s="129">
        <v>1</v>
      </c>
      <c r="D25" s="562"/>
      <c r="E25" s="563"/>
      <c r="F25" s="564"/>
      <c r="G25" s="562"/>
      <c r="H25" s="563"/>
      <c r="I25" s="564"/>
      <c r="J25" s="130"/>
      <c r="K25" s="131"/>
      <c r="L25" s="130"/>
      <c r="M25" s="132">
        <f>L25*J25</f>
        <v>0</v>
      </c>
      <c r="N25" s="130"/>
      <c r="O25" s="562"/>
      <c r="P25" s="576"/>
    </row>
    <row r="26" spans="1:16" ht="15.75" customHeight="1" x14ac:dyDescent="0.25">
      <c r="A26" s="555"/>
      <c r="B26" s="569"/>
      <c r="C26" s="129">
        <v>2</v>
      </c>
      <c r="D26" s="562"/>
      <c r="E26" s="563"/>
      <c r="F26" s="564"/>
      <c r="G26" s="562"/>
      <c r="H26" s="563"/>
      <c r="I26" s="564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55"/>
      <c r="B27" s="569"/>
      <c r="C27" s="129">
        <v>3</v>
      </c>
      <c r="D27" s="562"/>
      <c r="E27" s="563"/>
      <c r="F27" s="564"/>
      <c r="G27" s="562"/>
      <c r="H27" s="563"/>
      <c r="I27" s="564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55"/>
      <c r="B28" s="569"/>
      <c r="C28" s="129">
        <v>4</v>
      </c>
      <c r="D28" s="562"/>
      <c r="E28" s="563"/>
      <c r="F28" s="564"/>
      <c r="G28" s="562"/>
      <c r="H28" s="563"/>
      <c r="I28" s="564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55"/>
      <c r="B29" s="569"/>
      <c r="C29" s="135">
        <v>5</v>
      </c>
      <c r="D29" s="562"/>
      <c r="E29" s="563"/>
      <c r="F29" s="564"/>
      <c r="G29" s="562"/>
      <c r="H29" s="563"/>
      <c r="I29" s="564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55"/>
      <c r="B30" s="569"/>
      <c r="C30" s="573"/>
      <c r="D30" s="573"/>
      <c r="E30" s="573"/>
      <c r="F30" s="573"/>
      <c r="G30" s="573"/>
      <c r="H30" s="573"/>
      <c r="I30" s="574"/>
      <c r="J30" s="141" t="s">
        <v>165</v>
      </c>
      <c r="K30" s="413">
        <f>M30/SUM('日別報廢率總表 '!$C$12:$C$18)</f>
        <v>0</v>
      </c>
      <c r="L30" s="141" t="s">
        <v>166</v>
      </c>
      <c r="M30" s="143">
        <f>SUM(M25:M29)</f>
        <v>0</v>
      </c>
      <c r="N30" s="559"/>
      <c r="O30" s="560"/>
      <c r="P30" s="561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7" sqref="D17:L19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3" width="12.5703125" style="2" customWidth="1"/>
    <col min="54" max="16384" width="12.5703125" style="2"/>
  </cols>
  <sheetData>
    <row r="1" spans="1:17" s="117" customFormat="1" ht="15.75" customHeight="1" x14ac:dyDescent="0.2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18" customFormat="1" ht="15.75" customHeight="1" x14ac:dyDescent="0.25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s="117" customFormat="1" ht="15.75" customHeight="1" x14ac:dyDescent="0.25">
      <c r="A3" s="553" t="s">
        <v>148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18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s="117" customFormat="1" ht="15.75" customHeight="1" x14ac:dyDescent="0.25">
      <c r="A5" s="466" t="s">
        <v>149</v>
      </c>
      <c r="B5" s="555">
        <v>1</v>
      </c>
      <c r="C5" s="555"/>
      <c r="D5" s="555">
        <v>2</v>
      </c>
      <c r="E5" s="555"/>
      <c r="F5" s="555">
        <v>3</v>
      </c>
      <c r="G5" s="555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5">
        <v>8</v>
      </c>
      <c r="Q5" s="555"/>
    </row>
    <row r="6" spans="1:17" s="117" customFormat="1" ht="15.75" customHeight="1" x14ac:dyDescent="0.25">
      <c r="A6" s="466"/>
      <c r="B6" s="466" t="s">
        <v>137</v>
      </c>
      <c r="C6" s="466"/>
      <c r="D6" s="466" t="s">
        <v>150</v>
      </c>
      <c r="E6" s="466"/>
      <c r="F6" s="466" t="s">
        <v>139</v>
      </c>
      <c r="G6" s="466"/>
      <c r="H6" s="577" t="s">
        <v>140</v>
      </c>
      <c r="I6" s="558"/>
      <c r="J6" s="558" t="s">
        <v>144</v>
      </c>
      <c r="K6" s="558"/>
      <c r="L6" s="558" t="s">
        <v>145</v>
      </c>
      <c r="M6" s="558"/>
      <c r="N6" s="558" t="s">
        <v>146</v>
      </c>
      <c r="O6" s="558"/>
      <c r="P6" s="556" t="s">
        <v>151</v>
      </c>
      <c r="Q6" s="466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78" t="s">
        <v>149</v>
      </c>
      <c r="B8" s="579"/>
      <c r="C8" s="114" t="s">
        <v>90</v>
      </c>
      <c r="D8" s="580" t="s">
        <v>106</v>
      </c>
      <c r="E8" s="581"/>
      <c r="F8" s="582"/>
      <c r="G8" s="112" t="s">
        <v>152</v>
      </c>
      <c r="H8" s="113"/>
      <c r="I8" s="114"/>
      <c r="J8" s="111" t="s">
        <v>153</v>
      </c>
      <c r="K8" s="111" t="s">
        <v>24</v>
      </c>
      <c r="L8" s="111" t="s">
        <v>154</v>
      </c>
      <c r="M8" s="115" t="s">
        <v>141</v>
      </c>
      <c r="N8" s="115" t="s">
        <v>155</v>
      </c>
      <c r="O8" s="583" t="s">
        <v>110</v>
      </c>
      <c r="P8" s="584"/>
    </row>
    <row r="9" spans="1:17" ht="15.75" customHeight="1" x14ac:dyDescent="0.25">
      <c r="A9" s="579">
        <v>4</v>
      </c>
      <c r="B9" s="585" t="s">
        <v>140</v>
      </c>
      <c r="C9" s="109">
        <v>1</v>
      </c>
      <c r="D9" s="587" t="s">
        <v>406</v>
      </c>
      <c r="E9" s="588"/>
      <c r="F9" s="589"/>
      <c r="G9" s="562" t="s">
        <v>405</v>
      </c>
      <c r="H9" s="588"/>
      <c r="I9" s="589"/>
      <c r="J9" s="4">
        <v>159</v>
      </c>
      <c r="K9" s="14">
        <v>1.0999999999999999E-2</v>
      </c>
      <c r="L9" s="4">
        <v>15.4</v>
      </c>
      <c r="M9" s="186">
        <f>L9*J9</f>
        <v>2448.6</v>
      </c>
      <c r="N9" s="212"/>
      <c r="O9" s="593" t="s">
        <v>172</v>
      </c>
      <c r="P9" s="594"/>
    </row>
    <row r="10" spans="1:17" ht="15.75" customHeight="1" x14ac:dyDescent="0.25">
      <c r="A10" s="579"/>
      <c r="B10" s="586"/>
      <c r="C10" s="109">
        <v>2</v>
      </c>
      <c r="D10" s="587" t="s">
        <v>398</v>
      </c>
      <c r="E10" s="588"/>
      <c r="F10" s="589"/>
      <c r="G10" s="562" t="s">
        <v>407</v>
      </c>
      <c r="H10" s="588"/>
      <c r="I10" s="589"/>
      <c r="J10" s="4">
        <v>36.4</v>
      </c>
      <c r="K10" s="14">
        <v>1E-3</v>
      </c>
      <c r="L10" s="4">
        <v>10.6</v>
      </c>
      <c r="M10" s="186">
        <f>L10*J10</f>
        <v>385.84</v>
      </c>
      <c r="N10" s="212"/>
      <c r="O10" s="593" t="s">
        <v>172</v>
      </c>
      <c r="P10" s="594"/>
    </row>
    <row r="11" spans="1:17" ht="15.75" customHeight="1" x14ac:dyDescent="0.25">
      <c r="A11" s="579"/>
      <c r="B11" s="586"/>
      <c r="C11" s="109">
        <v>3</v>
      </c>
      <c r="D11" s="587" t="s">
        <v>409</v>
      </c>
      <c r="E11" s="588"/>
      <c r="F11" s="589"/>
      <c r="G11" s="587" t="s">
        <v>408</v>
      </c>
      <c r="H11" s="588"/>
      <c r="I11" s="589"/>
      <c r="J11" s="4">
        <v>77.2</v>
      </c>
      <c r="K11" s="14">
        <v>1E-3</v>
      </c>
      <c r="L11" s="4">
        <v>3</v>
      </c>
      <c r="M11" s="186">
        <f>L11*J11</f>
        <v>231.60000000000002</v>
      </c>
      <c r="N11" s="212"/>
      <c r="O11" s="593" t="s">
        <v>172</v>
      </c>
      <c r="P11" s="594"/>
    </row>
    <row r="12" spans="1:17" ht="15.75" customHeight="1" x14ac:dyDescent="0.25">
      <c r="A12" s="579"/>
      <c r="B12" s="586"/>
      <c r="C12" s="109">
        <v>4</v>
      </c>
      <c r="D12" s="587"/>
      <c r="E12" s="588"/>
      <c r="F12" s="589"/>
      <c r="G12" s="562"/>
      <c r="H12" s="588"/>
      <c r="I12" s="589"/>
      <c r="J12" s="4"/>
      <c r="K12" s="14"/>
      <c r="L12" s="4"/>
      <c r="M12" s="186">
        <f>L12*J12</f>
        <v>0</v>
      </c>
      <c r="N12" s="212"/>
      <c r="O12" s="593" t="s">
        <v>172</v>
      </c>
      <c r="P12" s="594"/>
    </row>
    <row r="13" spans="1:17" ht="15.75" customHeight="1" x14ac:dyDescent="0.25">
      <c r="A13" s="579"/>
      <c r="B13" s="586"/>
      <c r="C13" s="110">
        <v>5</v>
      </c>
      <c r="D13" s="587"/>
      <c r="E13" s="588"/>
      <c r="F13" s="589"/>
      <c r="G13" s="562"/>
      <c r="H13" s="588"/>
      <c r="I13" s="589"/>
      <c r="J13" s="4"/>
      <c r="K13" s="30"/>
      <c r="L13" s="27"/>
      <c r="M13" s="186">
        <f>L13*J13</f>
        <v>0</v>
      </c>
      <c r="N13" s="212">
        <v>0.88900000000000001</v>
      </c>
      <c r="O13" s="593" t="s">
        <v>174</v>
      </c>
      <c r="P13" s="594"/>
    </row>
    <row r="14" spans="1:17" ht="15.75" customHeight="1" x14ac:dyDescent="0.25">
      <c r="A14" s="579"/>
      <c r="B14" s="586"/>
      <c r="C14" s="595"/>
      <c r="D14" s="595"/>
      <c r="E14" s="595"/>
      <c r="F14" s="595"/>
      <c r="G14" s="595"/>
      <c r="H14" s="595"/>
      <c r="I14" s="596"/>
      <c r="J14" s="116" t="s">
        <v>165</v>
      </c>
      <c r="K14" s="413">
        <f>M14/SUM('日別報廢率總表 '!$C$12:$C$18)</f>
        <v>5.6074005338490239E-2</v>
      </c>
      <c r="L14" s="116" t="s">
        <v>166</v>
      </c>
      <c r="M14" s="412">
        <f>SUM(M9:M13)</f>
        <v>3066.04</v>
      </c>
      <c r="N14" s="590"/>
      <c r="O14" s="591"/>
      <c r="P14" s="592"/>
    </row>
    <row r="16" spans="1:17" ht="15.75" customHeight="1" x14ac:dyDescent="0.2">
      <c r="A16" s="578" t="s">
        <v>149</v>
      </c>
      <c r="B16" s="579"/>
      <c r="C16" s="114" t="s">
        <v>90</v>
      </c>
      <c r="D16" s="580" t="s">
        <v>106</v>
      </c>
      <c r="E16" s="581"/>
      <c r="F16" s="582"/>
      <c r="G16" s="112" t="s">
        <v>152</v>
      </c>
      <c r="H16" s="113"/>
      <c r="I16" s="114"/>
      <c r="J16" s="111" t="s">
        <v>153</v>
      </c>
      <c r="K16" s="111" t="s">
        <v>24</v>
      </c>
      <c r="L16" s="111" t="s">
        <v>154</v>
      </c>
      <c r="M16" s="115" t="s">
        <v>141</v>
      </c>
      <c r="N16" s="115" t="s">
        <v>155</v>
      </c>
      <c r="O16" s="583" t="s">
        <v>110</v>
      </c>
      <c r="P16" s="584"/>
    </row>
    <row r="17" spans="1:16" x14ac:dyDescent="0.25">
      <c r="A17" s="579">
        <v>5</v>
      </c>
      <c r="B17" s="585" t="s">
        <v>144</v>
      </c>
      <c r="C17" s="109">
        <v>1</v>
      </c>
      <c r="D17" s="587"/>
      <c r="E17" s="588"/>
      <c r="F17" s="589"/>
      <c r="G17" s="562"/>
      <c r="H17" s="588"/>
      <c r="I17" s="589"/>
      <c r="J17" s="4"/>
      <c r="K17" s="14"/>
      <c r="L17" s="4"/>
      <c r="M17" s="186">
        <f>L17*J17</f>
        <v>0</v>
      </c>
      <c r="N17" s="212"/>
      <c r="O17" s="593"/>
      <c r="P17" s="594"/>
    </row>
    <row r="18" spans="1:16" ht="15.75" customHeight="1" x14ac:dyDescent="0.25">
      <c r="A18" s="579"/>
      <c r="B18" s="586"/>
      <c r="C18" s="109">
        <v>2</v>
      </c>
      <c r="D18" s="587"/>
      <c r="E18" s="588"/>
      <c r="F18" s="589"/>
      <c r="G18" s="562"/>
      <c r="H18" s="588"/>
      <c r="I18" s="589"/>
      <c r="J18" s="4"/>
      <c r="K18" s="14"/>
      <c r="L18" s="4"/>
      <c r="M18" s="186">
        <f>L18*J18</f>
        <v>0</v>
      </c>
      <c r="N18" s="4"/>
      <c r="O18" s="593"/>
      <c r="P18" s="594"/>
    </row>
    <row r="19" spans="1:16" ht="15.75" customHeight="1" x14ac:dyDescent="0.25">
      <c r="A19" s="579"/>
      <c r="B19" s="586"/>
      <c r="C19" s="109">
        <v>3</v>
      </c>
      <c r="D19" s="587"/>
      <c r="E19" s="588"/>
      <c r="F19" s="589"/>
      <c r="G19" s="587"/>
      <c r="H19" s="588"/>
      <c r="I19" s="589"/>
      <c r="J19" s="4"/>
      <c r="K19" s="14"/>
      <c r="L19" s="4"/>
      <c r="M19" s="186">
        <f>L19*J19</f>
        <v>0</v>
      </c>
      <c r="N19" s="4"/>
      <c r="O19" s="593"/>
      <c r="P19" s="594"/>
    </row>
    <row r="20" spans="1:16" ht="15.75" customHeight="1" x14ac:dyDescent="0.25">
      <c r="A20" s="579"/>
      <c r="B20" s="586"/>
      <c r="C20" s="109">
        <v>4</v>
      </c>
      <c r="D20" s="587"/>
      <c r="E20" s="588"/>
      <c r="F20" s="589"/>
      <c r="G20" s="562"/>
      <c r="H20" s="588"/>
      <c r="I20" s="589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579"/>
      <c r="B21" s="586"/>
      <c r="C21" s="110">
        <v>5</v>
      </c>
      <c r="D21" s="587"/>
      <c r="E21" s="588"/>
      <c r="F21" s="589"/>
      <c r="G21" s="562"/>
      <c r="H21" s="588"/>
      <c r="I21" s="589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579"/>
      <c r="B22" s="586"/>
      <c r="C22" s="595"/>
      <c r="D22" s="595"/>
      <c r="E22" s="595"/>
      <c r="F22" s="595"/>
      <c r="G22" s="595"/>
      <c r="H22" s="595"/>
      <c r="I22" s="596"/>
      <c r="J22" s="116" t="s">
        <v>165</v>
      </c>
      <c r="K22" s="413">
        <f>M22/SUM('日別報廢率總表 '!$C$12:$C$18)</f>
        <v>0</v>
      </c>
      <c r="L22" s="116" t="s">
        <v>166</v>
      </c>
      <c r="M22" s="412">
        <f>SUM(M17:M21)</f>
        <v>0</v>
      </c>
      <c r="N22" s="590"/>
      <c r="O22" s="591"/>
      <c r="P22" s="592"/>
    </row>
    <row r="24" spans="1:16" ht="15.75" customHeight="1" x14ac:dyDescent="0.2">
      <c r="A24" s="578" t="s">
        <v>149</v>
      </c>
      <c r="B24" s="579"/>
      <c r="C24" s="114" t="s">
        <v>90</v>
      </c>
      <c r="D24" s="580" t="s">
        <v>106</v>
      </c>
      <c r="E24" s="581"/>
      <c r="F24" s="582"/>
      <c r="G24" s="112" t="s">
        <v>152</v>
      </c>
      <c r="H24" s="113"/>
      <c r="I24" s="114"/>
      <c r="J24" s="111" t="s">
        <v>153</v>
      </c>
      <c r="K24" s="111" t="s">
        <v>24</v>
      </c>
      <c r="L24" s="111" t="s">
        <v>154</v>
      </c>
      <c r="M24" s="115" t="s">
        <v>141</v>
      </c>
      <c r="N24" s="115" t="s">
        <v>109</v>
      </c>
      <c r="O24" s="583" t="s">
        <v>110</v>
      </c>
      <c r="P24" s="584"/>
    </row>
    <row r="25" spans="1:16" ht="15.75" customHeight="1" x14ac:dyDescent="0.25">
      <c r="A25" s="579">
        <v>6</v>
      </c>
      <c r="B25" s="585" t="s">
        <v>145</v>
      </c>
      <c r="C25" s="109">
        <v>1</v>
      </c>
      <c r="D25" s="587"/>
      <c r="E25" s="588"/>
      <c r="F25" s="589"/>
      <c r="G25" s="562"/>
      <c r="H25" s="588"/>
      <c r="I25" s="589"/>
      <c r="J25" s="4"/>
      <c r="K25" s="14"/>
      <c r="L25" s="4"/>
      <c r="M25" s="186">
        <f>L25*J25</f>
        <v>0</v>
      </c>
      <c r="N25" s="212"/>
      <c r="O25" s="562"/>
      <c r="P25" s="576"/>
    </row>
    <row r="26" spans="1:16" ht="15.75" customHeight="1" x14ac:dyDescent="0.25">
      <c r="A26" s="579"/>
      <c r="B26" s="586"/>
      <c r="C26" s="109">
        <v>2</v>
      </c>
      <c r="D26" s="587"/>
      <c r="E26" s="588"/>
      <c r="F26" s="589"/>
      <c r="G26" s="587"/>
      <c r="H26" s="588"/>
      <c r="I26" s="589"/>
      <c r="J26" s="4"/>
      <c r="K26" s="14"/>
      <c r="L26" s="4"/>
      <c r="M26" s="186">
        <f>L26*J26</f>
        <v>0</v>
      </c>
      <c r="N26" s="212"/>
      <c r="O26" s="562"/>
      <c r="P26" s="576"/>
    </row>
    <row r="27" spans="1:16" ht="15.75" customHeight="1" x14ac:dyDescent="0.25">
      <c r="A27" s="579"/>
      <c r="B27" s="586"/>
      <c r="C27" s="109">
        <v>3</v>
      </c>
      <c r="D27" s="587"/>
      <c r="E27" s="588"/>
      <c r="F27" s="589"/>
      <c r="G27" s="587"/>
      <c r="H27" s="588"/>
      <c r="I27" s="589"/>
      <c r="J27" s="4"/>
      <c r="K27" s="14"/>
      <c r="L27" s="4"/>
      <c r="M27" s="183"/>
      <c r="N27" s="212"/>
      <c r="O27" s="562"/>
      <c r="P27" s="576"/>
    </row>
    <row r="28" spans="1:16" ht="15.75" customHeight="1" x14ac:dyDescent="0.25">
      <c r="A28" s="579"/>
      <c r="B28" s="586"/>
      <c r="C28" s="109">
        <v>4</v>
      </c>
      <c r="D28" s="587"/>
      <c r="E28" s="588"/>
      <c r="F28" s="589"/>
      <c r="G28" s="562"/>
      <c r="H28" s="588"/>
      <c r="I28" s="589"/>
      <c r="J28" s="4"/>
      <c r="K28" s="14"/>
      <c r="L28" s="4"/>
      <c r="M28" s="185"/>
      <c r="N28" s="212"/>
      <c r="O28" s="593"/>
      <c r="P28" s="600"/>
    </row>
    <row r="29" spans="1:16" ht="15.75" customHeight="1" x14ac:dyDescent="0.25">
      <c r="A29" s="579"/>
      <c r="B29" s="586"/>
      <c r="C29" s="110">
        <v>5</v>
      </c>
      <c r="D29" s="597"/>
      <c r="E29" s="598"/>
      <c r="F29" s="599"/>
      <c r="G29" s="597"/>
      <c r="H29" s="598"/>
      <c r="I29" s="599"/>
      <c r="J29" s="27"/>
      <c r="K29" s="30"/>
      <c r="L29" s="27"/>
      <c r="M29" s="186"/>
      <c r="N29" s="212"/>
      <c r="O29" s="601"/>
      <c r="P29" s="594"/>
    </row>
    <row r="30" spans="1:16" ht="15.75" customHeight="1" x14ac:dyDescent="0.25">
      <c r="A30" s="579"/>
      <c r="B30" s="586"/>
      <c r="C30" s="595"/>
      <c r="D30" s="595"/>
      <c r="E30" s="595"/>
      <c r="F30" s="595"/>
      <c r="G30" s="595"/>
      <c r="H30" s="595"/>
      <c r="I30" s="596"/>
      <c r="J30" s="116" t="s">
        <v>165</v>
      </c>
      <c r="K30" s="142"/>
      <c r="L30" s="116" t="s">
        <v>166</v>
      </c>
      <c r="M30" s="412">
        <f>SUM(M25:M29)</f>
        <v>0</v>
      </c>
      <c r="N30" s="590"/>
      <c r="O30" s="591"/>
      <c r="P30" s="592"/>
    </row>
    <row r="32" spans="1:16" ht="15.75" customHeight="1" x14ac:dyDescent="0.2">
      <c r="A32" s="578" t="s">
        <v>149</v>
      </c>
      <c r="B32" s="579"/>
      <c r="C32" s="114" t="s">
        <v>90</v>
      </c>
      <c r="D32" s="580" t="s">
        <v>106</v>
      </c>
      <c r="E32" s="581"/>
      <c r="F32" s="582"/>
      <c r="G32" s="112" t="s">
        <v>152</v>
      </c>
      <c r="H32" s="113"/>
      <c r="I32" s="114"/>
      <c r="J32" s="111" t="s">
        <v>153</v>
      </c>
      <c r="K32" s="111" t="s">
        <v>24</v>
      </c>
      <c r="L32" s="111" t="s">
        <v>154</v>
      </c>
      <c r="M32" s="115" t="s">
        <v>141</v>
      </c>
      <c r="N32" s="115" t="s">
        <v>109</v>
      </c>
      <c r="O32" s="583" t="s">
        <v>110</v>
      </c>
      <c r="P32" s="584"/>
    </row>
    <row r="33" spans="1:16" ht="15.75" customHeight="1" x14ac:dyDescent="0.25">
      <c r="A33" s="579">
        <v>7</v>
      </c>
      <c r="B33" s="585" t="s">
        <v>139</v>
      </c>
      <c r="C33" s="109">
        <v>1</v>
      </c>
      <c r="D33" s="587"/>
      <c r="E33" s="588"/>
      <c r="F33" s="589"/>
      <c r="G33" s="562"/>
      <c r="H33" s="588"/>
      <c r="I33" s="589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579"/>
      <c r="B34" s="586"/>
      <c r="C34" s="109">
        <v>2</v>
      </c>
      <c r="D34" s="587"/>
      <c r="E34" s="588"/>
      <c r="F34" s="589"/>
      <c r="G34" s="587"/>
      <c r="H34" s="588"/>
      <c r="I34" s="589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579"/>
      <c r="B35" s="586"/>
      <c r="C35" s="109">
        <v>3</v>
      </c>
      <c r="D35" s="587"/>
      <c r="E35" s="588"/>
      <c r="F35" s="589"/>
      <c r="G35" s="587"/>
      <c r="H35" s="588"/>
      <c r="I35" s="589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579"/>
      <c r="B36" s="586"/>
      <c r="C36" s="109">
        <v>4</v>
      </c>
      <c r="D36" s="587"/>
      <c r="E36" s="588"/>
      <c r="F36" s="589"/>
      <c r="G36" s="562"/>
      <c r="H36" s="588"/>
      <c r="I36" s="589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579"/>
      <c r="B37" s="586"/>
      <c r="C37" s="110">
        <v>5</v>
      </c>
      <c r="D37" s="597"/>
      <c r="E37" s="598"/>
      <c r="F37" s="599"/>
      <c r="G37" s="597"/>
      <c r="H37" s="598"/>
      <c r="I37" s="59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79"/>
      <c r="B38" s="586"/>
      <c r="C38" s="595"/>
      <c r="D38" s="595"/>
      <c r="E38" s="595"/>
      <c r="F38" s="595"/>
      <c r="G38" s="595"/>
      <c r="H38" s="595"/>
      <c r="I38" s="596"/>
      <c r="J38" s="116" t="s">
        <v>165</v>
      </c>
      <c r="K38" s="413">
        <f>M38/SUM('日別報廢率總表 '!$C$12:$C$18)</f>
        <v>0</v>
      </c>
      <c r="L38" s="116" t="s">
        <v>166</v>
      </c>
      <c r="M38" s="34">
        <v>0</v>
      </c>
      <c r="N38" s="590"/>
      <c r="O38" s="591"/>
      <c r="P38" s="592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3" width="12.5703125" style="117" customWidth="1"/>
    <col min="54" max="16384" width="12.5703125" style="117"/>
  </cols>
  <sheetData>
    <row r="1" spans="1:17" ht="15.75" customHeight="1" x14ac:dyDescent="0.2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18" customFormat="1" ht="15.75" customHeight="1" x14ac:dyDescent="0.25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 x14ac:dyDescent="0.25">
      <c r="A3" s="553" t="s">
        <v>175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18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ht="15.75" customHeight="1" x14ac:dyDescent="0.25">
      <c r="A5" s="466" t="s">
        <v>149</v>
      </c>
      <c r="B5" s="557">
        <v>1</v>
      </c>
      <c r="C5" s="557"/>
      <c r="D5" s="557">
        <v>2</v>
      </c>
      <c r="E5" s="557"/>
      <c r="F5" s="557">
        <v>3</v>
      </c>
      <c r="G5" s="557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5">
        <v>8</v>
      </c>
      <c r="Q5" s="555"/>
    </row>
    <row r="6" spans="1:17" ht="15.75" customHeight="1" x14ac:dyDescent="0.25">
      <c r="A6" s="466"/>
      <c r="B6" s="558" t="s">
        <v>137</v>
      </c>
      <c r="C6" s="558"/>
      <c r="D6" s="558" t="s">
        <v>150</v>
      </c>
      <c r="E6" s="558"/>
      <c r="F6" s="558" t="s">
        <v>139</v>
      </c>
      <c r="G6" s="558"/>
      <c r="H6" s="556" t="s">
        <v>140</v>
      </c>
      <c r="I6" s="556"/>
      <c r="J6" s="466" t="s">
        <v>144</v>
      </c>
      <c r="K6" s="466"/>
      <c r="L6" s="466" t="s">
        <v>145</v>
      </c>
      <c r="M6" s="466"/>
      <c r="N6" s="466" t="s">
        <v>146</v>
      </c>
      <c r="O6" s="466"/>
      <c r="P6" s="556" t="s">
        <v>151</v>
      </c>
      <c r="Q6" s="466"/>
    </row>
    <row r="8" spans="1:17" s="119" customFormat="1" ht="15.75" customHeight="1" x14ac:dyDescent="0.2">
      <c r="A8" s="555" t="s">
        <v>149</v>
      </c>
      <c r="B8" s="555"/>
      <c r="C8" s="125" t="s">
        <v>90</v>
      </c>
      <c r="D8" s="570" t="s">
        <v>106</v>
      </c>
      <c r="E8" s="571"/>
      <c r="F8" s="572"/>
      <c r="G8" s="126" t="s">
        <v>152</v>
      </c>
      <c r="H8" s="127"/>
      <c r="I8" s="125"/>
      <c r="J8" s="128" t="s">
        <v>153</v>
      </c>
      <c r="K8" s="297" t="s">
        <v>27</v>
      </c>
      <c r="L8" s="128" t="s">
        <v>154</v>
      </c>
      <c r="M8" s="128" t="s">
        <v>141</v>
      </c>
      <c r="N8" s="128" t="s">
        <v>155</v>
      </c>
      <c r="O8" s="565" t="s">
        <v>110</v>
      </c>
      <c r="P8" s="566"/>
    </row>
    <row r="9" spans="1:17" ht="15.75" customHeight="1" x14ac:dyDescent="0.25">
      <c r="A9" s="555">
        <v>1</v>
      </c>
      <c r="B9" s="569" t="s">
        <v>156</v>
      </c>
      <c r="C9" s="129">
        <v>1</v>
      </c>
      <c r="D9" s="562" t="s">
        <v>390</v>
      </c>
      <c r="E9" s="563"/>
      <c r="F9" s="564"/>
      <c r="G9" s="602" t="s">
        <v>389</v>
      </c>
      <c r="H9" s="563"/>
      <c r="I9" s="564"/>
      <c r="J9" s="130">
        <v>108.5</v>
      </c>
      <c r="K9" s="131">
        <v>8.5000000000000006E-2</v>
      </c>
      <c r="L9" s="130">
        <v>113.1</v>
      </c>
      <c r="M9" s="183">
        <f>L9*J9</f>
        <v>12271.349999999999</v>
      </c>
      <c r="N9" s="701">
        <v>2.351</v>
      </c>
      <c r="O9" s="562" t="s">
        <v>158</v>
      </c>
      <c r="P9" s="576"/>
    </row>
    <row r="10" spans="1:17" ht="15.75" customHeight="1" x14ac:dyDescent="0.25">
      <c r="A10" s="555"/>
      <c r="B10" s="569"/>
      <c r="C10" s="129">
        <v>2</v>
      </c>
      <c r="D10" s="603" t="s">
        <v>396</v>
      </c>
      <c r="E10" s="604"/>
      <c r="F10" s="605"/>
      <c r="G10" s="603" t="s">
        <v>395</v>
      </c>
      <c r="H10" s="604"/>
      <c r="I10" s="605"/>
      <c r="J10" s="136">
        <v>140.6</v>
      </c>
      <c r="K10" s="131">
        <v>2.5999999999999999E-2</v>
      </c>
      <c r="L10" s="130">
        <v>38.9</v>
      </c>
      <c r="M10" s="183">
        <f>L10*J10</f>
        <v>5469.3399999999992</v>
      </c>
      <c r="N10" s="131">
        <v>0.42799999999999999</v>
      </c>
      <c r="O10" s="562" t="s">
        <v>158</v>
      </c>
      <c r="P10" s="576"/>
    </row>
    <row r="11" spans="1:17" ht="15.75" customHeight="1" x14ac:dyDescent="0.25">
      <c r="A11" s="555"/>
      <c r="B11" s="569"/>
      <c r="C11" s="129">
        <v>3</v>
      </c>
      <c r="D11" s="562" t="s">
        <v>402</v>
      </c>
      <c r="E11" s="563"/>
      <c r="F11" s="564"/>
      <c r="G11" s="575" t="s">
        <v>401</v>
      </c>
      <c r="H11" s="563"/>
      <c r="I11" s="564"/>
      <c r="J11" s="130">
        <v>193.2</v>
      </c>
      <c r="K11" s="131">
        <v>1.9E-2</v>
      </c>
      <c r="L11" s="130">
        <v>25.5</v>
      </c>
      <c r="M11" s="183">
        <f>L11*J11</f>
        <v>4926.5999999999995</v>
      </c>
      <c r="N11" s="130"/>
      <c r="O11" s="562" t="s">
        <v>158</v>
      </c>
      <c r="P11" s="576"/>
    </row>
    <row r="12" spans="1:17" ht="15.75" customHeight="1" x14ac:dyDescent="0.25">
      <c r="A12" s="555"/>
      <c r="B12" s="569"/>
      <c r="C12" s="129">
        <v>4</v>
      </c>
      <c r="D12" s="562" t="s">
        <v>398</v>
      </c>
      <c r="E12" s="563"/>
      <c r="F12" s="564"/>
      <c r="G12" s="562" t="s">
        <v>397</v>
      </c>
      <c r="H12" s="563"/>
      <c r="I12" s="564"/>
      <c r="J12" s="130">
        <v>125.6</v>
      </c>
      <c r="K12" s="131">
        <v>1.4999999999999999E-2</v>
      </c>
      <c r="L12" s="130">
        <v>37.799999999999997</v>
      </c>
      <c r="M12" s="183">
        <f>L12*J12</f>
        <v>4747.6799999999994</v>
      </c>
      <c r="N12" s="130"/>
      <c r="O12" s="562" t="s">
        <v>158</v>
      </c>
      <c r="P12" s="576"/>
    </row>
    <row r="13" spans="1:17" ht="15.75" customHeight="1" x14ac:dyDescent="0.25">
      <c r="A13" s="555"/>
      <c r="B13" s="569"/>
      <c r="C13" s="135">
        <v>5</v>
      </c>
      <c r="D13" s="562" t="s">
        <v>390</v>
      </c>
      <c r="E13" s="563"/>
      <c r="F13" s="564"/>
      <c r="G13" s="603" t="s">
        <v>391</v>
      </c>
      <c r="H13" s="604"/>
      <c r="I13" s="605"/>
      <c r="J13" s="136">
        <v>296.8</v>
      </c>
      <c r="K13" s="137">
        <v>0.112</v>
      </c>
      <c r="L13" s="136">
        <v>13.3</v>
      </c>
      <c r="M13" s="184">
        <f>L13*J13</f>
        <v>3947.4400000000005</v>
      </c>
      <c r="N13" s="131"/>
      <c r="O13" s="562" t="s">
        <v>158</v>
      </c>
      <c r="P13" s="576"/>
    </row>
    <row r="14" spans="1:17" ht="15.75" customHeight="1" x14ac:dyDescent="0.25">
      <c r="A14" s="555"/>
      <c r="B14" s="569"/>
      <c r="C14" s="573"/>
      <c r="D14" s="573"/>
      <c r="E14" s="573"/>
      <c r="F14" s="573"/>
      <c r="G14" s="573"/>
      <c r="H14" s="573"/>
      <c r="I14" s="574"/>
      <c r="J14" s="141" t="s">
        <v>165</v>
      </c>
      <c r="K14" s="142">
        <f>M14/SUM('日別報廢率總表 '!$E$12:$E$18)</f>
        <v>0.35840804177318758</v>
      </c>
      <c r="L14" s="141" t="s">
        <v>166</v>
      </c>
      <c r="M14" s="143">
        <f>SUM(M9:M13)</f>
        <v>31362.409999999996</v>
      </c>
      <c r="N14" s="559"/>
      <c r="O14" s="560"/>
      <c r="P14" s="561"/>
    </row>
    <row r="16" spans="1:17" ht="15.75" customHeight="1" x14ac:dyDescent="0.25">
      <c r="A16" s="555" t="s">
        <v>149</v>
      </c>
      <c r="B16" s="555"/>
      <c r="C16" s="125" t="s">
        <v>90</v>
      </c>
      <c r="D16" s="570" t="s">
        <v>106</v>
      </c>
      <c r="E16" s="571"/>
      <c r="F16" s="572"/>
      <c r="G16" s="126" t="s">
        <v>152</v>
      </c>
      <c r="H16" s="127"/>
      <c r="I16" s="125"/>
      <c r="J16" s="128" t="s">
        <v>153</v>
      </c>
      <c r="K16" s="297" t="s">
        <v>27</v>
      </c>
      <c r="L16" s="128" t="s">
        <v>154</v>
      </c>
      <c r="M16" s="128" t="s">
        <v>141</v>
      </c>
      <c r="N16" s="128" t="s">
        <v>155</v>
      </c>
      <c r="O16" s="565" t="s">
        <v>110</v>
      </c>
      <c r="P16" s="566"/>
    </row>
    <row r="17" spans="1:16" ht="15.75" customHeight="1" x14ac:dyDescent="0.25">
      <c r="A17" s="555">
        <v>2</v>
      </c>
      <c r="B17" s="569" t="s">
        <v>167</v>
      </c>
      <c r="C17" s="129">
        <v>1</v>
      </c>
      <c r="D17" s="562"/>
      <c r="E17" s="563"/>
      <c r="F17" s="564"/>
      <c r="G17" s="575"/>
      <c r="H17" s="563"/>
      <c r="I17" s="564"/>
      <c r="J17" s="130"/>
      <c r="K17" s="131"/>
      <c r="L17" s="130"/>
      <c r="M17" s="183">
        <f>L17*J17</f>
        <v>0</v>
      </c>
      <c r="N17" s="215"/>
      <c r="O17" s="606" t="s">
        <v>177</v>
      </c>
      <c r="P17" s="607"/>
    </row>
    <row r="18" spans="1:16" ht="15.75" customHeight="1" x14ac:dyDescent="0.25">
      <c r="A18" s="555"/>
      <c r="B18" s="569"/>
      <c r="C18" s="129">
        <v>2</v>
      </c>
      <c r="D18" s="575"/>
      <c r="E18" s="563"/>
      <c r="F18" s="564"/>
      <c r="G18" s="575"/>
      <c r="H18" s="563"/>
      <c r="I18" s="564"/>
      <c r="J18" s="130"/>
      <c r="K18" s="131"/>
      <c r="L18" s="130"/>
      <c r="M18" s="183">
        <f>L18*J18</f>
        <v>0</v>
      </c>
      <c r="N18" s="215"/>
      <c r="O18" s="606" t="s">
        <v>177</v>
      </c>
      <c r="P18" s="607"/>
    </row>
    <row r="19" spans="1:16" ht="15.75" customHeight="1" x14ac:dyDescent="0.25">
      <c r="A19" s="555"/>
      <c r="B19" s="569"/>
      <c r="C19" s="129">
        <v>3</v>
      </c>
      <c r="D19" s="562"/>
      <c r="E19" s="563"/>
      <c r="F19" s="564"/>
      <c r="G19" s="575"/>
      <c r="H19" s="563"/>
      <c r="I19" s="564"/>
      <c r="J19" s="130"/>
      <c r="K19" s="131"/>
      <c r="L19" s="130"/>
      <c r="M19" s="183">
        <f>L19*J19</f>
        <v>0</v>
      </c>
      <c r="N19" s="215"/>
      <c r="O19" s="606" t="s">
        <v>177</v>
      </c>
      <c r="P19" s="607"/>
    </row>
    <row r="20" spans="1:16" ht="15.75" customHeight="1" x14ac:dyDescent="0.25">
      <c r="A20" s="555"/>
      <c r="B20" s="569"/>
      <c r="C20" s="129">
        <v>4</v>
      </c>
      <c r="D20" s="575"/>
      <c r="E20" s="563"/>
      <c r="F20" s="564"/>
      <c r="G20" s="575"/>
      <c r="H20" s="563"/>
      <c r="I20" s="564"/>
      <c r="J20" s="130"/>
      <c r="K20" s="131"/>
      <c r="L20" s="130"/>
      <c r="M20" s="183">
        <f t="shared" ref="M20:M21" si="0">L20*J20</f>
        <v>0</v>
      </c>
      <c r="N20" s="215"/>
      <c r="O20" s="606" t="s">
        <v>177</v>
      </c>
      <c r="P20" s="607"/>
    </row>
    <row r="21" spans="1:16" ht="15.75" customHeight="1" x14ac:dyDescent="0.25">
      <c r="A21" s="555"/>
      <c r="B21" s="569"/>
      <c r="C21" s="135">
        <v>5</v>
      </c>
      <c r="D21" s="603"/>
      <c r="E21" s="604"/>
      <c r="F21" s="605"/>
      <c r="G21" s="603"/>
      <c r="H21" s="604"/>
      <c r="I21" s="605"/>
      <c r="J21" s="136"/>
      <c r="K21" s="137"/>
      <c r="L21" s="136"/>
      <c r="M21" s="183">
        <f t="shared" si="0"/>
        <v>0</v>
      </c>
      <c r="N21" s="215"/>
      <c r="O21" s="606" t="s">
        <v>177</v>
      </c>
      <c r="P21" s="607"/>
    </row>
    <row r="22" spans="1:16" ht="15.75" customHeight="1" x14ac:dyDescent="0.25">
      <c r="A22" s="555"/>
      <c r="B22" s="569"/>
      <c r="C22" s="573"/>
      <c r="D22" s="573"/>
      <c r="E22" s="573"/>
      <c r="F22" s="573"/>
      <c r="G22" s="573"/>
      <c r="H22" s="573"/>
      <c r="I22" s="574"/>
      <c r="J22" s="141" t="s">
        <v>165</v>
      </c>
      <c r="K22" s="142">
        <f>M22/SUM('日別報廢率總表 '!$E$12:$E$18)</f>
        <v>0</v>
      </c>
      <c r="L22" s="141" t="s">
        <v>166</v>
      </c>
      <c r="M22" s="214">
        <f>SUM(M17:M21)</f>
        <v>0</v>
      </c>
      <c r="N22" s="559"/>
      <c r="O22" s="560"/>
      <c r="P22" s="561"/>
    </row>
    <row r="24" spans="1:16" ht="15.75" customHeight="1" x14ac:dyDescent="0.25">
      <c r="A24" s="555" t="s">
        <v>149</v>
      </c>
      <c r="B24" s="555"/>
      <c r="C24" s="125" t="s">
        <v>90</v>
      </c>
      <c r="D24" s="570" t="s">
        <v>106</v>
      </c>
      <c r="E24" s="571"/>
      <c r="F24" s="572"/>
      <c r="G24" s="126" t="s">
        <v>152</v>
      </c>
      <c r="H24" s="127"/>
      <c r="I24" s="125"/>
      <c r="J24" s="128" t="s">
        <v>153</v>
      </c>
      <c r="K24" s="297" t="s">
        <v>27</v>
      </c>
      <c r="L24" s="128" t="s">
        <v>154</v>
      </c>
      <c r="M24" s="128" t="s">
        <v>141</v>
      </c>
      <c r="N24" s="128" t="s">
        <v>109</v>
      </c>
      <c r="O24" s="565" t="s">
        <v>110</v>
      </c>
      <c r="P24" s="566"/>
    </row>
    <row r="25" spans="1:16" ht="15.75" customHeight="1" x14ac:dyDescent="0.25">
      <c r="A25" s="555">
        <v>3</v>
      </c>
      <c r="B25" s="569" t="s">
        <v>139</v>
      </c>
      <c r="C25" s="129">
        <v>1</v>
      </c>
      <c r="D25" s="562"/>
      <c r="E25" s="563"/>
      <c r="F25" s="564"/>
      <c r="G25" s="602"/>
      <c r="H25" s="563"/>
      <c r="I25" s="564"/>
      <c r="J25" s="130"/>
      <c r="K25" s="131"/>
      <c r="L25" s="130"/>
      <c r="M25" s="132">
        <f>L25*J25</f>
        <v>0</v>
      </c>
      <c r="N25" s="130"/>
      <c r="O25" s="606"/>
      <c r="P25" s="607"/>
    </row>
    <row r="26" spans="1:16" ht="15.75" customHeight="1" x14ac:dyDescent="0.25">
      <c r="A26" s="555"/>
      <c r="B26" s="569"/>
      <c r="C26" s="129">
        <v>2</v>
      </c>
      <c r="D26" s="603"/>
      <c r="E26" s="604"/>
      <c r="F26" s="605"/>
      <c r="G26" s="603"/>
      <c r="H26" s="604"/>
      <c r="I26" s="605"/>
      <c r="J26" s="136"/>
      <c r="K26" s="131"/>
      <c r="L26" s="130"/>
      <c r="M26" s="132">
        <f>L26*J26</f>
        <v>0</v>
      </c>
      <c r="N26" s="130"/>
      <c r="O26" s="606"/>
      <c r="P26" s="607"/>
    </row>
    <row r="27" spans="1:16" ht="15.75" customHeight="1" x14ac:dyDescent="0.25">
      <c r="A27" s="555"/>
      <c r="B27" s="569"/>
      <c r="C27" s="129">
        <v>3</v>
      </c>
      <c r="D27" s="562"/>
      <c r="E27" s="563"/>
      <c r="F27" s="564"/>
      <c r="G27" s="575"/>
      <c r="H27" s="563"/>
      <c r="I27" s="564"/>
      <c r="J27" s="130"/>
      <c r="K27" s="131"/>
      <c r="L27" s="130"/>
      <c r="M27" s="132">
        <f>L27*J27</f>
        <v>0</v>
      </c>
      <c r="N27" s="130"/>
      <c r="O27" s="606"/>
      <c r="P27" s="607"/>
    </row>
    <row r="28" spans="1:16" ht="15.75" customHeight="1" x14ac:dyDescent="0.25">
      <c r="A28" s="555"/>
      <c r="B28" s="569"/>
      <c r="C28" s="129">
        <v>4</v>
      </c>
      <c r="D28" s="562"/>
      <c r="E28" s="563"/>
      <c r="F28" s="564"/>
      <c r="G28" s="562"/>
      <c r="H28" s="563"/>
      <c r="I28" s="564"/>
      <c r="J28" s="130"/>
      <c r="K28" s="131"/>
      <c r="L28" s="130"/>
      <c r="M28" s="132">
        <f>L28*J28</f>
        <v>0</v>
      </c>
      <c r="N28" s="130"/>
      <c r="O28" s="606"/>
      <c r="P28" s="607"/>
    </row>
    <row r="29" spans="1:16" ht="15.75" customHeight="1" x14ac:dyDescent="0.25">
      <c r="A29" s="555"/>
      <c r="B29" s="569"/>
      <c r="C29" s="135">
        <v>5</v>
      </c>
      <c r="D29" s="603"/>
      <c r="E29" s="604"/>
      <c r="F29" s="605"/>
      <c r="G29" s="603"/>
      <c r="H29" s="604"/>
      <c r="I29" s="605"/>
      <c r="J29" s="136"/>
      <c r="K29" s="137"/>
      <c r="L29" s="136"/>
      <c r="M29" s="138">
        <f>L29*J29</f>
        <v>0</v>
      </c>
      <c r="N29" s="130"/>
      <c r="O29" s="606"/>
      <c r="P29" s="607"/>
    </row>
    <row r="30" spans="1:16" ht="15.75" customHeight="1" x14ac:dyDescent="0.25">
      <c r="A30" s="555"/>
      <c r="B30" s="569"/>
      <c r="C30" s="573"/>
      <c r="D30" s="573"/>
      <c r="E30" s="573"/>
      <c r="F30" s="573"/>
      <c r="G30" s="573"/>
      <c r="H30" s="573"/>
      <c r="I30" s="574"/>
      <c r="J30" s="141" t="s">
        <v>165</v>
      </c>
      <c r="K30" s="142">
        <f>M30/SUM('日別報廢率總表 '!$E$12:$E$18)</f>
        <v>0</v>
      </c>
      <c r="L30" s="141" t="s">
        <v>166</v>
      </c>
      <c r="M30" s="143">
        <f>SUM(M25:M29)</f>
        <v>0</v>
      </c>
      <c r="N30" s="559"/>
      <c r="O30" s="560"/>
      <c r="P30" s="561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17" sqref="D17:L1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3" width="12.5703125" style="2" customWidth="1"/>
    <col min="54" max="16384" width="12.5703125" style="2"/>
  </cols>
  <sheetData>
    <row r="1" spans="1:17" s="117" customFormat="1" ht="15.75" customHeight="1" x14ac:dyDescent="0.2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18" customFormat="1" ht="15.75" customHeight="1" x14ac:dyDescent="0.25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s="117" customFormat="1" ht="15.75" customHeight="1" x14ac:dyDescent="0.25">
      <c r="A3" s="553" t="s">
        <v>178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18" customFormat="1" ht="15.75" customHeight="1" x14ac:dyDescent="0.2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s="117" customFormat="1" ht="15.75" customHeight="1" x14ac:dyDescent="0.25">
      <c r="A5" s="466" t="s">
        <v>149</v>
      </c>
      <c r="B5" s="555">
        <v>1</v>
      </c>
      <c r="C5" s="555"/>
      <c r="D5" s="555">
        <v>2</v>
      </c>
      <c r="E5" s="555"/>
      <c r="F5" s="555">
        <v>3</v>
      </c>
      <c r="G5" s="555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5">
        <v>8</v>
      </c>
      <c r="Q5" s="555"/>
    </row>
    <row r="6" spans="1:17" s="117" customFormat="1" ht="15.75" customHeight="1" x14ac:dyDescent="0.25">
      <c r="A6" s="466"/>
      <c r="B6" s="466" t="s">
        <v>137</v>
      </c>
      <c r="C6" s="466"/>
      <c r="D6" s="466" t="s">
        <v>150</v>
      </c>
      <c r="E6" s="466"/>
      <c r="F6" s="466" t="s">
        <v>139</v>
      </c>
      <c r="G6" s="466"/>
      <c r="H6" s="558" t="s">
        <v>140</v>
      </c>
      <c r="I6" s="558"/>
      <c r="J6" s="558" t="s">
        <v>144</v>
      </c>
      <c r="K6" s="558"/>
      <c r="L6" s="558" t="s">
        <v>145</v>
      </c>
      <c r="M6" s="558"/>
      <c r="N6" s="558" t="s">
        <v>146</v>
      </c>
      <c r="O6" s="558"/>
      <c r="P6" s="556" t="s">
        <v>151</v>
      </c>
      <c r="Q6" s="466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78" t="s">
        <v>149</v>
      </c>
      <c r="B8" s="579"/>
      <c r="C8" s="114" t="s">
        <v>90</v>
      </c>
      <c r="D8" s="580" t="s">
        <v>106</v>
      </c>
      <c r="E8" s="581"/>
      <c r="F8" s="582"/>
      <c r="G8" s="112" t="s">
        <v>152</v>
      </c>
      <c r="H8" s="113"/>
      <c r="I8" s="114"/>
      <c r="J8" s="111" t="s">
        <v>153</v>
      </c>
      <c r="K8" s="111" t="s">
        <v>27</v>
      </c>
      <c r="L8" s="111" t="s">
        <v>154</v>
      </c>
      <c r="M8" s="115" t="s">
        <v>141</v>
      </c>
      <c r="N8" s="115" t="s">
        <v>155</v>
      </c>
      <c r="O8" s="583" t="s">
        <v>110</v>
      </c>
      <c r="P8" s="584"/>
    </row>
    <row r="9" spans="1:17" ht="15.75" customHeight="1" x14ac:dyDescent="0.25">
      <c r="A9" s="579">
        <v>4</v>
      </c>
      <c r="B9" s="585" t="s">
        <v>140</v>
      </c>
      <c r="C9" s="109">
        <v>1</v>
      </c>
      <c r="D9" s="562" t="s">
        <v>406</v>
      </c>
      <c r="E9" s="563"/>
      <c r="F9" s="564"/>
      <c r="G9" s="575" t="s">
        <v>405</v>
      </c>
      <c r="H9" s="563"/>
      <c r="I9" s="564"/>
      <c r="J9" s="4">
        <v>159</v>
      </c>
      <c r="K9" s="131">
        <v>1.7000000000000001E-2</v>
      </c>
      <c r="L9" s="130">
        <v>24.2</v>
      </c>
      <c r="M9" s="186">
        <f>L9*J9</f>
        <v>3847.7999999999997</v>
      </c>
      <c r="N9" s="212"/>
      <c r="O9" s="593" t="s">
        <v>179</v>
      </c>
      <c r="P9" s="594"/>
    </row>
    <row r="10" spans="1:17" ht="15.75" customHeight="1" x14ac:dyDescent="0.25">
      <c r="A10" s="579"/>
      <c r="B10" s="586"/>
      <c r="C10" s="109">
        <v>2</v>
      </c>
      <c r="D10" s="562" t="s">
        <v>398</v>
      </c>
      <c r="E10" s="563"/>
      <c r="F10" s="564"/>
      <c r="G10" s="575" t="s">
        <v>407</v>
      </c>
      <c r="H10" s="563"/>
      <c r="I10" s="564"/>
      <c r="J10" s="4">
        <v>36.4</v>
      </c>
      <c r="K10" s="14">
        <v>8.0000000000000002E-3</v>
      </c>
      <c r="L10" s="4">
        <v>68.599999999999994</v>
      </c>
      <c r="M10" s="186">
        <f>L10*J10</f>
        <v>2497.0399999999995</v>
      </c>
      <c r="N10" s="212"/>
      <c r="O10" s="593" t="s">
        <v>179</v>
      </c>
      <c r="P10" s="594"/>
    </row>
    <row r="11" spans="1:17" ht="15.75" customHeight="1" x14ac:dyDescent="0.25">
      <c r="A11" s="579"/>
      <c r="B11" s="586"/>
      <c r="C11" s="109">
        <v>3</v>
      </c>
      <c r="D11" s="608" t="s">
        <v>409</v>
      </c>
      <c r="E11" s="563"/>
      <c r="F11" s="564"/>
      <c r="G11" s="608" t="s">
        <v>408</v>
      </c>
      <c r="H11" s="563"/>
      <c r="I11" s="564"/>
      <c r="J11" s="4">
        <v>77.2</v>
      </c>
      <c r="K11" s="14">
        <v>6.0000000000000001E-3</v>
      </c>
      <c r="L11" s="4">
        <v>14.5</v>
      </c>
      <c r="M11" s="186">
        <f>L11*J11</f>
        <v>1119.4000000000001</v>
      </c>
      <c r="N11" s="212"/>
      <c r="O11" s="593" t="s">
        <v>179</v>
      </c>
      <c r="P11" s="594"/>
    </row>
    <row r="12" spans="1:17" ht="15.75" customHeight="1" x14ac:dyDescent="0.25">
      <c r="A12" s="579"/>
      <c r="B12" s="586"/>
      <c r="C12" s="109">
        <v>4</v>
      </c>
      <c r="D12" s="608"/>
      <c r="E12" s="563"/>
      <c r="F12" s="564"/>
      <c r="G12" s="562"/>
      <c r="H12" s="588"/>
      <c r="I12" s="589"/>
      <c r="J12" s="4"/>
      <c r="K12" s="14"/>
      <c r="L12" s="302"/>
      <c r="M12" s="186">
        <f>L12*J12</f>
        <v>0</v>
      </c>
      <c r="N12" s="212"/>
      <c r="O12" s="593" t="s">
        <v>179</v>
      </c>
      <c r="P12" s="594"/>
    </row>
    <row r="13" spans="1:17" ht="15.75" customHeight="1" x14ac:dyDescent="0.25">
      <c r="A13" s="579"/>
      <c r="B13" s="586"/>
      <c r="C13" s="110">
        <v>5</v>
      </c>
      <c r="D13" s="608"/>
      <c r="E13" s="563"/>
      <c r="F13" s="564"/>
      <c r="G13" s="562"/>
      <c r="H13" s="588"/>
      <c r="I13" s="589"/>
      <c r="J13" s="4"/>
      <c r="K13" s="14"/>
      <c r="L13" s="302"/>
      <c r="M13" s="186">
        <f>L13*J13</f>
        <v>0</v>
      </c>
      <c r="N13" s="212"/>
      <c r="O13" s="593" t="s">
        <v>179</v>
      </c>
      <c r="P13" s="594"/>
    </row>
    <row r="14" spans="1:17" ht="15.75" customHeight="1" x14ac:dyDescent="0.25">
      <c r="A14" s="579"/>
      <c r="B14" s="586"/>
      <c r="C14" s="595"/>
      <c r="D14" s="595"/>
      <c r="E14" s="595"/>
      <c r="F14" s="595"/>
      <c r="G14" s="595"/>
      <c r="H14" s="595"/>
      <c r="I14" s="596"/>
      <c r="J14" s="116" t="s">
        <v>165</v>
      </c>
      <c r="K14" s="142">
        <f>M14/SUM('日別報廢率總表 '!$E$12:$E$18)</f>
        <v>8.5300958750462674E-2</v>
      </c>
      <c r="L14" s="116" t="s">
        <v>166</v>
      </c>
      <c r="M14" s="412">
        <f>SUM(M9:M13)</f>
        <v>7464.24</v>
      </c>
      <c r="N14" s="590"/>
      <c r="O14" s="591"/>
      <c r="P14" s="592"/>
    </row>
    <row r="16" spans="1:17" ht="15.75" customHeight="1" x14ac:dyDescent="0.2">
      <c r="A16" s="578" t="s">
        <v>149</v>
      </c>
      <c r="B16" s="579"/>
      <c r="C16" s="114" t="s">
        <v>90</v>
      </c>
      <c r="D16" s="580" t="s">
        <v>106</v>
      </c>
      <c r="E16" s="581"/>
      <c r="F16" s="582"/>
      <c r="G16" s="112" t="s">
        <v>152</v>
      </c>
      <c r="H16" s="113"/>
      <c r="I16" s="114"/>
      <c r="J16" s="111" t="s">
        <v>153</v>
      </c>
      <c r="K16" s="111" t="s">
        <v>27</v>
      </c>
      <c r="L16" s="111" t="s">
        <v>154</v>
      </c>
      <c r="M16" s="115" t="s">
        <v>141</v>
      </c>
      <c r="N16" s="115" t="s">
        <v>155</v>
      </c>
      <c r="O16" s="583" t="s">
        <v>110</v>
      </c>
      <c r="P16" s="584"/>
    </row>
    <row r="17" spans="1:16" ht="15.75" customHeight="1" x14ac:dyDescent="0.25">
      <c r="A17" s="579">
        <v>5</v>
      </c>
      <c r="B17" s="585" t="s">
        <v>144</v>
      </c>
      <c r="C17" s="109">
        <v>1</v>
      </c>
      <c r="D17" s="562"/>
      <c r="E17" s="563"/>
      <c r="F17" s="564"/>
      <c r="G17" s="575"/>
      <c r="H17" s="563"/>
      <c r="I17" s="564"/>
      <c r="J17" s="4"/>
      <c r="K17" s="131"/>
      <c r="L17" s="130"/>
      <c r="M17" s="185">
        <f>L17*J17</f>
        <v>0</v>
      </c>
      <c r="N17" s="212"/>
      <c r="O17" s="593"/>
      <c r="P17" s="594"/>
    </row>
    <row r="18" spans="1:16" ht="15.75" customHeight="1" x14ac:dyDescent="0.25">
      <c r="A18" s="579"/>
      <c r="B18" s="586"/>
      <c r="C18" s="109">
        <v>2</v>
      </c>
      <c r="D18" s="562"/>
      <c r="E18" s="563"/>
      <c r="F18" s="564"/>
      <c r="G18" s="575"/>
      <c r="H18" s="563"/>
      <c r="I18" s="564"/>
      <c r="J18" s="4"/>
      <c r="K18" s="14"/>
      <c r="L18" s="4"/>
      <c r="M18" s="185">
        <f>L18*J18</f>
        <v>0</v>
      </c>
      <c r="N18" s="4"/>
      <c r="O18" s="593"/>
      <c r="P18" s="594"/>
    </row>
    <row r="19" spans="1:16" ht="15.75" customHeight="1" x14ac:dyDescent="0.25">
      <c r="A19" s="579"/>
      <c r="B19" s="586"/>
      <c r="C19" s="109">
        <v>3</v>
      </c>
      <c r="D19" s="575"/>
      <c r="E19" s="563"/>
      <c r="F19" s="564"/>
      <c r="G19" s="575"/>
      <c r="H19" s="563"/>
      <c r="I19" s="564"/>
      <c r="J19" s="4"/>
      <c r="K19" s="14"/>
      <c r="L19" s="4"/>
      <c r="M19" s="185">
        <f>L19*J19</f>
        <v>0</v>
      </c>
      <c r="N19" s="4"/>
      <c r="O19" s="593"/>
      <c r="P19" s="594"/>
    </row>
    <row r="20" spans="1:16" ht="15.75" customHeight="1" x14ac:dyDescent="0.25">
      <c r="A20" s="579"/>
      <c r="B20" s="586"/>
      <c r="C20" s="109">
        <v>4</v>
      </c>
      <c r="D20" s="575"/>
      <c r="E20" s="563"/>
      <c r="F20" s="564"/>
      <c r="G20" s="562"/>
      <c r="H20" s="588"/>
      <c r="I20" s="589"/>
      <c r="J20" s="4"/>
      <c r="K20" s="14"/>
      <c r="L20" s="302"/>
      <c r="M20" s="185">
        <f>L20*J20</f>
        <v>0</v>
      </c>
      <c r="N20" s="4"/>
      <c r="O20" s="593"/>
      <c r="P20" s="594"/>
    </row>
    <row r="21" spans="1:16" ht="15.75" customHeight="1" x14ac:dyDescent="0.25">
      <c r="A21" s="579"/>
      <c r="B21" s="586"/>
      <c r="C21" s="110">
        <v>5</v>
      </c>
      <c r="D21" s="587"/>
      <c r="E21" s="588"/>
      <c r="F21" s="589"/>
      <c r="G21" s="562"/>
      <c r="H21" s="588"/>
      <c r="I21" s="589"/>
      <c r="J21" s="4"/>
      <c r="K21" s="14"/>
      <c r="L21" s="302"/>
      <c r="M21" s="185">
        <f>L21*J21</f>
        <v>0</v>
      </c>
      <c r="N21" s="4"/>
      <c r="O21" s="593"/>
      <c r="P21" s="594"/>
    </row>
    <row r="22" spans="1:16" ht="15.75" customHeight="1" x14ac:dyDescent="0.25">
      <c r="A22" s="579"/>
      <c r="B22" s="586"/>
      <c r="C22" s="595"/>
      <c r="D22" s="595"/>
      <c r="E22" s="595"/>
      <c r="F22" s="595"/>
      <c r="G22" s="595"/>
      <c r="H22" s="595"/>
      <c r="I22" s="596"/>
      <c r="J22" s="116" t="s">
        <v>165</v>
      </c>
      <c r="K22" s="142">
        <f>M22/SUM('日別報廢率總表 '!$E$12:$E$18)</f>
        <v>0</v>
      </c>
      <c r="L22" s="116" t="s">
        <v>166</v>
      </c>
      <c r="M22" s="412">
        <f>SUM(M17:M21)</f>
        <v>0</v>
      </c>
      <c r="N22" s="590"/>
      <c r="O22" s="591"/>
      <c r="P22" s="592"/>
    </row>
    <row r="24" spans="1:16" ht="15.75" customHeight="1" x14ac:dyDescent="0.2">
      <c r="A24" s="578" t="s">
        <v>149</v>
      </c>
      <c r="B24" s="579"/>
      <c r="C24" s="114" t="s">
        <v>90</v>
      </c>
      <c r="D24" s="580" t="s">
        <v>106</v>
      </c>
      <c r="E24" s="581"/>
      <c r="F24" s="582"/>
      <c r="G24" s="112" t="s">
        <v>152</v>
      </c>
      <c r="H24" s="113"/>
      <c r="I24" s="114"/>
      <c r="J24" s="111" t="s">
        <v>153</v>
      </c>
      <c r="K24" s="111" t="s">
        <v>27</v>
      </c>
      <c r="L24" s="111" t="s">
        <v>154</v>
      </c>
      <c r="M24" s="115" t="s">
        <v>141</v>
      </c>
      <c r="N24" s="115" t="s">
        <v>109</v>
      </c>
      <c r="O24" s="583" t="s">
        <v>110</v>
      </c>
      <c r="P24" s="584"/>
    </row>
    <row r="25" spans="1:16" ht="15.75" customHeight="1" x14ac:dyDescent="0.25">
      <c r="A25" s="579">
        <v>6</v>
      </c>
      <c r="B25" s="585" t="s">
        <v>145</v>
      </c>
      <c r="C25" s="109">
        <v>1</v>
      </c>
      <c r="D25" s="562"/>
      <c r="E25" s="563"/>
      <c r="F25" s="564"/>
      <c r="G25" s="575"/>
      <c r="H25" s="563"/>
      <c r="I25" s="564"/>
      <c r="J25" s="4"/>
      <c r="K25" s="131"/>
      <c r="L25" s="130"/>
      <c r="M25" s="185">
        <f>L25*J25</f>
        <v>0</v>
      </c>
      <c r="N25" s="212"/>
      <c r="O25" s="562"/>
      <c r="P25" s="576"/>
    </row>
    <row r="26" spans="1:16" ht="15.75" customHeight="1" x14ac:dyDescent="0.25">
      <c r="A26" s="579"/>
      <c r="B26" s="586"/>
      <c r="C26" s="109">
        <v>2</v>
      </c>
      <c r="D26" s="562"/>
      <c r="E26" s="563"/>
      <c r="F26" s="564"/>
      <c r="G26" s="575"/>
      <c r="H26" s="563"/>
      <c r="I26" s="564"/>
      <c r="J26" s="4"/>
      <c r="K26" s="14"/>
      <c r="L26" s="4"/>
      <c r="M26" s="185">
        <f>L26*J26</f>
        <v>0</v>
      </c>
      <c r="N26" s="212"/>
      <c r="O26" s="562"/>
      <c r="P26" s="576"/>
    </row>
    <row r="27" spans="1:16" ht="15.75" customHeight="1" x14ac:dyDescent="0.25">
      <c r="A27" s="579"/>
      <c r="B27" s="586"/>
      <c r="C27" s="109">
        <v>3</v>
      </c>
      <c r="D27" s="608"/>
      <c r="E27" s="563"/>
      <c r="F27" s="564"/>
      <c r="G27" s="608"/>
      <c r="H27" s="563"/>
      <c r="I27" s="564"/>
      <c r="J27" s="4"/>
      <c r="K27" s="14"/>
      <c r="L27" s="4"/>
      <c r="M27" s="183"/>
      <c r="N27" s="212"/>
      <c r="O27" s="562"/>
      <c r="P27" s="576"/>
    </row>
    <row r="28" spans="1:16" ht="15.75" customHeight="1" x14ac:dyDescent="0.25">
      <c r="A28" s="579"/>
      <c r="B28" s="586"/>
      <c r="C28" s="109">
        <v>4</v>
      </c>
      <c r="D28" s="608"/>
      <c r="E28" s="563"/>
      <c r="F28" s="564"/>
      <c r="G28" s="562"/>
      <c r="H28" s="588"/>
      <c r="I28" s="589"/>
      <c r="J28" s="4"/>
      <c r="K28" s="14"/>
      <c r="L28" s="302"/>
      <c r="M28" s="185"/>
      <c r="N28" s="212"/>
      <c r="O28" s="593"/>
      <c r="P28" s="600"/>
    </row>
    <row r="29" spans="1:16" ht="15.75" customHeight="1" x14ac:dyDescent="0.25">
      <c r="A29" s="579"/>
      <c r="B29" s="586"/>
      <c r="C29" s="110">
        <v>5</v>
      </c>
      <c r="D29" s="608"/>
      <c r="E29" s="563"/>
      <c r="F29" s="564"/>
      <c r="G29" s="562"/>
      <c r="H29" s="588"/>
      <c r="I29" s="589"/>
      <c r="J29" s="4"/>
      <c r="K29" s="14"/>
      <c r="L29" s="302"/>
      <c r="M29" s="186"/>
      <c r="N29" s="212"/>
      <c r="O29" s="601"/>
      <c r="P29" s="594"/>
    </row>
    <row r="30" spans="1:16" ht="15.75" customHeight="1" x14ac:dyDescent="0.25">
      <c r="A30" s="579"/>
      <c r="B30" s="586"/>
      <c r="C30" s="595"/>
      <c r="D30" s="595"/>
      <c r="E30" s="595"/>
      <c r="F30" s="595"/>
      <c r="G30" s="595"/>
      <c r="H30" s="595"/>
      <c r="I30" s="596"/>
      <c r="J30" s="116" t="s">
        <v>165</v>
      </c>
      <c r="K30" s="142">
        <f>M30/SUM('日別報廢率總表 '!$E$12:$E$18)</f>
        <v>0</v>
      </c>
      <c r="L30" s="116" t="s">
        <v>166</v>
      </c>
      <c r="M30" s="412">
        <f>SUM(M25:M29)</f>
        <v>0</v>
      </c>
      <c r="N30" s="590"/>
      <c r="O30" s="591"/>
      <c r="P30" s="592"/>
    </row>
    <row r="32" spans="1:16" ht="15.75" customHeight="1" x14ac:dyDescent="0.2">
      <c r="A32" s="578" t="s">
        <v>149</v>
      </c>
      <c r="B32" s="579"/>
      <c r="C32" s="114" t="s">
        <v>90</v>
      </c>
      <c r="D32" s="580" t="s">
        <v>106</v>
      </c>
      <c r="E32" s="581"/>
      <c r="F32" s="582"/>
      <c r="G32" s="112" t="s">
        <v>152</v>
      </c>
      <c r="H32" s="113"/>
      <c r="I32" s="114"/>
      <c r="J32" s="111" t="s">
        <v>153</v>
      </c>
      <c r="K32" s="111" t="s">
        <v>27</v>
      </c>
      <c r="L32" s="111" t="s">
        <v>154</v>
      </c>
      <c r="M32" s="115" t="s">
        <v>141</v>
      </c>
      <c r="N32" s="115" t="s">
        <v>109</v>
      </c>
      <c r="O32" s="583" t="s">
        <v>110</v>
      </c>
      <c r="P32" s="584"/>
    </row>
    <row r="33" spans="1:16" ht="15.75" customHeight="1" x14ac:dyDescent="0.25">
      <c r="A33" s="579">
        <v>7</v>
      </c>
      <c r="B33" s="585" t="s">
        <v>139</v>
      </c>
      <c r="C33" s="109">
        <v>1</v>
      </c>
      <c r="D33" s="562"/>
      <c r="E33" s="563"/>
      <c r="F33" s="564"/>
      <c r="G33" s="575"/>
      <c r="H33" s="563"/>
      <c r="I33" s="564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579"/>
      <c r="B34" s="586"/>
      <c r="C34" s="109">
        <v>2</v>
      </c>
      <c r="D34" s="562"/>
      <c r="E34" s="563"/>
      <c r="F34" s="564"/>
      <c r="G34" s="575"/>
      <c r="H34" s="563"/>
      <c r="I34" s="564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579"/>
      <c r="B35" s="586"/>
      <c r="C35" s="109">
        <v>3</v>
      </c>
      <c r="D35" s="608"/>
      <c r="E35" s="563"/>
      <c r="F35" s="564"/>
      <c r="G35" s="608"/>
      <c r="H35" s="563"/>
      <c r="I35" s="564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579"/>
      <c r="B36" s="586"/>
      <c r="C36" s="109">
        <v>4</v>
      </c>
      <c r="D36" s="608"/>
      <c r="E36" s="563"/>
      <c r="F36" s="564"/>
      <c r="G36" s="562"/>
      <c r="H36" s="588"/>
      <c r="I36" s="589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579"/>
      <c r="B37" s="586"/>
      <c r="C37" s="110">
        <v>5</v>
      </c>
      <c r="D37" s="608"/>
      <c r="E37" s="563"/>
      <c r="F37" s="564"/>
      <c r="G37" s="562"/>
      <c r="H37" s="588"/>
      <c r="I37" s="589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579"/>
      <c r="B38" s="586"/>
      <c r="C38" s="595"/>
      <c r="D38" s="595"/>
      <c r="E38" s="595"/>
      <c r="F38" s="595"/>
      <c r="G38" s="595"/>
      <c r="H38" s="595"/>
      <c r="I38" s="596"/>
      <c r="J38" s="116" t="s">
        <v>165</v>
      </c>
      <c r="K38" s="142">
        <f>M38/SUM('日別報廢率總表 '!$E$12:$E$18)</f>
        <v>0</v>
      </c>
      <c r="L38" s="116" t="s">
        <v>166</v>
      </c>
      <c r="M38" s="412">
        <f>SUM(M33:M37)</f>
        <v>0</v>
      </c>
      <c r="N38" s="590"/>
      <c r="O38" s="591"/>
      <c r="P38" s="592"/>
    </row>
  </sheetData>
  <mergeCells count="102">
    <mergeCell ref="A24:B24"/>
    <mergeCell ref="A25:A30"/>
    <mergeCell ref="A32:B32"/>
    <mergeCell ref="B25:B30"/>
    <mergeCell ref="D25:F25"/>
    <mergeCell ref="G28:I28"/>
    <mergeCell ref="G25:I25"/>
    <mergeCell ref="G26:I26"/>
    <mergeCell ref="D29:F29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A9:A14"/>
    <mergeCell ref="B9:B14"/>
    <mergeCell ref="D11:F11"/>
    <mergeCell ref="O10:P10"/>
    <mergeCell ref="O12:P12"/>
    <mergeCell ref="O11:P11"/>
    <mergeCell ref="O13:P13"/>
    <mergeCell ref="A8:B8"/>
    <mergeCell ref="D8:F8"/>
    <mergeCell ref="O8:P8"/>
    <mergeCell ref="G9:I9"/>
    <mergeCell ref="G11:I11"/>
    <mergeCell ref="G19:I19"/>
    <mergeCell ref="G17:I17"/>
    <mergeCell ref="G18:I18"/>
    <mergeCell ref="G13:I13"/>
    <mergeCell ref="O27:P27"/>
    <mergeCell ref="O24:P24"/>
    <mergeCell ref="O25:P25"/>
    <mergeCell ref="O26:P26"/>
    <mergeCell ref="G20:I20"/>
    <mergeCell ref="J6:K6"/>
    <mergeCell ref="L6:M6"/>
    <mergeCell ref="H6:I6"/>
    <mergeCell ref="O19:P19"/>
    <mergeCell ref="O29:P29"/>
    <mergeCell ref="C22:I22"/>
    <mergeCell ref="D18:F18"/>
    <mergeCell ref="O18:P18"/>
    <mergeCell ref="O16:P16"/>
    <mergeCell ref="G12:I12"/>
    <mergeCell ref="D12:F12"/>
    <mergeCell ref="D19:F19"/>
    <mergeCell ref="D20:F20"/>
    <mergeCell ref="O17:P17"/>
    <mergeCell ref="N22:P22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  <mergeCell ref="D21:F21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3" width="12.5703125" style="117" customWidth="1"/>
    <col min="54" max="16384" width="12.5703125" style="117"/>
  </cols>
  <sheetData>
    <row r="1" spans="1:17" ht="15.75" customHeight="1" x14ac:dyDescent="0.2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18" customFormat="1" ht="15.75" customHeight="1" x14ac:dyDescent="0.25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 x14ac:dyDescent="0.25">
      <c r="A3" s="553" t="s">
        <v>180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</row>
    <row r="4" spans="1:17" s="118" customFormat="1" ht="15.75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610"/>
      <c r="O4" s="610"/>
      <c r="P4" s="610"/>
      <c r="Q4" s="610"/>
    </row>
    <row r="5" spans="1:17" ht="15.75" customHeight="1" x14ac:dyDescent="0.25">
      <c r="A5" s="466" t="s">
        <v>149</v>
      </c>
      <c r="B5" s="555">
        <v>1</v>
      </c>
      <c r="C5" s="555"/>
      <c r="D5" s="555">
        <v>2</v>
      </c>
      <c r="E5" s="555"/>
      <c r="F5" s="555">
        <v>3</v>
      </c>
      <c r="G5" s="555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7">
        <v>8</v>
      </c>
      <c r="Q5" s="557"/>
    </row>
    <row r="6" spans="1:17" ht="15.75" customHeight="1" x14ac:dyDescent="0.25">
      <c r="A6" s="466"/>
      <c r="B6" s="466" t="s">
        <v>137</v>
      </c>
      <c r="C6" s="466"/>
      <c r="D6" s="466" t="s">
        <v>150</v>
      </c>
      <c r="E6" s="466"/>
      <c r="F6" s="466" t="s">
        <v>139</v>
      </c>
      <c r="G6" s="466"/>
      <c r="H6" s="556" t="s">
        <v>140</v>
      </c>
      <c r="I6" s="556"/>
      <c r="J6" s="466" t="s">
        <v>144</v>
      </c>
      <c r="K6" s="466"/>
      <c r="L6" s="466" t="s">
        <v>145</v>
      </c>
      <c r="M6" s="466"/>
      <c r="N6" s="466" t="s">
        <v>146</v>
      </c>
      <c r="O6" s="466"/>
      <c r="P6" s="558" t="s">
        <v>151</v>
      </c>
      <c r="Q6" s="558"/>
    </row>
    <row r="8" spans="1:17" s="119" customFormat="1" ht="15.75" customHeight="1" x14ac:dyDescent="0.2">
      <c r="A8" s="124" t="s">
        <v>149</v>
      </c>
      <c r="B8" s="148" t="s">
        <v>181</v>
      </c>
      <c r="C8" s="611" t="s">
        <v>106</v>
      </c>
      <c r="D8" s="611"/>
      <c r="E8" s="611"/>
      <c r="F8" s="611" t="s">
        <v>152</v>
      </c>
      <c r="G8" s="611"/>
      <c r="H8" s="611"/>
      <c r="I8" s="148" t="s">
        <v>153</v>
      </c>
      <c r="J8" s="149" t="s">
        <v>182</v>
      </c>
      <c r="K8" s="148" t="s">
        <v>89</v>
      </c>
      <c r="L8" s="148" t="s">
        <v>12</v>
      </c>
      <c r="M8" s="614" t="s">
        <v>110</v>
      </c>
      <c r="N8" s="573"/>
      <c r="O8" s="573"/>
      <c r="P8" s="573"/>
      <c r="Q8" s="573"/>
    </row>
    <row r="9" spans="1:17" ht="15.75" customHeight="1" x14ac:dyDescent="0.25">
      <c r="A9" s="611" t="s">
        <v>183</v>
      </c>
      <c r="B9" s="122">
        <v>1</v>
      </c>
      <c r="C9" s="612"/>
      <c r="D9" s="613"/>
      <c r="E9" s="613"/>
      <c r="F9" s="612"/>
      <c r="G9" s="613"/>
      <c r="H9" s="613"/>
      <c r="I9" s="120"/>
      <c r="J9" s="121"/>
      <c r="K9" s="121"/>
      <c r="L9" s="147">
        <f>K9-J9</f>
        <v>0</v>
      </c>
      <c r="M9" s="612"/>
      <c r="N9" s="612"/>
      <c r="O9" s="612"/>
      <c r="P9" s="612"/>
      <c r="Q9" s="612"/>
    </row>
    <row r="10" spans="1:17" ht="15.75" customHeight="1" x14ac:dyDescent="0.25">
      <c r="A10" s="617"/>
      <c r="B10" s="122">
        <v>2</v>
      </c>
      <c r="C10" s="612"/>
      <c r="D10" s="613"/>
      <c r="E10" s="613"/>
      <c r="F10" s="612"/>
      <c r="G10" s="613"/>
      <c r="H10" s="613"/>
      <c r="I10" s="120"/>
      <c r="J10" s="121"/>
      <c r="K10" s="121"/>
      <c r="L10" s="147">
        <f>K10-J10</f>
        <v>0</v>
      </c>
      <c r="M10" s="612"/>
      <c r="N10" s="612"/>
      <c r="O10" s="612"/>
      <c r="P10" s="612"/>
      <c r="Q10" s="612"/>
    </row>
    <row r="11" spans="1:17" ht="15.75" customHeight="1" x14ac:dyDescent="0.25">
      <c r="A11" s="617"/>
      <c r="B11" s="122">
        <v>3</v>
      </c>
      <c r="C11" s="612"/>
      <c r="D11" s="613"/>
      <c r="E11" s="613"/>
      <c r="F11" s="612"/>
      <c r="G11" s="613"/>
      <c r="H11" s="613"/>
      <c r="I11" s="120"/>
      <c r="J11" s="121"/>
      <c r="K11" s="121"/>
      <c r="L11" s="147">
        <f>K11-J11</f>
        <v>0</v>
      </c>
      <c r="M11" s="612"/>
      <c r="N11" s="612"/>
      <c r="O11" s="612"/>
      <c r="P11" s="612"/>
      <c r="Q11" s="612"/>
    </row>
    <row r="12" spans="1:17" ht="15.75" customHeight="1" x14ac:dyDescent="0.25">
      <c r="A12" s="617"/>
      <c r="B12" s="122">
        <v>4</v>
      </c>
      <c r="C12" s="612"/>
      <c r="D12" s="613"/>
      <c r="E12" s="613"/>
      <c r="F12" s="612"/>
      <c r="G12" s="613"/>
      <c r="H12" s="613"/>
      <c r="I12" s="120"/>
      <c r="J12" s="121"/>
      <c r="K12" s="121"/>
      <c r="L12" s="147">
        <f>K12-J12</f>
        <v>0</v>
      </c>
      <c r="M12" s="612"/>
      <c r="N12" s="612"/>
      <c r="O12" s="612"/>
      <c r="P12" s="612"/>
      <c r="Q12" s="612"/>
    </row>
    <row r="13" spans="1:17" ht="15.75" customHeight="1" x14ac:dyDescent="0.25">
      <c r="A13" s="617"/>
      <c r="B13" s="122">
        <v>5</v>
      </c>
      <c r="C13" s="612"/>
      <c r="D13" s="613"/>
      <c r="E13" s="613"/>
      <c r="F13" s="612"/>
      <c r="G13" s="613"/>
      <c r="H13" s="613"/>
      <c r="I13" s="120"/>
      <c r="J13" s="121"/>
      <c r="K13" s="121"/>
      <c r="L13" s="147">
        <f>K13-J13</f>
        <v>0</v>
      </c>
      <c r="M13" s="612"/>
      <c r="N13" s="612"/>
      <c r="O13" s="612"/>
      <c r="P13" s="612"/>
      <c r="Q13" s="612"/>
    </row>
    <row r="14" spans="1:17" ht="15.75" customHeight="1" x14ac:dyDescent="0.25">
      <c r="A14" s="615"/>
      <c r="B14" s="615"/>
      <c r="C14" s="615"/>
      <c r="D14" s="615"/>
      <c r="E14" s="615"/>
      <c r="F14" s="615"/>
      <c r="G14" s="615"/>
      <c r="H14" s="615"/>
      <c r="I14" s="615"/>
      <c r="J14" s="615"/>
      <c r="K14" s="615"/>
      <c r="L14" s="615"/>
      <c r="M14" s="615"/>
      <c r="N14" s="615"/>
      <c r="O14" s="616"/>
    </row>
    <row r="15" spans="1:17" s="119" customFormat="1" ht="15.75" customHeight="1" x14ac:dyDescent="0.2">
      <c r="A15" s="124" t="s">
        <v>149</v>
      </c>
      <c r="B15" s="124" t="s">
        <v>181</v>
      </c>
      <c r="C15" s="609" t="s">
        <v>106</v>
      </c>
      <c r="D15" s="609"/>
      <c r="E15" s="609"/>
      <c r="F15" s="609" t="s">
        <v>152</v>
      </c>
      <c r="G15" s="609"/>
      <c r="H15" s="609"/>
      <c r="I15" s="124" t="s">
        <v>153</v>
      </c>
      <c r="J15" s="146" t="s">
        <v>182</v>
      </c>
      <c r="K15" s="124" t="s">
        <v>89</v>
      </c>
      <c r="L15" s="124" t="s">
        <v>12</v>
      </c>
      <c r="M15" s="609" t="s">
        <v>110</v>
      </c>
      <c r="N15" s="609"/>
      <c r="O15" s="609"/>
      <c r="P15" s="609"/>
      <c r="Q15" s="609"/>
    </row>
    <row r="16" spans="1:17" ht="15.75" customHeight="1" x14ac:dyDescent="0.25">
      <c r="A16" s="609" t="s">
        <v>184</v>
      </c>
      <c r="B16" s="122">
        <v>1</v>
      </c>
      <c r="C16" s="612"/>
      <c r="D16" s="613"/>
      <c r="E16" s="613"/>
      <c r="F16" s="612"/>
      <c r="G16" s="613"/>
      <c r="H16" s="613"/>
      <c r="I16" s="120"/>
      <c r="J16" s="121"/>
      <c r="K16" s="121"/>
      <c r="L16" s="147">
        <f>K16-J16</f>
        <v>0</v>
      </c>
      <c r="M16" s="612"/>
      <c r="N16" s="612"/>
      <c r="O16" s="612"/>
      <c r="P16" s="612"/>
      <c r="Q16" s="612"/>
    </row>
    <row r="17" spans="1:17" ht="15.75" customHeight="1" x14ac:dyDescent="0.25">
      <c r="A17" s="609"/>
      <c r="B17" s="122">
        <v>2</v>
      </c>
      <c r="C17" s="612"/>
      <c r="D17" s="613"/>
      <c r="E17" s="613"/>
      <c r="F17" s="612"/>
      <c r="G17" s="613"/>
      <c r="H17" s="613"/>
      <c r="I17" s="120"/>
      <c r="J17" s="121"/>
      <c r="K17" s="121"/>
      <c r="L17" s="147">
        <f>K17-J17</f>
        <v>0</v>
      </c>
      <c r="M17" s="612"/>
      <c r="N17" s="612"/>
      <c r="O17" s="612"/>
      <c r="P17" s="612"/>
      <c r="Q17" s="612"/>
    </row>
    <row r="18" spans="1:17" ht="15.75" customHeight="1" x14ac:dyDescent="0.25">
      <c r="A18" s="609"/>
      <c r="B18" s="122">
        <v>3</v>
      </c>
      <c r="C18" s="612"/>
      <c r="D18" s="613"/>
      <c r="E18" s="613"/>
      <c r="F18" s="612"/>
      <c r="G18" s="613"/>
      <c r="H18" s="613"/>
      <c r="I18" s="120"/>
      <c r="J18" s="121"/>
      <c r="K18" s="121"/>
      <c r="L18" s="147">
        <f>K18-J18</f>
        <v>0</v>
      </c>
      <c r="M18" s="612"/>
      <c r="N18" s="612"/>
      <c r="O18" s="612"/>
      <c r="P18" s="612"/>
      <c r="Q18" s="612"/>
    </row>
    <row r="19" spans="1:17" ht="15.75" customHeight="1" x14ac:dyDescent="0.25">
      <c r="A19" s="609"/>
      <c r="B19" s="122">
        <v>4</v>
      </c>
      <c r="C19" s="612"/>
      <c r="D19" s="613"/>
      <c r="E19" s="613"/>
      <c r="F19" s="612"/>
      <c r="G19" s="613"/>
      <c r="H19" s="613"/>
      <c r="I19" s="120"/>
      <c r="J19" s="121"/>
      <c r="K19" s="121"/>
      <c r="L19" s="147">
        <f>K19-J19</f>
        <v>0</v>
      </c>
      <c r="M19" s="612"/>
      <c r="N19" s="612"/>
      <c r="O19" s="612"/>
      <c r="P19" s="612"/>
      <c r="Q19" s="612"/>
    </row>
    <row r="20" spans="1:17" ht="15.75" customHeight="1" x14ac:dyDescent="0.25">
      <c r="A20" s="609"/>
      <c r="B20" s="122">
        <v>5</v>
      </c>
      <c r="C20" s="612"/>
      <c r="D20" s="613"/>
      <c r="E20" s="613"/>
      <c r="F20" s="612"/>
      <c r="G20" s="613"/>
      <c r="H20" s="613"/>
      <c r="I20" s="120"/>
      <c r="J20" s="121"/>
      <c r="K20" s="121"/>
      <c r="L20" s="147">
        <f>K20-J20</f>
        <v>0</v>
      </c>
      <c r="M20" s="612"/>
      <c r="N20" s="612"/>
      <c r="O20" s="612"/>
      <c r="P20" s="612"/>
      <c r="Q20" s="61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85" zoomScaleNormal="85"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V20" sqref="V20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1" width="10" style="159" bestFit="1" customWidth="1"/>
    <col min="22" max="22" width="11.85546875" style="159" bestFit="1" customWidth="1"/>
    <col min="23" max="24" width="22.710937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7" width="8.85546875" style="159" customWidth="1"/>
    <col min="48" max="16384" width="8.85546875" style="159"/>
  </cols>
  <sheetData>
    <row r="2" spans="2:36" ht="41.1" customHeight="1" x14ac:dyDescent="0.25">
      <c r="B2" s="648" t="s">
        <v>185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C2" s="160"/>
      <c r="AD2" s="160"/>
    </row>
    <row r="3" spans="2:36" ht="17.100000000000001" customHeight="1" x14ac:dyDescent="0.25">
      <c r="B3" s="628" t="s">
        <v>1</v>
      </c>
      <c r="C3" s="629"/>
      <c r="D3" s="632" t="s">
        <v>186</v>
      </c>
      <c r="E3" s="633" t="s">
        <v>187</v>
      </c>
      <c r="F3" s="650" t="s">
        <v>188</v>
      </c>
      <c r="G3" s="626" t="s">
        <v>189</v>
      </c>
      <c r="H3" s="651" t="s">
        <v>190</v>
      </c>
      <c r="I3" s="643" t="s">
        <v>191</v>
      </c>
      <c r="J3" s="644"/>
      <c r="K3" s="643" t="s">
        <v>192</v>
      </c>
      <c r="L3" s="644"/>
      <c r="M3" s="643" t="s">
        <v>193</v>
      </c>
      <c r="N3" s="644"/>
      <c r="O3" s="643" t="s">
        <v>194</v>
      </c>
      <c r="P3" s="644"/>
      <c r="Q3" s="643" t="s">
        <v>142</v>
      </c>
      <c r="R3" s="644"/>
      <c r="S3" s="645" t="s">
        <v>143</v>
      </c>
      <c r="T3" s="646"/>
      <c r="U3" s="647"/>
      <c r="V3" s="624" t="s">
        <v>195</v>
      </c>
      <c r="W3" s="624" t="s">
        <v>196</v>
      </c>
      <c r="X3" s="624" t="s">
        <v>197</v>
      </c>
      <c r="Y3" s="624" t="s">
        <v>198</v>
      </c>
      <c r="Z3" s="624" t="s">
        <v>199</v>
      </c>
      <c r="AA3" s="626" t="s">
        <v>200</v>
      </c>
      <c r="AC3" s="634" t="s">
        <v>201</v>
      </c>
      <c r="AD3" s="635"/>
      <c r="AE3" s="635"/>
      <c r="AF3" s="635"/>
      <c r="AG3" s="635"/>
      <c r="AH3" s="635"/>
      <c r="AI3" s="635"/>
      <c r="AJ3" s="636"/>
    </row>
    <row r="4" spans="2:36" x14ac:dyDescent="0.25">
      <c r="B4" s="630"/>
      <c r="C4" s="631"/>
      <c r="D4" s="632"/>
      <c r="E4" s="632"/>
      <c r="F4" s="650"/>
      <c r="G4" s="627"/>
      <c r="H4" s="627"/>
      <c r="I4" s="385" t="s">
        <v>202</v>
      </c>
      <c r="J4" s="384" t="s">
        <v>203</v>
      </c>
      <c r="K4" s="385" t="s">
        <v>202</v>
      </c>
      <c r="L4" s="384" t="s">
        <v>203</v>
      </c>
      <c r="M4" s="385" t="s">
        <v>202</v>
      </c>
      <c r="N4" s="384" t="s">
        <v>203</v>
      </c>
      <c r="O4" s="385" t="s">
        <v>202</v>
      </c>
      <c r="P4" s="384" t="s">
        <v>203</v>
      </c>
      <c r="Q4" s="385" t="s">
        <v>202</v>
      </c>
      <c r="R4" s="384" t="s">
        <v>203</v>
      </c>
      <c r="S4" s="385" t="s">
        <v>202</v>
      </c>
      <c r="T4" s="384" t="s">
        <v>203</v>
      </c>
      <c r="U4" s="384" t="s">
        <v>204</v>
      </c>
      <c r="V4" s="625"/>
      <c r="W4" s="625"/>
      <c r="X4" s="625"/>
      <c r="Y4" s="625"/>
      <c r="Z4" s="625"/>
      <c r="AA4" s="627"/>
      <c r="AC4" s="637"/>
      <c r="AD4" s="638"/>
      <c r="AE4" s="638"/>
      <c r="AF4" s="638"/>
      <c r="AG4" s="638"/>
      <c r="AH4" s="638"/>
      <c r="AI4" s="638"/>
      <c r="AJ4" s="639"/>
    </row>
    <row r="5" spans="2:36" s="219" customFormat="1" ht="27" customHeight="1" x14ac:dyDescent="0.2">
      <c r="B5" s="618" t="s">
        <v>205</v>
      </c>
      <c r="C5" s="619"/>
      <c r="D5" s="217">
        <v>1</v>
      </c>
      <c r="E5" s="386" t="s">
        <v>176</v>
      </c>
      <c r="F5" s="387">
        <f>IFERROR(Q5*G5,"-")</f>
        <v>9678.2000000000007</v>
      </c>
      <c r="G5" s="383">
        <v>108.5</v>
      </c>
      <c r="H5" s="383">
        <v>1337.7</v>
      </c>
      <c r="I5" s="382">
        <v>1485</v>
      </c>
      <c r="J5" s="388">
        <f>IFERROR(I5/H5,"-")</f>
        <v>1.1101143754204978</v>
      </c>
      <c r="K5" s="382">
        <v>1450.8</v>
      </c>
      <c r="L5" s="388">
        <f>IFERROR(K5/H5,"-")</f>
        <v>1.0845481049562682</v>
      </c>
      <c r="M5" s="382">
        <v>0</v>
      </c>
      <c r="N5" s="388">
        <f>IFERROR(M5/H5,"-")</f>
        <v>0</v>
      </c>
      <c r="O5" s="389">
        <f>IFERROR(K5+M5,"-")</f>
        <v>1450.8</v>
      </c>
      <c r="P5" s="388">
        <f>IFERROR(O5/H5,"-")</f>
        <v>1.0845481049562682</v>
      </c>
      <c r="Q5" s="383">
        <v>89.2</v>
      </c>
      <c r="R5" s="388">
        <f>IFERROR(Q5/H5,"-")</f>
        <v>6.6681617702025867E-2</v>
      </c>
      <c r="S5" s="389">
        <f>IFERROR(O5-H5,"-")</f>
        <v>113.09999999999991</v>
      </c>
      <c r="T5" s="388">
        <f>IFERROR(S5/H5,"-")</f>
        <v>8.4548104956268147E-2</v>
      </c>
      <c r="U5" s="390">
        <f>IFERROR(S5*G5,"-")</f>
        <v>12271.349999999989</v>
      </c>
      <c r="V5" s="221" t="s">
        <v>206</v>
      </c>
      <c r="W5" s="221" t="s">
        <v>156</v>
      </c>
      <c r="X5" s="221" t="s">
        <v>207</v>
      </c>
      <c r="Y5" s="221" t="s">
        <v>158</v>
      </c>
      <c r="Z5" s="221">
        <v>1</v>
      </c>
      <c r="AA5" s="223" t="s">
        <v>125</v>
      </c>
      <c r="AC5" s="640"/>
      <c r="AD5" s="641"/>
      <c r="AE5" s="641"/>
      <c r="AF5" s="641"/>
      <c r="AG5" s="641"/>
      <c r="AH5" s="641"/>
      <c r="AI5" s="641"/>
      <c r="AJ5" s="642"/>
    </row>
    <row r="6" spans="2:36" s="219" customFormat="1" ht="27" customHeight="1" x14ac:dyDescent="0.2">
      <c r="B6" s="620"/>
      <c r="C6" s="621"/>
      <c r="D6" s="217">
        <v>2</v>
      </c>
      <c r="E6" s="386" t="s">
        <v>157</v>
      </c>
      <c r="F6" s="387">
        <f t="shared" ref="F6:F24" si="0">IFERROR(Q6*G6,"-")</f>
        <v>5848.96</v>
      </c>
      <c r="G6" s="383">
        <v>140.6</v>
      </c>
      <c r="H6" s="383">
        <v>1508.2</v>
      </c>
      <c r="I6" s="382">
        <v>1440</v>
      </c>
      <c r="J6" s="388">
        <f t="shared" ref="J6:J24" si="1">IFERROR(I6/H6,"-")</f>
        <v>0.95478053308579758</v>
      </c>
      <c r="K6" s="382">
        <v>1547.1</v>
      </c>
      <c r="L6" s="388">
        <f t="shared" ref="L6:L24" si="2">IFERROR(K6/H6,"-")</f>
        <v>1.0257923352340537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1547.1</v>
      </c>
      <c r="P6" s="388">
        <f t="shared" ref="P6:P24" si="5">IFERROR(O6/H6,"-")</f>
        <v>1.0257923352340537</v>
      </c>
      <c r="Q6" s="383">
        <v>41.6</v>
      </c>
      <c r="R6" s="388">
        <f t="shared" ref="R6:R24" si="6">IFERROR(Q6/H6,"-")</f>
        <v>2.7582548733589708E-2</v>
      </c>
      <c r="S6" s="389">
        <f t="shared" ref="S6:S24" si="7">IFERROR(O6-H6,"-")</f>
        <v>38.899999999999864</v>
      </c>
      <c r="T6" s="388">
        <f t="shared" ref="T6:T24" si="8">IFERROR(S6/H6,"-")</f>
        <v>2.5792335234053748E-2</v>
      </c>
      <c r="U6" s="390">
        <f t="shared" ref="U6:U24" si="9">IFERROR(S6*G6,"-")</f>
        <v>5469.339999999981</v>
      </c>
      <c r="V6" s="221" t="s">
        <v>214</v>
      </c>
      <c r="W6" s="221" t="s">
        <v>215</v>
      </c>
      <c r="X6" s="220" t="s">
        <v>216</v>
      </c>
      <c r="Y6" s="220" t="s">
        <v>168</v>
      </c>
      <c r="Z6" s="221">
        <v>1</v>
      </c>
      <c r="AA6" s="223" t="s">
        <v>115</v>
      </c>
      <c r="AC6" s="167" t="s">
        <v>208</v>
      </c>
      <c r="AD6" s="167" t="s">
        <v>156</v>
      </c>
      <c r="AE6" s="218" t="s">
        <v>209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20"/>
      <c r="C7" s="621"/>
      <c r="D7" s="217">
        <v>3</v>
      </c>
      <c r="E7" s="386" t="s">
        <v>210</v>
      </c>
      <c r="F7" s="387">
        <f t="shared" si="0"/>
        <v>3906.16</v>
      </c>
      <c r="G7" s="383">
        <v>125.6</v>
      </c>
      <c r="H7" s="383">
        <v>2554.1999999999998</v>
      </c>
      <c r="I7" s="382">
        <v>2394</v>
      </c>
      <c r="J7" s="388">
        <f t="shared" si="1"/>
        <v>0.93727977448907684</v>
      </c>
      <c r="K7" s="382">
        <v>2592</v>
      </c>
      <c r="L7" s="388">
        <f t="shared" si="2"/>
        <v>1.0147991543340382</v>
      </c>
      <c r="M7" s="382">
        <v>0</v>
      </c>
      <c r="N7" s="388">
        <f t="shared" si="3"/>
        <v>0</v>
      </c>
      <c r="O7" s="389">
        <f t="shared" si="4"/>
        <v>2592</v>
      </c>
      <c r="P7" s="388">
        <f t="shared" si="5"/>
        <v>1.0147991543340382</v>
      </c>
      <c r="Q7" s="383">
        <v>31.1</v>
      </c>
      <c r="R7" s="388">
        <f t="shared" si="6"/>
        <v>1.2176023803930782E-2</v>
      </c>
      <c r="S7" s="389">
        <f t="shared" si="7"/>
        <v>37.800000000000182</v>
      </c>
      <c r="T7" s="388">
        <f t="shared" si="8"/>
        <v>1.4799154334038127E-2</v>
      </c>
      <c r="U7" s="390">
        <f t="shared" si="9"/>
        <v>4747.680000000023</v>
      </c>
      <c r="V7" s="221" t="s">
        <v>214</v>
      </c>
      <c r="W7" s="221" t="s">
        <v>215</v>
      </c>
      <c r="X7" s="220" t="s">
        <v>216</v>
      </c>
      <c r="Y7" s="220" t="s">
        <v>168</v>
      </c>
      <c r="Z7" s="221">
        <v>1</v>
      </c>
      <c r="AA7" s="223" t="s">
        <v>127</v>
      </c>
      <c r="AC7" s="391">
        <f>SUM(Z5:Z24)</f>
        <v>20</v>
      </c>
      <c r="AD7" s="222">
        <f>SUMIF($W$5:$W$24,TRIM(AD6),$Z$5:$Z$24)</f>
        <v>10</v>
      </c>
      <c r="AE7" s="222">
        <f>SUMIF($W$5:$W$24,TRIM(AE6),$Z$5:$Z$24)</f>
        <v>7</v>
      </c>
      <c r="AF7" s="222">
        <f>SUMIF($W$5:$W$24,TRIM(AF6),$Z$5:$Z$24)</f>
        <v>0</v>
      </c>
      <c r="AG7" s="222">
        <f>SUMIF($W$5:$W$24,TRIM(AG6),$Z$5:$Z$24)</f>
        <v>3</v>
      </c>
      <c r="AH7" s="222">
        <f t="shared" ref="AH7:AI7" si="10">SUMIF($W$5:$W$24,TRIM(AH6),$Z$5:$Z$24)</f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20"/>
      <c r="C8" s="621"/>
      <c r="D8" s="217">
        <v>4</v>
      </c>
      <c r="E8" s="386" t="s">
        <v>173</v>
      </c>
      <c r="F8" s="387">
        <f t="shared" si="0"/>
        <v>3858.4</v>
      </c>
      <c r="G8" s="383">
        <v>296.8</v>
      </c>
      <c r="H8" s="383">
        <v>118.9</v>
      </c>
      <c r="I8" s="382">
        <v>132</v>
      </c>
      <c r="J8" s="388">
        <f t="shared" si="1"/>
        <v>1.1101766190075693</v>
      </c>
      <c r="K8" s="382">
        <v>132.19999999999999</v>
      </c>
      <c r="L8" s="388">
        <f t="shared" si="2"/>
        <v>1.1118587047939443</v>
      </c>
      <c r="M8" s="382">
        <v>0</v>
      </c>
      <c r="N8" s="388">
        <f t="shared" si="3"/>
        <v>0</v>
      </c>
      <c r="O8" s="389">
        <f t="shared" si="4"/>
        <v>132.19999999999999</v>
      </c>
      <c r="P8" s="388">
        <f t="shared" si="5"/>
        <v>1.1118587047939443</v>
      </c>
      <c r="Q8" s="383">
        <v>13</v>
      </c>
      <c r="R8" s="388">
        <f t="shared" si="6"/>
        <v>0.10933557611438183</v>
      </c>
      <c r="S8" s="389">
        <f t="shared" si="7"/>
        <v>13.299999999999983</v>
      </c>
      <c r="T8" s="388">
        <f t="shared" si="8"/>
        <v>0.11185870479394434</v>
      </c>
      <c r="U8" s="390">
        <f t="shared" si="9"/>
        <v>3947.4399999999951</v>
      </c>
      <c r="V8" s="221" t="s">
        <v>206</v>
      </c>
      <c r="W8" s="221" t="s">
        <v>156</v>
      </c>
      <c r="X8" s="220" t="s">
        <v>207</v>
      </c>
      <c r="Y8" s="220" t="s">
        <v>158</v>
      </c>
      <c r="Z8" s="221">
        <v>1</v>
      </c>
      <c r="AA8" s="223" t="s">
        <v>125</v>
      </c>
      <c r="AC8" s="392" t="s">
        <v>141</v>
      </c>
      <c r="AD8" s="393">
        <f>SUMIF($W5:$W$24,TRIM(AD6),$F$5:$F$24)</f>
        <v>23316.870000000003</v>
      </c>
      <c r="AE8" s="393">
        <f>SUMIF($W5:$W$24,TRIM(AE6),$F$5:$F$24)</f>
        <v>17368.939999999999</v>
      </c>
      <c r="AF8" s="393">
        <f>SUMIF($W5:$W$24,TRIM(AF6),$F$5:$F$24)</f>
        <v>0</v>
      </c>
      <c r="AG8" s="393">
        <f>SUMIF($W5:$W$24,TRIM(AG6),$F$5:$F$24)</f>
        <v>3066.04</v>
      </c>
      <c r="AH8" s="393">
        <f>SUMIF($W5:$W$24,TRIM(AH6),$F$5:$F$24)</f>
        <v>0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20"/>
      <c r="C9" s="621"/>
      <c r="D9" s="217">
        <v>5</v>
      </c>
      <c r="E9" s="386" t="s">
        <v>160</v>
      </c>
      <c r="F9" s="387">
        <f t="shared" si="0"/>
        <v>2772.8999999999996</v>
      </c>
      <c r="G9" s="383">
        <v>118.5</v>
      </c>
      <c r="H9" s="383">
        <v>833.1</v>
      </c>
      <c r="I9" s="382">
        <v>777</v>
      </c>
      <c r="J9" s="388">
        <f t="shared" si="1"/>
        <v>0.93266114512063381</v>
      </c>
      <c r="K9" s="382">
        <v>861.1</v>
      </c>
      <c r="L9" s="388">
        <f t="shared" si="2"/>
        <v>1.0336094106349778</v>
      </c>
      <c r="M9" s="382">
        <v>0</v>
      </c>
      <c r="N9" s="388">
        <f t="shared" si="3"/>
        <v>0</v>
      </c>
      <c r="O9" s="389">
        <f t="shared" si="4"/>
        <v>861.1</v>
      </c>
      <c r="P9" s="388">
        <f t="shared" si="5"/>
        <v>1.0336094106349778</v>
      </c>
      <c r="Q9" s="383">
        <v>23.4</v>
      </c>
      <c r="R9" s="388">
        <f t="shared" si="6"/>
        <v>2.8087864602088581E-2</v>
      </c>
      <c r="S9" s="389">
        <f t="shared" si="7"/>
        <v>28</v>
      </c>
      <c r="T9" s="388">
        <f t="shared" si="8"/>
        <v>3.3609410634977792E-2</v>
      </c>
      <c r="U9" s="390">
        <f t="shared" si="9"/>
        <v>3318</v>
      </c>
      <c r="V9" s="221" t="s">
        <v>206</v>
      </c>
      <c r="W9" s="221" t="s">
        <v>156</v>
      </c>
      <c r="X9" s="221" t="s">
        <v>207</v>
      </c>
      <c r="Y9" s="221" t="s">
        <v>158</v>
      </c>
      <c r="Z9" s="221">
        <v>1</v>
      </c>
      <c r="AA9" s="223" t="s">
        <v>159</v>
      </c>
      <c r="AC9" s="217" t="s">
        <v>213</v>
      </c>
      <c r="AD9" s="394">
        <f t="shared" ref="AD9:AJ9" si="11">AD7/$AC7</f>
        <v>0.5</v>
      </c>
      <c r="AE9" s="394">
        <f t="shared" si="11"/>
        <v>0.35</v>
      </c>
      <c r="AF9" s="394">
        <f t="shared" si="11"/>
        <v>0</v>
      </c>
      <c r="AG9" s="394">
        <f t="shared" si="11"/>
        <v>0.15</v>
      </c>
      <c r="AH9" s="394">
        <f t="shared" si="11"/>
        <v>0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20"/>
      <c r="C10" s="621"/>
      <c r="D10" s="217">
        <v>6</v>
      </c>
      <c r="E10" s="386" t="s">
        <v>171</v>
      </c>
      <c r="F10" s="387">
        <f t="shared" si="0"/>
        <v>2726.5799999999995</v>
      </c>
      <c r="G10" s="383">
        <v>156.69999999999999</v>
      </c>
      <c r="H10" s="383">
        <v>4391.8</v>
      </c>
      <c r="I10" s="382">
        <v>3996</v>
      </c>
      <c r="J10" s="388">
        <f t="shared" si="1"/>
        <v>0.90987749897536319</v>
      </c>
      <c r="K10" s="382">
        <v>4408.7</v>
      </c>
      <c r="L10" s="388">
        <f t="shared" si="2"/>
        <v>1.0038480805136845</v>
      </c>
      <c r="M10" s="382">
        <v>0</v>
      </c>
      <c r="N10" s="388">
        <f t="shared" si="3"/>
        <v>0</v>
      </c>
      <c r="O10" s="389">
        <f t="shared" si="4"/>
        <v>4408.7</v>
      </c>
      <c r="P10" s="388">
        <f t="shared" si="5"/>
        <v>1.0038480805136845</v>
      </c>
      <c r="Q10" s="383">
        <v>17.399999999999999</v>
      </c>
      <c r="R10" s="388">
        <f t="shared" si="6"/>
        <v>3.9619290495924216E-3</v>
      </c>
      <c r="S10" s="389">
        <f t="shared" si="7"/>
        <v>16.899999999999636</v>
      </c>
      <c r="T10" s="388">
        <f t="shared" si="8"/>
        <v>3.848080513684511E-3</v>
      </c>
      <c r="U10" s="390">
        <f t="shared" si="9"/>
        <v>2648.2299999999427</v>
      </c>
      <c r="V10" s="221" t="s">
        <v>214</v>
      </c>
      <c r="W10" s="221" t="s">
        <v>215</v>
      </c>
      <c r="X10" s="221" t="s">
        <v>216</v>
      </c>
      <c r="Y10" s="220" t="s">
        <v>168</v>
      </c>
      <c r="Z10" s="221">
        <v>1</v>
      </c>
      <c r="AA10" s="223" t="s">
        <v>112</v>
      </c>
    </row>
    <row r="11" spans="2:36" s="219" customFormat="1" ht="27" customHeight="1" x14ac:dyDescent="0.2">
      <c r="B11" s="620"/>
      <c r="C11" s="621"/>
      <c r="D11" s="217">
        <v>7</v>
      </c>
      <c r="E11" s="386" t="s">
        <v>162</v>
      </c>
      <c r="F11" s="387">
        <f t="shared" si="0"/>
        <v>2627.52</v>
      </c>
      <c r="G11" s="383">
        <v>193.2</v>
      </c>
      <c r="H11" s="383">
        <v>1323.6</v>
      </c>
      <c r="I11" s="382">
        <v>1284</v>
      </c>
      <c r="J11" s="388">
        <f t="shared" si="1"/>
        <v>0.97008159564823215</v>
      </c>
      <c r="K11" s="382">
        <v>1349.1</v>
      </c>
      <c r="L11" s="388">
        <f t="shared" si="2"/>
        <v>1.0192656391659112</v>
      </c>
      <c r="M11" s="382">
        <v>0</v>
      </c>
      <c r="N11" s="388">
        <f t="shared" si="3"/>
        <v>0</v>
      </c>
      <c r="O11" s="389">
        <f t="shared" si="4"/>
        <v>1349.1</v>
      </c>
      <c r="P11" s="388">
        <f t="shared" si="5"/>
        <v>1.0192656391659112</v>
      </c>
      <c r="Q11" s="383">
        <v>13.6</v>
      </c>
      <c r="R11" s="388">
        <f t="shared" si="6"/>
        <v>1.0275007555152614E-2</v>
      </c>
      <c r="S11" s="389">
        <f t="shared" si="7"/>
        <v>25.5</v>
      </c>
      <c r="T11" s="388">
        <f t="shared" si="8"/>
        <v>1.9265639165911154E-2</v>
      </c>
      <c r="U11" s="390">
        <f t="shared" si="9"/>
        <v>4926.5999999999995</v>
      </c>
      <c r="V11" s="221" t="s">
        <v>214</v>
      </c>
      <c r="W11" s="221" t="s">
        <v>215</v>
      </c>
      <c r="X11" s="221" t="s">
        <v>216</v>
      </c>
      <c r="Y11" s="220" t="s">
        <v>168</v>
      </c>
      <c r="Z11" s="221">
        <v>1</v>
      </c>
      <c r="AA11" s="223" t="s">
        <v>161</v>
      </c>
      <c r="AD11" s="399" t="s">
        <v>214</v>
      </c>
    </row>
    <row r="12" spans="2:36" s="219" customFormat="1" ht="27" customHeight="1" x14ac:dyDescent="0.2">
      <c r="B12" s="620"/>
      <c r="C12" s="621"/>
      <c r="D12" s="217">
        <v>8</v>
      </c>
      <c r="E12" s="386" t="s">
        <v>217</v>
      </c>
      <c r="F12" s="387">
        <f t="shared" si="0"/>
        <v>2448.6</v>
      </c>
      <c r="G12" s="383">
        <v>159</v>
      </c>
      <c r="H12" s="383">
        <v>1415</v>
      </c>
      <c r="I12" s="382">
        <v>1380</v>
      </c>
      <c r="J12" s="388">
        <f t="shared" si="1"/>
        <v>0.97526501766784457</v>
      </c>
      <c r="K12" s="382">
        <v>1414.8</v>
      </c>
      <c r="L12" s="388">
        <f t="shared" si="2"/>
        <v>0.99985865724381617</v>
      </c>
      <c r="M12" s="382">
        <v>24.4</v>
      </c>
      <c r="N12" s="388">
        <f t="shared" si="3"/>
        <v>1.7243816254416962E-2</v>
      </c>
      <c r="O12" s="389">
        <f t="shared" si="4"/>
        <v>1439.2</v>
      </c>
      <c r="P12" s="388">
        <f t="shared" si="5"/>
        <v>1.0171024734982332</v>
      </c>
      <c r="Q12" s="383">
        <v>15.4</v>
      </c>
      <c r="R12" s="388">
        <f t="shared" si="6"/>
        <v>1.0883392226148409E-2</v>
      </c>
      <c r="S12" s="389">
        <f t="shared" si="7"/>
        <v>24.200000000000045</v>
      </c>
      <c r="T12" s="388">
        <f t="shared" si="8"/>
        <v>1.7102473498233246E-2</v>
      </c>
      <c r="U12" s="390">
        <f t="shared" si="9"/>
        <v>3847.8000000000075</v>
      </c>
      <c r="V12" s="221" t="s">
        <v>211</v>
      </c>
      <c r="W12" s="221" t="s">
        <v>140</v>
      </c>
      <c r="X12" s="220" t="s">
        <v>143</v>
      </c>
      <c r="Y12" s="221" t="s">
        <v>388</v>
      </c>
      <c r="Z12" s="221">
        <v>1</v>
      </c>
      <c r="AA12" s="223" t="s">
        <v>122</v>
      </c>
      <c r="AD12" s="399" t="s">
        <v>211</v>
      </c>
    </row>
    <row r="13" spans="2:36" s="219" customFormat="1" ht="27" customHeight="1" x14ac:dyDescent="0.2">
      <c r="B13" s="620"/>
      <c r="C13" s="621"/>
      <c r="D13" s="217">
        <v>9</v>
      </c>
      <c r="E13" s="386" t="s">
        <v>218</v>
      </c>
      <c r="F13" s="387">
        <f t="shared" si="0"/>
        <v>1701.8</v>
      </c>
      <c r="G13" s="383">
        <v>850.9</v>
      </c>
      <c r="H13" s="383">
        <v>59.5</v>
      </c>
      <c r="I13" s="382">
        <v>55.5</v>
      </c>
      <c r="J13" s="388">
        <f t="shared" si="1"/>
        <v>0.9327731092436975</v>
      </c>
      <c r="K13" s="382">
        <v>61.5</v>
      </c>
      <c r="L13" s="388">
        <f t="shared" si="2"/>
        <v>1.0336134453781514</v>
      </c>
      <c r="M13" s="382">
        <v>0</v>
      </c>
      <c r="N13" s="388">
        <f t="shared" si="3"/>
        <v>0</v>
      </c>
      <c r="O13" s="389">
        <f t="shared" si="4"/>
        <v>61.5</v>
      </c>
      <c r="P13" s="388">
        <f t="shared" si="5"/>
        <v>1.0336134453781514</v>
      </c>
      <c r="Q13" s="383">
        <v>2</v>
      </c>
      <c r="R13" s="388">
        <f t="shared" si="6"/>
        <v>3.3613445378151259E-2</v>
      </c>
      <c r="S13" s="389">
        <f t="shared" si="7"/>
        <v>2</v>
      </c>
      <c r="T13" s="388">
        <f t="shared" si="8"/>
        <v>3.3613445378151259E-2</v>
      </c>
      <c r="U13" s="390">
        <f t="shared" si="9"/>
        <v>1701.8</v>
      </c>
      <c r="V13" s="221" t="s">
        <v>206</v>
      </c>
      <c r="W13" s="221" t="s">
        <v>156</v>
      </c>
      <c r="X13" s="221" t="s">
        <v>207</v>
      </c>
      <c r="Y13" s="220" t="s">
        <v>158</v>
      </c>
      <c r="Z13" s="221">
        <v>1</v>
      </c>
      <c r="AA13" s="224" t="s">
        <v>159</v>
      </c>
      <c r="AD13" s="399" t="s">
        <v>219</v>
      </c>
    </row>
    <row r="14" spans="2:36" s="219" customFormat="1" ht="27" customHeight="1" x14ac:dyDescent="0.2">
      <c r="B14" s="620"/>
      <c r="C14" s="621"/>
      <c r="D14" s="217">
        <v>10</v>
      </c>
      <c r="E14" s="386" t="s">
        <v>220</v>
      </c>
      <c r="F14" s="387">
        <f t="shared" si="0"/>
        <v>1473.84</v>
      </c>
      <c r="G14" s="383">
        <v>82.8</v>
      </c>
      <c r="H14" s="383">
        <v>624</v>
      </c>
      <c r="I14" s="382">
        <v>623.4</v>
      </c>
      <c r="J14" s="388">
        <f t="shared" si="1"/>
        <v>0.99903846153846154</v>
      </c>
      <c r="K14" s="382">
        <v>649.4</v>
      </c>
      <c r="L14" s="388">
        <f t="shared" si="2"/>
        <v>1.0407051282051281</v>
      </c>
      <c r="M14" s="382">
        <v>0</v>
      </c>
      <c r="N14" s="388">
        <f t="shared" si="3"/>
        <v>0</v>
      </c>
      <c r="O14" s="389">
        <f t="shared" si="4"/>
        <v>649.4</v>
      </c>
      <c r="P14" s="388">
        <f t="shared" si="5"/>
        <v>1.0407051282051281</v>
      </c>
      <c r="Q14" s="383">
        <v>17.8</v>
      </c>
      <c r="R14" s="388">
        <f t="shared" si="6"/>
        <v>2.8525641025641028E-2</v>
      </c>
      <c r="S14" s="389">
        <f t="shared" si="7"/>
        <v>25.399999999999977</v>
      </c>
      <c r="T14" s="388">
        <f t="shared" si="8"/>
        <v>4.0705128205128172E-2</v>
      </c>
      <c r="U14" s="390">
        <f t="shared" si="9"/>
        <v>2103.1199999999981</v>
      </c>
      <c r="V14" s="221" t="s">
        <v>206</v>
      </c>
      <c r="W14" s="221" t="s">
        <v>156</v>
      </c>
      <c r="X14" s="220" t="s">
        <v>207</v>
      </c>
      <c r="Y14" s="220" t="s">
        <v>158</v>
      </c>
      <c r="Z14" s="221">
        <v>1</v>
      </c>
      <c r="AA14" s="223" t="s">
        <v>221</v>
      </c>
      <c r="AD14" s="399" t="s">
        <v>206</v>
      </c>
    </row>
    <row r="15" spans="2:36" s="219" customFormat="1" ht="27" customHeight="1" x14ac:dyDescent="0.2">
      <c r="B15" s="620"/>
      <c r="C15" s="621"/>
      <c r="D15" s="217">
        <v>11</v>
      </c>
      <c r="E15" s="386" t="s">
        <v>163</v>
      </c>
      <c r="F15" s="387">
        <f t="shared" si="0"/>
        <v>1231.95</v>
      </c>
      <c r="G15" s="383">
        <v>95.5</v>
      </c>
      <c r="H15" s="383">
        <v>962</v>
      </c>
      <c r="I15" s="382">
        <v>962.5</v>
      </c>
      <c r="J15" s="388">
        <f t="shared" si="1"/>
        <v>1.0005197505197505</v>
      </c>
      <c r="K15" s="382">
        <v>974.6</v>
      </c>
      <c r="L15" s="388">
        <f t="shared" si="2"/>
        <v>1.013097713097713</v>
      </c>
      <c r="M15" s="382">
        <v>0</v>
      </c>
      <c r="N15" s="388">
        <f t="shared" si="3"/>
        <v>0</v>
      </c>
      <c r="O15" s="389">
        <f t="shared" si="4"/>
        <v>974.6</v>
      </c>
      <c r="P15" s="388">
        <f t="shared" si="5"/>
        <v>1.013097713097713</v>
      </c>
      <c r="Q15" s="383">
        <v>12.9</v>
      </c>
      <c r="R15" s="388">
        <f t="shared" si="6"/>
        <v>1.340956340956341E-2</v>
      </c>
      <c r="S15" s="389">
        <f t="shared" si="7"/>
        <v>12.600000000000023</v>
      </c>
      <c r="T15" s="388">
        <f t="shared" si="8"/>
        <v>1.3097713097713121E-2</v>
      </c>
      <c r="U15" s="390">
        <f t="shared" si="9"/>
        <v>1203.3000000000022</v>
      </c>
      <c r="V15" s="221" t="s">
        <v>206</v>
      </c>
      <c r="W15" s="221" t="s">
        <v>156</v>
      </c>
      <c r="X15" s="221" t="s">
        <v>207</v>
      </c>
      <c r="Y15" s="221" t="s">
        <v>158</v>
      </c>
      <c r="Z15" s="221">
        <v>1</v>
      </c>
      <c r="AA15" s="223" t="s">
        <v>117</v>
      </c>
      <c r="AD15" s="399" t="s">
        <v>222</v>
      </c>
      <c r="AE15" s="225"/>
    </row>
    <row r="16" spans="2:36" s="219" customFormat="1" ht="27" customHeight="1" x14ac:dyDescent="0.2">
      <c r="B16" s="620"/>
      <c r="C16" s="621"/>
      <c r="D16" s="217">
        <v>12</v>
      </c>
      <c r="E16" s="386" t="s">
        <v>223</v>
      </c>
      <c r="F16" s="387">
        <f t="shared" si="0"/>
        <v>1167.75</v>
      </c>
      <c r="G16" s="383">
        <v>155.69999999999999</v>
      </c>
      <c r="H16" s="383">
        <v>330.9</v>
      </c>
      <c r="I16" s="382">
        <v>321</v>
      </c>
      <c r="J16" s="388">
        <f t="shared" si="1"/>
        <v>0.97008159564823215</v>
      </c>
      <c r="K16" s="382">
        <v>337.8</v>
      </c>
      <c r="L16" s="388">
        <f t="shared" si="2"/>
        <v>1.0208522212148687</v>
      </c>
      <c r="M16" s="382">
        <v>0</v>
      </c>
      <c r="N16" s="388">
        <f t="shared" si="3"/>
        <v>0</v>
      </c>
      <c r="O16" s="389">
        <f t="shared" si="4"/>
        <v>337.8</v>
      </c>
      <c r="P16" s="388">
        <f t="shared" si="5"/>
        <v>1.0208522212148687</v>
      </c>
      <c r="Q16" s="383">
        <v>7.5</v>
      </c>
      <c r="R16" s="388">
        <f t="shared" si="6"/>
        <v>2.2665457842248413E-2</v>
      </c>
      <c r="S16" s="389">
        <f t="shared" si="7"/>
        <v>6.9000000000000341</v>
      </c>
      <c r="T16" s="388">
        <f t="shared" si="8"/>
        <v>2.0852221214868644E-2</v>
      </c>
      <c r="U16" s="390">
        <f t="shared" si="9"/>
        <v>1074.3300000000052</v>
      </c>
      <c r="V16" s="221" t="s">
        <v>206</v>
      </c>
      <c r="W16" s="221" t="s">
        <v>156</v>
      </c>
      <c r="X16" s="221" t="s">
        <v>207</v>
      </c>
      <c r="Y16" s="221" t="s">
        <v>158</v>
      </c>
      <c r="Z16" s="221">
        <v>1</v>
      </c>
      <c r="AA16" s="223" t="s">
        <v>161</v>
      </c>
    </row>
    <row r="17" spans="2:27" s="219" customFormat="1" ht="27" customHeight="1" x14ac:dyDescent="0.2">
      <c r="B17" s="620"/>
      <c r="C17" s="621"/>
      <c r="D17" s="217">
        <v>13</v>
      </c>
      <c r="E17" s="386" t="s">
        <v>170</v>
      </c>
      <c r="F17" s="387">
        <f t="shared" si="0"/>
        <v>1113.1199999999999</v>
      </c>
      <c r="G17" s="383">
        <v>77.3</v>
      </c>
      <c r="H17" s="383">
        <v>4156.3</v>
      </c>
      <c r="I17" s="382">
        <v>3876</v>
      </c>
      <c r="J17" s="388">
        <f t="shared" si="1"/>
        <v>0.93256020980198728</v>
      </c>
      <c r="K17" s="382">
        <v>4177.1000000000004</v>
      </c>
      <c r="L17" s="388">
        <f t="shared" si="2"/>
        <v>1.0050044510742728</v>
      </c>
      <c r="M17" s="382">
        <v>0</v>
      </c>
      <c r="N17" s="388">
        <f t="shared" si="3"/>
        <v>0</v>
      </c>
      <c r="O17" s="389">
        <f t="shared" si="4"/>
        <v>4177.1000000000004</v>
      </c>
      <c r="P17" s="388">
        <f t="shared" si="5"/>
        <v>1.0050044510742728</v>
      </c>
      <c r="Q17" s="383">
        <v>14.4</v>
      </c>
      <c r="R17" s="388">
        <f t="shared" si="6"/>
        <v>3.4646199744965472E-3</v>
      </c>
      <c r="S17" s="389">
        <f t="shared" si="7"/>
        <v>20.800000000000182</v>
      </c>
      <c r="T17" s="388">
        <f t="shared" si="8"/>
        <v>5.0044510742728344E-3</v>
      </c>
      <c r="U17" s="390">
        <f t="shared" si="9"/>
        <v>1607.840000000014</v>
      </c>
      <c r="V17" s="221" t="s">
        <v>214</v>
      </c>
      <c r="W17" s="221" t="s">
        <v>215</v>
      </c>
      <c r="X17" s="220" t="s">
        <v>216</v>
      </c>
      <c r="Y17" s="220" t="s">
        <v>168</v>
      </c>
      <c r="Z17" s="221">
        <v>1</v>
      </c>
      <c r="AA17" s="223" t="s">
        <v>169</v>
      </c>
    </row>
    <row r="18" spans="2:27" s="219" customFormat="1" ht="27" customHeight="1" x14ac:dyDescent="0.2">
      <c r="B18" s="620"/>
      <c r="C18" s="621"/>
      <c r="D18" s="217">
        <v>14</v>
      </c>
      <c r="E18" s="386" t="s">
        <v>171</v>
      </c>
      <c r="F18" s="387">
        <f t="shared" si="0"/>
        <v>911.59999999999991</v>
      </c>
      <c r="G18" s="383">
        <v>106</v>
      </c>
      <c r="H18" s="383">
        <v>624.9</v>
      </c>
      <c r="I18" s="382">
        <v>540</v>
      </c>
      <c r="J18" s="388">
        <f t="shared" si="1"/>
        <v>0.86413826212193956</v>
      </c>
      <c r="K18" s="382">
        <v>636.20000000000005</v>
      </c>
      <c r="L18" s="388">
        <f t="shared" si="2"/>
        <v>1.0180828932629222</v>
      </c>
      <c r="M18" s="382">
        <v>0</v>
      </c>
      <c r="N18" s="388">
        <f t="shared" si="3"/>
        <v>0</v>
      </c>
      <c r="O18" s="389">
        <f t="shared" si="4"/>
        <v>636.20000000000005</v>
      </c>
      <c r="P18" s="388">
        <f t="shared" si="5"/>
        <v>1.0180828932629222</v>
      </c>
      <c r="Q18" s="383">
        <v>8.6</v>
      </c>
      <c r="R18" s="388">
        <f t="shared" si="6"/>
        <v>1.376220195231237E-2</v>
      </c>
      <c r="S18" s="389">
        <f t="shared" si="7"/>
        <v>11.300000000000068</v>
      </c>
      <c r="T18" s="388">
        <f t="shared" si="8"/>
        <v>1.8082893262922176E-2</v>
      </c>
      <c r="U18" s="390">
        <f t="shared" si="9"/>
        <v>1197.8000000000072</v>
      </c>
      <c r="V18" s="221" t="s">
        <v>214</v>
      </c>
      <c r="W18" s="221" t="s">
        <v>215</v>
      </c>
      <c r="X18" s="220" t="s">
        <v>216</v>
      </c>
      <c r="Y18" s="220" t="s">
        <v>168</v>
      </c>
      <c r="Z18" s="221">
        <v>1</v>
      </c>
      <c r="AA18" s="223" t="s">
        <v>224</v>
      </c>
    </row>
    <row r="19" spans="2:27" s="219" customFormat="1" ht="27" customHeight="1" x14ac:dyDescent="0.2">
      <c r="B19" s="620"/>
      <c r="C19" s="621"/>
      <c r="D19" s="217">
        <v>15</v>
      </c>
      <c r="E19" s="386" t="s">
        <v>225</v>
      </c>
      <c r="F19" s="387">
        <f t="shared" si="0"/>
        <v>809.88</v>
      </c>
      <c r="G19" s="383">
        <v>238.2</v>
      </c>
      <c r="H19" s="383">
        <v>77.5</v>
      </c>
      <c r="I19" s="382">
        <v>77.5</v>
      </c>
      <c r="J19" s="388">
        <f t="shared" si="1"/>
        <v>1</v>
      </c>
      <c r="K19" s="382">
        <v>81.3</v>
      </c>
      <c r="L19" s="388">
        <f t="shared" si="2"/>
        <v>1.0490322580645162</v>
      </c>
      <c r="M19" s="382">
        <v>0</v>
      </c>
      <c r="N19" s="388">
        <f t="shared" si="3"/>
        <v>0</v>
      </c>
      <c r="O19" s="389">
        <f t="shared" si="4"/>
        <v>81.3</v>
      </c>
      <c r="P19" s="388">
        <f t="shared" si="5"/>
        <v>1.0490322580645162</v>
      </c>
      <c r="Q19" s="383">
        <v>3.4</v>
      </c>
      <c r="R19" s="388">
        <f t="shared" si="6"/>
        <v>4.3870967741935482E-2</v>
      </c>
      <c r="S19" s="389">
        <f t="shared" si="7"/>
        <v>3.7999999999999972</v>
      </c>
      <c r="T19" s="388">
        <f t="shared" si="8"/>
        <v>4.9032258064516089E-2</v>
      </c>
      <c r="U19" s="390">
        <f t="shared" si="9"/>
        <v>905.15999999999929</v>
      </c>
      <c r="V19" s="221" t="s">
        <v>206</v>
      </c>
      <c r="W19" s="221" t="s">
        <v>156</v>
      </c>
      <c r="X19" s="221" t="s">
        <v>207</v>
      </c>
      <c r="Y19" s="221" t="s">
        <v>158</v>
      </c>
      <c r="Z19" s="221">
        <v>1</v>
      </c>
      <c r="AA19" s="223" t="s">
        <v>221</v>
      </c>
    </row>
    <row r="20" spans="2:27" s="219" customFormat="1" ht="27" customHeight="1" x14ac:dyDescent="0.2">
      <c r="B20" s="620"/>
      <c r="C20" s="621"/>
      <c r="D20" s="217">
        <v>16</v>
      </c>
      <c r="E20" s="386" t="s">
        <v>226</v>
      </c>
      <c r="F20" s="387">
        <f t="shared" si="0"/>
        <v>425.59</v>
      </c>
      <c r="G20" s="383">
        <v>58.3</v>
      </c>
      <c r="H20" s="383">
        <v>213.1</v>
      </c>
      <c r="I20" s="382">
        <v>186</v>
      </c>
      <c r="J20" s="388">
        <f t="shared" si="1"/>
        <v>0.87282965743782259</v>
      </c>
      <c r="K20" s="382">
        <v>223.3</v>
      </c>
      <c r="L20" s="388">
        <f t="shared" si="2"/>
        <v>1.0478648521820741</v>
      </c>
      <c r="M20" s="382">
        <v>0</v>
      </c>
      <c r="N20" s="388">
        <f t="shared" si="3"/>
        <v>0</v>
      </c>
      <c r="O20" s="389">
        <f t="shared" si="4"/>
        <v>223.3</v>
      </c>
      <c r="P20" s="388">
        <f t="shared" si="5"/>
        <v>1.0478648521820741</v>
      </c>
      <c r="Q20" s="383">
        <v>7.3</v>
      </c>
      <c r="R20" s="388">
        <f t="shared" si="6"/>
        <v>3.4256217738151101E-2</v>
      </c>
      <c r="S20" s="389">
        <f t="shared" si="7"/>
        <v>10.200000000000017</v>
      </c>
      <c r="T20" s="388">
        <f t="shared" si="8"/>
        <v>4.7864852182074223E-2</v>
      </c>
      <c r="U20" s="390">
        <f t="shared" si="9"/>
        <v>594.66000000000099</v>
      </c>
      <c r="V20" s="221" t="s">
        <v>206</v>
      </c>
      <c r="W20" s="221" t="s">
        <v>156</v>
      </c>
      <c r="X20" s="221" t="s">
        <v>207</v>
      </c>
      <c r="Y20" s="221" t="s">
        <v>158</v>
      </c>
      <c r="Z20" s="221">
        <v>1</v>
      </c>
      <c r="AA20" s="223" t="s">
        <v>119</v>
      </c>
    </row>
    <row r="21" spans="2:27" s="219" customFormat="1" ht="27" customHeight="1" x14ac:dyDescent="0.2">
      <c r="B21" s="620"/>
      <c r="C21" s="621"/>
      <c r="D21" s="217">
        <v>17</v>
      </c>
      <c r="E21" s="386" t="s">
        <v>227</v>
      </c>
      <c r="F21" s="387">
        <f t="shared" si="0"/>
        <v>385.84</v>
      </c>
      <c r="G21" s="383">
        <v>36.4</v>
      </c>
      <c r="H21" s="383">
        <v>8392.2000000000007</v>
      </c>
      <c r="I21" s="382">
        <v>7866</v>
      </c>
      <c r="J21" s="388">
        <f t="shared" si="1"/>
        <v>0.93729892042610985</v>
      </c>
      <c r="K21" s="382">
        <v>8402.2000000000007</v>
      </c>
      <c r="L21" s="388">
        <f t="shared" si="2"/>
        <v>1.0011915826600892</v>
      </c>
      <c r="M21" s="382">
        <v>58.6</v>
      </c>
      <c r="N21" s="388">
        <f t="shared" si="3"/>
        <v>6.9826743881223037E-3</v>
      </c>
      <c r="O21" s="389">
        <f t="shared" si="4"/>
        <v>8460.8000000000011</v>
      </c>
      <c r="P21" s="388">
        <f t="shared" si="5"/>
        <v>1.0081742570482115</v>
      </c>
      <c r="Q21" s="383">
        <v>10.6</v>
      </c>
      <c r="R21" s="388">
        <f t="shared" si="6"/>
        <v>1.2630776196944781E-3</v>
      </c>
      <c r="S21" s="389">
        <f t="shared" si="7"/>
        <v>68.600000000000364</v>
      </c>
      <c r="T21" s="388">
        <f t="shared" si="8"/>
        <v>8.1742570482114772E-3</v>
      </c>
      <c r="U21" s="390">
        <f t="shared" si="9"/>
        <v>2497.0400000000132</v>
      </c>
      <c r="V21" s="221" t="s">
        <v>211</v>
      </c>
      <c r="W21" s="221" t="s">
        <v>140</v>
      </c>
      <c r="X21" s="220" t="s">
        <v>143</v>
      </c>
      <c r="Y21" s="221" t="s">
        <v>388</v>
      </c>
      <c r="Z21" s="221">
        <v>1</v>
      </c>
      <c r="AA21" s="223" t="s">
        <v>127</v>
      </c>
    </row>
    <row r="22" spans="2:27" s="219" customFormat="1" ht="27" customHeight="1" x14ac:dyDescent="0.2">
      <c r="B22" s="620"/>
      <c r="C22" s="621"/>
      <c r="D22" s="217">
        <v>18</v>
      </c>
      <c r="E22" s="386" t="s">
        <v>228</v>
      </c>
      <c r="F22" s="387">
        <f t="shared" si="0"/>
        <v>231.60000000000002</v>
      </c>
      <c r="G22" s="383">
        <v>77.2</v>
      </c>
      <c r="H22" s="383">
        <v>2441.6999999999998</v>
      </c>
      <c r="I22" s="382">
        <v>2415</v>
      </c>
      <c r="J22" s="388">
        <f t="shared" si="1"/>
        <v>0.98906499569971751</v>
      </c>
      <c r="K22" s="382">
        <v>2444</v>
      </c>
      <c r="L22" s="388">
        <f t="shared" si="2"/>
        <v>1.0009419666625712</v>
      </c>
      <c r="M22" s="382">
        <v>12.2</v>
      </c>
      <c r="N22" s="388">
        <f t="shared" si="3"/>
        <v>4.9965188188557151E-3</v>
      </c>
      <c r="O22" s="389">
        <f t="shared" si="4"/>
        <v>2456.1999999999998</v>
      </c>
      <c r="P22" s="388">
        <f t="shared" si="5"/>
        <v>1.0059384854814268</v>
      </c>
      <c r="Q22" s="383">
        <v>3</v>
      </c>
      <c r="R22" s="388">
        <f t="shared" si="6"/>
        <v>1.2286521685710777E-3</v>
      </c>
      <c r="S22" s="389">
        <f t="shared" si="7"/>
        <v>14.5</v>
      </c>
      <c r="T22" s="388">
        <f t="shared" si="8"/>
        <v>5.9384854814268752E-3</v>
      </c>
      <c r="U22" s="390">
        <f t="shared" si="9"/>
        <v>1119.4000000000001</v>
      </c>
      <c r="V22" s="221" t="s">
        <v>211</v>
      </c>
      <c r="W22" s="221" t="s">
        <v>140</v>
      </c>
      <c r="X22" s="220" t="s">
        <v>143</v>
      </c>
      <c r="Y22" s="221" t="s">
        <v>388</v>
      </c>
      <c r="Z22" s="221">
        <v>1</v>
      </c>
      <c r="AA22" s="223" t="s">
        <v>100</v>
      </c>
    </row>
    <row r="23" spans="2:27" s="219" customFormat="1" ht="27" customHeight="1" x14ac:dyDescent="0.2">
      <c r="B23" s="620"/>
      <c r="C23" s="621"/>
      <c r="D23" s="217">
        <v>19</v>
      </c>
      <c r="E23" s="386" t="s">
        <v>229</v>
      </c>
      <c r="F23" s="387">
        <f t="shared" si="0"/>
        <v>235</v>
      </c>
      <c r="G23" s="383">
        <v>235</v>
      </c>
      <c r="H23" s="383">
        <v>56.8</v>
      </c>
      <c r="I23" s="382">
        <v>50.1</v>
      </c>
      <c r="J23" s="388">
        <f t="shared" si="1"/>
        <v>0.88204225352112686</v>
      </c>
      <c r="K23" s="382">
        <v>58.1</v>
      </c>
      <c r="L23" s="388">
        <f t="shared" si="2"/>
        <v>1.022887323943662</v>
      </c>
      <c r="M23" s="382">
        <v>0</v>
      </c>
      <c r="N23" s="388">
        <f t="shared" si="3"/>
        <v>0</v>
      </c>
      <c r="O23" s="389">
        <f t="shared" si="4"/>
        <v>58.1</v>
      </c>
      <c r="P23" s="388">
        <f t="shared" si="5"/>
        <v>1.022887323943662</v>
      </c>
      <c r="Q23" s="383">
        <v>1</v>
      </c>
      <c r="R23" s="388">
        <f t="shared" si="6"/>
        <v>1.7605633802816902E-2</v>
      </c>
      <c r="S23" s="389">
        <f t="shared" si="7"/>
        <v>1.3000000000000043</v>
      </c>
      <c r="T23" s="388">
        <f t="shared" si="8"/>
        <v>2.2887323943662049E-2</v>
      </c>
      <c r="U23" s="390">
        <f t="shared" si="9"/>
        <v>305.50000000000102</v>
      </c>
      <c r="V23" s="221" t="s">
        <v>214</v>
      </c>
      <c r="W23" s="221" t="s">
        <v>215</v>
      </c>
      <c r="X23" s="220" t="s">
        <v>387</v>
      </c>
      <c r="Y23" s="220"/>
      <c r="Z23" s="221">
        <v>1</v>
      </c>
      <c r="AA23" s="223" t="s">
        <v>116</v>
      </c>
    </row>
    <row r="24" spans="2:27" s="219" customFormat="1" ht="27" customHeight="1" x14ac:dyDescent="0.2">
      <c r="B24" s="622"/>
      <c r="C24" s="623"/>
      <c r="D24" s="217">
        <v>20</v>
      </c>
      <c r="E24" s="386" t="s">
        <v>223</v>
      </c>
      <c r="F24" s="387">
        <f t="shared" si="0"/>
        <v>196.56</v>
      </c>
      <c r="G24" s="383">
        <v>140.4</v>
      </c>
      <c r="H24" s="383">
        <v>302.2</v>
      </c>
      <c r="I24" s="382">
        <v>284</v>
      </c>
      <c r="J24" s="388">
        <f t="shared" si="1"/>
        <v>0.93977498345466581</v>
      </c>
      <c r="K24" s="382">
        <v>308.3</v>
      </c>
      <c r="L24" s="388">
        <f t="shared" si="2"/>
        <v>1.0201853077432166</v>
      </c>
      <c r="M24" s="382">
        <v>0</v>
      </c>
      <c r="N24" s="388">
        <f t="shared" si="3"/>
        <v>0</v>
      </c>
      <c r="O24" s="389">
        <f t="shared" si="4"/>
        <v>308.3</v>
      </c>
      <c r="P24" s="388">
        <f t="shared" si="5"/>
        <v>1.0201853077432166</v>
      </c>
      <c r="Q24" s="383">
        <v>1.4</v>
      </c>
      <c r="R24" s="388">
        <f t="shared" si="6"/>
        <v>4.6326935804103242E-3</v>
      </c>
      <c r="S24" s="389">
        <f t="shared" si="7"/>
        <v>6.1000000000000227</v>
      </c>
      <c r="T24" s="388">
        <f t="shared" si="8"/>
        <v>2.0185307743216488E-2</v>
      </c>
      <c r="U24" s="390">
        <f t="shared" si="9"/>
        <v>856.44000000000324</v>
      </c>
      <c r="V24" s="221" t="s">
        <v>206</v>
      </c>
      <c r="W24" s="221" t="s">
        <v>156</v>
      </c>
      <c r="X24" s="221" t="s">
        <v>207</v>
      </c>
      <c r="Y24" s="221" t="s">
        <v>158</v>
      </c>
      <c r="Z24" s="221">
        <v>1</v>
      </c>
      <c r="AA24" s="223" t="s">
        <v>127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2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activeCell="A9" sqref="A9:XFD9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7" width="8.85546875" style="159" customWidth="1"/>
    <col min="48" max="16384" width="8.85546875" style="159"/>
  </cols>
  <sheetData>
    <row r="2" spans="2:36" ht="41.1" customHeight="1" x14ac:dyDescent="0.25">
      <c r="B2" s="648" t="s">
        <v>230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C2" s="160"/>
      <c r="AD2" s="160"/>
    </row>
    <row r="3" spans="2:36" ht="17.100000000000001" customHeight="1" x14ac:dyDescent="0.25">
      <c r="B3" s="628" t="s">
        <v>1</v>
      </c>
      <c r="C3" s="629"/>
      <c r="D3" s="632" t="s">
        <v>186</v>
      </c>
      <c r="E3" s="633" t="s">
        <v>187</v>
      </c>
      <c r="F3" s="652" t="s">
        <v>231</v>
      </c>
      <c r="G3" s="626" t="s">
        <v>189</v>
      </c>
      <c r="H3" s="651" t="s">
        <v>190</v>
      </c>
      <c r="I3" s="643" t="s">
        <v>191</v>
      </c>
      <c r="J3" s="644"/>
      <c r="K3" s="643" t="s">
        <v>192</v>
      </c>
      <c r="L3" s="644"/>
      <c r="M3" s="643" t="s">
        <v>193</v>
      </c>
      <c r="N3" s="644"/>
      <c r="O3" s="643" t="s">
        <v>194</v>
      </c>
      <c r="P3" s="644"/>
      <c r="Q3" s="643" t="s">
        <v>142</v>
      </c>
      <c r="R3" s="653"/>
      <c r="S3" s="644"/>
      <c r="T3" s="645" t="s">
        <v>143</v>
      </c>
      <c r="U3" s="646"/>
      <c r="V3" s="624" t="s">
        <v>195</v>
      </c>
      <c r="W3" s="624" t="s">
        <v>196</v>
      </c>
      <c r="X3" s="624" t="s">
        <v>197</v>
      </c>
      <c r="Y3" s="624" t="s">
        <v>198</v>
      </c>
      <c r="Z3" s="624" t="s">
        <v>199</v>
      </c>
      <c r="AA3" s="626" t="s">
        <v>200</v>
      </c>
      <c r="AC3" s="634" t="s">
        <v>201</v>
      </c>
      <c r="AD3" s="635"/>
      <c r="AE3" s="635"/>
      <c r="AF3" s="635"/>
      <c r="AG3" s="635"/>
      <c r="AH3" s="635"/>
      <c r="AI3" s="635"/>
      <c r="AJ3" s="636"/>
    </row>
    <row r="4" spans="2:36" x14ac:dyDescent="0.25">
      <c r="B4" s="630"/>
      <c r="C4" s="631"/>
      <c r="D4" s="632"/>
      <c r="E4" s="632"/>
      <c r="F4" s="650"/>
      <c r="G4" s="627"/>
      <c r="H4" s="627"/>
      <c r="I4" s="385" t="s">
        <v>202</v>
      </c>
      <c r="J4" s="384" t="s">
        <v>203</v>
      </c>
      <c r="K4" s="385" t="s">
        <v>202</v>
      </c>
      <c r="L4" s="384" t="s">
        <v>203</v>
      </c>
      <c r="M4" s="385" t="s">
        <v>202</v>
      </c>
      <c r="N4" s="384" t="s">
        <v>203</v>
      </c>
      <c r="O4" s="385" t="s">
        <v>202</v>
      </c>
      <c r="P4" s="384" t="s">
        <v>203</v>
      </c>
      <c r="Q4" s="385" t="s">
        <v>202</v>
      </c>
      <c r="R4" s="384" t="s">
        <v>203</v>
      </c>
      <c r="S4" s="384" t="s">
        <v>204</v>
      </c>
      <c r="T4" s="385" t="s">
        <v>202</v>
      </c>
      <c r="U4" s="384" t="s">
        <v>203</v>
      </c>
      <c r="V4" s="625"/>
      <c r="W4" s="625"/>
      <c r="X4" s="625"/>
      <c r="Y4" s="625"/>
      <c r="Z4" s="625"/>
      <c r="AA4" s="627"/>
      <c r="AC4" s="637"/>
      <c r="AD4" s="638"/>
      <c r="AE4" s="638"/>
      <c r="AF4" s="638"/>
      <c r="AG4" s="638"/>
      <c r="AH4" s="638"/>
      <c r="AI4" s="638"/>
      <c r="AJ4" s="639"/>
    </row>
    <row r="5" spans="2:36" s="219" customFormat="1" ht="27" customHeight="1" x14ac:dyDescent="0.2">
      <c r="B5" s="618" t="s">
        <v>205</v>
      </c>
      <c r="C5" s="619"/>
      <c r="D5" s="217">
        <v>1</v>
      </c>
      <c r="E5" s="386" t="s">
        <v>176</v>
      </c>
      <c r="F5" s="390">
        <f>IFERROR(T5*G5,"-")</f>
        <v>12271.349999999989</v>
      </c>
      <c r="G5" s="383">
        <v>108.5</v>
      </c>
      <c r="H5" s="383">
        <v>1337.7</v>
      </c>
      <c r="I5" s="382">
        <v>1485</v>
      </c>
      <c r="J5" s="388">
        <f>IFERROR(I5/H5,"-")</f>
        <v>1.1101143754204978</v>
      </c>
      <c r="K5" s="382">
        <v>1450.8</v>
      </c>
      <c r="L5" s="388">
        <f>IFERROR(K5/H5,"-")</f>
        <v>1.0845481049562682</v>
      </c>
      <c r="M5" s="382">
        <v>0</v>
      </c>
      <c r="N5" s="388">
        <f>IFERROR(M5/H5,"-")</f>
        <v>0</v>
      </c>
      <c r="O5" s="389">
        <f>IFERROR(K5+M5,"-")</f>
        <v>1450.8</v>
      </c>
      <c r="P5" s="388">
        <f>IFERROR(O5/H5,"-")</f>
        <v>1.0845481049562682</v>
      </c>
      <c r="Q5" s="383">
        <v>89.2</v>
      </c>
      <c r="R5" s="388">
        <f>IFERROR(Q5/H5,"-")</f>
        <v>6.6681617702025867E-2</v>
      </c>
      <c r="S5" s="395">
        <f>IFERROR(Q5*G5,"-")</f>
        <v>9678.2000000000007</v>
      </c>
      <c r="T5" s="389">
        <f>IFERROR(O5-H5,"-")</f>
        <v>113.09999999999991</v>
      </c>
      <c r="U5" s="388">
        <f>IFERROR(T5/H5,"-")</f>
        <v>8.4548104956268147E-2</v>
      </c>
      <c r="V5" s="221" t="s">
        <v>206</v>
      </c>
      <c r="W5" s="221" t="s">
        <v>156</v>
      </c>
      <c r="X5" s="221" t="s">
        <v>156</v>
      </c>
      <c r="Y5" s="221" t="s">
        <v>158</v>
      </c>
      <c r="Z5" s="221">
        <v>1</v>
      </c>
      <c r="AA5" s="223" t="s">
        <v>125</v>
      </c>
      <c r="AC5" s="640"/>
      <c r="AD5" s="641"/>
      <c r="AE5" s="641"/>
      <c r="AF5" s="641"/>
      <c r="AG5" s="641"/>
      <c r="AH5" s="641"/>
      <c r="AI5" s="641"/>
      <c r="AJ5" s="642"/>
    </row>
    <row r="6" spans="2:36" s="219" customFormat="1" ht="27" customHeight="1" x14ac:dyDescent="0.2">
      <c r="B6" s="620"/>
      <c r="C6" s="621"/>
      <c r="D6" s="217">
        <v>2</v>
      </c>
      <c r="E6" s="386" t="s">
        <v>157</v>
      </c>
      <c r="F6" s="390">
        <f t="shared" ref="F6:F24" si="0">IFERROR(T6*G6,"-")</f>
        <v>5469.339999999981</v>
      </c>
      <c r="G6" s="383">
        <v>140.6</v>
      </c>
      <c r="H6" s="383">
        <v>1508.2</v>
      </c>
      <c r="I6" s="382">
        <v>1440</v>
      </c>
      <c r="J6" s="388">
        <f t="shared" ref="J6:J24" si="1">IFERROR(I6/H6,"-")</f>
        <v>0.95478053308579758</v>
      </c>
      <c r="K6" s="382">
        <v>1547.1</v>
      </c>
      <c r="L6" s="388">
        <f t="shared" ref="L6:L24" si="2">IFERROR(K6/H6,"-")</f>
        <v>1.0257923352340537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1547.1</v>
      </c>
      <c r="P6" s="388">
        <f t="shared" ref="P6:P24" si="5">IFERROR(O6/H6,"-")</f>
        <v>1.0257923352340537</v>
      </c>
      <c r="Q6" s="383">
        <v>41.6</v>
      </c>
      <c r="R6" s="388">
        <f t="shared" ref="R6:R24" si="6">IFERROR(Q6/H6,"-")</f>
        <v>2.7582548733589708E-2</v>
      </c>
      <c r="S6" s="395">
        <f t="shared" ref="S6:S24" si="7">IFERROR(Q6*G6,"-")</f>
        <v>5848.96</v>
      </c>
      <c r="T6" s="389">
        <f t="shared" ref="T6:T24" si="8">IFERROR(O6-H6,"-")</f>
        <v>38.899999999999864</v>
      </c>
      <c r="U6" s="388">
        <f t="shared" ref="U6:U24" si="9">IFERROR(T6/H6,"-")</f>
        <v>2.5792335234053748E-2</v>
      </c>
      <c r="V6" s="221" t="s">
        <v>206</v>
      </c>
      <c r="W6" s="221" t="s">
        <v>156</v>
      </c>
      <c r="X6" s="221" t="s">
        <v>156</v>
      </c>
      <c r="Y6" s="221" t="s">
        <v>158</v>
      </c>
      <c r="Z6" s="221">
        <v>1</v>
      </c>
      <c r="AA6" s="223" t="s">
        <v>115</v>
      </c>
      <c r="AC6" s="167" t="s">
        <v>208</v>
      </c>
      <c r="AD6" s="167" t="s">
        <v>156</v>
      </c>
      <c r="AE6" s="218" t="s">
        <v>209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20"/>
      <c r="C7" s="621"/>
      <c r="D7" s="217">
        <v>3</v>
      </c>
      <c r="E7" s="386" t="s">
        <v>162</v>
      </c>
      <c r="F7" s="390">
        <f t="shared" si="0"/>
        <v>4926.5999999999995</v>
      </c>
      <c r="G7" s="383">
        <v>193.2</v>
      </c>
      <c r="H7" s="383">
        <v>1323.6</v>
      </c>
      <c r="I7" s="382">
        <v>1284</v>
      </c>
      <c r="J7" s="388">
        <f t="shared" si="1"/>
        <v>0.97008159564823215</v>
      </c>
      <c r="K7" s="382">
        <v>1349.1</v>
      </c>
      <c r="L7" s="388">
        <f t="shared" si="2"/>
        <v>1.0192656391659112</v>
      </c>
      <c r="M7" s="382">
        <v>0</v>
      </c>
      <c r="N7" s="388">
        <f t="shared" si="3"/>
        <v>0</v>
      </c>
      <c r="O7" s="389">
        <f t="shared" si="4"/>
        <v>1349.1</v>
      </c>
      <c r="P7" s="388">
        <f t="shared" si="5"/>
        <v>1.0192656391659112</v>
      </c>
      <c r="Q7" s="383">
        <v>13.6</v>
      </c>
      <c r="R7" s="388">
        <f t="shared" si="6"/>
        <v>1.0275007555152614E-2</v>
      </c>
      <c r="S7" s="395">
        <f t="shared" si="7"/>
        <v>2627.52</v>
      </c>
      <c r="T7" s="389">
        <f t="shared" si="8"/>
        <v>25.5</v>
      </c>
      <c r="U7" s="388">
        <f t="shared" si="9"/>
        <v>1.9265639165911154E-2</v>
      </c>
      <c r="V7" s="221" t="s">
        <v>206</v>
      </c>
      <c r="W7" s="221" t="s">
        <v>156</v>
      </c>
      <c r="X7" s="221" t="s">
        <v>156</v>
      </c>
      <c r="Y7" s="221" t="s">
        <v>158</v>
      </c>
      <c r="Z7" s="221">
        <v>1</v>
      </c>
      <c r="AA7" s="223" t="s">
        <v>161</v>
      </c>
      <c r="AC7" s="391">
        <f>SUM(Z5:Z24)</f>
        <v>20</v>
      </c>
      <c r="AD7" s="222">
        <f>SUMIF($W$5:$W$24,TRIM(AD6),$Z$5:$Z$24)</f>
        <v>17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3</v>
      </c>
      <c r="AH7" s="222">
        <f t="shared" si="10"/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20"/>
      <c r="C8" s="621"/>
      <c r="D8" s="217">
        <v>4</v>
      </c>
      <c r="E8" s="386" t="s">
        <v>210</v>
      </c>
      <c r="F8" s="390">
        <f t="shared" si="0"/>
        <v>4747.680000000023</v>
      </c>
      <c r="G8" s="383">
        <v>125.6</v>
      </c>
      <c r="H8" s="383">
        <v>2554.1999999999998</v>
      </c>
      <c r="I8" s="382">
        <v>2394</v>
      </c>
      <c r="J8" s="388">
        <f t="shared" si="1"/>
        <v>0.93727977448907684</v>
      </c>
      <c r="K8" s="382">
        <v>2592</v>
      </c>
      <c r="L8" s="388">
        <f t="shared" si="2"/>
        <v>1.0147991543340382</v>
      </c>
      <c r="M8" s="382">
        <v>0</v>
      </c>
      <c r="N8" s="388">
        <f t="shared" si="3"/>
        <v>0</v>
      </c>
      <c r="O8" s="389">
        <f t="shared" si="4"/>
        <v>2592</v>
      </c>
      <c r="P8" s="388">
        <f t="shared" si="5"/>
        <v>1.0147991543340382</v>
      </c>
      <c r="Q8" s="383">
        <v>31.1</v>
      </c>
      <c r="R8" s="388">
        <f t="shared" si="6"/>
        <v>1.2176023803930782E-2</v>
      </c>
      <c r="S8" s="395">
        <f t="shared" si="7"/>
        <v>3906.16</v>
      </c>
      <c r="T8" s="389">
        <f t="shared" si="8"/>
        <v>37.800000000000182</v>
      </c>
      <c r="U8" s="388">
        <f t="shared" si="9"/>
        <v>1.4799154334038127E-2</v>
      </c>
      <c r="V8" s="221" t="s">
        <v>206</v>
      </c>
      <c r="W8" s="221" t="s">
        <v>156</v>
      </c>
      <c r="X8" s="221" t="s">
        <v>156</v>
      </c>
      <c r="Y8" s="221" t="s">
        <v>158</v>
      </c>
      <c r="Z8" s="221">
        <v>1</v>
      </c>
      <c r="AA8" s="223" t="s">
        <v>127</v>
      </c>
      <c r="AC8" s="392" t="s">
        <v>141</v>
      </c>
      <c r="AD8" s="393">
        <f>SUMIF($W5:$W$24,TRIM(AD6),$F$5:$F$24)</f>
        <v>50319.709999999955</v>
      </c>
      <c r="AE8" s="393">
        <f>SUMIF($W5:$W$24,TRIM(AE6),$F$5:$F$24)</f>
        <v>0</v>
      </c>
      <c r="AF8" s="393">
        <f>SUMIF($W5:$W$24,TRIM(AF6),$F$5:$F$24)</f>
        <v>0</v>
      </c>
      <c r="AG8" s="393">
        <f>SUMIF($W5:$W$24,TRIM(AG6),$F$5:$F$24)</f>
        <v>7464.2400000000198</v>
      </c>
      <c r="AH8" s="393">
        <f>SUMIF($W5:$W$24,TRIM(AH6),$F$5:$F$24)</f>
        <v>0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20"/>
      <c r="C9" s="621"/>
      <c r="D9" s="217">
        <v>5</v>
      </c>
      <c r="E9" s="386" t="s">
        <v>173</v>
      </c>
      <c r="F9" s="390">
        <f t="shared" si="0"/>
        <v>3947.4399999999951</v>
      </c>
      <c r="G9" s="383">
        <v>296.8</v>
      </c>
      <c r="H9" s="383">
        <v>118.9</v>
      </c>
      <c r="I9" s="382">
        <v>132</v>
      </c>
      <c r="J9" s="388">
        <f t="shared" si="1"/>
        <v>1.1101766190075693</v>
      </c>
      <c r="K9" s="382">
        <v>132.19999999999999</v>
      </c>
      <c r="L9" s="388">
        <f t="shared" si="2"/>
        <v>1.1118587047939443</v>
      </c>
      <c r="M9" s="382">
        <v>0</v>
      </c>
      <c r="N9" s="388">
        <f t="shared" si="3"/>
        <v>0</v>
      </c>
      <c r="O9" s="389">
        <f t="shared" si="4"/>
        <v>132.19999999999999</v>
      </c>
      <c r="P9" s="388">
        <f t="shared" si="5"/>
        <v>1.1118587047939443</v>
      </c>
      <c r="Q9" s="383">
        <v>13</v>
      </c>
      <c r="R9" s="388">
        <f t="shared" si="6"/>
        <v>0.10933557611438183</v>
      </c>
      <c r="S9" s="395">
        <f t="shared" si="7"/>
        <v>3858.4</v>
      </c>
      <c r="T9" s="389">
        <f t="shared" si="8"/>
        <v>13.299999999999983</v>
      </c>
      <c r="U9" s="388">
        <f t="shared" si="9"/>
        <v>0.11185870479394434</v>
      </c>
      <c r="V9" s="221" t="s">
        <v>206</v>
      </c>
      <c r="W9" s="221" t="s">
        <v>156</v>
      </c>
      <c r="X9" s="221" t="s">
        <v>156</v>
      </c>
      <c r="Y9" s="221" t="s">
        <v>158</v>
      </c>
      <c r="Z9" s="221">
        <v>1</v>
      </c>
      <c r="AA9" s="223" t="s">
        <v>125</v>
      </c>
      <c r="AC9" s="217" t="s">
        <v>213</v>
      </c>
      <c r="AD9" s="394">
        <f t="shared" ref="AD9:AJ9" si="11">AD7/$AC7</f>
        <v>0.85</v>
      </c>
      <c r="AE9" s="394">
        <f t="shared" si="11"/>
        <v>0</v>
      </c>
      <c r="AF9" s="394">
        <f t="shared" si="11"/>
        <v>0</v>
      </c>
      <c r="AG9" s="394">
        <f t="shared" si="11"/>
        <v>0.15</v>
      </c>
      <c r="AH9" s="394">
        <f t="shared" si="11"/>
        <v>0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20"/>
      <c r="C10" s="621"/>
      <c r="D10" s="217">
        <v>6</v>
      </c>
      <c r="E10" s="386" t="s">
        <v>217</v>
      </c>
      <c r="F10" s="390">
        <f t="shared" si="0"/>
        <v>3847.8000000000075</v>
      </c>
      <c r="G10" s="383">
        <v>159</v>
      </c>
      <c r="H10" s="383">
        <v>1415</v>
      </c>
      <c r="I10" s="382">
        <v>1380</v>
      </c>
      <c r="J10" s="388">
        <f t="shared" si="1"/>
        <v>0.97526501766784457</v>
      </c>
      <c r="K10" s="382">
        <v>1414.8</v>
      </c>
      <c r="L10" s="388">
        <f t="shared" si="2"/>
        <v>0.99985865724381617</v>
      </c>
      <c r="M10" s="382">
        <v>24.4</v>
      </c>
      <c r="N10" s="388">
        <f t="shared" si="3"/>
        <v>1.7243816254416962E-2</v>
      </c>
      <c r="O10" s="389">
        <f t="shared" si="4"/>
        <v>1439.2</v>
      </c>
      <c r="P10" s="388">
        <f t="shared" si="5"/>
        <v>1.0171024734982332</v>
      </c>
      <c r="Q10" s="383">
        <v>15.4</v>
      </c>
      <c r="R10" s="388">
        <f t="shared" si="6"/>
        <v>1.0883392226148409E-2</v>
      </c>
      <c r="S10" s="395">
        <f t="shared" si="7"/>
        <v>2448.6</v>
      </c>
      <c r="T10" s="389">
        <f t="shared" si="8"/>
        <v>24.200000000000045</v>
      </c>
      <c r="U10" s="388">
        <f t="shared" si="9"/>
        <v>1.7102473498233246E-2</v>
      </c>
      <c r="V10" s="221" t="s">
        <v>211</v>
      </c>
      <c r="W10" s="221" t="s">
        <v>140</v>
      </c>
      <c r="X10" s="220" t="s">
        <v>143</v>
      </c>
      <c r="Y10" s="221" t="s">
        <v>212</v>
      </c>
      <c r="Z10" s="221">
        <v>1</v>
      </c>
      <c r="AA10" s="223" t="s">
        <v>122</v>
      </c>
    </row>
    <row r="11" spans="2:36" s="219" customFormat="1" ht="27" customHeight="1" x14ac:dyDescent="0.2">
      <c r="B11" s="620"/>
      <c r="C11" s="621"/>
      <c r="D11" s="217">
        <v>7</v>
      </c>
      <c r="E11" s="386" t="s">
        <v>160</v>
      </c>
      <c r="F11" s="390">
        <f t="shared" si="0"/>
        <v>3318</v>
      </c>
      <c r="G11" s="383">
        <v>118.5</v>
      </c>
      <c r="H11" s="383">
        <v>833.1</v>
      </c>
      <c r="I11" s="382">
        <v>777</v>
      </c>
      <c r="J11" s="388">
        <f t="shared" si="1"/>
        <v>0.93266114512063381</v>
      </c>
      <c r="K11" s="382">
        <v>861.1</v>
      </c>
      <c r="L11" s="388">
        <f t="shared" si="2"/>
        <v>1.0336094106349778</v>
      </c>
      <c r="M11" s="382">
        <v>0</v>
      </c>
      <c r="N11" s="388">
        <f t="shared" si="3"/>
        <v>0</v>
      </c>
      <c r="O11" s="389">
        <f t="shared" si="4"/>
        <v>861.1</v>
      </c>
      <c r="P11" s="388">
        <f t="shared" si="5"/>
        <v>1.0336094106349778</v>
      </c>
      <c r="Q11" s="383">
        <v>23.4</v>
      </c>
      <c r="R11" s="388">
        <f t="shared" si="6"/>
        <v>2.8087864602088581E-2</v>
      </c>
      <c r="S11" s="395">
        <f t="shared" si="7"/>
        <v>2772.8999999999996</v>
      </c>
      <c r="T11" s="389">
        <f t="shared" si="8"/>
        <v>28</v>
      </c>
      <c r="U11" s="388">
        <f t="shared" si="9"/>
        <v>3.3609410634977792E-2</v>
      </c>
      <c r="V11" s="221" t="s">
        <v>206</v>
      </c>
      <c r="W11" s="221" t="s">
        <v>156</v>
      </c>
      <c r="X11" s="221" t="s">
        <v>156</v>
      </c>
      <c r="Y11" s="221" t="s">
        <v>158</v>
      </c>
      <c r="Z11" s="221">
        <v>1</v>
      </c>
      <c r="AA11" s="223" t="s">
        <v>159</v>
      </c>
    </row>
    <row r="12" spans="2:36" s="219" customFormat="1" ht="27" customHeight="1" x14ac:dyDescent="0.2">
      <c r="B12" s="620"/>
      <c r="C12" s="621"/>
      <c r="D12" s="217">
        <v>8</v>
      </c>
      <c r="E12" s="386" t="s">
        <v>171</v>
      </c>
      <c r="F12" s="390">
        <f t="shared" si="0"/>
        <v>2648.2299999999427</v>
      </c>
      <c r="G12" s="383">
        <v>156.69999999999999</v>
      </c>
      <c r="H12" s="383">
        <v>4391.8</v>
      </c>
      <c r="I12" s="382">
        <v>3996</v>
      </c>
      <c r="J12" s="388">
        <f t="shared" si="1"/>
        <v>0.90987749897536319</v>
      </c>
      <c r="K12" s="382">
        <v>4408.7</v>
      </c>
      <c r="L12" s="388">
        <f t="shared" si="2"/>
        <v>1.0038480805136845</v>
      </c>
      <c r="M12" s="382">
        <v>0</v>
      </c>
      <c r="N12" s="388">
        <f t="shared" si="3"/>
        <v>0</v>
      </c>
      <c r="O12" s="389">
        <f t="shared" si="4"/>
        <v>4408.7</v>
      </c>
      <c r="P12" s="388">
        <f t="shared" si="5"/>
        <v>1.0038480805136845</v>
      </c>
      <c r="Q12" s="383">
        <v>17.399999999999999</v>
      </c>
      <c r="R12" s="388">
        <f t="shared" si="6"/>
        <v>3.9619290495924216E-3</v>
      </c>
      <c r="S12" s="395">
        <f t="shared" si="7"/>
        <v>2726.5799999999995</v>
      </c>
      <c r="T12" s="389">
        <f t="shared" si="8"/>
        <v>16.899999999999636</v>
      </c>
      <c r="U12" s="388">
        <f t="shared" si="9"/>
        <v>3.848080513684511E-3</v>
      </c>
      <c r="V12" s="221" t="s">
        <v>206</v>
      </c>
      <c r="W12" s="221" t="s">
        <v>156</v>
      </c>
      <c r="X12" s="221" t="s">
        <v>156</v>
      </c>
      <c r="Y12" s="221" t="s">
        <v>158</v>
      </c>
      <c r="Z12" s="221">
        <v>1</v>
      </c>
      <c r="AA12" s="223" t="s">
        <v>112</v>
      </c>
      <c r="AD12" s="399" t="s">
        <v>214</v>
      </c>
    </row>
    <row r="13" spans="2:36" s="219" customFormat="1" ht="27" customHeight="1" x14ac:dyDescent="0.2">
      <c r="B13" s="620"/>
      <c r="C13" s="621"/>
      <c r="D13" s="217">
        <v>9</v>
      </c>
      <c r="E13" s="386" t="s">
        <v>227</v>
      </c>
      <c r="F13" s="390">
        <f t="shared" si="0"/>
        <v>2497.0400000000132</v>
      </c>
      <c r="G13" s="383">
        <v>36.4</v>
      </c>
      <c r="H13" s="383">
        <v>8392.2000000000007</v>
      </c>
      <c r="I13" s="382">
        <v>7866</v>
      </c>
      <c r="J13" s="388">
        <f t="shared" si="1"/>
        <v>0.93729892042610985</v>
      </c>
      <c r="K13" s="382">
        <v>8402.2000000000007</v>
      </c>
      <c r="L13" s="388">
        <f t="shared" si="2"/>
        <v>1.0011915826600892</v>
      </c>
      <c r="M13" s="382">
        <v>58.6</v>
      </c>
      <c r="N13" s="388">
        <f t="shared" si="3"/>
        <v>6.9826743881223037E-3</v>
      </c>
      <c r="O13" s="389">
        <f t="shared" si="4"/>
        <v>8460.8000000000011</v>
      </c>
      <c r="P13" s="388">
        <f t="shared" si="5"/>
        <v>1.0081742570482115</v>
      </c>
      <c r="Q13" s="383">
        <v>10.6</v>
      </c>
      <c r="R13" s="388">
        <f t="shared" si="6"/>
        <v>1.2630776196944781E-3</v>
      </c>
      <c r="S13" s="395">
        <f t="shared" si="7"/>
        <v>385.84</v>
      </c>
      <c r="T13" s="389">
        <f t="shared" si="8"/>
        <v>68.600000000000364</v>
      </c>
      <c r="U13" s="388">
        <f t="shared" si="9"/>
        <v>8.1742570482114772E-3</v>
      </c>
      <c r="V13" s="221" t="s">
        <v>211</v>
      </c>
      <c r="W13" s="221" t="s">
        <v>140</v>
      </c>
      <c r="X13" s="220" t="s">
        <v>143</v>
      </c>
      <c r="Y13" s="221" t="s">
        <v>212</v>
      </c>
      <c r="Z13" s="221">
        <v>1</v>
      </c>
      <c r="AA13" s="223" t="s">
        <v>127</v>
      </c>
      <c r="AD13" s="399" t="s">
        <v>211</v>
      </c>
    </row>
    <row r="14" spans="2:36" s="219" customFormat="1" ht="27" customHeight="1" x14ac:dyDescent="0.2">
      <c r="B14" s="620"/>
      <c r="C14" s="621"/>
      <c r="D14" s="217">
        <v>10</v>
      </c>
      <c r="E14" s="386" t="s">
        <v>220</v>
      </c>
      <c r="F14" s="390">
        <f t="shared" si="0"/>
        <v>2103.1199999999981</v>
      </c>
      <c r="G14" s="383">
        <v>82.8</v>
      </c>
      <c r="H14" s="383">
        <v>624</v>
      </c>
      <c r="I14" s="382">
        <v>623.4</v>
      </c>
      <c r="J14" s="388">
        <f t="shared" si="1"/>
        <v>0.99903846153846154</v>
      </c>
      <c r="K14" s="382">
        <v>649.4</v>
      </c>
      <c r="L14" s="388">
        <f t="shared" si="2"/>
        <v>1.0407051282051281</v>
      </c>
      <c r="M14" s="382">
        <v>0</v>
      </c>
      <c r="N14" s="388">
        <f t="shared" si="3"/>
        <v>0</v>
      </c>
      <c r="O14" s="389">
        <f t="shared" si="4"/>
        <v>649.4</v>
      </c>
      <c r="P14" s="388">
        <f t="shared" si="5"/>
        <v>1.0407051282051281</v>
      </c>
      <c r="Q14" s="383">
        <v>17.8</v>
      </c>
      <c r="R14" s="388">
        <f t="shared" si="6"/>
        <v>2.8525641025641028E-2</v>
      </c>
      <c r="S14" s="395">
        <f t="shared" si="7"/>
        <v>1473.84</v>
      </c>
      <c r="T14" s="389">
        <f t="shared" si="8"/>
        <v>25.399999999999977</v>
      </c>
      <c r="U14" s="388">
        <f t="shared" si="9"/>
        <v>4.0705128205128172E-2</v>
      </c>
      <c r="V14" s="221" t="s">
        <v>206</v>
      </c>
      <c r="W14" s="221" t="s">
        <v>156</v>
      </c>
      <c r="X14" s="221" t="s">
        <v>156</v>
      </c>
      <c r="Y14" s="221" t="s">
        <v>158</v>
      </c>
      <c r="Z14" s="221">
        <v>1</v>
      </c>
      <c r="AA14" s="223" t="s">
        <v>221</v>
      </c>
      <c r="AD14" s="399" t="s">
        <v>219</v>
      </c>
    </row>
    <row r="15" spans="2:36" s="219" customFormat="1" ht="27" customHeight="1" x14ac:dyDescent="0.2">
      <c r="B15" s="620"/>
      <c r="C15" s="621"/>
      <c r="D15" s="217">
        <v>11</v>
      </c>
      <c r="E15" s="386" t="s">
        <v>218</v>
      </c>
      <c r="F15" s="390">
        <f t="shared" si="0"/>
        <v>1701.8</v>
      </c>
      <c r="G15" s="383">
        <v>850.9</v>
      </c>
      <c r="H15" s="383">
        <v>59.5</v>
      </c>
      <c r="I15" s="382">
        <v>55.5</v>
      </c>
      <c r="J15" s="388">
        <f t="shared" si="1"/>
        <v>0.9327731092436975</v>
      </c>
      <c r="K15" s="382">
        <v>61.5</v>
      </c>
      <c r="L15" s="388">
        <f t="shared" si="2"/>
        <v>1.0336134453781514</v>
      </c>
      <c r="M15" s="382">
        <v>0</v>
      </c>
      <c r="N15" s="388">
        <f t="shared" si="3"/>
        <v>0</v>
      </c>
      <c r="O15" s="389">
        <f t="shared" si="4"/>
        <v>61.5</v>
      </c>
      <c r="P15" s="388">
        <f t="shared" si="5"/>
        <v>1.0336134453781514</v>
      </c>
      <c r="Q15" s="383">
        <v>2</v>
      </c>
      <c r="R15" s="388">
        <f t="shared" si="6"/>
        <v>3.3613445378151259E-2</v>
      </c>
      <c r="S15" s="395">
        <f t="shared" si="7"/>
        <v>1701.8</v>
      </c>
      <c r="T15" s="389">
        <f t="shared" si="8"/>
        <v>2</v>
      </c>
      <c r="U15" s="388">
        <f t="shared" si="9"/>
        <v>3.3613445378151259E-2</v>
      </c>
      <c r="V15" s="221" t="s">
        <v>206</v>
      </c>
      <c r="W15" s="221" t="s">
        <v>156</v>
      </c>
      <c r="X15" s="220" t="s">
        <v>156</v>
      </c>
      <c r="Y15" s="221" t="s">
        <v>158</v>
      </c>
      <c r="Z15" s="221">
        <v>1</v>
      </c>
      <c r="AA15" s="223" t="s">
        <v>159</v>
      </c>
      <c r="AD15" s="399" t="s">
        <v>206</v>
      </c>
      <c r="AE15" s="225"/>
    </row>
    <row r="16" spans="2:36" s="219" customFormat="1" ht="27" customHeight="1" x14ac:dyDescent="0.2">
      <c r="B16" s="620"/>
      <c r="C16" s="621"/>
      <c r="D16" s="217">
        <v>12</v>
      </c>
      <c r="E16" s="386" t="s">
        <v>170</v>
      </c>
      <c r="F16" s="390">
        <f t="shared" si="0"/>
        <v>1607.840000000014</v>
      </c>
      <c r="G16" s="383">
        <v>77.3</v>
      </c>
      <c r="H16" s="383">
        <v>4156.3</v>
      </c>
      <c r="I16" s="382">
        <v>3876</v>
      </c>
      <c r="J16" s="388">
        <f t="shared" si="1"/>
        <v>0.93256020980198728</v>
      </c>
      <c r="K16" s="382">
        <v>4177.1000000000004</v>
      </c>
      <c r="L16" s="388">
        <f t="shared" si="2"/>
        <v>1.0050044510742728</v>
      </c>
      <c r="M16" s="382">
        <v>0</v>
      </c>
      <c r="N16" s="388">
        <f t="shared" si="3"/>
        <v>0</v>
      </c>
      <c r="O16" s="389">
        <f t="shared" si="4"/>
        <v>4177.1000000000004</v>
      </c>
      <c r="P16" s="388">
        <f t="shared" si="5"/>
        <v>1.0050044510742728</v>
      </c>
      <c r="Q16" s="383">
        <v>14.4</v>
      </c>
      <c r="R16" s="388">
        <f t="shared" si="6"/>
        <v>3.4646199744965472E-3</v>
      </c>
      <c r="S16" s="395">
        <f t="shared" si="7"/>
        <v>1113.1199999999999</v>
      </c>
      <c r="T16" s="389">
        <f t="shared" si="8"/>
        <v>20.800000000000182</v>
      </c>
      <c r="U16" s="388">
        <f t="shared" si="9"/>
        <v>5.0044510742728344E-3</v>
      </c>
      <c r="V16" s="221" t="s">
        <v>206</v>
      </c>
      <c r="W16" s="221" t="s">
        <v>156</v>
      </c>
      <c r="X16" s="221" t="s">
        <v>156</v>
      </c>
      <c r="Y16" s="221" t="s">
        <v>158</v>
      </c>
      <c r="Z16" s="221">
        <v>1</v>
      </c>
      <c r="AA16" s="223" t="s">
        <v>169</v>
      </c>
      <c r="AD16" s="399" t="s">
        <v>222</v>
      </c>
    </row>
    <row r="17" spans="2:27" s="219" customFormat="1" ht="27" customHeight="1" x14ac:dyDescent="0.2">
      <c r="B17" s="620"/>
      <c r="C17" s="621"/>
      <c r="D17" s="217">
        <v>13</v>
      </c>
      <c r="E17" s="386" t="s">
        <v>232</v>
      </c>
      <c r="F17" s="390">
        <f t="shared" si="0"/>
        <v>1281.2799999999982</v>
      </c>
      <c r="G17" s="383">
        <v>100.1</v>
      </c>
      <c r="H17" s="383">
        <v>221.9</v>
      </c>
      <c r="I17" s="382">
        <v>223.2</v>
      </c>
      <c r="J17" s="388">
        <f t="shared" si="1"/>
        <v>1.0058584948174853</v>
      </c>
      <c r="K17" s="382">
        <v>234.7</v>
      </c>
      <c r="L17" s="388">
        <f t="shared" si="2"/>
        <v>1.0576836412798558</v>
      </c>
      <c r="M17" s="382">
        <v>0</v>
      </c>
      <c r="N17" s="388">
        <f t="shared" si="3"/>
        <v>0</v>
      </c>
      <c r="O17" s="389">
        <f t="shared" si="4"/>
        <v>234.7</v>
      </c>
      <c r="P17" s="388">
        <f t="shared" si="5"/>
        <v>1.0576836412798558</v>
      </c>
      <c r="Q17" s="383">
        <v>1</v>
      </c>
      <c r="R17" s="388">
        <f t="shared" si="6"/>
        <v>4.5065344749887336E-3</v>
      </c>
      <c r="S17" s="395">
        <f t="shared" si="7"/>
        <v>100.1</v>
      </c>
      <c r="T17" s="389">
        <f t="shared" si="8"/>
        <v>12.799999999999983</v>
      </c>
      <c r="U17" s="388">
        <f t="shared" si="9"/>
        <v>5.7683641279855716E-2</v>
      </c>
      <c r="V17" s="221" t="s">
        <v>206</v>
      </c>
      <c r="W17" s="221" t="s">
        <v>156</v>
      </c>
      <c r="X17" s="220" t="s">
        <v>156</v>
      </c>
      <c r="Y17" s="221" t="s">
        <v>158</v>
      </c>
      <c r="Z17" s="221">
        <v>1</v>
      </c>
      <c r="AA17" s="223" t="s">
        <v>221</v>
      </c>
    </row>
    <row r="18" spans="2:27" s="219" customFormat="1" ht="27" customHeight="1" x14ac:dyDescent="0.2">
      <c r="B18" s="620"/>
      <c r="C18" s="621"/>
      <c r="D18" s="217">
        <v>14</v>
      </c>
      <c r="E18" s="386" t="s">
        <v>163</v>
      </c>
      <c r="F18" s="390">
        <f t="shared" si="0"/>
        <v>1203.3000000000022</v>
      </c>
      <c r="G18" s="383">
        <v>95.5</v>
      </c>
      <c r="H18" s="383">
        <v>962</v>
      </c>
      <c r="I18" s="382">
        <v>962.5</v>
      </c>
      <c r="J18" s="388">
        <f t="shared" si="1"/>
        <v>1.0005197505197505</v>
      </c>
      <c r="K18" s="382">
        <v>974.6</v>
      </c>
      <c r="L18" s="388">
        <f t="shared" si="2"/>
        <v>1.013097713097713</v>
      </c>
      <c r="M18" s="382">
        <v>0</v>
      </c>
      <c r="N18" s="388">
        <f t="shared" si="3"/>
        <v>0</v>
      </c>
      <c r="O18" s="389">
        <f t="shared" si="4"/>
        <v>974.6</v>
      </c>
      <c r="P18" s="388">
        <f t="shared" si="5"/>
        <v>1.013097713097713</v>
      </c>
      <c r="Q18" s="383">
        <v>12.9</v>
      </c>
      <c r="R18" s="388">
        <f t="shared" si="6"/>
        <v>1.340956340956341E-2</v>
      </c>
      <c r="S18" s="395">
        <f t="shared" si="7"/>
        <v>1231.95</v>
      </c>
      <c r="T18" s="389">
        <f t="shared" si="8"/>
        <v>12.600000000000023</v>
      </c>
      <c r="U18" s="388">
        <f t="shared" si="9"/>
        <v>1.3097713097713121E-2</v>
      </c>
      <c r="V18" s="221" t="s">
        <v>206</v>
      </c>
      <c r="W18" s="221" t="s">
        <v>156</v>
      </c>
      <c r="X18" s="220" t="s">
        <v>156</v>
      </c>
      <c r="Y18" s="220" t="s">
        <v>158</v>
      </c>
      <c r="Z18" s="221">
        <v>1</v>
      </c>
      <c r="AA18" s="223" t="s">
        <v>117</v>
      </c>
    </row>
    <row r="19" spans="2:27" s="219" customFormat="1" ht="27" customHeight="1" x14ac:dyDescent="0.2">
      <c r="B19" s="620"/>
      <c r="C19" s="621"/>
      <c r="D19" s="217">
        <v>15</v>
      </c>
      <c r="E19" s="386" t="s">
        <v>171</v>
      </c>
      <c r="F19" s="390">
        <f t="shared" si="0"/>
        <v>1197.8000000000072</v>
      </c>
      <c r="G19" s="383">
        <v>106</v>
      </c>
      <c r="H19" s="383">
        <v>624.9</v>
      </c>
      <c r="I19" s="382">
        <v>540</v>
      </c>
      <c r="J19" s="388">
        <f t="shared" si="1"/>
        <v>0.86413826212193956</v>
      </c>
      <c r="K19" s="382">
        <v>636.20000000000005</v>
      </c>
      <c r="L19" s="388">
        <f t="shared" si="2"/>
        <v>1.0180828932629222</v>
      </c>
      <c r="M19" s="382">
        <v>0</v>
      </c>
      <c r="N19" s="388">
        <f t="shared" si="3"/>
        <v>0</v>
      </c>
      <c r="O19" s="389">
        <f t="shared" si="4"/>
        <v>636.20000000000005</v>
      </c>
      <c r="P19" s="388">
        <f t="shared" si="5"/>
        <v>1.0180828932629222</v>
      </c>
      <c r="Q19" s="383">
        <v>8.6</v>
      </c>
      <c r="R19" s="388">
        <f t="shared" si="6"/>
        <v>1.376220195231237E-2</v>
      </c>
      <c r="S19" s="395">
        <f t="shared" si="7"/>
        <v>911.59999999999991</v>
      </c>
      <c r="T19" s="389">
        <f t="shared" si="8"/>
        <v>11.300000000000068</v>
      </c>
      <c r="U19" s="388">
        <f t="shared" si="9"/>
        <v>1.8082893262922176E-2</v>
      </c>
      <c r="V19" s="221" t="s">
        <v>206</v>
      </c>
      <c r="W19" s="221" t="s">
        <v>156</v>
      </c>
      <c r="X19" s="220" t="s">
        <v>156</v>
      </c>
      <c r="Y19" s="221" t="s">
        <v>158</v>
      </c>
      <c r="Z19" s="221">
        <v>1</v>
      </c>
      <c r="AA19" s="223" t="s">
        <v>224</v>
      </c>
    </row>
    <row r="20" spans="2:27" s="219" customFormat="1" ht="27" customHeight="1" x14ac:dyDescent="0.2">
      <c r="B20" s="620"/>
      <c r="C20" s="621"/>
      <c r="D20" s="217">
        <v>16</v>
      </c>
      <c r="E20" s="386" t="s">
        <v>228</v>
      </c>
      <c r="F20" s="390">
        <f t="shared" si="0"/>
        <v>1119.4000000000001</v>
      </c>
      <c r="G20" s="383">
        <v>77.2</v>
      </c>
      <c r="H20" s="383">
        <v>2441.6999999999998</v>
      </c>
      <c r="I20" s="382">
        <v>2415</v>
      </c>
      <c r="J20" s="388">
        <f t="shared" si="1"/>
        <v>0.98906499569971751</v>
      </c>
      <c r="K20" s="382">
        <v>2444</v>
      </c>
      <c r="L20" s="388">
        <f t="shared" si="2"/>
        <v>1.0009419666625712</v>
      </c>
      <c r="M20" s="382">
        <v>12.2</v>
      </c>
      <c r="N20" s="388">
        <f t="shared" si="3"/>
        <v>4.9965188188557151E-3</v>
      </c>
      <c r="O20" s="389">
        <f t="shared" si="4"/>
        <v>2456.1999999999998</v>
      </c>
      <c r="P20" s="388">
        <f t="shared" si="5"/>
        <v>1.0059384854814268</v>
      </c>
      <c r="Q20" s="383">
        <v>3</v>
      </c>
      <c r="R20" s="388">
        <f t="shared" si="6"/>
        <v>1.2286521685710777E-3</v>
      </c>
      <c r="S20" s="395">
        <f t="shared" si="7"/>
        <v>231.60000000000002</v>
      </c>
      <c r="T20" s="389">
        <f t="shared" si="8"/>
        <v>14.5</v>
      </c>
      <c r="U20" s="388">
        <f t="shared" si="9"/>
        <v>5.9384854814268752E-3</v>
      </c>
      <c r="V20" s="221" t="s">
        <v>211</v>
      </c>
      <c r="W20" s="221" t="s">
        <v>140</v>
      </c>
      <c r="X20" s="220" t="s">
        <v>143</v>
      </c>
      <c r="Y20" s="221" t="s">
        <v>212</v>
      </c>
      <c r="Z20" s="221">
        <v>1</v>
      </c>
      <c r="AA20" s="223" t="s">
        <v>100</v>
      </c>
    </row>
    <row r="21" spans="2:27" s="219" customFormat="1" ht="27" customHeight="1" x14ac:dyDescent="0.2">
      <c r="B21" s="620"/>
      <c r="C21" s="621"/>
      <c r="D21" s="217">
        <v>17</v>
      </c>
      <c r="E21" s="386" t="s">
        <v>223</v>
      </c>
      <c r="F21" s="390">
        <f t="shared" si="0"/>
        <v>1074.3300000000052</v>
      </c>
      <c r="G21" s="383">
        <v>155.69999999999999</v>
      </c>
      <c r="H21" s="383">
        <v>330.9</v>
      </c>
      <c r="I21" s="382">
        <v>321</v>
      </c>
      <c r="J21" s="388">
        <f t="shared" si="1"/>
        <v>0.97008159564823215</v>
      </c>
      <c r="K21" s="382">
        <v>337.8</v>
      </c>
      <c r="L21" s="388">
        <f t="shared" si="2"/>
        <v>1.0208522212148687</v>
      </c>
      <c r="M21" s="382">
        <v>0</v>
      </c>
      <c r="N21" s="388">
        <f t="shared" si="3"/>
        <v>0</v>
      </c>
      <c r="O21" s="389">
        <f t="shared" si="4"/>
        <v>337.8</v>
      </c>
      <c r="P21" s="388">
        <f t="shared" si="5"/>
        <v>1.0208522212148687</v>
      </c>
      <c r="Q21" s="383">
        <v>7.5</v>
      </c>
      <c r="R21" s="388">
        <f t="shared" si="6"/>
        <v>2.2665457842248413E-2</v>
      </c>
      <c r="S21" s="395">
        <f t="shared" si="7"/>
        <v>1167.75</v>
      </c>
      <c r="T21" s="389">
        <f t="shared" si="8"/>
        <v>6.9000000000000341</v>
      </c>
      <c r="U21" s="388">
        <f t="shared" si="9"/>
        <v>2.0852221214868644E-2</v>
      </c>
      <c r="V21" s="221" t="s">
        <v>206</v>
      </c>
      <c r="W21" s="221" t="s">
        <v>156</v>
      </c>
      <c r="X21" s="221" t="s">
        <v>156</v>
      </c>
      <c r="Y21" s="221" t="s">
        <v>158</v>
      </c>
      <c r="Z21" s="221">
        <v>1</v>
      </c>
      <c r="AA21" s="223" t="s">
        <v>161</v>
      </c>
    </row>
    <row r="22" spans="2:27" s="219" customFormat="1" ht="27" customHeight="1" x14ac:dyDescent="0.2">
      <c r="B22" s="620"/>
      <c r="C22" s="621"/>
      <c r="D22" s="217">
        <v>18</v>
      </c>
      <c r="E22" s="386" t="s">
        <v>233</v>
      </c>
      <c r="F22" s="390">
        <f t="shared" si="0"/>
        <v>1059.9999999999995</v>
      </c>
      <c r="G22" s="383">
        <v>200</v>
      </c>
      <c r="H22" s="383">
        <v>81.900000000000006</v>
      </c>
      <c r="I22" s="382">
        <v>72</v>
      </c>
      <c r="J22" s="388">
        <f t="shared" si="1"/>
        <v>0.87912087912087911</v>
      </c>
      <c r="K22" s="382">
        <v>87.2</v>
      </c>
      <c r="L22" s="388">
        <f t="shared" si="2"/>
        <v>1.0647130647130647</v>
      </c>
      <c r="M22" s="382">
        <v>0</v>
      </c>
      <c r="N22" s="388">
        <f t="shared" si="3"/>
        <v>0</v>
      </c>
      <c r="O22" s="389">
        <f t="shared" si="4"/>
        <v>87.2</v>
      </c>
      <c r="P22" s="388">
        <f t="shared" si="5"/>
        <v>1.0647130647130647</v>
      </c>
      <c r="Q22" s="383">
        <v>1</v>
      </c>
      <c r="R22" s="388">
        <f t="shared" si="6"/>
        <v>1.221001221001221E-2</v>
      </c>
      <c r="S22" s="395">
        <f t="shared" si="7"/>
        <v>200</v>
      </c>
      <c r="T22" s="389">
        <f t="shared" si="8"/>
        <v>5.2999999999999972</v>
      </c>
      <c r="U22" s="388">
        <f t="shared" si="9"/>
        <v>6.4713064713064677E-2</v>
      </c>
      <c r="V22" s="221" t="s">
        <v>206</v>
      </c>
      <c r="W22" s="221" t="s">
        <v>156</v>
      </c>
      <c r="X22" s="221" t="s">
        <v>156</v>
      </c>
      <c r="Y22" s="221" t="s">
        <v>158</v>
      </c>
      <c r="Z22" s="221">
        <v>1</v>
      </c>
      <c r="AA22" s="223" t="s">
        <v>112</v>
      </c>
    </row>
    <row r="23" spans="2:27" s="219" customFormat="1" ht="27" customHeight="1" x14ac:dyDescent="0.2">
      <c r="B23" s="620"/>
      <c r="C23" s="621"/>
      <c r="D23" s="217">
        <v>19</v>
      </c>
      <c r="E23" s="386" t="s">
        <v>225</v>
      </c>
      <c r="F23" s="390">
        <f t="shared" si="0"/>
        <v>905.15999999999929</v>
      </c>
      <c r="G23" s="383">
        <v>238.2</v>
      </c>
      <c r="H23" s="383">
        <v>77.5</v>
      </c>
      <c r="I23" s="382">
        <v>77.5</v>
      </c>
      <c r="J23" s="388">
        <f t="shared" si="1"/>
        <v>1</v>
      </c>
      <c r="K23" s="382">
        <v>81.3</v>
      </c>
      <c r="L23" s="388">
        <f t="shared" si="2"/>
        <v>1.0490322580645162</v>
      </c>
      <c r="M23" s="382">
        <v>0</v>
      </c>
      <c r="N23" s="388">
        <f t="shared" si="3"/>
        <v>0</v>
      </c>
      <c r="O23" s="389">
        <f t="shared" si="4"/>
        <v>81.3</v>
      </c>
      <c r="P23" s="388">
        <f t="shared" si="5"/>
        <v>1.0490322580645162</v>
      </c>
      <c r="Q23" s="383">
        <v>3.4</v>
      </c>
      <c r="R23" s="388">
        <f t="shared" si="6"/>
        <v>4.3870967741935482E-2</v>
      </c>
      <c r="S23" s="395">
        <f t="shared" si="7"/>
        <v>809.88</v>
      </c>
      <c r="T23" s="389">
        <f t="shared" si="8"/>
        <v>3.7999999999999972</v>
      </c>
      <c r="U23" s="388">
        <f t="shared" si="9"/>
        <v>4.9032258064516089E-2</v>
      </c>
      <c r="V23" s="221" t="s">
        <v>206</v>
      </c>
      <c r="W23" s="221" t="s">
        <v>156</v>
      </c>
      <c r="X23" s="221" t="s">
        <v>156</v>
      </c>
      <c r="Y23" s="221" t="s">
        <v>158</v>
      </c>
      <c r="Z23" s="221">
        <v>1</v>
      </c>
      <c r="AA23" s="223" t="s">
        <v>221</v>
      </c>
    </row>
    <row r="24" spans="2:27" s="219" customFormat="1" ht="27" customHeight="1" x14ac:dyDescent="0.2">
      <c r="B24" s="622"/>
      <c r="C24" s="623"/>
      <c r="D24" s="217">
        <v>20</v>
      </c>
      <c r="E24" s="386" t="s">
        <v>223</v>
      </c>
      <c r="F24" s="390">
        <f t="shared" si="0"/>
        <v>856.44000000000324</v>
      </c>
      <c r="G24" s="383">
        <v>140.4</v>
      </c>
      <c r="H24" s="383">
        <v>302.2</v>
      </c>
      <c r="I24" s="382">
        <v>284</v>
      </c>
      <c r="J24" s="388">
        <f t="shared" si="1"/>
        <v>0.93977498345466581</v>
      </c>
      <c r="K24" s="382">
        <v>308.3</v>
      </c>
      <c r="L24" s="388">
        <f t="shared" si="2"/>
        <v>1.0201853077432166</v>
      </c>
      <c r="M24" s="382">
        <v>0</v>
      </c>
      <c r="N24" s="388">
        <f t="shared" si="3"/>
        <v>0</v>
      </c>
      <c r="O24" s="389">
        <f t="shared" si="4"/>
        <v>308.3</v>
      </c>
      <c r="P24" s="388">
        <f t="shared" si="5"/>
        <v>1.0201853077432166</v>
      </c>
      <c r="Q24" s="383">
        <v>1.4</v>
      </c>
      <c r="R24" s="388">
        <f t="shared" si="6"/>
        <v>4.6326935804103242E-3</v>
      </c>
      <c r="S24" s="395">
        <f t="shared" si="7"/>
        <v>196.56</v>
      </c>
      <c r="T24" s="389">
        <f t="shared" si="8"/>
        <v>6.1000000000000227</v>
      </c>
      <c r="U24" s="388">
        <f t="shared" si="9"/>
        <v>2.0185307743216488E-2</v>
      </c>
      <c r="V24" s="221" t="s">
        <v>206</v>
      </c>
      <c r="W24" s="221" t="s">
        <v>156</v>
      </c>
      <c r="X24" s="221" t="s">
        <v>156</v>
      </c>
      <c r="Y24" s="221" t="s">
        <v>158</v>
      </c>
      <c r="Z24" s="221">
        <v>1</v>
      </c>
      <c r="AA24" s="223" t="s">
        <v>127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2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zoomScale="70" zoomScaleNormal="70" workbookViewId="0">
      <selection activeCell="S35" sqref="S35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1" width="8.28515625" style="227" customWidth="1"/>
    <col min="52" max="16384" width="8.28515625" style="227"/>
  </cols>
  <sheetData>
    <row r="1" spans="1:18" ht="25.5" customHeight="1" x14ac:dyDescent="0.2">
      <c r="A1" s="661" t="s">
        <v>234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3"/>
    </row>
    <row r="2" spans="1:18" ht="16.5" customHeight="1" x14ac:dyDescent="0.2">
      <c r="A2" s="664" t="s">
        <v>45</v>
      </c>
      <c r="B2" s="666" t="s">
        <v>71</v>
      </c>
      <c r="C2" s="666" t="s">
        <v>235</v>
      </c>
      <c r="D2" s="666" t="s">
        <v>236</v>
      </c>
      <c r="E2" s="666" t="s">
        <v>237</v>
      </c>
      <c r="F2" s="666" t="s">
        <v>27</v>
      </c>
      <c r="G2" s="666" t="s">
        <v>238</v>
      </c>
      <c r="H2" s="666"/>
      <c r="I2" s="666" t="s">
        <v>239</v>
      </c>
      <c r="J2" s="666"/>
      <c r="K2" s="666" t="s">
        <v>240</v>
      </c>
      <c r="L2" s="666"/>
      <c r="M2" s="668" t="s">
        <v>53</v>
      </c>
      <c r="N2" s="669"/>
      <c r="O2" s="670"/>
    </row>
    <row r="3" spans="1:18" ht="37.5" customHeight="1" x14ac:dyDescent="0.2">
      <c r="A3" s="665"/>
      <c r="B3" s="667"/>
      <c r="C3" s="667"/>
      <c r="D3" s="667"/>
      <c r="E3" s="667"/>
      <c r="F3" s="667"/>
      <c r="G3" s="295" t="s">
        <v>241</v>
      </c>
      <c r="H3" s="295" t="s">
        <v>242</v>
      </c>
      <c r="I3" s="295" t="s">
        <v>241</v>
      </c>
      <c r="J3" s="295" t="s">
        <v>242</v>
      </c>
      <c r="K3" s="295" t="s">
        <v>241</v>
      </c>
      <c r="L3" s="295" t="s">
        <v>243</v>
      </c>
      <c r="M3" s="295" t="s">
        <v>71</v>
      </c>
      <c r="N3" s="296" t="s">
        <v>244</v>
      </c>
      <c r="O3" s="340" t="s">
        <v>245</v>
      </c>
    </row>
    <row r="4" spans="1:18" ht="18.75" x14ac:dyDescent="0.2">
      <c r="A4" s="338">
        <v>46174</v>
      </c>
      <c r="B4" s="308">
        <v>2835002.98</v>
      </c>
      <c r="C4" s="308">
        <v>3986.4195000000004</v>
      </c>
      <c r="D4" s="309">
        <f>C4/B4</f>
        <v>1.4061429663823493E-3</v>
      </c>
      <c r="E4" s="310">
        <v>6685.0696800000014</v>
      </c>
      <c r="F4" s="311">
        <f t="shared" ref="F4:F34" si="0">E4/B4</f>
        <v>2.3580467911889112E-3</v>
      </c>
      <c r="G4" s="308">
        <v>3986.4195000000004</v>
      </c>
      <c r="H4" s="311">
        <f t="shared" ref="H4:H34" si="1">G4/C4</f>
        <v>1</v>
      </c>
      <c r="I4" s="312">
        <v>6685.0696800000014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1"/>
    </row>
    <row r="5" spans="1:18" ht="18.75" x14ac:dyDescent="0.2">
      <c r="A5" s="253">
        <f>A4+1</f>
        <v>46175</v>
      </c>
      <c r="B5" s="228">
        <v>2722521.86</v>
      </c>
      <c r="C5" s="228">
        <v>2862.114</v>
      </c>
      <c r="D5" s="229">
        <f t="shared" ref="D5:D34" si="2">C5/B5</f>
        <v>1.0512731016235073E-3</v>
      </c>
      <c r="E5" s="230">
        <v>7057.4118800000051</v>
      </c>
      <c r="F5" s="231">
        <f t="shared" si="0"/>
        <v>2.5922333200292485E-3</v>
      </c>
      <c r="G5" s="228">
        <v>2862.114</v>
      </c>
      <c r="H5" s="231">
        <f t="shared" si="1"/>
        <v>1</v>
      </c>
      <c r="I5" s="232">
        <v>7057.4118800000051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54">
        <f>SUM(B5:B11)</f>
        <v>18052963.149999999</v>
      </c>
      <c r="N5" s="654">
        <f>SUM(C5:C11)</f>
        <v>52016.843800000002</v>
      </c>
      <c r="O5" s="657">
        <f>SUM(E5:E11)</f>
        <v>78046.933619999982</v>
      </c>
    </row>
    <row r="6" spans="1:18" ht="18.75" x14ac:dyDescent="0.2">
      <c r="A6" s="335">
        <f t="shared" ref="A6:A33" si="5">A5+1</f>
        <v>46176</v>
      </c>
      <c r="B6" s="235">
        <v>2452866.64</v>
      </c>
      <c r="C6" s="235">
        <v>7924.9059999999999</v>
      </c>
      <c r="D6" s="236">
        <f t="shared" si="2"/>
        <v>3.2308752015967729E-3</v>
      </c>
      <c r="E6" s="237">
        <v>13032.876899999994</v>
      </c>
      <c r="F6" s="238">
        <f t="shared" si="0"/>
        <v>5.3133246983211417E-3</v>
      </c>
      <c r="G6" s="235">
        <v>7924.9059999999999</v>
      </c>
      <c r="H6" s="238">
        <f t="shared" si="1"/>
        <v>1</v>
      </c>
      <c r="I6" s="239">
        <v>13032.876899999994</v>
      </c>
      <c r="J6" s="238">
        <f t="shared" si="3"/>
        <v>1</v>
      </c>
      <c r="K6" s="240">
        <v>0</v>
      </c>
      <c r="L6" s="241">
        <f t="shared" si="4"/>
        <v>0</v>
      </c>
      <c r="M6" s="655"/>
      <c r="N6" s="655"/>
      <c r="O6" s="658"/>
    </row>
    <row r="7" spans="1:18" ht="18.75" x14ac:dyDescent="0.2">
      <c r="A7" s="243">
        <f t="shared" si="5"/>
        <v>46177</v>
      </c>
      <c r="B7" s="235">
        <v>2382946.1100000003</v>
      </c>
      <c r="C7" s="235">
        <v>5578.5348000000004</v>
      </c>
      <c r="D7" s="236">
        <f t="shared" si="2"/>
        <v>2.341024321359915E-3</v>
      </c>
      <c r="E7" s="237">
        <v>5470.5875000000005</v>
      </c>
      <c r="F7" s="238">
        <f t="shared" si="0"/>
        <v>2.2957243879929787E-3</v>
      </c>
      <c r="G7" s="235">
        <v>5578.5348000000004</v>
      </c>
      <c r="H7" s="238">
        <f t="shared" si="1"/>
        <v>1</v>
      </c>
      <c r="I7" s="239">
        <v>5470.5875000000005</v>
      </c>
      <c r="J7" s="238">
        <f t="shared" si="3"/>
        <v>1</v>
      </c>
      <c r="K7" s="240">
        <v>0</v>
      </c>
      <c r="L7" s="241">
        <f t="shared" si="4"/>
        <v>0</v>
      </c>
      <c r="M7" s="655"/>
      <c r="N7" s="655"/>
      <c r="O7" s="658"/>
    </row>
    <row r="8" spans="1:18" ht="18.75" x14ac:dyDescent="0.2">
      <c r="A8" s="243">
        <f t="shared" si="5"/>
        <v>46178</v>
      </c>
      <c r="B8" s="235">
        <v>1944479.05</v>
      </c>
      <c r="C8" s="235">
        <v>25778.887499999997</v>
      </c>
      <c r="D8" s="236">
        <f t="shared" si="2"/>
        <v>1.3257477626205331E-2</v>
      </c>
      <c r="E8" s="237">
        <v>35517.401259999991</v>
      </c>
      <c r="F8" s="238">
        <f t="shared" si="0"/>
        <v>1.8265766998106763E-2</v>
      </c>
      <c r="G8" s="235">
        <v>25778.887499999997</v>
      </c>
      <c r="H8" s="238">
        <f t="shared" si="1"/>
        <v>1</v>
      </c>
      <c r="I8" s="239">
        <v>35517.401259999991</v>
      </c>
      <c r="J8" s="238">
        <f t="shared" si="3"/>
        <v>1</v>
      </c>
      <c r="K8" s="240">
        <v>0</v>
      </c>
      <c r="L8" s="241">
        <f t="shared" si="4"/>
        <v>0</v>
      </c>
      <c r="M8" s="655"/>
      <c r="N8" s="655"/>
      <c r="O8" s="658"/>
      <c r="P8" s="242"/>
      <c r="Q8" s="242"/>
    </row>
    <row r="9" spans="1:18" ht="18.75" x14ac:dyDescent="0.2">
      <c r="A9" s="243">
        <f t="shared" si="5"/>
        <v>46179</v>
      </c>
      <c r="B9" s="235">
        <v>2318273.63</v>
      </c>
      <c r="C9" s="235">
        <v>2395.2709999999997</v>
      </c>
      <c r="D9" s="236">
        <f t="shared" si="2"/>
        <v>1.033213236351224E-3</v>
      </c>
      <c r="E9" s="237">
        <v>7752.6389999999956</v>
      </c>
      <c r="F9" s="238">
        <f t="shared" si="0"/>
        <v>3.3441432019394516E-3</v>
      </c>
      <c r="G9" s="235">
        <v>2395.2709999999997</v>
      </c>
      <c r="H9" s="238">
        <f t="shared" si="1"/>
        <v>1</v>
      </c>
      <c r="I9" s="239">
        <v>7752.6389999999956</v>
      </c>
      <c r="J9" s="238">
        <f t="shared" si="3"/>
        <v>1</v>
      </c>
      <c r="K9" s="240">
        <v>0</v>
      </c>
      <c r="L9" s="241">
        <f t="shared" si="4"/>
        <v>0</v>
      </c>
      <c r="M9" s="655"/>
      <c r="N9" s="655"/>
      <c r="O9" s="658"/>
    </row>
    <row r="10" spans="1:18" ht="18.75" x14ac:dyDescent="0.2">
      <c r="A10" s="243">
        <f t="shared" si="5"/>
        <v>46180</v>
      </c>
      <c r="B10" s="417">
        <v>2991875.15</v>
      </c>
      <c r="C10" s="235">
        <v>3054.7055</v>
      </c>
      <c r="D10" s="236">
        <f t="shared" si="2"/>
        <v>1.021000324829731E-3</v>
      </c>
      <c r="E10" s="237">
        <v>7327.6690799999978</v>
      </c>
      <c r="F10" s="238">
        <f t="shared" si="0"/>
        <v>2.449189458991963E-3</v>
      </c>
      <c r="G10" s="235">
        <v>3054.7055</v>
      </c>
      <c r="H10" s="238">
        <f t="shared" si="1"/>
        <v>1</v>
      </c>
      <c r="I10" s="239">
        <v>7327.6690799999978</v>
      </c>
      <c r="J10" s="238">
        <f t="shared" si="3"/>
        <v>1</v>
      </c>
      <c r="K10" s="240">
        <v>0</v>
      </c>
      <c r="L10" s="241">
        <f t="shared" si="4"/>
        <v>0</v>
      </c>
      <c r="M10" s="655"/>
      <c r="N10" s="655"/>
      <c r="O10" s="658"/>
    </row>
    <row r="11" spans="1:18" ht="18.75" x14ac:dyDescent="0.2">
      <c r="A11" s="337">
        <f t="shared" si="5"/>
        <v>46181</v>
      </c>
      <c r="B11" s="244">
        <v>3240000.71</v>
      </c>
      <c r="C11" s="244">
        <v>4422.4250000000002</v>
      </c>
      <c r="D11" s="245">
        <f t="shared" si="2"/>
        <v>1.3649456885458523E-3</v>
      </c>
      <c r="E11" s="244">
        <v>1888.3480000000002</v>
      </c>
      <c r="F11" s="246">
        <f t="shared" si="0"/>
        <v>5.828233290726656E-4</v>
      </c>
      <c r="G11" s="244">
        <v>4422.4250000000002</v>
      </c>
      <c r="H11" s="246">
        <f t="shared" si="1"/>
        <v>1</v>
      </c>
      <c r="I11" s="244">
        <v>1888.3480000000002</v>
      </c>
      <c r="J11" s="246">
        <f t="shared" si="3"/>
        <v>1</v>
      </c>
      <c r="K11" s="244">
        <v>0</v>
      </c>
      <c r="L11" s="247">
        <f t="shared" si="4"/>
        <v>0</v>
      </c>
      <c r="M11" s="656"/>
      <c r="N11" s="656"/>
      <c r="O11" s="659"/>
    </row>
    <row r="12" spans="1:18" ht="18.75" x14ac:dyDescent="0.2">
      <c r="A12" s="253">
        <f t="shared" si="5"/>
        <v>46182</v>
      </c>
      <c r="B12" s="228">
        <v>3508974.2400000007</v>
      </c>
      <c r="C12" s="339">
        <v>5465.7629999999999</v>
      </c>
      <c r="D12" s="229">
        <f t="shared" si="2"/>
        <v>1.5576526432408346E-3</v>
      </c>
      <c r="E12" s="230">
        <v>11030.715500000009</v>
      </c>
      <c r="F12" s="231">
        <f t="shared" si="0"/>
        <v>3.1435726641299046E-3</v>
      </c>
      <c r="G12" s="228">
        <v>5465.7629999999999</v>
      </c>
      <c r="H12" s="231">
        <f t="shared" si="1"/>
        <v>1</v>
      </c>
      <c r="I12" s="232">
        <v>11030.715500000009</v>
      </c>
      <c r="J12" s="231">
        <f t="shared" si="3"/>
        <v>1</v>
      </c>
      <c r="K12" s="233">
        <v>0</v>
      </c>
      <c r="L12" s="234">
        <f t="shared" si="4"/>
        <v>0</v>
      </c>
      <c r="M12" s="654">
        <f t="shared" ref="M12:N12" si="6">SUM(B12:B18)</f>
        <v>21305360.43</v>
      </c>
      <c r="N12" s="654">
        <f t="shared" si="6"/>
        <v>54678.455399999992</v>
      </c>
      <c r="O12" s="657">
        <f>SUM(E12:E18)</f>
        <v>87504.760900000008</v>
      </c>
    </row>
    <row r="13" spans="1:18" ht="18.75" x14ac:dyDescent="0.2">
      <c r="A13" s="335">
        <f t="shared" si="5"/>
        <v>46183</v>
      </c>
      <c r="B13" s="235">
        <v>3139480.9699999997</v>
      </c>
      <c r="C13" s="235">
        <v>8913.7695999999996</v>
      </c>
      <c r="D13" s="236">
        <f t="shared" si="2"/>
        <v>2.8392494444710713E-3</v>
      </c>
      <c r="E13" s="237">
        <v>13181.442000000008</v>
      </c>
      <c r="F13" s="238">
        <f t="shared" si="0"/>
        <v>4.1986054784081102E-3</v>
      </c>
      <c r="G13" s="235">
        <v>8913.7695999999996</v>
      </c>
      <c r="H13" s="238">
        <f t="shared" si="1"/>
        <v>1</v>
      </c>
      <c r="I13" s="239">
        <v>13181.442000000008</v>
      </c>
      <c r="J13" s="238">
        <f t="shared" si="3"/>
        <v>1</v>
      </c>
      <c r="K13" s="240">
        <v>0</v>
      </c>
      <c r="L13" s="241">
        <f t="shared" si="4"/>
        <v>0</v>
      </c>
      <c r="M13" s="655"/>
      <c r="N13" s="655"/>
      <c r="O13" s="658"/>
    </row>
    <row r="14" spans="1:18" ht="18.75" x14ac:dyDescent="0.2">
      <c r="A14" s="243">
        <f t="shared" si="5"/>
        <v>46184</v>
      </c>
      <c r="B14" s="235">
        <v>3042840.87</v>
      </c>
      <c r="C14" s="235">
        <v>2603.5560000000005</v>
      </c>
      <c r="D14" s="236">
        <f t="shared" si="2"/>
        <v>8.5563330822488936E-4</v>
      </c>
      <c r="E14" s="237">
        <v>4063.4463199999964</v>
      </c>
      <c r="F14" s="238">
        <f t="shared" si="0"/>
        <v>1.3354120355298094E-3</v>
      </c>
      <c r="G14" s="235">
        <v>2603.5560000000005</v>
      </c>
      <c r="H14" s="238">
        <f t="shared" si="1"/>
        <v>1</v>
      </c>
      <c r="I14" s="239">
        <v>4063.4463199999964</v>
      </c>
      <c r="J14" s="238">
        <f t="shared" si="3"/>
        <v>1</v>
      </c>
      <c r="K14" s="240">
        <v>0</v>
      </c>
      <c r="L14" s="241">
        <f t="shared" si="4"/>
        <v>0</v>
      </c>
      <c r="M14" s="655"/>
      <c r="N14" s="655"/>
      <c r="O14" s="658"/>
    </row>
    <row r="15" spans="1:18" ht="18.75" x14ac:dyDescent="0.2">
      <c r="A15" s="243">
        <f t="shared" si="5"/>
        <v>46185</v>
      </c>
      <c r="B15" s="235">
        <v>2238951.3900000006</v>
      </c>
      <c r="C15" s="235">
        <v>16173.427499999998</v>
      </c>
      <c r="D15" s="236">
        <f t="shared" si="2"/>
        <v>7.2236617428304206E-3</v>
      </c>
      <c r="E15" s="237">
        <v>19635.615240000003</v>
      </c>
      <c r="F15" s="238">
        <f t="shared" si="0"/>
        <v>8.7700051585309306E-3</v>
      </c>
      <c r="G15" s="235">
        <v>16173.427499999998</v>
      </c>
      <c r="H15" s="238">
        <f t="shared" si="1"/>
        <v>1</v>
      </c>
      <c r="I15" s="239">
        <v>19635.615240000003</v>
      </c>
      <c r="J15" s="238">
        <f t="shared" si="3"/>
        <v>1</v>
      </c>
      <c r="K15" s="240">
        <v>0</v>
      </c>
      <c r="L15" s="241">
        <f t="shared" si="4"/>
        <v>0</v>
      </c>
      <c r="M15" s="655"/>
      <c r="N15" s="655"/>
      <c r="O15" s="658"/>
      <c r="P15" s="242"/>
      <c r="Q15" s="248"/>
      <c r="R15" s="248"/>
    </row>
    <row r="16" spans="1:18" ht="18.75" x14ac:dyDescent="0.2">
      <c r="A16" s="243">
        <f t="shared" si="5"/>
        <v>46186</v>
      </c>
      <c r="B16" s="235">
        <v>2665425.63</v>
      </c>
      <c r="C16" s="235">
        <v>6450.2528999999995</v>
      </c>
      <c r="D16" s="236">
        <f t="shared" si="2"/>
        <v>2.4199710648088874E-3</v>
      </c>
      <c r="E16" s="237">
        <v>9352.2816199999979</v>
      </c>
      <c r="F16" s="238">
        <f t="shared" si="0"/>
        <v>3.5087385349408524E-3</v>
      </c>
      <c r="G16" s="235">
        <v>6450.2528999999995</v>
      </c>
      <c r="H16" s="238">
        <f t="shared" si="1"/>
        <v>1</v>
      </c>
      <c r="I16" s="239">
        <v>9352.2816199999979</v>
      </c>
      <c r="J16" s="238">
        <f t="shared" si="3"/>
        <v>1</v>
      </c>
      <c r="K16" s="240">
        <v>0</v>
      </c>
      <c r="L16" s="241">
        <f t="shared" si="4"/>
        <v>0</v>
      </c>
      <c r="M16" s="655"/>
      <c r="N16" s="655"/>
      <c r="O16" s="658"/>
    </row>
    <row r="17" spans="1:17" ht="18.75" x14ac:dyDescent="0.2">
      <c r="A17" s="243">
        <f t="shared" si="5"/>
        <v>46187</v>
      </c>
      <c r="B17" s="235">
        <v>3415399.91</v>
      </c>
      <c r="C17" s="235">
        <v>8554.5725000000002</v>
      </c>
      <c r="D17" s="236">
        <f t="shared" si="2"/>
        <v>2.5047059569665445E-3</v>
      </c>
      <c r="E17" s="307">
        <v>23171.258819999999</v>
      </c>
      <c r="F17" s="238">
        <f t="shared" si="0"/>
        <v>6.7843472010866209E-3</v>
      </c>
      <c r="G17" s="235">
        <v>8554.5725000000002</v>
      </c>
      <c r="H17" s="238">
        <f t="shared" si="1"/>
        <v>1</v>
      </c>
      <c r="I17" s="239">
        <v>23171.258819999999</v>
      </c>
      <c r="J17" s="238">
        <f t="shared" si="3"/>
        <v>1</v>
      </c>
      <c r="K17" s="240">
        <v>0</v>
      </c>
      <c r="L17" s="241">
        <f t="shared" si="4"/>
        <v>0</v>
      </c>
      <c r="M17" s="655"/>
      <c r="N17" s="655"/>
      <c r="O17" s="658"/>
      <c r="Q17" s="249"/>
    </row>
    <row r="18" spans="1:17" ht="18.75" x14ac:dyDescent="0.2">
      <c r="A18" s="337">
        <f t="shared" si="5"/>
        <v>46188</v>
      </c>
      <c r="B18" s="244">
        <v>3294287.42</v>
      </c>
      <c r="C18" s="244">
        <v>6517.1138999999994</v>
      </c>
      <c r="D18" s="245">
        <f t="shared" si="2"/>
        <v>1.9783076183437567E-3</v>
      </c>
      <c r="E18" s="250">
        <v>7070.0013999999956</v>
      </c>
      <c r="F18" s="246">
        <f t="shared" si="0"/>
        <v>2.1461398167862342E-3</v>
      </c>
      <c r="G18" s="244">
        <v>6517.1138999999994</v>
      </c>
      <c r="H18" s="246">
        <f t="shared" si="1"/>
        <v>1</v>
      </c>
      <c r="I18" s="251">
        <v>7070.0013999999956</v>
      </c>
      <c r="J18" s="246">
        <f t="shared" si="3"/>
        <v>1</v>
      </c>
      <c r="K18" s="252">
        <v>0</v>
      </c>
      <c r="L18" s="247">
        <f t="shared" si="4"/>
        <v>0</v>
      </c>
      <c r="M18" s="656"/>
      <c r="N18" s="656"/>
      <c r="O18" s="659"/>
    </row>
    <row r="19" spans="1:17" ht="18.75" x14ac:dyDescent="0.2">
      <c r="A19" s="253">
        <f t="shared" si="5"/>
        <v>46189</v>
      </c>
      <c r="B19" s="228">
        <v>3209761.18</v>
      </c>
      <c r="C19" s="228">
        <v>10082.985500000001</v>
      </c>
      <c r="D19" s="229">
        <f t="shared" si="2"/>
        <v>3.1413506907700841E-3</v>
      </c>
      <c r="E19" s="230">
        <v>14959.876785000002</v>
      </c>
      <c r="F19" s="231">
        <f t="shared" si="0"/>
        <v>4.660744505919908E-3</v>
      </c>
      <c r="G19" s="228">
        <v>10082.985500000001</v>
      </c>
      <c r="H19" s="231">
        <f t="shared" si="1"/>
        <v>1</v>
      </c>
      <c r="I19" s="232">
        <v>14959.876785000002</v>
      </c>
      <c r="J19" s="231">
        <f t="shared" si="3"/>
        <v>1</v>
      </c>
      <c r="K19" s="233">
        <v>0</v>
      </c>
      <c r="L19" s="234">
        <f t="shared" si="4"/>
        <v>0</v>
      </c>
      <c r="M19" s="654">
        <f t="shared" ref="M19:N19" si="7">SUM(B19:B25)</f>
        <v>18358742.23</v>
      </c>
      <c r="N19" s="654">
        <f t="shared" si="7"/>
        <v>68764.951499999996</v>
      </c>
      <c r="O19" s="657">
        <f>SUM(E19:E25)</f>
        <v>111484.82391499999</v>
      </c>
    </row>
    <row r="20" spans="1:17" ht="18.75" x14ac:dyDescent="0.2">
      <c r="A20" s="335">
        <f t="shared" si="5"/>
        <v>46190</v>
      </c>
      <c r="B20" s="235">
        <v>2739001.4199999995</v>
      </c>
      <c r="C20" s="235">
        <v>21042.456999999999</v>
      </c>
      <c r="D20" s="236">
        <f t="shared" si="2"/>
        <v>7.6825286932490902E-3</v>
      </c>
      <c r="E20" s="237">
        <v>29755.389380000008</v>
      </c>
      <c r="F20" s="238">
        <f t="shared" si="0"/>
        <v>1.0863590344542434E-2</v>
      </c>
      <c r="G20" s="235">
        <v>21042.456999999999</v>
      </c>
      <c r="H20" s="238">
        <f t="shared" si="1"/>
        <v>1</v>
      </c>
      <c r="I20" s="239">
        <v>29755.389380000008</v>
      </c>
      <c r="J20" s="238">
        <f t="shared" si="3"/>
        <v>1</v>
      </c>
      <c r="K20" s="240">
        <v>0</v>
      </c>
      <c r="L20" s="241">
        <f t="shared" si="4"/>
        <v>0</v>
      </c>
      <c r="M20" s="655"/>
      <c r="N20" s="655"/>
      <c r="O20" s="658"/>
    </row>
    <row r="21" spans="1:17" ht="18.75" x14ac:dyDescent="0.2">
      <c r="A21" s="243">
        <f t="shared" si="5"/>
        <v>46191</v>
      </c>
      <c r="B21" s="235">
        <v>2148217.9</v>
      </c>
      <c r="C21" s="235">
        <v>16525.316500000001</v>
      </c>
      <c r="D21" s="236">
        <f t="shared" si="2"/>
        <v>7.6925699669479529E-3</v>
      </c>
      <c r="E21" s="237">
        <v>28710.91743999999</v>
      </c>
      <c r="F21" s="238">
        <f t="shared" si="0"/>
        <v>1.3364993113594292E-2</v>
      </c>
      <c r="G21" s="235">
        <v>16525.316500000001</v>
      </c>
      <c r="H21" s="238">
        <f t="shared" si="1"/>
        <v>1</v>
      </c>
      <c r="I21" s="239">
        <v>28710.91743999999</v>
      </c>
      <c r="J21" s="238">
        <f t="shared" si="3"/>
        <v>1</v>
      </c>
      <c r="K21" s="240">
        <v>0</v>
      </c>
      <c r="L21" s="241">
        <f t="shared" si="4"/>
        <v>0</v>
      </c>
      <c r="M21" s="655"/>
      <c r="N21" s="655"/>
      <c r="O21" s="658"/>
    </row>
    <row r="22" spans="1:17" ht="18.75" x14ac:dyDescent="0.2">
      <c r="A22" s="243">
        <f t="shared" si="5"/>
        <v>46192</v>
      </c>
      <c r="B22" s="235">
        <v>2051064.9900000005</v>
      </c>
      <c r="C22" s="235">
        <v>9086.6615000000002</v>
      </c>
      <c r="D22" s="236">
        <f t="shared" si="2"/>
        <v>4.4302162751069128E-3</v>
      </c>
      <c r="E22" s="237">
        <v>12868.021669999995</v>
      </c>
      <c r="F22" s="238">
        <f t="shared" si="0"/>
        <v>6.2738244437588455E-3</v>
      </c>
      <c r="G22" s="235">
        <v>9086.6615000000002</v>
      </c>
      <c r="H22" s="238">
        <f t="shared" si="1"/>
        <v>1</v>
      </c>
      <c r="I22" s="239">
        <v>12868.021669999995</v>
      </c>
      <c r="J22" s="238">
        <f t="shared" si="3"/>
        <v>1</v>
      </c>
      <c r="K22" s="240">
        <v>0</v>
      </c>
      <c r="L22" s="241">
        <f t="shared" si="4"/>
        <v>0</v>
      </c>
      <c r="M22" s="655"/>
      <c r="N22" s="655"/>
      <c r="O22" s="658"/>
      <c r="P22" s="242"/>
    </row>
    <row r="23" spans="1:17" ht="18.75" x14ac:dyDescent="0.2">
      <c r="A23" s="243">
        <f t="shared" si="5"/>
        <v>46193</v>
      </c>
      <c r="B23" s="235">
        <v>2183098.7199999997</v>
      </c>
      <c r="C23" s="235">
        <v>1998.4599999999998</v>
      </c>
      <c r="D23" s="236">
        <f t="shared" si="2"/>
        <v>9.1542355904088483E-4</v>
      </c>
      <c r="E23" s="237">
        <v>6216.801999999997</v>
      </c>
      <c r="F23" s="238">
        <f t="shared" si="0"/>
        <v>2.8476962324452269E-3</v>
      </c>
      <c r="G23" s="235">
        <v>1998.4599999999998</v>
      </c>
      <c r="H23" s="238">
        <f t="shared" si="1"/>
        <v>1</v>
      </c>
      <c r="I23" s="239">
        <v>6216.801999999997</v>
      </c>
      <c r="J23" s="238">
        <f t="shared" si="3"/>
        <v>1</v>
      </c>
      <c r="K23" s="240">
        <v>0</v>
      </c>
      <c r="L23" s="241">
        <f t="shared" si="4"/>
        <v>0</v>
      </c>
      <c r="M23" s="655"/>
      <c r="N23" s="655"/>
      <c r="O23" s="658"/>
    </row>
    <row r="24" spans="1:17" ht="18.75" x14ac:dyDescent="0.2">
      <c r="A24" s="243">
        <f t="shared" si="5"/>
        <v>46194</v>
      </c>
      <c r="B24" s="235">
        <v>3045937.9499999997</v>
      </c>
      <c r="C24" s="235">
        <v>5829.460500000001</v>
      </c>
      <c r="D24" s="236">
        <f t="shared" si="2"/>
        <v>1.9138474242392238E-3</v>
      </c>
      <c r="E24" s="237">
        <v>10925.756340000004</v>
      </c>
      <c r="F24" s="238">
        <f t="shared" si="0"/>
        <v>3.5869924205120477E-3</v>
      </c>
      <c r="G24" s="235">
        <v>5829.460500000001</v>
      </c>
      <c r="H24" s="238">
        <f t="shared" si="1"/>
        <v>1</v>
      </c>
      <c r="I24" s="239">
        <v>10925.756340000004</v>
      </c>
      <c r="J24" s="238">
        <f t="shared" si="3"/>
        <v>1</v>
      </c>
      <c r="K24" s="240">
        <v>0</v>
      </c>
      <c r="L24" s="241">
        <f t="shared" si="4"/>
        <v>0</v>
      </c>
      <c r="M24" s="655"/>
      <c r="N24" s="655"/>
      <c r="O24" s="658"/>
    </row>
    <row r="25" spans="1:17" ht="18.75" x14ac:dyDescent="0.2">
      <c r="A25" s="337">
        <f t="shared" si="5"/>
        <v>46195</v>
      </c>
      <c r="B25" s="244">
        <v>2981660.0700000003</v>
      </c>
      <c r="C25" s="244">
        <v>4199.6104999999998</v>
      </c>
      <c r="D25" s="245">
        <f t="shared" si="2"/>
        <v>1.408480645481495E-3</v>
      </c>
      <c r="E25" s="250">
        <v>8048.0602999999974</v>
      </c>
      <c r="F25" s="246">
        <f t="shared" si="0"/>
        <v>2.6991877380576103E-3</v>
      </c>
      <c r="G25" s="244">
        <v>4199.6104999999998</v>
      </c>
      <c r="H25" s="246">
        <f t="shared" si="1"/>
        <v>1</v>
      </c>
      <c r="I25" s="251">
        <v>8048.0602999999974</v>
      </c>
      <c r="J25" s="246">
        <f t="shared" si="3"/>
        <v>1</v>
      </c>
      <c r="K25" s="252">
        <v>0</v>
      </c>
      <c r="L25" s="247">
        <f t="shared" si="4"/>
        <v>0</v>
      </c>
      <c r="M25" s="656"/>
      <c r="N25" s="656"/>
      <c r="O25" s="659"/>
    </row>
    <row r="26" spans="1:17" ht="18.75" x14ac:dyDescent="0.2">
      <c r="A26" s="253">
        <f t="shared" si="5"/>
        <v>46196</v>
      </c>
      <c r="B26" s="228">
        <v>3337100.0000000005</v>
      </c>
      <c r="C26" s="228">
        <v>4233.9684999999999</v>
      </c>
      <c r="D26" s="229">
        <f t="shared" si="2"/>
        <v>1.2687568547541277E-3</v>
      </c>
      <c r="E26" s="230">
        <v>6506.0842499999917</v>
      </c>
      <c r="F26" s="231">
        <f t="shared" si="0"/>
        <v>1.9496222019118369E-3</v>
      </c>
      <c r="G26" s="228">
        <v>4233.9684999999999</v>
      </c>
      <c r="H26" s="231">
        <f t="shared" si="1"/>
        <v>1</v>
      </c>
      <c r="I26" s="232">
        <v>6506.0842499999917</v>
      </c>
      <c r="J26" s="231">
        <f t="shared" si="3"/>
        <v>1</v>
      </c>
      <c r="K26" s="233">
        <v>0</v>
      </c>
      <c r="L26" s="234">
        <f t="shared" si="4"/>
        <v>0</v>
      </c>
      <c r="M26" s="654">
        <f t="shared" ref="M26:N26" si="8">SUM(B26:B32)</f>
        <v>20223118.379999999</v>
      </c>
      <c r="N26" s="654">
        <f t="shared" si="8"/>
        <v>49137.235100000005</v>
      </c>
      <c r="O26" s="657">
        <f>SUM(E26:E32)</f>
        <v>63724.524950000006</v>
      </c>
    </row>
    <row r="27" spans="1:17" ht="18.75" x14ac:dyDescent="0.2">
      <c r="A27" s="335">
        <f t="shared" si="5"/>
        <v>46197</v>
      </c>
      <c r="B27" s="235">
        <v>2882994.1599999997</v>
      </c>
      <c r="C27" s="235">
        <v>3986.9155000000001</v>
      </c>
      <c r="D27" s="236">
        <f t="shared" si="2"/>
        <v>1.3829079348533957E-3</v>
      </c>
      <c r="E27" s="237">
        <v>6528.513310000003</v>
      </c>
      <c r="F27" s="238">
        <f t="shared" si="0"/>
        <v>2.2644906467656541E-3</v>
      </c>
      <c r="G27" s="235">
        <v>3986.9155000000001</v>
      </c>
      <c r="H27" s="238">
        <f t="shared" si="1"/>
        <v>1</v>
      </c>
      <c r="I27" s="239">
        <v>6528.513310000003</v>
      </c>
      <c r="J27" s="238">
        <f t="shared" si="3"/>
        <v>1</v>
      </c>
      <c r="K27" s="240">
        <v>0</v>
      </c>
      <c r="L27" s="241">
        <f t="shared" si="4"/>
        <v>0</v>
      </c>
      <c r="M27" s="655"/>
      <c r="N27" s="655"/>
      <c r="O27" s="658"/>
    </row>
    <row r="28" spans="1:17" ht="18.75" x14ac:dyDescent="0.2">
      <c r="A28" s="243">
        <f t="shared" si="5"/>
        <v>46198</v>
      </c>
      <c r="B28" s="235">
        <v>2814327.3600000003</v>
      </c>
      <c r="C28" s="235">
        <v>5902.0520999999999</v>
      </c>
      <c r="D28" s="236">
        <f t="shared" si="2"/>
        <v>2.0971448396109823E-3</v>
      </c>
      <c r="E28" s="237">
        <v>9121.3594199999989</v>
      </c>
      <c r="F28" s="238">
        <f t="shared" si="0"/>
        <v>3.2410442188217925E-3</v>
      </c>
      <c r="G28" s="235">
        <v>5902.0520999999999</v>
      </c>
      <c r="H28" s="238">
        <f t="shared" si="1"/>
        <v>1</v>
      </c>
      <c r="I28" s="239">
        <v>9121.3594199999989</v>
      </c>
      <c r="J28" s="238">
        <f t="shared" si="3"/>
        <v>1</v>
      </c>
      <c r="K28" s="240">
        <v>0</v>
      </c>
      <c r="L28" s="241">
        <f t="shared" si="4"/>
        <v>0</v>
      </c>
      <c r="M28" s="655"/>
      <c r="N28" s="655"/>
      <c r="O28" s="658"/>
    </row>
    <row r="29" spans="1:17" ht="18.75" x14ac:dyDescent="0.2">
      <c r="A29" s="243">
        <f t="shared" si="5"/>
        <v>46199</v>
      </c>
      <c r="B29" s="235">
        <v>2265418.44</v>
      </c>
      <c r="C29" s="235">
        <v>23602.099999999995</v>
      </c>
      <c r="D29" s="236">
        <f t="shared" si="2"/>
        <v>1.0418428482466133E-2</v>
      </c>
      <c r="E29" s="237">
        <v>30387.470300000008</v>
      </c>
      <c r="F29" s="238">
        <f t="shared" si="0"/>
        <v>1.3413623621780005E-2</v>
      </c>
      <c r="G29" s="235">
        <v>23602.099999999995</v>
      </c>
      <c r="H29" s="238">
        <f t="shared" si="1"/>
        <v>1</v>
      </c>
      <c r="I29" s="239">
        <v>30387.470300000008</v>
      </c>
      <c r="J29" s="238">
        <f t="shared" si="3"/>
        <v>1</v>
      </c>
      <c r="K29" s="240">
        <v>0</v>
      </c>
      <c r="L29" s="241">
        <f t="shared" si="4"/>
        <v>0</v>
      </c>
      <c r="M29" s="655"/>
      <c r="N29" s="655"/>
      <c r="O29" s="658"/>
      <c r="P29" s="242"/>
    </row>
    <row r="30" spans="1:17" ht="18.75" x14ac:dyDescent="0.2">
      <c r="A30" s="243">
        <f t="shared" si="5"/>
        <v>46200</v>
      </c>
      <c r="B30" s="235">
        <v>2274198.5499999998</v>
      </c>
      <c r="C30" s="235">
        <v>3403.6275000000001</v>
      </c>
      <c r="D30" s="236">
        <f t="shared" si="2"/>
        <v>1.4966272403964026E-3</v>
      </c>
      <c r="E30" s="237">
        <v>4264.3599999999988</v>
      </c>
      <c r="F30" s="238">
        <f t="shared" si="0"/>
        <v>1.8751045285821677E-3</v>
      </c>
      <c r="G30" s="235">
        <v>3403.6275000000001</v>
      </c>
      <c r="H30" s="238">
        <f t="shared" si="1"/>
        <v>1</v>
      </c>
      <c r="I30" s="239">
        <v>4264.3599999999988</v>
      </c>
      <c r="J30" s="238">
        <f t="shared" si="3"/>
        <v>1</v>
      </c>
      <c r="K30" s="240">
        <v>0</v>
      </c>
      <c r="L30" s="241">
        <f t="shared" si="4"/>
        <v>0</v>
      </c>
      <c r="M30" s="655"/>
      <c r="N30" s="655"/>
      <c r="O30" s="658"/>
    </row>
    <row r="31" spans="1:17" ht="18.75" x14ac:dyDescent="0.2">
      <c r="A31" s="243">
        <f t="shared" si="5"/>
        <v>46201</v>
      </c>
      <c r="B31" s="235">
        <v>3370259.74</v>
      </c>
      <c r="C31" s="235">
        <v>5665.0990000000011</v>
      </c>
      <c r="D31" s="236">
        <f t="shared" si="2"/>
        <v>1.6809087242634897E-3</v>
      </c>
      <c r="E31" s="237">
        <v>5862.6061700000009</v>
      </c>
      <c r="F31" s="238">
        <f t="shared" si="0"/>
        <v>1.7395116763315103E-3</v>
      </c>
      <c r="G31" s="235">
        <v>5665.0990000000011</v>
      </c>
      <c r="H31" s="238">
        <f t="shared" si="1"/>
        <v>1</v>
      </c>
      <c r="I31" s="239">
        <v>5862.6061700000009</v>
      </c>
      <c r="J31" s="238">
        <f t="shared" si="3"/>
        <v>1</v>
      </c>
      <c r="K31" s="240">
        <v>0</v>
      </c>
      <c r="L31" s="241">
        <f t="shared" si="4"/>
        <v>0</v>
      </c>
      <c r="M31" s="655"/>
      <c r="N31" s="655"/>
      <c r="O31" s="658"/>
    </row>
    <row r="32" spans="1:17" ht="18.75" x14ac:dyDescent="0.2">
      <c r="A32" s="337">
        <f t="shared" si="5"/>
        <v>46202</v>
      </c>
      <c r="B32" s="244">
        <v>3278820.13</v>
      </c>
      <c r="C32" s="244">
        <v>2343.4724999999999</v>
      </c>
      <c r="D32" s="245">
        <f t="shared" si="2"/>
        <v>7.1473042347095753E-4</v>
      </c>
      <c r="E32" s="250">
        <v>1054.1315000000031</v>
      </c>
      <c r="F32" s="246">
        <f t="shared" si="0"/>
        <v>3.2149720271480801E-4</v>
      </c>
      <c r="G32" s="244">
        <v>2343.4724999999999</v>
      </c>
      <c r="H32" s="246">
        <f t="shared" si="1"/>
        <v>1</v>
      </c>
      <c r="I32" s="251">
        <v>1054.1315000000031</v>
      </c>
      <c r="J32" s="246">
        <f t="shared" si="3"/>
        <v>1</v>
      </c>
      <c r="K32" s="252">
        <v>0</v>
      </c>
      <c r="L32" s="247">
        <f t="shared" si="4"/>
        <v>0</v>
      </c>
      <c r="M32" s="656"/>
      <c r="N32" s="656"/>
      <c r="O32" s="659"/>
    </row>
    <row r="33" spans="1:15" ht="18.75" x14ac:dyDescent="0.2">
      <c r="A33" s="336">
        <f t="shared" si="5"/>
        <v>46203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.75" x14ac:dyDescent="0.2">
      <c r="A34" s="337"/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.75" x14ac:dyDescent="0.2">
      <c r="A35" s="293" t="s">
        <v>246</v>
      </c>
      <c r="B35" s="254">
        <f>AVERAGE(B4:B34)</f>
        <v>2785351.2817241373</v>
      </c>
      <c r="C35" s="254">
        <f>AVERAGE(C4:C34)</f>
        <v>7882.203631034482</v>
      </c>
      <c r="D35" s="255">
        <f>C35/B35</f>
        <v>2.8298777546490956E-3</v>
      </c>
      <c r="E35" s="256">
        <f>AVERAGE(E4:E34)</f>
        <v>11980.900450517243</v>
      </c>
      <c r="F35" s="294">
        <f>E35/B35</f>
        <v>4.301396570381975E-3</v>
      </c>
      <c r="G35" s="254">
        <f>AVERAGE(G4:G34)</f>
        <v>7882.203631034482</v>
      </c>
      <c r="H35" s="257">
        <f>G35/C35</f>
        <v>1</v>
      </c>
      <c r="I35" s="258">
        <f>AVERAGE(I4:I34)</f>
        <v>11980.900450517243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136</v>
      </c>
      <c r="B36" s="235">
        <f>SUM(B4:B34)</f>
        <v>80775187.169999987</v>
      </c>
      <c r="C36" s="235">
        <f>SUM(C4:C34)</f>
        <v>228583.90529999998</v>
      </c>
      <c r="D36" s="236">
        <f>C36/B36</f>
        <v>2.8298777546490956E-3</v>
      </c>
      <c r="E36" s="237">
        <f>SUM(E4:E34)</f>
        <v>347446.11306500004</v>
      </c>
      <c r="F36" s="263">
        <f>E36/B36</f>
        <v>4.301396570381975E-3</v>
      </c>
      <c r="G36" s="235">
        <f>SUM(G4:G34)</f>
        <v>228583.90529999998</v>
      </c>
      <c r="H36" s="238">
        <f>G36/C36</f>
        <v>1</v>
      </c>
      <c r="I36" s="239">
        <f>SUM(I4:I34)</f>
        <v>347446.11306500004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60"/>
      <c r="B37" s="660"/>
      <c r="C37" s="660"/>
      <c r="D37" s="660"/>
      <c r="E37" s="660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60"/>
      <c r="B38" s="660"/>
      <c r="C38" s="660"/>
      <c r="D38" s="660"/>
      <c r="E38" s="660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2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8" width="12.5703125" style="2" customWidth="1"/>
    <col min="39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247</v>
      </c>
      <c r="D2" s="5" t="s">
        <v>248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249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250</v>
      </c>
      <c r="C5" s="7" t="s">
        <v>251</v>
      </c>
      <c r="D5" s="7" t="s">
        <v>12</v>
      </c>
      <c r="E5" s="7" t="s">
        <v>13</v>
      </c>
      <c r="G5" s="7"/>
      <c r="H5" s="49" t="s">
        <v>14</v>
      </c>
      <c r="I5" s="49" t="s">
        <v>250</v>
      </c>
      <c r="J5" s="49" t="s">
        <v>251</v>
      </c>
      <c r="K5" s="7" t="s">
        <v>13</v>
      </c>
      <c r="L5" s="62" t="s">
        <v>15</v>
      </c>
      <c r="M5" s="7"/>
      <c r="N5" s="49" t="s">
        <v>250</v>
      </c>
      <c r="O5" s="49" t="s">
        <v>36</v>
      </c>
      <c r="P5" s="49" t="s">
        <v>251</v>
      </c>
      <c r="Q5" s="49" t="s">
        <v>12</v>
      </c>
      <c r="R5" s="67"/>
      <c r="S5" s="7"/>
      <c r="T5" s="49" t="s">
        <v>250</v>
      </c>
      <c r="U5" s="49" t="s">
        <v>36</v>
      </c>
      <c r="V5" s="49" t="s">
        <v>251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252</v>
      </c>
      <c r="H6" s="11">
        <v>110</v>
      </c>
      <c r="I6" s="11">
        <v>100</v>
      </c>
      <c r="J6" s="11">
        <v>90</v>
      </c>
      <c r="K6" s="12"/>
      <c r="L6" s="62" t="s">
        <v>253</v>
      </c>
      <c r="M6" s="49" t="s">
        <v>254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255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259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260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260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262</v>
      </c>
      <c r="N10" s="9" t="s">
        <v>263</v>
      </c>
      <c r="O10" s="13" t="str">
        <f t="shared" si="1"/>
        <v/>
      </c>
      <c r="P10" s="4" t="s">
        <v>264</v>
      </c>
      <c r="Q10" s="13" t="str">
        <f t="shared" si="2"/>
        <v/>
      </c>
      <c r="S10" s="49" t="s">
        <v>262</v>
      </c>
      <c r="T10" s="9" t="s">
        <v>263</v>
      </c>
      <c r="U10" s="13" t="str">
        <f t="shared" si="3"/>
        <v/>
      </c>
      <c r="V10" s="4" t="s">
        <v>264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265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266</v>
      </c>
      <c r="N11" s="9" t="s">
        <v>263</v>
      </c>
      <c r="O11" s="13" t="str">
        <f t="shared" si="1"/>
        <v/>
      </c>
      <c r="P11" s="4" t="s">
        <v>264</v>
      </c>
      <c r="Q11" s="13" t="str">
        <f t="shared" si="2"/>
        <v/>
      </c>
      <c r="S11" s="49" t="s">
        <v>266</v>
      </c>
      <c r="T11" s="9" t="s">
        <v>263</v>
      </c>
      <c r="U11" s="13" t="str">
        <f t="shared" si="3"/>
        <v/>
      </c>
      <c r="V11" s="4" t="s">
        <v>264</v>
      </c>
      <c r="W11" s="13" t="str">
        <f t="shared" si="4"/>
        <v/>
      </c>
    </row>
    <row r="12" spans="1:23" ht="15.75" customHeight="1" x14ac:dyDescent="0.2">
      <c r="M12" s="49" t="s">
        <v>267</v>
      </c>
      <c r="N12" s="9" t="s">
        <v>263</v>
      </c>
      <c r="O12" s="13" t="str">
        <f t="shared" si="1"/>
        <v/>
      </c>
      <c r="P12" s="4" t="s">
        <v>264</v>
      </c>
      <c r="Q12" s="13" t="str">
        <f t="shared" si="2"/>
        <v/>
      </c>
      <c r="S12" s="49" t="s">
        <v>267</v>
      </c>
      <c r="T12" s="9" t="s">
        <v>263</v>
      </c>
      <c r="U12" s="13" t="str">
        <f t="shared" si="3"/>
        <v/>
      </c>
      <c r="V12" s="4" t="s">
        <v>264</v>
      </c>
      <c r="W12" s="13" t="str">
        <f t="shared" si="4"/>
        <v/>
      </c>
    </row>
    <row r="13" spans="1:23" ht="15.75" customHeight="1" x14ac:dyDescent="0.2">
      <c r="A13" s="60" t="s">
        <v>268</v>
      </c>
      <c r="B13" s="67"/>
      <c r="C13" s="67"/>
      <c r="D13" s="67"/>
      <c r="E13" s="67"/>
      <c r="F13" s="67"/>
      <c r="M13" s="49" t="s">
        <v>269</v>
      </c>
      <c r="N13" s="9" t="s">
        <v>263</v>
      </c>
      <c r="O13" s="13" t="str">
        <f t="shared" si="1"/>
        <v/>
      </c>
      <c r="P13" s="4" t="s">
        <v>264</v>
      </c>
      <c r="Q13" s="13" t="str">
        <f t="shared" si="2"/>
        <v/>
      </c>
      <c r="S13" s="49" t="s">
        <v>269</v>
      </c>
      <c r="T13" s="9" t="s">
        <v>263</v>
      </c>
      <c r="U13" s="13" t="str">
        <f t="shared" si="3"/>
        <v/>
      </c>
      <c r="V13" s="4" t="s">
        <v>264</v>
      </c>
      <c r="W13" s="13" t="str">
        <f t="shared" si="4"/>
        <v/>
      </c>
    </row>
    <row r="14" spans="1:23" ht="12.75" x14ac:dyDescent="0.2">
      <c r="A14" s="7"/>
      <c r="B14" s="49" t="s">
        <v>250</v>
      </c>
      <c r="C14" s="7" t="s">
        <v>251</v>
      </c>
      <c r="D14" s="7" t="s">
        <v>12</v>
      </c>
      <c r="E14" s="7" t="s">
        <v>13</v>
      </c>
      <c r="F14" s="67"/>
      <c r="G14" s="7"/>
      <c r="H14" s="49" t="s">
        <v>250</v>
      </c>
      <c r="I14" s="7" t="s">
        <v>251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262</v>
      </c>
      <c r="H15" s="4"/>
      <c r="I15" s="4"/>
      <c r="J15" s="16">
        <f>H15-I15</f>
        <v>0</v>
      </c>
      <c r="K15" s="17"/>
      <c r="M15" s="60" t="s">
        <v>270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266</v>
      </c>
      <c r="H16" s="4"/>
      <c r="I16" s="4"/>
      <c r="J16" s="16">
        <f>H16-I16</f>
        <v>0</v>
      </c>
      <c r="K16" s="17"/>
      <c r="M16" s="18"/>
      <c r="N16" s="46" t="s">
        <v>136</v>
      </c>
      <c r="O16" s="19"/>
      <c r="P16" s="58" t="s">
        <v>183</v>
      </c>
      <c r="Q16" s="19"/>
      <c r="R16" s="51" t="s">
        <v>271</v>
      </c>
      <c r="S16" s="19"/>
    </row>
    <row r="17" spans="1:27" ht="15.75" customHeight="1" x14ac:dyDescent="0.2">
      <c r="A17" s="49" t="s">
        <v>258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267</v>
      </c>
      <c r="H17" s="4"/>
      <c r="I17" s="4"/>
      <c r="J17" s="16">
        <f>H17-I17</f>
        <v>0</v>
      </c>
      <c r="K17" s="17"/>
      <c r="M17" s="20"/>
      <c r="N17" s="21" t="s">
        <v>141</v>
      </c>
      <c r="O17" s="50" t="s">
        <v>36</v>
      </c>
      <c r="P17" s="8" t="s">
        <v>141</v>
      </c>
      <c r="Q17" s="50" t="s">
        <v>36</v>
      </c>
      <c r="R17" s="8" t="s">
        <v>141</v>
      </c>
      <c r="S17" s="50" t="s">
        <v>36</v>
      </c>
    </row>
    <row r="18" spans="1:27" ht="15.75" customHeight="1" x14ac:dyDescent="0.2">
      <c r="A18" s="49" t="s">
        <v>260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269</v>
      </c>
      <c r="H18" s="4"/>
      <c r="I18" s="4"/>
      <c r="J18" s="16">
        <f>H18-I18</f>
        <v>0</v>
      </c>
      <c r="K18" s="17"/>
      <c r="M18" s="49" t="s">
        <v>257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259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90</v>
      </c>
      <c r="C21" s="691" t="s">
        <v>106</v>
      </c>
      <c r="D21" s="677"/>
      <c r="E21" s="672"/>
      <c r="F21" s="49" t="s">
        <v>95</v>
      </c>
      <c r="G21" s="49" t="s">
        <v>273</v>
      </c>
      <c r="H21" s="49" t="s">
        <v>274</v>
      </c>
      <c r="I21" s="8" t="s">
        <v>109</v>
      </c>
      <c r="J21" s="678" t="s">
        <v>110</v>
      </c>
      <c r="K21" s="672"/>
      <c r="M21" s="60" t="s">
        <v>148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254</v>
      </c>
      <c r="B22" s="6">
        <v>1</v>
      </c>
      <c r="C22" s="676" t="s">
        <v>275</v>
      </c>
      <c r="D22" s="677"/>
      <c r="E22" s="672"/>
      <c r="F22" s="4">
        <v>3</v>
      </c>
      <c r="G22" s="4">
        <v>3000</v>
      </c>
      <c r="H22" s="4">
        <v>1000</v>
      </c>
      <c r="I22" s="4">
        <v>10</v>
      </c>
      <c r="J22" s="671" t="s">
        <v>276</v>
      </c>
      <c r="K22" s="672"/>
      <c r="M22" s="52" t="s">
        <v>257</v>
      </c>
      <c r="N22" s="57" t="s">
        <v>90</v>
      </c>
      <c r="O22" s="682" t="s">
        <v>106</v>
      </c>
      <c r="P22" s="677"/>
      <c r="Q22" s="672"/>
      <c r="R22" s="683" t="s">
        <v>152</v>
      </c>
      <c r="S22" s="677"/>
      <c r="T22" s="672"/>
      <c r="U22" s="57" t="s">
        <v>153</v>
      </c>
      <c r="V22" s="57" t="s">
        <v>24</v>
      </c>
      <c r="W22" s="57" t="s">
        <v>154</v>
      </c>
      <c r="X22" s="8" t="s">
        <v>141</v>
      </c>
      <c r="Y22" s="8" t="s">
        <v>109</v>
      </c>
      <c r="Z22" s="678" t="s">
        <v>110</v>
      </c>
      <c r="AA22" s="672"/>
    </row>
    <row r="23" spans="1:27" ht="15.75" customHeight="1" x14ac:dyDescent="0.2">
      <c r="A23" s="23"/>
      <c r="B23" s="6">
        <v>2</v>
      </c>
      <c r="C23" s="685"/>
      <c r="D23" s="677"/>
      <c r="E23" s="672"/>
      <c r="F23" s="4"/>
      <c r="G23" s="4"/>
      <c r="H23" s="4"/>
      <c r="I23" s="4"/>
      <c r="J23" s="685"/>
      <c r="K23" s="672"/>
      <c r="M23" s="56" t="s">
        <v>183</v>
      </c>
      <c r="N23" s="24">
        <v>1</v>
      </c>
      <c r="O23" s="671" t="s">
        <v>277</v>
      </c>
      <c r="P23" s="677"/>
      <c r="Q23" s="672"/>
      <c r="R23" s="671" t="s">
        <v>278</v>
      </c>
      <c r="S23" s="677"/>
      <c r="T23" s="67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1" t="s">
        <v>279</v>
      </c>
      <c r="AA23" s="672"/>
    </row>
    <row r="24" spans="1:27" ht="15.75" customHeight="1" x14ac:dyDescent="0.2">
      <c r="A24" s="23"/>
      <c r="B24" s="6">
        <v>3</v>
      </c>
      <c r="C24" s="685"/>
      <c r="D24" s="677"/>
      <c r="E24" s="672"/>
      <c r="F24" s="4"/>
      <c r="G24" s="4"/>
      <c r="H24" s="4"/>
      <c r="I24" s="4"/>
      <c r="J24" s="685"/>
      <c r="K24" s="672"/>
      <c r="M24" s="25"/>
      <c r="N24" s="24">
        <v>2</v>
      </c>
      <c r="O24" s="676"/>
      <c r="P24" s="677"/>
      <c r="Q24" s="672"/>
      <c r="R24" s="676"/>
      <c r="S24" s="677"/>
      <c r="T24" s="672"/>
      <c r="U24" s="4"/>
      <c r="V24" s="14"/>
      <c r="W24" s="4"/>
      <c r="X24" s="16">
        <f>W24*U24</f>
        <v>0</v>
      </c>
      <c r="Y24" s="4"/>
      <c r="Z24" s="676"/>
      <c r="AA24" s="672"/>
    </row>
    <row r="25" spans="1:27" ht="15.75" customHeight="1" x14ac:dyDescent="0.2">
      <c r="A25" s="23"/>
      <c r="B25" s="6">
        <v>4</v>
      </c>
      <c r="C25" s="685"/>
      <c r="D25" s="677"/>
      <c r="E25" s="672"/>
      <c r="F25" s="4"/>
      <c r="G25" s="4"/>
      <c r="H25" s="4"/>
      <c r="I25" s="4"/>
      <c r="J25" s="685"/>
      <c r="K25" s="672"/>
      <c r="M25" s="25"/>
      <c r="N25" s="24">
        <v>3</v>
      </c>
      <c r="O25" s="676"/>
      <c r="P25" s="677"/>
      <c r="Q25" s="672"/>
      <c r="R25" s="676"/>
      <c r="S25" s="677"/>
      <c r="T25" s="672"/>
      <c r="U25" s="4"/>
      <c r="V25" s="14"/>
      <c r="W25" s="4"/>
      <c r="X25" s="16">
        <f>W25*U25</f>
        <v>0</v>
      </c>
      <c r="Y25" s="4"/>
      <c r="Z25" s="676"/>
      <c r="AA25" s="672"/>
    </row>
    <row r="26" spans="1:27" ht="15.75" customHeight="1" x14ac:dyDescent="0.2">
      <c r="A26" s="23"/>
      <c r="B26" s="26">
        <v>5</v>
      </c>
      <c r="C26" s="697"/>
      <c r="D26" s="681"/>
      <c r="E26" s="680"/>
      <c r="F26" s="27"/>
      <c r="G26" s="27"/>
      <c r="H26" s="27"/>
      <c r="I26" s="27"/>
      <c r="J26" s="697"/>
      <c r="K26" s="680"/>
      <c r="M26" s="25"/>
      <c r="N26" s="24">
        <v>4</v>
      </c>
      <c r="O26" s="676"/>
      <c r="P26" s="677"/>
      <c r="Q26" s="672"/>
      <c r="R26" s="676"/>
      <c r="S26" s="677"/>
      <c r="T26" s="672"/>
      <c r="U26" s="4"/>
      <c r="V26" s="14"/>
      <c r="W26" s="4"/>
      <c r="X26" s="16">
        <f>W26*U26</f>
        <v>0</v>
      </c>
      <c r="Y26" s="4"/>
      <c r="Z26" s="676"/>
      <c r="AA26" s="672"/>
    </row>
    <row r="27" spans="1:27" ht="15.75" customHeight="1" x14ac:dyDescent="0.2">
      <c r="A27" s="23"/>
      <c r="B27" s="69" t="s">
        <v>280</v>
      </c>
      <c r="C27" s="688" t="s">
        <v>281</v>
      </c>
      <c r="D27" s="689"/>
      <c r="E27" s="690"/>
      <c r="F27" s="28">
        <v>4</v>
      </c>
      <c r="G27" s="28">
        <v>2800</v>
      </c>
      <c r="H27" s="28">
        <v>700</v>
      </c>
      <c r="I27" s="28" t="s">
        <v>282</v>
      </c>
      <c r="J27" s="688" t="s">
        <v>283</v>
      </c>
      <c r="K27" s="690"/>
      <c r="M27" s="25"/>
      <c r="N27" s="29">
        <v>5</v>
      </c>
      <c r="O27" s="679"/>
      <c r="P27" s="681"/>
      <c r="Q27" s="680"/>
      <c r="R27" s="679"/>
      <c r="S27" s="681"/>
      <c r="T27" s="680"/>
      <c r="U27" s="27"/>
      <c r="V27" s="30"/>
      <c r="W27" s="27"/>
      <c r="X27" s="31">
        <f>W27*U27</f>
        <v>0</v>
      </c>
      <c r="Y27" s="4"/>
      <c r="Z27" s="679"/>
      <c r="AA27" s="680"/>
    </row>
    <row r="28" spans="1:27" ht="15.75" customHeight="1" x14ac:dyDescent="0.2">
      <c r="A28" s="23"/>
      <c r="B28" s="70" t="s">
        <v>284</v>
      </c>
      <c r="C28" s="685"/>
      <c r="D28" s="677"/>
      <c r="E28" s="672"/>
      <c r="F28" s="4"/>
      <c r="G28" s="4"/>
      <c r="H28" s="4"/>
      <c r="I28" s="4"/>
      <c r="J28" s="685"/>
      <c r="K28" s="672"/>
      <c r="M28" s="32"/>
      <c r="N28" s="55"/>
      <c r="O28" s="684"/>
      <c r="P28" s="677"/>
      <c r="Q28" s="677"/>
      <c r="R28" s="684"/>
      <c r="S28" s="677"/>
      <c r="T28" s="677"/>
      <c r="U28" s="59" t="s">
        <v>165</v>
      </c>
      <c r="V28" s="33">
        <f>X28/N18</f>
        <v>8.3333333333333329E-2</v>
      </c>
      <c r="W28" s="59" t="s">
        <v>166</v>
      </c>
      <c r="X28" s="34">
        <f>SUM(X23:X27)</f>
        <v>100</v>
      </c>
      <c r="Y28" s="45"/>
      <c r="Z28" s="684"/>
      <c r="AA28" s="672"/>
    </row>
    <row r="29" spans="1:27" ht="15.75" customHeight="1" x14ac:dyDescent="0.2">
      <c r="A29" s="23"/>
      <c r="B29" s="70" t="s">
        <v>285</v>
      </c>
      <c r="C29" s="685"/>
      <c r="D29" s="677"/>
      <c r="E29" s="672"/>
      <c r="F29" s="4"/>
      <c r="G29" s="4"/>
      <c r="H29" s="4"/>
      <c r="I29" s="4"/>
      <c r="J29" s="685"/>
      <c r="K29" s="672"/>
      <c r="M29" s="56" t="s">
        <v>271</v>
      </c>
      <c r="N29" s="24">
        <v>1</v>
      </c>
      <c r="O29" s="696" t="s">
        <v>286</v>
      </c>
      <c r="P29" s="674"/>
      <c r="Q29" s="675"/>
      <c r="R29" s="673" t="s">
        <v>287</v>
      </c>
      <c r="S29" s="674"/>
      <c r="T29" s="67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3" t="s">
        <v>288</v>
      </c>
      <c r="AA29" s="675"/>
    </row>
    <row r="30" spans="1:27" ht="15.75" customHeight="1" x14ac:dyDescent="0.2">
      <c r="A30" s="23"/>
      <c r="B30" s="70" t="s">
        <v>289</v>
      </c>
      <c r="C30" s="685"/>
      <c r="D30" s="677"/>
      <c r="E30" s="672"/>
      <c r="F30" s="4"/>
      <c r="G30" s="4"/>
      <c r="H30" s="4"/>
      <c r="I30" s="4"/>
      <c r="J30" s="685"/>
      <c r="K30" s="672"/>
      <c r="M30" s="25"/>
      <c r="N30" s="24">
        <v>2</v>
      </c>
      <c r="O30" s="676"/>
      <c r="P30" s="677"/>
      <c r="Q30" s="672"/>
      <c r="R30" s="676"/>
      <c r="S30" s="677"/>
      <c r="T30" s="672"/>
      <c r="U30" s="4"/>
      <c r="V30" s="14"/>
      <c r="W30" s="4"/>
      <c r="X30" s="16">
        <f>W30*U30</f>
        <v>0</v>
      </c>
      <c r="Y30" s="4"/>
      <c r="Z30" s="676"/>
      <c r="AA30" s="672"/>
    </row>
    <row r="31" spans="1:27" ht="15.75" customHeight="1" x14ac:dyDescent="0.2">
      <c r="A31" s="20"/>
      <c r="B31" s="70" t="s">
        <v>290</v>
      </c>
      <c r="C31" s="685"/>
      <c r="D31" s="677"/>
      <c r="E31" s="672"/>
      <c r="F31" s="4"/>
      <c r="G31" s="4"/>
      <c r="H31" s="4"/>
      <c r="I31" s="4"/>
      <c r="J31" s="685"/>
      <c r="K31" s="672"/>
      <c r="M31" s="25"/>
      <c r="N31" s="24">
        <v>3</v>
      </c>
      <c r="O31" s="676"/>
      <c r="P31" s="677"/>
      <c r="Q31" s="672"/>
      <c r="R31" s="676"/>
      <c r="S31" s="677"/>
      <c r="T31" s="672"/>
      <c r="U31" s="4"/>
      <c r="V31" s="14"/>
      <c r="W31" s="4"/>
      <c r="X31" s="16">
        <f>W31*U31</f>
        <v>0</v>
      </c>
      <c r="Y31" s="4"/>
      <c r="Z31" s="676"/>
      <c r="AA31" s="672"/>
    </row>
    <row r="32" spans="1:27" ht="15.75" customHeight="1" x14ac:dyDescent="0.2">
      <c r="A32" s="67"/>
      <c r="M32" s="25"/>
      <c r="N32" s="24">
        <v>4</v>
      </c>
      <c r="O32" s="676"/>
      <c r="P32" s="677"/>
      <c r="Q32" s="672"/>
      <c r="R32" s="676"/>
      <c r="S32" s="677"/>
      <c r="T32" s="672"/>
      <c r="U32" s="4"/>
      <c r="V32" s="14"/>
      <c r="W32" s="4"/>
      <c r="X32" s="16">
        <f>W32*U32</f>
        <v>0</v>
      </c>
      <c r="Y32" s="4"/>
      <c r="Z32" s="676"/>
      <c r="AA32" s="672"/>
    </row>
    <row r="33" spans="1:27" ht="15.75" customHeight="1" x14ac:dyDescent="0.2">
      <c r="A33" s="18"/>
      <c r="B33" s="49" t="s">
        <v>90</v>
      </c>
      <c r="C33" s="691" t="s">
        <v>106</v>
      </c>
      <c r="D33" s="677"/>
      <c r="E33" s="672"/>
      <c r="F33" s="49" t="s">
        <v>95</v>
      </c>
      <c r="G33" s="49" t="s">
        <v>273</v>
      </c>
      <c r="H33" s="49" t="s">
        <v>274</v>
      </c>
      <c r="I33" s="8" t="s">
        <v>109</v>
      </c>
      <c r="J33" s="678" t="s">
        <v>110</v>
      </c>
      <c r="K33" s="672"/>
      <c r="M33" s="25"/>
      <c r="N33" s="29">
        <v>5</v>
      </c>
      <c r="O33" s="676"/>
      <c r="P33" s="677"/>
      <c r="Q33" s="672"/>
      <c r="R33" s="676"/>
      <c r="S33" s="677"/>
      <c r="T33" s="672"/>
      <c r="U33" s="27"/>
      <c r="V33" s="30"/>
      <c r="W33" s="27"/>
      <c r="X33" s="31">
        <f>W33*U33</f>
        <v>0</v>
      </c>
      <c r="Y33" s="4"/>
      <c r="Z33" s="676"/>
      <c r="AA33" s="672"/>
    </row>
    <row r="34" spans="1:27" ht="15.75" customHeight="1" x14ac:dyDescent="0.2">
      <c r="A34" s="52" t="s">
        <v>256</v>
      </c>
      <c r="B34" s="6">
        <v>1</v>
      </c>
      <c r="C34" s="671" t="s">
        <v>291</v>
      </c>
      <c r="D34" s="677"/>
      <c r="E34" s="672"/>
      <c r="F34" s="4">
        <v>3</v>
      </c>
      <c r="G34" s="4">
        <v>2500</v>
      </c>
      <c r="H34" s="4">
        <v>833.33</v>
      </c>
      <c r="I34" s="4">
        <v>20</v>
      </c>
      <c r="J34" s="671" t="s">
        <v>292</v>
      </c>
      <c r="K34" s="672"/>
      <c r="M34" s="68"/>
      <c r="N34" s="45"/>
      <c r="O34" s="684"/>
      <c r="P34" s="677"/>
      <c r="Q34" s="677"/>
      <c r="R34" s="684"/>
      <c r="S34" s="677"/>
      <c r="T34" s="677"/>
      <c r="U34" s="59" t="s">
        <v>165</v>
      </c>
      <c r="V34" s="33">
        <f>X34/N18</f>
        <v>0.23125000000000001</v>
      </c>
      <c r="W34" s="59" t="s">
        <v>166</v>
      </c>
      <c r="X34" s="34">
        <f>SUM(X29:X33)</f>
        <v>277.5</v>
      </c>
      <c r="Y34" s="45"/>
      <c r="Z34" s="684"/>
      <c r="AA34" s="672"/>
    </row>
    <row r="35" spans="1:27" ht="15.75" customHeight="1" x14ac:dyDescent="0.2">
      <c r="A35" s="23"/>
      <c r="B35" s="6">
        <v>2</v>
      </c>
      <c r="C35" s="676"/>
      <c r="D35" s="677"/>
      <c r="E35" s="672"/>
      <c r="F35" s="4"/>
      <c r="G35" s="4"/>
      <c r="H35" s="4"/>
      <c r="I35" s="4"/>
      <c r="J35" s="676"/>
      <c r="K35" s="672"/>
      <c r="M35" s="1"/>
      <c r="N35" s="1"/>
      <c r="O35" s="686"/>
      <c r="P35" s="687"/>
      <c r="Q35" s="687"/>
      <c r="R35" s="686"/>
      <c r="S35" s="687"/>
      <c r="T35" s="687"/>
      <c r="U35" s="1"/>
      <c r="V35" s="38"/>
      <c r="W35" s="1"/>
      <c r="X35" s="1"/>
      <c r="Y35" s="686"/>
      <c r="Z35" s="687"/>
      <c r="AA35" s="687"/>
    </row>
    <row r="36" spans="1:27" ht="15.75" customHeight="1" x14ac:dyDescent="0.2">
      <c r="A36" s="23"/>
      <c r="B36" s="6">
        <v>3</v>
      </c>
      <c r="C36" s="676"/>
      <c r="D36" s="677"/>
      <c r="E36" s="672"/>
      <c r="F36" s="4"/>
      <c r="G36" s="4"/>
      <c r="H36" s="4"/>
      <c r="I36" s="4"/>
      <c r="J36" s="676"/>
      <c r="K36" s="672"/>
      <c r="M36" s="52" t="s">
        <v>259</v>
      </c>
      <c r="N36" s="57" t="s">
        <v>90</v>
      </c>
      <c r="O36" s="682" t="s">
        <v>106</v>
      </c>
      <c r="P36" s="684"/>
      <c r="Q36" s="693"/>
      <c r="R36" s="683" t="s">
        <v>152</v>
      </c>
      <c r="S36" s="694"/>
      <c r="T36" s="695"/>
      <c r="U36" s="57" t="s">
        <v>153</v>
      </c>
      <c r="V36" s="57" t="s">
        <v>24</v>
      </c>
      <c r="W36" s="57" t="s">
        <v>154</v>
      </c>
      <c r="X36" s="8" t="s">
        <v>141</v>
      </c>
      <c r="Y36" s="8" t="s">
        <v>109</v>
      </c>
      <c r="Z36" s="678" t="s">
        <v>110</v>
      </c>
      <c r="AA36" s="692"/>
    </row>
    <row r="37" spans="1:27" ht="15.75" customHeight="1" x14ac:dyDescent="0.2">
      <c r="A37" s="23"/>
      <c r="B37" s="6">
        <v>4</v>
      </c>
      <c r="C37" s="676"/>
      <c r="D37" s="677"/>
      <c r="E37" s="672"/>
      <c r="F37" s="4"/>
      <c r="G37" s="4"/>
      <c r="H37" s="4"/>
      <c r="I37" s="4"/>
      <c r="J37" s="676"/>
      <c r="K37" s="672"/>
      <c r="M37" s="56" t="s">
        <v>183</v>
      </c>
      <c r="N37" s="24">
        <v>1</v>
      </c>
      <c r="O37" s="671" t="s">
        <v>293</v>
      </c>
      <c r="P37" s="677"/>
      <c r="Q37" s="672"/>
      <c r="R37" s="671" t="s">
        <v>294</v>
      </c>
      <c r="S37" s="677"/>
      <c r="T37" s="67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1" t="s">
        <v>295</v>
      </c>
      <c r="AA37" s="672"/>
    </row>
    <row r="38" spans="1:27" ht="15.75" customHeight="1" x14ac:dyDescent="0.2">
      <c r="A38" s="23"/>
      <c r="B38" s="26">
        <v>5</v>
      </c>
      <c r="C38" s="679"/>
      <c r="D38" s="681"/>
      <c r="E38" s="680"/>
      <c r="F38" s="27"/>
      <c r="G38" s="27"/>
      <c r="H38" s="27"/>
      <c r="I38" s="27"/>
      <c r="J38" s="679"/>
      <c r="K38" s="680"/>
      <c r="M38" s="25"/>
      <c r="N38" s="24">
        <v>2</v>
      </c>
      <c r="O38" s="676"/>
      <c r="P38" s="677"/>
      <c r="Q38" s="672"/>
      <c r="R38" s="676"/>
      <c r="S38" s="677"/>
      <c r="T38" s="672"/>
      <c r="U38" s="4"/>
      <c r="V38" s="14"/>
      <c r="W38" s="4"/>
      <c r="X38" s="16">
        <f>W38*U38</f>
        <v>0</v>
      </c>
      <c r="Y38" s="4"/>
      <c r="Z38" s="676"/>
      <c r="AA38" s="672"/>
    </row>
    <row r="39" spans="1:27" ht="14.25" x14ac:dyDescent="0.2">
      <c r="A39" s="23"/>
      <c r="B39" s="69" t="s">
        <v>280</v>
      </c>
      <c r="C39" s="688" t="s">
        <v>296</v>
      </c>
      <c r="D39" s="689"/>
      <c r="E39" s="690"/>
      <c r="F39" s="28">
        <v>7</v>
      </c>
      <c r="G39" s="28">
        <v>2200</v>
      </c>
      <c r="H39" s="28">
        <v>314.29000000000002</v>
      </c>
      <c r="I39" s="28">
        <v>-15</v>
      </c>
      <c r="J39" s="688" t="s">
        <v>297</v>
      </c>
      <c r="K39" s="690"/>
      <c r="M39" s="25"/>
      <c r="N39" s="24">
        <v>3</v>
      </c>
      <c r="O39" s="676"/>
      <c r="P39" s="677"/>
      <c r="Q39" s="672"/>
      <c r="R39" s="676"/>
      <c r="S39" s="677"/>
      <c r="T39" s="672"/>
      <c r="U39" s="4"/>
      <c r="V39" s="14"/>
      <c r="W39" s="4"/>
      <c r="X39" s="16">
        <f>W39*U39</f>
        <v>0</v>
      </c>
      <c r="Y39" s="4"/>
      <c r="Z39" s="676"/>
      <c r="AA39" s="672"/>
    </row>
    <row r="40" spans="1:27" ht="14.25" x14ac:dyDescent="0.2">
      <c r="A40" s="23"/>
      <c r="B40" s="70" t="s">
        <v>284</v>
      </c>
      <c r="C40" s="676"/>
      <c r="D40" s="677"/>
      <c r="E40" s="672"/>
      <c r="F40" s="4"/>
      <c r="G40" s="4"/>
      <c r="H40" s="4"/>
      <c r="I40" s="4"/>
      <c r="J40" s="676"/>
      <c r="K40" s="672"/>
      <c r="M40" s="25"/>
      <c r="N40" s="24">
        <v>4</v>
      </c>
      <c r="O40" s="676"/>
      <c r="P40" s="677"/>
      <c r="Q40" s="672"/>
      <c r="R40" s="676"/>
      <c r="S40" s="677"/>
      <c r="T40" s="672"/>
      <c r="U40" s="4"/>
      <c r="V40" s="14"/>
      <c r="W40" s="4"/>
      <c r="X40" s="16">
        <f>W40*U40</f>
        <v>0</v>
      </c>
      <c r="Y40" s="4"/>
      <c r="Z40" s="676"/>
      <c r="AA40" s="672"/>
    </row>
    <row r="41" spans="1:27" ht="14.25" x14ac:dyDescent="0.2">
      <c r="A41" s="23"/>
      <c r="B41" s="70" t="s">
        <v>285</v>
      </c>
      <c r="C41" s="676"/>
      <c r="D41" s="677"/>
      <c r="E41" s="672"/>
      <c r="F41" s="4"/>
      <c r="G41" s="4"/>
      <c r="H41" s="4"/>
      <c r="I41" s="4"/>
      <c r="J41" s="676"/>
      <c r="K41" s="672"/>
      <c r="M41" s="25"/>
      <c r="N41" s="29">
        <v>5</v>
      </c>
      <c r="O41" s="679"/>
      <c r="P41" s="681"/>
      <c r="Q41" s="680"/>
      <c r="R41" s="679"/>
      <c r="S41" s="681"/>
      <c r="T41" s="680"/>
      <c r="U41" s="27"/>
      <c r="V41" s="30"/>
      <c r="W41" s="27"/>
      <c r="X41" s="31">
        <f>W41*U41</f>
        <v>0</v>
      </c>
      <c r="Y41" s="4"/>
      <c r="Z41" s="676"/>
      <c r="AA41" s="672"/>
    </row>
    <row r="42" spans="1:27" ht="14.25" x14ac:dyDescent="0.2">
      <c r="A42" s="23"/>
      <c r="B42" s="70" t="s">
        <v>289</v>
      </c>
      <c r="C42" s="676"/>
      <c r="D42" s="677"/>
      <c r="E42" s="672"/>
      <c r="F42" s="4"/>
      <c r="G42" s="4"/>
      <c r="H42" s="4"/>
      <c r="I42" s="4"/>
      <c r="J42" s="676"/>
      <c r="K42" s="672"/>
      <c r="M42" s="32"/>
      <c r="N42" s="54"/>
      <c r="O42" s="684"/>
      <c r="P42" s="677"/>
      <c r="Q42" s="677"/>
      <c r="R42" s="684"/>
      <c r="S42" s="677"/>
      <c r="T42" s="677"/>
      <c r="U42" s="59" t="s">
        <v>165</v>
      </c>
      <c r="V42" s="33">
        <f>X42/N19</f>
        <v>5.5555555555555552E-2</v>
      </c>
      <c r="W42" s="59" t="s">
        <v>166</v>
      </c>
      <c r="X42" s="34">
        <f>SUM(X37:X41)</f>
        <v>250</v>
      </c>
      <c r="Y42" s="45"/>
      <c r="Z42" s="684"/>
      <c r="AA42" s="672"/>
    </row>
    <row r="43" spans="1:27" ht="14.25" x14ac:dyDescent="0.2">
      <c r="A43" s="20"/>
      <c r="B43" s="70" t="s">
        <v>290</v>
      </c>
      <c r="C43" s="676"/>
      <c r="D43" s="677"/>
      <c r="E43" s="672"/>
      <c r="F43" s="4"/>
      <c r="G43" s="4"/>
      <c r="H43" s="4"/>
      <c r="I43" s="4"/>
      <c r="J43" s="676"/>
      <c r="K43" s="672"/>
      <c r="M43" s="56" t="s">
        <v>271</v>
      </c>
      <c r="N43" s="24">
        <v>1</v>
      </c>
      <c r="O43" s="671" t="s">
        <v>293</v>
      </c>
      <c r="P43" s="677"/>
      <c r="Q43" s="672"/>
      <c r="R43" s="673" t="s">
        <v>298</v>
      </c>
      <c r="S43" s="674"/>
      <c r="T43" s="67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1" t="s">
        <v>299</v>
      </c>
      <c r="AA43" s="672"/>
    </row>
    <row r="44" spans="1:27" ht="14.25" x14ac:dyDescent="0.2">
      <c r="A44" s="67"/>
      <c r="M44" s="25"/>
      <c r="N44" s="24">
        <v>2</v>
      </c>
      <c r="O44" s="676"/>
      <c r="P44" s="677"/>
      <c r="Q44" s="672"/>
      <c r="R44" s="676"/>
      <c r="S44" s="677"/>
      <c r="T44" s="672"/>
      <c r="U44" s="4"/>
      <c r="V44" s="14"/>
      <c r="W44" s="4"/>
      <c r="X44" s="37">
        <f>W44*U44</f>
        <v>0</v>
      </c>
      <c r="Y44" s="4"/>
      <c r="Z44" s="676"/>
      <c r="AA44" s="672"/>
    </row>
    <row r="45" spans="1:27" ht="14.25" x14ac:dyDescent="0.2">
      <c r="A45" s="18"/>
      <c r="B45" s="49" t="s">
        <v>90</v>
      </c>
      <c r="C45" s="691" t="s">
        <v>106</v>
      </c>
      <c r="D45" s="677"/>
      <c r="E45" s="672"/>
      <c r="F45" s="49" t="s">
        <v>95</v>
      </c>
      <c r="G45" s="49" t="s">
        <v>273</v>
      </c>
      <c r="H45" s="49" t="s">
        <v>274</v>
      </c>
      <c r="I45" s="8" t="s">
        <v>109</v>
      </c>
      <c r="J45" s="678" t="s">
        <v>110</v>
      </c>
      <c r="K45" s="672"/>
      <c r="M45" s="25"/>
      <c r="N45" s="24">
        <v>3</v>
      </c>
      <c r="O45" s="676"/>
      <c r="P45" s="677"/>
      <c r="Q45" s="672"/>
      <c r="R45" s="676"/>
      <c r="S45" s="677"/>
      <c r="T45" s="672"/>
      <c r="U45" s="4"/>
      <c r="V45" s="14"/>
      <c r="W45" s="4"/>
      <c r="X45" s="37">
        <f>W45*U45</f>
        <v>0</v>
      </c>
      <c r="Y45" s="4"/>
      <c r="Z45" s="676"/>
      <c r="AA45" s="672"/>
    </row>
    <row r="46" spans="1:27" ht="14.25" x14ac:dyDescent="0.2">
      <c r="A46" s="52" t="s">
        <v>258</v>
      </c>
      <c r="B46" s="6">
        <v>1</v>
      </c>
      <c r="C46" s="671" t="s">
        <v>277</v>
      </c>
      <c r="D46" s="677"/>
      <c r="E46" s="672"/>
      <c r="F46" s="4">
        <v>15</v>
      </c>
      <c r="G46" s="4">
        <v>1200</v>
      </c>
      <c r="H46" s="4">
        <v>80</v>
      </c>
      <c r="I46" s="4">
        <v>5</v>
      </c>
      <c r="J46" s="671" t="s">
        <v>300</v>
      </c>
      <c r="K46" s="672"/>
      <c r="M46" s="25"/>
      <c r="N46" s="24">
        <v>4</v>
      </c>
      <c r="O46" s="676"/>
      <c r="P46" s="677"/>
      <c r="Q46" s="672"/>
      <c r="R46" s="676"/>
      <c r="S46" s="677"/>
      <c r="T46" s="672"/>
      <c r="U46" s="4"/>
      <c r="V46" s="14"/>
      <c r="W46" s="4"/>
      <c r="X46" s="37">
        <f>W46*U46</f>
        <v>0</v>
      </c>
      <c r="Y46" s="4"/>
      <c r="Z46" s="676"/>
      <c r="AA46" s="672"/>
    </row>
    <row r="47" spans="1:27" ht="14.25" x14ac:dyDescent="0.2">
      <c r="A47" s="23"/>
      <c r="B47" s="6">
        <v>2</v>
      </c>
      <c r="C47" s="676"/>
      <c r="D47" s="677"/>
      <c r="E47" s="672"/>
      <c r="F47" s="4"/>
      <c r="G47" s="4"/>
      <c r="H47" s="4"/>
      <c r="I47" s="4"/>
      <c r="J47" s="676"/>
      <c r="K47" s="672"/>
      <c r="M47" s="25"/>
      <c r="N47" s="29">
        <v>5</v>
      </c>
      <c r="O47" s="676"/>
      <c r="P47" s="677"/>
      <c r="Q47" s="672"/>
      <c r="R47" s="676"/>
      <c r="S47" s="677"/>
      <c r="T47" s="672"/>
      <c r="U47" s="27"/>
      <c r="V47" s="30"/>
      <c r="W47" s="27"/>
      <c r="X47" s="40">
        <f>W47*U47</f>
        <v>0</v>
      </c>
      <c r="Y47" s="4"/>
      <c r="Z47" s="676"/>
      <c r="AA47" s="672"/>
    </row>
    <row r="48" spans="1:27" ht="14.25" x14ac:dyDescent="0.2">
      <c r="A48" s="23"/>
      <c r="B48" s="6">
        <v>3</v>
      </c>
      <c r="C48" s="676"/>
      <c r="D48" s="677"/>
      <c r="E48" s="672"/>
      <c r="F48" s="4"/>
      <c r="G48" s="4"/>
      <c r="H48" s="4"/>
      <c r="I48" s="4"/>
      <c r="J48" s="676"/>
      <c r="K48" s="672"/>
      <c r="M48" s="68"/>
      <c r="N48" s="45"/>
      <c r="O48" s="684"/>
      <c r="P48" s="677"/>
      <c r="Q48" s="677"/>
      <c r="R48" s="684"/>
      <c r="S48" s="677"/>
      <c r="T48" s="677"/>
      <c r="U48" s="59" t="s">
        <v>165</v>
      </c>
      <c r="V48" s="33">
        <f>X48/N19</f>
        <v>0.13333333333333333</v>
      </c>
      <c r="W48" s="59" t="s">
        <v>166</v>
      </c>
      <c r="X48" s="34">
        <f>SUM(X43:X47)</f>
        <v>600</v>
      </c>
      <c r="Y48" s="45"/>
      <c r="Z48" s="684"/>
      <c r="AA48" s="672"/>
    </row>
    <row r="49" spans="1:27" ht="14.25" x14ac:dyDescent="0.2">
      <c r="A49" s="23"/>
      <c r="B49" s="6">
        <v>4</v>
      </c>
      <c r="C49" s="676"/>
      <c r="D49" s="677"/>
      <c r="E49" s="672"/>
      <c r="F49" s="4"/>
      <c r="G49" s="4"/>
      <c r="H49" s="4"/>
      <c r="I49" s="4"/>
      <c r="J49" s="676"/>
      <c r="K49" s="67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79"/>
      <c r="D50" s="681"/>
      <c r="E50" s="680"/>
      <c r="F50" s="27"/>
      <c r="G50" s="27"/>
      <c r="H50" s="27"/>
      <c r="I50" s="27"/>
      <c r="J50" s="679"/>
      <c r="K50" s="680"/>
      <c r="M50" s="64" t="s">
        <v>301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280</v>
      </c>
      <c r="C51" s="688" t="s">
        <v>293</v>
      </c>
      <c r="D51" s="689"/>
      <c r="E51" s="690"/>
      <c r="F51" s="28">
        <v>18</v>
      </c>
      <c r="G51" s="28">
        <v>800</v>
      </c>
      <c r="H51" s="28">
        <v>44.44</v>
      </c>
      <c r="I51" s="28">
        <v>-15</v>
      </c>
      <c r="J51" s="688" t="s">
        <v>302</v>
      </c>
      <c r="K51" s="690"/>
      <c r="M51" s="8"/>
      <c r="N51" s="8" t="s">
        <v>181</v>
      </c>
      <c r="O51" s="682" t="s">
        <v>106</v>
      </c>
      <c r="P51" s="684"/>
      <c r="Q51" s="693"/>
      <c r="R51" s="683" t="s">
        <v>152</v>
      </c>
      <c r="S51" s="694"/>
      <c r="T51" s="695"/>
      <c r="U51" s="57" t="s">
        <v>153</v>
      </c>
      <c r="V51" s="39" t="s">
        <v>182</v>
      </c>
      <c r="W51" s="57" t="s">
        <v>89</v>
      </c>
      <c r="X51" s="8" t="s">
        <v>12</v>
      </c>
      <c r="Y51" s="682" t="s">
        <v>110</v>
      </c>
      <c r="Z51" s="684"/>
      <c r="AA51" s="693"/>
    </row>
    <row r="52" spans="1:27" ht="14.25" x14ac:dyDescent="0.2">
      <c r="A52" s="23"/>
      <c r="B52" s="70" t="s">
        <v>284</v>
      </c>
      <c r="C52" s="676"/>
      <c r="D52" s="677"/>
      <c r="E52" s="672"/>
      <c r="F52" s="4"/>
      <c r="G52" s="4"/>
      <c r="H52" s="4"/>
      <c r="I52" s="4"/>
      <c r="J52" s="676"/>
      <c r="K52" s="672"/>
      <c r="M52" s="56" t="s">
        <v>183</v>
      </c>
      <c r="N52" s="24">
        <v>1</v>
      </c>
      <c r="O52" s="671" t="s">
        <v>293</v>
      </c>
      <c r="P52" s="677"/>
      <c r="Q52" s="672"/>
      <c r="R52" s="673" t="s">
        <v>298</v>
      </c>
      <c r="S52" s="674"/>
      <c r="T52" s="67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1" t="s">
        <v>303</v>
      </c>
      <c r="Z52" s="677"/>
      <c r="AA52" s="672"/>
    </row>
    <row r="53" spans="1:27" ht="14.25" x14ac:dyDescent="0.2">
      <c r="A53" s="23"/>
      <c r="B53" s="70" t="s">
        <v>285</v>
      </c>
      <c r="C53" s="676"/>
      <c r="D53" s="677"/>
      <c r="E53" s="672"/>
      <c r="F53" s="4"/>
      <c r="G53" s="4"/>
      <c r="H53" s="4"/>
      <c r="I53" s="4"/>
      <c r="J53" s="676"/>
      <c r="K53" s="672"/>
      <c r="M53" s="25"/>
      <c r="N53" s="29">
        <v>2</v>
      </c>
      <c r="O53" s="679"/>
      <c r="P53" s="681"/>
      <c r="Q53" s="680"/>
      <c r="R53" s="679"/>
      <c r="S53" s="681"/>
      <c r="T53" s="680"/>
      <c r="U53" s="27"/>
      <c r="V53" s="30"/>
      <c r="W53" s="30"/>
      <c r="X53" s="41">
        <f>W53-V53</f>
        <v>0</v>
      </c>
      <c r="Y53" s="679"/>
      <c r="Z53" s="681"/>
      <c r="AA53" s="680"/>
    </row>
    <row r="54" spans="1:27" ht="14.25" x14ac:dyDescent="0.2">
      <c r="A54" s="23"/>
      <c r="B54" s="70" t="s">
        <v>289</v>
      </c>
      <c r="C54" s="676"/>
      <c r="D54" s="677"/>
      <c r="E54" s="672"/>
      <c r="F54" s="4"/>
      <c r="G54" s="4"/>
      <c r="H54" s="4"/>
      <c r="I54" s="4"/>
      <c r="J54" s="676"/>
      <c r="K54" s="672"/>
      <c r="M54" s="56" t="s">
        <v>271</v>
      </c>
      <c r="N54" s="42">
        <v>1</v>
      </c>
      <c r="O54" s="688" t="s">
        <v>304</v>
      </c>
      <c r="P54" s="689"/>
      <c r="Q54" s="690"/>
      <c r="R54" s="688" t="s">
        <v>305</v>
      </c>
      <c r="S54" s="689"/>
      <c r="T54" s="69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88" t="s">
        <v>306</v>
      </c>
      <c r="Z54" s="689"/>
      <c r="AA54" s="690"/>
    </row>
    <row r="55" spans="1:27" ht="14.25" x14ac:dyDescent="0.2">
      <c r="A55" s="20"/>
      <c r="B55" s="70" t="s">
        <v>290</v>
      </c>
      <c r="C55" s="676"/>
      <c r="D55" s="677"/>
      <c r="E55" s="672"/>
      <c r="F55" s="4"/>
      <c r="G55" s="4"/>
      <c r="H55" s="4"/>
      <c r="I55" s="4"/>
      <c r="J55" s="676"/>
      <c r="K55" s="672"/>
      <c r="M55" s="22"/>
      <c r="N55" s="24">
        <v>2</v>
      </c>
      <c r="O55" s="676"/>
      <c r="P55" s="677"/>
      <c r="Q55" s="672"/>
      <c r="R55" s="676"/>
      <c r="S55" s="677"/>
      <c r="T55" s="672"/>
      <c r="U55" s="4"/>
      <c r="V55" s="14"/>
      <c r="W55" s="14"/>
      <c r="X55" s="13">
        <f>W55-V55</f>
        <v>0</v>
      </c>
      <c r="Y55" s="676"/>
      <c r="Z55" s="677"/>
      <c r="AA55" s="672"/>
    </row>
  </sheetData>
  <mergeCells count="162"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50:K50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R52:T52"/>
    <mergeCell ref="Z41:AA41"/>
    <mergeCell ref="J45:K45"/>
    <mergeCell ref="J46:K46"/>
    <mergeCell ref="J43:K43"/>
    <mergeCell ref="J42:K42"/>
    <mergeCell ref="Z48:AA48"/>
    <mergeCell ref="R48:T48"/>
    <mergeCell ref="J48:K48"/>
    <mergeCell ref="Z47:AA47"/>
    <mergeCell ref="R47:T47"/>
    <mergeCell ref="O44:Q44"/>
    <mergeCell ref="R43:T43"/>
    <mergeCell ref="R44:T44"/>
    <mergeCell ref="R41:T41"/>
    <mergeCell ref="J47:K47"/>
    <mergeCell ref="O42:Q42"/>
    <mergeCell ref="J41:K41"/>
    <mergeCell ref="O46:Q46"/>
    <mergeCell ref="Z38:AA38"/>
    <mergeCell ref="Z40:AA40"/>
    <mergeCell ref="Z39:AA39"/>
    <mergeCell ref="R39:T39"/>
    <mergeCell ref="O47:Q47"/>
    <mergeCell ref="Z46:AA46"/>
    <mergeCell ref="Z42:AA42"/>
    <mergeCell ref="Z44:AA44"/>
    <mergeCell ref="Z43:AA43"/>
    <mergeCell ref="O43:Q43"/>
    <mergeCell ref="Z45:AA45"/>
    <mergeCell ref="R45:T45"/>
    <mergeCell ref="R42:T42"/>
    <mergeCell ref="O41:Q41"/>
    <mergeCell ref="R46:T46"/>
    <mergeCell ref="O45:Q45"/>
    <mergeCell ref="C30:E30"/>
    <mergeCell ref="C31:E31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43:E43"/>
    <mergeCell ref="C47:E47"/>
    <mergeCell ref="C45:E45"/>
    <mergeCell ref="C46:E46"/>
    <mergeCell ref="C34:E34"/>
    <mergeCell ref="O31:Q31"/>
    <mergeCell ref="O29:Q29"/>
    <mergeCell ref="O30:Q30"/>
    <mergeCell ref="J30:K30"/>
    <mergeCell ref="J31:K31"/>
    <mergeCell ref="C55:E55"/>
    <mergeCell ref="C48:E48"/>
    <mergeCell ref="C49:E49"/>
    <mergeCell ref="C50:E50"/>
    <mergeCell ref="C52:E52"/>
    <mergeCell ref="C53:E53"/>
    <mergeCell ref="C54:E54"/>
    <mergeCell ref="C51:E51"/>
    <mergeCell ref="J36:K36"/>
    <mergeCell ref="C37:E37"/>
    <mergeCell ref="C36:E36"/>
    <mergeCell ref="O36:Q36"/>
    <mergeCell ref="R37:T37"/>
    <mergeCell ref="R36:T36"/>
    <mergeCell ref="Z36:AA36"/>
    <mergeCell ref="Z37:AA37"/>
    <mergeCell ref="Z34:AA34"/>
    <mergeCell ref="Z32:AA32"/>
    <mergeCell ref="Y35:AA35"/>
    <mergeCell ref="Z33:AA33"/>
    <mergeCell ref="C27:E27"/>
    <mergeCell ref="C35:E35"/>
    <mergeCell ref="C33:E33"/>
    <mergeCell ref="Z31:AA31"/>
    <mergeCell ref="J27:K27"/>
    <mergeCell ref="J28:K28"/>
    <mergeCell ref="R30:T30"/>
    <mergeCell ref="Z30:AA30"/>
    <mergeCell ref="O35:Q35"/>
    <mergeCell ref="O34:Q34"/>
    <mergeCell ref="O32:Q32"/>
    <mergeCell ref="R31:T31"/>
    <mergeCell ref="Z28:AA28"/>
    <mergeCell ref="Z29:AA29"/>
    <mergeCell ref="J29:K29"/>
    <mergeCell ref="R28:T28"/>
    <mergeCell ref="J37:K37"/>
    <mergeCell ref="O38:Q38"/>
    <mergeCell ref="J38:K38"/>
    <mergeCell ref="R40:T40"/>
    <mergeCell ref="J40:K40"/>
    <mergeCell ref="O40:Q40"/>
    <mergeCell ref="C38:E38"/>
    <mergeCell ref="C40:E40"/>
    <mergeCell ref="C39:E39"/>
    <mergeCell ref="C41:E41"/>
    <mergeCell ref="R38:T38"/>
    <mergeCell ref="O39:Q39"/>
    <mergeCell ref="J39:K39"/>
    <mergeCell ref="O25:Q25"/>
    <mergeCell ref="O22:Q22"/>
    <mergeCell ref="R22:T22"/>
    <mergeCell ref="O28:Q28"/>
    <mergeCell ref="C42:E42"/>
    <mergeCell ref="O37:Q37"/>
    <mergeCell ref="C28:E28"/>
    <mergeCell ref="C29:E29"/>
    <mergeCell ref="R32:T32"/>
    <mergeCell ref="R33:T33"/>
    <mergeCell ref="R35:T35"/>
    <mergeCell ref="R34:T34"/>
    <mergeCell ref="J35:K35"/>
    <mergeCell ref="J33:K33"/>
    <mergeCell ref="J34:K34"/>
    <mergeCell ref="O33:Q33"/>
    <mergeCell ref="Z23:AA23"/>
    <mergeCell ref="R29:T29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</mergeCells>
  <phoneticPr fontId="19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2" width="8.7109375" style="161" customWidth="1"/>
    <col min="43" max="16384" width="8.7109375" style="161"/>
  </cols>
  <sheetData>
    <row r="2" spans="2:7" ht="15.75" x14ac:dyDescent="0.25">
      <c r="B2" s="698" t="s">
        <v>307</v>
      </c>
      <c r="C2" s="698"/>
      <c r="D2" s="698"/>
      <c r="E2" s="698"/>
      <c r="F2" s="698"/>
    </row>
    <row r="3" spans="2:7" ht="15" x14ac:dyDescent="0.25">
      <c r="B3" s="162" t="s">
        <v>308</v>
      </c>
      <c r="C3" s="162" t="s">
        <v>254</v>
      </c>
      <c r="D3" s="163"/>
      <c r="E3" s="162" t="s">
        <v>309</v>
      </c>
      <c r="F3" s="162" t="s">
        <v>310</v>
      </c>
      <c r="G3" s="163"/>
    </row>
    <row r="4" spans="2:7" ht="15" x14ac:dyDescent="0.25">
      <c r="B4" s="164" t="s">
        <v>311</v>
      </c>
      <c r="C4" s="164" t="s">
        <v>312</v>
      </c>
      <c r="D4" s="163"/>
      <c r="E4" s="164" t="s">
        <v>313</v>
      </c>
      <c r="F4" s="164" t="s">
        <v>314</v>
      </c>
      <c r="G4" s="163"/>
    </row>
    <row r="5" spans="2:7" ht="15" x14ac:dyDescent="0.25">
      <c r="B5" s="164" t="s">
        <v>315</v>
      </c>
      <c r="C5" s="164" t="s">
        <v>316</v>
      </c>
      <c r="D5" s="163"/>
      <c r="E5" s="164" t="s">
        <v>317</v>
      </c>
      <c r="F5" s="164" t="s">
        <v>318</v>
      </c>
      <c r="G5" s="163"/>
    </row>
    <row r="6" spans="2:7" ht="15" x14ac:dyDescent="0.25">
      <c r="B6" s="164" t="s">
        <v>319</v>
      </c>
      <c r="C6" s="164" t="s">
        <v>320</v>
      </c>
      <c r="D6" s="163"/>
      <c r="E6" s="165" t="s">
        <v>321</v>
      </c>
      <c r="F6" s="165" t="s">
        <v>322</v>
      </c>
      <c r="G6" s="163"/>
    </row>
    <row r="7" spans="2:7" ht="15" x14ac:dyDescent="0.25">
      <c r="B7" s="165" t="s">
        <v>323</v>
      </c>
      <c r="C7" s="165" t="s">
        <v>324</v>
      </c>
      <c r="D7" s="163"/>
      <c r="E7" s="164" t="s">
        <v>325</v>
      </c>
      <c r="F7" s="164" t="s">
        <v>326</v>
      </c>
      <c r="G7" s="163"/>
    </row>
    <row r="8" spans="2:7" ht="15" x14ac:dyDescent="0.25">
      <c r="B8" s="164" t="s">
        <v>327</v>
      </c>
      <c r="C8" s="164" t="s">
        <v>328</v>
      </c>
      <c r="D8" s="163"/>
      <c r="E8" s="164" t="s">
        <v>329</v>
      </c>
      <c r="F8" s="164" t="s">
        <v>330</v>
      </c>
      <c r="G8" s="163"/>
    </row>
    <row r="9" spans="2:7" ht="15" x14ac:dyDescent="0.25">
      <c r="B9" s="164" t="s">
        <v>331</v>
      </c>
      <c r="C9" s="164" t="s">
        <v>332</v>
      </c>
      <c r="D9" s="163"/>
      <c r="E9" s="165" t="s">
        <v>333</v>
      </c>
      <c r="F9" s="165" t="s">
        <v>334</v>
      </c>
      <c r="G9" s="163"/>
    </row>
    <row r="10" spans="2:7" ht="15" x14ac:dyDescent="0.25">
      <c r="B10" s="164" t="s">
        <v>335</v>
      </c>
      <c r="C10" s="164" t="s">
        <v>336</v>
      </c>
      <c r="D10" s="163"/>
      <c r="E10" s="164" t="s">
        <v>337</v>
      </c>
      <c r="F10" s="164" t="s">
        <v>338</v>
      </c>
      <c r="G10" s="163"/>
    </row>
    <row r="11" spans="2:7" ht="15" x14ac:dyDescent="0.25">
      <c r="B11" s="164" t="s">
        <v>339</v>
      </c>
      <c r="C11" s="164" t="s">
        <v>340</v>
      </c>
      <c r="D11" s="163"/>
      <c r="E11" s="164" t="s">
        <v>341</v>
      </c>
      <c r="F11" s="164" t="s">
        <v>330</v>
      </c>
      <c r="G11" s="163"/>
    </row>
    <row r="12" spans="2:7" ht="15" x14ac:dyDescent="0.25">
      <c r="B12" s="164" t="s">
        <v>342</v>
      </c>
      <c r="C12" s="164" t="s">
        <v>343</v>
      </c>
      <c r="D12" s="163"/>
      <c r="E12" s="164" t="s">
        <v>344</v>
      </c>
      <c r="F12" s="164" t="s">
        <v>267</v>
      </c>
      <c r="G12" s="163"/>
    </row>
    <row r="13" spans="2:7" ht="15" x14ac:dyDescent="0.25">
      <c r="B13" s="165" t="s">
        <v>345</v>
      </c>
      <c r="C13" s="165" t="s">
        <v>258</v>
      </c>
      <c r="D13" s="163"/>
      <c r="E13" s="164" t="s">
        <v>346</v>
      </c>
      <c r="F13" s="164" t="s">
        <v>347</v>
      </c>
      <c r="G13" s="163"/>
    </row>
    <row r="14" spans="2:7" ht="15" x14ac:dyDescent="0.25">
      <c r="B14" s="164" t="s">
        <v>348</v>
      </c>
      <c r="C14" s="164" t="s">
        <v>349</v>
      </c>
      <c r="D14" s="163"/>
      <c r="E14" s="165" t="s">
        <v>350</v>
      </c>
      <c r="F14" s="165" t="s">
        <v>351</v>
      </c>
      <c r="G14" s="163"/>
    </row>
    <row r="15" spans="2:7" ht="15" x14ac:dyDescent="0.25">
      <c r="B15" s="165" t="s">
        <v>352</v>
      </c>
      <c r="C15" s="165" t="s">
        <v>353</v>
      </c>
      <c r="D15" s="163"/>
      <c r="E15" s="164" t="s">
        <v>354</v>
      </c>
      <c r="F15" s="164" t="s">
        <v>351</v>
      </c>
      <c r="G15" s="163"/>
    </row>
    <row r="16" spans="2:7" ht="15" x14ac:dyDescent="0.25">
      <c r="B16" s="164" t="s">
        <v>355</v>
      </c>
      <c r="C16" s="164" t="s">
        <v>356</v>
      </c>
      <c r="D16" s="163"/>
      <c r="E16" s="165" t="s">
        <v>357</v>
      </c>
      <c r="F16" s="165" t="s">
        <v>358</v>
      </c>
      <c r="G16" s="163"/>
    </row>
    <row r="17" spans="2:7" ht="15" x14ac:dyDescent="0.25">
      <c r="B17" s="164" t="s">
        <v>359</v>
      </c>
      <c r="C17" s="164" t="s">
        <v>360</v>
      </c>
      <c r="D17" s="163"/>
      <c r="E17" s="164" t="s">
        <v>361</v>
      </c>
      <c r="F17" s="164" t="s">
        <v>362</v>
      </c>
      <c r="G17" s="163"/>
    </row>
    <row r="18" spans="2:7" ht="15" x14ac:dyDescent="0.25">
      <c r="B18" s="164" t="s">
        <v>363</v>
      </c>
      <c r="C18" s="164" t="s">
        <v>364</v>
      </c>
      <c r="D18" s="163"/>
      <c r="E18" s="164" t="s">
        <v>365</v>
      </c>
      <c r="F18" s="164" t="s">
        <v>366</v>
      </c>
      <c r="G18" s="163"/>
    </row>
    <row r="19" spans="2:7" ht="15" x14ac:dyDescent="0.25">
      <c r="B19" s="164" t="s">
        <v>367</v>
      </c>
      <c r="C19" s="164" t="s">
        <v>368</v>
      </c>
      <c r="D19" s="163"/>
      <c r="E19" s="164" t="s">
        <v>369</v>
      </c>
      <c r="F19" s="164" t="s">
        <v>370</v>
      </c>
      <c r="G19" s="163"/>
    </row>
    <row r="20" spans="2:7" ht="15" x14ac:dyDescent="0.25">
      <c r="B20" s="164" t="s">
        <v>371</v>
      </c>
      <c r="C20" s="164" t="s">
        <v>372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2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A24" sqref="A24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3" width="9.140625" style="188" customWidth="1"/>
    <col min="44" max="16384" width="9.140625" style="188"/>
  </cols>
  <sheetData>
    <row r="1" spans="1:7" ht="15.75" x14ac:dyDescent="0.2">
      <c r="A1" s="349" t="s">
        <v>373</v>
      </c>
      <c r="B1" s="349" t="s">
        <v>95</v>
      </c>
      <c r="C1" s="349" t="s">
        <v>273</v>
      </c>
      <c r="D1" s="187"/>
    </row>
    <row r="2" spans="1:7" ht="15.75" x14ac:dyDescent="0.2">
      <c r="A2" s="349" t="s">
        <v>267</v>
      </c>
      <c r="B2" s="349"/>
      <c r="C2" s="349"/>
      <c r="D2" s="189" t="s">
        <v>374</v>
      </c>
    </row>
    <row r="3" spans="1:7" ht="15.75" x14ac:dyDescent="0.2">
      <c r="A3" s="349" t="s">
        <v>115</v>
      </c>
      <c r="B3" s="349">
        <v>15</v>
      </c>
      <c r="C3" s="349">
        <v>2250</v>
      </c>
      <c r="D3" s="189" t="s">
        <v>375</v>
      </c>
      <c r="G3" s="188">
        <f t="shared" ref="G3:G5" si="0">C3/B3</f>
        <v>150</v>
      </c>
    </row>
    <row r="4" spans="1:7" ht="15.75" x14ac:dyDescent="0.2">
      <c r="A4" s="349" t="s">
        <v>376</v>
      </c>
      <c r="B4" s="349">
        <v>17</v>
      </c>
      <c r="C4" s="349">
        <v>1716</v>
      </c>
      <c r="D4" s="187"/>
    </row>
    <row r="5" spans="1:7" ht="15.75" x14ac:dyDescent="0.2">
      <c r="A5" s="349" t="s">
        <v>114</v>
      </c>
      <c r="B5" s="349">
        <v>14</v>
      </c>
      <c r="C5" s="349">
        <v>2250</v>
      </c>
      <c r="D5" s="187"/>
      <c r="G5" s="188">
        <f t="shared" si="0"/>
        <v>160.71428571428572</v>
      </c>
    </row>
    <row r="6" spans="1:7" ht="15.75" x14ac:dyDescent="0.2">
      <c r="A6" s="349" t="s">
        <v>377</v>
      </c>
      <c r="B6" s="349">
        <v>16</v>
      </c>
      <c r="C6" s="349">
        <v>1714</v>
      </c>
      <c r="D6" s="187"/>
    </row>
    <row r="7" spans="1:7" ht="15.75" x14ac:dyDescent="0.2">
      <c r="A7" s="349" t="s">
        <v>112</v>
      </c>
      <c r="B7" s="349">
        <v>13</v>
      </c>
      <c r="C7" s="349">
        <v>2250</v>
      </c>
      <c r="D7" s="187"/>
      <c r="G7" s="188">
        <f t="shared" ref="G7:G29" si="1">C7/B7</f>
        <v>173.07692307692307</v>
      </c>
    </row>
    <row r="8" spans="1:7" ht="15.75" x14ac:dyDescent="0.2">
      <c r="A8" s="349" t="s">
        <v>116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 x14ac:dyDescent="0.2">
      <c r="A9" s="349" t="s">
        <v>159</v>
      </c>
      <c r="B9" s="349">
        <v>17</v>
      </c>
      <c r="C9" s="349">
        <v>2250</v>
      </c>
      <c r="D9" s="187"/>
    </row>
    <row r="10" spans="1:7" ht="15.75" x14ac:dyDescent="0.2">
      <c r="A10" s="349" t="s">
        <v>378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 x14ac:dyDescent="0.25">
      <c r="A11" s="360" t="s">
        <v>379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 x14ac:dyDescent="0.2">
      <c r="A12" s="349" t="s">
        <v>117</v>
      </c>
      <c r="B12" s="349">
        <v>15</v>
      </c>
      <c r="C12" s="349">
        <v>2250</v>
      </c>
      <c r="D12" s="187"/>
    </row>
    <row r="13" spans="1:7" ht="15.75" x14ac:dyDescent="0.2">
      <c r="A13" s="349" t="s">
        <v>380</v>
      </c>
      <c r="B13" s="349">
        <v>18</v>
      </c>
      <c r="C13" s="349">
        <v>1565</v>
      </c>
      <c r="D13" s="187"/>
    </row>
    <row r="14" spans="1:7" ht="15.75" x14ac:dyDescent="0.2">
      <c r="A14" s="349" t="s">
        <v>161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 x14ac:dyDescent="0.2">
      <c r="A15" s="349" t="s">
        <v>169</v>
      </c>
      <c r="B15" s="349">
        <v>16</v>
      </c>
      <c r="C15" s="349">
        <v>1800</v>
      </c>
      <c r="D15" s="187"/>
    </row>
    <row r="16" spans="1:7" ht="15.75" x14ac:dyDescent="0.2">
      <c r="A16" s="349" t="s">
        <v>221</v>
      </c>
      <c r="B16" s="349">
        <v>17</v>
      </c>
      <c r="C16" s="349">
        <v>1800</v>
      </c>
      <c r="D16" s="187"/>
      <c r="G16" s="188">
        <f t="shared" si="1"/>
        <v>105.88235294117646</v>
      </c>
    </row>
    <row r="17" spans="1:7" ht="15.75" x14ac:dyDescent="0.2">
      <c r="A17" s="349" t="s">
        <v>127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 x14ac:dyDescent="0.25">
      <c r="A18" s="360" t="s">
        <v>381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 x14ac:dyDescent="0.25">
      <c r="A19" s="360" t="s">
        <v>164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 x14ac:dyDescent="0.25">
      <c r="A20" s="360" t="s">
        <v>119</v>
      </c>
      <c r="B20" s="349">
        <v>18</v>
      </c>
      <c r="C20" s="349">
        <v>1565</v>
      </c>
      <c r="D20" s="187"/>
    </row>
    <row r="21" spans="1:7" ht="15.75" x14ac:dyDescent="0.2">
      <c r="A21" s="349" t="s">
        <v>129</v>
      </c>
      <c r="B21" s="349">
        <v>18</v>
      </c>
      <c r="C21" s="349">
        <v>1636</v>
      </c>
      <c r="D21" s="187"/>
    </row>
    <row r="22" spans="1:7" ht="15.75" x14ac:dyDescent="0.2">
      <c r="A22" s="349" t="s">
        <v>125</v>
      </c>
      <c r="B22" s="349">
        <v>18</v>
      </c>
      <c r="C22" s="349">
        <v>1565</v>
      </c>
    </row>
    <row r="23" spans="1:7" ht="15.75" x14ac:dyDescent="0.25">
      <c r="A23" s="360" t="s">
        <v>122</v>
      </c>
      <c r="B23" s="349">
        <v>17</v>
      </c>
      <c r="C23" s="349">
        <v>1500</v>
      </c>
      <c r="E23" s="303"/>
    </row>
    <row r="24" spans="1:7" ht="15.75" x14ac:dyDescent="0.2">
      <c r="A24" s="349"/>
      <c r="B24" s="349"/>
      <c r="C24" s="349"/>
    </row>
    <row r="25" spans="1:7" ht="15.75" x14ac:dyDescent="0.25">
      <c r="A25" s="360"/>
      <c r="B25" s="349"/>
      <c r="C25" s="349"/>
    </row>
    <row r="26" spans="1:7" ht="15.75" x14ac:dyDescent="0.2">
      <c r="A26" s="349" t="s">
        <v>269</v>
      </c>
      <c r="B26" s="349"/>
      <c r="C26" s="349"/>
    </row>
    <row r="27" spans="1:7" ht="15.75" x14ac:dyDescent="0.2">
      <c r="A27" s="349" t="s">
        <v>98</v>
      </c>
      <c r="B27" s="349">
        <v>15</v>
      </c>
      <c r="C27" s="349">
        <v>1565</v>
      </c>
      <c r="G27" s="188">
        <f t="shared" si="1"/>
        <v>104.33333333333333</v>
      </c>
    </row>
    <row r="28" spans="1:7" ht="15.75" x14ac:dyDescent="0.2">
      <c r="A28" s="349" t="s">
        <v>99</v>
      </c>
      <c r="B28" s="349">
        <v>12</v>
      </c>
      <c r="C28" s="349">
        <v>1565</v>
      </c>
      <c r="G28" s="188">
        <f t="shared" si="1"/>
        <v>130.41666666666666</v>
      </c>
    </row>
    <row r="29" spans="1:7" ht="15.75" x14ac:dyDescent="0.2">
      <c r="A29" s="349" t="s">
        <v>101</v>
      </c>
      <c r="B29" s="349">
        <v>9</v>
      </c>
      <c r="C29" s="349">
        <v>1636</v>
      </c>
      <c r="G29" s="188">
        <f t="shared" si="1"/>
        <v>181.77777777777777</v>
      </c>
    </row>
    <row r="30" spans="1:7" ht="15.75" x14ac:dyDescent="0.2">
      <c r="A30" s="349" t="s">
        <v>100</v>
      </c>
      <c r="B30" s="349">
        <v>11</v>
      </c>
      <c r="C30" s="349">
        <v>1565</v>
      </c>
    </row>
    <row r="31" spans="1:7" ht="15.75" x14ac:dyDescent="0.2">
      <c r="A31" s="349"/>
      <c r="B31" s="349"/>
      <c r="C31" s="349"/>
    </row>
    <row r="32" spans="1:7" ht="15.75" x14ac:dyDescent="0.2">
      <c r="A32" s="349"/>
      <c r="B32" s="349"/>
      <c r="C32" s="349"/>
    </row>
    <row r="33" spans="1:3" ht="15.75" x14ac:dyDescent="0.2">
      <c r="A33" s="349"/>
      <c r="B33" s="349"/>
      <c r="C33" s="349"/>
    </row>
  </sheetData>
  <phoneticPr fontId="2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2026-07-01T07:25:18Z</dcterms:modified>
</cp:coreProperties>
</file>