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"/>
    </mc:Choice>
  </mc:AlternateContent>
  <xr:revisionPtr revIDLastSave="0" documentId="11_5656E1B846208ED1374D1595D7C685521380117C" xr6:coauthVersionLast="47" xr6:coauthVersionMax="47" xr10:uidLastSave="{00000000-0000-0000-0000-000000000000}"/>
  <bookViews>
    <workbookView xWindow="-120" yWindow="-120" windowWidth="29040" windowHeight="15720" tabRatio="865" firstSheet="6" activeTab="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季節調理麵) " sheetId="36" r:id="rId8"/>
    <sheet name="（５-3）品群別人時生產性(微波小吃)" sheetId="49" r:id="rId9"/>
    <sheet name="生產管理報表 6-1" sheetId="44" r:id="rId10"/>
    <sheet name="生產管理報表 7-1(月)" sheetId="40" r:id="rId11"/>
    <sheet name="生產管理報表 7-1 (週)" sheetId="41" r:id="rId12"/>
    <sheet name="生產管理報表 8-1" sheetId="19" r:id="rId13"/>
    <sheet name="生產管理報表 8-2" sheetId="20" r:id="rId14"/>
    <sheet name="生產管理報表 9" sheetId="21" r:id="rId15"/>
    <sheet name="報廢－原因別分析" sheetId="29" r:id="rId16"/>
    <sheet name="超用－原因別分析" sheetId="43" r:id="rId17"/>
    <sheet name="填寫舉例" sheetId="1" r:id="rId18"/>
    <sheet name="鮮食品群番" sheetId="38" r:id="rId19"/>
    <sheet name="0801-0804產線配置圖" sheetId="45" r:id="rId20"/>
    <sheet name="0805產線配置圖" sheetId="46" r:id="rId21"/>
    <sheet name="0818產線配置圖" sheetId="47" r:id="rId22"/>
  </sheets>
  <externalReferences>
    <externalReference r:id="rId23"/>
    <externalReference r:id="rId24"/>
  </externalReference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'（５-2）品群別人時生產性(季節調理麵) '!#REF!</definedName>
    <definedName name="_xlnm._FilterDatabase" localSheetId="8" hidden="1">'（５-3）品群別人時生產性(微波小吃)'!#REF!</definedName>
    <definedName name="_xlnm._FilterDatabase" localSheetId="15" hidden="1">'報廢－原因別分析'!$U$7:$U$118</definedName>
    <definedName name="_xlnm._FilterDatabase" localSheetId="16" hidden="1">'超用－原因別分析'!$U$7:$U$118</definedName>
    <definedName name="_xlnm.Print_Area" localSheetId="9">'生產管理報表 6-1'!$A$1:$L$39</definedName>
    <definedName name="_xlnm.Print_Area" localSheetId="11">'生產管理報表 7-1 (週)'!$A$1:$M$15</definedName>
    <definedName name="_xlnm.Print_Area" localSheetId="10">'生產管理報表 7-1(月)'!$A$1:$M$15</definedName>
    <definedName name="_xlnm.Print_Area" localSheetId="14">'生產管理報表 9'!#REF!</definedName>
    <definedName name="_xlnm.Print_Area" localSheetId="0">'生產管理報表(月)'!$A$1:$K$24</definedName>
    <definedName name="_xlnm.Print_Area" localSheetId="1">'生產管理報表(週) '!$A$1:$K$24</definedName>
    <definedName name="_xlnm.Print_Area" localSheetId="18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7" i="43" l="1"/>
  <c r="M318" i="43"/>
  <c r="M319" i="43"/>
  <c r="M320" i="43"/>
  <c r="M321" i="43"/>
  <c r="M322" i="43"/>
  <c r="M323" i="43"/>
  <c r="M324" i="43"/>
  <c r="M325" i="43"/>
  <c r="M326" i="43"/>
  <c r="K317" i="43"/>
  <c r="K318" i="43"/>
  <c r="K319" i="43"/>
  <c r="K320" i="43"/>
  <c r="K321" i="43"/>
  <c r="K322" i="43"/>
  <c r="K323" i="43"/>
  <c r="K324" i="43"/>
  <c r="K325" i="43"/>
  <c r="K326" i="43"/>
  <c r="I317" i="43"/>
  <c r="I318" i="43"/>
  <c r="I319" i="43"/>
  <c r="I320" i="43"/>
  <c r="I321" i="43"/>
  <c r="I322" i="43"/>
  <c r="I323" i="43"/>
  <c r="I324" i="43"/>
  <c r="I325" i="43"/>
  <c r="I326" i="43"/>
  <c r="B11" i="13" l="1"/>
  <c r="AV90" i="49"/>
  <c r="AV88" i="49"/>
  <c r="AV87" i="49"/>
  <c r="AW87" i="49" s="1"/>
  <c r="AW88" i="49" l="1"/>
  <c r="AW90" i="49"/>
  <c r="C9" i="40"/>
  <c r="M29" i="20"/>
  <c r="M28" i="20"/>
  <c r="M27" i="20"/>
  <c r="G30" i="3"/>
  <c r="J30" i="3"/>
  <c r="M30" i="3"/>
  <c r="H5" i="3"/>
  <c r="N5" i="5"/>
  <c r="G30" i="5"/>
  <c r="N5" i="3"/>
  <c r="K5" i="3"/>
  <c r="Q5" i="3" l="1"/>
  <c r="M317" i="29" l="1"/>
  <c r="M318" i="29"/>
  <c r="M319" i="29"/>
  <c r="M320" i="29"/>
  <c r="M321" i="29"/>
  <c r="M322" i="29"/>
  <c r="M323" i="29"/>
  <c r="M324" i="29"/>
  <c r="M325" i="29"/>
  <c r="M326" i="29"/>
  <c r="K317" i="29"/>
  <c r="K318" i="29"/>
  <c r="K319" i="29"/>
  <c r="K320" i="29"/>
  <c r="K321" i="29"/>
  <c r="K322" i="29"/>
  <c r="K323" i="29"/>
  <c r="K324" i="29"/>
  <c r="K325" i="29"/>
  <c r="K326" i="29"/>
  <c r="I317" i="29"/>
  <c r="I318" i="29"/>
  <c r="I319" i="29"/>
  <c r="I320" i="29"/>
  <c r="I321" i="29"/>
  <c r="I322" i="29"/>
  <c r="I323" i="29"/>
  <c r="I324" i="29"/>
  <c r="I325" i="29"/>
  <c r="I326" i="29"/>
  <c r="AQ90" i="49"/>
  <c r="AQ88" i="49"/>
  <c r="AQ87" i="49"/>
  <c r="AR87" i="49" s="1"/>
  <c r="AR88" i="49" l="1"/>
  <c r="AR90" i="49"/>
  <c r="AL90" i="49"/>
  <c r="AL88" i="49"/>
  <c r="AL87" i="49"/>
  <c r="AL95" i="48"/>
  <c r="AL96" i="48"/>
  <c r="AL97" i="48"/>
  <c r="AL98" i="48"/>
  <c r="AL99" i="48"/>
  <c r="AL100" i="48"/>
  <c r="AL102" i="48"/>
  <c r="AL103" i="48"/>
  <c r="AL104" i="48"/>
  <c r="AL105" i="48"/>
  <c r="AG90" i="49"/>
  <c r="AG88" i="49"/>
  <c r="AG87" i="49"/>
  <c r="AG95" i="48"/>
  <c r="AG96" i="48"/>
  <c r="AG97" i="48"/>
  <c r="AG98" i="48"/>
  <c r="AG99" i="48"/>
  <c r="AG100" i="48"/>
  <c r="AG102" i="48"/>
  <c r="AG103" i="48"/>
  <c r="AG104" i="48"/>
  <c r="AG105" i="48"/>
  <c r="AB88" i="49"/>
  <c r="AB90" i="49"/>
  <c r="AB87" i="49"/>
  <c r="AB105" i="48"/>
  <c r="AB95" i="48"/>
  <c r="AB96" i="48"/>
  <c r="AB97" i="48"/>
  <c r="AB98" i="48"/>
  <c r="AB99" i="48"/>
  <c r="AB100" i="48"/>
  <c r="AB102" i="48"/>
  <c r="AB103" i="48"/>
  <c r="AB104" i="48"/>
  <c r="I91" i="48"/>
  <c r="J91" i="48"/>
  <c r="I92" i="48"/>
  <c r="J92" i="48"/>
  <c r="I93" i="48"/>
  <c r="J93" i="48"/>
  <c r="I94" i="48"/>
  <c r="J94" i="48"/>
  <c r="I95" i="48"/>
  <c r="J95" i="48"/>
  <c r="I96" i="48"/>
  <c r="J96" i="48"/>
  <c r="I97" i="48"/>
  <c r="J97" i="48"/>
  <c r="I98" i="48"/>
  <c r="J98" i="48"/>
  <c r="I99" i="48"/>
  <c r="J99" i="48"/>
  <c r="I100" i="48"/>
  <c r="J100" i="48"/>
  <c r="I102" i="48"/>
  <c r="J102" i="48"/>
  <c r="I103" i="48"/>
  <c r="J103" i="48"/>
  <c r="I104" i="48"/>
  <c r="J104" i="48"/>
  <c r="I105" i="48"/>
  <c r="J105" i="48"/>
  <c r="AC90" i="49" l="1"/>
  <c r="AC87" i="49"/>
  <c r="AC88" i="49"/>
  <c r="AH88" i="49"/>
  <c r="AM88" i="49"/>
  <c r="AM90" i="49"/>
  <c r="AM87" i="49"/>
  <c r="AH90" i="49"/>
  <c r="AH87" i="49"/>
  <c r="W90" i="49" l="1"/>
  <c r="W88" i="49"/>
  <c r="W87" i="49"/>
  <c r="X90" i="49" s="1"/>
  <c r="W105" i="48"/>
  <c r="W91" i="48"/>
  <c r="W92" i="48"/>
  <c r="W93" i="48"/>
  <c r="W94" i="48"/>
  <c r="W95" i="48"/>
  <c r="W96" i="48"/>
  <c r="W97" i="48"/>
  <c r="W98" i="48"/>
  <c r="W99" i="48"/>
  <c r="W100" i="48"/>
  <c r="W102" i="48"/>
  <c r="W103" i="48"/>
  <c r="W104" i="48"/>
  <c r="R90" i="49"/>
  <c r="R88" i="49"/>
  <c r="R87" i="49"/>
  <c r="S87" i="49" s="1"/>
  <c r="E90" i="49"/>
  <c r="F90" i="49"/>
  <c r="G90" i="49" s="1"/>
  <c r="R105" i="48"/>
  <c r="R91" i="48"/>
  <c r="R92" i="48"/>
  <c r="R93" i="48"/>
  <c r="R94" i="48"/>
  <c r="R95" i="48"/>
  <c r="R96" i="48"/>
  <c r="R97" i="48"/>
  <c r="R98" i="48"/>
  <c r="R99" i="48"/>
  <c r="R100" i="48"/>
  <c r="R102" i="48"/>
  <c r="R103" i="48"/>
  <c r="R104" i="48"/>
  <c r="S88" i="49" l="1"/>
  <c r="S90" i="49"/>
  <c r="X88" i="49"/>
  <c r="X87" i="49"/>
  <c r="X89" i="49"/>
  <c r="I67" i="49" l="1"/>
  <c r="AV69" i="49"/>
  <c r="AV68" i="49"/>
  <c r="AV67" i="49"/>
  <c r="AW67" i="49" s="1"/>
  <c r="AQ69" i="49"/>
  <c r="AQ68" i="49"/>
  <c r="AQ67" i="49"/>
  <c r="AR68" i="49" l="1"/>
  <c r="AR69" i="49"/>
  <c r="AW68" i="49"/>
  <c r="AW69" i="49"/>
  <c r="AR67" i="49"/>
  <c r="M17" i="20" l="1"/>
  <c r="M21" i="20"/>
  <c r="M20" i="20"/>
  <c r="M19" i="20"/>
  <c r="M18" i="20"/>
  <c r="M21" i="19"/>
  <c r="M20" i="19"/>
  <c r="M19" i="19"/>
  <c r="M18" i="19"/>
  <c r="M17" i="19"/>
  <c r="B25" i="7"/>
  <c r="B18" i="7"/>
  <c r="C9" i="39"/>
  <c r="AL69" i="49" l="1"/>
  <c r="AL68" i="49"/>
  <c r="AL67" i="49"/>
  <c r="AM67" i="49" s="1"/>
  <c r="AG69" i="49"/>
  <c r="AG68" i="49"/>
  <c r="AG67" i="49"/>
  <c r="AB82" i="48"/>
  <c r="AB81" i="48"/>
  <c r="R82" i="48"/>
  <c r="AH68" i="49" l="1"/>
  <c r="AM68" i="49"/>
  <c r="AM69" i="49"/>
  <c r="AH67" i="49"/>
  <c r="AH69" i="49"/>
  <c r="W82" i="48" l="1"/>
  <c r="W81" i="48"/>
  <c r="R81" i="48"/>
  <c r="I82" i="48"/>
  <c r="J82" i="48"/>
  <c r="F105" i="48"/>
  <c r="F104" i="48"/>
  <c r="F103" i="48"/>
  <c r="F102" i="48"/>
  <c r="F101" i="48"/>
  <c r="F100" i="48"/>
  <c r="F99" i="48"/>
  <c r="F98" i="48"/>
  <c r="F97" i="48"/>
  <c r="F96" i="48"/>
  <c r="F95" i="48"/>
  <c r="F94" i="48"/>
  <c r="F93" i="48"/>
  <c r="F92" i="48"/>
  <c r="F91" i="48"/>
  <c r="F90" i="48"/>
  <c r="F68" i="48"/>
  <c r="F69" i="48"/>
  <c r="F70" i="48"/>
  <c r="F71" i="48"/>
  <c r="F72" i="48"/>
  <c r="F73" i="48"/>
  <c r="F74" i="48"/>
  <c r="F75" i="48"/>
  <c r="F76" i="48"/>
  <c r="F77" i="48"/>
  <c r="F78" i="48"/>
  <c r="F79" i="48"/>
  <c r="F80" i="48"/>
  <c r="F81" i="48"/>
  <c r="F82" i="48"/>
  <c r="F67" i="48"/>
  <c r="E105" i="48"/>
  <c r="E104" i="48"/>
  <c r="E103" i="48"/>
  <c r="E102" i="48"/>
  <c r="E101" i="48"/>
  <c r="E100" i="48"/>
  <c r="E99" i="48"/>
  <c r="E98" i="48"/>
  <c r="E97" i="48"/>
  <c r="E96" i="48"/>
  <c r="E95" i="48"/>
  <c r="E94" i="48"/>
  <c r="E93" i="48"/>
  <c r="E92" i="48"/>
  <c r="E91" i="48"/>
  <c r="E90" i="48"/>
  <c r="E68" i="48"/>
  <c r="E69" i="48"/>
  <c r="E70" i="48"/>
  <c r="E71" i="48"/>
  <c r="E72" i="48"/>
  <c r="E73" i="48"/>
  <c r="E74" i="48"/>
  <c r="E75" i="48"/>
  <c r="E76" i="48"/>
  <c r="E77" i="48"/>
  <c r="E78" i="48"/>
  <c r="E79" i="48"/>
  <c r="E80" i="48"/>
  <c r="E81" i="48"/>
  <c r="E82" i="48"/>
  <c r="E67" i="48"/>
  <c r="G103" i="48"/>
  <c r="G104" i="48"/>
  <c r="G105" i="48"/>
  <c r="I81" i="48"/>
  <c r="J81" i="48"/>
  <c r="AV105" i="48"/>
  <c r="AQ105" i="48"/>
  <c r="AV82" i="48"/>
  <c r="AQ82" i="48"/>
  <c r="AL82" i="48"/>
  <c r="AG82" i="48"/>
  <c r="AB69" i="49"/>
  <c r="AB68" i="49"/>
  <c r="AB67" i="49"/>
  <c r="W69" i="49"/>
  <c r="W68" i="49"/>
  <c r="W67" i="49"/>
  <c r="R69" i="49"/>
  <c r="R68" i="49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R80" i="48"/>
  <c r="I77" i="48"/>
  <c r="J77" i="48"/>
  <c r="I78" i="48"/>
  <c r="J78" i="48"/>
  <c r="I79" i="48"/>
  <c r="J79" i="48"/>
  <c r="I80" i="48"/>
  <c r="J80" i="48"/>
  <c r="R79" i="48"/>
  <c r="R78" i="48"/>
  <c r="R77" i="48"/>
  <c r="R76" i="48"/>
  <c r="R75" i="48"/>
  <c r="R74" i="48"/>
  <c r="R73" i="48"/>
  <c r="R72" i="48"/>
  <c r="R71" i="48"/>
  <c r="R70" i="48"/>
  <c r="R69" i="48"/>
  <c r="R68" i="48"/>
  <c r="R67" i="48"/>
  <c r="S82" i="48" s="1"/>
  <c r="S68" i="49" l="1"/>
  <c r="S69" i="49"/>
  <c r="X68" i="49"/>
  <c r="X69" i="49"/>
  <c r="AC68" i="49"/>
  <c r="K105" i="48"/>
  <c r="S71" i="48"/>
  <c r="S67" i="48"/>
  <c r="S70" i="48"/>
  <c r="S81" i="48"/>
  <c r="S80" i="48"/>
  <c r="S68" i="48"/>
  <c r="S72" i="48"/>
  <c r="S79" i="48"/>
  <c r="S69" i="48"/>
  <c r="S78" i="48"/>
  <c r="K82" i="48"/>
  <c r="S76" i="48"/>
  <c r="S75" i="48"/>
  <c r="S73" i="48"/>
  <c r="S77" i="48"/>
  <c r="S74" i="48"/>
  <c r="T67" i="48"/>
  <c r="G81" i="48"/>
  <c r="G82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90" i="49"/>
  <c r="J90" i="49"/>
  <c r="I90" i="49"/>
  <c r="F89" i="49"/>
  <c r="E89" i="49"/>
  <c r="K88" i="49"/>
  <c r="J88" i="49"/>
  <c r="I88" i="49"/>
  <c r="F88" i="49"/>
  <c r="E88" i="49"/>
  <c r="AX87" i="49"/>
  <c r="AS87" i="49"/>
  <c r="AN87" i="49"/>
  <c r="AI87" i="49"/>
  <c r="AD87" i="49"/>
  <c r="Y87" i="49"/>
  <c r="T87" i="49"/>
  <c r="K87" i="49"/>
  <c r="J87" i="49"/>
  <c r="I87" i="49"/>
  <c r="F87" i="49"/>
  <c r="E87" i="49"/>
  <c r="K69" i="49"/>
  <c r="J69" i="49"/>
  <c r="I69" i="49"/>
  <c r="F69" i="49"/>
  <c r="E69" i="49"/>
  <c r="K68" i="49"/>
  <c r="J68" i="49"/>
  <c r="I68" i="49"/>
  <c r="F68" i="49"/>
  <c r="E68" i="49"/>
  <c r="AX67" i="49"/>
  <c r="AS67" i="49"/>
  <c r="AN67" i="49"/>
  <c r="AI67" i="49"/>
  <c r="AD67" i="49"/>
  <c r="Y67" i="49"/>
  <c r="T67" i="49"/>
  <c r="K67" i="49"/>
  <c r="L67" i="49" s="1"/>
  <c r="J67" i="49"/>
  <c r="F67" i="49"/>
  <c r="E67" i="49"/>
  <c r="AV49" i="49"/>
  <c r="AQ49" i="49"/>
  <c r="AL49" i="49"/>
  <c r="AG49" i="49"/>
  <c r="AB49" i="49"/>
  <c r="W49" i="49"/>
  <c r="R49" i="49"/>
  <c r="J49" i="49"/>
  <c r="I49" i="49"/>
  <c r="F49" i="49"/>
  <c r="E49" i="49"/>
  <c r="AV48" i="49"/>
  <c r="AQ48" i="49"/>
  <c r="AL48" i="49"/>
  <c r="AG48" i="49"/>
  <c r="AB48" i="49"/>
  <c r="W48" i="49"/>
  <c r="R48" i="49"/>
  <c r="J48" i="49"/>
  <c r="I48" i="49"/>
  <c r="F48" i="49"/>
  <c r="E48" i="49"/>
  <c r="AV47" i="49"/>
  <c r="AQ47" i="49"/>
  <c r="AR47" i="49" s="1"/>
  <c r="AL47" i="49"/>
  <c r="AG47" i="49"/>
  <c r="AI47" i="49" s="1"/>
  <c r="AB47" i="49"/>
  <c r="AD47" i="49" s="1"/>
  <c r="W47" i="49"/>
  <c r="X47" i="49" s="1"/>
  <c r="R47" i="49"/>
  <c r="S47" i="49" s="1"/>
  <c r="J47" i="49"/>
  <c r="I47" i="49"/>
  <c r="F47" i="49"/>
  <c r="E47" i="49"/>
  <c r="AV29" i="49"/>
  <c r="AQ29" i="49"/>
  <c r="AL29" i="49"/>
  <c r="AG29" i="49"/>
  <c r="AB29" i="49"/>
  <c r="W29" i="49"/>
  <c r="R29" i="49"/>
  <c r="J29" i="49"/>
  <c r="I29" i="49"/>
  <c r="F29" i="49"/>
  <c r="E29" i="49"/>
  <c r="AV28" i="49"/>
  <c r="AQ28" i="49"/>
  <c r="AL28" i="49"/>
  <c r="AG28" i="49"/>
  <c r="AB28" i="49"/>
  <c r="W28" i="49"/>
  <c r="R28" i="49"/>
  <c r="J28" i="49"/>
  <c r="I28" i="49"/>
  <c r="F28" i="49"/>
  <c r="E28" i="49"/>
  <c r="AV27" i="49"/>
  <c r="AW29" i="49" s="1"/>
  <c r="AQ27" i="49"/>
  <c r="AL27" i="49"/>
  <c r="AM27" i="49" s="1"/>
  <c r="AG27" i="49"/>
  <c r="AH27" i="49" s="1"/>
  <c r="AB27" i="49"/>
  <c r="W27" i="49"/>
  <c r="X27" i="49" s="1"/>
  <c r="R27" i="49"/>
  <c r="S27" i="49" s="1"/>
  <c r="J27" i="49"/>
  <c r="I27" i="49"/>
  <c r="F27" i="49"/>
  <c r="E27" i="49"/>
  <c r="AB13" i="49"/>
  <c r="AC13" i="49" s="1"/>
  <c r="W13" i="49"/>
  <c r="X13" i="49" s="1"/>
  <c r="R13" i="49"/>
  <c r="S13" i="49" s="1"/>
  <c r="AB12" i="49"/>
  <c r="AC12" i="49" s="1"/>
  <c r="W12" i="49"/>
  <c r="X12" i="49" s="1"/>
  <c r="R12" i="49"/>
  <c r="S12" i="49" s="1"/>
  <c r="AB11" i="49"/>
  <c r="AC11" i="49" s="1"/>
  <c r="W11" i="49"/>
  <c r="X11" i="49" s="1"/>
  <c r="R11" i="49"/>
  <c r="S11" i="49" s="1"/>
  <c r="AB10" i="49"/>
  <c r="AC10" i="49" s="1"/>
  <c r="W10" i="49"/>
  <c r="X10" i="49" s="1"/>
  <c r="R10" i="49"/>
  <c r="S10" i="49" s="1"/>
  <c r="AV9" i="49"/>
  <c r="AQ9" i="49"/>
  <c r="AL9" i="49"/>
  <c r="AG9" i="49"/>
  <c r="AB9" i="49"/>
  <c r="AC9" i="49" s="1"/>
  <c r="W9" i="49"/>
  <c r="X9" i="49" s="1"/>
  <c r="R9" i="49"/>
  <c r="S9" i="49" s="1"/>
  <c r="J9" i="49"/>
  <c r="I9" i="49"/>
  <c r="F9" i="49"/>
  <c r="E9" i="49"/>
  <c r="AV8" i="49"/>
  <c r="AQ8" i="49"/>
  <c r="AL8" i="49"/>
  <c r="AG8" i="49"/>
  <c r="AB8" i="49"/>
  <c r="AC8" i="49" s="1"/>
  <c r="W8" i="49"/>
  <c r="X8" i="49" s="1"/>
  <c r="R8" i="49"/>
  <c r="S8" i="49" s="1"/>
  <c r="J8" i="49"/>
  <c r="I8" i="49"/>
  <c r="F8" i="49"/>
  <c r="E8" i="49"/>
  <c r="AV7" i="49"/>
  <c r="AX7" i="49" s="1"/>
  <c r="AQ7" i="49"/>
  <c r="AR8" i="49" s="1"/>
  <c r="AL7" i="49"/>
  <c r="AM7" i="49" s="1"/>
  <c r="AG7" i="49"/>
  <c r="AI7" i="49" s="1"/>
  <c r="AB7" i="49"/>
  <c r="AD7" i="49" s="1"/>
  <c r="W7" i="49"/>
  <c r="X7" i="49" s="1"/>
  <c r="R7" i="49"/>
  <c r="J7" i="49"/>
  <c r="I7" i="49"/>
  <c r="F7" i="49"/>
  <c r="E7" i="49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7" i="6"/>
  <c r="AV104" i="48"/>
  <c r="AQ104" i="48"/>
  <c r="AV103" i="48"/>
  <c r="AQ103" i="48"/>
  <c r="AV102" i="48"/>
  <c r="AQ102" i="48"/>
  <c r="AV100" i="48"/>
  <c r="AQ100" i="48"/>
  <c r="AV99" i="48"/>
  <c r="AQ99" i="48"/>
  <c r="AV98" i="48"/>
  <c r="AQ98" i="48"/>
  <c r="AV97" i="48"/>
  <c r="AQ97" i="48"/>
  <c r="AV96" i="48"/>
  <c r="AQ96" i="48"/>
  <c r="AV95" i="48"/>
  <c r="AQ95" i="48"/>
  <c r="AV94" i="48"/>
  <c r="AQ94" i="48"/>
  <c r="AL94" i="48"/>
  <c r="AG94" i="48"/>
  <c r="AB94" i="48"/>
  <c r="AV93" i="48"/>
  <c r="AQ93" i="48"/>
  <c r="AL93" i="48"/>
  <c r="AG93" i="48"/>
  <c r="AB93" i="48"/>
  <c r="AV92" i="48"/>
  <c r="AQ92" i="48"/>
  <c r="AL92" i="48"/>
  <c r="AG92" i="48"/>
  <c r="AB92" i="48"/>
  <c r="AV91" i="48"/>
  <c r="AQ91" i="48"/>
  <c r="AL91" i="48"/>
  <c r="AG91" i="48"/>
  <c r="AB91" i="48"/>
  <c r="AV90" i="48"/>
  <c r="AQ90" i="48"/>
  <c r="AR105" i="48" s="1"/>
  <c r="AL90" i="48"/>
  <c r="AG90" i="48"/>
  <c r="AB90" i="48"/>
  <c r="AC97" i="48" s="1"/>
  <c r="W90" i="48"/>
  <c r="R90" i="48"/>
  <c r="J90" i="48"/>
  <c r="I90" i="48"/>
  <c r="AV81" i="48"/>
  <c r="AQ81" i="48"/>
  <c r="AL81" i="48"/>
  <c r="AG81" i="48"/>
  <c r="AV80" i="48"/>
  <c r="AQ80" i="48"/>
  <c r="AL80" i="48"/>
  <c r="AG80" i="48"/>
  <c r="AB80" i="48"/>
  <c r="W80" i="48"/>
  <c r="AV79" i="48"/>
  <c r="AQ79" i="48"/>
  <c r="AL79" i="48"/>
  <c r="AG79" i="48"/>
  <c r="AB79" i="48"/>
  <c r="W79" i="48"/>
  <c r="AB78" i="48"/>
  <c r="W78" i="48"/>
  <c r="AV77" i="48"/>
  <c r="AQ77" i="48"/>
  <c r="AL77" i="48"/>
  <c r="AG77" i="48"/>
  <c r="AB77" i="48"/>
  <c r="W77" i="48"/>
  <c r="G77" i="48"/>
  <c r="AV76" i="48"/>
  <c r="AQ76" i="48"/>
  <c r="AL76" i="48"/>
  <c r="AG76" i="48"/>
  <c r="AB76" i="48"/>
  <c r="W76" i="48"/>
  <c r="J76" i="48"/>
  <c r="I76" i="48"/>
  <c r="AV75" i="48"/>
  <c r="AQ75" i="48"/>
  <c r="AL75" i="48"/>
  <c r="AG75" i="48"/>
  <c r="AB75" i="48"/>
  <c r="W75" i="48"/>
  <c r="J75" i="48"/>
  <c r="I75" i="48"/>
  <c r="AV74" i="48"/>
  <c r="AQ74" i="48"/>
  <c r="AL74" i="48"/>
  <c r="AG74" i="48"/>
  <c r="AB74" i="48"/>
  <c r="W74" i="48"/>
  <c r="J74" i="48"/>
  <c r="I74" i="48"/>
  <c r="AV73" i="48"/>
  <c r="AQ73" i="48"/>
  <c r="AL73" i="48"/>
  <c r="AG73" i="48"/>
  <c r="AB73" i="48"/>
  <c r="W73" i="48"/>
  <c r="J73" i="48"/>
  <c r="I73" i="48"/>
  <c r="AV72" i="48"/>
  <c r="AQ72" i="48"/>
  <c r="AL72" i="48"/>
  <c r="AG72" i="48"/>
  <c r="AB72" i="48"/>
  <c r="W72" i="48"/>
  <c r="J72" i="48"/>
  <c r="I72" i="48"/>
  <c r="AV71" i="48"/>
  <c r="AQ71" i="48"/>
  <c r="AL71" i="48"/>
  <c r="AG71" i="48"/>
  <c r="AB71" i="48"/>
  <c r="W71" i="48"/>
  <c r="J71" i="48"/>
  <c r="I71" i="48"/>
  <c r="AV70" i="48"/>
  <c r="AQ70" i="48"/>
  <c r="AL70" i="48"/>
  <c r="AG70" i="48"/>
  <c r="AB70" i="48"/>
  <c r="W70" i="48"/>
  <c r="J70" i="48"/>
  <c r="I70" i="48"/>
  <c r="AV69" i="48"/>
  <c r="AQ69" i="48"/>
  <c r="AL69" i="48"/>
  <c r="AG69" i="48"/>
  <c r="AB69" i="48"/>
  <c r="W69" i="48"/>
  <c r="J69" i="48"/>
  <c r="I69" i="48"/>
  <c r="AV68" i="48"/>
  <c r="AQ68" i="48"/>
  <c r="AL68" i="48"/>
  <c r="AG68" i="48"/>
  <c r="AB68" i="48"/>
  <c r="W68" i="48"/>
  <c r="J68" i="48"/>
  <c r="I68" i="48"/>
  <c r="AV67" i="48"/>
  <c r="AQ67" i="48"/>
  <c r="AL67" i="48"/>
  <c r="AG67" i="48"/>
  <c r="AB67" i="48"/>
  <c r="W67" i="48"/>
  <c r="J67" i="48"/>
  <c r="I67" i="48"/>
  <c r="G67" i="48"/>
  <c r="R60" i="48"/>
  <c r="J60" i="48"/>
  <c r="I60" i="48"/>
  <c r="F60" i="48"/>
  <c r="E60" i="48"/>
  <c r="AV59" i="48"/>
  <c r="AQ59" i="48"/>
  <c r="AL59" i="48"/>
  <c r="AG59" i="48"/>
  <c r="AB59" i="48"/>
  <c r="W59" i="48"/>
  <c r="R59" i="48"/>
  <c r="J59" i="48"/>
  <c r="I59" i="48"/>
  <c r="F59" i="48"/>
  <c r="E59" i="48"/>
  <c r="AV58" i="48"/>
  <c r="AQ58" i="48"/>
  <c r="AL58" i="48"/>
  <c r="AG58" i="48"/>
  <c r="AB58" i="48"/>
  <c r="W58" i="48"/>
  <c r="R58" i="48"/>
  <c r="J58" i="48"/>
  <c r="I58" i="48"/>
  <c r="F58" i="48"/>
  <c r="E58" i="48"/>
  <c r="AV57" i="48"/>
  <c r="AQ57" i="48"/>
  <c r="AL57" i="48"/>
  <c r="AG57" i="48"/>
  <c r="AB57" i="48"/>
  <c r="W57" i="48"/>
  <c r="R57" i="48"/>
  <c r="J57" i="48"/>
  <c r="I57" i="48"/>
  <c r="F57" i="48"/>
  <c r="E57" i="48"/>
  <c r="AV56" i="48"/>
  <c r="AQ56" i="48"/>
  <c r="AL56" i="48"/>
  <c r="AG56" i="48"/>
  <c r="AB56" i="48"/>
  <c r="W56" i="48"/>
  <c r="R56" i="48"/>
  <c r="J56" i="48"/>
  <c r="I56" i="48"/>
  <c r="F56" i="48"/>
  <c r="E56" i="48"/>
  <c r="AV55" i="48"/>
  <c r="AQ55" i="48"/>
  <c r="AL55" i="48"/>
  <c r="AG55" i="48"/>
  <c r="AB55" i="48"/>
  <c r="W55" i="48"/>
  <c r="R55" i="48"/>
  <c r="J55" i="48"/>
  <c r="I55" i="48"/>
  <c r="F55" i="48"/>
  <c r="E55" i="48"/>
  <c r="G55" i="48" s="1"/>
  <c r="AV54" i="48"/>
  <c r="AQ54" i="48"/>
  <c r="AL54" i="48"/>
  <c r="AG54" i="48"/>
  <c r="AB54" i="48"/>
  <c r="W54" i="48"/>
  <c r="R54" i="48"/>
  <c r="J54" i="48"/>
  <c r="I54" i="48"/>
  <c r="F54" i="48"/>
  <c r="E54" i="48"/>
  <c r="AV53" i="48"/>
  <c r="AQ53" i="48"/>
  <c r="AL53" i="48"/>
  <c r="AG53" i="48"/>
  <c r="AB53" i="48"/>
  <c r="W53" i="48"/>
  <c r="R53" i="48"/>
  <c r="J53" i="48"/>
  <c r="I53" i="48"/>
  <c r="F53" i="48"/>
  <c r="E53" i="48"/>
  <c r="AV52" i="48"/>
  <c r="AQ52" i="48"/>
  <c r="AL52" i="48"/>
  <c r="AG52" i="48"/>
  <c r="AB52" i="48"/>
  <c r="W52" i="48"/>
  <c r="R52" i="48"/>
  <c r="J52" i="48"/>
  <c r="I52" i="48"/>
  <c r="F52" i="48"/>
  <c r="E52" i="48"/>
  <c r="AV51" i="48"/>
  <c r="AQ51" i="48"/>
  <c r="AL51" i="48"/>
  <c r="AG51" i="48"/>
  <c r="AB51" i="48"/>
  <c r="W51" i="48"/>
  <c r="R51" i="48"/>
  <c r="J51" i="48"/>
  <c r="I51" i="48"/>
  <c r="F51" i="48"/>
  <c r="E51" i="48"/>
  <c r="AV50" i="48"/>
  <c r="AQ50" i="48"/>
  <c r="AL50" i="48"/>
  <c r="AG50" i="48"/>
  <c r="AB50" i="48"/>
  <c r="W50" i="48"/>
  <c r="R50" i="48"/>
  <c r="J50" i="48"/>
  <c r="I50" i="48"/>
  <c r="F50" i="48"/>
  <c r="E50" i="48"/>
  <c r="AV49" i="48"/>
  <c r="AQ49" i="48"/>
  <c r="AL49" i="48"/>
  <c r="AG49" i="48"/>
  <c r="AB49" i="48"/>
  <c r="W49" i="48"/>
  <c r="R49" i="48"/>
  <c r="J49" i="48"/>
  <c r="I49" i="48"/>
  <c r="F49" i="48"/>
  <c r="E49" i="48"/>
  <c r="AV48" i="48"/>
  <c r="AQ48" i="48"/>
  <c r="AL48" i="48"/>
  <c r="AG48" i="48"/>
  <c r="AB48" i="48"/>
  <c r="W48" i="48"/>
  <c r="R48" i="48"/>
  <c r="J48" i="48"/>
  <c r="I48" i="48"/>
  <c r="F48" i="48"/>
  <c r="E48" i="48"/>
  <c r="AV47" i="48"/>
  <c r="AQ47" i="48"/>
  <c r="AL47" i="48"/>
  <c r="AG47" i="48"/>
  <c r="AB47" i="48"/>
  <c r="W47" i="48"/>
  <c r="R47" i="48"/>
  <c r="J47" i="48"/>
  <c r="I47" i="48"/>
  <c r="F47" i="48"/>
  <c r="E47" i="48"/>
  <c r="AV40" i="48"/>
  <c r="AQ40" i="48"/>
  <c r="AL40" i="48"/>
  <c r="AG40" i="48"/>
  <c r="AB40" i="48"/>
  <c r="W40" i="48"/>
  <c r="R40" i="48"/>
  <c r="J40" i="48"/>
  <c r="I40" i="48"/>
  <c r="F40" i="48"/>
  <c r="E40" i="48"/>
  <c r="AV39" i="48"/>
  <c r="AQ39" i="48"/>
  <c r="AL39" i="48"/>
  <c r="AG39" i="48"/>
  <c r="AB39" i="48"/>
  <c r="W39" i="48"/>
  <c r="R39" i="48"/>
  <c r="J39" i="48"/>
  <c r="I39" i="48"/>
  <c r="F39" i="48"/>
  <c r="E39" i="48"/>
  <c r="AV38" i="48"/>
  <c r="AQ38" i="48"/>
  <c r="AL38" i="48"/>
  <c r="AG38" i="48"/>
  <c r="AB38" i="48"/>
  <c r="W38" i="48"/>
  <c r="R38" i="48"/>
  <c r="J38" i="48"/>
  <c r="I38" i="48"/>
  <c r="F38" i="48"/>
  <c r="E38" i="48"/>
  <c r="AV37" i="48"/>
  <c r="AQ37" i="48"/>
  <c r="AL37" i="48"/>
  <c r="AG37" i="48"/>
  <c r="AB37" i="48"/>
  <c r="W37" i="48"/>
  <c r="R37" i="48"/>
  <c r="J37" i="48"/>
  <c r="I37" i="48"/>
  <c r="F37" i="48"/>
  <c r="E37" i="48"/>
  <c r="AV36" i="48"/>
  <c r="AQ36" i="48"/>
  <c r="AL36" i="48"/>
  <c r="AG36" i="48"/>
  <c r="AB36" i="48"/>
  <c r="W36" i="48"/>
  <c r="R36" i="48"/>
  <c r="J36" i="48"/>
  <c r="I36" i="48"/>
  <c r="F36" i="48"/>
  <c r="E36" i="48"/>
  <c r="AV35" i="48"/>
  <c r="AQ35" i="48"/>
  <c r="AL35" i="48"/>
  <c r="AG35" i="48"/>
  <c r="AB35" i="48"/>
  <c r="W35" i="48"/>
  <c r="R35" i="48"/>
  <c r="J35" i="48"/>
  <c r="I35" i="48"/>
  <c r="F35" i="48"/>
  <c r="E35" i="48"/>
  <c r="AV34" i="48"/>
  <c r="AQ34" i="48"/>
  <c r="AL34" i="48"/>
  <c r="AG34" i="48"/>
  <c r="AB34" i="48"/>
  <c r="W34" i="48"/>
  <c r="R34" i="48"/>
  <c r="J34" i="48"/>
  <c r="I34" i="48"/>
  <c r="F34" i="48"/>
  <c r="E34" i="48"/>
  <c r="AV33" i="48"/>
  <c r="AQ33" i="48"/>
  <c r="AL33" i="48"/>
  <c r="AG33" i="48"/>
  <c r="AB33" i="48"/>
  <c r="W33" i="48"/>
  <c r="R33" i="48"/>
  <c r="J33" i="48"/>
  <c r="I33" i="48"/>
  <c r="F33" i="48"/>
  <c r="E33" i="48"/>
  <c r="AV32" i="48"/>
  <c r="AQ32" i="48"/>
  <c r="AL32" i="48"/>
  <c r="AG32" i="48"/>
  <c r="AB32" i="48"/>
  <c r="W32" i="48"/>
  <c r="R32" i="48"/>
  <c r="J32" i="48"/>
  <c r="I32" i="48"/>
  <c r="F32" i="48"/>
  <c r="E32" i="48"/>
  <c r="AV31" i="48"/>
  <c r="AQ31" i="48"/>
  <c r="AL31" i="48"/>
  <c r="AG31" i="48"/>
  <c r="AB31" i="48"/>
  <c r="W31" i="48"/>
  <c r="R31" i="48"/>
  <c r="J31" i="48"/>
  <c r="I31" i="48"/>
  <c r="F31" i="48"/>
  <c r="E31" i="48"/>
  <c r="AV30" i="48"/>
  <c r="AQ30" i="48"/>
  <c r="AL30" i="48"/>
  <c r="AG30" i="48"/>
  <c r="AB30" i="48"/>
  <c r="W30" i="48"/>
  <c r="R30" i="48"/>
  <c r="J30" i="48"/>
  <c r="I30" i="48"/>
  <c r="F30" i="48"/>
  <c r="E30" i="48"/>
  <c r="AV29" i="48"/>
  <c r="AQ29" i="48"/>
  <c r="AL29" i="48"/>
  <c r="AG29" i="48"/>
  <c r="AB29" i="48"/>
  <c r="W29" i="48"/>
  <c r="R29" i="48"/>
  <c r="J29" i="48"/>
  <c r="I29" i="48"/>
  <c r="F29" i="48"/>
  <c r="E29" i="48"/>
  <c r="AV28" i="48"/>
  <c r="AQ28" i="48"/>
  <c r="AL28" i="48"/>
  <c r="AG28" i="48"/>
  <c r="AB28" i="48"/>
  <c r="W28" i="48"/>
  <c r="R28" i="48"/>
  <c r="J28" i="48"/>
  <c r="I28" i="48"/>
  <c r="F28" i="48"/>
  <c r="E28" i="48"/>
  <c r="AV27" i="48"/>
  <c r="AQ27" i="48"/>
  <c r="AL27" i="48"/>
  <c r="AG27" i="48"/>
  <c r="AB27" i="48"/>
  <c r="W27" i="48"/>
  <c r="R27" i="48"/>
  <c r="J27" i="48"/>
  <c r="I27" i="48"/>
  <c r="F27" i="48"/>
  <c r="E27" i="48"/>
  <c r="AB21" i="48"/>
  <c r="AC21" i="48" s="1"/>
  <c r="W21" i="48"/>
  <c r="X21" i="48" s="1"/>
  <c r="R21" i="48"/>
  <c r="S21" i="48" s="1"/>
  <c r="J21" i="48"/>
  <c r="I21" i="48"/>
  <c r="AV20" i="48"/>
  <c r="AQ20" i="48"/>
  <c r="AL20" i="48"/>
  <c r="AG20" i="48"/>
  <c r="AB20" i="48"/>
  <c r="AC20" i="48" s="1"/>
  <c r="W20" i="48"/>
  <c r="X20" i="48" s="1"/>
  <c r="R20" i="48"/>
  <c r="S20" i="48" s="1"/>
  <c r="J20" i="48"/>
  <c r="I20" i="48"/>
  <c r="F20" i="48"/>
  <c r="E20" i="48"/>
  <c r="AV19" i="48"/>
  <c r="AQ19" i="48"/>
  <c r="AL19" i="48"/>
  <c r="AG19" i="48"/>
  <c r="AB19" i="48"/>
  <c r="AC19" i="48" s="1"/>
  <c r="W19" i="48"/>
  <c r="X19" i="48" s="1"/>
  <c r="R19" i="48"/>
  <c r="S19" i="48" s="1"/>
  <c r="J19" i="48"/>
  <c r="I19" i="48"/>
  <c r="F19" i="48"/>
  <c r="E19" i="48"/>
  <c r="AQ18" i="48"/>
  <c r="AL18" i="48"/>
  <c r="AG18" i="48"/>
  <c r="AB18" i="48"/>
  <c r="AC18" i="48" s="1"/>
  <c r="W18" i="48"/>
  <c r="X18" i="48" s="1"/>
  <c r="R18" i="48"/>
  <c r="S18" i="48" s="1"/>
  <c r="J18" i="48"/>
  <c r="I18" i="48"/>
  <c r="F18" i="48"/>
  <c r="E18" i="48"/>
  <c r="AV17" i="48"/>
  <c r="AQ17" i="48"/>
  <c r="AL17" i="48"/>
  <c r="AG17" i="48"/>
  <c r="AB17" i="48"/>
  <c r="AC17" i="48" s="1"/>
  <c r="W17" i="48"/>
  <c r="X17" i="48" s="1"/>
  <c r="R17" i="48"/>
  <c r="S17" i="48" s="1"/>
  <c r="J17" i="48"/>
  <c r="I17" i="48"/>
  <c r="F17" i="48"/>
  <c r="E17" i="48"/>
  <c r="AV16" i="48"/>
  <c r="AQ16" i="48"/>
  <c r="AL16" i="48"/>
  <c r="AG16" i="48"/>
  <c r="AB16" i="48"/>
  <c r="AC16" i="48" s="1"/>
  <c r="W16" i="48"/>
  <c r="X16" i="48" s="1"/>
  <c r="R16" i="48"/>
  <c r="S16" i="48" s="1"/>
  <c r="J16" i="48"/>
  <c r="I16" i="48"/>
  <c r="F16" i="48"/>
  <c r="E16" i="48"/>
  <c r="AV15" i="48"/>
  <c r="AQ15" i="48"/>
  <c r="AL15" i="48"/>
  <c r="AG15" i="48"/>
  <c r="AB15" i="48"/>
  <c r="AC15" i="48" s="1"/>
  <c r="W15" i="48"/>
  <c r="X15" i="48" s="1"/>
  <c r="R15" i="48"/>
  <c r="S15" i="48" s="1"/>
  <c r="J15" i="48"/>
  <c r="I15" i="48"/>
  <c r="F15" i="48"/>
  <c r="E15" i="48"/>
  <c r="AV14" i="48"/>
  <c r="AQ14" i="48"/>
  <c r="AL14" i="48"/>
  <c r="AG14" i="48"/>
  <c r="K14" i="48" s="1"/>
  <c r="AB14" i="48"/>
  <c r="AC14" i="48" s="1"/>
  <c r="W14" i="48"/>
  <c r="X14" i="48" s="1"/>
  <c r="R14" i="48"/>
  <c r="S14" i="48" s="1"/>
  <c r="J14" i="48"/>
  <c r="I14" i="48"/>
  <c r="F14" i="48"/>
  <c r="E14" i="48"/>
  <c r="AV13" i="48"/>
  <c r="AQ13" i="48"/>
  <c r="AL13" i="48"/>
  <c r="AG13" i="48"/>
  <c r="AB13" i="48"/>
  <c r="AC13" i="48" s="1"/>
  <c r="W13" i="48"/>
  <c r="X13" i="48" s="1"/>
  <c r="R13" i="48"/>
  <c r="S13" i="48" s="1"/>
  <c r="J13" i="48"/>
  <c r="I13" i="48"/>
  <c r="F13" i="48"/>
  <c r="E13" i="48"/>
  <c r="AV12" i="48"/>
  <c r="AQ12" i="48"/>
  <c r="AL12" i="48"/>
  <c r="AG12" i="48"/>
  <c r="AB12" i="48"/>
  <c r="AC12" i="48" s="1"/>
  <c r="W12" i="48"/>
  <c r="X12" i="48" s="1"/>
  <c r="R12" i="48"/>
  <c r="S12" i="48" s="1"/>
  <c r="J12" i="48"/>
  <c r="I12" i="48"/>
  <c r="F12" i="48"/>
  <c r="E12" i="48"/>
  <c r="AV11" i="48"/>
  <c r="AQ11" i="48"/>
  <c r="AL11" i="48"/>
  <c r="AG11" i="48"/>
  <c r="AB11" i="48"/>
  <c r="AC11" i="48" s="1"/>
  <c r="W11" i="48"/>
  <c r="X11" i="48" s="1"/>
  <c r="R11" i="48"/>
  <c r="S11" i="48" s="1"/>
  <c r="J11" i="48"/>
  <c r="I11" i="48"/>
  <c r="F11" i="48"/>
  <c r="E11" i="48"/>
  <c r="AV10" i="48"/>
  <c r="AQ10" i="48"/>
  <c r="AL10" i="48"/>
  <c r="AG10" i="48"/>
  <c r="AB10" i="48"/>
  <c r="AC10" i="48" s="1"/>
  <c r="W10" i="48"/>
  <c r="X10" i="48" s="1"/>
  <c r="R10" i="48"/>
  <c r="S10" i="48" s="1"/>
  <c r="J10" i="48"/>
  <c r="I10" i="48"/>
  <c r="F10" i="48"/>
  <c r="E10" i="48"/>
  <c r="G10" i="48" s="1"/>
  <c r="AV9" i="48"/>
  <c r="AQ9" i="48"/>
  <c r="AL9" i="48"/>
  <c r="AG9" i="48"/>
  <c r="AB9" i="48"/>
  <c r="AC9" i="48" s="1"/>
  <c r="W9" i="48"/>
  <c r="X9" i="48" s="1"/>
  <c r="R9" i="48"/>
  <c r="S9" i="48" s="1"/>
  <c r="J9" i="48"/>
  <c r="I9" i="48"/>
  <c r="F9" i="48"/>
  <c r="E9" i="48"/>
  <c r="AV8" i="48"/>
  <c r="AQ8" i="48"/>
  <c r="AL8" i="48"/>
  <c r="AG8" i="48"/>
  <c r="AB8" i="48"/>
  <c r="AC8" i="48" s="1"/>
  <c r="W8" i="48"/>
  <c r="X8" i="48" s="1"/>
  <c r="R8" i="48"/>
  <c r="S8" i="48" s="1"/>
  <c r="J8" i="48"/>
  <c r="I8" i="48"/>
  <c r="F8" i="48"/>
  <c r="E8" i="48"/>
  <c r="AV7" i="48"/>
  <c r="AQ7" i="48"/>
  <c r="AL7" i="48"/>
  <c r="AG7" i="48"/>
  <c r="AB7" i="48"/>
  <c r="AC7" i="48" s="1"/>
  <c r="W7" i="48"/>
  <c r="Y7" i="48" s="1"/>
  <c r="R7" i="48"/>
  <c r="J7" i="48"/>
  <c r="I7" i="48"/>
  <c r="F7" i="48"/>
  <c r="E7" i="48"/>
  <c r="G7" i="48" s="1"/>
  <c r="K36" i="48" l="1"/>
  <c r="X67" i="48"/>
  <c r="Y67" i="48"/>
  <c r="X81" i="48"/>
  <c r="X82" i="48"/>
  <c r="AC83" i="48"/>
  <c r="AC84" i="48"/>
  <c r="AC67" i="48"/>
  <c r="AC81" i="48"/>
  <c r="AC82" i="48"/>
  <c r="AD67" i="48"/>
  <c r="AI67" i="48"/>
  <c r="AH83" i="48"/>
  <c r="AM67" i="48"/>
  <c r="AM82" i="48"/>
  <c r="X68" i="48"/>
  <c r="AC68" i="48"/>
  <c r="AM68" i="48"/>
  <c r="AW68" i="48"/>
  <c r="X69" i="48"/>
  <c r="AC69" i="48"/>
  <c r="AM69" i="48"/>
  <c r="X70" i="48"/>
  <c r="AC70" i="48"/>
  <c r="AM70" i="48"/>
  <c r="X71" i="48"/>
  <c r="AC71" i="48"/>
  <c r="AH71" i="48"/>
  <c r="AM71" i="48"/>
  <c r="AR71" i="48"/>
  <c r="AW71" i="48"/>
  <c r="X72" i="48"/>
  <c r="AC72" i="48"/>
  <c r="AM72" i="48"/>
  <c r="X73" i="48"/>
  <c r="AC73" i="48"/>
  <c r="AH73" i="48"/>
  <c r="AM73" i="48"/>
  <c r="X74" i="48"/>
  <c r="AC74" i="48"/>
  <c r="AH74" i="48"/>
  <c r="AM74" i="48"/>
  <c r="X75" i="48"/>
  <c r="AC75" i="48"/>
  <c r="AH75" i="48"/>
  <c r="AM75" i="48"/>
  <c r="X76" i="48"/>
  <c r="AC76" i="48"/>
  <c r="AM76" i="48"/>
  <c r="X77" i="48"/>
  <c r="AC77" i="48"/>
  <c r="AM77" i="48"/>
  <c r="AW77" i="48"/>
  <c r="X78" i="48"/>
  <c r="AC78" i="48"/>
  <c r="X79" i="48"/>
  <c r="AC79" i="48"/>
  <c r="AM79" i="48"/>
  <c r="X80" i="48"/>
  <c r="AC80" i="48"/>
  <c r="AH80" i="48"/>
  <c r="AM80" i="48"/>
  <c r="AM81" i="48"/>
  <c r="S106" i="48"/>
  <c r="S107" i="48"/>
  <c r="S90" i="48"/>
  <c r="S104" i="48"/>
  <c r="S103" i="48"/>
  <c r="S102" i="48"/>
  <c r="S100" i="48"/>
  <c r="S99" i="48"/>
  <c r="S98" i="48"/>
  <c r="S97" i="48"/>
  <c r="S96" i="48"/>
  <c r="S95" i="48"/>
  <c r="S94" i="48"/>
  <c r="S93" i="48"/>
  <c r="S92" i="48"/>
  <c r="S91" i="48"/>
  <c r="S105" i="48"/>
  <c r="X106" i="48"/>
  <c r="X107" i="48"/>
  <c r="X90" i="48"/>
  <c r="X104" i="48"/>
  <c r="X103" i="48"/>
  <c r="X102" i="48"/>
  <c r="X100" i="48"/>
  <c r="X99" i="48"/>
  <c r="X98" i="48"/>
  <c r="X97" i="48"/>
  <c r="X96" i="48"/>
  <c r="X95" i="48"/>
  <c r="X94" i="48"/>
  <c r="X93" i="48"/>
  <c r="X92" i="48"/>
  <c r="X91" i="48"/>
  <c r="X105" i="48"/>
  <c r="AH105" i="48"/>
  <c r="AH103" i="48"/>
  <c r="AH97" i="48"/>
  <c r="AM105" i="48"/>
  <c r="AM103" i="48"/>
  <c r="AM97" i="48"/>
  <c r="AW103" i="48"/>
  <c r="G32" i="6"/>
  <c r="G7" i="49"/>
  <c r="S7" i="49"/>
  <c r="T7" i="49"/>
  <c r="G8" i="49"/>
  <c r="G9" i="49"/>
  <c r="G27" i="49"/>
  <c r="AH28" i="49"/>
  <c r="G29" i="49"/>
  <c r="AR29" i="49"/>
  <c r="G47" i="49"/>
  <c r="AM47" i="49"/>
  <c r="AN47" i="49"/>
  <c r="G48" i="49"/>
  <c r="AR48" i="49"/>
  <c r="AR49" i="49"/>
  <c r="G68" i="49"/>
  <c r="G69" i="49"/>
  <c r="G88" i="49"/>
  <c r="G89" i="49"/>
  <c r="AW97" i="48"/>
  <c r="AW105" i="48"/>
  <c r="AW102" i="48"/>
  <c r="AW99" i="48"/>
  <c r="AW93" i="48"/>
  <c r="AW100" i="48"/>
  <c r="AW96" i="48"/>
  <c r="AW104" i="48"/>
  <c r="AW98" i="48"/>
  <c r="AW94" i="48"/>
  <c r="AW90" i="48"/>
  <c r="AX90" i="48"/>
  <c r="AW91" i="48"/>
  <c r="AW92" i="48"/>
  <c r="AW95" i="48"/>
  <c r="AR103" i="48"/>
  <c r="K103" i="48"/>
  <c r="AR93" i="48"/>
  <c r="AR97" i="48"/>
  <c r="K97" i="48"/>
  <c r="AR91" i="48"/>
  <c r="AR94" i="48"/>
  <c r="AR92" i="48"/>
  <c r="AR98" i="48"/>
  <c r="K98" i="48"/>
  <c r="AR104" i="48"/>
  <c r="K104" i="48"/>
  <c r="AR96" i="48"/>
  <c r="K96" i="48"/>
  <c r="AR102" i="48"/>
  <c r="K102" i="48"/>
  <c r="AR99" i="48"/>
  <c r="K99" i="48"/>
  <c r="AR100" i="48"/>
  <c r="K100" i="48"/>
  <c r="AR90" i="48"/>
  <c r="AS90" i="48"/>
  <c r="AR95" i="48"/>
  <c r="K95" i="48"/>
  <c r="AM93" i="48"/>
  <c r="AM104" i="48"/>
  <c r="AM98" i="48"/>
  <c r="AM102" i="48"/>
  <c r="AM100" i="48"/>
  <c r="AM96" i="48"/>
  <c r="AM99" i="48"/>
  <c r="AM91" i="48"/>
  <c r="AM92" i="48"/>
  <c r="AM94" i="48"/>
  <c r="AM90" i="48"/>
  <c r="AM95" i="48"/>
  <c r="AN90" i="48"/>
  <c r="M90" i="49"/>
  <c r="AH93" i="48"/>
  <c r="AH99" i="48"/>
  <c r="AH100" i="48"/>
  <c r="AH102" i="48"/>
  <c r="AH98" i="48"/>
  <c r="AH104" i="48"/>
  <c r="AH96" i="48"/>
  <c r="AH91" i="48"/>
  <c r="AH92" i="48"/>
  <c r="AH94" i="48"/>
  <c r="AH90" i="48"/>
  <c r="AH95" i="48"/>
  <c r="AI90" i="48"/>
  <c r="K93" i="48"/>
  <c r="AC93" i="48"/>
  <c r="AC100" i="48"/>
  <c r="AC103" i="48"/>
  <c r="AC102" i="48"/>
  <c r="AC98" i="48"/>
  <c r="AC104" i="48"/>
  <c r="AC99" i="48"/>
  <c r="AC96" i="48"/>
  <c r="AC105" i="48"/>
  <c r="AC94" i="48"/>
  <c r="AC90" i="48"/>
  <c r="AC95" i="48"/>
  <c r="AD90" i="48"/>
  <c r="AC92" i="48"/>
  <c r="K92" i="48"/>
  <c r="AC91" i="48"/>
  <c r="K91" i="48"/>
  <c r="K94" i="48"/>
  <c r="Y90" i="48"/>
  <c r="L87" i="49"/>
  <c r="M88" i="49"/>
  <c r="T90" i="48"/>
  <c r="AW80" i="48"/>
  <c r="AW74" i="48"/>
  <c r="AW73" i="48"/>
  <c r="AW70" i="48"/>
  <c r="AW82" i="48"/>
  <c r="AW76" i="48"/>
  <c r="AW69" i="48"/>
  <c r="AW75" i="48"/>
  <c r="AW79" i="48"/>
  <c r="AW67" i="48"/>
  <c r="AX67" i="48"/>
  <c r="AW81" i="48"/>
  <c r="AW72" i="48"/>
  <c r="K69" i="48"/>
  <c r="AR73" i="48"/>
  <c r="AR80" i="48"/>
  <c r="AR74" i="48"/>
  <c r="AR76" i="48"/>
  <c r="AR70" i="48"/>
  <c r="AR82" i="48"/>
  <c r="AR75" i="48"/>
  <c r="AR79" i="48"/>
  <c r="AR77" i="48"/>
  <c r="K75" i="48"/>
  <c r="AR81" i="48"/>
  <c r="AR67" i="48"/>
  <c r="AS67" i="48"/>
  <c r="AR72" i="48"/>
  <c r="AR69" i="48"/>
  <c r="AR68" i="48"/>
  <c r="K72" i="48"/>
  <c r="K70" i="48"/>
  <c r="AN67" i="48"/>
  <c r="M69" i="49"/>
  <c r="AH77" i="48"/>
  <c r="AH79" i="48"/>
  <c r="AH70" i="48"/>
  <c r="AH82" i="48"/>
  <c r="AH76" i="48"/>
  <c r="AH69" i="48"/>
  <c r="AH68" i="48"/>
  <c r="AH72" i="48"/>
  <c r="AH84" i="48"/>
  <c r="AH67" i="48"/>
  <c r="AH81" i="48"/>
  <c r="K81" i="48"/>
  <c r="G37" i="48"/>
  <c r="G54" i="48"/>
  <c r="AM28" i="48"/>
  <c r="K29" i="48"/>
  <c r="G52" i="48"/>
  <c r="G78" i="48"/>
  <c r="K13" i="48"/>
  <c r="G18" i="48"/>
  <c r="G72" i="48"/>
  <c r="K10" i="48"/>
  <c r="K50" i="48"/>
  <c r="AW30" i="48"/>
  <c r="K11" i="48"/>
  <c r="G14" i="48"/>
  <c r="K71" i="48"/>
  <c r="G50" i="48"/>
  <c r="K55" i="48"/>
  <c r="AM58" i="48"/>
  <c r="AW15" i="48"/>
  <c r="G101" i="48"/>
  <c r="G93" i="48"/>
  <c r="AI7" i="48"/>
  <c r="G17" i="48"/>
  <c r="G47" i="48"/>
  <c r="X51" i="48"/>
  <c r="G39" i="48"/>
  <c r="G70" i="48"/>
  <c r="K20" i="48"/>
  <c r="K28" i="48"/>
  <c r="AS47" i="48"/>
  <c r="G69" i="48"/>
  <c r="G28" i="48"/>
  <c r="G73" i="48"/>
  <c r="K32" i="48"/>
  <c r="AI27" i="48"/>
  <c r="G32" i="48"/>
  <c r="S34" i="48"/>
  <c r="G80" i="48"/>
  <c r="G68" i="48"/>
  <c r="S83" i="48"/>
  <c r="S84" i="48"/>
  <c r="AH57" i="48"/>
  <c r="X84" i="48"/>
  <c r="X83" i="48"/>
  <c r="K54" i="48"/>
  <c r="G92" i="48"/>
  <c r="G97" i="48"/>
  <c r="K33" i="48"/>
  <c r="AC40" i="48"/>
  <c r="G53" i="48"/>
  <c r="S29" i="48"/>
  <c r="X30" i="48"/>
  <c r="AC35" i="48"/>
  <c r="AC36" i="48"/>
  <c r="AW49" i="48"/>
  <c r="AW51" i="48"/>
  <c r="G56" i="48"/>
  <c r="S59" i="48"/>
  <c r="G96" i="48"/>
  <c r="AW33" i="48"/>
  <c r="AW34" i="48"/>
  <c r="AH7" i="48"/>
  <c r="AH9" i="48"/>
  <c r="G36" i="48"/>
  <c r="G38" i="48"/>
  <c r="S51" i="48"/>
  <c r="AM18" i="48"/>
  <c r="AH12" i="48"/>
  <c r="AH17" i="48"/>
  <c r="G31" i="48"/>
  <c r="G35" i="48"/>
  <c r="S48" i="48"/>
  <c r="AC52" i="48"/>
  <c r="AH49" i="48"/>
  <c r="K56" i="48"/>
  <c r="AW58" i="48"/>
  <c r="AM12" i="48"/>
  <c r="AM17" i="48"/>
  <c r="K51" i="48"/>
  <c r="AW14" i="48"/>
  <c r="K18" i="48"/>
  <c r="G29" i="48"/>
  <c r="S38" i="48"/>
  <c r="AC48" i="48"/>
  <c r="AH50" i="48"/>
  <c r="G59" i="48"/>
  <c r="G95" i="48"/>
  <c r="AX7" i="48"/>
  <c r="G16" i="48"/>
  <c r="S37" i="48"/>
  <c r="AH40" i="48"/>
  <c r="AH47" i="48"/>
  <c r="AM49" i="48"/>
  <c r="AM50" i="48"/>
  <c r="AW61" i="48"/>
  <c r="AW54" i="48"/>
  <c r="G58" i="48"/>
  <c r="AM20" i="48"/>
  <c r="S30" i="48"/>
  <c r="S33" i="48"/>
  <c r="G8" i="48"/>
  <c r="G9" i="48"/>
  <c r="G12" i="48"/>
  <c r="G13" i="48"/>
  <c r="G19" i="48"/>
  <c r="S7" i="48"/>
  <c r="K27" i="48"/>
  <c r="AD27" i="48"/>
  <c r="AC32" i="48"/>
  <c r="AH36" i="48"/>
  <c r="AW48" i="48"/>
  <c r="G51" i="48"/>
  <c r="S58" i="48"/>
  <c r="X59" i="48"/>
  <c r="S52" i="48"/>
  <c r="AR58" i="48"/>
  <c r="AH8" i="48"/>
  <c r="AM13" i="48"/>
  <c r="K16" i="48"/>
  <c r="G33" i="48"/>
  <c r="AH53" i="48"/>
  <c r="AM8" i="48"/>
  <c r="K40" i="48"/>
  <c r="Y47" i="48"/>
  <c r="G60" i="48"/>
  <c r="AR54" i="48"/>
  <c r="G94" i="48"/>
  <c r="G99" i="48"/>
  <c r="AW10" i="48"/>
  <c r="AC31" i="48"/>
  <c r="AH32" i="48"/>
  <c r="AH34" i="48"/>
  <c r="AR38" i="48"/>
  <c r="AW55" i="48"/>
  <c r="K8" i="48"/>
  <c r="K17" i="48"/>
  <c r="AC28" i="48"/>
  <c r="AR37" i="48"/>
  <c r="G49" i="48"/>
  <c r="S56" i="48"/>
  <c r="G74" i="48"/>
  <c r="G75" i="48"/>
  <c r="G91" i="48"/>
  <c r="AD7" i="48"/>
  <c r="AM27" i="48"/>
  <c r="AH28" i="48"/>
  <c r="AR30" i="48"/>
  <c r="AW29" i="48"/>
  <c r="G40" i="48"/>
  <c r="S54" i="48"/>
  <c r="S55" i="48"/>
  <c r="X56" i="48"/>
  <c r="AH58" i="48"/>
  <c r="K59" i="48"/>
  <c r="G71" i="48"/>
  <c r="G76" i="48"/>
  <c r="G98" i="48"/>
  <c r="G102" i="48"/>
  <c r="K35" i="48"/>
  <c r="AR50" i="48"/>
  <c r="G57" i="48"/>
  <c r="S60" i="48"/>
  <c r="G79" i="48"/>
  <c r="G90" i="48"/>
  <c r="G100" i="48"/>
  <c r="K74" i="48"/>
  <c r="K76" i="48"/>
  <c r="K78" i="48"/>
  <c r="K80" i="48"/>
  <c r="K79" i="48"/>
  <c r="K77" i="48"/>
  <c r="K67" i="48"/>
  <c r="K68" i="48"/>
  <c r="M67" i="49"/>
  <c r="M68" i="49"/>
  <c r="AR36" i="48"/>
  <c r="AR55" i="48"/>
  <c r="K73" i="48"/>
  <c r="M73" i="48" s="1"/>
  <c r="AM8" i="49"/>
  <c r="AN7" i="49"/>
  <c r="S29" i="49"/>
  <c r="K29" i="49"/>
  <c r="AC48" i="49"/>
  <c r="G11" i="48"/>
  <c r="AR14" i="48"/>
  <c r="AR32" i="48"/>
  <c r="AW36" i="48"/>
  <c r="AM37" i="48"/>
  <c r="K38" i="48"/>
  <c r="K60" i="48"/>
  <c r="K90" i="48"/>
  <c r="AR9" i="49"/>
  <c r="AD27" i="49"/>
  <c r="X28" i="49"/>
  <c r="AC28" i="49"/>
  <c r="AH48" i="49"/>
  <c r="AW9" i="49"/>
  <c r="AI27" i="49"/>
  <c r="AM48" i="49"/>
  <c r="AM49" i="49"/>
  <c r="G15" i="48"/>
  <c r="AR29" i="48"/>
  <c r="AR15" i="48"/>
  <c r="K12" i="48"/>
  <c r="X55" i="48"/>
  <c r="AM16" i="48"/>
  <c r="G30" i="48"/>
  <c r="AC58" i="48"/>
  <c r="S50" i="48"/>
  <c r="AW11" i="48"/>
  <c r="K15" i="48"/>
  <c r="S27" i="48"/>
  <c r="AR28" i="48"/>
  <c r="AW32" i="48"/>
  <c r="AM33" i="48"/>
  <c r="X34" i="48"/>
  <c r="AH38" i="48"/>
  <c r="K39" i="48"/>
  <c r="AM59" i="48"/>
  <c r="X58" i="48"/>
  <c r="AW52" i="48"/>
  <c r="AM53" i="48"/>
  <c r="AC56" i="48"/>
  <c r="AH18" i="48"/>
  <c r="AM15" i="48"/>
  <c r="AW17" i="48"/>
  <c r="T27" i="48"/>
  <c r="AW39" i="48"/>
  <c r="AM38" i="48"/>
  <c r="K34" i="48"/>
  <c r="S40" i="48"/>
  <c r="X48" i="48"/>
  <c r="K57" i="48"/>
  <c r="K58" i="48"/>
  <c r="AM29" i="49"/>
  <c r="S36" i="48"/>
  <c r="AW37" i="48"/>
  <c r="K47" i="48"/>
  <c r="AW57" i="48"/>
  <c r="AW53" i="48"/>
  <c r="AH54" i="48"/>
  <c r="AR59" i="48"/>
  <c r="AN27" i="49"/>
  <c r="AX47" i="49"/>
  <c r="AW49" i="49"/>
  <c r="AM19" i="48"/>
  <c r="AH37" i="48"/>
  <c r="S39" i="48"/>
  <c r="S32" i="48"/>
  <c r="S57" i="48"/>
  <c r="AW47" i="48"/>
  <c r="AH52" i="48"/>
  <c r="AC50" i="48"/>
  <c r="AR28" i="49"/>
  <c r="AW28" i="49"/>
  <c r="G49" i="49"/>
  <c r="G67" i="49"/>
  <c r="H67" i="49" s="1"/>
  <c r="AR33" i="48"/>
  <c r="AR34" i="48"/>
  <c r="K37" i="48"/>
  <c r="AW38" i="48"/>
  <c r="AX47" i="48"/>
  <c r="AM48" i="48"/>
  <c r="AW50" i="48"/>
  <c r="X52" i="48"/>
  <c r="AM54" i="48"/>
  <c r="AW56" i="48"/>
  <c r="AM57" i="48"/>
  <c r="AW59" i="48"/>
  <c r="H47" i="49"/>
  <c r="AM28" i="49"/>
  <c r="X27" i="48"/>
  <c r="AR47" i="48"/>
  <c r="T7" i="48"/>
  <c r="AR40" i="48"/>
  <c r="X57" i="48"/>
  <c r="K53" i="48"/>
  <c r="S49" i="49"/>
  <c r="G87" i="49"/>
  <c r="H87" i="49" s="1"/>
  <c r="AM11" i="48"/>
  <c r="AW13" i="48"/>
  <c r="AW40" i="48"/>
  <c r="AD47" i="48"/>
  <c r="K52" i="48"/>
  <c r="AH8" i="49"/>
  <c r="AH9" i="49"/>
  <c r="X48" i="49"/>
  <c r="K49" i="49"/>
  <c r="AC39" i="48"/>
  <c r="H7" i="49"/>
  <c r="AM9" i="48"/>
  <c r="AR18" i="48"/>
  <c r="AH30" i="48"/>
  <c r="AM7" i="48"/>
  <c r="AW7" i="48"/>
  <c r="AH13" i="48"/>
  <c r="AH16" i="48"/>
  <c r="AR19" i="48"/>
  <c r="G34" i="48"/>
  <c r="K9" i="48"/>
  <c r="AR20" i="48"/>
  <c r="G27" i="48"/>
  <c r="G48" i="48"/>
  <c r="G28" i="49"/>
  <c r="H27" i="49" s="1"/>
  <c r="G20" i="48"/>
  <c r="AC47" i="48"/>
  <c r="K30" i="48"/>
  <c r="X49" i="49"/>
  <c r="AC29" i="49"/>
  <c r="AC49" i="49"/>
  <c r="X29" i="49"/>
  <c r="AS7" i="49"/>
  <c r="AS27" i="49"/>
  <c r="AW48" i="49"/>
  <c r="AC7" i="49"/>
  <c r="AW7" i="49"/>
  <c r="AC27" i="49"/>
  <c r="AW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AR27" i="49"/>
  <c r="K7" i="49"/>
  <c r="K27" i="49"/>
  <c r="K47" i="49"/>
  <c r="AM9" i="49"/>
  <c r="AH47" i="49"/>
  <c r="AH7" i="49"/>
  <c r="K9" i="49"/>
  <c r="AR7" i="49"/>
  <c r="K8" i="49"/>
  <c r="T27" i="49"/>
  <c r="K28" i="49"/>
  <c r="T47" i="49"/>
  <c r="K48" i="49"/>
  <c r="K7" i="48"/>
  <c r="AR10" i="48"/>
  <c r="AH20" i="48"/>
  <c r="AH27" i="48"/>
  <c r="AM29" i="48"/>
  <c r="X31" i="48"/>
  <c r="X35" i="48"/>
  <c r="X39" i="48"/>
  <c r="AC49" i="48"/>
  <c r="AR51" i="48"/>
  <c r="AC53" i="48"/>
  <c r="AC57" i="48"/>
  <c r="AW60" i="48"/>
  <c r="AN27" i="48"/>
  <c r="AH31" i="48"/>
  <c r="AH35" i="48"/>
  <c r="X29" i="48"/>
  <c r="AM39" i="48"/>
  <c r="AC51" i="48"/>
  <c r="AC55" i="48"/>
  <c r="AR57" i="48"/>
  <c r="AC59" i="48"/>
  <c r="AR17" i="48"/>
  <c r="AM32" i="48"/>
  <c r="AH39" i="48"/>
  <c r="AW9" i="48"/>
  <c r="AC30" i="48"/>
  <c r="AC34" i="48"/>
  <c r="AI47" i="48"/>
  <c r="AH48" i="48"/>
  <c r="AR8" i="48"/>
  <c r="AR12" i="48"/>
  <c r="AR16" i="48"/>
  <c r="K19" i="48"/>
  <c r="AR27" i="48"/>
  <c r="X7" i="48"/>
  <c r="AR7" i="48"/>
  <c r="Y27" i="48"/>
  <c r="AS27" i="48"/>
  <c r="S28" i="48"/>
  <c r="AW28" i="48"/>
  <c r="K31" i="48"/>
  <c r="S47" i="48"/>
  <c r="AM47" i="48"/>
  <c r="X50" i="48"/>
  <c r="AM52" i="48"/>
  <c r="X54" i="48"/>
  <c r="AM56" i="48"/>
  <c r="AR9" i="48"/>
  <c r="AH19" i="48"/>
  <c r="AM36" i="48"/>
  <c r="AM40" i="48"/>
  <c r="AR21" i="48"/>
  <c r="AH11" i="48"/>
  <c r="AH15" i="48"/>
  <c r="AH56" i="48"/>
  <c r="AM35" i="48"/>
  <c r="AS7" i="48"/>
  <c r="AW8" i="48"/>
  <c r="AH10" i="48"/>
  <c r="AW12" i="48"/>
  <c r="AH14" i="48"/>
  <c r="AW16" i="48"/>
  <c r="AC29" i="48"/>
  <c r="AR31" i="48"/>
  <c r="AC33" i="48"/>
  <c r="AR35" i="48"/>
  <c r="AC37" i="48"/>
  <c r="AR39" i="48"/>
  <c r="T47" i="48"/>
  <c r="AN47" i="48"/>
  <c r="K48" i="48"/>
  <c r="S49" i="48"/>
  <c r="AH51" i="48"/>
  <c r="S53" i="48"/>
  <c r="AH55" i="48"/>
  <c r="AH59" i="48"/>
  <c r="AC38" i="48"/>
  <c r="K49" i="48"/>
  <c r="AM31" i="48"/>
  <c r="X33" i="48"/>
  <c r="X37" i="48"/>
  <c r="AR53" i="48"/>
  <c r="AR11" i="48"/>
  <c r="AW19" i="48"/>
  <c r="AC27" i="48"/>
  <c r="AW27" i="48"/>
  <c r="X28" i="48"/>
  <c r="AM30" i="48"/>
  <c r="X32" i="48"/>
  <c r="AM34" i="48"/>
  <c r="X36" i="48"/>
  <c r="X40" i="48"/>
  <c r="AR48" i="48"/>
  <c r="AR52" i="48"/>
  <c r="AC54" i="48"/>
  <c r="AR56" i="48"/>
  <c r="AR13" i="48"/>
  <c r="X38" i="48"/>
  <c r="AN7" i="48"/>
  <c r="AW20" i="48"/>
  <c r="AR49" i="48"/>
  <c r="AM10" i="48"/>
  <c r="AM14" i="48"/>
  <c r="AX27" i="48"/>
  <c r="AH29" i="48"/>
  <c r="S31" i="48"/>
  <c r="AW31" i="48"/>
  <c r="AH33" i="48"/>
  <c r="S35" i="48"/>
  <c r="AW35" i="48"/>
  <c r="X47" i="48"/>
  <c r="X49" i="48"/>
  <c r="AM51" i="48"/>
  <c r="X53" i="48"/>
  <c r="AM55" i="48"/>
  <c r="M68" i="48" l="1"/>
  <c r="M67" i="48"/>
  <c r="M82" i="48"/>
  <c r="M77" i="48"/>
  <c r="M79" i="48"/>
  <c r="M80" i="48"/>
  <c r="M78" i="48"/>
  <c r="M76" i="48"/>
  <c r="M74" i="48"/>
  <c r="M71" i="48"/>
  <c r="M81" i="48"/>
  <c r="M70" i="48"/>
  <c r="M72" i="48"/>
  <c r="M75" i="48"/>
  <c r="M69" i="48"/>
  <c r="M99" i="48"/>
  <c r="M103" i="48"/>
  <c r="M97" i="48"/>
  <c r="M105" i="48"/>
  <c r="M104" i="48"/>
  <c r="M98" i="48"/>
  <c r="M100" i="48"/>
  <c r="M93" i="48"/>
  <c r="M96" i="48"/>
  <c r="M102" i="48"/>
  <c r="M95" i="48"/>
  <c r="M91" i="48"/>
  <c r="M92" i="48"/>
  <c r="M94" i="48"/>
  <c r="M90" i="48"/>
  <c r="L90" i="48"/>
  <c r="L67" i="48"/>
  <c r="H67" i="48"/>
  <c r="H27" i="48"/>
  <c r="M30" i="48"/>
  <c r="M52" i="48"/>
  <c r="M48" i="48"/>
  <c r="M60" i="48"/>
  <c r="H7" i="48"/>
  <c r="M51" i="48"/>
  <c r="H47" i="48"/>
  <c r="H90" i="48"/>
  <c r="M54" i="48"/>
  <c r="M58" i="48"/>
  <c r="M53" i="48"/>
  <c r="M59" i="48"/>
  <c r="M31" i="48"/>
  <c r="M56" i="48"/>
  <c r="M48" i="49"/>
  <c r="M50" i="48"/>
  <c r="M47" i="48"/>
  <c r="M9" i="49"/>
  <c r="L27" i="49"/>
  <c r="M27" i="49"/>
  <c r="M47" i="49"/>
  <c r="L47" i="49"/>
  <c r="M21" i="49"/>
  <c r="M20" i="49"/>
  <c r="M19" i="49"/>
  <c r="M13" i="49"/>
  <c r="L7" i="49"/>
  <c r="M18" i="49"/>
  <c r="M7" i="49"/>
  <c r="M17" i="49"/>
  <c r="M11" i="49"/>
  <c r="M10" i="49"/>
  <c r="M16" i="49"/>
  <c r="M15" i="49"/>
  <c r="M12" i="49"/>
  <c r="M14" i="49"/>
  <c r="M28" i="49"/>
  <c r="M29" i="49"/>
  <c r="M8" i="49"/>
  <c r="M49" i="49"/>
  <c r="M21" i="48"/>
  <c r="M7" i="48"/>
  <c r="L7" i="48"/>
  <c r="M29" i="48"/>
  <c r="M27" i="48"/>
  <c r="M9" i="48"/>
  <c r="M11" i="48"/>
  <c r="M37" i="48"/>
  <c r="M16" i="48"/>
  <c r="M36" i="48"/>
  <c r="M10" i="48"/>
  <c r="M17" i="48"/>
  <c r="L47" i="48"/>
  <c r="M34" i="48"/>
  <c r="M28" i="48"/>
  <c r="M55" i="48"/>
  <c r="M40" i="48"/>
  <c r="M35" i="48"/>
  <c r="M14" i="48"/>
  <c r="L27" i="48"/>
  <c r="M15" i="48"/>
  <c r="M57" i="48"/>
  <c r="M49" i="48"/>
  <c r="M19" i="48"/>
  <c r="M33" i="48"/>
  <c r="M38" i="48"/>
  <c r="M39" i="48"/>
  <c r="M13" i="48"/>
  <c r="M12" i="48"/>
  <c r="M41" i="48"/>
  <c r="M18" i="48"/>
  <c r="M20" i="48"/>
  <c r="M32" i="48"/>
  <c r="M8" i="48"/>
  <c r="C1" i="49" l="1"/>
  <c r="C1" i="48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7" i="7"/>
  <c r="G32" i="7" l="1"/>
  <c r="E9" i="39"/>
  <c r="M9" i="19" l="1"/>
  <c r="M10" i="19"/>
  <c r="M11" i="19"/>
  <c r="I12" i="5" l="1"/>
  <c r="I7" i="39" l="1"/>
  <c r="J7" i="39"/>
  <c r="D24" i="39"/>
  <c r="D23" i="39"/>
  <c r="D22" i="39"/>
  <c r="W5" i="5" l="1"/>
  <c r="B9" i="39"/>
  <c r="O5" i="3" l="1"/>
  <c r="O6" i="3"/>
  <c r="Z7" i="29" l="1"/>
  <c r="M26" i="20" l="1"/>
  <c r="M13" i="20"/>
  <c r="M12" i="20"/>
  <c r="M11" i="20"/>
  <c r="M10" i="20"/>
  <c r="M9" i="20"/>
  <c r="M25" i="20"/>
  <c r="AA7" i="29" l="1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I5" i="5" l="1"/>
  <c r="G5" i="5"/>
  <c r="G14" i="40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M8" i="43"/>
  <c r="K8" i="43"/>
  <c r="I8" i="43"/>
  <c r="Z7" i="43"/>
  <c r="M7" i="43"/>
  <c r="K7" i="43"/>
  <c r="I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B8" i="29"/>
  <c r="AC8" i="29"/>
  <c r="AD8" i="29"/>
  <c r="AE8" i="29"/>
  <c r="AF8" i="29"/>
  <c r="AG8" i="29"/>
  <c r="AH8" i="29"/>
  <c r="AA8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Z18" i="29"/>
  <c r="Z15" i="29"/>
  <c r="Z12" i="29"/>
  <c r="Z9" i="29"/>
  <c r="AH7" i="29"/>
  <c r="AG7" i="29"/>
  <c r="AF7" i="29"/>
  <c r="AE7" i="29"/>
  <c r="AD7" i="29"/>
  <c r="AC7" i="29"/>
  <c r="AB7" i="29"/>
  <c r="C10" i="41"/>
  <c r="C9" i="41"/>
  <c r="I117" i="29" l="1"/>
  <c r="K117" i="29"/>
  <c r="M117" i="29"/>
  <c r="I118" i="29"/>
  <c r="K118" i="29"/>
  <c r="M118" i="29"/>
  <c r="I119" i="29"/>
  <c r="K119" i="29"/>
  <c r="M119" i="29"/>
  <c r="I120" i="29"/>
  <c r="K120" i="29"/>
  <c r="M120" i="29"/>
  <c r="I121" i="29"/>
  <c r="K121" i="29"/>
  <c r="M121" i="29"/>
  <c r="I122" i="29"/>
  <c r="K122" i="29"/>
  <c r="M122" i="29"/>
  <c r="I123" i="29"/>
  <c r="K123" i="29"/>
  <c r="M123" i="29"/>
  <c r="I124" i="29"/>
  <c r="K124" i="29"/>
  <c r="M124" i="29"/>
  <c r="I125" i="29"/>
  <c r="K125" i="29"/>
  <c r="M125" i="29"/>
  <c r="I126" i="29"/>
  <c r="K126" i="29"/>
  <c r="M126" i="29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AA22" i="29"/>
  <c r="C10" i="40"/>
  <c r="J18" i="39"/>
  <c r="D18" i="39"/>
  <c r="I17" i="39"/>
  <c r="K17" i="39" s="1"/>
  <c r="C17" i="39"/>
  <c r="E17" i="39" s="1"/>
  <c r="I16" i="39"/>
  <c r="K16" i="39" s="1"/>
  <c r="C16" i="39"/>
  <c r="E16" i="39" s="1"/>
  <c r="I15" i="39"/>
  <c r="K15" i="39" s="1"/>
  <c r="C15" i="39"/>
  <c r="E15" i="39" s="1"/>
  <c r="D11" i="39"/>
  <c r="D10" i="39"/>
  <c r="D9" i="39"/>
  <c r="D8" i="39"/>
  <c r="D7" i="39"/>
  <c r="D6" i="39"/>
  <c r="C18" i="39" l="1"/>
  <c r="I18" i="39"/>
  <c r="V5" i="5" l="1"/>
  <c r="S5" i="5"/>
  <c r="P5" i="5"/>
  <c r="M5" i="5"/>
  <c r="C15" i="13"/>
  <c r="I6" i="5"/>
  <c r="I7" i="5"/>
  <c r="I8" i="5"/>
  <c r="J5" i="5" s="1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K5" i="5" l="1"/>
  <c r="L20" i="21"/>
  <c r="K38" i="20"/>
  <c r="K30" i="20"/>
  <c r="K22" i="20"/>
  <c r="K14" i="20"/>
  <c r="AB22" i="29" l="1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AH23" i="29"/>
  <c r="AH22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K7" i="29"/>
  <c r="I7" i="29"/>
  <c r="C1" i="36" l="1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G14" i="41" l="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E15" i="13" l="1"/>
  <c r="S5" i="3"/>
  <c r="M5" i="3"/>
  <c r="J5" i="3"/>
  <c r="G5" i="3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B32" i="7"/>
  <c r="J26" i="7"/>
  <c r="J16" i="7"/>
  <c r="B7" i="7"/>
  <c r="B32" i="6"/>
  <c r="B25" i="6"/>
  <c r="B18" i="6"/>
  <c r="B7" i="6"/>
  <c r="V37" i="5"/>
  <c r="V30" i="5"/>
  <c r="V23" i="5"/>
  <c r="V16" i="5"/>
  <c r="V9" i="5"/>
  <c r="S37" i="5"/>
  <c r="S30" i="5"/>
  <c r="S23" i="5"/>
  <c r="S16" i="5"/>
  <c r="S9" i="5"/>
  <c r="T5" i="5"/>
  <c r="P37" i="5"/>
  <c r="P30" i="5"/>
  <c r="P23" i="5"/>
  <c r="P16" i="5"/>
  <c r="P9" i="5"/>
  <c r="Q5" i="5"/>
  <c r="M37" i="5"/>
  <c r="M30" i="5"/>
  <c r="M23" i="5"/>
  <c r="M16" i="5"/>
  <c r="M9" i="5"/>
  <c r="J37" i="5"/>
  <c r="J30" i="5"/>
  <c r="J23" i="5"/>
  <c r="J16" i="5"/>
  <c r="J9" i="5"/>
  <c r="H5" i="5"/>
  <c r="G9" i="5"/>
  <c r="G16" i="5"/>
  <c r="G23" i="5"/>
  <c r="G37" i="5"/>
  <c r="B30" i="5"/>
  <c r="B23" i="5"/>
  <c r="B16" i="5"/>
  <c r="B5" i="5"/>
  <c r="T5" i="3"/>
  <c r="W5" i="3" s="1"/>
  <c r="V37" i="3"/>
  <c r="S37" i="3"/>
  <c r="S30" i="3"/>
  <c r="V30" i="3" s="1"/>
  <c r="S23" i="3"/>
  <c r="S16" i="3"/>
  <c r="S9" i="3"/>
  <c r="O4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M23" i="3"/>
  <c r="M16" i="3"/>
  <c r="M9" i="3"/>
  <c r="J37" i="3"/>
  <c r="J23" i="3"/>
  <c r="J16" i="3"/>
  <c r="J9" i="3"/>
  <c r="G9" i="3"/>
  <c r="G16" i="3"/>
  <c r="G23" i="3"/>
  <c r="G37" i="3"/>
  <c r="B30" i="3"/>
  <c r="B23" i="3"/>
  <c r="B16" i="3"/>
  <c r="B5" i="3"/>
  <c r="P5" i="3" l="1"/>
  <c r="P23" i="3"/>
  <c r="P37" i="3"/>
  <c r="P30" i="3"/>
  <c r="N26" i="7"/>
  <c r="P16" i="3"/>
  <c r="V9" i="3"/>
  <c r="P9" i="3"/>
  <c r="L16" i="7"/>
  <c r="L26" i="7"/>
  <c r="N16" i="7"/>
  <c r="V16" i="3"/>
  <c r="V23" i="3"/>
  <c r="M30" i="19"/>
  <c r="K30" i="19" s="1"/>
  <c r="M22" i="19"/>
  <c r="K22" i="19" s="1"/>
  <c r="M14" i="19"/>
  <c r="K14" i="19" s="1"/>
  <c r="C18" i="13"/>
  <c r="I18" i="13"/>
  <c r="N40" i="6" l="1"/>
  <c r="L40" i="6"/>
  <c r="J40" i="6"/>
  <c r="L23" i="7"/>
  <c r="J23" i="7"/>
  <c r="N23" i="7"/>
  <c r="N24" i="6"/>
  <c r="L24" i="6"/>
  <c r="J24" i="6"/>
  <c r="N33" i="6"/>
  <c r="L33" i="6"/>
  <c r="J33" i="6"/>
  <c r="G7" i="7"/>
  <c r="N7" i="7"/>
  <c r="L7" i="7"/>
  <c r="J7" i="7"/>
  <c r="H7" i="7"/>
  <c r="J18" i="6"/>
  <c r="N18" i="6"/>
  <c r="G18" i="6"/>
  <c r="L18" i="6"/>
  <c r="L11" i="6"/>
  <c r="N11" i="6"/>
  <c r="J11" i="6"/>
  <c r="G11" i="6"/>
  <c r="L35" i="7"/>
  <c r="N35" i="7"/>
  <c r="J35" i="7"/>
  <c r="N17" i="7"/>
  <c r="L17" i="7"/>
  <c r="J17" i="7"/>
  <c r="J30" i="6"/>
  <c r="N30" i="6"/>
  <c r="L30" i="6"/>
  <c r="N30" i="7"/>
  <c r="L30" i="7"/>
  <c r="J30" i="7"/>
  <c r="N45" i="6"/>
  <c r="L45" i="6"/>
  <c r="J45" i="6"/>
  <c r="N38" i="7"/>
  <c r="L38" i="7"/>
  <c r="J38" i="7"/>
  <c r="J17" i="6"/>
  <c r="N17" i="6"/>
  <c r="L17" i="6"/>
  <c r="N23" i="6"/>
  <c r="L23" i="6"/>
  <c r="J23" i="6"/>
  <c r="N36" i="6"/>
  <c r="L36" i="6"/>
  <c r="J36" i="6"/>
  <c r="J42" i="6"/>
  <c r="N42" i="6"/>
  <c r="L42" i="6"/>
  <c r="L19" i="6"/>
  <c r="J19" i="6"/>
  <c r="N19" i="6"/>
  <c r="N28" i="7"/>
  <c r="L28" i="7"/>
  <c r="J28" i="7"/>
  <c r="N12" i="7"/>
  <c r="L12" i="7"/>
  <c r="J12" i="7"/>
  <c r="L31" i="6"/>
  <c r="J31" i="6"/>
  <c r="N31" i="6"/>
  <c r="J41" i="6"/>
  <c r="N41" i="6"/>
  <c r="L41" i="6"/>
  <c r="J40" i="7"/>
  <c r="N40" i="7"/>
  <c r="L40" i="7"/>
  <c r="N20" i="6"/>
  <c r="L20" i="6"/>
  <c r="J20" i="6"/>
  <c r="L34" i="7"/>
  <c r="N34" i="7"/>
  <c r="J34" i="7"/>
  <c r="N13" i="7"/>
  <c r="L13" i="7"/>
  <c r="J13" i="7"/>
  <c r="L43" i="6"/>
  <c r="J43" i="6"/>
  <c r="N43" i="6"/>
  <c r="N9" i="6"/>
  <c r="L9" i="6"/>
  <c r="J9" i="6"/>
  <c r="N39" i="7"/>
  <c r="L39" i="7"/>
  <c r="J39" i="7"/>
  <c r="G39" i="7"/>
  <c r="N45" i="7"/>
  <c r="L45" i="7"/>
  <c r="J45" i="7"/>
  <c r="N13" i="6"/>
  <c r="L13" i="6"/>
  <c r="J13" i="6"/>
  <c r="N20" i="7"/>
  <c r="L20" i="7"/>
  <c r="J20" i="7"/>
  <c r="N22" i="7"/>
  <c r="L22" i="7"/>
  <c r="J22" i="7"/>
  <c r="N25" i="6"/>
  <c r="L25" i="6"/>
  <c r="J25" i="6"/>
  <c r="G25" i="6"/>
  <c r="J29" i="6"/>
  <c r="N29" i="6"/>
  <c r="L29" i="6"/>
  <c r="N11" i="7"/>
  <c r="L11" i="7"/>
  <c r="J11" i="7"/>
  <c r="G11" i="7"/>
  <c r="N14" i="6"/>
  <c r="L14" i="6"/>
  <c r="J14" i="6"/>
  <c r="N29" i="7"/>
  <c r="J29" i="7"/>
  <c r="L29" i="7"/>
  <c r="N18" i="7"/>
  <c r="L18" i="7"/>
  <c r="J18" i="7"/>
  <c r="G18" i="7"/>
  <c r="N26" i="6"/>
  <c r="L26" i="6"/>
  <c r="J26" i="6"/>
  <c r="N27" i="6"/>
  <c r="L27" i="6"/>
  <c r="J27" i="6"/>
  <c r="N16" i="6"/>
  <c r="L16" i="6"/>
  <c r="J16" i="6"/>
  <c r="N37" i="7"/>
  <c r="L37" i="7"/>
  <c r="J37" i="7"/>
  <c r="J9" i="7"/>
  <c r="N9" i="7"/>
  <c r="L9" i="7"/>
  <c r="N32" i="6"/>
  <c r="L32" i="6"/>
  <c r="J32" i="6"/>
  <c r="L19" i="7"/>
  <c r="J19" i="7"/>
  <c r="N19" i="7"/>
  <c r="N41" i="7"/>
  <c r="L41" i="7"/>
  <c r="J41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37" i="6"/>
  <c r="L37" i="6"/>
  <c r="J37" i="6"/>
  <c r="N10" i="7"/>
  <c r="L10" i="7"/>
  <c r="J10" i="7"/>
  <c r="N34" i="6"/>
  <c r="L34" i="6"/>
  <c r="J34" i="6"/>
  <c r="N15" i="6"/>
  <c r="L15" i="6"/>
  <c r="J15" i="6"/>
  <c r="N43" i="7"/>
  <c r="L43" i="7"/>
  <c r="J43" i="7"/>
  <c r="N25" i="7"/>
  <c r="L25" i="7"/>
  <c r="J25" i="7"/>
  <c r="G25" i="7"/>
  <c r="L42" i="7"/>
  <c r="N42" i="7"/>
  <c r="J42" i="7"/>
  <c r="N38" i="6"/>
  <c r="L38" i="6"/>
  <c r="J38" i="6"/>
  <c r="N39" i="6"/>
  <c r="G39" i="6"/>
  <c r="L39" i="6"/>
  <c r="J39" i="6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N44" i="7"/>
  <c r="L44" i="7"/>
  <c r="J44" i="7"/>
  <c r="L44" i="6"/>
  <c r="J44" i="6"/>
  <c r="N44" i="6"/>
  <c r="G7" i="6"/>
  <c r="J7" i="6"/>
  <c r="N7" i="6"/>
  <c r="H7" i="6"/>
  <c r="L7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V5" i="3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O14" i="1"/>
  <c r="X28" i="1"/>
  <c r="V28" i="1" s="1"/>
  <c r="X34" i="1"/>
  <c r="V34" i="1" s="1"/>
  <c r="D11" i="1"/>
  <c r="X42" i="1"/>
  <c r="V42" i="1" s="1"/>
  <c r="Q6" i="1"/>
  <c r="D9" i="1"/>
  <c r="U14" i="1"/>
  <c r="AD23" i="43" l="1"/>
  <c r="AD8" i="43"/>
  <c r="AE22" i="43"/>
  <c r="AF23" i="43"/>
  <c r="AG23" i="43"/>
  <c r="AH23" i="43"/>
  <c r="AF22" i="43"/>
  <c r="AF7" i="43"/>
  <c r="AG8" i="43"/>
  <c r="AH22" i="43"/>
  <c r="AE23" i="43"/>
  <c r="AH8" i="43"/>
  <c r="AB8" i="43"/>
  <c r="AD22" i="43"/>
  <c r="AC7" i="43"/>
  <c r="AE8" i="43"/>
  <c r="AE7" i="43"/>
  <c r="AH7" i="43"/>
  <c r="AA23" i="43"/>
  <c r="AF8" i="43"/>
  <c r="AA22" i="43"/>
  <c r="AB23" i="43"/>
  <c r="AC22" i="43"/>
  <c r="AC8" i="43"/>
  <c r="AD7" i="43"/>
  <c r="AG22" i="43"/>
  <c r="AG7" i="43"/>
  <c r="AA7" i="43"/>
  <c r="AA8" i="43"/>
  <c r="AB22" i="43"/>
  <c r="AC23" i="43"/>
  <c r="AB7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<sst xmlns="http://schemas.openxmlformats.org/spreadsheetml/2006/main" count="5459" uniqueCount="680">
  <si>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</si>
  <si>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月別</t>
    <phoneticPr fontId="13"/>
  </si>
  <si>
    <t>工廠</t>
    <phoneticPr fontId="13"/>
  </si>
  <si>
    <t>長家廠</t>
    <phoneticPr fontId="16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</si>
  <si>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</si>
  <si>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※單位：千元</t>
    <phoneticPr fontId="13"/>
  </si>
  <si>
    <t>（２）ＫＰＩ達成進度</t>
    <phoneticPr fontId="13"/>
  </si>
  <si>
    <t>項目</t>
    <phoneticPr fontId="16" type="noConversion"/>
  </si>
  <si>
    <t>當月</t>
    <phoneticPr fontId="13"/>
  </si>
  <si>
    <t>前月</t>
  </si>
  <si>
    <t>差異</t>
  </si>
  <si>
    <t>累計</t>
  </si>
  <si>
    <t>KPI</t>
    <phoneticPr fontId="13"/>
  </si>
  <si>
    <t>前月</t>
    <phoneticPr fontId="13"/>
  </si>
  <si>
    <t>※補充</t>
    <phoneticPr fontId="13"/>
  </si>
  <si>
    <t>業績金額</t>
    <phoneticPr fontId="13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</si>
  <si>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</si>
  <si>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個／MH</t>
    <phoneticPr fontId="13"/>
  </si>
  <si>
    <t>訂單數量</t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</si>
  <si>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</si>
  <si>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達成率</t>
  </si>
  <si>
    <t>材料費</t>
  </si>
  <si>
    <t>半成品-報廢(%)</t>
    <phoneticPr fontId="13"/>
  </si>
  <si>
    <t>報廢率</t>
    <phoneticPr fontId="13"/>
  </si>
  <si>
    <t>材料費率</t>
  </si>
  <si>
    <t>半成品-超用(%)</t>
    <phoneticPr fontId="13"/>
  </si>
  <si>
    <t>超用率</t>
    <phoneticPr fontId="13"/>
  </si>
  <si>
    <t>勞務成本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</si>
  <si>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</si>
  <si>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t>導入率</t>
  </si>
  <si>
    <t>勞務費率</t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</si>
  <si>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</si>
  <si>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實施率</t>
    <phoneticPr fontId="13"/>
  </si>
  <si>
    <t>（３）業績構成比</t>
    <phoneticPr fontId="13"/>
  </si>
  <si>
    <t>（４）訂單數量構成比</t>
    <phoneticPr fontId="13"/>
  </si>
  <si>
    <t>比例</t>
    <phoneticPr fontId="13"/>
  </si>
  <si>
    <t>差異</t>
    <phoneticPr fontId="13"/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</si>
  <si>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</si>
  <si>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</si>
  <si>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</si>
  <si>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</si>
  <si>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品群</t>
    <phoneticPr fontId="13"/>
  </si>
  <si>
    <t>週別</t>
    <phoneticPr fontId="16" type="noConversion"/>
  </si>
  <si>
    <t>W5</t>
    <phoneticPr fontId="16" type="noConversion"/>
  </si>
  <si>
    <t>當週</t>
    <phoneticPr fontId="13"/>
  </si>
  <si>
    <t>前週</t>
    <phoneticPr fontId="16" type="noConversion"/>
  </si>
  <si>
    <t>當週</t>
  </si>
  <si>
    <t>前週</t>
  </si>
  <si>
    <t>前週</t>
    <phoneticPr fontId="13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</si>
  <si>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</si>
  <si>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</si>
  <si>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</si>
  <si>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日期</t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</si>
  <si>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</si>
  <si>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</si>
  <si>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</si>
  <si>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</si>
  <si>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</si>
  <si>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</si>
  <si>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日</t>
    <phoneticPr fontId="16" type="noConversion"/>
  </si>
  <si>
    <t>週累積</t>
    <phoneticPr fontId="16" type="noConversion"/>
  </si>
  <si>
    <t>月累積</t>
    <phoneticPr fontId="16" type="noConversion"/>
  </si>
  <si>
    <t>八</t>
    <phoneticPr fontId="16" type="noConversion"/>
  </si>
  <si>
    <t>五</t>
    <phoneticPr fontId="16" type="noConversion"/>
  </si>
  <si>
    <t>六</t>
    <phoneticPr fontId="16" type="noConversion"/>
  </si>
  <si>
    <t>一</t>
    <phoneticPr fontId="16" type="noConversion"/>
  </si>
  <si>
    <t>二</t>
    <phoneticPr fontId="16" type="noConversion"/>
  </si>
  <si>
    <t>三</t>
    <phoneticPr fontId="16" type="noConversion"/>
  </si>
  <si>
    <t>四</t>
    <phoneticPr fontId="16" type="noConversion"/>
  </si>
  <si>
    <t>（２）ＫＰＩ達成進度</t>
    <phoneticPr fontId="16" type="noConversion"/>
  </si>
  <si>
    <t xml:space="preserve">人時生產性(個/人) </t>
  </si>
  <si>
    <t xml:space="preserve">人時生產性達成率(%) </t>
  </si>
  <si>
    <t xml:space="preserve">半成品報廢(%) </t>
    <phoneticPr fontId="16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</si>
  <si>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</si>
  <si>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</si>
  <si>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</si>
  <si>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6" type="noConversion"/>
  </si>
  <si>
    <t>月平均</t>
    <phoneticPr fontId="16" type="noConversion"/>
  </si>
  <si>
    <t>（3）業績構成比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</si>
  <si>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</si>
  <si>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t>營業額</t>
    <phoneticPr fontId="16" type="noConversion"/>
  </si>
  <si>
    <t>品類業績</t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</si>
  <si>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</si>
  <si>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</si>
  <si>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微波小吃</t>
    <phoneticPr fontId="16" type="noConversion"/>
  </si>
  <si>
    <t>一配</t>
    <phoneticPr fontId="16" type="noConversion"/>
  </si>
  <si>
    <t>業績(元)</t>
    <phoneticPr fontId="16" type="noConversion"/>
  </si>
  <si>
    <t>比例(%)</t>
    <phoneticPr fontId="16" type="noConversion"/>
  </si>
  <si>
    <t>（4）訂單數量構成比</t>
    <phoneticPr fontId="16" type="noConversion"/>
  </si>
  <si>
    <t>訂單量</t>
    <phoneticPr fontId="16" type="noConversion"/>
  </si>
  <si>
    <t>品類訂單量</t>
    <phoneticPr fontId="16" type="noConversion"/>
  </si>
  <si>
    <t>訂單數</t>
    <phoneticPr fontId="16" type="noConversion"/>
  </si>
  <si>
    <t>月平均人時性</t>
    <phoneticPr fontId="16" type="noConversion"/>
  </si>
  <si>
    <t>產線配置圖－每週更新</t>
    <phoneticPr fontId="16" type="noConversion"/>
  </si>
  <si>
    <t>資料繳交</t>
    <phoneticPr fontId="16" type="noConversion"/>
  </si>
  <si>
    <t>品群</t>
    <phoneticPr fontId="16" type="noConversion"/>
  </si>
  <si>
    <t>商品名稱</t>
    <phoneticPr fontId="16" type="noConversion"/>
  </si>
  <si>
    <t>計畫</t>
    <phoneticPr fontId="16" type="noConversion"/>
  </si>
  <si>
    <t>平均人時性</t>
    <phoneticPr fontId="16" type="noConversion"/>
  </si>
  <si>
    <t>實績</t>
    <phoneticPr fontId="16" type="noConversion"/>
  </si>
  <si>
    <t>排名</t>
    <phoneticPr fontId="16" type="noConversion"/>
  </si>
  <si>
    <t>日報</t>
    <phoneticPr fontId="16" type="noConversion"/>
  </si>
  <si>
    <t>實際</t>
    <phoneticPr fontId="16" type="noConversion"/>
  </si>
  <si>
    <t>產線配置圖</t>
    <phoneticPr fontId="16" type="noConversion"/>
  </si>
  <si>
    <t>生產實績</t>
    <phoneticPr fontId="16" type="noConversion"/>
  </si>
  <si>
    <t>人數</t>
    <phoneticPr fontId="16" type="noConversion"/>
  </si>
  <si>
    <t>產能／時</t>
    <phoneticPr fontId="16" type="noConversion"/>
  </si>
  <si>
    <t>人時性</t>
    <phoneticPr fontId="16" type="noConversion"/>
  </si>
  <si>
    <t>熱食義麵</t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</si>
  <si>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</si>
  <si>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</si>
  <si>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</si>
  <si>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</si>
  <si>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</si>
  <si>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韓式炸雞義大利麵</t>
  </si>
  <si>
    <t>蒜香蝦蝦義大利麵</t>
  </si>
  <si>
    <t>焗奶油扇貝筆尖麵</t>
  </si>
  <si>
    <t>拿坡里義大利麵</t>
  </si>
  <si>
    <t>奶油明太子細扁麵</t>
  </si>
  <si>
    <t>黑胡椒燻豬腿義大利麵</t>
  </si>
  <si>
    <t>卡曼橘油醋冷義大利麵</t>
  </si>
  <si>
    <t>奶油蒜香雞義大利麵</t>
  </si>
  <si>
    <t>蕃茄莎莎鮪魚冷義大利麵</t>
  </si>
  <si>
    <t>義式蕃茄起司義大利麵</t>
    <phoneticPr fontId="16" type="noConversion"/>
  </si>
  <si>
    <t>韓式起司炸雞義大利麵</t>
  </si>
  <si>
    <t>泰式海鮮冷義大利麵</t>
  </si>
  <si>
    <t>青花椒麻雞肉拌麵</t>
  </si>
  <si>
    <t>煙花女義大利麵</t>
  </si>
  <si>
    <t>羊乳酪起司培根筆尖麵</t>
  </si>
  <si>
    <t>白酒蛤蜊義大利麵</t>
    <phoneticPr fontId="16" type="noConversion"/>
  </si>
  <si>
    <t>韓式起司炸雞義大利麵</t>
    <phoneticPr fontId="16" type="noConversion"/>
  </si>
  <si>
    <t>月平均人時性</t>
  </si>
  <si>
    <t>熱食調理麵</t>
    <phoneticPr fontId="16" type="noConversion"/>
  </si>
  <si>
    <t>季節調理麵</t>
    <phoneticPr fontId="16" type="noConversion"/>
  </si>
  <si>
    <t>小滷青蔬</t>
  </si>
  <si>
    <t>起司馬鈴薯</t>
  </si>
  <si>
    <t>黑胡椒鐵板豆腐</t>
  </si>
  <si>
    <t>台式綜合甜不辣</t>
    <phoneticPr fontId="16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</si>
  <si>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6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</si>
  <si>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6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</si>
  <si>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6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</si>
  <si>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6" type="noConversion"/>
  </si>
  <si>
    <t>微波小吃</t>
  </si>
  <si>
    <t>排名</t>
    <phoneticPr fontId="13"/>
  </si>
  <si>
    <t>商品名</t>
  </si>
  <si>
    <t>人數</t>
    <phoneticPr fontId="13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</si>
  <si>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3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</si>
  <si>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3"/>
  </si>
  <si>
    <t>前月比</t>
  </si>
  <si>
    <t>主要原因&amp;對策</t>
    <phoneticPr fontId="13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</si>
  <si>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6" type="noConversion"/>
  </si>
  <si>
    <t>奶油培根義大利麵</t>
    <phoneticPr fontId="16" type="noConversion"/>
  </si>
  <si>
    <t>重上自動線</t>
    <phoneticPr fontId="16" type="noConversion"/>
  </si>
  <si>
    <t>熱那亞青醬義大利麵</t>
    <phoneticPr fontId="16" type="noConversion"/>
  </si>
  <si>
    <t>▼1</t>
    <phoneticPr fontId="13"/>
  </si>
  <si>
    <t>拿坡里義大利麵</t>
    <phoneticPr fontId="16" type="noConversion"/>
  </si>
  <si>
    <t>人數不足</t>
    <phoneticPr fontId="16" type="noConversion"/>
  </si>
  <si>
    <t>▼2</t>
    <phoneticPr fontId="13"/>
  </si>
  <si>
    <t>黑胡椒燻豬腿義大利麵</t>
    <phoneticPr fontId="16" type="noConversion"/>
  </si>
  <si>
    <t>▼3</t>
    <phoneticPr fontId="13"/>
  </si>
  <si>
    <t>奶油明太子細扁麵</t>
    <phoneticPr fontId="16" type="noConversion"/>
  </si>
  <si>
    <t>人數不足17→15</t>
    <phoneticPr fontId="16" type="noConversion"/>
  </si>
  <si>
    <t>▼4</t>
    <phoneticPr fontId="13"/>
  </si>
  <si>
    <t>奶油蒜香雞義大利麵</t>
    <phoneticPr fontId="16" type="noConversion"/>
  </si>
  <si>
    <t>▼5</t>
    <phoneticPr fontId="13"/>
  </si>
  <si>
    <t>青花椒麻雞肉拌麵</t>
    <phoneticPr fontId="16" type="noConversion"/>
  </si>
  <si>
    <t>新品</t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</si>
  <si>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6" type="noConversion"/>
  </si>
  <si>
    <t>小滷青蔬</t>
    <phoneticPr fontId="16" type="noConversion"/>
  </si>
  <si>
    <t>袋子材質更新，不良率提高</t>
    <phoneticPr fontId="16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</si>
  <si>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</si>
  <si>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業績金額</t>
    <phoneticPr fontId="16" type="noConversion"/>
  </si>
  <si>
    <t>合計</t>
  </si>
  <si>
    <t>展開量高於１０5％</t>
    <phoneticPr fontId="13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</si>
  <si>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</si>
  <si>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製程不穩</t>
    <phoneticPr fontId="13"/>
  </si>
  <si>
    <t>抓樣不穩</t>
    <phoneticPr fontId="13"/>
  </si>
  <si>
    <t>金額</t>
  </si>
  <si>
    <t>報廢</t>
    <phoneticPr fontId="13"/>
  </si>
  <si>
    <t>超用</t>
    <phoneticPr fontId="13"/>
  </si>
  <si>
    <t>原物料規格</t>
    <phoneticPr fontId="13"/>
  </si>
  <si>
    <t>研發設定</t>
    <phoneticPr fontId="13"/>
  </si>
  <si>
    <t>其他原因</t>
    <phoneticPr fontId="13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</si>
  <si>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6" type="noConversion"/>
  </si>
  <si>
    <t>（８）報廢原因別前幾名品項</t>
    <phoneticPr fontId="16" type="noConversion"/>
  </si>
  <si>
    <t>類型</t>
    <phoneticPr fontId="16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</si>
  <si>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</si>
  <si>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</si>
  <si>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t>半成品名</t>
    <phoneticPr fontId="13"/>
  </si>
  <si>
    <t>單價</t>
    <phoneticPr fontId="13"/>
  </si>
  <si>
    <t>數量</t>
    <phoneticPr fontId="13"/>
  </si>
  <si>
    <t>前週比</t>
  </si>
  <si>
    <t>展開量高於１０5％</t>
    <phoneticPr fontId="16" type="noConversion"/>
  </si>
  <si>
    <t>調理包-味噌醬</t>
    <phoneticPr fontId="16" type="noConversion"/>
  </si>
  <si>
    <t>新品上巿,依試產製成率展開→依實際製成率展開</t>
    <phoneticPr fontId="16" type="noConversion"/>
  </si>
  <si>
    <t>前幾名合計比例</t>
    <phoneticPr fontId="13"/>
  </si>
  <si>
    <t>前幾名合計金額</t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</si>
  <si>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</si>
  <si>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韓式炸雞義大利麵</t>
    <phoneticPr fontId="16" type="noConversion"/>
  </si>
  <si>
    <t>義麵-韓式辣奶油白醬(114年)</t>
    <phoneticPr fontId="16" type="noConversion"/>
  </si>
  <si>
    <t>出料率下修至103%</t>
    <phoneticPr fontId="16" type="noConversion"/>
  </si>
  <si>
    <t>焗奶油扇貝筆尖麵</t>
    <phoneticPr fontId="16" type="noConversion"/>
  </si>
  <si>
    <t>蒸蛤蜊-肉(112年)</t>
    <phoneticPr fontId="16" type="noConversion"/>
  </si>
  <si>
    <t>觀察原物料規格</t>
    <phoneticPr fontId="16" type="noConversion"/>
  </si>
  <si>
    <t>香濃起司馬鈴薯</t>
    <phoneticPr fontId="16" type="noConversion"/>
  </si>
  <si>
    <t>烤重煙燻培根絲</t>
    <phoneticPr fontId="16" type="noConversion"/>
  </si>
  <si>
    <t>包裝抓樣異常→監控穩定性</t>
    <phoneticPr fontId="16" type="noConversion"/>
  </si>
  <si>
    <t>義麵-蒜味奶油湯凍</t>
    <phoneticPr fontId="16" type="noConversion"/>
  </si>
  <si>
    <t>焗烤起司雙饗筆尖麵</t>
    <phoneticPr fontId="16" type="noConversion"/>
  </si>
  <si>
    <t>義麵-蛋黃白醬(113年)</t>
    <phoneticPr fontId="16" type="noConversion"/>
  </si>
  <si>
    <t>出料率下修至104%</t>
  </si>
  <si>
    <t>製程不穩</t>
    <phoneticPr fontId="16" type="noConversion"/>
  </si>
  <si>
    <t>抓樣不穩</t>
  </si>
  <si>
    <t>原物料規格</t>
  </si>
  <si>
    <t>煙花女義大利麵</t>
    <phoneticPr fontId="16" type="noConversion"/>
  </si>
  <si>
    <r>
      <rPr>
        <sz val="11"/>
        <color theme="1"/>
        <rFont val="新細明體"/>
        <family val="2"/>
        <charset val="136"/>
      </rPr>
      <t>炒蝦仁</t>
    </r>
    <r>
      <rPr>
        <sz val="11"/>
        <color theme="1"/>
        <rFont val="Arial"/>
        <family val="2"/>
      </rPr>
      <t>(9</t>
    </r>
    <r>
      <rPr>
        <sz val="11"/>
        <color theme="1"/>
        <rFont val="Arial"/>
        <family val="2"/>
        <charset val="136"/>
      </rPr>
      <t>號</t>
    </r>
    <r>
      <rPr>
        <sz val="11"/>
        <color theme="1"/>
        <rFont val="Arial"/>
        <family val="2"/>
      </rPr>
      <t>)</t>
    </r>
    <phoneticPr fontId="16" type="noConversion"/>
  </si>
  <si>
    <t>加強抽檢原物料</t>
    <phoneticPr fontId="16" type="noConversion"/>
  </si>
  <si>
    <t>研發設定</t>
  </si>
  <si>
    <t>拌韓式炸雞</t>
    <phoneticPr fontId="16" type="noConversion"/>
  </si>
  <si>
    <t>此半成品須拆兩種半成品混拌→醬減少，包裝55G~60G(現60G~65G)</t>
    <phoneticPr fontId="16" type="noConversion"/>
  </si>
  <si>
    <t>切-匈牙利雞胸排</t>
    <phoneticPr fontId="16" type="noConversion"/>
  </si>
  <si>
    <t>監控分切刀數</t>
    <phoneticPr fontId="16" type="noConversion"/>
  </si>
  <si>
    <t>切焗烤起司</t>
    <phoneticPr fontId="16" type="noConversion"/>
  </si>
  <si>
    <t>黑胡椒燻火腿義大利麵</t>
    <phoneticPr fontId="16" type="noConversion"/>
  </si>
  <si>
    <t>解凍黑胡椒燻豬肉卷(切片3mm)</t>
    <phoneticPr fontId="16" type="noConversion"/>
  </si>
  <si>
    <t>川燙扇貝</t>
    <phoneticPr fontId="16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</si>
  <si>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</si>
  <si>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No.</t>
  </si>
  <si>
    <t>規格</t>
  </si>
  <si>
    <t>實績</t>
    <phoneticPr fontId="13"/>
  </si>
  <si>
    <t>主要原因&amp;對策</t>
  </si>
  <si>
    <t>作業原因</t>
    <phoneticPr fontId="13"/>
  </si>
  <si>
    <t>原料原因</t>
    <phoneticPr fontId="13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</si>
  <si>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</si>
  <si>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</si>
  <si>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</si>
  <si>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</si>
  <si>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6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</si>
  <si>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6" type="noConversion"/>
  </si>
  <si>
    <t>次數</t>
    <phoneticPr fontId="16" type="noConversion"/>
  </si>
  <si>
    <t>備註-商品名稱</t>
  </si>
  <si>
    <t>分析原因（件）</t>
    <phoneticPr fontId="16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</si>
  <si>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</si>
  <si>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</si>
  <si>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</si>
  <si>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</si>
  <si>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</si>
  <si>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6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</si>
  <si>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</si>
  <si>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</si>
  <si>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</si>
  <si>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</si>
  <si>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</si>
  <si>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</si>
  <si>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補單
(kg)</t>
  </si>
  <si>
    <t>補單占比</t>
    <phoneticPr fontId="16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</si>
  <si>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</si>
  <si>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</si>
  <si>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</si>
  <si>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</si>
  <si>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</si>
  <si>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</si>
  <si>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6" type="noConversion"/>
  </si>
  <si>
    <t>展開量105%</t>
    <phoneticPr fontId="16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</si>
  <si>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6" type="noConversion"/>
  </si>
  <si>
    <t>抓樣不穩</t>
    <phoneticPr fontId="16" type="noConversion"/>
  </si>
  <si>
    <t>原物料規格</t>
    <phoneticPr fontId="16" type="noConversion"/>
  </si>
  <si>
    <t>研發設定</t>
    <phoneticPr fontId="16" type="noConversion"/>
  </si>
  <si>
    <t>其他原因</t>
    <phoneticPr fontId="16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</si>
  <si>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6" type="noConversion"/>
  </si>
  <si>
    <t>瀝-混合油漬鮪魚</t>
  </si>
  <si>
    <t>研發</t>
    <phoneticPr fontId="16" type="noConversion"/>
  </si>
  <si>
    <t>番茄鮪魚冷義大利麵</t>
    <phoneticPr fontId="16" type="noConversion"/>
  </si>
  <si>
    <t>w1</t>
    <phoneticPr fontId="16" type="noConversion"/>
  </si>
  <si>
    <t>義麵-經典肉醬(114年)</t>
  </si>
  <si>
    <t>調理</t>
    <phoneticPr fontId="16" type="noConversion"/>
  </si>
  <si>
    <t>調理多產</t>
  </si>
  <si>
    <t>奶香白醬</t>
  </si>
  <si>
    <t>包裝</t>
  </si>
  <si>
    <t>義麵-海鮮湯凍(113年)</t>
  </si>
  <si>
    <t>生管預估</t>
    <phoneticPr fontId="16" type="noConversion"/>
  </si>
  <si>
    <t>展開量高於１０5％</t>
  </si>
  <si>
    <t>w2</t>
  </si>
  <si>
    <t>義麵-蒜味奶油湯凍</t>
  </si>
  <si>
    <t>調理包-起司醬</t>
  </si>
  <si>
    <t>烤重煙燻培根絲</t>
  </si>
  <si>
    <t>w3</t>
  </si>
  <si>
    <t>切-烤重煙燻培根片(湖)15mm</t>
  </si>
  <si>
    <t>炸蒜酥-蒜油(114年)</t>
  </si>
  <si>
    <t>滷-切片高麗菜</t>
  </si>
  <si>
    <t>w4</t>
  </si>
  <si>
    <t>抓樣不穩97.72%</t>
  </si>
  <si>
    <t>產出103.3%用料101.13%</t>
  </si>
  <si>
    <t>w5</t>
  </si>
  <si>
    <t>炒蒜味蝦仁(8號)</t>
  </si>
  <si>
    <t>原物料</t>
    <phoneticPr fontId="16" type="noConversion"/>
  </si>
  <si>
    <t>產出104.9%用料102.8%</t>
  </si>
  <si>
    <t>產出104.7%用料103.2%</t>
  </si>
  <si>
    <t>煮日製1.4義大利麵</t>
  </si>
  <si>
    <t>抓樣不穩99.42%</t>
  </si>
  <si>
    <t>月合計</t>
    <phoneticPr fontId="16" type="noConversion"/>
  </si>
  <si>
    <t>義麵-青醬(112)</t>
  </si>
  <si>
    <t>抓樣不穩99.41%</t>
  </si>
  <si>
    <t>產出102.8%用料102.2%</t>
  </si>
  <si>
    <t>義麵-蒜味蝦醬</t>
  </si>
  <si>
    <t>產出104.1%用料100.2%</t>
  </si>
  <si>
    <t>產出107.3%用料99.79%</t>
  </si>
  <si>
    <t>番茄鮪魚冷義大利麵</t>
  </si>
  <si>
    <t>調理</t>
  </si>
  <si>
    <t>產出102.6%用料97.8%</t>
  </si>
  <si>
    <t>用料率97.6%</t>
  </si>
  <si>
    <t>產出103%</t>
  </si>
  <si>
    <t>製程不穩</t>
  </si>
  <si>
    <t>產出102.1%</t>
  </si>
  <si>
    <t>20切-烤香蒜腿丁</t>
  </si>
  <si>
    <t>研發</t>
  </si>
  <si>
    <t>用料率99.9%</t>
  </si>
  <si>
    <t>香濃起司馬鈴薯</t>
  </si>
  <si>
    <t>其他原因</t>
  </si>
  <si>
    <t>產出104.2%</t>
  </si>
  <si>
    <t>步留因素</t>
  </si>
  <si>
    <t>炒-煮蕃茄牛絞肉</t>
  </si>
  <si>
    <t>產出103.4%用料100.6%</t>
  </si>
  <si>
    <t>切-匈牙利雞胸排</t>
  </si>
  <si>
    <t>拌韓式炸雞◎</t>
  </si>
  <si>
    <t>抓樣不穩96.8%</t>
  </si>
  <si>
    <t>生管預估</t>
  </si>
  <si>
    <t>產出103.2%用料101.5%</t>
  </si>
  <si>
    <t>原物料</t>
  </si>
  <si>
    <t>蒸蛤蜊-肉(112年)</t>
  </si>
  <si>
    <t>瀝-煮蕃茄丁</t>
  </si>
  <si>
    <t>拌韓式炸雞</t>
  </si>
  <si>
    <t>此半成品須拆兩種半成品混拌</t>
  </si>
  <si>
    <t>煮日製義大利麵(108)</t>
  </si>
  <si>
    <t>產出101.4%</t>
  </si>
  <si>
    <t>研發設定,組裝使用3片</t>
  </si>
  <si>
    <t>產出101.8%</t>
  </si>
  <si>
    <t>解凍黑胡椒燻豬肉卷(切片3mm)</t>
  </si>
  <si>
    <t>拆包物料，設定18g，組裝使用2塊</t>
  </si>
  <si>
    <t>黑胡椒燻火腿義大利麵</t>
  </si>
  <si>
    <t>產出102.9%</t>
  </si>
  <si>
    <t>產出103.6%</t>
  </si>
  <si>
    <t>產出103.4%</t>
  </si>
  <si>
    <t>拆包物料一包3公斤、混拌3包共9公斤</t>
  </si>
  <si>
    <t>產出101.6%</t>
    <phoneticPr fontId="16" type="noConversion"/>
  </si>
  <si>
    <t>炸蒜酥用油</t>
    <phoneticPr fontId="16" type="noConversion"/>
  </si>
  <si>
    <t>此半成品須拆兩種半成品混拌</t>
    <phoneticPr fontId="16" type="noConversion"/>
  </si>
  <si>
    <t>產出101.5%</t>
    <phoneticPr fontId="16" type="noConversion"/>
  </si>
  <si>
    <t>義麵-韓式辣奶油白醬(114年)</t>
  </si>
  <si>
    <t>產出103.8%</t>
    <phoneticPr fontId="16" type="noConversion"/>
  </si>
  <si>
    <t>抓樣87.6%</t>
    <phoneticPr fontId="16" type="noConversion"/>
  </si>
  <si>
    <t>產出101.2%</t>
    <phoneticPr fontId="16" type="noConversion"/>
  </si>
  <si>
    <t>產出102.4%</t>
    <phoneticPr fontId="16" type="noConversion"/>
  </si>
  <si>
    <r>
      <t>產出10</t>
    </r>
    <r>
      <rPr>
        <sz val="12"/>
        <color rgb="FF000000"/>
        <rFont val="新細明體"/>
        <family val="2"/>
        <charset val="136"/>
      </rPr>
      <t>3.1</t>
    </r>
    <r>
      <rPr>
        <sz val="12"/>
        <color rgb="FF000000"/>
        <rFont val="Meiryo UI"/>
        <family val="2"/>
      </rPr>
      <t>%</t>
    </r>
    <phoneticPr fontId="16" type="noConversion"/>
  </si>
  <si>
    <r>
      <t>產出10</t>
    </r>
    <r>
      <rPr>
        <sz val="12"/>
        <color rgb="FF000000"/>
        <rFont val="新細明體"/>
        <family val="2"/>
        <charset val="136"/>
      </rPr>
      <t>2</t>
    </r>
    <r>
      <rPr>
        <sz val="12"/>
        <color rgb="FF000000"/>
        <rFont val="Meiryo UI"/>
        <family val="2"/>
      </rPr>
      <t>.1%</t>
    </r>
    <phoneticPr fontId="16" type="noConversion"/>
  </si>
  <si>
    <r>
      <t>產出10</t>
    </r>
    <r>
      <rPr>
        <sz val="12"/>
        <color rgb="FF000000"/>
        <rFont val="新細明體"/>
        <family val="2"/>
        <charset val="136"/>
      </rPr>
      <t>2</t>
    </r>
    <r>
      <rPr>
        <sz val="12"/>
        <color rgb="FF000000"/>
        <rFont val="Meiryo UI"/>
        <family val="2"/>
      </rPr>
      <t>.</t>
    </r>
    <r>
      <rPr>
        <sz val="12"/>
        <color rgb="FF000000"/>
        <rFont val="新細明體"/>
        <family val="2"/>
        <charset val="136"/>
      </rPr>
      <t>8</t>
    </r>
    <r>
      <rPr>
        <sz val="12"/>
        <color rgb="FF000000"/>
        <rFont val="Meiryo UI"/>
        <family val="2"/>
      </rPr>
      <t>%</t>
    </r>
    <phoneticPr fontId="16" type="noConversion"/>
  </si>
  <si>
    <t>混蒜酥洋香菜(114年)</t>
  </si>
  <si>
    <t>設定50g，組裝使用6塊</t>
  </si>
  <si>
    <t>產出103.2%</t>
    <phoneticPr fontId="16" type="noConversion"/>
  </si>
  <si>
    <t>產出101.9%</t>
    <phoneticPr fontId="16" type="noConversion"/>
  </si>
  <si>
    <t>產出103.0%</t>
    <phoneticPr fontId="16" type="noConversion"/>
  </si>
  <si>
    <t>設定49g，組裝使用6片</t>
  </si>
  <si>
    <t>產出104.2%</t>
    <phoneticPr fontId="16" type="noConversion"/>
  </si>
  <si>
    <t>產出101.8%</t>
    <phoneticPr fontId="16" type="noConversion"/>
  </si>
  <si>
    <t>產出104.9%</t>
    <phoneticPr fontId="16" type="noConversion"/>
  </si>
  <si>
    <t>產出104.3%</t>
    <phoneticPr fontId="16" type="noConversion"/>
  </si>
  <si>
    <t>產出103.2%</t>
  </si>
  <si>
    <t>設定20g，組裝使用3塊</t>
  </si>
  <si>
    <t>產出103.4%</t>
    <phoneticPr fontId="16" type="noConversion"/>
  </si>
  <si>
    <t>義麵-奶油海鮮白醬</t>
  </si>
  <si>
    <t>產出104.4%</t>
    <phoneticPr fontId="16" type="noConversion"/>
  </si>
  <si>
    <t>產出101.7%</t>
    <phoneticPr fontId="16" type="noConversion"/>
  </si>
  <si>
    <t>產出102.2%</t>
    <phoneticPr fontId="16" type="noConversion"/>
  </si>
  <si>
    <t>川燙扇貝</t>
  </si>
  <si>
    <t>設定16g，組裝使用4塊</t>
  </si>
  <si>
    <t>義麵-蛋黃白醬(113年)</t>
  </si>
  <si>
    <t>用料94.6%</t>
    <phoneticPr fontId="16" type="noConversion"/>
  </si>
  <si>
    <t>重量含抑菌劑水</t>
    <phoneticPr fontId="16" type="noConversion"/>
  </si>
  <si>
    <t>用料97.6%</t>
    <phoneticPr fontId="16" type="noConversion"/>
  </si>
  <si>
    <t>用料97.7%</t>
  </si>
  <si>
    <t>高麗菜含水</t>
    <phoneticPr fontId="16" type="noConversion"/>
  </si>
  <si>
    <t>產出104.1%</t>
    <phoneticPr fontId="16" type="noConversion"/>
  </si>
  <si>
    <t>產出100.9%</t>
    <phoneticPr fontId="16" type="noConversion"/>
  </si>
  <si>
    <t>用料99.0%</t>
    <phoneticPr fontId="16" type="noConversion"/>
  </si>
  <si>
    <t>用料91.3%</t>
    <phoneticPr fontId="16" type="noConversion"/>
  </si>
  <si>
    <t>設定49g，組裝使用6片</t>
    <phoneticPr fontId="16" type="noConversion"/>
  </si>
  <si>
    <t>用料95.0%</t>
    <phoneticPr fontId="16" type="noConversion"/>
  </si>
  <si>
    <t>用料率97.7%</t>
    <phoneticPr fontId="16" type="noConversion"/>
  </si>
  <si>
    <t>用料率96.2%</t>
    <phoneticPr fontId="16" type="noConversion"/>
  </si>
  <si>
    <t>產出102.0%</t>
    <phoneticPr fontId="16" type="noConversion"/>
  </si>
  <si>
    <t>產出103.6%</t>
    <phoneticPr fontId="16" type="noConversion"/>
  </si>
  <si>
    <t>設定10g，一包1kg</t>
  </si>
  <si>
    <t>產出103.6%包裝用料96.9%</t>
    <phoneticPr fontId="16" type="noConversion"/>
  </si>
  <si>
    <t>占比</t>
    <phoneticPr fontId="16" type="noConversion"/>
  </si>
  <si>
    <t>產出100.8%用料99.4%</t>
    <phoneticPr fontId="16" type="noConversion"/>
  </si>
  <si>
    <t>金額</t>
    <phoneticPr fontId="16" type="noConversion"/>
  </si>
  <si>
    <t>包裝用料81.5%</t>
    <phoneticPr fontId="16" type="noConversion"/>
  </si>
  <si>
    <t>產出102.8%</t>
    <phoneticPr fontId="16" type="noConversion"/>
  </si>
  <si>
    <t>產出101.4%</t>
    <phoneticPr fontId="16" type="noConversion"/>
  </si>
  <si>
    <t>設定10g，一包1kg</t>
    <phoneticPr fontId="16" type="noConversion"/>
  </si>
  <si>
    <t>產出102.8%</t>
  </si>
  <si>
    <t>解凍-YAMAYA明太子</t>
  </si>
  <si>
    <t>拆包物料，設定27g，一包500g</t>
    <phoneticPr fontId="16" type="noConversion"/>
  </si>
  <si>
    <r>
      <t>預估數5900</t>
    </r>
    <r>
      <rPr>
        <sz val="12"/>
        <color rgb="FF000000"/>
        <rFont val="細明體"/>
        <family val="2"/>
        <charset val="136"/>
      </rPr>
      <t xml:space="preserve"> 實際訂單5093</t>
    </r>
    <phoneticPr fontId="16" type="noConversion"/>
  </si>
  <si>
    <t>原物料品規過大，現場使用冰勺組裝</t>
    <phoneticPr fontId="16" type="noConversion"/>
  </si>
  <si>
    <t>此半成品須拆兩種半成品混拌，炸雞為秤重物料55g以上，炸雞一塊9g以上</t>
    <phoneticPr fontId="16" type="noConversion"/>
  </si>
  <si>
    <t>蒸珍珍蟹味絲CL</t>
  </si>
  <si>
    <t>預估數過多與訂單量差異，豆腐預切全數調理</t>
    <phoneticPr fontId="16" type="noConversion"/>
  </si>
  <si>
    <t>炸板豆腐</t>
  </si>
  <si>
    <t>切焗烤起司</t>
  </si>
  <si>
    <t>設定20g，組裝使用4塊</t>
    <phoneticPr fontId="16" type="noConversion"/>
  </si>
  <si>
    <t>預估數過多與訂單量差異</t>
  </si>
  <si>
    <t>包裝超用</t>
  </si>
  <si>
    <t>製成率正常範圍</t>
  </si>
  <si>
    <t>拌-蕃茄醬麵</t>
  </si>
  <si>
    <t>義麵-蒜辣黑胡椒湯凍</t>
  </si>
  <si>
    <t>此半成品須拆兩種半成品混拌，製成率正常，炸雞為秤重物料55g以上，炸雞一塊9g以上</t>
    <phoneticPr fontId="16" type="noConversion"/>
  </si>
  <si>
    <t>預估數過多與訂單量差異</t>
    <phoneticPr fontId="16" type="noConversion"/>
  </si>
  <si>
    <t>包裝用料率95.3%</t>
    <phoneticPr fontId="16" type="noConversion"/>
  </si>
  <si>
    <t>設定20g，組裝使用3塊</t>
    <phoneticPr fontId="16" type="noConversion"/>
  </si>
  <si>
    <t>煮土耳其筆尖麵(113年)</t>
  </si>
  <si>
    <t>義麵-煙花女紅醬</t>
  </si>
  <si>
    <t>抓料96%</t>
    <phoneticPr fontId="16" type="noConversion"/>
  </si>
  <si>
    <t>設定49g，組裝使用6塊</t>
    <phoneticPr fontId="16" type="noConversion"/>
  </si>
  <si>
    <t>義麵-辣味奶醬</t>
  </si>
  <si>
    <t>產出率&gt;103%</t>
    <phoneticPr fontId="16" type="noConversion"/>
  </si>
  <si>
    <t>產出率&gt;105%</t>
    <phoneticPr fontId="16" type="noConversion"/>
  </si>
  <si>
    <t>義麵-拿坡里蕃茄醬</t>
  </si>
  <si>
    <t>抓樣90.3%</t>
    <phoneticPr fontId="16" type="noConversion"/>
  </si>
  <si>
    <t>混拌浪花麵</t>
  </si>
  <si>
    <t>煮青花椒湯凍(114年)</t>
  </si>
  <si>
    <t>設定16g，組裝使用4顆，依訂單換算使用包數</t>
    <phoneticPr fontId="16" type="noConversion"/>
  </si>
  <si>
    <t>羊乳起司培根筆尖麵</t>
  </si>
  <si>
    <t>調理包-味噌醬</t>
  </si>
  <si>
    <t>新品上市第一天，量產製程率需再調整出料</t>
    <phoneticPr fontId="16" type="noConversion"/>
  </si>
  <si>
    <t>台式綜合甜不辣</t>
  </si>
  <si>
    <t>設定20g，組裝使用4片</t>
    <phoneticPr fontId="16" type="noConversion"/>
  </si>
  <si>
    <t>炒蝦仁(9號)</t>
  </si>
  <si>
    <t>煮天使細麵</t>
  </si>
  <si>
    <t>12切-湖鹽德式香腸</t>
  </si>
  <si>
    <t>茄豬肉醬</t>
  </si>
  <si>
    <t>設定16g，組裝使用4顆</t>
    <phoneticPr fontId="16" type="noConversion"/>
  </si>
  <si>
    <t>此半成品須拆兩種半成品混拌，製成率正常，炸雞為秤重物料55g以上，炸雞一塊9g以上</t>
  </si>
  <si>
    <t>設定49g，組裝使用2片</t>
    <phoneticPr fontId="16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</si>
  <si>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</si>
  <si>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6" type="noConversion"/>
  </si>
  <si>
    <t>物料一包81顆以上，成品組裝4顆</t>
  </si>
  <si>
    <t>鮮食雙色起司絲</t>
  </si>
  <si>
    <t>包裝超用</t>
    <phoneticPr fontId="16" type="noConversion"/>
  </si>
  <si>
    <t>設定12克，組裝使用4片</t>
    <phoneticPr fontId="16" type="noConversion"/>
  </si>
  <si>
    <t>豆腐95G，每塊豆腐8~10G</t>
    <phoneticPr fontId="16" type="noConversion"/>
  </si>
  <si>
    <t>製成率正常範圍</t>
    <phoneticPr fontId="16" type="noConversion"/>
  </si>
  <si>
    <t>川燙-青花菜</t>
  </si>
  <si>
    <t>蔬菜出水</t>
    <phoneticPr fontId="16" type="noConversion"/>
  </si>
  <si>
    <t>設定20g，組裝使用4塊</t>
  </si>
  <si>
    <t>超用7.9%</t>
    <phoneticPr fontId="16" type="noConversion"/>
  </si>
  <si>
    <t>拆包物料，設定18g，組裝使用2片</t>
  </si>
  <si>
    <t>製成率正常範圍，重量含抑菌劑水</t>
  </si>
  <si>
    <t>蒸完後，依投入量加抑菌劑水</t>
    <phoneticPr fontId="16" type="noConversion"/>
  </si>
  <si>
    <t>製成率104.7%</t>
    <phoneticPr fontId="16" type="noConversion"/>
  </si>
  <si>
    <t>製成率103.3%</t>
    <phoneticPr fontId="16" type="noConversion"/>
  </si>
  <si>
    <t>蒸完後，依投入量加抑菌劑水</t>
  </si>
  <si>
    <t>高麗菜含水</t>
  </si>
  <si>
    <t>超用</t>
    <phoneticPr fontId="16" type="noConversion"/>
  </si>
  <si>
    <t>製成率103.3%</t>
  </si>
  <si>
    <t>製成率104.1%</t>
    <phoneticPr fontId="16" type="noConversion"/>
  </si>
  <si>
    <t>製成率103.8%</t>
    <phoneticPr fontId="16" type="noConversion"/>
  </si>
  <si>
    <t>製成率104.0%</t>
    <phoneticPr fontId="16" type="noConversion"/>
  </si>
  <si>
    <t>重量含抑菌劑水</t>
  </si>
  <si>
    <t>用料108.1%</t>
    <phoneticPr fontId="16" type="noConversion"/>
  </si>
  <si>
    <t>拆包物料，設定18g，組裝使用2片</t>
    <phoneticPr fontId="16" type="noConversion"/>
  </si>
  <si>
    <t>用料102.2%</t>
    <phoneticPr fontId="16" type="noConversion"/>
  </si>
  <si>
    <t>用料102.1%</t>
    <phoneticPr fontId="16" type="noConversion"/>
  </si>
  <si>
    <t>用料102.8%</t>
    <phoneticPr fontId="16" type="noConversion"/>
  </si>
  <si>
    <t>秤重95克</t>
  </si>
  <si>
    <t>中心溫度&gt;90度，半成品完整性不佳</t>
    <phoneticPr fontId="16" type="noConversion"/>
  </si>
  <si>
    <t>包裝超用105.4%</t>
    <phoneticPr fontId="16" type="noConversion"/>
  </si>
  <si>
    <t>秤重95克以上</t>
  </si>
  <si>
    <t>產出106.0%</t>
    <phoneticPr fontId="16" type="noConversion"/>
  </si>
  <si>
    <t>預估數過多與訂單量差異，豆腐預切全數調理，豆腐秤重物料95g以上，豆腐一塊10g以上</t>
    <phoneticPr fontId="16" type="noConversion"/>
  </si>
  <si>
    <t xml:space="preserve">	F-生蒜包</t>
  </si>
  <si>
    <t>預估數過多與訂單量差異，包裝超用</t>
  </si>
  <si>
    <t xml:space="preserve">	帕瑪森乾酪粉(500g)</t>
  </si>
  <si>
    <t>水煮銀耳</t>
  </si>
  <si>
    <t>包裝新人超用</t>
    <phoneticPr fontId="16" type="noConversion"/>
  </si>
  <si>
    <t xml:space="preserve">	鮮食雙色起司絲</t>
  </si>
  <si>
    <t>F-生蒜包</t>
  </si>
  <si>
    <t>豆腐秤重物料95g以上，豆腐一塊10g以上</t>
    <phoneticPr fontId="16" type="noConversion"/>
  </si>
  <si>
    <t>解凍黑胡椒燻豬腿肉(湖)</t>
  </si>
  <si>
    <t>超用12.8%</t>
    <phoneticPr fontId="16" type="noConversion"/>
  </si>
  <si>
    <t>超用10.1%</t>
    <phoneticPr fontId="16" type="noConversion"/>
  </si>
  <si>
    <t>羅馬諾羊乾酪絲</t>
  </si>
  <si>
    <t>超用2.3%</t>
    <phoneticPr fontId="16" type="noConversion"/>
  </si>
  <si>
    <t>超用2.7%</t>
    <phoneticPr fontId="16" type="noConversion"/>
  </si>
  <si>
    <t>紅切達起司絲</t>
  </si>
  <si>
    <t>包裝超用23.6%</t>
    <phoneticPr fontId="16" type="noConversion"/>
  </si>
  <si>
    <t>超用1.9%</t>
    <phoneticPr fontId="16" type="noConversion"/>
  </si>
  <si>
    <t>超用3.7.6%</t>
    <phoneticPr fontId="16" type="noConversion"/>
  </si>
  <si>
    <t>超用1.6%</t>
    <phoneticPr fontId="16" type="noConversion"/>
  </si>
  <si>
    <t>超用2.8%</t>
    <phoneticPr fontId="16" type="noConversion"/>
  </si>
  <si>
    <t>新品，抓樣不穩</t>
  </si>
  <si>
    <t>超用42.1%</t>
    <phoneticPr fontId="16" type="noConversion"/>
  </si>
  <si>
    <t>超用40.0%</t>
    <phoneticPr fontId="16" type="noConversion"/>
  </si>
  <si>
    <t>超用11.0%</t>
    <phoneticPr fontId="16" type="noConversion"/>
  </si>
  <si>
    <t>超用27.2%</t>
    <phoneticPr fontId="16" type="noConversion"/>
  </si>
  <si>
    <t>自動線</t>
    <phoneticPr fontId="16" type="noConversion"/>
  </si>
  <si>
    <t>超用4.1%</t>
    <phoneticPr fontId="16" type="noConversion"/>
  </si>
  <si>
    <t>自動線</t>
  </si>
  <si>
    <t>新品，抓樣不穩</t>
    <phoneticPr fontId="16" type="noConversion"/>
  </si>
  <si>
    <t>設定16g，組裝使用4顆，依訂單換算使用包數</t>
  </si>
  <si>
    <t>土耳其筆尖麵(113年)</t>
  </si>
  <si>
    <t>瀝水-白蘿蔔塊</t>
  </si>
  <si>
    <t>設定27g，其他半成品需抓數量，但總重不足使用白蘿蔔塊進行補重造成超用</t>
    <phoneticPr fontId="16" type="noConversion"/>
  </si>
  <si>
    <t>川燙-甜不辣條</t>
  </si>
  <si>
    <t>設定48g，組裝使用4條，但4條實際重量約40g</t>
    <phoneticPr fontId="16" type="noConversion"/>
  </si>
  <si>
    <t>新品上市第一天，因研發設定且原物料規格不穩，故包裝使用此物料補重用</t>
    <phoneticPr fontId="16" type="noConversion"/>
  </si>
  <si>
    <t>冰勺組裝，蝦仁規格大小影響組裝穩定度</t>
    <phoneticPr fontId="16" type="noConversion"/>
  </si>
  <si>
    <t>包裝超用，進行一週抓樣教育訓練</t>
    <phoneticPr fontId="16" type="noConversion"/>
  </si>
  <si>
    <t>設定48g，組裝使用4支，但單支不足重造成總重不足</t>
    <phoneticPr fontId="16" type="noConversion"/>
  </si>
  <si>
    <t>川燙-切甜不辣片</t>
  </si>
  <si>
    <t>設定30g，組裝使用2片，但單支不足重造成總重不足</t>
    <phoneticPr fontId="16" type="noConversion"/>
  </si>
  <si>
    <t>自動線，設備穩定度確認</t>
    <phoneticPr fontId="16" type="noConversion"/>
  </si>
  <si>
    <t>3公斤300根，但都會超過300根，故重量都不夠</t>
    <phoneticPr fontId="16" type="noConversion"/>
  </si>
  <si>
    <t>煮細扁麵</t>
  </si>
  <si>
    <t>設定48g，組裝使用4條</t>
    <phoneticPr fontId="16" type="noConversion"/>
  </si>
  <si>
    <t>川燙-三角油豆腐</t>
  </si>
  <si>
    <t>設定27g，組裝使用1塊</t>
    <phoneticPr fontId="16" type="noConversion"/>
  </si>
  <si>
    <t>(殺菌)AD辣椒圈</t>
  </si>
  <si>
    <t>生管預估&gt;實際訂單，包裝超用</t>
    <phoneticPr fontId="16" type="noConversion"/>
  </si>
  <si>
    <t>細切海苔 (2mm*5cm)</t>
  </si>
  <si>
    <t>工廠名</t>
    <phoneticPr fontId="13"/>
  </si>
  <si>
    <t>・・・・・・・・</t>
  </si>
  <si>
    <t>（１）收支狀況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</si>
  <si>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</si>
  <si>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</si>
  <si>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飯糰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</si>
  <si>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</si>
  <si>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大口飯糰</t>
    <phoneticPr fontId="13"/>
  </si>
  <si>
    <t>半成品報廢</t>
    <phoneticPr fontId="13"/>
  </si>
  <si>
    <t>便當</t>
    <phoneticPr fontId="13"/>
  </si>
  <si>
    <t>半成品超用</t>
    <phoneticPr fontId="13"/>
  </si>
  <si>
    <t>調理麵</t>
    <phoneticPr fontId="13"/>
  </si>
  <si>
    <t>固定產線</t>
    <phoneticPr fontId="13"/>
  </si>
  <si>
    <t>調理麵包</t>
    <phoneticPr fontId="13"/>
  </si>
  <si>
    <t>-</t>
  </si>
  <si>
    <t>-%</t>
  </si>
  <si>
    <t>教育訓練</t>
    <phoneticPr fontId="13"/>
  </si>
  <si>
    <t>袋裝調理麵包</t>
    <phoneticPr fontId="13"/>
  </si>
  <si>
    <t>義大利麵</t>
    <phoneticPr fontId="13"/>
  </si>
  <si>
    <t>（５）品群別人時生產性</t>
    <phoneticPr fontId="13"/>
  </si>
  <si>
    <t>調理包</t>
    <phoneticPr fontId="13"/>
  </si>
  <si>
    <t>（７）原因別分析</t>
    <phoneticPr fontId="13"/>
  </si>
  <si>
    <t>規格原因</t>
    <phoneticPr fontId="13"/>
  </si>
  <si>
    <t>（６）人時生產性前幾名品項</t>
    <phoneticPr fontId="13"/>
  </si>
  <si>
    <t>產能</t>
    <phoneticPr fontId="13"/>
  </si>
  <si>
    <t>人時生產性</t>
    <phoneticPr fontId="13"/>
  </si>
  <si>
    <t>（８）報廢原因別前幾名品項</t>
    <phoneticPr fontId="13"/>
  </si>
  <si>
    <t>手巻明太子</t>
  </si>
  <si>
    <t>減少暫時停止生產,人時UP</t>
    <phoneticPr fontId="13"/>
  </si>
  <si>
    <t>明太子海苔便當</t>
    <phoneticPr fontId="13"/>
  </si>
  <si>
    <t>油炸白身魚</t>
    <phoneticPr fontId="13"/>
  </si>
  <si>
    <t>油調過多報廢。變更條件。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</si>
  <si>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</si>
  <si>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t>手巻卵黄雞絞肉</t>
    <phoneticPr fontId="13"/>
  </si>
  <si>
    <t>6/30新商品</t>
  </si>
  <si>
    <t>因組裝2食材,人員增加,產速減少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</si>
  <si>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</si>
  <si>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</si>
  <si>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t>海老炒飯</t>
  </si>
  <si>
    <t>川燙蝦子拌醬</t>
    <phoneticPr fontId="13"/>
  </si>
  <si>
    <t>蝦子入數不足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</si>
  <si>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</si>
  <si>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</si>
  <si>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直巻明太子美奶茲</t>
    <phoneticPr fontId="13"/>
  </si>
  <si>
    <t>透由調整速度提升。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</si>
  <si>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</si>
  <si>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</si>
  <si>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</si>
  <si>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大口飯糰燒肉美奶滋</t>
    <phoneticPr fontId="13"/>
  </si>
  <si>
    <t>因摺疊增員。實施教育訓練。</t>
    <phoneticPr fontId="13"/>
  </si>
  <si>
    <t>牛五花燒成</t>
    <phoneticPr fontId="13"/>
  </si>
  <si>
    <t>因原料變更。</t>
    <phoneticPr fontId="13"/>
  </si>
  <si>
    <t>指導鋪開炒柴魚片</t>
    <phoneticPr fontId="13"/>
  </si>
  <si>
    <t>（９）歩留</t>
  </si>
  <si>
    <t>肉狀態不良，已連動開發</t>
    <phoneticPr fontId="13"/>
  </si>
  <si>
    <t>燒成過多，調整調理條件。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</si>
  <si>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</si>
  <si>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</si>
  <si>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</si>
  <si>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</si>
  <si>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</si>
  <si>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</si>
  <si>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</si>
  <si>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</si>
  <si>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</si>
  <si>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</si>
  <si>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</si>
  <si>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</si>
  <si>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</si>
  <si>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</si>
  <si>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</si>
  <si>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</si>
  <si>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</si>
  <si>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</si>
  <si>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</si>
  <si>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</si>
  <si>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</si>
  <si>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</si>
  <si>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</si>
  <si>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</si>
  <si>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</si>
  <si>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</si>
  <si>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</si>
  <si>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</si>
  <si>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</si>
  <si>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</si>
  <si>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</si>
  <si>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</si>
  <si>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</si>
  <si>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</si>
  <si>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</si>
  <si>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</si>
  <si>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</si>
  <si>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</si>
  <si>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</si>
  <si>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</si>
  <si>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</si>
  <si>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</si>
  <si>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</si>
  <si>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便當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</si>
  <si>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</si>
  <si>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</si>
  <si>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</si>
  <si>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</si>
  <si>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</si>
  <si>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</si>
  <si>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</si>
  <si>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</si>
  <si>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</si>
  <si>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</si>
  <si>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</si>
  <si>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</si>
  <si>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</si>
  <si>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</si>
  <si>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</si>
  <si>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</si>
  <si>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</si>
  <si>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</si>
  <si>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</si>
  <si>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</si>
  <si>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</si>
  <si>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</si>
  <si>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</si>
  <si>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</si>
  <si>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</si>
  <si>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</si>
  <si>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</si>
  <si>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  <phoneticPr fontId="80" type="noConversion"/>
  </si>
  <si>
    <t>人數</t>
    <phoneticPr fontId="80" type="noConversion"/>
  </si>
  <si>
    <t>產能</t>
    <phoneticPr fontId="80" type="noConversion"/>
  </si>
  <si>
    <t>白酒蛤蜊義大利麵</t>
    <phoneticPr fontId="80" type="noConversion"/>
  </si>
  <si>
    <t>ET-600</t>
    <phoneticPr fontId="80" type="noConversion"/>
  </si>
  <si>
    <t>ET-55</t>
    <phoneticPr fontId="80" type="noConversion"/>
  </si>
  <si>
    <t>熱那亞青醬義大利麵</t>
    <phoneticPr fontId="80" type="noConversion"/>
  </si>
  <si>
    <t>義式蕃茄起司義大利麵</t>
    <phoneticPr fontId="80" type="noConversion"/>
  </si>
  <si>
    <t>焗烤起司雙饗筆尖麵</t>
    <phoneticPr fontId="80" type="noConversion"/>
  </si>
  <si>
    <t>奶油培根義大利麵</t>
    <phoneticPr fontId="80" type="noConversion"/>
  </si>
  <si>
    <t>羅勒海鮮冷義大利麵</t>
  </si>
  <si>
    <t>蕃茄莎莎鮪魚冷義大利麵</t>
    <phoneticPr fontId="80" type="noConversion"/>
  </si>
  <si>
    <t>奶油蒜香雞義大利麵</t>
    <phoneticPr fontId="80" type="noConversion"/>
  </si>
  <si>
    <t>起司馬鈴薯</t>
    <phoneticPr fontId="80" type="noConversion"/>
  </si>
  <si>
    <t>更新日期07/28</t>
    <phoneticPr fontId="80" type="noConversion"/>
  </si>
  <si>
    <t>白酒蛤蜊義大利麵-自</t>
    <phoneticPr fontId="80" type="noConversion"/>
  </si>
  <si>
    <t>韓式起司炸雞義大利麵</t>
    <phoneticPr fontId="80" type="noConversion"/>
  </si>
  <si>
    <t>泰式海鮮冷義大利麵</t>
    <phoneticPr fontId="80" type="noConversion"/>
  </si>
  <si>
    <t>更新日期08/05</t>
    <phoneticPr fontId="80" type="noConversion"/>
  </si>
  <si>
    <t>煙花女義大利麵</t>
    <phoneticPr fontId="80" type="noConversion"/>
  </si>
  <si>
    <t>羊乳酪起司培根筆尖麵</t>
    <phoneticPr fontId="80" type="noConversion"/>
  </si>
  <si>
    <t>青花椒麻雞肉拌麵</t>
    <phoneticPr fontId="80" type="noConversion"/>
  </si>
  <si>
    <t>更新日期08/18</t>
    <phoneticPr fontId="8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</si>
</sst>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</numFmts>
  <fonts count="9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新細明體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4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47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12" fillId="0" borderId="3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22" xfId="0" applyNumberFormat="1" applyFont="1" applyBorder="1"/>
    <xf numFmtId="10" fontId="29" fillId="0" borderId="22" xfId="0" applyNumberFormat="1" applyFont="1" applyBorder="1"/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7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0" fillId="0" borderId="3" xfId="0" applyFont="1" applyBorder="1" applyAlignment="1">
      <alignment vertical="center" shrinkToFit="1"/>
    </xf>
    <xf numFmtId="0" fontId="10" fillId="0" borderId="8" xfId="0" applyFont="1" applyBorder="1" applyAlignment="1">
      <alignment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51" fillId="0" borderId="0" xfId="0" applyFont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4" fontId="31" fillId="0" borderId="22" xfId="0" applyNumberFormat="1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55" fillId="0" borderId="0" xfId="0" applyFont="1"/>
    <xf numFmtId="0" fontId="57" fillId="0" borderId="0" xfId="0" applyFont="1"/>
    <xf numFmtId="10" fontId="51" fillId="0" borderId="0" xfId="0" applyNumberFormat="1" applyFont="1" applyAlignment="1">
      <alignment shrinkToFit="1"/>
    </xf>
    <xf numFmtId="0" fontId="52" fillId="0" borderId="0" xfId="0" applyFont="1"/>
    <xf numFmtId="0" fontId="58" fillId="0" borderId="22" xfId="0" applyFont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10" fontId="31" fillId="0" borderId="22" xfId="0" applyNumberFormat="1" applyFont="1" applyBorder="1" applyAlignment="1">
      <alignment horizontal="right" shrinkToFit="1"/>
    </xf>
    <xf numFmtId="0" fontId="51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0" borderId="3" xfId="0" applyFont="1" applyBorder="1" applyAlignment="1">
      <alignment vertical="center" shrinkToFit="1"/>
    </xf>
    <xf numFmtId="0" fontId="31" fillId="0" borderId="1" xfId="0" applyFont="1" applyBorder="1" applyAlignment="1">
      <alignment shrinkToFit="1"/>
    </xf>
    <xf numFmtId="10" fontId="31" fillId="0" borderId="1" xfId="0" applyNumberFormat="1" applyFont="1" applyBorder="1" applyAlignment="1">
      <alignment shrinkToFit="1"/>
    </xf>
    <xf numFmtId="0" fontId="31" fillId="3" borderId="1" xfId="0" applyFont="1" applyFill="1" applyBorder="1" applyAlignment="1">
      <alignment shrinkToFit="1"/>
    </xf>
    <xf numFmtId="0" fontId="31" fillId="0" borderId="4" xfId="0" applyFont="1" applyBorder="1" applyAlignment="1">
      <alignment shrinkToFit="1"/>
    </xf>
    <xf numFmtId="0" fontId="62" fillId="0" borderId="3" xfId="0" applyFont="1" applyBorder="1" applyAlignment="1">
      <alignment shrinkToFit="1"/>
    </xf>
    <xf numFmtId="0" fontId="31" fillId="0" borderId="8" xfId="0" applyFont="1" applyBorder="1" applyAlignment="1">
      <alignment vertical="center" shrinkToFit="1"/>
    </xf>
    <xf numFmtId="0" fontId="31" fillId="0" borderId="5" xfId="0" applyFont="1" applyBorder="1" applyAlignment="1">
      <alignment shrinkToFit="1"/>
    </xf>
    <xf numFmtId="10" fontId="31" fillId="0" borderId="5" xfId="0" applyNumberFormat="1" applyFont="1" applyBorder="1" applyAlignment="1">
      <alignment shrinkToFit="1"/>
    </xf>
    <xf numFmtId="0" fontId="31" fillId="3" borderId="5" xfId="0" applyFont="1" applyFill="1" applyBorder="1" applyAlignment="1">
      <alignment shrinkToFit="1"/>
    </xf>
    <xf numFmtId="0" fontId="31" fillId="0" borderId="9" xfId="0" applyFont="1" applyBorder="1" applyAlignment="1">
      <alignment shrinkToFit="1"/>
    </xf>
    <xf numFmtId="0" fontId="62" fillId="0" borderId="8" xfId="0" applyFont="1" applyBorder="1" applyAlignment="1">
      <alignment shrinkToFit="1"/>
    </xf>
    <xf numFmtId="0" fontId="31" fillId="2" borderId="16" xfId="0" applyFont="1" applyFill="1" applyBorder="1" applyAlignment="1">
      <alignment horizontal="center" shrinkToFit="1"/>
    </xf>
    <xf numFmtId="10" fontId="31" fillId="3" borderId="17" xfId="0" applyNumberFormat="1" applyFont="1" applyFill="1" applyBorder="1" applyAlignment="1">
      <alignment horizontal="center" shrinkToFit="1"/>
    </xf>
    <xf numFmtId="0" fontId="31" fillId="3" borderId="18" xfId="0" applyFont="1" applyFill="1" applyBorder="1" applyAlignment="1">
      <alignment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31" fillId="2" borderId="23" xfId="0" applyFont="1" applyFill="1" applyBorder="1" applyAlignment="1">
      <alignment horizontal="center" vertical="center" shrinkToFit="1"/>
    </xf>
    <xf numFmtId="10" fontId="31" fillId="2" borderId="23" xfId="0" applyNumberFormat="1" applyFont="1" applyFill="1" applyBorder="1" applyAlignment="1">
      <alignment horizontal="center" vertical="center" shrinkToFit="1"/>
    </xf>
    <xf numFmtId="0" fontId="39" fillId="0" borderId="34" xfId="0" applyFont="1" applyBorder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0" fontId="39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0" fontId="52" fillId="0" borderId="0" xfId="11" applyFont="1" applyAlignment="1">
      <alignment shrinkToFit="1"/>
    </xf>
    <xf numFmtId="184" fontId="68" fillId="0" borderId="0" xfId="11" applyNumberFormat="1" applyFont="1" applyAlignment="1">
      <alignment shrinkToFit="1"/>
    </xf>
    <xf numFmtId="0" fontId="51" fillId="0" borderId="6" xfId="11" applyFont="1" applyBorder="1" applyAlignment="1">
      <alignment horizontal="center" shrinkToFit="1"/>
    </xf>
    <xf numFmtId="3" fontId="40" fillId="0" borderId="6" xfId="11" applyNumberFormat="1" applyFont="1" applyBorder="1" applyAlignment="1">
      <alignment shrinkToFit="1"/>
    </xf>
    <xf numFmtId="10" fontId="40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51" fillId="0" borderId="1" xfId="11" applyFont="1" applyBorder="1" applyAlignment="1">
      <alignment horizontal="center" shrinkToFit="1"/>
    </xf>
    <xf numFmtId="3" fontId="40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22" xfId="11" applyFont="1" applyBorder="1"/>
    <xf numFmtId="1" fontId="34" fillId="0" borderId="22" xfId="11" applyNumberFormat="1" applyFont="1" applyBorder="1"/>
    <xf numFmtId="185" fontId="34" fillId="0" borderId="22" xfId="13" applyNumberFormat="1" applyFont="1" applyFill="1" applyBorder="1" applyAlignment="1"/>
    <xf numFmtId="0" fontId="34" fillId="0" borderId="0" xfId="11" applyFont="1" applyAlignment="1">
      <alignment horizontal="center"/>
    </xf>
    <xf numFmtId="9" fontId="71" fillId="0" borderId="0" xfId="13" applyFont="1" applyFill="1" applyAlignment="1"/>
    <xf numFmtId="0" fontId="34" fillId="0" borderId="0" xfId="11" applyFont="1" applyAlignment="1">
      <alignment horizontal="center" vertical="center"/>
    </xf>
    <xf numFmtId="1" fontId="40" fillId="0" borderId="22" xfId="11" applyNumberFormat="1" applyFont="1" applyBorder="1"/>
    <xf numFmtId="0" fontId="40" fillId="0" borderId="22" xfId="11" applyFont="1" applyBorder="1"/>
    <xf numFmtId="185" fontId="40" fillId="0" borderId="22" xfId="13" applyNumberFormat="1" applyFont="1" applyFill="1" applyBorder="1" applyAlignment="1"/>
    <xf numFmtId="0" fontId="40" fillId="5" borderId="22" xfId="12" applyFont="1" applyFill="1" applyBorder="1" applyAlignment="1">
      <alignment horizontal="center" vertical="center" wrapText="1"/>
    </xf>
    <xf numFmtId="0" fontId="40" fillId="5" borderId="22" xfId="1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/>
    </xf>
    <xf numFmtId="185" fontId="40" fillId="9" borderId="22" xfId="14" applyNumberFormat="1" applyFont="1" applyFill="1" applyBorder="1" applyAlignment="1"/>
    <xf numFmtId="185" fontId="40" fillId="9" borderId="22" xfId="13" applyNumberFormat="1" applyFont="1" applyFill="1" applyBorder="1" applyAlignment="1"/>
    <xf numFmtId="1" fontId="0" fillId="0" borderId="31" xfId="0" applyNumberFormat="1" applyBorder="1" applyAlignment="1">
      <alignment horizontal="center" vertical="center"/>
    </xf>
    <xf numFmtId="0" fontId="39" fillId="0" borderId="32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0" fontId="10" fillId="0" borderId="0" xfId="5"/>
    <xf numFmtId="0" fontId="74" fillId="9" borderId="30" xfId="5" applyFont="1" applyFill="1" applyBorder="1"/>
    <xf numFmtId="0" fontId="74" fillId="0" borderId="0" xfId="5" applyFont="1"/>
    <xf numFmtId="0" fontId="74" fillId="0" borderId="22" xfId="5" applyFont="1" applyBorder="1"/>
    <xf numFmtId="0" fontId="74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40" fillId="5" borderId="23" xfId="5" applyFont="1" applyFill="1" applyBorder="1" applyAlignment="1">
      <alignment horizontal="center" vertical="center"/>
    </xf>
    <xf numFmtId="0" fontId="75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shrinkToFit="1"/>
    </xf>
    <xf numFmtId="0" fontId="76" fillId="0" borderId="0" xfId="0" applyFont="1" applyAlignment="1">
      <alignment vertical="center"/>
    </xf>
    <xf numFmtId="0" fontId="34" fillId="0" borderId="41" xfId="11" applyFont="1" applyBorder="1"/>
    <xf numFmtId="1" fontId="34" fillId="0" borderId="41" xfId="11" applyNumberFormat="1" applyFont="1" applyBorder="1"/>
    <xf numFmtId="0" fontId="77" fillId="0" borderId="0" xfId="11" applyFont="1"/>
    <xf numFmtId="1" fontId="71" fillId="0" borderId="41" xfId="11" applyNumberFormat="1" applyFont="1" applyBorder="1"/>
    <xf numFmtId="0" fontId="34" fillId="5" borderId="23" xfId="11" applyFont="1" applyFill="1" applyBorder="1" applyAlignment="1">
      <alignment horizontal="center" vertical="center"/>
    </xf>
    <xf numFmtId="0" fontId="31" fillId="5" borderId="22" xfId="11" applyFont="1" applyFill="1" applyBorder="1" applyAlignment="1">
      <alignment horizontal="center" vertical="center" shrinkToFit="1"/>
    </xf>
    <xf numFmtId="0" fontId="29" fillId="4" borderId="0" xfId="11" applyFont="1" applyFill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5" borderId="22" xfId="11" applyFont="1" applyFill="1" applyBorder="1" applyAlignment="1">
      <alignment horizontal="center" shrinkToFit="1"/>
    </xf>
    <xf numFmtId="0" fontId="29" fillId="4" borderId="0" xfId="11" applyFont="1" applyFill="1" applyAlignment="1">
      <alignment horizontal="center" shrinkToFit="1"/>
    </xf>
    <xf numFmtId="0" fontId="51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shrinkToFit="1"/>
    </xf>
    <xf numFmtId="0" fontId="31" fillId="0" borderId="22" xfId="11" applyFont="1" applyBorder="1" applyAlignment="1">
      <alignment shrinkToFit="1"/>
    </xf>
    <xf numFmtId="0" fontId="51" fillId="0" borderId="22" xfId="11" applyFont="1" applyBorder="1" applyAlignment="1">
      <alignment horizontal="right" shrinkToFit="1"/>
    </xf>
    <xf numFmtId="0" fontId="51" fillId="2" borderId="22" xfId="11" applyFont="1" applyFill="1" applyBorder="1" applyAlignment="1">
      <alignment horizontal="center" shrinkToFit="1"/>
    </xf>
    <xf numFmtId="0" fontId="31" fillId="2" borderId="22" xfId="11" applyFont="1" applyFill="1" applyBorder="1" applyAlignment="1">
      <alignment horizontal="center" shrinkToFit="1"/>
    </xf>
    <xf numFmtId="0" fontId="29" fillId="0" borderId="0" xfId="11" applyFont="1" applyAlignment="1">
      <alignment horizontal="center" shrinkToFit="1"/>
    </xf>
    <xf numFmtId="0" fontId="41" fillId="0" borderId="22" xfId="15" applyFont="1" applyBorder="1" applyAlignment="1">
      <alignment horizontal="center" vertical="center"/>
    </xf>
    <xf numFmtId="0" fontId="41" fillId="0" borderId="0" xfId="15" applyFont="1" applyAlignment="1">
      <alignment horizontal="center" vertical="center"/>
    </xf>
    <xf numFmtId="0" fontId="7" fillId="0" borderId="0" xfId="15">
      <alignment vertical="center"/>
    </xf>
    <xf numFmtId="0" fontId="81" fillId="0" borderId="0" xfId="15" applyFont="1" applyAlignment="1">
      <alignment horizontal="center" vertical="center"/>
    </xf>
    <xf numFmtId="0" fontId="43" fillId="0" borderId="31" xfId="15" applyFont="1" applyBorder="1" applyAlignment="1">
      <alignment horizontal="center" vertical="center"/>
    </xf>
    <xf numFmtId="0" fontId="7" fillId="0" borderId="37" xfId="15" applyBorder="1" applyAlignment="1">
      <alignment horizontal="center" vertical="center"/>
    </xf>
    <xf numFmtId="0" fontId="41" fillId="0" borderId="0" xfId="16" applyFont="1" applyAlignment="1">
      <alignment horizontal="center"/>
    </xf>
    <xf numFmtId="0" fontId="7" fillId="0" borderId="0" xfId="15" applyAlignment="1">
      <alignment horizontal="center" vertical="center"/>
    </xf>
    <xf numFmtId="0" fontId="43" fillId="0" borderId="0" xfId="17" applyFont="1" applyAlignment="1">
      <alignment horizontal="center"/>
    </xf>
    <xf numFmtId="0" fontId="84" fillId="0" borderId="22" xfId="11" applyFont="1" applyBorder="1"/>
    <xf numFmtId="2" fontId="40" fillId="0" borderId="22" xfId="11" applyNumberFormat="1" applyFont="1" applyBorder="1"/>
    <xf numFmtId="0" fontId="41" fillId="0" borderId="22" xfId="18" applyFont="1" applyBorder="1" applyAlignment="1">
      <alignment horizontal="center" vertical="center"/>
    </xf>
    <xf numFmtId="0" fontId="41" fillId="0" borderId="0" xfId="18" applyFont="1" applyAlignment="1">
      <alignment horizontal="center" vertical="center"/>
    </xf>
    <xf numFmtId="0" fontId="6" fillId="0" borderId="0" xfId="18">
      <alignment vertical="center"/>
    </xf>
    <xf numFmtId="0" fontId="81" fillId="0" borderId="0" xfId="18" applyFont="1" applyAlignment="1">
      <alignment horizontal="center" vertical="center"/>
    </xf>
    <xf numFmtId="0" fontId="43" fillId="0" borderId="31" xfId="18" applyFont="1" applyBorder="1" applyAlignment="1">
      <alignment horizontal="center" vertical="center"/>
    </xf>
    <xf numFmtId="0" fontId="6" fillId="0" borderId="37" xfId="18" applyBorder="1" applyAlignment="1">
      <alignment horizontal="center" vertical="center"/>
    </xf>
    <xf numFmtId="0" fontId="41" fillId="0" borderId="0" xfId="19" applyFont="1" applyAlignment="1">
      <alignment horizontal="center"/>
    </xf>
    <xf numFmtId="0" fontId="6" fillId="0" borderId="0" xfId="18" applyAlignment="1">
      <alignment horizontal="center" vertical="center"/>
    </xf>
    <xf numFmtId="0" fontId="87" fillId="0" borderId="22" xfId="11" applyFont="1" applyBorder="1"/>
    <xf numFmtId="0" fontId="85" fillId="0" borderId="22" xfId="0" applyFont="1" applyBorder="1" applyAlignment="1">
      <alignment shrinkToFit="1"/>
    </xf>
    <xf numFmtId="183" fontId="40" fillId="0" borderId="22" xfId="11" applyNumberFormat="1" applyFont="1" applyBorder="1"/>
    <xf numFmtId="183" fontId="34" fillId="0" borderId="22" xfId="11" applyNumberFormat="1" applyFont="1" applyBorder="1"/>
    <xf numFmtId="0" fontId="88" fillId="0" borderId="22" xfId="11" applyFont="1" applyBorder="1"/>
    <xf numFmtId="0" fontId="88" fillId="0" borderId="0" xfId="11" applyFont="1"/>
    <xf numFmtId="0" fontId="84" fillId="0" borderId="0" xfId="11" applyFont="1"/>
    <xf numFmtId="181" fontId="40" fillId="0" borderId="22" xfId="13" applyNumberFormat="1" applyFont="1" applyFill="1" applyBorder="1" applyAlignment="1"/>
    <xf numFmtId="181" fontId="34" fillId="0" borderId="22" xfId="13" applyNumberFormat="1" applyFont="1" applyFill="1" applyBorder="1" applyAlignment="1"/>
    <xf numFmtId="1" fontId="31" fillId="0" borderId="22" xfId="11" applyNumberFormat="1" applyFont="1" applyBorder="1" applyAlignment="1">
      <alignment shrinkToFit="1"/>
    </xf>
    <xf numFmtId="183" fontId="31" fillId="0" borderId="22" xfId="11" applyNumberFormat="1" applyFont="1" applyBorder="1" applyAlignment="1">
      <alignment shrinkToFit="1"/>
    </xf>
    <xf numFmtId="183" fontId="31" fillId="3" borderId="1" xfId="0" applyNumberFormat="1" applyFont="1" applyFill="1" applyBorder="1" applyAlignment="1">
      <alignment shrinkToFit="1"/>
    </xf>
    <xf numFmtId="183" fontId="31" fillId="3" borderId="5" xfId="0" applyNumberFormat="1" applyFont="1" applyFill="1" applyBorder="1" applyAlignment="1">
      <alignment shrinkToFit="1"/>
    </xf>
    <xf numFmtId="183" fontId="10" fillId="3" borderId="1" xfId="0" applyNumberFormat="1" applyFont="1" applyFill="1" applyBorder="1" applyAlignment="1">
      <alignment shrinkToFit="1"/>
    </xf>
    <xf numFmtId="183" fontId="10" fillId="3" borderId="5" xfId="0" applyNumberFormat="1" applyFont="1" applyFill="1" applyBorder="1" applyAlignment="1">
      <alignment shrinkToFit="1"/>
    </xf>
    <xf numFmtId="0" fontId="41" fillId="0" borderId="22" xfId="42" applyFont="1" applyBorder="1" applyAlignment="1">
      <alignment horizontal="center" vertical="center"/>
    </xf>
    <xf numFmtId="0" fontId="41" fillId="0" borderId="0" xfId="42" applyFont="1" applyAlignment="1">
      <alignment horizontal="center" vertical="center"/>
    </xf>
    <xf numFmtId="0" fontId="3" fillId="0" borderId="0" xfId="42">
      <alignment vertical="center"/>
    </xf>
    <xf numFmtId="0" fontId="81" fillId="0" borderId="0" xfId="42" applyFont="1" applyAlignment="1">
      <alignment horizontal="center" vertical="center"/>
    </xf>
    <xf numFmtId="0" fontId="43" fillId="0" borderId="31" xfId="42" applyFont="1" applyBorder="1" applyAlignment="1">
      <alignment horizontal="center" vertical="center"/>
    </xf>
    <xf numFmtId="0" fontId="3" fillId="0" borderId="37" xfId="42" applyBorder="1" applyAlignment="1">
      <alignment horizontal="center" vertical="center"/>
    </xf>
    <xf numFmtId="0" fontId="41" fillId="0" borderId="0" xfId="43" applyFont="1" applyAlignment="1">
      <alignment horizontal="center"/>
    </xf>
    <xf numFmtId="0" fontId="3" fillId="0" borderId="0" xfId="42" applyAlignment="1">
      <alignment horizontal="center" vertical="center"/>
    </xf>
    <xf numFmtId="186" fontId="29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11" applyFont="1" applyAlignment="1">
      <alignment horizontal="left" vertical="center"/>
    </xf>
    <xf numFmtId="0" fontId="76" fillId="0" borderId="0" xfId="11" applyFont="1" applyAlignment="1">
      <alignment vertical="center"/>
    </xf>
    <xf numFmtId="183" fontId="27" fillId="0" borderId="0" xfId="11" applyNumberFormat="1" applyAlignment="1">
      <alignment horizontal="center" vertical="center"/>
    </xf>
    <xf numFmtId="0" fontId="27" fillId="0" borderId="0" xfId="11" applyAlignment="1">
      <alignment horizontal="center" vertical="center"/>
    </xf>
    <xf numFmtId="0" fontId="27" fillId="0" borderId="0" xfId="11" applyAlignment="1">
      <alignment vertical="center"/>
    </xf>
    <xf numFmtId="0" fontId="29" fillId="0" borderId="0" xfId="11" applyFont="1" applyAlignment="1">
      <alignment vertical="center"/>
    </xf>
    <xf numFmtId="0" fontId="39" fillId="0" borderId="0" xfId="11" applyFont="1" applyAlignment="1">
      <alignment horizontal="left" vertical="center"/>
    </xf>
    <xf numFmtId="0" fontId="39" fillId="0" borderId="34" xfId="11" applyFont="1" applyBorder="1" applyAlignment="1">
      <alignment horizontal="left" vertical="center"/>
    </xf>
    <xf numFmtId="0" fontId="39" fillId="0" borderId="26" xfId="11" applyFont="1" applyBorder="1" applyAlignment="1">
      <alignment horizontal="left" vertical="center"/>
    </xf>
    <xf numFmtId="0" fontId="39" fillId="0" borderId="36" xfId="11" applyFont="1" applyBorder="1" applyAlignment="1">
      <alignment horizontal="left" vertical="center"/>
    </xf>
    <xf numFmtId="0" fontId="29" fillId="0" borderId="0" xfId="11" applyFont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27" fillId="0" borderId="22" xfId="11" applyBorder="1" applyAlignment="1">
      <alignment horizontal="center" vertical="center"/>
    </xf>
    <xf numFmtId="1" fontId="27" fillId="0" borderId="22" xfId="11" applyNumberFormat="1" applyBorder="1" applyAlignment="1">
      <alignment horizontal="center" vertical="center"/>
    </xf>
    <xf numFmtId="183" fontId="27" fillId="0" borderId="22" xfId="11" applyNumberFormat="1" applyBorder="1" applyAlignment="1">
      <alignment horizontal="center" vertical="center"/>
    </xf>
    <xf numFmtId="1" fontId="27" fillId="0" borderId="31" xfId="11" applyNumberFormat="1" applyBorder="1" applyAlignment="1">
      <alignment horizontal="center" vertical="center"/>
    </xf>
    <xf numFmtId="2" fontId="27" fillId="0" borderId="22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0" fontId="39" fillId="0" borderId="37" xfId="11" applyFont="1" applyBorder="1" applyAlignment="1">
      <alignment horizontal="left" vertical="center"/>
    </xf>
    <xf numFmtId="0" fontId="39" fillId="0" borderId="32" xfId="11" applyFont="1" applyBorder="1" applyAlignment="1">
      <alignment horizontal="left" vertical="center"/>
    </xf>
    <xf numFmtId="0" fontId="79" fillId="0" borderId="22" xfId="0" applyFont="1" applyBorder="1" applyAlignment="1">
      <alignment horizontal="center" vertical="center"/>
    </xf>
    <xf numFmtId="9" fontId="10" fillId="0" borderId="1" xfId="14" applyFont="1" applyBorder="1" applyAlignment="1">
      <alignment shrinkToFit="1"/>
    </xf>
    <xf numFmtId="0" fontId="48" fillId="0" borderId="0" xfId="0" applyFont="1" applyAlignment="1">
      <alignment horizontal="center" vertical="center" shrinkToFit="1"/>
    </xf>
    <xf numFmtId="0" fontId="75" fillId="9" borderId="22" xfId="0" applyFont="1" applyFill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176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182" fontId="29" fillId="0" borderId="0" xfId="0" applyNumberFormat="1" applyFont="1" applyAlignment="1">
      <alignment horizontal="center"/>
    </xf>
    <xf numFmtId="182" fontId="29" fillId="0" borderId="0" xfId="0" applyNumberFormat="1" applyFont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 shrinkToFit="1"/>
    </xf>
    <xf numFmtId="177" fontId="35" fillId="0" borderId="22" xfId="0" applyNumberFormat="1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83" fontId="27" fillId="0" borderId="23" xfId="11" applyNumberFormat="1" applyBorder="1" applyAlignment="1">
      <alignment horizontal="center" vertical="center"/>
    </xf>
    <xf numFmtId="183" fontId="27" fillId="0" borderId="29" xfId="11" applyNumberFormat="1" applyBorder="1" applyAlignment="1">
      <alignment horizontal="center" vertical="center"/>
    </xf>
    <xf numFmtId="183" fontId="27" fillId="0" borderId="30" xfId="11" applyNumberFormat="1" applyBorder="1" applyAlignment="1">
      <alignment horizontal="center" vertical="center"/>
    </xf>
    <xf numFmtId="0" fontId="27" fillId="0" borderId="22" xfId="11" applyBorder="1" applyAlignment="1">
      <alignment horizontal="center" vertical="center"/>
    </xf>
    <xf numFmtId="0" fontId="37" fillId="0" borderId="23" xfId="11" applyFont="1" applyBorder="1" applyAlignment="1">
      <alignment horizontal="center" vertical="center"/>
    </xf>
    <xf numFmtId="0" fontId="37" fillId="0" borderId="29" xfId="11" applyFont="1" applyBorder="1" applyAlignment="1">
      <alignment horizontal="center" vertical="center"/>
    </xf>
    <xf numFmtId="0" fontId="37" fillId="0" borderId="30" xfId="11" applyFont="1" applyBorder="1" applyAlignment="1">
      <alignment horizontal="center" vertical="center"/>
    </xf>
    <xf numFmtId="0" fontId="37" fillId="0" borderId="27" xfId="11" applyFont="1" applyBorder="1" applyAlignment="1">
      <alignment horizontal="center" vertical="center"/>
    </xf>
    <xf numFmtId="0" fontId="37" fillId="0" borderId="28" xfId="11" applyFont="1" applyBorder="1" applyAlignment="1">
      <alignment horizontal="center" vertical="center"/>
    </xf>
    <xf numFmtId="0" fontId="37" fillId="0" borderId="25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37" fillId="0" borderId="31" xfId="11" applyFont="1" applyBorder="1" applyAlignment="1">
      <alignment horizontal="center" vertical="center"/>
    </xf>
    <xf numFmtId="0" fontId="37" fillId="0" borderId="33" xfId="11" applyFont="1" applyBorder="1" applyAlignment="1">
      <alignment horizontal="center" vertical="center"/>
    </xf>
    <xf numFmtId="0" fontId="37" fillId="0" borderId="35" xfId="11" applyFont="1" applyBorder="1" applyAlignment="1">
      <alignment horizontal="center" vertical="center"/>
    </xf>
    <xf numFmtId="0" fontId="38" fillId="0" borderId="0" xfId="11" applyFont="1" applyAlignment="1">
      <alignment horizontal="left" vertical="center"/>
    </xf>
    <xf numFmtId="0" fontId="39" fillId="0" borderId="0" xfId="11" applyFont="1" applyAlignment="1">
      <alignment horizontal="left" vertical="center"/>
    </xf>
    <xf numFmtId="0" fontId="39" fillId="0" borderId="26" xfId="11" applyFont="1" applyBorder="1" applyAlignment="1">
      <alignment horizontal="left" vertical="center"/>
    </xf>
    <xf numFmtId="179" fontId="37" fillId="0" borderId="22" xfId="11" applyNumberFormat="1" applyFont="1" applyBorder="1" applyAlignment="1">
      <alignment horizontal="center" vertical="center"/>
    </xf>
    <xf numFmtId="0" fontId="27" fillId="0" borderId="23" xfId="11" applyBorder="1" applyAlignment="1">
      <alignment horizontal="center" vertical="center"/>
    </xf>
    <xf numFmtId="0" fontId="27" fillId="0" borderId="29" xfId="11" applyBorder="1" applyAlignment="1">
      <alignment horizontal="center" vertical="center"/>
    </xf>
    <xf numFmtId="0" fontId="27" fillId="0" borderId="30" xfId="11" applyBorder="1" applyAlignment="1">
      <alignment horizontal="center" vertical="center"/>
    </xf>
    <xf numFmtId="0" fontId="79" fillId="0" borderId="23" xfId="11" applyFont="1" applyBorder="1" applyAlignment="1">
      <alignment horizontal="center" vertical="center"/>
    </xf>
    <xf numFmtId="183" fontId="27" fillId="0" borderId="22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183" fontId="27" fillId="0" borderId="31" xfId="11" applyNumberFormat="1" applyBorder="1" applyAlignment="1">
      <alignment horizontal="center" vertical="center"/>
    </xf>
    <xf numFmtId="183" fontId="27" fillId="0" borderId="33" xfId="11" applyNumberFormat="1" applyBorder="1" applyAlignment="1">
      <alignment horizontal="center" vertical="center"/>
    </xf>
    <xf numFmtId="183" fontId="27" fillId="0" borderId="35" xfId="11" applyNumberFormat="1" applyBorder="1" applyAlignment="1">
      <alignment horizontal="center" vertical="center"/>
    </xf>
    <xf numFmtId="0" fontId="38" fillId="0" borderId="37" xfId="11" applyFont="1" applyBorder="1" applyAlignment="1">
      <alignment horizontal="left" vertical="center"/>
    </xf>
    <xf numFmtId="0" fontId="39" fillId="0" borderId="37" xfId="11" applyFont="1" applyBorder="1" applyAlignment="1">
      <alignment horizontal="left" vertical="center"/>
    </xf>
    <xf numFmtId="0" fontId="83" fillId="0" borderId="0" xfId="11" applyFont="1" applyAlignment="1">
      <alignment horizontal="left" vertical="center"/>
    </xf>
    <xf numFmtId="0" fontId="37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179" fontId="37" fillId="0" borderId="22" xfId="0" applyNumberFormat="1" applyFont="1" applyBorder="1" applyAlignment="1">
      <alignment horizontal="center" vertical="center"/>
    </xf>
    <xf numFmtId="0" fontId="38" fillId="0" borderId="37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79" fillId="0" borderId="22" xfId="0" applyFont="1" applyBorder="1" applyAlignment="1">
      <alignment horizontal="center" vertical="center"/>
    </xf>
    <xf numFmtId="0" fontId="51" fillId="0" borderId="22" xfId="11" applyFont="1" applyBorder="1" applyAlignment="1">
      <alignment shrinkToFit="1"/>
    </xf>
    <xf numFmtId="0" fontId="62" fillId="0" borderId="22" xfId="11" applyFont="1" applyBorder="1" applyAlignment="1">
      <alignment shrinkToFit="1"/>
    </xf>
    <xf numFmtId="0" fontId="31" fillId="0" borderId="22" xfId="11" applyFont="1" applyBorder="1" applyAlignment="1">
      <alignment shrinkToFit="1"/>
    </xf>
    <xf numFmtId="0" fontId="51" fillId="2" borderId="22" xfId="11" applyFont="1" applyFill="1" applyBorder="1" applyAlignment="1">
      <alignment horizontal="center" shrinkToFit="1"/>
    </xf>
    <xf numFmtId="0" fontId="62" fillId="0" borderId="22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 shrinkToFit="1"/>
    </xf>
    <xf numFmtId="0" fontId="78" fillId="2" borderId="22" xfId="11" applyFont="1" applyFill="1" applyBorder="1" applyAlignment="1">
      <alignment horizontal="center" vertical="center" shrinkToFit="1"/>
    </xf>
    <xf numFmtId="0" fontId="85" fillId="0" borderId="22" xfId="11" applyFont="1" applyBorder="1" applyAlignment="1">
      <alignment shrinkToFit="1"/>
    </xf>
    <xf numFmtId="0" fontId="51" fillId="2" borderId="22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shrinkToFit="1"/>
    </xf>
    <xf numFmtId="0" fontId="31" fillId="0" borderId="28" xfId="11" applyFont="1" applyBorder="1" applyAlignment="1">
      <alignment shrinkToFit="1"/>
    </xf>
    <xf numFmtId="0" fontId="31" fillId="0" borderId="25" xfId="11" applyFont="1" applyBorder="1" applyAlignment="1">
      <alignment shrinkToFit="1"/>
    </xf>
    <xf numFmtId="0" fontId="90" fillId="0" borderId="22" xfId="11" applyFont="1" applyBorder="1" applyAlignment="1">
      <alignment shrinkToFit="1"/>
    </xf>
    <xf numFmtId="0" fontId="85" fillId="0" borderId="27" xfId="11" applyFont="1" applyBorder="1" applyAlignment="1">
      <alignment shrinkToFit="1"/>
    </xf>
    <xf numFmtId="0" fontId="48" fillId="0" borderId="0" xfId="11" applyFont="1" applyAlignment="1">
      <alignment horizontal="center" vertical="center" shrinkToFit="1"/>
    </xf>
    <xf numFmtId="0" fontId="60" fillId="0" borderId="0" xfId="11" applyFont="1" applyAlignment="1">
      <alignment horizontal="left" vertical="center" shrinkToFit="1"/>
    </xf>
    <xf numFmtId="0" fontId="61" fillId="0" borderId="0" xfId="11" applyFont="1" applyAlignment="1">
      <alignment horizontal="left" vertical="center" shrinkToFit="1"/>
    </xf>
    <xf numFmtId="0" fontId="62" fillId="0" borderId="22" xfId="11" applyFont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52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85" fillId="0" borderId="4" xfId="0" applyFont="1" applyBorder="1" applyAlignment="1">
      <alignment horizontal="center" shrinkToFit="1"/>
    </xf>
    <xf numFmtId="0" fontId="31" fillId="0" borderId="3" xfId="0" applyFont="1" applyBorder="1" applyAlignment="1">
      <alignment horizontal="center" shrinkToFit="1"/>
    </xf>
    <xf numFmtId="0" fontId="31" fillId="2" borderId="0" xfId="0" applyFont="1" applyFill="1" applyAlignment="1">
      <alignment horizontal="center" vertical="center" shrinkToFit="1"/>
    </xf>
    <xf numFmtId="0" fontId="31" fillId="2" borderId="40" xfId="0" applyFont="1" applyFill="1" applyBorder="1" applyAlignment="1">
      <alignment horizontal="center" vertical="center" shrinkToFit="1"/>
    </xf>
    <xf numFmtId="0" fontId="31" fillId="2" borderId="39" xfId="0" applyFont="1" applyFill="1" applyBorder="1" applyAlignment="1">
      <alignment horizontal="center" shrinkToFit="1"/>
    </xf>
    <xf numFmtId="0" fontId="31" fillId="2" borderId="2" xfId="0" applyFont="1" applyFill="1" applyBorder="1" applyAlignment="1">
      <alignment horizontal="center" shrinkToFit="1"/>
    </xf>
    <xf numFmtId="0" fontId="31" fillId="2" borderId="3" xfId="0" applyFont="1" applyFill="1" applyBorder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wrapText="1" shrinkToFit="1"/>
    </xf>
    <xf numFmtId="0" fontId="31" fillId="0" borderId="4" xfId="0" applyFont="1" applyBorder="1" applyAlignment="1">
      <alignment shrinkToFit="1"/>
    </xf>
    <xf numFmtId="0" fontId="31" fillId="0" borderId="2" xfId="0" applyFont="1" applyBorder="1" applyAlignment="1">
      <alignment shrinkToFit="1"/>
    </xf>
    <xf numFmtId="0" fontId="31" fillId="0" borderId="3" xfId="0" applyFont="1" applyBorder="1" applyAlignment="1">
      <alignment shrinkToFit="1"/>
    </xf>
    <xf numFmtId="0" fontId="85" fillId="0" borderId="4" xfId="0" applyFont="1" applyBorder="1" applyAlignment="1">
      <alignment shrinkToFit="1"/>
    </xf>
    <xf numFmtId="0" fontId="31" fillId="0" borderId="9" xfId="0" applyFont="1" applyBorder="1" applyAlignment="1">
      <alignment shrinkToFit="1"/>
    </xf>
    <xf numFmtId="0" fontId="31" fillId="0" borderId="10" xfId="0" applyFont="1" applyBorder="1" applyAlignment="1">
      <alignment shrinkToFit="1"/>
    </xf>
    <xf numFmtId="0" fontId="31" fillId="0" borderId="8" xfId="0" applyFont="1" applyBorder="1" applyAlignment="1">
      <alignment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51" fillId="2" borderId="4" xfId="0" applyFont="1" applyFill="1" applyBorder="1" applyAlignment="1">
      <alignment horizontal="center" vertical="center" shrinkToFit="1"/>
    </xf>
    <xf numFmtId="0" fontId="51" fillId="2" borderId="3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0" fillId="0" borderId="0" xfId="0" applyFont="1" applyAlignment="1">
      <alignment horizontal="left" vertical="center" shrinkToFit="1"/>
    </xf>
    <xf numFmtId="0" fontId="61" fillId="0" borderId="0" xfId="0" applyFont="1" applyAlignment="1">
      <alignment horizontal="left" vertical="center" shrinkToFit="1"/>
    </xf>
    <xf numFmtId="0" fontId="67" fillId="0" borderId="22" xfId="0" applyFont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10" fillId="2" borderId="39" xfId="0" applyFont="1" applyFill="1" applyBorder="1" applyAlignment="1">
      <alignment horizontal="center" shrinkToFit="1"/>
    </xf>
    <xf numFmtId="0" fontId="10" fillId="2" borderId="2" xfId="0" applyFont="1" applyFill="1" applyBorder="1" applyAlignment="1">
      <alignment horizontal="center" shrinkToFit="1"/>
    </xf>
    <xf numFmtId="0" fontId="10" fillId="2" borderId="3" xfId="0" applyFont="1" applyFill="1" applyBorder="1" applyAlignment="1">
      <alignment horizontal="center" shrinkToFit="1"/>
    </xf>
    <xf numFmtId="0" fontId="86" fillId="0" borderId="3" xfId="0" applyFont="1" applyBorder="1" applyAlignment="1">
      <alignment horizontal="center" shrinkToFit="1"/>
    </xf>
    <xf numFmtId="0" fontId="10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 shrinkToFit="1"/>
    </xf>
    <xf numFmtId="0" fontId="10" fillId="2" borderId="40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93" fillId="0" borderId="4" xfId="0" applyFont="1" applyBorder="1" applyAlignment="1">
      <alignment shrinkToFit="1"/>
    </xf>
    <xf numFmtId="0" fontId="91" fillId="0" borderId="4" xfId="0" applyFont="1" applyBorder="1" applyAlignment="1">
      <alignment shrinkToFit="1"/>
    </xf>
    <xf numFmtId="0" fontId="74" fillId="0" borderId="4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0" fontId="62" fillId="0" borderId="22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2" borderId="23" xfId="0" applyFont="1" applyFill="1" applyBorder="1" applyAlignment="1">
      <alignment horizontal="center" vertical="center" shrinkToFit="1"/>
    </xf>
    <xf numFmtId="0" fontId="31" fillId="2" borderId="29" xfId="0" applyFont="1" applyFill="1" applyBorder="1" applyAlignment="1">
      <alignment horizontal="center" vertical="center" shrinkToFit="1"/>
    </xf>
    <xf numFmtId="0" fontId="60" fillId="0" borderId="26" xfId="0" applyFont="1" applyBorder="1" applyAlignment="1">
      <alignment horizontal="left" vertical="center" shrinkToFit="1"/>
    </xf>
    <xf numFmtId="0" fontId="31" fillId="2" borderId="33" xfId="0" applyFont="1" applyFill="1" applyBorder="1" applyAlignment="1">
      <alignment horizontal="center" vertical="center" shrinkToFit="1"/>
    </xf>
    <xf numFmtId="179" fontId="34" fillId="0" borderId="22" xfId="11" applyNumberFormat="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179" fontId="34" fillId="0" borderId="27" xfId="11" applyNumberFormat="1" applyFont="1" applyBorder="1" applyAlignment="1">
      <alignment horizontal="center" vertical="center"/>
    </xf>
    <xf numFmtId="0" fontId="34" fillId="0" borderId="27" xfId="11" applyFont="1" applyBorder="1" applyAlignment="1">
      <alignment horizontal="center" vertical="center"/>
    </xf>
    <xf numFmtId="0" fontId="40" fillId="5" borderId="22" xfId="5" applyFont="1" applyFill="1" applyBorder="1" applyAlignment="1">
      <alignment horizontal="center" vertical="center"/>
    </xf>
    <xf numFmtId="0" fontId="44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34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40" fillId="5" borderId="31" xfId="5" applyFont="1" applyFill="1" applyBorder="1" applyAlignment="1">
      <alignment horizontal="center" vertical="center"/>
    </xf>
    <xf numFmtId="0" fontId="40" fillId="5" borderId="33" xfId="5" applyFont="1" applyFill="1" applyBorder="1" applyAlignment="1">
      <alignment horizontal="center" vertical="center"/>
    </xf>
    <xf numFmtId="0" fontId="40" fillId="5" borderId="35" xfId="5" applyFont="1" applyFill="1" applyBorder="1" applyAlignment="1">
      <alignment horizontal="center" vertical="center"/>
    </xf>
    <xf numFmtId="0" fontId="40" fillId="5" borderId="23" xfId="5" applyFont="1" applyFill="1" applyBorder="1" applyAlignment="1">
      <alignment horizontal="center" vertical="center"/>
    </xf>
    <xf numFmtId="0" fontId="40" fillId="5" borderId="29" xfId="5" applyFont="1" applyFill="1" applyBorder="1" applyAlignment="1">
      <alignment horizontal="center" vertical="center"/>
    </xf>
    <xf numFmtId="0" fontId="40" fillId="5" borderId="30" xfId="5" applyFont="1" applyFill="1" applyBorder="1" applyAlignment="1">
      <alignment horizontal="center" vertical="center"/>
    </xf>
    <xf numFmtId="0" fontId="40" fillId="5" borderId="22" xfId="12" applyFont="1" applyFill="1" applyBorder="1" applyAlignment="1">
      <alignment horizontal="center" vertical="center" wrapText="1"/>
    </xf>
    <xf numFmtId="0" fontId="40" fillId="5" borderId="22" xfId="12" applyFont="1" applyFill="1" applyBorder="1" applyAlignment="1">
      <alignment horizontal="center" vertical="center"/>
    </xf>
    <xf numFmtId="0" fontId="42" fillId="5" borderId="22" xfId="12" applyFont="1" applyFill="1" applyBorder="1" applyAlignment="1">
      <alignment horizontal="center"/>
    </xf>
    <xf numFmtId="0" fontId="87" fillId="0" borderId="22" xfId="11" applyFont="1" applyBorder="1" applyAlignment="1">
      <alignment horizontal="center" vertical="center"/>
    </xf>
    <xf numFmtId="0" fontId="42" fillId="5" borderId="27" xfId="12" applyFont="1" applyFill="1" applyBorder="1" applyAlignment="1">
      <alignment horizontal="center"/>
    </xf>
    <xf numFmtId="0" fontId="42" fillId="5" borderId="28" xfId="12" applyFont="1" applyFill="1" applyBorder="1" applyAlignment="1">
      <alignment horizontal="center"/>
    </xf>
    <xf numFmtId="0" fontId="42" fillId="5" borderId="25" xfId="12" applyFont="1" applyFill="1" applyBorder="1" applyAlignment="1">
      <alignment horizontal="center"/>
    </xf>
    <xf numFmtId="0" fontId="12" fillId="0" borderId="3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10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41" fillId="5" borderId="22" xfId="5" applyFont="1" applyFill="1" applyBorder="1" applyAlignment="1">
      <alignment horizontal="center"/>
    </xf>
  </cellXfs>
  <cellStyles count="64">
    <cellStyle name="一般" xfId="0" builtinId="0"/>
    <cellStyle name="一般 10" xfId="44" xr:uid="{00000000-0005-0000-0000-000001000000}"/>
    <cellStyle name="一般 11" xfId="54" xr:uid="{00000000-0005-0000-0000-000002000000}"/>
    <cellStyle name="一般 2" xfId="1" xr:uid="{00000000-0005-0000-0000-000003000000}"/>
    <cellStyle name="一般 2 2 2" xfId="9" xr:uid="{00000000-0005-0000-0000-000004000000}"/>
    <cellStyle name="一般 2 2 30 2 2 30 2" xfId="4" xr:uid="{00000000-0005-0000-0000-000005000000}"/>
    <cellStyle name="一般 2 2 30 2 2 30 2 2" xfId="12" xr:uid="{00000000-0005-0000-0000-000006000000}"/>
    <cellStyle name="一般 2 2 30 2 2 30 2 3" xfId="25" xr:uid="{00000000-0005-0000-0000-000007000000}"/>
    <cellStyle name="一般 2 2 30 2 2 30 2 4" xfId="29" xr:uid="{00000000-0005-0000-0000-000008000000}"/>
    <cellStyle name="一般 2 2 30 2 2 30 2 4 2" xfId="39" xr:uid="{00000000-0005-0000-0000-000009000000}"/>
    <cellStyle name="一般 2 2 30 2 2 30 2 4 3" xfId="30" xr:uid="{00000000-0005-0000-0000-00000A000000}"/>
    <cellStyle name="一般 2 2 30 2 2 30 2 4 3 2" xfId="40" xr:uid="{00000000-0005-0000-0000-00000B000000}"/>
    <cellStyle name="一般 2 2 30 2 2 30 2 4 3 3" xfId="52" xr:uid="{00000000-0005-0000-0000-00000C000000}"/>
    <cellStyle name="一般 2 2 30 2 2 30 2 4 3 4" xfId="62" xr:uid="{00000000-0005-0000-0000-00000D000000}"/>
    <cellStyle name="一般 2 2 30 2 2 30 2 4 4" xfId="51" xr:uid="{00000000-0005-0000-0000-00000E000000}"/>
    <cellStyle name="一般 2 2 30 2 2 30 2 4 5" xfId="61" xr:uid="{00000000-0005-0000-0000-00000F000000}"/>
    <cellStyle name="一般 2 2 30 2 2 30 2 5" xfId="35" xr:uid="{00000000-0005-0000-0000-000010000000}"/>
    <cellStyle name="一般 2 2 30 2 2 30 2 6" xfId="47" xr:uid="{00000000-0005-0000-0000-000011000000}"/>
    <cellStyle name="一般 2 2 30 2 2 30 2 7" xfId="57" xr:uid="{00000000-0005-0000-0000-000012000000}"/>
    <cellStyle name="一般 2 2 30 2 3 2" xfId="6" xr:uid="{00000000-0005-0000-0000-000013000000}"/>
    <cellStyle name="一般 2 2 30 3 30" xfId="7" xr:uid="{00000000-0005-0000-0000-000014000000}"/>
    <cellStyle name="一般 2 2 30 3 30 4" xfId="21" xr:uid="{00000000-0005-0000-0000-000015000000}"/>
    <cellStyle name="一般 2 2 30 3 30 4 2" xfId="33" xr:uid="{00000000-0005-0000-0000-000016000000}"/>
    <cellStyle name="一般 2 2 30 3 30 4 3" xfId="45" xr:uid="{00000000-0005-0000-0000-000017000000}"/>
    <cellStyle name="一般 2 2 30 3 30 4 4" xfId="55" xr:uid="{00000000-0005-0000-0000-000018000000}"/>
    <cellStyle name="一般 2 2 4" xfId="16" xr:uid="{00000000-0005-0000-0000-000019000000}"/>
    <cellStyle name="一般 2 2 4 2" xfId="19" xr:uid="{00000000-0005-0000-0000-00001A000000}"/>
    <cellStyle name="一般 2 2 4 3" xfId="43" xr:uid="{00000000-0005-0000-0000-00001B000000}"/>
    <cellStyle name="一般 2 4 2" xfId="17" xr:uid="{00000000-0005-0000-0000-00001C000000}"/>
    <cellStyle name="一般 3" xfId="11" xr:uid="{00000000-0005-0000-0000-00001D000000}"/>
    <cellStyle name="一般 3 3 3 2" xfId="27" xr:uid="{00000000-0005-0000-0000-00001E000000}"/>
    <cellStyle name="一般 3 3 3 2 2" xfId="37" xr:uid="{00000000-0005-0000-0000-00001F000000}"/>
    <cellStyle name="一般 3 3 3 2 3" xfId="49" xr:uid="{00000000-0005-0000-0000-000020000000}"/>
    <cellStyle name="一般 3 3 3 2 4" xfId="59" xr:uid="{00000000-0005-0000-0000-000021000000}"/>
    <cellStyle name="一般 4" xfId="5" xr:uid="{00000000-0005-0000-0000-000022000000}"/>
    <cellStyle name="一般 5" xfId="15" xr:uid="{00000000-0005-0000-0000-000023000000}"/>
    <cellStyle name="一般 5 2" xfId="26" xr:uid="{00000000-0005-0000-0000-000024000000}"/>
    <cellStyle name="一般 5 3" xfId="36" xr:uid="{00000000-0005-0000-0000-000025000000}"/>
    <cellStyle name="一般 5 4" xfId="48" xr:uid="{00000000-0005-0000-0000-000026000000}"/>
    <cellStyle name="一般 5 5" xfId="58" xr:uid="{00000000-0005-0000-0000-000027000000}"/>
    <cellStyle name="一般 6" xfId="18" xr:uid="{00000000-0005-0000-0000-000028000000}"/>
    <cellStyle name="一般 7" xfId="20" xr:uid="{00000000-0005-0000-0000-000029000000}"/>
    <cellStyle name="一般 8" xfId="32" xr:uid="{00000000-0005-0000-0000-00002A000000}"/>
    <cellStyle name="一般 9" xfId="42" xr:uid="{00000000-0005-0000-0000-00002B000000}"/>
    <cellStyle name="千分位 2" xfId="2" xr:uid="{00000000-0005-0000-0000-00002C000000}"/>
    <cellStyle name="千分位 2 2" xfId="24" xr:uid="{00000000-0005-0000-0000-00002D000000}"/>
    <cellStyle name="千分位 2 3" xfId="34" xr:uid="{00000000-0005-0000-0000-00002E000000}"/>
    <cellStyle name="千分位 2 4" xfId="46" xr:uid="{00000000-0005-0000-0000-00002F000000}"/>
    <cellStyle name="千分位 2 5" xfId="56" xr:uid="{00000000-0005-0000-0000-000030000000}"/>
    <cellStyle name="百分比" xfId="14" builtinId="5"/>
    <cellStyle name="百分比 2" xfId="8" xr:uid="{00000000-0005-0000-0000-000032000000}"/>
    <cellStyle name="百分比 2 2" xfId="10" xr:uid="{00000000-0005-0000-0000-000033000000}"/>
    <cellStyle name="百分比 2 2 2" xfId="23" xr:uid="{00000000-0005-0000-0000-000034000000}"/>
    <cellStyle name="百分比 2 3" xfId="22" xr:uid="{00000000-0005-0000-0000-000035000000}"/>
    <cellStyle name="百分比 3" xfId="3" xr:uid="{00000000-0005-0000-0000-000036000000}"/>
    <cellStyle name="百分比 4" xfId="13" xr:uid="{00000000-0005-0000-0000-000037000000}"/>
    <cellStyle name="百分比 5" xfId="31" xr:uid="{00000000-0005-0000-0000-000038000000}"/>
    <cellStyle name="百分比 6" xfId="41" xr:uid="{00000000-0005-0000-0000-000039000000}"/>
    <cellStyle name="百分比 6 4" xfId="28" xr:uid="{00000000-0005-0000-0000-00003A000000}"/>
    <cellStyle name="百分比 6 4 2" xfId="38" xr:uid="{00000000-0005-0000-0000-00003B000000}"/>
    <cellStyle name="百分比 6 4 3" xfId="50" xr:uid="{00000000-0005-0000-0000-00003C000000}"/>
    <cellStyle name="百分比 6 4 4" xfId="60" xr:uid="{00000000-0005-0000-0000-00003D000000}"/>
    <cellStyle name="百分比 7" xfId="53" xr:uid="{00000000-0005-0000-0000-00003E000000}"/>
    <cellStyle name="百分比 8" xfId="63" xr:uid="{00000000-0005-0000-0000-00003F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">
          <cell r="A2" t="str">
            <v>白酒蛤蜊義大利麵</v>
          </cell>
          <cell r="B2">
            <v>14</v>
          </cell>
          <cell r="C2">
            <v>1714</v>
          </cell>
        </row>
        <row r="3">
          <cell r="A3" t="str">
            <v>白酒蛤蜊義大利麵</v>
          </cell>
          <cell r="B3">
            <v>15</v>
          </cell>
          <cell r="C3">
            <v>1565</v>
          </cell>
        </row>
        <row r="4">
          <cell r="A4" t="str">
            <v>熱那亞青醬義大利麵</v>
          </cell>
          <cell r="B4">
            <v>16</v>
          </cell>
          <cell r="C4">
            <v>1915</v>
          </cell>
        </row>
        <row r="5">
          <cell r="A5" t="str">
            <v>義式蕃茄起司義大利麵</v>
          </cell>
          <cell r="B5">
            <v>12</v>
          </cell>
          <cell r="C5">
            <v>2000</v>
          </cell>
        </row>
        <row r="6">
          <cell r="A6" t="str">
            <v>焗烤起司雙饗筆尖麵</v>
          </cell>
          <cell r="B6">
            <v>18</v>
          </cell>
          <cell r="C6">
            <v>1565</v>
          </cell>
        </row>
        <row r="7">
          <cell r="A7" t="str">
            <v>奶油培根義大利麵</v>
          </cell>
          <cell r="B7">
            <v>13</v>
          </cell>
          <cell r="C7">
            <v>2000</v>
          </cell>
        </row>
        <row r="8">
          <cell r="A8" t="str">
            <v>韓式炸雞義大利麵</v>
          </cell>
          <cell r="B8">
            <v>16</v>
          </cell>
          <cell r="C8">
            <v>1818</v>
          </cell>
        </row>
        <row r="9">
          <cell r="A9" t="str">
            <v>蒜香蝦蝦義大利麵</v>
          </cell>
          <cell r="B9">
            <v>16</v>
          </cell>
          <cell r="C9">
            <v>1552</v>
          </cell>
        </row>
        <row r="10">
          <cell r="A10" t="str">
            <v>焗奶油扇貝筆尖麵</v>
          </cell>
          <cell r="B10">
            <v>17</v>
          </cell>
          <cell r="C10">
            <v>1565</v>
          </cell>
        </row>
        <row r="11">
          <cell r="A11" t="str">
            <v>拿坡里義大利麵</v>
          </cell>
          <cell r="B11">
            <v>16</v>
          </cell>
          <cell r="C11">
            <v>1390</v>
          </cell>
        </row>
        <row r="12">
          <cell r="A12" t="str">
            <v>奶油明太子細扁麵</v>
          </cell>
          <cell r="B12">
            <v>18</v>
          </cell>
          <cell r="C12">
            <v>1565</v>
          </cell>
        </row>
        <row r="13">
          <cell r="A13" t="str">
            <v>黑胡椒燻豬腿義大利麵</v>
          </cell>
          <cell r="B13">
            <v>18</v>
          </cell>
          <cell r="C13">
            <v>1500</v>
          </cell>
        </row>
        <row r="14">
          <cell r="A14" t="str">
            <v>卡曼橘油醋冷義大利麵</v>
          </cell>
          <cell r="B14">
            <v>16</v>
          </cell>
          <cell r="C14">
            <v>1636</v>
          </cell>
        </row>
        <row r="15">
          <cell r="A15" t="str">
            <v>羅勒海鮮冷義大利麵</v>
          </cell>
          <cell r="B15">
            <v>16</v>
          </cell>
          <cell r="C15">
            <v>1333</v>
          </cell>
        </row>
        <row r="16">
          <cell r="A16" t="str">
            <v>蕃茄莎莎鮪魚冷義大利麵</v>
          </cell>
          <cell r="B16">
            <v>17</v>
          </cell>
          <cell r="C16">
            <v>1333</v>
          </cell>
        </row>
        <row r="17">
          <cell r="A17" t="str">
            <v>奶油蒜香雞義大利麵</v>
          </cell>
          <cell r="B17">
            <v>18</v>
          </cell>
          <cell r="C17">
            <v>1200</v>
          </cell>
        </row>
        <row r="18">
          <cell r="A18" t="str">
            <v>小滷青蔬</v>
          </cell>
          <cell r="B18">
            <v>12</v>
          </cell>
          <cell r="C18">
            <v>1714</v>
          </cell>
        </row>
        <row r="19">
          <cell r="A19" t="str">
            <v>起司馬鈴薯</v>
          </cell>
          <cell r="B19">
            <v>11</v>
          </cell>
          <cell r="C19">
            <v>1800</v>
          </cell>
        </row>
        <row r="20">
          <cell r="A20" t="str">
            <v>黑胡椒鐵板豆腐</v>
          </cell>
          <cell r="B20">
            <v>10</v>
          </cell>
          <cell r="C20">
            <v>1500</v>
          </cell>
        </row>
      </sheetData>
      <sheetData sheetId="20" refreshError="1">
        <row r="2">
          <cell r="A2" t="str">
            <v>白酒蛤蜊義大利麵-自</v>
          </cell>
          <cell r="B2">
            <v>14</v>
          </cell>
          <cell r="C2">
            <v>1714</v>
          </cell>
        </row>
        <row r="3">
          <cell r="A3" t="str">
            <v>白酒蛤蜊義大利麵</v>
          </cell>
          <cell r="B3">
            <v>15</v>
          </cell>
          <cell r="C3">
            <v>1565</v>
          </cell>
        </row>
        <row r="4">
          <cell r="A4" t="str">
            <v>熱那亞青醬義大利麵</v>
          </cell>
          <cell r="B4">
            <v>16</v>
          </cell>
          <cell r="C4">
            <v>1915</v>
          </cell>
        </row>
        <row r="5">
          <cell r="A5" t="str">
            <v>義式蕃茄起司義大利麵</v>
          </cell>
          <cell r="B5">
            <v>12</v>
          </cell>
          <cell r="C5">
            <v>2000</v>
          </cell>
        </row>
        <row r="6">
          <cell r="A6" t="str">
            <v>焗烤起司雙饗筆尖麵</v>
          </cell>
          <cell r="B6">
            <v>18</v>
          </cell>
          <cell r="C6">
            <v>1565</v>
          </cell>
        </row>
        <row r="7">
          <cell r="A7" t="str">
            <v>奶油培根義大利麵</v>
          </cell>
          <cell r="B7">
            <v>13</v>
          </cell>
          <cell r="C7">
            <v>2000</v>
          </cell>
        </row>
        <row r="8">
          <cell r="A8" t="str">
            <v>韓式起司炸雞義大利麵</v>
          </cell>
          <cell r="B8">
            <v>17</v>
          </cell>
          <cell r="C8">
            <v>1895</v>
          </cell>
        </row>
        <row r="9">
          <cell r="A9" t="str">
            <v>蒜香蝦蝦義大利麵</v>
          </cell>
          <cell r="B9">
            <v>16</v>
          </cell>
          <cell r="C9">
            <v>1552</v>
          </cell>
        </row>
        <row r="10">
          <cell r="A10" t="str">
            <v>焗奶油扇貝筆尖麵</v>
          </cell>
          <cell r="B10">
            <v>17</v>
          </cell>
          <cell r="C10">
            <v>1565</v>
          </cell>
        </row>
        <row r="11">
          <cell r="A11" t="str">
            <v>拿坡里義大利麵</v>
          </cell>
          <cell r="B11">
            <v>16</v>
          </cell>
          <cell r="C11">
            <v>1390</v>
          </cell>
        </row>
        <row r="12">
          <cell r="A12" t="str">
            <v>奶油明太子細扁麵</v>
          </cell>
          <cell r="B12">
            <v>18</v>
          </cell>
          <cell r="C12">
            <v>1565</v>
          </cell>
        </row>
        <row r="13">
          <cell r="A13" t="str">
            <v>黑胡椒燻豬腿義大利麵</v>
          </cell>
          <cell r="B13">
            <v>18</v>
          </cell>
          <cell r="C13">
            <v>1500</v>
          </cell>
        </row>
        <row r="14">
          <cell r="A14" t="str">
            <v>泰式海鮮冷義大利麵</v>
          </cell>
          <cell r="B14">
            <v>18</v>
          </cell>
          <cell r="C14">
            <v>1714</v>
          </cell>
        </row>
        <row r="16">
          <cell r="A16" t="str">
            <v>蕃茄莎莎鮪魚冷義大利麵</v>
          </cell>
          <cell r="B16">
            <v>17</v>
          </cell>
          <cell r="C16">
            <v>1333</v>
          </cell>
        </row>
        <row r="17">
          <cell r="A17" t="str">
            <v>奶油蒜香雞義大利麵</v>
          </cell>
          <cell r="B17">
            <v>18</v>
          </cell>
          <cell r="C17">
            <v>1200</v>
          </cell>
        </row>
      </sheetData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18產線配置圖"/>
      <sheetName val="0805產線配置圖"/>
      <sheetName val="0801-0804產線配置圖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6"/>
  <sheetViews>
    <sheetView view="pageBreakPreview" zoomScale="90" zoomScaleNormal="60" zoomScaleSheetLayoutView="90" workbookViewId="0">
      <selection activeCell="B11" sqref="B1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311" t="s">
        <v>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122"/>
    </row>
    <row r="2" spans="1:12" s="123" customFormat="1" ht="15.75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</row>
    <row r="3" spans="1:12" ht="21.6" customHeight="1">
      <c r="A3" s="137" t="s">
        <v>1</v>
      </c>
      <c r="B3" s="138">
        <v>8</v>
      </c>
      <c r="C3" s="137" t="s">
        <v>2</v>
      </c>
      <c r="D3" s="312" t="s">
        <v>3</v>
      </c>
      <c r="E3" s="313"/>
      <c r="F3" s="123"/>
      <c r="G3" s="132"/>
      <c r="H3" s="123"/>
      <c r="I3" s="123"/>
      <c r="J3" s="123"/>
      <c r="K3" s="123"/>
    </row>
    <row r="4" spans="1:12" ht="15.75" customHeight="1">
      <c r="A4" s="133" t="s">
        <v>4</v>
      </c>
      <c r="E4" s="125" t="s">
        <v>5</v>
      </c>
      <c r="G4" s="134" t="s">
        <v>6</v>
      </c>
      <c r="L4" s="122"/>
    </row>
    <row r="5" spans="1:12" s="126" customFormat="1" ht="15.75" customHeight="1">
      <c r="A5" s="145" t="s">
        <v>7</v>
      </c>
      <c r="B5" s="139" t="s">
        <v>8</v>
      </c>
      <c r="C5" s="139" t="s">
        <v>9</v>
      </c>
      <c r="D5" s="139" t="s">
        <v>10</v>
      </c>
      <c r="E5" s="139" t="s">
        <v>11</v>
      </c>
      <c r="G5" s="145" t="s">
        <v>7</v>
      </c>
      <c r="H5" s="139" t="s">
        <v>12</v>
      </c>
      <c r="I5" s="139" t="s">
        <v>8</v>
      </c>
      <c r="J5" s="139" t="s">
        <v>13</v>
      </c>
      <c r="K5" s="139" t="s">
        <v>11</v>
      </c>
      <c r="L5" s="127" t="s">
        <v>14</v>
      </c>
    </row>
    <row r="6" spans="1:12" ht="18" customHeight="1">
      <c r="A6" s="129" t="s">
        <v>15</v>
      </c>
      <c r="B6" s="140">
        <v>84284.94</v>
      </c>
      <c r="C6" s="140"/>
      <c r="D6" s="140">
        <f t="shared" ref="D6:D11" si="0">B6-C6</f>
        <v>84284.94</v>
      </c>
      <c r="E6" s="130"/>
      <c r="G6" s="129" t="s">
        <v>16</v>
      </c>
      <c r="H6" s="142">
        <v>109.4</v>
      </c>
      <c r="I6" s="142">
        <v>97.1</v>
      </c>
      <c r="J6" s="142"/>
      <c r="K6" s="143"/>
      <c r="L6" s="124" t="s">
        <v>17</v>
      </c>
    </row>
    <row r="7" spans="1:12" ht="18" customHeight="1">
      <c r="A7" s="129" t="s">
        <v>18</v>
      </c>
      <c r="B7" s="140">
        <v>1717015</v>
      </c>
      <c r="C7" s="140"/>
      <c r="D7" s="140">
        <f t="shared" si="0"/>
        <v>1717015</v>
      </c>
      <c r="E7" s="130"/>
      <c r="G7" s="129" t="s">
        <v>19</v>
      </c>
      <c r="H7" s="141">
        <v>0.8</v>
      </c>
      <c r="I7" s="141">
        <v>0.91200000000000003</v>
      </c>
      <c r="J7" s="141"/>
      <c r="K7" s="141"/>
      <c r="L7" s="124" t="s">
        <v>20</v>
      </c>
    </row>
    <row r="8" spans="1:12" ht="18" customHeight="1">
      <c r="A8" s="129" t="s">
        <v>21</v>
      </c>
      <c r="B8" s="140">
        <v>53121.599999999999</v>
      </c>
      <c r="C8" s="140"/>
      <c r="D8" s="140">
        <f>B8-C8</f>
        <v>53121.599999999999</v>
      </c>
      <c r="E8" s="130"/>
      <c r="G8" s="129" t="s">
        <v>22</v>
      </c>
      <c r="H8" s="141">
        <v>2.5000000000000001E-3</v>
      </c>
      <c r="I8" s="141">
        <v>8.0000000000000002E-3</v>
      </c>
      <c r="J8" s="141"/>
      <c r="K8" s="141"/>
      <c r="L8" s="124" t="s">
        <v>23</v>
      </c>
    </row>
    <row r="9" spans="1:12" ht="18" customHeight="1">
      <c r="A9" s="129" t="s">
        <v>24</v>
      </c>
      <c r="B9" s="141">
        <v>0.62806824255930926</v>
      </c>
      <c r="C9" s="141"/>
      <c r="D9" s="141">
        <f t="shared" si="0"/>
        <v>0.62806824255930926</v>
      </c>
      <c r="E9" s="141"/>
      <c r="G9" s="129" t="s">
        <v>25</v>
      </c>
      <c r="H9" s="141">
        <v>2.5000000000000001E-3</v>
      </c>
      <c r="I9" s="141">
        <v>1.0999999999999999E-2</v>
      </c>
      <c r="J9" s="141"/>
      <c r="K9" s="141"/>
      <c r="L9" s="124" t="s">
        <v>26</v>
      </c>
    </row>
    <row r="10" spans="1:12" ht="18" customHeight="1">
      <c r="A10" s="129" t="s">
        <v>27</v>
      </c>
      <c r="B10" s="140">
        <v>9692.7800000000007</v>
      </c>
      <c r="C10" s="140"/>
      <c r="D10" s="140">
        <f t="shared" si="0"/>
        <v>9692.7800000000007</v>
      </c>
      <c r="E10" s="130"/>
      <c r="G10" s="129" t="s">
        <v>28</v>
      </c>
      <c r="H10" s="141">
        <v>1</v>
      </c>
      <c r="I10" s="141">
        <v>0.42899999999999999</v>
      </c>
      <c r="J10" s="141"/>
      <c r="K10" s="141"/>
      <c r="L10" s="124" t="s">
        <v>29</v>
      </c>
    </row>
    <row r="11" spans="1:12" ht="18" customHeight="1">
      <c r="A11" s="129" t="s">
        <v>30</v>
      </c>
      <c r="B11" s="141">
        <f>B10/B6</f>
        <v>0.1150001411877377</v>
      </c>
      <c r="C11" s="141"/>
      <c r="D11" s="141">
        <f t="shared" si="0"/>
        <v>0.1150001411877377</v>
      </c>
      <c r="E11" s="141"/>
      <c r="G11" s="129" t="s">
        <v>31</v>
      </c>
      <c r="H11" s="141">
        <v>1</v>
      </c>
      <c r="I11" s="141">
        <v>0.61699999999999999</v>
      </c>
      <c r="J11" s="141"/>
      <c r="K11" s="141"/>
      <c r="L11" s="124" t="s">
        <v>32</v>
      </c>
    </row>
    <row r="12" spans="1:12" ht="9.6" customHeight="1">
      <c r="L12" s="122"/>
    </row>
    <row r="13" spans="1:12" ht="15.75" customHeight="1">
      <c r="A13" s="133" t="s">
        <v>33</v>
      </c>
      <c r="G13" s="133" t="s">
        <v>34</v>
      </c>
      <c r="L13" s="122"/>
    </row>
    <row r="14" spans="1:12" s="128" customFormat="1" ht="12">
      <c r="A14" s="144"/>
      <c r="B14" s="144" t="s">
        <v>8</v>
      </c>
      <c r="C14" s="144" t="s">
        <v>35</v>
      </c>
      <c r="D14" s="144" t="s">
        <v>13</v>
      </c>
      <c r="E14" s="144" t="s">
        <v>36</v>
      </c>
      <c r="G14" s="144"/>
      <c r="H14" s="144" t="s">
        <v>8</v>
      </c>
      <c r="I14" s="144" t="s">
        <v>35</v>
      </c>
      <c r="J14" s="144" t="s">
        <v>13</v>
      </c>
      <c r="K14" s="144" t="s">
        <v>36</v>
      </c>
    </row>
    <row r="15" spans="1:12" ht="18" customHeight="1">
      <c r="A15" s="129" t="s">
        <v>37</v>
      </c>
      <c r="B15" s="140">
        <v>77138.600000000006</v>
      </c>
      <c r="C15" s="141">
        <f>IFERROR(B15/$B$6,"")</f>
        <v>0.91521213635555776</v>
      </c>
      <c r="D15" s="141"/>
      <c r="E15" s="141">
        <f>IFERROR(C15-D15,"")</f>
        <v>0.91521213635555776</v>
      </c>
      <c r="G15" s="129" t="s">
        <v>37</v>
      </c>
      <c r="H15" s="140">
        <v>1458501</v>
      </c>
      <c r="I15" s="141">
        <f t="shared" ref="I15:I17" si="1">IFERROR(H15/$B$7,"")</f>
        <v>0.84943987093880946</v>
      </c>
      <c r="J15" s="141"/>
      <c r="K15" s="141">
        <f t="shared" ref="K15:K17" si="2">IFERROR(I15-J15,"")</f>
        <v>0.84943987093880946</v>
      </c>
      <c r="L15" s="122"/>
    </row>
    <row r="16" spans="1:12" ht="18" customHeight="1">
      <c r="A16" s="129" t="s">
        <v>38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38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39</v>
      </c>
      <c r="B17" s="140">
        <v>7146.3</v>
      </c>
      <c r="C17" s="141">
        <f t="shared" si="3"/>
        <v>8.4787389063811405E-2</v>
      </c>
      <c r="D17" s="141"/>
      <c r="E17" s="141">
        <f t="shared" si="4"/>
        <v>8.4787389063811405E-2</v>
      </c>
      <c r="G17" s="129" t="s">
        <v>39</v>
      </c>
      <c r="H17" s="140">
        <v>258514</v>
      </c>
      <c r="I17" s="141">
        <f t="shared" si="1"/>
        <v>0.15056012906119048</v>
      </c>
      <c r="J17" s="141"/>
      <c r="K17" s="141">
        <f t="shared" si="2"/>
        <v>0.15056012906119048</v>
      </c>
      <c r="L17" s="122"/>
    </row>
    <row r="18" spans="1:17" ht="15.75" customHeight="1">
      <c r="C18" s="135">
        <f>SUM(C15:C17)</f>
        <v>0.99999952541936921</v>
      </c>
      <c r="D18" s="135">
        <f>SUM(D15:D17)</f>
        <v>0</v>
      </c>
      <c r="I18" s="135">
        <f>SUM(I15:I17)</f>
        <v>1</v>
      </c>
      <c r="J18" s="135">
        <f>SUM(J15:J17)</f>
        <v>0</v>
      </c>
      <c r="L18" s="122"/>
    </row>
    <row r="19" spans="1:17" ht="9.6" customHeight="1">
      <c r="A19" s="136"/>
      <c r="L19" s="122"/>
    </row>
    <row r="20" spans="1:17" ht="15.75" customHeight="1">
      <c r="A20" s="133" t="s">
        <v>40</v>
      </c>
      <c r="L20" s="122"/>
    </row>
    <row r="21" spans="1:17" ht="15.75" customHeight="1">
      <c r="A21" s="129" t="s">
        <v>41</v>
      </c>
      <c r="B21" s="129" t="s">
        <v>8</v>
      </c>
      <c r="C21" s="129" t="s">
        <v>9</v>
      </c>
      <c r="D21" s="129" t="s">
        <v>10</v>
      </c>
      <c r="E21" s="129" t="s">
        <v>11</v>
      </c>
      <c r="L21" s="122"/>
    </row>
    <row r="22" spans="1:17" ht="18" customHeight="1">
      <c r="A22" s="129" t="s">
        <v>37</v>
      </c>
      <c r="B22" s="265">
        <v>95.6</v>
      </c>
      <c r="C22" s="130"/>
      <c r="D22" s="130">
        <v>0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38</v>
      </c>
      <c r="B23" s="130"/>
      <c r="C23" s="130"/>
      <c r="D23" s="130"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39</v>
      </c>
      <c r="B24" s="265">
        <v>109.8</v>
      </c>
      <c r="C24" s="130"/>
      <c r="D24" s="130">
        <v>0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D5" sqref="D5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4" ht="15.75" customHeight="1">
      <c r="A1" s="311" t="s">
        <v>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122"/>
    </row>
    <row r="2" spans="1:14" s="123" customFormat="1" ht="15.75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</row>
    <row r="3" spans="1:14" ht="21.6" customHeight="1">
      <c r="A3" s="137" t="s">
        <v>1</v>
      </c>
      <c r="B3" s="138">
        <v>8</v>
      </c>
      <c r="C3" s="223" t="s">
        <v>42</v>
      </c>
      <c r="D3" s="138" t="s">
        <v>43</v>
      </c>
      <c r="E3" s="137" t="s">
        <v>2</v>
      </c>
      <c r="F3" s="312" t="s">
        <v>3</v>
      </c>
      <c r="G3" s="313"/>
      <c r="H3" s="123"/>
      <c r="I3" s="132"/>
      <c r="J3" s="123"/>
      <c r="K3" s="123"/>
      <c r="M3" s="123"/>
      <c r="N3" s="123"/>
    </row>
    <row r="4" spans="1:14" ht="15.75" customHeight="1">
      <c r="A4" s="133" t="s">
        <v>4</v>
      </c>
      <c r="E4" s="125" t="s">
        <v>5</v>
      </c>
      <c r="G4" s="134" t="s">
        <v>6</v>
      </c>
      <c r="L4" s="122"/>
    </row>
    <row r="5" spans="1:14" s="126" customFormat="1" ht="15.75" customHeight="1">
      <c r="A5" s="145" t="s">
        <v>7</v>
      </c>
      <c r="B5" s="145" t="s">
        <v>44</v>
      </c>
      <c r="C5" s="145" t="s">
        <v>45</v>
      </c>
      <c r="D5" s="139" t="s">
        <v>10</v>
      </c>
      <c r="E5" s="139" t="s">
        <v>11</v>
      </c>
      <c r="G5" s="145" t="s">
        <v>7</v>
      </c>
      <c r="H5" s="139" t="s">
        <v>12</v>
      </c>
      <c r="I5" s="139" t="s">
        <v>46</v>
      </c>
      <c r="J5" s="139" t="s">
        <v>47</v>
      </c>
      <c r="K5" s="139" t="s">
        <v>11</v>
      </c>
      <c r="L5" s="127" t="s">
        <v>14</v>
      </c>
    </row>
    <row r="6" spans="1:14" ht="18" customHeight="1">
      <c r="A6" s="129" t="s">
        <v>15</v>
      </c>
      <c r="B6" s="140">
        <v>18926.95</v>
      </c>
      <c r="C6" s="140">
        <v>20083.900000000001</v>
      </c>
      <c r="D6" s="140">
        <f t="shared" ref="D6:D11" si="0">B6-C6</f>
        <v>-1156.9500000000007</v>
      </c>
      <c r="E6" s="140">
        <v>68252</v>
      </c>
      <c r="G6" s="129" t="s">
        <v>16</v>
      </c>
      <c r="H6" s="142">
        <v>109.4</v>
      </c>
      <c r="I6" s="142"/>
      <c r="J6" s="142">
        <v>94.7</v>
      </c>
      <c r="K6" s="143"/>
      <c r="L6" s="124" t="s">
        <v>17</v>
      </c>
    </row>
    <row r="7" spans="1:14" ht="18" customHeight="1">
      <c r="A7" s="129" t="s">
        <v>18</v>
      </c>
      <c r="B7" s="140">
        <v>390615</v>
      </c>
      <c r="C7" s="140">
        <v>400711</v>
      </c>
      <c r="D7" s="140">
        <f t="shared" si="0"/>
        <v>-10096</v>
      </c>
      <c r="E7" s="140">
        <v>1385195</v>
      </c>
      <c r="G7" s="129" t="s">
        <v>19</v>
      </c>
      <c r="H7" s="141">
        <v>0.8</v>
      </c>
      <c r="I7" s="141">
        <f>I6/H6</f>
        <v>0</v>
      </c>
      <c r="J7" s="141">
        <f>J6/H6</f>
        <v>0.86563071297989025</v>
      </c>
      <c r="K7" s="141"/>
      <c r="L7" s="124" t="s">
        <v>20</v>
      </c>
    </row>
    <row r="8" spans="1:14" ht="18" customHeight="1">
      <c r="A8" s="129" t="s">
        <v>21</v>
      </c>
      <c r="B8" s="140">
        <v>11935.81</v>
      </c>
      <c r="C8" s="140">
        <v>12660.243</v>
      </c>
      <c r="D8" s="140">
        <f>B8-C8</f>
        <v>-724.4330000000009</v>
      </c>
      <c r="E8" s="140">
        <v>43010</v>
      </c>
      <c r="G8" s="129" t="s">
        <v>22</v>
      </c>
      <c r="H8" s="141">
        <v>2.5000000000000001E-3</v>
      </c>
      <c r="I8" s="141"/>
      <c r="J8" s="141">
        <v>7.0000000000000001E-3</v>
      </c>
      <c r="K8" s="141"/>
      <c r="L8" s="124" t="s">
        <v>23</v>
      </c>
    </row>
    <row r="9" spans="1:14" ht="18" customHeight="1">
      <c r="A9" s="129" t="s">
        <v>24</v>
      </c>
      <c r="B9" s="141">
        <f>B8/B6</f>
        <v>0.6306251139248531</v>
      </c>
      <c r="C9" s="141">
        <f>C8/C6</f>
        <v>0.63036775725830141</v>
      </c>
      <c r="D9" s="141">
        <f t="shared" si="0"/>
        <v>2.573566665516891E-4</v>
      </c>
      <c r="E9" s="141">
        <f>E8/E6</f>
        <v>0.63016468381878921</v>
      </c>
      <c r="G9" s="129" t="s">
        <v>25</v>
      </c>
      <c r="H9" s="141">
        <v>2.5000000000000001E-3</v>
      </c>
      <c r="I9" s="141"/>
      <c r="J9" s="141">
        <v>5.0000000000000001E-3</v>
      </c>
      <c r="K9" s="141"/>
      <c r="L9" s="124" t="s">
        <v>26</v>
      </c>
    </row>
    <row r="10" spans="1:14" ht="18" customHeight="1">
      <c r="A10" s="129" t="s">
        <v>27</v>
      </c>
      <c r="B10" s="140"/>
      <c r="C10" s="140"/>
      <c r="D10" s="140">
        <f t="shared" si="0"/>
        <v>0</v>
      </c>
      <c r="E10" s="130"/>
      <c r="G10" s="129" t="s">
        <v>28</v>
      </c>
      <c r="H10" s="141">
        <v>1</v>
      </c>
      <c r="I10" s="141">
        <v>0.42899999999999999</v>
      </c>
      <c r="J10" s="141">
        <v>0.42899999999999999</v>
      </c>
      <c r="K10" s="141">
        <v>0.42899999999999999</v>
      </c>
      <c r="L10" s="124" t="s">
        <v>29</v>
      </c>
    </row>
    <row r="11" spans="1:14" ht="18" customHeight="1">
      <c r="A11" s="129" t="s">
        <v>30</v>
      </c>
      <c r="B11" s="141"/>
      <c r="C11" s="141"/>
      <c r="D11" s="141">
        <f t="shared" si="0"/>
        <v>0</v>
      </c>
      <c r="E11" s="141"/>
      <c r="G11" s="129" t="s">
        <v>31</v>
      </c>
      <c r="H11" s="141">
        <v>1</v>
      </c>
      <c r="I11" s="141">
        <v>0.71399999999999997</v>
      </c>
      <c r="J11" s="141">
        <v>0.71399999999999997</v>
      </c>
      <c r="K11" s="141">
        <v>0.54800000000000004</v>
      </c>
      <c r="L11" s="124" t="s">
        <v>32</v>
      </c>
    </row>
    <row r="12" spans="1:14" ht="9.6" customHeight="1">
      <c r="L12" s="122"/>
    </row>
    <row r="13" spans="1:14" ht="15.75" customHeight="1">
      <c r="A13" s="133" t="s">
        <v>33</v>
      </c>
      <c r="G13" s="133" t="s">
        <v>34</v>
      </c>
      <c r="L13" s="122"/>
    </row>
    <row r="14" spans="1:14" s="128" customFormat="1" ht="14.25">
      <c r="A14" s="144"/>
      <c r="B14" s="224" t="s">
        <v>44</v>
      </c>
      <c r="C14" s="144" t="s">
        <v>35</v>
      </c>
      <c r="D14" s="224" t="s">
        <v>48</v>
      </c>
      <c r="E14" s="144" t="s">
        <v>36</v>
      </c>
      <c r="G14" s="144"/>
      <c r="H14" s="224" t="s">
        <v>44</v>
      </c>
      <c r="I14" s="144" t="s">
        <v>35</v>
      </c>
      <c r="J14" s="224" t="s">
        <v>48</v>
      </c>
      <c r="K14" s="144" t="s">
        <v>36</v>
      </c>
    </row>
    <row r="15" spans="1:14" ht="18" customHeight="1">
      <c r="A15" s="129" t="s">
        <v>37</v>
      </c>
      <c r="B15" s="140">
        <v>16921.96</v>
      </c>
      <c r="C15" s="141">
        <f>IFERROR(B15/$B$6,"")</f>
        <v>0.89406692573288349</v>
      </c>
      <c r="D15" s="141">
        <v>0.92649999999999999</v>
      </c>
      <c r="E15" s="141">
        <f>IFERROR(C15-D15,"")</f>
        <v>-3.2433074267116502E-2</v>
      </c>
      <c r="G15" s="129" t="s">
        <v>37</v>
      </c>
      <c r="H15" s="140">
        <v>318207</v>
      </c>
      <c r="I15" s="141">
        <f t="shared" ref="I15:I17" si="1">IFERROR(H15/$B$7,"")</f>
        <v>0.8146307745478284</v>
      </c>
      <c r="J15" s="141">
        <v>0.86660000000000004</v>
      </c>
      <c r="K15" s="141">
        <f t="shared" ref="K15:K17" si="2">IFERROR(I15-J15,"")</f>
        <v>-5.1969225452171641E-2</v>
      </c>
      <c r="L15" s="122"/>
    </row>
    <row r="16" spans="1:14" ht="18" customHeight="1">
      <c r="A16" s="129" t="s">
        <v>38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38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39</v>
      </c>
      <c r="B17" s="140">
        <v>2004.98</v>
      </c>
      <c r="C17" s="141">
        <f t="shared" si="3"/>
        <v>0.10593254591997125</v>
      </c>
      <c r="D17" s="141">
        <v>7.3499999999999996E-2</v>
      </c>
      <c r="E17" s="141">
        <f t="shared" si="4"/>
        <v>3.2432545919971259E-2</v>
      </c>
      <c r="G17" s="129" t="s">
        <v>39</v>
      </c>
      <c r="H17" s="140">
        <v>72408</v>
      </c>
      <c r="I17" s="141">
        <f t="shared" si="1"/>
        <v>0.18536922545217158</v>
      </c>
      <c r="J17" s="141">
        <v>0.13339999999999999</v>
      </c>
      <c r="K17" s="141">
        <f t="shared" si="2"/>
        <v>5.1969225452171586E-2</v>
      </c>
      <c r="L17" s="122"/>
    </row>
    <row r="18" spans="1:17" ht="15.75" customHeight="1">
      <c r="C18" s="135">
        <f>SUM(C15:C17)</f>
        <v>0.99999947165285474</v>
      </c>
      <c r="D18" s="135">
        <f>SUM(D15:D17)</f>
        <v>1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40</v>
      </c>
      <c r="L20" s="122"/>
    </row>
    <row r="21" spans="1:17" ht="15.75" customHeight="1">
      <c r="A21" s="129" t="s">
        <v>41</v>
      </c>
      <c r="B21" s="225" t="s">
        <v>44</v>
      </c>
      <c r="C21" s="225" t="s">
        <v>45</v>
      </c>
      <c r="D21" s="129" t="s">
        <v>10</v>
      </c>
      <c r="E21" s="129" t="s">
        <v>11</v>
      </c>
      <c r="L21" s="122"/>
    </row>
    <row r="22" spans="1:17" ht="18" customHeight="1">
      <c r="A22" s="129" t="s">
        <v>37</v>
      </c>
      <c r="B22" s="130">
        <v>97.1</v>
      </c>
      <c r="C22" s="130">
        <v>91.5</v>
      </c>
      <c r="D22" s="130">
        <f>B22-C22</f>
        <v>5.5999999999999943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38</v>
      </c>
      <c r="B23" s="130"/>
      <c r="C23" s="130"/>
      <c r="D23" s="130">
        <f>B23-C23</f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39</v>
      </c>
      <c r="B24" s="130">
        <v>113.6</v>
      </c>
      <c r="C24" s="130">
        <v>108</v>
      </c>
      <c r="D24" s="130">
        <f>B24-C24</f>
        <v>5.5999999999999943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2:W43"/>
  <sheetViews>
    <sheetView zoomScale="85" zoomScaleNormal="85" workbookViewId="0">
      <selection activeCell="H5" sqref="H5:H35"/>
    </sheetView>
  </sheetViews>
  <sheetFormatPr defaultColWidth="8.85546875" defaultRowHeight="12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19" t="s">
        <v>49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</row>
    <row r="3" spans="2:23" s="82" customFormat="1" ht="23.45" customHeight="1">
      <c r="B3" s="323" t="s">
        <v>50</v>
      </c>
      <c r="C3" s="324" t="s">
        <v>51</v>
      </c>
      <c r="D3" s="325" t="s">
        <v>52</v>
      </c>
      <c r="E3" s="325"/>
      <c r="F3" s="322" t="s">
        <v>53</v>
      </c>
      <c r="G3" s="322"/>
      <c r="H3" s="322"/>
      <c r="I3" s="320" t="s">
        <v>54</v>
      </c>
      <c r="J3" s="320"/>
      <c r="K3" s="320"/>
      <c r="L3" s="321" t="s">
        <v>55</v>
      </c>
      <c r="M3" s="321"/>
      <c r="N3" s="321"/>
      <c r="O3" s="316" t="s">
        <v>56</v>
      </c>
      <c r="P3" s="316"/>
      <c r="Q3" s="316"/>
      <c r="R3" s="326" t="s">
        <v>57</v>
      </c>
      <c r="S3" s="326"/>
      <c r="T3" s="326"/>
      <c r="U3" s="316" t="s">
        <v>58</v>
      </c>
      <c r="V3" s="316"/>
      <c r="W3" s="316"/>
    </row>
    <row r="4" spans="2:23" s="82" customFormat="1" ht="23.45" customHeight="1">
      <c r="B4" s="323"/>
      <c r="C4" s="324"/>
      <c r="D4" s="325"/>
      <c r="E4" s="325"/>
      <c r="F4" s="80" t="s">
        <v>59</v>
      </c>
      <c r="G4" s="80" t="s">
        <v>60</v>
      </c>
      <c r="H4" s="80" t="s">
        <v>61</v>
      </c>
      <c r="I4" s="92" t="s">
        <v>59</v>
      </c>
      <c r="J4" s="92" t="s">
        <v>60</v>
      </c>
      <c r="K4" s="92" t="s">
        <v>61</v>
      </c>
      <c r="L4" s="91" t="s">
        <v>59</v>
      </c>
      <c r="M4" s="91" t="s">
        <v>60</v>
      </c>
      <c r="N4" s="91" t="s">
        <v>61</v>
      </c>
      <c r="O4" s="85" t="s">
        <v>59</v>
      </c>
      <c r="P4" s="85" t="s">
        <v>60</v>
      </c>
      <c r="Q4" s="85" t="s">
        <v>61</v>
      </c>
      <c r="R4" s="85" t="s">
        <v>59</v>
      </c>
      <c r="S4" s="85" t="s">
        <v>60</v>
      </c>
      <c r="T4" s="85" t="s">
        <v>61</v>
      </c>
      <c r="U4" s="85" t="s">
        <v>59</v>
      </c>
      <c r="V4" s="85" t="s">
        <v>60</v>
      </c>
      <c r="W4" s="85" t="s">
        <v>61</v>
      </c>
    </row>
    <row r="5" spans="2:23">
      <c r="B5" s="317">
        <f>D17</f>
        <v>45882</v>
      </c>
      <c r="C5" s="318" t="s">
        <v>62</v>
      </c>
      <c r="D5" s="86">
        <v>45870</v>
      </c>
      <c r="E5" s="86" t="s">
        <v>63</v>
      </c>
      <c r="F5" s="87">
        <v>2385266.6700000004</v>
      </c>
      <c r="G5" s="314">
        <f>SUM(F5:F8)</f>
        <v>10607383.84</v>
      </c>
      <c r="H5" s="314">
        <f>SUM(F5:F35)</f>
        <v>84284948.150000021</v>
      </c>
      <c r="I5" s="287">
        <v>48634</v>
      </c>
      <c r="J5" s="315">
        <f>SUM(I5:I8)</f>
        <v>217451</v>
      </c>
      <c r="K5" s="315">
        <f>SUM(I5:I35)</f>
        <v>1717015</v>
      </c>
      <c r="L5" s="87">
        <v>1500654</v>
      </c>
      <c r="M5" s="314">
        <f>SUM(L5:L8)</f>
        <v>6679908</v>
      </c>
      <c r="N5" s="314">
        <f>SUM(L5:L35)</f>
        <v>53121602</v>
      </c>
      <c r="O5" s="90">
        <f>L5/F5</f>
        <v>0.62913468706624731</v>
      </c>
      <c r="P5" s="314">
        <f>SUM(O5:O8)</f>
        <v>2.5188711572362812</v>
      </c>
      <c r="Q5" s="314">
        <f>N5/H5</f>
        <v>0.63026202383681462</v>
      </c>
      <c r="S5" s="314">
        <f>SUM(R5:R8)</f>
        <v>0</v>
      </c>
      <c r="T5" s="314">
        <f>SUM(R5:R35)</f>
        <v>0</v>
      </c>
      <c r="U5" s="90">
        <f t="shared" ref="U5:U35" si="0">R5/F5</f>
        <v>0</v>
      </c>
      <c r="V5" s="314">
        <f>SUM(U5:U8)</f>
        <v>0</v>
      </c>
      <c r="W5" s="314">
        <f>T5/H5</f>
        <v>0</v>
      </c>
    </row>
    <row r="6" spans="2:23">
      <c r="B6" s="318"/>
      <c r="C6" s="318"/>
      <c r="D6" s="86">
        <v>45871</v>
      </c>
      <c r="E6" s="86" t="s">
        <v>64</v>
      </c>
      <c r="F6" s="87">
        <v>2388905.3099999996</v>
      </c>
      <c r="G6" s="314"/>
      <c r="H6" s="314"/>
      <c r="I6" s="287">
        <v>50077</v>
      </c>
      <c r="J6" s="315"/>
      <c r="K6" s="315"/>
      <c r="L6" s="87">
        <v>1504727</v>
      </c>
      <c r="M6" s="314"/>
      <c r="N6" s="314"/>
      <c r="O6" s="90">
        <f>L6/F6</f>
        <v>0.62988139115484665</v>
      </c>
      <c r="P6" s="314"/>
      <c r="Q6" s="314"/>
      <c r="S6" s="314"/>
      <c r="T6" s="314"/>
      <c r="U6" s="90">
        <f t="shared" si="0"/>
        <v>0</v>
      </c>
      <c r="V6" s="314"/>
      <c r="W6" s="314"/>
    </row>
    <row r="7" spans="2:23">
      <c r="B7" s="318"/>
      <c r="C7" s="318"/>
      <c r="D7" s="86">
        <v>45872</v>
      </c>
      <c r="E7" s="86" t="s">
        <v>59</v>
      </c>
      <c r="F7" s="87">
        <v>2899844.43</v>
      </c>
      <c r="G7" s="314"/>
      <c r="H7" s="314"/>
      <c r="I7" s="287">
        <v>59089</v>
      </c>
      <c r="J7" s="315"/>
      <c r="K7" s="315"/>
      <c r="L7" s="87">
        <v>1824425</v>
      </c>
      <c r="M7" s="314"/>
      <c r="N7" s="314"/>
      <c r="O7" s="90">
        <f t="shared" ref="O7:O38" si="1">L7/F7</f>
        <v>0.62914581938452463</v>
      </c>
      <c r="P7" s="314"/>
      <c r="Q7" s="314"/>
      <c r="S7" s="314"/>
      <c r="T7" s="314"/>
      <c r="U7" s="90">
        <f t="shared" si="0"/>
        <v>0</v>
      </c>
      <c r="V7" s="314"/>
      <c r="W7" s="314"/>
    </row>
    <row r="8" spans="2:23">
      <c r="B8" s="318"/>
      <c r="C8" s="318"/>
      <c r="D8" s="86">
        <v>45873</v>
      </c>
      <c r="E8" s="86" t="s">
        <v>65</v>
      </c>
      <c r="F8" s="87">
        <v>2933367.4299999997</v>
      </c>
      <c r="G8" s="314"/>
      <c r="H8" s="314"/>
      <c r="I8" s="287">
        <v>59651</v>
      </c>
      <c r="J8" s="315"/>
      <c r="K8" s="315"/>
      <c r="L8" s="87">
        <v>1850102</v>
      </c>
      <c r="M8" s="314"/>
      <c r="N8" s="314"/>
      <c r="O8" s="90">
        <f t="shared" si="1"/>
        <v>0.63070925963066282</v>
      </c>
      <c r="P8" s="314"/>
      <c r="Q8" s="314"/>
      <c r="S8" s="314"/>
      <c r="T8" s="314"/>
      <c r="U8" s="90">
        <f t="shared" si="0"/>
        <v>0</v>
      </c>
      <c r="V8" s="314"/>
      <c r="W8" s="314"/>
    </row>
    <row r="9" spans="2:23">
      <c r="B9" s="318"/>
      <c r="C9" s="318"/>
      <c r="D9" s="86">
        <v>45874</v>
      </c>
      <c r="E9" s="86" t="s">
        <v>66</v>
      </c>
      <c r="F9" s="87">
        <v>3567472.76</v>
      </c>
      <c r="G9" s="314">
        <f t="shared" ref="G9" si="2">SUM(F9:F15)</f>
        <v>19947142.040000003</v>
      </c>
      <c r="H9" s="314"/>
      <c r="I9" s="287">
        <v>72576</v>
      </c>
      <c r="J9" s="315">
        <f t="shared" ref="J9" si="3">SUM(I9:I15)</f>
        <v>408990</v>
      </c>
      <c r="K9" s="315"/>
      <c r="L9" s="87">
        <v>2250309</v>
      </c>
      <c r="M9" s="314">
        <f t="shared" ref="M9" si="4">SUM(L9:L15)</f>
        <v>12571005</v>
      </c>
      <c r="N9" s="314"/>
      <c r="O9" s="90">
        <f t="shared" si="1"/>
        <v>0.63078519483916118</v>
      </c>
      <c r="P9" s="314">
        <f t="shared" ref="P9" si="5">M9/G9</f>
        <v>0.63021584619948889</v>
      </c>
      <c r="Q9" s="314"/>
      <c r="S9" s="314">
        <f t="shared" ref="S9" si="6">SUM(R9:R15)</f>
        <v>0</v>
      </c>
      <c r="T9" s="314"/>
      <c r="U9" s="90">
        <f t="shared" si="0"/>
        <v>0</v>
      </c>
      <c r="V9" s="314">
        <f t="shared" ref="V9" si="7">S9/G9</f>
        <v>0</v>
      </c>
      <c r="W9" s="314"/>
    </row>
    <row r="10" spans="2:23">
      <c r="B10" s="318"/>
      <c r="C10" s="318"/>
      <c r="D10" s="86">
        <v>45875</v>
      </c>
      <c r="E10" s="86" t="s">
        <v>67</v>
      </c>
      <c r="F10" s="87">
        <v>3253153.2500000009</v>
      </c>
      <c r="G10" s="314"/>
      <c r="H10" s="314"/>
      <c r="I10" s="287">
        <v>66419</v>
      </c>
      <c r="J10" s="315"/>
      <c r="K10" s="315"/>
      <c r="L10" s="87">
        <v>2050043</v>
      </c>
      <c r="M10" s="314"/>
      <c r="N10" s="314"/>
      <c r="O10" s="90">
        <f t="shared" si="1"/>
        <v>0.63017105019568309</v>
      </c>
      <c r="P10" s="314"/>
      <c r="Q10" s="314"/>
      <c r="S10" s="314"/>
      <c r="T10" s="314"/>
      <c r="U10" s="90">
        <f t="shared" si="0"/>
        <v>0</v>
      </c>
      <c r="V10" s="314"/>
      <c r="W10" s="314"/>
    </row>
    <row r="11" spans="2:23">
      <c r="B11" s="318"/>
      <c r="C11" s="318"/>
      <c r="D11" s="86">
        <v>45876</v>
      </c>
      <c r="E11" s="86" t="s">
        <v>68</v>
      </c>
      <c r="F11" s="87">
        <v>3065389</v>
      </c>
      <c r="G11" s="314"/>
      <c r="H11" s="314"/>
      <c r="I11" s="287">
        <v>62707</v>
      </c>
      <c r="J11" s="315"/>
      <c r="K11" s="315"/>
      <c r="L11" s="87">
        <v>1930254</v>
      </c>
      <c r="M11" s="314"/>
      <c r="N11" s="314"/>
      <c r="O11" s="90">
        <f t="shared" si="1"/>
        <v>0.62969300144288376</v>
      </c>
      <c r="P11" s="314"/>
      <c r="Q11" s="314"/>
      <c r="S11" s="314"/>
      <c r="T11" s="314"/>
      <c r="U11" s="90">
        <f t="shared" si="0"/>
        <v>0</v>
      </c>
      <c r="V11" s="314"/>
      <c r="W11" s="314"/>
    </row>
    <row r="12" spans="2:23">
      <c r="B12" s="318"/>
      <c r="C12" s="318"/>
      <c r="D12" s="86">
        <v>45877</v>
      </c>
      <c r="E12" s="86" t="s">
        <v>63</v>
      </c>
      <c r="F12" s="87">
        <v>2194710</v>
      </c>
      <c r="G12" s="314"/>
      <c r="H12" s="314"/>
      <c r="I12" s="287">
        <v>45233</v>
      </c>
      <c r="J12" s="315"/>
      <c r="K12" s="315"/>
      <c r="L12" s="87">
        <v>1382797</v>
      </c>
      <c r="M12" s="314"/>
      <c r="N12" s="314"/>
      <c r="O12" s="90">
        <f t="shared" si="1"/>
        <v>0.63005909664602611</v>
      </c>
      <c r="P12" s="314"/>
      <c r="Q12" s="314"/>
      <c r="S12" s="314"/>
      <c r="T12" s="314"/>
      <c r="U12" s="90">
        <f t="shared" si="0"/>
        <v>0</v>
      </c>
      <c r="V12" s="314"/>
      <c r="W12" s="314"/>
    </row>
    <row r="13" spans="2:23">
      <c r="B13" s="318"/>
      <c r="C13" s="318"/>
      <c r="D13" s="86">
        <v>45878</v>
      </c>
      <c r="E13" s="86" t="s">
        <v>64</v>
      </c>
      <c r="F13" s="87">
        <v>2228264</v>
      </c>
      <c r="G13" s="314"/>
      <c r="H13" s="314"/>
      <c r="I13" s="287">
        <v>46023</v>
      </c>
      <c r="J13" s="315"/>
      <c r="K13" s="315"/>
      <c r="L13" s="87">
        <v>1400538</v>
      </c>
      <c r="M13" s="314"/>
      <c r="N13" s="314"/>
      <c r="O13" s="90">
        <f t="shared" si="1"/>
        <v>0.62853324381671116</v>
      </c>
      <c r="P13" s="314"/>
      <c r="Q13" s="314"/>
      <c r="S13" s="314"/>
      <c r="T13" s="314"/>
      <c r="U13" s="90">
        <f t="shared" si="0"/>
        <v>0</v>
      </c>
      <c r="V13" s="314"/>
      <c r="W13" s="314"/>
    </row>
    <row r="14" spans="2:23">
      <c r="B14" s="318"/>
      <c r="C14" s="318"/>
      <c r="D14" s="86">
        <v>45879</v>
      </c>
      <c r="E14" s="86" t="s">
        <v>59</v>
      </c>
      <c r="F14" s="87">
        <v>2819551.03</v>
      </c>
      <c r="G14" s="314"/>
      <c r="H14" s="314"/>
      <c r="I14" s="287">
        <v>58090</v>
      </c>
      <c r="J14" s="315"/>
      <c r="K14" s="315"/>
      <c r="L14" s="87">
        <v>1779532</v>
      </c>
      <c r="M14" s="314"/>
      <c r="N14" s="314"/>
      <c r="O14" s="90">
        <f t="shared" si="1"/>
        <v>0.63114019965086432</v>
      </c>
      <c r="P14" s="314"/>
      <c r="Q14" s="314"/>
      <c r="S14" s="314"/>
      <c r="T14" s="314"/>
      <c r="U14" s="90">
        <f t="shared" si="0"/>
        <v>0</v>
      </c>
      <c r="V14" s="314"/>
      <c r="W14" s="314"/>
    </row>
    <row r="15" spans="2:23">
      <c r="B15" s="318"/>
      <c r="C15" s="318"/>
      <c r="D15" s="86">
        <v>45880</v>
      </c>
      <c r="E15" s="86" t="s">
        <v>65</v>
      </c>
      <c r="F15" s="87">
        <v>2818602</v>
      </c>
      <c r="G15" s="314"/>
      <c r="H15" s="314"/>
      <c r="I15" s="287">
        <v>57942</v>
      </c>
      <c r="J15" s="315"/>
      <c r="K15" s="315"/>
      <c r="L15" s="87">
        <v>1777532</v>
      </c>
      <c r="M15" s="314"/>
      <c r="N15" s="314"/>
      <c r="O15" s="90">
        <f t="shared" si="1"/>
        <v>0.63064313443331121</v>
      </c>
      <c r="P15" s="314"/>
      <c r="Q15" s="314"/>
      <c r="S15" s="314"/>
      <c r="T15" s="314"/>
      <c r="U15" s="90">
        <f t="shared" si="0"/>
        <v>0</v>
      </c>
      <c r="V15" s="314"/>
      <c r="W15" s="314"/>
    </row>
    <row r="16" spans="2:23">
      <c r="B16" s="317">
        <f>D24</f>
        <v>45889</v>
      </c>
      <c r="C16" s="318"/>
      <c r="D16" s="86">
        <v>45881</v>
      </c>
      <c r="E16" s="86" t="s">
        <v>66</v>
      </c>
      <c r="F16" s="87">
        <v>2662577</v>
      </c>
      <c r="G16" s="314">
        <f t="shared" ref="G16" si="8">SUM(F16:F22)</f>
        <v>17613170.310000002</v>
      </c>
      <c r="H16" s="314"/>
      <c r="I16" s="287">
        <v>54761</v>
      </c>
      <c r="J16" s="315">
        <f t="shared" ref="J16" si="9">SUM(I16:I22)</f>
        <v>358043</v>
      </c>
      <c r="K16" s="315"/>
      <c r="L16" s="87">
        <v>1680559</v>
      </c>
      <c r="M16" s="314">
        <f t="shared" ref="M16" si="10">SUM(L16:L22)</f>
        <v>11099822</v>
      </c>
      <c r="N16" s="314"/>
      <c r="O16" s="90">
        <f t="shared" si="1"/>
        <v>0.63117761476945078</v>
      </c>
      <c r="P16" s="314">
        <f t="shared" ref="P16" si="11">M16/G16</f>
        <v>0.63020011756191319</v>
      </c>
      <c r="Q16" s="314"/>
      <c r="S16" s="314">
        <f t="shared" ref="S16" si="12">SUM(R16:R22)</f>
        <v>0</v>
      </c>
      <c r="T16" s="314"/>
      <c r="U16" s="90">
        <f t="shared" si="0"/>
        <v>0</v>
      </c>
      <c r="V16" s="314">
        <f t="shared" ref="V16" si="13">S16/G16</f>
        <v>0</v>
      </c>
      <c r="W16" s="314"/>
    </row>
    <row r="17" spans="2:23">
      <c r="B17" s="318"/>
      <c r="C17" s="318"/>
      <c r="D17" s="86">
        <v>45882</v>
      </c>
      <c r="E17" s="86" t="s">
        <v>67</v>
      </c>
      <c r="F17" s="87">
        <v>2744633</v>
      </c>
      <c r="G17" s="314"/>
      <c r="H17" s="314"/>
      <c r="I17" s="287">
        <v>56324</v>
      </c>
      <c r="J17" s="315"/>
      <c r="K17" s="315"/>
      <c r="L17" s="87">
        <v>1728237</v>
      </c>
      <c r="M17" s="314"/>
      <c r="N17" s="314"/>
      <c r="O17" s="90">
        <f t="shared" si="1"/>
        <v>0.6296787220732244</v>
      </c>
      <c r="P17" s="314"/>
      <c r="Q17" s="314"/>
      <c r="S17" s="314"/>
      <c r="T17" s="314"/>
      <c r="U17" s="90">
        <f t="shared" si="0"/>
        <v>0</v>
      </c>
      <c r="V17" s="314"/>
      <c r="W17" s="314"/>
    </row>
    <row r="18" spans="2:23">
      <c r="B18" s="318"/>
      <c r="C18" s="318"/>
      <c r="D18" s="86">
        <v>45883</v>
      </c>
      <c r="E18" s="86" t="s">
        <v>68</v>
      </c>
      <c r="F18" s="87">
        <v>2633487.91</v>
      </c>
      <c r="G18" s="314"/>
      <c r="H18" s="314"/>
      <c r="I18" s="287">
        <v>53933</v>
      </c>
      <c r="J18" s="315"/>
      <c r="K18" s="315"/>
      <c r="L18" s="87">
        <v>1658928</v>
      </c>
      <c r="M18" s="314"/>
      <c r="N18" s="314"/>
      <c r="O18" s="90">
        <f t="shared" si="1"/>
        <v>0.62993568100337316</v>
      </c>
      <c r="P18" s="314"/>
      <c r="Q18" s="314"/>
      <c r="S18" s="314"/>
      <c r="T18" s="314"/>
      <c r="U18" s="90">
        <f t="shared" si="0"/>
        <v>0</v>
      </c>
      <c r="V18" s="314"/>
      <c r="W18" s="314"/>
    </row>
    <row r="19" spans="2:23">
      <c r="B19" s="318"/>
      <c r="C19" s="318"/>
      <c r="D19" s="86">
        <v>45884</v>
      </c>
      <c r="E19" s="86" t="s">
        <v>63</v>
      </c>
      <c r="F19" s="87">
        <v>2147438.4500000002</v>
      </c>
      <c r="G19" s="314"/>
      <c r="H19" s="314"/>
      <c r="I19" s="287">
        <v>44208</v>
      </c>
      <c r="J19" s="315"/>
      <c r="K19" s="315"/>
      <c r="L19" s="87">
        <v>1353772</v>
      </c>
      <c r="M19" s="314"/>
      <c r="N19" s="314"/>
      <c r="O19" s="90">
        <f t="shared" si="1"/>
        <v>0.63041248050671717</v>
      </c>
      <c r="P19" s="314"/>
      <c r="Q19" s="314"/>
      <c r="S19" s="314"/>
      <c r="T19" s="314"/>
      <c r="U19" s="90">
        <f t="shared" si="0"/>
        <v>0</v>
      </c>
      <c r="V19" s="314"/>
      <c r="W19" s="314"/>
    </row>
    <row r="20" spans="2:23">
      <c r="B20" s="318"/>
      <c r="C20" s="318"/>
      <c r="D20" s="86">
        <v>45885</v>
      </c>
      <c r="E20" s="86" t="s">
        <v>64</v>
      </c>
      <c r="F20" s="87">
        <v>2076343.96</v>
      </c>
      <c r="G20" s="314"/>
      <c r="H20" s="314"/>
      <c r="I20" s="287">
        <v>42811</v>
      </c>
      <c r="J20" s="315"/>
      <c r="K20" s="315"/>
      <c r="L20" s="87">
        <v>1306830</v>
      </c>
      <c r="M20" s="314"/>
      <c r="N20" s="314"/>
      <c r="O20" s="90">
        <f t="shared" si="1"/>
        <v>0.6293899398055417</v>
      </c>
      <c r="P20" s="314"/>
      <c r="Q20" s="314"/>
      <c r="S20" s="314"/>
      <c r="T20" s="314"/>
      <c r="U20" s="90">
        <f t="shared" si="0"/>
        <v>0</v>
      </c>
      <c r="V20" s="314"/>
      <c r="W20" s="314"/>
    </row>
    <row r="21" spans="2:23">
      <c r="B21" s="318"/>
      <c r="C21" s="318"/>
      <c r="D21" s="86">
        <v>45886</v>
      </c>
      <c r="E21" s="86" t="s">
        <v>59</v>
      </c>
      <c r="F21" s="87">
        <v>2596694.9900000002</v>
      </c>
      <c r="G21" s="314"/>
      <c r="H21" s="314"/>
      <c r="I21" s="287">
        <v>53433</v>
      </c>
      <c r="J21" s="315"/>
      <c r="K21" s="315"/>
      <c r="L21" s="87">
        <v>1635724</v>
      </c>
      <c r="M21" s="314"/>
      <c r="N21" s="314"/>
      <c r="O21" s="90">
        <f t="shared" si="1"/>
        <v>0.62992534983864235</v>
      </c>
      <c r="P21" s="314"/>
      <c r="Q21" s="314"/>
      <c r="S21" s="314"/>
      <c r="T21" s="314"/>
      <c r="U21" s="90">
        <f t="shared" si="0"/>
        <v>0</v>
      </c>
      <c r="V21" s="314"/>
      <c r="W21" s="314"/>
    </row>
    <row r="22" spans="2:23">
      <c r="B22" s="318"/>
      <c r="C22" s="318"/>
      <c r="D22" s="86">
        <v>45887</v>
      </c>
      <c r="E22" s="86" t="s">
        <v>65</v>
      </c>
      <c r="F22" s="87">
        <v>2751995</v>
      </c>
      <c r="G22" s="314"/>
      <c r="H22" s="314"/>
      <c r="I22" s="287">
        <v>52573</v>
      </c>
      <c r="J22" s="315"/>
      <c r="K22" s="315"/>
      <c r="L22" s="87">
        <v>1735772</v>
      </c>
      <c r="M22" s="314"/>
      <c r="N22" s="314"/>
      <c r="O22" s="90">
        <f t="shared" si="1"/>
        <v>0.63073225060365301</v>
      </c>
      <c r="P22" s="314"/>
      <c r="Q22" s="314"/>
      <c r="S22" s="314"/>
      <c r="T22" s="314"/>
      <c r="U22" s="90">
        <f t="shared" si="0"/>
        <v>0</v>
      </c>
      <c r="V22" s="314"/>
      <c r="W22" s="314"/>
    </row>
    <row r="23" spans="2:23">
      <c r="B23" s="317">
        <f>D24</f>
        <v>45889</v>
      </c>
      <c r="C23" s="318"/>
      <c r="D23" s="86">
        <v>45888</v>
      </c>
      <c r="E23" s="86" t="s">
        <v>66</v>
      </c>
      <c r="F23" s="87">
        <v>3663246</v>
      </c>
      <c r="G23" s="314">
        <f t="shared" ref="G23" si="14">SUM(F23:F29)</f>
        <v>20083918.900000002</v>
      </c>
      <c r="H23" s="314"/>
      <c r="I23" s="287">
        <v>71465</v>
      </c>
      <c r="J23" s="315">
        <f t="shared" ref="J23" si="15">SUM(I23:I29)</f>
        <v>400711</v>
      </c>
      <c r="K23" s="315"/>
      <c r="L23" s="87">
        <v>2310843</v>
      </c>
      <c r="M23" s="314">
        <f t="shared" ref="M23" si="16">SUM(L23:L29)</f>
        <v>12660243</v>
      </c>
      <c r="N23" s="314"/>
      <c r="O23" s="90">
        <f t="shared" si="1"/>
        <v>0.63081840531594113</v>
      </c>
      <c r="P23" s="314">
        <f t="shared" ref="P23" si="17">M23/G23</f>
        <v>0.63036716404984083</v>
      </c>
      <c r="Q23" s="314"/>
      <c r="S23" s="314">
        <f t="shared" ref="S23" si="18">SUM(R23:R29)</f>
        <v>0</v>
      </c>
      <c r="T23" s="314"/>
      <c r="U23" s="90">
        <f t="shared" si="0"/>
        <v>0</v>
      </c>
      <c r="V23" s="314">
        <f t="shared" ref="V23" si="19">S23/G23</f>
        <v>0</v>
      </c>
      <c r="W23" s="314"/>
    </row>
    <row r="24" spans="2:23">
      <c r="B24" s="318"/>
      <c r="C24" s="318"/>
      <c r="D24" s="86">
        <v>45889</v>
      </c>
      <c r="E24" s="86" t="s">
        <v>67</v>
      </c>
      <c r="F24" s="87">
        <v>3220104.3099999996</v>
      </c>
      <c r="G24" s="314"/>
      <c r="H24" s="314"/>
      <c r="I24" s="287">
        <v>63950</v>
      </c>
      <c r="J24" s="315"/>
      <c r="K24" s="315"/>
      <c r="L24" s="87">
        <v>2030129</v>
      </c>
      <c r="M24" s="314"/>
      <c r="N24" s="314"/>
      <c r="O24" s="90">
        <f t="shared" si="1"/>
        <v>0.63045442152151909</v>
      </c>
      <c r="P24" s="314"/>
      <c r="Q24" s="314"/>
      <c r="S24" s="314"/>
      <c r="T24" s="314"/>
      <c r="U24" s="90">
        <f t="shared" si="0"/>
        <v>0</v>
      </c>
      <c r="V24" s="314"/>
      <c r="W24" s="314"/>
    </row>
    <row r="25" spans="2:23">
      <c r="B25" s="318"/>
      <c r="C25" s="318"/>
      <c r="D25" s="86">
        <v>45890</v>
      </c>
      <c r="E25" s="86" t="s">
        <v>68</v>
      </c>
      <c r="F25" s="87">
        <v>2984286.34</v>
      </c>
      <c r="G25" s="314"/>
      <c r="H25" s="314"/>
      <c r="I25" s="287">
        <v>59293</v>
      </c>
      <c r="J25" s="315"/>
      <c r="K25" s="315"/>
      <c r="L25" s="87">
        <v>1880865</v>
      </c>
      <c r="M25" s="314"/>
      <c r="N25" s="314"/>
      <c r="O25" s="90">
        <f t="shared" si="1"/>
        <v>0.63025621060209658</v>
      </c>
      <c r="P25" s="314"/>
      <c r="Q25" s="314"/>
      <c r="S25" s="314"/>
      <c r="T25" s="314"/>
      <c r="U25" s="90">
        <f t="shared" si="0"/>
        <v>0</v>
      </c>
      <c r="V25" s="314"/>
      <c r="W25" s="314"/>
    </row>
    <row r="26" spans="2:23">
      <c r="B26" s="318"/>
      <c r="C26" s="318"/>
      <c r="D26" s="86">
        <v>45891</v>
      </c>
      <c r="E26" s="86" t="s">
        <v>63</v>
      </c>
      <c r="F26" s="87">
        <v>2143867.2200000002</v>
      </c>
      <c r="G26" s="314"/>
      <c r="H26" s="314"/>
      <c r="I26" s="287">
        <v>43229</v>
      </c>
      <c r="J26" s="315"/>
      <c r="K26" s="315"/>
      <c r="L26" s="87">
        <v>1350457</v>
      </c>
      <c r="M26" s="314"/>
      <c r="N26" s="314"/>
      <c r="O26" s="90">
        <f t="shared" si="1"/>
        <v>0.62991634341981306</v>
      </c>
      <c r="P26" s="314"/>
      <c r="Q26" s="314"/>
      <c r="S26" s="314"/>
      <c r="T26" s="314"/>
      <c r="U26" s="90">
        <f t="shared" si="0"/>
        <v>0</v>
      </c>
      <c r="V26" s="314"/>
      <c r="W26" s="314"/>
    </row>
    <row r="27" spans="2:23">
      <c r="B27" s="318"/>
      <c r="C27" s="318"/>
      <c r="D27" s="86">
        <v>45892</v>
      </c>
      <c r="E27" s="86" t="s">
        <v>64</v>
      </c>
      <c r="F27" s="87">
        <v>2337356.91</v>
      </c>
      <c r="G27" s="314"/>
      <c r="H27" s="314"/>
      <c r="I27" s="287">
        <v>46688</v>
      </c>
      <c r="J27" s="315"/>
      <c r="K27" s="315"/>
      <c r="L27" s="87">
        <v>1472951</v>
      </c>
      <c r="M27" s="314"/>
      <c r="N27" s="314"/>
      <c r="O27" s="90">
        <f t="shared" si="1"/>
        <v>0.63017804157260682</v>
      </c>
      <c r="P27" s="314"/>
      <c r="Q27" s="314"/>
      <c r="S27" s="314"/>
      <c r="T27" s="314"/>
      <c r="U27" s="90">
        <f t="shared" si="0"/>
        <v>0</v>
      </c>
      <c r="V27" s="314"/>
      <c r="W27" s="314"/>
    </row>
    <row r="28" spans="2:23">
      <c r="B28" s="318"/>
      <c r="C28" s="318"/>
      <c r="D28" s="86">
        <v>45893</v>
      </c>
      <c r="E28" s="86" t="s">
        <v>59</v>
      </c>
      <c r="F28" s="87">
        <v>2795939.1100000003</v>
      </c>
      <c r="G28" s="314"/>
      <c r="H28" s="314"/>
      <c r="I28" s="287">
        <v>56606</v>
      </c>
      <c r="J28" s="315"/>
      <c r="K28" s="315"/>
      <c r="L28" s="87">
        <v>1762805</v>
      </c>
      <c r="M28" s="314"/>
      <c r="N28" s="314"/>
      <c r="O28" s="90">
        <f t="shared" si="1"/>
        <v>0.63048762174223449</v>
      </c>
      <c r="P28" s="314"/>
      <c r="Q28" s="314"/>
      <c r="S28" s="314"/>
      <c r="T28" s="314"/>
      <c r="U28" s="90">
        <f t="shared" si="0"/>
        <v>0</v>
      </c>
      <c r="V28" s="314"/>
      <c r="W28" s="314"/>
    </row>
    <row r="29" spans="2:23">
      <c r="B29" s="318"/>
      <c r="C29" s="318"/>
      <c r="D29" s="86">
        <v>45894</v>
      </c>
      <c r="E29" s="86" t="s">
        <v>65</v>
      </c>
      <c r="F29" s="87">
        <v>2939119.0100000002</v>
      </c>
      <c r="G29" s="314"/>
      <c r="H29" s="314"/>
      <c r="I29" s="287">
        <v>59480</v>
      </c>
      <c r="J29" s="315"/>
      <c r="K29" s="315"/>
      <c r="L29" s="87">
        <v>1852193</v>
      </c>
      <c r="M29" s="314"/>
      <c r="N29" s="314"/>
      <c r="O29" s="90">
        <f t="shared" si="1"/>
        <v>0.63018645849253985</v>
      </c>
      <c r="P29" s="314"/>
      <c r="Q29" s="314"/>
      <c r="S29" s="314"/>
      <c r="T29" s="314"/>
      <c r="U29" s="90">
        <f t="shared" si="0"/>
        <v>0</v>
      </c>
      <c r="V29" s="314"/>
      <c r="W29" s="314"/>
    </row>
    <row r="30" spans="2:23">
      <c r="B30" s="317">
        <f>D38</f>
        <v>45903</v>
      </c>
      <c r="C30" s="318"/>
      <c r="D30" s="86">
        <v>45895</v>
      </c>
      <c r="E30" s="86" t="s">
        <v>66</v>
      </c>
      <c r="F30" s="87">
        <v>2910870.99</v>
      </c>
      <c r="G30" s="314">
        <f>SUM(F30:F36)</f>
        <v>18926951.970000003</v>
      </c>
      <c r="H30" s="314"/>
      <c r="I30" s="287">
        <v>62340</v>
      </c>
      <c r="J30" s="315">
        <f>SUM(I30:I36)</f>
        <v>390615</v>
      </c>
      <c r="K30" s="315"/>
      <c r="L30" s="87">
        <v>1836323</v>
      </c>
      <c r="M30" s="314">
        <f>SUM(L30:L36)</f>
        <v>11935817</v>
      </c>
      <c r="N30" s="314"/>
      <c r="O30" s="90">
        <f t="shared" si="1"/>
        <v>0.63085001235317539</v>
      </c>
      <c r="P30" s="314">
        <f t="shared" ref="P30" si="20">M30/G30</f>
        <v>0.63062541812959427</v>
      </c>
      <c r="Q30" s="314"/>
      <c r="S30" s="314">
        <f t="shared" ref="S30" si="21">SUM(R30:R36)</f>
        <v>0</v>
      </c>
      <c r="T30" s="314"/>
      <c r="U30" s="90">
        <f t="shared" si="0"/>
        <v>0</v>
      </c>
      <c r="V30" s="314">
        <f t="shared" ref="V30" si="22">S30/G30</f>
        <v>0</v>
      </c>
      <c r="W30" s="314"/>
    </row>
    <row r="31" spans="2:23">
      <c r="B31" s="318"/>
      <c r="C31" s="318"/>
      <c r="D31" s="86">
        <v>45896</v>
      </c>
      <c r="E31" s="86" t="s">
        <v>67</v>
      </c>
      <c r="F31" s="87">
        <v>2829056.48</v>
      </c>
      <c r="G31" s="314"/>
      <c r="H31" s="314"/>
      <c r="I31" s="287">
        <v>58742</v>
      </c>
      <c r="J31" s="315"/>
      <c r="K31" s="315"/>
      <c r="L31" s="87">
        <v>1784703</v>
      </c>
      <c r="M31" s="314"/>
      <c r="N31" s="314"/>
      <c r="O31" s="90">
        <f t="shared" si="1"/>
        <v>0.63084742655968462</v>
      </c>
      <c r="P31" s="314"/>
      <c r="Q31" s="314"/>
      <c r="S31" s="314"/>
      <c r="T31" s="314"/>
      <c r="U31" s="90">
        <f t="shared" si="0"/>
        <v>0</v>
      </c>
      <c r="V31" s="314"/>
      <c r="W31" s="314"/>
    </row>
    <row r="32" spans="2:23">
      <c r="B32" s="318"/>
      <c r="C32" s="318"/>
      <c r="D32" s="86">
        <v>45897</v>
      </c>
      <c r="E32" s="86" t="s">
        <v>68</v>
      </c>
      <c r="F32" s="87">
        <v>2742274</v>
      </c>
      <c r="G32" s="314"/>
      <c r="H32" s="314"/>
      <c r="I32" s="287">
        <v>56809</v>
      </c>
      <c r="J32" s="315"/>
      <c r="K32" s="315"/>
      <c r="L32" s="87">
        <v>1725366</v>
      </c>
      <c r="M32" s="314"/>
      <c r="N32" s="314"/>
      <c r="O32" s="90">
        <f t="shared" si="1"/>
        <v>0.62917345239753575</v>
      </c>
      <c r="P32" s="314"/>
      <c r="Q32" s="314"/>
      <c r="S32" s="314"/>
      <c r="T32" s="314"/>
      <c r="U32" s="90">
        <f t="shared" si="0"/>
        <v>0</v>
      </c>
      <c r="V32" s="314"/>
      <c r="W32" s="314"/>
    </row>
    <row r="33" spans="2:23">
      <c r="B33" s="318"/>
      <c r="C33" s="318"/>
      <c r="D33" s="86">
        <v>45898</v>
      </c>
      <c r="E33" s="86" t="s">
        <v>63</v>
      </c>
      <c r="F33" s="87">
        <v>2263407.15</v>
      </c>
      <c r="G33" s="314"/>
      <c r="H33" s="314"/>
      <c r="I33" s="287">
        <v>46138</v>
      </c>
      <c r="J33" s="315"/>
      <c r="K33" s="315"/>
      <c r="L33" s="87">
        <v>1428435</v>
      </c>
      <c r="M33" s="314"/>
      <c r="N33" s="314"/>
      <c r="O33" s="90">
        <f t="shared" si="1"/>
        <v>0.631099446690358</v>
      </c>
      <c r="P33" s="314"/>
      <c r="Q33" s="314"/>
      <c r="S33" s="314"/>
      <c r="T33" s="314"/>
      <c r="U33" s="90">
        <f t="shared" si="0"/>
        <v>0</v>
      </c>
      <c r="V33" s="314"/>
      <c r="W33" s="314"/>
    </row>
    <row r="34" spans="2:23">
      <c r="B34" s="318"/>
      <c r="C34" s="318"/>
      <c r="D34" s="86">
        <v>45899</v>
      </c>
      <c r="E34" s="86" t="s">
        <v>64</v>
      </c>
      <c r="F34" s="87">
        <v>2324525.0499999998</v>
      </c>
      <c r="G34" s="314"/>
      <c r="H34" s="314"/>
      <c r="I34" s="287">
        <v>47670</v>
      </c>
      <c r="J34" s="315"/>
      <c r="K34" s="315"/>
      <c r="L34" s="87">
        <v>1463604</v>
      </c>
      <c r="M34" s="314"/>
      <c r="N34" s="314"/>
      <c r="O34" s="90">
        <f t="shared" si="1"/>
        <v>0.6296357184879553</v>
      </c>
      <c r="P34" s="314"/>
      <c r="Q34" s="314"/>
      <c r="S34" s="314"/>
      <c r="T34" s="314"/>
      <c r="U34" s="90">
        <f t="shared" si="0"/>
        <v>0</v>
      </c>
      <c r="V34" s="314"/>
      <c r="W34" s="314"/>
    </row>
    <row r="35" spans="2:23">
      <c r="B35" s="318"/>
      <c r="C35" s="318"/>
      <c r="D35" s="86">
        <v>45900</v>
      </c>
      <c r="E35" s="86" t="s">
        <v>59</v>
      </c>
      <c r="F35" s="87">
        <v>2963199.3899999997</v>
      </c>
      <c r="G35" s="314"/>
      <c r="H35" s="314"/>
      <c r="I35" s="287">
        <v>60121</v>
      </c>
      <c r="J35" s="315"/>
      <c r="K35" s="315"/>
      <c r="L35" s="87">
        <v>1872193</v>
      </c>
      <c r="M35" s="314"/>
      <c r="N35" s="314"/>
      <c r="O35" s="90">
        <f t="shared" si="1"/>
        <v>0.63181472239706427</v>
      </c>
      <c r="P35" s="314"/>
      <c r="Q35" s="314"/>
      <c r="S35" s="314"/>
      <c r="T35" s="314"/>
      <c r="U35" s="90">
        <f t="shared" si="0"/>
        <v>0</v>
      </c>
      <c r="V35" s="314"/>
      <c r="W35" s="314"/>
    </row>
    <row r="36" spans="2:23">
      <c r="B36" s="318"/>
      <c r="D36" s="86">
        <v>45901</v>
      </c>
      <c r="E36" s="86" t="s">
        <v>65</v>
      </c>
      <c r="F36" s="87">
        <v>2893618.9099999997</v>
      </c>
      <c r="G36" s="314"/>
      <c r="I36" s="287">
        <v>58795</v>
      </c>
      <c r="J36" s="315"/>
      <c r="K36" s="287"/>
      <c r="L36" s="87">
        <v>1825193</v>
      </c>
      <c r="M36" s="314"/>
      <c r="N36" s="87"/>
      <c r="O36" s="90">
        <f t="shared" si="1"/>
        <v>0.63076481622799463</v>
      </c>
      <c r="P36" s="314"/>
      <c r="Q36" s="87"/>
      <c r="S36" s="314"/>
      <c r="T36" s="87"/>
      <c r="V36" s="314"/>
      <c r="W36" s="87"/>
    </row>
    <row r="37" spans="2:23">
      <c r="B37" s="318"/>
      <c r="D37" s="86">
        <v>45902</v>
      </c>
      <c r="E37" s="86" t="s">
        <v>66</v>
      </c>
      <c r="G37" s="314">
        <f t="shared" ref="G37" si="23">SUM(F37:F43)</f>
        <v>0</v>
      </c>
      <c r="I37" s="287"/>
      <c r="J37" s="315">
        <f t="shared" ref="J37" si="24">SUM(I37:I43)</f>
        <v>0</v>
      </c>
      <c r="K37" s="287"/>
      <c r="L37" s="87"/>
      <c r="M37" s="314">
        <f t="shared" ref="M37" si="25">SUM(L37:L43)</f>
        <v>0</v>
      </c>
      <c r="N37" s="87"/>
      <c r="O37" s="90" t="e">
        <f t="shared" si="1"/>
        <v>#DIV/0!</v>
      </c>
      <c r="P37" s="314" t="e">
        <f t="shared" ref="P37" si="26">M37/G37</f>
        <v>#DIV/0!</v>
      </c>
      <c r="Q37" s="87"/>
      <c r="S37" s="314">
        <f t="shared" ref="S37" si="27">SUM(R37:R43)</f>
        <v>0</v>
      </c>
      <c r="T37" s="87"/>
      <c r="V37" s="314">
        <f t="shared" ref="V37" si="28">SUM(U37:U43)</f>
        <v>0</v>
      </c>
      <c r="W37" s="87"/>
    </row>
    <row r="38" spans="2:23">
      <c r="B38" s="318"/>
      <c r="D38" s="86">
        <v>45903</v>
      </c>
      <c r="E38" s="86" t="s">
        <v>67</v>
      </c>
      <c r="G38" s="314"/>
      <c r="I38" s="287"/>
      <c r="J38" s="315"/>
      <c r="K38" s="287"/>
      <c r="L38" s="87"/>
      <c r="M38" s="314"/>
      <c r="N38" s="87"/>
      <c r="O38" s="90" t="e">
        <f t="shared" si="1"/>
        <v>#DIV/0!</v>
      </c>
      <c r="P38" s="314"/>
      <c r="Q38" s="87"/>
      <c r="S38" s="314"/>
      <c r="T38" s="87"/>
      <c r="V38" s="314"/>
      <c r="W38" s="87"/>
    </row>
    <row r="39" spans="2:23">
      <c r="B39" s="318"/>
      <c r="D39" s="86">
        <v>45904</v>
      </c>
      <c r="E39" s="86" t="s">
        <v>68</v>
      </c>
      <c r="G39" s="314"/>
      <c r="I39" s="287"/>
      <c r="J39" s="315"/>
      <c r="K39" s="287"/>
      <c r="L39" s="87"/>
      <c r="M39" s="314"/>
      <c r="N39" s="87"/>
      <c r="O39" s="90" t="e">
        <f t="shared" ref="O39:O42" si="29">L39/F39</f>
        <v>#DIV/0!</v>
      </c>
      <c r="P39" s="314"/>
      <c r="Q39" s="87"/>
      <c r="S39" s="314"/>
      <c r="T39" s="87"/>
      <c r="V39" s="314"/>
      <c r="W39" s="87"/>
    </row>
    <row r="40" spans="2:23">
      <c r="B40" s="318"/>
      <c r="D40" s="86">
        <v>45905</v>
      </c>
      <c r="E40" s="86" t="s">
        <v>63</v>
      </c>
      <c r="G40" s="314"/>
      <c r="I40" s="287"/>
      <c r="J40" s="315"/>
      <c r="K40" s="287"/>
      <c r="L40" s="87"/>
      <c r="M40" s="314"/>
      <c r="N40" s="87"/>
      <c r="O40" s="90" t="e">
        <f t="shared" si="29"/>
        <v>#DIV/0!</v>
      </c>
      <c r="P40" s="314"/>
      <c r="Q40" s="87"/>
      <c r="S40" s="314"/>
      <c r="T40" s="87"/>
      <c r="V40" s="314"/>
      <c r="W40" s="87"/>
    </row>
    <row r="41" spans="2:23">
      <c r="B41" s="318"/>
      <c r="D41" s="86">
        <v>45906</v>
      </c>
      <c r="E41" s="86" t="s">
        <v>64</v>
      </c>
      <c r="G41" s="314"/>
      <c r="I41" s="287"/>
      <c r="J41" s="315"/>
      <c r="K41" s="287"/>
      <c r="L41" s="87"/>
      <c r="M41" s="314"/>
      <c r="N41" s="87"/>
      <c r="O41" s="90" t="e">
        <f t="shared" si="29"/>
        <v>#DIV/0!</v>
      </c>
      <c r="P41" s="314"/>
      <c r="Q41" s="87"/>
      <c r="S41" s="314"/>
      <c r="T41" s="87"/>
      <c r="V41" s="314"/>
      <c r="W41" s="87"/>
    </row>
    <row r="42" spans="2:23">
      <c r="B42" s="318"/>
      <c r="D42" s="86">
        <v>45907</v>
      </c>
      <c r="E42" s="86" t="s">
        <v>59</v>
      </c>
      <c r="G42" s="314"/>
      <c r="I42" s="287"/>
      <c r="J42" s="315"/>
      <c r="K42" s="287"/>
      <c r="L42" s="87"/>
      <c r="M42" s="314"/>
      <c r="N42" s="87"/>
      <c r="O42" s="90" t="e">
        <f t="shared" si="29"/>
        <v>#DIV/0!</v>
      </c>
      <c r="P42" s="314"/>
      <c r="Q42" s="87"/>
      <c r="S42" s="314"/>
      <c r="T42" s="87"/>
      <c r="V42" s="314"/>
      <c r="W42" s="87"/>
    </row>
    <row r="43" spans="2:23">
      <c r="B43" s="318"/>
      <c r="D43" s="86">
        <v>45908</v>
      </c>
      <c r="E43" s="86" t="s">
        <v>65</v>
      </c>
      <c r="G43" s="314"/>
      <c r="I43" s="287"/>
      <c r="J43" s="315"/>
      <c r="K43" s="287"/>
      <c r="L43" s="87"/>
      <c r="M43" s="314"/>
      <c r="N43" s="87"/>
      <c r="O43" s="90" t="e">
        <f>L43/F43</f>
        <v>#DIV/0!</v>
      </c>
      <c r="P43" s="314"/>
      <c r="Q43" s="87"/>
      <c r="S43" s="314"/>
      <c r="T43" s="87"/>
      <c r="V43" s="314"/>
      <c r="W43" s="87"/>
    </row>
  </sheetData>
  <mergeCells count="58"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J16:J22"/>
    <mergeCell ref="J23:J29"/>
    <mergeCell ref="J30:J36"/>
    <mergeCell ref="M37:M4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M30:M36"/>
    <mergeCell ref="V37:V43"/>
    <mergeCell ref="V5:V8"/>
    <mergeCell ref="W5:W35"/>
    <mergeCell ref="V9:V15"/>
    <mergeCell ref="V16:V22"/>
    <mergeCell ref="V23:V29"/>
    <mergeCell ref="V30:V36"/>
    <mergeCell ref="P37:P43"/>
    <mergeCell ref="S5:S8"/>
    <mergeCell ref="T5:T35"/>
    <mergeCell ref="S9:S15"/>
    <mergeCell ref="S16:S22"/>
    <mergeCell ref="S23:S29"/>
    <mergeCell ref="S30:S36"/>
    <mergeCell ref="S37:S43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43"/>
  <sheetViews>
    <sheetView zoomScale="85" zoomScaleNormal="85" workbookViewId="0">
      <selection activeCell="C1" sqref="C1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109.4</v>
      </c>
    </row>
    <row r="2" spans="2:23" ht="38.1" customHeight="1">
      <c r="B2" s="319" t="s">
        <v>69</v>
      </c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</row>
    <row r="3" spans="2:23" s="71" customFormat="1" ht="23.45" customHeight="1">
      <c r="B3" s="323" t="s">
        <v>50</v>
      </c>
      <c r="C3" s="324" t="s">
        <v>51</v>
      </c>
      <c r="D3" s="325" t="s">
        <v>52</v>
      </c>
      <c r="E3" s="325"/>
      <c r="F3" s="330" t="s">
        <v>70</v>
      </c>
      <c r="G3" s="330"/>
      <c r="H3" s="330"/>
      <c r="I3" s="331" t="s">
        <v>71</v>
      </c>
      <c r="J3" s="331"/>
      <c r="K3" s="331"/>
      <c r="L3" s="328" t="s">
        <v>72</v>
      </c>
      <c r="M3" s="328"/>
      <c r="N3" s="328"/>
      <c r="O3" s="328" t="s">
        <v>73</v>
      </c>
      <c r="P3" s="328"/>
      <c r="Q3" s="328"/>
      <c r="R3" s="328" t="s">
        <v>74</v>
      </c>
      <c r="S3" s="328"/>
      <c r="T3" s="328"/>
      <c r="U3" s="328" t="s">
        <v>75</v>
      </c>
      <c r="V3" s="328"/>
      <c r="W3" s="328"/>
    </row>
    <row r="4" spans="2:23" ht="15.75">
      <c r="B4" s="323"/>
      <c r="C4" s="324"/>
      <c r="D4" s="325"/>
      <c r="E4" s="325"/>
      <c r="F4" s="85" t="s">
        <v>59</v>
      </c>
      <c r="G4" s="96" t="s">
        <v>76</v>
      </c>
      <c r="H4" s="96" t="s">
        <v>77</v>
      </c>
      <c r="I4" s="85" t="s">
        <v>59</v>
      </c>
      <c r="J4" s="95" t="s">
        <v>76</v>
      </c>
      <c r="K4" s="95" t="s">
        <v>77</v>
      </c>
      <c r="L4" s="85" t="s">
        <v>59</v>
      </c>
      <c r="M4" s="95" t="s">
        <v>76</v>
      </c>
      <c r="N4" s="95" t="s">
        <v>77</v>
      </c>
      <c r="O4" s="85" t="s">
        <v>59</v>
      </c>
      <c r="P4" s="95" t="s">
        <v>76</v>
      </c>
      <c r="Q4" s="95" t="s">
        <v>77</v>
      </c>
      <c r="R4" s="85" t="s">
        <v>59</v>
      </c>
      <c r="S4" s="95" t="s">
        <v>76</v>
      </c>
      <c r="T4" s="95" t="s">
        <v>77</v>
      </c>
      <c r="U4" s="85" t="s">
        <v>59</v>
      </c>
      <c r="V4" s="95" t="s">
        <v>76</v>
      </c>
      <c r="W4" s="95" t="s">
        <v>77</v>
      </c>
    </row>
    <row r="5" spans="2:23" ht="14.45" customHeight="1">
      <c r="B5" s="317">
        <f>D17</f>
        <v>45882</v>
      </c>
      <c r="C5" s="318" t="s">
        <v>62</v>
      </c>
      <c r="D5" s="86">
        <v>45870</v>
      </c>
      <c r="E5" s="86" t="s">
        <v>63</v>
      </c>
      <c r="F5" s="93">
        <v>100.6</v>
      </c>
      <c r="G5" s="332">
        <f>AVERAGE(F5:F8)</f>
        <v>99.775000000000006</v>
      </c>
      <c r="H5" s="332">
        <f>AVERAGE(F5:F35)</f>
        <v>97.125806451612874</v>
      </c>
      <c r="I5" s="90">
        <f>F5/$C$1</f>
        <v>0.919561243144424</v>
      </c>
      <c r="J5" s="327">
        <f>AVERAGE(I5:I8)</f>
        <v>0.91202010968921388</v>
      </c>
      <c r="K5" s="327">
        <f>AVERAGE(I5:I35)</f>
        <v>0.88780444654125124</v>
      </c>
      <c r="L5" s="220">
        <v>9.0200000000000002E-3</v>
      </c>
      <c r="M5" s="327">
        <f>AVERAGE(L5:L8)</f>
        <v>9.1249999999999994E-3</v>
      </c>
      <c r="N5" s="327">
        <f>AVERAGE(L5:L35)</f>
        <v>7.6116129032258052E-3</v>
      </c>
      <c r="O5" s="220">
        <v>1.03E-2</v>
      </c>
      <c r="P5" s="327">
        <f>AVERAGE(O5:O8)</f>
        <v>1.1899999999999999E-2</v>
      </c>
      <c r="Q5" s="327">
        <f>AVERAGE(O5:O35)</f>
        <v>1.1045161290322585E-2</v>
      </c>
      <c r="R5" s="220">
        <v>0.42899999999999999</v>
      </c>
      <c r="S5" s="327">
        <f>AVERAGE(R5:R8)</f>
        <v>0.42899999999999999</v>
      </c>
      <c r="T5" s="327">
        <f>AVERAGE(R5:R35)</f>
        <v>0.42900000000000016</v>
      </c>
      <c r="U5" s="220">
        <v>0.28599999999999998</v>
      </c>
      <c r="V5" s="327">
        <f>AVERAGE(U5:U8)</f>
        <v>0.32174999999999998</v>
      </c>
      <c r="W5" s="327">
        <f>AVERAGE(U5:U35)</f>
        <v>0.61741935483870969</v>
      </c>
    </row>
    <row r="6" spans="2:23" ht="14.45" customHeight="1">
      <c r="B6" s="318"/>
      <c r="C6" s="318"/>
      <c r="D6" s="86">
        <v>45871</v>
      </c>
      <c r="E6" s="86" t="s">
        <v>64</v>
      </c>
      <c r="F6" s="93">
        <v>101.4</v>
      </c>
      <c r="G6" s="332"/>
      <c r="H6" s="332"/>
      <c r="I6" s="90">
        <f t="shared" ref="I6:I43" si="0">F6/$C$1</f>
        <v>0.92687385740402195</v>
      </c>
      <c r="J6" s="327"/>
      <c r="K6" s="327"/>
      <c r="L6" s="220">
        <v>1.0529999999999999E-2</v>
      </c>
      <c r="M6" s="327"/>
      <c r="N6" s="327"/>
      <c r="O6" s="220">
        <v>1.3599999999999999E-2</v>
      </c>
      <c r="P6" s="327"/>
      <c r="Q6" s="327"/>
      <c r="R6" s="220">
        <v>0.42899999999999999</v>
      </c>
      <c r="S6" s="327"/>
      <c r="T6" s="327"/>
      <c r="U6" s="220">
        <v>0.28599999999999998</v>
      </c>
      <c r="V6" s="327"/>
      <c r="W6" s="327"/>
    </row>
    <row r="7" spans="2:23" ht="14.45" customHeight="1">
      <c r="B7" s="318"/>
      <c r="C7" s="318"/>
      <c r="D7" s="86">
        <v>45872</v>
      </c>
      <c r="E7" s="86" t="s">
        <v>59</v>
      </c>
      <c r="F7" s="93">
        <v>100.8</v>
      </c>
      <c r="G7" s="332"/>
      <c r="H7" s="332"/>
      <c r="I7" s="90">
        <f t="shared" si="0"/>
        <v>0.92138939670932352</v>
      </c>
      <c r="J7" s="327"/>
      <c r="K7" s="327"/>
      <c r="L7" s="220">
        <v>8.1799999999999998E-3</v>
      </c>
      <c r="M7" s="327"/>
      <c r="N7" s="327"/>
      <c r="O7" s="220">
        <v>1.03E-2</v>
      </c>
      <c r="P7" s="327"/>
      <c r="Q7" s="327"/>
      <c r="R7" s="220">
        <v>0.42899999999999999</v>
      </c>
      <c r="S7" s="327"/>
      <c r="T7" s="327"/>
      <c r="U7" s="220">
        <v>0.28599999999999998</v>
      </c>
      <c r="V7" s="327"/>
      <c r="W7" s="327"/>
    </row>
    <row r="8" spans="2:23" ht="14.45" customHeight="1">
      <c r="B8" s="318"/>
      <c r="C8" s="318"/>
      <c r="D8" s="86">
        <v>45873</v>
      </c>
      <c r="E8" s="86" t="s">
        <v>65</v>
      </c>
      <c r="F8" s="93">
        <v>96.3</v>
      </c>
      <c r="G8" s="332"/>
      <c r="H8" s="332"/>
      <c r="I8" s="90">
        <f t="shared" si="0"/>
        <v>0.88025594149908581</v>
      </c>
      <c r="J8" s="327"/>
      <c r="K8" s="327"/>
      <c r="L8" s="220">
        <v>8.77E-3</v>
      </c>
      <c r="M8" s="327"/>
      <c r="N8" s="327"/>
      <c r="O8" s="220">
        <v>1.34E-2</v>
      </c>
      <c r="P8" s="327"/>
      <c r="Q8" s="327"/>
      <c r="R8" s="220">
        <v>0.42899999999999999</v>
      </c>
      <c r="S8" s="327"/>
      <c r="T8" s="327"/>
      <c r="U8" s="220">
        <v>0.42899999999999999</v>
      </c>
      <c r="V8" s="327"/>
      <c r="W8" s="327"/>
    </row>
    <row r="9" spans="2:23" ht="14.45" customHeight="1">
      <c r="B9" s="318"/>
      <c r="C9" s="318"/>
      <c r="D9" s="86">
        <v>45874</v>
      </c>
      <c r="E9" s="86" t="s">
        <v>66</v>
      </c>
      <c r="F9" s="93">
        <v>91.2</v>
      </c>
      <c r="G9" s="332">
        <f t="shared" ref="G9" si="1">AVERAGE(F9:F15)</f>
        <v>96.285714285714263</v>
      </c>
      <c r="H9" s="332"/>
      <c r="I9" s="90">
        <f t="shared" si="0"/>
        <v>0.8336380255941499</v>
      </c>
      <c r="J9" s="327">
        <f t="shared" ref="J9" si="2">AVERAGE(I9:I15)</f>
        <v>0.88012535910159306</v>
      </c>
      <c r="K9" s="327"/>
      <c r="L9" s="220">
        <v>7.3099999999999997E-3</v>
      </c>
      <c r="M9" s="327">
        <f t="shared" ref="M9" si="3">AVERAGE(L9:L15)</f>
        <v>9.0885714285714285E-3</v>
      </c>
      <c r="N9" s="327"/>
      <c r="O9" s="220">
        <v>2.1000000000000001E-2</v>
      </c>
      <c r="P9" s="327">
        <f t="shared" ref="P9" si="4">AVERAGE(O9:O15)</f>
        <v>2.0714285714285713E-2</v>
      </c>
      <c r="Q9" s="327"/>
      <c r="R9" s="220">
        <v>0.42899999999999999</v>
      </c>
      <c r="S9" s="327">
        <f t="shared" ref="S9" si="5">AVERAGE(R9:R15)</f>
        <v>0.42899999999999994</v>
      </c>
      <c r="T9" s="327"/>
      <c r="U9" s="220">
        <v>0.42899999999999999</v>
      </c>
      <c r="V9" s="327">
        <f t="shared" ref="V9" si="6">AVERAGE(U9:U15)</f>
        <v>0.51042857142857145</v>
      </c>
      <c r="W9" s="327"/>
    </row>
    <row r="10" spans="2:23" ht="14.45" customHeight="1">
      <c r="B10" s="318"/>
      <c r="C10" s="318"/>
      <c r="D10" s="86">
        <v>45875</v>
      </c>
      <c r="E10" s="86" t="s">
        <v>67</v>
      </c>
      <c r="F10" s="93">
        <v>94.5</v>
      </c>
      <c r="G10" s="332"/>
      <c r="H10" s="332"/>
      <c r="I10" s="90">
        <f t="shared" si="0"/>
        <v>0.86380255941499084</v>
      </c>
      <c r="J10" s="327"/>
      <c r="K10" s="327"/>
      <c r="L10" s="220">
        <v>8.0800000000000004E-3</v>
      </c>
      <c r="M10" s="327"/>
      <c r="N10" s="327"/>
      <c r="O10" s="220">
        <v>2.12E-2</v>
      </c>
      <c r="P10" s="327"/>
      <c r="Q10" s="327"/>
      <c r="R10" s="220">
        <v>0.42899999999999999</v>
      </c>
      <c r="S10" s="327"/>
      <c r="T10" s="327"/>
      <c r="U10" s="220">
        <v>0.42899999999999999</v>
      </c>
      <c r="V10" s="327"/>
      <c r="W10" s="327"/>
    </row>
    <row r="11" spans="2:23" ht="14.45" customHeight="1">
      <c r="B11" s="318"/>
      <c r="C11" s="318"/>
      <c r="D11" s="86">
        <v>45876</v>
      </c>
      <c r="E11" s="86" t="s">
        <v>68</v>
      </c>
      <c r="F11" s="93">
        <v>100.1</v>
      </c>
      <c r="G11" s="332"/>
      <c r="H11" s="332"/>
      <c r="I11" s="90">
        <f t="shared" si="0"/>
        <v>0.91499085923217538</v>
      </c>
      <c r="J11" s="327"/>
      <c r="K11" s="327"/>
      <c r="L11" s="220">
        <v>1.0120000000000001E-2</v>
      </c>
      <c r="M11" s="327"/>
      <c r="N11" s="327"/>
      <c r="O11" s="220">
        <v>2.0400000000000001E-2</v>
      </c>
      <c r="P11" s="327"/>
      <c r="Q11" s="327"/>
      <c r="R11" s="220">
        <v>0.42899999999999999</v>
      </c>
      <c r="S11" s="327"/>
      <c r="T11" s="327"/>
      <c r="U11" s="220">
        <v>0.42899999999999999</v>
      </c>
      <c r="V11" s="327"/>
      <c r="W11" s="327"/>
    </row>
    <row r="12" spans="2:23" ht="14.45" customHeight="1">
      <c r="B12" s="318"/>
      <c r="C12" s="318"/>
      <c r="D12" s="86">
        <v>45877</v>
      </c>
      <c r="E12" s="86" t="s">
        <v>63</v>
      </c>
      <c r="F12" s="93">
        <v>96.7</v>
      </c>
      <c r="G12" s="332"/>
      <c r="H12" s="332"/>
      <c r="I12" s="90">
        <f t="shared" si="0"/>
        <v>0.88391224862888484</v>
      </c>
      <c r="J12" s="327"/>
      <c r="K12" s="327"/>
      <c r="L12" s="220">
        <v>9.5099999999999994E-3</v>
      </c>
      <c r="M12" s="327"/>
      <c r="N12" s="327"/>
      <c r="O12" s="220">
        <v>2.3199999999999998E-2</v>
      </c>
      <c r="P12" s="327"/>
      <c r="Q12" s="327"/>
      <c r="R12" s="220">
        <v>0.42899999999999999</v>
      </c>
      <c r="S12" s="327"/>
      <c r="T12" s="327"/>
      <c r="U12" s="220">
        <v>0.42899999999999999</v>
      </c>
      <c r="V12" s="327"/>
      <c r="W12" s="327"/>
    </row>
    <row r="13" spans="2:23" ht="14.45" customHeight="1">
      <c r="B13" s="318"/>
      <c r="C13" s="318"/>
      <c r="D13" s="86">
        <v>45878</v>
      </c>
      <c r="E13" s="86" t="s">
        <v>64</v>
      </c>
      <c r="F13" s="93">
        <v>95.8</v>
      </c>
      <c r="G13" s="332"/>
      <c r="H13" s="332"/>
      <c r="I13" s="90">
        <f t="shared" si="0"/>
        <v>0.87568555758683719</v>
      </c>
      <c r="J13" s="327"/>
      <c r="K13" s="327"/>
      <c r="L13" s="220">
        <v>1.1299999999999999E-2</v>
      </c>
      <c r="M13" s="327"/>
      <c r="N13" s="327"/>
      <c r="O13" s="220">
        <v>1.9699999999999999E-2</v>
      </c>
      <c r="P13" s="327"/>
      <c r="Q13" s="327"/>
      <c r="R13" s="220">
        <v>0.42899999999999999</v>
      </c>
      <c r="S13" s="327"/>
      <c r="T13" s="327"/>
      <c r="U13" s="220">
        <v>0.42899999999999999</v>
      </c>
      <c r="V13" s="327"/>
      <c r="W13" s="327"/>
    </row>
    <row r="14" spans="2:23" ht="14.45" customHeight="1">
      <c r="B14" s="318"/>
      <c r="C14" s="318"/>
      <c r="D14" s="86">
        <v>45879</v>
      </c>
      <c r="E14" s="86" t="s">
        <v>59</v>
      </c>
      <c r="F14" s="93">
        <v>98.4</v>
      </c>
      <c r="G14" s="332"/>
      <c r="H14" s="332"/>
      <c r="I14" s="90">
        <f t="shared" si="0"/>
        <v>0.89945155393053022</v>
      </c>
      <c r="J14" s="327"/>
      <c r="K14" s="327"/>
      <c r="L14" s="220">
        <v>1.0540000000000001E-2</v>
      </c>
      <c r="M14" s="327"/>
      <c r="N14" s="327"/>
      <c r="O14" s="220">
        <v>1.5900000000000001E-2</v>
      </c>
      <c r="P14" s="327"/>
      <c r="Q14" s="327"/>
      <c r="R14" s="220">
        <v>0.42899999999999999</v>
      </c>
      <c r="S14" s="327"/>
      <c r="T14" s="327"/>
      <c r="U14" s="220">
        <v>0.71399999999999997</v>
      </c>
      <c r="V14" s="327"/>
      <c r="W14" s="327"/>
    </row>
    <row r="15" spans="2:23" ht="14.45" customHeight="1">
      <c r="B15" s="318"/>
      <c r="C15" s="318"/>
      <c r="D15" s="86">
        <v>45880</v>
      </c>
      <c r="E15" s="86" t="s">
        <v>65</v>
      </c>
      <c r="F15" s="93">
        <v>97.3</v>
      </c>
      <c r="G15" s="332"/>
      <c r="H15" s="332"/>
      <c r="I15" s="90">
        <f t="shared" si="0"/>
        <v>0.88939670932358306</v>
      </c>
      <c r="J15" s="327"/>
      <c r="K15" s="327"/>
      <c r="L15" s="220">
        <v>6.7600000000000004E-3</v>
      </c>
      <c r="M15" s="327"/>
      <c r="N15" s="327"/>
      <c r="O15" s="220">
        <v>2.3599999999999999E-2</v>
      </c>
      <c r="P15" s="327"/>
      <c r="Q15" s="327"/>
      <c r="R15" s="220">
        <v>0.42899999999999999</v>
      </c>
      <c r="S15" s="327"/>
      <c r="T15" s="327"/>
      <c r="U15" s="220">
        <v>0.71399999999999997</v>
      </c>
      <c r="V15" s="327"/>
      <c r="W15" s="327"/>
    </row>
    <row r="16" spans="2:23" ht="14.45" customHeight="1">
      <c r="B16" s="317">
        <f>D24</f>
        <v>45889</v>
      </c>
      <c r="C16" s="318"/>
      <c r="D16" s="86">
        <v>45881</v>
      </c>
      <c r="E16" s="86" t="s">
        <v>66</v>
      </c>
      <c r="F16" s="93">
        <v>99.5</v>
      </c>
      <c r="G16" s="332">
        <f t="shared" ref="G16" si="7">AVERAGE(F16:F22)</f>
        <v>97.457142857142841</v>
      </c>
      <c r="H16" s="332"/>
      <c r="I16" s="90">
        <f t="shared" si="0"/>
        <v>0.90950639853747706</v>
      </c>
      <c r="J16" s="327">
        <f t="shared" ref="J16" si="8">AVERAGE(I16:I22)</f>
        <v>0.89083311569600421</v>
      </c>
      <c r="K16" s="327"/>
      <c r="L16" s="220">
        <v>8.0700000000000008E-3</v>
      </c>
      <c r="M16" s="327">
        <f t="shared" ref="M16" si="9">AVERAGE(L16:L22)</f>
        <v>8.0285714285714283E-3</v>
      </c>
      <c r="N16" s="327"/>
      <c r="O16" s="220">
        <v>2.3E-2</v>
      </c>
      <c r="P16" s="327">
        <f t="shared" ref="P16" si="10">AVERAGE(O16:O22)</f>
        <v>1.3114285714285714E-2</v>
      </c>
      <c r="Q16" s="327"/>
      <c r="R16" s="220">
        <v>0.42899999999999999</v>
      </c>
      <c r="S16" s="327">
        <f t="shared" ref="S16" si="11">AVERAGE(R16:R22)</f>
        <v>0.42899999999999994</v>
      </c>
      <c r="T16" s="327"/>
      <c r="U16" s="220">
        <v>0.71399999999999997</v>
      </c>
      <c r="V16" s="327">
        <f t="shared" ref="V16" si="12">AVERAGE(U16:U22)</f>
        <v>0.71399999999999986</v>
      </c>
      <c r="W16" s="327"/>
    </row>
    <row r="17" spans="2:23" ht="14.45" customHeight="1">
      <c r="B17" s="318"/>
      <c r="C17" s="318"/>
      <c r="D17" s="86">
        <v>45882</v>
      </c>
      <c r="E17" s="86" t="s">
        <v>67</v>
      </c>
      <c r="F17" s="93">
        <v>98.3</v>
      </c>
      <c r="G17" s="332"/>
      <c r="H17" s="332"/>
      <c r="I17" s="90">
        <f t="shared" si="0"/>
        <v>0.89853747714808041</v>
      </c>
      <c r="J17" s="327"/>
      <c r="K17" s="327"/>
      <c r="L17" s="220">
        <v>7.9299999999999995E-3</v>
      </c>
      <c r="M17" s="327"/>
      <c r="N17" s="327"/>
      <c r="O17" s="220">
        <v>2.24E-2</v>
      </c>
      <c r="P17" s="327"/>
      <c r="Q17" s="327"/>
      <c r="R17" s="220">
        <v>0.42899999999999999</v>
      </c>
      <c r="S17" s="327"/>
      <c r="T17" s="327"/>
      <c r="U17" s="220">
        <v>0.71399999999999997</v>
      </c>
      <c r="V17" s="327"/>
      <c r="W17" s="327"/>
    </row>
    <row r="18" spans="2:23" ht="14.45" customHeight="1">
      <c r="B18" s="318"/>
      <c r="C18" s="318"/>
      <c r="D18" s="86">
        <v>45883</v>
      </c>
      <c r="E18" s="86" t="s">
        <v>68</v>
      </c>
      <c r="F18" s="93">
        <v>99.4</v>
      </c>
      <c r="G18" s="332"/>
      <c r="H18" s="332"/>
      <c r="I18" s="90">
        <f t="shared" si="0"/>
        <v>0.90859232175502747</v>
      </c>
      <c r="J18" s="327"/>
      <c r="K18" s="327"/>
      <c r="L18" s="220">
        <v>1.47E-2</v>
      </c>
      <c r="M18" s="327"/>
      <c r="N18" s="327"/>
      <c r="O18" s="220">
        <v>1.5900000000000001E-2</v>
      </c>
      <c r="P18" s="327"/>
      <c r="Q18" s="327"/>
      <c r="R18" s="220">
        <v>0.42899999999999999</v>
      </c>
      <c r="S18" s="327"/>
      <c r="T18" s="327"/>
      <c r="U18" s="220">
        <v>0.71399999999999997</v>
      </c>
      <c r="V18" s="327"/>
      <c r="W18" s="327"/>
    </row>
    <row r="19" spans="2:23" ht="14.45" customHeight="1">
      <c r="B19" s="318"/>
      <c r="C19" s="318"/>
      <c r="D19" s="86">
        <v>45884</v>
      </c>
      <c r="E19" s="86" t="s">
        <v>63</v>
      </c>
      <c r="F19" s="93">
        <v>91.7</v>
      </c>
      <c r="G19" s="332"/>
      <c r="H19" s="332"/>
      <c r="I19" s="90">
        <f t="shared" si="0"/>
        <v>0.83820840950639852</v>
      </c>
      <c r="J19" s="327"/>
      <c r="K19" s="327"/>
      <c r="L19" s="220">
        <v>7.0000000000000001E-3</v>
      </c>
      <c r="M19" s="327"/>
      <c r="N19" s="327"/>
      <c r="O19" s="220">
        <v>5.5999999999999999E-3</v>
      </c>
      <c r="P19" s="327"/>
      <c r="Q19" s="327"/>
      <c r="R19" s="220">
        <v>0.42899999999999999</v>
      </c>
      <c r="S19" s="327"/>
      <c r="T19" s="327"/>
      <c r="U19" s="220">
        <v>0.71399999999999997</v>
      </c>
      <c r="V19" s="327"/>
      <c r="W19" s="327"/>
    </row>
    <row r="20" spans="2:23" ht="14.45" customHeight="1">
      <c r="B20" s="318"/>
      <c r="C20" s="318"/>
      <c r="D20" s="86">
        <v>45885</v>
      </c>
      <c r="E20" s="86" t="s">
        <v>64</v>
      </c>
      <c r="F20" s="93">
        <v>96.1</v>
      </c>
      <c r="G20" s="332"/>
      <c r="H20" s="332"/>
      <c r="I20" s="90">
        <f t="shared" si="0"/>
        <v>0.87842778793418641</v>
      </c>
      <c r="J20" s="327"/>
      <c r="K20" s="327"/>
      <c r="L20" s="220">
        <v>5.4000000000000003E-3</v>
      </c>
      <c r="M20" s="327"/>
      <c r="N20" s="327"/>
      <c r="O20" s="220">
        <v>7.9000000000000008E-3</v>
      </c>
      <c r="P20" s="327"/>
      <c r="Q20" s="327"/>
      <c r="R20" s="220">
        <v>0.42899999999999999</v>
      </c>
      <c r="S20" s="327"/>
      <c r="T20" s="327"/>
      <c r="U20" s="220">
        <v>0.71399999999999997</v>
      </c>
      <c r="V20" s="327"/>
      <c r="W20" s="327"/>
    </row>
    <row r="21" spans="2:23" ht="14.45" customHeight="1">
      <c r="B21" s="318"/>
      <c r="C21" s="318"/>
      <c r="D21" s="86">
        <v>45886</v>
      </c>
      <c r="E21" s="86" t="s">
        <v>59</v>
      </c>
      <c r="F21" s="93">
        <v>100.3</v>
      </c>
      <c r="G21" s="332"/>
      <c r="H21" s="332"/>
      <c r="I21" s="90">
        <f t="shared" si="0"/>
        <v>0.91681901279707489</v>
      </c>
      <c r="J21" s="327"/>
      <c r="K21" s="327"/>
      <c r="L21" s="220">
        <v>6.0000000000000001E-3</v>
      </c>
      <c r="M21" s="327"/>
      <c r="N21" s="327"/>
      <c r="O21" s="220">
        <v>8.3999999999999995E-3</v>
      </c>
      <c r="P21" s="327"/>
      <c r="Q21" s="327"/>
      <c r="R21" s="220">
        <v>0.42899999999999999</v>
      </c>
      <c r="S21" s="327"/>
      <c r="T21" s="327"/>
      <c r="U21" s="220">
        <v>0.71399999999999997</v>
      </c>
      <c r="V21" s="327"/>
      <c r="W21" s="327"/>
    </row>
    <row r="22" spans="2:23" ht="14.45" customHeight="1">
      <c r="B22" s="318"/>
      <c r="C22" s="318"/>
      <c r="D22" s="86">
        <v>45887</v>
      </c>
      <c r="E22" s="86" t="s">
        <v>65</v>
      </c>
      <c r="F22" s="93">
        <v>96.9</v>
      </c>
      <c r="G22" s="332"/>
      <c r="H22" s="332"/>
      <c r="I22" s="90">
        <f t="shared" si="0"/>
        <v>0.88574040219378425</v>
      </c>
      <c r="J22" s="327"/>
      <c r="K22" s="327"/>
      <c r="L22" s="220">
        <v>7.1000000000000004E-3</v>
      </c>
      <c r="M22" s="327"/>
      <c r="N22" s="327"/>
      <c r="O22" s="220">
        <v>8.6E-3</v>
      </c>
      <c r="P22" s="327"/>
      <c r="Q22" s="327"/>
      <c r="R22" s="220">
        <v>0.42899999999999999</v>
      </c>
      <c r="S22" s="327"/>
      <c r="T22" s="327"/>
      <c r="U22" s="220">
        <v>0.71399999999999997</v>
      </c>
      <c r="V22" s="327"/>
      <c r="W22" s="327"/>
    </row>
    <row r="23" spans="2:23" ht="14.45" customHeight="1">
      <c r="B23" s="317">
        <f>D24</f>
        <v>45889</v>
      </c>
      <c r="C23" s="318"/>
      <c r="D23" s="86">
        <v>45888</v>
      </c>
      <c r="E23" s="86" t="s">
        <v>66</v>
      </c>
      <c r="F23" s="93">
        <v>94.1</v>
      </c>
      <c r="G23" s="332">
        <f t="shared" ref="G23" si="13">AVERAGE(F23:F29)</f>
        <v>94.685714285714283</v>
      </c>
      <c r="H23" s="332"/>
      <c r="I23" s="90">
        <f t="shared" si="0"/>
        <v>0.86014625228519181</v>
      </c>
      <c r="J23" s="327">
        <f t="shared" ref="J23" si="14">AVERAGE(I23:I29)</f>
        <v>0.86550013058239739</v>
      </c>
      <c r="K23" s="327"/>
      <c r="L23" s="220">
        <v>6.5500000000000003E-3</v>
      </c>
      <c r="M23" s="327">
        <f t="shared" ref="M23" si="15">AVERAGE(L23:L29)</f>
        <v>7.1900000000000002E-3</v>
      </c>
      <c r="N23" s="327"/>
      <c r="O23" s="220">
        <v>5.7999999999999996E-3</v>
      </c>
      <c r="P23" s="327">
        <f t="shared" ref="P23" si="16">AVERAGE(O23:O29)</f>
        <v>5.2428571428571411E-3</v>
      </c>
      <c r="Q23" s="327"/>
      <c r="R23" s="220">
        <v>0.42899999999999999</v>
      </c>
      <c r="S23" s="327">
        <f t="shared" ref="S23" si="17">AVERAGE(R23:R29)</f>
        <v>0.42899999999999994</v>
      </c>
      <c r="T23" s="327"/>
      <c r="U23" s="220">
        <v>0.71399999999999997</v>
      </c>
      <c r="V23" s="327">
        <f t="shared" ref="V23" si="18">AVERAGE(U23:U29)</f>
        <v>0.71399999999999986</v>
      </c>
      <c r="W23" s="327"/>
    </row>
    <row r="24" spans="2:23" ht="14.45" customHeight="1">
      <c r="B24" s="318"/>
      <c r="C24" s="318"/>
      <c r="D24" s="86">
        <v>45889</v>
      </c>
      <c r="E24" s="86" t="s">
        <v>67</v>
      </c>
      <c r="F24" s="93">
        <v>98.3</v>
      </c>
      <c r="G24" s="332"/>
      <c r="H24" s="332"/>
      <c r="I24" s="90">
        <f t="shared" si="0"/>
        <v>0.89853747714808041</v>
      </c>
      <c r="J24" s="327"/>
      <c r="K24" s="327"/>
      <c r="L24" s="220">
        <v>7.4000000000000003E-3</v>
      </c>
      <c r="M24" s="327"/>
      <c r="N24" s="327"/>
      <c r="O24" s="220">
        <v>5.7999999999999996E-3</v>
      </c>
      <c r="P24" s="327"/>
      <c r="Q24" s="327"/>
      <c r="R24" s="220">
        <v>0.42899999999999999</v>
      </c>
      <c r="S24" s="327"/>
      <c r="T24" s="327"/>
      <c r="U24" s="220">
        <v>0.71399999999999997</v>
      </c>
      <c r="V24" s="327"/>
      <c r="W24" s="327"/>
    </row>
    <row r="25" spans="2:23" ht="14.45" customHeight="1">
      <c r="B25" s="318"/>
      <c r="C25" s="318"/>
      <c r="D25" s="86">
        <v>45890</v>
      </c>
      <c r="E25" s="86" t="s">
        <v>68</v>
      </c>
      <c r="F25" s="93">
        <v>95.4</v>
      </c>
      <c r="G25" s="332"/>
      <c r="H25" s="332"/>
      <c r="I25" s="90">
        <f t="shared" si="0"/>
        <v>0.87202925045703839</v>
      </c>
      <c r="J25" s="327"/>
      <c r="K25" s="327"/>
      <c r="L25" s="220">
        <v>8.1700000000000002E-3</v>
      </c>
      <c r="M25" s="327"/>
      <c r="N25" s="327"/>
      <c r="O25" s="220">
        <v>6.4000000000000003E-3</v>
      </c>
      <c r="P25" s="327"/>
      <c r="Q25" s="327"/>
      <c r="R25" s="220">
        <v>0.42899999999999999</v>
      </c>
      <c r="S25" s="327"/>
      <c r="T25" s="327"/>
      <c r="U25" s="220">
        <v>0.71399999999999997</v>
      </c>
      <c r="V25" s="327"/>
      <c r="W25" s="327"/>
    </row>
    <row r="26" spans="2:23" ht="14.45" customHeight="1">
      <c r="B26" s="318"/>
      <c r="C26" s="318"/>
      <c r="D26" s="86">
        <v>45891</v>
      </c>
      <c r="E26" s="86" t="s">
        <v>63</v>
      </c>
      <c r="F26" s="93">
        <v>87.2</v>
      </c>
      <c r="G26" s="332"/>
      <c r="H26" s="332"/>
      <c r="I26" s="90">
        <f t="shared" si="0"/>
        <v>0.79707495429616082</v>
      </c>
      <c r="J26" s="327"/>
      <c r="K26" s="327"/>
      <c r="L26" s="220">
        <v>7.2399999999999999E-3</v>
      </c>
      <c r="M26" s="327"/>
      <c r="N26" s="327"/>
      <c r="O26" s="220">
        <v>6.4999999999999997E-3</v>
      </c>
      <c r="P26" s="327"/>
      <c r="Q26" s="327"/>
      <c r="R26" s="220">
        <v>0.42899999999999999</v>
      </c>
      <c r="S26" s="327"/>
      <c r="T26" s="327"/>
      <c r="U26" s="220">
        <v>0.71399999999999997</v>
      </c>
      <c r="V26" s="327"/>
      <c r="W26" s="327"/>
    </row>
    <row r="27" spans="2:23" ht="14.45" customHeight="1">
      <c r="B27" s="318"/>
      <c r="C27" s="318"/>
      <c r="D27" s="86">
        <v>45892</v>
      </c>
      <c r="E27" s="86" t="s">
        <v>64</v>
      </c>
      <c r="F27" s="93">
        <v>94.6</v>
      </c>
      <c r="G27" s="332"/>
      <c r="H27" s="332"/>
      <c r="I27" s="90">
        <f t="shared" si="0"/>
        <v>0.86471663619744044</v>
      </c>
      <c r="J27" s="327"/>
      <c r="K27" s="327"/>
      <c r="L27" s="220">
        <v>6.5100000000000002E-3</v>
      </c>
      <c r="M27" s="327"/>
      <c r="N27" s="327"/>
      <c r="O27" s="220">
        <v>4.8999999999999998E-3</v>
      </c>
      <c r="P27" s="327"/>
      <c r="Q27" s="327"/>
      <c r="R27" s="220">
        <v>0.42899999999999999</v>
      </c>
      <c r="S27" s="327"/>
      <c r="T27" s="327"/>
      <c r="U27" s="220">
        <v>0.71399999999999997</v>
      </c>
      <c r="V27" s="327"/>
      <c r="W27" s="327"/>
    </row>
    <row r="28" spans="2:23" ht="14.45" customHeight="1">
      <c r="B28" s="318"/>
      <c r="C28" s="318"/>
      <c r="D28" s="86">
        <v>45893</v>
      </c>
      <c r="E28" s="86" t="s">
        <v>59</v>
      </c>
      <c r="F28" s="93">
        <v>96.7</v>
      </c>
      <c r="G28" s="332"/>
      <c r="H28" s="332"/>
      <c r="I28" s="90">
        <f t="shared" si="0"/>
        <v>0.88391224862888484</v>
      </c>
      <c r="J28" s="327"/>
      <c r="K28" s="327"/>
      <c r="L28" s="220">
        <v>7.4599999999999996E-3</v>
      </c>
      <c r="M28" s="327"/>
      <c r="N28" s="327"/>
      <c r="O28" s="220">
        <v>4.4999999999999997E-3</v>
      </c>
      <c r="P28" s="327"/>
      <c r="Q28" s="327"/>
      <c r="R28" s="220">
        <v>0.42899999999999999</v>
      </c>
      <c r="S28" s="327"/>
      <c r="T28" s="327"/>
      <c r="U28" s="220">
        <v>0.71399999999999997</v>
      </c>
      <c r="V28" s="327"/>
      <c r="W28" s="327"/>
    </row>
    <row r="29" spans="2:23" ht="14.45" customHeight="1">
      <c r="B29" s="318"/>
      <c r="C29" s="318"/>
      <c r="D29" s="86">
        <v>45894</v>
      </c>
      <c r="E29" s="86" t="s">
        <v>65</v>
      </c>
      <c r="F29" s="93">
        <v>96.5</v>
      </c>
      <c r="G29" s="332"/>
      <c r="H29" s="332"/>
      <c r="I29" s="90">
        <f t="shared" si="0"/>
        <v>0.88208409506398533</v>
      </c>
      <c r="J29" s="327"/>
      <c r="K29" s="327"/>
      <c r="L29" s="220">
        <v>7.0000000000000001E-3</v>
      </c>
      <c r="M29" s="327"/>
      <c r="N29" s="327"/>
      <c r="O29" s="220">
        <v>2.8E-3</v>
      </c>
      <c r="P29" s="327"/>
      <c r="Q29" s="327"/>
      <c r="R29" s="220">
        <v>0.42899999999999999</v>
      </c>
      <c r="S29" s="327"/>
      <c r="T29" s="327"/>
      <c r="U29" s="220">
        <v>0.71399999999999997</v>
      </c>
      <c r="V29" s="327"/>
      <c r="W29" s="327"/>
    </row>
    <row r="30" spans="2:23" ht="14.45" customHeight="1">
      <c r="B30" s="317">
        <f>D38</f>
        <v>45903</v>
      </c>
      <c r="C30" s="318"/>
      <c r="D30" s="86">
        <v>45895</v>
      </c>
      <c r="E30" s="86" t="s">
        <v>66</v>
      </c>
      <c r="F30" s="93">
        <v>96.5</v>
      </c>
      <c r="G30" s="332">
        <f>AVERAGE(F30:F36)</f>
        <v>98.628571428571448</v>
      </c>
      <c r="H30" s="332"/>
      <c r="I30" s="90">
        <f t="shared" si="0"/>
        <v>0.88208409506398533</v>
      </c>
      <c r="J30" s="327">
        <f t="shared" ref="J30" si="19">AVERAGE(I30:I36)</f>
        <v>0.90154087229041513</v>
      </c>
      <c r="K30" s="327"/>
      <c r="L30" s="220">
        <v>5.8999999999999999E-3</v>
      </c>
      <c r="M30" s="327">
        <f t="shared" ref="M30" si="20">AVERAGE(L30:L36)</f>
        <v>4.7585714285714297E-3</v>
      </c>
      <c r="N30" s="327"/>
      <c r="O30" s="220">
        <v>7.1999999999999998E-3</v>
      </c>
      <c r="P30" s="327">
        <f t="shared" ref="P30" si="21">AVERAGE(O30:O36)</f>
        <v>3.3285714285714286E-3</v>
      </c>
      <c r="Q30" s="327"/>
      <c r="R30" s="220">
        <v>0.42899999999999999</v>
      </c>
      <c r="S30" s="327">
        <f t="shared" ref="S30" si="22">AVERAGE(R30:R36)</f>
        <v>0.42899999999999994</v>
      </c>
      <c r="T30" s="327"/>
      <c r="U30" s="220">
        <v>0.71399999999999997</v>
      </c>
      <c r="V30" s="327">
        <f t="shared" ref="V30" si="23">AVERAGE(U30:U36)</f>
        <v>0.71399999999999997</v>
      </c>
      <c r="W30" s="327"/>
    </row>
    <row r="31" spans="2:23" ht="14.45" customHeight="1">
      <c r="B31" s="318"/>
      <c r="C31" s="318"/>
      <c r="D31" s="86">
        <v>45896</v>
      </c>
      <c r="E31" s="86" t="s">
        <v>67</v>
      </c>
      <c r="F31" s="93">
        <v>96.5</v>
      </c>
      <c r="G31" s="332"/>
      <c r="H31" s="332"/>
      <c r="I31" s="90">
        <f t="shared" si="0"/>
        <v>0.88208409506398533</v>
      </c>
      <c r="J31" s="327"/>
      <c r="K31" s="327"/>
      <c r="L31" s="220">
        <v>5.4000000000000003E-3</v>
      </c>
      <c r="M31" s="327"/>
      <c r="N31" s="327"/>
      <c r="O31" s="220">
        <v>3.8E-3</v>
      </c>
      <c r="P31" s="327"/>
      <c r="Q31" s="327"/>
      <c r="R31" s="220">
        <v>0.42899999999999999</v>
      </c>
      <c r="S31" s="327"/>
      <c r="T31" s="327"/>
      <c r="U31" s="220">
        <v>0.71399999999999997</v>
      </c>
      <c r="V31" s="327"/>
      <c r="W31" s="327"/>
    </row>
    <row r="32" spans="2:23" ht="14.45" customHeight="1">
      <c r="B32" s="318"/>
      <c r="C32" s="318"/>
      <c r="D32" s="86">
        <v>45897</v>
      </c>
      <c r="E32" s="86" t="s">
        <v>68</v>
      </c>
      <c r="F32" s="93">
        <v>102.1</v>
      </c>
      <c r="G32" s="332"/>
      <c r="H32" s="332"/>
      <c r="I32" s="90">
        <f t="shared" si="0"/>
        <v>0.93327239488116986</v>
      </c>
      <c r="J32" s="327"/>
      <c r="K32" s="327"/>
      <c r="L32" s="220">
        <v>4.7000000000000002E-3</v>
      </c>
      <c r="M32" s="327"/>
      <c r="N32" s="327"/>
      <c r="O32" s="220">
        <v>1.9E-3</v>
      </c>
      <c r="P32" s="327"/>
      <c r="Q32" s="327"/>
      <c r="R32" s="220">
        <v>0.42899999999999999</v>
      </c>
      <c r="S32" s="327"/>
      <c r="T32" s="327"/>
      <c r="U32" s="220">
        <v>0.71399999999999997</v>
      </c>
      <c r="V32" s="327"/>
      <c r="W32" s="327"/>
    </row>
    <row r="33" spans="2:23" ht="14.45" customHeight="1">
      <c r="B33" s="318"/>
      <c r="C33" s="318"/>
      <c r="D33" s="86">
        <v>45898</v>
      </c>
      <c r="E33" s="86" t="s">
        <v>63</v>
      </c>
      <c r="F33" s="93">
        <v>97.6</v>
      </c>
      <c r="G33" s="332"/>
      <c r="H33" s="332"/>
      <c r="I33" s="90">
        <f t="shared" si="0"/>
        <v>0.89213893967093227</v>
      </c>
      <c r="J33" s="327"/>
      <c r="K33" s="327"/>
      <c r="L33" s="220">
        <v>4.5799999999999999E-3</v>
      </c>
      <c r="M33" s="327"/>
      <c r="N33" s="327"/>
      <c r="O33" s="220">
        <v>2.8E-3</v>
      </c>
      <c r="P33" s="327"/>
      <c r="Q33" s="327"/>
      <c r="R33" s="220">
        <v>0.42899999999999999</v>
      </c>
      <c r="S33" s="327"/>
      <c r="T33" s="327"/>
      <c r="U33" s="220">
        <v>0.71399999999999997</v>
      </c>
      <c r="V33" s="327"/>
      <c r="W33" s="327"/>
    </row>
    <row r="34" spans="2:23" ht="14.45" customHeight="1">
      <c r="B34" s="318"/>
      <c r="C34" s="318"/>
      <c r="D34" s="86">
        <v>45899</v>
      </c>
      <c r="E34" s="86" t="s">
        <v>64</v>
      </c>
      <c r="F34" s="93">
        <v>98</v>
      </c>
      <c r="G34" s="332"/>
      <c r="H34" s="332"/>
      <c r="I34" s="90">
        <f t="shared" si="0"/>
        <v>0.89579524680073119</v>
      </c>
      <c r="J34" s="327"/>
      <c r="K34" s="327"/>
      <c r="L34" s="220">
        <v>4.5100000000000001E-3</v>
      </c>
      <c r="M34" s="327"/>
      <c r="N34" s="327"/>
      <c r="O34" s="220">
        <v>2E-3</v>
      </c>
      <c r="P34" s="327"/>
      <c r="Q34" s="327"/>
      <c r="R34" s="220">
        <v>0.42899999999999999</v>
      </c>
      <c r="S34" s="327"/>
      <c r="T34" s="327"/>
      <c r="U34" s="220">
        <v>0.71399999999999997</v>
      </c>
      <c r="V34" s="327"/>
      <c r="W34" s="327"/>
    </row>
    <row r="35" spans="2:23">
      <c r="B35" s="318"/>
      <c r="C35" s="318"/>
      <c r="D35" s="86">
        <v>45900</v>
      </c>
      <c r="E35" s="86" t="s">
        <v>59</v>
      </c>
      <c r="F35" s="93">
        <v>102.1</v>
      </c>
      <c r="G35" s="332"/>
      <c r="H35" s="332"/>
      <c r="I35" s="90">
        <f t="shared" si="0"/>
        <v>0.93327239488116986</v>
      </c>
      <c r="J35" s="327"/>
      <c r="K35" s="327"/>
      <c r="L35" s="220">
        <v>4.2199999999999998E-3</v>
      </c>
      <c r="M35" s="327"/>
      <c r="N35" s="327"/>
      <c r="O35" s="220">
        <v>3.5999999999999999E-3</v>
      </c>
      <c r="P35" s="327"/>
      <c r="Q35" s="327"/>
      <c r="R35" s="220">
        <v>0.42899999999999999</v>
      </c>
      <c r="S35" s="327"/>
      <c r="T35" s="327"/>
      <c r="U35" s="220">
        <v>0.71399999999999997</v>
      </c>
      <c r="V35" s="327"/>
      <c r="W35" s="327"/>
    </row>
    <row r="36" spans="2:23">
      <c r="B36" s="318"/>
      <c r="D36" s="86">
        <v>45901</v>
      </c>
      <c r="E36" s="86" t="s">
        <v>65</v>
      </c>
      <c r="F36" s="93">
        <v>97.6</v>
      </c>
      <c r="G36" s="332"/>
      <c r="H36" s="93"/>
      <c r="I36" s="90">
        <f t="shared" si="0"/>
        <v>0.89213893967093227</v>
      </c>
      <c r="J36" s="327"/>
      <c r="K36" s="87"/>
      <c r="L36" s="220">
        <v>4.0000000000000001E-3</v>
      </c>
      <c r="M36" s="327"/>
      <c r="N36" s="220"/>
      <c r="O36" s="220">
        <v>2E-3</v>
      </c>
      <c r="P36" s="327"/>
      <c r="Q36" s="220"/>
      <c r="R36" s="220">
        <v>0.42899999999999999</v>
      </c>
      <c r="S36" s="327"/>
      <c r="T36" s="220"/>
      <c r="U36" s="220"/>
      <c r="V36" s="327"/>
      <c r="W36" s="220"/>
    </row>
    <row r="37" spans="2:23">
      <c r="B37" s="318"/>
      <c r="D37" s="86">
        <v>45902</v>
      </c>
      <c r="E37" s="86" t="s">
        <v>66</v>
      </c>
      <c r="F37" s="93"/>
      <c r="G37" s="332" t="e">
        <f t="shared" ref="G37" si="24">AVERAGE(F37:F43)</f>
        <v>#DIV/0!</v>
      </c>
      <c r="H37" s="93"/>
      <c r="I37" s="90">
        <f t="shared" si="0"/>
        <v>0</v>
      </c>
      <c r="J37" s="327">
        <f t="shared" ref="J37" si="25">AVERAGE(I37:I43)</f>
        <v>0</v>
      </c>
      <c r="K37" s="87"/>
      <c r="L37" s="220"/>
      <c r="M37" s="327" t="e">
        <f t="shared" ref="M37" si="26">AVERAGE(L37:L43)</f>
        <v>#DIV/0!</v>
      </c>
      <c r="N37" s="220"/>
      <c r="O37" s="220"/>
      <c r="P37" s="327" t="e">
        <f t="shared" ref="P37" si="27">AVERAGE(O37:O43)</f>
        <v>#DIV/0!</v>
      </c>
      <c r="Q37" s="220"/>
      <c r="R37" s="220"/>
      <c r="S37" s="327" t="e">
        <f t="shared" ref="S37" si="28">AVERAGE(R37:R43)</f>
        <v>#DIV/0!</v>
      </c>
      <c r="T37" s="220"/>
      <c r="U37" s="220"/>
      <c r="V37" s="327" t="e">
        <f t="shared" ref="V37" si="29">AVERAGE(U37:U43)</f>
        <v>#DIV/0!</v>
      </c>
      <c r="W37" s="220"/>
    </row>
    <row r="38" spans="2:23">
      <c r="B38" s="318"/>
      <c r="D38" s="86">
        <v>45903</v>
      </c>
      <c r="E38" s="86" t="s">
        <v>67</v>
      </c>
      <c r="F38" s="93"/>
      <c r="G38" s="332"/>
      <c r="H38" s="93"/>
      <c r="I38" s="90">
        <f t="shared" si="0"/>
        <v>0</v>
      </c>
      <c r="J38" s="327"/>
      <c r="K38" s="87"/>
      <c r="L38" s="220"/>
      <c r="M38" s="327"/>
      <c r="N38" s="220"/>
      <c r="O38" s="220"/>
      <c r="P38" s="327"/>
      <c r="Q38" s="220"/>
      <c r="R38" s="220"/>
      <c r="S38" s="327"/>
      <c r="T38" s="220"/>
      <c r="U38" s="220"/>
      <c r="V38" s="327"/>
      <c r="W38" s="220"/>
    </row>
    <row r="39" spans="2:23">
      <c r="B39" s="318"/>
      <c r="D39" s="86">
        <v>45904</v>
      </c>
      <c r="E39" s="86" t="s">
        <v>68</v>
      </c>
      <c r="F39" s="93"/>
      <c r="G39" s="332"/>
      <c r="H39" s="93"/>
      <c r="I39" s="90">
        <f t="shared" si="0"/>
        <v>0</v>
      </c>
      <c r="J39" s="327"/>
      <c r="K39" s="87"/>
      <c r="L39" s="220"/>
      <c r="M39" s="327"/>
      <c r="N39" s="220"/>
      <c r="O39" s="220"/>
      <c r="P39" s="327"/>
      <c r="Q39" s="220"/>
      <c r="R39" s="220"/>
      <c r="S39" s="327"/>
      <c r="T39" s="220"/>
      <c r="U39" s="220"/>
      <c r="V39" s="327"/>
      <c r="W39" s="220"/>
    </row>
    <row r="40" spans="2:23">
      <c r="B40" s="318"/>
      <c r="D40" s="86">
        <v>45905</v>
      </c>
      <c r="E40" s="86" t="s">
        <v>63</v>
      </c>
      <c r="F40" s="93"/>
      <c r="G40" s="332"/>
      <c r="H40" s="93"/>
      <c r="I40" s="90">
        <f t="shared" si="0"/>
        <v>0</v>
      </c>
      <c r="J40" s="327"/>
      <c r="K40" s="87"/>
      <c r="L40" s="220"/>
      <c r="M40" s="327"/>
      <c r="N40" s="220"/>
      <c r="O40" s="220"/>
      <c r="P40" s="327"/>
      <c r="Q40" s="220"/>
      <c r="R40" s="220"/>
      <c r="S40" s="327"/>
      <c r="T40" s="220"/>
      <c r="U40" s="220"/>
      <c r="V40" s="327"/>
      <c r="W40" s="220"/>
    </row>
    <row r="41" spans="2:23">
      <c r="B41" s="318"/>
      <c r="D41" s="86">
        <v>45906</v>
      </c>
      <c r="E41" s="86" t="s">
        <v>64</v>
      </c>
      <c r="F41" s="93"/>
      <c r="G41" s="332"/>
      <c r="H41" s="93"/>
      <c r="I41" s="90">
        <f t="shared" si="0"/>
        <v>0</v>
      </c>
      <c r="J41" s="327"/>
      <c r="K41" s="87"/>
      <c r="L41" s="220"/>
      <c r="M41" s="327"/>
      <c r="N41" s="220"/>
      <c r="O41" s="220"/>
      <c r="P41" s="327"/>
      <c r="Q41" s="220"/>
      <c r="R41" s="220"/>
      <c r="S41" s="327"/>
      <c r="T41" s="220"/>
      <c r="U41" s="220"/>
      <c r="V41" s="327"/>
      <c r="W41" s="220"/>
    </row>
    <row r="42" spans="2:23">
      <c r="B42" s="318"/>
      <c r="D42" s="86">
        <v>45907</v>
      </c>
      <c r="E42" s="86" t="s">
        <v>59</v>
      </c>
      <c r="F42" s="93"/>
      <c r="G42" s="332"/>
      <c r="H42" s="93"/>
      <c r="I42" s="90">
        <f t="shared" si="0"/>
        <v>0</v>
      </c>
      <c r="J42" s="327"/>
      <c r="K42" s="87"/>
      <c r="L42" s="220"/>
      <c r="M42" s="327"/>
      <c r="N42" s="220"/>
      <c r="O42" s="220"/>
      <c r="P42" s="327"/>
      <c r="Q42" s="220"/>
      <c r="R42" s="220"/>
      <c r="S42" s="327"/>
      <c r="T42" s="220"/>
      <c r="U42" s="220"/>
      <c r="V42" s="327"/>
      <c r="W42" s="220"/>
    </row>
    <row r="43" spans="2:23">
      <c r="B43" s="318"/>
      <c r="D43" s="86">
        <v>45908</v>
      </c>
      <c r="E43" s="86" t="s">
        <v>65</v>
      </c>
      <c r="F43" s="93"/>
      <c r="G43" s="332"/>
      <c r="H43" s="93"/>
      <c r="I43" s="90">
        <f t="shared" si="0"/>
        <v>0</v>
      </c>
      <c r="J43" s="327"/>
      <c r="K43" s="87"/>
      <c r="L43" s="220"/>
      <c r="M43" s="327"/>
      <c r="N43" s="220"/>
      <c r="O43" s="220"/>
      <c r="P43" s="327"/>
      <c r="Q43" s="220"/>
      <c r="R43" s="220"/>
      <c r="S43" s="327"/>
      <c r="T43" s="220"/>
      <c r="U43" s="220"/>
      <c r="V43" s="327"/>
      <c r="W43" s="220"/>
    </row>
  </sheetData>
  <mergeCells count="58"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B30:B36"/>
    <mergeCell ref="J37:J43"/>
    <mergeCell ref="M37:M43"/>
    <mergeCell ref="O3:Q3"/>
    <mergeCell ref="P5:P8"/>
    <mergeCell ref="Q5:Q35"/>
    <mergeCell ref="P9:P15"/>
    <mergeCell ref="P16:P22"/>
    <mergeCell ref="P23:P29"/>
    <mergeCell ref="P30:P36"/>
    <mergeCell ref="P37:P43"/>
    <mergeCell ref="M5:M8"/>
    <mergeCell ref="N5:N35"/>
    <mergeCell ref="M9:M15"/>
    <mergeCell ref="M16:M22"/>
    <mergeCell ref="M23:M29"/>
    <mergeCell ref="M30:M36"/>
    <mergeCell ref="S37:S43"/>
    <mergeCell ref="U3:W3"/>
    <mergeCell ref="V5:V8"/>
    <mergeCell ref="W5:W35"/>
    <mergeCell ref="V9:V15"/>
    <mergeCell ref="V16:V22"/>
    <mergeCell ref="V23:V29"/>
    <mergeCell ref="V30:V36"/>
    <mergeCell ref="V37:V43"/>
    <mergeCell ref="S5:S8"/>
    <mergeCell ref="T5:T35"/>
    <mergeCell ref="S9:S15"/>
    <mergeCell ref="S16:S22"/>
    <mergeCell ref="S23:S29"/>
    <mergeCell ref="S30:S36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V102"/>
  <sheetViews>
    <sheetView zoomScale="85" zoomScaleNormal="85" workbookViewId="0">
      <selection activeCell="G32" sqref="G32:G38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19" t="s">
        <v>78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</row>
    <row r="3" spans="1:14" ht="25.35" customHeight="1">
      <c r="B3" s="336" t="s">
        <v>50</v>
      </c>
      <c r="C3" s="337" t="s">
        <v>79</v>
      </c>
      <c r="D3" s="338" t="s">
        <v>52</v>
      </c>
      <c r="E3" s="338"/>
      <c r="F3" s="339" t="s">
        <v>80</v>
      </c>
      <c r="G3" s="339"/>
      <c r="H3" s="339"/>
      <c r="I3" s="341" t="s">
        <v>81</v>
      </c>
      <c r="J3" s="342"/>
      <c r="K3" s="342"/>
      <c r="L3" s="342"/>
      <c r="M3" s="342"/>
      <c r="N3" s="343"/>
    </row>
    <row r="4" spans="1:14" ht="25.35" customHeight="1">
      <c r="B4" s="336"/>
      <c r="C4" s="337"/>
      <c r="D4" s="338"/>
      <c r="E4" s="338"/>
      <c r="F4" s="339"/>
      <c r="G4" s="339"/>
      <c r="H4" s="339"/>
      <c r="I4" s="335" t="s">
        <v>82</v>
      </c>
      <c r="J4" s="335"/>
      <c r="K4" s="335" t="s">
        <v>83</v>
      </c>
      <c r="L4" s="335"/>
      <c r="M4" s="335" t="s">
        <v>84</v>
      </c>
      <c r="N4" s="335"/>
    </row>
    <row r="5" spans="1:14" ht="25.35" customHeight="1">
      <c r="B5" s="336"/>
      <c r="C5" s="337"/>
      <c r="D5" s="338"/>
      <c r="E5" s="338"/>
      <c r="F5" s="340" t="s">
        <v>59</v>
      </c>
      <c r="G5" s="340" t="s">
        <v>60</v>
      </c>
      <c r="H5" s="340" t="s">
        <v>61</v>
      </c>
      <c r="I5" s="335" t="s">
        <v>85</v>
      </c>
      <c r="J5" s="335"/>
      <c r="K5" s="335" t="s">
        <v>85</v>
      </c>
      <c r="L5" s="335"/>
      <c r="M5" s="335" t="s">
        <v>85</v>
      </c>
      <c r="N5" s="335"/>
    </row>
    <row r="6" spans="1:14" s="82" customFormat="1" ht="23.45" customHeight="1">
      <c r="B6" s="336"/>
      <c r="C6" s="337"/>
      <c r="D6" s="338"/>
      <c r="E6" s="338"/>
      <c r="F6" s="340"/>
      <c r="G6" s="340"/>
      <c r="H6" s="340"/>
      <c r="I6" s="98" t="s">
        <v>86</v>
      </c>
      <c r="J6" s="99" t="s">
        <v>87</v>
      </c>
      <c r="K6" s="98" t="s">
        <v>86</v>
      </c>
      <c r="L6" s="99" t="s">
        <v>87</v>
      </c>
      <c r="M6" s="98" t="s">
        <v>86</v>
      </c>
      <c r="N6" s="99" t="s">
        <v>87</v>
      </c>
    </row>
    <row r="7" spans="1:14" ht="12">
      <c r="B7" s="317">
        <f>D19</f>
        <v>45882</v>
      </c>
      <c r="C7" s="318" t="s">
        <v>62</v>
      </c>
      <c r="D7" s="86">
        <v>45870</v>
      </c>
      <c r="E7" s="86" t="s">
        <v>63</v>
      </c>
      <c r="F7" s="97">
        <f>SUM(I7,K7,M7)</f>
        <v>2385266.6700000004</v>
      </c>
      <c r="G7" s="333">
        <f>SUM(F7:F10)</f>
        <v>10607384.41</v>
      </c>
      <c r="H7" s="334">
        <f>SUM(F7:F37)</f>
        <v>84284948.120000005</v>
      </c>
      <c r="I7" s="100">
        <v>2195129.9500000002</v>
      </c>
      <c r="J7" s="101">
        <f t="shared" ref="J7:J45" si="0">I7/F7</f>
        <v>0.92028701763564236</v>
      </c>
      <c r="K7" s="100"/>
      <c r="L7" s="101">
        <f t="shared" ref="L7:L45" si="1">K7/F7</f>
        <v>0</v>
      </c>
      <c r="M7" s="100">
        <v>190136.72</v>
      </c>
      <c r="N7" s="101">
        <f t="shared" ref="N7:N45" si="2">M7/F7</f>
        <v>7.9712982364357601E-2</v>
      </c>
    </row>
    <row r="8" spans="1:14" ht="12">
      <c r="B8" s="318"/>
      <c r="C8" s="318"/>
      <c r="D8" s="86">
        <v>45871</v>
      </c>
      <c r="E8" s="86" t="s">
        <v>64</v>
      </c>
      <c r="F8" s="97">
        <f t="shared" ref="F8:F45" si="3">SUM(I8,K8,M8)</f>
        <v>2388905.3099999996</v>
      </c>
      <c r="G8" s="333"/>
      <c r="H8" s="334"/>
      <c r="I8" s="100">
        <v>2194190.0699999998</v>
      </c>
      <c r="J8" s="101">
        <f t="shared" si="0"/>
        <v>0.91849185516691756</v>
      </c>
      <c r="K8" s="100"/>
      <c r="L8" s="101">
        <f t="shared" si="1"/>
        <v>0</v>
      </c>
      <c r="M8" s="100">
        <v>194715.24</v>
      </c>
      <c r="N8" s="101">
        <f t="shared" si="2"/>
        <v>8.150814483308258E-2</v>
      </c>
    </row>
    <row r="9" spans="1:14" ht="12">
      <c r="B9" s="318"/>
      <c r="C9" s="318"/>
      <c r="D9" s="86">
        <v>45872</v>
      </c>
      <c r="E9" s="86" t="s">
        <v>59</v>
      </c>
      <c r="F9" s="97">
        <f t="shared" si="3"/>
        <v>2899844.43</v>
      </c>
      <c r="G9" s="333"/>
      <c r="H9" s="334"/>
      <c r="I9" s="100">
        <v>2660909.1800000002</v>
      </c>
      <c r="J9" s="101">
        <f t="shared" si="0"/>
        <v>0.91760411436968015</v>
      </c>
      <c r="K9" s="100"/>
      <c r="L9" s="101">
        <f t="shared" si="1"/>
        <v>0</v>
      </c>
      <c r="M9" s="100">
        <v>238935.25</v>
      </c>
      <c r="N9" s="101">
        <f t="shared" si="2"/>
        <v>8.2395885630319826E-2</v>
      </c>
    </row>
    <row r="10" spans="1:14" ht="12">
      <c r="B10" s="318"/>
      <c r="C10" s="318"/>
      <c r="D10" s="86">
        <v>45873</v>
      </c>
      <c r="E10" s="86" t="s">
        <v>65</v>
      </c>
      <c r="F10" s="97">
        <f t="shared" si="3"/>
        <v>2933368</v>
      </c>
      <c r="G10" s="333"/>
      <c r="H10" s="334"/>
      <c r="I10" s="100">
        <v>2698249</v>
      </c>
      <c r="J10" s="101">
        <f t="shared" si="0"/>
        <v>0.9198467427203133</v>
      </c>
      <c r="K10" s="100"/>
      <c r="L10" s="101">
        <f t="shared" si="1"/>
        <v>0</v>
      </c>
      <c r="M10" s="100">
        <v>235119</v>
      </c>
      <c r="N10" s="101">
        <f t="shared" si="2"/>
        <v>8.0153257279686696E-2</v>
      </c>
    </row>
    <row r="11" spans="1:14" ht="12">
      <c r="B11" s="318"/>
      <c r="C11" s="318"/>
      <c r="D11" s="86">
        <v>45874</v>
      </c>
      <c r="E11" s="86" t="s">
        <v>66</v>
      </c>
      <c r="F11" s="97">
        <f t="shared" si="3"/>
        <v>3567473</v>
      </c>
      <c r="G11" s="333">
        <f t="shared" ref="G11" si="4">SUM(F11:F17)</f>
        <v>19947142.030000001</v>
      </c>
      <c r="H11" s="334"/>
      <c r="I11" s="100">
        <v>3338114</v>
      </c>
      <c r="J11" s="101">
        <f t="shared" si="0"/>
        <v>0.93570827305490467</v>
      </c>
      <c r="K11" s="100"/>
      <c r="L11" s="101">
        <f t="shared" si="1"/>
        <v>0</v>
      </c>
      <c r="M11" s="100">
        <v>229359</v>
      </c>
      <c r="N11" s="101">
        <f t="shared" si="2"/>
        <v>6.4291726945095315E-2</v>
      </c>
    </row>
    <row r="12" spans="1:14" ht="12">
      <c r="B12" s="318"/>
      <c r="C12" s="318"/>
      <c r="D12" s="86">
        <v>45875</v>
      </c>
      <c r="E12" s="86" t="s">
        <v>67</v>
      </c>
      <c r="F12" s="97">
        <f t="shared" si="3"/>
        <v>3253153</v>
      </c>
      <c r="G12" s="333"/>
      <c r="H12" s="334"/>
      <c r="I12" s="100">
        <v>3022277</v>
      </c>
      <c r="J12" s="101">
        <f t="shared" si="0"/>
        <v>0.92903008250764718</v>
      </c>
      <c r="K12" s="100"/>
      <c r="L12" s="101">
        <f t="shared" si="1"/>
        <v>0</v>
      </c>
      <c r="M12" s="100">
        <v>230876</v>
      </c>
      <c r="N12" s="101">
        <f t="shared" si="2"/>
        <v>7.0969917492352805E-2</v>
      </c>
    </row>
    <row r="13" spans="1:14" ht="12">
      <c r="B13" s="318"/>
      <c r="C13" s="318"/>
      <c r="D13" s="86">
        <v>45876</v>
      </c>
      <c r="E13" s="86" t="s">
        <v>68</v>
      </c>
      <c r="F13" s="97">
        <f t="shared" si="3"/>
        <v>3065389</v>
      </c>
      <c r="G13" s="333"/>
      <c r="H13" s="334"/>
      <c r="I13" s="100">
        <v>2847697</v>
      </c>
      <c r="J13" s="101">
        <f t="shared" si="0"/>
        <v>0.92898389078841215</v>
      </c>
      <c r="K13" s="100"/>
      <c r="L13" s="101">
        <f t="shared" si="1"/>
        <v>0</v>
      </c>
      <c r="M13" s="100">
        <v>217692</v>
      </c>
      <c r="N13" s="101">
        <f t="shared" si="2"/>
        <v>7.1016109211587825E-2</v>
      </c>
    </row>
    <row r="14" spans="1:14" ht="12">
      <c r="B14" s="318"/>
      <c r="C14" s="318"/>
      <c r="D14" s="86">
        <v>45877</v>
      </c>
      <c r="E14" s="86" t="s">
        <v>63</v>
      </c>
      <c r="F14" s="97">
        <f t="shared" si="3"/>
        <v>2194710</v>
      </c>
      <c r="G14" s="333"/>
      <c r="H14" s="334"/>
      <c r="I14" s="100">
        <v>2005404</v>
      </c>
      <c r="J14" s="101">
        <f t="shared" si="0"/>
        <v>0.91374441270145035</v>
      </c>
      <c r="K14" s="100"/>
      <c r="L14" s="101">
        <f t="shared" si="1"/>
        <v>0</v>
      </c>
      <c r="M14" s="100">
        <v>189306</v>
      </c>
      <c r="N14" s="101">
        <f t="shared" si="2"/>
        <v>8.6255587298549694E-2</v>
      </c>
    </row>
    <row r="15" spans="1:14" ht="12">
      <c r="B15" s="318"/>
      <c r="C15" s="318"/>
      <c r="D15" s="86">
        <v>45878</v>
      </c>
      <c r="E15" s="86" t="s">
        <v>64</v>
      </c>
      <c r="F15" s="97">
        <f t="shared" si="3"/>
        <v>2228264</v>
      </c>
      <c r="G15" s="333"/>
      <c r="H15" s="334"/>
      <c r="I15" s="100">
        <v>2036693</v>
      </c>
      <c r="J15" s="101">
        <f t="shared" si="0"/>
        <v>0.91402679395260167</v>
      </c>
      <c r="K15" s="100"/>
      <c r="L15" s="101">
        <f t="shared" si="1"/>
        <v>0</v>
      </c>
      <c r="M15" s="100">
        <v>191571</v>
      </c>
      <c r="N15" s="101">
        <f t="shared" si="2"/>
        <v>8.5973206047398332E-2</v>
      </c>
    </row>
    <row r="16" spans="1:14" ht="12">
      <c r="B16" s="318"/>
      <c r="C16" s="318"/>
      <c r="D16" s="86">
        <v>45879</v>
      </c>
      <c r="E16" s="86" t="s">
        <v>59</v>
      </c>
      <c r="F16" s="97">
        <f t="shared" si="3"/>
        <v>2819551.03</v>
      </c>
      <c r="G16" s="333"/>
      <c r="H16" s="334"/>
      <c r="I16" s="100">
        <v>2583047.7999999998</v>
      </c>
      <c r="J16" s="101">
        <f t="shared" si="0"/>
        <v>0.91612025195373037</v>
      </c>
      <c r="K16" s="100"/>
      <c r="L16" s="101">
        <f t="shared" si="1"/>
        <v>0</v>
      </c>
      <c r="M16" s="100">
        <v>236503.23</v>
      </c>
      <c r="N16" s="101">
        <f t="shared" si="2"/>
        <v>8.3879748046269631E-2</v>
      </c>
    </row>
    <row r="17" spans="2:14" ht="12">
      <c r="B17" s="318"/>
      <c r="C17" s="318"/>
      <c r="D17" s="86">
        <v>45880</v>
      </c>
      <c r="E17" s="86" t="s">
        <v>65</v>
      </c>
      <c r="F17" s="97">
        <f t="shared" si="3"/>
        <v>2818602</v>
      </c>
      <c r="G17" s="333"/>
      <c r="H17" s="334"/>
      <c r="I17" s="100">
        <v>2589298</v>
      </c>
      <c r="J17" s="101">
        <f t="shared" si="0"/>
        <v>0.91864619410615622</v>
      </c>
      <c r="K17" s="100"/>
      <c r="L17" s="101">
        <f t="shared" si="1"/>
        <v>0</v>
      </c>
      <c r="M17" s="100">
        <v>229304</v>
      </c>
      <c r="N17" s="101">
        <f t="shared" si="2"/>
        <v>8.1353805893843834E-2</v>
      </c>
    </row>
    <row r="18" spans="2:14" ht="12">
      <c r="B18" s="317">
        <f>D26</f>
        <v>45889</v>
      </c>
      <c r="C18" s="318"/>
      <c r="D18" s="86">
        <v>45881</v>
      </c>
      <c r="E18" s="86" t="s">
        <v>66</v>
      </c>
      <c r="F18" s="97">
        <f t="shared" si="3"/>
        <v>2662577</v>
      </c>
      <c r="G18" s="333">
        <f t="shared" ref="G18" si="5">SUM(F18:F24)</f>
        <v>17613170.310000002</v>
      </c>
      <c r="H18" s="334"/>
      <c r="I18" s="100">
        <v>2437291</v>
      </c>
      <c r="J18" s="101">
        <f t="shared" si="0"/>
        <v>0.91538798690141165</v>
      </c>
      <c r="K18" s="100"/>
      <c r="L18" s="101">
        <f t="shared" si="1"/>
        <v>0</v>
      </c>
      <c r="M18" s="100">
        <v>225286</v>
      </c>
      <c r="N18" s="101">
        <f t="shared" si="2"/>
        <v>8.4612013098588318E-2</v>
      </c>
    </row>
    <row r="19" spans="2:14" ht="12">
      <c r="B19" s="318"/>
      <c r="C19" s="318"/>
      <c r="D19" s="86">
        <v>45882</v>
      </c>
      <c r="E19" s="86" t="s">
        <v>67</v>
      </c>
      <c r="F19" s="97">
        <f t="shared" si="3"/>
        <v>2744634</v>
      </c>
      <c r="G19" s="333"/>
      <c r="H19" s="334"/>
      <c r="I19" s="100">
        <v>2513938</v>
      </c>
      <c r="J19" s="101">
        <f t="shared" si="0"/>
        <v>0.91594653421913452</v>
      </c>
      <c r="K19" s="100"/>
      <c r="L19" s="101">
        <f t="shared" si="1"/>
        <v>0</v>
      </c>
      <c r="M19" s="100">
        <v>230696</v>
      </c>
      <c r="N19" s="101">
        <f t="shared" si="2"/>
        <v>8.4053465780865505E-2</v>
      </c>
    </row>
    <row r="20" spans="2:14" ht="12">
      <c r="B20" s="318"/>
      <c r="C20" s="318"/>
      <c r="D20" s="86">
        <v>45883</v>
      </c>
      <c r="E20" s="86" t="s">
        <v>68</v>
      </c>
      <c r="F20" s="97">
        <f t="shared" si="3"/>
        <v>2633487.91</v>
      </c>
      <c r="G20" s="333"/>
      <c r="H20" s="334"/>
      <c r="I20" s="100">
        <v>2417904.14</v>
      </c>
      <c r="J20" s="101">
        <f t="shared" si="0"/>
        <v>0.91813755089538274</v>
      </c>
      <c r="K20" s="100"/>
      <c r="L20" s="101">
        <f t="shared" si="1"/>
        <v>0</v>
      </c>
      <c r="M20" s="100">
        <v>215583.77</v>
      </c>
      <c r="N20" s="101">
        <f t="shared" si="2"/>
        <v>8.1862449104617291E-2</v>
      </c>
    </row>
    <row r="21" spans="2:14" ht="12">
      <c r="B21" s="318"/>
      <c r="C21" s="318"/>
      <c r="D21" s="86">
        <v>45884</v>
      </c>
      <c r="E21" s="86" t="s">
        <v>63</v>
      </c>
      <c r="F21" s="97">
        <f t="shared" si="3"/>
        <v>2147438.4500000002</v>
      </c>
      <c r="G21" s="333"/>
      <c r="H21" s="334"/>
      <c r="I21" s="100">
        <v>1950980.83</v>
      </c>
      <c r="J21" s="101">
        <f t="shared" si="0"/>
        <v>0.90851536629606311</v>
      </c>
      <c r="K21" s="100"/>
      <c r="L21" s="101">
        <f t="shared" si="1"/>
        <v>0</v>
      </c>
      <c r="M21" s="100">
        <v>196457.62</v>
      </c>
      <c r="N21" s="101">
        <f t="shared" si="2"/>
        <v>9.1484633703936877E-2</v>
      </c>
    </row>
    <row r="22" spans="2:14" ht="12">
      <c r="B22" s="318"/>
      <c r="C22" s="318"/>
      <c r="D22" s="86">
        <v>45885</v>
      </c>
      <c r="E22" s="86" t="s">
        <v>64</v>
      </c>
      <c r="F22" s="97">
        <f t="shared" si="3"/>
        <v>2076343.96</v>
      </c>
      <c r="G22" s="333"/>
      <c r="H22" s="334"/>
      <c r="I22" s="100">
        <v>1882467.16</v>
      </c>
      <c r="J22" s="101">
        <f t="shared" si="0"/>
        <v>0.90662587522348659</v>
      </c>
      <c r="K22" s="100"/>
      <c r="L22" s="101">
        <f t="shared" si="1"/>
        <v>0</v>
      </c>
      <c r="M22" s="100">
        <v>193876.8</v>
      </c>
      <c r="N22" s="101">
        <f t="shared" si="2"/>
        <v>9.3374124776513426E-2</v>
      </c>
    </row>
    <row r="23" spans="2:14" ht="12">
      <c r="B23" s="318"/>
      <c r="C23" s="318"/>
      <c r="D23" s="86">
        <v>45886</v>
      </c>
      <c r="E23" s="86" t="s">
        <v>59</v>
      </c>
      <c r="F23" s="97">
        <f t="shared" si="3"/>
        <v>2596694.9900000002</v>
      </c>
      <c r="G23" s="333"/>
      <c r="H23" s="334"/>
      <c r="I23" s="100">
        <v>2364186.89</v>
      </c>
      <c r="J23" s="101">
        <f t="shared" si="0"/>
        <v>0.91045998821756113</v>
      </c>
      <c r="K23" s="100"/>
      <c r="L23" s="101">
        <f t="shared" si="1"/>
        <v>0</v>
      </c>
      <c r="M23" s="100">
        <v>232508.1</v>
      </c>
      <c r="N23" s="101">
        <f t="shared" si="2"/>
        <v>8.9540011782438866E-2</v>
      </c>
    </row>
    <row r="24" spans="2:14" ht="12">
      <c r="B24" s="318"/>
      <c r="C24" s="318"/>
      <c r="D24" s="86">
        <v>45887</v>
      </c>
      <c r="E24" s="86" t="s">
        <v>65</v>
      </c>
      <c r="F24" s="97">
        <f t="shared" si="3"/>
        <v>2751994</v>
      </c>
      <c r="G24" s="333"/>
      <c r="H24" s="334"/>
      <c r="I24" s="100">
        <v>2519486</v>
      </c>
      <c r="J24" s="101">
        <f t="shared" si="0"/>
        <v>0.91551289719381657</v>
      </c>
      <c r="K24" s="100"/>
      <c r="L24" s="101">
        <f t="shared" si="1"/>
        <v>0</v>
      </c>
      <c r="M24" s="100">
        <v>232508</v>
      </c>
      <c r="N24" s="101">
        <f t="shared" si="2"/>
        <v>8.4487102806183448E-2</v>
      </c>
    </row>
    <row r="25" spans="2:14" ht="12">
      <c r="B25" s="317">
        <f>D33</f>
        <v>45896</v>
      </c>
      <c r="C25" s="318"/>
      <c r="D25" s="86">
        <v>45888</v>
      </c>
      <c r="E25" s="86" t="s">
        <v>66</v>
      </c>
      <c r="F25" s="97">
        <f t="shared" si="3"/>
        <v>3663245.52</v>
      </c>
      <c r="G25" s="333">
        <f t="shared" ref="G25" si="6">SUM(F25:F31)</f>
        <v>20083918.420000002</v>
      </c>
      <c r="H25" s="334"/>
      <c r="I25" s="100">
        <v>3433508.58</v>
      </c>
      <c r="J25" s="101">
        <f t="shared" si="0"/>
        <v>0.93728595619766164</v>
      </c>
      <c r="K25" s="100"/>
      <c r="L25" s="101">
        <f t="shared" si="1"/>
        <v>0</v>
      </c>
      <c r="M25" s="100">
        <v>229736.94</v>
      </c>
      <c r="N25" s="101">
        <f t="shared" si="2"/>
        <v>6.2714043802338429E-2</v>
      </c>
    </row>
    <row r="26" spans="2:14" ht="12">
      <c r="B26" s="318"/>
      <c r="C26" s="318"/>
      <c r="D26" s="86">
        <v>45889</v>
      </c>
      <c r="E26" s="86" t="s">
        <v>67</v>
      </c>
      <c r="F26" s="97">
        <f t="shared" si="3"/>
        <v>3220104.3099999996</v>
      </c>
      <c r="G26" s="333"/>
      <c r="H26" s="334"/>
      <c r="I26" s="100">
        <v>2994134.26</v>
      </c>
      <c r="J26" s="101">
        <f t="shared" si="0"/>
        <v>0.92982523910848103</v>
      </c>
      <c r="K26" s="100"/>
      <c r="L26" s="101">
        <f t="shared" si="1"/>
        <v>0</v>
      </c>
      <c r="M26" s="100">
        <v>225970.05</v>
      </c>
      <c r="N26" s="101">
        <f t="shared" si="2"/>
        <v>7.017476089151907E-2</v>
      </c>
    </row>
    <row r="27" spans="2:14" ht="12">
      <c r="B27" s="318"/>
      <c r="C27" s="318"/>
      <c r="D27" s="86">
        <v>45890</v>
      </c>
      <c r="E27" s="86" t="s">
        <v>68</v>
      </c>
      <c r="F27" s="97">
        <f t="shared" si="3"/>
        <v>2984286.34</v>
      </c>
      <c r="G27" s="333"/>
      <c r="H27" s="334"/>
      <c r="I27" s="100">
        <v>2770927.94</v>
      </c>
      <c r="J27" s="101">
        <f t="shared" si="0"/>
        <v>0.92850605615813664</v>
      </c>
      <c r="K27" s="100"/>
      <c r="L27" s="101">
        <f t="shared" si="1"/>
        <v>0</v>
      </c>
      <c r="M27" s="100">
        <v>213358.4</v>
      </c>
      <c r="N27" s="101">
        <f t="shared" si="2"/>
        <v>7.1493943841863375E-2</v>
      </c>
    </row>
    <row r="28" spans="2:14" ht="12">
      <c r="B28" s="318"/>
      <c r="C28" s="318"/>
      <c r="D28" s="86">
        <v>45891</v>
      </c>
      <c r="E28" s="86" t="s">
        <v>63</v>
      </c>
      <c r="F28" s="97">
        <f t="shared" si="3"/>
        <v>2143867.2200000002</v>
      </c>
      <c r="G28" s="333"/>
      <c r="H28" s="334"/>
      <c r="I28" s="100">
        <v>1968339.74</v>
      </c>
      <c r="J28" s="101">
        <f t="shared" si="0"/>
        <v>0.91812576900168275</v>
      </c>
      <c r="K28" s="100"/>
      <c r="L28" s="101">
        <f t="shared" si="1"/>
        <v>0</v>
      </c>
      <c r="M28" s="100">
        <v>175527.48</v>
      </c>
      <c r="N28" s="101">
        <f t="shared" si="2"/>
        <v>8.1874230998317143E-2</v>
      </c>
    </row>
    <row r="29" spans="2:14" ht="12">
      <c r="B29" s="318"/>
      <c r="C29" s="318"/>
      <c r="D29" s="86">
        <v>45892</v>
      </c>
      <c r="E29" s="86" t="s">
        <v>64</v>
      </c>
      <c r="F29" s="97">
        <f t="shared" si="3"/>
        <v>2337356.91</v>
      </c>
      <c r="G29" s="333"/>
      <c r="H29" s="334"/>
      <c r="I29" s="100">
        <v>2156126.7400000002</v>
      </c>
      <c r="J29" s="101">
        <f t="shared" si="0"/>
        <v>0.92246363008377696</v>
      </c>
      <c r="K29" s="100"/>
      <c r="L29" s="101">
        <f t="shared" si="1"/>
        <v>0</v>
      </c>
      <c r="M29" s="100">
        <v>181230.17</v>
      </c>
      <c r="N29" s="101">
        <f t="shared" si="2"/>
        <v>7.7536369916223022E-2</v>
      </c>
    </row>
    <row r="30" spans="2:14" ht="12">
      <c r="B30" s="318"/>
      <c r="C30" s="318"/>
      <c r="D30" s="86">
        <v>45893</v>
      </c>
      <c r="E30" s="86" t="s">
        <v>59</v>
      </c>
      <c r="F30" s="97">
        <f t="shared" si="3"/>
        <v>2795939.1100000003</v>
      </c>
      <c r="G30" s="333"/>
      <c r="H30" s="334"/>
      <c r="I30" s="100">
        <v>2570125.9700000002</v>
      </c>
      <c r="J30" s="101">
        <f t="shared" si="0"/>
        <v>0.91923531553589521</v>
      </c>
      <c r="K30" s="100"/>
      <c r="L30" s="101">
        <f t="shared" si="1"/>
        <v>0</v>
      </c>
      <c r="M30" s="100">
        <v>225813.14</v>
      </c>
      <c r="N30" s="101">
        <f t="shared" si="2"/>
        <v>8.07646844641048E-2</v>
      </c>
    </row>
    <row r="31" spans="2:14" ht="12">
      <c r="B31" s="318"/>
      <c r="C31" s="318"/>
      <c r="D31" s="86">
        <v>45894</v>
      </c>
      <c r="E31" s="86" t="s">
        <v>65</v>
      </c>
      <c r="F31" s="97">
        <f t="shared" si="3"/>
        <v>2939119.0100000002</v>
      </c>
      <c r="G31" s="333"/>
      <c r="H31" s="334"/>
      <c r="I31" s="100">
        <v>2713996.08</v>
      </c>
      <c r="J31" s="101">
        <f t="shared" si="0"/>
        <v>0.92340462253006894</v>
      </c>
      <c r="K31" s="100"/>
      <c r="L31" s="101">
        <f t="shared" si="1"/>
        <v>0</v>
      </c>
      <c r="M31" s="100">
        <v>225122.93</v>
      </c>
      <c r="N31" s="101">
        <f t="shared" si="2"/>
        <v>7.6595377469931017E-2</v>
      </c>
    </row>
    <row r="32" spans="2:14" ht="12">
      <c r="B32" s="317">
        <f>D40</f>
        <v>45903</v>
      </c>
      <c r="C32" s="318"/>
      <c r="D32" s="86">
        <v>45895</v>
      </c>
      <c r="E32" s="86" t="s">
        <v>66</v>
      </c>
      <c r="F32" s="97">
        <f t="shared" si="3"/>
        <v>2910870.99</v>
      </c>
      <c r="G32" s="333">
        <f>SUM(F32:F38)</f>
        <v>18926951.860000003</v>
      </c>
      <c r="H32" s="334"/>
      <c r="I32" s="100">
        <v>2490177.1800000002</v>
      </c>
      <c r="J32" s="101">
        <f t="shared" si="0"/>
        <v>0.85547493810435071</v>
      </c>
      <c r="K32" s="100"/>
      <c r="L32" s="101">
        <f t="shared" si="1"/>
        <v>0</v>
      </c>
      <c r="M32" s="100">
        <v>420693.81</v>
      </c>
      <c r="N32" s="101">
        <f t="shared" si="2"/>
        <v>0.14452506189564931</v>
      </c>
    </row>
    <row r="33" spans="2:14" ht="12">
      <c r="B33" s="318"/>
      <c r="C33" s="318"/>
      <c r="D33" s="86">
        <v>45896</v>
      </c>
      <c r="E33" s="86" t="s">
        <v>67</v>
      </c>
      <c r="F33" s="97">
        <f t="shared" si="3"/>
        <v>2829056.48</v>
      </c>
      <c r="G33" s="333"/>
      <c r="H33" s="334"/>
      <c r="I33" s="100">
        <v>2503046.81</v>
      </c>
      <c r="J33" s="101">
        <f t="shared" si="0"/>
        <v>0.88476381708717244</v>
      </c>
      <c r="K33" s="100"/>
      <c r="L33" s="101">
        <f t="shared" si="1"/>
        <v>0</v>
      </c>
      <c r="M33" s="100">
        <v>326009.67</v>
      </c>
      <c r="N33" s="101">
        <f t="shared" si="2"/>
        <v>0.11523618291282753</v>
      </c>
    </row>
    <row r="34" spans="2:14" ht="12">
      <c r="B34" s="318"/>
      <c r="C34" s="318"/>
      <c r="D34" s="86">
        <v>45897</v>
      </c>
      <c r="E34" s="86" t="s">
        <v>68</v>
      </c>
      <c r="F34" s="97">
        <f t="shared" si="3"/>
        <v>2742273.89</v>
      </c>
      <c r="G34" s="333"/>
      <c r="H34" s="334"/>
      <c r="I34" s="100">
        <v>2432199.75</v>
      </c>
      <c r="J34" s="101">
        <f t="shared" si="0"/>
        <v>0.88692809236498249</v>
      </c>
      <c r="K34" s="100"/>
      <c r="L34" s="101">
        <f t="shared" si="1"/>
        <v>0</v>
      </c>
      <c r="M34" s="100">
        <v>310074.14</v>
      </c>
      <c r="N34" s="101">
        <f t="shared" si="2"/>
        <v>0.11307190763501745</v>
      </c>
    </row>
    <row r="35" spans="2:14" ht="12">
      <c r="B35" s="318"/>
      <c r="C35" s="318"/>
      <c r="D35" s="86">
        <v>45898</v>
      </c>
      <c r="E35" s="86" t="s">
        <v>63</v>
      </c>
      <c r="F35" s="97">
        <f t="shared" si="3"/>
        <v>2263407.15</v>
      </c>
      <c r="G35" s="333"/>
      <c r="H35" s="334"/>
      <c r="I35" s="100">
        <v>2048584.46</v>
      </c>
      <c r="J35" s="101">
        <f t="shared" si="0"/>
        <v>0.90508879942347098</v>
      </c>
      <c r="K35" s="100"/>
      <c r="L35" s="101">
        <f t="shared" si="1"/>
        <v>0</v>
      </c>
      <c r="M35" s="100">
        <v>214822.69</v>
      </c>
      <c r="N35" s="101">
        <f t="shared" si="2"/>
        <v>9.4911200576529062E-2</v>
      </c>
    </row>
    <row r="36" spans="2:14" ht="12">
      <c r="B36" s="318"/>
      <c r="C36" s="318"/>
      <c r="D36" s="86">
        <v>45899</v>
      </c>
      <c r="E36" s="86" t="s">
        <v>64</v>
      </c>
      <c r="F36" s="97">
        <f t="shared" si="3"/>
        <v>2324525.0499999998</v>
      </c>
      <c r="G36" s="333"/>
      <c r="H36" s="334"/>
      <c r="I36" s="100">
        <v>2089081.52</v>
      </c>
      <c r="J36" s="101">
        <f t="shared" si="0"/>
        <v>0.89871327478273477</v>
      </c>
      <c r="K36" s="100"/>
      <c r="L36" s="101">
        <f t="shared" si="1"/>
        <v>0</v>
      </c>
      <c r="M36" s="100">
        <v>235443.53</v>
      </c>
      <c r="N36" s="101">
        <f t="shared" si="2"/>
        <v>0.10128672521726535</v>
      </c>
    </row>
    <row r="37" spans="2:14" ht="12">
      <c r="B37" s="318"/>
      <c r="C37" s="318"/>
      <c r="D37" s="86">
        <v>45900</v>
      </c>
      <c r="E37" s="86" t="s">
        <v>59</v>
      </c>
      <c r="F37" s="97">
        <f t="shared" si="3"/>
        <v>2963199.3899999997</v>
      </c>
      <c r="G37" s="333"/>
      <c r="H37" s="334"/>
      <c r="I37" s="100">
        <v>2711101.84</v>
      </c>
      <c r="J37" s="101">
        <f t="shared" si="0"/>
        <v>0.9149238654507148</v>
      </c>
      <c r="K37" s="100"/>
      <c r="L37" s="101">
        <f t="shared" si="1"/>
        <v>0</v>
      </c>
      <c r="M37" s="100">
        <v>252097.55</v>
      </c>
      <c r="N37" s="101">
        <f t="shared" si="2"/>
        <v>8.5076134549285268E-2</v>
      </c>
    </row>
    <row r="38" spans="2:14" ht="12">
      <c r="B38" s="318"/>
      <c r="C38" s="79"/>
      <c r="D38" s="86">
        <v>45901</v>
      </c>
      <c r="E38" s="86" t="s">
        <v>65</v>
      </c>
      <c r="F38" s="97">
        <f t="shared" si="3"/>
        <v>2893618.9099999997</v>
      </c>
      <c r="G38" s="333"/>
      <c r="H38" s="97"/>
      <c r="I38" s="97">
        <v>2647777.36</v>
      </c>
      <c r="J38" s="101">
        <f t="shared" si="0"/>
        <v>0.91504010802860014</v>
      </c>
      <c r="L38" s="101">
        <f t="shared" si="1"/>
        <v>0</v>
      </c>
      <c r="M38" s="97">
        <v>245841.55</v>
      </c>
      <c r="N38" s="101">
        <f t="shared" si="2"/>
        <v>8.4959891971399928E-2</v>
      </c>
    </row>
    <row r="39" spans="2:14" ht="12">
      <c r="B39" s="318"/>
      <c r="C39" s="79"/>
      <c r="D39" s="86">
        <v>45902</v>
      </c>
      <c r="E39" s="86" t="s">
        <v>66</v>
      </c>
      <c r="F39" s="97">
        <f t="shared" si="3"/>
        <v>0</v>
      </c>
      <c r="G39" s="333">
        <f t="shared" ref="G39" si="7">SUM(F39:F45)</f>
        <v>0</v>
      </c>
      <c r="H39" s="97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2">
      <c r="B40" s="318"/>
      <c r="C40" s="79"/>
      <c r="D40" s="86">
        <v>45903</v>
      </c>
      <c r="E40" s="86" t="s">
        <v>67</v>
      </c>
      <c r="F40" s="97">
        <f t="shared" si="3"/>
        <v>0</v>
      </c>
      <c r="G40" s="333"/>
      <c r="H40" s="97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2">
      <c r="B41" s="318"/>
      <c r="C41" s="79"/>
      <c r="D41" s="86">
        <v>45904</v>
      </c>
      <c r="E41" s="86" t="s">
        <v>68</v>
      </c>
      <c r="F41" s="97">
        <f t="shared" si="3"/>
        <v>0</v>
      </c>
      <c r="G41" s="333"/>
      <c r="H41" s="97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2">
      <c r="B42" s="318"/>
      <c r="C42" s="79"/>
      <c r="D42" s="86">
        <v>45905</v>
      </c>
      <c r="E42" s="86" t="s">
        <v>63</v>
      </c>
      <c r="F42" s="97">
        <f t="shared" si="3"/>
        <v>0</v>
      </c>
      <c r="G42" s="333"/>
      <c r="H42" s="97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2">
      <c r="B43" s="318"/>
      <c r="C43" s="79"/>
      <c r="D43" s="86">
        <v>45906</v>
      </c>
      <c r="E43" s="86" t="s">
        <v>64</v>
      </c>
      <c r="F43" s="97">
        <f t="shared" si="3"/>
        <v>0</v>
      </c>
      <c r="G43" s="333"/>
      <c r="H43" s="97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2">
      <c r="B44" s="318"/>
      <c r="C44" s="79"/>
      <c r="D44" s="86">
        <v>45907</v>
      </c>
      <c r="E44" s="86" t="s">
        <v>59</v>
      </c>
      <c r="F44" s="97">
        <f t="shared" si="3"/>
        <v>0</v>
      </c>
      <c r="G44" s="333"/>
      <c r="H44" s="97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2">
      <c r="B45" s="318"/>
      <c r="C45" s="79"/>
      <c r="D45" s="86">
        <v>45908</v>
      </c>
      <c r="E45" s="86" t="s">
        <v>65</v>
      </c>
      <c r="F45" s="97">
        <f t="shared" si="3"/>
        <v>0</v>
      </c>
      <c r="G45" s="333"/>
      <c r="H45" s="97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8"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H5:H6"/>
    <mergeCell ref="I3:N3"/>
    <mergeCell ref="B2:N2"/>
    <mergeCell ref="B39:B45"/>
    <mergeCell ref="G39:G45"/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  <mergeCell ref="M5:N5"/>
    <mergeCell ref="K4:L4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N102"/>
  <sheetViews>
    <sheetView zoomScale="85" zoomScaleNormal="85" workbookViewId="0">
      <selection activeCell="M32" sqref="M32:M38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88" t="s">
        <v>88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</row>
    <row r="3" spans="1:14" ht="25.35" customHeight="1">
      <c r="B3" s="336" t="s">
        <v>50</v>
      </c>
      <c r="C3" s="337" t="s">
        <v>79</v>
      </c>
      <c r="D3" s="338" t="s">
        <v>52</v>
      </c>
      <c r="E3" s="338"/>
      <c r="F3" s="345" t="s">
        <v>89</v>
      </c>
      <c r="G3" s="346"/>
      <c r="H3" s="346"/>
      <c r="I3" s="348" t="s">
        <v>90</v>
      </c>
      <c r="J3" s="349"/>
      <c r="K3" s="349"/>
      <c r="L3" s="349"/>
      <c r="M3" s="349"/>
      <c r="N3" s="350"/>
    </row>
    <row r="4" spans="1:14" ht="25.35" customHeight="1">
      <c r="B4" s="336"/>
      <c r="C4" s="337"/>
      <c r="D4" s="338"/>
      <c r="E4" s="338"/>
      <c r="F4" s="346"/>
      <c r="G4" s="346"/>
      <c r="H4" s="346"/>
      <c r="I4" s="347" t="s">
        <v>82</v>
      </c>
      <c r="J4" s="347"/>
      <c r="K4" s="347" t="s">
        <v>83</v>
      </c>
      <c r="L4" s="347"/>
      <c r="M4" s="347" t="s">
        <v>84</v>
      </c>
      <c r="N4" s="347"/>
    </row>
    <row r="5" spans="1:14" ht="25.35" customHeight="1">
      <c r="B5" s="336"/>
      <c r="C5" s="337"/>
      <c r="D5" s="338"/>
      <c r="E5" s="338"/>
      <c r="F5" s="344" t="s">
        <v>59</v>
      </c>
      <c r="G5" s="344" t="s">
        <v>60</v>
      </c>
      <c r="H5" s="344" t="s">
        <v>61</v>
      </c>
      <c r="I5" s="347" t="s">
        <v>85</v>
      </c>
      <c r="J5" s="347"/>
      <c r="K5" s="347" t="s">
        <v>85</v>
      </c>
      <c r="L5" s="347"/>
      <c r="M5" s="347" t="s">
        <v>85</v>
      </c>
      <c r="N5" s="347"/>
    </row>
    <row r="6" spans="1:14" s="82" customFormat="1" ht="23.45" customHeight="1">
      <c r="B6" s="336"/>
      <c r="C6" s="337"/>
      <c r="D6" s="338"/>
      <c r="E6" s="338"/>
      <c r="F6" s="344"/>
      <c r="G6" s="344"/>
      <c r="H6" s="344"/>
      <c r="I6" s="105" t="s">
        <v>91</v>
      </c>
      <c r="J6" s="99" t="s">
        <v>87</v>
      </c>
      <c r="K6" s="105" t="s">
        <v>91</v>
      </c>
      <c r="L6" s="99" t="s">
        <v>87</v>
      </c>
      <c r="M6" s="105" t="s">
        <v>91</v>
      </c>
      <c r="N6" s="99" t="s">
        <v>87</v>
      </c>
    </row>
    <row r="7" spans="1:14" ht="12">
      <c r="B7" s="317">
        <f>D19</f>
        <v>45882</v>
      </c>
      <c r="C7" s="318" t="s">
        <v>62</v>
      </c>
      <c r="D7" s="86">
        <v>45870</v>
      </c>
      <c r="E7" s="86" t="s">
        <v>63</v>
      </c>
      <c r="F7" s="287">
        <f>SUM(I7,K7,M7)</f>
        <v>48634</v>
      </c>
      <c r="G7" s="315">
        <f>SUM(F7:F10)</f>
        <v>217451</v>
      </c>
      <c r="H7" s="315">
        <f>SUM(F7:F37)</f>
        <v>1717015</v>
      </c>
      <c r="I7" s="106">
        <v>41763</v>
      </c>
      <c r="J7" s="101">
        <f t="shared" ref="J7:J45" si="0">I7/F7</f>
        <v>0.85872023687132459</v>
      </c>
      <c r="K7" s="106"/>
      <c r="L7" s="101">
        <f t="shared" ref="L7:L45" si="1">K7/F7</f>
        <v>0</v>
      </c>
      <c r="M7" s="106">
        <v>6871</v>
      </c>
      <c r="N7" s="101">
        <f t="shared" ref="N7:N45" si="2">M7/F7</f>
        <v>0.14127976312867541</v>
      </c>
    </row>
    <row r="8" spans="1:14" ht="12">
      <c r="B8" s="318"/>
      <c r="C8" s="318"/>
      <c r="D8" s="86">
        <v>45871</v>
      </c>
      <c r="E8" s="86" t="s">
        <v>64</v>
      </c>
      <c r="F8" s="287">
        <f t="shared" ref="F8:F45" si="3">SUM(I8,K8,M8)</f>
        <v>50077</v>
      </c>
      <c r="G8" s="315"/>
      <c r="H8" s="315"/>
      <c r="I8" s="106">
        <v>43038</v>
      </c>
      <c r="J8" s="101">
        <f t="shared" si="0"/>
        <v>0.8594364678395271</v>
      </c>
      <c r="K8" s="106"/>
      <c r="L8" s="101">
        <f t="shared" si="1"/>
        <v>0</v>
      </c>
      <c r="M8" s="106">
        <v>7039</v>
      </c>
      <c r="N8" s="101">
        <f t="shared" si="2"/>
        <v>0.14056353216047288</v>
      </c>
    </row>
    <row r="9" spans="1:14" ht="12">
      <c r="B9" s="318"/>
      <c r="C9" s="318"/>
      <c r="D9" s="86">
        <v>45872</v>
      </c>
      <c r="E9" s="86" t="s">
        <v>59</v>
      </c>
      <c r="F9" s="287">
        <f t="shared" si="3"/>
        <v>59089</v>
      </c>
      <c r="G9" s="315"/>
      <c r="H9" s="315"/>
      <c r="I9" s="106">
        <v>50442</v>
      </c>
      <c r="J9" s="101">
        <f t="shared" si="0"/>
        <v>0.85366142598453176</v>
      </c>
      <c r="K9" s="106"/>
      <c r="L9" s="101">
        <f t="shared" si="1"/>
        <v>0</v>
      </c>
      <c r="M9" s="106">
        <v>8647</v>
      </c>
      <c r="N9" s="101">
        <f t="shared" si="2"/>
        <v>0.14633857401546818</v>
      </c>
    </row>
    <row r="10" spans="1:14" ht="12">
      <c r="B10" s="318"/>
      <c r="C10" s="318"/>
      <c r="D10" s="86">
        <v>45873</v>
      </c>
      <c r="E10" s="86" t="s">
        <v>65</v>
      </c>
      <c r="F10" s="287">
        <f t="shared" si="3"/>
        <v>59651</v>
      </c>
      <c r="G10" s="315"/>
      <c r="H10" s="315"/>
      <c r="I10" s="106">
        <v>51137</v>
      </c>
      <c r="J10" s="101">
        <f t="shared" si="0"/>
        <v>0.85726978592144309</v>
      </c>
      <c r="K10" s="106"/>
      <c r="L10" s="101">
        <f t="shared" si="1"/>
        <v>0</v>
      </c>
      <c r="M10" s="106">
        <v>8514</v>
      </c>
      <c r="N10" s="101">
        <f t="shared" si="2"/>
        <v>0.14273021407855693</v>
      </c>
    </row>
    <row r="11" spans="1:14" ht="12">
      <c r="B11" s="318"/>
      <c r="C11" s="318"/>
      <c r="D11" s="86">
        <v>45874</v>
      </c>
      <c r="E11" s="86" t="s">
        <v>66</v>
      </c>
      <c r="F11" s="287">
        <f t="shared" si="3"/>
        <v>72576</v>
      </c>
      <c r="G11" s="315">
        <f t="shared" ref="G11" si="4">SUM(F11:F17)</f>
        <v>408990</v>
      </c>
      <c r="H11" s="315"/>
      <c r="I11" s="106">
        <v>64272</v>
      </c>
      <c r="J11" s="101">
        <f t="shared" si="0"/>
        <v>0.88558201058201058</v>
      </c>
      <c r="K11" s="106"/>
      <c r="L11" s="101">
        <f t="shared" si="1"/>
        <v>0</v>
      </c>
      <c r="M11" s="106">
        <v>8304</v>
      </c>
      <c r="N11" s="101">
        <f t="shared" si="2"/>
        <v>0.11441798941798942</v>
      </c>
    </row>
    <row r="12" spans="1:14" ht="12">
      <c r="B12" s="318"/>
      <c r="C12" s="318"/>
      <c r="D12" s="86">
        <v>45875</v>
      </c>
      <c r="E12" s="86" t="s">
        <v>67</v>
      </c>
      <c r="F12" s="287">
        <f t="shared" si="3"/>
        <v>66419</v>
      </c>
      <c r="G12" s="315"/>
      <c r="H12" s="315"/>
      <c r="I12" s="106">
        <v>58065</v>
      </c>
      <c r="J12" s="101">
        <f t="shared" si="0"/>
        <v>0.87422273746969992</v>
      </c>
      <c r="K12" s="106"/>
      <c r="L12" s="101">
        <f t="shared" si="1"/>
        <v>0</v>
      </c>
      <c r="M12" s="106">
        <v>8354</v>
      </c>
      <c r="N12" s="101">
        <f t="shared" si="2"/>
        <v>0.12577726253030005</v>
      </c>
    </row>
    <row r="13" spans="1:14" ht="12">
      <c r="B13" s="318"/>
      <c r="C13" s="318"/>
      <c r="D13" s="86">
        <v>45876</v>
      </c>
      <c r="E13" s="86" t="s">
        <v>68</v>
      </c>
      <c r="F13" s="287">
        <f t="shared" si="3"/>
        <v>62707</v>
      </c>
      <c r="G13" s="315"/>
      <c r="H13" s="315"/>
      <c r="I13" s="106">
        <v>54834</v>
      </c>
      <c r="J13" s="101">
        <f t="shared" si="0"/>
        <v>0.8744478287910441</v>
      </c>
      <c r="K13" s="106"/>
      <c r="L13" s="101">
        <f t="shared" si="1"/>
        <v>0</v>
      </c>
      <c r="M13" s="106">
        <v>7873</v>
      </c>
      <c r="N13" s="101">
        <f t="shared" si="2"/>
        <v>0.12555217120895593</v>
      </c>
    </row>
    <row r="14" spans="1:14" ht="12">
      <c r="B14" s="318"/>
      <c r="C14" s="318"/>
      <c r="D14" s="86">
        <v>45877</v>
      </c>
      <c r="E14" s="86" t="s">
        <v>63</v>
      </c>
      <c r="F14" s="287">
        <f t="shared" si="3"/>
        <v>45233</v>
      </c>
      <c r="G14" s="315"/>
      <c r="H14" s="315"/>
      <c r="I14" s="106">
        <v>38391</v>
      </c>
      <c r="J14" s="101">
        <f t="shared" si="0"/>
        <v>0.84873875268056509</v>
      </c>
      <c r="K14" s="106"/>
      <c r="L14" s="101">
        <f t="shared" si="1"/>
        <v>0</v>
      </c>
      <c r="M14" s="106">
        <v>6842</v>
      </c>
      <c r="N14" s="101">
        <f t="shared" si="2"/>
        <v>0.15126124731943494</v>
      </c>
    </row>
    <row r="15" spans="1:14" ht="12">
      <c r="B15" s="318"/>
      <c r="C15" s="318"/>
      <c r="D15" s="86">
        <v>45878</v>
      </c>
      <c r="E15" s="86" t="s">
        <v>64</v>
      </c>
      <c r="F15" s="287">
        <f t="shared" si="3"/>
        <v>46023</v>
      </c>
      <c r="G15" s="315"/>
      <c r="H15" s="315"/>
      <c r="I15" s="106">
        <v>39093</v>
      </c>
      <c r="J15" s="101">
        <f t="shared" si="0"/>
        <v>0.84942311452969166</v>
      </c>
      <c r="K15" s="106"/>
      <c r="L15" s="101">
        <f t="shared" si="1"/>
        <v>0</v>
      </c>
      <c r="M15" s="106">
        <v>6930</v>
      </c>
      <c r="N15" s="101">
        <f t="shared" si="2"/>
        <v>0.15057688547030831</v>
      </c>
    </row>
    <row r="16" spans="1:14" ht="12">
      <c r="B16" s="318"/>
      <c r="C16" s="318"/>
      <c r="D16" s="86">
        <v>45879</v>
      </c>
      <c r="E16" s="86" t="s">
        <v>59</v>
      </c>
      <c r="F16" s="287">
        <f t="shared" si="3"/>
        <v>58090</v>
      </c>
      <c r="G16" s="315"/>
      <c r="H16" s="315"/>
      <c r="I16" s="106">
        <v>49524</v>
      </c>
      <c r="J16" s="101">
        <f t="shared" si="0"/>
        <v>0.85253916336718882</v>
      </c>
      <c r="K16" s="106"/>
      <c r="L16" s="101">
        <f t="shared" si="1"/>
        <v>0</v>
      </c>
      <c r="M16" s="106">
        <v>8566</v>
      </c>
      <c r="N16" s="101">
        <f t="shared" si="2"/>
        <v>0.14746083663281115</v>
      </c>
    </row>
    <row r="17" spans="2:14" ht="12">
      <c r="B17" s="318"/>
      <c r="C17" s="318"/>
      <c r="D17" s="86">
        <v>45880</v>
      </c>
      <c r="E17" s="86" t="s">
        <v>65</v>
      </c>
      <c r="F17" s="287">
        <f t="shared" si="3"/>
        <v>57942</v>
      </c>
      <c r="G17" s="315"/>
      <c r="H17" s="315"/>
      <c r="I17" s="106">
        <v>49640</v>
      </c>
      <c r="J17" s="101">
        <f t="shared" si="0"/>
        <v>0.85671878775327048</v>
      </c>
      <c r="K17" s="106"/>
      <c r="L17" s="101">
        <f t="shared" si="1"/>
        <v>0</v>
      </c>
      <c r="M17" s="106">
        <v>8302</v>
      </c>
      <c r="N17" s="101">
        <f t="shared" si="2"/>
        <v>0.14328121224672949</v>
      </c>
    </row>
    <row r="18" spans="2:14" ht="12">
      <c r="B18" s="317">
        <f>D26</f>
        <v>45889</v>
      </c>
      <c r="C18" s="318"/>
      <c r="D18" s="86">
        <v>45881</v>
      </c>
      <c r="E18" s="86" t="s">
        <v>66</v>
      </c>
      <c r="F18" s="287">
        <f t="shared" si="3"/>
        <v>54761</v>
      </c>
      <c r="G18" s="315">
        <f t="shared" ref="G18" si="5">SUM(F18:F24)</f>
        <v>358043</v>
      </c>
      <c r="H18" s="315"/>
      <c r="I18" s="106">
        <v>46599</v>
      </c>
      <c r="J18" s="101">
        <f t="shared" si="0"/>
        <v>0.8509523200818101</v>
      </c>
      <c r="K18" s="106"/>
      <c r="L18" s="101">
        <f t="shared" si="1"/>
        <v>0</v>
      </c>
      <c r="M18" s="106">
        <v>8162</v>
      </c>
      <c r="N18" s="101">
        <f t="shared" si="2"/>
        <v>0.14904767991818996</v>
      </c>
    </row>
    <row r="19" spans="2:14" ht="12">
      <c r="B19" s="318"/>
      <c r="C19" s="318"/>
      <c r="D19" s="86">
        <v>45882</v>
      </c>
      <c r="E19" s="86" t="s">
        <v>67</v>
      </c>
      <c r="F19" s="287">
        <f t="shared" si="3"/>
        <v>56324</v>
      </c>
      <c r="G19" s="315"/>
      <c r="H19" s="315"/>
      <c r="I19" s="106">
        <v>47970</v>
      </c>
      <c r="J19" s="101">
        <f t="shared" si="0"/>
        <v>0.85167956821248492</v>
      </c>
      <c r="K19" s="106"/>
      <c r="L19" s="101">
        <f t="shared" si="1"/>
        <v>0</v>
      </c>
      <c r="M19" s="106">
        <v>8354</v>
      </c>
      <c r="N19" s="101">
        <f t="shared" si="2"/>
        <v>0.14832043178751508</v>
      </c>
    </row>
    <row r="20" spans="2:14" ht="12">
      <c r="B20" s="318"/>
      <c r="C20" s="318"/>
      <c r="D20" s="86">
        <v>45883</v>
      </c>
      <c r="E20" s="86" t="s">
        <v>68</v>
      </c>
      <c r="F20" s="287">
        <f t="shared" si="3"/>
        <v>53933</v>
      </c>
      <c r="G20" s="315"/>
      <c r="H20" s="315"/>
      <c r="I20" s="106">
        <v>46125</v>
      </c>
      <c r="J20" s="101">
        <f t="shared" si="0"/>
        <v>0.85522778261917565</v>
      </c>
      <c r="K20" s="106"/>
      <c r="L20" s="101">
        <f t="shared" si="1"/>
        <v>0</v>
      </c>
      <c r="M20" s="106">
        <v>7808</v>
      </c>
      <c r="N20" s="101">
        <f t="shared" si="2"/>
        <v>0.14477221738082435</v>
      </c>
    </row>
    <row r="21" spans="2:14" ht="12">
      <c r="B21" s="318"/>
      <c r="C21" s="318"/>
      <c r="D21" s="86">
        <v>45884</v>
      </c>
      <c r="E21" s="86" t="s">
        <v>63</v>
      </c>
      <c r="F21" s="287">
        <f t="shared" si="3"/>
        <v>44208</v>
      </c>
      <c r="G21" s="315"/>
      <c r="H21" s="315"/>
      <c r="I21" s="106">
        <v>37105</v>
      </c>
      <c r="J21" s="101">
        <f t="shared" si="0"/>
        <v>0.83932772348896123</v>
      </c>
      <c r="K21" s="106"/>
      <c r="L21" s="101">
        <f t="shared" si="1"/>
        <v>0</v>
      </c>
      <c r="M21" s="106">
        <v>7103</v>
      </c>
      <c r="N21" s="101">
        <f t="shared" si="2"/>
        <v>0.16067227651103871</v>
      </c>
    </row>
    <row r="22" spans="2:14" ht="12">
      <c r="B22" s="318"/>
      <c r="C22" s="318"/>
      <c r="D22" s="86">
        <v>45885</v>
      </c>
      <c r="E22" s="86" t="s">
        <v>64</v>
      </c>
      <c r="F22" s="287">
        <f t="shared" si="3"/>
        <v>42811</v>
      </c>
      <c r="G22" s="315"/>
      <c r="H22" s="315"/>
      <c r="I22" s="106">
        <v>35797</v>
      </c>
      <c r="J22" s="101">
        <f t="shared" si="0"/>
        <v>0.83616360281236135</v>
      </c>
      <c r="K22" s="106"/>
      <c r="L22" s="101">
        <f t="shared" si="1"/>
        <v>0</v>
      </c>
      <c r="M22" s="106">
        <v>7014</v>
      </c>
      <c r="N22" s="101">
        <f t="shared" si="2"/>
        <v>0.1638363971876387</v>
      </c>
    </row>
    <row r="23" spans="2:14" ht="12">
      <c r="B23" s="318"/>
      <c r="C23" s="318"/>
      <c r="D23" s="86">
        <v>45886</v>
      </c>
      <c r="E23" s="86" t="s">
        <v>59</v>
      </c>
      <c r="F23" s="287">
        <f t="shared" si="3"/>
        <v>53433</v>
      </c>
      <c r="G23" s="315"/>
      <c r="H23" s="315"/>
      <c r="I23" s="106">
        <v>45010</v>
      </c>
      <c r="J23" s="101">
        <f t="shared" si="0"/>
        <v>0.84236333352048365</v>
      </c>
      <c r="K23" s="106"/>
      <c r="L23" s="101">
        <f t="shared" si="1"/>
        <v>0</v>
      </c>
      <c r="M23" s="106">
        <v>8423</v>
      </c>
      <c r="N23" s="101">
        <f t="shared" si="2"/>
        <v>0.15763666647951641</v>
      </c>
    </row>
    <row r="24" spans="2:14" ht="12">
      <c r="B24" s="318"/>
      <c r="C24" s="318"/>
      <c r="D24" s="86">
        <v>45887</v>
      </c>
      <c r="E24" s="86" t="s">
        <v>65</v>
      </c>
      <c r="F24" s="287">
        <f t="shared" si="3"/>
        <v>52573</v>
      </c>
      <c r="G24" s="315"/>
      <c r="H24" s="315"/>
      <c r="I24" s="106">
        <v>44150</v>
      </c>
      <c r="J24" s="101">
        <f t="shared" si="0"/>
        <v>0.83978468034922871</v>
      </c>
      <c r="K24" s="106"/>
      <c r="L24" s="101">
        <f t="shared" si="1"/>
        <v>0</v>
      </c>
      <c r="M24" s="106">
        <v>8423</v>
      </c>
      <c r="N24" s="101">
        <f t="shared" si="2"/>
        <v>0.16021531965077132</v>
      </c>
    </row>
    <row r="25" spans="2:14" ht="12">
      <c r="B25" s="317">
        <f>D26</f>
        <v>45889</v>
      </c>
      <c r="C25" s="318"/>
      <c r="D25" s="86">
        <v>45888</v>
      </c>
      <c r="E25" s="86" t="s">
        <v>66</v>
      </c>
      <c r="F25" s="287">
        <f t="shared" si="3"/>
        <v>71465</v>
      </c>
      <c r="G25" s="315">
        <f t="shared" ref="G25" si="6">SUM(F25:F31)</f>
        <v>400711</v>
      </c>
      <c r="H25" s="315"/>
      <c r="I25" s="106">
        <v>63140</v>
      </c>
      <c r="J25" s="101">
        <f t="shared" si="0"/>
        <v>0.88350941020079754</v>
      </c>
      <c r="K25" s="106"/>
      <c r="L25" s="101">
        <f t="shared" si="1"/>
        <v>0</v>
      </c>
      <c r="M25" s="106">
        <v>8325</v>
      </c>
      <c r="N25" s="101">
        <f t="shared" si="2"/>
        <v>0.1164905897992024</v>
      </c>
    </row>
    <row r="26" spans="2:14" ht="12">
      <c r="B26" s="318"/>
      <c r="C26" s="318"/>
      <c r="D26" s="86">
        <v>45889</v>
      </c>
      <c r="E26" s="86" t="s">
        <v>67</v>
      </c>
      <c r="F26" s="287">
        <f t="shared" si="3"/>
        <v>63950</v>
      </c>
      <c r="G26" s="315"/>
      <c r="H26" s="315"/>
      <c r="I26" s="106">
        <v>55768</v>
      </c>
      <c r="J26" s="101">
        <f t="shared" si="0"/>
        <v>0.87205629397967166</v>
      </c>
      <c r="K26" s="106"/>
      <c r="L26" s="101">
        <f t="shared" si="1"/>
        <v>0</v>
      </c>
      <c r="M26" s="106">
        <v>8182</v>
      </c>
      <c r="N26" s="101">
        <f t="shared" si="2"/>
        <v>0.12794370602032837</v>
      </c>
    </row>
    <row r="27" spans="2:14" ht="12">
      <c r="B27" s="318"/>
      <c r="C27" s="318"/>
      <c r="D27" s="86">
        <v>45890</v>
      </c>
      <c r="E27" s="86" t="s">
        <v>68</v>
      </c>
      <c r="F27" s="287">
        <f t="shared" si="3"/>
        <v>59293</v>
      </c>
      <c r="G27" s="315"/>
      <c r="H27" s="315"/>
      <c r="I27" s="106">
        <v>51567</v>
      </c>
      <c r="J27" s="101">
        <f t="shared" si="0"/>
        <v>0.86969794073499407</v>
      </c>
      <c r="K27" s="106"/>
      <c r="L27" s="101">
        <f t="shared" si="1"/>
        <v>0</v>
      </c>
      <c r="M27" s="106">
        <v>7726</v>
      </c>
      <c r="N27" s="101">
        <f t="shared" si="2"/>
        <v>0.13030205926500599</v>
      </c>
    </row>
    <row r="28" spans="2:14" ht="12">
      <c r="B28" s="318"/>
      <c r="C28" s="318"/>
      <c r="D28" s="86">
        <v>45891</v>
      </c>
      <c r="E28" s="86" t="s">
        <v>63</v>
      </c>
      <c r="F28" s="287">
        <f t="shared" si="3"/>
        <v>43229</v>
      </c>
      <c r="G28" s="315"/>
      <c r="H28" s="315"/>
      <c r="I28" s="106">
        <v>36883</v>
      </c>
      <c r="J28" s="101">
        <f t="shared" si="0"/>
        <v>0.85320039788105206</v>
      </c>
      <c r="K28" s="106"/>
      <c r="L28" s="101">
        <f t="shared" si="1"/>
        <v>0</v>
      </c>
      <c r="M28" s="106">
        <v>6346</v>
      </c>
      <c r="N28" s="101">
        <f t="shared" si="2"/>
        <v>0.14679960211894794</v>
      </c>
    </row>
    <row r="29" spans="2:14" ht="12">
      <c r="B29" s="318"/>
      <c r="C29" s="318"/>
      <c r="D29" s="86">
        <v>45892</v>
      </c>
      <c r="E29" s="86" t="s">
        <v>64</v>
      </c>
      <c r="F29" s="287">
        <f t="shared" si="3"/>
        <v>46688</v>
      </c>
      <c r="G29" s="315"/>
      <c r="H29" s="315"/>
      <c r="I29" s="106">
        <v>40136</v>
      </c>
      <c r="J29" s="101">
        <f t="shared" si="0"/>
        <v>0.85966415352981496</v>
      </c>
      <c r="K29" s="106"/>
      <c r="L29" s="101">
        <f t="shared" si="1"/>
        <v>0</v>
      </c>
      <c r="M29" s="106">
        <v>6552</v>
      </c>
      <c r="N29" s="101">
        <f t="shared" si="2"/>
        <v>0.14033584647018507</v>
      </c>
    </row>
    <row r="30" spans="2:14" ht="12">
      <c r="B30" s="318"/>
      <c r="C30" s="318"/>
      <c r="D30" s="86">
        <v>45893</v>
      </c>
      <c r="E30" s="86" t="s">
        <v>59</v>
      </c>
      <c r="F30" s="287">
        <f t="shared" si="3"/>
        <v>56606</v>
      </c>
      <c r="G30" s="315"/>
      <c r="H30" s="315"/>
      <c r="I30" s="106">
        <v>48427</v>
      </c>
      <c r="J30" s="101">
        <f t="shared" si="0"/>
        <v>0.85551001660601345</v>
      </c>
      <c r="K30" s="106"/>
      <c r="L30" s="101">
        <f t="shared" si="1"/>
        <v>0</v>
      </c>
      <c r="M30" s="106">
        <v>8179</v>
      </c>
      <c r="N30" s="101">
        <f t="shared" si="2"/>
        <v>0.1444899833939865</v>
      </c>
    </row>
    <row r="31" spans="2:14" ht="12">
      <c r="B31" s="318"/>
      <c r="C31" s="318"/>
      <c r="D31" s="86">
        <v>45894</v>
      </c>
      <c r="E31" s="86" t="s">
        <v>65</v>
      </c>
      <c r="F31" s="287">
        <f t="shared" si="3"/>
        <v>59480</v>
      </c>
      <c r="G31" s="315"/>
      <c r="H31" s="315"/>
      <c r="I31" s="106">
        <v>51327</v>
      </c>
      <c r="J31" s="101">
        <f t="shared" si="0"/>
        <v>0.86292871553463346</v>
      </c>
      <c r="K31" s="106"/>
      <c r="L31" s="101">
        <f t="shared" si="1"/>
        <v>0</v>
      </c>
      <c r="M31" s="106">
        <v>8153</v>
      </c>
      <c r="N31" s="101">
        <f t="shared" si="2"/>
        <v>0.13707128446536651</v>
      </c>
    </row>
    <row r="32" spans="2:14" ht="12">
      <c r="B32" s="317">
        <f>D40</f>
        <v>45903</v>
      </c>
      <c r="C32" s="318"/>
      <c r="D32" s="86">
        <v>45895</v>
      </c>
      <c r="E32" s="86" t="s">
        <v>66</v>
      </c>
      <c r="F32" s="287">
        <f t="shared" si="3"/>
        <v>62340</v>
      </c>
      <c r="G32" s="315">
        <f>SUM(F32:F37)</f>
        <v>331820</v>
      </c>
      <c r="H32" s="315"/>
      <c r="I32" s="106">
        <v>46919</v>
      </c>
      <c r="J32" s="101">
        <f t="shared" si="0"/>
        <v>0.75263073468078279</v>
      </c>
      <c r="K32" s="106"/>
      <c r="L32" s="101">
        <f t="shared" si="1"/>
        <v>0</v>
      </c>
      <c r="M32" s="106">
        <v>15421</v>
      </c>
      <c r="N32" s="101">
        <f t="shared" si="2"/>
        <v>0.24736926531921719</v>
      </c>
    </row>
    <row r="33" spans="2:14" ht="12">
      <c r="B33" s="318"/>
      <c r="C33" s="318"/>
      <c r="D33" s="86">
        <v>45896</v>
      </c>
      <c r="E33" s="86" t="s">
        <v>67</v>
      </c>
      <c r="F33" s="287">
        <f t="shared" si="3"/>
        <v>58742</v>
      </c>
      <c r="G33" s="315"/>
      <c r="H33" s="315"/>
      <c r="I33" s="106">
        <v>47052</v>
      </c>
      <c r="J33" s="101">
        <f t="shared" si="0"/>
        <v>0.80099417793061178</v>
      </c>
      <c r="K33" s="106"/>
      <c r="L33" s="101">
        <f t="shared" si="1"/>
        <v>0</v>
      </c>
      <c r="M33" s="106">
        <v>11690</v>
      </c>
      <c r="N33" s="101">
        <f t="shared" si="2"/>
        <v>0.19900582206938816</v>
      </c>
    </row>
    <row r="34" spans="2:14" ht="12">
      <c r="B34" s="318"/>
      <c r="C34" s="318"/>
      <c r="D34" s="86">
        <v>45897</v>
      </c>
      <c r="E34" s="86" t="s">
        <v>68</v>
      </c>
      <c r="F34" s="287">
        <f t="shared" si="3"/>
        <v>56809</v>
      </c>
      <c r="G34" s="315"/>
      <c r="H34" s="315"/>
      <c r="I34" s="106">
        <v>45692</v>
      </c>
      <c r="J34" s="101">
        <f t="shared" si="0"/>
        <v>0.80430917636290022</v>
      </c>
      <c r="K34" s="106"/>
      <c r="L34" s="101">
        <f t="shared" si="1"/>
        <v>0</v>
      </c>
      <c r="M34" s="106">
        <v>11117</v>
      </c>
      <c r="N34" s="101">
        <f t="shared" si="2"/>
        <v>0.19569082363709975</v>
      </c>
    </row>
    <row r="35" spans="2:14" ht="12">
      <c r="B35" s="318"/>
      <c r="C35" s="318"/>
      <c r="D35" s="86">
        <v>45898</v>
      </c>
      <c r="E35" s="86" t="s">
        <v>63</v>
      </c>
      <c r="F35" s="287">
        <f t="shared" si="3"/>
        <v>46138</v>
      </c>
      <c r="G35" s="315"/>
      <c r="H35" s="315"/>
      <c r="I35" s="106">
        <v>38409</v>
      </c>
      <c r="J35" s="101">
        <f t="shared" si="0"/>
        <v>0.8324808184143222</v>
      </c>
      <c r="K35" s="106"/>
      <c r="L35" s="101">
        <f t="shared" si="1"/>
        <v>0</v>
      </c>
      <c r="M35" s="106">
        <v>7729</v>
      </c>
      <c r="N35" s="101">
        <f t="shared" si="2"/>
        <v>0.16751918158567775</v>
      </c>
    </row>
    <row r="36" spans="2:14" ht="12">
      <c r="B36" s="318"/>
      <c r="C36" s="318"/>
      <c r="D36" s="86">
        <v>45899</v>
      </c>
      <c r="E36" s="86" t="s">
        <v>64</v>
      </c>
      <c r="F36" s="287">
        <f t="shared" si="3"/>
        <v>47670</v>
      </c>
      <c r="G36" s="315"/>
      <c r="H36" s="315"/>
      <c r="I36" s="106">
        <v>39211</v>
      </c>
      <c r="J36" s="101">
        <f t="shared" si="0"/>
        <v>0.82255087056849174</v>
      </c>
      <c r="K36" s="106"/>
      <c r="L36" s="101">
        <f t="shared" si="1"/>
        <v>0</v>
      </c>
      <c r="M36" s="106">
        <v>8459</v>
      </c>
      <c r="N36" s="101">
        <f t="shared" si="2"/>
        <v>0.17744912943150828</v>
      </c>
    </row>
    <row r="37" spans="2:14" ht="12">
      <c r="B37" s="318"/>
      <c r="C37" s="318"/>
      <c r="D37" s="86">
        <v>45900</v>
      </c>
      <c r="E37" s="86" t="s">
        <v>59</v>
      </c>
      <c r="F37" s="287">
        <f t="shared" si="3"/>
        <v>60121</v>
      </c>
      <c r="G37" s="315"/>
      <c r="H37" s="315"/>
      <c r="I37" s="106">
        <v>51015</v>
      </c>
      <c r="J37" s="101">
        <f t="shared" si="0"/>
        <v>0.84853878012674444</v>
      </c>
      <c r="K37" s="106"/>
      <c r="L37" s="101">
        <f t="shared" si="1"/>
        <v>0</v>
      </c>
      <c r="M37" s="106">
        <v>9106</v>
      </c>
      <c r="N37" s="101">
        <f t="shared" si="2"/>
        <v>0.15146121987325561</v>
      </c>
    </row>
    <row r="38" spans="2:14" ht="12">
      <c r="B38" s="318"/>
      <c r="C38" s="79"/>
      <c r="D38" s="86">
        <v>45901</v>
      </c>
      <c r="E38" s="86" t="s">
        <v>65</v>
      </c>
      <c r="F38" s="287">
        <f t="shared" si="3"/>
        <v>58795</v>
      </c>
      <c r="G38" s="315"/>
      <c r="H38" s="287"/>
      <c r="I38" s="88">
        <v>49909</v>
      </c>
      <c r="J38" s="101">
        <f t="shared" si="0"/>
        <v>0.84886469937919895</v>
      </c>
      <c r="L38" s="101">
        <f t="shared" si="1"/>
        <v>0</v>
      </c>
      <c r="M38" s="88">
        <v>8886</v>
      </c>
      <c r="N38" s="101">
        <f t="shared" si="2"/>
        <v>0.15113530062080108</v>
      </c>
    </row>
    <row r="39" spans="2:14" ht="12">
      <c r="B39" s="318"/>
      <c r="C39" s="79"/>
      <c r="D39" s="86">
        <v>45902</v>
      </c>
      <c r="E39" s="86" t="s">
        <v>66</v>
      </c>
      <c r="F39" s="287">
        <f t="shared" si="3"/>
        <v>0</v>
      </c>
      <c r="G39" s="315">
        <f t="shared" ref="G39" si="7">SUM(F39:F45)</f>
        <v>0</v>
      </c>
      <c r="H39" s="287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2">
      <c r="B40" s="318"/>
      <c r="C40" s="79"/>
      <c r="D40" s="86">
        <v>45903</v>
      </c>
      <c r="E40" s="86" t="s">
        <v>67</v>
      </c>
      <c r="F40" s="287">
        <f t="shared" si="3"/>
        <v>0</v>
      </c>
      <c r="G40" s="315"/>
      <c r="H40" s="287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2">
      <c r="B41" s="318"/>
      <c r="C41" s="79"/>
      <c r="D41" s="86">
        <v>45904</v>
      </c>
      <c r="E41" s="86" t="s">
        <v>68</v>
      </c>
      <c r="F41" s="287">
        <f t="shared" si="3"/>
        <v>0</v>
      </c>
      <c r="G41" s="315"/>
      <c r="H41" s="287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2">
      <c r="B42" s="318"/>
      <c r="C42" s="79"/>
      <c r="D42" s="86">
        <v>45905</v>
      </c>
      <c r="E42" s="86" t="s">
        <v>63</v>
      </c>
      <c r="F42" s="287">
        <f t="shared" si="3"/>
        <v>0</v>
      </c>
      <c r="G42" s="315"/>
      <c r="H42" s="287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2">
      <c r="B43" s="318"/>
      <c r="C43" s="79"/>
      <c r="D43" s="86">
        <v>45906</v>
      </c>
      <c r="E43" s="86" t="s">
        <v>64</v>
      </c>
      <c r="F43" s="287">
        <f t="shared" si="3"/>
        <v>0</v>
      </c>
      <c r="G43" s="315"/>
      <c r="H43" s="287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2">
      <c r="B44" s="318"/>
      <c r="C44" s="79"/>
      <c r="D44" s="86">
        <v>45907</v>
      </c>
      <c r="E44" s="86" t="s">
        <v>59</v>
      </c>
      <c r="F44" s="287">
        <f t="shared" si="3"/>
        <v>0</v>
      </c>
      <c r="G44" s="315"/>
      <c r="H44" s="287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2">
      <c r="B45" s="318"/>
      <c r="C45" s="79"/>
      <c r="D45" s="86">
        <v>45908</v>
      </c>
      <c r="E45" s="86" t="s">
        <v>65</v>
      </c>
      <c r="F45" s="287">
        <f t="shared" si="3"/>
        <v>0</v>
      </c>
      <c r="G45" s="315"/>
      <c r="H45" s="287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7">
    <mergeCell ref="B39:B45"/>
    <mergeCell ref="D3:E6"/>
    <mergeCell ref="B3:B6"/>
    <mergeCell ref="G7:G10"/>
    <mergeCell ref="H7:H37"/>
    <mergeCell ref="G11:G17"/>
    <mergeCell ref="G18:G24"/>
    <mergeCell ref="G25:G31"/>
    <mergeCell ref="G32:G38"/>
    <mergeCell ref="B7:B17"/>
    <mergeCell ref="G39:G45"/>
    <mergeCell ref="F5:F6"/>
    <mergeCell ref="B18:B24"/>
    <mergeCell ref="B25:B31"/>
    <mergeCell ref="B32:B38"/>
    <mergeCell ref="C7:C37"/>
    <mergeCell ref="C3:C6"/>
    <mergeCell ref="G5:G6"/>
    <mergeCell ref="H5:H6"/>
    <mergeCell ref="F3:H4"/>
    <mergeCell ref="M5:N5"/>
    <mergeCell ref="I5:J5"/>
    <mergeCell ref="I4:J4"/>
    <mergeCell ref="M4:N4"/>
    <mergeCell ref="I3:N3"/>
    <mergeCell ref="K4:L4"/>
    <mergeCell ref="K5:L5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7"/>
  <sheetViews>
    <sheetView tabSelected="1" topLeftCell="A86" zoomScale="115" zoomScaleNormal="115" workbookViewId="0">
      <pane xSplit="4" topLeftCell="AK1" activePane="topRight" state="frozen"/>
      <selection pane="topRight" activeCell="B90" sqref="B90:B107"/>
    </sheetView>
  </sheetViews>
  <sheetFormatPr defaultColWidth="8.85546875" defaultRowHeight="12.75"/>
  <cols>
    <col min="1" max="1" width="5.5703125" style="293" customWidth="1"/>
    <col min="2" max="2" width="12.42578125" style="293" customWidth="1"/>
    <col min="3" max="3" width="8.85546875" style="292"/>
    <col min="4" max="4" width="26.42578125" style="292" customWidth="1"/>
    <col min="5" max="7" width="8.42578125" style="292" customWidth="1"/>
    <col min="8" max="8" width="11.140625" style="292" bestFit="1" customWidth="1"/>
    <col min="9" max="12" width="11.140625" style="292" customWidth="1"/>
    <col min="13" max="13" width="13.5703125" style="292" customWidth="1"/>
    <col min="14" max="14" width="9.85546875" style="292" customWidth="1"/>
    <col min="15" max="15" width="7.140625" style="292" customWidth="1"/>
    <col min="16" max="18" width="12.85546875" style="292" customWidth="1"/>
    <col min="19" max="19" width="5.42578125" style="292" customWidth="1"/>
    <col min="20" max="20" width="12.85546875" style="292" customWidth="1"/>
    <col min="21" max="23" width="12.85546875" style="293" customWidth="1"/>
    <col min="24" max="24" width="5.42578125" style="292" customWidth="1"/>
    <col min="25" max="28" width="12.85546875" style="293" customWidth="1"/>
    <col min="29" max="29" width="7.7109375" style="292" bestFit="1" customWidth="1"/>
    <col min="30" max="30" width="12.85546875" style="293" customWidth="1"/>
    <col min="31" max="33" width="12.5703125" style="293" customWidth="1"/>
    <col min="34" max="34" width="7.7109375" style="292" bestFit="1" customWidth="1"/>
    <col min="35" max="35" width="13" style="293" customWidth="1"/>
    <col min="36" max="38" width="12.5703125" style="293" customWidth="1"/>
    <col min="39" max="39" width="5.42578125" style="292" customWidth="1"/>
    <col min="40" max="40" width="13" style="293" customWidth="1"/>
    <col min="41" max="43" width="13.140625" style="293" customWidth="1"/>
    <col min="44" max="44" width="5.42578125" style="293" customWidth="1"/>
    <col min="45" max="48" width="13.140625" style="293" customWidth="1"/>
    <col min="49" max="49" width="5.42578125" style="293" customWidth="1"/>
    <col min="50" max="50" width="13.140625" style="293" customWidth="1"/>
    <col min="51" max="16384" width="8.85546875" style="293"/>
  </cols>
  <sheetData>
    <row r="1" spans="1:50" ht="21">
      <c r="A1" s="289"/>
      <c r="B1" s="290" t="s">
        <v>92</v>
      </c>
      <c r="C1" s="291">
        <f>AVERAGE(L7,L27,L47,L67,L90)</f>
        <v>95.555686996308154</v>
      </c>
    </row>
    <row r="2" spans="1:50" ht="15.75">
      <c r="A2" s="294"/>
      <c r="B2" s="380" t="s">
        <v>93</v>
      </c>
      <c r="C2" s="366"/>
      <c r="D2" s="366"/>
      <c r="E2" s="366"/>
      <c r="F2" s="366"/>
      <c r="G2" s="366"/>
      <c r="H2" s="366"/>
      <c r="I2" s="295"/>
      <c r="J2" s="295"/>
      <c r="K2" s="295"/>
      <c r="L2" s="295"/>
      <c r="M2" s="296"/>
      <c r="N2" s="355" t="s">
        <v>94</v>
      </c>
      <c r="O2" s="355" t="s">
        <v>52</v>
      </c>
      <c r="P2" s="368"/>
      <c r="Q2" s="354"/>
      <c r="R2" s="354"/>
      <c r="S2" s="354"/>
      <c r="T2" s="354"/>
      <c r="U2" s="368"/>
      <c r="V2" s="354"/>
      <c r="W2" s="354"/>
      <c r="X2" s="354"/>
      <c r="Y2" s="354"/>
      <c r="Z2" s="368"/>
      <c r="AA2" s="354"/>
      <c r="AB2" s="354"/>
      <c r="AC2" s="354"/>
      <c r="AD2" s="354"/>
      <c r="AE2" s="368">
        <v>45870</v>
      </c>
      <c r="AF2" s="354"/>
      <c r="AG2" s="354"/>
      <c r="AH2" s="354"/>
      <c r="AI2" s="354"/>
      <c r="AJ2" s="368">
        <v>45871</v>
      </c>
      <c r="AK2" s="354"/>
      <c r="AL2" s="354"/>
      <c r="AM2" s="354"/>
      <c r="AN2" s="354"/>
      <c r="AO2" s="368">
        <v>45872</v>
      </c>
      <c r="AP2" s="354"/>
      <c r="AQ2" s="354"/>
      <c r="AR2" s="354"/>
      <c r="AS2" s="354"/>
      <c r="AT2" s="368">
        <v>45873</v>
      </c>
      <c r="AU2" s="354"/>
      <c r="AV2" s="354"/>
      <c r="AW2" s="354"/>
      <c r="AX2" s="354"/>
    </row>
    <row r="3" spans="1:50" ht="15.75">
      <c r="A3" s="294"/>
      <c r="B3" s="367"/>
      <c r="C3" s="367"/>
      <c r="D3" s="367"/>
      <c r="E3" s="367"/>
      <c r="F3" s="367"/>
      <c r="G3" s="367"/>
      <c r="H3" s="367"/>
      <c r="I3" s="297"/>
      <c r="J3" s="297"/>
      <c r="K3" s="297"/>
      <c r="L3" s="297"/>
      <c r="M3" s="298"/>
      <c r="N3" s="357"/>
      <c r="O3" s="357"/>
      <c r="P3" s="368" t="s">
        <v>66</v>
      </c>
      <c r="Q3" s="354"/>
      <c r="R3" s="354"/>
      <c r="S3" s="354"/>
      <c r="T3" s="354"/>
      <c r="U3" s="368" t="s">
        <v>67</v>
      </c>
      <c r="V3" s="354"/>
      <c r="W3" s="354"/>
      <c r="X3" s="354"/>
      <c r="Y3" s="354"/>
      <c r="Z3" s="368" t="s">
        <v>68</v>
      </c>
      <c r="AA3" s="354"/>
      <c r="AB3" s="354"/>
      <c r="AC3" s="354"/>
      <c r="AD3" s="354"/>
      <c r="AE3" s="368" t="s">
        <v>63</v>
      </c>
      <c r="AF3" s="354"/>
      <c r="AG3" s="354"/>
      <c r="AH3" s="354"/>
      <c r="AI3" s="354"/>
      <c r="AJ3" s="368" t="s">
        <v>64</v>
      </c>
      <c r="AK3" s="354"/>
      <c r="AL3" s="354"/>
      <c r="AM3" s="354"/>
      <c r="AN3" s="354"/>
      <c r="AO3" s="368" t="s">
        <v>59</v>
      </c>
      <c r="AP3" s="354"/>
      <c r="AQ3" s="354"/>
      <c r="AR3" s="354"/>
      <c r="AS3" s="354"/>
      <c r="AT3" s="368" t="s">
        <v>65</v>
      </c>
      <c r="AU3" s="354"/>
      <c r="AV3" s="354"/>
      <c r="AW3" s="354"/>
      <c r="AX3" s="354"/>
    </row>
    <row r="4" spans="1:50">
      <c r="A4" s="294"/>
      <c r="B4" s="361" t="s">
        <v>95</v>
      </c>
      <c r="C4" s="374" t="s">
        <v>96</v>
      </c>
      <c r="D4" s="361"/>
      <c r="E4" s="361" t="s">
        <v>97</v>
      </c>
      <c r="F4" s="361"/>
      <c r="G4" s="361"/>
      <c r="H4" s="362" t="s">
        <v>98</v>
      </c>
      <c r="I4" s="361" t="s">
        <v>99</v>
      </c>
      <c r="J4" s="361"/>
      <c r="K4" s="361"/>
      <c r="L4" s="362" t="s">
        <v>98</v>
      </c>
      <c r="M4" s="355" t="s">
        <v>100</v>
      </c>
      <c r="N4" s="361"/>
      <c r="O4" s="361" t="s">
        <v>101</v>
      </c>
      <c r="P4" s="358" t="s">
        <v>102</v>
      </c>
      <c r="Q4" s="359"/>
      <c r="R4" s="359"/>
      <c r="S4" s="360"/>
      <c r="T4" s="361" t="s">
        <v>98</v>
      </c>
      <c r="U4" s="358" t="s">
        <v>102</v>
      </c>
      <c r="V4" s="359"/>
      <c r="W4" s="359"/>
      <c r="X4" s="360"/>
      <c r="Y4" s="361" t="s">
        <v>98</v>
      </c>
      <c r="Z4" s="358" t="s">
        <v>102</v>
      </c>
      <c r="AA4" s="359"/>
      <c r="AB4" s="359"/>
      <c r="AC4" s="360"/>
      <c r="AD4" s="361" t="s">
        <v>98</v>
      </c>
      <c r="AE4" s="358" t="s">
        <v>102</v>
      </c>
      <c r="AF4" s="359"/>
      <c r="AG4" s="359"/>
      <c r="AH4" s="360"/>
      <c r="AI4" s="361" t="s">
        <v>98</v>
      </c>
      <c r="AJ4" s="358" t="s">
        <v>102</v>
      </c>
      <c r="AK4" s="359"/>
      <c r="AL4" s="359"/>
      <c r="AM4" s="360"/>
      <c r="AN4" s="361" t="s">
        <v>98</v>
      </c>
      <c r="AO4" s="358" t="s">
        <v>102</v>
      </c>
      <c r="AP4" s="359"/>
      <c r="AQ4" s="359"/>
      <c r="AR4" s="360"/>
      <c r="AS4" s="361" t="s">
        <v>98</v>
      </c>
      <c r="AT4" s="358" t="s">
        <v>102</v>
      </c>
      <c r="AU4" s="359"/>
      <c r="AV4" s="359"/>
      <c r="AW4" s="360"/>
      <c r="AX4" s="361" t="s">
        <v>98</v>
      </c>
    </row>
    <row r="5" spans="1:50">
      <c r="A5" s="294"/>
      <c r="B5" s="361"/>
      <c r="C5" s="361"/>
      <c r="D5" s="361"/>
      <c r="E5" s="361" t="s">
        <v>103</v>
      </c>
      <c r="F5" s="361"/>
      <c r="G5" s="361"/>
      <c r="H5" s="363"/>
      <c r="I5" s="361" t="s">
        <v>103</v>
      </c>
      <c r="J5" s="361"/>
      <c r="K5" s="361"/>
      <c r="L5" s="363"/>
      <c r="M5" s="356"/>
      <c r="N5" s="361"/>
      <c r="O5" s="361"/>
      <c r="P5" s="358" t="s">
        <v>104</v>
      </c>
      <c r="Q5" s="359"/>
      <c r="R5" s="359"/>
      <c r="S5" s="360"/>
      <c r="T5" s="361"/>
      <c r="U5" s="358" t="s">
        <v>104</v>
      </c>
      <c r="V5" s="359"/>
      <c r="W5" s="359"/>
      <c r="X5" s="360"/>
      <c r="Y5" s="361"/>
      <c r="Z5" s="358" t="s">
        <v>104</v>
      </c>
      <c r="AA5" s="359"/>
      <c r="AB5" s="359"/>
      <c r="AC5" s="360"/>
      <c r="AD5" s="361"/>
      <c r="AE5" s="358" t="s">
        <v>104</v>
      </c>
      <c r="AF5" s="359"/>
      <c r="AG5" s="359"/>
      <c r="AH5" s="360"/>
      <c r="AI5" s="361"/>
      <c r="AJ5" s="358" t="s">
        <v>104</v>
      </c>
      <c r="AK5" s="359"/>
      <c r="AL5" s="359"/>
      <c r="AM5" s="360"/>
      <c r="AN5" s="361"/>
      <c r="AO5" s="358" t="s">
        <v>104</v>
      </c>
      <c r="AP5" s="359"/>
      <c r="AQ5" s="359"/>
      <c r="AR5" s="360"/>
      <c r="AS5" s="361"/>
      <c r="AT5" s="358" t="s">
        <v>104</v>
      </c>
      <c r="AU5" s="359"/>
      <c r="AV5" s="359"/>
      <c r="AW5" s="360"/>
      <c r="AX5" s="361"/>
    </row>
    <row r="6" spans="1:50">
      <c r="A6" s="299"/>
      <c r="B6" s="361"/>
      <c r="C6" s="361"/>
      <c r="D6" s="361"/>
      <c r="E6" s="300" t="s">
        <v>105</v>
      </c>
      <c r="F6" s="300" t="s">
        <v>106</v>
      </c>
      <c r="G6" s="300" t="s">
        <v>107</v>
      </c>
      <c r="H6" s="364"/>
      <c r="I6" s="300" t="s">
        <v>105</v>
      </c>
      <c r="J6" s="300" t="s">
        <v>106</v>
      </c>
      <c r="K6" s="300" t="s">
        <v>107</v>
      </c>
      <c r="L6" s="364"/>
      <c r="M6" s="357"/>
      <c r="N6" s="361"/>
      <c r="O6" s="361"/>
      <c r="P6" s="300" t="s">
        <v>105</v>
      </c>
      <c r="Q6" s="300" t="s">
        <v>106</v>
      </c>
      <c r="R6" s="300" t="s">
        <v>107</v>
      </c>
      <c r="S6" s="300" t="s">
        <v>100</v>
      </c>
      <c r="T6" s="361"/>
      <c r="U6" s="300" t="s">
        <v>105</v>
      </c>
      <c r="V6" s="300" t="s">
        <v>106</v>
      </c>
      <c r="W6" s="300" t="s">
        <v>107</v>
      </c>
      <c r="X6" s="300" t="s">
        <v>100</v>
      </c>
      <c r="Y6" s="361"/>
      <c r="Z6" s="300" t="s">
        <v>105</v>
      </c>
      <c r="AA6" s="300" t="s">
        <v>106</v>
      </c>
      <c r="AB6" s="300" t="s">
        <v>107</v>
      </c>
      <c r="AC6" s="300" t="s">
        <v>100</v>
      </c>
      <c r="AD6" s="361"/>
      <c r="AE6" s="300" t="s">
        <v>105</v>
      </c>
      <c r="AF6" s="300" t="s">
        <v>106</v>
      </c>
      <c r="AG6" s="300" t="s">
        <v>107</v>
      </c>
      <c r="AH6" s="300" t="s">
        <v>100</v>
      </c>
      <c r="AI6" s="361"/>
      <c r="AJ6" s="300" t="s">
        <v>105</v>
      </c>
      <c r="AK6" s="300" t="s">
        <v>106</v>
      </c>
      <c r="AL6" s="300" t="s">
        <v>107</v>
      </c>
      <c r="AM6" s="300" t="s">
        <v>100</v>
      </c>
      <c r="AN6" s="361"/>
      <c r="AO6" s="300" t="s">
        <v>105</v>
      </c>
      <c r="AP6" s="300" t="s">
        <v>106</v>
      </c>
      <c r="AQ6" s="300" t="s">
        <v>107</v>
      </c>
      <c r="AR6" s="300" t="s">
        <v>100</v>
      </c>
      <c r="AS6" s="361"/>
      <c r="AT6" s="300" t="s">
        <v>105</v>
      </c>
      <c r="AU6" s="300" t="s">
        <v>106</v>
      </c>
      <c r="AV6" s="300" t="s">
        <v>107</v>
      </c>
      <c r="AW6" s="300" t="s">
        <v>100</v>
      </c>
      <c r="AX6" s="361"/>
    </row>
    <row r="7" spans="1:50">
      <c r="A7" s="294"/>
      <c r="B7" s="354" t="s">
        <v>108</v>
      </c>
      <c r="C7" s="301">
        <v>1</v>
      </c>
      <c r="D7" s="301" t="s">
        <v>109</v>
      </c>
      <c r="E7" s="302">
        <f>VLOOKUP(D7,'[1]0801-0804產線配置圖'!$A$2:$C$17,2,0)</f>
        <v>12</v>
      </c>
      <c r="F7" s="302">
        <f>VLOOKUP(D7,'[1]0801-0804產線配置圖'!$A$2:$C$17,3,0)</f>
        <v>2000</v>
      </c>
      <c r="G7" s="303">
        <f>F7/E7</f>
        <v>166.66666666666666</v>
      </c>
      <c r="H7" s="375">
        <f>AVERAGE(G7:G21)</f>
        <v>104.05274064754107</v>
      </c>
      <c r="I7" s="302">
        <f>AVERAGE(P7,U7,Z7,AE7,AJ7,AO7,AT7)</f>
        <v>12</v>
      </c>
      <c r="J7" s="302">
        <f>AVERAGE(Q7,V7,AA7,AF7,AK7,AP7,AU7)</f>
        <v>1725</v>
      </c>
      <c r="K7" s="303">
        <f>AVERAGE(AG7,AL7,AQ7,AV7)</f>
        <v>143.75</v>
      </c>
      <c r="L7" s="375">
        <f>IFERROR(AVERAGE(K7:K21),"-")</f>
        <v>99.875984380072708</v>
      </c>
      <c r="M7" s="304">
        <f>RANK(K7, K$7:$K$21)</f>
        <v>1</v>
      </c>
      <c r="N7" s="361"/>
      <c r="O7" s="361"/>
      <c r="P7" s="302"/>
      <c r="Q7" s="302"/>
      <c r="R7" s="303" t="e">
        <f>Q7/P7</f>
        <v>#DIV/0!</v>
      </c>
      <c r="S7" s="301" t="e">
        <f>RANK(R7, R$7:R$21)</f>
        <v>#DIV/0!</v>
      </c>
      <c r="T7" s="373" t="e">
        <f>AVERAGE(R7:R21)</f>
        <v>#DIV/0!</v>
      </c>
      <c r="U7" s="302"/>
      <c r="V7" s="302"/>
      <c r="W7" s="303" t="e">
        <f>V7/U7</f>
        <v>#DIV/0!</v>
      </c>
      <c r="X7" s="301" t="e">
        <f>RANK(W7, W$7:W$21)</f>
        <v>#DIV/0!</v>
      </c>
      <c r="Y7" s="373" t="e">
        <f>AVERAGE(W7:W21)</f>
        <v>#DIV/0!</v>
      </c>
      <c r="Z7" s="301"/>
      <c r="AA7" s="302"/>
      <c r="AB7" s="303" t="e">
        <f>AA7/Z7</f>
        <v>#DIV/0!</v>
      </c>
      <c r="AC7" s="301" t="e">
        <f>RANK(AB7, AB$7:AB$21)</f>
        <v>#DIV/0!</v>
      </c>
      <c r="AD7" s="373" t="e">
        <f>AVERAGE(AB7:AB21)</f>
        <v>#DIV/0!</v>
      </c>
      <c r="AE7" s="302">
        <v>12</v>
      </c>
      <c r="AF7" s="302">
        <v>1636</v>
      </c>
      <c r="AG7" s="303">
        <f>AF7/AE7</f>
        <v>136.33333333333334</v>
      </c>
      <c r="AH7" s="301">
        <f>RANK(AG7, AG$7:AG$21)</f>
        <v>3</v>
      </c>
      <c r="AI7" s="373">
        <f>AVERAGE(AG7:AG21)</f>
        <v>108.53434527657215</v>
      </c>
      <c r="AJ7" s="301">
        <v>12</v>
      </c>
      <c r="AK7" s="302">
        <v>1735</v>
      </c>
      <c r="AL7" s="303">
        <f>AK7/AJ7</f>
        <v>144.58333333333334</v>
      </c>
      <c r="AM7" s="301">
        <f>RANK(AL7, AL$7:AL$21)</f>
        <v>1</v>
      </c>
      <c r="AN7" s="373">
        <f>AVERAGE(AL7:AL21)</f>
        <v>97.267563388991974</v>
      </c>
      <c r="AO7" s="301">
        <v>12</v>
      </c>
      <c r="AP7" s="302">
        <v>1636</v>
      </c>
      <c r="AQ7" s="303">
        <f>AP7/AO7</f>
        <v>136.33333333333334</v>
      </c>
      <c r="AR7" s="301">
        <f>RANK(AQ7, AQ$7:AQ$21)</f>
        <v>2</v>
      </c>
      <c r="AS7" s="373">
        <f>AVERAGE(AQ7:AQ21)</f>
        <v>97.609827969649388</v>
      </c>
      <c r="AT7" s="301">
        <v>12</v>
      </c>
      <c r="AU7" s="302">
        <v>1893</v>
      </c>
      <c r="AV7" s="303">
        <f>AU7/AT7</f>
        <v>157.75</v>
      </c>
      <c r="AW7" s="301">
        <f>RANK(AV7, AV$7:AV$21)</f>
        <v>1</v>
      </c>
      <c r="AX7" s="373">
        <f>AVERAGE(AV7:AV21)</f>
        <v>96.693844542903861</v>
      </c>
    </row>
    <row r="8" spans="1:50" ht="15" customHeight="1">
      <c r="A8" s="294"/>
      <c r="B8" s="354"/>
      <c r="C8" s="301">
        <v>2</v>
      </c>
      <c r="D8" s="301" t="s">
        <v>110</v>
      </c>
      <c r="E8" s="302">
        <f>VLOOKUP(D8,'[1]0801-0804產線配置圖'!$A$2:$C$17,2,0)</f>
        <v>13</v>
      </c>
      <c r="F8" s="302">
        <f>VLOOKUP(D8,'[1]0801-0804產線配置圖'!$A$2:$C$17,3,0)</f>
        <v>2000</v>
      </c>
      <c r="G8" s="303">
        <f t="shared" ref="G8:G20" si="0">F8/E8</f>
        <v>153.84615384615384</v>
      </c>
      <c r="H8" s="376"/>
      <c r="I8" s="302">
        <f t="shared" ref="I8:J21" si="1">AVERAGE(P8,U8,Z8,AE8,AJ8,AO8,AT8)</f>
        <v>12.75</v>
      </c>
      <c r="J8" s="302">
        <f t="shared" si="1"/>
        <v>1672.75</v>
      </c>
      <c r="K8" s="303">
        <f t="shared" ref="K8:K20" si="2">AVERAGE(AG8,AL8,AQ8,AV8)</f>
        <v>130.96314102564102</v>
      </c>
      <c r="L8" s="376"/>
      <c r="M8" s="304">
        <f>RANK(K8, K$7:$K$21)</f>
        <v>2</v>
      </c>
      <c r="N8" s="361"/>
      <c r="O8" s="361"/>
      <c r="P8" s="302"/>
      <c r="Q8" s="302"/>
      <c r="R8" s="303" t="e">
        <f t="shared" ref="R8:R21" si="3">Q8/P8</f>
        <v>#DIV/0!</v>
      </c>
      <c r="S8" s="301" t="e">
        <f t="shared" ref="S8:S21" si="4">RANK(R8, R$7:R$21)</f>
        <v>#DIV/0!</v>
      </c>
      <c r="T8" s="373"/>
      <c r="U8" s="302"/>
      <c r="V8" s="302"/>
      <c r="W8" s="303" t="e">
        <f t="shared" ref="W8:W21" si="5">V8/U8</f>
        <v>#DIV/0!</v>
      </c>
      <c r="X8" s="301" t="e">
        <f t="shared" ref="X8:X21" si="6">RANK(W8, W$7:W$21)</f>
        <v>#DIV/0!</v>
      </c>
      <c r="Y8" s="373"/>
      <c r="Z8" s="301"/>
      <c r="AA8" s="302"/>
      <c r="AB8" s="303" t="e">
        <f t="shared" ref="AB8:AB21" si="7">AA8/Z8</f>
        <v>#DIV/0!</v>
      </c>
      <c r="AC8" s="301" t="e">
        <f t="shared" ref="AC8:AC21" si="8">RANK(AB8, AB$7:AB$21)</f>
        <v>#DIV/0!</v>
      </c>
      <c r="AD8" s="373"/>
      <c r="AE8" s="302">
        <v>13</v>
      </c>
      <c r="AF8" s="302">
        <v>1620</v>
      </c>
      <c r="AG8" s="303">
        <f t="shared" ref="AG8:AG16" si="9">AF8/AE8</f>
        <v>124.61538461538461</v>
      </c>
      <c r="AH8" s="301">
        <f t="shared" ref="AH8:AH20" si="10">RANK(AG8, AG$7:AG$21)</f>
        <v>5</v>
      </c>
      <c r="AI8" s="373"/>
      <c r="AJ8" s="301">
        <v>12</v>
      </c>
      <c r="AK8" s="302">
        <v>1429</v>
      </c>
      <c r="AL8" s="303">
        <f t="shared" ref="AL8:AL16" si="11">AK8/AJ8</f>
        <v>119.08333333333333</v>
      </c>
      <c r="AM8" s="301">
        <f t="shared" ref="AM8:AM20" si="12">RANK(AL8, AL$7:AL$21)</f>
        <v>3</v>
      </c>
      <c r="AN8" s="373"/>
      <c r="AO8" s="301">
        <v>13</v>
      </c>
      <c r="AP8" s="302">
        <v>1620</v>
      </c>
      <c r="AQ8" s="303">
        <f t="shared" ref="AQ8:AQ16" si="13">AP8/AO8</f>
        <v>124.61538461538461</v>
      </c>
      <c r="AR8" s="301">
        <f t="shared" ref="AR8:AR21" si="14">RANK(AQ8, AQ$7:AQ$21)</f>
        <v>3</v>
      </c>
      <c r="AS8" s="373"/>
      <c r="AT8" s="301">
        <v>13</v>
      </c>
      <c r="AU8" s="302">
        <v>2022</v>
      </c>
      <c r="AV8" s="303">
        <f t="shared" ref="AV8:AV16" si="15">AU8/AT8</f>
        <v>155.53846153846155</v>
      </c>
      <c r="AW8" s="301">
        <f t="shared" ref="AW8:AW20" si="16">RANK(AV8, AV$7:AV$21)</f>
        <v>2</v>
      </c>
      <c r="AX8" s="373"/>
    </row>
    <row r="9" spans="1:50">
      <c r="A9" s="294"/>
      <c r="B9" s="354"/>
      <c r="C9" s="301">
        <v>3</v>
      </c>
      <c r="D9" s="301" t="s">
        <v>111</v>
      </c>
      <c r="E9" s="302">
        <f>VLOOKUP(D9,'[1]0801-0804產線配置圖'!$A$2:$C$17,2,0)</f>
        <v>16</v>
      </c>
      <c r="F9" s="302">
        <f>VLOOKUP(D9,'[1]0801-0804產線配置圖'!$A$2:$C$17,3,0)</f>
        <v>1915</v>
      </c>
      <c r="G9" s="303">
        <f t="shared" si="0"/>
        <v>119.6875</v>
      </c>
      <c r="H9" s="376"/>
      <c r="I9" s="302">
        <f t="shared" si="1"/>
        <v>15.5</v>
      </c>
      <c r="J9" s="302">
        <f t="shared" si="1"/>
        <v>1460</v>
      </c>
      <c r="K9" s="303">
        <f t="shared" si="2"/>
        <v>94.321428571428569</v>
      </c>
      <c r="L9" s="376"/>
      <c r="M9" s="304">
        <f>RANK(K9, K$7:$K$21)</f>
        <v>7</v>
      </c>
      <c r="N9" s="361"/>
      <c r="O9" s="361"/>
      <c r="P9" s="302"/>
      <c r="Q9" s="302"/>
      <c r="R9" s="303" t="e">
        <f t="shared" si="3"/>
        <v>#DIV/0!</v>
      </c>
      <c r="S9" s="301" t="e">
        <f t="shared" si="4"/>
        <v>#DIV/0!</v>
      </c>
      <c r="T9" s="373"/>
      <c r="U9" s="302"/>
      <c r="V9" s="302"/>
      <c r="W9" s="303" t="e">
        <f t="shared" si="5"/>
        <v>#DIV/0!</v>
      </c>
      <c r="X9" s="301" t="e">
        <f t="shared" si="6"/>
        <v>#DIV/0!</v>
      </c>
      <c r="Y9" s="373"/>
      <c r="Z9" s="301"/>
      <c r="AA9" s="302"/>
      <c r="AB9" s="303" t="e">
        <f t="shared" si="7"/>
        <v>#DIV/0!</v>
      </c>
      <c r="AC9" s="301" t="e">
        <f t="shared" si="8"/>
        <v>#DIV/0!</v>
      </c>
      <c r="AD9" s="373"/>
      <c r="AE9" s="302">
        <v>16</v>
      </c>
      <c r="AF9" s="302">
        <v>1418</v>
      </c>
      <c r="AG9" s="303">
        <f t="shared" si="9"/>
        <v>88.625</v>
      </c>
      <c r="AH9" s="301">
        <f t="shared" si="10"/>
        <v>11</v>
      </c>
      <c r="AI9" s="373"/>
      <c r="AJ9" s="301">
        <v>14</v>
      </c>
      <c r="AK9" s="302">
        <v>1376</v>
      </c>
      <c r="AL9" s="303">
        <f t="shared" si="11"/>
        <v>98.285714285714292</v>
      </c>
      <c r="AM9" s="301">
        <f t="shared" si="12"/>
        <v>7</v>
      </c>
      <c r="AN9" s="373"/>
      <c r="AO9" s="301">
        <v>16</v>
      </c>
      <c r="AP9" s="302">
        <v>1418</v>
      </c>
      <c r="AQ9" s="303">
        <f t="shared" si="13"/>
        <v>88.625</v>
      </c>
      <c r="AR9" s="301">
        <f t="shared" si="14"/>
        <v>10</v>
      </c>
      <c r="AS9" s="373"/>
      <c r="AT9" s="301">
        <v>16</v>
      </c>
      <c r="AU9" s="302">
        <v>1628</v>
      </c>
      <c r="AV9" s="303">
        <f t="shared" si="15"/>
        <v>101.75</v>
      </c>
      <c r="AW9" s="301">
        <f t="shared" si="16"/>
        <v>4</v>
      </c>
      <c r="AX9" s="373"/>
    </row>
    <row r="10" spans="1:50">
      <c r="A10" s="294"/>
      <c r="B10" s="354"/>
      <c r="C10" s="301">
        <v>4</v>
      </c>
      <c r="D10" s="301" t="s">
        <v>112</v>
      </c>
      <c r="E10" s="302">
        <f>VLOOKUP(D10,'[1]0801-0804產線配置圖'!$A$2:$C$17,2,0)</f>
        <v>18</v>
      </c>
      <c r="F10" s="302">
        <f>VLOOKUP(D10,'[1]0801-0804產線配置圖'!$A$2:$C$17,3,0)</f>
        <v>1565</v>
      </c>
      <c r="G10" s="303">
        <f t="shared" si="0"/>
        <v>86.944444444444443</v>
      </c>
      <c r="H10" s="376"/>
      <c r="I10" s="302">
        <f t="shared" si="1"/>
        <v>14.75</v>
      </c>
      <c r="J10" s="302">
        <f t="shared" si="1"/>
        <v>1534.75</v>
      </c>
      <c r="K10" s="303">
        <f t="shared" si="2"/>
        <v>104.69642857142858</v>
      </c>
      <c r="L10" s="376"/>
      <c r="M10" s="304">
        <f>RANK(K10, K$7:$K$21)</f>
        <v>6</v>
      </c>
      <c r="N10" s="361"/>
      <c r="O10" s="361"/>
      <c r="P10" s="302"/>
      <c r="Q10" s="302"/>
      <c r="R10" s="303" t="e">
        <f t="shared" si="3"/>
        <v>#DIV/0!</v>
      </c>
      <c r="S10" s="301" t="e">
        <f t="shared" si="4"/>
        <v>#DIV/0!</v>
      </c>
      <c r="T10" s="373"/>
      <c r="U10" s="302"/>
      <c r="V10" s="302"/>
      <c r="W10" s="303" t="e">
        <f t="shared" si="5"/>
        <v>#DIV/0!</v>
      </c>
      <c r="X10" s="301" t="e">
        <f t="shared" si="6"/>
        <v>#DIV/0!</v>
      </c>
      <c r="Y10" s="373"/>
      <c r="Z10" s="301"/>
      <c r="AA10" s="302"/>
      <c r="AB10" s="303" t="e">
        <f t="shared" si="7"/>
        <v>#DIV/0!</v>
      </c>
      <c r="AC10" s="301" t="e">
        <f t="shared" si="8"/>
        <v>#DIV/0!</v>
      </c>
      <c r="AD10" s="373"/>
      <c r="AE10" s="302">
        <v>14</v>
      </c>
      <c r="AF10" s="302">
        <v>1581</v>
      </c>
      <c r="AG10" s="303">
        <f t="shared" si="9"/>
        <v>112.92857142857143</v>
      </c>
      <c r="AH10" s="301">
        <f t="shared" si="10"/>
        <v>7</v>
      </c>
      <c r="AI10" s="373"/>
      <c r="AJ10" s="301">
        <v>14</v>
      </c>
      <c r="AK10" s="302">
        <v>1414</v>
      </c>
      <c r="AL10" s="303">
        <f t="shared" si="11"/>
        <v>101</v>
      </c>
      <c r="AM10" s="301">
        <f t="shared" si="12"/>
        <v>5</v>
      </c>
      <c r="AN10" s="373"/>
      <c r="AO10" s="301">
        <v>14</v>
      </c>
      <c r="AP10" s="302">
        <v>1580</v>
      </c>
      <c r="AQ10" s="303">
        <f t="shared" si="13"/>
        <v>112.85714285714286</v>
      </c>
      <c r="AR10" s="301">
        <f t="shared" si="14"/>
        <v>5</v>
      </c>
      <c r="AS10" s="373"/>
      <c r="AT10" s="301">
        <v>17</v>
      </c>
      <c r="AU10" s="302">
        <v>1564</v>
      </c>
      <c r="AV10" s="303">
        <f t="shared" si="15"/>
        <v>92</v>
      </c>
      <c r="AW10" s="301">
        <f t="shared" si="16"/>
        <v>6</v>
      </c>
      <c r="AX10" s="373"/>
    </row>
    <row r="11" spans="1:50">
      <c r="A11" s="294"/>
      <c r="B11" s="354"/>
      <c r="C11" s="301">
        <v>5</v>
      </c>
      <c r="D11" s="301" t="s">
        <v>113</v>
      </c>
      <c r="E11" s="302">
        <f>VLOOKUP(D11,'[1]0801-0804產線配置圖'!$A$2:$C$17,2,0)</f>
        <v>14</v>
      </c>
      <c r="F11" s="302">
        <f>VLOOKUP(D11,'[1]0801-0804產線配置圖'!$A$2:$C$17,3,0)</f>
        <v>1714</v>
      </c>
      <c r="G11" s="303">
        <f t="shared" si="0"/>
        <v>122.42857142857143</v>
      </c>
      <c r="H11" s="376"/>
      <c r="I11" s="302">
        <f t="shared" si="1"/>
        <v>13</v>
      </c>
      <c r="J11" s="302">
        <f t="shared" si="1"/>
        <v>1643.25</v>
      </c>
      <c r="K11" s="303">
        <f t="shared" si="2"/>
        <v>127.46771978021977</v>
      </c>
      <c r="L11" s="376"/>
      <c r="M11" s="304">
        <f>RANK(K11, K$7:$K$21)</f>
        <v>3</v>
      </c>
      <c r="N11" s="361"/>
      <c r="O11" s="361"/>
      <c r="P11" s="302"/>
      <c r="Q11" s="302"/>
      <c r="R11" s="303" t="e">
        <f t="shared" si="3"/>
        <v>#DIV/0!</v>
      </c>
      <c r="S11" s="301" t="e">
        <f t="shared" si="4"/>
        <v>#DIV/0!</v>
      </c>
      <c r="T11" s="373"/>
      <c r="U11" s="302"/>
      <c r="V11" s="302"/>
      <c r="W11" s="303" t="e">
        <f t="shared" si="5"/>
        <v>#DIV/0!</v>
      </c>
      <c r="X11" s="301" t="e">
        <f t="shared" si="6"/>
        <v>#DIV/0!</v>
      </c>
      <c r="Y11" s="373"/>
      <c r="Z11" s="301"/>
      <c r="AA11" s="302"/>
      <c r="AB11" s="303" t="e">
        <f t="shared" si="7"/>
        <v>#DIV/0!</v>
      </c>
      <c r="AC11" s="301" t="e">
        <f t="shared" si="8"/>
        <v>#DIV/0!</v>
      </c>
      <c r="AD11" s="373"/>
      <c r="AE11" s="302">
        <v>13</v>
      </c>
      <c r="AF11" s="302">
        <v>1857</v>
      </c>
      <c r="AG11" s="303">
        <f t="shared" si="9"/>
        <v>142.84615384615384</v>
      </c>
      <c r="AH11" s="301">
        <f t="shared" si="10"/>
        <v>2</v>
      </c>
      <c r="AI11" s="373"/>
      <c r="AJ11" s="301">
        <v>12</v>
      </c>
      <c r="AK11" s="302">
        <v>1677</v>
      </c>
      <c r="AL11" s="303">
        <f t="shared" si="11"/>
        <v>139.75</v>
      </c>
      <c r="AM11" s="301">
        <f t="shared" si="12"/>
        <v>2</v>
      </c>
      <c r="AN11" s="373"/>
      <c r="AO11" s="301">
        <v>13</v>
      </c>
      <c r="AP11" s="302">
        <v>1857</v>
      </c>
      <c r="AQ11" s="303">
        <f t="shared" si="13"/>
        <v>142.84615384615384</v>
      </c>
      <c r="AR11" s="301">
        <f t="shared" si="14"/>
        <v>1</v>
      </c>
      <c r="AS11" s="373"/>
      <c r="AT11" s="301">
        <v>14</v>
      </c>
      <c r="AU11" s="302">
        <v>1182</v>
      </c>
      <c r="AV11" s="303">
        <f t="shared" si="15"/>
        <v>84.428571428571431</v>
      </c>
      <c r="AW11" s="301">
        <f t="shared" si="16"/>
        <v>8</v>
      </c>
      <c r="AX11" s="373"/>
    </row>
    <row r="12" spans="1:50">
      <c r="A12" s="294"/>
      <c r="B12" s="354"/>
      <c r="C12" s="301">
        <v>6</v>
      </c>
      <c r="D12" s="301" t="s">
        <v>114</v>
      </c>
      <c r="E12" s="302">
        <f>VLOOKUP(D12,'[1]0801-0804產線配置圖'!$A$2:$C$17,2,0)</f>
        <v>16</v>
      </c>
      <c r="F12" s="302">
        <f>VLOOKUP(D12,'[1]0801-0804產線配置圖'!$A$2:$C$17,3,0)</f>
        <v>1818</v>
      </c>
      <c r="G12" s="303">
        <f t="shared" si="0"/>
        <v>113.625</v>
      </c>
      <c r="H12" s="376"/>
      <c r="I12" s="302">
        <f t="shared" si="1"/>
        <v>14.25</v>
      </c>
      <c r="J12" s="302">
        <f t="shared" si="1"/>
        <v>1695.25</v>
      </c>
      <c r="K12" s="303">
        <f t="shared" si="2"/>
        <v>118.85112179487179</v>
      </c>
      <c r="L12" s="376"/>
      <c r="M12" s="304">
        <f>RANK(K12, K$7:$K$21)</f>
        <v>5</v>
      </c>
      <c r="N12" s="361"/>
      <c r="O12" s="361"/>
      <c r="P12" s="302"/>
      <c r="Q12" s="302"/>
      <c r="R12" s="303" t="e">
        <f t="shared" si="3"/>
        <v>#DIV/0!</v>
      </c>
      <c r="S12" s="301" t="e">
        <f t="shared" si="4"/>
        <v>#DIV/0!</v>
      </c>
      <c r="T12" s="373"/>
      <c r="U12" s="302"/>
      <c r="V12" s="302"/>
      <c r="W12" s="303" t="e">
        <f t="shared" si="5"/>
        <v>#DIV/0!</v>
      </c>
      <c r="X12" s="301" t="e">
        <f t="shared" si="6"/>
        <v>#DIV/0!</v>
      </c>
      <c r="Y12" s="373"/>
      <c r="Z12" s="301"/>
      <c r="AA12" s="302"/>
      <c r="AB12" s="303" t="e">
        <f t="shared" si="7"/>
        <v>#DIV/0!</v>
      </c>
      <c r="AC12" s="301" t="e">
        <f t="shared" si="8"/>
        <v>#DIV/0!</v>
      </c>
      <c r="AD12" s="373"/>
      <c r="AE12" s="302">
        <v>13</v>
      </c>
      <c r="AF12" s="302">
        <v>1507</v>
      </c>
      <c r="AG12" s="303">
        <f t="shared" si="9"/>
        <v>115.92307692307692</v>
      </c>
      <c r="AH12" s="301">
        <f t="shared" si="10"/>
        <v>6</v>
      </c>
      <c r="AI12" s="373"/>
      <c r="AJ12" s="301">
        <v>16</v>
      </c>
      <c r="AK12" s="302">
        <v>1818</v>
      </c>
      <c r="AL12" s="303">
        <f t="shared" si="11"/>
        <v>113.625</v>
      </c>
      <c r="AM12" s="301">
        <f t="shared" si="12"/>
        <v>4</v>
      </c>
      <c r="AN12" s="373"/>
      <c r="AO12" s="301">
        <v>13</v>
      </c>
      <c r="AP12" s="302">
        <v>1507</v>
      </c>
      <c r="AQ12" s="303">
        <f t="shared" si="13"/>
        <v>115.92307692307692</v>
      </c>
      <c r="AR12" s="301">
        <f t="shared" si="14"/>
        <v>4</v>
      </c>
      <c r="AS12" s="373"/>
      <c r="AT12" s="301">
        <v>15</v>
      </c>
      <c r="AU12" s="302">
        <v>1949</v>
      </c>
      <c r="AV12" s="303">
        <f t="shared" si="15"/>
        <v>129.93333333333334</v>
      </c>
      <c r="AW12" s="301">
        <f t="shared" si="16"/>
        <v>3</v>
      </c>
      <c r="AX12" s="373"/>
    </row>
    <row r="13" spans="1:50">
      <c r="A13" s="294"/>
      <c r="B13" s="354"/>
      <c r="C13" s="301">
        <v>7</v>
      </c>
      <c r="D13" s="301" t="s">
        <v>115</v>
      </c>
      <c r="E13" s="302">
        <f>VLOOKUP(D13,'[1]0801-0804產線配置圖'!$A$2:$C$17,2,0)</f>
        <v>16</v>
      </c>
      <c r="F13" s="302">
        <f>VLOOKUP(D13,'[1]0801-0804產線配置圖'!$A$2:$C$17,3,0)</f>
        <v>1552</v>
      </c>
      <c r="G13" s="303">
        <f t="shared" si="0"/>
        <v>97</v>
      </c>
      <c r="H13" s="376"/>
      <c r="I13" s="302">
        <f t="shared" si="1"/>
        <v>12.25</v>
      </c>
      <c r="J13" s="302">
        <f t="shared" si="1"/>
        <v>1061.25</v>
      </c>
      <c r="K13" s="303">
        <f t="shared" si="2"/>
        <v>87.055194805194816</v>
      </c>
      <c r="L13" s="376"/>
      <c r="M13" s="304">
        <f>RANK(K13, K$7:$K$21)</f>
        <v>10</v>
      </c>
      <c r="N13" s="361"/>
      <c r="O13" s="361"/>
      <c r="P13" s="302"/>
      <c r="Q13" s="302"/>
      <c r="R13" s="303" t="e">
        <f t="shared" si="3"/>
        <v>#DIV/0!</v>
      </c>
      <c r="S13" s="301" t="e">
        <f t="shared" si="4"/>
        <v>#DIV/0!</v>
      </c>
      <c r="T13" s="373"/>
      <c r="U13" s="302"/>
      <c r="V13" s="302"/>
      <c r="W13" s="303" t="e">
        <f t="shared" si="5"/>
        <v>#DIV/0!</v>
      </c>
      <c r="X13" s="301" t="e">
        <f t="shared" si="6"/>
        <v>#DIV/0!</v>
      </c>
      <c r="Y13" s="373"/>
      <c r="Z13" s="301"/>
      <c r="AA13" s="302"/>
      <c r="AB13" s="303" t="e">
        <f t="shared" si="7"/>
        <v>#DIV/0!</v>
      </c>
      <c r="AC13" s="301" t="e">
        <f t="shared" si="8"/>
        <v>#DIV/0!</v>
      </c>
      <c r="AD13" s="373"/>
      <c r="AE13" s="302">
        <v>12</v>
      </c>
      <c r="AF13" s="302">
        <v>1068</v>
      </c>
      <c r="AG13" s="303">
        <f t="shared" si="9"/>
        <v>89</v>
      </c>
      <c r="AH13" s="301">
        <f t="shared" si="10"/>
        <v>10</v>
      </c>
      <c r="AI13" s="373"/>
      <c r="AJ13" s="301">
        <v>11</v>
      </c>
      <c r="AK13" s="302">
        <v>1005</v>
      </c>
      <c r="AL13" s="303">
        <f t="shared" si="11"/>
        <v>91.36363636363636</v>
      </c>
      <c r="AM13" s="301">
        <f t="shared" si="12"/>
        <v>9</v>
      </c>
      <c r="AN13" s="373"/>
      <c r="AO13" s="301">
        <v>12</v>
      </c>
      <c r="AP13" s="302">
        <v>1068</v>
      </c>
      <c r="AQ13" s="303">
        <f t="shared" si="13"/>
        <v>89</v>
      </c>
      <c r="AR13" s="301">
        <f t="shared" si="14"/>
        <v>9</v>
      </c>
      <c r="AS13" s="373"/>
      <c r="AT13" s="301">
        <v>14</v>
      </c>
      <c r="AU13" s="302">
        <v>1104</v>
      </c>
      <c r="AV13" s="303">
        <f t="shared" si="15"/>
        <v>78.857142857142861</v>
      </c>
      <c r="AW13" s="301">
        <f t="shared" si="16"/>
        <v>9</v>
      </c>
      <c r="AX13" s="373"/>
    </row>
    <row r="14" spans="1:50">
      <c r="A14" s="294"/>
      <c r="B14" s="354"/>
      <c r="C14" s="301">
        <v>8</v>
      </c>
      <c r="D14" s="301" t="s">
        <v>116</v>
      </c>
      <c r="E14" s="302">
        <f>VLOOKUP(D14,'[1]0801-0804產線配置圖'!$A$2:$C$17,2,0)</f>
        <v>17</v>
      </c>
      <c r="F14" s="302">
        <f>VLOOKUP(D14,'[1]0801-0804產線配置圖'!$A$2:$C$17,3,0)</f>
        <v>1565</v>
      </c>
      <c r="G14" s="303">
        <f t="shared" si="0"/>
        <v>92.058823529411768</v>
      </c>
      <c r="H14" s="376"/>
      <c r="I14" s="302">
        <f t="shared" si="1"/>
        <v>14.75</v>
      </c>
      <c r="J14" s="302">
        <f t="shared" si="1"/>
        <v>1369.5</v>
      </c>
      <c r="K14" s="303">
        <f t="shared" si="2"/>
        <v>92.684873949579838</v>
      </c>
      <c r="L14" s="376"/>
      <c r="M14" s="304">
        <f>RANK(K14, K$7:$K$21)</f>
        <v>8</v>
      </c>
      <c r="N14" s="361"/>
      <c r="O14" s="361"/>
      <c r="P14" s="302"/>
      <c r="Q14" s="302"/>
      <c r="R14" s="303" t="e">
        <f t="shared" si="3"/>
        <v>#DIV/0!</v>
      </c>
      <c r="S14" s="301" t="e">
        <f t="shared" si="4"/>
        <v>#DIV/0!</v>
      </c>
      <c r="T14" s="373"/>
      <c r="U14" s="302"/>
      <c r="V14" s="302"/>
      <c r="W14" s="303" t="e">
        <f t="shared" si="5"/>
        <v>#DIV/0!</v>
      </c>
      <c r="X14" s="301" t="e">
        <f t="shared" si="6"/>
        <v>#DIV/0!</v>
      </c>
      <c r="Y14" s="373"/>
      <c r="Z14" s="301"/>
      <c r="AA14" s="302"/>
      <c r="AB14" s="303" t="e">
        <f t="shared" si="7"/>
        <v>#DIV/0!</v>
      </c>
      <c r="AC14" s="301" t="e">
        <f t="shared" si="8"/>
        <v>#DIV/0!</v>
      </c>
      <c r="AD14" s="373"/>
      <c r="AE14" s="302">
        <v>14</v>
      </c>
      <c r="AF14" s="302">
        <v>1274</v>
      </c>
      <c r="AG14" s="303">
        <f t="shared" si="9"/>
        <v>91</v>
      </c>
      <c r="AH14" s="301">
        <f t="shared" si="10"/>
        <v>9</v>
      </c>
      <c r="AI14" s="373"/>
      <c r="AJ14" s="301">
        <v>14</v>
      </c>
      <c r="AK14" s="302">
        <v>1300</v>
      </c>
      <c r="AL14" s="303">
        <f t="shared" si="11"/>
        <v>92.857142857142861</v>
      </c>
      <c r="AM14" s="301">
        <f t="shared" si="12"/>
        <v>8</v>
      </c>
      <c r="AN14" s="373"/>
      <c r="AO14" s="301">
        <v>14</v>
      </c>
      <c r="AP14" s="302">
        <v>1274</v>
      </c>
      <c r="AQ14" s="303">
        <f t="shared" si="13"/>
        <v>91</v>
      </c>
      <c r="AR14" s="301">
        <f t="shared" si="14"/>
        <v>8</v>
      </c>
      <c r="AS14" s="373"/>
      <c r="AT14" s="301">
        <v>17</v>
      </c>
      <c r="AU14" s="302">
        <v>1630</v>
      </c>
      <c r="AV14" s="303">
        <f t="shared" si="15"/>
        <v>95.882352941176464</v>
      </c>
      <c r="AW14" s="301">
        <f t="shared" si="16"/>
        <v>5</v>
      </c>
      <c r="AX14" s="373"/>
    </row>
    <row r="15" spans="1:50">
      <c r="A15" s="294"/>
      <c r="B15" s="354"/>
      <c r="C15" s="301">
        <v>9</v>
      </c>
      <c r="D15" s="301" t="s">
        <v>117</v>
      </c>
      <c r="E15" s="302">
        <f>VLOOKUP(D15,'[1]0801-0804產線配置圖'!$A$2:$C$17,2,0)</f>
        <v>16</v>
      </c>
      <c r="F15" s="302">
        <f>VLOOKUP(D15,'[1]0801-0804產線配置圖'!$A$2:$C$17,3,0)</f>
        <v>1390</v>
      </c>
      <c r="G15" s="303">
        <f t="shared" si="0"/>
        <v>86.875</v>
      </c>
      <c r="H15" s="376"/>
      <c r="I15" s="302">
        <f t="shared" si="1"/>
        <v>16</v>
      </c>
      <c r="J15" s="302">
        <f t="shared" si="1"/>
        <v>1040.75</v>
      </c>
      <c r="K15" s="303">
        <f t="shared" si="2"/>
        <v>65.046875</v>
      </c>
      <c r="L15" s="376"/>
      <c r="M15" s="304">
        <f>RANK(K15, K$7:$K$21)</f>
        <v>14</v>
      </c>
      <c r="N15" s="361"/>
      <c r="O15" s="361"/>
      <c r="P15" s="302"/>
      <c r="Q15" s="302"/>
      <c r="R15" s="303" t="e">
        <f t="shared" si="3"/>
        <v>#DIV/0!</v>
      </c>
      <c r="S15" s="301" t="e">
        <f t="shared" si="4"/>
        <v>#DIV/0!</v>
      </c>
      <c r="T15" s="373"/>
      <c r="U15" s="302"/>
      <c r="V15" s="302"/>
      <c r="W15" s="303" t="e">
        <f t="shared" si="5"/>
        <v>#DIV/0!</v>
      </c>
      <c r="X15" s="301" t="e">
        <f t="shared" si="6"/>
        <v>#DIV/0!</v>
      </c>
      <c r="Y15" s="373"/>
      <c r="Z15" s="301"/>
      <c r="AA15" s="302"/>
      <c r="AB15" s="303" t="e">
        <f t="shared" si="7"/>
        <v>#DIV/0!</v>
      </c>
      <c r="AC15" s="301" t="e">
        <f t="shared" si="8"/>
        <v>#DIV/0!</v>
      </c>
      <c r="AD15" s="373"/>
      <c r="AE15" s="302">
        <v>16</v>
      </c>
      <c r="AF15" s="302">
        <v>1001</v>
      </c>
      <c r="AG15" s="303">
        <f t="shared" si="9"/>
        <v>62.5625</v>
      </c>
      <c r="AH15" s="301">
        <f t="shared" si="10"/>
        <v>13</v>
      </c>
      <c r="AI15" s="373"/>
      <c r="AJ15" s="301">
        <v>16</v>
      </c>
      <c r="AK15" s="302">
        <v>1276</v>
      </c>
      <c r="AL15" s="303">
        <f t="shared" si="11"/>
        <v>79.75</v>
      </c>
      <c r="AM15" s="301">
        <f t="shared" si="12"/>
        <v>10</v>
      </c>
      <c r="AN15" s="373"/>
      <c r="AO15" s="301">
        <v>16</v>
      </c>
      <c r="AP15" s="302">
        <v>1001</v>
      </c>
      <c r="AQ15" s="303">
        <f t="shared" si="13"/>
        <v>62.5625</v>
      </c>
      <c r="AR15" s="301">
        <f t="shared" si="14"/>
        <v>13</v>
      </c>
      <c r="AS15" s="373"/>
      <c r="AT15" s="301">
        <v>16</v>
      </c>
      <c r="AU15" s="302">
        <v>885</v>
      </c>
      <c r="AV15" s="303">
        <f t="shared" si="15"/>
        <v>55.3125</v>
      </c>
      <c r="AW15" s="301">
        <f t="shared" si="16"/>
        <v>13</v>
      </c>
      <c r="AX15" s="373"/>
    </row>
    <row r="16" spans="1:50">
      <c r="A16" s="294"/>
      <c r="B16" s="354"/>
      <c r="C16" s="301">
        <v>10</v>
      </c>
      <c r="D16" s="301" t="s">
        <v>118</v>
      </c>
      <c r="E16" s="302">
        <f>VLOOKUP(D16,'[1]0801-0804產線配置圖'!$A$2:$C$17,2,0)</f>
        <v>18</v>
      </c>
      <c r="F16" s="302">
        <f>VLOOKUP(D16,'[1]0801-0804產線配置圖'!$A$2:$C$17,3,0)</f>
        <v>1565</v>
      </c>
      <c r="G16" s="303">
        <f t="shared" si="0"/>
        <v>86.944444444444443</v>
      </c>
      <c r="H16" s="376"/>
      <c r="I16" s="302">
        <f t="shared" si="1"/>
        <v>15.75</v>
      </c>
      <c r="J16" s="302">
        <f t="shared" si="1"/>
        <v>1279.25</v>
      </c>
      <c r="K16" s="303">
        <f t="shared" si="2"/>
        <v>81.663888888888891</v>
      </c>
      <c r="L16" s="376"/>
      <c r="M16" s="304">
        <f>RANK(K16, K$7:$K$21)</f>
        <v>11</v>
      </c>
      <c r="N16" s="361"/>
      <c r="O16" s="361"/>
      <c r="P16" s="302"/>
      <c r="Q16" s="302"/>
      <c r="R16" s="303" t="e">
        <f t="shared" si="3"/>
        <v>#DIV/0!</v>
      </c>
      <c r="S16" s="301" t="e">
        <f t="shared" si="4"/>
        <v>#DIV/0!</v>
      </c>
      <c r="T16" s="373"/>
      <c r="U16" s="302"/>
      <c r="V16" s="302"/>
      <c r="W16" s="303" t="e">
        <f t="shared" si="5"/>
        <v>#DIV/0!</v>
      </c>
      <c r="X16" s="301" t="e">
        <f t="shared" si="6"/>
        <v>#DIV/0!</v>
      </c>
      <c r="Y16" s="373"/>
      <c r="Z16" s="301"/>
      <c r="AA16" s="302"/>
      <c r="AB16" s="303" t="e">
        <f t="shared" si="7"/>
        <v>#DIV/0!</v>
      </c>
      <c r="AC16" s="301" t="e">
        <f t="shared" si="8"/>
        <v>#DIV/0!</v>
      </c>
      <c r="AD16" s="373"/>
      <c r="AE16" s="302">
        <v>15</v>
      </c>
      <c r="AF16" s="302">
        <v>1873</v>
      </c>
      <c r="AG16" s="303">
        <f t="shared" si="9"/>
        <v>124.86666666666666</v>
      </c>
      <c r="AH16" s="301">
        <f t="shared" si="10"/>
        <v>4</v>
      </c>
      <c r="AI16" s="373"/>
      <c r="AJ16" s="301">
        <v>15</v>
      </c>
      <c r="AK16" s="302">
        <v>1005</v>
      </c>
      <c r="AL16" s="303">
        <f t="shared" si="11"/>
        <v>67</v>
      </c>
      <c r="AM16" s="301">
        <f t="shared" si="12"/>
        <v>13</v>
      </c>
      <c r="AN16" s="373"/>
      <c r="AO16" s="301">
        <v>15</v>
      </c>
      <c r="AP16" s="302">
        <v>936</v>
      </c>
      <c r="AQ16" s="303">
        <f t="shared" si="13"/>
        <v>62.4</v>
      </c>
      <c r="AR16" s="301">
        <f t="shared" si="14"/>
        <v>14</v>
      </c>
      <c r="AS16" s="373"/>
      <c r="AT16" s="301">
        <v>18</v>
      </c>
      <c r="AU16" s="302">
        <v>1303</v>
      </c>
      <c r="AV16" s="303">
        <f t="shared" si="15"/>
        <v>72.388888888888886</v>
      </c>
      <c r="AW16" s="301">
        <f t="shared" si="16"/>
        <v>11</v>
      </c>
      <c r="AX16" s="373"/>
    </row>
    <row r="17" spans="2:50">
      <c r="B17" s="354"/>
      <c r="C17" s="301">
        <v>11</v>
      </c>
      <c r="D17" s="301" t="s">
        <v>119</v>
      </c>
      <c r="E17" s="302">
        <f>VLOOKUP(D17,'[1]0801-0804產線配置圖'!$A$2:$C$17,2,0)</f>
        <v>18</v>
      </c>
      <c r="F17" s="302">
        <f>VLOOKUP(D17,'[1]0801-0804產線配置圖'!$A$2:$C$17,3,0)</f>
        <v>1500</v>
      </c>
      <c r="G17" s="303">
        <f t="shared" si="0"/>
        <v>83.333333333333329</v>
      </c>
      <c r="H17" s="376"/>
      <c r="I17" s="302">
        <f t="shared" si="1"/>
        <v>10.75</v>
      </c>
      <c r="J17" s="302">
        <f t="shared" si="1"/>
        <v>1271</v>
      </c>
      <c r="K17" s="303">
        <f t="shared" si="2"/>
        <v>120.30151515151515</v>
      </c>
      <c r="L17" s="376"/>
      <c r="M17" s="304">
        <f>RANK(K17, K$7:$K$21)</f>
        <v>4</v>
      </c>
      <c r="N17" s="361"/>
      <c r="O17" s="361"/>
      <c r="P17" s="301"/>
      <c r="Q17" s="301"/>
      <c r="R17" s="303" t="e">
        <f>Q17/P17</f>
        <v>#DIV/0!</v>
      </c>
      <c r="S17" s="301" t="e">
        <f t="shared" si="4"/>
        <v>#DIV/0!</v>
      </c>
      <c r="T17" s="373"/>
      <c r="U17" s="301"/>
      <c r="V17" s="301"/>
      <c r="W17" s="301" t="e">
        <f>V17/U17</f>
        <v>#DIV/0!</v>
      </c>
      <c r="X17" s="301" t="e">
        <f t="shared" si="6"/>
        <v>#DIV/0!</v>
      </c>
      <c r="Y17" s="373"/>
      <c r="Z17" s="301"/>
      <c r="AA17" s="301"/>
      <c r="AB17" s="301" t="e">
        <f>AA17/Z17</f>
        <v>#DIV/0!</v>
      </c>
      <c r="AC17" s="301" t="e">
        <f t="shared" si="8"/>
        <v>#DIV/0!</v>
      </c>
      <c r="AD17" s="373"/>
      <c r="AE17" s="301">
        <v>10</v>
      </c>
      <c r="AF17" s="301">
        <v>1946</v>
      </c>
      <c r="AG17" s="303">
        <f>AF17/AE17</f>
        <v>194.6</v>
      </c>
      <c r="AH17" s="301">
        <f t="shared" si="10"/>
        <v>1</v>
      </c>
      <c r="AI17" s="373"/>
      <c r="AJ17" s="301">
        <v>11</v>
      </c>
      <c r="AK17" s="301">
        <v>1103</v>
      </c>
      <c r="AL17" s="303">
        <f>AK17/AJ17</f>
        <v>100.27272727272727</v>
      </c>
      <c r="AM17" s="301">
        <f t="shared" si="12"/>
        <v>6</v>
      </c>
      <c r="AN17" s="373"/>
      <c r="AO17" s="301">
        <v>10</v>
      </c>
      <c r="AP17" s="301">
        <v>1005</v>
      </c>
      <c r="AQ17" s="303">
        <f>AP17/AO17</f>
        <v>100.5</v>
      </c>
      <c r="AR17" s="301">
        <f t="shared" si="14"/>
        <v>6</v>
      </c>
      <c r="AS17" s="373"/>
      <c r="AT17" s="301">
        <v>12</v>
      </c>
      <c r="AU17" s="301">
        <v>1030</v>
      </c>
      <c r="AV17" s="303">
        <f>AU17/AT17</f>
        <v>85.833333333333329</v>
      </c>
      <c r="AW17" s="301">
        <f t="shared" si="16"/>
        <v>7</v>
      </c>
      <c r="AX17" s="373"/>
    </row>
    <row r="18" spans="2:50">
      <c r="B18" s="354"/>
      <c r="C18" s="301">
        <v>12</v>
      </c>
      <c r="D18" s="301" t="s">
        <v>120</v>
      </c>
      <c r="E18" s="302">
        <f>VLOOKUP(D18,'[1]0801-0804產線配置圖'!$A$2:$C$17,2,0)</f>
        <v>16</v>
      </c>
      <c r="F18" s="302">
        <f>VLOOKUP(D18,'[1]0801-0804產線配置圖'!$A$2:$C$17,3,0)</f>
        <v>1636</v>
      </c>
      <c r="G18" s="303">
        <f t="shared" si="0"/>
        <v>102.25</v>
      </c>
      <c r="H18" s="376"/>
      <c r="I18" s="301">
        <f t="shared" si="1"/>
        <v>16</v>
      </c>
      <c r="J18" s="302">
        <f t="shared" si="1"/>
        <v>1412.3333333333333</v>
      </c>
      <c r="K18" s="303">
        <f t="shared" si="2"/>
        <v>88.270833333333329</v>
      </c>
      <c r="L18" s="376"/>
      <c r="M18" s="304">
        <f>RANK(K18, K$7:$K$21)</f>
        <v>9</v>
      </c>
      <c r="N18" s="361"/>
      <c r="O18" s="361"/>
      <c r="P18" s="301"/>
      <c r="Q18" s="301"/>
      <c r="R18" s="303" t="e">
        <f t="shared" si="3"/>
        <v>#DIV/0!</v>
      </c>
      <c r="S18" s="301" t="e">
        <f t="shared" si="4"/>
        <v>#DIV/0!</v>
      </c>
      <c r="T18" s="373"/>
      <c r="U18" s="301"/>
      <c r="V18" s="301"/>
      <c r="W18" s="301" t="e">
        <f t="shared" si="5"/>
        <v>#DIV/0!</v>
      </c>
      <c r="X18" s="301" t="e">
        <f t="shared" si="6"/>
        <v>#DIV/0!</v>
      </c>
      <c r="Y18" s="373"/>
      <c r="Z18" s="301"/>
      <c r="AA18" s="301"/>
      <c r="AB18" s="301" t="e">
        <f t="shared" si="7"/>
        <v>#DIV/0!</v>
      </c>
      <c r="AC18" s="301" t="e">
        <f t="shared" si="8"/>
        <v>#DIV/0!</v>
      </c>
      <c r="AD18" s="373"/>
      <c r="AE18" s="301">
        <v>16</v>
      </c>
      <c r="AF18" s="301">
        <v>1485</v>
      </c>
      <c r="AG18" s="303">
        <f t="shared" ref="AG18:AG20" si="17">AF18/AE18</f>
        <v>92.8125</v>
      </c>
      <c r="AH18" s="301">
        <f t="shared" si="10"/>
        <v>8</v>
      </c>
      <c r="AI18" s="373"/>
      <c r="AJ18" s="301">
        <v>16</v>
      </c>
      <c r="AK18" s="301">
        <v>1267</v>
      </c>
      <c r="AL18" s="303">
        <f t="shared" ref="AL18:AL20" si="18">AK18/AJ18</f>
        <v>79.1875</v>
      </c>
      <c r="AM18" s="301">
        <f t="shared" si="12"/>
        <v>11</v>
      </c>
      <c r="AN18" s="373"/>
      <c r="AO18" s="301">
        <v>16</v>
      </c>
      <c r="AP18" s="301">
        <v>1485</v>
      </c>
      <c r="AQ18" s="303">
        <f t="shared" ref="AQ18:AQ20" si="19">AP18/AO18</f>
        <v>92.8125</v>
      </c>
      <c r="AR18" s="301">
        <f t="shared" si="14"/>
        <v>7</v>
      </c>
      <c r="AS18" s="373"/>
      <c r="AT18" s="301"/>
      <c r="AU18" s="301"/>
      <c r="AV18" s="301"/>
      <c r="AW18" s="301"/>
      <c r="AX18" s="373"/>
    </row>
    <row r="19" spans="2:50">
      <c r="B19" s="354"/>
      <c r="C19" s="301">
        <v>13</v>
      </c>
      <c r="D19" s="301" t="s">
        <v>121</v>
      </c>
      <c r="E19" s="302">
        <f>VLOOKUP(D19,'[1]0801-0804產線配置圖'!$A$2:$C$17,2,0)</f>
        <v>18</v>
      </c>
      <c r="F19" s="302">
        <f>VLOOKUP(D19,'[1]0801-0804產線配置圖'!$A$2:$C$17,3,0)</f>
        <v>1200</v>
      </c>
      <c r="G19" s="303">
        <f t="shared" si="0"/>
        <v>66.666666666666671</v>
      </c>
      <c r="H19" s="376"/>
      <c r="I19" s="301">
        <f t="shared" si="1"/>
        <v>16.75</v>
      </c>
      <c r="J19" s="302">
        <f t="shared" si="1"/>
        <v>1101</v>
      </c>
      <c r="K19" s="303">
        <f t="shared" si="2"/>
        <v>65.722010448916407</v>
      </c>
      <c r="L19" s="376"/>
      <c r="M19" s="304">
        <f>RANK(K19, K$7:$K$21)</f>
        <v>13</v>
      </c>
      <c r="N19" s="361"/>
      <c r="O19" s="361"/>
      <c r="P19" s="301"/>
      <c r="Q19" s="301"/>
      <c r="R19" s="303" t="e">
        <f t="shared" si="3"/>
        <v>#DIV/0!</v>
      </c>
      <c r="S19" s="301" t="e">
        <f t="shared" si="4"/>
        <v>#DIV/0!</v>
      </c>
      <c r="T19" s="373"/>
      <c r="U19" s="301"/>
      <c r="V19" s="301"/>
      <c r="W19" s="301" t="e">
        <f t="shared" si="5"/>
        <v>#DIV/0!</v>
      </c>
      <c r="X19" s="301" t="e">
        <f t="shared" si="6"/>
        <v>#DIV/0!</v>
      </c>
      <c r="Y19" s="373"/>
      <c r="Z19" s="301"/>
      <c r="AA19" s="301"/>
      <c r="AB19" s="301" t="e">
        <f t="shared" si="7"/>
        <v>#DIV/0!</v>
      </c>
      <c r="AC19" s="301" t="e">
        <f t="shared" si="8"/>
        <v>#DIV/0!</v>
      </c>
      <c r="AD19" s="373"/>
      <c r="AE19" s="301">
        <v>17</v>
      </c>
      <c r="AF19" s="301">
        <v>1022</v>
      </c>
      <c r="AG19" s="303">
        <f t="shared" si="17"/>
        <v>60.117647058823529</v>
      </c>
      <c r="AH19" s="301">
        <f t="shared" si="10"/>
        <v>14</v>
      </c>
      <c r="AI19" s="373"/>
      <c r="AJ19" s="301">
        <v>15</v>
      </c>
      <c r="AK19" s="301">
        <v>1047</v>
      </c>
      <c r="AL19" s="303">
        <f t="shared" si="18"/>
        <v>69.8</v>
      </c>
      <c r="AM19" s="301">
        <f t="shared" si="12"/>
        <v>12</v>
      </c>
      <c r="AN19" s="373"/>
      <c r="AO19" s="301">
        <v>16</v>
      </c>
      <c r="AP19" s="301">
        <v>1021</v>
      </c>
      <c r="AQ19" s="303">
        <f t="shared" si="19"/>
        <v>63.8125</v>
      </c>
      <c r="AR19" s="301">
        <f t="shared" si="14"/>
        <v>12</v>
      </c>
      <c r="AS19" s="373"/>
      <c r="AT19" s="301">
        <v>19</v>
      </c>
      <c r="AU19" s="301">
        <v>1314</v>
      </c>
      <c r="AV19" s="305">
        <f t="shared" ref="AV19:AV20" si="20">AU19/AT19</f>
        <v>69.15789473684211</v>
      </c>
      <c r="AW19" s="301">
        <f t="shared" si="16"/>
        <v>12</v>
      </c>
      <c r="AX19" s="373"/>
    </row>
    <row r="20" spans="2:50">
      <c r="B20" s="354"/>
      <c r="C20" s="301">
        <v>14</v>
      </c>
      <c r="D20" s="301" t="s">
        <v>122</v>
      </c>
      <c r="E20" s="302">
        <f>VLOOKUP(D20,'[1]0801-0804產線配置圖'!$A$2:$C$17,2,0)</f>
        <v>17</v>
      </c>
      <c r="F20" s="302">
        <f>VLOOKUP(D20,'[1]0801-0804產線配置圖'!$A$2:$C$17,3,0)</f>
        <v>1333</v>
      </c>
      <c r="G20" s="303">
        <f t="shared" si="0"/>
        <v>78.411764705882348</v>
      </c>
      <c r="H20" s="376"/>
      <c r="I20" s="301">
        <f t="shared" si="1"/>
        <v>16</v>
      </c>
      <c r="J20" s="302">
        <f t="shared" si="1"/>
        <v>1239.5</v>
      </c>
      <c r="K20" s="303">
        <f t="shared" si="2"/>
        <v>77.46875</v>
      </c>
      <c r="L20" s="376"/>
      <c r="M20" s="304">
        <f>RANK(K20, K$7:$K$21)</f>
        <v>12</v>
      </c>
      <c r="N20" s="361"/>
      <c r="O20" s="361"/>
      <c r="P20" s="301"/>
      <c r="Q20" s="301"/>
      <c r="R20" s="303" t="e">
        <f t="shared" si="3"/>
        <v>#DIV/0!</v>
      </c>
      <c r="S20" s="301" t="e">
        <f t="shared" si="4"/>
        <v>#DIV/0!</v>
      </c>
      <c r="T20" s="373"/>
      <c r="U20" s="301"/>
      <c r="V20" s="301"/>
      <c r="W20" s="301" t="e">
        <f t="shared" si="5"/>
        <v>#DIV/0!</v>
      </c>
      <c r="X20" s="301" t="e">
        <f t="shared" si="6"/>
        <v>#DIV/0!</v>
      </c>
      <c r="Y20" s="373"/>
      <c r="Z20" s="301"/>
      <c r="AA20" s="301"/>
      <c r="AB20" s="301" t="e">
        <f t="shared" si="7"/>
        <v>#DIV/0!</v>
      </c>
      <c r="AC20" s="301" t="e">
        <f t="shared" si="8"/>
        <v>#DIV/0!</v>
      </c>
      <c r="AD20" s="373"/>
      <c r="AE20" s="301">
        <v>16</v>
      </c>
      <c r="AF20" s="301">
        <v>1332</v>
      </c>
      <c r="AG20" s="303">
        <f t="shared" si="17"/>
        <v>83.25</v>
      </c>
      <c r="AH20" s="301">
        <f t="shared" si="10"/>
        <v>12</v>
      </c>
      <c r="AI20" s="373"/>
      <c r="AJ20" s="301">
        <v>16</v>
      </c>
      <c r="AK20" s="301">
        <v>1043</v>
      </c>
      <c r="AL20" s="303">
        <f t="shared" si="18"/>
        <v>65.1875</v>
      </c>
      <c r="AM20" s="301">
        <f t="shared" si="12"/>
        <v>14</v>
      </c>
      <c r="AN20" s="373"/>
      <c r="AO20" s="301">
        <v>16</v>
      </c>
      <c r="AP20" s="301">
        <v>1332</v>
      </c>
      <c r="AQ20" s="301">
        <f t="shared" si="19"/>
        <v>83.25</v>
      </c>
      <c r="AR20" s="301">
        <f t="shared" si="14"/>
        <v>11</v>
      </c>
      <c r="AS20" s="373"/>
      <c r="AT20" s="301">
        <v>16</v>
      </c>
      <c r="AU20" s="301">
        <v>1251</v>
      </c>
      <c r="AV20" s="305">
        <f t="shared" si="20"/>
        <v>78.1875</v>
      </c>
      <c r="AW20" s="301">
        <f t="shared" si="16"/>
        <v>10</v>
      </c>
      <c r="AX20" s="373"/>
    </row>
    <row r="21" spans="2:50">
      <c r="B21" s="354"/>
      <c r="C21" s="301">
        <v>15</v>
      </c>
      <c r="D21" s="301"/>
      <c r="E21" s="302"/>
      <c r="F21" s="302"/>
      <c r="G21" s="303"/>
      <c r="H21" s="377"/>
      <c r="I21" s="301" t="e">
        <f t="shared" si="1"/>
        <v>#DIV/0!</v>
      </c>
      <c r="J21" s="301" t="e">
        <f t="shared" si="1"/>
        <v>#DIV/0!</v>
      </c>
      <c r="K21" s="301"/>
      <c r="L21" s="377"/>
      <c r="M21" s="302" t="e">
        <f>RANK(K21, K$7:$K$21)</f>
        <v>#N/A</v>
      </c>
      <c r="N21" s="361"/>
      <c r="O21" s="361"/>
      <c r="P21" s="301"/>
      <c r="Q21" s="301"/>
      <c r="R21" s="303" t="e">
        <f t="shared" si="3"/>
        <v>#DIV/0!</v>
      </c>
      <c r="S21" s="301" t="e">
        <f t="shared" si="4"/>
        <v>#DIV/0!</v>
      </c>
      <c r="T21" s="373"/>
      <c r="U21" s="301"/>
      <c r="V21" s="301"/>
      <c r="W21" s="301" t="e">
        <f t="shared" si="5"/>
        <v>#DIV/0!</v>
      </c>
      <c r="X21" s="301" t="e">
        <f t="shared" si="6"/>
        <v>#DIV/0!</v>
      </c>
      <c r="Y21" s="373"/>
      <c r="Z21" s="301"/>
      <c r="AA21" s="301"/>
      <c r="AB21" s="301" t="e">
        <f t="shared" si="7"/>
        <v>#DIV/0!</v>
      </c>
      <c r="AC21" s="301" t="e">
        <f t="shared" si="8"/>
        <v>#DIV/0!</v>
      </c>
      <c r="AD21" s="373"/>
      <c r="AE21" s="301"/>
      <c r="AF21" s="301"/>
      <c r="AG21" s="303"/>
      <c r="AH21" s="301"/>
      <c r="AI21" s="373"/>
      <c r="AJ21" s="301"/>
      <c r="AK21" s="301"/>
      <c r="AL21" s="301"/>
      <c r="AM21" s="301"/>
      <c r="AN21" s="373"/>
      <c r="AO21" s="301"/>
      <c r="AP21" s="301"/>
      <c r="AQ21" s="301"/>
      <c r="AR21" s="301" t="e">
        <f t="shared" si="14"/>
        <v>#N/A</v>
      </c>
      <c r="AS21" s="373"/>
      <c r="AT21" s="301"/>
      <c r="AU21" s="301"/>
      <c r="AV21" s="301"/>
      <c r="AW21" s="301"/>
      <c r="AX21" s="373"/>
    </row>
    <row r="22" spans="2:50" ht="15.75">
      <c r="B22" s="378" t="s">
        <v>93</v>
      </c>
      <c r="C22" s="379"/>
      <c r="D22" s="379"/>
      <c r="E22" s="379"/>
      <c r="F22" s="379"/>
      <c r="G22" s="379"/>
      <c r="H22" s="379"/>
      <c r="I22" s="295"/>
      <c r="J22" s="295"/>
      <c r="K22" s="295"/>
      <c r="L22" s="295"/>
      <c r="M22" s="296"/>
      <c r="N22" s="355" t="s">
        <v>94</v>
      </c>
      <c r="O22" s="355" t="s">
        <v>52</v>
      </c>
      <c r="P22" s="368">
        <v>45874</v>
      </c>
      <c r="Q22" s="354"/>
      <c r="R22" s="354"/>
      <c r="S22" s="354"/>
      <c r="T22" s="354"/>
      <c r="U22" s="368">
        <v>45875</v>
      </c>
      <c r="V22" s="354"/>
      <c r="W22" s="354"/>
      <c r="X22" s="354"/>
      <c r="Y22" s="354"/>
      <c r="Z22" s="368">
        <v>45876</v>
      </c>
      <c r="AA22" s="354"/>
      <c r="AB22" s="354"/>
      <c r="AC22" s="354"/>
      <c r="AD22" s="354"/>
      <c r="AE22" s="368">
        <v>45877</v>
      </c>
      <c r="AF22" s="354"/>
      <c r="AG22" s="354"/>
      <c r="AH22" s="354"/>
      <c r="AI22" s="354"/>
      <c r="AJ22" s="368">
        <v>45878</v>
      </c>
      <c r="AK22" s="354"/>
      <c r="AL22" s="354"/>
      <c r="AM22" s="354"/>
      <c r="AN22" s="354"/>
      <c r="AO22" s="368">
        <v>45879</v>
      </c>
      <c r="AP22" s="354"/>
      <c r="AQ22" s="354"/>
      <c r="AR22" s="354"/>
      <c r="AS22" s="354"/>
      <c r="AT22" s="368">
        <v>45880</v>
      </c>
      <c r="AU22" s="354"/>
      <c r="AV22" s="354"/>
      <c r="AW22" s="354"/>
      <c r="AX22" s="354"/>
    </row>
    <row r="23" spans="2:50" ht="15.75">
      <c r="B23" s="367"/>
      <c r="C23" s="367"/>
      <c r="D23" s="367"/>
      <c r="E23" s="367"/>
      <c r="F23" s="367"/>
      <c r="G23" s="367"/>
      <c r="H23" s="367"/>
      <c r="I23" s="297"/>
      <c r="J23" s="297"/>
      <c r="K23" s="297"/>
      <c r="L23" s="297"/>
      <c r="M23" s="298"/>
      <c r="N23" s="357"/>
      <c r="O23" s="357"/>
      <c r="P23" s="368" t="s">
        <v>66</v>
      </c>
      <c r="Q23" s="354"/>
      <c r="R23" s="354"/>
      <c r="S23" s="354"/>
      <c r="T23" s="354"/>
      <c r="U23" s="368" t="s">
        <v>67</v>
      </c>
      <c r="V23" s="354"/>
      <c r="W23" s="354"/>
      <c r="X23" s="354"/>
      <c r="Y23" s="354"/>
      <c r="Z23" s="368" t="s">
        <v>68</v>
      </c>
      <c r="AA23" s="354"/>
      <c r="AB23" s="354"/>
      <c r="AC23" s="354"/>
      <c r="AD23" s="354"/>
      <c r="AE23" s="368" t="s">
        <v>63</v>
      </c>
      <c r="AF23" s="354"/>
      <c r="AG23" s="354"/>
      <c r="AH23" s="354"/>
      <c r="AI23" s="354"/>
      <c r="AJ23" s="368" t="s">
        <v>64</v>
      </c>
      <c r="AK23" s="354"/>
      <c r="AL23" s="354"/>
      <c r="AM23" s="354"/>
      <c r="AN23" s="354"/>
      <c r="AO23" s="368" t="s">
        <v>59</v>
      </c>
      <c r="AP23" s="354"/>
      <c r="AQ23" s="354"/>
      <c r="AR23" s="354"/>
      <c r="AS23" s="354"/>
      <c r="AT23" s="368" t="s">
        <v>65</v>
      </c>
      <c r="AU23" s="354"/>
      <c r="AV23" s="354"/>
      <c r="AW23" s="354"/>
      <c r="AX23" s="354"/>
    </row>
    <row r="24" spans="2:50">
      <c r="B24" s="361" t="s">
        <v>95</v>
      </c>
      <c r="C24" s="361" t="s">
        <v>96</v>
      </c>
      <c r="D24" s="361"/>
      <c r="E24" s="361" t="s">
        <v>97</v>
      </c>
      <c r="F24" s="361"/>
      <c r="G24" s="361"/>
      <c r="H24" s="362" t="s">
        <v>98</v>
      </c>
      <c r="I24" s="361" t="s">
        <v>99</v>
      </c>
      <c r="J24" s="361"/>
      <c r="K24" s="361"/>
      <c r="L24" s="362" t="s">
        <v>98</v>
      </c>
      <c r="M24" s="355" t="s">
        <v>100</v>
      </c>
      <c r="N24" s="361"/>
      <c r="O24" s="361" t="s">
        <v>101</v>
      </c>
      <c r="P24" s="358" t="s">
        <v>102</v>
      </c>
      <c r="Q24" s="359"/>
      <c r="R24" s="359"/>
      <c r="S24" s="360"/>
      <c r="T24" s="361" t="s">
        <v>98</v>
      </c>
      <c r="U24" s="358" t="s">
        <v>102</v>
      </c>
      <c r="V24" s="359"/>
      <c r="W24" s="359"/>
      <c r="X24" s="360"/>
      <c r="Y24" s="361" t="s">
        <v>98</v>
      </c>
      <c r="Z24" s="358" t="s">
        <v>102</v>
      </c>
      <c r="AA24" s="359"/>
      <c r="AB24" s="359"/>
      <c r="AC24" s="360"/>
      <c r="AD24" s="361" t="s">
        <v>98</v>
      </c>
      <c r="AE24" s="358" t="s">
        <v>102</v>
      </c>
      <c r="AF24" s="359"/>
      <c r="AG24" s="359"/>
      <c r="AH24" s="360"/>
      <c r="AI24" s="361" t="s">
        <v>98</v>
      </c>
      <c r="AJ24" s="358" t="s">
        <v>102</v>
      </c>
      <c r="AK24" s="359"/>
      <c r="AL24" s="359"/>
      <c r="AM24" s="360"/>
      <c r="AN24" s="361" t="s">
        <v>98</v>
      </c>
      <c r="AO24" s="358" t="s">
        <v>102</v>
      </c>
      <c r="AP24" s="359"/>
      <c r="AQ24" s="359"/>
      <c r="AR24" s="360"/>
      <c r="AS24" s="361" t="s">
        <v>98</v>
      </c>
      <c r="AT24" s="358" t="s">
        <v>102</v>
      </c>
      <c r="AU24" s="359"/>
      <c r="AV24" s="359"/>
      <c r="AW24" s="360"/>
      <c r="AX24" s="361" t="s">
        <v>98</v>
      </c>
    </row>
    <row r="25" spans="2:50">
      <c r="B25" s="361"/>
      <c r="C25" s="361"/>
      <c r="D25" s="361"/>
      <c r="E25" s="361" t="s">
        <v>103</v>
      </c>
      <c r="F25" s="361"/>
      <c r="G25" s="361"/>
      <c r="H25" s="363"/>
      <c r="I25" s="361" t="s">
        <v>103</v>
      </c>
      <c r="J25" s="361"/>
      <c r="K25" s="361"/>
      <c r="L25" s="363"/>
      <c r="M25" s="356"/>
      <c r="N25" s="361"/>
      <c r="O25" s="361"/>
      <c r="P25" s="358" t="s">
        <v>104</v>
      </c>
      <c r="Q25" s="359"/>
      <c r="R25" s="359"/>
      <c r="S25" s="360"/>
      <c r="T25" s="361"/>
      <c r="U25" s="358" t="s">
        <v>104</v>
      </c>
      <c r="V25" s="359"/>
      <c r="W25" s="359"/>
      <c r="X25" s="360"/>
      <c r="Y25" s="361"/>
      <c r="Z25" s="358" t="s">
        <v>104</v>
      </c>
      <c r="AA25" s="359"/>
      <c r="AB25" s="359"/>
      <c r="AC25" s="360"/>
      <c r="AD25" s="361"/>
      <c r="AE25" s="358" t="s">
        <v>104</v>
      </c>
      <c r="AF25" s="359"/>
      <c r="AG25" s="359"/>
      <c r="AH25" s="360"/>
      <c r="AI25" s="361"/>
      <c r="AJ25" s="358" t="s">
        <v>104</v>
      </c>
      <c r="AK25" s="359"/>
      <c r="AL25" s="359"/>
      <c r="AM25" s="360"/>
      <c r="AN25" s="361"/>
      <c r="AO25" s="358" t="s">
        <v>104</v>
      </c>
      <c r="AP25" s="359"/>
      <c r="AQ25" s="359"/>
      <c r="AR25" s="360"/>
      <c r="AS25" s="361"/>
      <c r="AT25" s="358" t="s">
        <v>104</v>
      </c>
      <c r="AU25" s="359"/>
      <c r="AV25" s="359"/>
      <c r="AW25" s="360"/>
      <c r="AX25" s="361"/>
    </row>
    <row r="26" spans="2:50">
      <c r="B26" s="361"/>
      <c r="C26" s="361"/>
      <c r="D26" s="361"/>
      <c r="E26" s="300" t="s">
        <v>105</v>
      </c>
      <c r="F26" s="300" t="s">
        <v>106</v>
      </c>
      <c r="G26" s="300" t="s">
        <v>107</v>
      </c>
      <c r="H26" s="364"/>
      <c r="I26" s="300" t="s">
        <v>105</v>
      </c>
      <c r="J26" s="300" t="s">
        <v>106</v>
      </c>
      <c r="K26" s="300" t="s">
        <v>107</v>
      </c>
      <c r="L26" s="364"/>
      <c r="M26" s="357"/>
      <c r="N26" s="361"/>
      <c r="O26" s="361"/>
      <c r="P26" s="300" t="s">
        <v>105</v>
      </c>
      <c r="Q26" s="300" t="s">
        <v>106</v>
      </c>
      <c r="R26" s="300" t="s">
        <v>107</v>
      </c>
      <c r="S26" s="300" t="s">
        <v>100</v>
      </c>
      <c r="T26" s="361"/>
      <c r="U26" s="300" t="s">
        <v>105</v>
      </c>
      <c r="V26" s="300" t="s">
        <v>106</v>
      </c>
      <c r="W26" s="300" t="s">
        <v>107</v>
      </c>
      <c r="X26" s="300" t="s">
        <v>100</v>
      </c>
      <c r="Y26" s="361"/>
      <c r="Z26" s="300" t="s">
        <v>105</v>
      </c>
      <c r="AA26" s="300" t="s">
        <v>106</v>
      </c>
      <c r="AB26" s="300" t="s">
        <v>107</v>
      </c>
      <c r="AC26" s="300" t="s">
        <v>100</v>
      </c>
      <c r="AD26" s="361"/>
      <c r="AE26" s="300" t="s">
        <v>105</v>
      </c>
      <c r="AF26" s="300" t="s">
        <v>106</v>
      </c>
      <c r="AG26" s="300" t="s">
        <v>107</v>
      </c>
      <c r="AH26" s="300" t="s">
        <v>100</v>
      </c>
      <c r="AI26" s="361"/>
      <c r="AJ26" s="300" t="s">
        <v>105</v>
      </c>
      <c r="AK26" s="300" t="s">
        <v>106</v>
      </c>
      <c r="AL26" s="300" t="s">
        <v>107</v>
      </c>
      <c r="AM26" s="300" t="s">
        <v>100</v>
      </c>
      <c r="AN26" s="361"/>
      <c r="AO26" s="300" t="s">
        <v>105</v>
      </c>
      <c r="AP26" s="300" t="s">
        <v>106</v>
      </c>
      <c r="AQ26" s="300" t="s">
        <v>107</v>
      </c>
      <c r="AR26" s="300" t="s">
        <v>100</v>
      </c>
      <c r="AS26" s="361"/>
      <c r="AT26" s="300" t="s">
        <v>105</v>
      </c>
      <c r="AU26" s="300" t="s">
        <v>106</v>
      </c>
      <c r="AV26" s="300" t="s">
        <v>107</v>
      </c>
      <c r="AW26" s="300" t="s">
        <v>100</v>
      </c>
      <c r="AX26" s="361"/>
    </row>
    <row r="27" spans="2:50" ht="13.5">
      <c r="B27" s="354" t="s">
        <v>108</v>
      </c>
      <c r="C27" s="301">
        <v>1</v>
      </c>
      <c r="D27" s="306" t="s">
        <v>123</v>
      </c>
      <c r="E27" s="302">
        <f>VLOOKUP(D27,'[1]0805產線配置圖'!$A$2:$C$17,2,0)</f>
        <v>12</v>
      </c>
      <c r="F27" s="302">
        <f>VLOOKUP(D27,'[1]0805產線配置圖'!$A$2:$C$17,3,0)</f>
        <v>2000</v>
      </c>
      <c r="G27" s="303">
        <f>F27/E27</f>
        <v>166.66666666666666</v>
      </c>
      <c r="H27" s="375">
        <f>AVERAGE(G27:G41)</f>
        <v>102.10435295913237</v>
      </c>
      <c r="I27" s="302">
        <f>AVERAGE(P27,U27,Z27,AE27,AJ27,AO27,AT27)</f>
        <v>12</v>
      </c>
      <c r="J27" s="302">
        <f>AVERAGE(Q27,V27,AA27,AF27,AK27,AP27,AU27)</f>
        <v>1769.7142857142858</v>
      </c>
      <c r="K27" s="303">
        <f>AVERAGE(R27,W27,AB27,AG27,AL27,AQ27,AV27)</f>
        <v>147.47619047619045</v>
      </c>
      <c r="L27" s="375">
        <f>IFERROR(AVERAGE(K27:K41),"-")</f>
        <v>93.593430301691086</v>
      </c>
      <c r="M27" s="304">
        <f>RANK(K27, K$27:$K$41)</f>
        <v>1</v>
      </c>
      <c r="N27" s="361"/>
      <c r="O27" s="361"/>
      <c r="P27" s="301">
        <v>12</v>
      </c>
      <c r="Q27" s="301">
        <v>1889</v>
      </c>
      <c r="R27" s="303">
        <f>Q27/P27</f>
        <v>157.41666666666666</v>
      </c>
      <c r="S27" s="301">
        <f>RANK(R27,$R$27:$R$41)</f>
        <v>1</v>
      </c>
      <c r="T27" s="373">
        <f>AVERAGE(R27:R41)</f>
        <v>93.344014208247387</v>
      </c>
      <c r="U27" s="301">
        <v>12</v>
      </c>
      <c r="V27" s="301">
        <v>1702</v>
      </c>
      <c r="W27" s="303">
        <f>V27/U27</f>
        <v>141.83333333333334</v>
      </c>
      <c r="X27" s="301">
        <f>RANK(W27, $W$27:$W$41)</f>
        <v>1</v>
      </c>
      <c r="Y27" s="373">
        <f>AVERAGE(W27:W41)</f>
        <v>91.861797475400408</v>
      </c>
      <c r="Z27" s="301">
        <v>12</v>
      </c>
      <c r="AA27" s="301">
        <v>1820</v>
      </c>
      <c r="AB27" s="303">
        <f>AA27/Z27</f>
        <v>151.66666666666666</v>
      </c>
      <c r="AC27" s="301">
        <f>RANK(AB27, $AB$27:$AB$40)</f>
        <v>1</v>
      </c>
      <c r="AD27" s="373">
        <f>AVERAGE(AB27:AB41)</f>
        <v>94.633089581986638</v>
      </c>
      <c r="AE27" s="301">
        <v>12</v>
      </c>
      <c r="AF27" s="301">
        <v>1816</v>
      </c>
      <c r="AG27" s="303">
        <f>AF27/AE27</f>
        <v>151.33333333333334</v>
      </c>
      <c r="AH27" s="301">
        <f>RANK(AG27, $AG$27:$AG$40)</f>
        <v>1</v>
      </c>
      <c r="AI27" s="373">
        <f>AVERAGE(AG27:AG41)</f>
        <v>93.173344425182677</v>
      </c>
      <c r="AJ27" s="301">
        <v>12</v>
      </c>
      <c r="AK27" s="301">
        <v>1584</v>
      </c>
      <c r="AL27" s="303">
        <f>AK27/AJ27</f>
        <v>132</v>
      </c>
      <c r="AM27" s="301">
        <f>RANK(AL27, $AL$27:$AL$40)</f>
        <v>1</v>
      </c>
      <c r="AN27" s="373">
        <f>AVERAGE(AL27:AL41)</f>
        <v>89.787954447513258</v>
      </c>
      <c r="AO27" s="301">
        <v>12</v>
      </c>
      <c r="AP27" s="301">
        <v>1787</v>
      </c>
      <c r="AQ27" s="303">
        <f>AP27/AO27</f>
        <v>148.91666666666666</v>
      </c>
      <c r="AR27" s="301">
        <f>RANK(AQ27,$AQ$27:$AQ$40)</f>
        <v>1</v>
      </c>
      <c r="AS27" s="373">
        <f>AVERAGE(AQ27:AQ41)</f>
        <v>98.892399652168564</v>
      </c>
      <c r="AT27" s="301">
        <v>12</v>
      </c>
      <c r="AU27" s="301">
        <v>1790</v>
      </c>
      <c r="AV27" s="303">
        <f>AU27/AT27</f>
        <v>149.16666666666666</v>
      </c>
      <c r="AW27" s="301">
        <f>RANK(AV27, $AV$27:$AV$40)</f>
        <v>1</v>
      </c>
      <c r="AX27" s="373">
        <f>AVERAGE(AV27:AV41)</f>
        <v>93.461412321338784</v>
      </c>
    </row>
    <row r="28" spans="2:50">
      <c r="B28" s="354"/>
      <c r="C28" s="301">
        <v>2</v>
      </c>
      <c r="D28" s="301" t="s">
        <v>110</v>
      </c>
      <c r="E28" s="302">
        <f>VLOOKUP(D28,'[1]0805產線配置圖'!$A$2:$C$17,2,0)</f>
        <v>13</v>
      </c>
      <c r="F28" s="302">
        <f>VLOOKUP(D28,'[1]0805產線配置圖'!$A$2:$C$17,3,0)</f>
        <v>2000</v>
      </c>
      <c r="G28" s="303">
        <f t="shared" ref="G28:G40" si="21">F28/E28</f>
        <v>153.84615384615384</v>
      </c>
      <c r="H28" s="376"/>
      <c r="I28" s="302">
        <f t="shared" ref="I28:K40" si="22">AVERAGE(P28,U28,Z28,AE28,AJ28,AO28,AT28)</f>
        <v>13</v>
      </c>
      <c r="J28" s="302">
        <f t="shared" si="22"/>
        <v>1797.1428571428571</v>
      </c>
      <c r="K28" s="303">
        <f t="shared" si="22"/>
        <v>138.24175824175822</v>
      </c>
      <c r="L28" s="376"/>
      <c r="M28" s="304">
        <f>RANK(K28, K$27:$K$41)</f>
        <v>2</v>
      </c>
      <c r="N28" s="361"/>
      <c r="O28" s="361"/>
      <c r="P28" s="301">
        <v>13</v>
      </c>
      <c r="Q28" s="301">
        <v>1777</v>
      </c>
      <c r="R28" s="303">
        <f t="shared" ref="R28:R36" si="23">Q28/P28</f>
        <v>136.69230769230768</v>
      </c>
      <c r="S28" s="301">
        <f t="shared" ref="S28:S40" si="24">RANK(R28,$R$27:$R$41)</f>
        <v>2</v>
      </c>
      <c r="T28" s="373"/>
      <c r="U28" s="301">
        <v>13</v>
      </c>
      <c r="V28" s="301">
        <v>1758</v>
      </c>
      <c r="W28" s="303">
        <f t="shared" ref="W28:W36" si="25">V28/U28</f>
        <v>135.23076923076923</v>
      </c>
      <c r="X28" s="301">
        <f t="shared" ref="X28:X40" si="26">RANK(W28, $W$27:$W$41)</f>
        <v>2</v>
      </c>
      <c r="Y28" s="373"/>
      <c r="Z28" s="301">
        <v>13</v>
      </c>
      <c r="AA28" s="301">
        <v>1800</v>
      </c>
      <c r="AB28" s="303">
        <f t="shared" ref="AB28:AB36" si="27">AA28/Z28</f>
        <v>138.46153846153845</v>
      </c>
      <c r="AC28" s="301">
        <f t="shared" ref="AC28:AC40" si="28">RANK(AB28, $AB$27:$AB$40)</f>
        <v>2</v>
      </c>
      <c r="AD28" s="373"/>
      <c r="AE28" s="301">
        <v>13</v>
      </c>
      <c r="AF28" s="301">
        <v>1868</v>
      </c>
      <c r="AG28" s="303">
        <f t="shared" ref="AG28:AG36" si="29">AF28/AE28</f>
        <v>143.69230769230768</v>
      </c>
      <c r="AH28" s="301">
        <f t="shared" ref="AH28:AH40" si="30">RANK(AG28, $AG$27:$AG$40)</f>
        <v>2</v>
      </c>
      <c r="AI28" s="373"/>
      <c r="AJ28" s="301">
        <v>13</v>
      </c>
      <c r="AK28" s="301">
        <v>1690</v>
      </c>
      <c r="AL28" s="303">
        <f t="shared" ref="AL28:AL36" si="31">AK28/AJ28</f>
        <v>130</v>
      </c>
      <c r="AM28" s="301">
        <f t="shared" ref="AM28:AM40" si="32">RANK(AL28, $AL$27:$AL$40)</f>
        <v>2</v>
      </c>
      <c r="AN28" s="373"/>
      <c r="AO28" s="301">
        <v>13</v>
      </c>
      <c r="AP28" s="301">
        <v>1812</v>
      </c>
      <c r="AQ28" s="303">
        <f t="shared" ref="AQ28:AQ36" si="33">AP28/AO28</f>
        <v>139.38461538461539</v>
      </c>
      <c r="AR28" s="301">
        <f t="shared" ref="AR28:AR40" si="34">RANK(AQ28,$AQ$27:$AQ$40)</f>
        <v>2</v>
      </c>
      <c r="AS28" s="373"/>
      <c r="AT28" s="301">
        <v>13</v>
      </c>
      <c r="AU28" s="301">
        <v>1875</v>
      </c>
      <c r="AV28" s="303">
        <f t="shared" ref="AV28:AV36" si="35">AU28/AT28</f>
        <v>144.23076923076923</v>
      </c>
      <c r="AW28" s="301">
        <f t="shared" ref="AW28:AW40" si="36">RANK(AV28, $AV$27:$AV$40)</f>
        <v>2</v>
      </c>
      <c r="AX28" s="373"/>
    </row>
    <row r="29" spans="2:50">
      <c r="B29" s="354"/>
      <c r="C29" s="301">
        <v>3</v>
      </c>
      <c r="D29" s="301" t="s">
        <v>111</v>
      </c>
      <c r="E29" s="302">
        <f>VLOOKUP(D29,'[1]0805產線配置圖'!$A$2:$C$17,2,0)</f>
        <v>16</v>
      </c>
      <c r="F29" s="302">
        <f>VLOOKUP(D29,'[1]0805產線配置圖'!$A$2:$C$17,3,0)</f>
        <v>1915</v>
      </c>
      <c r="G29" s="303">
        <f t="shared" si="21"/>
        <v>119.6875</v>
      </c>
      <c r="H29" s="376"/>
      <c r="I29" s="302">
        <f t="shared" si="22"/>
        <v>15.857142857142858</v>
      </c>
      <c r="J29" s="302">
        <f t="shared" si="22"/>
        <v>1565.2857142857142</v>
      </c>
      <c r="K29" s="303">
        <f t="shared" si="22"/>
        <v>98.691666666666677</v>
      </c>
      <c r="L29" s="376"/>
      <c r="M29" s="304">
        <f>RANK(K29, K$27:$K$41)</f>
        <v>4</v>
      </c>
      <c r="N29" s="361"/>
      <c r="O29" s="361"/>
      <c r="P29" s="301">
        <v>16</v>
      </c>
      <c r="Q29" s="301">
        <v>1679</v>
      </c>
      <c r="R29" s="303">
        <f t="shared" si="23"/>
        <v>104.9375</v>
      </c>
      <c r="S29" s="301">
        <f t="shared" si="24"/>
        <v>3</v>
      </c>
      <c r="T29" s="373"/>
      <c r="U29" s="301">
        <v>16</v>
      </c>
      <c r="V29" s="301">
        <v>1645</v>
      </c>
      <c r="W29" s="303">
        <f t="shared" si="25"/>
        <v>102.8125</v>
      </c>
      <c r="X29" s="301">
        <f t="shared" si="26"/>
        <v>4</v>
      </c>
      <c r="Y29" s="373"/>
      <c r="Z29" s="301">
        <v>16</v>
      </c>
      <c r="AA29" s="301">
        <v>1536</v>
      </c>
      <c r="AB29" s="303">
        <f t="shared" si="27"/>
        <v>96</v>
      </c>
      <c r="AC29" s="301">
        <f t="shared" si="28"/>
        <v>5</v>
      </c>
      <c r="AD29" s="373"/>
      <c r="AE29" s="301">
        <v>15</v>
      </c>
      <c r="AF29" s="301">
        <v>1516</v>
      </c>
      <c r="AG29" s="303">
        <f t="shared" si="29"/>
        <v>101.06666666666666</v>
      </c>
      <c r="AH29" s="301">
        <f t="shared" si="30"/>
        <v>3</v>
      </c>
      <c r="AI29" s="373"/>
      <c r="AJ29" s="301">
        <v>15</v>
      </c>
      <c r="AK29" s="301">
        <v>1341</v>
      </c>
      <c r="AL29" s="303">
        <f t="shared" si="31"/>
        <v>89.4</v>
      </c>
      <c r="AM29" s="301">
        <f t="shared" si="32"/>
        <v>6</v>
      </c>
      <c r="AN29" s="373"/>
      <c r="AO29" s="301">
        <v>16</v>
      </c>
      <c r="AP29" s="301">
        <v>1642</v>
      </c>
      <c r="AQ29" s="303">
        <f t="shared" si="33"/>
        <v>102.625</v>
      </c>
      <c r="AR29" s="301">
        <f t="shared" si="34"/>
        <v>5</v>
      </c>
      <c r="AS29" s="373"/>
      <c r="AT29" s="301">
        <v>17</v>
      </c>
      <c r="AU29" s="301">
        <v>1598</v>
      </c>
      <c r="AV29" s="303">
        <f t="shared" si="35"/>
        <v>94</v>
      </c>
      <c r="AW29" s="301">
        <f t="shared" si="36"/>
        <v>6</v>
      </c>
      <c r="AX29" s="373"/>
    </row>
    <row r="30" spans="2:50">
      <c r="B30" s="354"/>
      <c r="C30" s="301">
        <v>4</v>
      </c>
      <c r="D30" s="301" t="s">
        <v>112</v>
      </c>
      <c r="E30" s="302">
        <f>VLOOKUP(D30,'[1]0805產線配置圖'!$A$2:$C$17,2,0)</f>
        <v>18</v>
      </c>
      <c r="F30" s="302">
        <f>VLOOKUP(D30,'[1]0805產線配置圖'!$A$2:$C$17,3,0)</f>
        <v>1565</v>
      </c>
      <c r="G30" s="303">
        <f t="shared" si="21"/>
        <v>86.944444444444443</v>
      </c>
      <c r="H30" s="376"/>
      <c r="I30" s="302">
        <f t="shared" si="22"/>
        <v>17.285714285714285</v>
      </c>
      <c r="J30" s="302">
        <f t="shared" si="22"/>
        <v>1564</v>
      </c>
      <c r="K30" s="303">
        <f t="shared" si="22"/>
        <v>90.550070028011191</v>
      </c>
      <c r="L30" s="376"/>
      <c r="M30" s="304">
        <f>RANK(K30, K$27:$K$41)</f>
        <v>8</v>
      </c>
      <c r="N30" s="361"/>
      <c r="O30" s="361"/>
      <c r="P30" s="301">
        <v>18</v>
      </c>
      <c r="Q30" s="301">
        <v>1626</v>
      </c>
      <c r="R30" s="303">
        <f t="shared" si="23"/>
        <v>90.333333333333329</v>
      </c>
      <c r="S30" s="301">
        <f t="shared" si="24"/>
        <v>7</v>
      </c>
      <c r="T30" s="373"/>
      <c r="U30" s="301">
        <v>17</v>
      </c>
      <c r="V30" s="301">
        <v>1535</v>
      </c>
      <c r="W30" s="303">
        <f t="shared" si="25"/>
        <v>90.294117647058826</v>
      </c>
      <c r="X30" s="301">
        <f t="shared" si="26"/>
        <v>7</v>
      </c>
      <c r="Y30" s="373"/>
      <c r="Z30" s="301">
        <v>18</v>
      </c>
      <c r="AA30" s="301">
        <v>1614</v>
      </c>
      <c r="AB30" s="303">
        <f t="shared" si="27"/>
        <v>89.666666666666671</v>
      </c>
      <c r="AC30" s="301">
        <f t="shared" si="28"/>
        <v>9</v>
      </c>
      <c r="AD30" s="373"/>
      <c r="AE30" s="301">
        <v>17</v>
      </c>
      <c r="AF30" s="301">
        <v>1616</v>
      </c>
      <c r="AG30" s="303">
        <f t="shared" si="29"/>
        <v>95.058823529411768</v>
      </c>
      <c r="AH30" s="301">
        <f t="shared" si="30"/>
        <v>6</v>
      </c>
      <c r="AI30" s="373"/>
      <c r="AJ30" s="301">
        <v>17</v>
      </c>
      <c r="AK30" s="301">
        <v>1508</v>
      </c>
      <c r="AL30" s="303">
        <f t="shared" si="31"/>
        <v>88.705882352941174</v>
      </c>
      <c r="AM30" s="301">
        <f t="shared" si="32"/>
        <v>8</v>
      </c>
      <c r="AN30" s="373"/>
      <c r="AO30" s="301">
        <v>16</v>
      </c>
      <c r="AP30" s="301">
        <v>1498</v>
      </c>
      <c r="AQ30" s="303">
        <f t="shared" si="33"/>
        <v>93.625</v>
      </c>
      <c r="AR30" s="301">
        <f t="shared" si="34"/>
        <v>8</v>
      </c>
      <c r="AS30" s="373"/>
      <c r="AT30" s="301">
        <v>18</v>
      </c>
      <c r="AU30" s="301">
        <v>1551</v>
      </c>
      <c r="AV30" s="303">
        <f t="shared" si="35"/>
        <v>86.166666666666671</v>
      </c>
      <c r="AW30" s="301">
        <f t="shared" si="36"/>
        <v>8</v>
      </c>
      <c r="AX30" s="373"/>
    </row>
    <row r="31" spans="2:50">
      <c r="B31" s="354"/>
      <c r="C31" s="301">
        <v>5</v>
      </c>
      <c r="D31" s="301" t="s">
        <v>113</v>
      </c>
      <c r="E31" s="302">
        <f>VLOOKUP(D31,'[1]0805產線配置圖'!$A$2:$C$17,2,0)</f>
        <v>15</v>
      </c>
      <c r="F31" s="302">
        <f>VLOOKUP(D31,'[1]0805產線配置圖'!$A$2:$C$17,3,0)</f>
        <v>1565</v>
      </c>
      <c r="G31" s="303">
        <f t="shared" si="21"/>
        <v>104.33333333333333</v>
      </c>
      <c r="H31" s="376"/>
      <c r="I31" s="302">
        <f t="shared" si="22"/>
        <v>12.428571428571429</v>
      </c>
      <c r="J31" s="302">
        <f t="shared" si="22"/>
        <v>1209.1428571428571</v>
      </c>
      <c r="K31" s="303">
        <f t="shared" si="22"/>
        <v>97.551722087436374</v>
      </c>
      <c r="L31" s="376"/>
      <c r="M31" s="304">
        <f>RANK(K31, K$27:$K$41)</f>
        <v>5</v>
      </c>
      <c r="N31" s="361"/>
      <c r="O31" s="361"/>
      <c r="P31" s="301">
        <v>12</v>
      </c>
      <c r="Q31" s="301">
        <v>1122</v>
      </c>
      <c r="R31" s="303">
        <f t="shared" si="23"/>
        <v>93.5</v>
      </c>
      <c r="S31" s="301">
        <f t="shared" si="24"/>
        <v>6</v>
      </c>
      <c r="T31" s="373"/>
      <c r="U31" s="301">
        <v>14</v>
      </c>
      <c r="V31" s="301">
        <v>1057</v>
      </c>
      <c r="W31" s="303">
        <f t="shared" si="25"/>
        <v>75.5</v>
      </c>
      <c r="X31" s="301">
        <f t="shared" si="26"/>
        <v>11</v>
      </c>
      <c r="Y31" s="373"/>
      <c r="Z31" s="301">
        <v>12</v>
      </c>
      <c r="AA31" s="301">
        <v>1279</v>
      </c>
      <c r="AB31" s="303">
        <f t="shared" si="27"/>
        <v>106.58333333333333</v>
      </c>
      <c r="AC31" s="301">
        <f t="shared" si="28"/>
        <v>3</v>
      </c>
      <c r="AD31" s="373"/>
      <c r="AE31" s="301">
        <v>11</v>
      </c>
      <c r="AF31" s="301">
        <v>1091</v>
      </c>
      <c r="AG31" s="303">
        <f t="shared" si="29"/>
        <v>99.181818181818187</v>
      </c>
      <c r="AH31" s="301">
        <f t="shared" si="30"/>
        <v>4</v>
      </c>
      <c r="AI31" s="373"/>
      <c r="AJ31" s="301">
        <v>11</v>
      </c>
      <c r="AK31" s="301">
        <v>1125</v>
      </c>
      <c r="AL31" s="303">
        <f t="shared" si="31"/>
        <v>102.27272727272727</v>
      </c>
      <c r="AM31" s="301">
        <f t="shared" si="32"/>
        <v>3</v>
      </c>
      <c r="AN31" s="373"/>
      <c r="AO31" s="301">
        <v>13</v>
      </c>
      <c r="AP31" s="301">
        <v>1190</v>
      </c>
      <c r="AQ31" s="303">
        <f t="shared" si="33"/>
        <v>91.538461538461533</v>
      </c>
      <c r="AR31" s="301">
        <f t="shared" si="34"/>
        <v>9</v>
      </c>
      <c r="AS31" s="373"/>
      <c r="AT31" s="301">
        <v>14</v>
      </c>
      <c r="AU31" s="301">
        <v>1600</v>
      </c>
      <c r="AV31" s="303">
        <f t="shared" si="35"/>
        <v>114.28571428571429</v>
      </c>
      <c r="AW31" s="301">
        <f t="shared" si="36"/>
        <v>3</v>
      </c>
      <c r="AX31" s="373"/>
    </row>
    <row r="32" spans="2:50">
      <c r="B32" s="354"/>
      <c r="C32" s="301">
        <v>6</v>
      </c>
      <c r="D32" s="301" t="s">
        <v>124</v>
      </c>
      <c r="E32" s="302">
        <f>VLOOKUP(D32,'[1]0805產線配置圖'!$A$2:$C$17,2,0)</f>
        <v>17</v>
      </c>
      <c r="F32" s="302">
        <f>VLOOKUP(D32,'[1]0805產線配置圖'!$A$2:$C$17,3,0)</f>
        <v>1895</v>
      </c>
      <c r="G32" s="303">
        <f t="shared" si="21"/>
        <v>111.47058823529412</v>
      </c>
      <c r="H32" s="376"/>
      <c r="I32" s="302">
        <f t="shared" si="22"/>
        <v>15.857142857142858</v>
      </c>
      <c r="J32" s="302">
        <f t="shared" si="22"/>
        <v>1626.7142857142858</v>
      </c>
      <c r="K32" s="303">
        <f t="shared" si="22"/>
        <v>102.47237394957983</v>
      </c>
      <c r="L32" s="376"/>
      <c r="M32" s="304">
        <f>RANK(K32, K$27:$K$41)</f>
        <v>3</v>
      </c>
      <c r="N32" s="361"/>
      <c r="O32" s="361"/>
      <c r="P32" s="301">
        <v>17</v>
      </c>
      <c r="Q32" s="301">
        <v>1756</v>
      </c>
      <c r="R32" s="303">
        <f>Q32/P32</f>
        <v>103.29411764705883</v>
      </c>
      <c r="S32" s="301">
        <f t="shared" si="24"/>
        <v>4</v>
      </c>
      <c r="T32" s="373"/>
      <c r="U32" s="301">
        <v>16</v>
      </c>
      <c r="V32" s="301">
        <v>1680</v>
      </c>
      <c r="W32" s="303">
        <f t="shared" si="25"/>
        <v>105</v>
      </c>
      <c r="X32" s="301">
        <f t="shared" si="26"/>
        <v>3</v>
      </c>
      <c r="Y32" s="373"/>
      <c r="Z32" s="301">
        <v>16</v>
      </c>
      <c r="AA32" s="301">
        <v>1636</v>
      </c>
      <c r="AB32" s="303">
        <f t="shared" si="27"/>
        <v>102.25</v>
      </c>
      <c r="AC32" s="301">
        <f t="shared" si="28"/>
        <v>4</v>
      </c>
      <c r="AD32" s="373"/>
      <c r="AE32" s="301">
        <v>15</v>
      </c>
      <c r="AF32" s="301">
        <v>1434</v>
      </c>
      <c r="AG32" s="303">
        <f t="shared" si="29"/>
        <v>95.6</v>
      </c>
      <c r="AH32" s="301">
        <f t="shared" si="30"/>
        <v>5</v>
      </c>
      <c r="AI32" s="373"/>
      <c r="AJ32" s="301">
        <v>15</v>
      </c>
      <c r="AK32" s="301">
        <v>1464</v>
      </c>
      <c r="AL32" s="303">
        <f t="shared" si="31"/>
        <v>97.6</v>
      </c>
      <c r="AM32" s="301">
        <f t="shared" si="32"/>
        <v>4</v>
      </c>
      <c r="AN32" s="373"/>
      <c r="AO32" s="301">
        <v>16</v>
      </c>
      <c r="AP32" s="301">
        <v>1895</v>
      </c>
      <c r="AQ32" s="303">
        <f t="shared" si="33"/>
        <v>118.4375</v>
      </c>
      <c r="AR32" s="301">
        <f t="shared" si="34"/>
        <v>3</v>
      </c>
      <c r="AS32" s="373"/>
      <c r="AT32" s="301">
        <v>16</v>
      </c>
      <c r="AU32" s="301">
        <v>1522</v>
      </c>
      <c r="AV32" s="303">
        <f t="shared" si="35"/>
        <v>95.125</v>
      </c>
      <c r="AW32" s="301">
        <f t="shared" si="36"/>
        <v>5</v>
      </c>
      <c r="AX32" s="373"/>
    </row>
    <row r="33" spans="2:50">
      <c r="B33" s="354"/>
      <c r="C33" s="301">
        <v>7</v>
      </c>
      <c r="D33" s="301" t="s">
        <v>115</v>
      </c>
      <c r="E33" s="302">
        <f>VLOOKUP(D33,'[1]0805產線配置圖'!$A$2:$C$17,2,0)</f>
        <v>16</v>
      </c>
      <c r="F33" s="302">
        <f>VLOOKUP(D33,'[1]0805產線配置圖'!$A$2:$C$17,3,0)</f>
        <v>1552</v>
      </c>
      <c r="G33" s="303">
        <f t="shared" si="21"/>
        <v>97</v>
      </c>
      <c r="H33" s="376"/>
      <c r="I33" s="302">
        <f t="shared" si="22"/>
        <v>15.571428571428571</v>
      </c>
      <c r="J33" s="302">
        <f t="shared" si="22"/>
        <v>1290.5714285714287</v>
      </c>
      <c r="K33" s="303">
        <f t="shared" si="22"/>
        <v>82.677310924369749</v>
      </c>
      <c r="L33" s="376"/>
      <c r="M33" s="304">
        <f>RANK(K33, K$27:$K$41)</f>
        <v>9</v>
      </c>
      <c r="N33" s="361"/>
      <c r="O33" s="361"/>
      <c r="P33" s="301">
        <v>16</v>
      </c>
      <c r="Q33" s="301">
        <v>1402</v>
      </c>
      <c r="R33" s="303">
        <f t="shared" si="23"/>
        <v>87.625</v>
      </c>
      <c r="S33" s="301">
        <f t="shared" si="24"/>
        <v>9</v>
      </c>
      <c r="T33" s="373"/>
      <c r="U33" s="301">
        <v>16</v>
      </c>
      <c r="V33" s="301">
        <v>1247</v>
      </c>
      <c r="W33" s="303">
        <f t="shared" si="25"/>
        <v>77.9375</v>
      </c>
      <c r="X33" s="301">
        <f t="shared" si="26"/>
        <v>10</v>
      </c>
      <c r="Y33" s="373"/>
      <c r="Z33" s="301">
        <v>16</v>
      </c>
      <c r="AA33" s="301">
        <v>1439</v>
      </c>
      <c r="AB33" s="303">
        <f t="shared" si="27"/>
        <v>89.9375</v>
      </c>
      <c r="AC33" s="301">
        <f t="shared" si="28"/>
        <v>8</v>
      </c>
      <c r="AD33" s="373"/>
      <c r="AE33" s="301">
        <v>17</v>
      </c>
      <c r="AF33" s="301">
        <v>1444</v>
      </c>
      <c r="AG33" s="303">
        <f t="shared" si="29"/>
        <v>84.941176470588232</v>
      </c>
      <c r="AH33" s="301">
        <f t="shared" si="30"/>
        <v>9</v>
      </c>
      <c r="AI33" s="373"/>
      <c r="AJ33" s="301">
        <v>15</v>
      </c>
      <c r="AK33" s="301">
        <v>1259</v>
      </c>
      <c r="AL33" s="303">
        <f t="shared" si="31"/>
        <v>83.933333333333337</v>
      </c>
      <c r="AM33" s="301">
        <f t="shared" si="32"/>
        <v>9</v>
      </c>
      <c r="AN33" s="373"/>
      <c r="AO33" s="301">
        <v>14</v>
      </c>
      <c r="AP33" s="301">
        <v>1015</v>
      </c>
      <c r="AQ33" s="303">
        <f t="shared" si="33"/>
        <v>72.5</v>
      </c>
      <c r="AR33" s="301">
        <f t="shared" si="34"/>
        <v>13</v>
      </c>
      <c r="AS33" s="373"/>
      <c r="AT33" s="301">
        <v>15</v>
      </c>
      <c r="AU33" s="301">
        <v>1228</v>
      </c>
      <c r="AV33" s="303">
        <f t="shared" si="35"/>
        <v>81.86666666666666</v>
      </c>
      <c r="AW33" s="301">
        <f t="shared" si="36"/>
        <v>9</v>
      </c>
      <c r="AX33" s="373"/>
    </row>
    <row r="34" spans="2:50">
      <c r="B34" s="354"/>
      <c r="C34" s="301">
        <v>8</v>
      </c>
      <c r="D34" s="301" t="s">
        <v>116</v>
      </c>
      <c r="E34" s="302">
        <f>VLOOKUP(D34,'[1]0805產線配置圖'!$A$2:$C$17,2,0)</f>
        <v>17</v>
      </c>
      <c r="F34" s="302">
        <f>VLOOKUP(D34,'[1]0805產線配置圖'!$A$2:$C$17,3,0)</f>
        <v>1565</v>
      </c>
      <c r="G34" s="303">
        <f t="shared" si="21"/>
        <v>92.058823529411768</v>
      </c>
      <c r="H34" s="376"/>
      <c r="I34" s="302">
        <f t="shared" si="22"/>
        <v>16.571428571428573</v>
      </c>
      <c r="J34" s="302">
        <f t="shared" si="22"/>
        <v>1604.2857142857142</v>
      </c>
      <c r="K34" s="303">
        <f t="shared" si="22"/>
        <v>96.808823529411754</v>
      </c>
      <c r="L34" s="376"/>
      <c r="M34" s="304">
        <f>RANK(K34, K$27:$K$41)</f>
        <v>6</v>
      </c>
      <c r="N34" s="361"/>
      <c r="O34" s="361"/>
      <c r="P34" s="301">
        <v>17</v>
      </c>
      <c r="Q34" s="301">
        <v>1655</v>
      </c>
      <c r="R34" s="303">
        <f t="shared" si="23"/>
        <v>97.352941176470594</v>
      </c>
      <c r="S34" s="301">
        <f t="shared" si="24"/>
        <v>5</v>
      </c>
      <c r="T34" s="373"/>
      <c r="U34" s="301">
        <v>16</v>
      </c>
      <c r="V34" s="301">
        <v>1637</v>
      </c>
      <c r="W34" s="303">
        <f t="shared" si="25"/>
        <v>102.3125</v>
      </c>
      <c r="X34" s="301">
        <f t="shared" si="26"/>
        <v>5</v>
      </c>
      <c r="Y34" s="373"/>
      <c r="Z34" s="301">
        <v>17</v>
      </c>
      <c r="AA34" s="301">
        <v>1627</v>
      </c>
      <c r="AB34" s="303">
        <f t="shared" si="27"/>
        <v>95.705882352941174</v>
      </c>
      <c r="AC34" s="301">
        <f t="shared" si="28"/>
        <v>6</v>
      </c>
      <c r="AD34" s="373"/>
      <c r="AE34" s="301">
        <v>17</v>
      </c>
      <c r="AF34" s="301">
        <v>1576</v>
      </c>
      <c r="AG34" s="303">
        <f t="shared" si="29"/>
        <v>92.705882352941174</v>
      </c>
      <c r="AH34" s="301">
        <f t="shared" si="30"/>
        <v>7</v>
      </c>
      <c r="AI34" s="373"/>
      <c r="AJ34" s="301">
        <v>16</v>
      </c>
      <c r="AK34" s="301">
        <v>1424</v>
      </c>
      <c r="AL34" s="303">
        <f t="shared" si="31"/>
        <v>89</v>
      </c>
      <c r="AM34" s="301">
        <f t="shared" si="32"/>
        <v>7</v>
      </c>
      <c r="AN34" s="373"/>
      <c r="AO34" s="301">
        <v>16</v>
      </c>
      <c r="AP34" s="301">
        <v>1583</v>
      </c>
      <c r="AQ34" s="303">
        <f t="shared" si="33"/>
        <v>98.9375</v>
      </c>
      <c r="AR34" s="301">
        <f t="shared" si="34"/>
        <v>6</v>
      </c>
      <c r="AS34" s="373"/>
      <c r="AT34" s="301">
        <v>17</v>
      </c>
      <c r="AU34" s="301">
        <v>1728</v>
      </c>
      <c r="AV34" s="303">
        <f t="shared" si="35"/>
        <v>101.64705882352941</v>
      </c>
      <c r="AW34" s="301">
        <f t="shared" si="36"/>
        <v>4</v>
      </c>
      <c r="AX34" s="373"/>
    </row>
    <row r="35" spans="2:50">
      <c r="B35" s="354"/>
      <c r="C35" s="301">
        <v>9</v>
      </c>
      <c r="D35" s="301" t="s">
        <v>117</v>
      </c>
      <c r="E35" s="302">
        <f>VLOOKUP(D35,'[1]0805產線配置圖'!$A$2:$C$17,2,0)</f>
        <v>16</v>
      </c>
      <c r="F35" s="302">
        <f>VLOOKUP(D35,'[1]0805產線配置圖'!$A$2:$C$17,3,0)</f>
        <v>1390</v>
      </c>
      <c r="G35" s="303">
        <f t="shared" si="21"/>
        <v>86.875</v>
      </c>
      <c r="H35" s="376"/>
      <c r="I35" s="302">
        <f t="shared" si="22"/>
        <v>14.142857142857142</v>
      </c>
      <c r="J35" s="302">
        <f t="shared" si="22"/>
        <v>812.71428571428567</v>
      </c>
      <c r="K35" s="303">
        <f t="shared" si="22"/>
        <v>57.427734170591314</v>
      </c>
      <c r="L35" s="376"/>
      <c r="M35" s="304">
        <f>RANK(K35, K$27:$K$41)</f>
        <v>14</v>
      </c>
      <c r="N35" s="361"/>
      <c r="O35" s="361"/>
      <c r="P35" s="301">
        <v>14</v>
      </c>
      <c r="Q35" s="301">
        <v>747</v>
      </c>
      <c r="R35" s="303">
        <f t="shared" si="23"/>
        <v>53.357142857142854</v>
      </c>
      <c r="S35" s="301">
        <f t="shared" si="24"/>
        <v>14</v>
      </c>
      <c r="T35" s="373"/>
      <c r="U35" s="301">
        <v>15</v>
      </c>
      <c r="V35" s="301">
        <v>918</v>
      </c>
      <c r="W35" s="303">
        <f t="shared" si="25"/>
        <v>61.2</v>
      </c>
      <c r="X35" s="301">
        <f t="shared" si="26"/>
        <v>14</v>
      </c>
      <c r="Y35" s="373"/>
      <c r="Z35" s="301">
        <v>15</v>
      </c>
      <c r="AA35" s="301">
        <v>829</v>
      </c>
      <c r="AB35" s="303">
        <f t="shared" si="27"/>
        <v>55.266666666666666</v>
      </c>
      <c r="AC35" s="301">
        <f t="shared" si="28"/>
        <v>14</v>
      </c>
      <c r="AD35" s="373"/>
      <c r="AE35" s="301">
        <v>14</v>
      </c>
      <c r="AF35" s="301">
        <v>819</v>
      </c>
      <c r="AG35" s="303">
        <f t="shared" si="29"/>
        <v>58.5</v>
      </c>
      <c r="AH35" s="301">
        <f t="shared" si="30"/>
        <v>14</v>
      </c>
      <c r="AI35" s="373"/>
      <c r="AJ35" s="301">
        <v>13</v>
      </c>
      <c r="AK35" s="301">
        <v>720</v>
      </c>
      <c r="AL35" s="303">
        <f t="shared" si="31"/>
        <v>55.384615384615387</v>
      </c>
      <c r="AM35" s="301">
        <f t="shared" si="32"/>
        <v>14</v>
      </c>
      <c r="AN35" s="373"/>
      <c r="AO35" s="301">
        <v>14</v>
      </c>
      <c r="AP35" s="301">
        <v>743</v>
      </c>
      <c r="AQ35" s="303">
        <f t="shared" si="33"/>
        <v>53.071428571428569</v>
      </c>
      <c r="AR35" s="301">
        <f t="shared" si="34"/>
        <v>14</v>
      </c>
      <c r="AS35" s="373"/>
      <c r="AT35" s="301">
        <v>14</v>
      </c>
      <c r="AU35" s="301">
        <v>913</v>
      </c>
      <c r="AV35" s="303">
        <f t="shared" si="35"/>
        <v>65.214285714285708</v>
      </c>
      <c r="AW35" s="301">
        <f t="shared" si="36"/>
        <v>13</v>
      </c>
      <c r="AX35" s="373"/>
    </row>
    <row r="36" spans="2:50">
      <c r="B36" s="354"/>
      <c r="C36" s="301">
        <v>10</v>
      </c>
      <c r="D36" s="301" t="s">
        <v>118</v>
      </c>
      <c r="E36" s="302">
        <f>VLOOKUP(D36,'[1]0805產線配置圖'!$A$2:$C$17,2,0)</f>
        <v>18</v>
      </c>
      <c r="F36" s="302">
        <f>VLOOKUP(D36,'[1]0805產線配置圖'!$A$2:$C$17,3,0)</f>
        <v>1565</v>
      </c>
      <c r="G36" s="303">
        <f t="shared" si="21"/>
        <v>86.944444444444443</v>
      </c>
      <c r="H36" s="376"/>
      <c r="I36" s="302">
        <f t="shared" si="22"/>
        <v>17.142857142857142</v>
      </c>
      <c r="J36" s="302">
        <f t="shared" si="22"/>
        <v>1322.2857142857142</v>
      </c>
      <c r="K36" s="303">
        <f t="shared" si="22"/>
        <v>77.965221088435371</v>
      </c>
      <c r="L36" s="376"/>
      <c r="M36" s="304">
        <f>RANK(K36, K$27:$K$41)</f>
        <v>10</v>
      </c>
      <c r="N36" s="361"/>
      <c r="O36" s="361"/>
      <c r="P36" s="301">
        <v>18</v>
      </c>
      <c r="Q36" s="301">
        <v>1265</v>
      </c>
      <c r="R36" s="303">
        <f t="shared" si="23"/>
        <v>70.277777777777771</v>
      </c>
      <c r="S36" s="301">
        <f t="shared" si="24"/>
        <v>11</v>
      </c>
      <c r="T36" s="373"/>
      <c r="U36" s="301">
        <v>18</v>
      </c>
      <c r="V36" s="301">
        <v>1413</v>
      </c>
      <c r="W36" s="303">
        <f t="shared" si="25"/>
        <v>78.5</v>
      </c>
      <c r="X36" s="301">
        <f t="shared" si="26"/>
        <v>9</v>
      </c>
      <c r="Y36" s="373"/>
      <c r="Z36" s="301">
        <v>20</v>
      </c>
      <c r="AA36" s="301">
        <v>1399</v>
      </c>
      <c r="AB36" s="303">
        <f t="shared" si="27"/>
        <v>69.95</v>
      </c>
      <c r="AC36" s="301">
        <f t="shared" si="28"/>
        <v>13</v>
      </c>
      <c r="AD36" s="373"/>
      <c r="AE36" s="301">
        <v>16</v>
      </c>
      <c r="AF36" s="301">
        <v>1177</v>
      </c>
      <c r="AG36" s="303">
        <f t="shared" si="29"/>
        <v>73.5625</v>
      </c>
      <c r="AH36" s="301">
        <f t="shared" si="30"/>
        <v>11</v>
      </c>
      <c r="AI36" s="373"/>
      <c r="AJ36" s="301">
        <v>16</v>
      </c>
      <c r="AK36" s="301">
        <v>1178</v>
      </c>
      <c r="AL36" s="303">
        <f t="shared" si="31"/>
        <v>73.625</v>
      </c>
      <c r="AM36" s="301">
        <f t="shared" si="32"/>
        <v>11</v>
      </c>
      <c r="AN36" s="373"/>
      <c r="AO36" s="301">
        <v>14</v>
      </c>
      <c r="AP36" s="301">
        <v>1446</v>
      </c>
      <c r="AQ36" s="303">
        <f t="shared" si="33"/>
        <v>103.28571428571429</v>
      </c>
      <c r="AR36" s="301">
        <f t="shared" si="34"/>
        <v>4</v>
      </c>
      <c r="AS36" s="373"/>
      <c r="AT36" s="301">
        <v>18</v>
      </c>
      <c r="AU36" s="301">
        <v>1378</v>
      </c>
      <c r="AV36" s="303">
        <f t="shared" si="35"/>
        <v>76.555555555555557</v>
      </c>
      <c r="AW36" s="301">
        <f t="shared" si="36"/>
        <v>11</v>
      </c>
      <c r="AX36" s="373"/>
    </row>
    <row r="37" spans="2:50">
      <c r="B37" s="354"/>
      <c r="C37" s="301">
        <v>11</v>
      </c>
      <c r="D37" s="301" t="s">
        <v>119</v>
      </c>
      <c r="E37" s="302">
        <f>VLOOKUP(D37,'[1]0805產線配置圖'!$A$2:$C$17,2,0)</f>
        <v>18</v>
      </c>
      <c r="F37" s="302">
        <f>VLOOKUP(D37,'[1]0805產線配置圖'!$A$2:$C$17,3,0)</f>
        <v>1500</v>
      </c>
      <c r="G37" s="303">
        <f t="shared" si="21"/>
        <v>83.333333333333329</v>
      </c>
      <c r="H37" s="376"/>
      <c r="I37" s="302">
        <f t="shared" si="22"/>
        <v>18</v>
      </c>
      <c r="J37" s="302">
        <f t="shared" si="22"/>
        <v>1380.1428571428571</v>
      </c>
      <c r="K37" s="303">
        <f t="shared" si="22"/>
        <v>76.86932773109244</v>
      </c>
      <c r="L37" s="376"/>
      <c r="M37" s="304">
        <f>RANK(K37, K$27:$K$41)</f>
        <v>12</v>
      </c>
      <c r="N37" s="361"/>
      <c r="O37" s="361"/>
      <c r="P37" s="301">
        <v>18</v>
      </c>
      <c r="Q37" s="301">
        <v>1249</v>
      </c>
      <c r="R37" s="303">
        <f>Q37/P37</f>
        <v>69.388888888888886</v>
      </c>
      <c r="S37" s="301">
        <f t="shared" si="24"/>
        <v>12</v>
      </c>
      <c r="T37" s="373"/>
      <c r="U37" s="301">
        <v>18</v>
      </c>
      <c r="V37" s="301">
        <v>1208</v>
      </c>
      <c r="W37" s="303">
        <f>V37/U37</f>
        <v>67.111111111111114</v>
      </c>
      <c r="X37" s="301">
        <f t="shared" si="26"/>
        <v>13</v>
      </c>
      <c r="Y37" s="373"/>
      <c r="Z37" s="301">
        <v>20</v>
      </c>
      <c r="AA37" s="301">
        <v>1477</v>
      </c>
      <c r="AB37" s="303">
        <f>AA37/Z37</f>
        <v>73.849999999999994</v>
      </c>
      <c r="AC37" s="301">
        <f t="shared" si="28"/>
        <v>12</v>
      </c>
      <c r="AD37" s="373"/>
      <c r="AE37" s="301">
        <v>17</v>
      </c>
      <c r="AF37" s="301">
        <v>1402</v>
      </c>
      <c r="AG37" s="303">
        <f>AF37/AE37</f>
        <v>82.470588235294116</v>
      </c>
      <c r="AH37" s="301">
        <f t="shared" si="30"/>
        <v>10</v>
      </c>
      <c r="AI37" s="373"/>
      <c r="AJ37" s="301">
        <v>18</v>
      </c>
      <c r="AK37" s="301">
        <v>1226</v>
      </c>
      <c r="AL37" s="303">
        <f>AK37/AJ37</f>
        <v>68.111111111111114</v>
      </c>
      <c r="AM37" s="301">
        <f t="shared" si="32"/>
        <v>13</v>
      </c>
      <c r="AN37" s="373"/>
      <c r="AO37" s="301">
        <v>17</v>
      </c>
      <c r="AP37" s="301">
        <v>1526</v>
      </c>
      <c r="AQ37" s="303">
        <f>AP37/AO37</f>
        <v>89.764705882352942</v>
      </c>
      <c r="AR37" s="301">
        <f t="shared" si="34"/>
        <v>11</v>
      </c>
      <c r="AS37" s="373"/>
      <c r="AT37" s="301">
        <v>18</v>
      </c>
      <c r="AU37" s="301">
        <v>1573</v>
      </c>
      <c r="AV37" s="303">
        <f>AU37/AT37</f>
        <v>87.388888888888886</v>
      </c>
      <c r="AW37" s="301">
        <f t="shared" si="36"/>
        <v>7</v>
      </c>
      <c r="AX37" s="373"/>
    </row>
    <row r="38" spans="2:50">
      <c r="B38" s="354"/>
      <c r="C38" s="301">
        <v>12</v>
      </c>
      <c r="D38" s="301" t="s">
        <v>125</v>
      </c>
      <c r="E38" s="302">
        <f>VLOOKUP(D38,'[1]0805產線配置圖'!$A$2:$C$17,2,0)</f>
        <v>18</v>
      </c>
      <c r="F38" s="302">
        <f>VLOOKUP(D38,'[1]0805產線配置圖'!$A$2:$C$17,3,0)</f>
        <v>1714</v>
      </c>
      <c r="G38" s="303">
        <f t="shared" si="21"/>
        <v>95.222222222222229</v>
      </c>
      <c r="H38" s="376"/>
      <c r="I38" s="302">
        <f t="shared" si="22"/>
        <v>16.714285714285715</v>
      </c>
      <c r="J38" s="302">
        <f t="shared" si="22"/>
        <v>1514.4285714285713</v>
      </c>
      <c r="K38" s="303">
        <f t="shared" si="22"/>
        <v>90.553466386554632</v>
      </c>
      <c r="L38" s="376"/>
      <c r="M38" s="304">
        <f>RANK(K38, K$27:$K$41)</f>
        <v>7</v>
      </c>
      <c r="N38" s="361"/>
      <c r="O38" s="361"/>
      <c r="P38" s="301">
        <v>18</v>
      </c>
      <c r="Q38" s="301">
        <v>1622</v>
      </c>
      <c r="R38" s="303">
        <f t="shared" ref="R38:R40" si="37">Q38/P38</f>
        <v>90.111111111111114</v>
      </c>
      <c r="S38" s="301">
        <f t="shared" si="24"/>
        <v>8</v>
      </c>
      <c r="T38" s="373"/>
      <c r="U38" s="301">
        <v>18</v>
      </c>
      <c r="V38" s="301">
        <v>1714</v>
      </c>
      <c r="W38" s="303">
        <f t="shared" ref="W38:W40" si="38">V38/U38</f>
        <v>95.222222222222229</v>
      </c>
      <c r="X38" s="301">
        <f t="shared" si="26"/>
        <v>6</v>
      </c>
      <c r="Y38" s="373"/>
      <c r="Z38" s="301">
        <v>16</v>
      </c>
      <c r="AA38" s="301">
        <v>1492</v>
      </c>
      <c r="AB38" s="303">
        <f t="shared" ref="AB38:AB40" si="39">AA38/Z38</f>
        <v>93.25</v>
      </c>
      <c r="AC38" s="301">
        <f t="shared" si="28"/>
        <v>7</v>
      </c>
      <c r="AD38" s="373"/>
      <c r="AE38" s="301">
        <v>17</v>
      </c>
      <c r="AF38" s="301">
        <v>1483</v>
      </c>
      <c r="AG38" s="303">
        <f t="shared" ref="AG38:AG40" si="40">AF38/AE38</f>
        <v>87.235294117647058</v>
      </c>
      <c r="AH38" s="301">
        <f t="shared" si="30"/>
        <v>8</v>
      </c>
      <c r="AI38" s="373"/>
      <c r="AJ38" s="301">
        <v>17</v>
      </c>
      <c r="AK38" s="301">
        <v>1618</v>
      </c>
      <c r="AL38" s="303">
        <f t="shared" ref="AL38:AL40" si="41">AK38/AJ38</f>
        <v>95.17647058823529</v>
      </c>
      <c r="AM38" s="301">
        <f t="shared" si="32"/>
        <v>5</v>
      </c>
      <c r="AN38" s="373"/>
      <c r="AO38" s="301">
        <v>15</v>
      </c>
      <c r="AP38" s="301">
        <v>1411</v>
      </c>
      <c r="AQ38" s="303">
        <f t="shared" ref="AQ38:AQ40" si="42">AP38/AO38</f>
        <v>94.066666666666663</v>
      </c>
      <c r="AR38" s="301">
        <f t="shared" si="34"/>
        <v>7</v>
      </c>
      <c r="AS38" s="373"/>
      <c r="AT38" s="301">
        <v>16</v>
      </c>
      <c r="AU38" s="301">
        <v>1261</v>
      </c>
      <c r="AV38" s="303">
        <f t="shared" ref="AV38:AV40" si="43">AU38/AT38</f>
        <v>78.8125</v>
      </c>
      <c r="AW38" s="301">
        <f t="shared" si="36"/>
        <v>10</v>
      </c>
      <c r="AX38" s="373"/>
    </row>
    <row r="39" spans="2:50">
      <c r="B39" s="354"/>
      <c r="C39" s="301">
        <v>13</v>
      </c>
      <c r="D39" s="301" t="s">
        <v>121</v>
      </c>
      <c r="E39" s="302">
        <f>VLOOKUP(D39,'[1]0805產線配置圖'!$A$2:$C$17,2,0)</f>
        <v>18</v>
      </c>
      <c r="F39" s="302">
        <f>VLOOKUP(D39,'[1]0805產線配置圖'!$A$2:$C$17,3,0)</f>
        <v>1200</v>
      </c>
      <c r="G39" s="303">
        <f t="shared" si="21"/>
        <v>66.666666666666671</v>
      </c>
      <c r="H39" s="376"/>
      <c r="I39" s="302">
        <f t="shared" si="22"/>
        <v>18.142857142857142</v>
      </c>
      <c r="J39" s="302">
        <f t="shared" si="22"/>
        <v>1397</v>
      </c>
      <c r="K39" s="303">
        <f t="shared" si="22"/>
        <v>77.15168067226891</v>
      </c>
      <c r="L39" s="376"/>
      <c r="M39" s="304">
        <f>RANK(K39, K$27:$K$41)</f>
        <v>11</v>
      </c>
      <c r="N39" s="361"/>
      <c r="O39" s="361"/>
      <c r="P39" s="301">
        <v>18</v>
      </c>
      <c r="Q39" s="301">
        <v>1170</v>
      </c>
      <c r="R39" s="303">
        <f t="shared" si="37"/>
        <v>65</v>
      </c>
      <c r="S39" s="301">
        <f t="shared" si="24"/>
        <v>13</v>
      </c>
      <c r="T39" s="373"/>
      <c r="U39" s="301">
        <v>18</v>
      </c>
      <c r="V39" s="301">
        <v>1460</v>
      </c>
      <c r="W39" s="303">
        <f t="shared" si="38"/>
        <v>81.111111111111114</v>
      </c>
      <c r="X39" s="301">
        <f t="shared" si="26"/>
        <v>8</v>
      </c>
      <c r="Y39" s="373"/>
      <c r="Z39" s="301">
        <v>20</v>
      </c>
      <c r="AA39" s="301">
        <v>1493</v>
      </c>
      <c r="AB39" s="303">
        <f t="shared" si="39"/>
        <v>74.650000000000006</v>
      </c>
      <c r="AC39" s="301">
        <f t="shared" si="28"/>
        <v>11</v>
      </c>
      <c r="AD39" s="373"/>
      <c r="AE39" s="301">
        <v>18</v>
      </c>
      <c r="AF39" s="301">
        <v>1308</v>
      </c>
      <c r="AG39" s="303">
        <f t="shared" si="40"/>
        <v>72.666666666666671</v>
      </c>
      <c r="AH39" s="301">
        <f t="shared" si="30"/>
        <v>12</v>
      </c>
      <c r="AI39" s="373"/>
      <c r="AJ39" s="301">
        <v>18</v>
      </c>
      <c r="AK39" s="301">
        <v>1462</v>
      </c>
      <c r="AL39" s="303">
        <f t="shared" si="41"/>
        <v>81.222222222222229</v>
      </c>
      <c r="AM39" s="301">
        <f t="shared" si="32"/>
        <v>10</v>
      </c>
      <c r="AN39" s="373"/>
      <c r="AO39" s="301">
        <v>17</v>
      </c>
      <c r="AP39" s="301">
        <v>1554</v>
      </c>
      <c r="AQ39" s="303">
        <f t="shared" si="42"/>
        <v>91.411764705882348</v>
      </c>
      <c r="AR39" s="301">
        <f t="shared" si="34"/>
        <v>10</v>
      </c>
      <c r="AS39" s="373"/>
      <c r="AT39" s="301">
        <v>18</v>
      </c>
      <c r="AU39" s="301">
        <v>1332</v>
      </c>
      <c r="AV39" s="303">
        <f t="shared" si="43"/>
        <v>74</v>
      </c>
      <c r="AW39" s="301">
        <f t="shared" si="36"/>
        <v>12</v>
      </c>
      <c r="AX39" s="373"/>
    </row>
    <row r="40" spans="2:50">
      <c r="B40" s="354"/>
      <c r="C40" s="301">
        <v>14</v>
      </c>
      <c r="D40" s="301" t="s">
        <v>122</v>
      </c>
      <c r="E40" s="302">
        <f>VLOOKUP(D40,'[1]0805產線配置圖'!$A$2:$C$17,2,0)</f>
        <v>17</v>
      </c>
      <c r="F40" s="302">
        <f>VLOOKUP(D40,'[1]0805產線配置圖'!$A$2:$C$17,3,0)</f>
        <v>1333</v>
      </c>
      <c r="G40" s="303">
        <f t="shared" si="21"/>
        <v>78.411764705882348</v>
      </c>
      <c r="H40" s="376"/>
      <c r="I40" s="301">
        <f t="shared" si="22"/>
        <v>16</v>
      </c>
      <c r="J40" s="302">
        <f t="shared" si="22"/>
        <v>1211.2857142857142</v>
      </c>
      <c r="K40" s="303">
        <f t="shared" si="22"/>
        <v>75.87067827130852</v>
      </c>
      <c r="L40" s="376"/>
      <c r="M40" s="304">
        <f>RANK(K40, K$27:$K$41)</f>
        <v>13</v>
      </c>
      <c r="N40" s="361"/>
      <c r="O40" s="361"/>
      <c r="P40" s="301">
        <v>17</v>
      </c>
      <c r="Q40" s="301">
        <v>1488</v>
      </c>
      <c r="R40" s="303">
        <f t="shared" si="37"/>
        <v>87.529411764705884</v>
      </c>
      <c r="S40" s="301">
        <f t="shared" si="24"/>
        <v>10</v>
      </c>
      <c r="T40" s="373"/>
      <c r="U40" s="301">
        <v>17</v>
      </c>
      <c r="V40" s="301">
        <v>1224</v>
      </c>
      <c r="W40" s="303">
        <f t="shared" si="38"/>
        <v>72</v>
      </c>
      <c r="X40" s="301">
        <f t="shared" si="26"/>
        <v>12</v>
      </c>
      <c r="Y40" s="373"/>
      <c r="Z40" s="301">
        <v>16</v>
      </c>
      <c r="AA40" s="301">
        <v>1402</v>
      </c>
      <c r="AB40" s="303">
        <f t="shared" si="39"/>
        <v>87.625</v>
      </c>
      <c r="AC40" s="301">
        <f t="shared" si="28"/>
        <v>10</v>
      </c>
      <c r="AD40" s="373"/>
      <c r="AE40" s="301">
        <v>17</v>
      </c>
      <c r="AF40" s="301">
        <v>1129</v>
      </c>
      <c r="AG40" s="303">
        <f t="shared" si="40"/>
        <v>66.411764705882348</v>
      </c>
      <c r="AH40" s="301">
        <f t="shared" si="30"/>
        <v>13</v>
      </c>
      <c r="AI40" s="373"/>
      <c r="AJ40" s="301">
        <v>15</v>
      </c>
      <c r="AK40" s="301">
        <v>1059</v>
      </c>
      <c r="AL40" s="303">
        <f t="shared" si="41"/>
        <v>70.599999999999994</v>
      </c>
      <c r="AM40" s="301">
        <f t="shared" si="32"/>
        <v>12</v>
      </c>
      <c r="AN40" s="373"/>
      <c r="AO40" s="301">
        <v>14</v>
      </c>
      <c r="AP40" s="301">
        <v>1217</v>
      </c>
      <c r="AQ40" s="303">
        <f t="shared" si="42"/>
        <v>86.928571428571431</v>
      </c>
      <c r="AR40" s="301">
        <f t="shared" si="34"/>
        <v>12</v>
      </c>
      <c r="AS40" s="373"/>
      <c r="AT40" s="301">
        <v>16</v>
      </c>
      <c r="AU40" s="301">
        <v>960</v>
      </c>
      <c r="AV40" s="303">
        <f t="shared" si="43"/>
        <v>60</v>
      </c>
      <c r="AW40" s="301">
        <f t="shared" si="36"/>
        <v>14</v>
      </c>
      <c r="AX40" s="373"/>
    </row>
    <row r="41" spans="2:50">
      <c r="B41" s="354"/>
      <c r="C41" s="301">
        <v>15</v>
      </c>
      <c r="D41" s="301"/>
      <c r="E41" s="301"/>
      <c r="F41" s="301"/>
      <c r="G41" s="301"/>
      <c r="H41" s="377"/>
      <c r="I41" s="301"/>
      <c r="J41" s="301"/>
      <c r="K41" s="301"/>
      <c r="L41" s="377"/>
      <c r="M41" s="302" t="e">
        <f>RANK(K41, K$27:$K$41)</f>
        <v>#N/A</v>
      </c>
      <c r="N41" s="361"/>
      <c r="O41" s="361"/>
      <c r="P41" s="301"/>
      <c r="Q41" s="301"/>
      <c r="R41" s="301"/>
      <c r="S41" s="301"/>
      <c r="T41" s="373"/>
      <c r="U41" s="301"/>
      <c r="V41" s="301"/>
      <c r="W41" s="303"/>
      <c r="X41" s="301"/>
      <c r="Y41" s="373"/>
      <c r="Z41" s="301"/>
      <c r="AA41" s="301"/>
      <c r="AB41" s="301"/>
      <c r="AC41" s="301"/>
      <c r="AD41" s="373"/>
      <c r="AE41" s="301"/>
      <c r="AF41" s="301"/>
      <c r="AG41" s="301"/>
      <c r="AH41" s="301"/>
      <c r="AI41" s="373"/>
      <c r="AJ41" s="301"/>
      <c r="AK41" s="301"/>
      <c r="AL41" s="301"/>
      <c r="AM41" s="301"/>
      <c r="AN41" s="373"/>
      <c r="AO41" s="301"/>
      <c r="AP41" s="301"/>
      <c r="AQ41" s="301"/>
      <c r="AR41" s="301"/>
      <c r="AS41" s="373"/>
      <c r="AT41" s="301"/>
      <c r="AU41" s="301"/>
      <c r="AV41" s="303"/>
      <c r="AW41" s="301"/>
      <c r="AX41" s="373"/>
    </row>
    <row r="42" spans="2:50" ht="15.75">
      <c r="B42" s="378" t="s">
        <v>93</v>
      </c>
      <c r="C42" s="379"/>
      <c r="D42" s="379"/>
      <c r="E42" s="379"/>
      <c r="F42" s="379"/>
      <c r="G42" s="379"/>
      <c r="H42" s="379"/>
      <c r="I42" s="307"/>
      <c r="J42" s="295"/>
      <c r="K42" s="307"/>
      <c r="L42" s="307"/>
      <c r="M42" s="296"/>
      <c r="N42" s="355" t="s">
        <v>94</v>
      </c>
      <c r="O42" s="355" t="s">
        <v>52</v>
      </c>
      <c r="P42" s="368">
        <v>45881</v>
      </c>
      <c r="Q42" s="354"/>
      <c r="R42" s="354"/>
      <c r="S42" s="354"/>
      <c r="T42" s="354"/>
      <c r="U42" s="368">
        <v>45882</v>
      </c>
      <c r="V42" s="354"/>
      <c r="W42" s="354"/>
      <c r="X42" s="354"/>
      <c r="Y42" s="354"/>
      <c r="Z42" s="368">
        <v>45883</v>
      </c>
      <c r="AA42" s="354"/>
      <c r="AB42" s="354"/>
      <c r="AC42" s="354"/>
      <c r="AD42" s="354"/>
      <c r="AE42" s="368">
        <v>45884</v>
      </c>
      <c r="AF42" s="354"/>
      <c r="AG42" s="354"/>
      <c r="AH42" s="354"/>
      <c r="AI42" s="354"/>
      <c r="AJ42" s="368">
        <v>45885</v>
      </c>
      <c r="AK42" s="354"/>
      <c r="AL42" s="354"/>
      <c r="AM42" s="354"/>
      <c r="AN42" s="354"/>
      <c r="AO42" s="368">
        <v>45886</v>
      </c>
      <c r="AP42" s="354"/>
      <c r="AQ42" s="354"/>
      <c r="AR42" s="354"/>
      <c r="AS42" s="354"/>
      <c r="AT42" s="368">
        <v>45887</v>
      </c>
      <c r="AU42" s="354"/>
      <c r="AV42" s="354"/>
      <c r="AW42" s="354"/>
      <c r="AX42" s="354"/>
    </row>
    <row r="43" spans="2:50" ht="15.75">
      <c r="B43" s="367"/>
      <c r="C43" s="367"/>
      <c r="D43" s="367"/>
      <c r="E43" s="367"/>
      <c r="F43" s="367"/>
      <c r="G43" s="367"/>
      <c r="H43" s="367"/>
      <c r="I43" s="297"/>
      <c r="J43" s="297"/>
      <c r="K43" s="297"/>
      <c r="L43" s="297"/>
      <c r="M43" s="298"/>
      <c r="N43" s="357"/>
      <c r="O43" s="357"/>
      <c r="P43" s="368" t="s">
        <v>66</v>
      </c>
      <c r="Q43" s="354"/>
      <c r="R43" s="354"/>
      <c r="S43" s="354"/>
      <c r="T43" s="354"/>
      <c r="U43" s="368" t="s">
        <v>67</v>
      </c>
      <c r="V43" s="354"/>
      <c r="W43" s="354"/>
      <c r="X43" s="354"/>
      <c r="Y43" s="354"/>
      <c r="Z43" s="368" t="s">
        <v>68</v>
      </c>
      <c r="AA43" s="354"/>
      <c r="AB43" s="354"/>
      <c r="AC43" s="354"/>
      <c r="AD43" s="354"/>
      <c r="AE43" s="368" t="s">
        <v>63</v>
      </c>
      <c r="AF43" s="354"/>
      <c r="AG43" s="354"/>
      <c r="AH43" s="354"/>
      <c r="AI43" s="354"/>
      <c r="AJ43" s="368" t="s">
        <v>64</v>
      </c>
      <c r="AK43" s="354"/>
      <c r="AL43" s="354"/>
      <c r="AM43" s="354"/>
      <c r="AN43" s="354"/>
      <c r="AO43" s="368" t="s">
        <v>59</v>
      </c>
      <c r="AP43" s="354"/>
      <c r="AQ43" s="354"/>
      <c r="AR43" s="354"/>
      <c r="AS43" s="354"/>
      <c r="AT43" s="368" t="s">
        <v>65</v>
      </c>
      <c r="AU43" s="354"/>
      <c r="AV43" s="354"/>
      <c r="AW43" s="354"/>
      <c r="AX43" s="354"/>
    </row>
    <row r="44" spans="2:50">
      <c r="B44" s="361" t="s">
        <v>95</v>
      </c>
      <c r="C44" s="361" t="s">
        <v>96</v>
      </c>
      <c r="D44" s="361"/>
      <c r="E44" s="361" t="s">
        <v>97</v>
      </c>
      <c r="F44" s="361"/>
      <c r="G44" s="361"/>
      <c r="H44" s="362" t="s">
        <v>98</v>
      </c>
      <c r="I44" s="361" t="s">
        <v>99</v>
      </c>
      <c r="J44" s="361"/>
      <c r="K44" s="361"/>
      <c r="L44" s="362" t="s">
        <v>98</v>
      </c>
      <c r="M44" s="355" t="s">
        <v>100</v>
      </c>
      <c r="N44" s="361"/>
      <c r="O44" s="361" t="s">
        <v>101</v>
      </c>
      <c r="P44" s="358" t="s">
        <v>102</v>
      </c>
      <c r="Q44" s="359"/>
      <c r="R44" s="359"/>
      <c r="S44" s="360"/>
      <c r="T44" s="361" t="s">
        <v>98</v>
      </c>
      <c r="U44" s="358" t="s">
        <v>102</v>
      </c>
      <c r="V44" s="359"/>
      <c r="W44" s="359"/>
      <c r="X44" s="360"/>
      <c r="Y44" s="361" t="s">
        <v>98</v>
      </c>
      <c r="Z44" s="358" t="s">
        <v>102</v>
      </c>
      <c r="AA44" s="359"/>
      <c r="AB44" s="359"/>
      <c r="AC44" s="360"/>
      <c r="AD44" s="361" t="s">
        <v>98</v>
      </c>
      <c r="AE44" s="358" t="s">
        <v>102</v>
      </c>
      <c r="AF44" s="359"/>
      <c r="AG44" s="359"/>
      <c r="AH44" s="360"/>
      <c r="AI44" s="361" t="s">
        <v>98</v>
      </c>
      <c r="AJ44" s="358" t="s">
        <v>102</v>
      </c>
      <c r="AK44" s="359"/>
      <c r="AL44" s="359"/>
      <c r="AM44" s="360"/>
      <c r="AN44" s="361" t="s">
        <v>98</v>
      </c>
      <c r="AO44" s="358" t="s">
        <v>102</v>
      </c>
      <c r="AP44" s="359"/>
      <c r="AQ44" s="359"/>
      <c r="AR44" s="360"/>
      <c r="AS44" s="361" t="s">
        <v>98</v>
      </c>
      <c r="AT44" s="358" t="s">
        <v>102</v>
      </c>
      <c r="AU44" s="359"/>
      <c r="AV44" s="359"/>
      <c r="AW44" s="360"/>
      <c r="AX44" s="361" t="s">
        <v>98</v>
      </c>
    </row>
    <row r="45" spans="2:50">
      <c r="B45" s="361"/>
      <c r="C45" s="361"/>
      <c r="D45" s="361"/>
      <c r="E45" s="361" t="s">
        <v>103</v>
      </c>
      <c r="F45" s="361"/>
      <c r="G45" s="361"/>
      <c r="H45" s="363"/>
      <c r="I45" s="361" t="s">
        <v>103</v>
      </c>
      <c r="J45" s="361"/>
      <c r="K45" s="361"/>
      <c r="L45" s="363"/>
      <c r="M45" s="356"/>
      <c r="N45" s="361"/>
      <c r="O45" s="361"/>
      <c r="P45" s="358" t="s">
        <v>104</v>
      </c>
      <c r="Q45" s="359"/>
      <c r="R45" s="359"/>
      <c r="S45" s="360"/>
      <c r="T45" s="361"/>
      <c r="U45" s="358" t="s">
        <v>104</v>
      </c>
      <c r="V45" s="359"/>
      <c r="W45" s="359"/>
      <c r="X45" s="360"/>
      <c r="Y45" s="361"/>
      <c r="Z45" s="358" t="s">
        <v>104</v>
      </c>
      <c r="AA45" s="359"/>
      <c r="AB45" s="359"/>
      <c r="AC45" s="360"/>
      <c r="AD45" s="361"/>
      <c r="AE45" s="358" t="s">
        <v>104</v>
      </c>
      <c r="AF45" s="359"/>
      <c r="AG45" s="359"/>
      <c r="AH45" s="360"/>
      <c r="AI45" s="361"/>
      <c r="AJ45" s="358" t="s">
        <v>104</v>
      </c>
      <c r="AK45" s="359"/>
      <c r="AL45" s="359"/>
      <c r="AM45" s="360"/>
      <c r="AN45" s="361"/>
      <c r="AO45" s="358" t="s">
        <v>104</v>
      </c>
      <c r="AP45" s="359"/>
      <c r="AQ45" s="359"/>
      <c r="AR45" s="360"/>
      <c r="AS45" s="361"/>
      <c r="AT45" s="358" t="s">
        <v>104</v>
      </c>
      <c r="AU45" s="359"/>
      <c r="AV45" s="359"/>
      <c r="AW45" s="360"/>
      <c r="AX45" s="361"/>
    </row>
    <row r="46" spans="2:50">
      <c r="B46" s="361"/>
      <c r="C46" s="361"/>
      <c r="D46" s="361"/>
      <c r="E46" s="300" t="s">
        <v>105</v>
      </c>
      <c r="F46" s="300" t="s">
        <v>106</v>
      </c>
      <c r="G46" s="300" t="s">
        <v>107</v>
      </c>
      <c r="H46" s="364"/>
      <c r="I46" s="300" t="s">
        <v>105</v>
      </c>
      <c r="J46" s="300" t="s">
        <v>106</v>
      </c>
      <c r="K46" s="300" t="s">
        <v>107</v>
      </c>
      <c r="L46" s="364"/>
      <c r="M46" s="357"/>
      <c r="N46" s="361"/>
      <c r="O46" s="361"/>
      <c r="P46" s="300" t="s">
        <v>105</v>
      </c>
      <c r="Q46" s="300" t="s">
        <v>106</v>
      </c>
      <c r="R46" s="300" t="s">
        <v>107</v>
      </c>
      <c r="S46" s="300" t="s">
        <v>100</v>
      </c>
      <c r="T46" s="361"/>
      <c r="U46" s="300" t="s">
        <v>105</v>
      </c>
      <c r="V46" s="300" t="s">
        <v>106</v>
      </c>
      <c r="W46" s="300" t="s">
        <v>107</v>
      </c>
      <c r="X46" s="300" t="s">
        <v>100</v>
      </c>
      <c r="Y46" s="361"/>
      <c r="Z46" s="300" t="s">
        <v>105</v>
      </c>
      <c r="AA46" s="300" t="s">
        <v>106</v>
      </c>
      <c r="AB46" s="300" t="s">
        <v>107</v>
      </c>
      <c r="AC46" s="300" t="s">
        <v>100</v>
      </c>
      <c r="AD46" s="361"/>
      <c r="AE46" s="300" t="s">
        <v>105</v>
      </c>
      <c r="AF46" s="300" t="s">
        <v>106</v>
      </c>
      <c r="AG46" s="300" t="s">
        <v>107</v>
      </c>
      <c r="AH46" s="300" t="s">
        <v>100</v>
      </c>
      <c r="AI46" s="361"/>
      <c r="AJ46" s="300" t="s">
        <v>105</v>
      </c>
      <c r="AK46" s="300" t="s">
        <v>106</v>
      </c>
      <c r="AL46" s="300" t="s">
        <v>107</v>
      </c>
      <c r="AM46" s="300" t="s">
        <v>100</v>
      </c>
      <c r="AN46" s="361"/>
      <c r="AO46" s="300" t="s">
        <v>105</v>
      </c>
      <c r="AP46" s="300" t="s">
        <v>106</v>
      </c>
      <c r="AQ46" s="300" t="s">
        <v>107</v>
      </c>
      <c r="AR46" s="300" t="s">
        <v>100</v>
      </c>
      <c r="AS46" s="361"/>
      <c r="AT46" s="300" t="s">
        <v>105</v>
      </c>
      <c r="AU46" s="300" t="s">
        <v>106</v>
      </c>
      <c r="AV46" s="300" t="s">
        <v>107</v>
      </c>
      <c r="AW46" s="300" t="s">
        <v>100</v>
      </c>
      <c r="AX46" s="361"/>
    </row>
    <row r="47" spans="2:50" ht="13.5">
      <c r="B47" s="354" t="s">
        <v>108</v>
      </c>
      <c r="C47" s="301">
        <v>1</v>
      </c>
      <c r="D47" s="306" t="s">
        <v>123</v>
      </c>
      <c r="E47" s="302">
        <f>VLOOKUP(D47,'[1]0805產線配置圖'!$A$2:$C$17,2,0)</f>
        <v>12</v>
      </c>
      <c r="F47" s="302">
        <f>VLOOKUP(D47,'[1]0805產線配置圖'!$A$2:$C$17,3,0)</f>
        <v>2000</v>
      </c>
      <c r="G47" s="303">
        <f>F47/E47</f>
        <v>166.66666666666666</v>
      </c>
      <c r="H47" s="375">
        <f>AVERAGE(G47:G61)</f>
        <v>101.0936923914865</v>
      </c>
      <c r="I47" s="302">
        <f>AVERAGE(P47,U47,Z47,AE47,AJ47,AO47,AT47)</f>
        <v>12</v>
      </c>
      <c r="J47" s="302">
        <f>AVERAGE(Q47,V47,AA47,AF47,AK47,AP47,AU47)</f>
        <v>1858.1428571428571</v>
      </c>
      <c r="K47" s="303">
        <f>AVERAGE(R47,W47,AB47,AG47,AL47,AQ47,AV47)</f>
        <v>154.84523809523807</v>
      </c>
      <c r="L47" s="375">
        <f>IFERROR(AVERAGE(K47:K61),"-")</f>
        <v>95.673180874431907</v>
      </c>
      <c r="M47" s="302">
        <f>RANK(K47, K$47:$K$61)</f>
        <v>1</v>
      </c>
      <c r="N47" s="361"/>
      <c r="O47" s="361"/>
      <c r="P47" s="301">
        <v>12</v>
      </c>
      <c r="Q47" s="301">
        <v>1919</v>
      </c>
      <c r="R47" s="303">
        <f>Q47/P47</f>
        <v>159.91666666666666</v>
      </c>
      <c r="S47" s="301">
        <f>RANK(R47, $R$47:$R$60)</f>
        <v>1</v>
      </c>
      <c r="T47" s="373">
        <f>AVERAGE(R47:R61)</f>
        <v>97.528906113727544</v>
      </c>
      <c r="U47" s="301">
        <v>12</v>
      </c>
      <c r="V47" s="301">
        <v>1916</v>
      </c>
      <c r="W47" s="303">
        <f>V47/U47</f>
        <v>159.66666666666666</v>
      </c>
      <c r="X47" s="301">
        <f>RANK(W47, $W$47:$W$59)</f>
        <v>1</v>
      </c>
      <c r="Y47" s="373">
        <f>AVERAGE(W47:W61)</f>
        <v>100.18532630014531</v>
      </c>
      <c r="Z47" s="301">
        <v>12</v>
      </c>
      <c r="AA47" s="301">
        <v>1869</v>
      </c>
      <c r="AB47" s="303">
        <f>AA47/Z47</f>
        <v>155.75</v>
      </c>
      <c r="AC47" s="301">
        <f>RANK(AB47, $AB$47:$AB$59)</f>
        <v>1</v>
      </c>
      <c r="AD47" s="373">
        <f>AVERAGE(AB47:AB61)</f>
        <v>98.084727398174053</v>
      </c>
      <c r="AE47" s="301">
        <v>12</v>
      </c>
      <c r="AF47" s="301">
        <v>1810</v>
      </c>
      <c r="AG47" s="303">
        <f>AF47/AE47</f>
        <v>150.83333333333334</v>
      </c>
      <c r="AH47" s="301">
        <f>RANK(AG47, $AG$47:$AG$59)</f>
        <v>1</v>
      </c>
      <c r="AI47" s="373">
        <f>AVERAGE(AG47:AG61)</f>
        <v>92.502183851844464</v>
      </c>
      <c r="AJ47" s="301">
        <v>12</v>
      </c>
      <c r="AK47" s="301">
        <v>1747</v>
      </c>
      <c r="AL47" s="303">
        <f>AK47/AJ47</f>
        <v>145.58333333333334</v>
      </c>
      <c r="AM47" s="301">
        <f>RANK(AL47,$AL$47:$AL$59)</f>
        <v>1</v>
      </c>
      <c r="AN47" s="373">
        <f>AVERAGE(AL47:AL61)</f>
        <v>96.704085726992972</v>
      </c>
      <c r="AO47" s="301">
        <v>12</v>
      </c>
      <c r="AP47" s="301">
        <v>1865</v>
      </c>
      <c r="AQ47" s="303">
        <f>AP47/AO47</f>
        <v>155.41666666666666</v>
      </c>
      <c r="AR47" s="301">
        <f>RANK(AQ47,$AQ$47:$AQ$59)</f>
        <v>1</v>
      </c>
      <c r="AS47" s="373">
        <f>AVERAGE(AQ47:AQ61)</f>
        <v>99.606179039663175</v>
      </c>
      <c r="AT47" s="301">
        <v>12</v>
      </c>
      <c r="AU47" s="301">
        <v>1881</v>
      </c>
      <c r="AV47" s="303">
        <f>AU47/AT47</f>
        <v>156.75</v>
      </c>
      <c r="AW47" s="301">
        <f>RANK(AV47,AV47:AV61)</f>
        <v>1</v>
      </c>
      <c r="AX47" s="373">
        <f>AVERAGE(AV47:AV61)</f>
        <v>94.969250713105765</v>
      </c>
    </row>
    <row r="48" spans="2:50">
      <c r="B48" s="354"/>
      <c r="C48" s="301">
        <v>2</v>
      </c>
      <c r="D48" s="301" t="s">
        <v>110</v>
      </c>
      <c r="E48" s="302">
        <f>VLOOKUP(D48,'[1]0805產線配置圖'!$A$2:$C$17,2,0)</f>
        <v>13</v>
      </c>
      <c r="F48" s="302">
        <f>VLOOKUP(D48,'[1]0805產線配置圖'!$A$2:$C$17,3,0)</f>
        <v>2000</v>
      </c>
      <c r="G48" s="303">
        <f t="shared" ref="G48:G60" si="44">F48/E48</f>
        <v>153.84615384615384</v>
      </c>
      <c r="H48" s="376"/>
      <c r="I48" s="302">
        <f t="shared" ref="I48:K60" si="45">AVERAGE(P48,U48,Z48,AE48,AJ48,AO48,AT48)</f>
        <v>13</v>
      </c>
      <c r="J48" s="302">
        <f t="shared" si="45"/>
        <v>1837</v>
      </c>
      <c r="K48" s="303">
        <f t="shared" si="45"/>
        <v>141.30769230769229</v>
      </c>
      <c r="L48" s="376"/>
      <c r="M48" s="302">
        <f>RANK(K48, K$47:$K$61)</f>
        <v>2</v>
      </c>
      <c r="N48" s="361"/>
      <c r="O48" s="361"/>
      <c r="P48" s="301">
        <v>13</v>
      </c>
      <c r="Q48" s="301">
        <v>1883</v>
      </c>
      <c r="R48" s="303">
        <f t="shared" ref="R48:R56" si="46">Q48/P48</f>
        <v>144.84615384615384</v>
      </c>
      <c r="S48" s="301">
        <f t="shared" ref="S48:S60" si="47">RANK(R48, $R$47:$R$60)</f>
        <v>2</v>
      </c>
      <c r="T48" s="373"/>
      <c r="U48" s="301">
        <v>13</v>
      </c>
      <c r="V48" s="301">
        <v>1955</v>
      </c>
      <c r="W48" s="303">
        <f t="shared" ref="W48:W56" si="48">V48/U48</f>
        <v>150.38461538461539</v>
      </c>
      <c r="X48" s="301">
        <f t="shared" ref="X48:X59" si="49">RANK(W48, $W$47:$W$59)</f>
        <v>2</v>
      </c>
      <c r="Y48" s="373"/>
      <c r="Z48" s="301">
        <v>13</v>
      </c>
      <c r="AA48" s="301">
        <v>1933</v>
      </c>
      <c r="AB48" s="303">
        <f t="shared" ref="AB48:AB56" si="50">AA48/Z48</f>
        <v>148.69230769230768</v>
      </c>
      <c r="AC48" s="301">
        <f t="shared" ref="AC48:AC59" si="51">RANK(AB48, $AB$47:$AB$59)</f>
        <v>2</v>
      </c>
      <c r="AD48" s="373"/>
      <c r="AE48" s="301">
        <v>13</v>
      </c>
      <c r="AF48" s="301">
        <v>1623</v>
      </c>
      <c r="AG48" s="303">
        <f t="shared" ref="AG48:AG56" si="52">AF48/AE48</f>
        <v>124.84615384615384</v>
      </c>
      <c r="AH48" s="301">
        <f t="shared" ref="AH48:AH59" si="53">RANK(AG48, $AG$47:$AG$59)</f>
        <v>2</v>
      </c>
      <c r="AI48" s="373"/>
      <c r="AJ48" s="301">
        <v>13</v>
      </c>
      <c r="AK48" s="301">
        <v>1604</v>
      </c>
      <c r="AL48" s="303">
        <f t="shared" ref="AL48:AL56" si="54">AK48/AJ48</f>
        <v>123.38461538461539</v>
      </c>
      <c r="AM48" s="301">
        <f t="shared" ref="AM48:AM59" si="55">RANK(AL48,$AL$47:$AL$59)</f>
        <v>2</v>
      </c>
      <c r="AN48" s="373"/>
      <c r="AO48" s="301">
        <v>13</v>
      </c>
      <c r="AP48" s="301">
        <v>1983</v>
      </c>
      <c r="AQ48" s="303">
        <f t="shared" ref="AQ48:AQ56" si="56">AP48/AO48</f>
        <v>152.53846153846155</v>
      </c>
      <c r="AR48" s="301">
        <f t="shared" ref="AR48:AR59" si="57">RANK(AQ48,$AQ$47:$AQ$59)</f>
        <v>2</v>
      </c>
      <c r="AS48" s="373"/>
      <c r="AT48" s="301">
        <v>13</v>
      </c>
      <c r="AU48" s="301">
        <v>1878</v>
      </c>
      <c r="AV48" s="303">
        <f t="shared" ref="AV48:AV56" si="58">AU48/AT48</f>
        <v>144.46153846153845</v>
      </c>
      <c r="AW48" s="301">
        <f t="shared" ref="AW48:AW58" si="59">RANK(AV48,$AV$47:$AV$59)</f>
        <v>2</v>
      </c>
      <c r="AX48" s="373"/>
    </row>
    <row r="49" spans="2:50">
      <c r="B49" s="354"/>
      <c r="C49" s="301">
        <v>3</v>
      </c>
      <c r="D49" s="301" t="s">
        <v>111</v>
      </c>
      <c r="E49" s="302">
        <f>VLOOKUP(D49,'[1]0805產線配置圖'!$A$2:$C$17,2,0)</f>
        <v>16</v>
      </c>
      <c r="F49" s="302">
        <f>VLOOKUP(D49,'[1]0805產線配置圖'!$A$2:$C$17,3,0)</f>
        <v>1915</v>
      </c>
      <c r="G49" s="303">
        <f t="shared" si="44"/>
        <v>119.6875</v>
      </c>
      <c r="H49" s="376"/>
      <c r="I49" s="302">
        <f t="shared" si="45"/>
        <v>15.714285714285714</v>
      </c>
      <c r="J49" s="302">
        <f t="shared" si="45"/>
        <v>1649.5714285714287</v>
      </c>
      <c r="K49" s="303">
        <f t="shared" si="45"/>
        <v>105.14761904761905</v>
      </c>
      <c r="L49" s="376"/>
      <c r="M49" s="302">
        <f>RANK(K49, K$47:$K$61)</f>
        <v>5</v>
      </c>
      <c r="N49" s="361"/>
      <c r="O49" s="361"/>
      <c r="P49" s="301">
        <v>16</v>
      </c>
      <c r="Q49" s="301">
        <v>1695</v>
      </c>
      <c r="R49" s="303">
        <f t="shared" si="46"/>
        <v>105.9375</v>
      </c>
      <c r="S49" s="301">
        <f t="shared" si="47"/>
        <v>5</v>
      </c>
      <c r="T49" s="373"/>
      <c r="U49" s="301">
        <v>15</v>
      </c>
      <c r="V49" s="301">
        <v>1791</v>
      </c>
      <c r="W49" s="303">
        <f t="shared" si="48"/>
        <v>119.4</v>
      </c>
      <c r="X49" s="301">
        <f t="shared" si="49"/>
        <v>5</v>
      </c>
      <c r="Y49" s="373"/>
      <c r="Z49" s="301">
        <v>15</v>
      </c>
      <c r="AA49" s="301">
        <v>1652</v>
      </c>
      <c r="AB49" s="303">
        <f t="shared" si="50"/>
        <v>110.13333333333334</v>
      </c>
      <c r="AC49" s="301">
        <f t="shared" si="51"/>
        <v>5</v>
      </c>
      <c r="AD49" s="373"/>
      <c r="AE49" s="301">
        <v>16</v>
      </c>
      <c r="AF49" s="301">
        <v>1553</v>
      </c>
      <c r="AG49" s="303">
        <f t="shared" si="52"/>
        <v>97.0625</v>
      </c>
      <c r="AH49" s="301">
        <f t="shared" si="53"/>
        <v>5</v>
      </c>
      <c r="AI49" s="373"/>
      <c r="AJ49" s="301">
        <v>16</v>
      </c>
      <c r="AK49" s="301">
        <v>1669</v>
      </c>
      <c r="AL49" s="303">
        <f t="shared" si="54"/>
        <v>104.3125</v>
      </c>
      <c r="AM49" s="301">
        <f t="shared" si="55"/>
        <v>5</v>
      </c>
      <c r="AN49" s="373"/>
      <c r="AO49" s="301">
        <v>16</v>
      </c>
      <c r="AP49" s="301">
        <v>1633</v>
      </c>
      <c r="AQ49" s="303">
        <f t="shared" si="56"/>
        <v>102.0625</v>
      </c>
      <c r="AR49" s="301">
        <f t="shared" si="57"/>
        <v>5</v>
      </c>
      <c r="AS49" s="373"/>
      <c r="AT49" s="301">
        <v>16</v>
      </c>
      <c r="AU49" s="301">
        <v>1554</v>
      </c>
      <c r="AV49" s="303">
        <f t="shared" si="58"/>
        <v>97.125</v>
      </c>
      <c r="AW49" s="301">
        <f t="shared" si="59"/>
        <v>5</v>
      </c>
      <c r="AX49" s="373"/>
    </row>
    <row r="50" spans="2:50">
      <c r="B50" s="354"/>
      <c r="C50" s="301">
        <v>4</v>
      </c>
      <c r="D50" s="301" t="s">
        <v>112</v>
      </c>
      <c r="E50" s="302">
        <f>VLOOKUP(D50,'[1]0805產線配置圖'!$A$2:$C$17,2,0)</f>
        <v>18</v>
      </c>
      <c r="F50" s="302">
        <f>VLOOKUP(D50,'[1]0805產線配置圖'!$A$2:$C$17,3,0)</f>
        <v>1565</v>
      </c>
      <c r="G50" s="303">
        <f t="shared" si="44"/>
        <v>86.944444444444443</v>
      </c>
      <c r="H50" s="376"/>
      <c r="I50" s="302">
        <f t="shared" si="45"/>
        <v>17.857142857142858</v>
      </c>
      <c r="J50" s="302">
        <f t="shared" si="45"/>
        <v>1491.7142857142858</v>
      </c>
      <c r="K50" s="303">
        <f t="shared" si="45"/>
        <v>83.537815126050418</v>
      </c>
      <c r="L50" s="376"/>
      <c r="M50" s="302">
        <f>RANK(K50, K$47:$K$61)</f>
        <v>8</v>
      </c>
      <c r="N50" s="361"/>
      <c r="O50" s="361"/>
      <c r="P50" s="301">
        <v>18</v>
      </c>
      <c r="Q50" s="301">
        <v>1534</v>
      </c>
      <c r="R50" s="303">
        <f t="shared" si="46"/>
        <v>85.222222222222229</v>
      </c>
      <c r="S50" s="301">
        <f t="shared" si="47"/>
        <v>9</v>
      </c>
      <c r="T50" s="373"/>
      <c r="U50" s="301">
        <v>18</v>
      </c>
      <c r="V50" s="301">
        <v>1439</v>
      </c>
      <c r="W50" s="303">
        <f t="shared" si="48"/>
        <v>79.944444444444443</v>
      </c>
      <c r="X50" s="301">
        <f t="shared" si="49"/>
        <v>8</v>
      </c>
      <c r="Y50" s="373"/>
      <c r="Z50" s="301">
        <v>18</v>
      </c>
      <c r="AA50" s="301">
        <v>1517</v>
      </c>
      <c r="AB50" s="303">
        <f t="shared" si="50"/>
        <v>84.277777777777771</v>
      </c>
      <c r="AC50" s="301">
        <f t="shared" si="51"/>
        <v>9</v>
      </c>
      <c r="AD50" s="373"/>
      <c r="AE50" s="301">
        <v>18</v>
      </c>
      <c r="AF50" s="301">
        <v>1519</v>
      </c>
      <c r="AG50" s="303">
        <f t="shared" si="52"/>
        <v>84.388888888888886</v>
      </c>
      <c r="AH50" s="301">
        <f t="shared" si="53"/>
        <v>8</v>
      </c>
      <c r="AI50" s="373"/>
      <c r="AJ50" s="301">
        <v>18</v>
      </c>
      <c r="AK50" s="301">
        <v>1514</v>
      </c>
      <c r="AL50" s="303">
        <f t="shared" si="54"/>
        <v>84.111111111111114</v>
      </c>
      <c r="AM50" s="301">
        <f t="shared" si="55"/>
        <v>8</v>
      </c>
      <c r="AN50" s="373"/>
      <c r="AO50" s="301">
        <v>17</v>
      </c>
      <c r="AP50" s="301">
        <v>1424</v>
      </c>
      <c r="AQ50" s="303">
        <f t="shared" si="56"/>
        <v>83.764705882352942</v>
      </c>
      <c r="AR50" s="301">
        <f t="shared" si="57"/>
        <v>8</v>
      </c>
      <c r="AS50" s="373"/>
      <c r="AT50" s="301">
        <v>18</v>
      </c>
      <c r="AU50" s="301">
        <v>1495</v>
      </c>
      <c r="AV50" s="303">
        <f t="shared" si="58"/>
        <v>83.055555555555557</v>
      </c>
      <c r="AW50" s="301">
        <f t="shared" si="59"/>
        <v>8</v>
      </c>
      <c r="AX50" s="373"/>
    </row>
    <row r="51" spans="2:50">
      <c r="B51" s="354"/>
      <c r="C51" s="301">
        <v>5</v>
      </c>
      <c r="D51" s="301" t="s">
        <v>113</v>
      </c>
      <c r="E51" s="302">
        <f>VLOOKUP(D51,'[1]0805產線配置圖'!$A$2:$C$17,2,0)</f>
        <v>15</v>
      </c>
      <c r="F51" s="302">
        <f>VLOOKUP(D51,'[1]0805產線配置圖'!$A$2:$C$17,3,0)</f>
        <v>1565</v>
      </c>
      <c r="G51" s="303">
        <f t="shared" si="44"/>
        <v>104.33333333333333</v>
      </c>
      <c r="H51" s="376"/>
      <c r="I51" s="302">
        <f t="shared" si="45"/>
        <v>14</v>
      </c>
      <c r="J51" s="302">
        <f t="shared" si="45"/>
        <v>1730.1428571428571</v>
      </c>
      <c r="K51" s="303">
        <f t="shared" si="45"/>
        <v>123.58163265306122</v>
      </c>
      <c r="L51" s="376"/>
      <c r="M51" s="302">
        <f>RANK(K51, K$47:$K$61)</f>
        <v>3</v>
      </c>
      <c r="N51" s="361"/>
      <c r="O51" s="361"/>
      <c r="P51" s="301">
        <v>14</v>
      </c>
      <c r="Q51" s="301">
        <v>1811</v>
      </c>
      <c r="R51" s="303">
        <f t="shared" si="46"/>
        <v>129.35714285714286</v>
      </c>
      <c r="S51" s="301">
        <f t="shared" si="47"/>
        <v>3</v>
      </c>
      <c r="T51" s="373"/>
      <c r="U51" s="301">
        <v>14</v>
      </c>
      <c r="V51" s="301">
        <v>1811</v>
      </c>
      <c r="W51" s="303">
        <f t="shared" si="48"/>
        <v>129.35714285714286</v>
      </c>
      <c r="X51" s="301">
        <f t="shared" si="49"/>
        <v>3</v>
      </c>
      <c r="Y51" s="373"/>
      <c r="Z51" s="301">
        <v>14</v>
      </c>
      <c r="AA51" s="301">
        <v>1700</v>
      </c>
      <c r="AB51" s="303">
        <f t="shared" si="50"/>
        <v>121.42857142857143</v>
      </c>
      <c r="AC51" s="301">
        <f t="shared" si="51"/>
        <v>3</v>
      </c>
      <c r="AD51" s="373"/>
      <c r="AE51" s="301">
        <v>14</v>
      </c>
      <c r="AF51" s="301">
        <v>1688</v>
      </c>
      <c r="AG51" s="303">
        <f t="shared" si="52"/>
        <v>120.57142857142857</v>
      </c>
      <c r="AH51" s="301">
        <f t="shared" si="53"/>
        <v>3</v>
      </c>
      <c r="AI51" s="373"/>
      <c r="AJ51" s="301">
        <v>14</v>
      </c>
      <c r="AK51" s="301">
        <v>1692</v>
      </c>
      <c r="AL51" s="303">
        <f t="shared" si="54"/>
        <v>120.85714285714286</v>
      </c>
      <c r="AM51" s="301">
        <f t="shared" si="55"/>
        <v>3</v>
      </c>
      <c r="AN51" s="373"/>
      <c r="AO51" s="301">
        <v>14</v>
      </c>
      <c r="AP51" s="301">
        <v>1702</v>
      </c>
      <c r="AQ51" s="303">
        <f t="shared" si="56"/>
        <v>121.57142857142857</v>
      </c>
      <c r="AR51" s="301">
        <f t="shared" si="57"/>
        <v>3</v>
      </c>
      <c r="AS51" s="373"/>
      <c r="AT51" s="301">
        <v>14</v>
      </c>
      <c r="AU51" s="301">
        <v>1707</v>
      </c>
      <c r="AV51" s="303">
        <f t="shared" si="58"/>
        <v>121.92857142857143</v>
      </c>
      <c r="AW51" s="301">
        <f t="shared" si="59"/>
        <v>3</v>
      </c>
      <c r="AX51" s="373"/>
    </row>
    <row r="52" spans="2:50">
      <c r="B52" s="354"/>
      <c r="C52" s="301">
        <v>6</v>
      </c>
      <c r="D52" s="301" t="s">
        <v>124</v>
      </c>
      <c r="E52" s="302">
        <f>VLOOKUP(D52,'[1]0805產線配置圖'!$A$2:$C$17,2,0)</f>
        <v>17</v>
      </c>
      <c r="F52" s="302">
        <f>VLOOKUP(D52,'[1]0805產線配置圖'!$A$2:$C$17,3,0)</f>
        <v>1895</v>
      </c>
      <c r="G52" s="303">
        <f t="shared" si="44"/>
        <v>111.47058823529412</v>
      </c>
      <c r="H52" s="376"/>
      <c r="I52" s="302">
        <f t="shared" si="45"/>
        <v>16</v>
      </c>
      <c r="J52" s="302">
        <f t="shared" si="45"/>
        <v>1839.7142857142858</v>
      </c>
      <c r="K52" s="303">
        <f t="shared" si="45"/>
        <v>114.98214285714286</v>
      </c>
      <c r="L52" s="376"/>
      <c r="M52" s="302">
        <f>RANK(K52, K$47:$K$61)</f>
        <v>4</v>
      </c>
      <c r="N52" s="361"/>
      <c r="O52" s="361"/>
      <c r="P52" s="301">
        <v>16</v>
      </c>
      <c r="Q52" s="301">
        <v>1731</v>
      </c>
      <c r="R52" s="303">
        <f t="shared" si="46"/>
        <v>108.1875</v>
      </c>
      <c r="S52" s="301">
        <f t="shared" si="47"/>
        <v>4</v>
      </c>
      <c r="T52" s="373"/>
      <c r="U52" s="301">
        <v>16</v>
      </c>
      <c r="V52" s="301">
        <v>2061</v>
      </c>
      <c r="W52" s="303">
        <f t="shared" si="48"/>
        <v>128.8125</v>
      </c>
      <c r="X52" s="301">
        <f t="shared" si="49"/>
        <v>4</v>
      </c>
      <c r="Y52" s="373"/>
      <c r="Z52" s="301">
        <v>16</v>
      </c>
      <c r="AA52" s="301">
        <v>1812</v>
      </c>
      <c r="AB52" s="303">
        <f t="shared" si="50"/>
        <v>113.25</v>
      </c>
      <c r="AC52" s="301">
        <f t="shared" si="51"/>
        <v>4</v>
      </c>
      <c r="AD52" s="373"/>
      <c r="AE52" s="301">
        <v>16</v>
      </c>
      <c r="AF52" s="301">
        <v>1652</v>
      </c>
      <c r="AG52" s="303">
        <f t="shared" si="52"/>
        <v>103.25</v>
      </c>
      <c r="AH52" s="301">
        <f t="shared" si="53"/>
        <v>4</v>
      </c>
      <c r="AI52" s="373"/>
      <c r="AJ52" s="301">
        <v>16</v>
      </c>
      <c r="AK52" s="301">
        <v>1863</v>
      </c>
      <c r="AL52" s="303">
        <f t="shared" si="54"/>
        <v>116.4375</v>
      </c>
      <c r="AM52" s="301">
        <f t="shared" si="55"/>
        <v>4</v>
      </c>
      <c r="AN52" s="373"/>
      <c r="AO52" s="301">
        <v>16</v>
      </c>
      <c r="AP52" s="301">
        <v>1875</v>
      </c>
      <c r="AQ52" s="303">
        <f t="shared" si="56"/>
        <v>117.1875</v>
      </c>
      <c r="AR52" s="301">
        <f t="shared" si="57"/>
        <v>4</v>
      </c>
      <c r="AS52" s="373"/>
      <c r="AT52" s="301">
        <v>16</v>
      </c>
      <c r="AU52" s="301">
        <v>1884</v>
      </c>
      <c r="AV52" s="303">
        <f t="shared" si="58"/>
        <v>117.75</v>
      </c>
      <c r="AW52" s="301">
        <f t="shared" si="59"/>
        <v>4</v>
      </c>
      <c r="AX52" s="373"/>
    </row>
    <row r="53" spans="2:50">
      <c r="B53" s="354"/>
      <c r="C53" s="301">
        <v>7</v>
      </c>
      <c r="D53" s="301" t="s">
        <v>115</v>
      </c>
      <c r="E53" s="302">
        <f>VLOOKUP(D53,'[1]0805產線配置圖'!$A$2:$C$17,2,0)</f>
        <v>16</v>
      </c>
      <c r="F53" s="302">
        <f>VLOOKUP(D53,'[1]0805產線配置圖'!$A$2:$C$17,3,0)</f>
        <v>1552</v>
      </c>
      <c r="G53" s="303">
        <f t="shared" si="44"/>
        <v>97</v>
      </c>
      <c r="H53" s="376"/>
      <c r="I53" s="302">
        <f t="shared" si="45"/>
        <v>15.714285714285714</v>
      </c>
      <c r="J53" s="302">
        <f t="shared" si="45"/>
        <v>1297.4285714285713</v>
      </c>
      <c r="K53" s="303">
        <f t="shared" si="45"/>
        <v>82.535714285714292</v>
      </c>
      <c r="L53" s="376"/>
      <c r="M53" s="302">
        <f>RANK(K53, K$47:$K$61)</f>
        <v>9</v>
      </c>
      <c r="N53" s="361"/>
      <c r="O53" s="361"/>
      <c r="P53" s="301">
        <v>16</v>
      </c>
      <c r="Q53" s="301">
        <v>1132</v>
      </c>
      <c r="R53" s="303">
        <f t="shared" si="46"/>
        <v>70.75</v>
      </c>
      <c r="S53" s="301">
        <f t="shared" si="47"/>
        <v>12</v>
      </c>
      <c r="T53" s="373"/>
      <c r="U53" s="301">
        <v>15</v>
      </c>
      <c r="V53" s="301">
        <v>1183</v>
      </c>
      <c r="W53" s="303">
        <f t="shared" si="48"/>
        <v>78.86666666666666</v>
      </c>
      <c r="X53" s="301">
        <f t="shared" si="49"/>
        <v>9</v>
      </c>
      <c r="Y53" s="373"/>
      <c r="Z53" s="301">
        <v>16</v>
      </c>
      <c r="AA53" s="301">
        <v>1391</v>
      </c>
      <c r="AB53" s="303">
        <f t="shared" si="50"/>
        <v>86.9375</v>
      </c>
      <c r="AC53" s="301">
        <f t="shared" si="51"/>
        <v>8</v>
      </c>
      <c r="AD53" s="373"/>
      <c r="AE53" s="301">
        <v>16</v>
      </c>
      <c r="AF53" s="301">
        <v>1413</v>
      </c>
      <c r="AG53" s="303">
        <f t="shared" si="52"/>
        <v>88.3125</v>
      </c>
      <c r="AH53" s="301">
        <f t="shared" si="53"/>
        <v>6</v>
      </c>
      <c r="AI53" s="373"/>
      <c r="AJ53" s="301">
        <v>16</v>
      </c>
      <c r="AK53" s="301">
        <v>1532</v>
      </c>
      <c r="AL53" s="303">
        <f t="shared" si="54"/>
        <v>95.75</v>
      </c>
      <c r="AM53" s="301">
        <f t="shared" si="55"/>
        <v>6</v>
      </c>
      <c r="AN53" s="373"/>
      <c r="AO53" s="301">
        <v>15</v>
      </c>
      <c r="AP53" s="301">
        <v>1247</v>
      </c>
      <c r="AQ53" s="303">
        <f t="shared" si="56"/>
        <v>83.13333333333334</v>
      </c>
      <c r="AR53" s="301">
        <f t="shared" si="57"/>
        <v>9</v>
      </c>
      <c r="AS53" s="373"/>
      <c r="AT53" s="301">
        <v>16</v>
      </c>
      <c r="AU53" s="301">
        <v>1184</v>
      </c>
      <c r="AV53" s="303">
        <f t="shared" si="58"/>
        <v>74</v>
      </c>
      <c r="AW53" s="301">
        <f t="shared" si="59"/>
        <v>11</v>
      </c>
      <c r="AX53" s="373"/>
    </row>
    <row r="54" spans="2:50">
      <c r="B54" s="354"/>
      <c r="C54" s="301">
        <v>8</v>
      </c>
      <c r="D54" s="301" t="s">
        <v>116</v>
      </c>
      <c r="E54" s="302">
        <f>VLOOKUP(D54,'[1]0805產線配置圖'!$A$2:$C$17,2,0)</f>
        <v>17</v>
      </c>
      <c r="F54" s="302">
        <f>VLOOKUP(D54,'[1]0805產線配置圖'!$A$2:$C$17,3,0)</f>
        <v>1565</v>
      </c>
      <c r="G54" s="303">
        <f t="shared" si="44"/>
        <v>92.058823529411768</v>
      </c>
      <c r="H54" s="376"/>
      <c r="I54" s="302">
        <f t="shared" si="45"/>
        <v>17</v>
      </c>
      <c r="J54" s="302">
        <f t="shared" si="45"/>
        <v>1493.4285714285713</v>
      </c>
      <c r="K54" s="303">
        <f t="shared" si="45"/>
        <v>87.848739495798327</v>
      </c>
      <c r="L54" s="376"/>
      <c r="M54" s="302">
        <f>RANK(K54, K$47:$K$61)</f>
        <v>6</v>
      </c>
      <c r="N54" s="361"/>
      <c r="O54" s="361"/>
      <c r="P54" s="301">
        <v>17</v>
      </c>
      <c r="Q54" s="301">
        <v>1596</v>
      </c>
      <c r="R54" s="303">
        <f t="shared" si="46"/>
        <v>93.882352941176464</v>
      </c>
      <c r="S54" s="301">
        <f t="shared" si="47"/>
        <v>6</v>
      </c>
      <c r="T54" s="373"/>
      <c r="U54" s="301">
        <v>17</v>
      </c>
      <c r="V54" s="301">
        <v>1505</v>
      </c>
      <c r="W54" s="303">
        <f t="shared" si="48"/>
        <v>88.529411764705884</v>
      </c>
      <c r="X54" s="301">
        <f t="shared" si="49"/>
        <v>6</v>
      </c>
      <c r="Y54" s="373"/>
      <c r="Z54" s="301">
        <v>17</v>
      </c>
      <c r="AA54" s="301">
        <v>1546</v>
      </c>
      <c r="AB54" s="303">
        <f t="shared" si="50"/>
        <v>90.941176470588232</v>
      </c>
      <c r="AC54" s="301">
        <f t="shared" si="51"/>
        <v>7</v>
      </c>
      <c r="AD54" s="373"/>
      <c r="AE54" s="301">
        <v>17</v>
      </c>
      <c r="AF54" s="301">
        <v>1293</v>
      </c>
      <c r="AG54" s="303">
        <f t="shared" si="52"/>
        <v>76.058823529411768</v>
      </c>
      <c r="AH54" s="301">
        <f t="shared" si="53"/>
        <v>9</v>
      </c>
      <c r="AI54" s="373"/>
      <c r="AJ54" s="301">
        <v>17</v>
      </c>
      <c r="AK54" s="301">
        <v>1546</v>
      </c>
      <c r="AL54" s="303">
        <f t="shared" si="54"/>
        <v>90.941176470588232</v>
      </c>
      <c r="AM54" s="301">
        <f t="shared" si="55"/>
        <v>7</v>
      </c>
      <c r="AN54" s="373"/>
      <c r="AO54" s="301">
        <v>17</v>
      </c>
      <c r="AP54" s="301">
        <v>1492</v>
      </c>
      <c r="AQ54" s="303">
        <f t="shared" si="56"/>
        <v>87.764705882352942</v>
      </c>
      <c r="AR54" s="301">
        <f t="shared" si="57"/>
        <v>7</v>
      </c>
      <c r="AS54" s="373"/>
      <c r="AT54" s="301">
        <v>17</v>
      </c>
      <c r="AU54" s="301">
        <v>1476</v>
      </c>
      <c r="AV54" s="303">
        <f t="shared" si="58"/>
        <v>86.82352941176471</v>
      </c>
      <c r="AW54" s="301">
        <f t="shared" si="59"/>
        <v>7</v>
      </c>
      <c r="AX54" s="373"/>
    </row>
    <row r="55" spans="2:50">
      <c r="B55" s="354"/>
      <c r="C55" s="301">
        <v>9</v>
      </c>
      <c r="D55" s="301" t="s">
        <v>117</v>
      </c>
      <c r="E55" s="302">
        <f>VLOOKUP(D55,'[1]0805產線配置圖'!$A$2:$C$17,2,0)</f>
        <v>16</v>
      </c>
      <c r="F55" s="302">
        <f>VLOOKUP(D55,'[1]0805產線配置圖'!$A$2:$C$17,3,0)</f>
        <v>1390</v>
      </c>
      <c r="G55" s="303">
        <f t="shared" si="44"/>
        <v>86.875</v>
      </c>
      <c r="H55" s="376"/>
      <c r="I55" s="302">
        <f t="shared" si="45"/>
        <v>15</v>
      </c>
      <c r="J55" s="302">
        <f t="shared" si="45"/>
        <v>1022.4285714285714</v>
      </c>
      <c r="K55" s="303">
        <f t="shared" si="45"/>
        <v>68.063821297749868</v>
      </c>
      <c r="L55" s="376"/>
      <c r="M55" s="302">
        <f>RANK(K55, K$47:$K$61)</f>
        <v>13</v>
      </c>
      <c r="N55" s="361"/>
      <c r="O55" s="361"/>
      <c r="P55" s="301">
        <v>16</v>
      </c>
      <c r="Q55" s="301">
        <v>1016</v>
      </c>
      <c r="R55" s="303">
        <f t="shared" si="46"/>
        <v>63.5</v>
      </c>
      <c r="S55" s="301">
        <f t="shared" si="47"/>
        <v>14</v>
      </c>
      <c r="T55" s="373"/>
      <c r="U55" s="301">
        <v>15</v>
      </c>
      <c r="V55" s="301">
        <v>983</v>
      </c>
      <c r="W55" s="303">
        <f t="shared" si="48"/>
        <v>65.533333333333331</v>
      </c>
      <c r="X55" s="301">
        <f t="shared" si="49"/>
        <v>12</v>
      </c>
      <c r="Y55" s="373"/>
      <c r="Z55" s="301">
        <v>15</v>
      </c>
      <c r="AA55" s="301">
        <v>869</v>
      </c>
      <c r="AB55" s="303">
        <f t="shared" si="50"/>
        <v>57.93333333333333</v>
      </c>
      <c r="AC55" s="301">
        <f t="shared" si="51"/>
        <v>13</v>
      </c>
      <c r="AD55" s="373"/>
      <c r="AE55" s="301">
        <v>14</v>
      </c>
      <c r="AF55" s="301">
        <v>932</v>
      </c>
      <c r="AG55" s="303">
        <f t="shared" si="52"/>
        <v>66.571428571428569</v>
      </c>
      <c r="AH55" s="301">
        <f t="shared" si="53"/>
        <v>11</v>
      </c>
      <c r="AI55" s="373"/>
      <c r="AJ55" s="301">
        <v>16</v>
      </c>
      <c r="AK55" s="301">
        <v>1203</v>
      </c>
      <c r="AL55" s="303">
        <f t="shared" si="54"/>
        <v>75.1875</v>
      </c>
      <c r="AM55" s="301">
        <f t="shared" si="55"/>
        <v>11</v>
      </c>
      <c r="AN55" s="373"/>
      <c r="AO55" s="301">
        <v>13</v>
      </c>
      <c r="AP55" s="301">
        <v>908</v>
      </c>
      <c r="AQ55" s="303">
        <f t="shared" si="56"/>
        <v>69.84615384615384</v>
      </c>
      <c r="AR55" s="301">
        <f t="shared" si="57"/>
        <v>12</v>
      </c>
      <c r="AS55" s="373"/>
      <c r="AT55" s="301">
        <v>16</v>
      </c>
      <c r="AU55" s="301">
        <v>1246</v>
      </c>
      <c r="AV55" s="303">
        <f t="shared" si="58"/>
        <v>77.875</v>
      </c>
      <c r="AW55" s="301">
        <f t="shared" si="59"/>
        <v>10</v>
      </c>
      <c r="AX55" s="373"/>
    </row>
    <row r="56" spans="2:50">
      <c r="B56" s="354"/>
      <c r="C56" s="301">
        <v>10</v>
      </c>
      <c r="D56" s="301" t="s">
        <v>118</v>
      </c>
      <c r="E56" s="302">
        <f>VLOOKUP(D56,'[1]0805產線配置圖'!$A$2:$C$17,2,0)</f>
        <v>18</v>
      </c>
      <c r="F56" s="302">
        <f>VLOOKUP(D56,'[1]0805產線配置圖'!$A$2:$C$17,3,0)</f>
        <v>1565</v>
      </c>
      <c r="G56" s="303">
        <f t="shared" si="44"/>
        <v>86.944444444444443</v>
      </c>
      <c r="H56" s="376"/>
      <c r="I56" s="302">
        <f t="shared" si="45"/>
        <v>16.571428571428573</v>
      </c>
      <c r="J56" s="302">
        <f t="shared" si="45"/>
        <v>1213.8571428571429</v>
      </c>
      <c r="K56" s="303">
        <f t="shared" si="45"/>
        <v>73.229321465428271</v>
      </c>
      <c r="L56" s="376"/>
      <c r="M56" s="302">
        <f>RANK(K56, K$47:$K$61)</f>
        <v>11</v>
      </c>
      <c r="N56" s="361"/>
      <c r="O56" s="361"/>
      <c r="P56" s="301">
        <v>18</v>
      </c>
      <c r="Q56" s="301">
        <v>1377</v>
      </c>
      <c r="R56" s="303">
        <f t="shared" si="46"/>
        <v>76.5</v>
      </c>
      <c r="S56" s="301">
        <f t="shared" si="47"/>
        <v>11</v>
      </c>
      <c r="T56" s="373"/>
      <c r="U56" s="301">
        <v>17</v>
      </c>
      <c r="V56" s="301">
        <v>1296</v>
      </c>
      <c r="W56" s="303">
        <f t="shared" si="48"/>
        <v>76.235294117647058</v>
      </c>
      <c r="X56" s="301">
        <f t="shared" si="49"/>
        <v>11</v>
      </c>
      <c r="Y56" s="373"/>
      <c r="Z56" s="301">
        <v>19</v>
      </c>
      <c r="AA56" s="301">
        <v>1355</v>
      </c>
      <c r="AB56" s="303">
        <f t="shared" si="50"/>
        <v>71.315789473684205</v>
      </c>
      <c r="AC56" s="301">
        <f t="shared" si="51"/>
        <v>11</v>
      </c>
      <c r="AD56" s="373"/>
      <c r="AE56" s="301">
        <v>15</v>
      </c>
      <c r="AF56" s="301">
        <v>994</v>
      </c>
      <c r="AG56" s="303">
        <f t="shared" si="52"/>
        <v>66.266666666666666</v>
      </c>
      <c r="AH56" s="301">
        <f t="shared" si="53"/>
        <v>12</v>
      </c>
      <c r="AI56" s="373"/>
      <c r="AJ56" s="301">
        <v>16</v>
      </c>
      <c r="AK56" s="301">
        <v>1162</v>
      </c>
      <c r="AL56" s="303">
        <f t="shared" si="54"/>
        <v>72.625</v>
      </c>
      <c r="AM56" s="301">
        <f t="shared" si="55"/>
        <v>12</v>
      </c>
      <c r="AN56" s="373"/>
      <c r="AO56" s="301">
        <v>15</v>
      </c>
      <c r="AP56" s="301">
        <v>1224</v>
      </c>
      <c r="AQ56" s="303">
        <f t="shared" si="56"/>
        <v>81.599999999999994</v>
      </c>
      <c r="AR56" s="301">
        <f t="shared" si="57"/>
        <v>11</v>
      </c>
      <c r="AS56" s="373"/>
      <c r="AT56" s="301">
        <v>16</v>
      </c>
      <c r="AU56" s="301">
        <v>1089</v>
      </c>
      <c r="AV56" s="303">
        <f t="shared" si="58"/>
        <v>68.0625</v>
      </c>
      <c r="AW56" s="301">
        <f t="shared" si="59"/>
        <v>12</v>
      </c>
      <c r="AX56" s="373"/>
    </row>
    <row r="57" spans="2:50">
      <c r="B57" s="354"/>
      <c r="C57" s="301">
        <v>11</v>
      </c>
      <c r="D57" s="301" t="s">
        <v>119</v>
      </c>
      <c r="E57" s="302">
        <f>VLOOKUP(D57,'[1]0805產線配置圖'!$A$2:$C$17,2,0)</f>
        <v>18</v>
      </c>
      <c r="F57" s="302">
        <f>VLOOKUP(D57,'[1]0805產線配置圖'!$A$2:$C$17,3,0)</f>
        <v>1500</v>
      </c>
      <c r="G57" s="303">
        <f t="shared" si="44"/>
        <v>83.333333333333329</v>
      </c>
      <c r="H57" s="376"/>
      <c r="I57" s="302">
        <f t="shared" si="45"/>
        <v>13.142857142857142</v>
      </c>
      <c r="J57" s="302">
        <f t="shared" si="45"/>
        <v>1062.5714285714287</v>
      </c>
      <c r="K57" s="303">
        <f t="shared" si="45"/>
        <v>80.754238618524326</v>
      </c>
      <c r="L57" s="376"/>
      <c r="M57" s="302">
        <f>RANK(K57, K$47:$K$61)</f>
        <v>10</v>
      </c>
      <c r="N57" s="361"/>
      <c r="O57" s="361"/>
      <c r="P57" s="301">
        <v>14</v>
      </c>
      <c r="Q57" s="301">
        <v>1246</v>
      </c>
      <c r="R57" s="303">
        <f>Q57/P57</f>
        <v>89</v>
      </c>
      <c r="S57" s="301">
        <f t="shared" si="47"/>
        <v>8</v>
      </c>
      <c r="T57" s="373"/>
      <c r="U57" s="301">
        <v>12</v>
      </c>
      <c r="V57" s="301">
        <v>993</v>
      </c>
      <c r="W57" s="303">
        <f>V57/U57</f>
        <v>82.75</v>
      </c>
      <c r="X57" s="301">
        <f t="shared" si="49"/>
        <v>7</v>
      </c>
      <c r="Y57" s="373"/>
      <c r="Z57" s="301">
        <v>15</v>
      </c>
      <c r="AA57" s="301">
        <v>1143</v>
      </c>
      <c r="AB57" s="303">
        <f>AA57/Z57</f>
        <v>76.2</v>
      </c>
      <c r="AC57" s="301">
        <f t="shared" si="51"/>
        <v>10</v>
      </c>
      <c r="AD57" s="373"/>
      <c r="AE57" s="301">
        <v>11</v>
      </c>
      <c r="AF57" s="301">
        <v>814</v>
      </c>
      <c r="AG57" s="303">
        <f>AF57/AE57</f>
        <v>74</v>
      </c>
      <c r="AH57" s="301">
        <f t="shared" si="53"/>
        <v>10</v>
      </c>
      <c r="AI57" s="373"/>
      <c r="AJ57" s="301">
        <v>13</v>
      </c>
      <c r="AK57" s="301">
        <v>1079</v>
      </c>
      <c r="AL57" s="303">
        <f>AK57/AJ57</f>
        <v>83</v>
      </c>
      <c r="AM57" s="301">
        <f t="shared" si="55"/>
        <v>9</v>
      </c>
      <c r="AN57" s="373"/>
      <c r="AO57" s="301">
        <v>13</v>
      </c>
      <c r="AP57" s="301">
        <v>1061</v>
      </c>
      <c r="AQ57" s="303">
        <f>AP57/AO57</f>
        <v>81.615384615384613</v>
      </c>
      <c r="AR57" s="301">
        <f t="shared" si="57"/>
        <v>10</v>
      </c>
      <c r="AS57" s="373"/>
      <c r="AT57" s="301">
        <v>14</v>
      </c>
      <c r="AU57" s="301">
        <v>1102</v>
      </c>
      <c r="AV57" s="303">
        <f>AU57/AT57</f>
        <v>78.714285714285708</v>
      </c>
      <c r="AW57" s="301">
        <f t="shared" si="59"/>
        <v>9</v>
      </c>
      <c r="AX57" s="373"/>
    </row>
    <row r="58" spans="2:50">
      <c r="B58" s="354"/>
      <c r="C58" s="301">
        <v>12</v>
      </c>
      <c r="D58" s="301" t="s">
        <v>125</v>
      </c>
      <c r="E58" s="302">
        <f>VLOOKUP(D58,'[1]0805產線配置圖'!$A$2:$C$17,2,0)</f>
        <v>18</v>
      </c>
      <c r="F58" s="302">
        <f>VLOOKUP(D58,'[1]0805產線配置圖'!$A$2:$C$17,3,0)</f>
        <v>1714</v>
      </c>
      <c r="G58" s="303">
        <f t="shared" si="44"/>
        <v>95.222222222222229</v>
      </c>
      <c r="H58" s="376"/>
      <c r="I58" s="302">
        <f t="shared" si="45"/>
        <v>15.142857142857142</v>
      </c>
      <c r="J58" s="302">
        <f t="shared" si="45"/>
        <v>1319.4285714285713</v>
      </c>
      <c r="K58" s="303">
        <f t="shared" si="45"/>
        <v>87.168218056453341</v>
      </c>
      <c r="L58" s="376"/>
      <c r="M58" s="302">
        <f>RANK(K58, K$47:$K$61)</f>
        <v>7</v>
      </c>
      <c r="N58" s="361"/>
      <c r="O58" s="361"/>
      <c r="P58" s="301">
        <v>17</v>
      </c>
      <c r="Q58" s="301">
        <v>1549</v>
      </c>
      <c r="R58" s="303">
        <f t="shared" ref="R58:R60" si="60">Q58/P58</f>
        <v>91.117647058823536</v>
      </c>
      <c r="S58" s="301">
        <f t="shared" si="47"/>
        <v>7</v>
      </c>
      <c r="T58" s="373"/>
      <c r="U58" s="301">
        <v>15</v>
      </c>
      <c r="V58" s="301">
        <v>1183</v>
      </c>
      <c r="W58" s="303">
        <f t="shared" ref="W58:W59" si="61">V58/U58</f>
        <v>78.86666666666666</v>
      </c>
      <c r="X58" s="301">
        <f t="shared" si="49"/>
        <v>9</v>
      </c>
      <c r="Y58" s="373"/>
      <c r="Z58" s="301">
        <v>15</v>
      </c>
      <c r="AA58" s="301">
        <v>1423</v>
      </c>
      <c r="AB58" s="303">
        <f t="shared" ref="AB58:AB59" si="62">AA58/Z58</f>
        <v>94.86666666666666</v>
      </c>
      <c r="AC58" s="301">
        <f t="shared" si="51"/>
        <v>6</v>
      </c>
      <c r="AD58" s="373"/>
      <c r="AE58" s="301">
        <v>12</v>
      </c>
      <c r="AF58" s="301">
        <v>1042</v>
      </c>
      <c r="AG58" s="303">
        <f t="shared" ref="AG58:AG59" si="63">AF58/AE58</f>
        <v>86.833333333333329</v>
      </c>
      <c r="AH58" s="301">
        <f t="shared" si="53"/>
        <v>7</v>
      </c>
      <c r="AI58" s="373"/>
      <c r="AJ58" s="301">
        <v>17</v>
      </c>
      <c r="AK58" s="301">
        <v>1387</v>
      </c>
      <c r="AL58" s="303">
        <f t="shared" ref="AL58:AL59" si="64">AK58/AJ58</f>
        <v>81.588235294117652</v>
      </c>
      <c r="AM58" s="301">
        <f t="shared" si="55"/>
        <v>10</v>
      </c>
      <c r="AN58" s="373"/>
      <c r="AO58" s="301">
        <v>13</v>
      </c>
      <c r="AP58" s="301">
        <v>1155</v>
      </c>
      <c r="AQ58" s="303">
        <f t="shared" ref="AQ58:AQ59" si="65">AP58/AO58</f>
        <v>88.84615384615384</v>
      </c>
      <c r="AR58" s="301">
        <f t="shared" si="57"/>
        <v>6</v>
      </c>
      <c r="AS58" s="373"/>
      <c r="AT58" s="301">
        <v>17</v>
      </c>
      <c r="AU58" s="301">
        <v>1497</v>
      </c>
      <c r="AV58" s="303">
        <f t="shared" ref="AV58:AV59" si="66">AU58/AT58</f>
        <v>88.058823529411768</v>
      </c>
      <c r="AW58" s="301">
        <f t="shared" si="59"/>
        <v>6</v>
      </c>
      <c r="AX58" s="373"/>
    </row>
    <row r="59" spans="2:50">
      <c r="B59" s="354"/>
      <c r="C59" s="301">
        <v>13</v>
      </c>
      <c r="D59" s="301" t="s">
        <v>121</v>
      </c>
      <c r="E59" s="302">
        <f>VLOOKUP(D59,'[1]0805產線配置圖'!$A$2:$C$17,2,0)</f>
        <v>18</v>
      </c>
      <c r="F59" s="302">
        <f>VLOOKUP(D59,'[1]0805產線配置圖'!$A$2:$C$17,3,0)</f>
        <v>1200</v>
      </c>
      <c r="G59" s="303">
        <f t="shared" si="44"/>
        <v>66.666666666666671</v>
      </c>
      <c r="H59" s="376"/>
      <c r="I59" s="302">
        <f t="shared" si="45"/>
        <v>16.142857142857142</v>
      </c>
      <c r="J59" s="302">
        <f t="shared" si="45"/>
        <v>1080.2857142857142</v>
      </c>
      <c r="K59" s="303">
        <f t="shared" si="45"/>
        <v>66.734838935574217</v>
      </c>
      <c r="L59" s="376"/>
      <c r="M59" s="302">
        <f>RANK(K59, K$47:$K$61)</f>
        <v>14</v>
      </c>
      <c r="N59" s="361"/>
      <c r="O59" s="361"/>
      <c r="P59" s="301">
        <v>18</v>
      </c>
      <c r="Q59" s="301">
        <v>1395</v>
      </c>
      <c r="R59" s="303">
        <f t="shared" si="60"/>
        <v>77.5</v>
      </c>
      <c r="S59" s="301">
        <f t="shared" si="47"/>
        <v>10</v>
      </c>
      <c r="T59" s="373"/>
      <c r="U59" s="301">
        <v>16</v>
      </c>
      <c r="V59" s="301">
        <v>1025</v>
      </c>
      <c r="W59" s="303">
        <f t="shared" si="61"/>
        <v>64.0625</v>
      </c>
      <c r="X59" s="301">
        <f t="shared" si="49"/>
        <v>13</v>
      </c>
      <c r="Y59" s="373"/>
      <c r="Z59" s="301">
        <v>16</v>
      </c>
      <c r="AA59" s="301">
        <v>1014</v>
      </c>
      <c r="AB59" s="303">
        <f t="shared" si="62"/>
        <v>63.375</v>
      </c>
      <c r="AC59" s="301">
        <f t="shared" si="51"/>
        <v>12</v>
      </c>
      <c r="AD59" s="373"/>
      <c r="AE59" s="301">
        <v>15</v>
      </c>
      <c r="AF59" s="301">
        <v>953</v>
      </c>
      <c r="AG59" s="303">
        <f t="shared" si="63"/>
        <v>63.533333333333331</v>
      </c>
      <c r="AH59" s="301">
        <f t="shared" si="53"/>
        <v>13</v>
      </c>
      <c r="AI59" s="373"/>
      <c r="AJ59" s="301">
        <v>16</v>
      </c>
      <c r="AK59" s="301">
        <v>1014</v>
      </c>
      <c r="AL59" s="303">
        <f t="shared" si="64"/>
        <v>63.375</v>
      </c>
      <c r="AM59" s="301">
        <f t="shared" si="55"/>
        <v>13</v>
      </c>
      <c r="AN59" s="373"/>
      <c r="AO59" s="301">
        <v>15</v>
      </c>
      <c r="AP59" s="301">
        <v>1043</v>
      </c>
      <c r="AQ59" s="303">
        <f t="shared" si="65"/>
        <v>69.533333333333331</v>
      </c>
      <c r="AR59" s="301">
        <f t="shared" si="57"/>
        <v>13</v>
      </c>
      <c r="AS59" s="373"/>
      <c r="AT59" s="301">
        <v>17</v>
      </c>
      <c r="AU59" s="301">
        <v>1118</v>
      </c>
      <c r="AV59" s="303">
        <f t="shared" si="66"/>
        <v>65.764705882352942</v>
      </c>
      <c r="AW59" s="301">
        <f>RANK(AV59,$AV$47:$AV$61)</f>
        <v>14</v>
      </c>
      <c r="AX59" s="373"/>
    </row>
    <row r="60" spans="2:50">
      <c r="B60" s="354"/>
      <c r="C60" s="301">
        <v>14</v>
      </c>
      <c r="D60" s="301" t="s">
        <v>122</v>
      </c>
      <c r="E60" s="302">
        <f>VLOOKUP(D60,'[1]0805產線配置圖'!$A$2:$C$17,2,0)</f>
        <v>17</v>
      </c>
      <c r="F60" s="302">
        <f>VLOOKUP(D60,'[1]0805產線配置圖'!$A$2:$C$17,3,0)</f>
        <v>1333</v>
      </c>
      <c r="G60" s="303">
        <f t="shared" si="44"/>
        <v>78.411764705882348</v>
      </c>
      <c r="H60" s="376"/>
      <c r="I60" s="301">
        <f t="shared" si="45"/>
        <v>16</v>
      </c>
      <c r="J60" s="301">
        <f t="shared" si="45"/>
        <v>1115</v>
      </c>
      <c r="K60" s="303">
        <f t="shared" si="45"/>
        <v>69.6875</v>
      </c>
      <c r="L60" s="376"/>
      <c r="M60" s="302">
        <f>RANK(K60, K$47:$K$61)</f>
        <v>12</v>
      </c>
      <c r="N60" s="361"/>
      <c r="O60" s="361"/>
      <c r="P60" s="301">
        <v>16</v>
      </c>
      <c r="Q60" s="301">
        <v>1115</v>
      </c>
      <c r="R60" s="303">
        <f t="shared" si="60"/>
        <v>69.6875</v>
      </c>
      <c r="S60" s="301">
        <f t="shared" si="47"/>
        <v>13</v>
      </c>
      <c r="T60" s="373"/>
      <c r="U60" s="301"/>
      <c r="V60" s="301"/>
      <c r="W60" s="303"/>
      <c r="X60" s="301"/>
      <c r="Y60" s="373"/>
      <c r="Z60" s="301"/>
      <c r="AA60" s="301"/>
      <c r="AB60" s="303"/>
      <c r="AC60" s="301"/>
      <c r="AD60" s="373"/>
      <c r="AE60" s="301"/>
      <c r="AF60" s="301"/>
      <c r="AG60" s="303"/>
      <c r="AH60" s="301"/>
      <c r="AI60" s="373"/>
      <c r="AJ60" s="301"/>
      <c r="AK60" s="301"/>
      <c r="AL60" s="303"/>
      <c r="AM60" s="301"/>
      <c r="AN60" s="373"/>
      <c r="AO60" s="301"/>
      <c r="AP60" s="301"/>
      <c r="AQ60" s="303"/>
      <c r="AR60" s="301"/>
      <c r="AS60" s="373"/>
      <c r="AT60" s="301"/>
      <c r="AU60" s="301"/>
      <c r="AV60" s="303"/>
      <c r="AW60" s="301" t="e">
        <f>RANK(AV60,$AV$47:$AV$61)</f>
        <v>#N/A</v>
      </c>
      <c r="AX60" s="373"/>
    </row>
    <row r="61" spans="2:50">
      <c r="B61" s="354"/>
      <c r="C61" s="301">
        <v>15</v>
      </c>
      <c r="D61" s="301" t="s">
        <v>126</v>
      </c>
      <c r="E61" s="301">
        <v>18</v>
      </c>
      <c r="F61" s="301">
        <v>1565</v>
      </c>
      <c r="G61" s="303">
        <v>86.944444444444443</v>
      </c>
      <c r="H61" s="377"/>
      <c r="I61" s="301"/>
      <c r="J61" s="301"/>
      <c r="K61" s="301"/>
      <c r="L61" s="377"/>
      <c r="M61" s="302"/>
      <c r="N61" s="361"/>
      <c r="O61" s="361"/>
      <c r="P61" s="301"/>
      <c r="Q61" s="301"/>
      <c r="R61" s="303"/>
      <c r="S61" s="301"/>
      <c r="T61" s="373"/>
      <c r="U61" s="301"/>
      <c r="V61" s="301"/>
      <c r="W61" s="303"/>
      <c r="X61" s="301"/>
      <c r="Y61" s="373"/>
      <c r="Z61" s="301"/>
      <c r="AA61" s="301"/>
      <c r="AB61" s="303"/>
      <c r="AC61" s="301"/>
      <c r="AD61" s="373"/>
      <c r="AE61" s="301"/>
      <c r="AF61" s="301"/>
      <c r="AG61" s="303"/>
      <c r="AH61" s="301"/>
      <c r="AI61" s="373"/>
      <c r="AJ61" s="301"/>
      <c r="AK61" s="301"/>
      <c r="AL61" s="303"/>
      <c r="AM61" s="301"/>
      <c r="AN61" s="373"/>
      <c r="AO61" s="301"/>
      <c r="AP61" s="301"/>
      <c r="AQ61" s="303"/>
      <c r="AR61" s="301"/>
      <c r="AS61" s="373"/>
      <c r="AT61" s="301">
        <v>14</v>
      </c>
      <c r="AU61" s="301">
        <v>968</v>
      </c>
      <c r="AV61" s="303">
        <v>69.2</v>
      </c>
      <c r="AW61" s="301">
        <f>RANK(AV61,$AV$47:$AV$61)</f>
        <v>12</v>
      </c>
      <c r="AX61" s="373"/>
    </row>
    <row r="62" spans="2:50" ht="15.75">
      <c r="B62" s="365" t="s">
        <v>93</v>
      </c>
      <c r="C62" s="366"/>
      <c r="D62" s="366"/>
      <c r="E62" s="366"/>
      <c r="F62" s="366"/>
      <c r="G62" s="366"/>
      <c r="H62" s="366"/>
      <c r="I62" s="307"/>
      <c r="J62" s="307"/>
      <c r="K62" s="307"/>
      <c r="L62" s="307"/>
      <c r="M62" s="308"/>
      <c r="N62" s="355" t="s">
        <v>94</v>
      </c>
      <c r="O62" s="355" t="s">
        <v>52</v>
      </c>
      <c r="P62" s="368">
        <v>45888</v>
      </c>
      <c r="Q62" s="354"/>
      <c r="R62" s="354"/>
      <c r="S62" s="354"/>
      <c r="T62" s="354"/>
      <c r="U62" s="368">
        <v>45889</v>
      </c>
      <c r="V62" s="354"/>
      <c r="W62" s="354"/>
      <c r="X62" s="354"/>
      <c r="Y62" s="354"/>
      <c r="Z62" s="368">
        <v>45890</v>
      </c>
      <c r="AA62" s="354"/>
      <c r="AB62" s="354"/>
      <c r="AC62" s="354"/>
      <c r="AD62" s="354"/>
      <c r="AE62" s="368">
        <v>45891</v>
      </c>
      <c r="AF62" s="354"/>
      <c r="AG62" s="354"/>
      <c r="AH62" s="354"/>
      <c r="AI62" s="354"/>
      <c r="AJ62" s="368">
        <v>45892</v>
      </c>
      <c r="AK62" s="354"/>
      <c r="AL62" s="354"/>
      <c r="AM62" s="354"/>
      <c r="AN62" s="354"/>
      <c r="AO62" s="368">
        <v>45893</v>
      </c>
      <c r="AP62" s="354"/>
      <c r="AQ62" s="354"/>
      <c r="AR62" s="354"/>
      <c r="AS62" s="354"/>
      <c r="AT62" s="368">
        <v>45894</v>
      </c>
      <c r="AU62" s="354"/>
      <c r="AV62" s="354"/>
      <c r="AW62" s="354"/>
      <c r="AX62" s="354"/>
    </row>
    <row r="63" spans="2:50" ht="15.75">
      <c r="B63" s="367"/>
      <c r="C63" s="367"/>
      <c r="D63" s="367"/>
      <c r="E63" s="367"/>
      <c r="F63" s="367"/>
      <c r="G63" s="367"/>
      <c r="H63" s="367"/>
      <c r="I63" s="297"/>
      <c r="J63" s="297"/>
      <c r="K63" s="297"/>
      <c r="L63" s="297"/>
      <c r="M63" s="298"/>
      <c r="N63" s="357"/>
      <c r="O63" s="357"/>
      <c r="P63" s="368" t="s">
        <v>66</v>
      </c>
      <c r="Q63" s="354"/>
      <c r="R63" s="354"/>
      <c r="S63" s="354"/>
      <c r="T63" s="354"/>
      <c r="U63" s="368" t="s">
        <v>67</v>
      </c>
      <c r="V63" s="354"/>
      <c r="W63" s="354"/>
      <c r="X63" s="354"/>
      <c r="Y63" s="354"/>
      <c r="Z63" s="368" t="s">
        <v>68</v>
      </c>
      <c r="AA63" s="354"/>
      <c r="AB63" s="354"/>
      <c r="AC63" s="354"/>
      <c r="AD63" s="354"/>
      <c r="AE63" s="368" t="s">
        <v>63</v>
      </c>
      <c r="AF63" s="354"/>
      <c r="AG63" s="354"/>
      <c r="AH63" s="354"/>
      <c r="AI63" s="354"/>
      <c r="AJ63" s="368" t="s">
        <v>64</v>
      </c>
      <c r="AK63" s="354"/>
      <c r="AL63" s="354"/>
      <c r="AM63" s="354"/>
      <c r="AN63" s="354"/>
      <c r="AO63" s="368" t="s">
        <v>59</v>
      </c>
      <c r="AP63" s="354"/>
      <c r="AQ63" s="354"/>
      <c r="AR63" s="354"/>
      <c r="AS63" s="354"/>
      <c r="AT63" s="368" t="s">
        <v>65</v>
      </c>
      <c r="AU63" s="354"/>
      <c r="AV63" s="354"/>
      <c r="AW63" s="354"/>
      <c r="AX63" s="354"/>
    </row>
    <row r="64" spans="2:50">
      <c r="B64" s="361" t="s">
        <v>95</v>
      </c>
      <c r="C64" s="374" t="s">
        <v>96</v>
      </c>
      <c r="D64" s="361"/>
      <c r="E64" s="361" t="s">
        <v>97</v>
      </c>
      <c r="F64" s="361"/>
      <c r="G64" s="361"/>
      <c r="H64" s="362" t="s">
        <v>98</v>
      </c>
      <c r="I64" s="361" t="s">
        <v>99</v>
      </c>
      <c r="J64" s="361"/>
      <c r="K64" s="361"/>
      <c r="L64" s="362" t="s">
        <v>98</v>
      </c>
      <c r="M64" s="372" t="s">
        <v>100</v>
      </c>
      <c r="N64" s="355"/>
      <c r="O64" s="355" t="s">
        <v>101</v>
      </c>
      <c r="P64" s="358" t="s">
        <v>102</v>
      </c>
      <c r="Q64" s="359"/>
      <c r="R64" s="359"/>
      <c r="S64" s="360"/>
      <c r="T64" s="361" t="s">
        <v>98</v>
      </c>
      <c r="U64" s="358" t="s">
        <v>102</v>
      </c>
      <c r="V64" s="359"/>
      <c r="W64" s="359"/>
      <c r="X64" s="360"/>
      <c r="Y64" s="361" t="s">
        <v>98</v>
      </c>
      <c r="Z64" s="358" t="s">
        <v>102</v>
      </c>
      <c r="AA64" s="359"/>
      <c r="AB64" s="359"/>
      <c r="AC64" s="360"/>
      <c r="AD64" s="361" t="s">
        <v>98</v>
      </c>
      <c r="AE64" s="358" t="s">
        <v>102</v>
      </c>
      <c r="AF64" s="359"/>
      <c r="AG64" s="359"/>
      <c r="AH64" s="360"/>
      <c r="AI64" s="361" t="s">
        <v>98</v>
      </c>
      <c r="AJ64" s="358" t="s">
        <v>102</v>
      </c>
      <c r="AK64" s="359"/>
      <c r="AL64" s="359"/>
      <c r="AM64" s="360"/>
      <c r="AN64" s="361" t="s">
        <v>98</v>
      </c>
      <c r="AO64" s="358" t="s">
        <v>102</v>
      </c>
      <c r="AP64" s="359"/>
      <c r="AQ64" s="359"/>
      <c r="AR64" s="360"/>
      <c r="AS64" s="361" t="s">
        <v>98</v>
      </c>
      <c r="AT64" s="358" t="s">
        <v>102</v>
      </c>
      <c r="AU64" s="359"/>
      <c r="AV64" s="359"/>
      <c r="AW64" s="360"/>
      <c r="AX64" s="361" t="s">
        <v>98</v>
      </c>
    </row>
    <row r="65" spans="2:50">
      <c r="B65" s="361"/>
      <c r="C65" s="361"/>
      <c r="D65" s="361"/>
      <c r="E65" s="361" t="s">
        <v>103</v>
      </c>
      <c r="F65" s="361"/>
      <c r="G65" s="361"/>
      <c r="H65" s="363"/>
      <c r="I65" s="361" t="s">
        <v>103</v>
      </c>
      <c r="J65" s="361"/>
      <c r="K65" s="361"/>
      <c r="L65" s="363"/>
      <c r="M65" s="356"/>
      <c r="N65" s="356"/>
      <c r="O65" s="356"/>
      <c r="P65" s="358" t="s">
        <v>104</v>
      </c>
      <c r="Q65" s="359"/>
      <c r="R65" s="359"/>
      <c r="S65" s="360"/>
      <c r="T65" s="361"/>
      <c r="U65" s="358" t="s">
        <v>104</v>
      </c>
      <c r="V65" s="359"/>
      <c r="W65" s="359"/>
      <c r="X65" s="360"/>
      <c r="Y65" s="361"/>
      <c r="Z65" s="358" t="s">
        <v>104</v>
      </c>
      <c r="AA65" s="359"/>
      <c r="AB65" s="359"/>
      <c r="AC65" s="360"/>
      <c r="AD65" s="361"/>
      <c r="AE65" s="358" t="s">
        <v>104</v>
      </c>
      <c r="AF65" s="359"/>
      <c r="AG65" s="359"/>
      <c r="AH65" s="360"/>
      <c r="AI65" s="361"/>
      <c r="AJ65" s="358" t="s">
        <v>104</v>
      </c>
      <c r="AK65" s="359"/>
      <c r="AL65" s="359"/>
      <c r="AM65" s="360"/>
      <c r="AN65" s="361"/>
      <c r="AO65" s="358" t="s">
        <v>104</v>
      </c>
      <c r="AP65" s="359"/>
      <c r="AQ65" s="359"/>
      <c r="AR65" s="360"/>
      <c r="AS65" s="361"/>
      <c r="AT65" s="358" t="s">
        <v>104</v>
      </c>
      <c r="AU65" s="359"/>
      <c r="AV65" s="359"/>
      <c r="AW65" s="360"/>
      <c r="AX65" s="361"/>
    </row>
    <row r="66" spans="2:50">
      <c r="B66" s="361"/>
      <c r="C66" s="361"/>
      <c r="D66" s="361"/>
      <c r="E66" s="300" t="s">
        <v>105</v>
      </c>
      <c r="F66" s="300" t="s">
        <v>106</v>
      </c>
      <c r="G66" s="300" t="s">
        <v>107</v>
      </c>
      <c r="H66" s="364"/>
      <c r="I66" s="300" t="s">
        <v>105</v>
      </c>
      <c r="J66" s="300" t="s">
        <v>106</v>
      </c>
      <c r="K66" s="300" t="s">
        <v>107</v>
      </c>
      <c r="L66" s="364"/>
      <c r="M66" s="357"/>
      <c r="N66" s="356"/>
      <c r="O66" s="356"/>
      <c r="P66" s="300" t="s">
        <v>105</v>
      </c>
      <c r="Q66" s="300" t="s">
        <v>106</v>
      </c>
      <c r="R66" s="300" t="s">
        <v>107</v>
      </c>
      <c r="S66" s="300" t="s">
        <v>100</v>
      </c>
      <c r="T66" s="361"/>
      <c r="U66" s="300" t="s">
        <v>105</v>
      </c>
      <c r="V66" s="300" t="s">
        <v>106</v>
      </c>
      <c r="W66" s="300" t="s">
        <v>107</v>
      </c>
      <c r="X66" s="300" t="s">
        <v>100</v>
      </c>
      <c r="Y66" s="361"/>
      <c r="Z66" s="300" t="s">
        <v>105</v>
      </c>
      <c r="AA66" s="300" t="s">
        <v>106</v>
      </c>
      <c r="AB66" s="300" t="s">
        <v>107</v>
      </c>
      <c r="AC66" s="300" t="s">
        <v>100</v>
      </c>
      <c r="AD66" s="361"/>
      <c r="AE66" s="300" t="s">
        <v>105</v>
      </c>
      <c r="AF66" s="300" t="s">
        <v>106</v>
      </c>
      <c r="AG66" s="300" t="s">
        <v>107</v>
      </c>
      <c r="AH66" s="300" t="s">
        <v>100</v>
      </c>
      <c r="AI66" s="361"/>
      <c r="AJ66" s="300" t="s">
        <v>105</v>
      </c>
      <c r="AK66" s="300" t="s">
        <v>106</v>
      </c>
      <c r="AL66" s="300" t="s">
        <v>107</v>
      </c>
      <c r="AM66" s="300" t="s">
        <v>100</v>
      </c>
      <c r="AN66" s="361"/>
      <c r="AO66" s="300" t="s">
        <v>105</v>
      </c>
      <c r="AP66" s="300" t="s">
        <v>106</v>
      </c>
      <c r="AQ66" s="300" t="s">
        <v>107</v>
      </c>
      <c r="AR66" s="300" t="s">
        <v>100</v>
      </c>
      <c r="AS66" s="361"/>
      <c r="AT66" s="300" t="s">
        <v>105</v>
      </c>
      <c r="AU66" s="300" t="s">
        <v>106</v>
      </c>
      <c r="AV66" s="300" t="s">
        <v>107</v>
      </c>
      <c r="AW66" s="300" t="s">
        <v>100</v>
      </c>
      <c r="AX66" s="361"/>
    </row>
    <row r="67" spans="2:50" ht="13.5">
      <c r="B67" s="369" t="s">
        <v>108</v>
      </c>
      <c r="C67" s="301">
        <v>1</v>
      </c>
      <c r="D67" s="306" t="s">
        <v>123</v>
      </c>
      <c r="E67" s="302">
        <f>VLOOKUP(D67,'0818產線配置圖'!$A$2:$C$18,2,0)</f>
        <v>12</v>
      </c>
      <c r="F67" s="302">
        <f>VLOOKUP(D67,'0818產線配置圖'!$A$2:$C$18,3,0)</f>
        <v>2000</v>
      </c>
      <c r="G67" s="303">
        <f>F67/E67</f>
        <v>166.66666666666666</v>
      </c>
      <c r="H67" s="351">
        <f>AVERAGE(G67:G81)</f>
        <v>103.52748582113905</v>
      </c>
      <c r="I67" s="302">
        <f>AVERAGE(P67,U67,Z67,AE67,AJ67,AO67,AT67)</f>
        <v>12.142857142857142</v>
      </c>
      <c r="J67" s="302">
        <f>AVERAGE(Q67,V67,AA67,AF67,AK67,AP67,AU67)</f>
        <v>1742.5714285714287</v>
      </c>
      <c r="K67" s="303">
        <f>AVERAGE(R67,W67,AB67,AG67,AL67,AQ67,AV67)</f>
        <v>143.89285714285714</v>
      </c>
      <c r="L67" s="351">
        <f>IFERROR(AVERAGE(K67:K84),"-")</f>
        <v>91.517037725177801</v>
      </c>
      <c r="M67" s="302">
        <f>RANK(K67, $K$67:$K$82)</f>
        <v>1</v>
      </c>
      <c r="N67" s="356"/>
      <c r="O67" s="356"/>
      <c r="P67" s="110">
        <v>13</v>
      </c>
      <c r="Q67" s="110">
        <v>1443</v>
      </c>
      <c r="R67" s="182">
        <f>Q67/P67</f>
        <v>111</v>
      </c>
      <c r="S67" s="110">
        <f>RANK(R67, $R$67:$R$82)</f>
        <v>4</v>
      </c>
      <c r="T67" s="351">
        <f>AVERAGE(R67:R84)</f>
        <v>93.480428910346205</v>
      </c>
      <c r="U67" s="301">
        <v>12</v>
      </c>
      <c r="V67" s="301">
        <v>1809</v>
      </c>
      <c r="W67" s="303">
        <f>V67/U67</f>
        <v>150.75</v>
      </c>
      <c r="X67" s="301">
        <f>RANK(W67, $W$67:$W$82)</f>
        <v>1</v>
      </c>
      <c r="Y67" s="351">
        <f>AVERAGE(W67:W84)</f>
        <v>94.53726185987216</v>
      </c>
      <c r="Z67" s="301">
        <v>12</v>
      </c>
      <c r="AA67" s="301">
        <v>1760</v>
      </c>
      <c r="AB67" s="303">
        <f>AA67/Z67</f>
        <v>146.66666666666666</v>
      </c>
      <c r="AC67" s="301">
        <f>RANK(AB67, $AB$67:$AB$82)</f>
        <v>1</v>
      </c>
      <c r="AD67" s="351">
        <f>AVERAGE(AB67:AB84)</f>
        <v>92.053662418914925</v>
      </c>
      <c r="AE67" s="301">
        <v>12</v>
      </c>
      <c r="AF67" s="301">
        <v>1798</v>
      </c>
      <c r="AG67" s="303">
        <f>AF67/AE67</f>
        <v>149.83333333333334</v>
      </c>
      <c r="AH67" s="301">
        <f>RANK(AG67, $AG$67:$AG$82)</f>
        <v>1</v>
      </c>
      <c r="AI67" s="351">
        <f>AVERAGE(AG67:AG84)</f>
        <v>84.813182024946727</v>
      </c>
      <c r="AJ67" s="301">
        <v>12</v>
      </c>
      <c r="AK67" s="301">
        <v>1719</v>
      </c>
      <c r="AL67" s="303">
        <f>AK67/AJ67</f>
        <v>143.25</v>
      </c>
      <c r="AM67" s="301">
        <f>RANK(AL67, $AL$67:$AL$82)</f>
        <v>1</v>
      </c>
      <c r="AN67" s="351">
        <f>AVERAGE(AL67:AL84)</f>
        <v>91.244012664895024</v>
      </c>
      <c r="AO67" s="301">
        <v>12</v>
      </c>
      <c r="AP67" s="301">
        <v>1870</v>
      </c>
      <c r="AQ67" s="303">
        <f>AP67/AO67</f>
        <v>155.83333333333334</v>
      </c>
      <c r="AR67" s="301">
        <f>RANK(AQ67, $AQ$67:$AQ$84)</f>
        <v>1</v>
      </c>
      <c r="AS67" s="351">
        <f>AVERAGE(AQ67:AQ84)</f>
        <v>93.024877899877922</v>
      </c>
      <c r="AT67" s="301">
        <v>12</v>
      </c>
      <c r="AU67" s="301">
        <v>1799</v>
      </c>
      <c r="AV67" s="303">
        <f>AU67/AT67</f>
        <v>149.91666666666666</v>
      </c>
      <c r="AW67" s="301">
        <f>RANK(AV67, $AV$67:$AV$84)</f>
        <v>1</v>
      </c>
      <c r="AX67" s="351">
        <f>AVERAGE(AV67:AV84)</f>
        <v>93.343106430606426</v>
      </c>
    </row>
    <row r="68" spans="2:50">
      <c r="B68" s="370"/>
      <c r="C68" s="301">
        <v>2</v>
      </c>
      <c r="D68" s="301" t="s">
        <v>110</v>
      </c>
      <c r="E68" s="302">
        <f>VLOOKUP(D68,'0818產線配置圖'!$A$2:$C$18,2,0)</f>
        <v>13</v>
      </c>
      <c r="F68" s="302">
        <f>VLOOKUP(D68,'0818產線配置圖'!$A$2:$C$18,3,0)</f>
        <v>2000</v>
      </c>
      <c r="G68" s="303">
        <f t="shared" ref="G68:G80" si="67">F68/E68</f>
        <v>153.84615384615384</v>
      </c>
      <c r="H68" s="352"/>
      <c r="I68" s="302">
        <f t="shared" ref="I68:K76" si="68">AVERAGE(P68,U68,Z68,AE68,AJ68,AO68,AT68)</f>
        <v>13</v>
      </c>
      <c r="J68" s="302">
        <f t="shared" si="68"/>
        <v>1835.5</v>
      </c>
      <c r="K68" s="303">
        <f t="shared" si="68"/>
        <v>141.19230769230771</v>
      </c>
      <c r="L68" s="352"/>
      <c r="M68" s="302">
        <f t="shared" ref="M68:M82" si="69">RANK(K68, $K$67:$K$82)</f>
        <v>2</v>
      </c>
      <c r="N68" s="356"/>
      <c r="O68" s="356"/>
      <c r="P68" s="110">
        <v>13</v>
      </c>
      <c r="Q68" s="110">
        <v>1950.5</v>
      </c>
      <c r="R68" s="182">
        <f t="shared" ref="R68:R76" si="70">Q68/P68</f>
        <v>150.03846153846155</v>
      </c>
      <c r="S68" s="110">
        <f t="shared" ref="S68:S82" si="71">RANK(R68, $R$67:$R$82)</f>
        <v>2</v>
      </c>
      <c r="T68" s="352"/>
      <c r="U68" s="301">
        <v>13</v>
      </c>
      <c r="V68" s="301">
        <v>1822</v>
      </c>
      <c r="W68" s="303">
        <f t="shared" ref="W68:W76" si="72">V68/U68</f>
        <v>140.15384615384616</v>
      </c>
      <c r="X68" s="301">
        <f t="shared" ref="X68:X82" si="73">RANK(W68, $W$67:$W$82)</f>
        <v>2</v>
      </c>
      <c r="Y68" s="352"/>
      <c r="Z68" s="301">
        <v>13</v>
      </c>
      <c r="AA68" s="301">
        <v>1755</v>
      </c>
      <c r="AB68" s="303">
        <f t="shared" ref="AB68:AB76" si="74">AA68/Z68</f>
        <v>135</v>
      </c>
      <c r="AC68" s="301">
        <f t="shared" ref="AC68:AC84" si="75">RANK(AB68, $AB$67:$AB$82)</f>
        <v>2</v>
      </c>
      <c r="AD68" s="352"/>
      <c r="AE68" s="301">
        <v>13</v>
      </c>
      <c r="AF68" s="301">
        <v>1887</v>
      </c>
      <c r="AG68" s="303">
        <f t="shared" ref="AG68:AG76" si="76">AF68/AE68</f>
        <v>145.15384615384616</v>
      </c>
      <c r="AH68" s="301">
        <f t="shared" ref="AH68:AH84" si="77">RANK(AG68, $AG$67:$AG$82)</f>
        <v>2</v>
      </c>
      <c r="AI68" s="352"/>
      <c r="AJ68" s="301">
        <v>13</v>
      </c>
      <c r="AK68" s="301">
        <v>1733</v>
      </c>
      <c r="AL68" s="303">
        <f t="shared" ref="AL68:AL76" si="78">AK68/AJ68</f>
        <v>133.30769230769232</v>
      </c>
      <c r="AM68" s="301">
        <f t="shared" ref="AM68:AM82" si="79">RANK(AL68, $AL$67:$AL$82)</f>
        <v>2</v>
      </c>
      <c r="AN68" s="352"/>
      <c r="AO68" s="301">
        <v>13</v>
      </c>
      <c r="AP68" s="301">
        <v>1889</v>
      </c>
      <c r="AQ68" s="303">
        <f t="shared" ref="AQ68:AQ76" si="80">AP68/AO68</f>
        <v>145.30769230769232</v>
      </c>
      <c r="AR68" s="301">
        <f t="shared" ref="AR68:AR82" si="81">RANK(AQ68, $AQ$67:$AQ$84)</f>
        <v>2</v>
      </c>
      <c r="AS68" s="352"/>
      <c r="AT68" s="301">
        <v>13</v>
      </c>
      <c r="AU68" s="301">
        <v>1812</v>
      </c>
      <c r="AV68" s="303">
        <f t="shared" ref="AV68:AV76" si="82">AU68/AT68</f>
        <v>139.38461538461539</v>
      </c>
      <c r="AW68" s="301">
        <f t="shared" ref="AW68:AW82" si="83">RANK(AV68, $AV$67:$AV$84)</f>
        <v>2</v>
      </c>
      <c r="AX68" s="352"/>
    </row>
    <row r="69" spans="2:50">
      <c r="B69" s="370"/>
      <c r="C69" s="301">
        <v>3</v>
      </c>
      <c r="D69" s="301" t="s">
        <v>111</v>
      </c>
      <c r="E69" s="302">
        <f>VLOOKUP(D69,'0818產線配置圖'!$A$2:$C$18,2,0)</f>
        <v>16</v>
      </c>
      <c r="F69" s="302">
        <f>VLOOKUP(D69,'0818產線配置圖'!$A$2:$C$18,3,0)</f>
        <v>1915</v>
      </c>
      <c r="G69" s="303">
        <f t="shared" si="67"/>
        <v>119.6875</v>
      </c>
      <c r="H69" s="352"/>
      <c r="I69" s="302">
        <f t="shared" si="68"/>
        <v>16</v>
      </c>
      <c r="J69" s="302">
        <f t="shared" si="68"/>
        <v>1469.4285714285713</v>
      </c>
      <c r="K69" s="303">
        <f t="shared" si="68"/>
        <v>91.839285714285708</v>
      </c>
      <c r="L69" s="352"/>
      <c r="M69" s="302">
        <f t="shared" si="69"/>
        <v>5</v>
      </c>
      <c r="N69" s="356"/>
      <c r="O69" s="356"/>
      <c r="P69" s="110">
        <v>16</v>
      </c>
      <c r="Q69" s="110">
        <v>1201</v>
      </c>
      <c r="R69" s="182">
        <f t="shared" si="70"/>
        <v>75.0625</v>
      </c>
      <c r="S69" s="110">
        <f t="shared" si="71"/>
        <v>12</v>
      </c>
      <c r="T69" s="352"/>
      <c r="U69" s="301">
        <v>16</v>
      </c>
      <c r="V69" s="301">
        <v>1747</v>
      </c>
      <c r="W69" s="303">
        <f t="shared" si="72"/>
        <v>109.1875</v>
      </c>
      <c r="X69" s="301">
        <f t="shared" si="73"/>
        <v>4</v>
      </c>
      <c r="Y69" s="352"/>
      <c r="Z69" s="301">
        <v>16</v>
      </c>
      <c r="AA69" s="301">
        <v>1665</v>
      </c>
      <c r="AB69" s="303">
        <f t="shared" si="74"/>
        <v>104.0625</v>
      </c>
      <c r="AC69" s="301">
        <f t="shared" si="75"/>
        <v>5</v>
      </c>
      <c r="AD69" s="352"/>
      <c r="AE69" s="301">
        <v>16</v>
      </c>
      <c r="AF69" s="301">
        <v>869</v>
      </c>
      <c r="AG69" s="303">
        <f t="shared" si="76"/>
        <v>54.3125</v>
      </c>
      <c r="AH69" s="301">
        <f t="shared" si="77"/>
        <v>15</v>
      </c>
      <c r="AI69" s="352"/>
      <c r="AJ69" s="301">
        <v>16</v>
      </c>
      <c r="AK69" s="301">
        <v>1464</v>
      </c>
      <c r="AL69" s="303">
        <f t="shared" si="78"/>
        <v>91.5</v>
      </c>
      <c r="AM69" s="301">
        <f t="shared" si="79"/>
        <v>5</v>
      </c>
      <c r="AN69" s="352"/>
      <c r="AO69" s="301">
        <v>16</v>
      </c>
      <c r="AP69" s="301">
        <v>1802</v>
      </c>
      <c r="AQ69" s="303">
        <f t="shared" si="80"/>
        <v>112.625</v>
      </c>
      <c r="AR69" s="301">
        <f t="shared" si="81"/>
        <v>4</v>
      </c>
      <c r="AS69" s="352"/>
      <c r="AT69" s="301">
        <v>16</v>
      </c>
      <c r="AU69" s="301">
        <v>1538</v>
      </c>
      <c r="AV69" s="303">
        <f t="shared" si="82"/>
        <v>96.125</v>
      </c>
      <c r="AW69" s="301">
        <f t="shared" si="83"/>
        <v>5</v>
      </c>
      <c r="AX69" s="352"/>
    </row>
    <row r="70" spans="2:50">
      <c r="B70" s="370"/>
      <c r="C70" s="301">
        <v>4</v>
      </c>
      <c r="D70" s="301" t="s">
        <v>112</v>
      </c>
      <c r="E70" s="302">
        <f>VLOOKUP(D70,'0818產線配置圖'!$A$2:$C$18,2,0)</f>
        <v>18</v>
      </c>
      <c r="F70" s="302">
        <f>VLOOKUP(D70,'0818產線配置圖'!$A$2:$C$18,3,0)</f>
        <v>1565</v>
      </c>
      <c r="G70" s="303">
        <f t="shared" si="67"/>
        <v>86.944444444444443</v>
      </c>
      <c r="H70" s="352"/>
      <c r="I70" s="302">
        <f t="shared" si="68"/>
        <v>17.857142857142858</v>
      </c>
      <c r="J70" s="302">
        <f t="shared" si="68"/>
        <v>1450.1428571428571</v>
      </c>
      <c r="K70" s="303">
        <f t="shared" si="68"/>
        <v>81.174136321195149</v>
      </c>
      <c r="L70" s="352"/>
      <c r="M70" s="302">
        <f t="shared" si="69"/>
        <v>11</v>
      </c>
      <c r="N70" s="356"/>
      <c r="O70" s="356"/>
      <c r="P70" s="110">
        <v>17</v>
      </c>
      <c r="Q70" s="110">
        <v>1308</v>
      </c>
      <c r="R70" s="182">
        <f t="shared" si="70"/>
        <v>76.941176470588232</v>
      </c>
      <c r="S70" s="110">
        <f t="shared" si="71"/>
        <v>11</v>
      </c>
      <c r="T70" s="352"/>
      <c r="U70" s="301">
        <v>18</v>
      </c>
      <c r="V70" s="301">
        <v>1487</v>
      </c>
      <c r="W70" s="303">
        <f t="shared" si="72"/>
        <v>82.611111111111114</v>
      </c>
      <c r="X70" s="301">
        <f t="shared" si="73"/>
        <v>9</v>
      </c>
      <c r="Y70" s="352"/>
      <c r="Z70" s="301">
        <v>18</v>
      </c>
      <c r="AA70" s="301">
        <v>1546</v>
      </c>
      <c r="AB70" s="303">
        <f t="shared" si="74"/>
        <v>85.888888888888886</v>
      </c>
      <c r="AC70" s="301">
        <f t="shared" si="75"/>
        <v>8</v>
      </c>
      <c r="AD70" s="352"/>
      <c r="AE70" s="301">
        <v>18</v>
      </c>
      <c r="AF70" s="301">
        <v>1471</v>
      </c>
      <c r="AG70" s="303">
        <f t="shared" si="76"/>
        <v>81.722222222222229</v>
      </c>
      <c r="AH70" s="301">
        <f t="shared" si="77"/>
        <v>6</v>
      </c>
      <c r="AI70" s="352"/>
      <c r="AJ70" s="301">
        <v>18</v>
      </c>
      <c r="AK70" s="301">
        <v>1355</v>
      </c>
      <c r="AL70" s="303">
        <f t="shared" si="78"/>
        <v>75.277777777777771</v>
      </c>
      <c r="AM70" s="301">
        <f t="shared" si="79"/>
        <v>12</v>
      </c>
      <c r="AN70" s="352"/>
      <c r="AO70" s="301">
        <v>18</v>
      </c>
      <c r="AP70" s="301">
        <v>1488</v>
      </c>
      <c r="AQ70" s="303">
        <f t="shared" si="80"/>
        <v>82.666666666666671</v>
      </c>
      <c r="AR70" s="301">
        <f t="shared" si="81"/>
        <v>10</v>
      </c>
      <c r="AS70" s="352"/>
      <c r="AT70" s="301">
        <v>18</v>
      </c>
      <c r="AU70" s="301">
        <v>1496</v>
      </c>
      <c r="AV70" s="303">
        <f t="shared" si="82"/>
        <v>83.111111111111114</v>
      </c>
      <c r="AW70" s="301">
        <f t="shared" si="83"/>
        <v>11</v>
      </c>
      <c r="AX70" s="352"/>
    </row>
    <row r="71" spans="2:50">
      <c r="B71" s="370"/>
      <c r="C71" s="301">
        <v>5</v>
      </c>
      <c r="D71" s="301" t="s">
        <v>113</v>
      </c>
      <c r="E71" s="302">
        <f>VLOOKUP(D71,'0818產線配置圖'!$A$2:$C$18,2,0)</f>
        <v>15</v>
      </c>
      <c r="F71" s="302">
        <f>VLOOKUP(D71,'0818產線配置圖'!$A$2:$C$18,3,0)</f>
        <v>1565</v>
      </c>
      <c r="G71" s="303">
        <f t="shared" si="67"/>
        <v>104.33333333333333</v>
      </c>
      <c r="H71" s="352"/>
      <c r="I71" s="302">
        <f t="shared" si="68"/>
        <v>15.285714285714286</v>
      </c>
      <c r="J71" s="302">
        <f t="shared" si="68"/>
        <v>1357.8571428571429</v>
      </c>
      <c r="K71" s="303">
        <f t="shared" si="68"/>
        <v>89.314520808323323</v>
      </c>
      <c r="L71" s="352"/>
      <c r="M71" s="302">
        <f t="shared" si="69"/>
        <v>6</v>
      </c>
      <c r="N71" s="356"/>
      <c r="O71" s="356"/>
      <c r="P71" s="110">
        <v>14</v>
      </c>
      <c r="Q71" s="110">
        <v>1306</v>
      </c>
      <c r="R71" s="182">
        <f t="shared" si="70"/>
        <v>93.285714285714292</v>
      </c>
      <c r="S71" s="110">
        <f t="shared" si="71"/>
        <v>5</v>
      </c>
      <c r="T71" s="352"/>
      <c r="U71" s="301">
        <v>15</v>
      </c>
      <c r="V71" s="301">
        <v>1533</v>
      </c>
      <c r="W71" s="303">
        <f t="shared" si="72"/>
        <v>102.2</v>
      </c>
      <c r="X71" s="301">
        <f t="shared" si="73"/>
        <v>6</v>
      </c>
      <c r="Y71" s="352"/>
      <c r="Z71" s="301">
        <v>15</v>
      </c>
      <c r="AA71" s="301">
        <v>1500</v>
      </c>
      <c r="AB71" s="303">
        <f t="shared" si="74"/>
        <v>100</v>
      </c>
      <c r="AC71" s="301">
        <f t="shared" si="75"/>
        <v>6</v>
      </c>
      <c r="AD71" s="352"/>
      <c r="AE71" s="301">
        <v>17</v>
      </c>
      <c r="AF71" s="301">
        <v>1112</v>
      </c>
      <c r="AG71" s="303">
        <f t="shared" si="76"/>
        <v>65.411764705882348</v>
      </c>
      <c r="AH71" s="301">
        <f t="shared" si="77"/>
        <v>12</v>
      </c>
      <c r="AI71" s="352"/>
      <c r="AJ71" s="301">
        <v>15</v>
      </c>
      <c r="AK71" s="301">
        <v>1342</v>
      </c>
      <c r="AL71" s="303">
        <f t="shared" si="78"/>
        <v>89.466666666666669</v>
      </c>
      <c r="AM71" s="301">
        <f t="shared" si="79"/>
        <v>7</v>
      </c>
      <c r="AN71" s="352"/>
      <c r="AO71" s="301">
        <v>15</v>
      </c>
      <c r="AP71" s="301">
        <v>1281</v>
      </c>
      <c r="AQ71" s="303">
        <f t="shared" si="80"/>
        <v>85.4</v>
      </c>
      <c r="AR71" s="301">
        <f t="shared" si="81"/>
        <v>8</v>
      </c>
      <c r="AS71" s="352"/>
      <c r="AT71" s="301">
        <v>16</v>
      </c>
      <c r="AU71" s="301">
        <v>1431</v>
      </c>
      <c r="AV71" s="303">
        <f t="shared" si="82"/>
        <v>89.4375</v>
      </c>
      <c r="AW71" s="301">
        <f t="shared" si="83"/>
        <v>8</v>
      </c>
      <c r="AX71" s="352"/>
    </row>
    <row r="72" spans="2:50">
      <c r="B72" s="370"/>
      <c r="C72" s="301">
        <v>6</v>
      </c>
      <c r="D72" s="301" t="s">
        <v>124</v>
      </c>
      <c r="E72" s="302">
        <f>VLOOKUP(D72,'0818產線配置圖'!$A$2:$C$18,2,0)</f>
        <v>16</v>
      </c>
      <c r="F72" s="302">
        <f>VLOOKUP(D72,'0818產線配置圖'!$A$2:$C$18,3,0)</f>
        <v>1895</v>
      </c>
      <c r="G72" s="303">
        <f t="shared" si="67"/>
        <v>118.4375</v>
      </c>
      <c r="H72" s="352"/>
      <c r="I72" s="302">
        <f t="shared" si="68"/>
        <v>16</v>
      </c>
      <c r="J72" s="302">
        <f t="shared" si="68"/>
        <v>1742.7142857142858</v>
      </c>
      <c r="K72" s="303">
        <f t="shared" si="68"/>
        <v>108.91964285714286</v>
      </c>
      <c r="L72" s="352"/>
      <c r="M72" s="302">
        <f t="shared" si="69"/>
        <v>4</v>
      </c>
      <c r="N72" s="356"/>
      <c r="O72" s="356"/>
      <c r="P72" s="110">
        <v>16</v>
      </c>
      <c r="Q72" s="110">
        <v>1882</v>
      </c>
      <c r="R72" s="182">
        <f t="shared" si="70"/>
        <v>117.625</v>
      </c>
      <c r="S72" s="110">
        <f t="shared" si="71"/>
        <v>3</v>
      </c>
      <c r="T72" s="352"/>
      <c r="U72" s="301">
        <v>16</v>
      </c>
      <c r="V72" s="301">
        <v>1744</v>
      </c>
      <c r="W72" s="303">
        <f t="shared" si="72"/>
        <v>109</v>
      </c>
      <c r="X72" s="301">
        <f t="shared" si="73"/>
        <v>5</v>
      </c>
      <c r="Y72" s="352"/>
      <c r="Z72" s="301">
        <v>16</v>
      </c>
      <c r="AA72" s="301">
        <v>1668</v>
      </c>
      <c r="AB72" s="303">
        <f t="shared" si="74"/>
        <v>104.25</v>
      </c>
      <c r="AC72" s="301">
        <f t="shared" si="75"/>
        <v>4</v>
      </c>
      <c r="AD72" s="352"/>
      <c r="AE72" s="301">
        <v>16</v>
      </c>
      <c r="AF72" s="301">
        <v>1532</v>
      </c>
      <c r="AG72" s="303">
        <f t="shared" si="76"/>
        <v>95.75</v>
      </c>
      <c r="AH72" s="301">
        <f t="shared" si="77"/>
        <v>4</v>
      </c>
      <c r="AI72" s="352"/>
      <c r="AJ72" s="301">
        <v>16</v>
      </c>
      <c r="AK72" s="301">
        <v>1757</v>
      </c>
      <c r="AL72" s="303">
        <f t="shared" si="78"/>
        <v>109.8125</v>
      </c>
      <c r="AM72" s="301">
        <f t="shared" si="79"/>
        <v>3</v>
      </c>
      <c r="AN72" s="352"/>
      <c r="AO72" s="301">
        <v>16</v>
      </c>
      <c r="AP72" s="301">
        <v>1883</v>
      </c>
      <c r="AQ72" s="303">
        <f t="shared" si="80"/>
        <v>117.6875</v>
      </c>
      <c r="AR72" s="301">
        <f t="shared" si="81"/>
        <v>3</v>
      </c>
      <c r="AS72" s="352"/>
      <c r="AT72" s="301">
        <v>16</v>
      </c>
      <c r="AU72" s="301">
        <v>1733</v>
      </c>
      <c r="AV72" s="303">
        <f t="shared" si="82"/>
        <v>108.3125</v>
      </c>
      <c r="AW72" s="301">
        <f t="shared" si="83"/>
        <v>3</v>
      </c>
      <c r="AX72" s="352"/>
    </row>
    <row r="73" spans="2:50">
      <c r="B73" s="370"/>
      <c r="C73" s="301">
        <v>7</v>
      </c>
      <c r="D73" s="301" t="s">
        <v>115</v>
      </c>
      <c r="E73" s="302">
        <f>VLOOKUP(D73,'0818產線配置圖'!$A$2:$C$18,2,0)</f>
        <v>16</v>
      </c>
      <c r="F73" s="302">
        <f>VLOOKUP(D73,'0818產線配置圖'!$A$2:$C$18,3,0)</f>
        <v>1552</v>
      </c>
      <c r="G73" s="303">
        <f t="shared" si="67"/>
        <v>97</v>
      </c>
      <c r="H73" s="352"/>
      <c r="I73" s="302">
        <f t="shared" si="68"/>
        <v>16.142857142857142</v>
      </c>
      <c r="J73" s="302">
        <f t="shared" si="68"/>
        <v>1400.4285714285713</v>
      </c>
      <c r="K73" s="303">
        <f t="shared" si="68"/>
        <v>86.841468253968259</v>
      </c>
      <c r="L73" s="352"/>
      <c r="M73" s="302">
        <f t="shared" si="69"/>
        <v>8</v>
      </c>
      <c r="N73" s="356"/>
      <c r="O73" s="356"/>
      <c r="P73" s="110">
        <v>16</v>
      </c>
      <c r="Q73" s="110">
        <v>1420</v>
      </c>
      <c r="R73" s="182">
        <f t="shared" si="70"/>
        <v>88.75</v>
      </c>
      <c r="S73" s="110">
        <f t="shared" si="71"/>
        <v>8</v>
      </c>
      <c r="T73" s="352"/>
      <c r="U73" s="301">
        <v>16</v>
      </c>
      <c r="V73" s="301">
        <v>1552</v>
      </c>
      <c r="W73" s="303">
        <f t="shared" si="72"/>
        <v>97</v>
      </c>
      <c r="X73" s="301">
        <f t="shared" si="73"/>
        <v>7</v>
      </c>
      <c r="Y73" s="352"/>
      <c r="Z73" s="301">
        <v>18</v>
      </c>
      <c r="AA73" s="301">
        <v>1421</v>
      </c>
      <c r="AB73" s="303">
        <f t="shared" si="74"/>
        <v>78.944444444444443</v>
      </c>
      <c r="AC73" s="301">
        <f t="shared" si="75"/>
        <v>10</v>
      </c>
      <c r="AD73" s="352"/>
      <c r="AE73" s="301">
        <v>16</v>
      </c>
      <c r="AF73" s="301">
        <v>1305</v>
      </c>
      <c r="AG73" s="303">
        <f t="shared" si="76"/>
        <v>81.5625</v>
      </c>
      <c r="AH73" s="301">
        <f t="shared" si="77"/>
        <v>7</v>
      </c>
      <c r="AI73" s="352"/>
      <c r="AJ73" s="301">
        <v>15</v>
      </c>
      <c r="AK73" s="301">
        <v>1217</v>
      </c>
      <c r="AL73" s="303">
        <f t="shared" si="78"/>
        <v>81.13333333333334</v>
      </c>
      <c r="AM73" s="301">
        <f t="shared" si="79"/>
        <v>9</v>
      </c>
      <c r="AN73" s="352"/>
      <c r="AO73" s="301">
        <v>16</v>
      </c>
      <c r="AP73" s="301">
        <v>1353</v>
      </c>
      <c r="AQ73" s="303">
        <f t="shared" si="80"/>
        <v>84.5625</v>
      </c>
      <c r="AR73" s="301">
        <f t="shared" si="81"/>
        <v>9</v>
      </c>
      <c r="AS73" s="352"/>
      <c r="AT73" s="301">
        <v>16</v>
      </c>
      <c r="AU73" s="301">
        <v>1535</v>
      </c>
      <c r="AV73" s="303">
        <f t="shared" si="82"/>
        <v>95.9375</v>
      </c>
      <c r="AW73" s="301">
        <f t="shared" si="83"/>
        <v>6</v>
      </c>
      <c r="AX73" s="352"/>
    </row>
    <row r="74" spans="2:50">
      <c r="B74" s="370"/>
      <c r="C74" s="301">
        <v>8</v>
      </c>
      <c r="D74" s="301" t="s">
        <v>116</v>
      </c>
      <c r="E74" s="302">
        <f>VLOOKUP(D74,'0818產線配置圖'!$A$2:$C$18,2,0)</f>
        <v>17</v>
      </c>
      <c r="F74" s="302">
        <f>VLOOKUP(D74,'0818產線配置圖'!$A$2:$C$18,3,0)</f>
        <v>1565</v>
      </c>
      <c r="G74" s="303">
        <f t="shared" si="67"/>
        <v>92.058823529411768</v>
      </c>
      <c r="H74" s="352"/>
      <c r="I74" s="302">
        <f t="shared" si="68"/>
        <v>17.142857142857142</v>
      </c>
      <c r="J74" s="302">
        <f t="shared" si="68"/>
        <v>1505.2857142857142</v>
      </c>
      <c r="K74" s="303">
        <f t="shared" si="68"/>
        <v>87.773109243697476</v>
      </c>
      <c r="L74" s="352"/>
      <c r="M74" s="302">
        <f t="shared" si="69"/>
        <v>7</v>
      </c>
      <c r="N74" s="356"/>
      <c r="O74" s="356"/>
      <c r="P74" s="110">
        <v>17</v>
      </c>
      <c r="Q74" s="110">
        <v>1550</v>
      </c>
      <c r="R74" s="182">
        <f t="shared" si="70"/>
        <v>91.17647058823529</v>
      </c>
      <c r="S74" s="110">
        <f t="shared" si="71"/>
        <v>7</v>
      </c>
      <c r="T74" s="352"/>
      <c r="U74" s="301">
        <v>17</v>
      </c>
      <c r="V74" s="301">
        <v>1327</v>
      </c>
      <c r="W74" s="303">
        <f t="shared" si="72"/>
        <v>78.058823529411768</v>
      </c>
      <c r="X74" s="301">
        <f t="shared" si="73"/>
        <v>12</v>
      </c>
      <c r="Y74" s="352"/>
      <c r="Z74" s="301">
        <v>18</v>
      </c>
      <c r="AA74" s="301">
        <v>1656</v>
      </c>
      <c r="AB74" s="303">
        <f t="shared" si="74"/>
        <v>92</v>
      </c>
      <c r="AC74" s="301">
        <f t="shared" si="75"/>
        <v>7</v>
      </c>
      <c r="AD74" s="352"/>
      <c r="AE74" s="301">
        <v>17</v>
      </c>
      <c r="AF74" s="301">
        <v>1437</v>
      </c>
      <c r="AG74" s="303">
        <f t="shared" si="76"/>
        <v>84.529411764705884</v>
      </c>
      <c r="AH74" s="301">
        <f t="shared" si="77"/>
        <v>5</v>
      </c>
      <c r="AI74" s="352"/>
      <c r="AJ74" s="301">
        <v>17</v>
      </c>
      <c r="AK74" s="301">
        <v>1544</v>
      </c>
      <c r="AL74" s="303">
        <f t="shared" si="78"/>
        <v>90.82352941176471</v>
      </c>
      <c r="AM74" s="301">
        <f t="shared" si="79"/>
        <v>6</v>
      </c>
      <c r="AN74" s="352"/>
      <c r="AO74" s="301">
        <v>17</v>
      </c>
      <c r="AP74" s="301">
        <v>1476</v>
      </c>
      <c r="AQ74" s="303">
        <f t="shared" si="80"/>
        <v>86.82352941176471</v>
      </c>
      <c r="AR74" s="301">
        <f t="shared" si="81"/>
        <v>6</v>
      </c>
      <c r="AS74" s="352"/>
      <c r="AT74" s="301">
        <v>17</v>
      </c>
      <c r="AU74" s="301">
        <v>1547</v>
      </c>
      <c r="AV74" s="303">
        <f t="shared" si="82"/>
        <v>91</v>
      </c>
      <c r="AW74" s="301">
        <f t="shared" si="83"/>
        <v>7</v>
      </c>
      <c r="AX74" s="352"/>
    </row>
    <row r="75" spans="2:50">
      <c r="B75" s="370"/>
      <c r="C75" s="301">
        <v>9</v>
      </c>
      <c r="D75" s="301" t="s">
        <v>117</v>
      </c>
      <c r="E75" s="302">
        <f>VLOOKUP(D75,'0818產線配置圖'!$A$2:$C$18,2,0)</f>
        <v>16</v>
      </c>
      <c r="F75" s="302">
        <f>VLOOKUP(D75,'0818產線配置圖'!$A$2:$C$18,3,0)</f>
        <v>1390</v>
      </c>
      <c r="G75" s="303">
        <f t="shared" si="67"/>
        <v>86.875</v>
      </c>
      <c r="H75" s="352"/>
      <c r="I75" s="302">
        <f t="shared" si="68"/>
        <v>14.857142857142858</v>
      </c>
      <c r="J75" s="302">
        <f t="shared" si="68"/>
        <v>949.14285714285711</v>
      </c>
      <c r="K75" s="303">
        <f t="shared" si="68"/>
        <v>63.765136054421767</v>
      </c>
      <c r="L75" s="352"/>
      <c r="M75" s="302">
        <f t="shared" si="69"/>
        <v>16</v>
      </c>
      <c r="N75" s="356"/>
      <c r="O75" s="356"/>
      <c r="P75" s="110">
        <v>14</v>
      </c>
      <c r="Q75" s="110">
        <v>1036</v>
      </c>
      <c r="R75" s="182">
        <f t="shared" si="70"/>
        <v>74</v>
      </c>
      <c r="S75" s="110">
        <f t="shared" si="71"/>
        <v>14</v>
      </c>
      <c r="T75" s="352"/>
      <c r="U75" s="301">
        <v>15</v>
      </c>
      <c r="V75" s="301">
        <v>937</v>
      </c>
      <c r="W75" s="303">
        <f t="shared" si="72"/>
        <v>62.466666666666669</v>
      </c>
      <c r="X75" s="301">
        <f t="shared" si="73"/>
        <v>16</v>
      </c>
      <c r="Y75" s="352"/>
      <c r="Z75" s="301">
        <v>14</v>
      </c>
      <c r="AA75" s="301">
        <v>861</v>
      </c>
      <c r="AB75" s="303">
        <f t="shared" si="74"/>
        <v>61.5</v>
      </c>
      <c r="AC75" s="301">
        <f t="shared" si="75"/>
        <v>16</v>
      </c>
      <c r="AD75" s="352"/>
      <c r="AE75" s="301">
        <v>14</v>
      </c>
      <c r="AF75" s="301">
        <v>773</v>
      </c>
      <c r="AG75" s="303">
        <f t="shared" si="76"/>
        <v>55.214285714285715</v>
      </c>
      <c r="AH75" s="301">
        <f t="shared" si="77"/>
        <v>14</v>
      </c>
      <c r="AI75" s="352"/>
      <c r="AJ75" s="301">
        <v>16</v>
      </c>
      <c r="AK75" s="301">
        <v>1241</v>
      </c>
      <c r="AL75" s="303">
        <f t="shared" si="78"/>
        <v>77.5625</v>
      </c>
      <c r="AM75" s="301">
        <f t="shared" si="79"/>
        <v>10</v>
      </c>
      <c r="AN75" s="352"/>
      <c r="AO75" s="301">
        <v>15</v>
      </c>
      <c r="AP75" s="301">
        <v>807</v>
      </c>
      <c r="AQ75" s="303">
        <f t="shared" si="80"/>
        <v>53.8</v>
      </c>
      <c r="AR75" s="301">
        <f t="shared" si="81"/>
        <v>15</v>
      </c>
      <c r="AS75" s="352"/>
      <c r="AT75" s="301">
        <v>16</v>
      </c>
      <c r="AU75" s="301">
        <v>989</v>
      </c>
      <c r="AV75" s="303">
        <f t="shared" si="82"/>
        <v>61.8125</v>
      </c>
      <c r="AW75" s="301">
        <f t="shared" si="83"/>
        <v>14</v>
      </c>
      <c r="AX75" s="352"/>
    </row>
    <row r="76" spans="2:50">
      <c r="B76" s="370"/>
      <c r="C76" s="301">
        <v>10</v>
      </c>
      <c r="D76" s="301" t="s">
        <v>118</v>
      </c>
      <c r="E76" s="302">
        <f>VLOOKUP(D76,'0818產線配置圖'!$A$2:$C$18,2,0)</f>
        <v>19</v>
      </c>
      <c r="F76" s="302">
        <f>VLOOKUP(D76,'0818產線配置圖'!$A$2:$C$18,3,0)</f>
        <v>1565</v>
      </c>
      <c r="G76" s="303">
        <f t="shared" si="67"/>
        <v>82.368421052631575</v>
      </c>
      <c r="H76" s="352"/>
      <c r="I76" s="302">
        <f t="shared" si="68"/>
        <v>16.857142857142858</v>
      </c>
      <c r="J76" s="302">
        <f t="shared" si="68"/>
        <v>1189.7142857142858</v>
      </c>
      <c r="K76" s="303">
        <f t="shared" si="68"/>
        <v>70.567975084770751</v>
      </c>
      <c r="L76" s="352"/>
      <c r="M76" s="302">
        <f t="shared" si="69"/>
        <v>14</v>
      </c>
      <c r="N76" s="356"/>
      <c r="O76" s="356"/>
      <c r="P76" s="110">
        <v>18</v>
      </c>
      <c r="Q76" s="110">
        <v>1335</v>
      </c>
      <c r="R76" s="182">
        <f t="shared" si="70"/>
        <v>74.166666666666671</v>
      </c>
      <c r="S76" s="110">
        <f t="shared" si="71"/>
        <v>13</v>
      </c>
      <c r="T76" s="352"/>
      <c r="U76" s="301">
        <v>17</v>
      </c>
      <c r="V76" s="301">
        <v>1185</v>
      </c>
      <c r="W76" s="303">
        <f t="shared" si="72"/>
        <v>69.705882352941174</v>
      </c>
      <c r="X76" s="301">
        <f t="shared" si="73"/>
        <v>14</v>
      </c>
      <c r="Y76" s="352"/>
      <c r="Z76" s="301">
        <v>19</v>
      </c>
      <c r="AA76" s="301">
        <v>1283</v>
      </c>
      <c r="AB76" s="303">
        <f t="shared" si="74"/>
        <v>67.526315789473685</v>
      </c>
      <c r="AC76" s="301">
        <f t="shared" si="75"/>
        <v>15</v>
      </c>
      <c r="AD76" s="352"/>
      <c r="AE76" s="301">
        <v>17</v>
      </c>
      <c r="AF76" s="301">
        <v>1211</v>
      </c>
      <c r="AG76" s="303">
        <f t="shared" si="76"/>
        <v>71.235294117647058</v>
      </c>
      <c r="AH76" s="301">
        <f t="shared" si="77"/>
        <v>9</v>
      </c>
      <c r="AI76" s="352"/>
      <c r="AJ76" s="301">
        <v>15</v>
      </c>
      <c r="AK76" s="301">
        <v>1012</v>
      </c>
      <c r="AL76" s="303">
        <f t="shared" si="78"/>
        <v>67.466666666666669</v>
      </c>
      <c r="AM76" s="301">
        <f t="shared" si="79"/>
        <v>15</v>
      </c>
      <c r="AN76" s="352"/>
      <c r="AO76" s="301">
        <v>16</v>
      </c>
      <c r="AP76" s="301">
        <v>1087</v>
      </c>
      <c r="AQ76" s="303">
        <f t="shared" si="80"/>
        <v>67.9375</v>
      </c>
      <c r="AR76" s="301">
        <f t="shared" si="81"/>
        <v>13</v>
      </c>
      <c r="AS76" s="352"/>
      <c r="AT76" s="301">
        <v>16</v>
      </c>
      <c r="AU76" s="301">
        <v>1215</v>
      </c>
      <c r="AV76" s="303">
        <f t="shared" si="82"/>
        <v>75.9375</v>
      </c>
      <c r="AW76" s="301">
        <f t="shared" si="83"/>
        <v>12</v>
      </c>
      <c r="AX76" s="352"/>
    </row>
    <row r="77" spans="2:50">
      <c r="B77" s="370"/>
      <c r="C77" s="301">
        <v>11</v>
      </c>
      <c r="D77" s="301" t="s">
        <v>119</v>
      </c>
      <c r="E77" s="302">
        <f>VLOOKUP(D77,'0818產線配置圖'!$A$2:$C$18,2,0)</f>
        <v>18</v>
      </c>
      <c r="F77" s="302">
        <f>VLOOKUP(D77,'0818產線配置圖'!$A$2:$C$18,3,0)</f>
        <v>1500</v>
      </c>
      <c r="G77" s="303">
        <f t="shared" si="67"/>
        <v>83.333333333333329</v>
      </c>
      <c r="H77" s="352"/>
      <c r="I77" s="302">
        <f t="shared" ref="I77:I80" si="84">AVERAGE(P77,U77,Z77,AE77,AJ77,AO77,AT77)</f>
        <v>16.857142857142858</v>
      </c>
      <c r="J77" s="302">
        <f t="shared" ref="J77:J80" si="85">AVERAGE(Q77,V77,AA77,AF77,AK77,AP77,AU77)</f>
        <v>1140.1428571428571</v>
      </c>
      <c r="K77" s="303">
        <f t="shared" ref="K77:K80" si="86">AVERAGE(R77,W77,AB77,AG77,AL77,AQ77,AV77)</f>
        <v>67.495938375350136</v>
      </c>
      <c r="L77" s="352"/>
      <c r="M77" s="302">
        <f t="shared" si="69"/>
        <v>15</v>
      </c>
      <c r="N77" s="356"/>
      <c r="O77" s="356"/>
      <c r="P77" s="110">
        <v>18</v>
      </c>
      <c r="Q77" s="110">
        <v>1307</v>
      </c>
      <c r="R77" s="182">
        <f>Q77/P77</f>
        <v>72.611111111111114</v>
      </c>
      <c r="S77" s="110">
        <f t="shared" si="71"/>
        <v>15</v>
      </c>
      <c r="T77" s="352"/>
      <c r="U77" s="301">
        <v>18</v>
      </c>
      <c r="V77" s="301">
        <v>1227</v>
      </c>
      <c r="W77" s="303">
        <f>V77/U77</f>
        <v>68.166666666666671</v>
      </c>
      <c r="X77" s="301">
        <f t="shared" si="73"/>
        <v>15</v>
      </c>
      <c r="Y77" s="352"/>
      <c r="Z77" s="301">
        <v>17</v>
      </c>
      <c r="AA77" s="301">
        <v>1166</v>
      </c>
      <c r="AB77" s="303">
        <f>AA77/Z77</f>
        <v>68.588235294117652</v>
      </c>
      <c r="AC77" s="301">
        <f t="shared" si="75"/>
        <v>14</v>
      </c>
      <c r="AD77" s="352"/>
      <c r="AE77" s="301">
        <v>16</v>
      </c>
      <c r="AF77" s="301">
        <v>1103</v>
      </c>
      <c r="AG77" s="303">
        <f>AF77/AE77</f>
        <v>68.9375</v>
      </c>
      <c r="AH77" s="301">
        <f t="shared" si="77"/>
        <v>11</v>
      </c>
      <c r="AI77" s="352"/>
      <c r="AJ77" s="301">
        <v>18</v>
      </c>
      <c r="AK77" s="301">
        <v>1228</v>
      </c>
      <c r="AL77" s="303">
        <f>AK77/AJ77</f>
        <v>68.222222222222229</v>
      </c>
      <c r="AM77" s="301">
        <f t="shared" si="79"/>
        <v>14</v>
      </c>
      <c r="AN77" s="352"/>
      <c r="AO77" s="301">
        <v>15</v>
      </c>
      <c r="AP77" s="301">
        <v>977</v>
      </c>
      <c r="AQ77" s="303">
        <f>AP77/AO77</f>
        <v>65.13333333333334</v>
      </c>
      <c r="AR77" s="301">
        <f t="shared" si="81"/>
        <v>14</v>
      </c>
      <c r="AS77" s="352"/>
      <c r="AT77" s="301">
        <v>16</v>
      </c>
      <c r="AU77" s="301">
        <v>973</v>
      </c>
      <c r="AV77" s="303">
        <f>AU77/AT77</f>
        <v>60.8125</v>
      </c>
      <c r="AW77" s="301">
        <f t="shared" si="83"/>
        <v>15</v>
      </c>
      <c r="AX77" s="352"/>
    </row>
    <row r="78" spans="2:50">
      <c r="B78" s="370"/>
      <c r="C78" s="301">
        <v>12</v>
      </c>
      <c r="D78" s="301" t="s">
        <v>125</v>
      </c>
      <c r="E78" s="302">
        <f>VLOOKUP(D78,'0818產線配置圖'!$A$2:$C$18,2,0)</f>
        <v>18</v>
      </c>
      <c r="F78" s="302">
        <f>VLOOKUP(D78,'0818產線配置圖'!$A$2:$C$18,3,0)</f>
        <v>1714</v>
      </c>
      <c r="G78" s="303">
        <f t="shared" si="67"/>
        <v>95.222222222222229</v>
      </c>
      <c r="H78" s="352"/>
      <c r="I78" s="302">
        <f t="shared" si="84"/>
        <v>16.666666666666668</v>
      </c>
      <c r="J78" s="302">
        <f t="shared" si="85"/>
        <v>1390.6666666666667</v>
      </c>
      <c r="K78" s="303">
        <f t="shared" si="86"/>
        <v>83.097222222222229</v>
      </c>
      <c r="L78" s="352"/>
      <c r="M78" s="302">
        <f t="shared" si="69"/>
        <v>9</v>
      </c>
      <c r="N78" s="356"/>
      <c r="O78" s="356"/>
      <c r="P78" s="110">
        <v>18</v>
      </c>
      <c r="Q78" s="110">
        <v>1650</v>
      </c>
      <c r="R78" s="182">
        <f t="shared" ref="R78:R82" si="87">Q78/P78</f>
        <v>91.666666666666671</v>
      </c>
      <c r="S78" s="110">
        <f t="shared" si="71"/>
        <v>6</v>
      </c>
      <c r="T78" s="352"/>
      <c r="U78" s="301">
        <v>16</v>
      </c>
      <c r="V78" s="301">
        <v>1265</v>
      </c>
      <c r="W78" s="303">
        <f t="shared" ref="W78:W82" si="88">V78/U78</f>
        <v>79.0625</v>
      </c>
      <c r="X78" s="301">
        <f t="shared" si="73"/>
        <v>10</v>
      </c>
      <c r="Y78" s="352"/>
      <c r="Z78" s="301">
        <v>16</v>
      </c>
      <c r="AA78" s="301">
        <v>1257</v>
      </c>
      <c r="AB78" s="303">
        <f t="shared" ref="AB78:AB82" si="89">AA78/Z78</f>
        <v>78.5625</v>
      </c>
      <c r="AC78" s="301">
        <f t="shared" si="75"/>
        <v>11</v>
      </c>
      <c r="AD78" s="352"/>
      <c r="AE78" s="301"/>
      <c r="AF78" s="301"/>
      <c r="AG78" s="303"/>
      <c r="AH78" s="301"/>
      <c r="AI78" s="352"/>
      <c r="AJ78" s="301"/>
      <c r="AK78" s="301"/>
      <c r="AL78" s="303"/>
      <c r="AM78" s="301"/>
      <c r="AN78" s="352"/>
      <c r="AO78" s="301"/>
      <c r="AP78" s="301"/>
      <c r="AQ78" s="303"/>
      <c r="AR78" s="301"/>
      <c r="AS78" s="352"/>
      <c r="AT78" s="301"/>
      <c r="AU78" s="301"/>
      <c r="AV78" s="303"/>
      <c r="AW78" s="301"/>
      <c r="AX78" s="352"/>
    </row>
    <row r="79" spans="2:50">
      <c r="B79" s="370"/>
      <c r="C79" s="301">
        <v>13</v>
      </c>
      <c r="D79" s="301" t="s">
        <v>121</v>
      </c>
      <c r="E79" s="302">
        <f>VLOOKUP(D79,'0818產線配置圖'!$A$2:$C$18,2,0)</f>
        <v>18</v>
      </c>
      <c r="F79" s="302">
        <f>VLOOKUP(D79,'0818產線配置圖'!$A$2:$C$18,3,0)</f>
        <v>1385</v>
      </c>
      <c r="G79" s="303">
        <f t="shared" si="67"/>
        <v>76.944444444444443</v>
      </c>
      <c r="H79" s="352"/>
      <c r="I79" s="302">
        <f t="shared" si="84"/>
        <v>17.428571428571427</v>
      </c>
      <c r="J79" s="302">
        <f t="shared" si="85"/>
        <v>1246.5714285714287</v>
      </c>
      <c r="K79" s="303">
        <f t="shared" si="86"/>
        <v>71.618697478991592</v>
      </c>
      <c r="L79" s="352"/>
      <c r="M79" s="302">
        <f t="shared" si="69"/>
        <v>13</v>
      </c>
      <c r="N79" s="356"/>
      <c r="O79" s="356"/>
      <c r="P79" s="110">
        <v>18</v>
      </c>
      <c r="Q79" s="110">
        <v>1272</v>
      </c>
      <c r="R79" s="182">
        <f t="shared" si="87"/>
        <v>70.666666666666671</v>
      </c>
      <c r="S79" s="110">
        <f t="shared" si="71"/>
        <v>16</v>
      </c>
      <c r="T79" s="352"/>
      <c r="U79" s="301">
        <v>17</v>
      </c>
      <c r="V79" s="301">
        <v>1267</v>
      </c>
      <c r="W79" s="303">
        <f t="shared" si="88"/>
        <v>74.529411764705884</v>
      </c>
      <c r="X79" s="301">
        <f t="shared" si="73"/>
        <v>13</v>
      </c>
      <c r="Y79" s="352"/>
      <c r="Z79" s="301">
        <v>18</v>
      </c>
      <c r="AA79" s="301">
        <v>1311</v>
      </c>
      <c r="AB79" s="303">
        <f t="shared" si="89"/>
        <v>72.833333333333329</v>
      </c>
      <c r="AC79" s="301">
        <f t="shared" si="75"/>
        <v>12</v>
      </c>
      <c r="AD79" s="352"/>
      <c r="AE79" s="301">
        <v>18</v>
      </c>
      <c r="AF79" s="301">
        <v>1117</v>
      </c>
      <c r="AG79" s="303">
        <f t="shared" ref="AG79:AG81" si="90">AF79/AE79</f>
        <v>62.055555555555557</v>
      </c>
      <c r="AH79" s="301">
        <f t="shared" si="77"/>
        <v>13</v>
      </c>
      <c r="AI79" s="352"/>
      <c r="AJ79" s="301">
        <v>18</v>
      </c>
      <c r="AK79" s="301">
        <v>1304</v>
      </c>
      <c r="AL79" s="303">
        <f t="shared" ref="AL79:AL81" si="91">AK79/AJ79</f>
        <v>72.444444444444443</v>
      </c>
      <c r="AM79" s="301">
        <f t="shared" si="79"/>
        <v>13</v>
      </c>
      <c r="AN79" s="352"/>
      <c r="AO79" s="301">
        <v>17</v>
      </c>
      <c r="AP79" s="301">
        <v>1261</v>
      </c>
      <c r="AQ79" s="303">
        <f t="shared" ref="AQ79:AQ81" si="92">AP79/AO79</f>
        <v>74.17647058823529</v>
      </c>
      <c r="AR79" s="301">
        <f t="shared" si="81"/>
        <v>12</v>
      </c>
      <c r="AS79" s="352"/>
      <c r="AT79" s="301">
        <v>16</v>
      </c>
      <c r="AU79" s="301">
        <v>1194</v>
      </c>
      <c r="AV79" s="303">
        <f t="shared" ref="AV79:AV81" si="93">AU79/AT79</f>
        <v>74.625</v>
      </c>
      <c r="AW79" s="301">
        <f t="shared" si="83"/>
        <v>13</v>
      </c>
      <c r="AX79" s="352"/>
    </row>
    <row r="80" spans="2:50">
      <c r="B80" s="370"/>
      <c r="C80" s="301">
        <v>14</v>
      </c>
      <c r="D80" s="301" t="s">
        <v>126</v>
      </c>
      <c r="E80" s="302">
        <f>VLOOKUP(D80,'0818產線配置圖'!$A$2:$C$18,2,0)</f>
        <v>18</v>
      </c>
      <c r="F80" s="302">
        <f>VLOOKUP(D80,'0818產線配置圖'!$A$2:$C$18,3,0)</f>
        <v>1565</v>
      </c>
      <c r="G80" s="303">
        <f t="shared" si="67"/>
        <v>86.944444444444443</v>
      </c>
      <c r="H80" s="352"/>
      <c r="I80" s="302">
        <f t="shared" si="84"/>
        <v>15.142857142857142</v>
      </c>
      <c r="J80" s="302">
        <f t="shared" si="85"/>
        <v>1186.5714285714287</v>
      </c>
      <c r="K80" s="303">
        <f t="shared" si="86"/>
        <v>78.656806953550657</v>
      </c>
      <c r="L80" s="352"/>
      <c r="M80" s="302">
        <f t="shared" si="69"/>
        <v>12</v>
      </c>
      <c r="N80" s="356"/>
      <c r="O80" s="356"/>
      <c r="P80" s="301">
        <v>14</v>
      </c>
      <c r="Q80" s="301">
        <v>1120</v>
      </c>
      <c r="R80" s="301">
        <f t="shared" si="87"/>
        <v>80</v>
      </c>
      <c r="S80" s="110">
        <f t="shared" si="71"/>
        <v>9</v>
      </c>
      <c r="T80" s="352"/>
      <c r="U80" s="301">
        <v>16</v>
      </c>
      <c r="V80" s="301">
        <v>1252</v>
      </c>
      <c r="W80" s="303">
        <f t="shared" si="88"/>
        <v>78.25</v>
      </c>
      <c r="X80" s="301">
        <f t="shared" si="73"/>
        <v>11</v>
      </c>
      <c r="Y80" s="352"/>
      <c r="Z80" s="301">
        <v>16</v>
      </c>
      <c r="AA80" s="301">
        <v>1308</v>
      </c>
      <c r="AB80" s="303">
        <f t="shared" si="89"/>
        <v>81.75</v>
      </c>
      <c r="AC80" s="301">
        <f t="shared" si="75"/>
        <v>9</v>
      </c>
      <c r="AD80" s="352"/>
      <c r="AE80" s="301">
        <v>17</v>
      </c>
      <c r="AF80" s="301">
        <v>1181</v>
      </c>
      <c r="AG80" s="303">
        <f t="shared" si="90"/>
        <v>69.470588235294116</v>
      </c>
      <c r="AH80" s="301">
        <f t="shared" si="77"/>
        <v>10</v>
      </c>
      <c r="AI80" s="352"/>
      <c r="AJ80" s="301">
        <v>14</v>
      </c>
      <c r="AK80" s="301">
        <v>1082</v>
      </c>
      <c r="AL80" s="303">
        <f t="shared" si="91"/>
        <v>77.285714285714292</v>
      </c>
      <c r="AM80" s="301">
        <f t="shared" si="79"/>
        <v>11</v>
      </c>
      <c r="AN80" s="352"/>
      <c r="AO80" s="301">
        <v>16</v>
      </c>
      <c r="AP80" s="301">
        <v>1243</v>
      </c>
      <c r="AQ80" s="303">
        <f t="shared" si="92"/>
        <v>77.6875</v>
      </c>
      <c r="AR80" s="301">
        <f t="shared" si="81"/>
        <v>11</v>
      </c>
      <c r="AS80" s="352"/>
      <c r="AT80" s="301">
        <v>13</v>
      </c>
      <c r="AU80" s="301">
        <v>1120</v>
      </c>
      <c r="AV80" s="303">
        <f t="shared" si="93"/>
        <v>86.15384615384616</v>
      </c>
      <c r="AW80" s="301">
        <f t="shared" si="83"/>
        <v>10</v>
      </c>
      <c r="AX80" s="352"/>
    </row>
    <row r="81" spans="1:50">
      <c r="B81" s="370"/>
      <c r="C81" s="301">
        <v>15</v>
      </c>
      <c r="D81" s="301" t="s">
        <v>127</v>
      </c>
      <c r="E81" s="302">
        <f>VLOOKUP(D81,'0818產線配置圖'!$A$2:$C$18,2,0)</f>
        <v>16</v>
      </c>
      <c r="F81" s="302">
        <f>VLOOKUP(D81,'0818產線配置圖'!$A$2:$C$18,3,0)</f>
        <v>1636</v>
      </c>
      <c r="G81" s="303">
        <f t="shared" ref="G81" si="94">F81/E81</f>
        <v>102.25</v>
      </c>
      <c r="H81" s="352"/>
      <c r="I81" s="302">
        <f t="shared" ref="I81" si="95">AVERAGE(P81,U81,Z81,AE81,AJ81,AO81,AT81)</f>
        <v>14</v>
      </c>
      <c r="J81" s="302">
        <f t="shared" ref="J81" si="96">AVERAGE(Q81,V81,AA81,AF81,AK81,AP81,AU81)</f>
        <v>1612.7142857142858</v>
      </c>
      <c r="K81" s="303">
        <f t="shared" ref="K81" si="97">AVERAGE(R81,W81,AB81,AG81,AL81,AQ81,AV81)</f>
        <v>115.19387755102041</v>
      </c>
      <c r="L81" s="352"/>
      <c r="M81" s="302">
        <f t="shared" si="69"/>
        <v>3</v>
      </c>
      <c r="N81" s="356"/>
      <c r="O81" s="356"/>
      <c r="P81" s="301">
        <v>14</v>
      </c>
      <c r="Q81" s="301">
        <v>2101</v>
      </c>
      <c r="R81" s="182">
        <f t="shared" si="87"/>
        <v>150.07142857142858</v>
      </c>
      <c r="S81" s="110">
        <f t="shared" si="71"/>
        <v>1</v>
      </c>
      <c r="T81" s="352"/>
      <c r="U81" s="301">
        <v>14</v>
      </c>
      <c r="V81" s="301">
        <v>1758</v>
      </c>
      <c r="W81" s="303">
        <f t="shared" si="88"/>
        <v>125.57142857142857</v>
      </c>
      <c r="X81" s="301">
        <f t="shared" si="73"/>
        <v>3</v>
      </c>
      <c r="Y81" s="352"/>
      <c r="Z81" s="301">
        <v>14</v>
      </c>
      <c r="AA81" s="301">
        <v>1726</v>
      </c>
      <c r="AB81" s="303">
        <f t="shared" si="89"/>
        <v>123.28571428571429</v>
      </c>
      <c r="AC81" s="301">
        <f t="shared" si="75"/>
        <v>3</v>
      </c>
      <c r="AD81" s="352"/>
      <c r="AE81" s="301">
        <v>14</v>
      </c>
      <c r="AF81" s="301">
        <v>1492</v>
      </c>
      <c r="AG81" s="303">
        <f t="shared" si="90"/>
        <v>106.57142857142857</v>
      </c>
      <c r="AH81" s="301">
        <f t="shared" si="77"/>
        <v>3</v>
      </c>
      <c r="AI81" s="352"/>
      <c r="AJ81" s="301">
        <v>14</v>
      </c>
      <c r="AK81" s="301">
        <v>1433</v>
      </c>
      <c r="AL81" s="303">
        <f t="shared" si="91"/>
        <v>102.35714285714286</v>
      </c>
      <c r="AM81" s="301">
        <f t="shared" si="79"/>
        <v>4</v>
      </c>
      <c r="AN81" s="352"/>
      <c r="AO81" s="301">
        <v>14</v>
      </c>
      <c r="AP81" s="301">
        <v>1391</v>
      </c>
      <c r="AQ81" s="303">
        <f t="shared" si="92"/>
        <v>99.357142857142861</v>
      </c>
      <c r="AR81" s="301">
        <f t="shared" si="81"/>
        <v>5</v>
      </c>
      <c r="AS81" s="352"/>
      <c r="AT81" s="301">
        <v>14</v>
      </c>
      <c r="AU81" s="301">
        <v>1388</v>
      </c>
      <c r="AV81" s="303">
        <f t="shared" si="93"/>
        <v>99.142857142857139</v>
      </c>
      <c r="AW81" s="301">
        <f t="shared" si="83"/>
        <v>4</v>
      </c>
      <c r="AX81" s="352"/>
    </row>
    <row r="82" spans="1:50">
      <c r="B82" s="370"/>
      <c r="C82" s="301">
        <v>16</v>
      </c>
      <c r="D82" s="301" t="s">
        <v>128</v>
      </c>
      <c r="E82" s="302">
        <f>VLOOKUP(D82,'0818產線配置圖'!$A$2:$C$18,2,0)</f>
        <v>17</v>
      </c>
      <c r="F82" s="302">
        <f>VLOOKUP(D82,'0818產線配置圖'!$A$2:$C$18,3,0)</f>
        <v>1636</v>
      </c>
      <c r="G82" s="303">
        <f t="shared" ref="G82" si="98">F82/E82</f>
        <v>96.235294117647058</v>
      </c>
      <c r="H82" s="352"/>
      <c r="I82" s="302">
        <f t="shared" ref="I82" si="99">AVERAGE(P82,U82,Z82,AE82,AJ82,AO82,AT82)</f>
        <v>16.142857142857142</v>
      </c>
      <c r="J82" s="302">
        <f t="shared" ref="J82" si="100">AVERAGE(Q82,V82,AA82,AF82,AK82,AP82,AU82)</f>
        <v>1339.1428571428571</v>
      </c>
      <c r="K82" s="303">
        <f t="shared" ref="K82" si="101">AVERAGE(R82,W82,AB82,AG82,AL82,AQ82,AV82)</f>
        <v>82.929621848739501</v>
      </c>
      <c r="L82" s="352"/>
      <c r="M82" s="302">
        <f t="shared" si="69"/>
        <v>10</v>
      </c>
      <c r="N82" s="356"/>
      <c r="O82" s="356"/>
      <c r="P82" s="301">
        <v>16</v>
      </c>
      <c r="Q82" s="301">
        <v>1258</v>
      </c>
      <c r="R82" s="182">
        <f t="shared" si="87"/>
        <v>78.625</v>
      </c>
      <c r="S82" s="110">
        <f t="shared" si="71"/>
        <v>10</v>
      </c>
      <c r="T82" s="352"/>
      <c r="U82" s="301">
        <v>17</v>
      </c>
      <c r="V82" s="301">
        <v>1460</v>
      </c>
      <c r="W82" s="303">
        <f t="shared" si="88"/>
        <v>85.882352941176464</v>
      </c>
      <c r="X82" s="301">
        <f t="shared" si="73"/>
        <v>8</v>
      </c>
      <c r="Y82" s="352"/>
      <c r="Z82" s="301">
        <v>16</v>
      </c>
      <c r="AA82" s="301">
        <v>1152</v>
      </c>
      <c r="AB82" s="303">
        <f t="shared" si="89"/>
        <v>72</v>
      </c>
      <c r="AC82" s="301">
        <f t="shared" si="75"/>
        <v>13</v>
      </c>
      <c r="AD82" s="352"/>
      <c r="AE82" s="301">
        <v>16</v>
      </c>
      <c r="AF82" s="301">
        <v>1287</v>
      </c>
      <c r="AG82" s="303">
        <f t="shared" ref="AG82" si="102">AF82/AE82</f>
        <v>80.4375</v>
      </c>
      <c r="AH82" s="301">
        <f t="shared" si="77"/>
        <v>8</v>
      </c>
      <c r="AI82" s="352"/>
      <c r="AJ82" s="301">
        <v>16</v>
      </c>
      <c r="AK82" s="301">
        <v>1420</v>
      </c>
      <c r="AL82" s="303">
        <f t="shared" ref="AL82" si="103">AK82/AJ82</f>
        <v>88.75</v>
      </c>
      <c r="AM82" s="301">
        <f t="shared" si="79"/>
        <v>8</v>
      </c>
      <c r="AN82" s="352"/>
      <c r="AO82" s="301">
        <v>16</v>
      </c>
      <c r="AP82" s="301">
        <v>1382</v>
      </c>
      <c r="AQ82" s="303">
        <f t="shared" ref="AQ82" si="104">AP82/AO82</f>
        <v>86.375</v>
      </c>
      <c r="AR82" s="301">
        <f t="shared" si="81"/>
        <v>7</v>
      </c>
      <c r="AS82" s="352"/>
      <c r="AT82" s="301">
        <v>16</v>
      </c>
      <c r="AU82" s="301">
        <v>1415</v>
      </c>
      <c r="AV82" s="303">
        <f t="shared" ref="AV82" si="105">AU82/AT82</f>
        <v>88.4375</v>
      </c>
      <c r="AW82" s="301">
        <f t="shared" si="83"/>
        <v>9</v>
      </c>
      <c r="AX82" s="352"/>
    </row>
    <row r="83" spans="1:50">
      <c r="B83" s="370"/>
      <c r="C83" s="301">
        <v>17</v>
      </c>
      <c r="D83" s="301"/>
      <c r="E83" s="301"/>
      <c r="F83" s="301"/>
      <c r="G83" s="301"/>
      <c r="H83" s="352"/>
      <c r="I83" s="301"/>
      <c r="J83" s="301"/>
      <c r="K83" s="301"/>
      <c r="L83" s="352"/>
      <c r="M83" s="302"/>
      <c r="N83" s="356"/>
      <c r="O83" s="356"/>
      <c r="P83" s="301"/>
      <c r="Q83" s="301"/>
      <c r="R83" s="301"/>
      <c r="S83" s="301" t="e">
        <f t="shared" ref="S83" si="106">RANK(R83, R$7:R$21)</f>
        <v>#DIV/0!</v>
      </c>
      <c r="T83" s="352"/>
      <c r="U83" s="301"/>
      <c r="V83" s="301"/>
      <c r="W83" s="303"/>
      <c r="X83" s="301" t="e">
        <f t="shared" ref="X83" si="107">RANK(W83, $W$67:$W$81)</f>
        <v>#N/A</v>
      </c>
      <c r="Y83" s="352"/>
      <c r="Z83" s="301"/>
      <c r="AA83" s="301"/>
      <c r="AB83" s="303"/>
      <c r="AC83" s="301" t="e">
        <f t="shared" si="75"/>
        <v>#N/A</v>
      </c>
      <c r="AD83" s="352"/>
      <c r="AE83" s="301"/>
      <c r="AF83" s="301"/>
      <c r="AG83" s="303"/>
      <c r="AH83" s="301" t="e">
        <f t="shared" si="77"/>
        <v>#N/A</v>
      </c>
      <c r="AI83" s="352"/>
      <c r="AJ83" s="301"/>
      <c r="AK83" s="301"/>
      <c r="AL83" s="303"/>
      <c r="AM83" s="301"/>
      <c r="AN83" s="352"/>
      <c r="AO83" s="301"/>
      <c r="AP83" s="301"/>
      <c r="AQ83" s="303"/>
      <c r="AR83" s="301"/>
      <c r="AS83" s="352"/>
      <c r="AT83" s="301"/>
      <c r="AU83" s="301"/>
      <c r="AV83" s="303"/>
      <c r="AW83" s="301"/>
      <c r="AX83" s="352"/>
    </row>
    <row r="84" spans="1:50">
      <c r="B84" s="371"/>
      <c r="C84" s="301">
        <v>18</v>
      </c>
      <c r="D84" s="301"/>
      <c r="E84" s="301"/>
      <c r="F84" s="301"/>
      <c r="G84" s="301"/>
      <c r="H84" s="352"/>
      <c r="I84" s="301"/>
      <c r="J84" s="301"/>
      <c r="K84" s="301"/>
      <c r="L84" s="353"/>
      <c r="M84" s="302"/>
      <c r="N84" s="357"/>
      <c r="O84" s="357"/>
      <c r="P84" s="301"/>
      <c r="Q84" s="301"/>
      <c r="R84" s="301"/>
      <c r="S84" s="301" t="e">
        <f t="shared" ref="S84" si="108">RANK(R84, R$7:R$21)</f>
        <v>#DIV/0!</v>
      </c>
      <c r="T84" s="353"/>
      <c r="U84" s="301"/>
      <c r="V84" s="301"/>
      <c r="W84" s="303"/>
      <c r="X84" s="301" t="e">
        <f t="shared" ref="X84" si="109">RANK(W84, $W$67:$W$81)</f>
        <v>#N/A</v>
      </c>
      <c r="Y84" s="353"/>
      <c r="Z84" s="301"/>
      <c r="AA84" s="301"/>
      <c r="AB84" s="303"/>
      <c r="AC84" s="301" t="e">
        <f t="shared" si="75"/>
        <v>#N/A</v>
      </c>
      <c r="AD84" s="353"/>
      <c r="AE84" s="301"/>
      <c r="AF84" s="301"/>
      <c r="AG84" s="303"/>
      <c r="AH84" s="301" t="e">
        <f t="shared" si="77"/>
        <v>#N/A</v>
      </c>
      <c r="AI84" s="353"/>
      <c r="AJ84" s="301"/>
      <c r="AK84" s="301"/>
      <c r="AL84" s="303"/>
      <c r="AM84" s="301"/>
      <c r="AN84" s="353"/>
      <c r="AO84" s="301"/>
      <c r="AP84" s="301"/>
      <c r="AQ84" s="303"/>
      <c r="AR84" s="301"/>
      <c r="AS84" s="353"/>
      <c r="AT84" s="301"/>
      <c r="AU84" s="301"/>
      <c r="AV84" s="303"/>
      <c r="AW84" s="301"/>
      <c r="AX84" s="353"/>
    </row>
    <row r="85" spans="1:50" ht="15.75">
      <c r="B85" s="365" t="s">
        <v>93</v>
      </c>
      <c r="C85" s="366"/>
      <c r="D85" s="366"/>
      <c r="E85" s="366"/>
      <c r="F85" s="366"/>
      <c r="G85" s="366"/>
      <c r="H85" s="366"/>
      <c r="I85" s="307"/>
      <c r="J85" s="307"/>
      <c r="K85" s="307"/>
      <c r="L85" s="307"/>
      <c r="M85" s="308"/>
      <c r="N85" s="355" t="s">
        <v>94</v>
      </c>
      <c r="O85" s="355" t="s">
        <v>52</v>
      </c>
      <c r="P85" s="368">
        <v>45895</v>
      </c>
      <c r="Q85" s="354"/>
      <c r="R85" s="354"/>
      <c r="S85" s="354"/>
      <c r="T85" s="354"/>
      <c r="U85" s="368">
        <v>45896</v>
      </c>
      <c r="V85" s="354"/>
      <c r="W85" s="354"/>
      <c r="X85" s="354"/>
      <c r="Y85" s="354"/>
      <c r="Z85" s="368">
        <v>45897</v>
      </c>
      <c r="AA85" s="354"/>
      <c r="AB85" s="354"/>
      <c r="AC85" s="354"/>
      <c r="AD85" s="354"/>
      <c r="AE85" s="368">
        <v>45898</v>
      </c>
      <c r="AF85" s="354"/>
      <c r="AG85" s="354"/>
      <c r="AH85" s="354"/>
      <c r="AI85" s="354"/>
      <c r="AJ85" s="368">
        <v>45899</v>
      </c>
      <c r="AK85" s="354"/>
      <c r="AL85" s="354"/>
      <c r="AM85" s="354"/>
      <c r="AN85" s="354"/>
      <c r="AO85" s="368">
        <v>45900</v>
      </c>
      <c r="AP85" s="354"/>
      <c r="AQ85" s="354"/>
      <c r="AR85" s="354"/>
      <c r="AS85" s="354"/>
      <c r="AT85" s="368">
        <v>45901</v>
      </c>
      <c r="AU85" s="354"/>
      <c r="AV85" s="354"/>
      <c r="AW85" s="354"/>
      <c r="AX85" s="354"/>
    </row>
    <row r="86" spans="1:50" ht="15.75">
      <c r="B86" s="367"/>
      <c r="C86" s="367"/>
      <c r="D86" s="367"/>
      <c r="E86" s="367"/>
      <c r="F86" s="367"/>
      <c r="G86" s="367"/>
      <c r="H86" s="367"/>
      <c r="I86" s="297"/>
      <c r="J86" s="297"/>
      <c r="K86" s="297"/>
      <c r="L86" s="297"/>
      <c r="M86" s="298"/>
      <c r="N86" s="357"/>
      <c r="O86" s="357"/>
      <c r="P86" s="368" t="s">
        <v>66</v>
      </c>
      <c r="Q86" s="354"/>
      <c r="R86" s="354"/>
      <c r="S86" s="354"/>
      <c r="T86" s="354"/>
      <c r="U86" s="368" t="s">
        <v>67</v>
      </c>
      <c r="V86" s="354"/>
      <c r="W86" s="354"/>
      <c r="X86" s="354"/>
      <c r="Y86" s="354"/>
      <c r="Z86" s="368" t="s">
        <v>68</v>
      </c>
      <c r="AA86" s="354"/>
      <c r="AB86" s="354"/>
      <c r="AC86" s="354"/>
      <c r="AD86" s="354"/>
      <c r="AE86" s="368" t="s">
        <v>63</v>
      </c>
      <c r="AF86" s="354"/>
      <c r="AG86" s="354"/>
      <c r="AH86" s="354"/>
      <c r="AI86" s="354"/>
      <c r="AJ86" s="368" t="s">
        <v>64</v>
      </c>
      <c r="AK86" s="354"/>
      <c r="AL86" s="354"/>
      <c r="AM86" s="354"/>
      <c r="AN86" s="354"/>
      <c r="AO86" s="368" t="s">
        <v>59</v>
      </c>
      <c r="AP86" s="354"/>
      <c r="AQ86" s="354"/>
      <c r="AR86" s="354"/>
      <c r="AS86" s="354"/>
      <c r="AT86" s="368" t="s">
        <v>65</v>
      </c>
      <c r="AU86" s="354"/>
      <c r="AV86" s="354"/>
      <c r="AW86" s="354"/>
      <c r="AX86" s="354"/>
    </row>
    <row r="87" spans="1:50">
      <c r="B87" s="361" t="s">
        <v>95</v>
      </c>
      <c r="C87" s="361" t="s">
        <v>96</v>
      </c>
      <c r="D87" s="361"/>
      <c r="E87" s="361" t="s">
        <v>97</v>
      </c>
      <c r="F87" s="361"/>
      <c r="G87" s="361"/>
      <c r="H87" s="362" t="s">
        <v>98</v>
      </c>
      <c r="I87" s="361" t="s">
        <v>99</v>
      </c>
      <c r="J87" s="361"/>
      <c r="K87" s="361"/>
      <c r="L87" s="362" t="s">
        <v>98</v>
      </c>
      <c r="M87" s="355" t="s">
        <v>100</v>
      </c>
      <c r="N87" s="355"/>
      <c r="O87" s="355" t="s">
        <v>101</v>
      </c>
      <c r="P87" s="358" t="s">
        <v>102</v>
      </c>
      <c r="Q87" s="359"/>
      <c r="R87" s="359"/>
      <c r="S87" s="360"/>
      <c r="T87" s="361" t="s">
        <v>98</v>
      </c>
      <c r="U87" s="358" t="s">
        <v>102</v>
      </c>
      <c r="V87" s="359"/>
      <c r="W87" s="359"/>
      <c r="X87" s="360"/>
      <c r="Y87" s="361" t="s">
        <v>98</v>
      </c>
      <c r="Z87" s="358" t="s">
        <v>102</v>
      </c>
      <c r="AA87" s="359"/>
      <c r="AB87" s="359"/>
      <c r="AC87" s="360"/>
      <c r="AD87" s="361" t="s">
        <v>98</v>
      </c>
      <c r="AE87" s="358" t="s">
        <v>102</v>
      </c>
      <c r="AF87" s="359"/>
      <c r="AG87" s="359"/>
      <c r="AH87" s="360"/>
      <c r="AI87" s="361" t="s">
        <v>98</v>
      </c>
      <c r="AJ87" s="358" t="s">
        <v>102</v>
      </c>
      <c r="AK87" s="359"/>
      <c r="AL87" s="359"/>
      <c r="AM87" s="360"/>
      <c r="AN87" s="361" t="s">
        <v>98</v>
      </c>
      <c r="AO87" s="358" t="s">
        <v>102</v>
      </c>
      <c r="AP87" s="359"/>
      <c r="AQ87" s="359"/>
      <c r="AR87" s="360"/>
      <c r="AS87" s="361" t="s">
        <v>98</v>
      </c>
      <c r="AT87" s="358" t="s">
        <v>102</v>
      </c>
      <c r="AU87" s="359"/>
      <c r="AV87" s="359"/>
      <c r="AW87" s="360"/>
      <c r="AX87" s="361" t="s">
        <v>98</v>
      </c>
    </row>
    <row r="88" spans="1:50">
      <c r="B88" s="361"/>
      <c r="C88" s="361"/>
      <c r="D88" s="361"/>
      <c r="E88" s="361" t="s">
        <v>103</v>
      </c>
      <c r="F88" s="361"/>
      <c r="G88" s="361"/>
      <c r="H88" s="363"/>
      <c r="I88" s="361" t="s">
        <v>103</v>
      </c>
      <c r="J88" s="361"/>
      <c r="K88" s="361"/>
      <c r="L88" s="363"/>
      <c r="M88" s="356"/>
      <c r="N88" s="356"/>
      <c r="O88" s="356"/>
      <c r="P88" s="358" t="s">
        <v>104</v>
      </c>
      <c r="Q88" s="359"/>
      <c r="R88" s="359"/>
      <c r="S88" s="360"/>
      <c r="T88" s="361"/>
      <c r="U88" s="358" t="s">
        <v>104</v>
      </c>
      <c r="V88" s="359"/>
      <c r="W88" s="359"/>
      <c r="X88" s="360"/>
      <c r="Y88" s="361"/>
      <c r="Z88" s="358" t="s">
        <v>104</v>
      </c>
      <c r="AA88" s="359"/>
      <c r="AB88" s="359"/>
      <c r="AC88" s="360"/>
      <c r="AD88" s="361"/>
      <c r="AE88" s="358" t="s">
        <v>104</v>
      </c>
      <c r="AF88" s="359"/>
      <c r="AG88" s="359"/>
      <c r="AH88" s="360"/>
      <c r="AI88" s="361"/>
      <c r="AJ88" s="358" t="s">
        <v>104</v>
      </c>
      <c r="AK88" s="359"/>
      <c r="AL88" s="359"/>
      <c r="AM88" s="360"/>
      <c r="AN88" s="361"/>
      <c r="AO88" s="358" t="s">
        <v>104</v>
      </c>
      <c r="AP88" s="359"/>
      <c r="AQ88" s="359"/>
      <c r="AR88" s="360"/>
      <c r="AS88" s="361"/>
      <c r="AT88" s="358" t="s">
        <v>104</v>
      </c>
      <c r="AU88" s="359"/>
      <c r="AV88" s="359"/>
      <c r="AW88" s="360"/>
      <c r="AX88" s="361"/>
    </row>
    <row r="89" spans="1:50">
      <c r="B89" s="361"/>
      <c r="C89" s="361"/>
      <c r="D89" s="361"/>
      <c r="E89" s="300" t="s">
        <v>105</v>
      </c>
      <c r="F89" s="300" t="s">
        <v>106</v>
      </c>
      <c r="G89" s="300" t="s">
        <v>107</v>
      </c>
      <c r="H89" s="364"/>
      <c r="I89" s="300" t="s">
        <v>105</v>
      </c>
      <c r="J89" s="300" t="s">
        <v>106</v>
      </c>
      <c r="K89" s="300" t="s">
        <v>107</v>
      </c>
      <c r="L89" s="364"/>
      <c r="M89" s="357"/>
      <c r="N89" s="356"/>
      <c r="O89" s="356"/>
      <c r="P89" s="300" t="s">
        <v>105</v>
      </c>
      <c r="Q89" s="300" t="s">
        <v>106</v>
      </c>
      <c r="R89" s="300" t="s">
        <v>107</v>
      </c>
      <c r="S89" s="300" t="s">
        <v>100</v>
      </c>
      <c r="T89" s="361"/>
      <c r="U89" s="300" t="s">
        <v>105</v>
      </c>
      <c r="V89" s="300" t="s">
        <v>106</v>
      </c>
      <c r="W89" s="300" t="s">
        <v>107</v>
      </c>
      <c r="X89" s="300" t="s">
        <v>100</v>
      </c>
      <c r="Y89" s="361"/>
      <c r="Z89" s="300" t="s">
        <v>105</v>
      </c>
      <c r="AA89" s="300" t="s">
        <v>106</v>
      </c>
      <c r="AB89" s="300" t="s">
        <v>107</v>
      </c>
      <c r="AC89" s="300" t="s">
        <v>100</v>
      </c>
      <c r="AD89" s="361"/>
      <c r="AE89" s="300" t="s">
        <v>105</v>
      </c>
      <c r="AF89" s="300" t="s">
        <v>106</v>
      </c>
      <c r="AG89" s="300" t="s">
        <v>107</v>
      </c>
      <c r="AH89" s="300" t="s">
        <v>100</v>
      </c>
      <c r="AI89" s="361"/>
      <c r="AJ89" s="300" t="s">
        <v>105</v>
      </c>
      <c r="AK89" s="300" t="s">
        <v>106</v>
      </c>
      <c r="AL89" s="300" t="s">
        <v>107</v>
      </c>
      <c r="AM89" s="300" t="s">
        <v>100</v>
      </c>
      <c r="AN89" s="361"/>
      <c r="AO89" s="300" t="s">
        <v>105</v>
      </c>
      <c r="AP89" s="300" t="s">
        <v>106</v>
      </c>
      <c r="AQ89" s="300" t="s">
        <v>107</v>
      </c>
      <c r="AR89" s="300" t="s">
        <v>100</v>
      </c>
      <c r="AS89" s="361"/>
      <c r="AT89" s="300" t="s">
        <v>105</v>
      </c>
      <c r="AU89" s="300" t="s">
        <v>106</v>
      </c>
      <c r="AV89" s="300" t="s">
        <v>107</v>
      </c>
      <c r="AW89" s="300" t="s">
        <v>100</v>
      </c>
      <c r="AX89" s="361"/>
    </row>
    <row r="90" spans="1:50" ht="13.5">
      <c r="B90" s="354" t="s">
        <v>108</v>
      </c>
      <c r="C90" s="301">
        <v>1</v>
      </c>
      <c r="D90" s="306" t="s">
        <v>123</v>
      </c>
      <c r="E90" s="302">
        <f>VLOOKUP(D90,'0818產線配置圖'!$A$2:$C$18,2,0)</f>
        <v>12</v>
      </c>
      <c r="F90" s="302">
        <f>VLOOKUP(D90,'0818產線配置圖'!$A$2:$C$18,3,0)</f>
        <v>2000</v>
      </c>
      <c r="G90" s="303">
        <f>F90/E90</f>
        <v>166.66666666666666</v>
      </c>
      <c r="H90" s="351">
        <f>AVERAGE(G90:G104)</f>
        <v>103.52748582113905</v>
      </c>
      <c r="I90" s="302">
        <f>AVERAGE(P90,U90,Z90,AE90,AJ90,AO90,AT90)</f>
        <v>12</v>
      </c>
      <c r="J90" s="302">
        <f>AVERAGE(Q90,V90,AA90,AF90,AK90,AP90,AU90)</f>
        <v>1876.5714285714287</v>
      </c>
      <c r="K90" s="303">
        <f>AVERAGE(R90,W90,AB90,AG90,AL90,AQ90,AV90)</f>
        <v>156.38095238095238</v>
      </c>
      <c r="L90" s="351">
        <f>IFERROR(AVERAGE(K90:K107),"-")</f>
        <v>97.118801700167253</v>
      </c>
      <c r="M90" s="302">
        <f>RANK(K90, K$90:$K$105)</f>
        <v>1</v>
      </c>
      <c r="N90" s="356"/>
      <c r="O90" s="356"/>
      <c r="P90" s="301">
        <v>12</v>
      </c>
      <c r="Q90" s="301">
        <v>1873</v>
      </c>
      <c r="R90" s="303">
        <f>Q90/P90</f>
        <v>156.08333333333334</v>
      </c>
      <c r="S90" s="301">
        <f>RANK(R90,$R$90:$R$107)</f>
        <v>1</v>
      </c>
      <c r="T90" s="351">
        <f>AVERAGE(R90:R107)</f>
        <v>99.450968660968641</v>
      </c>
      <c r="U90" s="301">
        <v>12</v>
      </c>
      <c r="V90" s="301">
        <v>1876</v>
      </c>
      <c r="W90" s="303">
        <f>V90/U90</f>
        <v>156.33333333333334</v>
      </c>
      <c r="X90" s="301">
        <f>RANK(W90,$W$90:$W$107)</f>
        <v>1</v>
      </c>
      <c r="Y90" s="351">
        <f>AVERAGE(W90:W107)</f>
        <v>99.161398106251056</v>
      </c>
      <c r="Z90" s="301">
        <v>12</v>
      </c>
      <c r="AA90" s="301">
        <v>1843</v>
      </c>
      <c r="AB90" s="303">
        <f>AA90/Z90</f>
        <v>153.58333333333334</v>
      </c>
      <c r="AC90" s="301">
        <f>RANK(AB90, $AB$90:$AB$107)</f>
        <v>1</v>
      </c>
      <c r="AD90" s="351">
        <f>AVERAGE(AB90:AB107)</f>
        <v>97.113675512940219</v>
      </c>
      <c r="AE90" s="301">
        <v>12</v>
      </c>
      <c r="AF90" s="301">
        <v>1938</v>
      </c>
      <c r="AG90" s="303">
        <f>AF90/AE90</f>
        <v>161.5</v>
      </c>
      <c r="AH90" s="301">
        <f>RANK(AG90,$AG$90:$AG$107)</f>
        <v>1</v>
      </c>
      <c r="AI90" s="351">
        <f>AVERAGE(AG90:AG107)</f>
        <v>96.388943355119821</v>
      </c>
      <c r="AJ90" s="301">
        <v>12</v>
      </c>
      <c r="AK90" s="301">
        <v>1852</v>
      </c>
      <c r="AL90" s="303">
        <f>AK90/AJ90</f>
        <v>154.33333333333334</v>
      </c>
      <c r="AM90" s="301">
        <f>RANK(AL90,$AL$90:$AL$107)</f>
        <v>1</v>
      </c>
      <c r="AN90" s="351">
        <f>AVERAGE(AL90:AL107)</f>
        <v>96.273978847949436</v>
      </c>
      <c r="AO90" s="301">
        <v>12</v>
      </c>
      <c r="AP90" s="301">
        <v>1856</v>
      </c>
      <c r="AQ90" s="303">
        <f>AP90/AO90</f>
        <v>154.66666666666666</v>
      </c>
      <c r="AR90" s="301">
        <f>RANK(AQ90,$AQ$90:$AQ$107)</f>
        <v>1</v>
      </c>
      <c r="AS90" s="351">
        <f>AVERAGE(AQ90:AQ107)</f>
        <v>97.742344322344309</v>
      </c>
      <c r="AT90" s="301">
        <v>12</v>
      </c>
      <c r="AU90" s="301">
        <v>1898</v>
      </c>
      <c r="AV90" s="303">
        <f>AU90/AT90</f>
        <v>158.16666666666666</v>
      </c>
      <c r="AW90" s="301">
        <f>RANK(AV90,$AV$90:$AV$107)</f>
        <v>1</v>
      </c>
      <c r="AX90" s="351">
        <f>AVERAGE(AV90:AV107)</f>
        <v>93.700303095597221</v>
      </c>
    </row>
    <row r="91" spans="1:50">
      <c r="B91" s="354"/>
      <c r="C91" s="301">
        <v>2</v>
      </c>
      <c r="D91" s="301" t="s">
        <v>110</v>
      </c>
      <c r="E91" s="302">
        <f>VLOOKUP(D91,'0818產線配置圖'!$A$2:$C$18,2,0)</f>
        <v>13</v>
      </c>
      <c r="F91" s="302">
        <f>VLOOKUP(D91,'0818產線配置圖'!$A$2:$C$18,3,0)</f>
        <v>2000</v>
      </c>
      <c r="G91" s="303">
        <f t="shared" ref="G91:G102" si="110">F91/E91</f>
        <v>153.84615384615384</v>
      </c>
      <c r="H91" s="352"/>
      <c r="I91" s="302">
        <f t="shared" ref="I91:I105" si="111">AVERAGE(P91,U91,Z91,AE91,AJ91,AO91,AT91)</f>
        <v>13</v>
      </c>
      <c r="J91" s="302">
        <f t="shared" ref="J91:J105" si="112">AVERAGE(Q91,V91,AA91,AF91,AK91,AP91,AU91)</f>
        <v>1865.1428571428571</v>
      </c>
      <c r="K91" s="303">
        <f t="shared" ref="K91:K105" si="113">AVERAGE(R91,W91,AB91,AG91,AL91,AQ91,AV91)</f>
        <v>143.47252747252747</v>
      </c>
      <c r="L91" s="352"/>
      <c r="M91" s="302">
        <f>RANK(K91, K$90:$K$105)</f>
        <v>2</v>
      </c>
      <c r="N91" s="356"/>
      <c r="O91" s="356"/>
      <c r="P91" s="301">
        <v>13</v>
      </c>
      <c r="Q91" s="301">
        <v>1920</v>
      </c>
      <c r="R91" s="303">
        <f t="shared" ref="R91:R104" si="114">Q91/P91</f>
        <v>147.69230769230768</v>
      </c>
      <c r="S91" s="301">
        <f t="shared" ref="S91:S107" si="115">RANK(R91,$R$90:$R$107)</f>
        <v>2</v>
      </c>
      <c r="T91" s="352"/>
      <c r="U91" s="301">
        <v>13</v>
      </c>
      <c r="V91" s="301">
        <v>1938</v>
      </c>
      <c r="W91" s="303">
        <f t="shared" ref="W91:W105" si="116">V91/U91</f>
        <v>149.07692307692307</v>
      </c>
      <c r="X91" s="301">
        <f t="shared" ref="X91:X107" si="117">RANK(W91,$W$90:$W$107)</f>
        <v>2</v>
      </c>
      <c r="Y91" s="352"/>
      <c r="Z91" s="301">
        <v>13</v>
      </c>
      <c r="AA91" s="301">
        <v>1704</v>
      </c>
      <c r="AB91" s="303">
        <f t="shared" ref="AB91:AB105" si="118">AA91/Z91</f>
        <v>131.07692307692307</v>
      </c>
      <c r="AC91" s="301">
        <f t="shared" ref="AC91:AC105" si="119">RANK(AB91, $AB$90:$AB$107)</f>
        <v>2</v>
      </c>
      <c r="AD91" s="352"/>
      <c r="AE91" s="301">
        <v>13</v>
      </c>
      <c r="AF91" s="301">
        <v>1940</v>
      </c>
      <c r="AG91" s="303">
        <f t="shared" ref="AG91:AG105" si="120">AF91/AE91</f>
        <v>149.23076923076923</v>
      </c>
      <c r="AH91" s="301">
        <f t="shared" ref="AH91:AH105" si="121">RANK(AG91,$AG$90:$AG$107)</f>
        <v>2</v>
      </c>
      <c r="AI91" s="352"/>
      <c r="AJ91" s="301">
        <v>13</v>
      </c>
      <c r="AK91" s="301">
        <v>1848</v>
      </c>
      <c r="AL91" s="303">
        <f t="shared" ref="AL91:AL105" si="122">AK91/AJ91</f>
        <v>142.15384615384616</v>
      </c>
      <c r="AM91" s="301">
        <f t="shared" ref="AM91:AM105" si="123">RANK(AL91,$AL$90:$AL$107)</f>
        <v>2</v>
      </c>
      <c r="AN91" s="352"/>
      <c r="AO91" s="301">
        <v>13</v>
      </c>
      <c r="AP91" s="301">
        <v>1829</v>
      </c>
      <c r="AQ91" s="303">
        <f t="shared" ref="AQ91:AQ99" si="124">AP91/AO91</f>
        <v>140.69230769230768</v>
      </c>
      <c r="AR91" s="301">
        <f t="shared" ref="AR91:AR105" si="125">RANK(AQ91,$AQ$90:$AQ$107)</f>
        <v>2</v>
      </c>
      <c r="AS91" s="352"/>
      <c r="AT91" s="301">
        <v>13</v>
      </c>
      <c r="AU91" s="301">
        <v>1877</v>
      </c>
      <c r="AV91" s="303">
        <f t="shared" ref="AV91:AV99" si="126">AU91/AT91</f>
        <v>144.38461538461539</v>
      </c>
      <c r="AW91" s="301">
        <f t="shared" ref="AW91:AW105" si="127">RANK(AV91,$AV$90:$AV$107)</f>
        <v>2</v>
      </c>
      <c r="AX91" s="352"/>
    </row>
    <row r="92" spans="1:50">
      <c r="B92" s="354"/>
      <c r="C92" s="301">
        <v>3</v>
      </c>
      <c r="D92" s="301" t="s">
        <v>111</v>
      </c>
      <c r="E92" s="302">
        <f>VLOOKUP(D92,'0818產線配置圖'!$A$2:$C$18,2,0)</f>
        <v>16</v>
      </c>
      <c r="F92" s="302">
        <f>VLOOKUP(D92,'0818產線配置圖'!$A$2:$C$18,3,0)</f>
        <v>1915</v>
      </c>
      <c r="G92" s="303">
        <f t="shared" si="110"/>
        <v>119.6875</v>
      </c>
      <c r="H92" s="352"/>
      <c r="I92" s="302">
        <f t="shared" si="111"/>
        <v>15.428571428571429</v>
      </c>
      <c r="J92" s="302">
        <f t="shared" si="112"/>
        <v>1736.5714285714287</v>
      </c>
      <c r="K92" s="303">
        <f t="shared" si="113"/>
        <v>112.71295787545787</v>
      </c>
      <c r="L92" s="352"/>
      <c r="M92" s="302">
        <f>RANK(K92, K$90:$K$105)</f>
        <v>4</v>
      </c>
      <c r="N92" s="356"/>
      <c r="O92" s="356"/>
      <c r="P92" s="301">
        <v>16</v>
      </c>
      <c r="Q92" s="301">
        <v>1780</v>
      </c>
      <c r="R92" s="303">
        <f t="shared" si="114"/>
        <v>111.25</v>
      </c>
      <c r="S92" s="301">
        <f t="shared" si="115"/>
        <v>5</v>
      </c>
      <c r="T92" s="352"/>
      <c r="U92" s="301">
        <v>16</v>
      </c>
      <c r="V92" s="301">
        <v>1774</v>
      </c>
      <c r="W92" s="303">
        <f t="shared" si="116"/>
        <v>110.875</v>
      </c>
      <c r="X92" s="301">
        <f t="shared" si="117"/>
        <v>4</v>
      </c>
      <c r="Y92" s="352"/>
      <c r="Z92" s="301">
        <v>15</v>
      </c>
      <c r="AA92" s="301">
        <v>1687</v>
      </c>
      <c r="AB92" s="303">
        <f t="shared" si="118"/>
        <v>112.46666666666667</v>
      </c>
      <c r="AC92" s="301">
        <f t="shared" si="119"/>
        <v>5</v>
      </c>
      <c r="AD92" s="352"/>
      <c r="AE92" s="301">
        <v>16</v>
      </c>
      <c r="AF92" s="301">
        <v>1823</v>
      </c>
      <c r="AG92" s="303">
        <f t="shared" si="120"/>
        <v>113.9375</v>
      </c>
      <c r="AH92" s="301">
        <f t="shared" si="121"/>
        <v>4</v>
      </c>
      <c r="AI92" s="352"/>
      <c r="AJ92" s="301">
        <v>13</v>
      </c>
      <c r="AK92" s="301">
        <v>1540</v>
      </c>
      <c r="AL92" s="303">
        <f t="shared" si="122"/>
        <v>118.46153846153847</v>
      </c>
      <c r="AM92" s="301">
        <f t="shared" si="123"/>
        <v>4</v>
      </c>
      <c r="AN92" s="352"/>
      <c r="AO92" s="301">
        <v>16</v>
      </c>
      <c r="AP92" s="301">
        <v>1736</v>
      </c>
      <c r="AQ92" s="303">
        <f t="shared" si="124"/>
        <v>108.5</v>
      </c>
      <c r="AR92" s="301">
        <f t="shared" si="125"/>
        <v>5</v>
      </c>
      <c r="AS92" s="352"/>
      <c r="AT92" s="301">
        <v>16</v>
      </c>
      <c r="AU92" s="301">
        <v>1816</v>
      </c>
      <c r="AV92" s="303">
        <f t="shared" si="126"/>
        <v>113.5</v>
      </c>
      <c r="AW92" s="301">
        <f t="shared" si="127"/>
        <v>3</v>
      </c>
      <c r="AX92" s="352"/>
    </row>
    <row r="93" spans="1:50">
      <c r="A93" s="293">
        <v>18</v>
      </c>
      <c r="B93" s="354"/>
      <c r="C93" s="301">
        <v>4</v>
      </c>
      <c r="D93" s="301" t="s">
        <v>112</v>
      </c>
      <c r="E93" s="302">
        <f>VLOOKUP(D93,'0818產線配置圖'!$A$2:$C$18,2,0)</f>
        <v>18</v>
      </c>
      <c r="F93" s="302">
        <f>VLOOKUP(D93,'0818產線配置圖'!$A$2:$C$18,3,0)</f>
        <v>1565</v>
      </c>
      <c r="G93" s="303">
        <f t="shared" si="110"/>
        <v>86.944444444444443</v>
      </c>
      <c r="H93" s="352"/>
      <c r="I93" s="302">
        <f t="shared" si="111"/>
        <v>17.857142857142858</v>
      </c>
      <c r="J93" s="302">
        <f t="shared" si="112"/>
        <v>1513</v>
      </c>
      <c r="K93" s="303">
        <f t="shared" si="113"/>
        <v>84.729225023342678</v>
      </c>
      <c r="L93" s="352"/>
      <c r="M93" s="302">
        <f>RANK(K93, K$90:$K$105)</f>
        <v>10</v>
      </c>
      <c r="N93" s="356"/>
      <c r="O93" s="356"/>
      <c r="P93" s="301">
        <v>18</v>
      </c>
      <c r="Q93" s="301">
        <v>1556</v>
      </c>
      <c r="R93" s="303">
        <f t="shared" si="114"/>
        <v>86.444444444444443</v>
      </c>
      <c r="S93" s="301">
        <f t="shared" si="115"/>
        <v>8</v>
      </c>
      <c r="T93" s="352"/>
      <c r="U93" s="301">
        <v>18</v>
      </c>
      <c r="V93" s="301">
        <v>1547</v>
      </c>
      <c r="W93" s="303">
        <f t="shared" si="116"/>
        <v>85.944444444444443</v>
      </c>
      <c r="X93" s="301">
        <f t="shared" si="117"/>
        <v>10</v>
      </c>
      <c r="Y93" s="352"/>
      <c r="Z93" s="301">
        <v>18</v>
      </c>
      <c r="AA93" s="301">
        <v>1549</v>
      </c>
      <c r="AB93" s="303">
        <f t="shared" si="118"/>
        <v>86.055555555555557</v>
      </c>
      <c r="AC93" s="301">
        <f t="shared" si="119"/>
        <v>10</v>
      </c>
      <c r="AD93" s="352"/>
      <c r="AE93" s="301">
        <v>18</v>
      </c>
      <c r="AF93" s="301">
        <v>1409</v>
      </c>
      <c r="AG93" s="303">
        <f t="shared" si="120"/>
        <v>78.277777777777771</v>
      </c>
      <c r="AH93" s="301">
        <f t="shared" si="121"/>
        <v>11</v>
      </c>
      <c r="AI93" s="352"/>
      <c r="AJ93" s="301">
        <v>18</v>
      </c>
      <c r="AK93" s="301">
        <v>1524</v>
      </c>
      <c r="AL93" s="303">
        <f t="shared" si="122"/>
        <v>84.666666666666671</v>
      </c>
      <c r="AM93" s="301">
        <f t="shared" si="123"/>
        <v>10</v>
      </c>
      <c r="AN93" s="352"/>
      <c r="AO93" s="301">
        <v>18</v>
      </c>
      <c r="AP93" s="301">
        <v>1563</v>
      </c>
      <c r="AQ93" s="303">
        <f t="shared" si="124"/>
        <v>86.833333333333329</v>
      </c>
      <c r="AR93" s="301">
        <f t="shared" si="125"/>
        <v>9</v>
      </c>
      <c r="AS93" s="352"/>
      <c r="AT93" s="301">
        <v>17</v>
      </c>
      <c r="AU93" s="301">
        <v>1443</v>
      </c>
      <c r="AV93" s="303">
        <f t="shared" si="126"/>
        <v>84.882352941176464</v>
      </c>
      <c r="AW93" s="301">
        <f t="shared" si="127"/>
        <v>10</v>
      </c>
      <c r="AX93" s="352"/>
    </row>
    <row r="94" spans="1:50" ht="13.5">
      <c r="B94" s="354"/>
      <c r="C94" s="301">
        <v>5</v>
      </c>
      <c r="D94" s="306" t="s">
        <v>129</v>
      </c>
      <c r="E94" s="302">
        <f>VLOOKUP(D94,'0818產線配置圖'!$A$2:$C$18,2,0)</f>
        <v>15</v>
      </c>
      <c r="F94" s="302">
        <f>VLOOKUP(D94,'0818產線配置圖'!$A$2:$C$18,3,0)</f>
        <v>1565</v>
      </c>
      <c r="G94" s="303">
        <f t="shared" si="110"/>
        <v>104.33333333333333</v>
      </c>
      <c r="H94" s="352"/>
      <c r="I94" s="302">
        <f t="shared" si="111"/>
        <v>13.857142857142858</v>
      </c>
      <c r="J94" s="302">
        <f t="shared" si="112"/>
        <v>1759.7142857142858</v>
      </c>
      <c r="K94" s="303">
        <f t="shared" si="113"/>
        <v>126.69152276295134</v>
      </c>
      <c r="L94" s="352"/>
      <c r="M94" s="302">
        <f>RANK(K94, K$90:$K$105)</f>
        <v>3</v>
      </c>
      <c r="N94" s="356"/>
      <c r="O94" s="356"/>
      <c r="P94" s="301">
        <v>14</v>
      </c>
      <c r="Q94" s="301">
        <v>1897</v>
      </c>
      <c r="R94" s="303">
        <f t="shared" si="114"/>
        <v>135.5</v>
      </c>
      <c r="S94" s="301">
        <f t="shared" si="115"/>
        <v>3</v>
      </c>
      <c r="T94" s="352"/>
      <c r="U94" s="301">
        <v>14</v>
      </c>
      <c r="V94" s="301">
        <v>1875</v>
      </c>
      <c r="W94" s="303">
        <f t="shared" si="116"/>
        <v>133.92857142857142</v>
      </c>
      <c r="X94" s="301">
        <f t="shared" si="117"/>
        <v>3</v>
      </c>
      <c r="Y94" s="352"/>
      <c r="Z94" s="301">
        <v>14</v>
      </c>
      <c r="AA94" s="301">
        <v>1786</v>
      </c>
      <c r="AB94" s="303">
        <f t="shared" si="118"/>
        <v>127.57142857142857</v>
      </c>
      <c r="AC94" s="301">
        <f t="shared" si="119"/>
        <v>3</v>
      </c>
      <c r="AD94" s="352"/>
      <c r="AE94" s="301">
        <v>14</v>
      </c>
      <c r="AF94" s="301">
        <v>1792</v>
      </c>
      <c r="AG94" s="303">
        <f t="shared" si="120"/>
        <v>128</v>
      </c>
      <c r="AH94" s="301">
        <f t="shared" si="121"/>
        <v>3</v>
      </c>
      <c r="AI94" s="352"/>
      <c r="AJ94" s="301">
        <v>14</v>
      </c>
      <c r="AK94" s="301">
        <v>1801</v>
      </c>
      <c r="AL94" s="303">
        <f t="shared" si="122"/>
        <v>128.64285714285714</v>
      </c>
      <c r="AM94" s="301">
        <f t="shared" si="123"/>
        <v>3</v>
      </c>
      <c r="AN94" s="352"/>
      <c r="AO94" s="301">
        <v>14</v>
      </c>
      <c r="AP94" s="301">
        <v>1896</v>
      </c>
      <c r="AQ94" s="303">
        <f t="shared" si="124"/>
        <v>135.42857142857142</v>
      </c>
      <c r="AR94" s="301">
        <f t="shared" si="125"/>
        <v>3</v>
      </c>
      <c r="AS94" s="352"/>
      <c r="AT94" s="301">
        <v>13</v>
      </c>
      <c r="AU94" s="301">
        <v>1271</v>
      </c>
      <c r="AV94" s="303">
        <f t="shared" si="126"/>
        <v>97.769230769230774</v>
      </c>
      <c r="AW94" s="301">
        <f t="shared" si="127"/>
        <v>5</v>
      </c>
      <c r="AX94" s="352"/>
    </row>
    <row r="95" spans="1:50" ht="13.5">
      <c r="B95" s="354"/>
      <c r="C95" s="301">
        <v>6</v>
      </c>
      <c r="D95" s="306" t="s">
        <v>130</v>
      </c>
      <c r="E95" s="302">
        <f>VLOOKUP(D95,'0818產線配置圖'!$A$2:$C$18,2,0)</f>
        <v>16</v>
      </c>
      <c r="F95" s="302">
        <f>VLOOKUP(D95,'0818產線配置圖'!$A$2:$C$18,3,0)</f>
        <v>1895</v>
      </c>
      <c r="G95" s="303">
        <f t="shared" si="110"/>
        <v>118.4375</v>
      </c>
      <c r="H95" s="352"/>
      <c r="I95" s="302">
        <f t="shared" si="111"/>
        <v>15.714285714285714</v>
      </c>
      <c r="J95" s="302">
        <f t="shared" si="112"/>
        <v>1691</v>
      </c>
      <c r="K95" s="303">
        <f t="shared" si="113"/>
        <v>107.63571428571429</v>
      </c>
      <c r="L95" s="352"/>
      <c r="M95" s="302">
        <f>RANK(K95, K$90:$K$105)</f>
        <v>5</v>
      </c>
      <c r="N95" s="356"/>
      <c r="O95" s="356"/>
      <c r="P95" s="301">
        <v>16</v>
      </c>
      <c r="Q95" s="301">
        <v>1866</v>
      </c>
      <c r="R95" s="303">
        <f t="shared" si="114"/>
        <v>116.625</v>
      </c>
      <c r="S95" s="301">
        <f t="shared" si="115"/>
        <v>4</v>
      </c>
      <c r="T95" s="352"/>
      <c r="U95" s="301">
        <v>16</v>
      </c>
      <c r="V95" s="301">
        <v>1728</v>
      </c>
      <c r="W95" s="303">
        <f t="shared" si="116"/>
        <v>108</v>
      </c>
      <c r="X95" s="301">
        <f t="shared" si="117"/>
        <v>5</v>
      </c>
      <c r="Y95" s="352"/>
      <c r="Z95" s="301">
        <v>15</v>
      </c>
      <c r="AA95" s="301">
        <v>1744</v>
      </c>
      <c r="AB95" s="303">
        <f t="shared" si="118"/>
        <v>116.26666666666667</v>
      </c>
      <c r="AC95" s="301">
        <f t="shared" si="119"/>
        <v>4</v>
      </c>
      <c r="AD95" s="352"/>
      <c r="AE95" s="301">
        <v>16</v>
      </c>
      <c r="AF95" s="301">
        <v>1647</v>
      </c>
      <c r="AG95" s="303">
        <f t="shared" si="120"/>
        <v>102.9375</v>
      </c>
      <c r="AH95" s="301">
        <f t="shared" si="121"/>
        <v>6</v>
      </c>
      <c r="AI95" s="352"/>
      <c r="AJ95" s="301">
        <v>16</v>
      </c>
      <c r="AK95" s="301">
        <v>1555</v>
      </c>
      <c r="AL95" s="303">
        <f t="shared" si="122"/>
        <v>97.1875</v>
      </c>
      <c r="AM95" s="301">
        <f t="shared" si="123"/>
        <v>5</v>
      </c>
      <c r="AN95" s="352"/>
      <c r="AO95" s="301">
        <v>16</v>
      </c>
      <c r="AP95" s="301">
        <v>1768</v>
      </c>
      <c r="AQ95" s="303">
        <f t="shared" si="124"/>
        <v>110.5</v>
      </c>
      <c r="AR95" s="301">
        <f t="shared" si="125"/>
        <v>4</v>
      </c>
      <c r="AS95" s="352"/>
      <c r="AT95" s="301">
        <v>15</v>
      </c>
      <c r="AU95" s="301">
        <v>1529</v>
      </c>
      <c r="AV95" s="303">
        <f t="shared" si="126"/>
        <v>101.93333333333334</v>
      </c>
      <c r="AW95" s="301">
        <f t="shared" si="127"/>
        <v>4</v>
      </c>
      <c r="AX95" s="352"/>
    </row>
    <row r="96" spans="1:50">
      <c r="B96" s="354"/>
      <c r="C96" s="301">
        <v>7</v>
      </c>
      <c r="D96" s="301" t="s">
        <v>115</v>
      </c>
      <c r="E96" s="302">
        <f>VLOOKUP(D96,'0818產線配置圖'!$A$2:$C$18,2,0)</f>
        <v>16</v>
      </c>
      <c r="F96" s="302">
        <f>VLOOKUP(D96,'0818產線配置圖'!$A$2:$C$18,3,0)</f>
        <v>1552</v>
      </c>
      <c r="G96" s="303">
        <f t="shared" si="110"/>
        <v>97</v>
      </c>
      <c r="H96" s="352"/>
      <c r="I96" s="302">
        <f t="shared" si="111"/>
        <v>14.142857142857142</v>
      </c>
      <c r="J96" s="302">
        <f t="shared" si="112"/>
        <v>1297.2857142857142</v>
      </c>
      <c r="K96" s="303">
        <f t="shared" si="113"/>
        <v>91.587205651491345</v>
      </c>
      <c r="L96" s="352"/>
      <c r="M96" s="302">
        <f>RANK(K96, K$90:$K$105)</f>
        <v>7</v>
      </c>
      <c r="N96" s="356"/>
      <c r="O96" s="356"/>
      <c r="P96" s="301">
        <v>15</v>
      </c>
      <c r="Q96" s="301">
        <v>1379</v>
      </c>
      <c r="R96" s="303">
        <f t="shared" si="114"/>
        <v>91.933333333333337</v>
      </c>
      <c r="S96" s="301">
        <f t="shared" si="115"/>
        <v>7</v>
      </c>
      <c r="T96" s="352"/>
      <c r="U96" s="301">
        <v>12</v>
      </c>
      <c r="V96" s="301">
        <v>1053</v>
      </c>
      <c r="W96" s="303">
        <f t="shared" si="116"/>
        <v>87.75</v>
      </c>
      <c r="X96" s="301">
        <f t="shared" si="117"/>
        <v>9</v>
      </c>
      <c r="Y96" s="352"/>
      <c r="Z96" s="301">
        <v>15</v>
      </c>
      <c r="AA96" s="301">
        <v>1443</v>
      </c>
      <c r="AB96" s="303">
        <f t="shared" si="118"/>
        <v>96.2</v>
      </c>
      <c r="AC96" s="301">
        <f t="shared" si="119"/>
        <v>7</v>
      </c>
      <c r="AD96" s="352"/>
      <c r="AE96" s="301">
        <v>15</v>
      </c>
      <c r="AF96" s="301">
        <v>1382</v>
      </c>
      <c r="AG96" s="303">
        <f t="shared" si="120"/>
        <v>92.13333333333334</v>
      </c>
      <c r="AH96" s="301">
        <f t="shared" si="121"/>
        <v>7</v>
      </c>
      <c r="AI96" s="352"/>
      <c r="AJ96" s="301">
        <v>13</v>
      </c>
      <c r="AK96" s="301">
        <v>1155</v>
      </c>
      <c r="AL96" s="303">
        <f t="shared" si="122"/>
        <v>88.84615384615384</v>
      </c>
      <c r="AM96" s="301">
        <f t="shared" si="123"/>
        <v>8</v>
      </c>
      <c r="AN96" s="352"/>
      <c r="AO96" s="301">
        <v>14</v>
      </c>
      <c r="AP96" s="301">
        <v>1326</v>
      </c>
      <c r="AQ96" s="303">
        <f t="shared" si="124"/>
        <v>94.714285714285708</v>
      </c>
      <c r="AR96" s="301">
        <f t="shared" si="125"/>
        <v>7</v>
      </c>
      <c r="AS96" s="352"/>
      <c r="AT96" s="301">
        <v>15</v>
      </c>
      <c r="AU96" s="301">
        <v>1343</v>
      </c>
      <c r="AV96" s="303">
        <f t="shared" si="126"/>
        <v>89.533333333333331</v>
      </c>
      <c r="AW96" s="301">
        <f t="shared" si="127"/>
        <v>6</v>
      </c>
      <c r="AX96" s="352"/>
    </row>
    <row r="97" spans="2:50">
      <c r="B97" s="354"/>
      <c r="C97" s="301">
        <v>8</v>
      </c>
      <c r="D97" s="301" t="s">
        <v>116</v>
      </c>
      <c r="E97" s="302">
        <f>VLOOKUP(D97,'0818產線配置圖'!$A$2:$C$18,2,0)</f>
        <v>17</v>
      </c>
      <c r="F97" s="302">
        <f>VLOOKUP(D97,'0818產線配置圖'!$A$2:$C$18,3,0)</f>
        <v>1565</v>
      </c>
      <c r="G97" s="303">
        <f t="shared" si="110"/>
        <v>92.058823529411768</v>
      </c>
      <c r="H97" s="352"/>
      <c r="I97" s="302">
        <f t="shared" si="111"/>
        <v>15</v>
      </c>
      <c r="J97" s="302">
        <f t="shared" si="112"/>
        <v>1472.2857142857142</v>
      </c>
      <c r="K97" s="303">
        <f t="shared" si="113"/>
        <v>98.080527210884355</v>
      </c>
      <c r="L97" s="352"/>
      <c r="M97" s="302">
        <f>RANK(K97, K$90:$K$105)</f>
        <v>6</v>
      </c>
      <c r="N97" s="356"/>
      <c r="O97" s="356"/>
      <c r="P97" s="301">
        <v>15</v>
      </c>
      <c r="Q97" s="301">
        <v>1544</v>
      </c>
      <c r="R97" s="303">
        <f t="shared" si="114"/>
        <v>102.93333333333334</v>
      </c>
      <c r="S97" s="301">
        <f t="shared" si="115"/>
        <v>6</v>
      </c>
      <c r="T97" s="352"/>
      <c r="U97" s="301">
        <v>16</v>
      </c>
      <c r="V97" s="301">
        <v>1539</v>
      </c>
      <c r="W97" s="303">
        <f t="shared" si="116"/>
        <v>96.1875</v>
      </c>
      <c r="X97" s="301">
        <f t="shared" si="117"/>
        <v>6</v>
      </c>
      <c r="Y97" s="352"/>
      <c r="Z97" s="301">
        <v>15</v>
      </c>
      <c r="AA97" s="301">
        <v>1528</v>
      </c>
      <c r="AB97" s="303">
        <f t="shared" si="118"/>
        <v>101.86666666666666</v>
      </c>
      <c r="AC97" s="301">
        <f t="shared" si="119"/>
        <v>6</v>
      </c>
      <c r="AD97" s="352"/>
      <c r="AE97" s="301">
        <v>15</v>
      </c>
      <c r="AF97" s="301">
        <v>1546</v>
      </c>
      <c r="AG97" s="303">
        <f t="shared" si="120"/>
        <v>103.06666666666666</v>
      </c>
      <c r="AH97" s="301">
        <f t="shared" si="121"/>
        <v>5</v>
      </c>
      <c r="AI97" s="352"/>
      <c r="AJ97" s="301">
        <v>15</v>
      </c>
      <c r="AK97" s="301">
        <v>1347</v>
      </c>
      <c r="AL97" s="303">
        <f t="shared" si="122"/>
        <v>89.8</v>
      </c>
      <c r="AM97" s="301">
        <f t="shared" si="123"/>
        <v>7</v>
      </c>
      <c r="AN97" s="352"/>
      <c r="AO97" s="301">
        <v>15</v>
      </c>
      <c r="AP97" s="301">
        <v>1561</v>
      </c>
      <c r="AQ97" s="303">
        <f t="shared" si="124"/>
        <v>104.06666666666666</v>
      </c>
      <c r="AR97" s="301">
        <f t="shared" si="125"/>
        <v>6</v>
      </c>
      <c r="AS97" s="352"/>
      <c r="AT97" s="301">
        <v>14</v>
      </c>
      <c r="AU97" s="301">
        <v>1241</v>
      </c>
      <c r="AV97" s="303">
        <f t="shared" si="126"/>
        <v>88.642857142857139</v>
      </c>
      <c r="AW97" s="301">
        <f t="shared" si="127"/>
        <v>7</v>
      </c>
      <c r="AX97" s="352"/>
    </row>
    <row r="98" spans="2:50">
      <c r="B98" s="354"/>
      <c r="C98" s="301">
        <v>9</v>
      </c>
      <c r="D98" s="301" t="s">
        <v>117</v>
      </c>
      <c r="E98" s="302">
        <f>VLOOKUP(D98,'0818產線配置圖'!$A$2:$C$18,2,0)</f>
        <v>16</v>
      </c>
      <c r="F98" s="302">
        <f>VLOOKUP(D98,'0818產線配置圖'!$A$2:$C$18,3,0)</f>
        <v>1390</v>
      </c>
      <c r="G98" s="303">
        <f t="shared" si="110"/>
        <v>86.875</v>
      </c>
      <c r="H98" s="352"/>
      <c r="I98" s="302">
        <f t="shared" si="111"/>
        <v>14.428571428571429</v>
      </c>
      <c r="J98" s="302">
        <f t="shared" si="112"/>
        <v>968.42857142857144</v>
      </c>
      <c r="K98" s="303">
        <f t="shared" si="113"/>
        <v>67.360792778649923</v>
      </c>
      <c r="L98" s="352"/>
      <c r="M98" s="302">
        <f>RANK(K98, K$90:$K$105)</f>
        <v>15</v>
      </c>
      <c r="N98" s="356"/>
      <c r="O98" s="356"/>
      <c r="P98" s="301">
        <v>16</v>
      </c>
      <c r="Q98" s="301">
        <v>1306</v>
      </c>
      <c r="R98" s="303">
        <f t="shared" si="114"/>
        <v>81.625</v>
      </c>
      <c r="S98" s="301">
        <f t="shared" si="115"/>
        <v>11</v>
      </c>
      <c r="T98" s="352"/>
      <c r="U98" s="301">
        <v>13</v>
      </c>
      <c r="V98" s="301">
        <v>1018</v>
      </c>
      <c r="W98" s="303">
        <f t="shared" si="116"/>
        <v>78.307692307692307</v>
      </c>
      <c r="X98" s="301">
        <f t="shared" si="117"/>
        <v>12</v>
      </c>
      <c r="Y98" s="352"/>
      <c r="Z98" s="301">
        <v>16</v>
      </c>
      <c r="AA98" s="301">
        <v>928</v>
      </c>
      <c r="AB98" s="303">
        <f t="shared" si="118"/>
        <v>58</v>
      </c>
      <c r="AC98" s="301">
        <f t="shared" si="119"/>
        <v>15</v>
      </c>
      <c r="AD98" s="352"/>
      <c r="AE98" s="301">
        <v>12</v>
      </c>
      <c r="AF98" s="301">
        <v>849</v>
      </c>
      <c r="AG98" s="303">
        <f t="shared" si="120"/>
        <v>70.75</v>
      </c>
      <c r="AH98" s="301">
        <f t="shared" si="121"/>
        <v>12</v>
      </c>
      <c r="AI98" s="352"/>
      <c r="AJ98" s="301">
        <v>15</v>
      </c>
      <c r="AK98" s="301">
        <v>917</v>
      </c>
      <c r="AL98" s="303">
        <f t="shared" si="122"/>
        <v>61.133333333333333</v>
      </c>
      <c r="AM98" s="301">
        <f t="shared" si="123"/>
        <v>15</v>
      </c>
      <c r="AN98" s="352"/>
      <c r="AO98" s="301">
        <v>14</v>
      </c>
      <c r="AP98" s="301">
        <v>905</v>
      </c>
      <c r="AQ98" s="303">
        <f t="shared" si="124"/>
        <v>64.642857142857139</v>
      </c>
      <c r="AR98" s="301">
        <f t="shared" si="125"/>
        <v>15</v>
      </c>
      <c r="AS98" s="352"/>
      <c r="AT98" s="301">
        <v>15</v>
      </c>
      <c r="AU98" s="301">
        <v>856</v>
      </c>
      <c r="AV98" s="303">
        <f t="shared" si="126"/>
        <v>57.06666666666667</v>
      </c>
      <c r="AW98" s="301">
        <f t="shared" si="127"/>
        <v>15</v>
      </c>
      <c r="AX98" s="352"/>
    </row>
    <row r="99" spans="2:50">
      <c r="B99" s="354"/>
      <c r="C99" s="301">
        <v>10</v>
      </c>
      <c r="D99" s="301" t="s">
        <v>118</v>
      </c>
      <c r="E99" s="302">
        <f>VLOOKUP(D99,'0818產線配置圖'!$A$2:$C$18,2,0)</f>
        <v>19</v>
      </c>
      <c r="F99" s="302">
        <f>VLOOKUP(D99,'0818產線配置圖'!$A$2:$C$18,3,0)</f>
        <v>1565</v>
      </c>
      <c r="G99" s="303">
        <f t="shared" si="110"/>
        <v>82.368421052631575</v>
      </c>
      <c r="H99" s="352"/>
      <c r="I99" s="302">
        <f t="shared" si="111"/>
        <v>15.428571428571429</v>
      </c>
      <c r="J99" s="302">
        <f t="shared" si="112"/>
        <v>1108.8571428571429</v>
      </c>
      <c r="K99" s="303">
        <f t="shared" si="113"/>
        <v>71.757142857142853</v>
      </c>
      <c r="L99" s="352"/>
      <c r="M99" s="302">
        <f>RANK(K99, K$90:$K$105)</f>
        <v>13</v>
      </c>
      <c r="N99" s="356"/>
      <c r="O99" s="356"/>
      <c r="P99" s="301">
        <v>18</v>
      </c>
      <c r="Q99" s="301">
        <v>1410</v>
      </c>
      <c r="R99" s="303">
        <f t="shared" si="114"/>
        <v>78.333333333333329</v>
      </c>
      <c r="S99" s="301">
        <f t="shared" si="115"/>
        <v>12</v>
      </c>
      <c r="T99" s="352"/>
      <c r="U99" s="301">
        <v>16</v>
      </c>
      <c r="V99" s="301">
        <v>1164</v>
      </c>
      <c r="W99" s="303">
        <f t="shared" si="116"/>
        <v>72.75</v>
      </c>
      <c r="X99" s="301">
        <f t="shared" si="117"/>
        <v>13</v>
      </c>
      <c r="Y99" s="352"/>
      <c r="Z99" s="301">
        <v>15</v>
      </c>
      <c r="AA99" s="301">
        <v>1134</v>
      </c>
      <c r="AB99" s="303">
        <f t="shared" si="118"/>
        <v>75.599999999999994</v>
      </c>
      <c r="AC99" s="301">
        <f t="shared" si="119"/>
        <v>11</v>
      </c>
      <c r="AD99" s="352"/>
      <c r="AE99" s="301">
        <v>17</v>
      </c>
      <c r="AF99" s="301">
        <v>1088</v>
      </c>
      <c r="AG99" s="303">
        <f t="shared" si="120"/>
        <v>64</v>
      </c>
      <c r="AH99" s="301">
        <f t="shared" si="121"/>
        <v>13</v>
      </c>
      <c r="AI99" s="352"/>
      <c r="AJ99" s="301">
        <v>12</v>
      </c>
      <c r="AK99" s="301">
        <v>833</v>
      </c>
      <c r="AL99" s="303">
        <f t="shared" si="122"/>
        <v>69.416666666666671</v>
      </c>
      <c r="AM99" s="301">
        <f t="shared" si="123"/>
        <v>14</v>
      </c>
      <c r="AN99" s="352"/>
      <c r="AO99" s="301">
        <v>15</v>
      </c>
      <c r="AP99" s="301">
        <v>1062</v>
      </c>
      <c r="AQ99" s="303">
        <f t="shared" si="124"/>
        <v>70.8</v>
      </c>
      <c r="AR99" s="301">
        <f t="shared" si="125"/>
        <v>13</v>
      </c>
      <c r="AS99" s="352"/>
      <c r="AT99" s="301">
        <v>15</v>
      </c>
      <c r="AU99" s="301">
        <v>1071</v>
      </c>
      <c r="AV99" s="303">
        <f t="shared" si="126"/>
        <v>71.400000000000006</v>
      </c>
      <c r="AW99" s="301">
        <f t="shared" si="127"/>
        <v>14</v>
      </c>
      <c r="AX99" s="352"/>
    </row>
    <row r="100" spans="2:50">
      <c r="B100" s="354"/>
      <c r="C100" s="301">
        <v>11</v>
      </c>
      <c r="D100" s="301" t="s">
        <v>119</v>
      </c>
      <c r="E100" s="302">
        <f>VLOOKUP(D100,'0818產線配置圖'!$A$2:$C$18,2,0)</f>
        <v>18</v>
      </c>
      <c r="F100" s="302">
        <f>VLOOKUP(D100,'0818產線配置圖'!$A$2:$C$18,3,0)</f>
        <v>1500</v>
      </c>
      <c r="G100" s="303">
        <f t="shared" si="110"/>
        <v>83.333333333333329</v>
      </c>
      <c r="H100" s="352"/>
      <c r="I100" s="302">
        <f t="shared" si="111"/>
        <v>15.285714285714286</v>
      </c>
      <c r="J100" s="302">
        <f t="shared" si="112"/>
        <v>1073.5714285714287</v>
      </c>
      <c r="K100" s="303">
        <f t="shared" si="113"/>
        <v>70.385317460317452</v>
      </c>
      <c r="L100" s="352"/>
      <c r="M100" s="302">
        <f>RANK(K100, K$90:$K$105)</f>
        <v>14</v>
      </c>
      <c r="N100" s="356"/>
      <c r="O100" s="356"/>
      <c r="P100" s="301">
        <v>15</v>
      </c>
      <c r="Q100" s="301">
        <v>1085</v>
      </c>
      <c r="R100" s="303">
        <f t="shared" si="114"/>
        <v>72.333333333333329</v>
      </c>
      <c r="S100" s="301">
        <f t="shared" si="115"/>
        <v>14</v>
      </c>
      <c r="T100" s="352"/>
      <c r="U100" s="301">
        <v>16</v>
      </c>
      <c r="V100" s="301">
        <v>1100</v>
      </c>
      <c r="W100" s="303">
        <f t="shared" si="116"/>
        <v>68.75</v>
      </c>
      <c r="X100" s="301">
        <f t="shared" si="117"/>
        <v>15</v>
      </c>
      <c r="Y100" s="352"/>
      <c r="Z100" s="301">
        <v>16</v>
      </c>
      <c r="AA100" s="301">
        <v>1082</v>
      </c>
      <c r="AB100" s="303">
        <f t="shared" si="118"/>
        <v>67.625</v>
      </c>
      <c r="AC100" s="301">
        <f t="shared" si="119"/>
        <v>14</v>
      </c>
      <c r="AD100" s="352"/>
      <c r="AE100" s="301">
        <v>15</v>
      </c>
      <c r="AF100" s="301">
        <v>911</v>
      </c>
      <c r="AG100" s="303">
        <f t="shared" si="120"/>
        <v>60.733333333333334</v>
      </c>
      <c r="AH100" s="301">
        <f t="shared" si="121"/>
        <v>14</v>
      </c>
      <c r="AI100" s="352"/>
      <c r="AJ100" s="301">
        <v>12</v>
      </c>
      <c r="AK100" s="301">
        <v>852</v>
      </c>
      <c r="AL100" s="303">
        <f t="shared" si="122"/>
        <v>71</v>
      </c>
      <c r="AM100" s="301">
        <f t="shared" si="123"/>
        <v>13</v>
      </c>
      <c r="AN100" s="352"/>
      <c r="AO100" s="301">
        <v>18</v>
      </c>
      <c r="AP100" s="301">
        <v>1207</v>
      </c>
      <c r="AQ100" s="303">
        <f>AP100/AO100</f>
        <v>67.055555555555557</v>
      </c>
      <c r="AR100" s="301">
        <f t="shared" si="125"/>
        <v>14</v>
      </c>
      <c r="AS100" s="352"/>
      <c r="AT100" s="301">
        <v>15</v>
      </c>
      <c r="AU100" s="301">
        <v>1278</v>
      </c>
      <c r="AV100" s="303">
        <f>AU100/AT100</f>
        <v>85.2</v>
      </c>
      <c r="AW100" s="301">
        <f t="shared" si="127"/>
        <v>9</v>
      </c>
      <c r="AX100" s="352"/>
    </row>
    <row r="101" spans="2:50">
      <c r="B101" s="354"/>
      <c r="C101" s="301">
        <v>12</v>
      </c>
      <c r="D101" s="301" t="s">
        <v>125</v>
      </c>
      <c r="E101" s="302">
        <f>VLOOKUP(D101,'0818產線配置圖'!$A$2:$C$18,2,0)</f>
        <v>18</v>
      </c>
      <c r="F101" s="302">
        <f>VLOOKUP(D101,'0818產線配置圖'!$A$2:$C$18,3,0)</f>
        <v>1714</v>
      </c>
      <c r="G101" s="303">
        <f t="shared" si="110"/>
        <v>95.222222222222229</v>
      </c>
      <c r="H101" s="352"/>
      <c r="I101" s="302"/>
      <c r="J101" s="302"/>
      <c r="K101" s="303"/>
      <c r="L101" s="352"/>
      <c r="M101" s="302"/>
      <c r="N101" s="356"/>
      <c r="O101" s="356"/>
      <c r="P101" s="301"/>
      <c r="Q101" s="301"/>
      <c r="R101" s="303"/>
      <c r="S101" s="301"/>
      <c r="T101" s="352"/>
      <c r="U101" s="301"/>
      <c r="V101" s="301"/>
      <c r="W101" s="303"/>
      <c r="X101" s="301"/>
      <c r="Y101" s="352"/>
      <c r="Z101" s="301"/>
      <c r="AA101" s="301"/>
      <c r="AB101" s="303"/>
      <c r="AC101" s="301"/>
      <c r="AD101" s="352"/>
      <c r="AE101" s="301"/>
      <c r="AF101" s="301"/>
      <c r="AG101" s="303"/>
      <c r="AH101" s="301"/>
      <c r="AI101" s="352"/>
      <c r="AJ101" s="301"/>
      <c r="AK101" s="301"/>
      <c r="AL101" s="303"/>
      <c r="AM101" s="301"/>
      <c r="AN101" s="352"/>
      <c r="AO101" s="301"/>
      <c r="AP101" s="301"/>
      <c r="AQ101" s="303"/>
      <c r="AR101" s="301"/>
      <c r="AS101" s="352"/>
      <c r="AT101" s="301"/>
      <c r="AU101" s="301"/>
      <c r="AV101" s="303"/>
      <c r="AW101" s="301"/>
      <c r="AX101" s="352"/>
    </row>
    <row r="102" spans="2:50">
      <c r="B102" s="354"/>
      <c r="C102" s="301">
        <v>13</v>
      </c>
      <c r="D102" s="301" t="s">
        <v>121</v>
      </c>
      <c r="E102" s="302">
        <f>VLOOKUP(D102,'0818產線配置圖'!$A$2:$C$18,2,0)</f>
        <v>18</v>
      </c>
      <c r="F102" s="302">
        <f>VLOOKUP(D102,'0818產線配置圖'!$A$2:$C$18,3,0)</f>
        <v>1385</v>
      </c>
      <c r="G102" s="303">
        <f t="shared" si="110"/>
        <v>76.944444444444443</v>
      </c>
      <c r="H102" s="352"/>
      <c r="I102" s="302">
        <f t="shared" si="111"/>
        <v>16.714285714285715</v>
      </c>
      <c r="J102" s="302">
        <f t="shared" si="112"/>
        <v>1218.4285714285713</v>
      </c>
      <c r="K102" s="303">
        <f t="shared" si="113"/>
        <v>73.064545818327332</v>
      </c>
      <c r="L102" s="352"/>
      <c r="M102" s="302">
        <f>RANK(K102, K$90:$K$105)</f>
        <v>12</v>
      </c>
      <c r="N102" s="356"/>
      <c r="O102" s="356"/>
      <c r="P102" s="301">
        <v>18</v>
      </c>
      <c r="Q102" s="301">
        <v>1354</v>
      </c>
      <c r="R102" s="303">
        <f t="shared" si="114"/>
        <v>75.222222222222229</v>
      </c>
      <c r="S102" s="301">
        <f t="shared" si="115"/>
        <v>13</v>
      </c>
      <c r="T102" s="352"/>
      <c r="U102" s="301">
        <v>18</v>
      </c>
      <c r="V102" s="301">
        <v>1290</v>
      </c>
      <c r="W102" s="303">
        <f t="shared" si="116"/>
        <v>71.666666666666671</v>
      </c>
      <c r="X102" s="301">
        <f t="shared" si="117"/>
        <v>14</v>
      </c>
      <c r="Y102" s="352"/>
      <c r="Z102" s="301">
        <v>15</v>
      </c>
      <c r="AA102" s="301">
        <v>1081</v>
      </c>
      <c r="AB102" s="303">
        <f t="shared" si="118"/>
        <v>72.066666666666663</v>
      </c>
      <c r="AC102" s="301">
        <f t="shared" si="119"/>
        <v>12</v>
      </c>
      <c r="AD102" s="352"/>
      <c r="AE102" s="301">
        <v>17</v>
      </c>
      <c r="AF102" s="301">
        <v>1030</v>
      </c>
      <c r="AG102" s="303">
        <f t="shared" si="120"/>
        <v>60.588235294117645</v>
      </c>
      <c r="AH102" s="301">
        <f t="shared" si="121"/>
        <v>15</v>
      </c>
      <c r="AI102" s="352"/>
      <c r="AJ102" s="301">
        <v>14</v>
      </c>
      <c r="AK102" s="301">
        <v>1142</v>
      </c>
      <c r="AL102" s="303">
        <f t="shared" si="122"/>
        <v>81.571428571428569</v>
      </c>
      <c r="AM102" s="301">
        <f t="shared" si="123"/>
        <v>11</v>
      </c>
      <c r="AN102" s="352"/>
      <c r="AO102" s="301">
        <v>18</v>
      </c>
      <c r="AP102" s="301">
        <v>1373</v>
      </c>
      <c r="AQ102" s="303">
        <f t="shared" ref="AQ102:AQ105" si="128">AP102/AO102</f>
        <v>76.277777777777771</v>
      </c>
      <c r="AR102" s="301">
        <f t="shared" si="125"/>
        <v>11</v>
      </c>
      <c r="AS102" s="352"/>
      <c r="AT102" s="301">
        <v>17</v>
      </c>
      <c r="AU102" s="301">
        <v>1259</v>
      </c>
      <c r="AV102" s="303">
        <f t="shared" ref="AV102:AV105" si="129">AU102/AT102</f>
        <v>74.058823529411768</v>
      </c>
      <c r="AW102" s="301">
        <f t="shared" si="127"/>
        <v>12</v>
      </c>
      <c r="AX102" s="352"/>
    </row>
    <row r="103" spans="2:50">
      <c r="B103" s="354"/>
      <c r="C103" s="301">
        <v>14</v>
      </c>
      <c r="D103" s="301" t="s">
        <v>126</v>
      </c>
      <c r="E103" s="302">
        <f>VLOOKUP(D103,'0818產線配置圖'!$A$2:$C$18,2,0)</f>
        <v>18</v>
      </c>
      <c r="F103" s="302">
        <f>VLOOKUP(D103,'0818產線配置圖'!$A$2:$C$18,3,0)</f>
        <v>1565</v>
      </c>
      <c r="G103" s="303">
        <f t="shared" ref="G103:G105" si="130">F103/E103</f>
        <v>86.944444444444443</v>
      </c>
      <c r="H103" s="352"/>
      <c r="I103" s="302">
        <f t="shared" si="111"/>
        <v>14.571428571428571</v>
      </c>
      <c r="J103" s="302">
        <f t="shared" si="112"/>
        <v>1143.1428571428571</v>
      </c>
      <c r="K103" s="303">
        <f t="shared" si="113"/>
        <v>78.339575830332137</v>
      </c>
      <c r="L103" s="352"/>
      <c r="M103" s="302">
        <f>RANK(K103, K$90:$K$105)</f>
        <v>11</v>
      </c>
      <c r="N103" s="356"/>
      <c r="O103" s="356"/>
      <c r="P103" s="301">
        <v>15</v>
      </c>
      <c r="Q103" s="301">
        <v>1243</v>
      </c>
      <c r="R103" s="303">
        <f t="shared" si="114"/>
        <v>82.86666666666666</v>
      </c>
      <c r="S103" s="301">
        <f t="shared" si="115"/>
        <v>10</v>
      </c>
      <c r="T103" s="352"/>
      <c r="U103" s="301">
        <v>17</v>
      </c>
      <c r="V103" s="301">
        <v>1386</v>
      </c>
      <c r="W103" s="303">
        <f t="shared" si="116"/>
        <v>81.529411764705884</v>
      </c>
      <c r="X103" s="301">
        <f t="shared" si="117"/>
        <v>11</v>
      </c>
      <c r="Y103" s="352"/>
      <c r="Z103" s="301">
        <v>15</v>
      </c>
      <c r="AA103" s="301">
        <v>1063</v>
      </c>
      <c r="AB103" s="303">
        <f t="shared" si="118"/>
        <v>70.86666666666666</v>
      </c>
      <c r="AC103" s="301">
        <f t="shared" si="119"/>
        <v>13</v>
      </c>
      <c r="AD103" s="352"/>
      <c r="AE103" s="301">
        <v>15</v>
      </c>
      <c r="AF103" s="301">
        <v>1241</v>
      </c>
      <c r="AG103" s="303">
        <f t="shared" si="120"/>
        <v>82.733333333333334</v>
      </c>
      <c r="AH103" s="301">
        <f t="shared" si="121"/>
        <v>10</v>
      </c>
      <c r="AI103" s="352"/>
      <c r="AJ103" s="301">
        <v>14</v>
      </c>
      <c r="AK103" s="301">
        <v>1076</v>
      </c>
      <c r="AL103" s="303">
        <f t="shared" si="122"/>
        <v>76.857142857142861</v>
      </c>
      <c r="AM103" s="301">
        <f t="shared" si="123"/>
        <v>12</v>
      </c>
      <c r="AN103" s="352"/>
      <c r="AO103" s="301">
        <v>14</v>
      </c>
      <c r="AP103" s="301">
        <v>1055</v>
      </c>
      <c r="AQ103" s="303">
        <f t="shared" si="128"/>
        <v>75.357142857142861</v>
      </c>
      <c r="AR103" s="301">
        <f t="shared" si="125"/>
        <v>12</v>
      </c>
      <c r="AS103" s="352"/>
      <c r="AT103" s="301">
        <v>12</v>
      </c>
      <c r="AU103" s="301">
        <v>938</v>
      </c>
      <c r="AV103" s="303">
        <f t="shared" si="129"/>
        <v>78.166666666666671</v>
      </c>
      <c r="AW103" s="301">
        <f t="shared" si="127"/>
        <v>11</v>
      </c>
      <c r="AX103" s="352"/>
    </row>
    <row r="104" spans="2:50">
      <c r="B104" s="354"/>
      <c r="C104" s="301">
        <v>15</v>
      </c>
      <c r="D104" s="301" t="s">
        <v>127</v>
      </c>
      <c r="E104" s="302">
        <f>VLOOKUP(D104,'0818產線配置圖'!$A$2:$C$18,2,0)</f>
        <v>16</v>
      </c>
      <c r="F104" s="302">
        <f>VLOOKUP(D104,'0818產線配置圖'!$A$2:$C$18,3,0)</f>
        <v>1636</v>
      </c>
      <c r="G104" s="303">
        <f t="shared" si="130"/>
        <v>102.25</v>
      </c>
      <c r="H104" s="352"/>
      <c r="I104" s="302">
        <f t="shared" si="111"/>
        <v>14.857142857142858</v>
      </c>
      <c r="J104" s="302">
        <f t="shared" si="112"/>
        <v>1290.8571428571429</v>
      </c>
      <c r="K104" s="303">
        <f t="shared" si="113"/>
        <v>86.879197832979344</v>
      </c>
      <c r="L104" s="352"/>
      <c r="M104" s="302">
        <f>RANK(K104, K$90:$K$105)</f>
        <v>9</v>
      </c>
      <c r="N104" s="356"/>
      <c r="O104" s="356"/>
      <c r="P104" s="301">
        <v>15</v>
      </c>
      <c r="Q104" s="301">
        <v>998</v>
      </c>
      <c r="R104" s="303">
        <f t="shared" si="114"/>
        <v>66.533333333333331</v>
      </c>
      <c r="S104" s="301">
        <f t="shared" si="115"/>
        <v>15</v>
      </c>
      <c r="T104" s="352"/>
      <c r="U104" s="301">
        <v>14</v>
      </c>
      <c r="V104" s="301">
        <v>1345</v>
      </c>
      <c r="W104" s="303">
        <f t="shared" si="116"/>
        <v>96.071428571428569</v>
      </c>
      <c r="X104" s="301">
        <f t="shared" si="117"/>
        <v>7</v>
      </c>
      <c r="Y104" s="352"/>
      <c r="Z104" s="301">
        <v>17</v>
      </c>
      <c r="AA104" s="301">
        <v>1558</v>
      </c>
      <c r="AB104" s="303">
        <f t="shared" si="118"/>
        <v>91.647058823529406</v>
      </c>
      <c r="AC104" s="301">
        <f t="shared" si="119"/>
        <v>9</v>
      </c>
      <c r="AD104" s="352"/>
      <c r="AE104" s="301">
        <v>13</v>
      </c>
      <c r="AF104" s="301">
        <v>1128</v>
      </c>
      <c r="AG104" s="303">
        <f t="shared" si="120"/>
        <v>86.769230769230774</v>
      </c>
      <c r="AH104" s="301">
        <f t="shared" si="121"/>
        <v>9</v>
      </c>
      <c r="AI104" s="352"/>
      <c r="AJ104" s="301">
        <v>15</v>
      </c>
      <c r="AK104" s="301">
        <v>1280</v>
      </c>
      <c r="AL104" s="303">
        <f t="shared" si="122"/>
        <v>85.333333333333329</v>
      </c>
      <c r="AM104" s="301">
        <f t="shared" si="123"/>
        <v>9</v>
      </c>
      <c r="AN104" s="352"/>
      <c r="AO104" s="301">
        <v>15</v>
      </c>
      <c r="AP104" s="301">
        <v>1418</v>
      </c>
      <c r="AQ104" s="303">
        <f t="shared" si="128"/>
        <v>94.533333333333331</v>
      </c>
      <c r="AR104" s="301">
        <f t="shared" si="125"/>
        <v>8</v>
      </c>
      <c r="AS104" s="352"/>
      <c r="AT104" s="301">
        <v>15</v>
      </c>
      <c r="AU104" s="301">
        <v>1309</v>
      </c>
      <c r="AV104" s="303">
        <f t="shared" si="129"/>
        <v>87.266666666666666</v>
      </c>
      <c r="AW104" s="301">
        <f t="shared" si="127"/>
        <v>8</v>
      </c>
      <c r="AX104" s="352"/>
    </row>
    <row r="105" spans="2:50">
      <c r="B105" s="354"/>
      <c r="C105" s="301">
        <v>16</v>
      </c>
      <c r="D105" s="301" t="s">
        <v>128</v>
      </c>
      <c r="E105" s="302">
        <f>VLOOKUP(D105,'0818產線配置圖'!$A$2:$C$18,2,0)</f>
        <v>17</v>
      </c>
      <c r="F105" s="302">
        <f>VLOOKUP(D105,'0818產線配置圖'!$A$2:$C$18,3,0)</f>
        <v>1636</v>
      </c>
      <c r="G105" s="303">
        <f t="shared" si="130"/>
        <v>96.235294117647058</v>
      </c>
      <c r="H105" s="352"/>
      <c r="I105" s="302">
        <f t="shared" si="111"/>
        <v>16.285714285714285</v>
      </c>
      <c r="J105" s="302">
        <f t="shared" si="112"/>
        <v>1432.2857142857142</v>
      </c>
      <c r="K105" s="303">
        <f t="shared" si="113"/>
        <v>87.704820261437916</v>
      </c>
      <c r="L105" s="352"/>
      <c r="M105" s="302">
        <f>RANK(K105, K$90:$K$105)</f>
        <v>8</v>
      </c>
      <c r="N105" s="356"/>
      <c r="O105" s="356"/>
      <c r="P105" s="301">
        <v>18</v>
      </c>
      <c r="Q105" s="301">
        <v>1555</v>
      </c>
      <c r="R105" s="303">
        <f>Q105/P105</f>
        <v>86.388888888888886</v>
      </c>
      <c r="S105" s="301">
        <f t="shared" si="115"/>
        <v>9</v>
      </c>
      <c r="T105" s="352"/>
      <c r="U105" s="301">
        <v>16</v>
      </c>
      <c r="V105" s="301">
        <v>1444</v>
      </c>
      <c r="W105" s="303">
        <f t="shared" si="116"/>
        <v>90.25</v>
      </c>
      <c r="X105" s="301">
        <f t="shared" si="117"/>
        <v>8</v>
      </c>
      <c r="Y105" s="352"/>
      <c r="Z105" s="301">
        <v>16</v>
      </c>
      <c r="AA105" s="301">
        <v>1533</v>
      </c>
      <c r="AB105" s="303">
        <f t="shared" si="118"/>
        <v>95.8125</v>
      </c>
      <c r="AC105" s="301">
        <f t="shared" si="119"/>
        <v>8</v>
      </c>
      <c r="AD105" s="352"/>
      <c r="AE105" s="301">
        <v>17</v>
      </c>
      <c r="AF105" s="301">
        <v>1550</v>
      </c>
      <c r="AG105" s="303">
        <f t="shared" si="120"/>
        <v>91.17647058823529</v>
      </c>
      <c r="AH105" s="301">
        <f t="shared" si="121"/>
        <v>8</v>
      </c>
      <c r="AI105" s="352"/>
      <c r="AJ105" s="301">
        <v>17</v>
      </c>
      <c r="AK105" s="301">
        <v>1610</v>
      </c>
      <c r="AL105" s="303">
        <f t="shared" si="122"/>
        <v>94.705882352941174</v>
      </c>
      <c r="AM105" s="301">
        <f t="shared" si="123"/>
        <v>6</v>
      </c>
      <c r="AN105" s="352"/>
      <c r="AO105" s="301">
        <v>15</v>
      </c>
      <c r="AP105" s="301">
        <v>1231</v>
      </c>
      <c r="AQ105" s="303">
        <f t="shared" si="128"/>
        <v>82.066666666666663</v>
      </c>
      <c r="AR105" s="301">
        <f t="shared" si="125"/>
        <v>10</v>
      </c>
      <c r="AS105" s="352"/>
      <c r="AT105" s="301">
        <v>15</v>
      </c>
      <c r="AU105" s="301">
        <v>1103</v>
      </c>
      <c r="AV105" s="303">
        <f t="shared" si="129"/>
        <v>73.533333333333331</v>
      </c>
      <c r="AW105" s="301">
        <f t="shared" si="127"/>
        <v>13</v>
      </c>
      <c r="AX105" s="352"/>
    </row>
    <row r="106" spans="2:50">
      <c r="B106" s="354"/>
      <c r="C106" s="301">
        <v>17</v>
      </c>
      <c r="D106" s="301"/>
      <c r="E106" s="301"/>
      <c r="F106" s="301"/>
      <c r="G106" s="301"/>
      <c r="H106" s="352"/>
      <c r="I106" s="301"/>
      <c r="J106" s="301"/>
      <c r="K106" s="301"/>
      <c r="L106" s="352"/>
      <c r="M106" s="302"/>
      <c r="N106" s="356"/>
      <c r="O106" s="356"/>
      <c r="P106" s="301"/>
      <c r="Q106" s="301"/>
      <c r="R106" s="301"/>
      <c r="S106" s="301" t="e">
        <f t="shared" si="115"/>
        <v>#N/A</v>
      </c>
      <c r="T106" s="352"/>
      <c r="U106" s="301"/>
      <c r="V106" s="301"/>
      <c r="W106" s="303"/>
      <c r="X106" s="301" t="e">
        <f t="shared" si="117"/>
        <v>#N/A</v>
      </c>
      <c r="Y106" s="352"/>
      <c r="Z106" s="301"/>
      <c r="AA106" s="301"/>
      <c r="AB106" s="303"/>
      <c r="AC106" s="301"/>
      <c r="AD106" s="352"/>
      <c r="AE106" s="301"/>
      <c r="AF106" s="301"/>
      <c r="AG106" s="303"/>
      <c r="AH106" s="301"/>
      <c r="AI106" s="352"/>
      <c r="AJ106" s="301"/>
      <c r="AK106" s="301"/>
      <c r="AL106" s="303"/>
      <c r="AM106" s="301"/>
      <c r="AN106" s="352"/>
      <c r="AO106" s="301"/>
      <c r="AP106" s="301"/>
      <c r="AQ106" s="303"/>
      <c r="AR106" s="301"/>
      <c r="AS106" s="352"/>
      <c r="AT106" s="301"/>
      <c r="AU106" s="301"/>
      <c r="AV106" s="303"/>
      <c r="AW106" s="301"/>
      <c r="AX106" s="352"/>
    </row>
    <row r="107" spans="2:50">
      <c r="B107" s="354"/>
      <c r="C107" s="301">
        <v>18</v>
      </c>
      <c r="D107" s="301"/>
      <c r="E107" s="301"/>
      <c r="F107" s="301"/>
      <c r="G107" s="301"/>
      <c r="H107" s="352"/>
      <c r="I107" s="301"/>
      <c r="J107" s="301"/>
      <c r="K107" s="301"/>
      <c r="L107" s="353"/>
      <c r="M107" s="302"/>
      <c r="N107" s="357"/>
      <c r="O107" s="357"/>
      <c r="P107" s="301"/>
      <c r="Q107" s="301"/>
      <c r="R107" s="301"/>
      <c r="S107" s="301" t="e">
        <f t="shared" si="115"/>
        <v>#N/A</v>
      </c>
      <c r="T107" s="353"/>
      <c r="U107" s="301"/>
      <c r="V107" s="301"/>
      <c r="W107" s="303"/>
      <c r="X107" s="301" t="e">
        <f t="shared" si="117"/>
        <v>#N/A</v>
      </c>
      <c r="Y107" s="353"/>
      <c r="Z107" s="301"/>
      <c r="AA107" s="301"/>
      <c r="AB107" s="303"/>
      <c r="AC107" s="301"/>
      <c r="AD107" s="353"/>
      <c r="AE107" s="301"/>
      <c r="AF107" s="301"/>
      <c r="AG107" s="303"/>
      <c r="AH107" s="301"/>
      <c r="AI107" s="353"/>
      <c r="AJ107" s="301"/>
      <c r="AK107" s="301"/>
      <c r="AL107" s="303"/>
      <c r="AM107" s="301"/>
      <c r="AN107" s="353"/>
      <c r="AO107" s="301"/>
      <c r="AP107" s="301"/>
      <c r="AQ107" s="303"/>
      <c r="AR107" s="301"/>
      <c r="AS107" s="353"/>
      <c r="AT107" s="301"/>
      <c r="AU107" s="301"/>
      <c r="AV107" s="303"/>
      <c r="AW107" s="301"/>
      <c r="AX107" s="353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I64:K64"/>
    <mergeCell ref="L64:L66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B67:B84"/>
    <mergeCell ref="T67:T84"/>
    <mergeCell ref="Y67:Y84"/>
    <mergeCell ref="AD67:AD84"/>
    <mergeCell ref="AS67:AS84"/>
    <mergeCell ref="AN67:AN84"/>
    <mergeCell ref="AI67:AI84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P64:S64"/>
    <mergeCell ref="E64:G64"/>
    <mergeCell ref="H64:H66"/>
    <mergeCell ref="AT85:AX85"/>
    <mergeCell ref="P86:T86"/>
    <mergeCell ref="U86:Y86"/>
    <mergeCell ref="Z86:AD86"/>
    <mergeCell ref="AE86:AI86"/>
    <mergeCell ref="AJ86:AN86"/>
    <mergeCell ref="AO86:AS86"/>
    <mergeCell ref="AT86:AX86"/>
    <mergeCell ref="AO65:AR65"/>
    <mergeCell ref="AT65:AW65"/>
    <mergeCell ref="AN64:AN66"/>
    <mergeCell ref="AO64:AR64"/>
    <mergeCell ref="AS64:AS66"/>
    <mergeCell ref="AT64:AW64"/>
    <mergeCell ref="AX64:AX66"/>
    <mergeCell ref="T64:T66"/>
    <mergeCell ref="U64:X64"/>
    <mergeCell ref="AX67:AX84"/>
    <mergeCell ref="B85:H86"/>
    <mergeCell ref="N85:N86"/>
    <mergeCell ref="O85:O86"/>
    <mergeCell ref="P85:T85"/>
    <mergeCell ref="U85:Y85"/>
    <mergeCell ref="Z85:AD85"/>
    <mergeCell ref="AE85:AI85"/>
    <mergeCell ref="AJ85:AN85"/>
    <mergeCell ref="AO85:AS85"/>
    <mergeCell ref="E88:G88"/>
    <mergeCell ref="I88:K88"/>
    <mergeCell ref="P88:S88"/>
    <mergeCell ref="U88:X88"/>
    <mergeCell ref="AJ87:AM87"/>
    <mergeCell ref="T90:T107"/>
    <mergeCell ref="Y90:Y107"/>
    <mergeCell ref="AD90:AD107"/>
    <mergeCell ref="M87:M89"/>
    <mergeCell ref="H87:H89"/>
    <mergeCell ref="I87:K87"/>
    <mergeCell ref="L87:L89"/>
    <mergeCell ref="AD87:AD89"/>
    <mergeCell ref="AE87:AH87"/>
    <mergeCell ref="AI87:AI89"/>
    <mergeCell ref="AE88:AH88"/>
    <mergeCell ref="Z88:AC88"/>
    <mergeCell ref="Y87:Y89"/>
    <mergeCell ref="Z87:AC87"/>
    <mergeCell ref="P87:S87"/>
    <mergeCell ref="T87:T89"/>
    <mergeCell ref="U87:X87"/>
    <mergeCell ref="AX90:AX107"/>
    <mergeCell ref="AS90:AS107"/>
    <mergeCell ref="AN90:AN107"/>
    <mergeCell ref="AI90:AI107"/>
    <mergeCell ref="B90:B107"/>
    <mergeCell ref="H67:H84"/>
    <mergeCell ref="H90:H107"/>
    <mergeCell ref="L67:L84"/>
    <mergeCell ref="L90:L107"/>
    <mergeCell ref="N64:N84"/>
    <mergeCell ref="O64:O84"/>
    <mergeCell ref="N87:N107"/>
    <mergeCell ref="O87:O107"/>
    <mergeCell ref="AO88:AR88"/>
    <mergeCell ref="AT88:AW88"/>
    <mergeCell ref="AO87:AR87"/>
    <mergeCell ref="AS87:AS89"/>
    <mergeCell ref="AT87:AW87"/>
    <mergeCell ref="AX87:AX89"/>
    <mergeCell ref="AJ88:AM88"/>
    <mergeCell ref="B87:B89"/>
    <mergeCell ref="C87:D89"/>
    <mergeCell ref="E87:G87"/>
    <mergeCell ref="AN87:AN89"/>
  </mergeCells>
  <phoneticPr fontId="16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'C:\Users\CHENG191\AppData\Local\Microsoft\Windows\INetCache\Content.Outlook\V6WXUMHR\[長家廠生產管理報表(8月).xlsx]0818產線配置圖'!#REF!</xm:f>
          </x14:formula1>
          <xm:sqref>D61</xm:sqref>
        </x14:dataValidation>
        <x14:dataValidation type="list" allowBlank="1" showInputMessage="1" showErrorMessage="1" xr:uid="{00000000-0002-0000-0600-000001000000}">
          <x14:formula1>
            <xm:f>'C:\Users\CHENG191\AppData\Local\Microsoft\Windows\INetCache\Content.Outlook\V6WXUMHR\[長家廠生產管理報表(8月).xlsx]0805產線配置圖'!#REF!</xm:f>
          </x14:formula1>
          <xm:sqref>D27:D41 D47:D60</xm:sqref>
        </x14:dataValidation>
        <x14:dataValidation type="list" allowBlank="1" showInputMessage="1" showErrorMessage="1" xr:uid="{00000000-0002-0000-0600-000002000000}">
          <x14:formula1>
            <xm:f>'C:\Users\CHENG191\AppData\Local\Microsoft\Windows\INetCache\Content.Outlook\V6WXUMHR\[長家廠生產管理報表(8月).xlsx]0801-0804產線配置圖'!#REF!</xm:f>
          </x14:formula1>
          <xm:sqref>D7:D21</xm:sqref>
        </x14:dataValidation>
        <x14:dataValidation type="list" allowBlank="1" showInputMessage="1" showErrorMessage="1" xr:uid="{00000000-0002-0000-0600-000003000000}">
          <x14:formula1>
            <xm:f>'0818產線配置圖'!$A$2:$A$18</xm:f>
          </x14:formula1>
          <xm:sqref>D67:D84 D90:D107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01"/>
  <sheetViews>
    <sheetView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8"/>
      <c r="B1" s="226" t="s">
        <v>131</v>
      </c>
      <c r="C1" s="107" t="e">
        <f>AVERAGE(L7,L27,L47,L67,L87)</f>
        <v>#DIV/0!</v>
      </c>
    </row>
    <row r="2" spans="1:50" ht="15.75">
      <c r="A2" s="83"/>
      <c r="B2" s="398" t="s">
        <v>93</v>
      </c>
      <c r="C2" s="399"/>
      <c r="D2" s="399"/>
      <c r="E2" s="399"/>
      <c r="F2" s="399"/>
      <c r="G2" s="399"/>
      <c r="H2" s="399"/>
      <c r="I2" s="183"/>
      <c r="J2" s="183"/>
      <c r="K2" s="183"/>
      <c r="L2" s="183"/>
      <c r="M2" s="179"/>
      <c r="N2" s="389" t="s">
        <v>94</v>
      </c>
      <c r="O2" s="389" t="s">
        <v>52</v>
      </c>
      <c r="P2" s="401"/>
      <c r="Q2" s="382"/>
      <c r="R2" s="382"/>
      <c r="S2" s="382"/>
      <c r="T2" s="382"/>
      <c r="U2" s="401"/>
      <c r="V2" s="382"/>
      <c r="W2" s="382"/>
      <c r="X2" s="382"/>
      <c r="Y2" s="382"/>
      <c r="Z2" s="401"/>
      <c r="AA2" s="382"/>
      <c r="AB2" s="382"/>
      <c r="AC2" s="382"/>
      <c r="AD2" s="382"/>
      <c r="AE2" s="401">
        <v>45870</v>
      </c>
      <c r="AF2" s="382"/>
      <c r="AG2" s="382"/>
      <c r="AH2" s="382"/>
      <c r="AI2" s="382"/>
      <c r="AJ2" s="401">
        <v>45871</v>
      </c>
      <c r="AK2" s="382"/>
      <c r="AL2" s="382"/>
      <c r="AM2" s="382"/>
      <c r="AN2" s="382"/>
      <c r="AO2" s="401">
        <v>45872</v>
      </c>
      <c r="AP2" s="382"/>
      <c r="AQ2" s="382"/>
      <c r="AR2" s="382"/>
      <c r="AS2" s="382"/>
      <c r="AT2" s="401">
        <v>45873</v>
      </c>
      <c r="AU2" s="382"/>
      <c r="AV2" s="382"/>
      <c r="AW2" s="382"/>
      <c r="AX2" s="382"/>
    </row>
    <row r="3" spans="1:50" ht="15.75">
      <c r="A3" s="83"/>
      <c r="B3" s="400"/>
      <c r="C3" s="400"/>
      <c r="D3" s="400"/>
      <c r="E3" s="400"/>
      <c r="F3" s="400"/>
      <c r="G3" s="400"/>
      <c r="H3" s="400"/>
      <c r="I3" s="180"/>
      <c r="J3" s="180"/>
      <c r="K3" s="180"/>
      <c r="L3" s="180"/>
      <c r="M3" s="181"/>
      <c r="N3" s="391"/>
      <c r="O3" s="391"/>
      <c r="P3" s="401" t="s">
        <v>66</v>
      </c>
      <c r="Q3" s="382"/>
      <c r="R3" s="382"/>
      <c r="S3" s="382"/>
      <c r="T3" s="382"/>
      <c r="U3" s="401" t="s">
        <v>67</v>
      </c>
      <c r="V3" s="382"/>
      <c r="W3" s="382"/>
      <c r="X3" s="382"/>
      <c r="Y3" s="382"/>
      <c r="Z3" s="401" t="s">
        <v>68</v>
      </c>
      <c r="AA3" s="382"/>
      <c r="AB3" s="382"/>
      <c r="AC3" s="382"/>
      <c r="AD3" s="382"/>
      <c r="AE3" s="401" t="s">
        <v>63</v>
      </c>
      <c r="AF3" s="382"/>
      <c r="AG3" s="382"/>
      <c r="AH3" s="382"/>
      <c r="AI3" s="382"/>
      <c r="AJ3" s="401" t="s">
        <v>64</v>
      </c>
      <c r="AK3" s="382"/>
      <c r="AL3" s="382"/>
      <c r="AM3" s="382"/>
      <c r="AN3" s="382"/>
      <c r="AO3" s="401" t="s">
        <v>59</v>
      </c>
      <c r="AP3" s="382"/>
      <c r="AQ3" s="382"/>
      <c r="AR3" s="382"/>
      <c r="AS3" s="382"/>
      <c r="AT3" s="401" t="s">
        <v>65</v>
      </c>
      <c r="AU3" s="382"/>
      <c r="AV3" s="382"/>
      <c r="AW3" s="382"/>
      <c r="AX3" s="382"/>
    </row>
    <row r="4" spans="1:50">
      <c r="A4" s="83"/>
      <c r="B4" s="381" t="s">
        <v>95</v>
      </c>
      <c r="C4" s="381" t="s">
        <v>96</v>
      </c>
      <c r="D4" s="381"/>
      <c r="E4" s="381" t="s">
        <v>97</v>
      </c>
      <c r="F4" s="381"/>
      <c r="G4" s="381"/>
      <c r="H4" s="386" t="s">
        <v>98</v>
      </c>
      <c r="I4" s="381" t="s">
        <v>99</v>
      </c>
      <c r="J4" s="381"/>
      <c r="K4" s="381"/>
      <c r="L4" s="386" t="s">
        <v>98</v>
      </c>
      <c r="M4" s="389" t="s">
        <v>100</v>
      </c>
      <c r="N4" s="381"/>
      <c r="O4" s="381" t="s">
        <v>101</v>
      </c>
      <c r="P4" s="383" t="s">
        <v>102</v>
      </c>
      <c r="Q4" s="384"/>
      <c r="R4" s="384"/>
      <c r="S4" s="385"/>
      <c r="T4" s="381" t="s">
        <v>98</v>
      </c>
      <c r="U4" s="383" t="s">
        <v>102</v>
      </c>
      <c r="V4" s="384"/>
      <c r="W4" s="384"/>
      <c r="X4" s="385"/>
      <c r="Y4" s="381" t="s">
        <v>98</v>
      </c>
      <c r="Z4" s="383" t="s">
        <v>102</v>
      </c>
      <c r="AA4" s="384"/>
      <c r="AB4" s="384"/>
      <c r="AC4" s="385"/>
      <c r="AD4" s="381" t="s">
        <v>98</v>
      </c>
      <c r="AE4" s="383" t="s">
        <v>102</v>
      </c>
      <c r="AF4" s="384"/>
      <c r="AG4" s="384"/>
      <c r="AH4" s="385"/>
      <c r="AI4" s="381" t="s">
        <v>98</v>
      </c>
      <c r="AJ4" s="383" t="s">
        <v>102</v>
      </c>
      <c r="AK4" s="384"/>
      <c r="AL4" s="384"/>
      <c r="AM4" s="385"/>
      <c r="AN4" s="381" t="s">
        <v>98</v>
      </c>
      <c r="AO4" s="383" t="s">
        <v>102</v>
      </c>
      <c r="AP4" s="384"/>
      <c r="AQ4" s="384"/>
      <c r="AR4" s="385"/>
      <c r="AS4" s="381" t="s">
        <v>98</v>
      </c>
      <c r="AT4" s="383" t="s">
        <v>102</v>
      </c>
      <c r="AU4" s="384"/>
      <c r="AV4" s="384"/>
      <c r="AW4" s="385"/>
      <c r="AX4" s="381" t="s">
        <v>98</v>
      </c>
    </row>
    <row r="5" spans="1:50">
      <c r="A5" s="83"/>
      <c r="B5" s="381"/>
      <c r="C5" s="381"/>
      <c r="D5" s="381"/>
      <c r="E5" s="381" t="s">
        <v>103</v>
      </c>
      <c r="F5" s="381"/>
      <c r="G5" s="381"/>
      <c r="H5" s="387"/>
      <c r="I5" s="381" t="s">
        <v>103</v>
      </c>
      <c r="J5" s="381"/>
      <c r="K5" s="381"/>
      <c r="L5" s="387"/>
      <c r="M5" s="390"/>
      <c r="N5" s="381"/>
      <c r="O5" s="381"/>
      <c r="P5" s="383" t="s">
        <v>104</v>
      </c>
      <c r="Q5" s="384"/>
      <c r="R5" s="384"/>
      <c r="S5" s="385"/>
      <c r="T5" s="381"/>
      <c r="U5" s="383" t="s">
        <v>104</v>
      </c>
      <c r="V5" s="384"/>
      <c r="W5" s="384"/>
      <c r="X5" s="385"/>
      <c r="Y5" s="381"/>
      <c r="Z5" s="383" t="s">
        <v>104</v>
      </c>
      <c r="AA5" s="384"/>
      <c r="AB5" s="384"/>
      <c r="AC5" s="385"/>
      <c r="AD5" s="381"/>
      <c r="AE5" s="383" t="s">
        <v>104</v>
      </c>
      <c r="AF5" s="384"/>
      <c r="AG5" s="384"/>
      <c r="AH5" s="385"/>
      <c r="AI5" s="381"/>
      <c r="AJ5" s="383" t="s">
        <v>104</v>
      </c>
      <c r="AK5" s="384"/>
      <c r="AL5" s="384"/>
      <c r="AM5" s="385"/>
      <c r="AN5" s="381"/>
      <c r="AO5" s="383" t="s">
        <v>104</v>
      </c>
      <c r="AP5" s="384"/>
      <c r="AQ5" s="384"/>
      <c r="AR5" s="385"/>
      <c r="AS5" s="381"/>
      <c r="AT5" s="383" t="s">
        <v>104</v>
      </c>
      <c r="AU5" s="384"/>
      <c r="AV5" s="384"/>
      <c r="AW5" s="385"/>
      <c r="AX5" s="381"/>
    </row>
    <row r="6" spans="1:50">
      <c r="A6" s="81"/>
      <c r="B6" s="381"/>
      <c r="C6" s="381"/>
      <c r="D6" s="381"/>
      <c r="E6" s="109" t="s">
        <v>105</v>
      </c>
      <c r="F6" s="109" t="s">
        <v>106</v>
      </c>
      <c r="G6" s="109" t="s">
        <v>107</v>
      </c>
      <c r="H6" s="388"/>
      <c r="I6" s="109" t="s">
        <v>105</v>
      </c>
      <c r="J6" s="109" t="s">
        <v>106</v>
      </c>
      <c r="K6" s="109" t="s">
        <v>107</v>
      </c>
      <c r="L6" s="388"/>
      <c r="M6" s="391"/>
      <c r="N6" s="381"/>
      <c r="O6" s="381"/>
      <c r="P6" s="109" t="s">
        <v>105</v>
      </c>
      <c r="Q6" s="109" t="s">
        <v>106</v>
      </c>
      <c r="R6" s="109" t="s">
        <v>107</v>
      </c>
      <c r="S6" s="109" t="s">
        <v>100</v>
      </c>
      <c r="T6" s="381"/>
      <c r="U6" s="109" t="s">
        <v>105</v>
      </c>
      <c r="V6" s="109" t="s">
        <v>106</v>
      </c>
      <c r="W6" s="109" t="s">
        <v>107</v>
      </c>
      <c r="X6" s="109" t="s">
        <v>100</v>
      </c>
      <c r="Y6" s="381"/>
      <c r="Z6" s="109" t="s">
        <v>105</v>
      </c>
      <c r="AA6" s="109" t="s">
        <v>106</v>
      </c>
      <c r="AB6" s="109" t="s">
        <v>107</v>
      </c>
      <c r="AC6" s="109" t="s">
        <v>100</v>
      </c>
      <c r="AD6" s="381"/>
      <c r="AE6" s="109" t="s">
        <v>105</v>
      </c>
      <c r="AF6" s="109" t="s">
        <v>106</v>
      </c>
      <c r="AG6" s="109" t="s">
        <v>107</v>
      </c>
      <c r="AH6" s="109" t="s">
        <v>100</v>
      </c>
      <c r="AI6" s="381"/>
      <c r="AJ6" s="109" t="s">
        <v>105</v>
      </c>
      <c r="AK6" s="109" t="s">
        <v>106</v>
      </c>
      <c r="AL6" s="109" t="s">
        <v>107</v>
      </c>
      <c r="AM6" s="109" t="s">
        <v>100</v>
      </c>
      <c r="AN6" s="381"/>
      <c r="AO6" s="109" t="s">
        <v>105</v>
      </c>
      <c r="AP6" s="109" t="s">
        <v>106</v>
      </c>
      <c r="AQ6" s="109" t="s">
        <v>107</v>
      </c>
      <c r="AR6" s="109" t="s">
        <v>100</v>
      </c>
      <c r="AS6" s="381"/>
      <c r="AT6" s="109" t="s">
        <v>105</v>
      </c>
      <c r="AU6" s="109" t="s">
        <v>106</v>
      </c>
      <c r="AV6" s="109" t="s">
        <v>107</v>
      </c>
      <c r="AW6" s="109" t="s">
        <v>100</v>
      </c>
      <c r="AX6" s="381"/>
    </row>
    <row r="7" spans="1:50">
      <c r="A7" s="83"/>
      <c r="B7" s="405" t="s">
        <v>132</v>
      </c>
      <c r="C7" s="110">
        <v>1</v>
      </c>
      <c r="D7" s="110"/>
      <c r="E7" s="184"/>
      <c r="F7" s="110"/>
      <c r="G7" s="182"/>
      <c r="H7" s="395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395" t="e">
        <f>AVERAGE(K7:K21)</f>
        <v>#DIV/0!</v>
      </c>
      <c r="M7" s="212" t="e">
        <f>RANK(K7, K$7:$K$21)</f>
        <v>#DIV/0!</v>
      </c>
      <c r="N7" s="381"/>
      <c r="O7" s="381"/>
      <c r="P7" s="184"/>
      <c r="Q7" s="184"/>
      <c r="R7" s="182"/>
      <c r="S7" s="110" t="e">
        <f>RANK(R7, R$7:R$21)</f>
        <v>#N/A</v>
      </c>
      <c r="T7" s="404" t="e">
        <f>AVERAGE(R7:R21)</f>
        <v>#DIV/0!</v>
      </c>
      <c r="U7" s="184"/>
      <c r="V7" s="184"/>
      <c r="W7" s="182"/>
      <c r="X7" s="110" t="e">
        <f>RANK(W7, W$7:W$21)</f>
        <v>#N/A</v>
      </c>
      <c r="Y7" s="404" t="e">
        <f>AVERAGE(W7:W21)</f>
        <v>#DIV/0!</v>
      </c>
      <c r="Z7" s="110"/>
      <c r="AA7" s="184"/>
      <c r="AB7" s="182"/>
      <c r="AC7" s="110" t="e">
        <f>RANK(AB7, AB$7:AB$21)</f>
        <v>#N/A</v>
      </c>
      <c r="AD7" s="404" t="e">
        <f>AVERAGE(AB7:AB21)</f>
        <v>#DIV/0!</v>
      </c>
      <c r="AE7" s="184"/>
      <c r="AF7" s="184"/>
      <c r="AG7" s="182"/>
      <c r="AH7" s="110" t="e">
        <f>RANK(AG7, AG$7:AG$21)</f>
        <v>#N/A</v>
      </c>
      <c r="AI7" s="404" t="e">
        <f>AVERAGE(AG7:AG21)</f>
        <v>#DIV/0!</v>
      </c>
      <c r="AJ7" s="110"/>
      <c r="AK7" s="184"/>
      <c r="AL7" s="182"/>
      <c r="AM7" s="110" t="e">
        <f>RANK(AL7, AL$7:AL$21)</f>
        <v>#N/A</v>
      </c>
      <c r="AN7" s="404" t="e">
        <f>AVERAGE(AL7:AL21)</f>
        <v>#DIV/0!</v>
      </c>
      <c r="AO7" s="110"/>
      <c r="AP7" s="184"/>
      <c r="AQ7" s="182"/>
      <c r="AR7" s="110" t="e">
        <f>RANK(AQ7, AQ$7:AQ$21)</f>
        <v>#N/A</v>
      </c>
      <c r="AS7" s="404" t="e">
        <f>AVERAGE(AQ7:AQ21)</f>
        <v>#DIV/0!</v>
      </c>
      <c r="AT7" s="110"/>
      <c r="AU7" s="184"/>
      <c r="AV7" s="182"/>
      <c r="AW7" s="110" t="e">
        <f>RANK(AV7, AV$7:AV$21)</f>
        <v>#N/A</v>
      </c>
      <c r="AX7" s="404" t="e">
        <f>AVERAGE(AV7:AV21)</f>
        <v>#DIV/0!</v>
      </c>
    </row>
    <row r="8" spans="1:50" ht="15" customHeight="1">
      <c r="A8" s="83"/>
      <c r="B8" s="382"/>
      <c r="C8" s="110">
        <v>2</v>
      </c>
      <c r="D8" s="110"/>
      <c r="E8" s="184"/>
      <c r="F8" s="110"/>
      <c r="G8" s="182"/>
      <c r="H8" s="396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396"/>
      <c r="M8" s="212" t="e">
        <f>RANK(K8, K$7:$K$21)</f>
        <v>#DIV/0!</v>
      </c>
      <c r="N8" s="381"/>
      <c r="O8" s="381"/>
      <c r="P8" s="184"/>
      <c r="Q8" s="184"/>
      <c r="R8" s="182"/>
      <c r="S8" s="110" t="e">
        <f t="shared" ref="S8:S21" si="1">RANK(R8, R$7:R$21)</f>
        <v>#N/A</v>
      </c>
      <c r="T8" s="404"/>
      <c r="U8" s="184"/>
      <c r="V8" s="184"/>
      <c r="W8" s="182"/>
      <c r="X8" s="110" t="e">
        <f t="shared" ref="X8:X21" si="2">RANK(W8, W$7:W$21)</f>
        <v>#N/A</v>
      </c>
      <c r="Y8" s="404"/>
      <c r="Z8" s="110"/>
      <c r="AA8" s="184"/>
      <c r="AB8" s="182"/>
      <c r="AC8" s="110" t="e">
        <f t="shared" ref="AC8:AC21" si="3">RANK(AB8, AB$7:AB$21)</f>
        <v>#N/A</v>
      </c>
      <c r="AD8" s="404"/>
      <c r="AE8" s="184"/>
      <c r="AF8" s="184"/>
      <c r="AG8" s="182"/>
      <c r="AH8" s="110" t="e">
        <f t="shared" ref="AH8:AH21" si="4">RANK(AG8, AG$7:AG$21)</f>
        <v>#N/A</v>
      </c>
      <c r="AI8" s="404"/>
      <c r="AJ8" s="110"/>
      <c r="AK8" s="184"/>
      <c r="AL8" s="182"/>
      <c r="AM8" s="110" t="e">
        <f t="shared" ref="AM8:AM21" si="5">RANK(AL8, AL$7:AL$21)</f>
        <v>#N/A</v>
      </c>
      <c r="AN8" s="404"/>
      <c r="AO8" s="110"/>
      <c r="AP8" s="184"/>
      <c r="AQ8" s="182"/>
      <c r="AR8" s="110" t="e">
        <f t="shared" ref="AR8:AR21" si="6">RANK(AQ8, AQ$7:AQ$21)</f>
        <v>#N/A</v>
      </c>
      <c r="AS8" s="404"/>
      <c r="AT8" s="110"/>
      <c r="AU8" s="184"/>
      <c r="AV8" s="182"/>
      <c r="AW8" s="110" t="e">
        <f t="shared" ref="AW8:AW21" si="7">RANK(AV8, AV$7:AV$21)</f>
        <v>#N/A</v>
      </c>
      <c r="AX8" s="404"/>
    </row>
    <row r="9" spans="1:50">
      <c r="A9" s="83"/>
      <c r="B9" s="382"/>
      <c r="C9" s="110">
        <v>3</v>
      </c>
      <c r="D9" s="110"/>
      <c r="E9" s="184"/>
      <c r="F9" s="110"/>
      <c r="G9" s="182"/>
      <c r="H9" s="396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396"/>
      <c r="M9" s="212" t="e">
        <f>RANK(K9, K$7:$K$21)</f>
        <v>#DIV/0!</v>
      </c>
      <c r="N9" s="381"/>
      <c r="O9" s="381"/>
      <c r="P9" s="184"/>
      <c r="Q9" s="184"/>
      <c r="R9" s="182"/>
      <c r="S9" s="110" t="e">
        <f t="shared" si="1"/>
        <v>#N/A</v>
      </c>
      <c r="T9" s="404"/>
      <c r="U9" s="184"/>
      <c r="V9" s="184"/>
      <c r="W9" s="182"/>
      <c r="X9" s="110" t="e">
        <f t="shared" si="2"/>
        <v>#N/A</v>
      </c>
      <c r="Y9" s="404"/>
      <c r="Z9" s="110"/>
      <c r="AA9" s="184"/>
      <c r="AB9" s="182"/>
      <c r="AC9" s="110" t="e">
        <f t="shared" si="3"/>
        <v>#N/A</v>
      </c>
      <c r="AD9" s="404"/>
      <c r="AE9" s="184"/>
      <c r="AF9" s="184"/>
      <c r="AG9" s="182"/>
      <c r="AH9" s="110" t="e">
        <f t="shared" si="4"/>
        <v>#N/A</v>
      </c>
      <c r="AI9" s="404"/>
      <c r="AJ9" s="110"/>
      <c r="AK9" s="184"/>
      <c r="AL9" s="182"/>
      <c r="AM9" s="110" t="e">
        <f t="shared" si="5"/>
        <v>#N/A</v>
      </c>
      <c r="AN9" s="404"/>
      <c r="AO9" s="110"/>
      <c r="AP9" s="184"/>
      <c r="AQ9" s="182"/>
      <c r="AR9" s="110" t="e">
        <f t="shared" si="6"/>
        <v>#N/A</v>
      </c>
      <c r="AS9" s="404"/>
      <c r="AT9" s="110"/>
      <c r="AU9" s="184"/>
      <c r="AV9" s="182"/>
      <c r="AW9" s="110" t="e">
        <f t="shared" si="7"/>
        <v>#N/A</v>
      </c>
      <c r="AX9" s="404"/>
    </row>
    <row r="10" spans="1:50">
      <c r="A10" s="83"/>
      <c r="B10" s="382"/>
      <c r="C10" s="110">
        <v>4</v>
      </c>
      <c r="D10" s="110"/>
      <c r="E10" s="184"/>
      <c r="F10" s="110"/>
      <c r="G10" s="182"/>
      <c r="H10" s="396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396"/>
      <c r="M10" s="212" t="e">
        <f>RANK(K10, K$7:$K$21)</f>
        <v>#DIV/0!</v>
      </c>
      <c r="N10" s="381"/>
      <c r="O10" s="381"/>
      <c r="P10" s="184"/>
      <c r="Q10" s="184"/>
      <c r="R10" s="182"/>
      <c r="S10" s="110" t="e">
        <f t="shared" si="1"/>
        <v>#N/A</v>
      </c>
      <c r="T10" s="404"/>
      <c r="U10" s="184"/>
      <c r="V10" s="184"/>
      <c r="W10" s="182"/>
      <c r="X10" s="110" t="e">
        <f t="shared" si="2"/>
        <v>#N/A</v>
      </c>
      <c r="Y10" s="404"/>
      <c r="Z10" s="110"/>
      <c r="AA10" s="184"/>
      <c r="AB10" s="182"/>
      <c r="AC10" s="110" t="e">
        <f t="shared" si="3"/>
        <v>#N/A</v>
      </c>
      <c r="AD10" s="404"/>
      <c r="AE10" s="184"/>
      <c r="AF10" s="184"/>
      <c r="AG10" s="182"/>
      <c r="AH10" s="110" t="e">
        <f t="shared" si="4"/>
        <v>#N/A</v>
      </c>
      <c r="AI10" s="404"/>
      <c r="AJ10" s="110"/>
      <c r="AK10" s="184"/>
      <c r="AL10" s="182"/>
      <c r="AM10" s="110" t="e">
        <f t="shared" si="5"/>
        <v>#N/A</v>
      </c>
      <c r="AN10" s="404"/>
      <c r="AO10" s="110"/>
      <c r="AP10" s="184"/>
      <c r="AQ10" s="182"/>
      <c r="AR10" s="110" t="e">
        <f t="shared" si="6"/>
        <v>#N/A</v>
      </c>
      <c r="AS10" s="404"/>
      <c r="AT10" s="110"/>
      <c r="AU10" s="184"/>
      <c r="AV10" s="182"/>
      <c r="AW10" s="110" t="e">
        <f t="shared" si="7"/>
        <v>#N/A</v>
      </c>
      <c r="AX10" s="404"/>
    </row>
    <row r="11" spans="1:50">
      <c r="A11" s="83"/>
      <c r="B11" s="382"/>
      <c r="C11" s="110">
        <v>5</v>
      </c>
      <c r="D11" s="110"/>
      <c r="E11" s="184"/>
      <c r="F11" s="110"/>
      <c r="G11" s="182"/>
      <c r="H11" s="396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396"/>
      <c r="M11" s="212" t="e">
        <f>RANK(K11, K$7:$K$21)</f>
        <v>#DIV/0!</v>
      </c>
      <c r="N11" s="381"/>
      <c r="O11" s="381"/>
      <c r="P11" s="184"/>
      <c r="Q11" s="184"/>
      <c r="R11" s="182"/>
      <c r="S11" s="110" t="e">
        <f t="shared" si="1"/>
        <v>#N/A</v>
      </c>
      <c r="T11" s="404"/>
      <c r="U11" s="184"/>
      <c r="V11" s="184"/>
      <c r="W11" s="182"/>
      <c r="X11" s="110" t="e">
        <f t="shared" si="2"/>
        <v>#N/A</v>
      </c>
      <c r="Y11" s="404"/>
      <c r="Z11" s="110"/>
      <c r="AA11" s="184"/>
      <c r="AB11" s="182"/>
      <c r="AC11" s="110" t="e">
        <f t="shared" si="3"/>
        <v>#N/A</v>
      </c>
      <c r="AD11" s="404"/>
      <c r="AE11" s="184"/>
      <c r="AF11" s="184"/>
      <c r="AG11" s="182"/>
      <c r="AH11" s="110" t="e">
        <f t="shared" si="4"/>
        <v>#N/A</v>
      </c>
      <c r="AI11" s="404"/>
      <c r="AJ11" s="110"/>
      <c r="AK11" s="184"/>
      <c r="AL11" s="182"/>
      <c r="AM11" s="110" t="e">
        <f t="shared" si="5"/>
        <v>#N/A</v>
      </c>
      <c r="AN11" s="404"/>
      <c r="AO11" s="110"/>
      <c r="AP11" s="184"/>
      <c r="AQ11" s="182"/>
      <c r="AR11" s="110" t="e">
        <f t="shared" si="6"/>
        <v>#N/A</v>
      </c>
      <c r="AS11" s="404"/>
      <c r="AT11" s="110"/>
      <c r="AU11" s="184"/>
      <c r="AV11" s="182"/>
      <c r="AW11" s="110" t="e">
        <f t="shared" si="7"/>
        <v>#N/A</v>
      </c>
      <c r="AX11" s="404"/>
    </row>
    <row r="12" spans="1:50">
      <c r="A12" s="83"/>
      <c r="B12" s="382"/>
      <c r="C12" s="110">
        <v>6</v>
      </c>
      <c r="D12" s="110"/>
      <c r="E12" s="184"/>
      <c r="F12" s="110"/>
      <c r="G12" s="182"/>
      <c r="H12" s="396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396"/>
      <c r="M12" s="212" t="e">
        <f>RANK(K12, K$7:$K$21)</f>
        <v>#DIV/0!</v>
      </c>
      <c r="N12" s="381"/>
      <c r="O12" s="381"/>
      <c r="P12" s="184"/>
      <c r="Q12" s="184"/>
      <c r="R12" s="182"/>
      <c r="S12" s="110" t="e">
        <f t="shared" si="1"/>
        <v>#N/A</v>
      </c>
      <c r="T12" s="404"/>
      <c r="U12" s="184"/>
      <c r="V12" s="184"/>
      <c r="W12" s="182"/>
      <c r="X12" s="110" t="e">
        <f t="shared" si="2"/>
        <v>#N/A</v>
      </c>
      <c r="Y12" s="404"/>
      <c r="Z12" s="110"/>
      <c r="AA12" s="184"/>
      <c r="AB12" s="182"/>
      <c r="AC12" s="110" t="e">
        <f t="shared" si="3"/>
        <v>#N/A</v>
      </c>
      <c r="AD12" s="404"/>
      <c r="AE12" s="184"/>
      <c r="AF12" s="184"/>
      <c r="AG12" s="182"/>
      <c r="AH12" s="110" t="e">
        <f t="shared" si="4"/>
        <v>#N/A</v>
      </c>
      <c r="AI12" s="404"/>
      <c r="AJ12" s="110"/>
      <c r="AK12" s="184"/>
      <c r="AL12" s="182"/>
      <c r="AM12" s="110" t="e">
        <f t="shared" si="5"/>
        <v>#N/A</v>
      </c>
      <c r="AN12" s="404"/>
      <c r="AO12" s="110"/>
      <c r="AP12" s="184"/>
      <c r="AQ12" s="182"/>
      <c r="AR12" s="110" t="e">
        <f t="shared" si="6"/>
        <v>#N/A</v>
      </c>
      <c r="AS12" s="404"/>
      <c r="AT12" s="110"/>
      <c r="AU12" s="184"/>
      <c r="AV12" s="182"/>
      <c r="AW12" s="110" t="e">
        <f t="shared" si="7"/>
        <v>#N/A</v>
      </c>
      <c r="AX12" s="404"/>
    </row>
    <row r="13" spans="1:50">
      <c r="A13" s="83"/>
      <c r="B13" s="382"/>
      <c r="C13" s="110">
        <v>7</v>
      </c>
      <c r="D13" s="110"/>
      <c r="E13" s="184"/>
      <c r="F13" s="110"/>
      <c r="G13" s="182"/>
      <c r="H13" s="396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396"/>
      <c r="M13" s="212" t="e">
        <f>RANK(K13, K$7:$K$21)</f>
        <v>#DIV/0!</v>
      </c>
      <c r="N13" s="381"/>
      <c r="O13" s="381"/>
      <c r="P13" s="184"/>
      <c r="Q13" s="184"/>
      <c r="R13" s="182"/>
      <c r="S13" s="110" t="e">
        <f t="shared" si="1"/>
        <v>#N/A</v>
      </c>
      <c r="T13" s="404"/>
      <c r="U13" s="184"/>
      <c r="V13" s="184"/>
      <c r="W13" s="182"/>
      <c r="X13" s="110" t="e">
        <f t="shared" si="2"/>
        <v>#N/A</v>
      </c>
      <c r="Y13" s="404"/>
      <c r="Z13" s="110"/>
      <c r="AA13" s="184"/>
      <c r="AB13" s="182"/>
      <c r="AC13" s="110" t="e">
        <f t="shared" si="3"/>
        <v>#N/A</v>
      </c>
      <c r="AD13" s="404"/>
      <c r="AE13" s="184"/>
      <c r="AF13" s="184"/>
      <c r="AG13" s="182"/>
      <c r="AH13" s="110" t="e">
        <f t="shared" si="4"/>
        <v>#N/A</v>
      </c>
      <c r="AI13" s="404"/>
      <c r="AJ13" s="110"/>
      <c r="AK13" s="184"/>
      <c r="AL13" s="182"/>
      <c r="AM13" s="110" t="e">
        <f t="shared" si="5"/>
        <v>#N/A</v>
      </c>
      <c r="AN13" s="404"/>
      <c r="AO13" s="110"/>
      <c r="AP13" s="184"/>
      <c r="AQ13" s="182"/>
      <c r="AR13" s="110" t="e">
        <f t="shared" si="6"/>
        <v>#N/A</v>
      </c>
      <c r="AS13" s="404"/>
      <c r="AT13" s="110"/>
      <c r="AU13" s="184"/>
      <c r="AV13" s="182"/>
      <c r="AW13" s="110" t="e">
        <f t="shared" si="7"/>
        <v>#N/A</v>
      </c>
      <c r="AX13" s="404"/>
    </row>
    <row r="14" spans="1:50">
      <c r="A14" s="83"/>
      <c r="B14" s="382"/>
      <c r="C14" s="110">
        <v>8</v>
      </c>
      <c r="D14" s="110"/>
      <c r="E14" s="184"/>
      <c r="F14" s="110"/>
      <c r="G14" s="182"/>
      <c r="H14" s="396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396"/>
      <c r="M14" s="212" t="e">
        <f>RANK(K14, K$7:$K$21)</f>
        <v>#DIV/0!</v>
      </c>
      <c r="N14" s="381"/>
      <c r="O14" s="381"/>
      <c r="P14" s="184"/>
      <c r="Q14" s="184"/>
      <c r="R14" s="182"/>
      <c r="S14" s="110" t="e">
        <f t="shared" si="1"/>
        <v>#N/A</v>
      </c>
      <c r="T14" s="404"/>
      <c r="U14" s="184"/>
      <c r="V14" s="184"/>
      <c r="W14" s="182"/>
      <c r="X14" s="110" t="e">
        <f t="shared" si="2"/>
        <v>#N/A</v>
      </c>
      <c r="Y14" s="404"/>
      <c r="Z14" s="110"/>
      <c r="AA14" s="184"/>
      <c r="AB14" s="182"/>
      <c r="AC14" s="110" t="e">
        <f t="shared" si="3"/>
        <v>#N/A</v>
      </c>
      <c r="AD14" s="404"/>
      <c r="AE14" s="184"/>
      <c r="AF14" s="184"/>
      <c r="AG14" s="182"/>
      <c r="AH14" s="110" t="e">
        <f t="shared" si="4"/>
        <v>#N/A</v>
      </c>
      <c r="AI14" s="404"/>
      <c r="AJ14" s="110"/>
      <c r="AK14" s="184"/>
      <c r="AL14" s="182"/>
      <c r="AM14" s="110" t="e">
        <f t="shared" si="5"/>
        <v>#N/A</v>
      </c>
      <c r="AN14" s="404"/>
      <c r="AO14" s="110"/>
      <c r="AP14" s="184"/>
      <c r="AQ14" s="182"/>
      <c r="AR14" s="110" t="e">
        <f t="shared" si="6"/>
        <v>#N/A</v>
      </c>
      <c r="AS14" s="404"/>
      <c r="AT14" s="110"/>
      <c r="AU14" s="184"/>
      <c r="AV14" s="182"/>
      <c r="AW14" s="110" t="e">
        <f t="shared" si="7"/>
        <v>#N/A</v>
      </c>
      <c r="AX14" s="404"/>
    </row>
    <row r="15" spans="1:50">
      <c r="A15" s="83"/>
      <c r="B15" s="382"/>
      <c r="C15" s="110">
        <v>9</v>
      </c>
      <c r="D15" s="110"/>
      <c r="E15" s="184"/>
      <c r="F15" s="110"/>
      <c r="G15" s="182"/>
      <c r="H15" s="396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396"/>
      <c r="M15" s="212" t="e">
        <f>RANK(K15, K$7:$K$21)</f>
        <v>#DIV/0!</v>
      </c>
      <c r="N15" s="381"/>
      <c r="O15" s="381"/>
      <c r="P15" s="184"/>
      <c r="Q15" s="184"/>
      <c r="R15" s="182"/>
      <c r="S15" s="110" t="e">
        <f t="shared" si="1"/>
        <v>#N/A</v>
      </c>
      <c r="T15" s="404"/>
      <c r="U15" s="184"/>
      <c r="V15" s="184"/>
      <c r="W15" s="182"/>
      <c r="X15" s="110" t="e">
        <f t="shared" si="2"/>
        <v>#N/A</v>
      </c>
      <c r="Y15" s="404"/>
      <c r="Z15" s="110"/>
      <c r="AA15" s="184"/>
      <c r="AB15" s="182"/>
      <c r="AC15" s="110" t="e">
        <f t="shared" si="3"/>
        <v>#N/A</v>
      </c>
      <c r="AD15" s="404"/>
      <c r="AE15" s="184"/>
      <c r="AF15" s="184"/>
      <c r="AG15" s="182"/>
      <c r="AH15" s="110" t="e">
        <f t="shared" si="4"/>
        <v>#N/A</v>
      </c>
      <c r="AI15" s="404"/>
      <c r="AJ15" s="110"/>
      <c r="AK15" s="184"/>
      <c r="AL15" s="182"/>
      <c r="AM15" s="110" t="e">
        <f t="shared" si="5"/>
        <v>#N/A</v>
      </c>
      <c r="AN15" s="404"/>
      <c r="AO15" s="110"/>
      <c r="AP15" s="184"/>
      <c r="AQ15" s="182"/>
      <c r="AR15" s="110" t="e">
        <f t="shared" si="6"/>
        <v>#N/A</v>
      </c>
      <c r="AS15" s="404"/>
      <c r="AT15" s="110"/>
      <c r="AU15" s="184"/>
      <c r="AV15" s="182"/>
      <c r="AW15" s="110" t="e">
        <f t="shared" si="7"/>
        <v>#N/A</v>
      </c>
      <c r="AX15" s="404"/>
    </row>
    <row r="16" spans="1:50">
      <c r="A16" s="83"/>
      <c r="B16" s="382"/>
      <c r="C16" s="110">
        <v>10</v>
      </c>
      <c r="D16" s="110"/>
      <c r="E16" s="184"/>
      <c r="F16" s="110"/>
      <c r="G16" s="182"/>
      <c r="H16" s="396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396"/>
      <c r="M16" s="212" t="e">
        <f>RANK(K16, K$7:$K$21)</f>
        <v>#DIV/0!</v>
      </c>
      <c r="N16" s="381"/>
      <c r="O16" s="381"/>
      <c r="P16" s="184"/>
      <c r="Q16" s="184"/>
      <c r="R16" s="182"/>
      <c r="S16" s="110" t="e">
        <f t="shared" si="1"/>
        <v>#N/A</v>
      </c>
      <c r="T16" s="404"/>
      <c r="U16" s="184"/>
      <c r="V16" s="184"/>
      <c r="W16" s="182"/>
      <c r="X16" s="110" t="e">
        <f t="shared" si="2"/>
        <v>#N/A</v>
      </c>
      <c r="Y16" s="404"/>
      <c r="Z16" s="110"/>
      <c r="AA16" s="184"/>
      <c r="AB16" s="182"/>
      <c r="AC16" s="110" t="e">
        <f t="shared" si="3"/>
        <v>#N/A</v>
      </c>
      <c r="AD16" s="404"/>
      <c r="AE16" s="184"/>
      <c r="AF16" s="184"/>
      <c r="AG16" s="182"/>
      <c r="AH16" s="110" t="e">
        <f t="shared" si="4"/>
        <v>#N/A</v>
      </c>
      <c r="AI16" s="404"/>
      <c r="AJ16" s="110"/>
      <c r="AK16" s="184"/>
      <c r="AL16" s="182"/>
      <c r="AM16" s="110" t="e">
        <f t="shared" si="5"/>
        <v>#N/A</v>
      </c>
      <c r="AN16" s="404"/>
      <c r="AO16" s="110"/>
      <c r="AP16" s="184"/>
      <c r="AQ16" s="182"/>
      <c r="AR16" s="110" t="e">
        <f t="shared" si="6"/>
        <v>#N/A</v>
      </c>
      <c r="AS16" s="404"/>
      <c r="AT16" s="110"/>
      <c r="AU16" s="184"/>
      <c r="AV16" s="182"/>
      <c r="AW16" s="110" t="e">
        <f t="shared" si="7"/>
        <v>#N/A</v>
      </c>
      <c r="AX16" s="404"/>
    </row>
    <row r="17" spans="2:50">
      <c r="B17" s="382"/>
      <c r="C17" s="110">
        <v>11</v>
      </c>
      <c r="D17" s="110"/>
      <c r="E17" s="110"/>
      <c r="F17" s="110"/>
      <c r="G17" s="110"/>
      <c r="H17" s="396"/>
      <c r="I17" s="110"/>
      <c r="J17" s="110"/>
      <c r="K17" s="110"/>
      <c r="L17" s="396"/>
      <c r="M17" s="212" t="e">
        <f>RANK(K17, K$7:$K$21)</f>
        <v>#DIV/0!</v>
      </c>
      <c r="N17" s="381"/>
      <c r="O17" s="381"/>
      <c r="P17" s="110"/>
      <c r="Q17" s="110"/>
      <c r="R17" s="110"/>
      <c r="S17" s="110" t="e">
        <f t="shared" si="1"/>
        <v>#N/A</v>
      </c>
      <c r="T17" s="404"/>
      <c r="U17" s="110"/>
      <c r="V17" s="110"/>
      <c r="W17" s="110"/>
      <c r="X17" s="110" t="e">
        <f t="shared" si="2"/>
        <v>#N/A</v>
      </c>
      <c r="Y17" s="404"/>
      <c r="Z17" s="110"/>
      <c r="AA17" s="110"/>
      <c r="AB17" s="110"/>
      <c r="AC17" s="110" t="e">
        <f t="shared" si="3"/>
        <v>#N/A</v>
      </c>
      <c r="AD17" s="404"/>
      <c r="AE17" s="110"/>
      <c r="AF17" s="110"/>
      <c r="AG17" s="110"/>
      <c r="AH17" s="110" t="e">
        <f t="shared" si="4"/>
        <v>#N/A</v>
      </c>
      <c r="AI17" s="404"/>
      <c r="AJ17" s="110"/>
      <c r="AK17" s="110"/>
      <c r="AL17" s="110"/>
      <c r="AM17" s="110" t="e">
        <f t="shared" si="5"/>
        <v>#N/A</v>
      </c>
      <c r="AN17" s="404"/>
      <c r="AO17" s="110"/>
      <c r="AP17" s="110"/>
      <c r="AQ17" s="110"/>
      <c r="AR17" s="110" t="e">
        <f t="shared" si="6"/>
        <v>#N/A</v>
      </c>
      <c r="AS17" s="404"/>
      <c r="AT17" s="110"/>
      <c r="AU17" s="110"/>
      <c r="AV17" s="110"/>
      <c r="AW17" s="110" t="e">
        <f t="shared" si="7"/>
        <v>#N/A</v>
      </c>
      <c r="AX17" s="404"/>
    </row>
    <row r="18" spans="2:50">
      <c r="B18" s="382"/>
      <c r="C18" s="110">
        <v>12</v>
      </c>
      <c r="D18" s="110"/>
      <c r="E18" s="110"/>
      <c r="F18" s="110"/>
      <c r="G18" s="110"/>
      <c r="H18" s="396"/>
      <c r="I18" s="110"/>
      <c r="J18" s="110"/>
      <c r="K18" s="110"/>
      <c r="L18" s="396"/>
      <c r="M18" s="212" t="e">
        <f>RANK(K18, K$7:$K$21)</f>
        <v>#DIV/0!</v>
      </c>
      <c r="N18" s="381"/>
      <c r="O18" s="381"/>
      <c r="P18" s="110"/>
      <c r="Q18" s="110"/>
      <c r="R18" s="110"/>
      <c r="S18" s="110" t="e">
        <f t="shared" si="1"/>
        <v>#N/A</v>
      </c>
      <c r="T18" s="404"/>
      <c r="U18" s="110"/>
      <c r="V18" s="110"/>
      <c r="W18" s="110"/>
      <c r="X18" s="110" t="e">
        <f t="shared" si="2"/>
        <v>#N/A</v>
      </c>
      <c r="Y18" s="404"/>
      <c r="Z18" s="110"/>
      <c r="AA18" s="110"/>
      <c r="AB18" s="110"/>
      <c r="AC18" s="110" t="e">
        <f t="shared" si="3"/>
        <v>#N/A</v>
      </c>
      <c r="AD18" s="404"/>
      <c r="AE18" s="110"/>
      <c r="AF18" s="110"/>
      <c r="AG18" s="110"/>
      <c r="AH18" s="110" t="e">
        <f t="shared" si="4"/>
        <v>#N/A</v>
      </c>
      <c r="AI18" s="404"/>
      <c r="AJ18" s="110"/>
      <c r="AK18" s="110"/>
      <c r="AL18" s="110"/>
      <c r="AM18" s="110" t="e">
        <f t="shared" si="5"/>
        <v>#N/A</v>
      </c>
      <c r="AN18" s="404"/>
      <c r="AO18" s="110"/>
      <c r="AP18" s="110"/>
      <c r="AQ18" s="110"/>
      <c r="AR18" s="110" t="e">
        <f t="shared" si="6"/>
        <v>#N/A</v>
      </c>
      <c r="AS18" s="404"/>
      <c r="AT18" s="110"/>
      <c r="AU18" s="110"/>
      <c r="AV18" s="110"/>
      <c r="AW18" s="110" t="e">
        <f t="shared" si="7"/>
        <v>#N/A</v>
      </c>
      <c r="AX18" s="404"/>
    </row>
    <row r="19" spans="2:50">
      <c r="B19" s="382"/>
      <c r="C19" s="110">
        <v>13</v>
      </c>
      <c r="D19" s="110"/>
      <c r="E19" s="110"/>
      <c r="F19" s="110"/>
      <c r="G19" s="110"/>
      <c r="H19" s="396"/>
      <c r="I19" s="110"/>
      <c r="J19" s="110"/>
      <c r="K19" s="110"/>
      <c r="L19" s="396"/>
      <c r="M19" s="212" t="e">
        <f>RANK(K19, K$7:$K$21)</f>
        <v>#DIV/0!</v>
      </c>
      <c r="N19" s="381"/>
      <c r="O19" s="381"/>
      <c r="P19" s="110"/>
      <c r="Q19" s="110"/>
      <c r="R19" s="110"/>
      <c r="S19" s="110" t="e">
        <f t="shared" si="1"/>
        <v>#N/A</v>
      </c>
      <c r="T19" s="404"/>
      <c r="U19" s="110"/>
      <c r="V19" s="110"/>
      <c r="W19" s="110"/>
      <c r="X19" s="110" t="e">
        <f t="shared" si="2"/>
        <v>#N/A</v>
      </c>
      <c r="Y19" s="404"/>
      <c r="Z19" s="110"/>
      <c r="AA19" s="110"/>
      <c r="AB19" s="110"/>
      <c r="AC19" s="110" t="e">
        <f t="shared" si="3"/>
        <v>#N/A</v>
      </c>
      <c r="AD19" s="404"/>
      <c r="AE19" s="110"/>
      <c r="AF19" s="110"/>
      <c r="AG19" s="110"/>
      <c r="AH19" s="110" t="e">
        <f t="shared" si="4"/>
        <v>#N/A</v>
      </c>
      <c r="AI19" s="404"/>
      <c r="AJ19" s="110"/>
      <c r="AK19" s="110"/>
      <c r="AL19" s="110"/>
      <c r="AM19" s="110" t="e">
        <f t="shared" si="5"/>
        <v>#N/A</v>
      </c>
      <c r="AN19" s="404"/>
      <c r="AO19" s="110"/>
      <c r="AP19" s="110"/>
      <c r="AQ19" s="110"/>
      <c r="AR19" s="110" t="e">
        <f t="shared" si="6"/>
        <v>#N/A</v>
      </c>
      <c r="AS19" s="404"/>
      <c r="AT19" s="110"/>
      <c r="AU19" s="110"/>
      <c r="AV19" s="110"/>
      <c r="AW19" s="110" t="e">
        <f t="shared" si="7"/>
        <v>#N/A</v>
      </c>
      <c r="AX19" s="404"/>
    </row>
    <row r="20" spans="2:50">
      <c r="B20" s="382"/>
      <c r="C20" s="110">
        <v>14</v>
      </c>
      <c r="D20" s="110"/>
      <c r="E20" s="110"/>
      <c r="F20" s="110"/>
      <c r="G20" s="110"/>
      <c r="H20" s="396"/>
      <c r="I20" s="110"/>
      <c r="J20" s="110"/>
      <c r="K20" s="110"/>
      <c r="L20" s="396"/>
      <c r="M20" s="212" t="e">
        <f>RANK(K20, K$7:$K$21)</f>
        <v>#DIV/0!</v>
      </c>
      <c r="N20" s="381"/>
      <c r="O20" s="381"/>
      <c r="P20" s="110"/>
      <c r="Q20" s="110"/>
      <c r="R20" s="110"/>
      <c r="S20" s="110" t="e">
        <f t="shared" si="1"/>
        <v>#N/A</v>
      </c>
      <c r="T20" s="404"/>
      <c r="U20" s="110"/>
      <c r="V20" s="110"/>
      <c r="W20" s="110"/>
      <c r="X20" s="110" t="e">
        <f t="shared" si="2"/>
        <v>#N/A</v>
      </c>
      <c r="Y20" s="404"/>
      <c r="Z20" s="110"/>
      <c r="AA20" s="110"/>
      <c r="AB20" s="110"/>
      <c r="AC20" s="110" t="e">
        <f t="shared" si="3"/>
        <v>#N/A</v>
      </c>
      <c r="AD20" s="404"/>
      <c r="AE20" s="110"/>
      <c r="AF20" s="110"/>
      <c r="AG20" s="110"/>
      <c r="AH20" s="110" t="e">
        <f t="shared" si="4"/>
        <v>#N/A</v>
      </c>
      <c r="AI20" s="404"/>
      <c r="AJ20" s="110"/>
      <c r="AK20" s="110"/>
      <c r="AL20" s="110"/>
      <c r="AM20" s="110" t="e">
        <f t="shared" si="5"/>
        <v>#N/A</v>
      </c>
      <c r="AN20" s="404"/>
      <c r="AO20" s="110"/>
      <c r="AP20" s="110"/>
      <c r="AQ20" s="110"/>
      <c r="AR20" s="110" t="e">
        <f t="shared" si="6"/>
        <v>#N/A</v>
      </c>
      <c r="AS20" s="404"/>
      <c r="AT20" s="110"/>
      <c r="AU20" s="110"/>
      <c r="AV20" s="110"/>
      <c r="AW20" s="110" t="e">
        <f t="shared" si="7"/>
        <v>#N/A</v>
      </c>
      <c r="AX20" s="404"/>
    </row>
    <row r="21" spans="2:50">
      <c r="B21" s="382"/>
      <c r="C21" s="110">
        <v>15</v>
      </c>
      <c r="D21" s="110"/>
      <c r="E21" s="110"/>
      <c r="F21" s="110"/>
      <c r="G21" s="110"/>
      <c r="H21" s="397"/>
      <c r="I21" s="110"/>
      <c r="J21" s="110"/>
      <c r="K21" s="110"/>
      <c r="L21" s="397"/>
      <c r="M21" s="184" t="e">
        <f>RANK(K21, K$7:$K$21)</f>
        <v>#DIV/0!</v>
      </c>
      <c r="N21" s="381"/>
      <c r="O21" s="381"/>
      <c r="P21" s="110"/>
      <c r="Q21" s="110"/>
      <c r="R21" s="110"/>
      <c r="S21" s="110" t="e">
        <f t="shared" si="1"/>
        <v>#N/A</v>
      </c>
      <c r="T21" s="404"/>
      <c r="U21" s="110"/>
      <c r="V21" s="110"/>
      <c r="W21" s="110"/>
      <c r="X21" s="110" t="e">
        <f t="shared" si="2"/>
        <v>#N/A</v>
      </c>
      <c r="Y21" s="404"/>
      <c r="Z21" s="110"/>
      <c r="AA21" s="110"/>
      <c r="AB21" s="110"/>
      <c r="AC21" s="110" t="e">
        <f t="shared" si="3"/>
        <v>#N/A</v>
      </c>
      <c r="AD21" s="404"/>
      <c r="AE21" s="110"/>
      <c r="AF21" s="110"/>
      <c r="AG21" s="110"/>
      <c r="AH21" s="110" t="e">
        <f t="shared" si="4"/>
        <v>#N/A</v>
      </c>
      <c r="AI21" s="404"/>
      <c r="AJ21" s="110"/>
      <c r="AK21" s="110"/>
      <c r="AL21" s="110"/>
      <c r="AM21" s="110" t="e">
        <f t="shared" si="5"/>
        <v>#N/A</v>
      </c>
      <c r="AN21" s="404"/>
      <c r="AO21" s="110"/>
      <c r="AP21" s="110"/>
      <c r="AQ21" s="110"/>
      <c r="AR21" s="110" t="e">
        <f t="shared" si="6"/>
        <v>#N/A</v>
      </c>
      <c r="AS21" s="404"/>
      <c r="AT21" s="110"/>
      <c r="AU21" s="110"/>
      <c r="AV21" s="110"/>
      <c r="AW21" s="110" t="e">
        <f t="shared" si="7"/>
        <v>#N/A</v>
      </c>
      <c r="AX21" s="404"/>
    </row>
    <row r="22" spans="2:50" ht="15.75">
      <c r="B22" s="402" t="s">
        <v>93</v>
      </c>
      <c r="C22" s="403"/>
      <c r="D22" s="403"/>
      <c r="E22" s="403"/>
      <c r="F22" s="403"/>
      <c r="G22" s="403"/>
      <c r="H22" s="403"/>
      <c r="I22" s="183"/>
      <c r="J22" s="183"/>
      <c r="K22" s="183"/>
      <c r="L22" s="183"/>
      <c r="M22" s="179"/>
      <c r="N22" s="389" t="s">
        <v>94</v>
      </c>
      <c r="O22" s="389" t="s">
        <v>52</v>
      </c>
      <c r="P22" s="401">
        <v>45874</v>
      </c>
      <c r="Q22" s="382"/>
      <c r="R22" s="382"/>
      <c r="S22" s="382"/>
      <c r="T22" s="382"/>
      <c r="U22" s="401">
        <v>45875</v>
      </c>
      <c r="V22" s="382"/>
      <c r="W22" s="382"/>
      <c r="X22" s="382"/>
      <c r="Y22" s="382"/>
      <c r="Z22" s="401">
        <v>45876</v>
      </c>
      <c r="AA22" s="382"/>
      <c r="AB22" s="382"/>
      <c r="AC22" s="382"/>
      <c r="AD22" s="382"/>
      <c r="AE22" s="401">
        <v>45877</v>
      </c>
      <c r="AF22" s="382"/>
      <c r="AG22" s="382"/>
      <c r="AH22" s="382"/>
      <c r="AI22" s="382"/>
      <c r="AJ22" s="401">
        <v>45878</v>
      </c>
      <c r="AK22" s="382"/>
      <c r="AL22" s="382"/>
      <c r="AM22" s="382"/>
      <c r="AN22" s="382"/>
      <c r="AO22" s="401">
        <v>45879</v>
      </c>
      <c r="AP22" s="382"/>
      <c r="AQ22" s="382"/>
      <c r="AR22" s="382"/>
      <c r="AS22" s="382"/>
      <c r="AT22" s="401">
        <v>45880</v>
      </c>
      <c r="AU22" s="382"/>
      <c r="AV22" s="382"/>
      <c r="AW22" s="382"/>
      <c r="AX22" s="382"/>
    </row>
    <row r="23" spans="2:50" ht="15.75">
      <c r="B23" s="400"/>
      <c r="C23" s="400"/>
      <c r="D23" s="400"/>
      <c r="E23" s="400"/>
      <c r="F23" s="400"/>
      <c r="G23" s="400"/>
      <c r="H23" s="400"/>
      <c r="I23" s="180"/>
      <c r="J23" s="180"/>
      <c r="K23" s="180"/>
      <c r="L23" s="180"/>
      <c r="M23" s="181"/>
      <c r="N23" s="391"/>
      <c r="O23" s="391"/>
      <c r="P23" s="401" t="s">
        <v>66</v>
      </c>
      <c r="Q23" s="382"/>
      <c r="R23" s="382"/>
      <c r="S23" s="382"/>
      <c r="T23" s="382"/>
      <c r="U23" s="401" t="s">
        <v>67</v>
      </c>
      <c r="V23" s="382"/>
      <c r="W23" s="382"/>
      <c r="X23" s="382"/>
      <c r="Y23" s="382"/>
      <c r="Z23" s="401" t="s">
        <v>68</v>
      </c>
      <c r="AA23" s="382"/>
      <c r="AB23" s="382"/>
      <c r="AC23" s="382"/>
      <c r="AD23" s="382"/>
      <c r="AE23" s="401" t="s">
        <v>63</v>
      </c>
      <c r="AF23" s="382"/>
      <c r="AG23" s="382"/>
      <c r="AH23" s="382"/>
      <c r="AI23" s="382"/>
      <c r="AJ23" s="401" t="s">
        <v>64</v>
      </c>
      <c r="AK23" s="382"/>
      <c r="AL23" s="382"/>
      <c r="AM23" s="382"/>
      <c r="AN23" s="382"/>
      <c r="AO23" s="401" t="s">
        <v>59</v>
      </c>
      <c r="AP23" s="382"/>
      <c r="AQ23" s="382"/>
      <c r="AR23" s="382"/>
      <c r="AS23" s="382"/>
      <c r="AT23" s="401" t="s">
        <v>65</v>
      </c>
      <c r="AU23" s="382"/>
      <c r="AV23" s="382"/>
      <c r="AW23" s="382"/>
      <c r="AX23" s="382"/>
    </row>
    <row r="24" spans="2:50">
      <c r="B24" s="381" t="s">
        <v>95</v>
      </c>
      <c r="C24" s="381" t="s">
        <v>96</v>
      </c>
      <c r="D24" s="381"/>
      <c r="E24" s="381" t="s">
        <v>97</v>
      </c>
      <c r="F24" s="381"/>
      <c r="G24" s="381"/>
      <c r="H24" s="386" t="s">
        <v>98</v>
      </c>
      <c r="I24" s="381" t="s">
        <v>99</v>
      </c>
      <c r="J24" s="381"/>
      <c r="K24" s="381"/>
      <c r="L24" s="386" t="s">
        <v>98</v>
      </c>
      <c r="M24" s="389" t="s">
        <v>100</v>
      </c>
      <c r="N24" s="381"/>
      <c r="O24" s="381" t="s">
        <v>101</v>
      </c>
      <c r="P24" s="383" t="s">
        <v>102</v>
      </c>
      <c r="Q24" s="384"/>
      <c r="R24" s="384"/>
      <c r="S24" s="385"/>
      <c r="T24" s="381" t="s">
        <v>98</v>
      </c>
      <c r="U24" s="383" t="s">
        <v>102</v>
      </c>
      <c r="V24" s="384"/>
      <c r="W24" s="384"/>
      <c r="X24" s="385"/>
      <c r="Y24" s="381" t="s">
        <v>98</v>
      </c>
      <c r="Z24" s="383" t="s">
        <v>102</v>
      </c>
      <c r="AA24" s="384"/>
      <c r="AB24" s="384"/>
      <c r="AC24" s="385"/>
      <c r="AD24" s="381" t="s">
        <v>98</v>
      </c>
      <c r="AE24" s="383" t="s">
        <v>102</v>
      </c>
      <c r="AF24" s="384"/>
      <c r="AG24" s="384"/>
      <c r="AH24" s="385"/>
      <c r="AI24" s="381" t="s">
        <v>98</v>
      </c>
      <c r="AJ24" s="383" t="s">
        <v>102</v>
      </c>
      <c r="AK24" s="384"/>
      <c r="AL24" s="384"/>
      <c r="AM24" s="385"/>
      <c r="AN24" s="381" t="s">
        <v>98</v>
      </c>
      <c r="AO24" s="383" t="s">
        <v>102</v>
      </c>
      <c r="AP24" s="384"/>
      <c r="AQ24" s="384"/>
      <c r="AR24" s="385"/>
      <c r="AS24" s="381" t="s">
        <v>98</v>
      </c>
      <c r="AT24" s="383" t="s">
        <v>102</v>
      </c>
      <c r="AU24" s="384"/>
      <c r="AV24" s="384"/>
      <c r="AW24" s="385"/>
      <c r="AX24" s="381" t="s">
        <v>98</v>
      </c>
    </row>
    <row r="25" spans="2:50">
      <c r="B25" s="381"/>
      <c r="C25" s="381"/>
      <c r="D25" s="381"/>
      <c r="E25" s="381" t="s">
        <v>103</v>
      </c>
      <c r="F25" s="381"/>
      <c r="G25" s="381"/>
      <c r="H25" s="387"/>
      <c r="I25" s="381" t="s">
        <v>103</v>
      </c>
      <c r="J25" s="381"/>
      <c r="K25" s="381"/>
      <c r="L25" s="387"/>
      <c r="M25" s="390"/>
      <c r="N25" s="381"/>
      <c r="O25" s="381"/>
      <c r="P25" s="383" t="s">
        <v>104</v>
      </c>
      <c r="Q25" s="384"/>
      <c r="R25" s="384"/>
      <c r="S25" s="385"/>
      <c r="T25" s="381"/>
      <c r="U25" s="383" t="s">
        <v>104</v>
      </c>
      <c r="V25" s="384"/>
      <c r="W25" s="384"/>
      <c r="X25" s="385"/>
      <c r="Y25" s="381"/>
      <c r="Z25" s="383" t="s">
        <v>104</v>
      </c>
      <c r="AA25" s="384"/>
      <c r="AB25" s="384"/>
      <c r="AC25" s="385"/>
      <c r="AD25" s="381"/>
      <c r="AE25" s="383" t="s">
        <v>104</v>
      </c>
      <c r="AF25" s="384"/>
      <c r="AG25" s="384"/>
      <c r="AH25" s="385"/>
      <c r="AI25" s="381"/>
      <c r="AJ25" s="383" t="s">
        <v>104</v>
      </c>
      <c r="AK25" s="384"/>
      <c r="AL25" s="384"/>
      <c r="AM25" s="385"/>
      <c r="AN25" s="381"/>
      <c r="AO25" s="383" t="s">
        <v>104</v>
      </c>
      <c r="AP25" s="384"/>
      <c r="AQ25" s="384"/>
      <c r="AR25" s="385"/>
      <c r="AS25" s="381"/>
      <c r="AT25" s="383" t="s">
        <v>104</v>
      </c>
      <c r="AU25" s="384"/>
      <c r="AV25" s="384"/>
      <c r="AW25" s="385"/>
      <c r="AX25" s="381"/>
    </row>
    <row r="26" spans="2:50">
      <c r="B26" s="381"/>
      <c r="C26" s="381"/>
      <c r="D26" s="381"/>
      <c r="E26" s="109" t="s">
        <v>105</v>
      </c>
      <c r="F26" s="109" t="s">
        <v>106</v>
      </c>
      <c r="G26" s="109" t="s">
        <v>107</v>
      </c>
      <c r="H26" s="388"/>
      <c r="I26" s="109" t="s">
        <v>105</v>
      </c>
      <c r="J26" s="109" t="s">
        <v>106</v>
      </c>
      <c r="K26" s="109" t="s">
        <v>107</v>
      </c>
      <c r="L26" s="388"/>
      <c r="M26" s="391"/>
      <c r="N26" s="381"/>
      <c r="O26" s="381"/>
      <c r="P26" s="109" t="s">
        <v>105</v>
      </c>
      <c r="Q26" s="109" t="s">
        <v>106</v>
      </c>
      <c r="R26" s="109" t="s">
        <v>107</v>
      </c>
      <c r="S26" s="109" t="s">
        <v>100</v>
      </c>
      <c r="T26" s="381"/>
      <c r="U26" s="109" t="s">
        <v>105</v>
      </c>
      <c r="V26" s="109" t="s">
        <v>106</v>
      </c>
      <c r="W26" s="109" t="s">
        <v>107</v>
      </c>
      <c r="X26" s="109" t="s">
        <v>100</v>
      </c>
      <c r="Y26" s="381"/>
      <c r="Z26" s="109" t="s">
        <v>105</v>
      </c>
      <c r="AA26" s="109" t="s">
        <v>106</v>
      </c>
      <c r="AB26" s="109" t="s">
        <v>107</v>
      </c>
      <c r="AC26" s="109" t="s">
        <v>100</v>
      </c>
      <c r="AD26" s="381"/>
      <c r="AE26" s="109" t="s">
        <v>105</v>
      </c>
      <c r="AF26" s="109" t="s">
        <v>106</v>
      </c>
      <c r="AG26" s="109" t="s">
        <v>107</v>
      </c>
      <c r="AH26" s="109" t="s">
        <v>100</v>
      </c>
      <c r="AI26" s="381"/>
      <c r="AJ26" s="109" t="s">
        <v>105</v>
      </c>
      <c r="AK26" s="109" t="s">
        <v>106</v>
      </c>
      <c r="AL26" s="109" t="s">
        <v>107</v>
      </c>
      <c r="AM26" s="109" t="s">
        <v>100</v>
      </c>
      <c r="AN26" s="381"/>
      <c r="AO26" s="109" t="s">
        <v>105</v>
      </c>
      <c r="AP26" s="109" t="s">
        <v>106</v>
      </c>
      <c r="AQ26" s="109" t="s">
        <v>107</v>
      </c>
      <c r="AR26" s="109" t="s">
        <v>100</v>
      </c>
      <c r="AS26" s="381"/>
      <c r="AT26" s="109" t="s">
        <v>105</v>
      </c>
      <c r="AU26" s="109" t="s">
        <v>106</v>
      </c>
      <c r="AV26" s="109" t="s">
        <v>107</v>
      </c>
      <c r="AW26" s="109" t="s">
        <v>100</v>
      </c>
      <c r="AX26" s="381"/>
    </row>
    <row r="27" spans="2:50">
      <c r="B27" s="381" t="s">
        <v>133</v>
      </c>
      <c r="C27" s="110">
        <v>1</v>
      </c>
      <c r="D27" s="110"/>
      <c r="E27" s="110"/>
      <c r="F27" s="110"/>
      <c r="G27" s="110"/>
      <c r="H27" s="392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395" t="e">
        <f>AVERAGE(K27:K41)</f>
        <v>#DIV/0!</v>
      </c>
      <c r="M27" s="212" t="e">
        <f>RANK(K27, K$27:$K$41)</f>
        <v>#DIV/0!</v>
      </c>
      <c r="N27" s="381"/>
      <c r="O27" s="381"/>
      <c r="P27" s="110"/>
      <c r="Q27" s="110"/>
      <c r="R27" s="110"/>
      <c r="S27" s="110"/>
      <c r="T27" s="382" t="e">
        <f>AVERAGE(R27:R41)</f>
        <v>#DIV/0!</v>
      </c>
      <c r="U27" s="110"/>
      <c r="V27" s="110"/>
      <c r="W27" s="110"/>
      <c r="X27" s="110"/>
      <c r="Y27" s="382" t="e">
        <f>AVERAGE(W27:W41)</f>
        <v>#DIV/0!</v>
      </c>
      <c r="Z27" s="110"/>
      <c r="AA27" s="110"/>
      <c r="AB27" s="110"/>
      <c r="AC27" s="110"/>
      <c r="AD27" s="382" t="e">
        <f>AVERAGE(AB27:AB41)</f>
        <v>#DIV/0!</v>
      </c>
      <c r="AE27" s="110"/>
      <c r="AF27" s="110"/>
      <c r="AG27" s="110"/>
      <c r="AH27" s="110"/>
      <c r="AI27" s="382" t="e">
        <f>AVERAGE(AG27:AG41)</f>
        <v>#DIV/0!</v>
      </c>
      <c r="AJ27" s="110"/>
      <c r="AK27" s="110"/>
      <c r="AL27" s="110"/>
      <c r="AM27" s="110"/>
      <c r="AN27" s="382" t="e">
        <f>AVERAGE(AL27:AL41)</f>
        <v>#DIV/0!</v>
      </c>
      <c r="AO27" s="110"/>
      <c r="AP27" s="110"/>
      <c r="AQ27" s="110"/>
      <c r="AR27" s="110"/>
      <c r="AS27" s="382" t="e">
        <f>AVERAGE(AQ27:AQ41)</f>
        <v>#DIV/0!</v>
      </c>
      <c r="AT27" s="110"/>
      <c r="AU27" s="110"/>
      <c r="AV27" s="110"/>
      <c r="AW27" s="110"/>
      <c r="AX27" s="382" t="e">
        <f>AVERAGE(AV27:AV41)</f>
        <v>#DIV/0!</v>
      </c>
    </row>
    <row r="28" spans="2:50">
      <c r="B28" s="382"/>
      <c r="C28" s="110">
        <v>2</v>
      </c>
      <c r="D28" s="110"/>
      <c r="E28" s="110"/>
      <c r="F28" s="110"/>
      <c r="G28" s="110"/>
      <c r="H28" s="393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396"/>
      <c r="M28" s="212" t="e">
        <f>RANK(K28, K$27:$K$41)</f>
        <v>#DIV/0!</v>
      </c>
      <c r="N28" s="381"/>
      <c r="O28" s="381"/>
      <c r="P28" s="110"/>
      <c r="Q28" s="110"/>
      <c r="R28" s="110"/>
      <c r="S28" s="110"/>
      <c r="T28" s="382"/>
      <c r="U28" s="110"/>
      <c r="V28" s="110"/>
      <c r="W28" s="110"/>
      <c r="X28" s="110"/>
      <c r="Y28" s="382"/>
      <c r="Z28" s="110"/>
      <c r="AA28" s="110"/>
      <c r="AB28" s="110"/>
      <c r="AC28" s="110"/>
      <c r="AD28" s="382"/>
      <c r="AE28" s="110"/>
      <c r="AF28" s="110"/>
      <c r="AG28" s="110"/>
      <c r="AH28" s="110"/>
      <c r="AI28" s="382"/>
      <c r="AJ28" s="110"/>
      <c r="AK28" s="110"/>
      <c r="AL28" s="110"/>
      <c r="AM28" s="110"/>
      <c r="AN28" s="382"/>
      <c r="AO28" s="110"/>
      <c r="AP28" s="110"/>
      <c r="AQ28" s="110"/>
      <c r="AR28" s="110"/>
      <c r="AS28" s="382"/>
      <c r="AT28" s="110"/>
      <c r="AU28" s="110"/>
      <c r="AV28" s="110"/>
      <c r="AW28" s="110"/>
      <c r="AX28" s="382"/>
    </row>
    <row r="29" spans="2:50">
      <c r="B29" s="382"/>
      <c r="C29" s="110">
        <v>3</v>
      </c>
      <c r="D29" s="110"/>
      <c r="E29" s="110"/>
      <c r="F29" s="110"/>
      <c r="G29" s="110"/>
      <c r="H29" s="393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396"/>
      <c r="M29" s="212" t="e">
        <f>RANK(K29, K$27:$K$41)</f>
        <v>#DIV/0!</v>
      </c>
      <c r="N29" s="381"/>
      <c r="O29" s="381"/>
      <c r="P29" s="110"/>
      <c r="Q29" s="110"/>
      <c r="R29" s="110"/>
      <c r="S29" s="110"/>
      <c r="T29" s="382"/>
      <c r="U29" s="110"/>
      <c r="V29" s="110"/>
      <c r="W29" s="110"/>
      <c r="X29" s="110"/>
      <c r="Y29" s="382"/>
      <c r="Z29" s="110"/>
      <c r="AA29" s="110"/>
      <c r="AB29" s="110"/>
      <c r="AC29" s="110"/>
      <c r="AD29" s="382"/>
      <c r="AE29" s="110"/>
      <c r="AF29" s="110"/>
      <c r="AG29" s="110"/>
      <c r="AH29" s="110"/>
      <c r="AI29" s="382"/>
      <c r="AJ29" s="110"/>
      <c r="AK29" s="110"/>
      <c r="AL29" s="110"/>
      <c r="AM29" s="110"/>
      <c r="AN29" s="382"/>
      <c r="AO29" s="110"/>
      <c r="AP29" s="110"/>
      <c r="AQ29" s="110"/>
      <c r="AR29" s="110"/>
      <c r="AS29" s="382"/>
      <c r="AT29" s="110"/>
      <c r="AU29" s="110"/>
      <c r="AV29" s="110"/>
      <c r="AW29" s="110"/>
      <c r="AX29" s="382"/>
    </row>
    <row r="30" spans="2:50">
      <c r="B30" s="382"/>
      <c r="C30" s="110">
        <v>4</v>
      </c>
      <c r="D30" s="110"/>
      <c r="E30" s="110"/>
      <c r="F30" s="110"/>
      <c r="G30" s="110"/>
      <c r="H30" s="393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396"/>
      <c r="M30" s="212" t="e">
        <f>RANK(K30, K$27:$K$41)</f>
        <v>#DIV/0!</v>
      </c>
      <c r="N30" s="381"/>
      <c r="O30" s="381"/>
      <c r="P30" s="110"/>
      <c r="Q30" s="110"/>
      <c r="R30" s="110"/>
      <c r="S30" s="110"/>
      <c r="T30" s="382"/>
      <c r="U30" s="110"/>
      <c r="V30" s="110"/>
      <c r="W30" s="110"/>
      <c r="X30" s="110"/>
      <c r="Y30" s="382"/>
      <c r="Z30" s="110"/>
      <c r="AA30" s="110"/>
      <c r="AB30" s="110"/>
      <c r="AC30" s="110"/>
      <c r="AD30" s="382"/>
      <c r="AE30" s="110"/>
      <c r="AF30" s="110"/>
      <c r="AG30" s="110"/>
      <c r="AH30" s="110"/>
      <c r="AI30" s="382"/>
      <c r="AJ30" s="110"/>
      <c r="AK30" s="110"/>
      <c r="AL30" s="110"/>
      <c r="AM30" s="110"/>
      <c r="AN30" s="382"/>
      <c r="AO30" s="110"/>
      <c r="AP30" s="110"/>
      <c r="AQ30" s="110"/>
      <c r="AR30" s="110"/>
      <c r="AS30" s="382"/>
      <c r="AT30" s="110"/>
      <c r="AU30" s="110"/>
      <c r="AV30" s="110"/>
      <c r="AW30" s="110"/>
      <c r="AX30" s="382"/>
    </row>
    <row r="31" spans="2:50">
      <c r="B31" s="382"/>
      <c r="C31" s="110">
        <v>5</v>
      </c>
      <c r="D31" s="110"/>
      <c r="E31" s="110"/>
      <c r="F31" s="110"/>
      <c r="G31" s="110"/>
      <c r="H31" s="393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396"/>
      <c r="M31" s="212" t="e">
        <f>RANK(K31, K$27:$K$41)</f>
        <v>#DIV/0!</v>
      </c>
      <c r="N31" s="381"/>
      <c r="O31" s="381"/>
      <c r="P31" s="110"/>
      <c r="Q31" s="110"/>
      <c r="R31" s="110"/>
      <c r="S31" s="110"/>
      <c r="T31" s="382"/>
      <c r="U31" s="110"/>
      <c r="V31" s="110"/>
      <c r="W31" s="110"/>
      <c r="X31" s="110"/>
      <c r="Y31" s="382"/>
      <c r="Z31" s="110"/>
      <c r="AA31" s="110"/>
      <c r="AB31" s="110"/>
      <c r="AC31" s="110"/>
      <c r="AD31" s="382"/>
      <c r="AE31" s="110"/>
      <c r="AF31" s="110"/>
      <c r="AG31" s="110"/>
      <c r="AH31" s="110"/>
      <c r="AI31" s="382"/>
      <c r="AJ31" s="110"/>
      <c r="AK31" s="110"/>
      <c r="AL31" s="110"/>
      <c r="AM31" s="110"/>
      <c r="AN31" s="382"/>
      <c r="AO31" s="110"/>
      <c r="AP31" s="110"/>
      <c r="AQ31" s="110"/>
      <c r="AR31" s="110"/>
      <c r="AS31" s="382"/>
      <c r="AT31" s="110"/>
      <c r="AU31" s="110"/>
      <c r="AV31" s="110"/>
      <c r="AW31" s="110"/>
      <c r="AX31" s="382"/>
    </row>
    <row r="32" spans="2:50">
      <c r="B32" s="382"/>
      <c r="C32" s="110">
        <v>6</v>
      </c>
      <c r="D32" s="110"/>
      <c r="E32" s="110"/>
      <c r="F32" s="110"/>
      <c r="G32" s="110"/>
      <c r="H32" s="393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396"/>
      <c r="M32" s="212" t="e">
        <f>RANK(K32, K$27:$K$41)</f>
        <v>#DIV/0!</v>
      </c>
      <c r="N32" s="381"/>
      <c r="O32" s="381"/>
      <c r="P32" s="110"/>
      <c r="Q32" s="110"/>
      <c r="R32" s="110"/>
      <c r="S32" s="110"/>
      <c r="T32" s="382"/>
      <c r="U32" s="110"/>
      <c r="V32" s="110"/>
      <c r="W32" s="110"/>
      <c r="X32" s="110"/>
      <c r="Y32" s="382"/>
      <c r="Z32" s="110"/>
      <c r="AA32" s="110"/>
      <c r="AB32" s="110"/>
      <c r="AC32" s="110"/>
      <c r="AD32" s="382"/>
      <c r="AE32" s="110"/>
      <c r="AF32" s="110"/>
      <c r="AG32" s="110"/>
      <c r="AH32" s="110"/>
      <c r="AI32" s="382"/>
      <c r="AJ32" s="110"/>
      <c r="AK32" s="110"/>
      <c r="AL32" s="110"/>
      <c r="AM32" s="110"/>
      <c r="AN32" s="382"/>
      <c r="AO32" s="110"/>
      <c r="AP32" s="110"/>
      <c r="AQ32" s="110"/>
      <c r="AR32" s="110"/>
      <c r="AS32" s="382"/>
      <c r="AT32" s="110"/>
      <c r="AU32" s="110"/>
      <c r="AV32" s="110"/>
      <c r="AW32" s="110"/>
      <c r="AX32" s="382"/>
    </row>
    <row r="33" spans="2:50">
      <c r="B33" s="382"/>
      <c r="C33" s="110">
        <v>7</v>
      </c>
      <c r="D33" s="110"/>
      <c r="E33" s="110"/>
      <c r="F33" s="110"/>
      <c r="G33" s="110"/>
      <c r="H33" s="393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396"/>
      <c r="M33" s="212" t="e">
        <f>RANK(K33, K$27:$K$41)</f>
        <v>#DIV/0!</v>
      </c>
      <c r="N33" s="381"/>
      <c r="O33" s="381"/>
      <c r="P33" s="110"/>
      <c r="Q33" s="110"/>
      <c r="R33" s="110"/>
      <c r="S33" s="110"/>
      <c r="T33" s="382"/>
      <c r="U33" s="110"/>
      <c r="V33" s="110"/>
      <c r="W33" s="110"/>
      <c r="X33" s="110"/>
      <c r="Y33" s="382"/>
      <c r="Z33" s="110"/>
      <c r="AA33" s="110"/>
      <c r="AB33" s="110"/>
      <c r="AC33" s="110"/>
      <c r="AD33" s="382"/>
      <c r="AE33" s="110"/>
      <c r="AF33" s="110"/>
      <c r="AG33" s="110"/>
      <c r="AH33" s="110"/>
      <c r="AI33" s="382"/>
      <c r="AJ33" s="110"/>
      <c r="AK33" s="110"/>
      <c r="AL33" s="110"/>
      <c r="AM33" s="110"/>
      <c r="AN33" s="382"/>
      <c r="AO33" s="110"/>
      <c r="AP33" s="110"/>
      <c r="AQ33" s="110"/>
      <c r="AR33" s="110"/>
      <c r="AS33" s="382"/>
      <c r="AT33" s="110"/>
      <c r="AU33" s="110"/>
      <c r="AV33" s="110"/>
      <c r="AW33" s="110"/>
      <c r="AX33" s="382"/>
    </row>
    <row r="34" spans="2:50">
      <c r="B34" s="382"/>
      <c r="C34" s="110">
        <v>8</v>
      </c>
      <c r="D34" s="110"/>
      <c r="E34" s="110"/>
      <c r="F34" s="110"/>
      <c r="G34" s="110"/>
      <c r="H34" s="393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396"/>
      <c r="M34" s="212" t="e">
        <f>RANK(K34, K$27:$K$41)</f>
        <v>#DIV/0!</v>
      </c>
      <c r="N34" s="381"/>
      <c r="O34" s="381"/>
      <c r="P34" s="110"/>
      <c r="Q34" s="110"/>
      <c r="R34" s="110"/>
      <c r="S34" s="110"/>
      <c r="T34" s="382"/>
      <c r="U34" s="110"/>
      <c r="V34" s="110"/>
      <c r="W34" s="110"/>
      <c r="X34" s="110"/>
      <c r="Y34" s="382"/>
      <c r="Z34" s="110"/>
      <c r="AA34" s="110"/>
      <c r="AB34" s="110"/>
      <c r="AC34" s="110"/>
      <c r="AD34" s="382"/>
      <c r="AE34" s="110"/>
      <c r="AF34" s="110"/>
      <c r="AG34" s="110"/>
      <c r="AH34" s="110"/>
      <c r="AI34" s="382"/>
      <c r="AJ34" s="110"/>
      <c r="AK34" s="110"/>
      <c r="AL34" s="110"/>
      <c r="AM34" s="110"/>
      <c r="AN34" s="382"/>
      <c r="AO34" s="110"/>
      <c r="AP34" s="110"/>
      <c r="AQ34" s="110"/>
      <c r="AR34" s="110"/>
      <c r="AS34" s="382"/>
      <c r="AT34" s="110"/>
      <c r="AU34" s="110"/>
      <c r="AV34" s="110"/>
      <c r="AW34" s="110"/>
      <c r="AX34" s="382"/>
    </row>
    <row r="35" spans="2:50">
      <c r="B35" s="382"/>
      <c r="C35" s="110">
        <v>9</v>
      </c>
      <c r="D35" s="110"/>
      <c r="E35" s="110"/>
      <c r="F35" s="110"/>
      <c r="G35" s="110"/>
      <c r="H35" s="393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396"/>
      <c r="M35" s="212" t="e">
        <f>RANK(K35, K$27:$K$41)</f>
        <v>#DIV/0!</v>
      </c>
      <c r="N35" s="381"/>
      <c r="O35" s="381"/>
      <c r="P35" s="110"/>
      <c r="Q35" s="110"/>
      <c r="R35" s="110"/>
      <c r="S35" s="110"/>
      <c r="T35" s="382"/>
      <c r="U35" s="110"/>
      <c r="V35" s="110"/>
      <c r="W35" s="110"/>
      <c r="X35" s="110"/>
      <c r="Y35" s="382"/>
      <c r="Z35" s="110"/>
      <c r="AA35" s="110"/>
      <c r="AB35" s="110"/>
      <c r="AC35" s="110"/>
      <c r="AD35" s="382"/>
      <c r="AE35" s="110"/>
      <c r="AF35" s="110"/>
      <c r="AG35" s="110"/>
      <c r="AH35" s="110"/>
      <c r="AI35" s="382"/>
      <c r="AJ35" s="110"/>
      <c r="AK35" s="110"/>
      <c r="AL35" s="110"/>
      <c r="AM35" s="110"/>
      <c r="AN35" s="382"/>
      <c r="AO35" s="110"/>
      <c r="AP35" s="110"/>
      <c r="AQ35" s="110"/>
      <c r="AR35" s="110"/>
      <c r="AS35" s="382"/>
      <c r="AT35" s="110"/>
      <c r="AU35" s="110"/>
      <c r="AV35" s="110"/>
      <c r="AW35" s="110"/>
      <c r="AX35" s="382"/>
    </row>
    <row r="36" spans="2:50">
      <c r="B36" s="382"/>
      <c r="C36" s="110">
        <v>10</v>
      </c>
      <c r="D36" s="110"/>
      <c r="E36" s="110"/>
      <c r="F36" s="110"/>
      <c r="G36" s="110"/>
      <c r="H36" s="393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396"/>
      <c r="M36" s="212" t="e">
        <f>RANK(K36, K$27:$K$41)</f>
        <v>#DIV/0!</v>
      </c>
      <c r="N36" s="381"/>
      <c r="O36" s="381"/>
      <c r="P36" s="110"/>
      <c r="Q36" s="110"/>
      <c r="R36" s="110"/>
      <c r="S36" s="110"/>
      <c r="T36" s="382"/>
      <c r="U36" s="110"/>
      <c r="V36" s="110"/>
      <c r="W36" s="110"/>
      <c r="X36" s="110"/>
      <c r="Y36" s="382"/>
      <c r="Z36" s="110"/>
      <c r="AA36" s="110"/>
      <c r="AB36" s="110"/>
      <c r="AC36" s="110"/>
      <c r="AD36" s="382"/>
      <c r="AE36" s="110"/>
      <c r="AF36" s="110"/>
      <c r="AG36" s="110"/>
      <c r="AH36" s="110"/>
      <c r="AI36" s="382"/>
      <c r="AJ36" s="110"/>
      <c r="AK36" s="110"/>
      <c r="AL36" s="110"/>
      <c r="AM36" s="110"/>
      <c r="AN36" s="382"/>
      <c r="AO36" s="110"/>
      <c r="AP36" s="110"/>
      <c r="AQ36" s="110"/>
      <c r="AR36" s="110"/>
      <c r="AS36" s="382"/>
      <c r="AT36" s="110"/>
      <c r="AU36" s="110"/>
      <c r="AV36" s="110"/>
      <c r="AW36" s="110"/>
      <c r="AX36" s="382"/>
    </row>
    <row r="37" spans="2:50">
      <c r="B37" s="382"/>
      <c r="C37" s="110">
        <v>11</v>
      </c>
      <c r="D37" s="110"/>
      <c r="E37" s="110"/>
      <c r="F37" s="110"/>
      <c r="G37" s="110"/>
      <c r="H37" s="393"/>
      <c r="I37" s="110"/>
      <c r="J37" s="110"/>
      <c r="K37" s="110"/>
      <c r="L37" s="396"/>
      <c r="M37" s="212" t="e">
        <f>RANK(K37, K$27:$K$41)</f>
        <v>#DIV/0!</v>
      </c>
      <c r="N37" s="381"/>
      <c r="O37" s="381"/>
      <c r="P37" s="110"/>
      <c r="Q37" s="110"/>
      <c r="R37" s="110"/>
      <c r="S37" s="110"/>
      <c r="T37" s="382"/>
      <c r="U37" s="110"/>
      <c r="V37" s="110"/>
      <c r="W37" s="110"/>
      <c r="X37" s="110"/>
      <c r="Y37" s="382"/>
      <c r="Z37" s="110"/>
      <c r="AA37" s="110"/>
      <c r="AB37" s="110"/>
      <c r="AC37" s="110"/>
      <c r="AD37" s="382"/>
      <c r="AE37" s="110"/>
      <c r="AF37" s="110"/>
      <c r="AG37" s="110"/>
      <c r="AH37" s="110"/>
      <c r="AI37" s="382"/>
      <c r="AJ37" s="110"/>
      <c r="AK37" s="110"/>
      <c r="AL37" s="110"/>
      <c r="AM37" s="110"/>
      <c r="AN37" s="382"/>
      <c r="AO37" s="110"/>
      <c r="AP37" s="110"/>
      <c r="AQ37" s="110"/>
      <c r="AR37" s="110"/>
      <c r="AS37" s="382"/>
      <c r="AT37" s="110"/>
      <c r="AU37" s="110"/>
      <c r="AV37" s="110"/>
      <c r="AW37" s="110"/>
      <c r="AX37" s="382"/>
    </row>
    <row r="38" spans="2:50">
      <c r="B38" s="382"/>
      <c r="C38" s="110">
        <v>12</v>
      </c>
      <c r="D38" s="110"/>
      <c r="E38" s="110"/>
      <c r="F38" s="110"/>
      <c r="G38" s="110"/>
      <c r="H38" s="393"/>
      <c r="I38" s="110"/>
      <c r="J38" s="110"/>
      <c r="K38" s="110"/>
      <c r="L38" s="396"/>
      <c r="M38" s="212" t="e">
        <f>RANK(K38, K$27:$K$41)</f>
        <v>#DIV/0!</v>
      </c>
      <c r="N38" s="381"/>
      <c r="O38" s="381"/>
      <c r="P38" s="110"/>
      <c r="Q38" s="110"/>
      <c r="R38" s="110"/>
      <c r="S38" s="110"/>
      <c r="T38" s="382"/>
      <c r="U38" s="110"/>
      <c r="V38" s="110"/>
      <c r="W38" s="110"/>
      <c r="X38" s="110"/>
      <c r="Y38" s="382"/>
      <c r="Z38" s="110"/>
      <c r="AA38" s="110"/>
      <c r="AB38" s="110"/>
      <c r="AC38" s="110"/>
      <c r="AD38" s="382"/>
      <c r="AE38" s="110"/>
      <c r="AF38" s="110"/>
      <c r="AG38" s="110"/>
      <c r="AH38" s="110"/>
      <c r="AI38" s="382"/>
      <c r="AJ38" s="110"/>
      <c r="AK38" s="110"/>
      <c r="AL38" s="110"/>
      <c r="AM38" s="110"/>
      <c r="AN38" s="382"/>
      <c r="AO38" s="110"/>
      <c r="AP38" s="110"/>
      <c r="AQ38" s="110"/>
      <c r="AR38" s="110"/>
      <c r="AS38" s="382"/>
      <c r="AT38" s="110"/>
      <c r="AU38" s="110"/>
      <c r="AV38" s="110"/>
      <c r="AW38" s="110"/>
      <c r="AX38" s="382"/>
    </row>
    <row r="39" spans="2:50">
      <c r="B39" s="382"/>
      <c r="C39" s="110">
        <v>13</v>
      </c>
      <c r="D39" s="110"/>
      <c r="E39" s="110"/>
      <c r="F39" s="110"/>
      <c r="G39" s="110"/>
      <c r="H39" s="393"/>
      <c r="I39" s="110"/>
      <c r="J39" s="110"/>
      <c r="K39" s="110"/>
      <c r="L39" s="396"/>
      <c r="M39" s="212" t="e">
        <f>RANK(K39, K$27:$K$41)</f>
        <v>#DIV/0!</v>
      </c>
      <c r="N39" s="381"/>
      <c r="O39" s="381"/>
      <c r="P39" s="110"/>
      <c r="Q39" s="110"/>
      <c r="R39" s="110"/>
      <c r="S39" s="110"/>
      <c r="T39" s="382"/>
      <c r="U39" s="110"/>
      <c r="V39" s="110"/>
      <c r="W39" s="110"/>
      <c r="X39" s="110"/>
      <c r="Y39" s="382"/>
      <c r="Z39" s="110"/>
      <c r="AA39" s="110"/>
      <c r="AB39" s="110"/>
      <c r="AC39" s="110"/>
      <c r="AD39" s="382"/>
      <c r="AE39" s="110"/>
      <c r="AF39" s="110"/>
      <c r="AG39" s="110"/>
      <c r="AH39" s="110"/>
      <c r="AI39" s="382"/>
      <c r="AJ39" s="110"/>
      <c r="AK39" s="110"/>
      <c r="AL39" s="110"/>
      <c r="AM39" s="110"/>
      <c r="AN39" s="382"/>
      <c r="AO39" s="110"/>
      <c r="AP39" s="110"/>
      <c r="AQ39" s="110"/>
      <c r="AR39" s="110"/>
      <c r="AS39" s="382"/>
      <c r="AT39" s="110"/>
      <c r="AU39" s="110"/>
      <c r="AV39" s="110"/>
      <c r="AW39" s="110"/>
      <c r="AX39" s="382"/>
    </row>
    <row r="40" spans="2:50">
      <c r="B40" s="382"/>
      <c r="C40" s="110">
        <v>14</v>
      </c>
      <c r="D40" s="110"/>
      <c r="E40" s="110"/>
      <c r="F40" s="110"/>
      <c r="G40" s="110"/>
      <c r="H40" s="393"/>
      <c r="I40" s="110"/>
      <c r="J40" s="110"/>
      <c r="K40" s="110"/>
      <c r="L40" s="396"/>
      <c r="M40" s="212" t="e">
        <f>RANK(K40, K$27:$K$41)</f>
        <v>#DIV/0!</v>
      </c>
      <c r="N40" s="381"/>
      <c r="O40" s="381"/>
      <c r="P40" s="110"/>
      <c r="Q40" s="110"/>
      <c r="R40" s="110"/>
      <c r="S40" s="110"/>
      <c r="T40" s="382"/>
      <c r="U40" s="110"/>
      <c r="V40" s="110"/>
      <c r="W40" s="110"/>
      <c r="X40" s="110"/>
      <c r="Y40" s="382"/>
      <c r="Z40" s="110"/>
      <c r="AA40" s="110"/>
      <c r="AB40" s="110"/>
      <c r="AC40" s="110"/>
      <c r="AD40" s="382"/>
      <c r="AE40" s="110"/>
      <c r="AF40" s="110"/>
      <c r="AG40" s="110"/>
      <c r="AH40" s="110"/>
      <c r="AI40" s="382"/>
      <c r="AJ40" s="110"/>
      <c r="AK40" s="110"/>
      <c r="AL40" s="110"/>
      <c r="AM40" s="110"/>
      <c r="AN40" s="382"/>
      <c r="AO40" s="110"/>
      <c r="AP40" s="110"/>
      <c r="AQ40" s="110"/>
      <c r="AR40" s="110"/>
      <c r="AS40" s="382"/>
      <c r="AT40" s="110"/>
      <c r="AU40" s="110"/>
      <c r="AV40" s="110"/>
      <c r="AW40" s="110"/>
      <c r="AX40" s="382"/>
    </row>
    <row r="41" spans="2:50">
      <c r="B41" s="382"/>
      <c r="C41" s="110">
        <v>15</v>
      </c>
      <c r="D41" s="110"/>
      <c r="E41" s="110"/>
      <c r="F41" s="110"/>
      <c r="G41" s="110"/>
      <c r="H41" s="394"/>
      <c r="I41" s="110"/>
      <c r="J41" s="110"/>
      <c r="K41" s="110"/>
      <c r="L41" s="397"/>
      <c r="M41" s="184" t="e">
        <f>RANK(K41, K$27:$K$41)</f>
        <v>#DIV/0!</v>
      </c>
      <c r="N41" s="381"/>
      <c r="O41" s="381"/>
      <c r="P41" s="110"/>
      <c r="Q41" s="110"/>
      <c r="R41" s="110"/>
      <c r="S41" s="110"/>
      <c r="T41" s="382"/>
      <c r="U41" s="110"/>
      <c r="V41" s="110"/>
      <c r="W41" s="110"/>
      <c r="X41" s="110"/>
      <c r="Y41" s="382"/>
      <c r="Z41" s="110"/>
      <c r="AA41" s="110"/>
      <c r="AB41" s="110"/>
      <c r="AC41" s="110"/>
      <c r="AD41" s="382"/>
      <c r="AE41" s="110"/>
      <c r="AF41" s="110"/>
      <c r="AG41" s="110"/>
      <c r="AH41" s="110"/>
      <c r="AI41" s="382"/>
      <c r="AJ41" s="110"/>
      <c r="AK41" s="110"/>
      <c r="AL41" s="110"/>
      <c r="AM41" s="110"/>
      <c r="AN41" s="382"/>
      <c r="AO41" s="110"/>
      <c r="AP41" s="110"/>
      <c r="AQ41" s="110"/>
      <c r="AR41" s="110"/>
      <c r="AS41" s="382"/>
      <c r="AT41" s="110"/>
      <c r="AU41" s="110"/>
      <c r="AV41" s="110"/>
      <c r="AW41" s="110"/>
      <c r="AX41" s="382"/>
    </row>
    <row r="42" spans="2:50" ht="15.75">
      <c r="B42" s="402" t="s">
        <v>93</v>
      </c>
      <c r="C42" s="403"/>
      <c r="D42" s="403"/>
      <c r="E42" s="403"/>
      <c r="F42" s="403"/>
      <c r="G42" s="403"/>
      <c r="H42" s="403"/>
      <c r="I42" s="214"/>
      <c r="J42" s="183"/>
      <c r="K42" s="214"/>
      <c r="L42" s="214"/>
      <c r="M42" s="179"/>
      <c r="N42" s="389" t="s">
        <v>94</v>
      </c>
      <c r="O42" s="389" t="s">
        <v>52</v>
      </c>
      <c r="P42" s="401">
        <v>45881</v>
      </c>
      <c r="Q42" s="382"/>
      <c r="R42" s="382"/>
      <c r="S42" s="382"/>
      <c r="T42" s="382"/>
      <c r="U42" s="401">
        <v>45882</v>
      </c>
      <c r="V42" s="382"/>
      <c r="W42" s="382"/>
      <c r="X42" s="382"/>
      <c r="Y42" s="382"/>
      <c r="Z42" s="401">
        <v>45883</v>
      </c>
      <c r="AA42" s="382"/>
      <c r="AB42" s="382"/>
      <c r="AC42" s="382"/>
      <c r="AD42" s="382"/>
      <c r="AE42" s="401">
        <v>45884</v>
      </c>
      <c r="AF42" s="382"/>
      <c r="AG42" s="382"/>
      <c r="AH42" s="382"/>
      <c r="AI42" s="382"/>
      <c r="AJ42" s="401">
        <v>45885</v>
      </c>
      <c r="AK42" s="382"/>
      <c r="AL42" s="382"/>
      <c r="AM42" s="382"/>
      <c r="AN42" s="382"/>
      <c r="AO42" s="401">
        <v>45886</v>
      </c>
      <c r="AP42" s="382"/>
      <c r="AQ42" s="382"/>
      <c r="AR42" s="382"/>
      <c r="AS42" s="382"/>
      <c r="AT42" s="401">
        <v>45887</v>
      </c>
      <c r="AU42" s="382"/>
      <c r="AV42" s="382"/>
      <c r="AW42" s="382"/>
      <c r="AX42" s="382"/>
    </row>
    <row r="43" spans="2:50" ht="15.75">
      <c r="B43" s="400"/>
      <c r="C43" s="400"/>
      <c r="D43" s="400"/>
      <c r="E43" s="400"/>
      <c r="F43" s="400"/>
      <c r="G43" s="400"/>
      <c r="H43" s="400"/>
      <c r="I43" s="180"/>
      <c r="J43" s="180"/>
      <c r="K43" s="180"/>
      <c r="L43" s="180"/>
      <c r="M43" s="181"/>
      <c r="N43" s="391"/>
      <c r="O43" s="391"/>
      <c r="P43" s="401" t="s">
        <v>66</v>
      </c>
      <c r="Q43" s="382"/>
      <c r="R43" s="382"/>
      <c r="S43" s="382"/>
      <c r="T43" s="382"/>
      <c r="U43" s="401" t="s">
        <v>67</v>
      </c>
      <c r="V43" s="382"/>
      <c r="W43" s="382"/>
      <c r="X43" s="382"/>
      <c r="Y43" s="382"/>
      <c r="Z43" s="401" t="s">
        <v>68</v>
      </c>
      <c r="AA43" s="382"/>
      <c r="AB43" s="382"/>
      <c r="AC43" s="382"/>
      <c r="AD43" s="382"/>
      <c r="AE43" s="401" t="s">
        <v>63</v>
      </c>
      <c r="AF43" s="382"/>
      <c r="AG43" s="382"/>
      <c r="AH43" s="382"/>
      <c r="AI43" s="382"/>
      <c r="AJ43" s="401" t="s">
        <v>64</v>
      </c>
      <c r="AK43" s="382"/>
      <c r="AL43" s="382"/>
      <c r="AM43" s="382"/>
      <c r="AN43" s="382"/>
      <c r="AO43" s="401" t="s">
        <v>59</v>
      </c>
      <c r="AP43" s="382"/>
      <c r="AQ43" s="382"/>
      <c r="AR43" s="382"/>
      <c r="AS43" s="382"/>
      <c r="AT43" s="401" t="s">
        <v>65</v>
      </c>
      <c r="AU43" s="382"/>
      <c r="AV43" s="382"/>
      <c r="AW43" s="382"/>
      <c r="AX43" s="382"/>
    </row>
    <row r="44" spans="2:50">
      <c r="B44" s="381" t="s">
        <v>95</v>
      </c>
      <c r="C44" s="381" t="s">
        <v>96</v>
      </c>
      <c r="D44" s="381"/>
      <c r="E44" s="381" t="s">
        <v>97</v>
      </c>
      <c r="F44" s="381"/>
      <c r="G44" s="381"/>
      <c r="H44" s="386" t="s">
        <v>98</v>
      </c>
      <c r="I44" s="381" t="s">
        <v>99</v>
      </c>
      <c r="J44" s="381"/>
      <c r="K44" s="381"/>
      <c r="L44" s="386" t="s">
        <v>98</v>
      </c>
      <c r="M44" s="389" t="s">
        <v>100</v>
      </c>
      <c r="N44" s="381"/>
      <c r="O44" s="381" t="s">
        <v>101</v>
      </c>
      <c r="P44" s="383" t="s">
        <v>102</v>
      </c>
      <c r="Q44" s="384"/>
      <c r="R44" s="384"/>
      <c r="S44" s="385"/>
      <c r="T44" s="381" t="s">
        <v>98</v>
      </c>
      <c r="U44" s="383" t="s">
        <v>102</v>
      </c>
      <c r="V44" s="384"/>
      <c r="W44" s="384"/>
      <c r="X44" s="385"/>
      <c r="Y44" s="381" t="s">
        <v>98</v>
      </c>
      <c r="Z44" s="383" t="s">
        <v>102</v>
      </c>
      <c r="AA44" s="384"/>
      <c r="AB44" s="384"/>
      <c r="AC44" s="385"/>
      <c r="AD44" s="381" t="s">
        <v>98</v>
      </c>
      <c r="AE44" s="383" t="s">
        <v>102</v>
      </c>
      <c r="AF44" s="384"/>
      <c r="AG44" s="384"/>
      <c r="AH44" s="385"/>
      <c r="AI44" s="381" t="s">
        <v>98</v>
      </c>
      <c r="AJ44" s="383" t="s">
        <v>102</v>
      </c>
      <c r="AK44" s="384"/>
      <c r="AL44" s="384"/>
      <c r="AM44" s="385"/>
      <c r="AN44" s="381" t="s">
        <v>98</v>
      </c>
      <c r="AO44" s="383" t="s">
        <v>102</v>
      </c>
      <c r="AP44" s="384"/>
      <c r="AQ44" s="384"/>
      <c r="AR44" s="385"/>
      <c r="AS44" s="381" t="s">
        <v>98</v>
      </c>
      <c r="AT44" s="383" t="s">
        <v>102</v>
      </c>
      <c r="AU44" s="384"/>
      <c r="AV44" s="384"/>
      <c r="AW44" s="385"/>
      <c r="AX44" s="381" t="s">
        <v>98</v>
      </c>
    </row>
    <row r="45" spans="2:50">
      <c r="B45" s="381"/>
      <c r="C45" s="381"/>
      <c r="D45" s="381"/>
      <c r="E45" s="381" t="s">
        <v>103</v>
      </c>
      <c r="F45" s="381"/>
      <c r="G45" s="381"/>
      <c r="H45" s="387"/>
      <c r="I45" s="381" t="s">
        <v>103</v>
      </c>
      <c r="J45" s="381"/>
      <c r="K45" s="381"/>
      <c r="L45" s="387"/>
      <c r="M45" s="390"/>
      <c r="N45" s="381"/>
      <c r="O45" s="381"/>
      <c r="P45" s="383" t="s">
        <v>104</v>
      </c>
      <c r="Q45" s="384"/>
      <c r="R45" s="384"/>
      <c r="S45" s="385"/>
      <c r="T45" s="381"/>
      <c r="U45" s="383" t="s">
        <v>104</v>
      </c>
      <c r="V45" s="384"/>
      <c r="W45" s="384"/>
      <c r="X45" s="385"/>
      <c r="Y45" s="381"/>
      <c r="Z45" s="383" t="s">
        <v>104</v>
      </c>
      <c r="AA45" s="384"/>
      <c r="AB45" s="384"/>
      <c r="AC45" s="385"/>
      <c r="AD45" s="381"/>
      <c r="AE45" s="383" t="s">
        <v>104</v>
      </c>
      <c r="AF45" s="384"/>
      <c r="AG45" s="384"/>
      <c r="AH45" s="385"/>
      <c r="AI45" s="381"/>
      <c r="AJ45" s="383" t="s">
        <v>104</v>
      </c>
      <c r="AK45" s="384"/>
      <c r="AL45" s="384"/>
      <c r="AM45" s="385"/>
      <c r="AN45" s="381"/>
      <c r="AO45" s="383" t="s">
        <v>104</v>
      </c>
      <c r="AP45" s="384"/>
      <c r="AQ45" s="384"/>
      <c r="AR45" s="385"/>
      <c r="AS45" s="381"/>
      <c r="AT45" s="383" t="s">
        <v>104</v>
      </c>
      <c r="AU45" s="384"/>
      <c r="AV45" s="384"/>
      <c r="AW45" s="385"/>
      <c r="AX45" s="381"/>
    </row>
    <row r="46" spans="2:50">
      <c r="B46" s="381"/>
      <c r="C46" s="381"/>
      <c r="D46" s="381"/>
      <c r="E46" s="109" t="s">
        <v>105</v>
      </c>
      <c r="F46" s="109" t="s">
        <v>106</v>
      </c>
      <c r="G46" s="109" t="s">
        <v>107</v>
      </c>
      <c r="H46" s="388"/>
      <c r="I46" s="109" t="s">
        <v>105</v>
      </c>
      <c r="J46" s="109" t="s">
        <v>106</v>
      </c>
      <c r="K46" s="109" t="s">
        <v>107</v>
      </c>
      <c r="L46" s="388"/>
      <c r="M46" s="391"/>
      <c r="N46" s="381"/>
      <c r="O46" s="381"/>
      <c r="P46" s="109" t="s">
        <v>105</v>
      </c>
      <c r="Q46" s="109" t="s">
        <v>106</v>
      </c>
      <c r="R46" s="109" t="s">
        <v>107</v>
      </c>
      <c r="S46" s="109" t="s">
        <v>100</v>
      </c>
      <c r="T46" s="381"/>
      <c r="U46" s="109" t="s">
        <v>105</v>
      </c>
      <c r="V46" s="109" t="s">
        <v>106</v>
      </c>
      <c r="W46" s="109" t="s">
        <v>107</v>
      </c>
      <c r="X46" s="109" t="s">
        <v>100</v>
      </c>
      <c r="Y46" s="381"/>
      <c r="Z46" s="109" t="s">
        <v>105</v>
      </c>
      <c r="AA46" s="109" t="s">
        <v>106</v>
      </c>
      <c r="AB46" s="109" t="s">
        <v>107</v>
      </c>
      <c r="AC46" s="109" t="s">
        <v>100</v>
      </c>
      <c r="AD46" s="381"/>
      <c r="AE46" s="109" t="s">
        <v>105</v>
      </c>
      <c r="AF46" s="109" t="s">
        <v>106</v>
      </c>
      <c r="AG46" s="109" t="s">
        <v>107</v>
      </c>
      <c r="AH46" s="109" t="s">
        <v>100</v>
      </c>
      <c r="AI46" s="381"/>
      <c r="AJ46" s="109" t="s">
        <v>105</v>
      </c>
      <c r="AK46" s="109" t="s">
        <v>106</v>
      </c>
      <c r="AL46" s="109" t="s">
        <v>107</v>
      </c>
      <c r="AM46" s="109" t="s">
        <v>100</v>
      </c>
      <c r="AN46" s="381"/>
      <c r="AO46" s="109" t="s">
        <v>105</v>
      </c>
      <c r="AP46" s="109" t="s">
        <v>106</v>
      </c>
      <c r="AQ46" s="109" t="s">
        <v>107</v>
      </c>
      <c r="AR46" s="109" t="s">
        <v>100</v>
      </c>
      <c r="AS46" s="381"/>
      <c r="AT46" s="109" t="s">
        <v>105</v>
      </c>
      <c r="AU46" s="109" t="s">
        <v>106</v>
      </c>
      <c r="AV46" s="109" t="s">
        <v>107</v>
      </c>
      <c r="AW46" s="109" t="s">
        <v>100</v>
      </c>
      <c r="AX46" s="381"/>
    </row>
    <row r="47" spans="2:50">
      <c r="B47" s="381" t="s">
        <v>133</v>
      </c>
      <c r="C47" s="110">
        <v>1</v>
      </c>
      <c r="D47" s="110"/>
      <c r="E47" s="110"/>
      <c r="F47" s="110"/>
      <c r="G47" s="110"/>
      <c r="H47" s="392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395" t="e">
        <f>AVERAGE(K47:K61)</f>
        <v>#DIV/0!</v>
      </c>
      <c r="M47" s="184" t="e">
        <f>RANK(K47, K$47:$K$61)</f>
        <v>#DIV/0!</v>
      </c>
      <c r="N47" s="381"/>
      <c r="O47" s="381"/>
      <c r="P47" s="110"/>
      <c r="Q47" s="110"/>
      <c r="R47" s="110"/>
      <c r="S47" s="110"/>
      <c r="T47" s="382" t="e">
        <f>AVERAGE(R47:R61)</f>
        <v>#DIV/0!</v>
      </c>
      <c r="U47" s="110"/>
      <c r="V47" s="110"/>
      <c r="W47" s="110"/>
      <c r="X47" s="110"/>
      <c r="Y47" s="382" t="e">
        <f>AVERAGE(W47:W61)</f>
        <v>#DIV/0!</v>
      </c>
      <c r="Z47" s="110"/>
      <c r="AA47" s="110"/>
      <c r="AB47" s="110"/>
      <c r="AC47" s="110"/>
      <c r="AD47" s="382" t="e">
        <f>AVERAGE(AB47:AB61)</f>
        <v>#DIV/0!</v>
      </c>
      <c r="AE47" s="110"/>
      <c r="AF47" s="110"/>
      <c r="AG47" s="110"/>
      <c r="AH47" s="110"/>
      <c r="AI47" s="382" t="e">
        <f>AVERAGE(AG47:AG61)</f>
        <v>#DIV/0!</v>
      </c>
      <c r="AJ47" s="110"/>
      <c r="AK47" s="110"/>
      <c r="AL47" s="110"/>
      <c r="AM47" s="110"/>
      <c r="AN47" s="382" t="e">
        <f>AVERAGE(AL47:AL61)</f>
        <v>#DIV/0!</v>
      </c>
      <c r="AO47" s="110"/>
      <c r="AP47" s="110"/>
      <c r="AQ47" s="110"/>
      <c r="AR47" s="110"/>
      <c r="AS47" s="382" t="e">
        <f>AVERAGE(AQ47:AQ61)</f>
        <v>#DIV/0!</v>
      </c>
      <c r="AT47" s="110"/>
      <c r="AU47" s="110"/>
      <c r="AV47" s="110"/>
      <c r="AW47" s="110"/>
      <c r="AX47" s="382" t="e">
        <f>AVERAGE(AV47:AV61)</f>
        <v>#DIV/0!</v>
      </c>
    </row>
    <row r="48" spans="2:50">
      <c r="B48" s="382"/>
      <c r="C48" s="110">
        <v>2</v>
      </c>
      <c r="D48" s="110"/>
      <c r="E48" s="110"/>
      <c r="F48" s="110"/>
      <c r="G48" s="110"/>
      <c r="H48" s="393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396"/>
      <c r="M48" s="184" t="e">
        <f>RANK(K48, K$47:$K$61)</f>
        <v>#DIV/0!</v>
      </c>
      <c r="N48" s="381"/>
      <c r="O48" s="381"/>
      <c r="P48" s="110"/>
      <c r="Q48" s="110"/>
      <c r="R48" s="110"/>
      <c r="S48" s="110"/>
      <c r="T48" s="382"/>
      <c r="U48" s="110"/>
      <c r="V48" s="110"/>
      <c r="W48" s="110"/>
      <c r="X48" s="110"/>
      <c r="Y48" s="382"/>
      <c r="Z48" s="110"/>
      <c r="AA48" s="110"/>
      <c r="AB48" s="110"/>
      <c r="AC48" s="110"/>
      <c r="AD48" s="382"/>
      <c r="AE48" s="110"/>
      <c r="AF48" s="110"/>
      <c r="AG48" s="110"/>
      <c r="AH48" s="110"/>
      <c r="AI48" s="382"/>
      <c r="AJ48" s="110"/>
      <c r="AK48" s="110"/>
      <c r="AL48" s="110"/>
      <c r="AM48" s="110"/>
      <c r="AN48" s="382"/>
      <c r="AO48" s="110"/>
      <c r="AP48" s="110"/>
      <c r="AQ48" s="110"/>
      <c r="AR48" s="110"/>
      <c r="AS48" s="382"/>
      <c r="AT48" s="110"/>
      <c r="AU48" s="110"/>
      <c r="AV48" s="110"/>
      <c r="AW48" s="110"/>
      <c r="AX48" s="382"/>
    </row>
    <row r="49" spans="2:50">
      <c r="B49" s="382"/>
      <c r="C49" s="110">
        <v>3</v>
      </c>
      <c r="D49" s="110"/>
      <c r="E49" s="110"/>
      <c r="F49" s="110"/>
      <c r="G49" s="110"/>
      <c r="H49" s="393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396"/>
      <c r="M49" s="184" t="e">
        <f>RANK(K49, K$47:$K$61)</f>
        <v>#DIV/0!</v>
      </c>
      <c r="N49" s="381"/>
      <c r="O49" s="381"/>
      <c r="P49" s="110"/>
      <c r="Q49" s="110"/>
      <c r="R49" s="110"/>
      <c r="S49" s="110"/>
      <c r="T49" s="382"/>
      <c r="U49" s="110"/>
      <c r="V49" s="110"/>
      <c r="W49" s="110"/>
      <c r="X49" s="110"/>
      <c r="Y49" s="382"/>
      <c r="Z49" s="110"/>
      <c r="AA49" s="110"/>
      <c r="AB49" s="110"/>
      <c r="AC49" s="110"/>
      <c r="AD49" s="382"/>
      <c r="AE49" s="110"/>
      <c r="AF49" s="110"/>
      <c r="AG49" s="110"/>
      <c r="AH49" s="110"/>
      <c r="AI49" s="382"/>
      <c r="AJ49" s="110"/>
      <c r="AK49" s="110"/>
      <c r="AL49" s="110"/>
      <c r="AM49" s="110"/>
      <c r="AN49" s="382"/>
      <c r="AO49" s="110"/>
      <c r="AP49" s="110"/>
      <c r="AQ49" s="110"/>
      <c r="AR49" s="110"/>
      <c r="AS49" s="382"/>
      <c r="AT49" s="110"/>
      <c r="AU49" s="110"/>
      <c r="AV49" s="110"/>
      <c r="AW49" s="110"/>
      <c r="AX49" s="382"/>
    </row>
    <row r="50" spans="2:50">
      <c r="B50" s="382"/>
      <c r="C50" s="110">
        <v>4</v>
      </c>
      <c r="D50" s="110"/>
      <c r="E50" s="110"/>
      <c r="F50" s="110"/>
      <c r="G50" s="110"/>
      <c r="H50" s="393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396"/>
      <c r="M50" s="184" t="e">
        <f>RANK(K50, K$47:$K$61)</f>
        <v>#DIV/0!</v>
      </c>
      <c r="N50" s="381"/>
      <c r="O50" s="381"/>
      <c r="P50" s="110"/>
      <c r="Q50" s="110"/>
      <c r="R50" s="110"/>
      <c r="S50" s="110"/>
      <c r="T50" s="382"/>
      <c r="U50" s="110"/>
      <c r="V50" s="110"/>
      <c r="W50" s="110"/>
      <c r="X50" s="110"/>
      <c r="Y50" s="382"/>
      <c r="Z50" s="110"/>
      <c r="AA50" s="110"/>
      <c r="AB50" s="110"/>
      <c r="AC50" s="110"/>
      <c r="AD50" s="382"/>
      <c r="AE50" s="110"/>
      <c r="AF50" s="110"/>
      <c r="AG50" s="110"/>
      <c r="AH50" s="110"/>
      <c r="AI50" s="382"/>
      <c r="AJ50" s="110"/>
      <c r="AK50" s="110"/>
      <c r="AL50" s="110"/>
      <c r="AM50" s="110"/>
      <c r="AN50" s="382"/>
      <c r="AO50" s="110"/>
      <c r="AP50" s="110"/>
      <c r="AQ50" s="110"/>
      <c r="AR50" s="110"/>
      <c r="AS50" s="382"/>
      <c r="AT50" s="110"/>
      <c r="AU50" s="110"/>
      <c r="AV50" s="110"/>
      <c r="AW50" s="110"/>
      <c r="AX50" s="382"/>
    </row>
    <row r="51" spans="2:50">
      <c r="B51" s="382"/>
      <c r="C51" s="110">
        <v>5</v>
      </c>
      <c r="D51" s="110"/>
      <c r="E51" s="110"/>
      <c r="F51" s="110"/>
      <c r="G51" s="110"/>
      <c r="H51" s="393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396"/>
      <c r="M51" s="184" t="e">
        <f>RANK(K51, K$47:$K$61)</f>
        <v>#DIV/0!</v>
      </c>
      <c r="N51" s="381"/>
      <c r="O51" s="381"/>
      <c r="P51" s="110"/>
      <c r="Q51" s="110"/>
      <c r="R51" s="110"/>
      <c r="S51" s="110"/>
      <c r="T51" s="382"/>
      <c r="U51" s="110"/>
      <c r="V51" s="110"/>
      <c r="W51" s="110"/>
      <c r="X51" s="110"/>
      <c r="Y51" s="382"/>
      <c r="Z51" s="110"/>
      <c r="AA51" s="110"/>
      <c r="AB51" s="110"/>
      <c r="AC51" s="110"/>
      <c r="AD51" s="382"/>
      <c r="AE51" s="110"/>
      <c r="AF51" s="110"/>
      <c r="AG51" s="110"/>
      <c r="AH51" s="110"/>
      <c r="AI51" s="382"/>
      <c r="AJ51" s="110"/>
      <c r="AK51" s="110"/>
      <c r="AL51" s="110"/>
      <c r="AM51" s="110"/>
      <c r="AN51" s="382"/>
      <c r="AO51" s="110"/>
      <c r="AP51" s="110"/>
      <c r="AQ51" s="110"/>
      <c r="AR51" s="110"/>
      <c r="AS51" s="382"/>
      <c r="AT51" s="110"/>
      <c r="AU51" s="110"/>
      <c r="AV51" s="110"/>
      <c r="AW51" s="110"/>
      <c r="AX51" s="382"/>
    </row>
    <row r="52" spans="2:50">
      <c r="B52" s="382"/>
      <c r="C52" s="110">
        <v>6</v>
      </c>
      <c r="D52" s="110"/>
      <c r="E52" s="110"/>
      <c r="F52" s="110"/>
      <c r="G52" s="110"/>
      <c r="H52" s="393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396"/>
      <c r="M52" s="184" t="e">
        <f>RANK(K52, K$47:$K$61)</f>
        <v>#DIV/0!</v>
      </c>
      <c r="N52" s="381"/>
      <c r="O52" s="381"/>
      <c r="P52" s="110"/>
      <c r="Q52" s="110"/>
      <c r="R52" s="110"/>
      <c r="S52" s="110"/>
      <c r="T52" s="382"/>
      <c r="U52" s="110"/>
      <c r="V52" s="110"/>
      <c r="W52" s="110"/>
      <c r="X52" s="110"/>
      <c r="Y52" s="382"/>
      <c r="Z52" s="110"/>
      <c r="AA52" s="110"/>
      <c r="AB52" s="110"/>
      <c r="AC52" s="110"/>
      <c r="AD52" s="382"/>
      <c r="AE52" s="110"/>
      <c r="AF52" s="110"/>
      <c r="AG52" s="110"/>
      <c r="AH52" s="110"/>
      <c r="AI52" s="382"/>
      <c r="AJ52" s="110"/>
      <c r="AK52" s="110"/>
      <c r="AL52" s="110"/>
      <c r="AM52" s="110"/>
      <c r="AN52" s="382"/>
      <c r="AO52" s="110"/>
      <c r="AP52" s="110"/>
      <c r="AQ52" s="110"/>
      <c r="AR52" s="110"/>
      <c r="AS52" s="382"/>
      <c r="AT52" s="110"/>
      <c r="AU52" s="110"/>
      <c r="AV52" s="110"/>
      <c r="AW52" s="110"/>
      <c r="AX52" s="382"/>
    </row>
    <row r="53" spans="2:50">
      <c r="B53" s="382"/>
      <c r="C53" s="110">
        <v>7</v>
      </c>
      <c r="D53" s="110"/>
      <c r="E53" s="110"/>
      <c r="F53" s="110"/>
      <c r="G53" s="110"/>
      <c r="H53" s="393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396"/>
      <c r="M53" s="184" t="e">
        <f>RANK(K53, K$47:$K$61)</f>
        <v>#DIV/0!</v>
      </c>
      <c r="N53" s="381"/>
      <c r="O53" s="381"/>
      <c r="P53" s="110"/>
      <c r="Q53" s="110"/>
      <c r="R53" s="110"/>
      <c r="S53" s="110"/>
      <c r="T53" s="382"/>
      <c r="U53" s="110"/>
      <c r="V53" s="110"/>
      <c r="W53" s="110"/>
      <c r="X53" s="110"/>
      <c r="Y53" s="382"/>
      <c r="Z53" s="110"/>
      <c r="AA53" s="110"/>
      <c r="AB53" s="110"/>
      <c r="AC53" s="110"/>
      <c r="AD53" s="382"/>
      <c r="AE53" s="110"/>
      <c r="AF53" s="110"/>
      <c r="AG53" s="110"/>
      <c r="AH53" s="110"/>
      <c r="AI53" s="382"/>
      <c r="AJ53" s="110"/>
      <c r="AK53" s="110"/>
      <c r="AL53" s="110"/>
      <c r="AM53" s="110"/>
      <c r="AN53" s="382"/>
      <c r="AO53" s="110"/>
      <c r="AP53" s="110"/>
      <c r="AQ53" s="110"/>
      <c r="AR53" s="110"/>
      <c r="AS53" s="382"/>
      <c r="AT53" s="110"/>
      <c r="AU53" s="110"/>
      <c r="AV53" s="110"/>
      <c r="AW53" s="110"/>
      <c r="AX53" s="382"/>
    </row>
    <row r="54" spans="2:50">
      <c r="B54" s="382"/>
      <c r="C54" s="110">
        <v>8</v>
      </c>
      <c r="D54" s="110"/>
      <c r="E54" s="110"/>
      <c r="F54" s="110"/>
      <c r="G54" s="110"/>
      <c r="H54" s="393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396"/>
      <c r="M54" s="184" t="e">
        <f>RANK(K54, K$47:$K$61)</f>
        <v>#DIV/0!</v>
      </c>
      <c r="N54" s="381"/>
      <c r="O54" s="381"/>
      <c r="P54" s="110"/>
      <c r="Q54" s="110"/>
      <c r="R54" s="110"/>
      <c r="S54" s="110"/>
      <c r="T54" s="382"/>
      <c r="U54" s="110"/>
      <c r="V54" s="110"/>
      <c r="W54" s="110"/>
      <c r="X54" s="110"/>
      <c r="Y54" s="382"/>
      <c r="Z54" s="110"/>
      <c r="AA54" s="110"/>
      <c r="AB54" s="110"/>
      <c r="AC54" s="110"/>
      <c r="AD54" s="382"/>
      <c r="AE54" s="110"/>
      <c r="AF54" s="110"/>
      <c r="AG54" s="110"/>
      <c r="AH54" s="110"/>
      <c r="AI54" s="382"/>
      <c r="AJ54" s="110"/>
      <c r="AK54" s="110"/>
      <c r="AL54" s="110"/>
      <c r="AM54" s="110"/>
      <c r="AN54" s="382"/>
      <c r="AO54" s="110"/>
      <c r="AP54" s="110"/>
      <c r="AQ54" s="110"/>
      <c r="AR54" s="110"/>
      <c r="AS54" s="382"/>
      <c r="AT54" s="110"/>
      <c r="AU54" s="110"/>
      <c r="AV54" s="110"/>
      <c r="AW54" s="110"/>
      <c r="AX54" s="382"/>
    </row>
    <row r="55" spans="2:50">
      <c r="B55" s="382"/>
      <c r="C55" s="110">
        <v>9</v>
      </c>
      <c r="D55" s="110"/>
      <c r="E55" s="110"/>
      <c r="F55" s="110"/>
      <c r="G55" s="110"/>
      <c r="H55" s="393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396"/>
      <c r="M55" s="184" t="e">
        <f>RANK(K55, K$47:$K$61)</f>
        <v>#DIV/0!</v>
      </c>
      <c r="N55" s="381"/>
      <c r="O55" s="381"/>
      <c r="P55" s="110"/>
      <c r="Q55" s="110"/>
      <c r="R55" s="110"/>
      <c r="S55" s="110"/>
      <c r="T55" s="382"/>
      <c r="U55" s="110"/>
      <c r="V55" s="110"/>
      <c r="W55" s="110"/>
      <c r="X55" s="110"/>
      <c r="Y55" s="382"/>
      <c r="Z55" s="110"/>
      <c r="AA55" s="110"/>
      <c r="AB55" s="110"/>
      <c r="AC55" s="110"/>
      <c r="AD55" s="382"/>
      <c r="AE55" s="110"/>
      <c r="AF55" s="110"/>
      <c r="AG55" s="110"/>
      <c r="AH55" s="110"/>
      <c r="AI55" s="382"/>
      <c r="AJ55" s="110"/>
      <c r="AK55" s="110"/>
      <c r="AL55" s="110"/>
      <c r="AM55" s="110"/>
      <c r="AN55" s="382"/>
      <c r="AO55" s="110"/>
      <c r="AP55" s="110"/>
      <c r="AQ55" s="110"/>
      <c r="AR55" s="110"/>
      <c r="AS55" s="382"/>
      <c r="AT55" s="110"/>
      <c r="AU55" s="110"/>
      <c r="AV55" s="110"/>
      <c r="AW55" s="110"/>
      <c r="AX55" s="382"/>
    </row>
    <row r="56" spans="2:50">
      <c r="B56" s="382"/>
      <c r="C56" s="110">
        <v>10</v>
      </c>
      <c r="D56" s="110"/>
      <c r="E56" s="110"/>
      <c r="F56" s="110"/>
      <c r="G56" s="110"/>
      <c r="H56" s="393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396"/>
      <c r="M56" s="184" t="e">
        <f>RANK(K56, K$47:$K$61)</f>
        <v>#DIV/0!</v>
      </c>
      <c r="N56" s="381"/>
      <c r="O56" s="381"/>
      <c r="P56" s="110"/>
      <c r="Q56" s="110"/>
      <c r="R56" s="110"/>
      <c r="S56" s="110"/>
      <c r="T56" s="382"/>
      <c r="U56" s="110"/>
      <c r="V56" s="110"/>
      <c r="W56" s="110"/>
      <c r="X56" s="110"/>
      <c r="Y56" s="382"/>
      <c r="Z56" s="110"/>
      <c r="AA56" s="110"/>
      <c r="AB56" s="110"/>
      <c r="AC56" s="110"/>
      <c r="AD56" s="382"/>
      <c r="AE56" s="110"/>
      <c r="AF56" s="110"/>
      <c r="AG56" s="110"/>
      <c r="AH56" s="110"/>
      <c r="AI56" s="382"/>
      <c r="AJ56" s="110"/>
      <c r="AK56" s="110"/>
      <c r="AL56" s="110"/>
      <c r="AM56" s="110"/>
      <c r="AN56" s="382"/>
      <c r="AO56" s="110"/>
      <c r="AP56" s="110"/>
      <c r="AQ56" s="110"/>
      <c r="AR56" s="110"/>
      <c r="AS56" s="382"/>
      <c r="AT56" s="110"/>
      <c r="AU56" s="110"/>
      <c r="AV56" s="110"/>
      <c r="AW56" s="110"/>
      <c r="AX56" s="382"/>
    </row>
    <row r="57" spans="2:50">
      <c r="B57" s="382"/>
      <c r="C57" s="110">
        <v>11</v>
      </c>
      <c r="D57" s="110"/>
      <c r="E57" s="110"/>
      <c r="F57" s="110"/>
      <c r="G57" s="110"/>
      <c r="H57" s="393"/>
      <c r="I57" s="110"/>
      <c r="J57" s="110"/>
      <c r="K57" s="110"/>
      <c r="L57" s="396"/>
      <c r="M57" s="184" t="e">
        <f>RANK(K57, K$47:$K$61)</f>
        <v>#DIV/0!</v>
      </c>
      <c r="N57" s="381"/>
      <c r="O57" s="381"/>
      <c r="P57" s="110"/>
      <c r="Q57" s="110"/>
      <c r="R57" s="110"/>
      <c r="S57" s="110"/>
      <c r="T57" s="382"/>
      <c r="U57" s="110"/>
      <c r="V57" s="110"/>
      <c r="W57" s="110"/>
      <c r="X57" s="110"/>
      <c r="Y57" s="382"/>
      <c r="Z57" s="110"/>
      <c r="AA57" s="110"/>
      <c r="AB57" s="110"/>
      <c r="AC57" s="110"/>
      <c r="AD57" s="382"/>
      <c r="AE57" s="110"/>
      <c r="AF57" s="110"/>
      <c r="AG57" s="110"/>
      <c r="AH57" s="110"/>
      <c r="AI57" s="382"/>
      <c r="AJ57" s="110"/>
      <c r="AK57" s="110"/>
      <c r="AL57" s="110"/>
      <c r="AM57" s="110"/>
      <c r="AN57" s="382"/>
      <c r="AO57" s="110"/>
      <c r="AP57" s="110"/>
      <c r="AQ57" s="110"/>
      <c r="AR57" s="110"/>
      <c r="AS57" s="382"/>
      <c r="AT57" s="110"/>
      <c r="AU57" s="110"/>
      <c r="AV57" s="110"/>
      <c r="AW57" s="110"/>
      <c r="AX57" s="382"/>
    </row>
    <row r="58" spans="2:50">
      <c r="B58" s="382"/>
      <c r="C58" s="110">
        <v>12</v>
      </c>
      <c r="D58" s="110"/>
      <c r="E58" s="110"/>
      <c r="F58" s="110"/>
      <c r="G58" s="110"/>
      <c r="H58" s="393"/>
      <c r="I58" s="110"/>
      <c r="J58" s="110"/>
      <c r="K58" s="110"/>
      <c r="L58" s="396"/>
      <c r="M58" s="184" t="e">
        <f>RANK(K58, K$47:$K$61)</f>
        <v>#DIV/0!</v>
      </c>
      <c r="N58" s="381"/>
      <c r="O58" s="381"/>
      <c r="P58" s="110"/>
      <c r="Q58" s="110"/>
      <c r="R58" s="110"/>
      <c r="S58" s="110"/>
      <c r="T58" s="382"/>
      <c r="U58" s="110"/>
      <c r="V58" s="110"/>
      <c r="W58" s="110"/>
      <c r="X58" s="110"/>
      <c r="Y58" s="382"/>
      <c r="Z58" s="110"/>
      <c r="AA58" s="110"/>
      <c r="AB58" s="110"/>
      <c r="AC58" s="110"/>
      <c r="AD58" s="382"/>
      <c r="AE58" s="110"/>
      <c r="AF58" s="110"/>
      <c r="AG58" s="110"/>
      <c r="AH58" s="110"/>
      <c r="AI58" s="382"/>
      <c r="AJ58" s="110"/>
      <c r="AK58" s="110"/>
      <c r="AL58" s="110"/>
      <c r="AM58" s="110"/>
      <c r="AN58" s="382"/>
      <c r="AO58" s="110"/>
      <c r="AP58" s="110"/>
      <c r="AQ58" s="110"/>
      <c r="AR58" s="110"/>
      <c r="AS58" s="382"/>
      <c r="AT58" s="110"/>
      <c r="AU58" s="110"/>
      <c r="AV58" s="110"/>
      <c r="AW58" s="110"/>
      <c r="AX58" s="382"/>
    </row>
    <row r="59" spans="2:50">
      <c r="B59" s="382"/>
      <c r="C59" s="110">
        <v>13</v>
      </c>
      <c r="D59" s="110"/>
      <c r="E59" s="110"/>
      <c r="F59" s="110"/>
      <c r="G59" s="110"/>
      <c r="H59" s="393"/>
      <c r="I59" s="110"/>
      <c r="J59" s="110"/>
      <c r="K59" s="110"/>
      <c r="L59" s="396"/>
      <c r="M59" s="184" t="e">
        <f>RANK(K59, K$47:$K$61)</f>
        <v>#DIV/0!</v>
      </c>
      <c r="N59" s="381"/>
      <c r="O59" s="381"/>
      <c r="P59" s="110"/>
      <c r="Q59" s="110"/>
      <c r="R59" s="110"/>
      <c r="S59" s="110"/>
      <c r="T59" s="382"/>
      <c r="U59" s="110"/>
      <c r="V59" s="110"/>
      <c r="W59" s="110"/>
      <c r="X59" s="110"/>
      <c r="Y59" s="382"/>
      <c r="Z59" s="110"/>
      <c r="AA59" s="110"/>
      <c r="AB59" s="110"/>
      <c r="AC59" s="110"/>
      <c r="AD59" s="382"/>
      <c r="AE59" s="110"/>
      <c r="AF59" s="110"/>
      <c r="AG59" s="110"/>
      <c r="AH59" s="110"/>
      <c r="AI59" s="382"/>
      <c r="AJ59" s="110"/>
      <c r="AK59" s="110"/>
      <c r="AL59" s="110"/>
      <c r="AM59" s="110"/>
      <c r="AN59" s="382"/>
      <c r="AO59" s="110"/>
      <c r="AP59" s="110"/>
      <c r="AQ59" s="110"/>
      <c r="AR59" s="110"/>
      <c r="AS59" s="382"/>
      <c r="AT59" s="110"/>
      <c r="AU59" s="110"/>
      <c r="AV59" s="110"/>
      <c r="AW59" s="110"/>
      <c r="AX59" s="382"/>
    </row>
    <row r="60" spans="2:50">
      <c r="B60" s="382"/>
      <c r="C60" s="110">
        <v>14</v>
      </c>
      <c r="D60" s="110"/>
      <c r="E60" s="110"/>
      <c r="F60" s="110"/>
      <c r="G60" s="110"/>
      <c r="H60" s="393"/>
      <c r="I60" s="110"/>
      <c r="J60" s="110"/>
      <c r="K60" s="110"/>
      <c r="L60" s="396"/>
      <c r="M60" s="184" t="e">
        <f>RANK(K60, K$47:$K$61)</f>
        <v>#DIV/0!</v>
      </c>
      <c r="N60" s="381"/>
      <c r="O60" s="381"/>
      <c r="P60" s="110"/>
      <c r="Q60" s="110"/>
      <c r="R60" s="110"/>
      <c r="S60" s="110"/>
      <c r="T60" s="382"/>
      <c r="U60" s="110"/>
      <c r="V60" s="110"/>
      <c r="W60" s="110"/>
      <c r="X60" s="110"/>
      <c r="Y60" s="382"/>
      <c r="Z60" s="110"/>
      <c r="AA60" s="110"/>
      <c r="AB60" s="110"/>
      <c r="AC60" s="110"/>
      <c r="AD60" s="382"/>
      <c r="AE60" s="110"/>
      <c r="AF60" s="110"/>
      <c r="AG60" s="110"/>
      <c r="AH60" s="110"/>
      <c r="AI60" s="382"/>
      <c r="AJ60" s="110"/>
      <c r="AK60" s="110"/>
      <c r="AL60" s="110"/>
      <c r="AM60" s="110"/>
      <c r="AN60" s="382"/>
      <c r="AO60" s="110"/>
      <c r="AP60" s="110"/>
      <c r="AQ60" s="110"/>
      <c r="AR60" s="110"/>
      <c r="AS60" s="382"/>
      <c r="AT60" s="110"/>
      <c r="AU60" s="110"/>
      <c r="AV60" s="110"/>
      <c r="AW60" s="110"/>
      <c r="AX60" s="382"/>
    </row>
    <row r="61" spans="2:50">
      <c r="B61" s="382"/>
      <c r="C61" s="110">
        <v>15</v>
      </c>
      <c r="D61" s="110"/>
      <c r="E61" s="110"/>
      <c r="F61" s="110"/>
      <c r="G61" s="110"/>
      <c r="H61" s="394"/>
      <c r="I61" s="110"/>
      <c r="J61" s="110"/>
      <c r="K61" s="110"/>
      <c r="L61" s="397"/>
      <c r="M61" s="184" t="e">
        <f>RANK(K61, K$47:$K$61)</f>
        <v>#DIV/0!</v>
      </c>
      <c r="N61" s="381"/>
      <c r="O61" s="381"/>
      <c r="P61" s="110"/>
      <c r="Q61" s="110"/>
      <c r="R61" s="110"/>
      <c r="S61" s="110"/>
      <c r="T61" s="382"/>
      <c r="U61" s="110"/>
      <c r="V61" s="110"/>
      <c r="W61" s="110"/>
      <c r="X61" s="110"/>
      <c r="Y61" s="382"/>
      <c r="Z61" s="110"/>
      <c r="AA61" s="110"/>
      <c r="AB61" s="110"/>
      <c r="AC61" s="110"/>
      <c r="AD61" s="382"/>
      <c r="AE61" s="110"/>
      <c r="AF61" s="110"/>
      <c r="AG61" s="110"/>
      <c r="AH61" s="110"/>
      <c r="AI61" s="382"/>
      <c r="AJ61" s="110"/>
      <c r="AK61" s="110"/>
      <c r="AL61" s="110"/>
      <c r="AM61" s="110"/>
      <c r="AN61" s="382"/>
      <c r="AO61" s="110"/>
      <c r="AP61" s="110"/>
      <c r="AQ61" s="110"/>
      <c r="AR61" s="110"/>
      <c r="AS61" s="382"/>
      <c r="AT61" s="110"/>
      <c r="AU61" s="110"/>
      <c r="AV61" s="110"/>
      <c r="AW61" s="110"/>
      <c r="AX61" s="382"/>
    </row>
    <row r="62" spans="2:50" ht="15.75">
      <c r="B62" s="398" t="s">
        <v>93</v>
      </c>
      <c r="C62" s="399"/>
      <c r="D62" s="399"/>
      <c r="E62" s="399"/>
      <c r="F62" s="399"/>
      <c r="G62" s="399"/>
      <c r="H62" s="399"/>
      <c r="I62" s="214"/>
      <c r="J62" s="214"/>
      <c r="K62" s="214"/>
      <c r="L62" s="214"/>
      <c r="M62" s="213"/>
      <c r="N62" s="389" t="s">
        <v>94</v>
      </c>
      <c r="O62" s="389" t="s">
        <v>52</v>
      </c>
      <c r="P62" s="401">
        <v>45888</v>
      </c>
      <c r="Q62" s="382"/>
      <c r="R62" s="382"/>
      <c r="S62" s="382"/>
      <c r="T62" s="382"/>
      <c r="U62" s="401">
        <v>45889</v>
      </c>
      <c r="V62" s="382"/>
      <c r="W62" s="382"/>
      <c r="X62" s="382"/>
      <c r="Y62" s="382"/>
      <c r="Z62" s="401">
        <v>45890</v>
      </c>
      <c r="AA62" s="382"/>
      <c r="AB62" s="382"/>
      <c r="AC62" s="382"/>
      <c r="AD62" s="382"/>
      <c r="AE62" s="401">
        <v>45891</v>
      </c>
      <c r="AF62" s="382"/>
      <c r="AG62" s="382"/>
      <c r="AH62" s="382"/>
      <c r="AI62" s="382"/>
      <c r="AJ62" s="401">
        <v>45892</v>
      </c>
      <c r="AK62" s="382"/>
      <c r="AL62" s="382"/>
      <c r="AM62" s="382"/>
      <c r="AN62" s="382"/>
      <c r="AO62" s="401">
        <v>45893</v>
      </c>
      <c r="AP62" s="382"/>
      <c r="AQ62" s="382"/>
      <c r="AR62" s="382"/>
      <c r="AS62" s="382"/>
      <c r="AT62" s="401">
        <v>45894</v>
      </c>
      <c r="AU62" s="382"/>
      <c r="AV62" s="382"/>
      <c r="AW62" s="382"/>
      <c r="AX62" s="382"/>
    </row>
    <row r="63" spans="2:50" ht="15.75">
      <c r="B63" s="400"/>
      <c r="C63" s="400"/>
      <c r="D63" s="400"/>
      <c r="E63" s="400"/>
      <c r="F63" s="400"/>
      <c r="G63" s="400"/>
      <c r="H63" s="400"/>
      <c r="I63" s="180"/>
      <c r="J63" s="180"/>
      <c r="K63" s="180"/>
      <c r="L63" s="180"/>
      <c r="M63" s="181"/>
      <c r="N63" s="391"/>
      <c r="O63" s="391"/>
      <c r="P63" s="401" t="s">
        <v>66</v>
      </c>
      <c r="Q63" s="382"/>
      <c r="R63" s="382"/>
      <c r="S63" s="382"/>
      <c r="T63" s="382"/>
      <c r="U63" s="401" t="s">
        <v>67</v>
      </c>
      <c r="V63" s="382"/>
      <c r="W63" s="382"/>
      <c r="X63" s="382"/>
      <c r="Y63" s="382"/>
      <c r="Z63" s="401" t="s">
        <v>68</v>
      </c>
      <c r="AA63" s="382"/>
      <c r="AB63" s="382"/>
      <c r="AC63" s="382"/>
      <c r="AD63" s="382"/>
      <c r="AE63" s="401" t="s">
        <v>63</v>
      </c>
      <c r="AF63" s="382"/>
      <c r="AG63" s="382"/>
      <c r="AH63" s="382"/>
      <c r="AI63" s="382"/>
      <c r="AJ63" s="401" t="s">
        <v>64</v>
      </c>
      <c r="AK63" s="382"/>
      <c r="AL63" s="382"/>
      <c r="AM63" s="382"/>
      <c r="AN63" s="382"/>
      <c r="AO63" s="401" t="s">
        <v>59</v>
      </c>
      <c r="AP63" s="382"/>
      <c r="AQ63" s="382"/>
      <c r="AR63" s="382"/>
      <c r="AS63" s="382"/>
      <c r="AT63" s="401" t="s">
        <v>65</v>
      </c>
      <c r="AU63" s="382"/>
      <c r="AV63" s="382"/>
      <c r="AW63" s="382"/>
      <c r="AX63" s="382"/>
    </row>
    <row r="64" spans="2:50">
      <c r="B64" s="381" t="s">
        <v>95</v>
      </c>
      <c r="C64" s="381" t="s">
        <v>96</v>
      </c>
      <c r="D64" s="381"/>
      <c r="E64" s="381" t="s">
        <v>97</v>
      </c>
      <c r="F64" s="381"/>
      <c r="G64" s="381"/>
      <c r="H64" s="386" t="s">
        <v>98</v>
      </c>
      <c r="I64" s="381" t="s">
        <v>99</v>
      </c>
      <c r="J64" s="381"/>
      <c r="K64" s="381"/>
      <c r="L64" s="386" t="s">
        <v>98</v>
      </c>
      <c r="M64" s="389" t="s">
        <v>100</v>
      </c>
      <c r="N64" s="381"/>
      <c r="O64" s="381" t="s">
        <v>101</v>
      </c>
      <c r="P64" s="383" t="s">
        <v>102</v>
      </c>
      <c r="Q64" s="384"/>
      <c r="R64" s="384"/>
      <c r="S64" s="385"/>
      <c r="T64" s="381" t="s">
        <v>98</v>
      </c>
      <c r="U64" s="383" t="s">
        <v>102</v>
      </c>
      <c r="V64" s="384"/>
      <c r="W64" s="384"/>
      <c r="X64" s="385"/>
      <c r="Y64" s="381" t="s">
        <v>98</v>
      </c>
      <c r="Z64" s="383" t="s">
        <v>102</v>
      </c>
      <c r="AA64" s="384"/>
      <c r="AB64" s="384"/>
      <c r="AC64" s="385"/>
      <c r="AD64" s="381" t="s">
        <v>98</v>
      </c>
      <c r="AE64" s="383" t="s">
        <v>102</v>
      </c>
      <c r="AF64" s="384"/>
      <c r="AG64" s="384"/>
      <c r="AH64" s="385"/>
      <c r="AI64" s="381" t="s">
        <v>98</v>
      </c>
      <c r="AJ64" s="383" t="s">
        <v>102</v>
      </c>
      <c r="AK64" s="384"/>
      <c r="AL64" s="384"/>
      <c r="AM64" s="385"/>
      <c r="AN64" s="381" t="s">
        <v>98</v>
      </c>
      <c r="AO64" s="383" t="s">
        <v>102</v>
      </c>
      <c r="AP64" s="384"/>
      <c r="AQ64" s="384"/>
      <c r="AR64" s="385"/>
      <c r="AS64" s="381" t="s">
        <v>98</v>
      </c>
      <c r="AT64" s="383" t="s">
        <v>102</v>
      </c>
      <c r="AU64" s="384"/>
      <c r="AV64" s="384"/>
      <c r="AW64" s="385"/>
      <c r="AX64" s="381" t="s">
        <v>98</v>
      </c>
    </row>
    <row r="65" spans="2:50">
      <c r="B65" s="381"/>
      <c r="C65" s="381"/>
      <c r="D65" s="381"/>
      <c r="E65" s="381" t="s">
        <v>103</v>
      </c>
      <c r="F65" s="381"/>
      <c r="G65" s="381"/>
      <c r="H65" s="387"/>
      <c r="I65" s="381" t="s">
        <v>103</v>
      </c>
      <c r="J65" s="381"/>
      <c r="K65" s="381"/>
      <c r="L65" s="387"/>
      <c r="M65" s="390"/>
      <c r="N65" s="381"/>
      <c r="O65" s="381"/>
      <c r="P65" s="383" t="s">
        <v>104</v>
      </c>
      <c r="Q65" s="384"/>
      <c r="R65" s="384"/>
      <c r="S65" s="385"/>
      <c r="T65" s="381"/>
      <c r="U65" s="383" t="s">
        <v>104</v>
      </c>
      <c r="V65" s="384"/>
      <c r="W65" s="384"/>
      <c r="X65" s="385"/>
      <c r="Y65" s="381"/>
      <c r="Z65" s="383" t="s">
        <v>104</v>
      </c>
      <c r="AA65" s="384"/>
      <c r="AB65" s="384"/>
      <c r="AC65" s="385"/>
      <c r="AD65" s="381"/>
      <c r="AE65" s="383" t="s">
        <v>104</v>
      </c>
      <c r="AF65" s="384"/>
      <c r="AG65" s="384"/>
      <c r="AH65" s="385"/>
      <c r="AI65" s="381"/>
      <c r="AJ65" s="383" t="s">
        <v>104</v>
      </c>
      <c r="AK65" s="384"/>
      <c r="AL65" s="384"/>
      <c r="AM65" s="385"/>
      <c r="AN65" s="381"/>
      <c r="AO65" s="383" t="s">
        <v>104</v>
      </c>
      <c r="AP65" s="384"/>
      <c r="AQ65" s="384"/>
      <c r="AR65" s="385"/>
      <c r="AS65" s="381"/>
      <c r="AT65" s="383" t="s">
        <v>104</v>
      </c>
      <c r="AU65" s="384"/>
      <c r="AV65" s="384"/>
      <c r="AW65" s="385"/>
      <c r="AX65" s="381"/>
    </row>
    <row r="66" spans="2:50">
      <c r="B66" s="381"/>
      <c r="C66" s="381"/>
      <c r="D66" s="381"/>
      <c r="E66" s="109" t="s">
        <v>105</v>
      </c>
      <c r="F66" s="109" t="s">
        <v>106</v>
      </c>
      <c r="G66" s="109" t="s">
        <v>107</v>
      </c>
      <c r="H66" s="388"/>
      <c r="I66" s="109" t="s">
        <v>105</v>
      </c>
      <c r="J66" s="109" t="s">
        <v>106</v>
      </c>
      <c r="K66" s="109" t="s">
        <v>107</v>
      </c>
      <c r="L66" s="388"/>
      <c r="M66" s="391"/>
      <c r="N66" s="381"/>
      <c r="O66" s="381"/>
      <c r="P66" s="109" t="s">
        <v>105</v>
      </c>
      <c r="Q66" s="109" t="s">
        <v>106</v>
      </c>
      <c r="R66" s="109" t="s">
        <v>107</v>
      </c>
      <c r="S66" s="109" t="s">
        <v>100</v>
      </c>
      <c r="T66" s="381"/>
      <c r="U66" s="109" t="s">
        <v>105</v>
      </c>
      <c r="V66" s="109" t="s">
        <v>106</v>
      </c>
      <c r="W66" s="109" t="s">
        <v>107</v>
      </c>
      <c r="X66" s="109" t="s">
        <v>100</v>
      </c>
      <c r="Y66" s="381"/>
      <c r="Z66" s="109" t="s">
        <v>105</v>
      </c>
      <c r="AA66" s="109" t="s">
        <v>106</v>
      </c>
      <c r="AB66" s="109" t="s">
        <v>107</v>
      </c>
      <c r="AC66" s="109" t="s">
        <v>100</v>
      </c>
      <c r="AD66" s="381"/>
      <c r="AE66" s="109" t="s">
        <v>105</v>
      </c>
      <c r="AF66" s="109" t="s">
        <v>106</v>
      </c>
      <c r="AG66" s="109" t="s">
        <v>107</v>
      </c>
      <c r="AH66" s="109" t="s">
        <v>100</v>
      </c>
      <c r="AI66" s="381"/>
      <c r="AJ66" s="109" t="s">
        <v>105</v>
      </c>
      <c r="AK66" s="109" t="s">
        <v>106</v>
      </c>
      <c r="AL66" s="109" t="s">
        <v>107</v>
      </c>
      <c r="AM66" s="109" t="s">
        <v>100</v>
      </c>
      <c r="AN66" s="381"/>
      <c r="AO66" s="109" t="s">
        <v>105</v>
      </c>
      <c r="AP66" s="109" t="s">
        <v>106</v>
      </c>
      <c r="AQ66" s="109" t="s">
        <v>107</v>
      </c>
      <c r="AR66" s="109" t="s">
        <v>100</v>
      </c>
      <c r="AS66" s="381"/>
      <c r="AT66" s="109" t="s">
        <v>105</v>
      </c>
      <c r="AU66" s="109" t="s">
        <v>106</v>
      </c>
      <c r="AV66" s="109" t="s">
        <v>107</v>
      </c>
      <c r="AW66" s="109" t="s">
        <v>100</v>
      </c>
      <c r="AX66" s="381"/>
    </row>
    <row r="67" spans="2:50" ht="13.5">
      <c r="B67" s="381" t="s">
        <v>133</v>
      </c>
      <c r="C67" s="110">
        <v>1</v>
      </c>
      <c r="D67" s="309"/>
      <c r="E67" s="184"/>
      <c r="F67" s="184"/>
      <c r="G67" s="182"/>
      <c r="H67" s="395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395" t="e">
        <f>AVERAGE(K67:K81)</f>
        <v>#DIV/0!</v>
      </c>
      <c r="M67" s="184" t="e">
        <f>RANK(K67, K$67:$K$81)</f>
        <v>#DIV/0!</v>
      </c>
      <c r="N67" s="381"/>
      <c r="O67" s="381"/>
      <c r="P67" s="110"/>
      <c r="Q67" s="110"/>
      <c r="R67" s="182"/>
      <c r="S67" s="110"/>
      <c r="T67" s="395" t="e">
        <f>AVERAGE(R67:R81)</f>
        <v>#DIV/0!</v>
      </c>
      <c r="U67" s="110"/>
      <c r="V67" s="110"/>
      <c r="W67" s="110"/>
      <c r="X67" s="110"/>
      <c r="Y67" s="382" t="e">
        <f>AVERAGE(W67:W81)</f>
        <v>#DIV/0!</v>
      </c>
      <c r="Z67" s="110"/>
      <c r="AA67" s="110"/>
      <c r="AB67" s="110"/>
      <c r="AC67" s="110"/>
      <c r="AD67" s="382" t="e">
        <f>AVERAGE(AB67:AB81)</f>
        <v>#DIV/0!</v>
      </c>
      <c r="AE67" s="110"/>
      <c r="AF67" s="110"/>
      <c r="AG67" s="110"/>
      <c r="AH67" s="110"/>
      <c r="AI67" s="382" t="e">
        <f>AVERAGE(AG67:AG81)</f>
        <v>#DIV/0!</v>
      </c>
      <c r="AJ67" s="110"/>
      <c r="AK67" s="110"/>
      <c r="AL67" s="110"/>
      <c r="AM67" s="110"/>
      <c r="AN67" s="382" t="e">
        <f>AVERAGE(AL67:AL81)</f>
        <v>#DIV/0!</v>
      </c>
      <c r="AO67" s="110"/>
      <c r="AP67" s="110"/>
      <c r="AQ67" s="110"/>
      <c r="AR67" s="110"/>
      <c r="AS67" s="382" t="e">
        <f>AVERAGE(AQ67:AQ81)</f>
        <v>#DIV/0!</v>
      </c>
      <c r="AT67" s="110"/>
      <c r="AU67" s="110"/>
      <c r="AV67" s="110"/>
      <c r="AW67" s="110"/>
      <c r="AX67" s="382" t="e">
        <f>AVERAGE(AV67:AV81)</f>
        <v>#DIV/0!</v>
      </c>
    </row>
    <row r="68" spans="2:50">
      <c r="B68" s="382"/>
      <c r="C68" s="110">
        <v>2</v>
      </c>
      <c r="D68" s="110"/>
      <c r="E68" s="184"/>
      <c r="F68" s="184"/>
      <c r="G68" s="182"/>
      <c r="H68" s="396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396"/>
      <c r="M68" s="184" t="e">
        <f>RANK(K68, K$67:$K$81)</f>
        <v>#DIV/0!</v>
      </c>
      <c r="N68" s="381"/>
      <c r="O68" s="381"/>
      <c r="P68" s="110"/>
      <c r="Q68" s="110"/>
      <c r="R68" s="182"/>
      <c r="S68" s="110"/>
      <c r="T68" s="396"/>
      <c r="U68" s="110"/>
      <c r="V68" s="110"/>
      <c r="W68" s="110"/>
      <c r="X68" s="110"/>
      <c r="Y68" s="382"/>
      <c r="Z68" s="110"/>
      <c r="AA68" s="110"/>
      <c r="AB68" s="110"/>
      <c r="AC68" s="110"/>
      <c r="AD68" s="382"/>
      <c r="AE68" s="110"/>
      <c r="AF68" s="110"/>
      <c r="AG68" s="110"/>
      <c r="AH68" s="110"/>
      <c r="AI68" s="382"/>
      <c r="AJ68" s="110"/>
      <c r="AK68" s="110"/>
      <c r="AL68" s="110"/>
      <c r="AM68" s="110"/>
      <c r="AN68" s="382"/>
      <c r="AO68" s="110"/>
      <c r="AP68" s="110"/>
      <c r="AQ68" s="110"/>
      <c r="AR68" s="110"/>
      <c r="AS68" s="382"/>
      <c r="AT68" s="110"/>
      <c r="AU68" s="110"/>
      <c r="AV68" s="110"/>
      <c r="AW68" s="110"/>
      <c r="AX68" s="382"/>
    </row>
    <row r="69" spans="2:50">
      <c r="B69" s="382"/>
      <c r="C69" s="110">
        <v>3</v>
      </c>
      <c r="D69" s="110"/>
      <c r="E69" s="184"/>
      <c r="F69" s="184"/>
      <c r="G69" s="182"/>
      <c r="H69" s="396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396"/>
      <c r="M69" s="184" t="e">
        <f>RANK(K69, K$67:$K$81)</f>
        <v>#DIV/0!</v>
      </c>
      <c r="N69" s="381"/>
      <c r="O69" s="381"/>
      <c r="P69" s="110"/>
      <c r="Q69" s="110"/>
      <c r="R69" s="182"/>
      <c r="S69" s="110"/>
      <c r="T69" s="396"/>
      <c r="U69" s="110"/>
      <c r="V69" s="110"/>
      <c r="W69" s="110"/>
      <c r="X69" s="110"/>
      <c r="Y69" s="382"/>
      <c r="Z69" s="110"/>
      <c r="AA69" s="110"/>
      <c r="AB69" s="110"/>
      <c r="AC69" s="110"/>
      <c r="AD69" s="382"/>
      <c r="AE69" s="110"/>
      <c r="AF69" s="110"/>
      <c r="AG69" s="110"/>
      <c r="AH69" s="110"/>
      <c r="AI69" s="382"/>
      <c r="AJ69" s="110"/>
      <c r="AK69" s="110"/>
      <c r="AL69" s="110"/>
      <c r="AM69" s="110"/>
      <c r="AN69" s="382"/>
      <c r="AO69" s="110"/>
      <c r="AP69" s="110"/>
      <c r="AQ69" s="110"/>
      <c r="AR69" s="110"/>
      <c r="AS69" s="382"/>
      <c r="AT69" s="110"/>
      <c r="AU69" s="110"/>
      <c r="AV69" s="110"/>
      <c r="AW69" s="110"/>
      <c r="AX69" s="382"/>
    </row>
    <row r="70" spans="2:50">
      <c r="B70" s="382"/>
      <c r="C70" s="110">
        <v>4</v>
      </c>
      <c r="D70" s="110"/>
      <c r="E70" s="184"/>
      <c r="F70" s="184"/>
      <c r="G70" s="182"/>
      <c r="H70" s="396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396"/>
      <c r="M70" s="184" t="e">
        <f>RANK(K70, K$67:$K$81)</f>
        <v>#DIV/0!</v>
      </c>
      <c r="N70" s="381"/>
      <c r="O70" s="381"/>
      <c r="P70" s="110"/>
      <c r="Q70" s="110"/>
      <c r="R70" s="182"/>
      <c r="S70" s="110"/>
      <c r="T70" s="396"/>
      <c r="U70" s="110"/>
      <c r="V70" s="110"/>
      <c r="W70" s="110"/>
      <c r="X70" s="110"/>
      <c r="Y70" s="382"/>
      <c r="Z70" s="110"/>
      <c r="AA70" s="110"/>
      <c r="AB70" s="110"/>
      <c r="AC70" s="110"/>
      <c r="AD70" s="382"/>
      <c r="AE70" s="110"/>
      <c r="AF70" s="110"/>
      <c r="AG70" s="110"/>
      <c r="AH70" s="110"/>
      <c r="AI70" s="382"/>
      <c r="AJ70" s="110"/>
      <c r="AK70" s="110"/>
      <c r="AL70" s="110"/>
      <c r="AM70" s="110"/>
      <c r="AN70" s="382"/>
      <c r="AO70" s="110"/>
      <c r="AP70" s="110"/>
      <c r="AQ70" s="110"/>
      <c r="AR70" s="110"/>
      <c r="AS70" s="382"/>
      <c r="AT70" s="110"/>
      <c r="AU70" s="110"/>
      <c r="AV70" s="110"/>
      <c r="AW70" s="110"/>
      <c r="AX70" s="382"/>
    </row>
    <row r="71" spans="2:50">
      <c r="B71" s="382"/>
      <c r="C71" s="110">
        <v>5</v>
      </c>
      <c r="D71" s="110"/>
      <c r="E71" s="184"/>
      <c r="F71" s="184"/>
      <c r="G71" s="182"/>
      <c r="H71" s="396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396"/>
      <c r="M71" s="184" t="e">
        <f>RANK(K71, K$67:$K$81)</f>
        <v>#DIV/0!</v>
      </c>
      <c r="N71" s="381"/>
      <c r="O71" s="381"/>
      <c r="P71" s="110"/>
      <c r="Q71" s="110"/>
      <c r="R71" s="182"/>
      <c r="S71" s="110"/>
      <c r="T71" s="396"/>
      <c r="U71" s="110"/>
      <c r="V71" s="110"/>
      <c r="W71" s="110"/>
      <c r="X71" s="110"/>
      <c r="Y71" s="382"/>
      <c r="Z71" s="110"/>
      <c r="AA71" s="110"/>
      <c r="AB71" s="110"/>
      <c r="AC71" s="110"/>
      <c r="AD71" s="382"/>
      <c r="AE71" s="110"/>
      <c r="AF71" s="110"/>
      <c r="AG71" s="110"/>
      <c r="AH71" s="110"/>
      <c r="AI71" s="382"/>
      <c r="AJ71" s="110"/>
      <c r="AK71" s="110"/>
      <c r="AL71" s="110"/>
      <c r="AM71" s="110"/>
      <c r="AN71" s="382"/>
      <c r="AO71" s="110"/>
      <c r="AP71" s="110"/>
      <c r="AQ71" s="110"/>
      <c r="AR71" s="110"/>
      <c r="AS71" s="382"/>
      <c r="AT71" s="110"/>
      <c r="AU71" s="110"/>
      <c r="AV71" s="110"/>
      <c r="AW71" s="110"/>
      <c r="AX71" s="382"/>
    </row>
    <row r="72" spans="2:50">
      <c r="B72" s="382"/>
      <c r="C72" s="110">
        <v>6</v>
      </c>
      <c r="D72" s="110"/>
      <c r="E72" s="184"/>
      <c r="F72" s="184"/>
      <c r="G72" s="182"/>
      <c r="H72" s="396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396"/>
      <c r="M72" s="184" t="e">
        <f>RANK(K72, K$67:$K$81)</f>
        <v>#DIV/0!</v>
      </c>
      <c r="N72" s="381"/>
      <c r="O72" s="381"/>
      <c r="P72" s="110"/>
      <c r="Q72" s="110"/>
      <c r="R72" s="182"/>
      <c r="S72" s="110"/>
      <c r="T72" s="396"/>
      <c r="U72" s="110"/>
      <c r="V72" s="110"/>
      <c r="W72" s="110"/>
      <c r="X72" s="110"/>
      <c r="Y72" s="382"/>
      <c r="Z72" s="110"/>
      <c r="AA72" s="110"/>
      <c r="AB72" s="110"/>
      <c r="AC72" s="110"/>
      <c r="AD72" s="382"/>
      <c r="AE72" s="110"/>
      <c r="AF72" s="110"/>
      <c r="AG72" s="110"/>
      <c r="AH72" s="110"/>
      <c r="AI72" s="382"/>
      <c r="AJ72" s="110"/>
      <c r="AK72" s="110"/>
      <c r="AL72" s="110"/>
      <c r="AM72" s="110"/>
      <c r="AN72" s="382"/>
      <c r="AO72" s="110"/>
      <c r="AP72" s="110"/>
      <c r="AQ72" s="110"/>
      <c r="AR72" s="110"/>
      <c r="AS72" s="382"/>
      <c r="AT72" s="110"/>
      <c r="AU72" s="110"/>
      <c r="AV72" s="110"/>
      <c r="AW72" s="110"/>
      <c r="AX72" s="382"/>
    </row>
    <row r="73" spans="2:50">
      <c r="B73" s="382"/>
      <c r="C73" s="110">
        <v>7</v>
      </c>
      <c r="D73" s="110"/>
      <c r="E73" s="184"/>
      <c r="F73" s="184"/>
      <c r="G73" s="182"/>
      <c r="H73" s="396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396"/>
      <c r="M73" s="184" t="e">
        <f>RANK(K73, K$67:$K$81)</f>
        <v>#DIV/0!</v>
      </c>
      <c r="N73" s="381"/>
      <c r="O73" s="381"/>
      <c r="P73" s="110"/>
      <c r="Q73" s="110"/>
      <c r="R73" s="182"/>
      <c r="S73" s="110"/>
      <c r="T73" s="396"/>
      <c r="U73" s="110"/>
      <c r="V73" s="110"/>
      <c r="W73" s="110"/>
      <c r="X73" s="110"/>
      <c r="Y73" s="382"/>
      <c r="Z73" s="110"/>
      <c r="AA73" s="110"/>
      <c r="AB73" s="110"/>
      <c r="AC73" s="110"/>
      <c r="AD73" s="382"/>
      <c r="AE73" s="110"/>
      <c r="AF73" s="110"/>
      <c r="AG73" s="110"/>
      <c r="AH73" s="110"/>
      <c r="AI73" s="382"/>
      <c r="AJ73" s="110"/>
      <c r="AK73" s="110"/>
      <c r="AL73" s="110"/>
      <c r="AM73" s="110"/>
      <c r="AN73" s="382"/>
      <c r="AO73" s="110"/>
      <c r="AP73" s="110"/>
      <c r="AQ73" s="110"/>
      <c r="AR73" s="110"/>
      <c r="AS73" s="382"/>
      <c r="AT73" s="110"/>
      <c r="AU73" s="110"/>
      <c r="AV73" s="110"/>
      <c r="AW73" s="110"/>
      <c r="AX73" s="382"/>
    </row>
    <row r="74" spans="2:50">
      <c r="B74" s="382"/>
      <c r="C74" s="110">
        <v>8</v>
      </c>
      <c r="D74" s="110"/>
      <c r="E74" s="184"/>
      <c r="F74" s="184"/>
      <c r="G74" s="182"/>
      <c r="H74" s="396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396"/>
      <c r="M74" s="184" t="e">
        <f>RANK(K74, K$67:$K$81)</f>
        <v>#DIV/0!</v>
      </c>
      <c r="N74" s="381"/>
      <c r="O74" s="381"/>
      <c r="P74" s="110"/>
      <c r="Q74" s="110"/>
      <c r="R74" s="182"/>
      <c r="S74" s="110"/>
      <c r="T74" s="396"/>
      <c r="U74" s="110"/>
      <c r="V74" s="110"/>
      <c r="W74" s="110"/>
      <c r="X74" s="110"/>
      <c r="Y74" s="382"/>
      <c r="Z74" s="110"/>
      <c r="AA74" s="110"/>
      <c r="AB74" s="110"/>
      <c r="AC74" s="110"/>
      <c r="AD74" s="382"/>
      <c r="AE74" s="110"/>
      <c r="AF74" s="110"/>
      <c r="AG74" s="110"/>
      <c r="AH74" s="110"/>
      <c r="AI74" s="382"/>
      <c r="AJ74" s="110"/>
      <c r="AK74" s="110"/>
      <c r="AL74" s="110"/>
      <c r="AM74" s="110"/>
      <c r="AN74" s="382"/>
      <c r="AO74" s="110"/>
      <c r="AP74" s="110"/>
      <c r="AQ74" s="110"/>
      <c r="AR74" s="110"/>
      <c r="AS74" s="382"/>
      <c r="AT74" s="110"/>
      <c r="AU74" s="110"/>
      <c r="AV74" s="110"/>
      <c r="AW74" s="110"/>
      <c r="AX74" s="382"/>
    </row>
    <row r="75" spans="2:50">
      <c r="B75" s="382"/>
      <c r="C75" s="110">
        <v>9</v>
      </c>
      <c r="D75" s="110"/>
      <c r="E75" s="184"/>
      <c r="F75" s="184"/>
      <c r="G75" s="182"/>
      <c r="H75" s="396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396"/>
      <c r="M75" s="184" t="e">
        <f>RANK(K75, K$67:$K$81)</f>
        <v>#DIV/0!</v>
      </c>
      <c r="N75" s="381"/>
      <c r="O75" s="381"/>
      <c r="P75" s="110"/>
      <c r="Q75" s="110"/>
      <c r="R75" s="182"/>
      <c r="S75" s="110"/>
      <c r="T75" s="396"/>
      <c r="U75" s="110"/>
      <c r="V75" s="110"/>
      <c r="W75" s="110"/>
      <c r="X75" s="110"/>
      <c r="Y75" s="382"/>
      <c r="Z75" s="110"/>
      <c r="AA75" s="110"/>
      <c r="AB75" s="110"/>
      <c r="AC75" s="110"/>
      <c r="AD75" s="382"/>
      <c r="AE75" s="110"/>
      <c r="AF75" s="110"/>
      <c r="AG75" s="110"/>
      <c r="AH75" s="110"/>
      <c r="AI75" s="382"/>
      <c r="AJ75" s="110"/>
      <c r="AK75" s="110"/>
      <c r="AL75" s="110"/>
      <c r="AM75" s="110"/>
      <c r="AN75" s="382"/>
      <c r="AO75" s="110"/>
      <c r="AP75" s="110"/>
      <c r="AQ75" s="110"/>
      <c r="AR75" s="110"/>
      <c r="AS75" s="382"/>
      <c r="AT75" s="110"/>
      <c r="AU75" s="110"/>
      <c r="AV75" s="110"/>
      <c r="AW75" s="110"/>
      <c r="AX75" s="382"/>
    </row>
    <row r="76" spans="2:50">
      <c r="B76" s="382"/>
      <c r="C76" s="110">
        <v>10</v>
      </c>
      <c r="D76" s="110"/>
      <c r="E76" s="184"/>
      <c r="F76" s="184"/>
      <c r="G76" s="182"/>
      <c r="H76" s="396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396"/>
      <c r="M76" s="184" t="e">
        <f>RANK(K76, K$67:$K$81)</f>
        <v>#DIV/0!</v>
      </c>
      <c r="N76" s="381"/>
      <c r="O76" s="381"/>
      <c r="P76" s="110"/>
      <c r="Q76" s="110"/>
      <c r="R76" s="182"/>
      <c r="S76" s="110"/>
      <c r="T76" s="396"/>
      <c r="U76" s="110"/>
      <c r="V76" s="110"/>
      <c r="W76" s="110"/>
      <c r="X76" s="110"/>
      <c r="Y76" s="382"/>
      <c r="Z76" s="110"/>
      <c r="AA76" s="110"/>
      <c r="AB76" s="110"/>
      <c r="AC76" s="110"/>
      <c r="AD76" s="382"/>
      <c r="AE76" s="110"/>
      <c r="AF76" s="110"/>
      <c r="AG76" s="110"/>
      <c r="AH76" s="110"/>
      <c r="AI76" s="382"/>
      <c r="AJ76" s="110"/>
      <c r="AK76" s="110"/>
      <c r="AL76" s="110"/>
      <c r="AM76" s="110"/>
      <c r="AN76" s="382"/>
      <c r="AO76" s="110"/>
      <c r="AP76" s="110"/>
      <c r="AQ76" s="110"/>
      <c r="AR76" s="110"/>
      <c r="AS76" s="382"/>
      <c r="AT76" s="110"/>
      <c r="AU76" s="110"/>
      <c r="AV76" s="110"/>
      <c r="AW76" s="110"/>
      <c r="AX76" s="382"/>
    </row>
    <row r="77" spans="2:50">
      <c r="B77" s="382"/>
      <c r="C77" s="110">
        <v>11</v>
      </c>
      <c r="D77" s="110"/>
      <c r="E77" s="184"/>
      <c r="F77" s="184"/>
      <c r="G77" s="182"/>
      <c r="H77" s="396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396"/>
      <c r="M77" s="184" t="e">
        <f>RANK(K77, K$67:$K$81)</f>
        <v>#DIV/0!</v>
      </c>
      <c r="N77" s="381"/>
      <c r="O77" s="381"/>
      <c r="P77" s="110"/>
      <c r="Q77" s="110"/>
      <c r="R77" s="182"/>
      <c r="S77" s="110"/>
      <c r="T77" s="396"/>
      <c r="U77" s="110"/>
      <c r="V77" s="110"/>
      <c r="W77" s="110"/>
      <c r="X77" s="110"/>
      <c r="Y77" s="382"/>
      <c r="Z77" s="110"/>
      <c r="AA77" s="110"/>
      <c r="AB77" s="110"/>
      <c r="AC77" s="110"/>
      <c r="AD77" s="382"/>
      <c r="AE77" s="110"/>
      <c r="AF77" s="110"/>
      <c r="AG77" s="110"/>
      <c r="AH77" s="110"/>
      <c r="AI77" s="382"/>
      <c r="AJ77" s="110"/>
      <c r="AK77" s="110"/>
      <c r="AL77" s="110"/>
      <c r="AM77" s="110"/>
      <c r="AN77" s="382"/>
      <c r="AO77" s="110"/>
      <c r="AP77" s="110"/>
      <c r="AQ77" s="110"/>
      <c r="AR77" s="110"/>
      <c r="AS77" s="382"/>
      <c r="AT77" s="110"/>
      <c r="AU77" s="110"/>
      <c r="AV77" s="110"/>
      <c r="AW77" s="110"/>
      <c r="AX77" s="382"/>
    </row>
    <row r="78" spans="2:50">
      <c r="B78" s="382"/>
      <c r="C78" s="110">
        <v>12</v>
      </c>
      <c r="D78" s="110"/>
      <c r="E78" s="184"/>
      <c r="F78" s="184"/>
      <c r="G78" s="182"/>
      <c r="H78" s="396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396"/>
      <c r="M78" s="184" t="e">
        <f>RANK(K78, K$67:$K$81)</f>
        <v>#DIV/0!</v>
      </c>
      <c r="N78" s="381"/>
      <c r="O78" s="381"/>
      <c r="P78" s="110"/>
      <c r="Q78" s="110"/>
      <c r="R78" s="182"/>
      <c r="S78" s="110"/>
      <c r="T78" s="396"/>
      <c r="U78" s="110"/>
      <c r="V78" s="110"/>
      <c r="W78" s="110"/>
      <c r="X78" s="110"/>
      <c r="Y78" s="382"/>
      <c r="Z78" s="110"/>
      <c r="AA78" s="110"/>
      <c r="AB78" s="110"/>
      <c r="AC78" s="110"/>
      <c r="AD78" s="382"/>
      <c r="AE78" s="110"/>
      <c r="AF78" s="110"/>
      <c r="AG78" s="110"/>
      <c r="AH78" s="110"/>
      <c r="AI78" s="382"/>
      <c r="AJ78" s="110"/>
      <c r="AK78" s="110"/>
      <c r="AL78" s="110"/>
      <c r="AM78" s="110"/>
      <c r="AN78" s="382"/>
      <c r="AO78" s="110"/>
      <c r="AP78" s="110"/>
      <c r="AQ78" s="110"/>
      <c r="AR78" s="110"/>
      <c r="AS78" s="382"/>
      <c r="AT78" s="110"/>
      <c r="AU78" s="110"/>
      <c r="AV78" s="110"/>
      <c r="AW78" s="110"/>
      <c r="AX78" s="382"/>
    </row>
    <row r="79" spans="2:50">
      <c r="B79" s="382"/>
      <c r="C79" s="110">
        <v>13</v>
      </c>
      <c r="D79" s="110"/>
      <c r="E79" s="184"/>
      <c r="F79" s="184"/>
      <c r="G79" s="182"/>
      <c r="H79" s="396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396"/>
      <c r="M79" s="184" t="e">
        <f>RANK(K79, K$67:$K$81)</f>
        <v>#DIV/0!</v>
      </c>
      <c r="N79" s="381"/>
      <c r="O79" s="381"/>
      <c r="P79" s="110"/>
      <c r="Q79" s="110"/>
      <c r="R79" s="182"/>
      <c r="S79" s="110"/>
      <c r="T79" s="396"/>
      <c r="U79" s="110"/>
      <c r="V79" s="110"/>
      <c r="W79" s="110"/>
      <c r="X79" s="110"/>
      <c r="Y79" s="382"/>
      <c r="Z79" s="110"/>
      <c r="AA79" s="110"/>
      <c r="AB79" s="110"/>
      <c r="AC79" s="110"/>
      <c r="AD79" s="382"/>
      <c r="AE79" s="110"/>
      <c r="AF79" s="110"/>
      <c r="AG79" s="110"/>
      <c r="AH79" s="110"/>
      <c r="AI79" s="382"/>
      <c r="AJ79" s="110"/>
      <c r="AK79" s="110"/>
      <c r="AL79" s="110"/>
      <c r="AM79" s="110"/>
      <c r="AN79" s="382"/>
      <c r="AO79" s="110"/>
      <c r="AP79" s="110"/>
      <c r="AQ79" s="110"/>
      <c r="AR79" s="110"/>
      <c r="AS79" s="382"/>
      <c r="AT79" s="110"/>
      <c r="AU79" s="110"/>
      <c r="AV79" s="110"/>
      <c r="AW79" s="110"/>
      <c r="AX79" s="382"/>
    </row>
    <row r="80" spans="2:50">
      <c r="B80" s="382"/>
      <c r="C80" s="110">
        <v>14</v>
      </c>
      <c r="D80" s="110"/>
      <c r="E80" s="184"/>
      <c r="F80" s="184"/>
      <c r="G80" s="182"/>
      <c r="H80" s="396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396"/>
      <c r="M80" s="184" t="e">
        <f>RANK(K80, K$67:$K$81)</f>
        <v>#DIV/0!</v>
      </c>
      <c r="N80" s="381"/>
      <c r="O80" s="381"/>
      <c r="P80" s="110"/>
      <c r="Q80" s="110"/>
      <c r="R80" s="110"/>
      <c r="S80" s="110"/>
      <c r="T80" s="396"/>
      <c r="U80" s="110"/>
      <c r="V80" s="110"/>
      <c r="W80" s="110"/>
      <c r="X80" s="110"/>
      <c r="Y80" s="382"/>
      <c r="Z80" s="110"/>
      <c r="AA80" s="110"/>
      <c r="AB80" s="110"/>
      <c r="AC80" s="110"/>
      <c r="AD80" s="382"/>
      <c r="AE80" s="110"/>
      <c r="AF80" s="110"/>
      <c r="AG80" s="110"/>
      <c r="AH80" s="110"/>
      <c r="AI80" s="382"/>
      <c r="AJ80" s="110"/>
      <c r="AK80" s="110"/>
      <c r="AL80" s="110"/>
      <c r="AM80" s="110"/>
      <c r="AN80" s="382"/>
      <c r="AO80" s="110"/>
      <c r="AP80" s="110"/>
      <c r="AQ80" s="110"/>
      <c r="AR80" s="110"/>
      <c r="AS80" s="382"/>
      <c r="AT80" s="110"/>
      <c r="AU80" s="110"/>
      <c r="AV80" s="110"/>
      <c r="AW80" s="110"/>
      <c r="AX80" s="382"/>
    </row>
    <row r="81" spans="2:50">
      <c r="B81" s="382"/>
      <c r="C81" s="110">
        <v>15</v>
      </c>
      <c r="D81" s="110"/>
      <c r="E81" s="110"/>
      <c r="F81" s="110"/>
      <c r="G81" s="110"/>
      <c r="H81" s="397"/>
      <c r="I81" s="110"/>
      <c r="J81" s="110"/>
      <c r="K81" s="110"/>
      <c r="L81" s="397"/>
      <c r="M81" s="184" t="e">
        <f>RANK(K81, K$67:$K$81)</f>
        <v>#DIV/0!</v>
      </c>
      <c r="N81" s="381"/>
      <c r="O81" s="381"/>
      <c r="P81" s="110"/>
      <c r="Q81" s="110"/>
      <c r="R81" s="110"/>
      <c r="S81" s="110"/>
      <c r="T81" s="397"/>
      <c r="U81" s="110"/>
      <c r="V81" s="110"/>
      <c r="W81" s="110"/>
      <c r="X81" s="110"/>
      <c r="Y81" s="382"/>
      <c r="Z81" s="110"/>
      <c r="AA81" s="110"/>
      <c r="AB81" s="110"/>
      <c r="AC81" s="110"/>
      <c r="AD81" s="382"/>
      <c r="AE81" s="110"/>
      <c r="AF81" s="110"/>
      <c r="AG81" s="110"/>
      <c r="AH81" s="110"/>
      <c r="AI81" s="382"/>
      <c r="AJ81" s="110"/>
      <c r="AK81" s="110"/>
      <c r="AL81" s="110"/>
      <c r="AM81" s="110"/>
      <c r="AN81" s="382"/>
      <c r="AO81" s="110"/>
      <c r="AP81" s="110"/>
      <c r="AQ81" s="110"/>
      <c r="AR81" s="110"/>
      <c r="AS81" s="382"/>
      <c r="AT81" s="110"/>
      <c r="AU81" s="110"/>
      <c r="AV81" s="110"/>
      <c r="AW81" s="110"/>
      <c r="AX81" s="382"/>
    </row>
    <row r="82" spans="2:50" ht="15.75">
      <c r="B82" s="398" t="s">
        <v>93</v>
      </c>
      <c r="C82" s="399"/>
      <c r="D82" s="399"/>
      <c r="E82" s="399"/>
      <c r="F82" s="399"/>
      <c r="G82" s="399"/>
      <c r="H82" s="399"/>
      <c r="I82" s="214"/>
      <c r="J82" s="214"/>
      <c r="K82" s="214"/>
      <c r="L82" s="214"/>
      <c r="M82" s="213"/>
      <c r="N82" s="389" t="s">
        <v>94</v>
      </c>
      <c r="O82" s="389" t="s">
        <v>52</v>
      </c>
      <c r="P82" s="401">
        <v>45895</v>
      </c>
      <c r="Q82" s="382"/>
      <c r="R82" s="382"/>
      <c r="S82" s="382"/>
      <c r="T82" s="382"/>
      <c r="U82" s="401">
        <v>45896</v>
      </c>
      <c r="V82" s="382"/>
      <c r="W82" s="382"/>
      <c r="X82" s="382"/>
      <c r="Y82" s="382"/>
      <c r="Z82" s="401">
        <v>45897</v>
      </c>
      <c r="AA82" s="382"/>
      <c r="AB82" s="382"/>
      <c r="AC82" s="382"/>
      <c r="AD82" s="382"/>
      <c r="AE82" s="401">
        <v>45898</v>
      </c>
      <c r="AF82" s="382"/>
      <c r="AG82" s="382"/>
      <c r="AH82" s="382"/>
      <c r="AI82" s="382"/>
      <c r="AJ82" s="401">
        <v>45899</v>
      </c>
      <c r="AK82" s="382"/>
      <c r="AL82" s="382"/>
      <c r="AM82" s="382"/>
      <c r="AN82" s="382"/>
      <c r="AO82" s="401">
        <v>45900</v>
      </c>
      <c r="AP82" s="382"/>
      <c r="AQ82" s="382"/>
      <c r="AR82" s="382"/>
      <c r="AS82" s="382"/>
      <c r="AT82" s="401"/>
      <c r="AU82" s="382"/>
      <c r="AV82" s="382"/>
      <c r="AW82" s="382"/>
      <c r="AX82" s="382"/>
    </row>
    <row r="83" spans="2:50" ht="15.75">
      <c r="B83" s="400"/>
      <c r="C83" s="400"/>
      <c r="D83" s="400"/>
      <c r="E83" s="400"/>
      <c r="F83" s="400"/>
      <c r="G83" s="400"/>
      <c r="H83" s="400"/>
      <c r="I83" s="180"/>
      <c r="J83" s="180"/>
      <c r="K83" s="180"/>
      <c r="L83" s="180"/>
      <c r="M83" s="181"/>
      <c r="N83" s="391"/>
      <c r="O83" s="391"/>
      <c r="P83" s="401" t="s">
        <v>66</v>
      </c>
      <c r="Q83" s="382"/>
      <c r="R83" s="382"/>
      <c r="S83" s="382"/>
      <c r="T83" s="382"/>
      <c r="U83" s="401" t="s">
        <v>67</v>
      </c>
      <c r="V83" s="382"/>
      <c r="W83" s="382"/>
      <c r="X83" s="382"/>
      <c r="Y83" s="382"/>
      <c r="Z83" s="401" t="s">
        <v>68</v>
      </c>
      <c r="AA83" s="382"/>
      <c r="AB83" s="382"/>
      <c r="AC83" s="382"/>
      <c r="AD83" s="382"/>
      <c r="AE83" s="401" t="s">
        <v>63</v>
      </c>
      <c r="AF83" s="382"/>
      <c r="AG83" s="382"/>
      <c r="AH83" s="382"/>
      <c r="AI83" s="382"/>
      <c r="AJ83" s="401" t="s">
        <v>64</v>
      </c>
      <c r="AK83" s="382"/>
      <c r="AL83" s="382"/>
      <c r="AM83" s="382"/>
      <c r="AN83" s="382"/>
      <c r="AO83" s="401" t="s">
        <v>59</v>
      </c>
      <c r="AP83" s="382"/>
      <c r="AQ83" s="382"/>
      <c r="AR83" s="382"/>
      <c r="AS83" s="382"/>
      <c r="AT83" s="401" t="s">
        <v>65</v>
      </c>
      <c r="AU83" s="382"/>
      <c r="AV83" s="382"/>
      <c r="AW83" s="382"/>
      <c r="AX83" s="382"/>
    </row>
    <row r="84" spans="2:50">
      <c r="B84" s="381" t="s">
        <v>95</v>
      </c>
      <c r="C84" s="381" t="s">
        <v>96</v>
      </c>
      <c r="D84" s="381"/>
      <c r="E84" s="381" t="s">
        <v>97</v>
      </c>
      <c r="F84" s="381"/>
      <c r="G84" s="381"/>
      <c r="H84" s="386" t="s">
        <v>98</v>
      </c>
      <c r="I84" s="381" t="s">
        <v>99</v>
      </c>
      <c r="J84" s="381"/>
      <c r="K84" s="381"/>
      <c r="L84" s="386" t="s">
        <v>98</v>
      </c>
      <c r="M84" s="389" t="s">
        <v>100</v>
      </c>
      <c r="N84" s="381"/>
      <c r="O84" s="381" t="s">
        <v>101</v>
      </c>
      <c r="P84" s="383" t="s">
        <v>102</v>
      </c>
      <c r="Q84" s="384"/>
      <c r="R84" s="384"/>
      <c r="S84" s="385"/>
      <c r="T84" s="381" t="s">
        <v>98</v>
      </c>
      <c r="U84" s="383" t="s">
        <v>102</v>
      </c>
      <c r="V84" s="384"/>
      <c r="W84" s="384"/>
      <c r="X84" s="385"/>
      <c r="Y84" s="381" t="s">
        <v>98</v>
      </c>
      <c r="Z84" s="383" t="s">
        <v>102</v>
      </c>
      <c r="AA84" s="384"/>
      <c r="AB84" s="384"/>
      <c r="AC84" s="385"/>
      <c r="AD84" s="381" t="s">
        <v>98</v>
      </c>
      <c r="AE84" s="383" t="s">
        <v>102</v>
      </c>
      <c r="AF84" s="384"/>
      <c r="AG84" s="384"/>
      <c r="AH84" s="385"/>
      <c r="AI84" s="381" t="s">
        <v>98</v>
      </c>
      <c r="AJ84" s="383" t="s">
        <v>102</v>
      </c>
      <c r="AK84" s="384"/>
      <c r="AL84" s="384"/>
      <c r="AM84" s="385"/>
      <c r="AN84" s="381" t="s">
        <v>98</v>
      </c>
      <c r="AO84" s="383" t="s">
        <v>102</v>
      </c>
      <c r="AP84" s="384"/>
      <c r="AQ84" s="384"/>
      <c r="AR84" s="385"/>
      <c r="AS84" s="381" t="s">
        <v>98</v>
      </c>
      <c r="AT84" s="383" t="s">
        <v>102</v>
      </c>
      <c r="AU84" s="384"/>
      <c r="AV84" s="384"/>
      <c r="AW84" s="385"/>
      <c r="AX84" s="381" t="s">
        <v>98</v>
      </c>
    </row>
    <row r="85" spans="2:50">
      <c r="B85" s="381"/>
      <c r="C85" s="381"/>
      <c r="D85" s="381"/>
      <c r="E85" s="381" t="s">
        <v>103</v>
      </c>
      <c r="F85" s="381"/>
      <c r="G85" s="381"/>
      <c r="H85" s="387"/>
      <c r="I85" s="381" t="s">
        <v>103</v>
      </c>
      <c r="J85" s="381"/>
      <c r="K85" s="381"/>
      <c r="L85" s="387"/>
      <c r="M85" s="390"/>
      <c r="N85" s="381"/>
      <c r="O85" s="381"/>
      <c r="P85" s="383" t="s">
        <v>104</v>
      </c>
      <c r="Q85" s="384"/>
      <c r="R85" s="384"/>
      <c r="S85" s="385"/>
      <c r="T85" s="381"/>
      <c r="U85" s="383" t="s">
        <v>104</v>
      </c>
      <c r="V85" s="384"/>
      <c r="W85" s="384"/>
      <c r="X85" s="385"/>
      <c r="Y85" s="381"/>
      <c r="Z85" s="383" t="s">
        <v>104</v>
      </c>
      <c r="AA85" s="384"/>
      <c r="AB85" s="384"/>
      <c r="AC85" s="385"/>
      <c r="AD85" s="381"/>
      <c r="AE85" s="383" t="s">
        <v>104</v>
      </c>
      <c r="AF85" s="384"/>
      <c r="AG85" s="384"/>
      <c r="AH85" s="385"/>
      <c r="AI85" s="381"/>
      <c r="AJ85" s="383" t="s">
        <v>104</v>
      </c>
      <c r="AK85" s="384"/>
      <c r="AL85" s="384"/>
      <c r="AM85" s="385"/>
      <c r="AN85" s="381"/>
      <c r="AO85" s="383" t="s">
        <v>104</v>
      </c>
      <c r="AP85" s="384"/>
      <c r="AQ85" s="384"/>
      <c r="AR85" s="385"/>
      <c r="AS85" s="381"/>
      <c r="AT85" s="383" t="s">
        <v>104</v>
      </c>
      <c r="AU85" s="384"/>
      <c r="AV85" s="384"/>
      <c r="AW85" s="385"/>
      <c r="AX85" s="381"/>
    </row>
    <row r="86" spans="2:50">
      <c r="B86" s="381"/>
      <c r="C86" s="381"/>
      <c r="D86" s="381"/>
      <c r="E86" s="109" t="s">
        <v>105</v>
      </c>
      <c r="F86" s="109" t="s">
        <v>106</v>
      </c>
      <c r="G86" s="109" t="s">
        <v>107</v>
      </c>
      <c r="H86" s="388"/>
      <c r="I86" s="109" t="s">
        <v>105</v>
      </c>
      <c r="J86" s="109" t="s">
        <v>106</v>
      </c>
      <c r="K86" s="109" t="s">
        <v>107</v>
      </c>
      <c r="L86" s="388"/>
      <c r="M86" s="391"/>
      <c r="N86" s="381"/>
      <c r="O86" s="381"/>
      <c r="P86" s="109" t="s">
        <v>105</v>
      </c>
      <c r="Q86" s="109" t="s">
        <v>106</v>
      </c>
      <c r="R86" s="109" t="s">
        <v>107</v>
      </c>
      <c r="S86" s="109" t="s">
        <v>100</v>
      </c>
      <c r="T86" s="381"/>
      <c r="U86" s="109" t="s">
        <v>105</v>
      </c>
      <c r="V86" s="109" t="s">
        <v>106</v>
      </c>
      <c r="W86" s="109" t="s">
        <v>107</v>
      </c>
      <c r="X86" s="109" t="s">
        <v>100</v>
      </c>
      <c r="Y86" s="381"/>
      <c r="Z86" s="109" t="s">
        <v>105</v>
      </c>
      <c r="AA86" s="109" t="s">
        <v>106</v>
      </c>
      <c r="AB86" s="109" t="s">
        <v>107</v>
      </c>
      <c r="AC86" s="109" t="s">
        <v>100</v>
      </c>
      <c r="AD86" s="381"/>
      <c r="AE86" s="109" t="s">
        <v>105</v>
      </c>
      <c r="AF86" s="109" t="s">
        <v>106</v>
      </c>
      <c r="AG86" s="109" t="s">
        <v>107</v>
      </c>
      <c r="AH86" s="109" t="s">
        <v>100</v>
      </c>
      <c r="AI86" s="381"/>
      <c r="AJ86" s="109" t="s">
        <v>105</v>
      </c>
      <c r="AK86" s="109" t="s">
        <v>106</v>
      </c>
      <c r="AL86" s="109" t="s">
        <v>107</v>
      </c>
      <c r="AM86" s="109" t="s">
        <v>100</v>
      </c>
      <c r="AN86" s="381"/>
      <c r="AO86" s="109" t="s">
        <v>105</v>
      </c>
      <c r="AP86" s="109" t="s">
        <v>106</v>
      </c>
      <c r="AQ86" s="109" t="s">
        <v>107</v>
      </c>
      <c r="AR86" s="109" t="s">
        <v>100</v>
      </c>
      <c r="AS86" s="381"/>
      <c r="AT86" s="109" t="s">
        <v>105</v>
      </c>
      <c r="AU86" s="109" t="s">
        <v>106</v>
      </c>
      <c r="AV86" s="109" t="s">
        <v>107</v>
      </c>
      <c r="AW86" s="109" t="s">
        <v>100</v>
      </c>
      <c r="AX86" s="381"/>
    </row>
    <row r="87" spans="2:50">
      <c r="B87" s="381" t="s">
        <v>133</v>
      </c>
      <c r="C87" s="110">
        <v>1</v>
      </c>
      <c r="D87" s="110"/>
      <c r="E87" s="110"/>
      <c r="F87" s="110"/>
      <c r="G87" s="110"/>
      <c r="H87" s="392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395" t="e">
        <f>AVERAGE(K87:K101)</f>
        <v>#DIV/0!</v>
      </c>
      <c r="M87" s="184" t="e">
        <f>RANK(K87, K$87:$K$101)</f>
        <v>#DIV/0!</v>
      </c>
      <c r="N87" s="381"/>
      <c r="O87" s="381"/>
      <c r="P87" s="110"/>
      <c r="Q87" s="110"/>
      <c r="R87" s="110"/>
      <c r="S87" s="110"/>
      <c r="T87" s="382" t="e">
        <f>AVERAGE(R87:R101)</f>
        <v>#DIV/0!</v>
      </c>
      <c r="U87" s="110"/>
      <c r="V87" s="110"/>
      <c r="W87" s="110"/>
      <c r="X87" s="110"/>
      <c r="Y87" s="382" t="e">
        <f>AVERAGE(W87:W101)</f>
        <v>#DIV/0!</v>
      </c>
      <c r="Z87" s="110"/>
      <c r="AA87" s="110"/>
      <c r="AB87" s="110"/>
      <c r="AC87" s="110"/>
      <c r="AD87" s="382" t="e">
        <f>AVERAGE(AB87:AB101)</f>
        <v>#DIV/0!</v>
      </c>
      <c r="AE87" s="110"/>
      <c r="AF87" s="110"/>
      <c r="AG87" s="110"/>
      <c r="AH87" s="110"/>
      <c r="AI87" s="382" t="e">
        <f>AVERAGE(AG87:AG101)</f>
        <v>#DIV/0!</v>
      </c>
      <c r="AJ87" s="110"/>
      <c r="AK87" s="110"/>
      <c r="AL87" s="110"/>
      <c r="AM87" s="110"/>
      <c r="AN87" s="382" t="e">
        <f>AVERAGE(AL87:AL101)</f>
        <v>#DIV/0!</v>
      </c>
      <c r="AO87" s="110"/>
      <c r="AP87" s="110"/>
      <c r="AQ87" s="110"/>
      <c r="AR87" s="110"/>
      <c r="AS87" s="382" t="e">
        <f>AVERAGE(AQ87:AQ101)</f>
        <v>#DIV/0!</v>
      </c>
      <c r="AT87" s="110"/>
      <c r="AU87" s="110"/>
      <c r="AV87" s="110"/>
      <c r="AW87" s="110"/>
      <c r="AX87" s="382" t="e">
        <f>AVERAGE(AV87:AV101)</f>
        <v>#DIV/0!</v>
      </c>
    </row>
    <row r="88" spans="2:50">
      <c r="B88" s="382"/>
      <c r="C88" s="110">
        <v>2</v>
      </c>
      <c r="D88" s="110"/>
      <c r="E88" s="110"/>
      <c r="F88" s="110"/>
      <c r="G88" s="110"/>
      <c r="H88" s="393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396"/>
      <c r="M88" s="184" t="e">
        <f>RANK(K88, K$87:$K$101)</f>
        <v>#DIV/0!</v>
      </c>
      <c r="N88" s="381"/>
      <c r="O88" s="381"/>
      <c r="P88" s="110"/>
      <c r="Q88" s="110"/>
      <c r="R88" s="110"/>
      <c r="S88" s="110"/>
      <c r="T88" s="382"/>
      <c r="U88" s="110"/>
      <c r="V88" s="110"/>
      <c r="W88" s="110"/>
      <c r="X88" s="110"/>
      <c r="Y88" s="382"/>
      <c r="Z88" s="110"/>
      <c r="AA88" s="110"/>
      <c r="AB88" s="110"/>
      <c r="AC88" s="110"/>
      <c r="AD88" s="382"/>
      <c r="AE88" s="110"/>
      <c r="AF88" s="110"/>
      <c r="AG88" s="110"/>
      <c r="AH88" s="110"/>
      <c r="AI88" s="382"/>
      <c r="AJ88" s="110"/>
      <c r="AK88" s="110"/>
      <c r="AL88" s="110"/>
      <c r="AM88" s="110"/>
      <c r="AN88" s="382"/>
      <c r="AO88" s="110"/>
      <c r="AP88" s="110"/>
      <c r="AQ88" s="110"/>
      <c r="AR88" s="110"/>
      <c r="AS88" s="382"/>
      <c r="AT88" s="110"/>
      <c r="AU88" s="110"/>
      <c r="AV88" s="110"/>
      <c r="AW88" s="110"/>
      <c r="AX88" s="382"/>
    </row>
    <row r="89" spans="2:50">
      <c r="B89" s="382"/>
      <c r="C89" s="110">
        <v>3</v>
      </c>
      <c r="D89" s="110"/>
      <c r="E89" s="110"/>
      <c r="F89" s="110"/>
      <c r="G89" s="110"/>
      <c r="H89" s="393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396"/>
      <c r="M89" s="184" t="e">
        <f>RANK(K89, K$87:$K$101)</f>
        <v>#DIV/0!</v>
      </c>
      <c r="N89" s="381"/>
      <c r="O89" s="381"/>
      <c r="P89" s="110"/>
      <c r="Q89" s="110"/>
      <c r="R89" s="110"/>
      <c r="S89" s="110"/>
      <c r="T89" s="382"/>
      <c r="U89" s="110"/>
      <c r="V89" s="110"/>
      <c r="W89" s="110"/>
      <c r="X89" s="110"/>
      <c r="Y89" s="382"/>
      <c r="Z89" s="110"/>
      <c r="AA89" s="110"/>
      <c r="AB89" s="110"/>
      <c r="AC89" s="110"/>
      <c r="AD89" s="382"/>
      <c r="AE89" s="110"/>
      <c r="AF89" s="110"/>
      <c r="AG89" s="110"/>
      <c r="AH89" s="110"/>
      <c r="AI89" s="382"/>
      <c r="AJ89" s="110"/>
      <c r="AK89" s="110"/>
      <c r="AL89" s="110"/>
      <c r="AM89" s="110"/>
      <c r="AN89" s="382"/>
      <c r="AO89" s="110"/>
      <c r="AP89" s="110"/>
      <c r="AQ89" s="110"/>
      <c r="AR89" s="110"/>
      <c r="AS89" s="382"/>
      <c r="AT89" s="110"/>
      <c r="AU89" s="110"/>
      <c r="AV89" s="110"/>
      <c r="AW89" s="110"/>
      <c r="AX89" s="382"/>
    </row>
    <row r="90" spans="2:50">
      <c r="B90" s="382"/>
      <c r="C90" s="110">
        <v>4</v>
      </c>
      <c r="D90" s="110"/>
      <c r="E90" s="110"/>
      <c r="F90" s="110"/>
      <c r="G90" s="110"/>
      <c r="H90" s="393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396"/>
      <c r="M90" s="184" t="e">
        <f>RANK(K90, K$87:$K$101)</f>
        <v>#DIV/0!</v>
      </c>
      <c r="N90" s="381"/>
      <c r="O90" s="381"/>
      <c r="P90" s="110"/>
      <c r="Q90" s="110"/>
      <c r="R90" s="110"/>
      <c r="S90" s="110"/>
      <c r="T90" s="382"/>
      <c r="U90" s="110"/>
      <c r="V90" s="110"/>
      <c r="W90" s="110"/>
      <c r="X90" s="110"/>
      <c r="Y90" s="382"/>
      <c r="Z90" s="110"/>
      <c r="AA90" s="110"/>
      <c r="AB90" s="110"/>
      <c r="AC90" s="110"/>
      <c r="AD90" s="382"/>
      <c r="AE90" s="110"/>
      <c r="AF90" s="110"/>
      <c r="AG90" s="110"/>
      <c r="AH90" s="110"/>
      <c r="AI90" s="382"/>
      <c r="AJ90" s="110"/>
      <c r="AK90" s="110"/>
      <c r="AL90" s="110"/>
      <c r="AM90" s="110"/>
      <c r="AN90" s="382"/>
      <c r="AO90" s="110"/>
      <c r="AP90" s="110"/>
      <c r="AQ90" s="110"/>
      <c r="AR90" s="110"/>
      <c r="AS90" s="382"/>
      <c r="AT90" s="110"/>
      <c r="AU90" s="110"/>
      <c r="AV90" s="110"/>
      <c r="AW90" s="110"/>
      <c r="AX90" s="382"/>
    </row>
    <row r="91" spans="2:50">
      <c r="B91" s="382"/>
      <c r="C91" s="110">
        <v>5</v>
      </c>
      <c r="D91" s="110"/>
      <c r="E91" s="110"/>
      <c r="F91" s="110"/>
      <c r="G91" s="110"/>
      <c r="H91" s="393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396"/>
      <c r="M91" s="184" t="e">
        <f>RANK(K91, K$87:$K$101)</f>
        <v>#DIV/0!</v>
      </c>
      <c r="N91" s="381"/>
      <c r="O91" s="381"/>
      <c r="P91" s="110"/>
      <c r="Q91" s="110"/>
      <c r="R91" s="110"/>
      <c r="S91" s="110"/>
      <c r="T91" s="382"/>
      <c r="U91" s="110"/>
      <c r="V91" s="110"/>
      <c r="W91" s="110"/>
      <c r="X91" s="110"/>
      <c r="Y91" s="382"/>
      <c r="Z91" s="110"/>
      <c r="AA91" s="110"/>
      <c r="AB91" s="110"/>
      <c r="AC91" s="110"/>
      <c r="AD91" s="382"/>
      <c r="AE91" s="110"/>
      <c r="AF91" s="110"/>
      <c r="AG91" s="110"/>
      <c r="AH91" s="110"/>
      <c r="AI91" s="382"/>
      <c r="AJ91" s="110"/>
      <c r="AK91" s="110"/>
      <c r="AL91" s="110"/>
      <c r="AM91" s="110"/>
      <c r="AN91" s="382"/>
      <c r="AO91" s="110"/>
      <c r="AP91" s="110"/>
      <c r="AQ91" s="110"/>
      <c r="AR91" s="110"/>
      <c r="AS91" s="382"/>
      <c r="AT91" s="110"/>
      <c r="AU91" s="110"/>
      <c r="AV91" s="110"/>
      <c r="AW91" s="110"/>
      <c r="AX91" s="382"/>
    </row>
    <row r="92" spans="2:50">
      <c r="B92" s="382"/>
      <c r="C92" s="110">
        <v>6</v>
      </c>
      <c r="D92" s="110"/>
      <c r="E92" s="110"/>
      <c r="F92" s="110"/>
      <c r="G92" s="110"/>
      <c r="H92" s="393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396"/>
      <c r="M92" s="184" t="e">
        <f>RANK(K92, K$87:$K$101)</f>
        <v>#DIV/0!</v>
      </c>
      <c r="N92" s="381"/>
      <c r="O92" s="381"/>
      <c r="P92" s="110"/>
      <c r="Q92" s="110"/>
      <c r="R92" s="110"/>
      <c r="S92" s="110"/>
      <c r="T92" s="382"/>
      <c r="U92" s="110"/>
      <c r="V92" s="110"/>
      <c r="W92" s="110"/>
      <c r="X92" s="110"/>
      <c r="Y92" s="382"/>
      <c r="Z92" s="110"/>
      <c r="AA92" s="110"/>
      <c r="AB92" s="110"/>
      <c r="AC92" s="110"/>
      <c r="AD92" s="382"/>
      <c r="AE92" s="110"/>
      <c r="AF92" s="110"/>
      <c r="AG92" s="110"/>
      <c r="AH92" s="110"/>
      <c r="AI92" s="382"/>
      <c r="AJ92" s="110"/>
      <c r="AK92" s="110"/>
      <c r="AL92" s="110"/>
      <c r="AM92" s="110"/>
      <c r="AN92" s="382"/>
      <c r="AO92" s="110"/>
      <c r="AP92" s="110"/>
      <c r="AQ92" s="110"/>
      <c r="AR92" s="110"/>
      <c r="AS92" s="382"/>
      <c r="AT92" s="110"/>
      <c r="AU92" s="110"/>
      <c r="AV92" s="110"/>
      <c r="AW92" s="110"/>
      <c r="AX92" s="382"/>
    </row>
    <row r="93" spans="2:50">
      <c r="B93" s="382"/>
      <c r="C93" s="110">
        <v>7</v>
      </c>
      <c r="D93" s="110"/>
      <c r="E93" s="110"/>
      <c r="F93" s="110"/>
      <c r="G93" s="110"/>
      <c r="H93" s="393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396"/>
      <c r="M93" s="184" t="e">
        <f>RANK(K93, K$87:$K$101)</f>
        <v>#DIV/0!</v>
      </c>
      <c r="N93" s="381"/>
      <c r="O93" s="381"/>
      <c r="P93" s="110"/>
      <c r="Q93" s="110"/>
      <c r="R93" s="110"/>
      <c r="S93" s="110"/>
      <c r="T93" s="382"/>
      <c r="U93" s="110"/>
      <c r="V93" s="110"/>
      <c r="W93" s="110"/>
      <c r="X93" s="110"/>
      <c r="Y93" s="382"/>
      <c r="Z93" s="110"/>
      <c r="AA93" s="110"/>
      <c r="AB93" s="110"/>
      <c r="AC93" s="110"/>
      <c r="AD93" s="382"/>
      <c r="AE93" s="110"/>
      <c r="AF93" s="110"/>
      <c r="AG93" s="110"/>
      <c r="AH93" s="110"/>
      <c r="AI93" s="382"/>
      <c r="AJ93" s="110"/>
      <c r="AK93" s="110"/>
      <c r="AL93" s="110"/>
      <c r="AM93" s="110"/>
      <c r="AN93" s="382"/>
      <c r="AO93" s="110"/>
      <c r="AP93" s="110"/>
      <c r="AQ93" s="110"/>
      <c r="AR93" s="110"/>
      <c r="AS93" s="382"/>
      <c r="AT93" s="110"/>
      <c r="AU93" s="110"/>
      <c r="AV93" s="110"/>
      <c r="AW93" s="110"/>
      <c r="AX93" s="382"/>
    </row>
    <row r="94" spans="2:50">
      <c r="B94" s="382"/>
      <c r="C94" s="110">
        <v>8</v>
      </c>
      <c r="D94" s="110"/>
      <c r="E94" s="110"/>
      <c r="F94" s="110"/>
      <c r="G94" s="110"/>
      <c r="H94" s="393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396"/>
      <c r="M94" s="184" t="e">
        <f>RANK(K94, K$87:$K$101)</f>
        <v>#DIV/0!</v>
      </c>
      <c r="N94" s="381"/>
      <c r="O94" s="381"/>
      <c r="P94" s="110"/>
      <c r="Q94" s="110"/>
      <c r="R94" s="110"/>
      <c r="S94" s="110"/>
      <c r="T94" s="382"/>
      <c r="U94" s="110"/>
      <c r="V94" s="110"/>
      <c r="W94" s="110"/>
      <c r="X94" s="110"/>
      <c r="Y94" s="382"/>
      <c r="Z94" s="110"/>
      <c r="AA94" s="110"/>
      <c r="AB94" s="110"/>
      <c r="AC94" s="110"/>
      <c r="AD94" s="382"/>
      <c r="AE94" s="110"/>
      <c r="AF94" s="110"/>
      <c r="AG94" s="110"/>
      <c r="AH94" s="110"/>
      <c r="AI94" s="382"/>
      <c r="AJ94" s="110"/>
      <c r="AK94" s="110"/>
      <c r="AL94" s="110"/>
      <c r="AM94" s="110"/>
      <c r="AN94" s="382"/>
      <c r="AO94" s="110"/>
      <c r="AP94" s="110"/>
      <c r="AQ94" s="110"/>
      <c r="AR94" s="110"/>
      <c r="AS94" s="382"/>
      <c r="AT94" s="110"/>
      <c r="AU94" s="110"/>
      <c r="AV94" s="110"/>
      <c r="AW94" s="110"/>
      <c r="AX94" s="382"/>
    </row>
    <row r="95" spans="2:50">
      <c r="B95" s="382"/>
      <c r="C95" s="110">
        <v>9</v>
      </c>
      <c r="D95" s="110"/>
      <c r="E95" s="110"/>
      <c r="F95" s="110"/>
      <c r="G95" s="110"/>
      <c r="H95" s="393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396"/>
      <c r="M95" s="184" t="e">
        <f>RANK(K95, K$87:$K$101)</f>
        <v>#DIV/0!</v>
      </c>
      <c r="N95" s="381"/>
      <c r="O95" s="381"/>
      <c r="P95" s="110"/>
      <c r="Q95" s="110"/>
      <c r="R95" s="110"/>
      <c r="S95" s="110"/>
      <c r="T95" s="382"/>
      <c r="U95" s="110"/>
      <c r="V95" s="110"/>
      <c r="W95" s="110"/>
      <c r="X95" s="110"/>
      <c r="Y95" s="382"/>
      <c r="Z95" s="110"/>
      <c r="AA95" s="110"/>
      <c r="AB95" s="110"/>
      <c r="AC95" s="110"/>
      <c r="AD95" s="382"/>
      <c r="AE95" s="110"/>
      <c r="AF95" s="110"/>
      <c r="AG95" s="110"/>
      <c r="AH95" s="110"/>
      <c r="AI95" s="382"/>
      <c r="AJ95" s="110"/>
      <c r="AK95" s="110"/>
      <c r="AL95" s="110"/>
      <c r="AM95" s="110"/>
      <c r="AN95" s="382"/>
      <c r="AO95" s="110"/>
      <c r="AP95" s="110"/>
      <c r="AQ95" s="110"/>
      <c r="AR95" s="110"/>
      <c r="AS95" s="382"/>
      <c r="AT95" s="110"/>
      <c r="AU95" s="110"/>
      <c r="AV95" s="110"/>
      <c r="AW95" s="110"/>
      <c r="AX95" s="382"/>
    </row>
    <row r="96" spans="2:50">
      <c r="B96" s="382"/>
      <c r="C96" s="110">
        <v>10</v>
      </c>
      <c r="D96" s="110"/>
      <c r="E96" s="110"/>
      <c r="F96" s="110"/>
      <c r="G96" s="110"/>
      <c r="H96" s="393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396"/>
      <c r="M96" s="184" t="e">
        <f>RANK(K96, K$87:$K$101)</f>
        <v>#DIV/0!</v>
      </c>
      <c r="N96" s="381"/>
      <c r="O96" s="381"/>
      <c r="P96" s="110"/>
      <c r="Q96" s="110"/>
      <c r="R96" s="110"/>
      <c r="S96" s="110"/>
      <c r="T96" s="382"/>
      <c r="U96" s="110"/>
      <c r="V96" s="110"/>
      <c r="W96" s="110"/>
      <c r="X96" s="110"/>
      <c r="Y96" s="382"/>
      <c r="Z96" s="110"/>
      <c r="AA96" s="110"/>
      <c r="AB96" s="110"/>
      <c r="AC96" s="110"/>
      <c r="AD96" s="382"/>
      <c r="AE96" s="110"/>
      <c r="AF96" s="110"/>
      <c r="AG96" s="110"/>
      <c r="AH96" s="110"/>
      <c r="AI96" s="382"/>
      <c r="AJ96" s="110"/>
      <c r="AK96" s="110"/>
      <c r="AL96" s="110"/>
      <c r="AM96" s="110"/>
      <c r="AN96" s="382"/>
      <c r="AO96" s="110"/>
      <c r="AP96" s="110"/>
      <c r="AQ96" s="110"/>
      <c r="AR96" s="110"/>
      <c r="AS96" s="382"/>
      <c r="AT96" s="110"/>
      <c r="AU96" s="110"/>
      <c r="AV96" s="110"/>
      <c r="AW96" s="110"/>
      <c r="AX96" s="382"/>
    </row>
    <row r="97" spans="2:50">
      <c r="B97" s="382"/>
      <c r="C97" s="110">
        <v>11</v>
      </c>
      <c r="D97" s="110"/>
      <c r="E97" s="110"/>
      <c r="F97" s="110"/>
      <c r="G97" s="110"/>
      <c r="H97" s="393"/>
      <c r="I97" s="110"/>
      <c r="J97" s="110"/>
      <c r="K97" s="110"/>
      <c r="L97" s="396"/>
      <c r="M97" s="184" t="e">
        <f>RANK(K97, K$87:$K$101)</f>
        <v>#DIV/0!</v>
      </c>
      <c r="N97" s="381"/>
      <c r="O97" s="381"/>
      <c r="P97" s="110"/>
      <c r="Q97" s="110"/>
      <c r="R97" s="110"/>
      <c r="S97" s="110"/>
      <c r="T97" s="382"/>
      <c r="U97" s="110"/>
      <c r="V97" s="110"/>
      <c r="W97" s="110"/>
      <c r="X97" s="110"/>
      <c r="Y97" s="382"/>
      <c r="Z97" s="110"/>
      <c r="AA97" s="110"/>
      <c r="AB97" s="110"/>
      <c r="AC97" s="110"/>
      <c r="AD97" s="382"/>
      <c r="AE97" s="110"/>
      <c r="AF97" s="110"/>
      <c r="AG97" s="110"/>
      <c r="AH97" s="110"/>
      <c r="AI97" s="382"/>
      <c r="AJ97" s="110"/>
      <c r="AK97" s="110"/>
      <c r="AL97" s="110"/>
      <c r="AM97" s="110"/>
      <c r="AN97" s="382"/>
      <c r="AO97" s="110"/>
      <c r="AP97" s="110"/>
      <c r="AQ97" s="110"/>
      <c r="AR97" s="110"/>
      <c r="AS97" s="382"/>
      <c r="AT97" s="110"/>
      <c r="AU97" s="110"/>
      <c r="AV97" s="110"/>
      <c r="AW97" s="110"/>
      <c r="AX97" s="382"/>
    </row>
    <row r="98" spans="2:50">
      <c r="B98" s="382"/>
      <c r="C98" s="110">
        <v>12</v>
      </c>
      <c r="D98" s="110"/>
      <c r="E98" s="110"/>
      <c r="F98" s="110"/>
      <c r="G98" s="110"/>
      <c r="H98" s="393"/>
      <c r="I98" s="110"/>
      <c r="J98" s="110"/>
      <c r="K98" s="110"/>
      <c r="L98" s="396"/>
      <c r="M98" s="184" t="e">
        <f>RANK(K98, K$87:$K$101)</f>
        <v>#DIV/0!</v>
      </c>
      <c r="N98" s="381"/>
      <c r="O98" s="381"/>
      <c r="P98" s="110"/>
      <c r="Q98" s="110"/>
      <c r="R98" s="110"/>
      <c r="S98" s="110"/>
      <c r="T98" s="382"/>
      <c r="U98" s="110"/>
      <c r="V98" s="110"/>
      <c r="W98" s="110"/>
      <c r="X98" s="110"/>
      <c r="Y98" s="382"/>
      <c r="Z98" s="110"/>
      <c r="AA98" s="110"/>
      <c r="AB98" s="110"/>
      <c r="AC98" s="110"/>
      <c r="AD98" s="382"/>
      <c r="AE98" s="110"/>
      <c r="AF98" s="110"/>
      <c r="AG98" s="110"/>
      <c r="AH98" s="110"/>
      <c r="AI98" s="382"/>
      <c r="AJ98" s="110"/>
      <c r="AK98" s="110"/>
      <c r="AL98" s="110"/>
      <c r="AM98" s="110"/>
      <c r="AN98" s="382"/>
      <c r="AO98" s="110"/>
      <c r="AP98" s="110"/>
      <c r="AQ98" s="110"/>
      <c r="AR98" s="110"/>
      <c r="AS98" s="382"/>
      <c r="AT98" s="110"/>
      <c r="AU98" s="110"/>
      <c r="AV98" s="110"/>
      <c r="AW98" s="110"/>
      <c r="AX98" s="382"/>
    </row>
    <row r="99" spans="2:50">
      <c r="B99" s="382"/>
      <c r="C99" s="110">
        <v>13</v>
      </c>
      <c r="D99" s="110"/>
      <c r="E99" s="110"/>
      <c r="F99" s="110"/>
      <c r="G99" s="110"/>
      <c r="H99" s="393"/>
      <c r="I99" s="110"/>
      <c r="J99" s="110"/>
      <c r="K99" s="110"/>
      <c r="L99" s="396"/>
      <c r="M99" s="184" t="e">
        <f>RANK(K99, K$87:$K$101)</f>
        <v>#DIV/0!</v>
      </c>
      <c r="N99" s="381"/>
      <c r="O99" s="381"/>
      <c r="P99" s="110"/>
      <c r="Q99" s="110"/>
      <c r="R99" s="110"/>
      <c r="S99" s="110"/>
      <c r="T99" s="382"/>
      <c r="U99" s="110"/>
      <c r="V99" s="110"/>
      <c r="W99" s="110"/>
      <c r="X99" s="110"/>
      <c r="Y99" s="382"/>
      <c r="Z99" s="110"/>
      <c r="AA99" s="110"/>
      <c r="AB99" s="110"/>
      <c r="AC99" s="110"/>
      <c r="AD99" s="382"/>
      <c r="AE99" s="110"/>
      <c r="AF99" s="110"/>
      <c r="AG99" s="110"/>
      <c r="AH99" s="110"/>
      <c r="AI99" s="382"/>
      <c r="AJ99" s="110"/>
      <c r="AK99" s="110"/>
      <c r="AL99" s="110"/>
      <c r="AM99" s="110"/>
      <c r="AN99" s="382"/>
      <c r="AO99" s="110"/>
      <c r="AP99" s="110"/>
      <c r="AQ99" s="110"/>
      <c r="AR99" s="110"/>
      <c r="AS99" s="382"/>
      <c r="AT99" s="110"/>
      <c r="AU99" s="110"/>
      <c r="AV99" s="110"/>
      <c r="AW99" s="110"/>
      <c r="AX99" s="382"/>
    </row>
    <row r="100" spans="2:50">
      <c r="B100" s="382"/>
      <c r="C100" s="110">
        <v>14</v>
      </c>
      <c r="D100" s="110"/>
      <c r="E100" s="110"/>
      <c r="F100" s="110"/>
      <c r="G100" s="110"/>
      <c r="H100" s="393"/>
      <c r="I100" s="110"/>
      <c r="J100" s="110"/>
      <c r="K100" s="110"/>
      <c r="L100" s="396"/>
      <c r="M100" s="184" t="e">
        <f>RANK(K100, K$87:$K$101)</f>
        <v>#DIV/0!</v>
      </c>
      <c r="N100" s="381"/>
      <c r="O100" s="381"/>
      <c r="P100" s="110"/>
      <c r="Q100" s="110"/>
      <c r="R100" s="110"/>
      <c r="S100" s="110"/>
      <c r="T100" s="382"/>
      <c r="U100" s="110"/>
      <c r="V100" s="110"/>
      <c r="W100" s="110"/>
      <c r="X100" s="110"/>
      <c r="Y100" s="382"/>
      <c r="Z100" s="110"/>
      <c r="AA100" s="110"/>
      <c r="AB100" s="110"/>
      <c r="AC100" s="110"/>
      <c r="AD100" s="382"/>
      <c r="AE100" s="110"/>
      <c r="AF100" s="110"/>
      <c r="AG100" s="110"/>
      <c r="AH100" s="110"/>
      <c r="AI100" s="382"/>
      <c r="AJ100" s="110"/>
      <c r="AK100" s="110"/>
      <c r="AL100" s="110"/>
      <c r="AM100" s="110"/>
      <c r="AN100" s="382"/>
      <c r="AO100" s="110"/>
      <c r="AP100" s="110"/>
      <c r="AQ100" s="110"/>
      <c r="AR100" s="110"/>
      <c r="AS100" s="382"/>
      <c r="AT100" s="110"/>
      <c r="AU100" s="110"/>
      <c r="AV100" s="110"/>
      <c r="AW100" s="110"/>
      <c r="AX100" s="382"/>
    </row>
    <row r="101" spans="2:50">
      <c r="B101" s="382"/>
      <c r="C101" s="110">
        <v>15</v>
      </c>
      <c r="D101" s="110"/>
      <c r="E101" s="110"/>
      <c r="F101" s="110"/>
      <c r="G101" s="110"/>
      <c r="H101" s="394"/>
      <c r="I101" s="110"/>
      <c r="J101" s="110"/>
      <c r="K101" s="110"/>
      <c r="L101" s="397"/>
      <c r="M101" s="184" t="e">
        <f>RANK(K101, K$87:$K$101)</f>
        <v>#DIV/0!</v>
      </c>
      <c r="N101" s="381"/>
      <c r="O101" s="381"/>
      <c r="P101" s="110"/>
      <c r="Q101" s="110"/>
      <c r="R101" s="110"/>
      <c r="S101" s="110"/>
      <c r="T101" s="382"/>
      <c r="U101" s="110"/>
      <c r="V101" s="110"/>
      <c r="W101" s="110"/>
      <c r="X101" s="110"/>
      <c r="Y101" s="382"/>
      <c r="Z101" s="110"/>
      <c r="AA101" s="110"/>
      <c r="AB101" s="110"/>
      <c r="AC101" s="110"/>
      <c r="AD101" s="382"/>
      <c r="AE101" s="110"/>
      <c r="AF101" s="110"/>
      <c r="AG101" s="110"/>
      <c r="AH101" s="110"/>
      <c r="AI101" s="382"/>
      <c r="AJ101" s="110"/>
      <c r="AK101" s="110"/>
      <c r="AL101" s="110"/>
      <c r="AM101" s="110"/>
      <c r="AN101" s="382"/>
      <c r="AO101" s="110"/>
      <c r="AP101" s="110"/>
      <c r="AQ101" s="110"/>
      <c r="AR101" s="110"/>
      <c r="AS101" s="382"/>
      <c r="AT101" s="110"/>
      <c r="AU101" s="110"/>
      <c r="AV101" s="110"/>
      <c r="AW101" s="110"/>
      <c r="AX101" s="38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topLeftCell="A65" zoomScaleNormal="100" workbookViewId="0">
      <pane xSplit="4" topLeftCell="AH1" activePane="topRight" state="frozen"/>
      <selection pane="topRight" activeCell="D90" sqref="D90"/>
    </sheetView>
  </sheetViews>
  <sheetFormatPr defaultColWidth="8.85546875" defaultRowHeight="12.75"/>
  <cols>
    <col min="1" max="1" width="5.5703125" style="293" customWidth="1"/>
    <col min="2" max="2" width="12.42578125" style="293" customWidth="1"/>
    <col min="3" max="3" width="8.85546875" style="292"/>
    <col min="4" max="4" width="26.42578125" style="292" customWidth="1"/>
    <col min="5" max="7" width="8.42578125" style="292" customWidth="1"/>
    <col min="8" max="8" width="11.140625" style="292" bestFit="1" customWidth="1"/>
    <col min="9" max="12" width="11.140625" style="292" customWidth="1"/>
    <col min="13" max="13" width="13.5703125" style="292" customWidth="1"/>
    <col min="14" max="14" width="9.85546875" style="292" customWidth="1"/>
    <col min="15" max="15" width="7.140625" style="292" customWidth="1"/>
    <col min="16" max="18" width="12.85546875" style="292" customWidth="1"/>
    <col min="19" max="19" width="7.7109375" style="292" bestFit="1" customWidth="1"/>
    <col min="20" max="20" width="12.85546875" style="292" customWidth="1"/>
    <col min="21" max="23" width="12.85546875" style="293" customWidth="1"/>
    <col min="24" max="24" width="5.42578125" style="292" customWidth="1"/>
    <col min="25" max="28" width="12.85546875" style="293" customWidth="1"/>
    <col min="29" max="29" width="5.42578125" style="292" customWidth="1"/>
    <col min="30" max="30" width="12.85546875" style="293" customWidth="1"/>
    <col min="31" max="33" width="12.5703125" style="293" customWidth="1"/>
    <col min="34" max="34" width="5.42578125" style="292" customWidth="1"/>
    <col min="35" max="35" width="13" style="293" customWidth="1"/>
    <col min="36" max="38" width="12.5703125" style="293" customWidth="1"/>
    <col min="39" max="39" width="5.42578125" style="292" customWidth="1"/>
    <col min="40" max="40" width="13" style="293" customWidth="1"/>
    <col min="41" max="43" width="13.140625" style="293" customWidth="1"/>
    <col min="44" max="44" width="5.42578125" style="293" customWidth="1"/>
    <col min="45" max="48" width="13.140625" style="293" customWidth="1"/>
    <col min="49" max="49" width="5.42578125" style="293" customWidth="1"/>
    <col min="50" max="50" width="13.140625" style="293" customWidth="1"/>
    <col min="51" max="16384" width="8.85546875" style="293"/>
  </cols>
  <sheetData>
    <row r="1" spans="1:50" ht="21">
      <c r="A1" s="289"/>
      <c r="B1" s="290" t="s">
        <v>131</v>
      </c>
      <c r="C1" s="291">
        <f>AVERAGE(L7,L27,L47,L67,L87)</f>
        <v>109.76447013304156</v>
      </c>
    </row>
    <row r="2" spans="1:50" ht="15.75">
      <c r="A2" s="294"/>
      <c r="B2" s="365" t="s">
        <v>93</v>
      </c>
      <c r="C2" s="366"/>
      <c r="D2" s="366"/>
      <c r="E2" s="366"/>
      <c r="F2" s="366"/>
      <c r="G2" s="366"/>
      <c r="H2" s="366"/>
      <c r="I2" s="295"/>
      <c r="J2" s="295"/>
      <c r="K2" s="295"/>
      <c r="L2" s="295"/>
      <c r="M2" s="296"/>
      <c r="N2" s="355" t="s">
        <v>94</v>
      </c>
      <c r="O2" s="355" t="s">
        <v>52</v>
      </c>
      <c r="P2" s="368"/>
      <c r="Q2" s="354"/>
      <c r="R2" s="354"/>
      <c r="S2" s="354"/>
      <c r="T2" s="354"/>
      <c r="U2" s="368"/>
      <c r="V2" s="354"/>
      <c r="W2" s="354"/>
      <c r="X2" s="354"/>
      <c r="Y2" s="354"/>
      <c r="Z2" s="368"/>
      <c r="AA2" s="354"/>
      <c r="AB2" s="354"/>
      <c r="AC2" s="354"/>
      <c r="AD2" s="354"/>
      <c r="AE2" s="368">
        <v>45870</v>
      </c>
      <c r="AF2" s="354"/>
      <c r="AG2" s="354"/>
      <c r="AH2" s="354"/>
      <c r="AI2" s="354"/>
      <c r="AJ2" s="368">
        <v>45871</v>
      </c>
      <c r="AK2" s="354"/>
      <c r="AL2" s="354"/>
      <c r="AM2" s="354"/>
      <c r="AN2" s="354"/>
      <c r="AO2" s="368">
        <v>45872</v>
      </c>
      <c r="AP2" s="354"/>
      <c r="AQ2" s="354"/>
      <c r="AR2" s="354"/>
      <c r="AS2" s="354"/>
      <c r="AT2" s="368">
        <v>45873</v>
      </c>
      <c r="AU2" s="354"/>
      <c r="AV2" s="354"/>
      <c r="AW2" s="354"/>
      <c r="AX2" s="354"/>
    </row>
    <row r="3" spans="1:50" ht="15.75">
      <c r="A3" s="294"/>
      <c r="B3" s="367"/>
      <c r="C3" s="367"/>
      <c r="D3" s="367"/>
      <c r="E3" s="367"/>
      <c r="F3" s="367"/>
      <c r="G3" s="367"/>
      <c r="H3" s="367"/>
      <c r="I3" s="297"/>
      <c r="J3" s="297"/>
      <c r="K3" s="297"/>
      <c r="L3" s="297"/>
      <c r="M3" s="298"/>
      <c r="N3" s="357"/>
      <c r="O3" s="357"/>
      <c r="P3" s="368" t="s">
        <v>66</v>
      </c>
      <c r="Q3" s="354"/>
      <c r="R3" s="354"/>
      <c r="S3" s="354"/>
      <c r="T3" s="354"/>
      <c r="U3" s="368" t="s">
        <v>67</v>
      </c>
      <c r="V3" s="354"/>
      <c r="W3" s="354"/>
      <c r="X3" s="354"/>
      <c r="Y3" s="354"/>
      <c r="Z3" s="368" t="s">
        <v>68</v>
      </c>
      <c r="AA3" s="354"/>
      <c r="AB3" s="354"/>
      <c r="AC3" s="354"/>
      <c r="AD3" s="354"/>
      <c r="AE3" s="368" t="s">
        <v>63</v>
      </c>
      <c r="AF3" s="354"/>
      <c r="AG3" s="354"/>
      <c r="AH3" s="354"/>
      <c r="AI3" s="354"/>
      <c r="AJ3" s="368" t="s">
        <v>64</v>
      </c>
      <c r="AK3" s="354"/>
      <c r="AL3" s="354"/>
      <c r="AM3" s="354"/>
      <c r="AN3" s="354"/>
      <c r="AO3" s="368" t="s">
        <v>59</v>
      </c>
      <c r="AP3" s="354"/>
      <c r="AQ3" s="354"/>
      <c r="AR3" s="354"/>
      <c r="AS3" s="354"/>
      <c r="AT3" s="368" t="s">
        <v>65</v>
      </c>
      <c r="AU3" s="354"/>
      <c r="AV3" s="354"/>
      <c r="AW3" s="354"/>
      <c r="AX3" s="354"/>
    </row>
    <row r="4" spans="1:50">
      <c r="A4" s="294"/>
      <c r="B4" s="361" t="s">
        <v>95</v>
      </c>
      <c r="C4" s="361" t="s">
        <v>96</v>
      </c>
      <c r="D4" s="361"/>
      <c r="E4" s="361" t="s">
        <v>97</v>
      </c>
      <c r="F4" s="361"/>
      <c r="G4" s="361"/>
      <c r="H4" s="362" t="s">
        <v>98</v>
      </c>
      <c r="I4" s="361" t="s">
        <v>99</v>
      </c>
      <c r="J4" s="361"/>
      <c r="K4" s="361"/>
      <c r="L4" s="362" t="s">
        <v>98</v>
      </c>
      <c r="M4" s="355" t="s">
        <v>100</v>
      </c>
      <c r="N4" s="361"/>
      <c r="O4" s="361" t="s">
        <v>101</v>
      </c>
      <c r="P4" s="358" t="s">
        <v>102</v>
      </c>
      <c r="Q4" s="359"/>
      <c r="R4" s="359"/>
      <c r="S4" s="360"/>
      <c r="T4" s="361" t="s">
        <v>98</v>
      </c>
      <c r="U4" s="358" t="s">
        <v>102</v>
      </c>
      <c r="V4" s="359"/>
      <c r="W4" s="359"/>
      <c r="X4" s="360"/>
      <c r="Y4" s="361" t="s">
        <v>98</v>
      </c>
      <c r="Z4" s="358" t="s">
        <v>102</v>
      </c>
      <c r="AA4" s="359"/>
      <c r="AB4" s="359"/>
      <c r="AC4" s="360"/>
      <c r="AD4" s="361" t="s">
        <v>98</v>
      </c>
      <c r="AE4" s="358" t="s">
        <v>102</v>
      </c>
      <c r="AF4" s="359"/>
      <c r="AG4" s="359"/>
      <c r="AH4" s="360"/>
      <c r="AI4" s="361" t="s">
        <v>98</v>
      </c>
      <c r="AJ4" s="358" t="s">
        <v>102</v>
      </c>
      <c r="AK4" s="359"/>
      <c r="AL4" s="359"/>
      <c r="AM4" s="360"/>
      <c r="AN4" s="361" t="s">
        <v>98</v>
      </c>
      <c r="AO4" s="358" t="s">
        <v>102</v>
      </c>
      <c r="AP4" s="359"/>
      <c r="AQ4" s="359"/>
      <c r="AR4" s="360"/>
      <c r="AS4" s="361" t="s">
        <v>98</v>
      </c>
      <c r="AT4" s="358" t="s">
        <v>102</v>
      </c>
      <c r="AU4" s="359"/>
      <c r="AV4" s="359"/>
      <c r="AW4" s="360"/>
      <c r="AX4" s="361" t="s">
        <v>98</v>
      </c>
    </row>
    <row r="5" spans="1:50">
      <c r="A5" s="294"/>
      <c r="B5" s="361"/>
      <c r="C5" s="361"/>
      <c r="D5" s="361"/>
      <c r="E5" s="361" t="s">
        <v>103</v>
      </c>
      <c r="F5" s="361"/>
      <c r="G5" s="361"/>
      <c r="H5" s="363"/>
      <c r="I5" s="361" t="s">
        <v>103</v>
      </c>
      <c r="J5" s="361"/>
      <c r="K5" s="361"/>
      <c r="L5" s="363"/>
      <c r="M5" s="356"/>
      <c r="N5" s="361"/>
      <c r="O5" s="361"/>
      <c r="P5" s="358" t="s">
        <v>104</v>
      </c>
      <c r="Q5" s="359"/>
      <c r="R5" s="359"/>
      <c r="S5" s="360"/>
      <c r="T5" s="361"/>
      <c r="U5" s="358" t="s">
        <v>104</v>
      </c>
      <c r="V5" s="359"/>
      <c r="W5" s="359"/>
      <c r="X5" s="360"/>
      <c r="Y5" s="361"/>
      <c r="Z5" s="358" t="s">
        <v>104</v>
      </c>
      <c r="AA5" s="359"/>
      <c r="AB5" s="359"/>
      <c r="AC5" s="360"/>
      <c r="AD5" s="361"/>
      <c r="AE5" s="358" t="s">
        <v>104</v>
      </c>
      <c r="AF5" s="359"/>
      <c r="AG5" s="359"/>
      <c r="AH5" s="360"/>
      <c r="AI5" s="361"/>
      <c r="AJ5" s="358" t="s">
        <v>104</v>
      </c>
      <c r="AK5" s="359"/>
      <c r="AL5" s="359"/>
      <c r="AM5" s="360"/>
      <c r="AN5" s="361"/>
      <c r="AO5" s="358" t="s">
        <v>104</v>
      </c>
      <c r="AP5" s="359"/>
      <c r="AQ5" s="359"/>
      <c r="AR5" s="360"/>
      <c r="AS5" s="361"/>
      <c r="AT5" s="358" t="s">
        <v>104</v>
      </c>
      <c r="AU5" s="359"/>
      <c r="AV5" s="359"/>
      <c r="AW5" s="360"/>
      <c r="AX5" s="361"/>
    </row>
    <row r="6" spans="1:50">
      <c r="A6" s="299"/>
      <c r="B6" s="361"/>
      <c r="C6" s="361"/>
      <c r="D6" s="361"/>
      <c r="E6" s="300" t="s">
        <v>105</v>
      </c>
      <c r="F6" s="300" t="s">
        <v>106</v>
      </c>
      <c r="G6" s="300" t="s">
        <v>107</v>
      </c>
      <c r="H6" s="364"/>
      <c r="I6" s="300" t="s">
        <v>105</v>
      </c>
      <c r="J6" s="300" t="s">
        <v>106</v>
      </c>
      <c r="K6" s="300" t="s">
        <v>107</v>
      </c>
      <c r="L6" s="364"/>
      <c r="M6" s="357"/>
      <c r="N6" s="361"/>
      <c r="O6" s="361"/>
      <c r="P6" s="300" t="s">
        <v>105</v>
      </c>
      <c r="Q6" s="300" t="s">
        <v>106</v>
      </c>
      <c r="R6" s="300" t="s">
        <v>107</v>
      </c>
      <c r="S6" s="300" t="s">
        <v>100</v>
      </c>
      <c r="T6" s="361"/>
      <c r="U6" s="300" t="s">
        <v>105</v>
      </c>
      <c r="V6" s="300" t="s">
        <v>106</v>
      </c>
      <c r="W6" s="300" t="s">
        <v>107</v>
      </c>
      <c r="X6" s="300" t="s">
        <v>100</v>
      </c>
      <c r="Y6" s="361"/>
      <c r="Z6" s="300" t="s">
        <v>105</v>
      </c>
      <c r="AA6" s="300" t="s">
        <v>106</v>
      </c>
      <c r="AB6" s="300" t="s">
        <v>107</v>
      </c>
      <c r="AC6" s="300" t="s">
        <v>100</v>
      </c>
      <c r="AD6" s="361"/>
      <c r="AE6" s="300" t="s">
        <v>105</v>
      </c>
      <c r="AF6" s="300" t="s">
        <v>106</v>
      </c>
      <c r="AG6" s="300" t="s">
        <v>107</v>
      </c>
      <c r="AH6" s="300" t="s">
        <v>100</v>
      </c>
      <c r="AI6" s="361"/>
      <c r="AJ6" s="300" t="s">
        <v>105</v>
      </c>
      <c r="AK6" s="300" t="s">
        <v>106</v>
      </c>
      <c r="AL6" s="300" t="s">
        <v>107</v>
      </c>
      <c r="AM6" s="300" t="s">
        <v>100</v>
      </c>
      <c r="AN6" s="361"/>
      <c r="AO6" s="300" t="s">
        <v>105</v>
      </c>
      <c r="AP6" s="300" t="s">
        <v>106</v>
      </c>
      <c r="AQ6" s="300" t="s">
        <v>107</v>
      </c>
      <c r="AR6" s="300" t="s">
        <v>100</v>
      </c>
      <c r="AS6" s="361"/>
      <c r="AT6" s="300" t="s">
        <v>105</v>
      </c>
      <c r="AU6" s="300" t="s">
        <v>106</v>
      </c>
      <c r="AV6" s="300" t="s">
        <v>107</v>
      </c>
      <c r="AW6" s="300" t="s">
        <v>100</v>
      </c>
      <c r="AX6" s="361"/>
    </row>
    <row r="7" spans="1:50">
      <c r="A7" s="294"/>
      <c r="B7" s="361" t="s">
        <v>84</v>
      </c>
      <c r="C7" s="301">
        <v>1</v>
      </c>
      <c r="D7" s="301" t="s">
        <v>134</v>
      </c>
      <c r="E7" s="302">
        <f>VLOOKUP(D7,'[1]0801-0804產線配置圖'!$A$2:$C$25,2,0)</f>
        <v>12</v>
      </c>
      <c r="F7" s="302">
        <f>VLOOKUP(D7,'[1]0801-0804產線配置圖'!$A$2:$C$25,3,0)</f>
        <v>1714</v>
      </c>
      <c r="G7" s="303">
        <f>F7/E7</f>
        <v>142.83333333333334</v>
      </c>
      <c r="H7" s="375">
        <f>AVERAGE(G7:G21)</f>
        <v>152.15656565656568</v>
      </c>
      <c r="I7" s="302">
        <f>AVERAGE(P7,U7,Z7,AE7,AJ7,AO7,AT7)</f>
        <v>12.5</v>
      </c>
      <c r="J7" s="302">
        <f>AVERAGE(Q7,V7,AA7,AF7,AK7,AP7,AU7)</f>
        <v>1349.25</v>
      </c>
      <c r="K7" s="303">
        <f>AVERAGE(AG7,AL7,AQ7,AV7)</f>
        <v>107.81603812853812</v>
      </c>
      <c r="L7" s="375">
        <f>IFERROR(AVERAGE(K7:K21),"-")</f>
        <v>112.45057720057719</v>
      </c>
      <c r="M7" s="304">
        <f>RANK(K7, K$7:$K$21)</f>
        <v>2</v>
      </c>
      <c r="N7" s="361"/>
      <c r="O7" s="361"/>
      <c r="P7" s="302"/>
      <c r="Q7" s="302"/>
      <c r="R7" s="303" t="e">
        <f>Q7/P7</f>
        <v>#DIV/0!</v>
      </c>
      <c r="S7" s="301" t="e">
        <f>RANK(R7, R$7:R$21)</f>
        <v>#DIV/0!</v>
      </c>
      <c r="T7" s="373" t="e">
        <f>AVERAGE(R7:R21)</f>
        <v>#DIV/0!</v>
      </c>
      <c r="U7" s="302"/>
      <c r="V7" s="302"/>
      <c r="W7" s="303" t="e">
        <f>V7/U7</f>
        <v>#DIV/0!</v>
      </c>
      <c r="X7" s="301" t="e">
        <f>RANK(W7, W$7:W$21)</f>
        <v>#DIV/0!</v>
      </c>
      <c r="Y7" s="373" t="e">
        <f>AVERAGE(W7:W21)</f>
        <v>#DIV/0!</v>
      </c>
      <c r="Z7" s="301"/>
      <c r="AA7" s="302"/>
      <c r="AB7" s="303" t="e">
        <f>AA7/Z7</f>
        <v>#DIV/0!</v>
      </c>
      <c r="AC7" s="301" t="e">
        <f>RANK(AB7, AB$7:AB$21)</f>
        <v>#DIV/0!</v>
      </c>
      <c r="AD7" s="373" t="e">
        <f>AVERAGE(AB7:AB21)</f>
        <v>#DIV/0!</v>
      </c>
      <c r="AE7" s="302">
        <v>12</v>
      </c>
      <c r="AF7" s="302">
        <v>1279</v>
      </c>
      <c r="AG7" s="303">
        <f>AF7/AE7</f>
        <v>106.58333333333333</v>
      </c>
      <c r="AH7" s="301">
        <f>RANK(AG7, AG$7:AG$21)</f>
        <v>3</v>
      </c>
      <c r="AI7" s="373">
        <f>AVERAGE(AG7:AG21)</f>
        <v>113.3888888888889</v>
      </c>
      <c r="AJ7" s="301">
        <v>11</v>
      </c>
      <c r="AK7" s="302">
        <v>1186</v>
      </c>
      <c r="AL7" s="303">
        <f>AK7/AJ7</f>
        <v>107.81818181818181</v>
      </c>
      <c r="AM7" s="301">
        <f>RANK(AL7, AL$7:AL$21)</f>
        <v>3</v>
      </c>
      <c r="AN7" s="373">
        <f>AVERAGE(AL7:AL21)</f>
        <v>121.15151515151514</v>
      </c>
      <c r="AO7" s="301">
        <v>14</v>
      </c>
      <c r="AP7" s="302">
        <v>1579</v>
      </c>
      <c r="AQ7" s="303">
        <f>AP7/AO7</f>
        <v>112.78571428571429</v>
      </c>
      <c r="AR7" s="301">
        <f>RANK(AQ7, AQ$7:AQ$21)</f>
        <v>2</v>
      </c>
      <c r="AS7" s="373">
        <f>AVERAGE(AQ7:AQ21)</f>
        <v>115.0054945054945</v>
      </c>
      <c r="AT7" s="301">
        <v>13</v>
      </c>
      <c r="AU7" s="302">
        <v>1353</v>
      </c>
      <c r="AV7" s="303">
        <f>AU7/AT7</f>
        <v>104.07692307692308</v>
      </c>
      <c r="AW7" s="301">
        <f>RANK(AV7, AV$7:AV$21)</f>
        <v>2</v>
      </c>
      <c r="AX7" s="373">
        <f>AVERAGE(AV7:AV21)</f>
        <v>100.25641025641026</v>
      </c>
    </row>
    <row r="8" spans="1:50" ht="15" customHeight="1">
      <c r="A8" s="294"/>
      <c r="B8" s="354"/>
      <c r="C8" s="301">
        <v>2</v>
      </c>
      <c r="D8" s="301" t="s">
        <v>135</v>
      </c>
      <c r="E8" s="302">
        <f>VLOOKUP(D8,'[1]0801-0804產線配置圖'!$A$2:$C$25,2,0)</f>
        <v>11</v>
      </c>
      <c r="F8" s="302">
        <f>VLOOKUP(D8,'[1]0801-0804產線配置圖'!$A$2:$C$25,3,0)</f>
        <v>1800</v>
      </c>
      <c r="G8" s="303">
        <f t="shared" ref="G8:G9" si="0">F8/E8</f>
        <v>163.63636363636363</v>
      </c>
      <c r="H8" s="376"/>
      <c r="I8" s="302">
        <f t="shared" ref="I8:J9" si="1">AVERAGE(P8,U8,Z8,AE8,AJ8,AO8,AT8)</f>
        <v>12.25</v>
      </c>
      <c r="J8" s="302">
        <f t="shared" si="1"/>
        <v>1509.25</v>
      </c>
      <c r="K8" s="303">
        <f t="shared" ref="K8:K9" si="2">AVERAGE(AG8,AL8,AQ8,AV8)</f>
        <v>123.88650932400932</v>
      </c>
      <c r="L8" s="376"/>
      <c r="M8" s="304">
        <f>RANK(K8, K$7:$K$21)</f>
        <v>1</v>
      </c>
      <c r="N8" s="361"/>
      <c r="O8" s="361"/>
      <c r="P8" s="302"/>
      <c r="Q8" s="302"/>
      <c r="R8" s="303" t="e">
        <f t="shared" ref="R8:R13" si="3">Q8/P8</f>
        <v>#DIV/0!</v>
      </c>
      <c r="S8" s="301" t="e">
        <f t="shared" ref="S8:S13" si="4">RANK(R8, R$7:R$21)</f>
        <v>#DIV/0!</v>
      </c>
      <c r="T8" s="373"/>
      <c r="U8" s="302"/>
      <c r="V8" s="302"/>
      <c r="W8" s="303" t="e">
        <f t="shared" ref="W8:W13" si="5">V8/U8</f>
        <v>#DIV/0!</v>
      </c>
      <c r="X8" s="301" t="e">
        <f t="shared" ref="X8:X13" si="6">RANK(W8, W$7:W$21)</f>
        <v>#DIV/0!</v>
      </c>
      <c r="Y8" s="373"/>
      <c r="Z8" s="301"/>
      <c r="AA8" s="302"/>
      <c r="AB8" s="303" t="e">
        <f t="shared" ref="AB8:AB13" si="7">AA8/Z8</f>
        <v>#DIV/0!</v>
      </c>
      <c r="AC8" s="301" t="e">
        <f t="shared" ref="AC8:AC13" si="8">RANK(AB8, AB$7:AB$21)</f>
        <v>#DIV/0!</v>
      </c>
      <c r="AD8" s="373"/>
      <c r="AE8" s="302">
        <v>12</v>
      </c>
      <c r="AF8" s="302">
        <v>1523</v>
      </c>
      <c r="AG8" s="303">
        <f t="shared" ref="AG8:AG9" si="9">AF8/AE8</f>
        <v>126.91666666666667</v>
      </c>
      <c r="AH8" s="301">
        <f t="shared" ref="AH8:AH9" si="10">RANK(AG8, AG$7:AG$21)</f>
        <v>1</v>
      </c>
      <c r="AI8" s="373"/>
      <c r="AJ8" s="301">
        <v>11</v>
      </c>
      <c r="AK8" s="302">
        <v>1530</v>
      </c>
      <c r="AL8" s="303">
        <f t="shared" ref="AL8:AL9" si="11">AK8/AJ8</f>
        <v>139.09090909090909</v>
      </c>
      <c r="AM8" s="301">
        <f t="shared" ref="AM8:AM9" si="12">RANK(AL8, AL$7:AL$21)</f>
        <v>1</v>
      </c>
      <c r="AN8" s="373"/>
      <c r="AO8" s="301">
        <v>13</v>
      </c>
      <c r="AP8" s="302">
        <v>1599</v>
      </c>
      <c r="AQ8" s="303">
        <f t="shared" ref="AQ8:AQ9" si="13">AP8/AO8</f>
        <v>123</v>
      </c>
      <c r="AR8" s="301">
        <f t="shared" ref="AR8:AR9" si="14">RANK(AQ8, AQ$7:AQ$21)</f>
        <v>1</v>
      </c>
      <c r="AS8" s="373"/>
      <c r="AT8" s="301">
        <v>13</v>
      </c>
      <c r="AU8" s="302">
        <v>1385</v>
      </c>
      <c r="AV8" s="303">
        <f t="shared" ref="AV8:AV9" si="15">AU8/AT8</f>
        <v>106.53846153846153</v>
      </c>
      <c r="AW8" s="301">
        <f t="shared" ref="AW8:AW9" si="16">RANK(AV8, AV$7:AV$21)</f>
        <v>1</v>
      </c>
      <c r="AX8" s="373"/>
    </row>
    <row r="9" spans="1:50">
      <c r="A9" s="294"/>
      <c r="B9" s="354"/>
      <c r="C9" s="301">
        <v>3</v>
      </c>
      <c r="D9" s="301" t="s">
        <v>136</v>
      </c>
      <c r="E9" s="302">
        <f>VLOOKUP(D9,'[1]0801-0804產線配置圖'!$A$2:$C$25,2,0)</f>
        <v>10</v>
      </c>
      <c r="F9" s="302">
        <f>VLOOKUP(D9,'[1]0801-0804產線配置圖'!$A$2:$C$25,3,0)</f>
        <v>1500</v>
      </c>
      <c r="G9" s="303">
        <f t="shared" si="0"/>
        <v>150</v>
      </c>
      <c r="H9" s="376"/>
      <c r="I9" s="302">
        <f t="shared" si="1"/>
        <v>12.25</v>
      </c>
      <c r="J9" s="302">
        <f t="shared" si="1"/>
        <v>1288.5</v>
      </c>
      <c r="K9" s="303">
        <f t="shared" si="2"/>
        <v>105.64918414918415</v>
      </c>
      <c r="L9" s="376"/>
      <c r="M9" s="304">
        <f>RANK(K9, K$7:$K$21)</f>
        <v>3</v>
      </c>
      <c r="N9" s="361"/>
      <c r="O9" s="361"/>
      <c r="P9" s="302"/>
      <c r="Q9" s="302"/>
      <c r="R9" s="303" t="e">
        <f t="shared" si="3"/>
        <v>#DIV/0!</v>
      </c>
      <c r="S9" s="301" t="e">
        <f t="shared" si="4"/>
        <v>#DIV/0!</v>
      </c>
      <c r="T9" s="373"/>
      <c r="U9" s="302"/>
      <c r="V9" s="302"/>
      <c r="W9" s="303" t="e">
        <f t="shared" si="5"/>
        <v>#DIV/0!</v>
      </c>
      <c r="X9" s="301" t="e">
        <f t="shared" si="6"/>
        <v>#DIV/0!</v>
      </c>
      <c r="Y9" s="373"/>
      <c r="Z9" s="301"/>
      <c r="AA9" s="302"/>
      <c r="AB9" s="303" t="e">
        <f t="shared" si="7"/>
        <v>#DIV/0!</v>
      </c>
      <c r="AC9" s="301" t="e">
        <f t="shared" si="8"/>
        <v>#DIV/0!</v>
      </c>
      <c r="AD9" s="373"/>
      <c r="AE9" s="302">
        <v>12</v>
      </c>
      <c r="AF9" s="302">
        <v>1280</v>
      </c>
      <c r="AG9" s="303">
        <f t="shared" si="9"/>
        <v>106.66666666666667</v>
      </c>
      <c r="AH9" s="301">
        <f t="shared" si="10"/>
        <v>2</v>
      </c>
      <c r="AI9" s="373"/>
      <c r="AJ9" s="301">
        <v>11</v>
      </c>
      <c r="AK9" s="302">
        <v>1282</v>
      </c>
      <c r="AL9" s="303">
        <f t="shared" si="11"/>
        <v>116.54545454545455</v>
      </c>
      <c r="AM9" s="301">
        <f t="shared" si="12"/>
        <v>2</v>
      </c>
      <c r="AN9" s="373"/>
      <c r="AO9" s="301">
        <v>13</v>
      </c>
      <c r="AP9" s="302">
        <v>1420</v>
      </c>
      <c r="AQ9" s="303">
        <f t="shared" si="13"/>
        <v>109.23076923076923</v>
      </c>
      <c r="AR9" s="301">
        <f t="shared" si="14"/>
        <v>3</v>
      </c>
      <c r="AS9" s="373"/>
      <c r="AT9" s="301">
        <v>13</v>
      </c>
      <c r="AU9" s="302">
        <v>1172</v>
      </c>
      <c r="AV9" s="303">
        <f t="shared" si="15"/>
        <v>90.15384615384616</v>
      </c>
      <c r="AW9" s="301">
        <f t="shared" si="16"/>
        <v>3</v>
      </c>
      <c r="AX9" s="373"/>
    </row>
    <row r="10" spans="1:50">
      <c r="A10" s="294"/>
      <c r="B10" s="354"/>
      <c r="C10" s="301">
        <v>4</v>
      </c>
      <c r="D10" s="301"/>
      <c r="E10" s="302"/>
      <c r="F10" s="302"/>
      <c r="G10" s="303"/>
      <c r="H10" s="376"/>
      <c r="I10" s="302"/>
      <c r="J10" s="302"/>
      <c r="K10" s="303"/>
      <c r="L10" s="376"/>
      <c r="M10" s="304" t="e">
        <f>RANK(K10, K$7:$K$21)</f>
        <v>#N/A</v>
      </c>
      <c r="N10" s="361"/>
      <c r="O10" s="361"/>
      <c r="P10" s="302"/>
      <c r="Q10" s="302"/>
      <c r="R10" s="303" t="e">
        <f t="shared" si="3"/>
        <v>#DIV/0!</v>
      </c>
      <c r="S10" s="301" t="e">
        <f t="shared" si="4"/>
        <v>#DIV/0!</v>
      </c>
      <c r="T10" s="373"/>
      <c r="U10" s="302"/>
      <c r="V10" s="302"/>
      <c r="W10" s="303" t="e">
        <f t="shared" si="5"/>
        <v>#DIV/0!</v>
      </c>
      <c r="X10" s="301" t="e">
        <f t="shared" si="6"/>
        <v>#DIV/0!</v>
      </c>
      <c r="Y10" s="373"/>
      <c r="Z10" s="301"/>
      <c r="AA10" s="302"/>
      <c r="AB10" s="303" t="e">
        <f t="shared" si="7"/>
        <v>#DIV/0!</v>
      </c>
      <c r="AC10" s="301" t="e">
        <f t="shared" si="8"/>
        <v>#DIV/0!</v>
      </c>
      <c r="AD10" s="373"/>
      <c r="AE10" s="302"/>
      <c r="AF10" s="302"/>
      <c r="AG10" s="303"/>
      <c r="AH10" s="301"/>
      <c r="AI10" s="373"/>
      <c r="AJ10" s="301"/>
      <c r="AK10" s="302"/>
      <c r="AL10" s="303"/>
      <c r="AM10" s="301"/>
      <c r="AN10" s="373"/>
      <c r="AO10" s="301"/>
      <c r="AP10" s="302"/>
      <c r="AQ10" s="303"/>
      <c r="AR10" s="301"/>
      <c r="AS10" s="373"/>
      <c r="AT10" s="301"/>
      <c r="AU10" s="302"/>
      <c r="AV10" s="303"/>
      <c r="AW10" s="301"/>
      <c r="AX10" s="373"/>
    </row>
    <row r="11" spans="1:50">
      <c r="A11" s="294"/>
      <c r="B11" s="354"/>
      <c r="C11" s="301">
        <v>5</v>
      </c>
      <c r="D11" s="301"/>
      <c r="E11" s="302"/>
      <c r="F11" s="302"/>
      <c r="G11" s="303"/>
      <c r="H11" s="376"/>
      <c r="I11" s="302"/>
      <c r="J11" s="302"/>
      <c r="K11" s="303"/>
      <c r="L11" s="376"/>
      <c r="M11" s="304" t="e">
        <f>RANK(K11, K$7:$K$21)</f>
        <v>#N/A</v>
      </c>
      <c r="N11" s="361"/>
      <c r="O11" s="361"/>
      <c r="P11" s="302"/>
      <c r="Q11" s="302"/>
      <c r="R11" s="303" t="e">
        <f t="shared" si="3"/>
        <v>#DIV/0!</v>
      </c>
      <c r="S11" s="301" t="e">
        <f t="shared" si="4"/>
        <v>#DIV/0!</v>
      </c>
      <c r="T11" s="373"/>
      <c r="U11" s="302"/>
      <c r="V11" s="302"/>
      <c r="W11" s="303" t="e">
        <f t="shared" si="5"/>
        <v>#DIV/0!</v>
      </c>
      <c r="X11" s="301" t="e">
        <f t="shared" si="6"/>
        <v>#DIV/0!</v>
      </c>
      <c r="Y11" s="373"/>
      <c r="Z11" s="301"/>
      <c r="AA11" s="302"/>
      <c r="AB11" s="303" t="e">
        <f t="shared" si="7"/>
        <v>#DIV/0!</v>
      </c>
      <c r="AC11" s="301" t="e">
        <f t="shared" si="8"/>
        <v>#DIV/0!</v>
      </c>
      <c r="AD11" s="373"/>
      <c r="AE11" s="302"/>
      <c r="AF11" s="302"/>
      <c r="AG11" s="303"/>
      <c r="AH11" s="301"/>
      <c r="AI11" s="373"/>
      <c r="AJ11" s="301"/>
      <c r="AK11" s="302"/>
      <c r="AL11" s="303"/>
      <c r="AM11" s="301"/>
      <c r="AN11" s="373"/>
      <c r="AO11" s="301"/>
      <c r="AP11" s="302"/>
      <c r="AQ11" s="303"/>
      <c r="AR11" s="301"/>
      <c r="AS11" s="373"/>
      <c r="AT11" s="301"/>
      <c r="AU11" s="302"/>
      <c r="AV11" s="303"/>
      <c r="AW11" s="301"/>
      <c r="AX11" s="373"/>
    </row>
    <row r="12" spans="1:50">
      <c r="A12" s="294"/>
      <c r="B12" s="354"/>
      <c r="C12" s="301">
        <v>6</v>
      </c>
      <c r="D12" s="301"/>
      <c r="E12" s="302"/>
      <c r="F12" s="302"/>
      <c r="G12" s="303"/>
      <c r="H12" s="376"/>
      <c r="I12" s="302"/>
      <c r="J12" s="302"/>
      <c r="K12" s="303"/>
      <c r="L12" s="376"/>
      <c r="M12" s="304" t="e">
        <f>RANK(K12, K$7:$K$21)</f>
        <v>#N/A</v>
      </c>
      <c r="N12" s="361"/>
      <c r="O12" s="361"/>
      <c r="P12" s="302"/>
      <c r="Q12" s="302"/>
      <c r="R12" s="303" t="e">
        <f t="shared" si="3"/>
        <v>#DIV/0!</v>
      </c>
      <c r="S12" s="301" t="e">
        <f t="shared" si="4"/>
        <v>#DIV/0!</v>
      </c>
      <c r="T12" s="373"/>
      <c r="U12" s="302"/>
      <c r="V12" s="302"/>
      <c r="W12" s="303" t="e">
        <f t="shared" si="5"/>
        <v>#DIV/0!</v>
      </c>
      <c r="X12" s="301" t="e">
        <f t="shared" si="6"/>
        <v>#DIV/0!</v>
      </c>
      <c r="Y12" s="373"/>
      <c r="Z12" s="301"/>
      <c r="AA12" s="302"/>
      <c r="AB12" s="303" t="e">
        <f t="shared" si="7"/>
        <v>#DIV/0!</v>
      </c>
      <c r="AC12" s="301" t="e">
        <f t="shared" si="8"/>
        <v>#DIV/0!</v>
      </c>
      <c r="AD12" s="373"/>
      <c r="AE12" s="302"/>
      <c r="AF12" s="302"/>
      <c r="AG12" s="303"/>
      <c r="AH12" s="301"/>
      <c r="AI12" s="373"/>
      <c r="AJ12" s="301"/>
      <c r="AK12" s="302"/>
      <c r="AL12" s="303"/>
      <c r="AM12" s="301"/>
      <c r="AN12" s="373"/>
      <c r="AO12" s="301"/>
      <c r="AP12" s="302"/>
      <c r="AQ12" s="303"/>
      <c r="AR12" s="301"/>
      <c r="AS12" s="373"/>
      <c r="AT12" s="301"/>
      <c r="AU12" s="302"/>
      <c r="AV12" s="303"/>
      <c r="AW12" s="301"/>
      <c r="AX12" s="373"/>
    </row>
    <row r="13" spans="1:50">
      <c r="A13" s="294"/>
      <c r="B13" s="354"/>
      <c r="C13" s="301">
        <v>7</v>
      </c>
      <c r="D13" s="301"/>
      <c r="E13" s="302"/>
      <c r="F13" s="302"/>
      <c r="G13" s="303"/>
      <c r="H13" s="376"/>
      <c r="I13" s="302"/>
      <c r="J13" s="302"/>
      <c r="K13" s="303"/>
      <c r="L13" s="376"/>
      <c r="M13" s="304" t="e">
        <f>RANK(K13, K$7:$K$21)</f>
        <v>#N/A</v>
      </c>
      <c r="N13" s="361"/>
      <c r="O13" s="361"/>
      <c r="P13" s="302"/>
      <c r="Q13" s="302"/>
      <c r="R13" s="303" t="e">
        <f t="shared" si="3"/>
        <v>#DIV/0!</v>
      </c>
      <c r="S13" s="301" t="e">
        <f t="shared" si="4"/>
        <v>#DIV/0!</v>
      </c>
      <c r="T13" s="373"/>
      <c r="U13" s="302"/>
      <c r="V13" s="302"/>
      <c r="W13" s="303" t="e">
        <f t="shared" si="5"/>
        <v>#DIV/0!</v>
      </c>
      <c r="X13" s="301" t="e">
        <f t="shared" si="6"/>
        <v>#DIV/0!</v>
      </c>
      <c r="Y13" s="373"/>
      <c r="Z13" s="301"/>
      <c r="AA13" s="302"/>
      <c r="AB13" s="303" t="e">
        <f t="shared" si="7"/>
        <v>#DIV/0!</v>
      </c>
      <c r="AC13" s="301" t="e">
        <f t="shared" si="8"/>
        <v>#DIV/0!</v>
      </c>
      <c r="AD13" s="373"/>
      <c r="AE13" s="302"/>
      <c r="AF13" s="302"/>
      <c r="AG13" s="303"/>
      <c r="AH13" s="301"/>
      <c r="AI13" s="373"/>
      <c r="AJ13" s="301"/>
      <c r="AK13" s="302"/>
      <c r="AL13" s="303"/>
      <c r="AM13" s="301"/>
      <c r="AN13" s="373"/>
      <c r="AO13" s="301"/>
      <c r="AP13" s="302"/>
      <c r="AQ13" s="303"/>
      <c r="AR13" s="301"/>
      <c r="AS13" s="373"/>
      <c r="AT13" s="301"/>
      <c r="AU13" s="302"/>
      <c r="AV13" s="303"/>
      <c r="AW13" s="301"/>
      <c r="AX13" s="373"/>
    </row>
    <row r="14" spans="1:50">
      <c r="A14" s="294"/>
      <c r="B14" s="354"/>
      <c r="C14" s="301">
        <v>8</v>
      </c>
      <c r="D14" s="301"/>
      <c r="E14" s="302"/>
      <c r="F14" s="302"/>
      <c r="G14" s="303"/>
      <c r="H14" s="376"/>
      <c r="I14" s="302"/>
      <c r="J14" s="302"/>
      <c r="K14" s="303"/>
      <c r="L14" s="376"/>
      <c r="M14" s="304" t="e">
        <f>RANK(K14, K$7:$K$21)</f>
        <v>#N/A</v>
      </c>
      <c r="N14" s="361"/>
      <c r="O14" s="361"/>
      <c r="P14" s="302"/>
      <c r="Q14" s="302"/>
      <c r="R14" s="303"/>
      <c r="S14" s="301"/>
      <c r="T14" s="373"/>
      <c r="U14" s="302"/>
      <c r="V14" s="302"/>
      <c r="W14" s="303"/>
      <c r="X14" s="301"/>
      <c r="Y14" s="373"/>
      <c r="Z14" s="301"/>
      <c r="AA14" s="302"/>
      <c r="AB14" s="303"/>
      <c r="AC14" s="301"/>
      <c r="AD14" s="373"/>
      <c r="AE14" s="302"/>
      <c r="AF14" s="302"/>
      <c r="AG14" s="303"/>
      <c r="AH14" s="301"/>
      <c r="AI14" s="373"/>
      <c r="AJ14" s="301"/>
      <c r="AK14" s="302"/>
      <c r="AL14" s="303"/>
      <c r="AM14" s="301"/>
      <c r="AN14" s="373"/>
      <c r="AO14" s="301"/>
      <c r="AP14" s="302"/>
      <c r="AQ14" s="303"/>
      <c r="AR14" s="301"/>
      <c r="AS14" s="373"/>
      <c r="AT14" s="301"/>
      <c r="AU14" s="302"/>
      <c r="AV14" s="303"/>
      <c r="AW14" s="301"/>
      <c r="AX14" s="373"/>
    </row>
    <row r="15" spans="1:50">
      <c r="A15" s="294"/>
      <c r="B15" s="354"/>
      <c r="C15" s="301">
        <v>9</v>
      </c>
      <c r="D15" s="301"/>
      <c r="E15" s="302"/>
      <c r="F15" s="302"/>
      <c r="G15" s="303"/>
      <c r="H15" s="376"/>
      <c r="I15" s="302"/>
      <c r="J15" s="302"/>
      <c r="K15" s="303"/>
      <c r="L15" s="376"/>
      <c r="M15" s="304" t="e">
        <f>RANK(K15, K$7:$K$21)</f>
        <v>#N/A</v>
      </c>
      <c r="N15" s="361"/>
      <c r="O15" s="361"/>
      <c r="P15" s="302"/>
      <c r="Q15" s="302"/>
      <c r="R15" s="303"/>
      <c r="S15" s="301"/>
      <c r="T15" s="373"/>
      <c r="U15" s="302"/>
      <c r="V15" s="302"/>
      <c r="W15" s="303"/>
      <c r="X15" s="301"/>
      <c r="Y15" s="373"/>
      <c r="Z15" s="301"/>
      <c r="AA15" s="302"/>
      <c r="AB15" s="303"/>
      <c r="AC15" s="301"/>
      <c r="AD15" s="373"/>
      <c r="AE15" s="302"/>
      <c r="AF15" s="302"/>
      <c r="AG15" s="303"/>
      <c r="AH15" s="301"/>
      <c r="AI15" s="373"/>
      <c r="AJ15" s="301"/>
      <c r="AK15" s="302"/>
      <c r="AL15" s="303"/>
      <c r="AM15" s="301"/>
      <c r="AN15" s="373"/>
      <c r="AO15" s="301"/>
      <c r="AP15" s="302"/>
      <c r="AQ15" s="303"/>
      <c r="AR15" s="301"/>
      <c r="AS15" s="373"/>
      <c r="AT15" s="301"/>
      <c r="AU15" s="302"/>
      <c r="AV15" s="303"/>
      <c r="AW15" s="301"/>
      <c r="AX15" s="373"/>
    </row>
    <row r="16" spans="1:50">
      <c r="A16" s="294"/>
      <c r="B16" s="354"/>
      <c r="C16" s="301">
        <v>10</v>
      </c>
      <c r="D16" s="301"/>
      <c r="E16" s="302"/>
      <c r="F16" s="302"/>
      <c r="G16" s="303"/>
      <c r="H16" s="376"/>
      <c r="I16" s="302"/>
      <c r="J16" s="302"/>
      <c r="K16" s="303"/>
      <c r="L16" s="376"/>
      <c r="M16" s="304" t="e">
        <f>RANK(K16, K$7:$K$21)</f>
        <v>#N/A</v>
      </c>
      <c r="N16" s="361"/>
      <c r="O16" s="361"/>
      <c r="P16" s="302"/>
      <c r="Q16" s="302"/>
      <c r="R16" s="303"/>
      <c r="S16" s="301"/>
      <c r="T16" s="373"/>
      <c r="U16" s="302"/>
      <c r="V16" s="302"/>
      <c r="W16" s="303"/>
      <c r="X16" s="301"/>
      <c r="Y16" s="373"/>
      <c r="Z16" s="301"/>
      <c r="AA16" s="302"/>
      <c r="AB16" s="303"/>
      <c r="AC16" s="301"/>
      <c r="AD16" s="373"/>
      <c r="AE16" s="302"/>
      <c r="AF16" s="302"/>
      <c r="AG16" s="303"/>
      <c r="AH16" s="301"/>
      <c r="AI16" s="373"/>
      <c r="AJ16" s="301"/>
      <c r="AK16" s="302"/>
      <c r="AL16" s="303"/>
      <c r="AM16" s="301"/>
      <c r="AN16" s="373"/>
      <c r="AO16" s="301"/>
      <c r="AP16" s="302"/>
      <c r="AQ16" s="303"/>
      <c r="AR16" s="301"/>
      <c r="AS16" s="373"/>
      <c r="AT16" s="301"/>
      <c r="AU16" s="302"/>
      <c r="AV16" s="303"/>
      <c r="AW16" s="301"/>
      <c r="AX16" s="373"/>
    </row>
    <row r="17" spans="2:50">
      <c r="B17" s="354"/>
      <c r="C17" s="301">
        <v>11</v>
      </c>
      <c r="D17" s="301"/>
      <c r="E17" s="302"/>
      <c r="F17" s="302"/>
      <c r="G17" s="303"/>
      <c r="H17" s="376"/>
      <c r="I17" s="302"/>
      <c r="J17" s="302"/>
      <c r="K17" s="303"/>
      <c r="L17" s="376"/>
      <c r="M17" s="304" t="e">
        <f>RANK(K17, K$7:$K$21)</f>
        <v>#N/A</v>
      </c>
      <c r="N17" s="361"/>
      <c r="O17" s="361"/>
      <c r="P17" s="301"/>
      <c r="Q17" s="301"/>
      <c r="R17" s="303"/>
      <c r="S17" s="301"/>
      <c r="T17" s="373"/>
      <c r="U17" s="301"/>
      <c r="V17" s="301"/>
      <c r="W17" s="303"/>
      <c r="X17" s="301"/>
      <c r="Y17" s="373"/>
      <c r="Z17" s="301"/>
      <c r="AA17" s="301"/>
      <c r="AB17" s="303"/>
      <c r="AC17" s="301"/>
      <c r="AD17" s="373"/>
      <c r="AE17" s="301"/>
      <c r="AF17" s="301"/>
      <c r="AG17" s="303"/>
      <c r="AH17" s="301"/>
      <c r="AI17" s="373"/>
      <c r="AJ17" s="301"/>
      <c r="AK17" s="301"/>
      <c r="AL17" s="301"/>
      <c r="AM17" s="301"/>
      <c r="AN17" s="373"/>
      <c r="AO17" s="301"/>
      <c r="AP17" s="301"/>
      <c r="AQ17" s="303"/>
      <c r="AR17" s="301"/>
      <c r="AS17" s="373"/>
      <c r="AT17" s="301"/>
      <c r="AU17" s="301"/>
      <c r="AV17" s="303"/>
      <c r="AW17" s="301"/>
      <c r="AX17" s="373"/>
    </row>
    <row r="18" spans="2:50">
      <c r="B18" s="354"/>
      <c r="C18" s="301">
        <v>12</v>
      </c>
      <c r="D18" s="301"/>
      <c r="E18" s="302"/>
      <c r="F18" s="302"/>
      <c r="G18" s="303"/>
      <c r="H18" s="376"/>
      <c r="I18" s="302"/>
      <c r="J18" s="302"/>
      <c r="K18" s="303"/>
      <c r="L18" s="376"/>
      <c r="M18" s="304" t="e">
        <f>RANK(K18, K$7:$K$21)</f>
        <v>#N/A</v>
      </c>
      <c r="N18" s="361"/>
      <c r="O18" s="361"/>
      <c r="P18" s="301"/>
      <c r="Q18" s="301"/>
      <c r="R18" s="303"/>
      <c r="S18" s="301"/>
      <c r="T18" s="373"/>
      <c r="U18" s="301"/>
      <c r="V18" s="301"/>
      <c r="W18" s="303"/>
      <c r="X18" s="301"/>
      <c r="Y18" s="373"/>
      <c r="Z18" s="301"/>
      <c r="AA18" s="301"/>
      <c r="AB18" s="303"/>
      <c r="AC18" s="301"/>
      <c r="AD18" s="373"/>
      <c r="AE18" s="301"/>
      <c r="AF18" s="301"/>
      <c r="AG18" s="303"/>
      <c r="AH18" s="301"/>
      <c r="AI18" s="373"/>
      <c r="AJ18" s="301"/>
      <c r="AK18" s="301"/>
      <c r="AL18" s="301"/>
      <c r="AM18" s="301"/>
      <c r="AN18" s="373"/>
      <c r="AO18" s="301"/>
      <c r="AP18" s="301"/>
      <c r="AQ18" s="303"/>
      <c r="AR18" s="301"/>
      <c r="AS18" s="373"/>
      <c r="AT18" s="301"/>
      <c r="AU18" s="301"/>
      <c r="AV18" s="303"/>
      <c r="AW18" s="301"/>
      <c r="AX18" s="373"/>
    </row>
    <row r="19" spans="2:50">
      <c r="B19" s="354"/>
      <c r="C19" s="301">
        <v>13</v>
      </c>
      <c r="D19" s="301"/>
      <c r="E19" s="302"/>
      <c r="F19" s="302"/>
      <c r="G19" s="303"/>
      <c r="H19" s="376"/>
      <c r="I19" s="302"/>
      <c r="J19" s="302"/>
      <c r="K19" s="303"/>
      <c r="L19" s="376"/>
      <c r="M19" s="304" t="e">
        <f>RANK(K19, K$7:$K$21)</f>
        <v>#N/A</v>
      </c>
      <c r="N19" s="361"/>
      <c r="O19" s="361"/>
      <c r="P19" s="301"/>
      <c r="Q19" s="301"/>
      <c r="R19" s="303"/>
      <c r="S19" s="301"/>
      <c r="T19" s="373"/>
      <c r="U19" s="301"/>
      <c r="V19" s="301"/>
      <c r="W19" s="303"/>
      <c r="X19" s="301"/>
      <c r="Y19" s="373"/>
      <c r="Z19" s="301"/>
      <c r="AA19" s="301"/>
      <c r="AB19" s="303"/>
      <c r="AC19" s="301"/>
      <c r="AD19" s="373"/>
      <c r="AE19" s="301"/>
      <c r="AF19" s="301"/>
      <c r="AG19" s="303"/>
      <c r="AH19" s="301"/>
      <c r="AI19" s="373"/>
      <c r="AJ19" s="301"/>
      <c r="AK19" s="301"/>
      <c r="AL19" s="301"/>
      <c r="AM19" s="301"/>
      <c r="AN19" s="373"/>
      <c r="AO19" s="301"/>
      <c r="AP19" s="301"/>
      <c r="AQ19" s="303"/>
      <c r="AR19" s="301"/>
      <c r="AS19" s="373"/>
      <c r="AT19" s="301"/>
      <c r="AU19" s="301"/>
      <c r="AV19" s="303"/>
      <c r="AW19" s="301"/>
      <c r="AX19" s="373"/>
    </row>
    <row r="20" spans="2:50">
      <c r="B20" s="354"/>
      <c r="C20" s="301">
        <v>14</v>
      </c>
      <c r="D20" s="301"/>
      <c r="E20" s="302"/>
      <c r="F20" s="302"/>
      <c r="G20" s="303"/>
      <c r="H20" s="376"/>
      <c r="I20" s="302"/>
      <c r="J20" s="302"/>
      <c r="K20" s="303"/>
      <c r="L20" s="376"/>
      <c r="M20" s="304" t="e">
        <f>RANK(K20, K$7:$K$21)</f>
        <v>#N/A</v>
      </c>
      <c r="N20" s="361"/>
      <c r="O20" s="361"/>
      <c r="P20" s="301"/>
      <c r="Q20" s="301"/>
      <c r="R20" s="303"/>
      <c r="S20" s="301"/>
      <c r="T20" s="373"/>
      <c r="U20" s="301"/>
      <c r="V20" s="301"/>
      <c r="W20" s="303"/>
      <c r="X20" s="301"/>
      <c r="Y20" s="373"/>
      <c r="Z20" s="301"/>
      <c r="AA20" s="301"/>
      <c r="AB20" s="303"/>
      <c r="AC20" s="301"/>
      <c r="AD20" s="373"/>
      <c r="AE20" s="301"/>
      <c r="AF20" s="301"/>
      <c r="AG20" s="303"/>
      <c r="AH20" s="301"/>
      <c r="AI20" s="373"/>
      <c r="AJ20" s="301"/>
      <c r="AK20" s="301"/>
      <c r="AL20" s="301"/>
      <c r="AM20" s="301"/>
      <c r="AN20" s="373"/>
      <c r="AO20" s="301"/>
      <c r="AP20" s="301"/>
      <c r="AQ20" s="303"/>
      <c r="AR20" s="301"/>
      <c r="AS20" s="373"/>
      <c r="AT20" s="301"/>
      <c r="AU20" s="301"/>
      <c r="AV20" s="303"/>
      <c r="AW20" s="301"/>
      <c r="AX20" s="373"/>
    </row>
    <row r="21" spans="2:50">
      <c r="B21" s="354"/>
      <c r="C21" s="301">
        <v>15</v>
      </c>
      <c r="D21" s="301"/>
      <c r="E21" s="302"/>
      <c r="F21" s="302"/>
      <c r="G21" s="303"/>
      <c r="H21" s="377"/>
      <c r="I21" s="302"/>
      <c r="J21" s="302"/>
      <c r="K21" s="303"/>
      <c r="L21" s="377"/>
      <c r="M21" s="302" t="e">
        <f>RANK(K21, K$7:$K$21)</f>
        <v>#N/A</v>
      </c>
      <c r="N21" s="361"/>
      <c r="O21" s="361"/>
      <c r="P21" s="301"/>
      <c r="Q21" s="301"/>
      <c r="R21" s="303"/>
      <c r="S21" s="301"/>
      <c r="T21" s="373"/>
      <c r="U21" s="301"/>
      <c r="V21" s="301"/>
      <c r="W21" s="303"/>
      <c r="X21" s="301"/>
      <c r="Y21" s="373"/>
      <c r="Z21" s="301"/>
      <c r="AA21" s="301"/>
      <c r="AB21" s="303"/>
      <c r="AC21" s="301"/>
      <c r="AD21" s="373"/>
      <c r="AE21" s="301"/>
      <c r="AF21" s="301"/>
      <c r="AG21" s="303"/>
      <c r="AH21" s="301"/>
      <c r="AI21" s="373"/>
      <c r="AJ21" s="301"/>
      <c r="AK21" s="301"/>
      <c r="AL21" s="301"/>
      <c r="AM21" s="301"/>
      <c r="AN21" s="373"/>
      <c r="AO21" s="301"/>
      <c r="AP21" s="301"/>
      <c r="AQ21" s="303"/>
      <c r="AR21" s="301"/>
      <c r="AS21" s="373"/>
      <c r="AT21" s="301"/>
      <c r="AU21" s="301"/>
      <c r="AV21" s="303"/>
      <c r="AW21" s="301"/>
      <c r="AX21" s="373"/>
    </row>
    <row r="22" spans="2:50" ht="15.75">
      <c r="B22" s="378" t="s">
        <v>93</v>
      </c>
      <c r="C22" s="379"/>
      <c r="D22" s="379"/>
      <c r="E22" s="379"/>
      <c r="F22" s="379"/>
      <c r="G22" s="379"/>
      <c r="H22" s="379"/>
      <c r="I22" s="295"/>
      <c r="J22" s="295"/>
      <c r="K22" s="295"/>
      <c r="L22" s="295"/>
      <c r="M22" s="296"/>
      <c r="N22" s="355" t="s">
        <v>94</v>
      </c>
      <c r="O22" s="355" t="s">
        <v>52</v>
      </c>
      <c r="P22" s="368">
        <v>45874</v>
      </c>
      <c r="Q22" s="354"/>
      <c r="R22" s="354"/>
      <c r="S22" s="354"/>
      <c r="T22" s="354"/>
      <c r="U22" s="368">
        <v>45875</v>
      </c>
      <c r="V22" s="354"/>
      <c r="W22" s="354"/>
      <c r="X22" s="354"/>
      <c r="Y22" s="354"/>
      <c r="Z22" s="368">
        <v>45876</v>
      </c>
      <c r="AA22" s="354"/>
      <c r="AB22" s="354"/>
      <c r="AC22" s="354"/>
      <c r="AD22" s="354"/>
      <c r="AE22" s="368">
        <v>45877</v>
      </c>
      <c r="AF22" s="354"/>
      <c r="AG22" s="354"/>
      <c r="AH22" s="354"/>
      <c r="AI22" s="354"/>
      <c r="AJ22" s="368">
        <v>45878</v>
      </c>
      <c r="AK22" s="354"/>
      <c r="AL22" s="354"/>
      <c r="AM22" s="354"/>
      <c r="AN22" s="354"/>
      <c r="AO22" s="368">
        <v>45879</v>
      </c>
      <c r="AP22" s="354"/>
      <c r="AQ22" s="354"/>
      <c r="AR22" s="354"/>
      <c r="AS22" s="354"/>
      <c r="AT22" s="368">
        <v>45880</v>
      </c>
      <c r="AU22" s="354"/>
      <c r="AV22" s="354"/>
      <c r="AW22" s="354"/>
      <c r="AX22" s="354"/>
    </row>
    <row r="23" spans="2:50" ht="15.75">
      <c r="B23" s="367"/>
      <c r="C23" s="367"/>
      <c r="D23" s="367"/>
      <c r="E23" s="367"/>
      <c r="F23" s="367"/>
      <c r="G23" s="367"/>
      <c r="H23" s="367"/>
      <c r="I23" s="297"/>
      <c r="J23" s="297"/>
      <c r="K23" s="297"/>
      <c r="L23" s="297"/>
      <c r="M23" s="298"/>
      <c r="N23" s="357"/>
      <c r="O23" s="357"/>
      <c r="P23" s="368" t="s">
        <v>66</v>
      </c>
      <c r="Q23" s="354"/>
      <c r="R23" s="354"/>
      <c r="S23" s="354"/>
      <c r="T23" s="354"/>
      <c r="U23" s="368" t="s">
        <v>67</v>
      </c>
      <c r="V23" s="354"/>
      <c r="W23" s="354"/>
      <c r="X23" s="354"/>
      <c r="Y23" s="354"/>
      <c r="Z23" s="368" t="s">
        <v>68</v>
      </c>
      <c r="AA23" s="354"/>
      <c r="AB23" s="354"/>
      <c r="AC23" s="354"/>
      <c r="AD23" s="354"/>
      <c r="AE23" s="368" t="s">
        <v>63</v>
      </c>
      <c r="AF23" s="354"/>
      <c r="AG23" s="354"/>
      <c r="AH23" s="354"/>
      <c r="AI23" s="354"/>
      <c r="AJ23" s="368" t="s">
        <v>64</v>
      </c>
      <c r="AK23" s="354"/>
      <c r="AL23" s="354"/>
      <c r="AM23" s="354"/>
      <c r="AN23" s="354"/>
      <c r="AO23" s="368" t="s">
        <v>59</v>
      </c>
      <c r="AP23" s="354"/>
      <c r="AQ23" s="354"/>
      <c r="AR23" s="354"/>
      <c r="AS23" s="354"/>
      <c r="AT23" s="368" t="s">
        <v>65</v>
      </c>
      <c r="AU23" s="354"/>
      <c r="AV23" s="354"/>
      <c r="AW23" s="354"/>
      <c r="AX23" s="354"/>
    </row>
    <row r="24" spans="2:50">
      <c r="B24" s="361" t="s">
        <v>95</v>
      </c>
      <c r="C24" s="361" t="s">
        <v>96</v>
      </c>
      <c r="D24" s="361"/>
      <c r="E24" s="361" t="s">
        <v>97</v>
      </c>
      <c r="F24" s="361"/>
      <c r="G24" s="361"/>
      <c r="H24" s="362" t="s">
        <v>98</v>
      </c>
      <c r="I24" s="361" t="s">
        <v>99</v>
      </c>
      <c r="J24" s="361"/>
      <c r="K24" s="361"/>
      <c r="L24" s="362" t="s">
        <v>98</v>
      </c>
      <c r="M24" s="355" t="s">
        <v>100</v>
      </c>
      <c r="N24" s="361"/>
      <c r="O24" s="361" t="s">
        <v>101</v>
      </c>
      <c r="P24" s="358" t="s">
        <v>102</v>
      </c>
      <c r="Q24" s="359"/>
      <c r="R24" s="359"/>
      <c r="S24" s="360"/>
      <c r="T24" s="361" t="s">
        <v>98</v>
      </c>
      <c r="U24" s="358" t="s">
        <v>102</v>
      </c>
      <c r="V24" s="359"/>
      <c r="W24" s="359"/>
      <c r="X24" s="360"/>
      <c r="Y24" s="361" t="s">
        <v>98</v>
      </c>
      <c r="Z24" s="358" t="s">
        <v>102</v>
      </c>
      <c r="AA24" s="359"/>
      <c r="AB24" s="359"/>
      <c r="AC24" s="360"/>
      <c r="AD24" s="361" t="s">
        <v>98</v>
      </c>
      <c r="AE24" s="358" t="s">
        <v>102</v>
      </c>
      <c r="AF24" s="359"/>
      <c r="AG24" s="359"/>
      <c r="AH24" s="360"/>
      <c r="AI24" s="361" t="s">
        <v>98</v>
      </c>
      <c r="AJ24" s="358" t="s">
        <v>102</v>
      </c>
      <c r="AK24" s="359"/>
      <c r="AL24" s="359"/>
      <c r="AM24" s="360"/>
      <c r="AN24" s="361" t="s">
        <v>98</v>
      </c>
      <c r="AO24" s="358" t="s">
        <v>102</v>
      </c>
      <c r="AP24" s="359"/>
      <c r="AQ24" s="359"/>
      <c r="AR24" s="360"/>
      <c r="AS24" s="361" t="s">
        <v>98</v>
      </c>
      <c r="AT24" s="358" t="s">
        <v>102</v>
      </c>
      <c r="AU24" s="359"/>
      <c r="AV24" s="359"/>
      <c r="AW24" s="360"/>
      <c r="AX24" s="361" t="s">
        <v>98</v>
      </c>
    </row>
    <row r="25" spans="2:50">
      <c r="B25" s="361"/>
      <c r="C25" s="361"/>
      <c r="D25" s="361"/>
      <c r="E25" s="361" t="s">
        <v>103</v>
      </c>
      <c r="F25" s="361"/>
      <c r="G25" s="361"/>
      <c r="H25" s="363"/>
      <c r="I25" s="361" t="s">
        <v>103</v>
      </c>
      <c r="J25" s="361"/>
      <c r="K25" s="361"/>
      <c r="L25" s="363"/>
      <c r="M25" s="356"/>
      <c r="N25" s="361"/>
      <c r="O25" s="361"/>
      <c r="P25" s="358" t="s">
        <v>104</v>
      </c>
      <c r="Q25" s="359"/>
      <c r="R25" s="359"/>
      <c r="S25" s="360"/>
      <c r="T25" s="361"/>
      <c r="U25" s="358" t="s">
        <v>104</v>
      </c>
      <c r="V25" s="359"/>
      <c r="W25" s="359"/>
      <c r="X25" s="360"/>
      <c r="Y25" s="361"/>
      <c r="Z25" s="358" t="s">
        <v>104</v>
      </c>
      <c r="AA25" s="359"/>
      <c r="AB25" s="359"/>
      <c r="AC25" s="360"/>
      <c r="AD25" s="361"/>
      <c r="AE25" s="358" t="s">
        <v>104</v>
      </c>
      <c r="AF25" s="359"/>
      <c r="AG25" s="359"/>
      <c r="AH25" s="360"/>
      <c r="AI25" s="361"/>
      <c r="AJ25" s="358" t="s">
        <v>104</v>
      </c>
      <c r="AK25" s="359"/>
      <c r="AL25" s="359"/>
      <c r="AM25" s="360"/>
      <c r="AN25" s="361"/>
      <c r="AO25" s="358" t="s">
        <v>104</v>
      </c>
      <c r="AP25" s="359"/>
      <c r="AQ25" s="359"/>
      <c r="AR25" s="360"/>
      <c r="AS25" s="361"/>
      <c r="AT25" s="358" t="s">
        <v>104</v>
      </c>
      <c r="AU25" s="359"/>
      <c r="AV25" s="359"/>
      <c r="AW25" s="360"/>
      <c r="AX25" s="361"/>
    </row>
    <row r="26" spans="2:50">
      <c r="B26" s="361"/>
      <c r="C26" s="361"/>
      <c r="D26" s="361"/>
      <c r="E26" s="300" t="s">
        <v>105</v>
      </c>
      <c r="F26" s="300" t="s">
        <v>106</v>
      </c>
      <c r="G26" s="300" t="s">
        <v>107</v>
      </c>
      <c r="H26" s="364"/>
      <c r="I26" s="300" t="s">
        <v>105</v>
      </c>
      <c r="J26" s="300" t="s">
        <v>106</v>
      </c>
      <c r="K26" s="300" t="s">
        <v>107</v>
      </c>
      <c r="L26" s="364"/>
      <c r="M26" s="357"/>
      <c r="N26" s="361"/>
      <c r="O26" s="361"/>
      <c r="P26" s="300" t="s">
        <v>105</v>
      </c>
      <c r="Q26" s="300" t="s">
        <v>106</v>
      </c>
      <c r="R26" s="300" t="s">
        <v>107</v>
      </c>
      <c r="S26" s="300" t="s">
        <v>100</v>
      </c>
      <c r="T26" s="361"/>
      <c r="U26" s="300" t="s">
        <v>105</v>
      </c>
      <c r="V26" s="300" t="s">
        <v>106</v>
      </c>
      <c r="W26" s="300" t="s">
        <v>107</v>
      </c>
      <c r="X26" s="300" t="s">
        <v>100</v>
      </c>
      <c r="Y26" s="361"/>
      <c r="Z26" s="300" t="s">
        <v>105</v>
      </c>
      <c r="AA26" s="300" t="s">
        <v>106</v>
      </c>
      <c r="AB26" s="300" t="s">
        <v>107</v>
      </c>
      <c r="AC26" s="300" t="s">
        <v>100</v>
      </c>
      <c r="AD26" s="361"/>
      <c r="AE26" s="300" t="s">
        <v>105</v>
      </c>
      <c r="AF26" s="300" t="s">
        <v>106</v>
      </c>
      <c r="AG26" s="300" t="s">
        <v>107</v>
      </c>
      <c r="AH26" s="300" t="s">
        <v>100</v>
      </c>
      <c r="AI26" s="361"/>
      <c r="AJ26" s="300" t="s">
        <v>105</v>
      </c>
      <c r="AK26" s="300" t="s">
        <v>106</v>
      </c>
      <c r="AL26" s="300" t="s">
        <v>107</v>
      </c>
      <c r="AM26" s="300" t="s">
        <v>100</v>
      </c>
      <c r="AN26" s="361"/>
      <c r="AO26" s="300" t="s">
        <v>105</v>
      </c>
      <c r="AP26" s="300" t="s">
        <v>106</v>
      </c>
      <c r="AQ26" s="300" t="s">
        <v>107</v>
      </c>
      <c r="AR26" s="300" t="s">
        <v>100</v>
      </c>
      <c r="AS26" s="361"/>
      <c r="AT26" s="300" t="s">
        <v>105</v>
      </c>
      <c r="AU26" s="300" t="s">
        <v>106</v>
      </c>
      <c r="AV26" s="300" t="s">
        <v>107</v>
      </c>
      <c r="AW26" s="300" t="s">
        <v>100</v>
      </c>
      <c r="AX26" s="361"/>
    </row>
    <row r="27" spans="2:50">
      <c r="B27" s="361" t="s">
        <v>84</v>
      </c>
      <c r="C27" s="301">
        <v>1</v>
      </c>
      <c r="D27" s="301" t="s">
        <v>134</v>
      </c>
      <c r="E27" s="302">
        <f>VLOOKUP(D27,'[1]0801-0804產線配置圖'!$A$2:$C$25,2,0)</f>
        <v>12</v>
      </c>
      <c r="F27" s="302">
        <f>VLOOKUP(D27,'[1]0801-0804產線配置圖'!$A$2:$C$25,3,0)</f>
        <v>1714</v>
      </c>
      <c r="G27" s="303">
        <f>F27/E27</f>
        <v>142.83333333333334</v>
      </c>
      <c r="H27" s="375">
        <f>AVERAGE(G27:G41)</f>
        <v>152.15656565656568</v>
      </c>
      <c r="I27" s="302">
        <f>AVERAGE(P27,U27,Z27,AE27,AJ27,AO27,AT27)</f>
        <v>12.714285714285714</v>
      </c>
      <c r="J27" s="302">
        <f>AVERAGE(Q27,V27,AA27,AF27,AK27,AP27,AU27)</f>
        <v>1324.2857142857142</v>
      </c>
      <c r="K27" s="303">
        <f>AVERAGE(R27,W27,AB27,AG27,AL27,AQ27,AV27)</f>
        <v>104.30677655677655</v>
      </c>
      <c r="L27" s="375">
        <f>IFERROR(AVERAGE(K27:K41),"-")</f>
        <v>105.69283890712462</v>
      </c>
      <c r="M27" s="304">
        <f>RANK(K27, K$27:$K$41)</f>
        <v>2</v>
      </c>
      <c r="N27" s="361"/>
      <c r="O27" s="361"/>
      <c r="P27" s="301">
        <v>13</v>
      </c>
      <c r="Q27" s="301">
        <v>1211</v>
      </c>
      <c r="R27" s="303">
        <f>Q27/P27</f>
        <v>93.15384615384616</v>
      </c>
      <c r="S27" s="301">
        <f>RANK(R27, $R$27:$R$41)</f>
        <v>2</v>
      </c>
      <c r="T27" s="373">
        <f>AVERAGE(R27:R41)</f>
        <v>95.406593406593402</v>
      </c>
      <c r="U27" s="301">
        <v>13</v>
      </c>
      <c r="V27" s="301">
        <v>1344</v>
      </c>
      <c r="W27" s="303">
        <f>V27/U27</f>
        <v>103.38461538461539</v>
      </c>
      <c r="X27" s="301">
        <f>RANK(W27, $W$27:$W$41)</f>
        <v>1</v>
      </c>
      <c r="Y27" s="373">
        <f>AVERAGE(W27:W41)</f>
        <v>95.179487179487182</v>
      </c>
      <c r="Z27" s="301">
        <v>13</v>
      </c>
      <c r="AA27" s="301">
        <v>1271</v>
      </c>
      <c r="AB27" s="303">
        <f t="shared" ref="AB27:AB29" si="17">AA27/Z27</f>
        <v>97.769230769230774</v>
      </c>
      <c r="AC27" s="301">
        <f>RANK(AB27, $AB$27:$AB$29)</f>
        <v>3</v>
      </c>
      <c r="AD27" s="373">
        <f>AVERAGE(AB27:AB41)</f>
        <v>103.84615384615385</v>
      </c>
      <c r="AE27" s="301">
        <v>12</v>
      </c>
      <c r="AF27" s="301">
        <v>1386</v>
      </c>
      <c r="AG27" s="303">
        <f t="shared" ref="AG27:AG29" si="18">AF27/AE27</f>
        <v>115.5</v>
      </c>
      <c r="AH27" s="301">
        <f>RANK(AG27, $AG$27:$AG$29)</f>
        <v>2</v>
      </c>
      <c r="AI27" s="373">
        <f>AVERAGE(AG27:AG41)</f>
        <v>113.91666666666667</v>
      </c>
      <c r="AJ27" s="301">
        <v>12</v>
      </c>
      <c r="AK27" s="301">
        <v>1277</v>
      </c>
      <c r="AL27" s="303">
        <f t="shared" ref="AL27:AL29" si="19">AK27/AJ27</f>
        <v>106.41666666666667</v>
      </c>
      <c r="AM27" s="301">
        <f>RANK(AL27, $AL$27:$AL$29)</f>
        <v>3</v>
      </c>
      <c r="AN27" s="373">
        <f>AVERAGE(AL27:AL41)</f>
        <v>117.30555555555556</v>
      </c>
      <c r="AO27" s="301">
        <v>13</v>
      </c>
      <c r="AP27" s="301">
        <v>1338</v>
      </c>
      <c r="AQ27" s="303">
        <f t="shared" ref="AQ27:AQ29" si="20">AP27/AO27</f>
        <v>102.92307692307692</v>
      </c>
      <c r="AR27" s="301">
        <f>RANK(AQ27, $AQ$27:$AQ$29)</f>
        <v>2</v>
      </c>
      <c r="AS27" s="373">
        <f>AVERAGE(AQ27:AQ41)</f>
        <v>105.34188034188033</v>
      </c>
      <c r="AT27" s="301">
        <v>13</v>
      </c>
      <c r="AU27" s="301">
        <v>1443</v>
      </c>
      <c r="AV27" s="303">
        <f t="shared" ref="AV27:AV29" si="21">AU27/AT27</f>
        <v>111</v>
      </c>
      <c r="AW27" s="301">
        <f>RANK(AV27, $AV$27:$AV$29)</f>
        <v>2</v>
      </c>
      <c r="AX27" s="373">
        <f>AVERAGE(AV27:AV41)</f>
        <v>108.85353535353535</v>
      </c>
    </row>
    <row r="28" spans="2:50">
      <c r="B28" s="354"/>
      <c r="C28" s="301">
        <v>2</v>
      </c>
      <c r="D28" s="301" t="s">
        <v>135</v>
      </c>
      <c r="E28" s="302">
        <f>VLOOKUP(D28,'[1]0801-0804產線配置圖'!$A$2:$C$25,2,0)</f>
        <v>11</v>
      </c>
      <c r="F28" s="302">
        <f>VLOOKUP(D28,'[1]0801-0804產線配置圖'!$A$2:$C$25,3,0)</f>
        <v>1800</v>
      </c>
      <c r="G28" s="303">
        <f t="shared" ref="G28:G29" si="22">F28/E28</f>
        <v>163.63636363636363</v>
      </c>
      <c r="H28" s="376"/>
      <c r="I28" s="302">
        <f t="shared" ref="I28:K29" si="23">AVERAGE(P28,U28,Z28,AE28,AJ28,AO28,AT28)</f>
        <v>12.571428571428571</v>
      </c>
      <c r="J28" s="302">
        <f t="shared" si="23"/>
        <v>1371.4285714285713</v>
      </c>
      <c r="K28" s="303">
        <f t="shared" si="23"/>
        <v>109.26282051282051</v>
      </c>
      <c r="L28" s="376"/>
      <c r="M28" s="304">
        <f>RANK(K28, K$27:$K$41)</f>
        <v>1</v>
      </c>
      <c r="N28" s="361"/>
      <c r="O28" s="361"/>
      <c r="P28" s="301">
        <v>13</v>
      </c>
      <c r="Q28" s="301">
        <v>1325</v>
      </c>
      <c r="R28" s="303">
        <f t="shared" ref="R28:R29" si="24">Q28/P28</f>
        <v>101.92307692307692</v>
      </c>
      <c r="S28" s="301">
        <f t="shared" ref="S28:S29" si="25">RANK(R28, $R$27:$R$41)</f>
        <v>1</v>
      </c>
      <c r="T28" s="373"/>
      <c r="U28" s="301">
        <v>13</v>
      </c>
      <c r="V28" s="301">
        <v>1230</v>
      </c>
      <c r="W28" s="303">
        <f t="shared" ref="W28:W29" si="26">V28/U28</f>
        <v>94.615384615384613</v>
      </c>
      <c r="X28" s="301">
        <f t="shared" ref="X28:X29" si="27">RANK(W28, $W$27:$W$41)</f>
        <v>2</v>
      </c>
      <c r="Y28" s="373"/>
      <c r="Z28" s="301">
        <v>13</v>
      </c>
      <c r="AA28" s="301">
        <v>1451</v>
      </c>
      <c r="AB28" s="303">
        <f t="shared" si="17"/>
        <v>111.61538461538461</v>
      </c>
      <c r="AC28" s="301">
        <f t="shared" ref="AC28:AC29" si="28">RANK(AB28, $AB$27:$AB$29)</f>
        <v>1</v>
      </c>
      <c r="AD28" s="373"/>
      <c r="AE28" s="301">
        <v>12</v>
      </c>
      <c r="AF28" s="301">
        <v>1459</v>
      </c>
      <c r="AG28" s="303">
        <f t="shared" si="18"/>
        <v>121.58333333333333</v>
      </c>
      <c r="AH28" s="301">
        <f t="shared" ref="AH28:AH29" si="29">RANK(AG28, $AG$27:$AG$29)</f>
        <v>1</v>
      </c>
      <c r="AI28" s="373"/>
      <c r="AJ28" s="301">
        <v>12</v>
      </c>
      <c r="AK28" s="301">
        <v>1518</v>
      </c>
      <c r="AL28" s="303">
        <f t="shared" si="19"/>
        <v>126.5</v>
      </c>
      <c r="AM28" s="301">
        <f t="shared" ref="AM28:AM29" si="30">RANK(AL28, $AL$27:$AL$29)</f>
        <v>1</v>
      </c>
      <c r="AN28" s="373"/>
      <c r="AO28" s="301">
        <v>13</v>
      </c>
      <c r="AP28" s="301">
        <v>1479</v>
      </c>
      <c r="AQ28" s="303">
        <f t="shared" si="20"/>
        <v>113.76923076923077</v>
      </c>
      <c r="AR28" s="301">
        <f t="shared" ref="AR28:AR29" si="31">RANK(AQ28, $AQ$27:$AQ$29)</f>
        <v>1</v>
      </c>
      <c r="AS28" s="373"/>
      <c r="AT28" s="301">
        <v>12</v>
      </c>
      <c r="AU28" s="301">
        <v>1138</v>
      </c>
      <c r="AV28" s="303">
        <f t="shared" si="21"/>
        <v>94.833333333333329</v>
      </c>
      <c r="AW28" s="301">
        <f t="shared" ref="AW28:AW29" si="32">RANK(AV28, $AV$27:$AV$29)</f>
        <v>3</v>
      </c>
      <c r="AX28" s="373"/>
    </row>
    <row r="29" spans="2:50">
      <c r="B29" s="354"/>
      <c r="C29" s="301">
        <v>3</v>
      </c>
      <c r="D29" s="301" t="s">
        <v>136</v>
      </c>
      <c r="E29" s="302">
        <f>VLOOKUP(D29,'[1]0801-0804產線配置圖'!$A$2:$C$25,2,0)</f>
        <v>10</v>
      </c>
      <c r="F29" s="302">
        <f>VLOOKUP(D29,'[1]0801-0804產線配置圖'!$A$2:$C$25,3,0)</f>
        <v>1500</v>
      </c>
      <c r="G29" s="303">
        <f t="shared" si="22"/>
        <v>150</v>
      </c>
      <c r="H29" s="376"/>
      <c r="I29" s="302">
        <f t="shared" si="23"/>
        <v>12.285714285714286</v>
      </c>
      <c r="J29" s="302">
        <f t="shared" si="23"/>
        <v>1261</v>
      </c>
      <c r="K29" s="303">
        <f t="shared" si="23"/>
        <v>103.50891965177679</v>
      </c>
      <c r="L29" s="376"/>
      <c r="M29" s="304">
        <f>RANK(K29, K$27:$K$41)</f>
        <v>3</v>
      </c>
      <c r="N29" s="361"/>
      <c r="O29" s="361"/>
      <c r="P29" s="301">
        <v>14</v>
      </c>
      <c r="Q29" s="301">
        <v>1276</v>
      </c>
      <c r="R29" s="303">
        <f t="shared" si="24"/>
        <v>91.142857142857139</v>
      </c>
      <c r="S29" s="301">
        <f t="shared" si="25"/>
        <v>3</v>
      </c>
      <c r="T29" s="373"/>
      <c r="U29" s="301">
        <v>13</v>
      </c>
      <c r="V29" s="301">
        <v>1138</v>
      </c>
      <c r="W29" s="303">
        <f t="shared" si="26"/>
        <v>87.538461538461533</v>
      </c>
      <c r="X29" s="301">
        <f t="shared" si="27"/>
        <v>3</v>
      </c>
      <c r="Y29" s="373"/>
      <c r="Z29" s="301">
        <v>13</v>
      </c>
      <c r="AA29" s="301">
        <v>1328</v>
      </c>
      <c r="AB29" s="303">
        <f t="shared" si="17"/>
        <v>102.15384615384616</v>
      </c>
      <c r="AC29" s="301">
        <f t="shared" si="28"/>
        <v>2</v>
      </c>
      <c r="AD29" s="373"/>
      <c r="AE29" s="301">
        <v>12</v>
      </c>
      <c r="AF29" s="301">
        <v>1256</v>
      </c>
      <c r="AG29" s="303">
        <f t="shared" si="18"/>
        <v>104.66666666666667</v>
      </c>
      <c r="AH29" s="301">
        <f t="shared" si="29"/>
        <v>3</v>
      </c>
      <c r="AI29" s="373"/>
      <c r="AJ29" s="301">
        <v>11</v>
      </c>
      <c r="AK29" s="301">
        <v>1309</v>
      </c>
      <c r="AL29" s="303">
        <f t="shared" si="19"/>
        <v>119</v>
      </c>
      <c r="AM29" s="301">
        <f t="shared" si="30"/>
        <v>2</v>
      </c>
      <c r="AN29" s="373"/>
      <c r="AO29" s="301">
        <v>12</v>
      </c>
      <c r="AP29" s="301">
        <v>1192</v>
      </c>
      <c r="AQ29" s="303">
        <f t="shared" si="20"/>
        <v>99.333333333333329</v>
      </c>
      <c r="AR29" s="301">
        <f t="shared" si="31"/>
        <v>3</v>
      </c>
      <c r="AS29" s="373"/>
      <c r="AT29" s="301">
        <v>11</v>
      </c>
      <c r="AU29" s="301">
        <v>1328</v>
      </c>
      <c r="AV29" s="303">
        <f t="shared" si="21"/>
        <v>120.72727272727273</v>
      </c>
      <c r="AW29" s="301">
        <f t="shared" si="32"/>
        <v>1</v>
      </c>
      <c r="AX29" s="373"/>
    </row>
    <row r="30" spans="2:50">
      <c r="B30" s="354"/>
      <c r="C30" s="301">
        <v>4</v>
      </c>
      <c r="D30" s="301"/>
      <c r="E30" s="302"/>
      <c r="F30" s="302"/>
      <c r="G30" s="303"/>
      <c r="H30" s="376"/>
      <c r="I30" s="302"/>
      <c r="J30" s="302"/>
      <c r="K30" s="303"/>
      <c r="L30" s="376"/>
      <c r="M30" s="304"/>
      <c r="N30" s="361"/>
      <c r="O30" s="361"/>
      <c r="P30" s="301"/>
      <c r="Q30" s="301"/>
      <c r="R30" s="301"/>
      <c r="S30" s="301"/>
      <c r="T30" s="373"/>
      <c r="U30" s="301"/>
      <c r="V30" s="301"/>
      <c r="W30" s="301"/>
      <c r="X30" s="301"/>
      <c r="Y30" s="373"/>
      <c r="Z30" s="301"/>
      <c r="AA30" s="301"/>
      <c r="AB30" s="301"/>
      <c r="AC30" s="301"/>
      <c r="AD30" s="373"/>
      <c r="AE30" s="301"/>
      <c r="AF30" s="301"/>
      <c r="AG30" s="301"/>
      <c r="AH30" s="301"/>
      <c r="AI30" s="373"/>
      <c r="AJ30" s="301"/>
      <c r="AK30" s="301"/>
      <c r="AL30" s="301"/>
      <c r="AM30" s="301"/>
      <c r="AN30" s="373"/>
      <c r="AO30" s="301"/>
      <c r="AP30" s="301"/>
      <c r="AQ30" s="301"/>
      <c r="AR30" s="301"/>
      <c r="AS30" s="373"/>
      <c r="AT30" s="301"/>
      <c r="AU30" s="301"/>
      <c r="AV30" s="301"/>
      <c r="AW30" s="301"/>
      <c r="AX30" s="373"/>
    </row>
    <row r="31" spans="2:50">
      <c r="B31" s="354"/>
      <c r="C31" s="301">
        <v>5</v>
      </c>
      <c r="D31" s="301"/>
      <c r="E31" s="302"/>
      <c r="F31" s="302"/>
      <c r="G31" s="303"/>
      <c r="H31" s="376"/>
      <c r="I31" s="302"/>
      <c r="J31" s="302"/>
      <c r="K31" s="303"/>
      <c r="L31" s="376"/>
      <c r="M31" s="304"/>
      <c r="N31" s="361"/>
      <c r="O31" s="361"/>
      <c r="P31" s="301"/>
      <c r="Q31" s="301"/>
      <c r="R31" s="301"/>
      <c r="S31" s="301"/>
      <c r="T31" s="373"/>
      <c r="U31" s="301"/>
      <c r="V31" s="301"/>
      <c r="W31" s="301"/>
      <c r="X31" s="301"/>
      <c r="Y31" s="373"/>
      <c r="Z31" s="301"/>
      <c r="AA31" s="301"/>
      <c r="AB31" s="301"/>
      <c r="AC31" s="301"/>
      <c r="AD31" s="373"/>
      <c r="AE31" s="301"/>
      <c r="AF31" s="301"/>
      <c r="AG31" s="301"/>
      <c r="AH31" s="301"/>
      <c r="AI31" s="373"/>
      <c r="AJ31" s="301"/>
      <c r="AK31" s="301"/>
      <c r="AL31" s="301"/>
      <c r="AM31" s="301"/>
      <c r="AN31" s="373"/>
      <c r="AO31" s="301"/>
      <c r="AP31" s="301"/>
      <c r="AQ31" s="301"/>
      <c r="AR31" s="301"/>
      <c r="AS31" s="373"/>
      <c r="AT31" s="301"/>
      <c r="AU31" s="301"/>
      <c r="AV31" s="301"/>
      <c r="AW31" s="301"/>
      <c r="AX31" s="373"/>
    </row>
    <row r="32" spans="2:50">
      <c r="B32" s="354"/>
      <c r="C32" s="301">
        <v>6</v>
      </c>
      <c r="D32" s="301"/>
      <c r="E32" s="302"/>
      <c r="F32" s="302"/>
      <c r="G32" s="303"/>
      <c r="H32" s="376"/>
      <c r="I32" s="302"/>
      <c r="J32" s="302"/>
      <c r="K32" s="303"/>
      <c r="L32" s="376"/>
      <c r="M32" s="304"/>
      <c r="N32" s="361"/>
      <c r="O32" s="361"/>
      <c r="P32" s="301"/>
      <c r="Q32" s="301"/>
      <c r="R32" s="301"/>
      <c r="S32" s="301"/>
      <c r="T32" s="373"/>
      <c r="U32" s="301"/>
      <c r="V32" s="301"/>
      <c r="W32" s="301"/>
      <c r="X32" s="301"/>
      <c r="Y32" s="373"/>
      <c r="Z32" s="301"/>
      <c r="AA32" s="301"/>
      <c r="AB32" s="301"/>
      <c r="AC32" s="301"/>
      <c r="AD32" s="373"/>
      <c r="AE32" s="301"/>
      <c r="AF32" s="301"/>
      <c r="AG32" s="301"/>
      <c r="AH32" s="301"/>
      <c r="AI32" s="373"/>
      <c r="AJ32" s="301"/>
      <c r="AK32" s="301"/>
      <c r="AL32" s="301"/>
      <c r="AM32" s="301"/>
      <c r="AN32" s="373"/>
      <c r="AO32" s="301"/>
      <c r="AP32" s="301"/>
      <c r="AQ32" s="301"/>
      <c r="AR32" s="301"/>
      <c r="AS32" s="373"/>
      <c r="AT32" s="301"/>
      <c r="AU32" s="301"/>
      <c r="AV32" s="301"/>
      <c r="AW32" s="301"/>
      <c r="AX32" s="373"/>
    </row>
    <row r="33" spans="2:50">
      <c r="B33" s="354"/>
      <c r="C33" s="301">
        <v>7</v>
      </c>
      <c r="D33" s="301"/>
      <c r="E33" s="302"/>
      <c r="F33" s="302"/>
      <c r="G33" s="303"/>
      <c r="H33" s="376"/>
      <c r="I33" s="302"/>
      <c r="J33" s="302"/>
      <c r="K33" s="303"/>
      <c r="L33" s="376"/>
      <c r="M33" s="304"/>
      <c r="N33" s="361"/>
      <c r="O33" s="361"/>
      <c r="P33" s="301"/>
      <c r="Q33" s="301"/>
      <c r="R33" s="301"/>
      <c r="S33" s="301"/>
      <c r="T33" s="373"/>
      <c r="U33" s="301"/>
      <c r="V33" s="301"/>
      <c r="W33" s="301"/>
      <c r="X33" s="301"/>
      <c r="Y33" s="373"/>
      <c r="Z33" s="301"/>
      <c r="AA33" s="301"/>
      <c r="AB33" s="301"/>
      <c r="AC33" s="301"/>
      <c r="AD33" s="373"/>
      <c r="AE33" s="301"/>
      <c r="AF33" s="301"/>
      <c r="AG33" s="301"/>
      <c r="AH33" s="301"/>
      <c r="AI33" s="373"/>
      <c r="AJ33" s="301"/>
      <c r="AK33" s="301"/>
      <c r="AL33" s="301"/>
      <c r="AM33" s="301"/>
      <c r="AN33" s="373"/>
      <c r="AO33" s="301"/>
      <c r="AP33" s="301"/>
      <c r="AQ33" s="301"/>
      <c r="AR33" s="301"/>
      <c r="AS33" s="373"/>
      <c r="AT33" s="301"/>
      <c r="AU33" s="301"/>
      <c r="AV33" s="301"/>
      <c r="AW33" s="301"/>
      <c r="AX33" s="373"/>
    </row>
    <row r="34" spans="2:50">
      <c r="B34" s="354"/>
      <c r="C34" s="301">
        <v>8</v>
      </c>
      <c r="D34" s="301"/>
      <c r="E34" s="301"/>
      <c r="F34" s="301"/>
      <c r="G34" s="301"/>
      <c r="H34" s="376"/>
      <c r="I34" s="302"/>
      <c r="J34" s="302"/>
      <c r="K34" s="303"/>
      <c r="L34" s="376"/>
      <c r="M34" s="304"/>
      <c r="N34" s="361"/>
      <c r="O34" s="361"/>
      <c r="P34" s="301"/>
      <c r="Q34" s="301"/>
      <c r="R34" s="301"/>
      <c r="S34" s="301"/>
      <c r="T34" s="373"/>
      <c r="U34" s="301"/>
      <c r="V34" s="301"/>
      <c r="W34" s="301"/>
      <c r="X34" s="301"/>
      <c r="Y34" s="373"/>
      <c r="Z34" s="301"/>
      <c r="AA34" s="301"/>
      <c r="AB34" s="301"/>
      <c r="AC34" s="301"/>
      <c r="AD34" s="373"/>
      <c r="AE34" s="301"/>
      <c r="AF34" s="301"/>
      <c r="AG34" s="301"/>
      <c r="AH34" s="301"/>
      <c r="AI34" s="373"/>
      <c r="AJ34" s="301"/>
      <c r="AK34" s="301"/>
      <c r="AL34" s="301"/>
      <c r="AM34" s="301"/>
      <c r="AN34" s="373"/>
      <c r="AO34" s="301"/>
      <c r="AP34" s="301"/>
      <c r="AQ34" s="301"/>
      <c r="AR34" s="301"/>
      <c r="AS34" s="373"/>
      <c r="AT34" s="301"/>
      <c r="AU34" s="301"/>
      <c r="AV34" s="301"/>
      <c r="AW34" s="301"/>
      <c r="AX34" s="373"/>
    </row>
    <row r="35" spans="2:50">
      <c r="B35" s="354"/>
      <c r="C35" s="301">
        <v>9</v>
      </c>
      <c r="D35" s="301"/>
      <c r="E35" s="301"/>
      <c r="F35" s="301"/>
      <c r="G35" s="301"/>
      <c r="H35" s="376"/>
      <c r="I35" s="302"/>
      <c r="J35" s="302"/>
      <c r="K35" s="303"/>
      <c r="L35" s="376"/>
      <c r="M35" s="304"/>
      <c r="N35" s="361"/>
      <c r="O35" s="361"/>
      <c r="P35" s="301"/>
      <c r="Q35" s="301"/>
      <c r="R35" s="301"/>
      <c r="S35" s="301"/>
      <c r="T35" s="373"/>
      <c r="U35" s="301"/>
      <c r="V35" s="301"/>
      <c r="W35" s="301"/>
      <c r="X35" s="301"/>
      <c r="Y35" s="373"/>
      <c r="Z35" s="301"/>
      <c r="AA35" s="301"/>
      <c r="AB35" s="301"/>
      <c r="AC35" s="301"/>
      <c r="AD35" s="373"/>
      <c r="AE35" s="301"/>
      <c r="AF35" s="301"/>
      <c r="AG35" s="301"/>
      <c r="AH35" s="301"/>
      <c r="AI35" s="373"/>
      <c r="AJ35" s="301"/>
      <c r="AK35" s="301"/>
      <c r="AL35" s="301"/>
      <c r="AM35" s="301"/>
      <c r="AN35" s="373"/>
      <c r="AO35" s="301"/>
      <c r="AP35" s="301"/>
      <c r="AQ35" s="301"/>
      <c r="AR35" s="301"/>
      <c r="AS35" s="373"/>
      <c r="AT35" s="301"/>
      <c r="AU35" s="301"/>
      <c r="AV35" s="301"/>
      <c r="AW35" s="301"/>
      <c r="AX35" s="373"/>
    </row>
    <row r="36" spans="2:50">
      <c r="B36" s="354"/>
      <c r="C36" s="301">
        <v>10</v>
      </c>
      <c r="D36" s="301"/>
      <c r="E36" s="301"/>
      <c r="F36" s="301"/>
      <c r="G36" s="301"/>
      <c r="H36" s="376"/>
      <c r="I36" s="302"/>
      <c r="J36" s="302"/>
      <c r="K36" s="303"/>
      <c r="L36" s="376"/>
      <c r="M36" s="304"/>
      <c r="N36" s="361"/>
      <c r="O36" s="361"/>
      <c r="P36" s="301"/>
      <c r="Q36" s="301"/>
      <c r="R36" s="301"/>
      <c r="S36" s="301"/>
      <c r="T36" s="373"/>
      <c r="U36" s="301"/>
      <c r="V36" s="301"/>
      <c r="W36" s="301"/>
      <c r="X36" s="301"/>
      <c r="Y36" s="373"/>
      <c r="Z36" s="301"/>
      <c r="AA36" s="301"/>
      <c r="AB36" s="301"/>
      <c r="AC36" s="301"/>
      <c r="AD36" s="373"/>
      <c r="AE36" s="301"/>
      <c r="AF36" s="301"/>
      <c r="AG36" s="301"/>
      <c r="AH36" s="301"/>
      <c r="AI36" s="373"/>
      <c r="AJ36" s="301"/>
      <c r="AK36" s="301"/>
      <c r="AL36" s="301"/>
      <c r="AM36" s="301"/>
      <c r="AN36" s="373"/>
      <c r="AO36" s="301"/>
      <c r="AP36" s="301"/>
      <c r="AQ36" s="301"/>
      <c r="AR36" s="301"/>
      <c r="AS36" s="373"/>
      <c r="AT36" s="301"/>
      <c r="AU36" s="301"/>
      <c r="AV36" s="301"/>
      <c r="AW36" s="301"/>
      <c r="AX36" s="373"/>
    </row>
    <row r="37" spans="2:50">
      <c r="B37" s="354"/>
      <c r="C37" s="301">
        <v>11</v>
      </c>
      <c r="D37" s="301"/>
      <c r="E37" s="301"/>
      <c r="F37" s="301"/>
      <c r="G37" s="301"/>
      <c r="H37" s="376"/>
      <c r="I37" s="302"/>
      <c r="J37" s="302"/>
      <c r="K37" s="303"/>
      <c r="L37" s="376"/>
      <c r="M37" s="304"/>
      <c r="N37" s="361"/>
      <c r="O37" s="361"/>
      <c r="P37" s="301"/>
      <c r="Q37" s="301"/>
      <c r="R37" s="301"/>
      <c r="S37" s="301"/>
      <c r="T37" s="373"/>
      <c r="U37" s="301"/>
      <c r="V37" s="301"/>
      <c r="W37" s="301"/>
      <c r="X37" s="301"/>
      <c r="Y37" s="373"/>
      <c r="Z37" s="301"/>
      <c r="AA37" s="301"/>
      <c r="AB37" s="301"/>
      <c r="AC37" s="301"/>
      <c r="AD37" s="373"/>
      <c r="AE37" s="301"/>
      <c r="AF37" s="301"/>
      <c r="AG37" s="301"/>
      <c r="AH37" s="301"/>
      <c r="AI37" s="373"/>
      <c r="AJ37" s="301"/>
      <c r="AK37" s="301"/>
      <c r="AL37" s="301"/>
      <c r="AM37" s="301"/>
      <c r="AN37" s="373"/>
      <c r="AO37" s="301"/>
      <c r="AP37" s="301"/>
      <c r="AQ37" s="301"/>
      <c r="AR37" s="301"/>
      <c r="AS37" s="373"/>
      <c r="AT37" s="301"/>
      <c r="AU37" s="301"/>
      <c r="AV37" s="301"/>
      <c r="AW37" s="301"/>
      <c r="AX37" s="373"/>
    </row>
    <row r="38" spans="2:50">
      <c r="B38" s="354"/>
      <c r="C38" s="301">
        <v>12</v>
      </c>
      <c r="D38" s="301"/>
      <c r="E38" s="301"/>
      <c r="F38" s="301"/>
      <c r="G38" s="301"/>
      <c r="H38" s="376"/>
      <c r="I38" s="302"/>
      <c r="J38" s="302"/>
      <c r="K38" s="303"/>
      <c r="L38" s="376"/>
      <c r="M38" s="304"/>
      <c r="N38" s="361"/>
      <c r="O38" s="361"/>
      <c r="P38" s="301"/>
      <c r="Q38" s="301"/>
      <c r="R38" s="301"/>
      <c r="S38" s="301"/>
      <c r="T38" s="373"/>
      <c r="U38" s="301"/>
      <c r="V38" s="301"/>
      <c r="W38" s="301"/>
      <c r="X38" s="301"/>
      <c r="Y38" s="373"/>
      <c r="Z38" s="301"/>
      <c r="AA38" s="301"/>
      <c r="AB38" s="301"/>
      <c r="AC38" s="301"/>
      <c r="AD38" s="373"/>
      <c r="AE38" s="301"/>
      <c r="AF38" s="301"/>
      <c r="AG38" s="301"/>
      <c r="AH38" s="301"/>
      <c r="AI38" s="373"/>
      <c r="AJ38" s="301"/>
      <c r="AK38" s="301"/>
      <c r="AL38" s="301"/>
      <c r="AM38" s="301"/>
      <c r="AN38" s="373"/>
      <c r="AO38" s="301"/>
      <c r="AP38" s="301"/>
      <c r="AQ38" s="301"/>
      <c r="AR38" s="301"/>
      <c r="AS38" s="373"/>
      <c r="AT38" s="301"/>
      <c r="AU38" s="301"/>
      <c r="AV38" s="301"/>
      <c r="AW38" s="301"/>
      <c r="AX38" s="373"/>
    </row>
    <row r="39" spans="2:50">
      <c r="B39" s="354"/>
      <c r="C39" s="301">
        <v>13</v>
      </c>
      <c r="D39" s="301"/>
      <c r="E39" s="301"/>
      <c r="F39" s="301"/>
      <c r="G39" s="301"/>
      <c r="H39" s="376"/>
      <c r="I39" s="302"/>
      <c r="J39" s="302"/>
      <c r="K39" s="303"/>
      <c r="L39" s="376"/>
      <c r="M39" s="304"/>
      <c r="N39" s="361"/>
      <c r="O39" s="361"/>
      <c r="P39" s="301"/>
      <c r="Q39" s="301"/>
      <c r="R39" s="301"/>
      <c r="S39" s="301"/>
      <c r="T39" s="373"/>
      <c r="U39" s="301"/>
      <c r="V39" s="301"/>
      <c r="W39" s="301"/>
      <c r="X39" s="301"/>
      <c r="Y39" s="373"/>
      <c r="Z39" s="301"/>
      <c r="AA39" s="301"/>
      <c r="AB39" s="301"/>
      <c r="AC39" s="301"/>
      <c r="AD39" s="373"/>
      <c r="AE39" s="301"/>
      <c r="AF39" s="301"/>
      <c r="AG39" s="301"/>
      <c r="AH39" s="301"/>
      <c r="AI39" s="373"/>
      <c r="AJ39" s="301"/>
      <c r="AK39" s="301"/>
      <c r="AL39" s="301"/>
      <c r="AM39" s="301"/>
      <c r="AN39" s="373"/>
      <c r="AO39" s="301"/>
      <c r="AP39" s="301"/>
      <c r="AQ39" s="301"/>
      <c r="AR39" s="301"/>
      <c r="AS39" s="373"/>
      <c r="AT39" s="301"/>
      <c r="AU39" s="301"/>
      <c r="AV39" s="301"/>
      <c r="AW39" s="301"/>
      <c r="AX39" s="373"/>
    </row>
    <row r="40" spans="2:50">
      <c r="B40" s="354"/>
      <c r="C40" s="301">
        <v>14</v>
      </c>
      <c r="D40" s="301"/>
      <c r="E40" s="301"/>
      <c r="F40" s="301"/>
      <c r="G40" s="301"/>
      <c r="H40" s="376"/>
      <c r="I40" s="302"/>
      <c r="J40" s="302"/>
      <c r="K40" s="303"/>
      <c r="L40" s="376"/>
      <c r="M40" s="304"/>
      <c r="N40" s="361"/>
      <c r="O40" s="361"/>
      <c r="P40" s="301"/>
      <c r="Q40" s="301"/>
      <c r="R40" s="301"/>
      <c r="S40" s="301"/>
      <c r="T40" s="373"/>
      <c r="U40" s="301"/>
      <c r="V40" s="301"/>
      <c r="W40" s="301"/>
      <c r="X40" s="301"/>
      <c r="Y40" s="373"/>
      <c r="Z40" s="301"/>
      <c r="AA40" s="301"/>
      <c r="AB40" s="301"/>
      <c r="AC40" s="301"/>
      <c r="AD40" s="373"/>
      <c r="AE40" s="301"/>
      <c r="AF40" s="301"/>
      <c r="AG40" s="301"/>
      <c r="AH40" s="301"/>
      <c r="AI40" s="373"/>
      <c r="AJ40" s="301"/>
      <c r="AK40" s="301"/>
      <c r="AL40" s="301"/>
      <c r="AM40" s="301"/>
      <c r="AN40" s="373"/>
      <c r="AO40" s="301"/>
      <c r="AP40" s="301"/>
      <c r="AQ40" s="301"/>
      <c r="AR40" s="301"/>
      <c r="AS40" s="373"/>
      <c r="AT40" s="301"/>
      <c r="AU40" s="301"/>
      <c r="AV40" s="301"/>
      <c r="AW40" s="301"/>
      <c r="AX40" s="373"/>
    </row>
    <row r="41" spans="2:50">
      <c r="B41" s="354"/>
      <c r="C41" s="301">
        <v>15</v>
      </c>
      <c r="D41" s="301"/>
      <c r="E41" s="301"/>
      <c r="F41" s="301"/>
      <c r="G41" s="301"/>
      <c r="H41" s="377"/>
      <c r="I41" s="302"/>
      <c r="J41" s="302"/>
      <c r="K41" s="303"/>
      <c r="L41" s="377"/>
      <c r="M41" s="302"/>
      <c r="N41" s="361"/>
      <c r="O41" s="361"/>
      <c r="P41" s="301"/>
      <c r="Q41" s="301"/>
      <c r="R41" s="301"/>
      <c r="S41" s="301"/>
      <c r="T41" s="373"/>
      <c r="U41" s="301"/>
      <c r="V41" s="301"/>
      <c r="W41" s="301"/>
      <c r="X41" s="301"/>
      <c r="Y41" s="373"/>
      <c r="Z41" s="301"/>
      <c r="AA41" s="301"/>
      <c r="AB41" s="301"/>
      <c r="AC41" s="301"/>
      <c r="AD41" s="373"/>
      <c r="AE41" s="301"/>
      <c r="AF41" s="301"/>
      <c r="AG41" s="301"/>
      <c r="AH41" s="301"/>
      <c r="AI41" s="373"/>
      <c r="AJ41" s="301"/>
      <c r="AK41" s="301"/>
      <c r="AL41" s="301"/>
      <c r="AM41" s="301"/>
      <c r="AN41" s="373"/>
      <c r="AO41" s="301"/>
      <c r="AP41" s="301"/>
      <c r="AQ41" s="301"/>
      <c r="AR41" s="301"/>
      <c r="AS41" s="373"/>
      <c r="AT41" s="301"/>
      <c r="AU41" s="301"/>
      <c r="AV41" s="301"/>
      <c r="AW41" s="301"/>
      <c r="AX41" s="373"/>
    </row>
    <row r="42" spans="2:50" ht="15.75">
      <c r="B42" s="378" t="s">
        <v>93</v>
      </c>
      <c r="C42" s="379"/>
      <c r="D42" s="379"/>
      <c r="E42" s="379"/>
      <c r="F42" s="379"/>
      <c r="G42" s="379"/>
      <c r="H42" s="379"/>
      <c r="I42" s="307"/>
      <c r="J42" s="295"/>
      <c r="K42" s="307"/>
      <c r="L42" s="307"/>
      <c r="M42" s="296"/>
      <c r="N42" s="355" t="s">
        <v>94</v>
      </c>
      <c r="O42" s="355" t="s">
        <v>52</v>
      </c>
      <c r="P42" s="368">
        <v>45881</v>
      </c>
      <c r="Q42" s="354"/>
      <c r="R42" s="354"/>
      <c r="S42" s="354"/>
      <c r="T42" s="354"/>
      <c r="U42" s="368">
        <v>45882</v>
      </c>
      <c r="V42" s="354"/>
      <c r="W42" s="354"/>
      <c r="X42" s="354"/>
      <c r="Y42" s="354"/>
      <c r="Z42" s="368">
        <v>45883</v>
      </c>
      <c r="AA42" s="354"/>
      <c r="AB42" s="354"/>
      <c r="AC42" s="354"/>
      <c r="AD42" s="354"/>
      <c r="AE42" s="368">
        <v>45884</v>
      </c>
      <c r="AF42" s="354"/>
      <c r="AG42" s="354"/>
      <c r="AH42" s="354"/>
      <c r="AI42" s="354"/>
      <c r="AJ42" s="368">
        <v>45885</v>
      </c>
      <c r="AK42" s="354"/>
      <c r="AL42" s="354"/>
      <c r="AM42" s="354"/>
      <c r="AN42" s="354"/>
      <c r="AO42" s="368">
        <v>45886</v>
      </c>
      <c r="AP42" s="354"/>
      <c r="AQ42" s="354"/>
      <c r="AR42" s="354"/>
      <c r="AS42" s="354"/>
      <c r="AT42" s="368">
        <v>45887</v>
      </c>
      <c r="AU42" s="354"/>
      <c r="AV42" s="354"/>
      <c r="AW42" s="354"/>
      <c r="AX42" s="354"/>
    </row>
    <row r="43" spans="2:50" ht="15.75">
      <c r="B43" s="367"/>
      <c r="C43" s="367"/>
      <c r="D43" s="367"/>
      <c r="E43" s="367"/>
      <c r="F43" s="367"/>
      <c r="G43" s="367"/>
      <c r="H43" s="367"/>
      <c r="I43" s="297"/>
      <c r="J43" s="297"/>
      <c r="K43" s="297"/>
      <c r="L43" s="297"/>
      <c r="M43" s="298"/>
      <c r="N43" s="357"/>
      <c r="O43" s="357"/>
      <c r="P43" s="368" t="s">
        <v>66</v>
      </c>
      <c r="Q43" s="354"/>
      <c r="R43" s="354"/>
      <c r="S43" s="354"/>
      <c r="T43" s="354"/>
      <c r="U43" s="368" t="s">
        <v>67</v>
      </c>
      <c r="V43" s="354"/>
      <c r="W43" s="354"/>
      <c r="X43" s="354"/>
      <c r="Y43" s="354"/>
      <c r="Z43" s="368" t="s">
        <v>68</v>
      </c>
      <c r="AA43" s="354"/>
      <c r="AB43" s="354"/>
      <c r="AC43" s="354"/>
      <c r="AD43" s="354"/>
      <c r="AE43" s="368" t="s">
        <v>63</v>
      </c>
      <c r="AF43" s="354"/>
      <c r="AG43" s="354"/>
      <c r="AH43" s="354"/>
      <c r="AI43" s="354"/>
      <c r="AJ43" s="368" t="s">
        <v>64</v>
      </c>
      <c r="AK43" s="354"/>
      <c r="AL43" s="354"/>
      <c r="AM43" s="354"/>
      <c r="AN43" s="354"/>
      <c r="AO43" s="368" t="s">
        <v>59</v>
      </c>
      <c r="AP43" s="354"/>
      <c r="AQ43" s="354"/>
      <c r="AR43" s="354"/>
      <c r="AS43" s="354"/>
      <c r="AT43" s="368" t="s">
        <v>65</v>
      </c>
      <c r="AU43" s="354"/>
      <c r="AV43" s="354"/>
      <c r="AW43" s="354"/>
      <c r="AX43" s="354"/>
    </row>
    <row r="44" spans="2:50">
      <c r="B44" s="361" t="s">
        <v>95</v>
      </c>
      <c r="C44" s="361" t="s">
        <v>96</v>
      </c>
      <c r="D44" s="361"/>
      <c r="E44" s="361" t="s">
        <v>97</v>
      </c>
      <c r="F44" s="361"/>
      <c r="G44" s="361"/>
      <c r="H44" s="362" t="s">
        <v>98</v>
      </c>
      <c r="I44" s="361" t="s">
        <v>99</v>
      </c>
      <c r="J44" s="361"/>
      <c r="K44" s="361"/>
      <c r="L44" s="362" t="s">
        <v>98</v>
      </c>
      <c r="M44" s="355" t="s">
        <v>100</v>
      </c>
      <c r="N44" s="361"/>
      <c r="O44" s="361" t="s">
        <v>101</v>
      </c>
      <c r="P44" s="358" t="s">
        <v>102</v>
      </c>
      <c r="Q44" s="359"/>
      <c r="R44" s="359"/>
      <c r="S44" s="360"/>
      <c r="T44" s="361" t="s">
        <v>98</v>
      </c>
      <c r="U44" s="358" t="s">
        <v>102</v>
      </c>
      <c r="V44" s="359"/>
      <c r="W44" s="359"/>
      <c r="X44" s="360"/>
      <c r="Y44" s="361" t="s">
        <v>98</v>
      </c>
      <c r="Z44" s="358" t="s">
        <v>102</v>
      </c>
      <c r="AA44" s="359"/>
      <c r="AB44" s="359"/>
      <c r="AC44" s="360"/>
      <c r="AD44" s="361" t="s">
        <v>98</v>
      </c>
      <c r="AE44" s="358" t="s">
        <v>102</v>
      </c>
      <c r="AF44" s="359"/>
      <c r="AG44" s="359"/>
      <c r="AH44" s="360"/>
      <c r="AI44" s="361" t="s">
        <v>98</v>
      </c>
      <c r="AJ44" s="358" t="s">
        <v>102</v>
      </c>
      <c r="AK44" s="359"/>
      <c r="AL44" s="359"/>
      <c r="AM44" s="360"/>
      <c r="AN44" s="361" t="s">
        <v>98</v>
      </c>
      <c r="AO44" s="358" t="s">
        <v>102</v>
      </c>
      <c r="AP44" s="359"/>
      <c r="AQ44" s="359"/>
      <c r="AR44" s="360"/>
      <c r="AS44" s="361" t="s">
        <v>98</v>
      </c>
      <c r="AT44" s="358" t="s">
        <v>102</v>
      </c>
      <c r="AU44" s="359"/>
      <c r="AV44" s="359"/>
      <c r="AW44" s="360"/>
      <c r="AX44" s="361" t="s">
        <v>98</v>
      </c>
    </row>
    <row r="45" spans="2:50">
      <c r="B45" s="361"/>
      <c r="C45" s="361"/>
      <c r="D45" s="361"/>
      <c r="E45" s="361" t="s">
        <v>103</v>
      </c>
      <c r="F45" s="361"/>
      <c r="G45" s="361"/>
      <c r="H45" s="363"/>
      <c r="I45" s="361" t="s">
        <v>103</v>
      </c>
      <c r="J45" s="361"/>
      <c r="K45" s="361"/>
      <c r="L45" s="363"/>
      <c r="M45" s="356"/>
      <c r="N45" s="361"/>
      <c r="O45" s="361"/>
      <c r="P45" s="358" t="s">
        <v>104</v>
      </c>
      <c r="Q45" s="359"/>
      <c r="R45" s="359"/>
      <c r="S45" s="360"/>
      <c r="T45" s="361"/>
      <c r="U45" s="358" t="s">
        <v>104</v>
      </c>
      <c r="V45" s="359"/>
      <c r="W45" s="359"/>
      <c r="X45" s="360"/>
      <c r="Y45" s="361"/>
      <c r="Z45" s="358" t="s">
        <v>104</v>
      </c>
      <c r="AA45" s="359"/>
      <c r="AB45" s="359"/>
      <c r="AC45" s="360"/>
      <c r="AD45" s="361"/>
      <c r="AE45" s="358" t="s">
        <v>104</v>
      </c>
      <c r="AF45" s="359"/>
      <c r="AG45" s="359"/>
      <c r="AH45" s="360"/>
      <c r="AI45" s="361"/>
      <c r="AJ45" s="358" t="s">
        <v>104</v>
      </c>
      <c r="AK45" s="359"/>
      <c r="AL45" s="359"/>
      <c r="AM45" s="360"/>
      <c r="AN45" s="361"/>
      <c r="AO45" s="358" t="s">
        <v>104</v>
      </c>
      <c r="AP45" s="359"/>
      <c r="AQ45" s="359"/>
      <c r="AR45" s="360"/>
      <c r="AS45" s="361"/>
      <c r="AT45" s="358" t="s">
        <v>104</v>
      </c>
      <c r="AU45" s="359"/>
      <c r="AV45" s="359"/>
      <c r="AW45" s="360"/>
      <c r="AX45" s="361"/>
    </row>
    <row r="46" spans="2:50">
      <c r="B46" s="361"/>
      <c r="C46" s="361"/>
      <c r="D46" s="361"/>
      <c r="E46" s="300" t="s">
        <v>105</v>
      </c>
      <c r="F46" s="300" t="s">
        <v>106</v>
      </c>
      <c r="G46" s="300" t="s">
        <v>107</v>
      </c>
      <c r="H46" s="364"/>
      <c r="I46" s="300" t="s">
        <v>105</v>
      </c>
      <c r="J46" s="300" t="s">
        <v>106</v>
      </c>
      <c r="K46" s="300" t="s">
        <v>107</v>
      </c>
      <c r="L46" s="364"/>
      <c r="M46" s="357"/>
      <c r="N46" s="361"/>
      <c r="O46" s="361"/>
      <c r="P46" s="300" t="s">
        <v>105</v>
      </c>
      <c r="Q46" s="300" t="s">
        <v>106</v>
      </c>
      <c r="R46" s="300" t="s">
        <v>107</v>
      </c>
      <c r="S46" s="300" t="s">
        <v>100</v>
      </c>
      <c r="T46" s="361"/>
      <c r="U46" s="300" t="s">
        <v>105</v>
      </c>
      <c r="V46" s="300" t="s">
        <v>106</v>
      </c>
      <c r="W46" s="300" t="s">
        <v>107</v>
      </c>
      <c r="X46" s="300" t="s">
        <v>100</v>
      </c>
      <c r="Y46" s="361"/>
      <c r="Z46" s="300" t="s">
        <v>105</v>
      </c>
      <c r="AA46" s="300" t="s">
        <v>106</v>
      </c>
      <c r="AB46" s="300" t="s">
        <v>107</v>
      </c>
      <c r="AC46" s="300" t="s">
        <v>100</v>
      </c>
      <c r="AD46" s="361"/>
      <c r="AE46" s="300" t="s">
        <v>105</v>
      </c>
      <c r="AF46" s="300" t="s">
        <v>106</v>
      </c>
      <c r="AG46" s="300" t="s">
        <v>107</v>
      </c>
      <c r="AH46" s="300" t="s">
        <v>100</v>
      </c>
      <c r="AI46" s="361"/>
      <c r="AJ46" s="300" t="s">
        <v>105</v>
      </c>
      <c r="AK46" s="300" t="s">
        <v>106</v>
      </c>
      <c r="AL46" s="300" t="s">
        <v>107</v>
      </c>
      <c r="AM46" s="300" t="s">
        <v>100</v>
      </c>
      <c r="AN46" s="361"/>
      <c r="AO46" s="300" t="s">
        <v>105</v>
      </c>
      <c r="AP46" s="300" t="s">
        <v>106</v>
      </c>
      <c r="AQ46" s="300" t="s">
        <v>107</v>
      </c>
      <c r="AR46" s="300" t="s">
        <v>100</v>
      </c>
      <c r="AS46" s="361"/>
      <c r="AT46" s="300" t="s">
        <v>105</v>
      </c>
      <c r="AU46" s="300" t="s">
        <v>106</v>
      </c>
      <c r="AV46" s="300" t="s">
        <v>107</v>
      </c>
      <c r="AW46" s="300" t="s">
        <v>100</v>
      </c>
      <c r="AX46" s="361"/>
    </row>
    <row r="47" spans="2:50">
      <c r="B47" s="361" t="s">
        <v>84</v>
      </c>
      <c r="C47" s="301">
        <v>1</v>
      </c>
      <c r="D47" s="301" t="s">
        <v>134</v>
      </c>
      <c r="E47" s="302">
        <f>VLOOKUP(D47,'[1]0801-0804產線配置圖'!$A$2:$C$25,2,0)</f>
        <v>12</v>
      </c>
      <c r="F47" s="302">
        <f>VLOOKUP(D47,'[1]0801-0804產線配置圖'!$A$2:$C$25,3,0)</f>
        <v>1714</v>
      </c>
      <c r="G47" s="303">
        <f>F47/E47</f>
        <v>142.83333333333334</v>
      </c>
      <c r="H47" s="375">
        <f>AVERAGE(G47:G61)</f>
        <v>152.15656565656568</v>
      </c>
      <c r="I47" s="302">
        <f>AVERAGE(P47,U47,Z47,AE47,AJ47,AO47,AT47)</f>
        <v>12.857142857142858</v>
      </c>
      <c r="J47" s="302">
        <f>AVERAGE(Q47,V47,AA47,AF47,AK47,AP47,AU47)</f>
        <v>1290.2857142857142</v>
      </c>
      <c r="K47" s="303">
        <f>AVERAGE(R47,W47,AB47,AG47,AL47,AQ47,AV47)</f>
        <v>100.31043956043956</v>
      </c>
      <c r="L47" s="375">
        <f>IFERROR(AVERAGE(K47:K61),"-")</f>
        <v>109.02822970680114</v>
      </c>
      <c r="M47" s="302">
        <f>RANK(K47, K$47:$K$61)</f>
        <v>3</v>
      </c>
      <c r="N47" s="361"/>
      <c r="O47" s="361"/>
      <c r="P47" s="301">
        <v>13</v>
      </c>
      <c r="Q47" s="301">
        <v>1487</v>
      </c>
      <c r="R47" s="303">
        <f>Q47/P47</f>
        <v>114.38461538461539</v>
      </c>
      <c r="S47" s="301">
        <f>RANK(R47, $R$47:$R$49)</f>
        <v>1</v>
      </c>
      <c r="T47" s="373">
        <f>AVERAGE(R47:R61)</f>
        <v>108.3901098901099</v>
      </c>
      <c r="U47" s="301">
        <v>13</v>
      </c>
      <c r="V47" s="301">
        <v>1256</v>
      </c>
      <c r="W47" s="303">
        <f>V47/U47</f>
        <v>96.615384615384613</v>
      </c>
      <c r="X47" s="301">
        <f>RANK(W47, $W$47:$W$49)</f>
        <v>3</v>
      </c>
      <c r="Y47" s="373">
        <f>AVERAGE(W47:W61)</f>
        <v>110.87179487179488</v>
      </c>
      <c r="Z47" s="301">
        <v>13</v>
      </c>
      <c r="AA47" s="301">
        <v>1327</v>
      </c>
      <c r="AB47" s="303">
        <f>AA47/Z47</f>
        <v>102.07692307692308</v>
      </c>
      <c r="AC47" s="301">
        <f>RANK(AB47, $AB$47:$AB$49)</f>
        <v>3</v>
      </c>
      <c r="AD47" s="373">
        <f>AVERAGE(AB47:AB61)</f>
        <v>111.02564102564104</v>
      </c>
      <c r="AE47" s="301">
        <v>12</v>
      </c>
      <c r="AF47" s="301">
        <v>1155</v>
      </c>
      <c r="AG47" s="303">
        <f>AF47/AE47</f>
        <v>96.25</v>
      </c>
      <c r="AH47" s="301">
        <f>RANK(AG47,$AG$47:$AG$49)</f>
        <v>2</v>
      </c>
      <c r="AI47" s="373">
        <f>AVERAGE(AG47:AG61)</f>
        <v>103.95707070707071</v>
      </c>
      <c r="AJ47" s="301">
        <v>13</v>
      </c>
      <c r="AK47" s="301">
        <v>1381</v>
      </c>
      <c r="AL47" s="303">
        <f>AK47/AJ47</f>
        <v>106.23076923076923</v>
      </c>
      <c r="AM47" s="301">
        <f>RANK(AL47, $AL$47:$AL$49)</f>
        <v>2</v>
      </c>
      <c r="AN47" s="373">
        <f>AVERAGE(AL47:AL61)</f>
        <v>110.94871794871796</v>
      </c>
      <c r="AO47" s="301">
        <v>13</v>
      </c>
      <c r="AP47" s="301">
        <v>1233</v>
      </c>
      <c r="AQ47" s="303">
        <f>AP47/AO47</f>
        <v>94.84615384615384</v>
      </c>
      <c r="AR47" s="301">
        <f>RANK(AQ47,$AQ$47:$AQ$49)</f>
        <v>3</v>
      </c>
      <c r="AS47" s="373">
        <f>AVERAGE(AQ47:AQ61)</f>
        <v>113.02564102564104</v>
      </c>
      <c r="AT47" s="301">
        <v>13</v>
      </c>
      <c r="AU47" s="301">
        <v>1193</v>
      </c>
      <c r="AV47" s="303">
        <f>AU47/AT47</f>
        <v>91.769230769230774</v>
      </c>
      <c r="AW47" s="301">
        <f>RANK(AV47,$AV$47:$AV$49)</f>
        <v>3</v>
      </c>
      <c r="AX47" s="373">
        <f>AVERAGE(AV47:AV61)</f>
        <v>104.97863247863246</v>
      </c>
    </row>
    <row r="48" spans="2:50">
      <c r="B48" s="354"/>
      <c r="C48" s="301">
        <v>2</v>
      </c>
      <c r="D48" s="301" t="s">
        <v>135</v>
      </c>
      <c r="E48" s="302">
        <f>VLOOKUP(D48,'[1]0801-0804產線配置圖'!$A$2:$C$25,2,0)</f>
        <v>11</v>
      </c>
      <c r="F48" s="302">
        <f>VLOOKUP(D48,'[1]0801-0804產線配置圖'!$A$2:$C$25,3,0)</f>
        <v>1800</v>
      </c>
      <c r="G48" s="303">
        <f t="shared" ref="G48:G49" si="33">F48/E48</f>
        <v>163.63636363636363</v>
      </c>
      <c r="H48" s="376"/>
      <c r="I48" s="302">
        <f t="shared" ref="I48:K49" si="34">AVERAGE(P48,U48,Z48,AE48,AJ48,AO48,AT48)</f>
        <v>12.714285714285714</v>
      </c>
      <c r="J48" s="302">
        <f t="shared" si="34"/>
        <v>1477.4285714285713</v>
      </c>
      <c r="K48" s="303">
        <f t="shared" si="34"/>
        <v>116.2743328100471</v>
      </c>
      <c r="L48" s="376"/>
      <c r="M48" s="302">
        <f>RANK(K48, K$47:$K$61)</f>
        <v>1</v>
      </c>
      <c r="N48" s="361"/>
      <c r="O48" s="361"/>
      <c r="P48" s="301">
        <v>14</v>
      </c>
      <c r="Q48" s="301">
        <v>1523</v>
      </c>
      <c r="R48" s="303">
        <f t="shared" ref="R48:R49" si="35">Q48/P48</f>
        <v>108.78571428571429</v>
      </c>
      <c r="S48" s="301">
        <f t="shared" ref="S48:S49" si="36">RANK(R48, $R$47:$R$49)</f>
        <v>2</v>
      </c>
      <c r="T48" s="373"/>
      <c r="U48" s="301">
        <v>12</v>
      </c>
      <c r="V48" s="301">
        <v>1365</v>
      </c>
      <c r="W48" s="303">
        <f t="shared" ref="W48:W49" si="37">V48/U48</f>
        <v>113.75</v>
      </c>
      <c r="X48" s="301">
        <f t="shared" ref="X48:X49" si="38">RANK(W48, $W$47:$W$49)</f>
        <v>2</v>
      </c>
      <c r="Y48" s="373"/>
      <c r="Z48" s="301">
        <v>13</v>
      </c>
      <c r="AA48" s="301">
        <v>1673</v>
      </c>
      <c r="AB48" s="303">
        <f t="shared" ref="AB48:AB49" si="39">AA48/Z48</f>
        <v>128.69230769230768</v>
      </c>
      <c r="AC48" s="301">
        <f t="shared" ref="AC48:AC49" si="40">RANK(AB48, $AB$47:$AB$49)</f>
        <v>1</v>
      </c>
      <c r="AD48" s="373"/>
      <c r="AE48" s="301">
        <v>12</v>
      </c>
      <c r="AF48" s="301">
        <v>1454</v>
      </c>
      <c r="AG48" s="303">
        <f t="shared" ref="AG48:AG49" si="41">AF48/AE48</f>
        <v>121.16666666666667</v>
      </c>
      <c r="AH48" s="301">
        <f t="shared" ref="AH48:AH49" si="42">RANK(AG48,$AG$47:$AG$49)</f>
        <v>1</v>
      </c>
      <c r="AI48" s="373"/>
      <c r="AJ48" s="301">
        <v>13</v>
      </c>
      <c r="AK48" s="301">
        <v>1359</v>
      </c>
      <c r="AL48" s="303">
        <f t="shared" ref="AL48:AL49" si="43">AK48/AJ48</f>
        <v>104.53846153846153</v>
      </c>
      <c r="AM48" s="301">
        <f t="shared" ref="AM48:AM49" si="44">RANK(AL48, $AL$47:$AL$49)</f>
        <v>3</v>
      </c>
      <c r="AN48" s="373"/>
      <c r="AO48" s="301">
        <v>13</v>
      </c>
      <c r="AP48" s="301">
        <v>1614</v>
      </c>
      <c r="AQ48" s="303">
        <f t="shared" ref="AQ48:AQ49" si="45">AP48/AO48</f>
        <v>124.15384615384616</v>
      </c>
      <c r="AR48" s="301" t="e">
        <f t="shared" ref="AR48:AR49" si="46">RANK(AQ48, $AL$47:$AL$49)</f>
        <v>#N/A</v>
      </c>
      <c r="AS48" s="373"/>
      <c r="AT48" s="301">
        <v>12</v>
      </c>
      <c r="AU48" s="301">
        <v>1354</v>
      </c>
      <c r="AV48" s="303">
        <f t="shared" ref="AV48:AV49" si="47">AU48/AT48</f>
        <v>112.83333333333333</v>
      </c>
      <c r="AW48" s="301">
        <f t="shared" ref="AW48:AW49" si="48">RANK(AV48,$AV$47:$AV$49)</f>
        <v>1</v>
      </c>
      <c r="AX48" s="373"/>
    </row>
    <row r="49" spans="2:50">
      <c r="B49" s="354"/>
      <c r="C49" s="301">
        <v>3</v>
      </c>
      <c r="D49" s="301" t="s">
        <v>136</v>
      </c>
      <c r="E49" s="302">
        <f>VLOOKUP(D49,'[1]0801-0804產線配置圖'!$A$2:$C$25,2,0)</f>
        <v>10</v>
      </c>
      <c r="F49" s="302">
        <f>VLOOKUP(D49,'[1]0801-0804產線配置圖'!$A$2:$C$25,3,0)</f>
        <v>1500</v>
      </c>
      <c r="G49" s="303">
        <f t="shared" si="33"/>
        <v>150</v>
      </c>
      <c r="H49" s="376"/>
      <c r="I49" s="302">
        <f t="shared" si="34"/>
        <v>12.285714285714286</v>
      </c>
      <c r="J49" s="302">
        <f t="shared" si="34"/>
        <v>1361.7142857142858</v>
      </c>
      <c r="K49" s="303">
        <f t="shared" si="34"/>
        <v>110.49991674991676</v>
      </c>
      <c r="L49" s="376"/>
      <c r="M49" s="302">
        <f>RANK(K49, K$47:$K$61)</f>
        <v>2</v>
      </c>
      <c r="N49" s="361"/>
      <c r="O49" s="361"/>
      <c r="P49" s="301">
        <v>12</v>
      </c>
      <c r="Q49" s="301">
        <v>1224</v>
      </c>
      <c r="R49" s="303">
        <f t="shared" si="35"/>
        <v>102</v>
      </c>
      <c r="S49" s="301">
        <f t="shared" si="36"/>
        <v>3</v>
      </c>
      <c r="T49" s="373"/>
      <c r="U49" s="301">
        <v>12</v>
      </c>
      <c r="V49" s="301">
        <v>1467</v>
      </c>
      <c r="W49" s="303">
        <f t="shared" si="37"/>
        <v>122.25</v>
      </c>
      <c r="X49" s="301">
        <f t="shared" si="38"/>
        <v>1</v>
      </c>
      <c r="Y49" s="373"/>
      <c r="Z49" s="301">
        <v>13</v>
      </c>
      <c r="AA49" s="301">
        <v>1330</v>
      </c>
      <c r="AB49" s="303">
        <f t="shared" si="39"/>
        <v>102.30769230769231</v>
      </c>
      <c r="AC49" s="301">
        <f t="shared" si="40"/>
        <v>2</v>
      </c>
      <c r="AD49" s="373"/>
      <c r="AE49" s="301">
        <v>11</v>
      </c>
      <c r="AF49" s="301">
        <v>1039</v>
      </c>
      <c r="AG49" s="303">
        <f t="shared" si="41"/>
        <v>94.454545454545453</v>
      </c>
      <c r="AH49" s="301">
        <f t="shared" si="42"/>
        <v>3</v>
      </c>
      <c r="AI49" s="373"/>
      <c r="AJ49" s="301">
        <v>13</v>
      </c>
      <c r="AK49" s="301">
        <v>1587</v>
      </c>
      <c r="AL49" s="303">
        <f t="shared" si="43"/>
        <v>122.07692307692308</v>
      </c>
      <c r="AM49" s="301">
        <f t="shared" si="44"/>
        <v>1</v>
      </c>
      <c r="AN49" s="373"/>
      <c r="AO49" s="301">
        <v>13</v>
      </c>
      <c r="AP49" s="301">
        <v>1561</v>
      </c>
      <c r="AQ49" s="303">
        <f t="shared" si="45"/>
        <v>120.07692307692308</v>
      </c>
      <c r="AR49" s="301" t="e">
        <f t="shared" si="46"/>
        <v>#N/A</v>
      </c>
      <c r="AS49" s="373"/>
      <c r="AT49" s="301">
        <v>12</v>
      </c>
      <c r="AU49" s="301">
        <v>1324</v>
      </c>
      <c r="AV49" s="303">
        <f t="shared" si="47"/>
        <v>110.33333333333333</v>
      </c>
      <c r="AW49" s="301">
        <f t="shared" si="48"/>
        <v>2</v>
      </c>
      <c r="AX49" s="373"/>
    </row>
    <row r="50" spans="2:50">
      <c r="B50" s="354"/>
      <c r="C50" s="301">
        <v>4</v>
      </c>
      <c r="D50" s="301"/>
      <c r="E50" s="302"/>
      <c r="F50" s="302"/>
      <c r="G50" s="303"/>
      <c r="H50" s="376"/>
      <c r="I50" s="302"/>
      <c r="J50" s="302"/>
      <c r="K50" s="303"/>
      <c r="L50" s="376"/>
      <c r="M50" s="302"/>
      <c r="N50" s="361"/>
      <c r="O50" s="361"/>
      <c r="P50" s="301"/>
      <c r="Q50" s="301"/>
      <c r="R50" s="301"/>
      <c r="S50" s="301"/>
      <c r="T50" s="373"/>
      <c r="U50" s="301"/>
      <c r="V50" s="301"/>
      <c r="W50" s="301"/>
      <c r="X50" s="301"/>
      <c r="Y50" s="373"/>
      <c r="Z50" s="301"/>
      <c r="AA50" s="301"/>
      <c r="AB50" s="301"/>
      <c r="AC50" s="301"/>
      <c r="AD50" s="373"/>
      <c r="AE50" s="301"/>
      <c r="AF50" s="301"/>
      <c r="AG50" s="301"/>
      <c r="AH50" s="301"/>
      <c r="AI50" s="373"/>
      <c r="AJ50" s="301"/>
      <c r="AK50" s="301"/>
      <c r="AL50" s="301"/>
      <c r="AM50" s="301"/>
      <c r="AN50" s="373"/>
      <c r="AO50" s="301"/>
      <c r="AP50" s="301"/>
      <c r="AQ50" s="301"/>
      <c r="AR50" s="301"/>
      <c r="AS50" s="373"/>
      <c r="AT50" s="301"/>
      <c r="AU50" s="301"/>
      <c r="AV50" s="301"/>
      <c r="AW50" s="301"/>
      <c r="AX50" s="373"/>
    </row>
    <row r="51" spans="2:50">
      <c r="B51" s="354"/>
      <c r="C51" s="301">
        <v>5</v>
      </c>
      <c r="D51" s="301"/>
      <c r="E51" s="302"/>
      <c r="F51" s="302"/>
      <c r="G51" s="303"/>
      <c r="H51" s="376"/>
      <c r="I51" s="302"/>
      <c r="J51" s="302"/>
      <c r="K51" s="303"/>
      <c r="L51" s="376"/>
      <c r="M51" s="302"/>
      <c r="N51" s="361"/>
      <c r="O51" s="361"/>
      <c r="P51" s="301"/>
      <c r="Q51" s="301"/>
      <c r="R51" s="301"/>
      <c r="S51" s="301"/>
      <c r="T51" s="373"/>
      <c r="U51" s="301"/>
      <c r="V51" s="301"/>
      <c r="W51" s="301"/>
      <c r="X51" s="301"/>
      <c r="Y51" s="373"/>
      <c r="Z51" s="301"/>
      <c r="AA51" s="301"/>
      <c r="AB51" s="301"/>
      <c r="AC51" s="301"/>
      <c r="AD51" s="373"/>
      <c r="AE51" s="301"/>
      <c r="AF51" s="301"/>
      <c r="AG51" s="301"/>
      <c r="AH51" s="301"/>
      <c r="AI51" s="373"/>
      <c r="AJ51" s="301"/>
      <c r="AK51" s="301"/>
      <c r="AL51" s="301"/>
      <c r="AM51" s="301"/>
      <c r="AN51" s="373"/>
      <c r="AO51" s="301"/>
      <c r="AP51" s="301"/>
      <c r="AQ51" s="301"/>
      <c r="AR51" s="301"/>
      <c r="AS51" s="373"/>
      <c r="AT51" s="301"/>
      <c r="AU51" s="301"/>
      <c r="AV51" s="301"/>
      <c r="AW51" s="301"/>
      <c r="AX51" s="373"/>
    </row>
    <row r="52" spans="2:50">
      <c r="B52" s="354"/>
      <c r="C52" s="301">
        <v>6</v>
      </c>
      <c r="D52" s="301"/>
      <c r="E52" s="302"/>
      <c r="F52" s="302"/>
      <c r="G52" s="303"/>
      <c r="H52" s="376"/>
      <c r="I52" s="302"/>
      <c r="J52" s="302"/>
      <c r="K52" s="303"/>
      <c r="L52" s="376"/>
      <c r="M52" s="302"/>
      <c r="N52" s="361"/>
      <c r="O52" s="361"/>
      <c r="P52" s="301"/>
      <c r="Q52" s="301"/>
      <c r="R52" s="301"/>
      <c r="S52" s="301"/>
      <c r="T52" s="373"/>
      <c r="U52" s="301"/>
      <c r="V52" s="301"/>
      <c r="W52" s="301"/>
      <c r="X52" s="301"/>
      <c r="Y52" s="373"/>
      <c r="Z52" s="301"/>
      <c r="AA52" s="301"/>
      <c r="AB52" s="301"/>
      <c r="AC52" s="301"/>
      <c r="AD52" s="373"/>
      <c r="AE52" s="301"/>
      <c r="AF52" s="301"/>
      <c r="AG52" s="301"/>
      <c r="AH52" s="301"/>
      <c r="AI52" s="373"/>
      <c r="AJ52" s="301"/>
      <c r="AK52" s="301"/>
      <c r="AL52" s="301"/>
      <c r="AM52" s="301"/>
      <c r="AN52" s="373"/>
      <c r="AO52" s="301"/>
      <c r="AP52" s="301"/>
      <c r="AQ52" s="301"/>
      <c r="AR52" s="301"/>
      <c r="AS52" s="373"/>
      <c r="AT52" s="301"/>
      <c r="AU52" s="301"/>
      <c r="AV52" s="301"/>
      <c r="AW52" s="301"/>
      <c r="AX52" s="373"/>
    </row>
    <row r="53" spans="2:50">
      <c r="B53" s="354"/>
      <c r="C53" s="301">
        <v>7</v>
      </c>
      <c r="D53" s="301"/>
      <c r="E53" s="302"/>
      <c r="F53" s="302"/>
      <c r="G53" s="303"/>
      <c r="H53" s="376"/>
      <c r="I53" s="302"/>
      <c r="J53" s="302"/>
      <c r="K53" s="303"/>
      <c r="L53" s="376"/>
      <c r="M53" s="302"/>
      <c r="N53" s="361"/>
      <c r="O53" s="361"/>
      <c r="P53" s="301"/>
      <c r="Q53" s="301"/>
      <c r="R53" s="301"/>
      <c r="S53" s="301"/>
      <c r="T53" s="373"/>
      <c r="U53" s="301"/>
      <c r="V53" s="301"/>
      <c r="W53" s="301"/>
      <c r="X53" s="301"/>
      <c r="Y53" s="373"/>
      <c r="Z53" s="301"/>
      <c r="AA53" s="301"/>
      <c r="AB53" s="301"/>
      <c r="AC53" s="301"/>
      <c r="AD53" s="373"/>
      <c r="AE53" s="301"/>
      <c r="AF53" s="301"/>
      <c r="AG53" s="301"/>
      <c r="AH53" s="301"/>
      <c r="AI53" s="373"/>
      <c r="AJ53" s="301"/>
      <c r="AK53" s="301"/>
      <c r="AL53" s="301"/>
      <c r="AM53" s="301"/>
      <c r="AN53" s="373"/>
      <c r="AO53" s="301"/>
      <c r="AP53" s="301"/>
      <c r="AQ53" s="301"/>
      <c r="AR53" s="301"/>
      <c r="AS53" s="373"/>
      <c r="AT53" s="301"/>
      <c r="AU53" s="301"/>
      <c r="AV53" s="301"/>
      <c r="AW53" s="301"/>
      <c r="AX53" s="373"/>
    </row>
    <row r="54" spans="2:50">
      <c r="B54" s="354"/>
      <c r="C54" s="301">
        <v>8</v>
      </c>
      <c r="D54" s="301"/>
      <c r="E54" s="301"/>
      <c r="F54" s="301"/>
      <c r="G54" s="301"/>
      <c r="H54" s="376"/>
      <c r="I54" s="302"/>
      <c r="J54" s="302"/>
      <c r="K54" s="303"/>
      <c r="L54" s="376"/>
      <c r="M54" s="302"/>
      <c r="N54" s="361"/>
      <c r="O54" s="361"/>
      <c r="P54" s="301"/>
      <c r="Q54" s="301"/>
      <c r="R54" s="301"/>
      <c r="S54" s="301"/>
      <c r="T54" s="373"/>
      <c r="U54" s="301"/>
      <c r="V54" s="301"/>
      <c r="W54" s="301"/>
      <c r="X54" s="301"/>
      <c r="Y54" s="373"/>
      <c r="Z54" s="301"/>
      <c r="AA54" s="301"/>
      <c r="AB54" s="301"/>
      <c r="AC54" s="301"/>
      <c r="AD54" s="373"/>
      <c r="AE54" s="301"/>
      <c r="AF54" s="301"/>
      <c r="AG54" s="301"/>
      <c r="AH54" s="301"/>
      <c r="AI54" s="373"/>
      <c r="AJ54" s="301"/>
      <c r="AK54" s="301"/>
      <c r="AL54" s="301"/>
      <c r="AM54" s="301"/>
      <c r="AN54" s="373"/>
      <c r="AO54" s="301"/>
      <c r="AP54" s="301"/>
      <c r="AQ54" s="301"/>
      <c r="AR54" s="301"/>
      <c r="AS54" s="373"/>
      <c r="AT54" s="301"/>
      <c r="AU54" s="301"/>
      <c r="AV54" s="301"/>
      <c r="AW54" s="301"/>
      <c r="AX54" s="373"/>
    </row>
    <row r="55" spans="2:50">
      <c r="B55" s="354"/>
      <c r="C55" s="301">
        <v>9</v>
      </c>
      <c r="D55" s="301"/>
      <c r="E55" s="301"/>
      <c r="F55" s="301"/>
      <c r="G55" s="301"/>
      <c r="H55" s="376"/>
      <c r="I55" s="302"/>
      <c r="J55" s="302"/>
      <c r="K55" s="303"/>
      <c r="L55" s="376"/>
      <c r="M55" s="302"/>
      <c r="N55" s="361"/>
      <c r="O55" s="361"/>
      <c r="P55" s="301"/>
      <c r="Q55" s="301"/>
      <c r="R55" s="301"/>
      <c r="S55" s="301"/>
      <c r="T55" s="373"/>
      <c r="U55" s="301"/>
      <c r="V55" s="301"/>
      <c r="W55" s="301"/>
      <c r="X55" s="301"/>
      <c r="Y55" s="373"/>
      <c r="Z55" s="301"/>
      <c r="AA55" s="301"/>
      <c r="AB55" s="301"/>
      <c r="AC55" s="301"/>
      <c r="AD55" s="373"/>
      <c r="AE55" s="301"/>
      <c r="AF55" s="301"/>
      <c r="AG55" s="301"/>
      <c r="AH55" s="301"/>
      <c r="AI55" s="373"/>
      <c r="AJ55" s="301"/>
      <c r="AK55" s="301"/>
      <c r="AL55" s="301"/>
      <c r="AM55" s="301"/>
      <c r="AN55" s="373"/>
      <c r="AO55" s="301"/>
      <c r="AP55" s="301"/>
      <c r="AQ55" s="301"/>
      <c r="AR55" s="301"/>
      <c r="AS55" s="373"/>
      <c r="AT55" s="301"/>
      <c r="AU55" s="301"/>
      <c r="AV55" s="301"/>
      <c r="AW55" s="301"/>
      <c r="AX55" s="373"/>
    </row>
    <row r="56" spans="2:50">
      <c r="B56" s="354"/>
      <c r="C56" s="301">
        <v>10</v>
      </c>
      <c r="D56" s="301"/>
      <c r="E56" s="301"/>
      <c r="F56" s="301"/>
      <c r="G56" s="301"/>
      <c r="H56" s="376"/>
      <c r="I56" s="302"/>
      <c r="J56" s="302"/>
      <c r="K56" s="303"/>
      <c r="L56" s="376"/>
      <c r="M56" s="302"/>
      <c r="N56" s="361"/>
      <c r="O56" s="361"/>
      <c r="P56" s="301"/>
      <c r="Q56" s="301"/>
      <c r="R56" s="301"/>
      <c r="S56" s="301"/>
      <c r="T56" s="373"/>
      <c r="U56" s="301"/>
      <c r="V56" s="301"/>
      <c r="W56" s="301"/>
      <c r="X56" s="301"/>
      <c r="Y56" s="373"/>
      <c r="Z56" s="301"/>
      <c r="AA56" s="301"/>
      <c r="AB56" s="301"/>
      <c r="AC56" s="301"/>
      <c r="AD56" s="373"/>
      <c r="AE56" s="301"/>
      <c r="AF56" s="301"/>
      <c r="AG56" s="301"/>
      <c r="AH56" s="301"/>
      <c r="AI56" s="373"/>
      <c r="AJ56" s="301"/>
      <c r="AK56" s="301"/>
      <c r="AL56" s="301"/>
      <c r="AM56" s="301"/>
      <c r="AN56" s="373"/>
      <c r="AO56" s="301"/>
      <c r="AP56" s="301"/>
      <c r="AQ56" s="301"/>
      <c r="AR56" s="301"/>
      <c r="AS56" s="373"/>
      <c r="AT56" s="301"/>
      <c r="AU56" s="301"/>
      <c r="AV56" s="301"/>
      <c r="AW56" s="301"/>
      <c r="AX56" s="373"/>
    </row>
    <row r="57" spans="2:50">
      <c r="B57" s="354"/>
      <c r="C57" s="301">
        <v>11</v>
      </c>
      <c r="D57" s="301"/>
      <c r="E57" s="301"/>
      <c r="F57" s="301"/>
      <c r="G57" s="301"/>
      <c r="H57" s="376"/>
      <c r="I57" s="302"/>
      <c r="J57" s="302"/>
      <c r="K57" s="303"/>
      <c r="L57" s="376"/>
      <c r="M57" s="302"/>
      <c r="N57" s="361"/>
      <c r="O57" s="361"/>
      <c r="P57" s="301"/>
      <c r="Q57" s="301"/>
      <c r="R57" s="301"/>
      <c r="S57" s="301"/>
      <c r="T57" s="373"/>
      <c r="U57" s="301"/>
      <c r="V57" s="301"/>
      <c r="W57" s="301"/>
      <c r="X57" s="301"/>
      <c r="Y57" s="373"/>
      <c r="Z57" s="301"/>
      <c r="AA57" s="301"/>
      <c r="AB57" s="301"/>
      <c r="AC57" s="301"/>
      <c r="AD57" s="373"/>
      <c r="AE57" s="301"/>
      <c r="AF57" s="301"/>
      <c r="AG57" s="301"/>
      <c r="AH57" s="301"/>
      <c r="AI57" s="373"/>
      <c r="AJ57" s="301"/>
      <c r="AK57" s="301"/>
      <c r="AL57" s="301"/>
      <c r="AM57" s="301"/>
      <c r="AN57" s="373"/>
      <c r="AO57" s="301"/>
      <c r="AP57" s="301"/>
      <c r="AQ57" s="301"/>
      <c r="AR57" s="301"/>
      <c r="AS57" s="373"/>
      <c r="AT57" s="301"/>
      <c r="AU57" s="301"/>
      <c r="AV57" s="301"/>
      <c r="AW57" s="301"/>
      <c r="AX57" s="373"/>
    </row>
    <row r="58" spans="2:50">
      <c r="B58" s="354"/>
      <c r="C58" s="301">
        <v>12</v>
      </c>
      <c r="D58" s="301"/>
      <c r="E58" s="301"/>
      <c r="F58" s="301"/>
      <c r="G58" s="301"/>
      <c r="H58" s="376"/>
      <c r="I58" s="302"/>
      <c r="J58" s="302"/>
      <c r="K58" s="303"/>
      <c r="L58" s="376"/>
      <c r="M58" s="302"/>
      <c r="N58" s="361"/>
      <c r="O58" s="361"/>
      <c r="P58" s="301"/>
      <c r="Q58" s="301"/>
      <c r="R58" s="301"/>
      <c r="S58" s="301"/>
      <c r="T58" s="373"/>
      <c r="U58" s="301"/>
      <c r="V58" s="301"/>
      <c r="W58" s="301"/>
      <c r="X58" s="301"/>
      <c r="Y58" s="373"/>
      <c r="Z58" s="301"/>
      <c r="AA58" s="301"/>
      <c r="AB58" s="301"/>
      <c r="AC58" s="301"/>
      <c r="AD58" s="373"/>
      <c r="AE58" s="301"/>
      <c r="AF58" s="301"/>
      <c r="AG58" s="301"/>
      <c r="AH58" s="301"/>
      <c r="AI58" s="373"/>
      <c r="AJ58" s="301"/>
      <c r="AK58" s="301"/>
      <c r="AL58" s="301"/>
      <c r="AM58" s="301"/>
      <c r="AN58" s="373"/>
      <c r="AO58" s="301"/>
      <c r="AP58" s="301"/>
      <c r="AQ58" s="301"/>
      <c r="AR58" s="301"/>
      <c r="AS58" s="373"/>
      <c r="AT58" s="301"/>
      <c r="AU58" s="301"/>
      <c r="AV58" s="301"/>
      <c r="AW58" s="301"/>
      <c r="AX58" s="373"/>
    </row>
    <row r="59" spans="2:50">
      <c r="B59" s="354"/>
      <c r="C59" s="301">
        <v>13</v>
      </c>
      <c r="D59" s="301"/>
      <c r="E59" s="301"/>
      <c r="F59" s="301"/>
      <c r="G59" s="301"/>
      <c r="H59" s="376"/>
      <c r="I59" s="302"/>
      <c r="J59" s="302"/>
      <c r="K59" s="303"/>
      <c r="L59" s="376"/>
      <c r="M59" s="302"/>
      <c r="N59" s="361"/>
      <c r="O59" s="361"/>
      <c r="P59" s="301"/>
      <c r="Q59" s="301"/>
      <c r="R59" s="301"/>
      <c r="S59" s="301"/>
      <c r="T59" s="373"/>
      <c r="U59" s="301"/>
      <c r="V59" s="301"/>
      <c r="W59" s="301"/>
      <c r="X59" s="301"/>
      <c r="Y59" s="373"/>
      <c r="Z59" s="301"/>
      <c r="AA59" s="301"/>
      <c r="AB59" s="301"/>
      <c r="AC59" s="301"/>
      <c r="AD59" s="373"/>
      <c r="AE59" s="301"/>
      <c r="AF59" s="301"/>
      <c r="AG59" s="301"/>
      <c r="AH59" s="301"/>
      <c r="AI59" s="373"/>
      <c r="AJ59" s="301"/>
      <c r="AK59" s="301"/>
      <c r="AL59" s="301"/>
      <c r="AM59" s="301"/>
      <c r="AN59" s="373"/>
      <c r="AO59" s="301"/>
      <c r="AP59" s="301"/>
      <c r="AQ59" s="301"/>
      <c r="AR59" s="301"/>
      <c r="AS59" s="373"/>
      <c r="AT59" s="301"/>
      <c r="AU59" s="301"/>
      <c r="AV59" s="301"/>
      <c r="AW59" s="301"/>
      <c r="AX59" s="373"/>
    </row>
    <row r="60" spans="2:50">
      <c r="B60" s="354"/>
      <c r="C60" s="301">
        <v>14</v>
      </c>
      <c r="D60" s="301"/>
      <c r="E60" s="301"/>
      <c r="F60" s="301"/>
      <c r="G60" s="301"/>
      <c r="H60" s="376"/>
      <c r="I60" s="302"/>
      <c r="J60" s="302"/>
      <c r="K60" s="303"/>
      <c r="L60" s="376"/>
      <c r="M60" s="302"/>
      <c r="N60" s="361"/>
      <c r="O60" s="361"/>
      <c r="P60" s="301"/>
      <c r="Q60" s="301"/>
      <c r="R60" s="301"/>
      <c r="S60" s="301"/>
      <c r="T60" s="373"/>
      <c r="U60" s="301"/>
      <c r="V60" s="301"/>
      <c r="W60" s="301"/>
      <c r="X60" s="301"/>
      <c r="Y60" s="373"/>
      <c r="Z60" s="301"/>
      <c r="AA60" s="301"/>
      <c r="AB60" s="301"/>
      <c r="AC60" s="301"/>
      <c r="AD60" s="373"/>
      <c r="AE60" s="301"/>
      <c r="AF60" s="301"/>
      <c r="AG60" s="301"/>
      <c r="AH60" s="301"/>
      <c r="AI60" s="373"/>
      <c r="AJ60" s="301"/>
      <c r="AK60" s="301"/>
      <c r="AL60" s="301"/>
      <c r="AM60" s="301"/>
      <c r="AN60" s="373"/>
      <c r="AO60" s="301"/>
      <c r="AP60" s="301"/>
      <c r="AQ60" s="301"/>
      <c r="AR60" s="301"/>
      <c r="AS60" s="373"/>
      <c r="AT60" s="301"/>
      <c r="AU60" s="301"/>
      <c r="AV60" s="301"/>
      <c r="AW60" s="301"/>
      <c r="AX60" s="373"/>
    </row>
    <row r="61" spans="2:50">
      <c r="B61" s="354"/>
      <c r="C61" s="301">
        <v>15</v>
      </c>
      <c r="D61" s="301"/>
      <c r="E61" s="301"/>
      <c r="F61" s="301"/>
      <c r="G61" s="301"/>
      <c r="H61" s="377"/>
      <c r="I61" s="302"/>
      <c r="J61" s="302"/>
      <c r="K61" s="303"/>
      <c r="L61" s="377"/>
      <c r="M61" s="302"/>
      <c r="N61" s="361"/>
      <c r="O61" s="361"/>
      <c r="P61" s="301"/>
      <c r="Q61" s="301"/>
      <c r="R61" s="301"/>
      <c r="S61" s="301"/>
      <c r="T61" s="373"/>
      <c r="U61" s="301"/>
      <c r="V61" s="301"/>
      <c r="W61" s="301"/>
      <c r="X61" s="301"/>
      <c r="Y61" s="373"/>
      <c r="Z61" s="301"/>
      <c r="AA61" s="301"/>
      <c r="AB61" s="301"/>
      <c r="AC61" s="301"/>
      <c r="AD61" s="373"/>
      <c r="AE61" s="301"/>
      <c r="AF61" s="301"/>
      <c r="AG61" s="301"/>
      <c r="AH61" s="301"/>
      <c r="AI61" s="373"/>
      <c r="AJ61" s="301"/>
      <c r="AK61" s="301"/>
      <c r="AL61" s="301"/>
      <c r="AM61" s="301"/>
      <c r="AN61" s="373"/>
      <c r="AO61" s="301"/>
      <c r="AP61" s="301"/>
      <c r="AQ61" s="301"/>
      <c r="AR61" s="301"/>
      <c r="AS61" s="373"/>
      <c r="AT61" s="301"/>
      <c r="AU61" s="301"/>
      <c r="AV61" s="301"/>
      <c r="AW61" s="301"/>
      <c r="AX61" s="373"/>
    </row>
    <row r="62" spans="2:50" ht="15.75">
      <c r="B62" s="365" t="s">
        <v>93</v>
      </c>
      <c r="C62" s="366"/>
      <c r="D62" s="366"/>
      <c r="E62" s="366"/>
      <c r="F62" s="366"/>
      <c r="G62" s="366"/>
      <c r="H62" s="366"/>
      <c r="I62" s="307"/>
      <c r="J62" s="307"/>
      <c r="K62" s="307"/>
      <c r="L62" s="307"/>
      <c r="M62" s="308"/>
      <c r="N62" s="355" t="s">
        <v>94</v>
      </c>
      <c r="O62" s="355" t="s">
        <v>52</v>
      </c>
      <c r="P62" s="368">
        <v>45888</v>
      </c>
      <c r="Q62" s="354"/>
      <c r="R62" s="354"/>
      <c r="S62" s="354"/>
      <c r="T62" s="354"/>
      <c r="U62" s="368">
        <v>45889</v>
      </c>
      <c r="V62" s="354"/>
      <c r="W62" s="354"/>
      <c r="X62" s="354"/>
      <c r="Y62" s="354"/>
      <c r="Z62" s="368">
        <v>45890</v>
      </c>
      <c r="AA62" s="354"/>
      <c r="AB62" s="354"/>
      <c r="AC62" s="354"/>
      <c r="AD62" s="354"/>
      <c r="AE62" s="368">
        <v>45891</v>
      </c>
      <c r="AF62" s="354"/>
      <c r="AG62" s="354"/>
      <c r="AH62" s="354"/>
      <c r="AI62" s="354"/>
      <c r="AJ62" s="368">
        <v>45892</v>
      </c>
      <c r="AK62" s="354"/>
      <c r="AL62" s="354"/>
      <c r="AM62" s="354"/>
      <c r="AN62" s="354"/>
      <c r="AO62" s="368">
        <v>45893</v>
      </c>
      <c r="AP62" s="354"/>
      <c r="AQ62" s="354"/>
      <c r="AR62" s="354"/>
      <c r="AS62" s="354"/>
      <c r="AT62" s="368">
        <v>45894</v>
      </c>
      <c r="AU62" s="354"/>
      <c r="AV62" s="354"/>
      <c r="AW62" s="354"/>
      <c r="AX62" s="354"/>
    </row>
    <row r="63" spans="2:50" ht="15.75">
      <c r="B63" s="367"/>
      <c r="C63" s="367"/>
      <c r="D63" s="367"/>
      <c r="E63" s="367"/>
      <c r="F63" s="367"/>
      <c r="G63" s="367"/>
      <c r="H63" s="367"/>
      <c r="I63" s="297"/>
      <c r="J63" s="297"/>
      <c r="K63" s="297"/>
      <c r="L63" s="297"/>
      <c r="M63" s="298"/>
      <c r="N63" s="357"/>
      <c r="O63" s="357"/>
      <c r="P63" s="368" t="s">
        <v>66</v>
      </c>
      <c r="Q63" s="354"/>
      <c r="R63" s="354"/>
      <c r="S63" s="354"/>
      <c r="T63" s="354"/>
      <c r="U63" s="368" t="s">
        <v>67</v>
      </c>
      <c r="V63" s="354"/>
      <c r="W63" s="354"/>
      <c r="X63" s="354"/>
      <c r="Y63" s="354"/>
      <c r="Z63" s="368" t="s">
        <v>68</v>
      </c>
      <c r="AA63" s="354"/>
      <c r="AB63" s="354"/>
      <c r="AC63" s="354"/>
      <c r="AD63" s="354"/>
      <c r="AE63" s="368" t="s">
        <v>63</v>
      </c>
      <c r="AF63" s="354"/>
      <c r="AG63" s="354"/>
      <c r="AH63" s="354"/>
      <c r="AI63" s="354"/>
      <c r="AJ63" s="368" t="s">
        <v>64</v>
      </c>
      <c r="AK63" s="354"/>
      <c r="AL63" s="354"/>
      <c r="AM63" s="354"/>
      <c r="AN63" s="354"/>
      <c r="AO63" s="368" t="s">
        <v>59</v>
      </c>
      <c r="AP63" s="354"/>
      <c r="AQ63" s="354"/>
      <c r="AR63" s="354"/>
      <c r="AS63" s="354"/>
      <c r="AT63" s="368" t="s">
        <v>65</v>
      </c>
      <c r="AU63" s="354"/>
      <c r="AV63" s="354"/>
      <c r="AW63" s="354"/>
      <c r="AX63" s="354"/>
    </row>
    <row r="64" spans="2:50">
      <c r="B64" s="361" t="s">
        <v>95</v>
      </c>
      <c r="C64" s="361" t="s">
        <v>96</v>
      </c>
      <c r="D64" s="361"/>
      <c r="E64" s="361" t="s">
        <v>97</v>
      </c>
      <c r="F64" s="361"/>
      <c r="G64" s="361"/>
      <c r="H64" s="362" t="s">
        <v>98</v>
      </c>
      <c r="I64" s="361" t="s">
        <v>99</v>
      </c>
      <c r="J64" s="361"/>
      <c r="K64" s="361"/>
      <c r="L64" s="362" t="s">
        <v>98</v>
      </c>
      <c r="M64" s="355" t="s">
        <v>100</v>
      </c>
      <c r="N64" s="361"/>
      <c r="O64" s="361" t="s">
        <v>101</v>
      </c>
      <c r="P64" s="358" t="s">
        <v>102</v>
      </c>
      <c r="Q64" s="359"/>
      <c r="R64" s="359"/>
      <c r="S64" s="360"/>
      <c r="T64" s="361" t="s">
        <v>98</v>
      </c>
      <c r="U64" s="358" t="s">
        <v>102</v>
      </c>
      <c r="V64" s="359"/>
      <c r="W64" s="359"/>
      <c r="X64" s="360"/>
      <c r="Y64" s="361" t="s">
        <v>98</v>
      </c>
      <c r="Z64" s="358" t="s">
        <v>102</v>
      </c>
      <c r="AA64" s="359"/>
      <c r="AB64" s="359"/>
      <c r="AC64" s="360"/>
      <c r="AD64" s="361" t="s">
        <v>98</v>
      </c>
      <c r="AE64" s="358" t="s">
        <v>102</v>
      </c>
      <c r="AF64" s="359"/>
      <c r="AG64" s="359"/>
      <c r="AH64" s="360"/>
      <c r="AI64" s="361" t="s">
        <v>98</v>
      </c>
      <c r="AJ64" s="358" t="s">
        <v>102</v>
      </c>
      <c r="AK64" s="359"/>
      <c r="AL64" s="359"/>
      <c r="AM64" s="360"/>
      <c r="AN64" s="361" t="s">
        <v>98</v>
      </c>
      <c r="AO64" s="358" t="s">
        <v>102</v>
      </c>
      <c r="AP64" s="359"/>
      <c r="AQ64" s="359"/>
      <c r="AR64" s="360"/>
      <c r="AS64" s="361" t="s">
        <v>98</v>
      </c>
      <c r="AT64" s="358" t="s">
        <v>102</v>
      </c>
      <c r="AU64" s="359"/>
      <c r="AV64" s="359"/>
      <c r="AW64" s="360"/>
      <c r="AX64" s="361" t="s">
        <v>98</v>
      </c>
    </row>
    <row r="65" spans="2:50">
      <c r="B65" s="361"/>
      <c r="C65" s="361"/>
      <c r="D65" s="361"/>
      <c r="E65" s="361" t="s">
        <v>103</v>
      </c>
      <c r="F65" s="361"/>
      <c r="G65" s="361"/>
      <c r="H65" s="363"/>
      <c r="I65" s="361" t="s">
        <v>103</v>
      </c>
      <c r="J65" s="361"/>
      <c r="K65" s="361"/>
      <c r="L65" s="363"/>
      <c r="M65" s="356"/>
      <c r="N65" s="361"/>
      <c r="O65" s="361"/>
      <c r="P65" s="358" t="s">
        <v>104</v>
      </c>
      <c r="Q65" s="359"/>
      <c r="R65" s="359"/>
      <c r="S65" s="360"/>
      <c r="T65" s="361"/>
      <c r="U65" s="358" t="s">
        <v>104</v>
      </c>
      <c r="V65" s="359"/>
      <c r="W65" s="359"/>
      <c r="X65" s="360"/>
      <c r="Y65" s="361"/>
      <c r="Z65" s="358" t="s">
        <v>104</v>
      </c>
      <c r="AA65" s="359"/>
      <c r="AB65" s="359"/>
      <c r="AC65" s="360"/>
      <c r="AD65" s="361"/>
      <c r="AE65" s="358" t="s">
        <v>104</v>
      </c>
      <c r="AF65" s="359"/>
      <c r="AG65" s="359"/>
      <c r="AH65" s="360"/>
      <c r="AI65" s="361"/>
      <c r="AJ65" s="358" t="s">
        <v>104</v>
      </c>
      <c r="AK65" s="359"/>
      <c r="AL65" s="359"/>
      <c r="AM65" s="360"/>
      <c r="AN65" s="361"/>
      <c r="AO65" s="358" t="s">
        <v>104</v>
      </c>
      <c r="AP65" s="359"/>
      <c r="AQ65" s="359"/>
      <c r="AR65" s="360"/>
      <c r="AS65" s="361"/>
      <c r="AT65" s="358" t="s">
        <v>104</v>
      </c>
      <c r="AU65" s="359"/>
      <c r="AV65" s="359"/>
      <c r="AW65" s="360"/>
      <c r="AX65" s="361"/>
    </row>
    <row r="66" spans="2:50">
      <c r="B66" s="361"/>
      <c r="C66" s="361"/>
      <c r="D66" s="361"/>
      <c r="E66" s="300" t="s">
        <v>105</v>
      </c>
      <c r="F66" s="300" t="s">
        <v>106</v>
      </c>
      <c r="G66" s="300" t="s">
        <v>107</v>
      </c>
      <c r="H66" s="364"/>
      <c r="I66" s="300" t="s">
        <v>105</v>
      </c>
      <c r="J66" s="300" t="s">
        <v>106</v>
      </c>
      <c r="K66" s="300" t="s">
        <v>107</v>
      </c>
      <c r="L66" s="364"/>
      <c r="M66" s="357"/>
      <c r="N66" s="361"/>
      <c r="O66" s="361"/>
      <c r="P66" s="300" t="s">
        <v>105</v>
      </c>
      <c r="Q66" s="300" t="s">
        <v>106</v>
      </c>
      <c r="R66" s="300" t="s">
        <v>107</v>
      </c>
      <c r="S66" s="300" t="s">
        <v>100</v>
      </c>
      <c r="T66" s="361"/>
      <c r="U66" s="300" t="s">
        <v>105</v>
      </c>
      <c r="V66" s="300" t="s">
        <v>106</v>
      </c>
      <c r="W66" s="300" t="s">
        <v>107</v>
      </c>
      <c r="X66" s="300" t="s">
        <v>100</v>
      </c>
      <c r="Y66" s="361"/>
      <c r="Z66" s="300" t="s">
        <v>105</v>
      </c>
      <c r="AA66" s="300" t="s">
        <v>106</v>
      </c>
      <c r="AB66" s="300" t="s">
        <v>107</v>
      </c>
      <c r="AC66" s="300" t="s">
        <v>100</v>
      </c>
      <c r="AD66" s="361"/>
      <c r="AE66" s="300" t="s">
        <v>105</v>
      </c>
      <c r="AF66" s="300" t="s">
        <v>106</v>
      </c>
      <c r="AG66" s="300" t="s">
        <v>107</v>
      </c>
      <c r="AH66" s="300" t="s">
        <v>100</v>
      </c>
      <c r="AI66" s="361"/>
      <c r="AJ66" s="300" t="s">
        <v>105</v>
      </c>
      <c r="AK66" s="300" t="s">
        <v>106</v>
      </c>
      <c r="AL66" s="300" t="s">
        <v>107</v>
      </c>
      <c r="AM66" s="300" t="s">
        <v>100</v>
      </c>
      <c r="AN66" s="361"/>
      <c r="AO66" s="300" t="s">
        <v>105</v>
      </c>
      <c r="AP66" s="300" t="s">
        <v>106</v>
      </c>
      <c r="AQ66" s="300" t="s">
        <v>107</v>
      </c>
      <c r="AR66" s="300" t="s">
        <v>100</v>
      </c>
      <c r="AS66" s="361"/>
      <c r="AT66" s="300" t="s">
        <v>105</v>
      </c>
      <c r="AU66" s="300" t="s">
        <v>106</v>
      </c>
      <c r="AV66" s="300" t="s">
        <v>107</v>
      </c>
      <c r="AW66" s="300" t="s">
        <v>100</v>
      </c>
      <c r="AX66" s="361"/>
    </row>
    <row r="67" spans="2:50">
      <c r="B67" s="361" t="s">
        <v>84</v>
      </c>
      <c r="C67" s="301">
        <v>1</v>
      </c>
      <c r="D67" s="301" t="s">
        <v>134</v>
      </c>
      <c r="E67" s="302">
        <f>VLOOKUP(D67,'[1]0801-0804產線配置圖'!$A$2:$C$25,2,0)</f>
        <v>12</v>
      </c>
      <c r="F67" s="302">
        <f>VLOOKUP(D67,'[1]0801-0804產線配置圖'!$A$2:$C$25,3,0)</f>
        <v>1714</v>
      </c>
      <c r="G67" s="303">
        <f>F67/E67</f>
        <v>142.83333333333334</v>
      </c>
      <c r="H67" s="375">
        <f>AVERAGE(G67:G81)</f>
        <v>152.15656565656568</v>
      </c>
      <c r="I67" s="302">
        <f>AVERAGE(P67,U67,Z66,AE67,AJ67,AO67,AT67)</f>
        <v>12.833333333333334</v>
      </c>
      <c r="J67" s="302">
        <f>AVERAGE(Q67,V67,AA67,AF67,AK67,AP67,AU67)</f>
        <v>1246.2857142857142</v>
      </c>
      <c r="K67" s="303">
        <f>AVERAGE(R67,W67,AB67,AG67,AL67,AQ67,AV67)</f>
        <v>97.090659340659343</v>
      </c>
      <c r="L67" s="375">
        <f>IFERROR(AVERAGE(K67:K81),"-")</f>
        <v>108.01190476190476</v>
      </c>
      <c r="M67" s="302">
        <f>RANK(K67, K$67:$K$81)</f>
        <v>3</v>
      </c>
      <c r="N67" s="361"/>
      <c r="O67" s="361"/>
      <c r="P67" s="301">
        <v>13</v>
      </c>
      <c r="Q67" s="301">
        <v>1150</v>
      </c>
      <c r="R67" s="303">
        <f>Q67/P67</f>
        <v>88.461538461538467</v>
      </c>
      <c r="S67" s="301">
        <f>RANK(R67,$R$67:$R$81)</f>
        <v>3</v>
      </c>
      <c r="T67" s="373">
        <f>AVERAGE(R67:R81)</f>
        <v>105.54273504273505</v>
      </c>
      <c r="U67" s="301">
        <v>13</v>
      </c>
      <c r="V67" s="301">
        <v>1201</v>
      </c>
      <c r="W67" s="303">
        <f>V67/U67</f>
        <v>92.384615384615387</v>
      </c>
      <c r="X67" s="301">
        <f>RANK(W67,$W$67:$W$81)</f>
        <v>3</v>
      </c>
      <c r="Y67" s="373">
        <f>AVERAGE(W67:W81)</f>
        <v>104.19871794871796</v>
      </c>
      <c r="Z67" s="301">
        <v>13</v>
      </c>
      <c r="AA67" s="301">
        <v>1294</v>
      </c>
      <c r="AB67" s="303">
        <f>AA67/Z67</f>
        <v>99.538461538461533</v>
      </c>
      <c r="AC67" s="301">
        <f>RANK(AB67, $AB$67:$AB$69)</f>
        <v>3</v>
      </c>
      <c r="AD67" s="373">
        <f>AVERAGE(AB67:AB81)</f>
        <v>112.56410256410258</v>
      </c>
      <c r="AE67" s="301">
        <v>12</v>
      </c>
      <c r="AF67" s="301">
        <v>1335</v>
      </c>
      <c r="AG67" s="303">
        <f>AF67/AE67</f>
        <v>111.25</v>
      </c>
      <c r="AH67" s="301">
        <f>RANK(AG67, $AG$67:$AG$69)</f>
        <v>2</v>
      </c>
      <c r="AI67" s="373">
        <f>AVERAGE(AG67:AG81)</f>
        <v>111.86111111111113</v>
      </c>
      <c r="AJ67" s="301">
        <v>13</v>
      </c>
      <c r="AK67" s="301">
        <v>1139</v>
      </c>
      <c r="AL67" s="303">
        <f>AK67/AJ67</f>
        <v>87.615384615384613</v>
      </c>
      <c r="AM67" s="301">
        <f>RANK(AL67, $AL$67:$AL$69)</f>
        <v>2</v>
      </c>
      <c r="AN67" s="373">
        <f>AVERAGE(AL67:AL81)</f>
        <v>98.927350427350419</v>
      </c>
      <c r="AO67" s="301">
        <v>13</v>
      </c>
      <c r="AP67" s="301">
        <v>1408</v>
      </c>
      <c r="AQ67" s="303">
        <f>AP67/AO67</f>
        <v>108.30769230769231</v>
      </c>
      <c r="AR67" s="301">
        <f>RANK(AQ67, $AQ$67:$AQ$69)</f>
        <v>2</v>
      </c>
      <c r="AS67" s="373">
        <f>AVERAGE(AQ67:AQ81)</f>
        <v>110.54700854700855</v>
      </c>
      <c r="AT67" s="301">
        <v>13</v>
      </c>
      <c r="AU67" s="301">
        <v>1197</v>
      </c>
      <c r="AV67" s="303">
        <f>AU67/AT67</f>
        <v>92.07692307692308</v>
      </c>
      <c r="AW67" s="301">
        <f>RANK(AV67, $AV$67:$AV$69)</f>
        <v>3</v>
      </c>
      <c r="AX67" s="373">
        <f>AVERAGE(AV67:AV81)</f>
        <v>112.44230769230769</v>
      </c>
    </row>
    <row r="68" spans="2:50">
      <c r="B68" s="354"/>
      <c r="C68" s="301">
        <v>2</v>
      </c>
      <c r="D68" s="301" t="s">
        <v>135</v>
      </c>
      <c r="E68" s="302">
        <f>VLOOKUP(D68,'[1]0801-0804產線配置圖'!$A$2:$C$25,2,0)</f>
        <v>11</v>
      </c>
      <c r="F68" s="302">
        <f>VLOOKUP(D68,'[1]0801-0804產線配置圖'!$A$2:$C$25,3,0)</f>
        <v>1800</v>
      </c>
      <c r="G68" s="303">
        <f t="shared" ref="G68:G69" si="49">F68/E68</f>
        <v>163.63636363636363</v>
      </c>
      <c r="H68" s="376"/>
      <c r="I68" s="302">
        <f>AVERAGE(P68,U68,Z67,AE68,AJ68,AO68,AT68)</f>
        <v>12.142857142857142</v>
      </c>
      <c r="J68" s="302">
        <f t="shared" ref="I68:K69" si="50">AVERAGE(Q68,V68,AA68,AF68,AK68,AP68,AU68)</f>
        <v>1466.4285714285713</v>
      </c>
      <c r="K68" s="303">
        <f t="shared" si="50"/>
        <v>120.78846153846155</v>
      </c>
      <c r="L68" s="376"/>
      <c r="M68" s="302">
        <f>RANK(K68, K$67:$K$81)</f>
        <v>1</v>
      </c>
      <c r="N68" s="361"/>
      <c r="O68" s="361"/>
      <c r="P68" s="301">
        <v>12</v>
      </c>
      <c r="Q68" s="301">
        <v>1460</v>
      </c>
      <c r="R68" s="303">
        <f t="shared" ref="R68:R69" si="51">Q68/P68</f>
        <v>121.66666666666667</v>
      </c>
      <c r="S68" s="301">
        <f t="shared" ref="S68:S69" si="52">RANK(R68,$R$67:$R$81)</f>
        <v>1</v>
      </c>
      <c r="T68" s="373"/>
      <c r="U68" s="301">
        <v>12</v>
      </c>
      <c r="V68" s="301">
        <v>1377</v>
      </c>
      <c r="W68" s="303">
        <f t="shared" ref="W68:W69" si="53">V68/U68</f>
        <v>114.75</v>
      </c>
      <c r="X68" s="301">
        <f t="shared" ref="X68:X69" si="54">RANK(W68,$W$67:$W$81)</f>
        <v>1</v>
      </c>
      <c r="Y68" s="373"/>
      <c r="Z68" s="301">
        <v>13</v>
      </c>
      <c r="AA68" s="301">
        <v>1544</v>
      </c>
      <c r="AB68" s="303">
        <f t="shared" ref="AB68:AB69" si="55">AA68/Z68</f>
        <v>118.76923076923077</v>
      </c>
      <c r="AC68" s="301">
        <f t="shared" ref="AC68:AC69" si="56">RANK(AB68, $AB$67:$AB$69)</f>
        <v>2</v>
      </c>
      <c r="AD68" s="373"/>
      <c r="AE68" s="301">
        <v>12</v>
      </c>
      <c r="AF68" s="301">
        <v>1388</v>
      </c>
      <c r="AG68" s="303">
        <f t="shared" ref="AG68:AG69" si="57">AF68/AE68</f>
        <v>115.66666666666667</v>
      </c>
      <c r="AH68" s="301">
        <f t="shared" ref="AH68:AH69" si="58">RANK(AG68, $AG$67:$AG$69)</f>
        <v>1</v>
      </c>
      <c r="AI68" s="373"/>
      <c r="AJ68" s="301">
        <v>12</v>
      </c>
      <c r="AK68" s="301">
        <v>1481</v>
      </c>
      <c r="AL68" s="303">
        <f t="shared" ref="AL68:AL69" si="59">AK68/AJ68</f>
        <v>123.41666666666667</v>
      </c>
      <c r="AM68" s="301">
        <f t="shared" ref="AM68:AM69" si="60">RANK(AL68, $AL$67:$AL$69)</f>
        <v>1</v>
      </c>
      <c r="AN68" s="373"/>
      <c r="AO68" s="301">
        <v>12</v>
      </c>
      <c r="AP68" s="301">
        <v>1558</v>
      </c>
      <c r="AQ68" s="303">
        <f t="shared" ref="AQ68:AQ69" si="61">AP68/AO68</f>
        <v>129.83333333333334</v>
      </c>
      <c r="AR68" s="301">
        <f t="shared" ref="AR68:AR69" si="62">RANK(AQ68, $AQ$67:$AQ$69)</f>
        <v>1</v>
      </c>
      <c r="AS68" s="373"/>
      <c r="AT68" s="301">
        <v>12</v>
      </c>
      <c r="AU68" s="301">
        <v>1457</v>
      </c>
      <c r="AV68" s="303">
        <f t="shared" ref="AV68:AV69" si="63">AU68/AT68</f>
        <v>121.41666666666667</v>
      </c>
      <c r="AW68" s="301">
        <f t="shared" ref="AW68:AW69" si="64">RANK(AV68, $AV$67:$AV$69)</f>
        <v>2</v>
      </c>
      <c r="AX68" s="373"/>
    </row>
    <row r="69" spans="2:50">
      <c r="B69" s="354"/>
      <c r="C69" s="301">
        <v>3</v>
      </c>
      <c r="D69" s="301" t="s">
        <v>136</v>
      </c>
      <c r="E69" s="302">
        <f>VLOOKUP(D69,'[1]0801-0804產線配置圖'!$A$2:$C$25,2,0)</f>
        <v>10</v>
      </c>
      <c r="F69" s="302">
        <f>VLOOKUP(D69,'[1]0801-0804產線配置圖'!$A$2:$C$25,3,0)</f>
        <v>1500</v>
      </c>
      <c r="G69" s="303">
        <f t="shared" si="49"/>
        <v>150</v>
      </c>
      <c r="H69" s="376"/>
      <c r="I69" s="302">
        <f t="shared" si="50"/>
        <v>12.285714285714286</v>
      </c>
      <c r="J69" s="302">
        <f t="shared" si="50"/>
        <v>1306</v>
      </c>
      <c r="K69" s="303">
        <f t="shared" si="50"/>
        <v>106.15659340659342</v>
      </c>
      <c r="L69" s="376"/>
      <c r="M69" s="302">
        <f>RANK(K69, K$67:$K$81)</f>
        <v>2</v>
      </c>
      <c r="N69" s="361"/>
      <c r="O69" s="361"/>
      <c r="P69" s="301">
        <v>12</v>
      </c>
      <c r="Q69" s="301">
        <v>1278</v>
      </c>
      <c r="R69" s="303">
        <f t="shared" si="51"/>
        <v>106.5</v>
      </c>
      <c r="S69" s="301">
        <f t="shared" si="52"/>
        <v>2</v>
      </c>
      <c r="T69" s="373"/>
      <c r="U69" s="301">
        <v>13</v>
      </c>
      <c r="V69" s="301">
        <v>1371</v>
      </c>
      <c r="W69" s="303">
        <f t="shared" si="53"/>
        <v>105.46153846153847</v>
      </c>
      <c r="X69" s="301">
        <f t="shared" si="54"/>
        <v>2</v>
      </c>
      <c r="Y69" s="373"/>
      <c r="Z69" s="301">
        <v>13</v>
      </c>
      <c r="AA69" s="301">
        <v>1552</v>
      </c>
      <c r="AB69" s="303">
        <f t="shared" si="55"/>
        <v>119.38461538461539</v>
      </c>
      <c r="AC69" s="301">
        <f t="shared" si="56"/>
        <v>1</v>
      </c>
      <c r="AD69" s="373"/>
      <c r="AE69" s="301">
        <v>12</v>
      </c>
      <c r="AF69" s="301">
        <v>1304</v>
      </c>
      <c r="AG69" s="303">
        <f t="shared" si="57"/>
        <v>108.66666666666667</v>
      </c>
      <c r="AH69" s="301">
        <f t="shared" si="58"/>
        <v>3</v>
      </c>
      <c r="AI69" s="373"/>
      <c r="AJ69" s="301">
        <v>12</v>
      </c>
      <c r="AK69" s="301">
        <v>1029</v>
      </c>
      <c r="AL69" s="303">
        <f t="shared" si="59"/>
        <v>85.75</v>
      </c>
      <c r="AM69" s="301">
        <f t="shared" si="60"/>
        <v>3</v>
      </c>
      <c r="AN69" s="373"/>
      <c r="AO69" s="301">
        <v>12</v>
      </c>
      <c r="AP69" s="301">
        <v>1122</v>
      </c>
      <c r="AQ69" s="303">
        <f t="shared" si="61"/>
        <v>93.5</v>
      </c>
      <c r="AR69" s="301">
        <f t="shared" si="62"/>
        <v>3</v>
      </c>
      <c r="AS69" s="373"/>
      <c r="AT69" s="301">
        <v>12</v>
      </c>
      <c r="AU69" s="301">
        <v>1486</v>
      </c>
      <c r="AV69" s="303">
        <f t="shared" si="63"/>
        <v>123.83333333333333</v>
      </c>
      <c r="AW69" s="301">
        <f t="shared" si="64"/>
        <v>1</v>
      </c>
      <c r="AX69" s="373"/>
    </row>
    <row r="70" spans="2:50">
      <c r="B70" s="354"/>
      <c r="C70" s="301">
        <v>4</v>
      </c>
      <c r="D70" s="301"/>
      <c r="E70" s="302"/>
      <c r="F70" s="302"/>
      <c r="G70" s="303"/>
      <c r="H70" s="376"/>
      <c r="I70" s="302"/>
      <c r="J70" s="302"/>
      <c r="K70" s="303"/>
      <c r="L70" s="376"/>
      <c r="M70" s="302"/>
      <c r="N70" s="361"/>
      <c r="O70" s="361"/>
      <c r="P70" s="301"/>
      <c r="Q70" s="301"/>
      <c r="R70" s="301"/>
      <c r="S70" s="301"/>
      <c r="T70" s="373"/>
      <c r="U70" s="301"/>
      <c r="V70" s="301"/>
      <c r="W70" s="301"/>
      <c r="X70" s="301"/>
      <c r="Y70" s="373"/>
      <c r="Z70" s="301"/>
      <c r="AA70" s="301"/>
      <c r="AB70" s="301"/>
      <c r="AC70" s="301"/>
      <c r="AD70" s="373"/>
      <c r="AE70" s="301"/>
      <c r="AF70" s="301"/>
      <c r="AG70" s="301"/>
      <c r="AH70" s="301"/>
      <c r="AI70" s="373"/>
      <c r="AJ70" s="301"/>
      <c r="AK70" s="301"/>
      <c r="AL70" s="301"/>
      <c r="AM70" s="301"/>
      <c r="AN70" s="373"/>
      <c r="AO70" s="301"/>
      <c r="AP70" s="301"/>
      <c r="AQ70" s="301"/>
      <c r="AR70" s="301"/>
      <c r="AS70" s="373"/>
      <c r="AT70" s="301"/>
      <c r="AU70" s="301"/>
      <c r="AV70" s="301"/>
      <c r="AW70" s="301"/>
      <c r="AX70" s="373"/>
    </row>
    <row r="71" spans="2:50">
      <c r="B71" s="354"/>
      <c r="C71" s="301">
        <v>5</v>
      </c>
      <c r="D71" s="301"/>
      <c r="E71" s="302"/>
      <c r="F71" s="302"/>
      <c r="G71" s="303"/>
      <c r="H71" s="376"/>
      <c r="I71" s="302"/>
      <c r="J71" s="302"/>
      <c r="K71" s="303"/>
      <c r="L71" s="376"/>
      <c r="M71" s="302"/>
      <c r="N71" s="361"/>
      <c r="O71" s="361"/>
      <c r="P71" s="301"/>
      <c r="Q71" s="301"/>
      <c r="R71" s="301"/>
      <c r="S71" s="301"/>
      <c r="T71" s="373"/>
      <c r="U71" s="301"/>
      <c r="V71" s="301"/>
      <c r="W71" s="301"/>
      <c r="X71" s="301"/>
      <c r="Y71" s="373"/>
      <c r="Z71" s="301"/>
      <c r="AA71" s="301"/>
      <c r="AB71" s="301"/>
      <c r="AC71" s="301"/>
      <c r="AD71" s="373"/>
      <c r="AE71" s="301"/>
      <c r="AF71" s="301"/>
      <c r="AG71" s="301"/>
      <c r="AH71" s="301"/>
      <c r="AI71" s="373"/>
      <c r="AJ71" s="301"/>
      <c r="AK71" s="301"/>
      <c r="AL71" s="301"/>
      <c r="AM71" s="301"/>
      <c r="AN71" s="373"/>
      <c r="AO71" s="301"/>
      <c r="AP71" s="301"/>
      <c r="AQ71" s="301"/>
      <c r="AR71" s="301"/>
      <c r="AS71" s="373"/>
      <c r="AT71" s="301"/>
      <c r="AU71" s="301"/>
      <c r="AV71" s="301"/>
      <c r="AW71" s="301"/>
      <c r="AX71" s="373"/>
    </row>
    <row r="72" spans="2:50">
      <c r="B72" s="354"/>
      <c r="C72" s="301">
        <v>6</v>
      </c>
      <c r="D72" s="301"/>
      <c r="E72" s="302"/>
      <c r="F72" s="302"/>
      <c r="G72" s="303"/>
      <c r="H72" s="376"/>
      <c r="I72" s="302"/>
      <c r="J72" s="302"/>
      <c r="K72" s="303"/>
      <c r="L72" s="376"/>
      <c r="M72" s="302"/>
      <c r="N72" s="361"/>
      <c r="O72" s="361"/>
      <c r="P72" s="301"/>
      <c r="Q72" s="301"/>
      <c r="R72" s="301"/>
      <c r="S72" s="301"/>
      <c r="T72" s="373"/>
      <c r="U72" s="301"/>
      <c r="V72" s="301"/>
      <c r="W72" s="301"/>
      <c r="X72" s="301"/>
      <c r="Y72" s="373"/>
      <c r="Z72" s="301"/>
      <c r="AA72" s="301"/>
      <c r="AB72" s="301"/>
      <c r="AC72" s="301"/>
      <c r="AD72" s="373"/>
      <c r="AE72" s="301"/>
      <c r="AF72" s="301"/>
      <c r="AG72" s="301"/>
      <c r="AH72" s="301"/>
      <c r="AI72" s="373"/>
      <c r="AJ72" s="301"/>
      <c r="AK72" s="301"/>
      <c r="AL72" s="301"/>
      <c r="AM72" s="301"/>
      <c r="AN72" s="373"/>
      <c r="AO72" s="301"/>
      <c r="AP72" s="301"/>
      <c r="AQ72" s="301"/>
      <c r="AR72" s="301"/>
      <c r="AS72" s="373"/>
      <c r="AT72" s="301"/>
      <c r="AU72" s="301"/>
      <c r="AV72" s="301"/>
      <c r="AW72" s="301"/>
      <c r="AX72" s="373"/>
    </row>
    <row r="73" spans="2:50">
      <c r="B73" s="354"/>
      <c r="C73" s="301">
        <v>7</v>
      </c>
      <c r="D73" s="301"/>
      <c r="E73" s="302"/>
      <c r="F73" s="302"/>
      <c r="G73" s="303"/>
      <c r="H73" s="376"/>
      <c r="I73" s="302"/>
      <c r="J73" s="302"/>
      <c r="K73" s="303"/>
      <c r="L73" s="376"/>
      <c r="M73" s="302"/>
      <c r="N73" s="361"/>
      <c r="O73" s="361"/>
      <c r="P73" s="301"/>
      <c r="Q73" s="301"/>
      <c r="R73" s="301"/>
      <c r="S73" s="301"/>
      <c r="T73" s="373"/>
      <c r="U73" s="301"/>
      <c r="V73" s="301"/>
      <c r="W73" s="301"/>
      <c r="X73" s="301"/>
      <c r="Y73" s="373"/>
      <c r="Z73" s="301"/>
      <c r="AA73" s="301"/>
      <c r="AB73" s="301"/>
      <c r="AC73" s="301"/>
      <c r="AD73" s="373"/>
      <c r="AE73" s="301"/>
      <c r="AF73" s="301"/>
      <c r="AG73" s="301"/>
      <c r="AH73" s="301"/>
      <c r="AI73" s="373"/>
      <c r="AJ73" s="301"/>
      <c r="AK73" s="301"/>
      <c r="AL73" s="301"/>
      <c r="AM73" s="301"/>
      <c r="AN73" s="373"/>
      <c r="AO73" s="301"/>
      <c r="AP73" s="301"/>
      <c r="AQ73" s="301"/>
      <c r="AR73" s="301"/>
      <c r="AS73" s="373"/>
      <c r="AT73" s="301"/>
      <c r="AU73" s="301"/>
      <c r="AV73" s="301"/>
      <c r="AW73" s="301"/>
      <c r="AX73" s="373"/>
    </row>
    <row r="74" spans="2:50">
      <c r="B74" s="354"/>
      <c r="C74" s="301">
        <v>8</v>
      </c>
      <c r="D74" s="301"/>
      <c r="E74" s="301"/>
      <c r="F74" s="301"/>
      <c r="G74" s="301"/>
      <c r="H74" s="376"/>
      <c r="I74" s="302"/>
      <c r="J74" s="302"/>
      <c r="K74" s="303"/>
      <c r="L74" s="376"/>
      <c r="M74" s="302"/>
      <c r="N74" s="361"/>
      <c r="O74" s="361"/>
      <c r="P74" s="301"/>
      <c r="Q74" s="301"/>
      <c r="R74" s="301"/>
      <c r="S74" s="301"/>
      <c r="T74" s="373"/>
      <c r="U74" s="301"/>
      <c r="V74" s="301"/>
      <c r="W74" s="301"/>
      <c r="X74" s="301"/>
      <c r="Y74" s="373"/>
      <c r="Z74" s="301"/>
      <c r="AA74" s="301"/>
      <c r="AB74" s="301"/>
      <c r="AC74" s="301"/>
      <c r="AD74" s="373"/>
      <c r="AE74" s="301"/>
      <c r="AF74" s="301"/>
      <c r="AG74" s="301"/>
      <c r="AH74" s="301"/>
      <c r="AI74" s="373"/>
      <c r="AJ74" s="301"/>
      <c r="AK74" s="301"/>
      <c r="AL74" s="301"/>
      <c r="AM74" s="301"/>
      <c r="AN74" s="373"/>
      <c r="AO74" s="301"/>
      <c r="AP74" s="301"/>
      <c r="AQ74" s="301"/>
      <c r="AR74" s="301"/>
      <c r="AS74" s="373"/>
      <c r="AT74" s="301"/>
      <c r="AU74" s="301"/>
      <c r="AV74" s="301"/>
      <c r="AW74" s="301"/>
      <c r="AX74" s="373"/>
    </row>
    <row r="75" spans="2:50">
      <c r="B75" s="354"/>
      <c r="C75" s="301">
        <v>9</v>
      </c>
      <c r="D75" s="301"/>
      <c r="E75" s="301"/>
      <c r="F75" s="301"/>
      <c r="G75" s="301"/>
      <c r="H75" s="376"/>
      <c r="I75" s="302"/>
      <c r="J75" s="302"/>
      <c r="K75" s="303"/>
      <c r="L75" s="376"/>
      <c r="M75" s="302"/>
      <c r="N75" s="361"/>
      <c r="O75" s="361"/>
      <c r="P75" s="301"/>
      <c r="Q75" s="301"/>
      <c r="R75" s="301"/>
      <c r="S75" s="301"/>
      <c r="T75" s="373"/>
      <c r="U75" s="301"/>
      <c r="V75" s="301"/>
      <c r="W75" s="301"/>
      <c r="X75" s="301"/>
      <c r="Y75" s="373"/>
      <c r="Z75" s="301"/>
      <c r="AA75" s="301"/>
      <c r="AB75" s="301"/>
      <c r="AC75" s="301"/>
      <c r="AD75" s="373"/>
      <c r="AE75" s="301"/>
      <c r="AF75" s="301"/>
      <c r="AG75" s="301"/>
      <c r="AH75" s="301"/>
      <c r="AI75" s="373"/>
      <c r="AJ75" s="301"/>
      <c r="AK75" s="301"/>
      <c r="AL75" s="301"/>
      <c r="AM75" s="301"/>
      <c r="AN75" s="373"/>
      <c r="AO75" s="301"/>
      <c r="AP75" s="301"/>
      <c r="AQ75" s="301"/>
      <c r="AR75" s="301"/>
      <c r="AS75" s="373"/>
      <c r="AT75" s="301"/>
      <c r="AU75" s="301"/>
      <c r="AV75" s="301"/>
      <c r="AW75" s="301"/>
      <c r="AX75" s="373"/>
    </row>
    <row r="76" spans="2:50">
      <c r="B76" s="354"/>
      <c r="C76" s="301">
        <v>10</v>
      </c>
      <c r="D76" s="301"/>
      <c r="E76" s="301"/>
      <c r="F76" s="301"/>
      <c r="G76" s="301"/>
      <c r="H76" s="376"/>
      <c r="I76" s="302"/>
      <c r="J76" s="302"/>
      <c r="K76" s="303"/>
      <c r="L76" s="376"/>
      <c r="M76" s="302"/>
      <c r="N76" s="361"/>
      <c r="O76" s="361"/>
      <c r="P76" s="301"/>
      <c r="Q76" s="301"/>
      <c r="R76" s="301"/>
      <c r="S76" s="301"/>
      <c r="T76" s="373"/>
      <c r="U76" s="301"/>
      <c r="V76" s="301"/>
      <c r="W76" s="301"/>
      <c r="X76" s="301"/>
      <c r="Y76" s="373"/>
      <c r="Z76" s="301"/>
      <c r="AA76" s="301"/>
      <c r="AB76" s="301"/>
      <c r="AC76" s="301"/>
      <c r="AD76" s="373"/>
      <c r="AE76" s="301"/>
      <c r="AF76" s="301"/>
      <c r="AG76" s="301"/>
      <c r="AH76" s="301"/>
      <c r="AI76" s="373"/>
      <c r="AJ76" s="301"/>
      <c r="AK76" s="301"/>
      <c r="AL76" s="301"/>
      <c r="AM76" s="301"/>
      <c r="AN76" s="373"/>
      <c r="AO76" s="301"/>
      <c r="AP76" s="301"/>
      <c r="AQ76" s="301"/>
      <c r="AR76" s="301"/>
      <c r="AS76" s="373"/>
      <c r="AT76" s="301"/>
      <c r="AU76" s="301"/>
      <c r="AV76" s="301"/>
      <c r="AW76" s="301"/>
      <c r="AX76" s="373"/>
    </row>
    <row r="77" spans="2:50">
      <c r="B77" s="354"/>
      <c r="C77" s="301">
        <v>11</v>
      </c>
      <c r="D77" s="301"/>
      <c r="E77" s="301"/>
      <c r="F77" s="301"/>
      <c r="G77" s="301"/>
      <c r="H77" s="376"/>
      <c r="I77" s="302"/>
      <c r="J77" s="302"/>
      <c r="K77" s="303"/>
      <c r="L77" s="376"/>
      <c r="M77" s="302"/>
      <c r="N77" s="361"/>
      <c r="O77" s="361"/>
      <c r="P77" s="301"/>
      <c r="Q77" s="301"/>
      <c r="R77" s="301"/>
      <c r="S77" s="301"/>
      <c r="T77" s="373"/>
      <c r="U77" s="301"/>
      <c r="V77" s="301"/>
      <c r="W77" s="301"/>
      <c r="X77" s="301"/>
      <c r="Y77" s="373"/>
      <c r="Z77" s="301"/>
      <c r="AA77" s="301"/>
      <c r="AB77" s="301"/>
      <c r="AC77" s="301"/>
      <c r="AD77" s="373"/>
      <c r="AE77" s="301"/>
      <c r="AF77" s="301"/>
      <c r="AG77" s="301"/>
      <c r="AH77" s="301"/>
      <c r="AI77" s="373"/>
      <c r="AJ77" s="301"/>
      <c r="AK77" s="301"/>
      <c r="AL77" s="301"/>
      <c r="AM77" s="301"/>
      <c r="AN77" s="373"/>
      <c r="AO77" s="301"/>
      <c r="AP77" s="301"/>
      <c r="AQ77" s="301"/>
      <c r="AR77" s="301"/>
      <c r="AS77" s="373"/>
      <c r="AT77" s="301"/>
      <c r="AU77" s="301"/>
      <c r="AV77" s="301"/>
      <c r="AW77" s="301"/>
      <c r="AX77" s="373"/>
    </row>
    <row r="78" spans="2:50">
      <c r="B78" s="354"/>
      <c r="C78" s="301">
        <v>12</v>
      </c>
      <c r="D78" s="301"/>
      <c r="E78" s="301"/>
      <c r="F78" s="301"/>
      <c r="G78" s="301"/>
      <c r="H78" s="376"/>
      <c r="I78" s="302"/>
      <c r="J78" s="302"/>
      <c r="K78" s="303"/>
      <c r="L78" s="376"/>
      <c r="M78" s="302"/>
      <c r="N78" s="361"/>
      <c r="O78" s="361"/>
      <c r="P78" s="301"/>
      <c r="Q78" s="301"/>
      <c r="R78" s="301"/>
      <c r="S78" s="301"/>
      <c r="T78" s="373"/>
      <c r="U78" s="301"/>
      <c r="V78" s="301"/>
      <c r="W78" s="301"/>
      <c r="X78" s="301"/>
      <c r="Y78" s="373"/>
      <c r="Z78" s="301"/>
      <c r="AA78" s="301"/>
      <c r="AB78" s="301"/>
      <c r="AC78" s="301"/>
      <c r="AD78" s="373"/>
      <c r="AE78" s="301"/>
      <c r="AF78" s="301"/>
      <c r="AG78" s="301"/>
      <c r="AH78" s="301"/>
      <c r="AI78" s="373"/>
      <c r="AJ78" s="301"/>
      <c r="AK78" s="301"/>
      <c r="AL78" s="301"/>
      <c r="AM78" s="301"/>
      <c r="AN78" s="373"/>
      <c r="AO78" s="301"/>
      <c r="AP78" s="301"/>
      <c r="AQ78" s="301"/>
      <c r="AR78" s="301"/>
      <c r="AS78" s="373"/>
      <c r="AT78" s="301"/>
      <c r="AU78" s="301"/>
      <c r="AV78" s="301"/>
      <c r="AW78" s="301"/>
      <c r="AX78" s="373"/>
    </row>
    <row r="79" spans="2:50">
      <c r="B79" s="354"/>
      <c r="C79" s="301">
        <v>13</v>
      </c>
      <c r="D79" s="301"/>
      <c r="E79" s="301"/>
      <c r="F79" s="301"/>
      <c r="G79" s="301"/>
      <c r="H79" s="376"/>
      <c r="I79" s="302"/>
      <c r="J79" s="302"/>
      <c r="K79" s="303"/>
      <c r="L79" s="376"/>
      <c r="M79" s="302"/>
      <c r="N79" s="361"/>
      <c r="O79" s="361"/>
      <c r="P79" s="301"/>
      <c r="Q79" s="301"/>
      <c r="R79" s="301"/>
      <c r="S79" s="301"/>
      <c r="T79" s="373"/>
      <c r="U79" s="301"/>
      <c r="V79" s="301"/>
      <c r="W79" s="301"/>
      <c r="X79" s="301"/>
      <c r="Y79" s="373"/>
      <c r="Z79" s="301"/>
      <c r="AA79" s="301"/>
      <c r="AB79" s="301"/>
      <c r="AC79" s="301"/>
      <c r="AD79" s="373"/>
      <c r="AE79" s="301"/>
      <c r="AF79" s="301"/>
      <c r="AG79" s="301"/>
      <c r="AH79" s="301"/>
      <c r="AI79" s="373"/>
      <c r="AJ79" s="301"/>
      <c r="AK79" s="301"/>
      <c r="AL79" s="301"/>
      <c r="AM79" s="301"/>
      <c r="AN79" s="373"/>
      <c r="AO79" s="301"/>
      <c r="AP79" s="301"/>
      <c r="AQ79" s="301"/>
      <c r="AR79" s="301"/>
      <c r="AS79" s="373"/>
      <c r="AT79" s="301"/>
      <c r="AU79" s="301"/>
      <c r="AV79" s="301"/>
      <c r="AW79" s="301"/>
      <c r="AX79" s="373"/>
    </row>
    <row r="80" spans="2:50">
      <c r="B80" s="354"/>
      <c r="C80" s="301">
        <v>14</v>
      </c>
      <c r="D80" s="301"/>
      <c r="E80" s="301"/>
      <c r="F80" s="301"/>
      <c r="G80" s="301"/>
      <c r="H80" s="376"/>
      <c r="I80" s="302"/>
      <c r="J80" s="302"/>
      <c r="K80" s="303"/>
      <c r="L80" s="376"/>
      <c r="M80" s="302"/>
      <c r="N80" s="361"/>
      <c r="O80" s="361"/>
      <c r="P80" s="301"/>
      <c r="Q80" s="301"/>
      <c r="R80" s="301"/>
      <c r="S80" s="301"/>
      <c r="T80" s="373"/>
      <c r="U80" s="301"/>
      <c r="V80" s="301"/>
      <c r="W80" s="301"/>
      <c r="X80" s="301"/>
      <c r="Y80" s="373"/>
      <c r="Z80" s="301"/>
      <c r="AA80" s="301"/>
      <c r="AB80" s="301"/>
      <c r="AC80" s="301"/>
      <c r="AD80" s="373"/>
      <c r="AE80" s="301"/>
      <c r="AF80" s="301"/>
      <c r="AG80" s="301"/>
      <c r="AH80" s="301"/>
      <c r="AI80" s="373"/>
      <c r="AJ80" s="301"/>
      <c r="AK80" s="301"/>
      <c r="AL80" s="301"/>
      <c r="AM80" s="301"/>
      <c r="AN80" s="373"/>
      <c r="AO80" s="301"/>
      <c r="AP80" s="301"/>
      <c r="AQ80" s="301"/>
      <c r="AR80" s="301"/>
      <c r="AS80" s="373"/>
      <c r="AT80" s="301"/>
      <c r="AU80" s="301"/>
      <c r="AV80" s="301"/>
      <c r="AW80" s="301"/>
      <c r="AX80" s="373"/>
    </row>
    <row r="81" spans="2:50">
      <c r="B81" s="354"/>
      <c r="C81" s="301">
        <v>15</v>
      </c>
      <c r="D81" s="301"/>
      <c r="E81" s="301"/>
      <c r="F81" s="301"/>
      <c r="G81" s="301"/>
      <c r="H81" s="377"/>
      <c r="I81" s="302"/>
      <c r="J81" s="302"/>
      <c r="K81" s="303"/>
      <c r="L81" s="377"/>
      <c r="M81" s="302"/>
      <c r="N81" s="361"/>
      <c r="O81" s="361"/>
      <c r="P81" s="301"/>
      <c r="Q81" s="301"/>
      <c r="R81" s="301"/>
      <c r="S81" s="301"/>
      <c r="T81" s="373"/>
      <c r="U81" s="301"/>
      <c r="V81" s="301"/>
      <c r="W81" s="301"/>
      <c r="X81" s="301"/>
      <c r="Y81" s="373"/>
      <c r="Z81" s="301"/>
      <c r="AA81" s="301"/>
      <c r="AB81" s="301"/>
      <c r="AC81" s="301"/>
      <c r="AD81" s="373"/>
      <c r="AE81" s="301"/>
      <c r="AF81" s="301"/>
      <c r="AG81" s="301"/>
      <c r="AH81" s="301"/>
      <c r="AI81" s="373"/>
      <c r="AJ81" s="301"/>
      <c r="AK81" s="301"/>
      <c r="AL81" s="301"/>
      <c r="AM81" s="301"/>
      <c r="AN81" s="373"/>
      <c r="AO81" s="301"/>
      <c r="AP81" s="301"/>
      <c r="AQ81" s="301"/>
      <c r="AR81" s="301"/>
      <c r="AS81" s="373"/>
      <c r="AT81" s="301"/>
      <c r="AU81" s="301"/>
      <c r="AV81" s="301"/>
      <c r="AW81" s="301"/>
      <c r="AX81" s="373"/>
    </row>
    <row r="82" spans="2:50" ht="15.75">
      <c r="B82" s="365" t="s">
        <v>93</v>
      </c>
      <c r="C82" s="366"/>
      <c r="D82" s="366"/>
      <c r="E82" s="366"/>
      <c r="F82" s="366"/>
      <c r="G82" s="366"/>
      <c r="H82" s="366"/>
      <c r="I82" s="307"/>
      <c r="J82" s="307"/>
      <c r="K82" s="307"/>
      <c r="L82" s="307"/>
      <c r="M82" s="308"/>
      <c r="N82" s="355" t="s">
        <v>94</v>
      </c>
      <c r="O82" s="355" t="s">
        <v>52</v>
      </c>
      <c r="P82" s="368">
        <v>45895</v>
      </c>
      <c r="Q82" s="354"/>
      <c r="R82" s="354"/>
      <c r="S82" s="354"/>
      <c r="T82" s="354"/>
      <c r="U82" s="368">
        <v>45896</v>
      </c>
      <c r="V82" s="354"/>
      <c r="W82" s="354"/>
      <c r="X82" s="354"/>
      <c r="Y82" s="354"/>
      <c r="Z82" s="368">
        <v>45897</v>
      </c>
      <c r="AA82" s="354"/>
      <c r="AB82" s="354"/>
      <c r="AC82" s="354"/>
      <c r="AD82" s="354"/>
      <c r="AE82" s="368">
        <v>45898</v>
      </c>
      <c r="AF82" s="354"/>
      <c r="AG82" s="354"/>
      <c r="AH82" s="354"/>
      <c r="AI82" s="354"/>
      <c r="AJ82" s="368">
        <v>45899</v>
      </c>
      <c r="AK82" s="354"/>
      <c r="AL82" s="354"/>
      <c r="AM82" s="354"/>
      <c r="AN82" s="354"/>
      <c r="AO82" s="368">
        <v>45900</v>
      </c>
      <c r="AP82" s="354"/>
      <c r="AQ82" s="354"/>
      <c r="AR82" s="354"/>
      <c r="AS82" s="354"/>
      <c r="AT82" s="368">
        <v>45901</v>
      </c>
      <c r="AU82" s="354"/>
      <c r="AV82" s="354"/>
      <c r="AW82" s="354"/>
      <c r="AX82" s="354"/>
    </row>
    <row r="83" spans="2:50" ht="15.75">
      <c r="B83" s="367"/>
      <c r="C83" s="367"/>
      <c r="D83" s="367"/>
      <c r="E83" s="367"/>
      <c r="F83" s="367"/>
      <c r="G83" s="367"/>
      <c r="H83" s="367"/>
      <c r="I83" s="297"/>
      <c r="J83" s="297"/>
      <c r="K83" s="297"/>
      <c r="L83" s="297"/>
      <c r="M83" s="298"/>
      <c r="N83" s="357"/>
      <c r="O83" s="357"/>
      <c r="P83" s="368" t="s">
        <v>66</v>
      </c>
      <c r="Q83" s="354"/>
      <c r="R83" s="354"/>
      <c r="S83" s="354"/>
      <c r="T83" s="354"/>
      <c r="U83" s="368" t="s">
        <v>67</v>
      </c>
      <c r="V83" s="354"/>
      <c r="W83" s="354"/>
      <c r="X83" s="354"/>
      <c r="Y83" s="354"/>
      <c r="Z83" s="368" t="s">
        <v>68</v>
      </c>
      <c r="AA83" s="354"/>
      <c r="AB83" s="354"/>
      <c r="AC83" s="354"/>
      <c r="AD83" s="354"/>
      <c r="AE83" s="368" t="s">
        <v>63</v>
      </c>
      <c r="AF83" s="354"/>
      <c r="AG83" s="354"/>
      <c r="AH83" s="354"/>
      <c r="AI83" s="354"/>
      <c r="AJ83" s="368" t="s">
        <v>64</v>
      </c>
      <c r="AK83" s="354"/>
      <c r="AL83" s="354"/>
      <c r="AM83" s="354"/>
      <c r="AN83" s="354"/>
      <c r="AO83" s="368" t="s">
        <v>59</v>
      </c>
      <c r="AP83" s="354"/>
      <c r="AQ83" s="354"/>
      <c r="AR83" s="354"/>
      <c r="AS83" s="354"/>
      <c r="AT83" s="368" t="s">
        <v>65</v>
      </c>
      <c r="AU83" s="354"/>
      <c r="AV83" s="354"/>
      <c r="AW83" s="354"/>
      <c r="AX83" s="354"/>
    </row>
    <row r="84" spans="2:50">
      <c r="B84" s="361" t="s">
        <v>95</v>
      </c>
      <c r="C84" s="361" t="s">
        <v>96</v>
      </c>
      <c r="D84" s="361"/>
      <c r="E84" s="361" t="s">
        <v>97</v>
      </c>
      <c r="F84" s="361"/>
      <c r="G84" s="361"/>
      <c r="H84" s="362" t="s">
        <v>98</v>
      </c>
      <c r="I84" s="361" t="s">
        <v>99</v>
      </c>
      <c r="J84" s="361"/>
      <c r="K84" s="361"/>
      <c r="L84" s="362" t="s">
        <v>98</v>
      </c>
      <c r="M84" s="355" t="s">
        <v>100</v>
      </c>
      <c r="N84" s="361"/>
      <c r="O84" s="361" t="s">
        <v>101</v>
      </c>
      <c r="P84" s="358" t="s">
        <v>102</v>
      </c>
      <c r="Q84" s="359"/>
      <c r="R84" s="359"/>
      <c r="S84" s="360"/>
      <c r="T84" s="361" t="s">
        <v>98</v>
      </c>
      <c r="U84" s="358" t="s">
        <v>102</v>
      </c>
      <c r="V84" s="359"/>
      <c r="W84" s="359"/>
      <c r="X84" s="360"/>
      <c r="Y84" s="361" t="s">
        <v>98</v>
      </c>
      <c r="Z84" s="358" t="s">
        <v>102</v>
      </c>
      <c r="AA84" s="359"/>
      <c r="AB84" s="359"/>
      <c r="AC84" s="360"/>
      <c r="AD84" s="361" t="s">
        <v>98</v>
      </c>
      <c r="AE84" s="358" t="s">
        <v>102</v>
      </c>
      <c r="AF84" s="359"/>
      <c r="AG84" s="359"/>
      <c r="AH84" s="360"/>
      <c r="AI84" s="361" t="s">
        <v>98</v>
      </c>
      <c r="AJ84" s="358" t="s">
        <v>102</v>
      </c>
      <c r="AK84" s="359"/>
      <c r="AL84" s="359"/>
      <c r="AM84" s="360"/>
      <c r="AN84" s="361" t="s">
        <v>98</v>
      </c>
      <c r="AO84" s="358" t="s">
        <v>102</v>
      </c>
      <c r="AP84" s="359"/>
      <c r="AQ84" s="359"/>
      <c r="AR84" s="360"/>
      <c r="AS84" s="361" t="s">
        <v>98</v>
      </c>
      <c r="AT84" s="358" t="s">
        <v>102</v>
      </c>
      <c r="AU84" s="359"/>
      <c r="AV84" s="359"/>
      <c r="AW84" s="360"/>
      <c r="AX84" s="361" t="s">
        <v>98</v>
      </c>
    </row>
    <row r="85" spans="2:50">
      <c r="B85" s="361"/>
      <c r="C85" s="361"/>
      <c r="D85" s="361"/>
      <c r="E85" s="361" t="s">
        <v>103</v>
      </c>
      <c r="F85" s="361"/>
      <c r="G85" s="361"/>
      <c r="H85" s="363"/>
      <c r="I85" s="361" t="s">
        <v>103</v>
      </c>
      <c r="J85" s="361"/>
      <c r="K85" s="361"/>
      <c r="L85" s="363"/>
      <c r="M85" s="356"/>
      <c r="N85" s="361"/>
      <c r="O85" s="361"/>
      <c r="P85" s="358" t="s">
        <v>104</v>
      </c>
      <c r="Q85" s="359"/>
      <c r="R85" s="359"/>
      <c r="S85" s="360"/>
      <c r="T85" s="361"/>
      <c r="U85" s="358" t="s">
        <v>104</v>
      </c>
      <c r="V85" s="359"/>
      <c r="W85" s="359"/>
      <c r="X85" s="360"/>
      <c r="Y85" s="361"/>
      <c r="Z85" s="358" t="s">
        <v>104</v>
      </c>
      <c r="AA85" s="359"/>
      <c r="AB85" s="359"/>
      <c r="AC85" s="360"/>
      <c r="AD85" s="361"/>
      <c r="AE85" s="358" t="s">
        <v>104</v>
      </c>
      <c r="AF85" s="359"/>
      <c r="AG85" s="359"/>
      <c r="AH85" s="360"/>
      <c r="AI85" s="361"/>
      <c r="AJ85" s="358" t="s">
        <v>104</v>
      </c>
      <c r="AK85" s="359"/>
      <c r="AL85" s="359"/>
      <c r="AM85" s="360"/>
      <c r="AN85" s="361"/>
      <c r="AO85" s="358" t="s">
        <v>104</v>
      </c>
      <c r="AP85" s="359"/>
      <c r="AQ85" s="359"/>
      <c r="AR85" s="360"/>
      <c r="AS85" s="361"/>
      <c r="AT85" s="358" t="s">
        <v>104</v>
      </c>
      <c r="AU85" s="359"/>
      <c r="AV85" s="359"/>
      <c r="AW85" s="360"/>
      <c r="AX85" s="361"/>
    </row>
    <row r="86" spans="2:50">
      <c r="B86" s="361"/>
      <c r="C86" s="361"/>
      <c r="D86" s="361"/>
      <c r="E86" s="300" t="s">
        <v>105</v>
      </c>
      <c r="F86" s="300" t="s">
        <v>106</v>
      </c>
      <c r="G86" s="300" t="s">
        <v>107</v>
      </c>
      <c r="H86" s="364"/>
      <c r="I86" s="300" t="s">
        <v>105</v>
      </c>
      <c r="J86" s="300" t="s">
        <v>106</v>
      </c>
      <c r="K86" s="300" t="s">
        <v>107</v>
      </c>
      <c r="L86" s="364"/>
      <c r="M86" s="357"/>
      <c r="N86" s="361"/>
      <c r="O86" s="361"/>
      <c r="P86" s="300" t="s">
        <v>105</v>
      </c>
      <c r="Q86" s="300" t="s">
        <v>106</v>
      </c>
      <c r="R86" s="300" t="s">
        <v>107</v>
      </c>
      <c r="S86" s="300" t="s">
        <v>100</v>
      </c>
      <c r="T86" s="361"/>
      <c r="U86" s="300" t="s">
        <v>105</v>
      </c>
      <c r="V86" s="300" t="s">
        <v>106</v>
      </c>
      <c r="W86" s="300" t="s">
        <v>107</v>
      </c>
      <c r="X86" s="300" t="s">
        <v>100</v>
      </c>
      <c r="Y86" s="361"/>
      <c r="Z86" s="300" t="s">
        <v>105</v>
      </c>
      <c r="AA86" s="300" t="s">
        <v>106</v>
      </c>
      <c r="AB86" s="300" t="s">
        <v>107</v>
      </c>
      <c r="AC86" s="300" t="s">
        <v>100</v>
      </c>
      <c r="AD86" s="361"/>
      <c r="AE86" s="300" t="s">
        <v>105</v>
      </c>
      <c r="AF86" s="300" t="s">
        <v>106</v>
      </c>
      <c r="AG86" s="300" t="s">
        <v>107</v>
      </c>
      <c r="AH86" s="300" t="s">
        <v>100</v>
      </c>
      <c r="AI86" s="361"/>
      <c r="AJ86" s="300" t="s">
        <v>105</v>
      </c>
      <c r="AK86" s="300" t="s">
        <v>106</v>
      </c>
      <c r="AL86" s="300" t="s">
        <v>107</v>
      </c>
      <c r="AM86" s="300" t="s">
        <v>100</v>
      </c>
      <c r="AN86" s="361"/>
      <c r="AO86" s="300" t="s">
        <v>105</v>
      </c>
      <c r="AP86" s="300" t="s">
        <v>106</v>
      </c>
      <c r="AQ86" s="300" t="s">
        <v>107</v>
      </c>
      <c r="AR86" s="300" t="s">
        <v>100</v>
      </c>
      <c r="AS86" s="361"/>
      <c r="AT86" s="300" t="s">
        <v>105</v>
      </c>
      <c r="AU86" s="300" t="s">
        <v>106</v>
      </c>
      <c r="AV86" s="300" t="s">
        <v>107</v>
      </c>
      <c r="AW86" s="300" t="s">
        <v>100</v>
      </c>
      <c r="AX86" s="361"/>
    </row>
    <row r="87" spans="2:50">
      <c r="B87" s="361" t="s">
        <v>84</v>
      </c>
      <c r="C87" s="301">
        <v>1</v>
      </c>
      <c r="D87" s="301" t="s">
        <v>134</v>
      </c>
      <c r="E87" s="302">
        <f>VLOOKUP(D87,'[1]0801-0804產線配置圖'!$A$2:$C$25,2,0)</f>
        <v>12</v>
      </c>
      <c r="F87" s="302">
        <f>VLOOKUP(D87,'[1]0801-0804產線配置圖'!$A$2:$C$25,3,0)</f>
        <v>1714</v>
      </c>
      <c r="G87" s="303">
        <f>F87/E87</f>
        <v>142.83333333333334</v>
      </c>
      <c r="H87" s="375" t="e">
        <f>AVERAGE(G87:G101)</f>
        <v>#N/A</v>
      </c>
      <c r="I87" s="302">
        <f>AVERAGE(P87,U87,Z87,AE87,AJ87,AO87,AT87)</f>
        <v>13</v>
      </c>
      <c r="J87" s="302">
        <f>AVERAGE(Q87,V87,AA87,AF87,AK87,AP87,AU87)</f>
        <v>1354.2857142857142</v>
      </c>
      <c r="K87" s="303">
        <f>AVERAGE(R87,W87,AB87,AG87,AL87,AQ87,AV87)</f>
        <v>104.17582417582419</v>
      </c>
      <c r="L87" s="375">
        <f>IFERROR(AVERAGE(K87:K101),"-")</f>
        <v>113.6388000888001</v>
      </c>
      <c r="M87" s="302">
        <f>RANK(K87, K$87:$K$101)</f>
        <v>3</v>
      </c>
      <c r="N87" s="361"/>
      <c r="O87" s="361"/>
      <c r="P87" s="301">
        <v>13</v>
      </c>
      <c r="Q87" s="301">
        <v>1172</v>
      </c>
      <c r="R87" s="303">
        <f>Q87/P87</f>
        <v>90.15384615384616</v>
      </c>
      <c r="S87" s="301">
        <f>RANK(R87,$R$87:$R$101)</f>
        <v>3</v>
      </c>
      <c r="T87" s="373">
        <f>AVERAGE(R87:R101)</f>
        <v>100.66666666666667</v>
      </c>
      <c r="U87" s="301">
        <v>13</v>
      </c>
      <c r="V87" s="301">
        <v>1386</v>
      </c>
      <c r="W87" s="303">
        <f>V87/U87</f>
        <v>106.61538461538461</v>
      </c>
      <c r="X87" s="301">
        <f>RANK(W87,$W$87:$W$90)</f>
        <v>2</v>
      </c>
      <c r="Y87" s="373">
        <f>AVERAGE(W87:W101)</f>
        <v>106.21775446775446</v>
      </c>
      <c r="Z87" s="301">
        <v>13</v>
      </c>
      <c r="AA87" s="301">
        <v>1362</v>
      </c>
      <c r="AB87" s="303">
        <f>AA87/Z87</f>
        <v>104.76923076923077</v>
      </c>
      <c r="AC87" s="301">
        <f>RANK(AB87,$AB$87:$AB$101)</f>
        <v>3</v>
      </c>
      <c r="AD87" s="373">
        <f>AVERAGE(AB87:AB101)</f>
        <v>113.1897435897436</v>
      </c>
      <c r="AE87" s="301">
        <v>13</v>
      </c>
      <c r="AF87" s="301">
        <v>1333</v>
      </c>
      <c r="AG87" s="303">
        <f>AF87/AE87</f>
        <v>102.53846153846153</v>
      </c>
      <c r="AH87" s="301">
        <f>RANK(AG87,$AG$87:$AG$101)</f>
        <v>3</v>
      </c>
      <c r="AI87" s="373">
        <f>AVERAGE(AG87:AG101)</f>
        <v>111.12948717948719</v>
      </c>
      <c r="AJ87" s="301">
        <v>13</v>
      </c>
      <c r="AK87" s="301">
        <v>1261</v>
      </c>
      <c r="AL87" s="303">
        <f>AK87/AJ87</f>
        <v>97</v>
      </c>
      <c r="AM87" s="301">
        <f>RANK(AL87,$AL$87:$AL$90)</f>
        <v>3</v>
      </c>
      <c r="AN87" s="373">
        <f>AVERAGE(AL87:AL101)</f>
        <v>109.68333333333334</v>
      </c>
      <c r="AO87" s="301">
        <v>13</v>
      </c>
      <c r="AP87" s="301">
        <v>1469</v>
      </c>
      <c r="AQ87" s="303">
        <f>AP87/AO87</f>
        <v>113</v>
      </c>
      <c r="AR87" s="301">
        <f>RANK(AQ87,$AQ$87:$AQ$90)</f>
        <v>3</v>
      </c>
      <c r="AS87" s="373">
        <f>AVERAGE(AQ87:AQ101)</f>
        <v>129.40555555555557</v>
      </c>
      <c r="AT87" s="301">
        <v>13</v>
      </c>
      <c r="AU87" s="301">
        <v>1497</v>
      </c>
      <c r="AV87" s="303">
        <f>AU87/AT87</f>
        <v>115.15384615384616</v>
      </c>
      <c r="AW87" s="301">
        <f>RANK(AV87,$AV$87:$AV$90)</f>
        <v>3</v>
      </c>
      <c r="AX87" s="373">
        <f>AVERAGE(AV87:AV101)</f>
        <v>125.17905982905984</v>
      </c>
    </row>
    <row r="88" spans="2:50">
      <c r="B88" s="354"/>
      <c r="C88" s="301">
        <v>2</v>
      </c>
      <c r="D88" s="301" t="s">
        <v>135</v>
      </c>
      <c r="E88" s="302">
        <f>VLOOKUP(D88,'[1]0801-0804產線配置圖'!$A$2:$C$25,2,0)</f>
        <v>11</v>
      </c>
      <c r="F88" s="302">
        <f>VLOOKUP(D88,'[1]0801-0804產線配置圖'!$A$2:$C$25,3,0)</f>
        <v>1800</v>
      </c>
      <c r="G88" s="303">
        <f t="shared" ref="G88:G89" si="65">F88/E88</f>
        <v>163.63636363636363</v>
      </c>
      <c r="H88" s="376"/>
      <c r="I88" s="302">
        <f t="shared" ref="I88:K90" si="66">AVERAGE(P88,U88,Z88,AE88,AJ88,AO88,AT88)</f>
        <v>12.142857142857142</v>
      </c>
      <c r="J88" s="302">
        <f t="shared" si="66"/>
        <v>1353.7142857142858</v>
      </c>
      <c r="K88" s="303">
        <f t="shared" si="66"/>
        <v>111.43498168498169</v>
      </c>
      <c r="L88" s="376"/>
      <c r="M88" s="302">
        <f>RANK(K88, K$87:$K$101)</f>
        <v>2</v>
      </c>
      <c r="N88" s="361"/>
      <c r="O88" s="361"/>
      <c r="P88" s="301">
        <v>13</v>
      </c>
      <c r="Q88" s="301">
        <v>1501</v>
      </c>
      <c r="R88" s="303">
        <f t="shared" ref="R88" si="67">Q88/P88</f>
        <v>115.46153846153847</v>
      </c>
      <c r="S88" s="301">
        <f t="shared" ref="S88:S90" si="68">RANK(R88,$R$87:$R$101)</f>
        <v>1</v>
      </c>
      <c r="T88" s="373"/>
      <c r="U88" s="301">
        <v>12</v>
      </c>
      <c r="V88" s="301">
        <v>1303</v>
      </c>
      <c r="W88" s="303">
        <f t="shared" ref="W88" si="69">V88/U88</f>
        <v>108.58333333333333</v>
      </c>
      <c r="X88" s="301">
        <f t="shared" ref="X88:X90" si="70">RANK(W88,$W$87:$W$90)</f>
        <v>1</v>
      </c>
      <c r="Y88" s="373"/>
      <c r="Z88" s="301">
        <v>12</v>
      </c>
      <c r="AA88" s="301">
        <v>1284</v>
      </c>
      <c r="AB88" s="303">
        <f t="shared" ref="AB88:AB90" si="71">AA88/Z88</f>
        <v>107</v>
      </c>
      <c r="AC88" s="301">
        <f t="shared" ref="AC88:AC90" si="72">RANK(AB88,$AB$87:$AB$101)</f>
        <v>2</v>
      </c>
      <c r="AD88" s="373"/>
      <c r="AE88" s="301">
        <v>12</v>
      </c>
      <c r="AF88" s="301">
        <v>1275</v>
      </c>
      <c r="AG88" s="303">
        <f t="shared" ref="AG88" si="73">AF88/AE88</f>
        <v>106.25</v>
      </c>
      <c r="AH88" s="301">
        <f t="shared" ref="AH88:AH90" si="74">RANK(AG88,$AG$87:$AG$101)</f>
        <v>2</v>
      </c>
      <c r="AI88" s="373"/>
      <c r="AJ88" s="301">
        <v>12</v>
      </c>
      <c r="AK88" s="301">
        <v>1233</v>
      </c>
      <c r="AL88" s="303">
        <f t="shared" ref="AL88" si="75">AK88/AJ88</f>
        <v>102.75</v>
      </c>
      <c r="AM88" s="301">
        <f t="shared" ref="AM88:AM90" si="76">RANK(AL88,$AL$87:$AL$90)</f>
        <v>2</v>
      </c>
      <c r="AN88" s="373"/>
      <c r="AO88" s="301">
        <v>12</v>
      </c>
      <c r="AP88" s="301">
        <v>1463</v>
      </c>
      <c r="AQ88" s="303">
        <f t="shared" ref="AQ88" si="77">AP88/AO88</f>
        <v>121.91666666666667</v>
      </c>
      <c r="AR88" s="301">
        <f t="shared" ref="AR88:AR90" si="78">RANK(AQ88,$AQ$87:$AQ$90)</f>
        <v>2</v>
      </c>
      <c r="AS88" s="373"/>
      <c r="AT88" s="301">
        <v>12</v>
      </c>
      <c r="AU88" s="301">
        <v>1417</v>
      </c>
      <c r="AV88" s="303">
        <f t="shared" ref="AV88" si="79">AU88/AT88</f>
        <v>118.08333333333333</v>
      </c>
      <c r="AW88" s="301">
        <f t="shared" ref="AW88:AW90" si="80">RANK(AV88,$AV$87:$AV$90)</f>
        <v>2</v>
      </c>
      <c r="AX88" s="373"/>
    </row>
    <row r="89" spans="2:50">
      <c r="B89" s="354"/>
      <c r="C89" s="301">
        <v>3</v>
      </c>
      <c r="D89" s="301" t="s">
        <v>136</v>
      </c>
      <c r="E89" s="302">
        <f>VLOOKUP(D89,'[1]0801-0804產線配置圖'!$A$2:$C$25,2,0)</f>
        <v>10</v>
      </c>
      <c r="F89" s="302">
        <f>VLOOKUP(D89,'[1]0801-0804產線配置圖'!$A$2:$C$25,3,0)</f>
        <v>1500</v>
      </c>
      <c r="G89" s="303">
        <f t="shared" si="65"/>
        <v>150</v>
      </c>
      <c r="H89" s="376"/>
      <c r="I89" s="302"/>
      <c r="J89" s="302"/>
      <c r="K89" s="303"/>
      <c r="L89" s="376"/>
      <c r="M89" s="302"/>
      <c r="N89" s="361"/>
      <c r="O89" s="361"/>
      <c r="P89" s="301"/>
      <c r="Q89" s="301"/>
      <c r="R89" s="303"/>
      <c r="S89" s="301"/>
      <c r="T89" s="373"/>
      <c r="U89" s="301"/>
      <c r="V89" s="301"/>
      <c r="W89" s="303"/>
      <c r="X89" s="301" t="e">
        <f t="shared" si="70"/>
        <v>#N/A</v>
      </c>
      <c r="Y89" s="373"/>
      <c r="Z89" s="301"/>
      <c r="AA89" s="301"/>
      <c r="AB89" s="303"/>
      <c r="AC89" s="301"/>
      <c r="AD89" s="373"/>
      <c r="AE89" s="301"/>
      <c r="AF89" s="301"/>
      <c r="AG89" s="303"/>
      <c r="AH89" s="301"/>
      <c r="AI89" s="373"/>
      <c r="AJ89" s="301"/>
      <c r="AK89" s="301"/>
      <c r="AL89" s="303"/>
      <c r="AM89" s="301"/>
      <c r="AN89" s="373"/>
      <c r="AO89" s="301"/>
      <c r="AP89" s="301"/>
      <c r="AQ89" s="303"/>
      <c r="AR89" s="301"/>
      <c r="AS89" s="373"/>
      <c r="AT89" s="301"/>
      <c r="AU89" s="301"/>
      <c r="AV89" s="303"/>
      <c r="AW89" s="301"/>
      <c r="AX89" s="373"/>
    </row>
    <row r="90" spans="2:50" ht="13.5">
      <c r="B90" s="354"/>
      <c r="C90" s="301">
        <v>4</v>
      </c>
      <c r="D90" s="306" t="s">
        <v>137</v>
      </c>
      <c r="E90" s="302" t="e">
        <f>VLOOKUP(D90,'[1]0801-0804產線配置圖'!$A$2:$C$25,2,0)</f>
        <v>#N/A</v>
      </c>
      <c r="F90" s="302" t="e">
        <f>VLOOKUP(D90,'[1]0801-0804產線配置圖'!$A$2:$C$25,3,0)</f>
        <v>#N/A</v>
      </c>
      <c r="G90" s="303" t="e">
        <f t="shared" ref="G90" si="81">F90/E90</f>
        <v>#N/A</v>
      </c>
      <c r="H90" s="376"/>
      <c r="I90" s="302">
        <f t="shared" si="66"/>
        <v>10.571428571428571</v>
      </c>
      <c r="J90" s="302">
        <f t="shared" si="66"/>
        <v>1309.1428571428571</v>
      </c>
      <c r="K90" s="303">
        <f t="shared" si="66"/>
        <v>125.30559440559439</v>
      </c>
      <c r="L90" s="376"/>
      <c r="M90" s="302">
        <f>RANK(K90, K$87:$K$101)</f>
        <v>1</v>
      </c>
      <c r="N90" s="361"/>
      <c r="O90" s="361"/>
      <c r="P90" s="301">
        <v>13</v>
      </c>
      <c r="Q90" s="301">
        <v>1253</v>
      </c>
      <c r="R90" s="303">
        <f t="shared" ref="R90" si="82">Q90/P90</f>
        <v>96.384615384615387</v>
      </c>
      <c r="S90" s="301">
        <f t="shared" si="68"/>
        <v>2</v>
      </c>
      <c r="T90" s="373"/>
      <c r="U90" s="301">
        <v>11</v>
      </c>
      <c r="V90" s="301">
        <v>1138</v>
      </c>
      <c r="W90" s="303">
        <f>V90/U90</f>
        <v>103.45454545454545</v>
      </c>
      <c r="X90" s="301">
        <f t="shared" si="70"/>
        <v>3</v>
      </c>
      <c r="Y90" s="373"/>
      <c r="Z90" s="301">
        <v>10</v>
      </c>
      <c r="AA90" s="301">
        <v>1278</v>
      </c>
      <c r="AB90" s="303">
        <f t="shared" si="71"/>
        <v>127.8</v>
      </c>
      <c r="AC90" s="301">
        <f t="shared" si="72"/>
        <v>1</v>
      </c>
      <c r="AD90" s="373"/>
      <c r="AE90" s="301">
        <v>10</v>
      </c>
      <c r="AF90" s="301">
        <v>1246</v>
      </c>
      <c r="AG90" s="303">
        <f t="shared" ref="AG90" si="83">AF90/AE90</f>
        <v>124.6</v>
      </c>
      <c r="AH90" s="301">
        <f t="shared" si="74"/>
        <v>1</v>
      </c>
      <c r="AI90" s="373"/>
      <c r="AJ90" s="301">
        <v>10</v>
      </c>
      <c r="AK90" s="301">
        <v>1293</v>
      </c>
      <c r="AL90" s="303">
        <f t="shared" ref="AL90" si="84">AK90/AJ90</f>
        <v>129.30000000000001</v>
      </c>
      <c r="AM90" s="301">
        <f t="shared" si="76"/>
        <v>1</v>
      </c>
      <c r="AN90" s="373"/>
      <c r="AO90" s="301">
        <v>10</v>
      </c>
      <c r="AP90" s="301">
        <v>1533</v>
      </c>
      <c r="AQ90" s="303">
        <f t="shared" ref="AQ90" si="85">AP90/AO90</f>
        <v>153.30000000000001</v>
      </c>
      <c r="AR90" s="301">
        <f t="shared" si="78"/>
        <v>1</v>
      </c>
      <c r="AS90" s="373"/>
      <c r="AT90" s="301">
        <v>10</v>
      </c>
      <c r="AU90" s="301">
        <v>1423</v>
      </c>
      <c r="AV90" s="303">
        <f t="shared" ref="AV90" si="86">AU90/AT90</f>
        <v>142.30000000000001</v>
      </c>
      <c r="AW90" s="301">
        <f t="shared" si="80"/>
        <v>1</v>
      </c>
      <c r="AX90" s="373"/>
    </row>
    <row r="91" spans="2:50">
      <c r="B91" s="354"/>
      <c r="C91" s="301">
        <v>5</v>
      </c>
      <c r="D91" s="301"/>
      <c r="E91" s="302"/>
      <c r="F91" s="302"/>
      <c r="G91" s="303"/>
      <c r="H91" s="376"/>
      <c r="I91" s="302"/>
      <c r="J91" s="302"/>
      <c r="K91" s="303"/>
      <c r="L91" s="376"/>
      <c r="M91" s="302"/>
      <c r="N91" s="361"/>
      <c r="O91" s="361"/>
      <c r="P91" s="301"/>
      <c r="Q91" s="301"/>
      <c r="R91" s="301"/>
      <c r="S91" s="301"/>
      <c r="T91" s="373"/>
      <c r="U91" s="301"/>
      <c r="V91" s="301"/>
      <c r="W91" s="301"/>
      <c r="X91" s="301"/>
      <c r="Y91" s="373"/>
      <c r="Z91" s="301"/>
      <c r="AA91" s="301"/>
      <c r="AB91" s="301"/>
      <c r="AC91" s="301"/>
      <c r="AD91" s="373"/>
      <c r="AE91" s="301"/>
      <c r="AF91" s="301"/>
      <c r="AG91" s="301"/>
      <c r="AH91" s="301"/>
      <c r="AI91" s="373"/>
      <c r="AJ91" s="301"/>
      <c r="AK91" s="301"/>
      <c r="AL91" s="301"/>
      <c r="AM91" s="301"/>
      <c r="AN91" s="373"/>
      <c r="AO91" s="301"/>
      <c r="AP91" s="301"/>
      <c r="AQ91" s="301"/>
      <c r="AR91" s="301"/>
      <c r="AS91" s="373"/>
      <c r="AT91" s="301"/>
      <c r="AU91" s="301"/>
      <c r="AV91" s="301"/>
      <c r="AW91" s="301"/>
      <c r="AX91" s="373"/>
    </row>
    <row r="92" spans="2:50">
      <c r="B92" s="354"/>
      <c r="C92" s="301">
        <v>6</v>
      </c>
      <c r="D92" s="301"/>
      <c r="E92" s="302"/>
      <c r="F92" s="302"/>
      <c r="G92" s="303"/>
      <c r="H92" s="376"/>
      <c r="I92" s="302"/>
      <c r="J92" s="302"/>
      <c r="K92" s="303"/>
      <c r="L92" s="376"/>
      <c r="M92" s="302"/>
      <c r="N92" s="361"/>
      <c r="O92" s="361"/>
      <c r="P92" s="301"/>
      <c r="Q92" s="301"/>
      <c r="R92" s="301"/>
      <c r="S92" s="301"/>
      <c r="T92" s="373"/>
      <c r="U92" s="301"/>
      <c r="V92" s="301"/>
      <c r="W92" s="301"/>
      <c r="X92" s="301"/>
      <c r="Y92" s="373"/>
      <c r="Z92" s="301"/>
      <c r="AA92" s="301"/>
      <c r="AB92" s="301"/>
      <c r="AC92" s="301"/>
      <c r="AD92" s="373"/>
      <c r="AE92" s="301"/>
      <c r="AF92" s="301"/>
      <c r="AG92" s="301"/>
      <c r="AH92" s="301"/>
      <c r="AI92" s="373"/>
      <c r="AJ92" s="301"/>
      <c r="AK92" s="301"/>
      <c r="AL92" s="301"/>
      <c r="AM92" s="301"/>
      <c r="AN92" s="373"/>
      <c r="AO92" s="301"/>
      <c r="AP92" s="301"/>
      <c r="AQ92" s="301"/>
      <c r="AR92" s="301"/>
      <c r="AS92" s="373"/>
      <c r="AT92" s="301"/>
      <c r="AU92" s="301"/>
      <c r="AV92" s="301"/>
      <c r="AW92" s="301"/>
      <c r="AX92" s="373"/>
    </row>
    <row r="93" spans="2:50">
      <c r="B93" s="354"/>
      <c r="C93" s="301">
        <v>7</v>
      </c>
      <c r="D93" s="301"/>
      <c r="E93" s="302"/>
      <c r="F93" s="302"/>
      <c r="G93" s="303"/>
      <c r="H93" s="376"/>
      <c r="I93" s="302"/>
      <c r="J93" s="302"/>
      <c r="K93" s="303"/>
      <c r="L93" s="376"/>
      <c r="M93" s="302"/>
      <c r="N93" s="361"/>
      <c r="O93" s="361"/>
      <c r="P93" s="301"/>
      <c r="Q93" s="301"/>
      <c r="R93" s="301"/>
      <c r="S93" s="301"/>
      <c r="T93" s="373"/>
      <c r="U93" s="301"/>
      <c r="V93" s="301"/>
      <c r="W93" s="301"/>
      <c r="X93" s="301"/>
      <c r="Y93" s="373"/>
      <c r="Z93" s="301"/>
      <c r="AA93" s="301"/>
      <c r="AB93" s="301"/>
      <c r="AC93" s="301"/>
      <c r="AD93" s="373"/>
      <c r="AE93" s="301"/>
      <c r="AF93" s="301"/>
      <c r="AG93" s="301"/>
      <c r="AH93" s="301"/>
      <c r="AI93" s="373"/>
      <c r="AJ93" s="301"/>
      <c r="AK93" s="301"/>
      <c r="AL93" s="301"/>
      <c r="AM93" s="301"/>
      <c r="AN93" s="373"/>
      <c r="AO93" s="301"/>
      <c r="AP93" s="301"/>
      <c r="AQ93" s="301"/>
      <c r="AR93" s="301"/>
      <c r="AS93" s="373"/>
      <c r="AT93" s="301"/>
      <c r="AU93" s="301"/>
      <c r="AV93" s="301"/>
      <c r="AW93" s="301"/>
      <c r="AX93" s="373"/>
    </row>
    <row r="94" spans="2:50">
      <c r="B94" s="354"/>
      <c r="C94" s="301">
        <v>8</v>
      </c>
      <c r="D94" s="301"/>
      <c r="E94" s="301"/>
      <c r="F94" s="301"/>
      <c r="G94" s="301"/>
      <c r="H94" s="376"/>
      <c r="I94" s="302"/>
      <c r="J94" s="302"/>
      <c r="K94" s="303"/>
      <c r="L94" s="376"/>
      <c r="M94" s="302"/>
      <c r="N94" s="361"/>
      <c r="O94" s="361"/>
      <c r="P94" s="301"/>
      <c r="Q94" s="301"/>
      <c r="R94" s="301"/>
      <c r="S94" s="301"/>
      <c r="T94" s="373"/>
      <c r="U94" s="301"/>
      <c r="V94" s="301"/>
      <c r="W94" s="301"/>
      <c r="X94" s="301"/>
      <c r="Y94" s="373"/>
      <c r="Z94" s="301"/>
      <c r="AA94" s="301"/>
      <c r="AB94" s="301"/>
      <c r="AC94" s="301"/>
      <c r="AD94" s="373"/>
      <c r="AE94" s="301"/>
      <c r="AF94" s="301"/>
      <c r="AG94" s="301"/>
      <c r="AH94" s="301"/>
      <c r="AI94" s="373"/>
      <c r="AJ94" s="301"/>
      <c r="AK94" s="301"/>
      <c r="AL94" s="301"/>
      <c r="AM94" s="301"/>
      <c r="AN94" s="373"/>
      <c r="AO94" s="301"/>
      <c r="AP94" s="301"/>
      <c r="AQ94" s="301"/>
      <c r="AR94" s="301"/>
      <c r="AS94" s="373"/>
      <c r="AT94" s="301"/>
      <c r="AU94" s="301"/>
      <c r="AV94" s="301"/>
      <c r="AW94" s="301"/>
      <c r="AX94" s="373"/>
    </row>
    <row r="95" spans="2:50">
      <c r="B95" s="354"/>
      <c r="C95" s="301">
        <v>9</v>
      </c>
      <c r="D95" s="301"/>
      <c r="E95" s="301"/>
      <c r="F95" s="301"/>
      <c r="G95" s="301"/>
      <c r="H95" s="376"/>
      <c r="I95" s="302"/>
      <c r="J95" s="302"/>
      <c r="K95" s="303"/>
      <c r="L95" s="376"/>
      <c r="M95" s="302"/>
      <c r="N95" s="361"/>
      <c r="O95" s="361"/>
      <c r="P95" s="301"/>
      <c r="Q95" s="301"/>
      <c r="R95" s="301"/>
      <c r="S95" s="301"/>
      <c r="T95" s="373"/>
      <c r="U95" s="301"/>
      <c r="V95" s="301"/>
      <c r="W95" s="301"/>
      <c r="X95" s="301"/>
      <c r="Y95" s="373"/>
      <c r="Z95" s="301"/>
      <c r="AA95" s="301"/>
      <c r="AB95" s="301"/>
      <c r="AC95" s="301"/>
      <c r="AD95" s="373"/>
      <c r="AE95" s="301"/>
      <c r="AF95" s="301"/>
      <c r="AG95" s="301"/>
      <c r="AH95" s="301"/>
      <c r="AI95" s="373"/>
      <c r="AJ95" s="301"/>
      <c r="AK95" s="301"/>
      <c r="AL95" s="301"/>
      <c r="AM95" s="301"/>
      <c r="AN95" s="373"/>
      <c r="AO95" s="301"/>
      <c r="AP95" s="301"/>
      <c r="AQ95" s="301"/>
      <c r="AR95" s="301"/>
      <c r="AS95" s="373"/>
      <c r="AT95" s="301"/>
      <c r="AU95" s="301"/>
      <c r="AV95" s="301"/>
      <c r="AW95" s="301"/>
      <c r="AX95" s="373"/>
    </row>
    <row r="96" spans="2:50">
      <c r="B96" s="354"/>
      <c r="C96" s="301">
        <v>10</v>
      </c>
      <c r="D96" s="301"/>
      <c r="E96" s="301"/>
      <c r="F96" s="301"/>
      <c r="G96" s="301"/>
      <c r="H96" s="376"/>
      <c r="I96" s="302"/>
      <c r="J96" s="302"/>
      <c r="K96" s="303"/>
      <c r="L96" s="376"/>
      <c r="M96" s="302"/>
      <c r="N96" s="361"/>
      <c r="O96" s="361"/>
      <c r="P96" s="301"/>
      <c r="Q96" s="301"/>
      <c r="R96" s="301"/>
      <c r="S96" s="301"/>
      <c r="T96" s="373"/>
      <c r="U96" s="301"/>
      <c r="V96" s="301"/>
      <c r="W96" s="301"/>
      <c r="X96" s="301"/>
      <c r="Y96" s="373"/>
      <c r="Z96" s="301"/>
      <c r="AA96" s="301"/>
      <c r="AB96" s="301"/>
      <c r="AC96" s="301"/>
      <c r="AD96" s="373"/>
      <c r="AE96" s="301"/>
      <c r="AF96" s="301"/>
      <c r="AG96" s="301"/>
      <c r="AH96" s="301"/>
      <c r="AI96" s="373"/>
      <c r="AJ96" s="301"/>
      <c r="AK96" s="301"/>
      <c r="AL96" s="301"/>
      <c r="AM96" s="301"/>
      <c r="AN96" s="373"/>
      <c r="AO96" s="301"/>
      <c r="AP96" s="301"/>
      <c r="AQ96" s="301"/>
      <c r="AR96" s="301"/>
      <c r="AS96" s="373"/>
      <c r="AT96" s="301"/>
      <c r="AU96" s="301"/>
      <c r="AV96" s="301"/>
      <c r="AW96" s="301"/>
      <c r="AX96" s="373"/>
    </row>
    <row r="97" spans="2:50">
      <c r="B97" s="354"/>
      <c r="C97" s="301">
        <v>11</v>
      </c>
      <c r="D97" s="301"/>
      <c r="E97" s="301"/>
      <c r="F97" s="301"/>
      <c r="G97" s="301"/>
      <c r="H97" s="376"/>
      <c r="I97" s="302"/>
      <c r="J97" s="302"/>
      <c r="K97" s="303"/>
      <c r="L97" s="376"/>
      <c r="M97" s="302"/>
      <c r="N97" s="361"/>
      <c r="O97" s="361"/>
      <c r="P97" s="301"/>
      <c r="Q97" s="301"/>
      <c r="R97" s="301"/>
      <c r="S97" s="301"/>
      <c r="T97" s="373"/>
      <c r="U97" s="301"/>
      <c r="V97" s="301"/>
      <c r="W97" s="301"/>
      <c r="X97" s="301"/>
      <c r="Y97" s="373"/>
      <c r="Z97" s="301"/>
      <c r="AA97" s="301"/>
      <c r="AB97" s="301"/>
      <c r="AC97" s="301"/>
      <c r="AD97" s="373"/>
      <c r="AE97" s="301"/>
      <c r="AF97" s="301"/>
      <c r="AG97" s="301"/>
      <c r="AH97" s="301"/>
      <c r="AI97" s="373"/>
      <c r="AJ97" s="301"/>
      <c r="AK97" s="301"/>
      <c r="AL97" s="301"/>
      <c r="AM97" s="301"/>
      <c r="AN97" s="373"/>
      <c r="AO97" s="301"/>
      <c r="AP97" s="301"/>
      <c r="AQ97" s="301"/>
      <c r="AR97" s="301"/>
      <c r="AS97" s="373"/>
      <c r="AT97" s="301"/>
      <c r="AU97" s="301"/>
      <c r="AV97" s="301"/>
      <c r="AW97" s="301"/>
      <c r="AX97" s="373"/>
    </row>
    <row r="98" spans="2:50">
      <c r="B98" s="354"/>
      <c r="C98" s="301">
        <v>12</v>
      </c>
      <c r="D98" s="301"/>
      <c r="E98" s="301"/>
      <c r="F98" s="301"/>
      <c r="G98" s="301"/>
      <c r="H98" s="376"/>
      <c r="I98" s="302"/>
      <c r="J98" s="302"/>
      <c r="K98" s="303"/>
      <c r="L98" s="376"/>
      <c r="M98" s="302"/>
      <c r="N98" s="361"/>
      <c r="O98" s="361"/>
      <c r="P98" s="301"/>
      <c r="Q98" s="301"/>
      <c r="R98" s="301"/>
      <c r="S98" s="301"/>
      <c r="T98" s="373"/>
      <c r="U98" s="301"/>
      <c r="V98" s="301"/>
      <c r="W98" s="301"/>
      <c r="X98" s="301"/>
      <c r="Y98" s="373"/>
      <c r="Z98" s="301"/>
      <c r="AA98" s="301"/>
      <c r="AB98" s="301"/>
      <c r="AC98" s="301"/>
      <c r="AD98" s="373"/>
      <c r="AE98" s="301"/>
      <c r="AF98" s="301"/>
      <c r="AG98" s="301"/>
      <c r="AH98" s="301"/>
      <c r="AI98" s="373"/>
      <c r="AJ98" s="301"/>
      <c r="AK98" s="301"/>
      <c r="AL98" s="301"/>
      <c r="AM98" s="301"/>
      <c r="AN98" s="373"/>
      <c r="AO98" s="301"/>
      <c r="AP98" s="301"/>
      <c r="AQ98" s="301"/>
      <c r="AR98" s="301"/>
      <c r="AS98" s="373"/>
      <c r="AT98" s="301"/>
      <c r="AU98" s="301"/>
      <c r="AV98" s="301"/>
      <c r="AW98" s="301"/>
      <c r="AX98" s="373"/>
    </row>
    <row r="99" spans="2:50">
      <c r="B99" s="354"/>
      <c r="C99" s="301">
        <v>13</v>
      </c>
      <c r="D99" s="301"/>
      <c r="E99" s="301"/>
      <c r="F99" s="301"/>
      <c r="G99" s="301"/>
      <c r="H99" s="376"/>
      <c r="I99" s="302"/>
      <c r="J99" s="302"/>
      <c r="K99" s="303"/>
      <c r="L99" s="376"/>
      <c r="M99" s="302"/>
      <c r="N99" s="361"/>
      <c r="O99" s="361"/>
      <c r="P99" s="301"/>
      <c r="Q99" s="301"/>
      <c r="R99" s="301"/>
      <c r="S99" s="301"/>
      <c r="T99" s="373"/>
      <c r="U99" s="301"/>
      <c r="V99" s="301"/>
      <c r="W99" s="301"/>
      <c r="X99" s="301"/>
      <c r="Y99" s="373"/>
      <c r="Z99" s="301"/>
      <c r="AA99" s="301"/>
      <c r="AB99" s="301"/>
      <c r="AC99" s="301"/>
      <c r="AD99" s="373"/>
      <c r="AE99" s="301"/>
      <c r="AF99" s="301"/>
      <c r="AG99" s="301"/>
      <c r="AH99" s="301"/>
      <c r="AI99" s="373"/>
      <c r="AJ99" s="301"/>
      <c r="AK99" s="301"/>
      <c r="AL99" s="301"/>
      <c r="AM99" s="301"/>
      <c r="AN99" s="373"/>
      <c r="AO99" s="301"/>
      <c r="AP99" s="301"/>
      <c r="AQ99" s="301"/>
      <c r="AR99" s="301"/>
      <c r="AS99" s="373"/>
      <c r="AT99" s="301"/>
      <c r="AU99" s="301"/>
      <c r="AV99" s="301"/>
      <c r="AW99" s="301"/>
      <c r="AX99" s="373"/>
    </row>
    <row r="100" spans="2:50">
      <c r="B100" s="354"/>
      <c r="C100" s="301">
        <v>14</v>
      </c>
      <c r="D100" s="301"/>
      <c r="E100" s="301"/>
      <c r="F100" s="301"/>
      <c r="G100" s="301"/>
      <c r="H100" s="376"/>
      <c r="I100" s="302"/>
      <c r="J100" s="302"/>
      <c r="K100" s="303"/>
      <c r="L100" s="376"/>
      <c r="M100" s="302"/>
      <c r="N100" s="361"/>
      <c r="O100" s="361"/>
      <c r="P100" s="301"/>
      <c r="Q100" s="301"/>
      <c r="R100" s="301"/>
      <c r="S100" s="301"/>
      <c r="T100" s="373"/>
      <c r="U100" s="301"/>
      <c r="V100" s="301"/>
      <c r="W100" s="301"/>
      <c r="X100" s="301"/>
      <c r="Y100" s="373"/>
      <c r="Z100" s="301"/>
      <c r="AA100" s="301"/>
      <c r="AB100" s="301"/>
      <c r="AC100" s="301"/>
      <c r="AD100" s="373"/>
      <c r="AE100" s="301"/>
      <c r="AF100" s="301"/>
      <c r="AG100" s="301"/>
      <c r="AH100" s="301"/>
      <c r="AI100" s="373"/>
      <c r="AJ100" s="301"/>
      <c r="AK100" s="301"/>
      <c r="AL100" s="301"/>
      <c r="AM100" s="301"/>
      <c r="AN100" s="373"/>
      <c r="AO100" s="301"/>
      <c r="AP100" s="301"/>
      <c r="AQ100" s="301"/>
      <c r="AR100" s="301"/>
      <c r="AS100" s="373"/>
      <c r="AT100" s="301"/>
      <c r="AU100" s="301"/>
      <c r="AV100" s="301"/>
      <c r="AW100" s="301"/>
      <c r="AX100" s="373"/>
    </row>
    <row r="101" spans="2:50">
      <c r="B101" s="354"/>
      <c r="C101" s="301">
        <v>15</v>
      </c>
      <c r="D101" s="301"/>
      <c r="E101" s="301"/>
      <c r="F101" s="301"/>
      <c r="G101" s="301"/>
      <c r="H101" s="377"/>
      <c r="I101" s="302"/>
      <c r="J101" s="302"/>
      <c r="K101" s="303"/>
      <c r="L101" s="377"/>
      <c r="M101" s="302"/>
      <c r="N101" s="361"/>
      <c r="O101" s="361"/>
      <c r="P101" s="301"/>
      <c r="Q101" s="301"/>
      <c r="R101" s="301"/>
      <c r="S101" s="301"/>
      <c r="T101" s="373"/>
      <c r="U101" s="301"/>
      <c r="V101" s="301"/>
      <c r="W101" s="301"/>
      <c r="X101" s="301"/>
      <c r="Y101" s="373"/>
      <c r="Z101" s="301"/>
      <c r="AA101" s="301"/>
      <c r="AB101" s="301"/>
      <c r="AC101" s="301"/>
      <c r="AD101" s="373"/>
      <c r="AE101" s="301"/>
      <c r="AF101" s="301"/>
      <c r="AG101" s="301"/>
      <c r="AH101" s="301"/>
      <c r="AI101" s="373"/>
      <c r="AJ101" s="301"/>
      <c r="AK101" s="301"/>
      <c r="AL101" s="301"/>
      <c r="AM101" s="301"/>
      <c r="AN101" s="373"/>
      <c r="AO101" s="301"/>
      <c r="AP101" s="301"/>
      <c r="AQ101" s="301"/>
      <c r="AR101" s="301"/>
      <c r="AS101" s="373"/>
      <c r="AT101" s="301"/>
      <c r="AU101" s="301"/>
      <c r="AV101" s="301"/>
      <c r="AW101" s="301"/>
      <c r="AX101" s="373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6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'C:\Users\CHENG191\AppData\Local\Microsoft\Windows\INetCache\Content.Outlook\V6WXUMHR\[長家廠生產管理報表(8月).xlsx]0801-0804產線配置圖'!#REF!</xm:f>
          </x14:formula1>
          <xm:sqref>D7:D21 D27:D33 D47:D53 D67:D73 D87:D89 D91:D93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39"/>
  <sheetViews>
    <sheetView view="pageBreakPreview" zoomScale="60" zoomScaleNormal="60" workbookViewId="0">
      <selection activeCell="H26" sqref="H26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/>
    <col min="14" max="16384" width="12.5703125" style="185"/>
  </cols>
  <sheetData>
    <row r="1" spans="1:13" ht="15.75" customHeight="1">
      <c r="A1" s="420" t="s">
        <v>138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185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</row>
    <row r="3" spans="1:13" ht="15.75" customHeight="1">
      <c r="A3" s="421" t="s">
        <v>139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185"/>
    </row>
    <row r="4" spans="1:13" s="186" customFormat="1" ht="15.75" customHeight="1">
      <c r="A4" s="422"/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</row>
    <row r="5" spans="1:13" s="234" customFormat="1" ht="16.350000000000001" customHeight="1">
      <c r="A5" s="411" t="s">
        <v>95</v>
      </c>
      <c r="B5" s="232">
        <v>1</v>
      </c>
      <c r="C5" s="232">
        <v>2</v>
      </c>
      <c r="D5" s="232">
        <v>3</v>
      </c>
      <c r="E5" s="233"/>
      <c r="F5" s="233"/>
      <c r="G5" s="233"/>
    </row>
    <row r="6" spans="1:13" ht="16.350000000000001" customHeight="1">
      <c r="A6" s="411"/>
      <c r="B6" s="235" t="s">
        <v>140</v>
      </c>
      <c r="C6" s="235" t="s">
        <v>141</v>
      </c>
      <c r="D6" s="235" t="s">
        <v>142</v>
      </c>
      <c r="E6" s="236"/>
      <c r="F6" s="236"/>
      <c r="G6" s="186"/>
      <c r="M6" s="185"/>
    </row>
    <row r="7" spans="1:13" s="234" customFormat="1" ht="15.75" customHeight="1">
      <c r="A7" s="414" t="s">
        <v>41</v>
      </c>
      <c r="B7" s="414"/>
      <c r="C7" s="237" t="s">
        <v>143</v>
      </c>
      <c r="D7" s="414" t="s">
        <v>144</v>
      </c>
      <c r="E7" s="423"/>
      <c r="F7" s="423"/>
      <c r="G7" s="237" t="s">
        <v>145</v>
      </c>
      <c r="H7" s="237" t="s">
        <v>146</v>
      </c>
      <c r="I7" s="237" t="s">
        <v>147</v>
      </c>
      <c r="J7" s="238" t="s">
        <v>148</v>
      </c>
      <c r="K7" s="414" t="s">
        <v>149</v>
      </c>
      <c r="L7" s="423"/>
      <c r="M7" s="233"/>
    </row>
    <row r="8" spans="1:13" ht="15.75" customHeight="1">
      <c r="A8" s="411">
        <v>1</v>
      </c>
      <c r="B8" s="414" t="s">
        <v>150</v>
      </c>
      <c r="C8" s="239">
        <v>1</v>
      </c>
      <c r="D8" s="415" t="s">
        <v>123</v>
      </c>
      <c r="E8" s="416"/>
      <c r="F8" s="417"/>
      <c r="G8" s="240">
        <v>12</v>
      </c>
      <c r="H8" s="273">
        <v>1873</v>
      </c>
      <c r="I8" s="274">
        <v>156.08333333333334</v>
      </c>
      <c r="J8" s="240"/>
      <c r="K8" s="408"/>
      <c r="L8" s="407"/>
    </row>
    <row r="9" spans="1:13" ht="15.75" customHeight="1">
      <c r="A9" s="411"/>
      <c r="B9" s="414"/>
      <c r="C9" s="239">
        <v>2</v>
      </c>
      <c r="D9" s="415" t="s">
        <v>151</v>
      </c>
      <c r="E9" s="416"/>
      <c r="F9" s="417"/>
      <c r="G9" s="240">
        <v>13</v>
      </c>
      <c r="H9" s="273">
        <v>1920</v>
      </c>
      <c r="I9" s="274">
        <v>147.69230769230768</v>
      </c>
      <c r="J9" s="240"/>
      <c r="K9" s="406"/>
      <c r="L9" s="407"/>
    </row>
    <row r="10" spans="1:13" ht="15.75" customHeight="1">
      <c r="A10" s="411"/>
      <c r="B10" s="414"/>
      <c r="C10" s="239">
        <v>3</v>
      </c>
      <c r="D10" s="415" t="s">
        <v>129</v>
      </c>
      <c r="E10" s="416"/>
      <c r="F10" s="417"/>
      <c r="G10" s="240">
        <v>14</v>
      </c>
      <c r="H10" s="273">
        <v>1897</v>
      </c>
      <c r="I10" s="274">
        <v>135.5</v>
      </c>
      <c r="J10" s="240"/>
      <c r="K10" s="406" t="s">
        <v>152</v>
      </c>
      <c r="L10" s="407"/>
    </row>
    <row r="11" spans="1:13" ht="15.75" customHeight="1">
      <c r="A11" s="411"/>
      <c r="B11" s="414"/>
      <c r="C11" s="239">
        <v>4</v>
      </c>
      <c r="D11" s="419" t="s">
        <v>153</v>
      </c>
      <c r="E11" s="416"/>
      <c r="F11" s="417"/>
      <c r="G11" s="240">
        <v>15</v>
      </c>
      <c r="H11" s="273">
        <v>1736.5714285714287</v>
      </c>
      <c r="I11" s="274">
        <v>112.71295787545787</v>
      </c>
      <c r="J11" s="240"/>
      <c r="K11" s="406"/>
      <c r="L11" s="407"/>
    </row>
    <row r="12" spans="1:13" ht="15.75" customHeight="1">
      <c r="A12" s="411"/>
      <c r="B12" s="414"/>
      <c r="C12" s="239">
        <v>5</v>
      </c>
      <c r="D12" s="419" t="s">
        <v>130</v>
      </c>
      <c r="E12" s="416"/>
      <c r="F12" s="417"/>
      <c r="G12" s="273">
        <v>15.714285714285714</v>
      </c>
      <c r="H12" s="273">
        <v>1691</v>
      </c>
      <c r="I12" s="274">
        <v>107.63571428571429</v>
      </c>
      <c r="J12" s="240"/>
      <c r="K12" s="406"/>
      <c r="L12" s="407"/>
    </row>
    <row r="13" spans="1:13" ht="15.75" customHeight="1">
      <c r="A13" s="411"/>
      <c r="B13" s="414"/>
      <c r="C13" s="241" t="s">
        <v>154</v>
      </c>
      <c r="D13" s="415" t="s">
        <v>155</v>
      </c>
      <c r="E13" s="416"/>
      <c r="F13" s="417"/>
      <c r="G13" s="273">
        <v>14.428571428571429</v>
      </c>
      <c r="H13" s="273">
        <v>968.42857142857144</v>
      </c>
      <c r="I13" s="274">
        <v>67.360792778649923</v>
      </c>
      <c r="J13" s="240"/>
      <c r="K13" s="406" t="s">
        <v>156</v>
      </c>
      <c r="L13" s="407"/>
    </row>
    <row r="14" spans="1:13" ht="15.75" customHeight="1">
      <c r="A14" s="411"/>
      <c r="B14" s="414"/>
      <c r="C14" s="241" t="s">
        <v>157</v>
      </c>
      <c r="D14" s="415" t="s">
        <v>158</v>
      </c>
      <c r="E14" s="416"/>
      <c r="F14" s="417"/>
      <c r="G14" s="273">
        <v>15.285714285714286</v>
      </c>
      <c r="H14" s="273">
        <v>1073.5714285714287</v>
      </c>
      <c r="I14" s="274">
        <v>70.385317460317452</v>
      </c>
      <c r="J14" s="240"/>
      <c r="K14" s="418"/>
      <c r="L14" s="407"/>
    </row>
    <row r="15" spans="1:13" ht="15.75" customHeight="1">
      <c r="A15" s="411"/>
      <c r="B15" s="414"/>
      <c r="C15" s="241" t="s">
        <v>159</v>
      </c>
      <c r="D15" s="415" t="s">
        <v>160</v>
      </c>
      <c r="E15" s="416"/>
      <c r="F15" s="417"/>
      <c r="G15" s="273">
        <v>15.428571428571429</v>
      </c>
      <c r="H15" s="273">
        <v>1108.8571428571429</v>
      </c>
      <c r="I15" s="274">
        <v>71.757142857142853</v>
      </c>
      <c r="J15" s="240"/>
      <c r="K15" s="418" t="s">
        <v>161</v>
      </c>
      <c r="L15" s="407"/>
    </row>
    <row r="16" spans="1:13" ht="15.75" customHeight="1">
      <c r="A16" s="411"/>
      <c r="B16" s="414"/>
      <c r="C16" s="241" t="s">
        <v>162</v>
      </c>
      <c r="D16" s="415" t="s">
        <v>163</v>
      </c>
      <c r="E16" s="416"/>
      <c r="F16" s="417"/>
      <c r="G16" s="273">
        <v>16.714285714285715</v>
      </c>
      <c r="H16" s="273">
        <v>1218.4285714285713</v>
      </c>
      <c r="I16" s="274">
        <v>73.064545818327332</v>
      </c>
      <c r="J16" s="240"/>
      <c r="K16" s="406"/>
      <c r="L16" s="407"/>
      <c r="M16" s="185"/>
    </row>
    <row r="17" spans="1:13" ht="15.75" customHeight="1">
      <c r="A17" s="411"/>
      <c r="B17" s="414"/>
      <c r="C17" s="241" t="s">
        <v>164</v>
      </c>
      <c r="D17" s="415" t="s">
        <v>165</v>
      </c>
      <c r="E17" s="416"/>
      <c r="F17" s="417"/>
      <c r="G17" s="273">
        <v>14.571428571428571</v>
      </c>
      <c r="H17" s="273">
        <v>1143.1428571428571</v>
      </c>
      <c r="I17" s="274">
        <v>78.339575830332137</v>
      </c>
      <c r="J17" s="240"/>
      <c r="K17" s="418" t="s">
        <v>166</v>
      </c>
      <c r="L17" s="407"/>
      <c r="M17" s="185"/>
    </row>
    <row r="18" spans="1:13" s="244" customFormat="1" ht="15.75" customHeight="1">
      <c r="A18" s="409" t="s">
        <v>41</v>
      </c>
      <c r="B18" s="409"/>
      <c r="C18" s="242" t="s">
        <v>143</v>
      </c>
      <c r="D18" s="409" t="s">
        <v>144</v>
      </c>
      <c r="E18" s="410"/>
      <c r="F18" s="410"/>
      <c r="G18" s="242" t="s">
        <v>145</v>
      </c>
      <c r="H18" s="242" t="s">
        <v>146</v>
      </c>
      <c r="I18" s="242" t="s">
        <v>147</v>
      </c>
      <c r="J18" s="243" t="s">
        <v>148</v>
      </c>
      <c r="K18" s="409" t="s">
        <v>149</v>
      </c>
      <c r="L18" s="410"/>
      <c r="M18" s="236"/>
    </row>
    <row r="19" spans="1:13" ht="15.75" customHeight="1">
      <c r="A19" s="411">
        <v>2</v>
      </c>
      <c r="B19" s="414" t="s">
        <v>167</v>
      </c>
      <c r="C19" s="239">
        <v>1</v>
      </c>
      <c r="D19" s="408"/>
      <c r="E19" s="407"/>
      <c r="F19" s="407"/>
      <c r="G19" s="240"/>
      <c r="H19" s="240"/>
      <c r="I19" s="240"/>
      <c r="J19" s="240"/>
      <c r="K19" s="408"/>
      <c r="L19" s="407"/>
      <c r="M19" s="185"/>
    </row>
    <row r="20" spans="1:13" ht="15.75" customHeight="1">
      <c r="A20" s="411"/>
      <c r="B20" s="414"/>
      <c r="C20" s="239">
        <v>2</v>
      </c>
      <c r="D20" s="406"/>
      <c r="E20" s="407"/>
      <c r="F20" s="407"/>
      <c r="G20" s="240"/>
      <c r="H20" s="240"/>
      <c r="I20" s="240"/>
      <c r="J20" s="240"/>
      <c r="K20" s="406"/>
      <c r="L20" s="407"/>
      <c r="M20" s="185"/>
    </row>
    <row r="21" spans="1:13" ht="15.75" customHeight="1">
      <c r="A21" s="411"/>
      <c r="B21" s="414"/>
      <c r="C21" s="239">
        <v>3</v>
      </c>
      <c r="D21" s="406"/>
      <c r="E21" s="407"/>
      <c r="F21" s="407"/>
      <c r="G21" s="240"/>
      <c r="H21" s="240"/>
      <c r="I21" s="240"/>
      <c r="J21" s="240"/>
      <c r="K21" s="406"/>
      <c r="L21" s="407"/>
      <c r="M21" s="185"/>
    </row>
    <row r="22" spans="1:13" ht="15.75" customHeight="1">
      <c r="A22" s="411"/>
      <c r="B22" s="414"/>
      <c r="C22" s="239">
        <v>4</v>
      </c>
      <c r="D22" s="406"/>
      <c r="E22" s="407"/>
      <c r="F22" s="407"/>
      <c r="G22" s="240"/>
      <c r="H22" s="240"/>
      <c r="I22" s="240"/>
      <c r="J22" s="240"/>
      <c r="K22" s="406"/>
      <c r="L22" s="407"/>
      <c r="M22" s="185"/>
    </row>
    <row r="23" spans="1:13" ht="15.75" customHeight="1">
      <c r="A23" s="411"/>
      <c r="B23" s="414"/>
      <c r="C23" s="239">
        <v>5</v>
      </c>
      <c r="D23" s="406"/>
      <c r="E23" s="407"/>
      <c r="F23" s="407"/>
      <c r="G23" s="240"/>
      <c r="H23" s="240"/>
      <c r="I23" s="240"/>
      <c r="J23" s="240"/>
      <c r="K23" s="406"/>
      <c r="L23" s="407"/>
      <c r="M23" s="185"/>
    </row>
    <row r="24" spans="1:13" ht="15.75" customHeight="1">
      <c r="A24" s="411"/>
      <c r="B24" s="414"/>
      <c r="C24" s="241" t="s">
        <v>154</v>
      </c>
      <c r="D24" s="408"/>
      <c r="E24" s="407"/>
      <c r="F24" s="407"/>
      <c r="G24" s="240"/>
      <c r="H24" s="240"/>
      <c r="I24" s="240"/>
      <c r="J24" s="240"/>
      <c r="K24" s="408"/>
      <c r="L24" s="407"/>
      <c r="M24" s="185"/>
    </row>
    <row r="25" spans="1:13" ht="15.75" customHeight="1">
      <c r="A25" s="411"/>
      <c r="B25" s="414"/>
      <c r="C25" s="241" t="s">
        <v>157</v>
      </c>
      <c r="D25" s="406"/>
      <c r="E25" s="407"/>
      <c r="F25" s="407"/>
      <c r="G25" s="240"/>
      <c r="H25" s="240"/>
      <c r="I25" s="240"/>
      <c r="J25" s="240"/>
      <c r="K25" s="406"/>
      <c r="L25" s="407"/>
      <c r="M25" s="185"/>
    </row>
    <row r="26" spans="1:13" ht="15.75" customHeight="1">
      <c r="A26" s="411"/>
      <c r="B26" s="414"/>
      <c r="C26" s="241" t="s">
        <v>159</v>
      </c>
      <c r="D26" s="406"/>
      <c r="E26" s="407"/>
      <c r="F26" s="407"/>
      <c r="G26" s="240"/>
      <c r="H26" s="240"/>
      <c r="I26" s="240"/>
      <c r="J26" s="240"/>
      <c r="K26" s="406"/>
      <c r="L26" s="407"/>
      <c r="M26" s="185"/>
    </row>
    <row r="27" spans="1:13" ht="15.75" customHeight="1">
      <c r="A27" s="411"/>
      <c r="B27" s="414"/>
      <c r="C27" s="241" t="s">
        <v>162</v>
      </c>
      <c r="D27" s="406"/>
      <c r="E27" s="407"/>
      <c r="F27" s="407"/>
      <c r="G27" s="240"/>
      <c r="H27" s="240"/>
      <c r="I27" s="240"/>
      <c r="J27" s="240"/>
      <c r="K27" s="406"/>
      <c r="L27" s="407"/>
      <c r="M27" s="185"/>
    </row>
    <row r="28" spans="1:13" ht="15.75" customHeight="1">
      <c r="A28" s="411"/>
      <c r="B28" s="414"/>
      <c r="C28" s="241" t="s">
        <v>164</v>
      </c>
      <c r="D28" s="406"/>
      <c r="E28" s="407"/>
      <c r="F28" s="407"/>
      <c r="G28" s="240"/>
      <c r="H28" s="240"/>
      <c r="I28" s="240"/>
      <c r="J28" s="240"/>
      <c r="K28" s="406"/>
      <c r="L28" s="407"/>
      <c r="M28" s="185"/>
    </row>
    <row r="29" spans="1:13" ht="15.75" customHeight="1">
      <c r="A29" s="409" t="s">
        <v>41</v>
      </c>
      <c r="B29" s="409"/>
      <c r="C29" s="242" t="s">
        <v>143</v>
      </c>
      <c r="D29" s="409" t="s">
        <v>144</v>
      </c>
      <c r="E29" s="410"/>
      <c r="F29" s="410"/>
      <c r="G29" s="242" t="s">
        <v>145</v>
      </c>
      <c r="H29" s="242" t="s">
        <v>146</v>
      </c>
      <c r="I29" s="242" t="s">
        <v>147</v>
      </c>
      <c r="J29" s="243" t="s">
        <v>148</v>
      </c>
      <c r="K29" s="409" t="s">
        <v>149</v>
      </c>
      <c r="L29" s="410"/>
    </row>
    <row r="30" spans="1:13" ht="15.75" customHeight="1">
      <c r="A30" s="411">
        <v>3</v>
      </c>
      <c r="B30" s="412" t="s">
        <v>84</v>
      </c>
      <c r="C30" s="239">
        <v>1</v>
      </c>
      <c r="D30" s="408" t="s">
        <v>137</v>
      </c>
      <c r="E30" s="407"/>
      <c r="F30" s="407"/>
      <c r="G30" s="273">
        <v>10.571428571428571</v>
      </c>
      <c r="H30" s="274">
        <v>1309.1428571428571</v>
      </c>
      <c r="I30" s="274">
        <v>125.30559440559439</v>
      </c>
      <c r="J30" s="240"/>
      <c r="K30" s="408"/>
      <c r="L30" s="407"/>
    </row>
    <row r="31" spans="1:13" ht="15.75" customHeight="1">
      <c r="A31" s="411"/>
      <c r="B31" s="412"/>
      <c r="C31" s="239">
        <v>2</v>
      </c>
      <c r="D31" s="406" t="s">
        <v>135</v>
      </c>
      <c r="E31" s="407"/>
      <c r="F31" s="407"/>
      <c r="G31" s="273">
        <v>12.142857142857142</v>
      </c>
      <c r="H31" s="274">
        <v>1353.7142857142858</v>
      </c>
      <c r="I31" s="274">
        <v>111.43498168498169</v>
      </c>
      <c r="J31" s="240"/>
      <c r="K31" s="408"/>
      <c r="L31" s="407"/>
    </row>
    <row r="32" spans="1:13" ht="15.75" customHeight="1">
      <c r="A32" s="411"/>
      <c r="B32" s="412"/>
      <c r="C32" s="239">
        <v>3</v>
      </c>
      <c r="D32" s="406" t="s">
        <v>168</v>
      </c>
      <c r="E32" s="407"/>
      <c r="F32" s="407"/>
      <c r="G32" s="273">
        <v>12.857142857142858</v>
      </c>
      <c r="H32" s="274">
        <v>1354</v>
      </c>
      <c r="I32" s="274">
        <v>104.2</v>
      </c>
      <c r="J32" s="240"/>
      <c r="K32" s="413" t="s">
        <v>169</v>
      </c>
      <c r="L32" s="407"/>
    </row>
    <row r="33" spans="1:12" ht="15.75" customHeight="1">
      <c r="A33" s="411"/>
      <c r="B33" s="412"/>
      <c r="C33" s="239">
        <v>4</v>
      </c>
      <c r="D33" s="406"/>
      <c r="E33" s="407"/>
      <c r="F33" s="407"/>
      <c r="G33" s="240"/>
      <c r="H33" s="240"/>
      <c r="I33" s="240"/>
      <c r="J33" s="240"/>
      <c r="K33" s="406"/>
      <c r="L33" s="407"/>
    </row>
    <row r="34" spans="1:12" ht="15.75" customHeight="1">
      <c r="A34" s="411"/>
      <c r="B34" s="412"/>
      <c r="C34" s="239">
        <v>5</v>
      </c>
      <c r="D34" s="406"/>
      <c r="E34" s="407"/>
      <c r="F34" s="407"/>
      <c r="G34" s="240"/>
      <c r="H34" s="240"/>
      <c r="I34" s="240"/>
      <c r="J34" s="240"/>
      <c r="K34" s="406"/>
      <c r="L34" s="407"/>
    </row>
    <row r="35" spans="1:12" ht="15.75" customHeight="1">
      <c r="A35" s="411"/>
      <c r="B35" s="412"/>
      <c r="C35" s="241" t="s">
        <v>154</v>
      </c>
      <c r="D35" s="408"/>
      <c r="E35" s="407"/>
      <c r="F35" s="407"/>
      <c r="G35" s="240"/>
      <c r="H35" s="240"/>
      <c r="I35" s="240"/>
      <c r="J35" s="240"/>
      <c r="K35" s="408"/>
      <c r="L35" s="407"/>
    </row>
    <row r="36" spans="1:12" ht="15.75" customHeight="1">
      <c r="A36" s="411"/>
      <c r="B36" s="412"/>
      <c r="C36" s="241" t="s">
        <v>157</v>
      </c>
      <c r="D36" s="406"/>
      <c r="E36" s="407"/>
      <c r="F36" s="407"/>
      <c r="G36" s="240"/>
      <c r="H36" s="240"/>
      <c r="I36" s="240"/>
      <c r="J36" s="240"/>
      <c r="K36" s="406"/>
      <c r="L36" s="407"/>
    </row>
    <row r="37" spans="1:12" ht="15.75" customHeight="1">
      <c r="A37" s="411"/>
      <c r="B37" s="412"/>
      <c r="C37" s="241" t="s">
        <v>159</v>
      </c>
      <c r="D37" s="406"/>
      <c r="E37" s="407"/>
      <c r="F37" s="407"/>
      <c r="G37" s="240"/>
      <c r="H37" s="240"/>
      <c r="I37" s="240"/>
      <c r="J37" s="240"/>
      <c r="K37" s="406"/>
      <c r="L37" s="407"/>
    </row>
    <row r="38" spans="1:12" ht="15.75" customHeight="1">
      <c r="A38" s="411"/>
      <c r="B38" s="412"/>
      <c r="C38" s="241" t="s">
        <v>162</v>
      </c>
      <c r="D38" s="406"/>
      <c r="E38" s="407"/>
      <c r="F38" s="407"/>
      <c r="G38" s="240"/>
      <c r="H38" s="240"/>
      <c r="I38" s="240"/>
      <c r="J38" s="240"/>
      <c r="K38" s="406"/>
      <c r="L38" s="407"/>
    </row>
    <row r="39" spans="1:12" ht="15.75" customHeight="1">
      <c r="A39" s="411"/>
      <c r="B39" s="412"/>
      <c r="C39" s="241" t="s">
        <v>164</v>
      </c>
      <c r="D39" s="406"/>
      <c r="E39" s="407"/>
      <c r="F39" s="407"/>
      <c r="G39" s="240"/>
      <c r="H39" s="240"/>
      <c r="I39" s="240"/>
      <c r="J39" s="240"/>
      <c r="K39" s="406"/>
      <c r="L39" s="407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M15"/>
  <sheetViews>
    <sheetView view="pageBreakPreview" topLeftCell="A4" zoomScale="160" zoomScaleNormal="60" zoomScaleSheetLayoutView="160" workbookViewId="0">
      <selection activeCell="C17" sqref="C17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20" t="s">
        <v>138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</row>
    <row r="3" spans="1:13" ht="15.75" customHeight="1">
      <c r="A3" s="421" t="s">
        <v>170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3" s="186" customFormat="1" ht="15.75" customHeight="1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</row>
    <row r="5" spans="1:13" ht="15.75" customHeight="1">
      <c r="A5" s="187" t="s">
        <v>171</v>
      </c>
      <c r="B5" s="188">
        <v>84284948.200000003</v>
      </c>
    </row>
    <row r="6" spans="1:13" ht="15.75" customHeight="1">
      <c r="A6" s="426" t="s">
        <v>7</v>
      </c>
      <c r="B6" s="427" t="s">
        <v>172</v>
      </c>
      <c r="C6" s="427"/>
      <c r="D6" s="428"/>
      <c r="E6" s="426" t="s">
        <v>7</v>
      </c>
      <c r="F6" s="411">
        <v>1</v>
      </c>
      <c r="G6" s="411"/>
      <c r="H6" s="411">
        <v>2</v>
      </c>
      <c r="I6" s="411"/>
      <c r="J6" s="411">
        <v>3</v>
      </c>
      <c r="K6" s="411"/>
      <c r="L6" s="411">
        <v>4</v>
      </c>
      <c r="M6" s="411"/>
    </row>
    <row r="7" spans="1:13" ht="31.35" customHeight="1">
      <c r="A7" s="426"/>
      <c r="B7" s="427"/>
      <c r="C7" s="427"/>
      <c r="D7" s="429"/>
      <c r="E7" s="426"/>
      <c r="F7" s="424" t="s">
        <v>173</v>
      </c>
      <c r="G7" s="424"/>
      <c r="H7" s="424" t="s">
        <v>174</v>
      </c>
      <c r="I7" s="424"/>
      <c r="J7" s="424" t="s">
        <v>175</v>
      </c>
      <c r="K7" s="424"/>
      <c r="L7" s="424" t="s">
        <v>176</v>
      </c>
      <c r="M7" s="424"/>
    </row>
    <row r="8" spans="1:13" ht="15.75" customHeight="1">
      <c r="A8" s="426"/>
      <c r="B8" s="221" t="s">
        <v>177</v>
      </c>
      <c r="C8" s="221" t="s">
        <v>35</v>
      </c>
      <c r="D8" s="429"/>
      <c r="E8" s="426"/>
      <c r="F8" s="221" t="s">
        <v>177</v>
      </c>
      <c r="G8" s="221" t="s">
        <v>35</v>
      </c>
      <c r="H8" s="221" t="s">
        <v>177</v>
      </c>
      <c r="I8" s="221" t="s">
        <v>35</v>
      </c>
      <c r="J8" s="221" t="s">
        <v>177</v>
      </c>
      <c r="K8" s="221" t="s">
        <v>35</v>
      </c>
      <c r="L8" s="221" t="s">
        <v>177</v>
      </c>
      <c r="M8" s="221" t="s">
        <v>35</v>
      </c>
    </row>
    <row r="9" spans="1:13" ht="19.350000000000001" customHeight="1">
      <c r="A9" s="189" t="s">
        <v>178</v>
      </c>
      <c r="B9" s="190">
        <v>323899.3</v>
      </c>
      <c r="C9" s="191">
        <f>B9/$B$5</f>
        <v>3.8429079796242905E-3</v>
      </c>
      <c r="D9" s="429"/>
      <c r="E9" s="189" t="s">
        <v>178</v>
      </c>
      <c r="F9" s="192">
        <v>6813.5</v>
      </c>
      <c r="G9" s="193">
        <f>IFERROR(F9/$B$9,"")</f>
        <v>2.1035858984567116E-2</v>
      </c>
      <c r="H9" s="192">
        <v>142495.79999999999</v>
      </c>
      <c r="I9" s="193">
        <f>IFERROR(H9/$B$9,"")</f>
        <v>0.4399385858506023</v>
      </c>
      <c r="J9" s="192"/>
      <c r="K9" s="193">
        <f t="shared" ref="K9" si="0">IFERROR(J9/$B$9,"")</f>
        <v>0</v>
      </c>
      <c r="L9" s="192">
        <v>26029</v>
      </c>
      <c r="M9" s="193">
        <f>IFERROR(L9/$B$9,"")</f>
        <v>8.0361396273471414E-2</v>
      </c>
    </row>
    <row r="10" spans="1:13" ht="19.350000000000001" customHeight="1">
      <c r="A10" s="194" t="s">
        <v>179</v>
      </c>
      <c r="B10" s="195">
        <v>780990.6</v>
      </c>
      <c r="C10" s="191">
        <f>B10/$B$5</f>
        <v>9.266074390255126E-3</v>
      </c>
      <c r="D10" s="429"/>
      <c r="E10" s="194" t="s">
        <v>179</v>
      </c>
      <c r="F10" s="192"/>
      <c r="G10" s="193">
        <f>IFERROR(F10/$B$10,"")</f>
        <v>0</v>
      </c>
      <c r="H10" s="192">
        <v>132185.20000000001</v>
      </c>
      <c r="I10" s="193">
        <f>IFERROR(H10/$B$10,"")</f>
        <v>0.16925325349626488</v>
      </c>
      <c r="J10" s="192"/>
      <c r="K10" s="193">
        <f>IFERROR(J10/$B$10,"")</f>
        <v>0</v>
      </c>
      <c r="L10" s="192">
        <v>162496.70000000001</v>
      </c>
      <c r="M10" s="193">
        <f>IFERROR(L10/$B$10,"")</f>
        <v>0.20806486019165918</v>
      </c>
    </row>
    <row r="11" spans="1:13" ht="15.75" customHeight="1">
      <c r="D11" s="429"/>
      <c r="E11" s="426" t="s">
        <v>7</v>
      </c>
      <c r="F11" s="411">
        <v>5</v>
      </c>
      <c r="G11" s="411"/>
      <c r="H11" s="411">
        <v>6</v>
      </c>
      <c r="I11" s="411"/>
      <c r="J11" s="411">
        <v>7</v>
      </c>
      <c r="K11" s="411"/>
      <c r="L11" s="430">
        <v>8</v>
      </c>
      <c r="M11" s="430"/>
    </row>
    <row r="12" spans="1:13" ht="31.35" customHeight="1">
      <c r="D12" s="429"/>
      <c r="E12" s="426"/>
      <c r="F12" s="424" t="s">
        <v>180</v>
      </c>
      <c r="G12" s="424"/>
      <c r="H12" s="424" t="s">
        <v>181</v>
      </c>
      <c r="I12" s="424"/>
      <c r="J12" s="424" t="s">
        <v>182</v>
      </c>
      <c r="K12" s="424"/>
      <c r="L12" s="425" t="s">
        <v>183</v>
      </c>
      <c r="M12" s="425"/>
    </row>
    <row r="13" spans="1:13" ht="15.75" customHeight="1">
      <c r="D13" s="429"/>
      <c r="E13" s="426"/>
      <c r="F13" s="221" t="s">
        <v>177</v>
      </c>
      <c r="G13" s="221" t="s">
        <v>35</v>
      </c>
      <c r="H13" s="221" t="s">
        <v>177</v>
      </c>
      <c r="I13" s="221" t="s">
        <v>35</v>
      </c>
      <c r="J13" s="221" t="s">
        <v>177</v>
      </c>
      <c r="K13" s="221" t="s">
        <v>35</v>
      </c>
      <c r="L13" s="221" t="s">
        <v>177</v>
      </c>
      <c r="M13" s="221" t="s">
        <v>35</v>
      </c>
    </row>
    <row r="14" spans="1:13" ht="19.350000000000001" customHeight="1">
      <c r="D14" s="429"/>
      <c r="E14" s="189" t="s">
        <v>178</v>
      </c>
      <c r="F14" s="192">
        <v>14475.1</v>
      </c>
      <c r="G14" s="193">
        <f>IFERROR(F14/$B$9,"")</f>
        <v>4.4690124368901081E-2</v>
      </c>
      <c r="H14" s="192">
        <v>54605</v>
      </c>
      <c r="I14" s="193">
        <f t="shared" ref="I14" si="1">IFERROR(H14/$B$9,"")</f>
        <v>0.16858634767040251</v>
      </c>
      <c r="J14" s="192">
        <v>63051.3</v>
      </c>
      <c r="K14" s="193">
        <f t="shared" ref="K14" si="2">IFERROR(J14/$B$9,"")</f>
        <v>0.19466327960572932</v>
      </c>
      <c r="L14" s="192">
        <v>260.60000000000002</v>
      </c>
      <c r="M14" s="193">
        <f t="shared" ref="M14" si="3">IFERROR(L14/$B$9,"")</f>
        <v>8.0457105032335672E-4</v>
      </c>
    </row>
    <row r="15" spans="1:13" ht="19.350000000000001" customHeight="1">
      <c r="D15" s="429"/>
      <c r="E15" s="194" t="s">
        <v>179</v>
      </c>
      <c r="F15" s="192">
        <v>6349</v>
      </c>
      <c r="G15" s="193">
        <f>IFERROR(F15/$B$10,"")</f>
        <v>8.1294192273248869E-3</v>
      </c>
      <c r="H15" s="192">
        <v>463750.3</v>
      </c>
      <c r="I15" s="193">
        <f>IFERROR(H15/$B$10,"")</f>
        <v>0.59379754378605842</v>
      </c>
      <c r="J15" s="192">
        <v>16209</v>
      </c>
      <c r="K15" s="193">
        <f>IFERROR(J15/$B$10,"")</f>
        <v>2.0754411128635863E-2</v>
      </c>
      <c r="L15" s="192"/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M15"/>
  <sheetViews>
    <sheetView view="pageBreakPreview" topLeftCell="A4" zoomScale="145" zoomScaleNormal="60" zoomScaleSheetLayoutView="145" workbookViewId="0">
      <selection activeCell="B12" sqref="B12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20" t="s">
        <v>138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</row>
    <row r="3" spans="1:13" ht="15.75" customHeight="1">
      <c r="A3" s="421" t="s">
        <v>170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3" s="186" customFormat="1" ht="15.75" customHeight="1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</row>
    <row r="5" spans="1:13" ht="15.75" customHeight="1">
      <c r="A5" s="187" t="s">
        <v>171</v>
      </c>
      <c r="B5" s="188">
        <v>18926952</v>
      </c>
    </row>
    <row r="6" spans="1:13" ht="15.75" customHeight="1">
      <c r="A6" s="426" t="s">
        <v>7</v>
      </c>
      <c r="B6" s="427" t="s">
        <v>172</v>
      </c>
      <c r="C6" s="427"/>
      <c r="D6" s="428"/>
      <c r="E6" s="426" t="s">
        <v>7</v>
      </c>
      <c r="F6" s="411">
        <v>1</v>
      </c>
      <c r="G6" s="411"/>
      <c r="H6" s="411">
        <v>2</v>
      </c>
      <c r="I6" s="411"/>
      <c r="J6" s="411">
        <v>3</v>
      </c>
      <c r="K6" s="411"/>
      <c r="L6" s="411">
        <v>4</v>
      </c>
      <c r="M6" s="411"/>
    </row>
    <row r="7" spans="1:13" ht="31.35" customHeight="1">
      <c r="A7" s="426"/>
      <c r="B7" s="427"/>
      <c r="C7" s="427"/>
      <c r="D7" s="429"/>
      <c r="E7" s="426"/>
      <c r="F7" s="424" t="s">
        <v>173</v>
      </c>
      <c r="G7" s="424"/>
      <c r="H7" s="424" t="s">
        <v>174</v>
      </c>
      <c r="I7" s="424"/>
      <c r="J7" s="424" t="s">
        <v>175</v>
      </c>
      <c r="K7" s="424"/>
      <c r="L7" s="424" t="s">
        <v>176</v>
      </c>
      <c r="M7" s="424"/>
    </row>
    <row r="8" spans="1:13" ht="15.75" customHeight="1">
      <c r="A8" s="426"/>
      <c r="B8" s="221" t="s">
        <v>177</v>
      </c>
      <c r="C8" s="221" t="s">
        <v>35</v>
      </c>
      <c r="D8" s="429"/>
      <c r="E8" s="426"/>
      <c r="F8" s="221" t="s">
        <v>177</v>
      </c>
      <c r="G8" s="221" t="s">
        <v>35</v>
      </c>
      <c r="H8" s="221" t="s">
        <v>177</v>
      </c>
      <c r="I8" s="221" t="s">
        <v>35</v>
      </c>
      <c r="J8" s="221" t="s">
        <v>177</v>
      </c>
      <c r="K8" s="221" t="s">
        <v>35</v>
      </c>
      <c r="L8" s="221" t="s">
        <v>177</v>
      </c>
      <c r="M8" s="221" t="s">
        <v>35</v>
      </c>
    </row>
    <row r="9" spans="1:13" ht="19.350000000000001" customHeight="1">
      <c r="A9" s="189" t="s">
        <v>178</v>
      </c>
      <c r="B9" s="190">
        <v>89385</v>
      </c>
      <c r="C9" s="191">
        <f>B9/$B$5</f>
        <v>4.722630458406615E-3</v>
      </c>
      <c r="D9" s="429"/>
      <c r="E9" s="189" t="s">
        <v>178</v>
      </c>
      <c r="F9" s="192">
        <v>593.70000000000005</v>
      </c>
      <c r="G9" s="193">
        <f>IFERROR(F9/$B$9,"")</f>
        <v>6.6420540359120664E-3</v>
      </c>
      <c r="H9" s="192">
        <v>22422</v>
      </c>
      <c r="I9" s="193">
        <f t="shared" ref="I9" si="0">IFERROR(H9/$B$9,"")</f>
        <v>0.25084745762711863</v>
      </c>
      <c r="J9" s="192"/>
      <c r="K9" s="193">
        <f t="shared" ref="K9" si="1">IFERROR(J9/$B$9,"")</f>
        <v>0</v>
      </c>
      <c r="L9" s="192">
        <v>1967.6</v>
      </c>
      <c r="M9" s="193">
        <f>IFERROR(L9/$B$9,"")</f>
        <v>2.2012641942160318E-2</v>
      </c>
    </row>
    <row r="10" spans="1:13" ht="19.350000000000001" customHeight="1">
      <c r="A10" s="194" t="s">
        <v>179</v>
      </c>
      <c r="B10" s="195">
        <v>64336</v>
      </c>
      <c r="C10" s="191">
        <f>B10/$B$5</f>
        <v>3.3991738342232813E-3</v>
      </c>
      <c r="D10" s="429"/>
      <c r="E10" s="194" t="s">
        <v>179</v>
      </c>
      <c r="F10" s="192"/>
      <c r="G10" s="193">
        <f>IFERROR(F10/$B$10,"")</f>
        <v>0</v>
      </c>
      <c r="H10" s="192"/>
      <c r="I10" s="193">
        <f>IFERROR(H10/$B$10,"")</f>
        <v>0</v>
      </c>
      <c r="J10" s="192"/>
      <c r="K10" s="193">
        <f>IFERROR(J10/$B$10,"")</f>
        <v>0</v>
      </c>
      <c r="L10" s="192">
        <v>37349.599999999999</v>
      </c>
      <c r="M10" s="193">
        <f>IFERROR(L10/$B$10,"")</f>
        <v>0.58053966674956481</v>
      </c>
    </row>
    <row r="11" spans="1:13" ht="15.75" customHeight="1">
      <c r="D11" s="429"/>
      <c r="E11" s="426" t="s">
        <v>7</v>
      </c>
      <c r="F11" s="411">
        <v>5</v>
      </c>
      <c r="G11" s="411"/>
      <c r="H11" s="411">
        <v>6</v>
      </c>
      <c r="I11" s="411"/>
      <c r="J11" s="411">
        <v>7</v>
      </c>
      <c r="K11" s="411"/>
      <c r="L11" s="430">
        <v>8</v>
      </c>
      <c r="M11" s="430"/>
    </row>
    <row r="12" spans="1:13" ht="31.35" customHeight="1">
      <c r="D12" s="429"/>
      <c r="E12" s="426"/>
      <c r="F12" s="424" t="s">
        <v>180</v>
      </c>
      <c r="G12" s="424"/>
      <c r="H12" s="424" t="s">
        <v>181</v>
      </c>
      <c r="I12" s="424"/>
      <c r="J12" s="424" t="s">
        <v>182</v>
      </c>
      <c r="K12" s="424"/>
      <c r="L12" s="425" t="s">
        <v>183</v>
      </c>
      <c r="M12" s="425"/>
    </row>
    <row r="13" spans="1:13" ht="15.75" customHeight="1">
      <c r="D13" s="429"/>
      <c r="E13" s="426"/>
      <c r="F13" s="221" t="s">
        <v>177</v>
      </c>
      <c r="G13" s="221" t="s">
        <v>35</v>
      </c>
      <c r="H13" s="221" t="s">
        <v>177</v>
      </c>
      <c r="I13" s="221" t="s">
        <v>35</v>
      </c>
      <c r="J13" s="221" t="s">
        <v>177</v>
      </c>
      <c r="K13" s="221" t="s">
        <v>35</v>
      </c>
      <c r="L13" s="221" t="s">
        <v>177</v>
      </c>
      <c r="M13" s="221" t="s">
        <v>35</v>
      </c>
    </row>
    <row r="14" spans="1:13" ht="19.350000000000001" customHeight="1">
      <c r="D14" s="429"/>
      <c r="E14" s="189" t="s">
        <v>178</v>
      </c>
      <c r="F14" s="192">
        <v>1113.5999999999999</v>
      </c>
      <c r="G14" s="193">
        <f>IFERROR(F14/$B$9,"")</f>
        <v>1.245846618560161E-2</v>
      </c>
      <c r="H14" s="192">
        <v>8128.4</v>
      </c>
      <c r="I14" s="193">
        <f t="shared" ref="I14" si="2">IFERROR(H14/$B$9,"")</f>
        <v>9.0936958102589921E-2</v>
      </c>
      <c r="J14" s="192">
        <v>8835.7000000000007</v>
      </c>
      <c r="K14" s="193">
        <f t="shared" ref="K14" si="3">IFERROR(J14/$B$9,"")</f>
        <v>9.8849918890194108E-2</v>
      </c>
      <c r="L14" s="192"/>
      <c r="M14" s="193">
        <f t="shared" ref="M14" si="4">IFERROR(L14/$B$9,"")</f>
        <v>0</v>
      </c>
    </row>
    <row r="15" spans="1:13" ht="19.350000000000001" customHeight="1">
      <c r="D15" s="429"/>
      <c r="E15" s="194" t="s">
        <v>179</v>
      </c>
      <c r="F15" s="192">
        <v>3751.6</v>
      </c>
      <c r="G15" s="193">
        <f>IFERROR(F15/$B$10,"")</f>
        <v>5.8312608803780155E-2</v>
      </c>
      <c r="H15" s="192">
        <v>31327.4</v>
      </c>
      <c r="I15" s="193">
        <f>IFERROR(H15/$B$10,"")</f>
        <v>0.48693422034319822</v>
      </c>
      <c r="J15" s="192"/>
      <c r="K15" s="193">
        <f>IFERROR(J15/$B$10,"")</f>
        <v>0</v>
      </c>
      <c r="L15" s="192"/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V27" sqref="V27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311" t="s">
        <v>138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</row>
    <row r="2" spans="1:17" s="123" customFormat="1" ht="15.75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</row>
    <row r="3" spans="1:17" ht="15.75" customHeight="1">
      <c r="A3" s="454" t="s">
        <v>184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</row>
    <row r="4" spans="1:17" s="123" customFormat="1" ht="15.75" customHeight="1">
      <c r="A4" s="455"/>
      <c r="B4" s="455"/>
      <c r="C4" s="455"/>
      <c r="D4" s="455"/>
      <c r="E4" s="455"/>
      <c r="F4" s="455"/>
      <c r="G4" s="455"/>
      <c r="H4" s="455"/>
      <c r="I4" s="455"/>
      <c r="J4" s="455"/>
      <c r="K4" s="455"/>
      <c r="L4" s="455"/>
      <c r="M4" s="455"/>
    </row>
    <row r="5" spans="1:17" ht="15.75" customHeight="1">
      <c r="A5" s="338" t="s">
        <v>185</v>
      </c>
      <c r="B5" s="457">
        <v>1</v>
      </c>
      <c r="C5" s="457"/>
      <c r="D5" s="457">
        <v>2</v>
      </c>
      <c r="E5" s="457"/>
      <c r="F5" s="457">
        <v>3</v>
      </c>
      <c r="G5" s="457"/>
      <c r="H5" s="438">
        <v>4</v>
      </c>
      <c r="I5" s="438"/>
      <c r="J5" s="438">
        <v>5</v>
      </c>
      <c r="K5" s="438"/>
      <c r="L5" s="438">
        <v>6</v>
      </c>
      <c r="M5" s="438"/>
      <c r="N5" s="438">
        <v>7</v>
      </c>
      <c r="O5" s="438"/>
      <c r="P5" s="438">
        <v>8</v>
      </c>
      <c r="Q5" s="438"/>
    </row>
    <row r="6" spans="1:17" ht="15.75" customHeight="1">
      <c r="A6" s="338"/>
      <c r="B6" s="458" t="s">
        <v>173</v>
      </c>
      <c r="C6" s="458"/>
      <c r="D6" s="458" t="s">
        <v>186</v>
      </c>
      <c r="E6" s="458"/>
      <c r="F6" s="458" t="s">
        <v>175</v>
      </c>
      <c r="G6" s="458"/>
      <c r="H6" s="338" t="s">
        <v>176</v>
      </c>
      <c r="I6" s="338"/>
      <c r="J6" s="338" t="s">
        <v>180</v>
      </c>
      <c r="K6" s="338"/>
      <c r="L6" s="338" t="s">
        <v>181</v>
      </c>
      <c r="M6" s="338"/>
      <c r="N6" s="338" t="s">
        <v>182</v>
      </c>
      <c r="O6" s="338"/>
      <c r="P6" s="456" t="s">
        <v>187</v>
      </c>
      <c r="Q6" s="338"/>
    </row>
    <row r="8" spans="1:17" s="128" customFormat="1" ht="15.75" customHeight="1">
      <c r="A8" s="438" t="s">
        <v>185</v>
      </c>
      <c r="B8" s="438"/>
      <c r="C8" s="154" t="s">
        <v>143</v>
      </c>
      <c r="D8" s="447" t="s">
        <v>144</v>
      </c>
      <c r="E8" s="448"/>
      <c r="F8" s="449"/>
      <c r="G8" s="155" t="s">
        <v>188</v>
      </c>
      <c r="H8" s="156"/>
      <c r="I8" s="154"/>
      <c r="J8" s="157" t="s">
        <v>189</v>
      </c>
      <c r="K8" s="157" t="s">
        <v>23</v>
      </c>
      <c r="L8" s="157" t="s">
        <v>190</v>
      </c>
      <c r="M8" s="157" t="s">
        <v>177</v>
      </c>
      <c r="N8" s="157" t="s">
        <v>191</v>
      </c>
      <c r="O8" s="450" t="s">
        <v>149</v>
      </c>
      <c r="P8" s="451"/>
    </row>
    <row r="9" spans="1:17" ht="15.75" customHeight="1">
      <c r="A9" s="438">
        <v>1</v>
      </c>
      <c r="B9" s="439" t="s">
        <v>192</v>
      </c>
      <c r="C9" s="158">
        <v>1</v>
      </c>
      <c r="D9" s="440" t="s">
        <v>137</v>
      </c>
      <c r="E9" s="441"/>
      <c r="F9" s="442"/>
      <c r="G9" s="440" t="s">
        <v>193</v>
      </c>
      <c r="H9" s="441"/>
      <c r="I9" s="442"/>
      <c r="J9" s="159">
        <v>55</v>
      </c>
      <c r="K9" s="160">
        <v>2.5999999999999999E-2</v>
      </c>
      <c r="L9" s="159">
        <v>10.8</v>
      </c>
      <c r="M9" s="275">
        <f t="shared" ref="M9:M11" si="0">L9*J9</f>
        <v>594</v>
      </c>
      <c r="N9" s="159"/>
      <c r="O9" s="443" t="s">
        <v>194</v>
      </c>
      <c r="P9" s="453"/>
    </row>
    <row r="10" spans="1:17" ht="15.75" customHeight="1">
      <c r="A10" s="438"/>
      <c r="B10" s="439"/>
      <c r="C10" s="158">
        <v>2</v>
      </c>
      <c r="D10" s="440"/>
      <c r="E10" s="441"/>
      <c r="F10" s="442"/>
      <c r="G10" s="440"/>
      <c r="H10" s="441"/>
      <c r="I10" s="442"/>
      <c r="J10" s="159"/>
      <c r="K10" s="160"/>
      <c r="L10" s="159"/>
      <c r="M10" s="275">
        <f t="shared" si="0"/>
        <v>0</v>
      </c>
      <c r="N10" s="159"/>
      <c r="O10" s="443"/>
      <c r="P10" s="453"/>
    </row>
    <row r="11" spans="1:17" ht="15.75" customHeight="1">
      <c r="A11" s="438"/>
      <c r="B11" s="439"/>
      <c r="C11" s="158">
        <v>3</v>
      </c>
      <c r="D11" s="443"/>
      <c r="E11" s="441"/>
      <c r="F11" s="442"/>
      <c r="G11" s="440"/>
      <c r="H11" s="441"/>
      <c r="I11" s="442"/>
      <c r="J11" s="159"/>
      <c r="K11" s="160"/>
      <c r="L11" s="159"/>
      <c r="M11" s="275">
        <f t="shared" si="0"/>
        <v>0</v>
      </c>
      <c r="N11" s="159"/>
      <c r="O11" s="443"/>
      <c r="P11" s="453"/>
    </row>
    <row r="12" spans="1:17" ht="15.75" customHeight="1">
      <c r="A12" s="438"/>
      <c r="B12" s="439"/>
      <c r="C12" s="158">
        <v>4</v>
      </c>
      <c r="D12" s="440"/>
      <c r="E12" s="441"/>
      <c r="F12" s="442"/>
      <c r="G12" s="440"/>
      <c r="H12" s="441"/>
      <c r="I12" s="442"/>
      <c r="J12" s="159"/>
      <c r="K12" s="160"/>
      <c r="L12" s="159"/>
      <c r="M12" s="275">
        <f t="shared" ref="M12:M13" si="1">L12*J12</f>
        <v>0</v>
      </c>
      <c r="N12" s="159"/>
      <c r="O12" s="162"/>
      <c r="P12" s="163"/>
    </row>
    <row r="13" spans="1:17" ht="15.75" customHeight="1" thickBot="1">
      <c r="A13" s="438"/>
      <c r="B13" s="439"/>
      <c r="C13" s="164">
        <v>5</v>
      </c>
      <c r="D13" s="444"/>
      <c r="E13" s="445"/>
      <c r="F13" s="446"/>
      <c r="G13" s="444"/>
      <c r="H13" s="445"/>
      <c r="I13" s="446"/>
      <c r="J13" s="165"/>
      <c r="K13" s="166"/>
      <c r="L13" s="165"/>
      <c r="M13" s="276">
        <f t="shared" si="1"/>
        <v>0</v>
      </c>
      <c r="N13" s="159"/>
      <c r="O13" s="168"/>
      <c r="P13" s="169"/>
    </row>
    <row r="14" spans="1:17" ht="15.75" customHeight="1" thickTop="1" thickBot="1">
      <c r="A14" s="438"/>
      <c r="B14" s="439"/>
      <c r="C14" s="433"/>
      <c r="D14" s="433"/>
      <c r="E14" s="433"/>
      <c r="F14" s="433"/>
      <c r="G14" s="433"/>
      <c r="H14" s="433"/>
      <c r="I14" s="434"/>
      <c r="J14" s="170" t="s">
        <v>195</v>
      </c>
      <c r="K14" s="171" t="e">
        <f>M14/#REF!</f>
        <v>#REF!</v>
      </c>
      <c r="L14" s="170" t="s">
        <v>196</v>
      </c>
      <c r="M14" s="172">
        <f>SUM(M9:M13)</f>
        <v>594</v>
      </c>
      <c r="N14" s="435"/>
      <c r="O14" s="436"/>
      <c r="P14" s="437"/>
    </row>
    <row r="15" spans="1:17" ht="15.75" customHeight="1" thickTop="1"/>
    <row r="16" spans="1:17" ht="15.75" customHeight="1">
      <c r="A16" s="438" t="s">
        <v>185</v>
      </c>
      <c r="B16" s="438"/>
      <c r="C16" s="154" t="s">
        <v>143</v>
      </c>
      <c r="D16" s="447" t="s">
        <v>144</v>
      </c>
      <c r="E16" s="448"/>
      <c r="F16" s="449"/>
      <c r="G16" s="155" t="s">
        <v>188</v>
      </c>
      <c r="H16" s="156"/>
      <c r="I16" s="154"/>
      <c r="J16" s="157" t="s">
        <v>189</v>
      </c>
      <c r="K16" s="157" t="s">
        <v>23</v>
      </c>
      <c r="L16" s="157" t="s">
        <v>190</v>
      </c>
      <c r="M16" s="157" t="s">
        <v>177</v>
      </c>
      <c r="N16" s="157" t="s">
        <v>191</v>
      </c>
      <c r="O16" s="450" t="s">
        <v>149</v>
      </c>
      <c r="P16" s="451"/>
    </row>
    <row r="17" spans="1:16" ht="15.75" customHeight="1">
      <c r="A17" s="438">
        <v>2</v>
      </c>
      <c r="B17" s="439" t="s">
        <v>197</v>
      </c>
      <c r="C17" s="158">
        <v>1</v>
      </c>
      <c r="D17" s="440" t="s">
        <v>198</v>
      </c>
      <c r="E17" s="441"/>
      <c r="F17" s="442"/>
      <c r="G17" s="440" t="s">
        <v>199</v>
      </c>
      <c r="H17" s="441"/>
      <c r="I17" s="442"/>
      <c r="J17" s="159">
        <v>100</v>
      </c>
      <c r="K17" s="160">
        <v>2.7E-2</v>
      </c>
      <c r="L17" s="159">
        <v>24.7</v>
      </c>
      <c r="M17" s="275">
        <f t="shared" ref="M17:M21" si="2">L17*J17</f>
        <v>2470</v>
      </c>
      <c r="N17" s="160">
        <v>0.37869999999999998</v>
      </c>
      <c r="O17" s="431" t="s">
        <v>200</v>
      </c>
      <c r="P17" s="432"/>
    </row>
    <row r="18" spans="1:16" ht="15.75" customHeight="1">
      <c r="A18" s="438"/>
      <c r="B18" s="439"/>
      <c r="C18" s="158">
        <v>2</v>
      </c>
      <c r="D18" s="443" t="s">
        <v>201</v>
      </c>
      <c r="E18" s="441"/>
      <c r="F18" s="442"/>
      <c r="G18" s="440" t="s">
        <v>202</v>
      </c>
      <c r="H18" s="441"/>
      <c r="I18" s="442"/>
      <c r="J18" s="159">
        <v>584.70000000000005</v>
      </c>
      <c r="K18" s="160">
        <v>8.3000000000000004E-2</v>
      </c>
      <c r="L18" s="159">
        <v>2</v>
      </c>
      <c r="M18" s="275">
        <f t="shared" si="2"/>
        <v>1169.4000000000001</v>
      </c>
      <c r="N18" s="160"/>
      <c r="O18" s="431" t="s">
        <v>203</v>
      </c>
      <c r="P18" s="432"/>
    </row>
    <row r="19" spans="1:16" ht="15.75" customHeight="1">
      <c r="A19" s="438"/>
      <c r="B19" s="439"/>
      <c r="C19" s="158">
        <v>3</v>
      </c>
      <c r="D19" s="452" t="s">
        <v>204</v>
      </c>
      <c r="E19" s="441"/>
      <c r="F19" s="442"/>
      <c r="G19" s="440" t="s">
        <v>205</v>
      </c>
      <c r="H19" s="441"/>
      <c r="I19" s="442"/>
      <c r="J19" s="159">
        <v>290</v>
      </c>
      <c r="K19" s="160">
        <v>0.10100000000000001</v>
      </c>
      <c r="L19" s="159">
        <v>1.1000000000000001</v>
      </c>
      <c r="M19" s="275">
        <f t="shared" si="2"/>
        <v>319</v>
      </c>
      <c r="N19" s="160"/>
      <c r="O19" s="431" t="s">
        <v>206</v>
      </c>
      <c r="P19" s="432"/>
    </row>
    <row r="20" spans="1:16" ht="15.75" customHeight="1">
      <c r="A20" s="438"/>
      <c r="B20" s="439"/>
      <c r="C20" s="158">
        <v>4</v>
      </c>
      <c r="D20" s="440" t="s">
        <v>163</v>
      </c>
      <c r="E20" s="441"/>
      <c r="F20" s="442"/>
      <c r="G20" s="440" t="s">
        <v>207</v>
      </c>
      <c r="H20" s="441"/>
      <c r="I20" s="442"/>
      <c r="J20" s="159">
        <v>162.4</v>
      </c>
      <c r="K20" s="160">
        <v>2.5000000000000001E-2</v>
      </c>
      <c r="L20" s="159">
        <v>10.8</v>
      </c>
      <c r="M20" s="275">
        <f t="shared" si="2"/>
        <v>1753.92</v>
      </c>
      <c r="N20" s="159"/>
      <c r="O20" s="431" t="s">
        <v>200</v>
      </c>
      <c r="P20" s="432"/>
    </row>
    <row r="21" spans="1:16" ht="15.75" customHeight="1" thickBot="1">
      <c r="A21" s="438"/>
      <c r="B21" s="439"/>
      <c r="C21" s="164">
        <v>5</v>
      </c>
      <c r="D21" s="443" t="s">
        <v>208</v>
      </c>
      <c r="E21" s="441"/>
      <c r="F21" s="442"/>
      <c r="G21" s="440" t="s">
        <v>209</v>
      </c>
      <c r="H21" s="441"/>
      <c r="I21" s="442"/>
      <c r="J21" s="159">
        <v>77.3</v>
      </c>
      <c r="K21" s="160">
        <v>1.0999999999999999E-2</v>
      </c>
      <c r="L21" s="159">
        <v>20.9</v>
      </c>
      <c r="M21" s="275">
        <f t="shared" si="2"/>
        <v>1615.57</v>
      </c>
      <c r="N21" s="160"/>
      <c r="O21" s="431" t="s">
        <v>210</v>
      </c>
      <c r="P21" s="432"/>
    </row>
    <row r="22" spans="1:16" ht="15.75" customHeight="1" thickTop="1" thickBot="1">
      <c r="A22" s="438"/>
      <c r="B22" s="439"/>
      <c r="C22" s="433"/>
      <c r="D22" s="433"/>
      <c r="E22" s="433"/>
      <c r="F22" s="433"/>
      <c r="G22" s="433"/>
      <c r="H22" s="433"/>
      <c r="I22" s="434"/>
      <c r="J22" s="170" t="s">
        <v>195</v>
      </c>
      <c r="K22" s="171" t="e">
        <f>M22/#REF!</f>
        <v>#REF!</v>
      </c>
      <c r="L22" s="170" t="s">
        <v>196</v>
      </c>
      <c r="M22" s="172">
        <f>SUM(M17:M21)</f>
        <v>7327.8899999999994</v>
      </c>
      <c r="N22" s="435"/>
      <c r="O22" s="436"/>
      <c r="P22" s="437"/>
    </row>
    <row r="23" spans="1:16" ht="15.75" customHeight="1" thickTop="1"/>
    <row r="24" spans="1:16" ht="15.75" customHeight="1">
      <c r="A24" s="438" t="s">
        <v>185</v>
      </c>
      <c r="B24" s="438"/>
      <c r="C24" s="154" t="s">
        <v>143</v>
      </c>
      <c r="D24" s="447" t="s">
        <v>144</v>
      </c>
      <c r="E24" s="448"/>
      <c r="F24" s="449"/>
      <c r="G24" s="155" t="s">
        <v>188</v>
      </c>
      <c r="H24" s="156"/>
      <c r="I24" s="154"/>
      <c r="J24" s="157" t="s">
        <v>189</v>
      </c>
      <c r="K24" s="157" t="s">
        <v>23</v>
      </c>
      <c r="L24" s="157" t="s">
        <v>190</v>
      </c>
      <c r="M24" s="157" t="s">
        <v>177</v>
      </c>
      <c r="N24" s="157" t="s">
        <v>148</v>
      </c>
      <c r="O24" s="450" t="s">
        <v>149</v>
      </c>
      <c r="P24" s="451"/>
    </row>
    <row r="25" spans="1:16" ht="15.75" customHeight="1">
      <c r="A25" s="438">
        <v>3</v>
      </c>
      <c r="B25" s="439" t="s">
        <v>211</v>
      </c>
      <c r="C25" s="158">
        <v>1</v>
      </c>
      <c r="D25" s="440"/>
      <c r="E25" s="441"/>
      <c r="F25" s="442"/>
      <c r="G25" s="440"/>
      <c r="H25" s="441"/>
      <c r="I25" s="442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438"/>
      <c r="B26" s="439"/>
      <c r="C26" s="158">
        <v>2</v>
      </c>
      <c r="D26" s="440"/>
      <c r="E26" s="441"/>
      <c r="F26" s="442"/>
      <c r="G26" s="440"/>
      <c r="H26" s="441"/>
      <c r="I26" s="442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438"/>
      <c r="B27" s="439"/>
      <c r="C27" s="158">
        <v>3</v>
      </c>
      <c r="D27" s="440"/>
      <c r="E27" s="441"/>
      <c r="F27" s="442"/>
      <c r="G27" s="440"/>
      <c r="H27" s="441"/>
      <c r="I27" s="442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438"/>
      <c r="B28" s="439"/>
      <c r="C28" s="158">
        <v>4</v>
      </c>
      <c r="D28" s="440"/>
      <c r="E28" s="441"/>
      <c r="F28" s="442"/>
      <c r="G28" s="440"/>
      <c r="H28" s="441"/>
      <c r="I28" s="442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 thickBot="1">
      <c r="A29" s="438"/>
      <c r="B29" s="439"/>
      <c r="C29" s="164">
        <v>5</v>
      </c>
      <c r="D29" s="444"/>
      <c r="E29" s="445"/>
      <c r="F29" s="446"/>
      <c r="G29" s="444"/>
      <c r="H29" s="445"/>
      <c r="I29" s="446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 thickTop="1" thickBot="1">
      <c r="A30" s="438"/>
      <c r="B30" s="439"/>
      <c r="C30" s="433"/>
      <c r="D30" s="433"/>
      <c r="E30" s="433"/>
      <c r="F30" s="433"/>
      <c r="G30" s="433"/>
      <c r="H30" s="433"/>
      <c r="I30" s="434"/>
      <c r="J30" s="170" t="s">
        <v>195</v>
      </c>
      <c r="K30" s="171" t="e">
        <f>M30/#REF!</f>
        <v>#REF!</v>
      </c>
      <c r="L30" s="170" t="s">
        <v>196</v>
      </c>
      <c r="M30" s="172">
        <f>SUM(M25:M29)</f>
        <v>0</v>
      </c>
      <c r="N30" s="435"/>
      <c r="O30" s="436"/>
      <c r="P30" s="437"/>
    </row>
    <row r="31" spans="1:16" ht="15.75" customHeight="1" thickTop="1"/>
  </sheetData>
  <mergeCells count="78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topLeftCell="A19" zoomScale="130" zoomScaleNormal="60" zoomScaleSheetLayoutView="130" workbookViewId="0">
      <selection activeCell="I23" sqref="I2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311" t="s">
        <v>138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</row>
    <row r="2" spans="1:17" s="123" customFormat="1" ht="15.75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</row>
    <row r="3" spans="1:17" s="122" customFormat="1" ht="15.75" customHeight="1">
      <c r="A3" s="454" t="s">
        <v>184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</row>
    <row r="4" spans="1:17" s="123" customFormat="1" ht="15.75" customHeight="1">
      <c r="A4" s="455"/>
      <c r="B4" s="455"/>
      <c r="C4" s="455"/>
      <c r="D4" s="455"/>
      <c r="E4" s="455"/>
      <c r="F4" s="455"/>
      <c r="G4" s="455"/>
      <c r="H4" s="455"/>
      <c r="I4" s="455"/>
      <c r="J4" s="455"/>
      <c r="K4" s="455"/>
      <c r="L4" s="455"/>
      <c r="M4" s="455"/>
    </row>
    <row r="5" spans="1:17" s="122" customFormat="1" ht="15.75" customHeight="1">
      <c r="A5" s="338" t="s">
        <v>185</v>
      </c>
      <c r="B5" s="438">
        <v>1</v>
      </c>
      <c r="C5" s="438"/>
      <c r="D5" s="438">
        <v>2</v>
      </c>
      <c r="E5" s="438"/>
      <c r="F5" s="438">
        <v>3</v>
      </c>
      <c r="G5" s="438"/>
      <c r="H5" s="457">
        <v>4</v>
      </c>
      <c r="I5" s="457"/>
      <c r="J5" s="457">
        <v>5</v>
      </c>
      <c r="K5" s="457"/>
      <c r="L5" s="457">
        <v>6</v>
      </c>
      <c r="M5" s="457"/>
      <c r="N5" s="457">
        <v>7</v>
      </c>
      <c r="O5" s="457"/>
      <c r="P5" s="438">
        <v>8</v>
      </c>
      <c r="Q5" s="438"/>
    </row>
    <row r="6" spans="1:17" s="122" customFormat="1" ht="15.75" customHeight="1">
      <c r="A6" s="338"/>
      <c r="B6" s="338" t="s">
        <v>173</v>
      </c>
      <c r="C6" s="338"/>
      <c r="D6" s="338" t="s">
        <v>186</v>
      </c>
      <c r="E6" s="338"/>
      <c r="F6" s="338" t="s">
        <v>175</v>
      </c>
      <c r="G6" s="338"/>
      <c r="H6" s="458" t="s">
        <v>176</v>
      </c>
      <c r="I6" s="458"/>
      <c r="J6" s="458" t="s">
        <v>180</v>
      </c>
      <c r="K6" s="458"/>
      <c r="L6" s="458" t="s">
        <v>181</v>
      </c>
      <c r="M6" s="458"/>
      <c r="N6" s="458" t="s">
        <v>182</v>
      </c>
      <c r="O6" s="458"/>
      <c r="P6" s="456" t="s">
        <v>187</v>
      </c>
      <c r="Q6" s="338"/>
    </row>
    <row r="7" spans="1:17" s="122" customFormat="1" ht="15.75" customHeight="1">
      <c r="B7" s="173"/>
      <c r="C7" s="152"/>
    </row>
    <row r="8" spans="1:17" s="112" customFormat="1" ht="15.75" customHeight="1">
      <c r="A8" s="466" t="s">
        <v>185</v>
      </c>
      <c r="B8" s="467"/>
      <c r="C8" s="119" t="s">
        <v>143</v>
      </c>
      <c r="D8" s="468" t="s">
        <v>144</v>
      </c>
      <c r="E8" s="469"/>
      <c r="F8" s="470"/>
      <c r="G8" s="117" t="s">
        <v>188</v>
      </c>
      <c r="H8" s="118"/>
      <c r="I8" s="119"/>
      <c r="J8" s="116" t="s">
        <v>189</v>
      </c>
      <c r="K8" s="116" t="s">
        <v>23</v>
      </c>
      <c r="L8" s="116" t="s">
        <v>190</v>
      </c>
      <c r="M8" s="120" t="s">
        <v>177</v>
      </c>
      <c r="N8" s="120" t="s">
        <v>191</v>
      </c>
      <c r="O8" s="471" t="s">
        <v>149</v>
      </c>
      <c r="P8" s="472"/>
    </row>
    <row r="9" spans="1:17" ht="15.75" customHeight="1">
      <c r="A9" s="467">
        <v>4</v>
      </c>
      <c r="B9" s="482" t="s">
        <v>212</v>
      </c>
      <c r="C9" s="114">
        <v>1</v>
      </c>
      <c r="D9" s="452" t="s">
        <v>204</v>
      </c>
      <c r="E9" s="476"/>
      <c r="F9" s="477"/>
      <c r="G9" s="443" t="s">
        <v>205</v>
      </c>
      <c r="H9" s="476"/>
      <c r="I9" s="477"/>
      <c r="J9" s="4">
        <v>290</v>
      </c>
      <c r="K9" s="14">
        <v>0.104</v>
      </c>
      <c r="L9" s="4">
        <v>3.9</v>
      </c>
      <c r="M9" s="277">
        <f t="shared" ref="M9:M13" si="0">L9*J9</f>
        <v>1131</v>
      </c>
      <c r="N9" s="4"/>
      <c r="O9" s="459" t="s">
        <v>206</v>
      </c>
      <c r="P9" s="460"/>
    </row>
    <row r="10" spans="1:17" ht="15.75" customHeight="1">
      <c r="A10" s="467"/>
      <c r="B10" s="482"/>
      <c r="C10" s="114">
        <v>2</v>
      </c>
      <c r="D10" s="443"/>
      <c r="E10" s="476"/>
      <c r="F10" s="477"/>
      <c r="G10" s="443"/>
      <c r="H10" s="476"/>
      <c r="I10" s="477"/>
      <c r="J10" s="4"/>
      <c r="K10" s="14"/>
      <c r="L10" s="4"/>
      <c r="M10" s="277">
        <f t="shared" si="0"/>
        <v>0</v>
      </c>
      <c r="N10" s="4"/>
      <c r="O10" s="459"/>
      <c r="P10" s="460"/>
    </row>
    <row r="11" spans="1:17" ht="15.75" customHeight="1">
      <c r="A11" s="467"/>
      <c r="B11" s="482"/>
      <c r="C11" s="114">
        <v>3</v>
      </c>
      <c r="D11" s="485"/>
      <c r="E11" s="476"/>
      <c r="F11" s="477"/>
      <c r="G11" s="475"/>
      <c r="H11" s="476"/>
      <c r="I11" s="477"/>
      <c r="J11" s="4"/>
      <c r="K11" s="14"/>
      <c r="L11" s="4"/>
      <c r="M11" s="277">
        <f t="shared" si="0"/>
        <v>0</v>
      </c>
      <c r="N11" s="4"/>
      <c r="O11" s="459"/>
      <c r="P11" s="460"/>
    </row>
    <row r="12" spans="1:17" ht="15.75" customHeight="1">
      <c r="A12" s="467"/>
      <c r="B12" s="482"/>
      <c r="C12" s="114">
        <v>4</v>
      </c>
      <c r="D12" s="475"/>
      <c r="E12" s="476"/>
      <c r="F12" s="477"/>
      <c r="G12" s="475"/>
      <c r="H12" s="476"/>
      <c r="I12" s="477"/>
      <c r="J12" s="4"/>
      <c r="K12" s="14"/>
      <c r="L12" s="4"/>
      <c r="M12" s="277">
        <f t="shared" si="0"/>
        <v>0</v>
      </c>
      <c r="N12" s="4"/>
      <c r="O12" s="76"/>
      <c r="P12" s="74"/>
    </row>
    <row r="13" spans="1:17" ht="15.75" customHeight="1" thickBot="1">
      <c r="A13" s="467"/>
      <c r="B13" s="482"/>
      <c r="C13" s="115">
        <v>5</v>
      </c>
      <c r="D13" s="478"/>
      <c r="E13" s="479"/>
      <c r="F13" s="480"/>
      <c r="G13" s="478"/>
      <c r="H13" s="479"/>
      <c r="I13" s="480"/>
      <c r="J13" s="27"/>
      <c r="K13" s="30"/>
      <c r="L13" s="27"/>
      <c r="M13" s="278">
        <f t="shared" si="0"/>
        <v>0</v>
      </c>
      <c r="N13" s="4"/>
      <c r="O13" s="77"/>
      <c r="P13" s="75"/>
    </row>
    <row r="14" spans="1:17" ht="15.75" customHeight="1" thickTop="1" thickBot="1">
      <c r="A14" s="467"/>
      <c r="B14" s="482"/>
      <c r="C14" s="473"/>
      <c r="D14" s="473"/>
      <c r="E14" s="473"/>
      <c r="F14" s="473"/>
      <c r="G14" s="473"/>
      <c r="H14" s="473"/>
      <c r="I14" s="474"/>
      <c r="J14" s="121" t="s">
        <v>195</v>
      </c>
      <c r="K14" s="171" t="e">
        <f>M14/#REF!</f>
        <v>#REF!</v>
      </c>
      <c r="L14" s="121" t="s">
        <v>196</v>
      </c>
      <c r="M14" s="34">
        <v>0</v>
      </c>
      <c r="N14" s="461"/>
      <c r="O14" s="462"/>
      <c r="P14" s="463"/>
    </row>
    <row r="15" spans="1:17" ht="15.75" customHeight="1" thickTop="1"/>
    <row r="16" spans="1:17" ht="15.75" customHeight="1">
      <c r="A16" s="466" t="s">
        <v>185</v>
      </c>
      <c r="B16" s="467"/>
      <c r="C16" s="119" t="s">
        <v>143</v>
      </c>
      <c r="D16" s="468" t="s">
        <v>144</v>
      </c>
      <c r="E16" s="469"/>
      <c r="F16" s="470"/>
      <c r="G16" s="117" t="s">
        <v>188</v>
      </c>
      <c r="H16" s="118"/>
      <c r="I16" s="119"/>
      <c r="J16" s="116" t="s">
        <v>189</v>
      </c>
      <c r="K16" s="116" t="s">
        <v>23</v>
      </c>
      <c r="L16" s="116" t="s">
        <v>190</v>
      </c>
      <c r="M16" s="120" t="s">
        <v>177</v>
      </c>
      <c r="N16" s="120" t="s">
        <v>191</v>
      </c>
      <c r="O16" s="471" t="s">
        <v>149</v>
      </c>
      <c r="P16" s="472"/>
    </row>
    <row r="17" spans="1:16" ht="15.75" customHeight="1">
      <c r="A17" s="467">
        <v>5</v>
      </c>
      <c r="B17" s="481" t="s">
        <v>213</v>
      </c>
      <c r="C17" s="114">
        <v>1</v>
      </c>
      <c r="D17" s="452" t="s">
        <v>214</v>
      </c>
      <c r="E17" s="476"/>
      <c r="F17" s="477"/>
      <c r="G17" s="483" t="s">
        <v>215</v>
      </c>
      <c r="H17" s="476"/>
      <c r="I17" s="477"/>
      <c r="J17" s="4">
        <v>742.4</v>
      </c>
      <c r="K17" s="14">
        <v>4.4999999999999998E-2</v>
      </c>
      <c r="L17" s="4">
        <v>1.5</v>
      </c>
      <c r="M17" s="277">
        <f>L17*J17</f>
        <v>1113.5999999999999</v>
      </c>
      <c r="N17" s="4"/>
      <c r="O17" s="459" t="s">
        <v>216</v>
      </c>
      <c r="P17" s="460"/>
    </row>
    <row r="18" spans="1:16" ht="15.75" customHeight="1">
      <c r="A18" s="467"/>
      <c r="B18" s="482"/>
      <c r="C18" s="114">
        <v>2</v>
      </c>
      <c r="D18" s="452"/>
      <c r="E18" s="476"/>
      <c r="F18" s="477"/>
      <c r="G18" s="484"/>
      <c r="H18" s="476"/>
      <c r="I18" s="477"/>
      <c r="J18" s="4"/>
      <c r="K18" s="14"/>
      <c r="L18" s="4"/>
      <c r="M18" s="277">
        <f t="shared" ref="M18:M21" si="1">L18*J18</f>
        <v>0</v>
      </c>
      <c r="N18" s="4"/>
      <c r="O18" s="459"/>
      <c r="P18" s="460"/>
    </row>
    <row r="19" spans="1:16" ht="15.75" customHeight="1">
      <c r="A19" s="467"/>
      <c r="B19" s="482"/>
      <c r="C19" s="114">
        <v>3</v>
      </c>
      <c r="D19" s="475"/>
      <c r="E19" s="476"/>
      <c r="F19" s="477"/>
      <c r="G19" s="475"/>
      <c r="H19" s="476"/>
      <c r="I19" s="477"/>
      <c r="J19" s="4"/>
      <c r="K19" s="14"/>
      <c r="L19" s="4"/>
      <c r="M19" s="277">
        <f t="shared" si="1"/>
        <v>0</v>
      </c>
      <c r="N19" s="4"/>
      <c r="O19" s="459"/>
      <c r="P19" s="460"/>
    </row>
    <row r="20" spans="1:16" ht="15.75" customHeight="1">
      <c r="A20" s="467"/>
      <c r="B20" s="482"/>
      <c r="C20" s="114">
        <v>4</v>
      </c>
      <c r="D20" s="475"/>
      <c r="E20" s="476"/>
      <c r="F20" s="477"/>
      <c r="G20" s="475"/>
      <c r="H20" s="476"/>
      <c r="I20" s="477"/>
      <c r="J20" s="4"/>
      <c r="K20" s="14"/>
      <c r="L20" s="4"/>
      <c r="M20" s="277">
        <f t="shared" si="1"/>
        <v>0</v>
      </c>
      <c r="N20" s="4"/>
      <c r="O20" s="76"/>
      <c r="P20" s="74"/>
    </row>
    <row r="21" spans="1:16" ht="15.75" customHeight="1" thickBot="1">
      <c r="A21" s="467"/>
      <c r="B21" s="482"/>
      <c r="C21" s="115">
        <v>5</v>
      </c>
      <c r="D21" s="478"/>
      <c r="E21" s="479"/>
      <c r="F21" s="480"/>
      <c r="G21" s="478"/>
      <c r="H21" s="479"/>
      <c r="I21" s="480"/>
      <c r="J21" s="27"/>
      <c r="K21" s="30"/>
      <c r="L21" s="27"/>
      <c r="M21" s="277">
        <f t="shared" si="1"/>
        <v>0</v>
      </c>
      <c r="N21" s="4"/>
      <c r="O21" s="77"/>
      <c r="P21" s="75"/>
    </row>
    <row r="22" spans="1:16" ht="15.75" customHeight="1" thickTop="1" thickBot="1">
      <c r="A22" s="467"/>
      <c r="B22" s="482"/>
      <c r="C22" s="473"/>
      <c r="D22" s="473"/>
      <c r="E22" s="473"/>
      <c r="F22" s="473"/>
      <c r="G22" s="473"/>
      <c r="H22" s="473"/>
      <c r="I22" s="474"/>
      <c r="J22" s="121" t="s">
        <v>195</v>
      </c>
      <c r="K22" s="171" t="e">
        <f>M22/#REF!</f>
        <v>#REF!</v>
      </c>
      <c r="L22" s="121" t="s">
        <v>196</v>
      </c>
      <c r="M22" s="34">
        <v>0</v>
      </c>
      <c r="N22" s="461"/>
      <c r="O22" s="462"/>
      <c r="P22" s="463"/>
    </row>
    <row r="23" spans="1:16" ht="15.75" customHeight="1" thickTop="1"/>
    <row r="24" spans="1:16" ht="15.75" customHeight="1">
      <c r="A24" s="466" t="s">
        <v>185</v>
      </c>
      <c r="B24" s="467"/>
      <c r="C24" s="119" t="s">
        <v>143</v>
      </c>
      <c r="D24" s="468" t="s">
        <v>144</v>
      </c>
      <c r="E24" s="469"/>
      <c r="F24" s="470"/>
      <c r="G24" s="117" t="s">
        <v>188</v>
      </c>
      <c r="H24" s="118"/>
      <c r="I24" s="119"/>
      <c r="J24" s="116" t="s">
        <v>189</v>
      </c>
      <c r="K24" s="116" t="s">
        <v>23</v>
      </c>
      <c r="L24" s="116" t="s">
        <v>190</v>
      </c>
      <c r="M24" s="120" t="s">
        <v>177</v>
      </c>
      <c r="N24" s="120" t="s">
        <v>191</v>
      </c>
      <c r="O24" s="471" t="s">
        <v>149</v>
      </c>
      <c r="P24" s="472"/>
    </row>
    <row r="25" spans="1:16" ht="15.75" customHeight="1">
      <c r="A25" s="467">
        <v>6</v>
      </c>
      <c r="B25" s="481" t="s">
        <v>217</v>
      </c>
      <c r="C25" s="114">
        <v>1</v>
      </c>
      <c r="D25" s="440" t="s">
        <v>198</v>
      </c>
      <c r="E25" s="441"/>
      <c r="F25" s="442"/>
      <c r="G25" s="440" t="s">
        <v>218</v>
      </c>
      <c r="H25" s="441"/>
      <c r="I25" s="442"/>
      <c r="J25" s="159">
        <v>335.3</v>
      </c>
      <c r="K25" s="160">
        <v>1.0999999999999999E-2</v>
      </c>
      <c r="L25" s="159">
        <v>10.7</v>
      </c>
      <c r="M25" s="275">
        <f t="shared" ref="M25:M29" si="2">L25*J25</f>
        <v>3587.71</v>
      </c>
      <c r="N25" s="310">
        <v>1.23</v>
      </c>
      <c r="O25" s="443" t="s">
        <v>219</v>
      </c>
      <c r="P25" s="453"/>
    </row>
    <row r="26" spans="1:16" ht="15.75" customHeight="1">
      <c r="A26" s="467"/>
      <c r="B26" s="482"/>
      <c r="C26" s="114">
        <v>2</v>
      </c>
      <c r="D26" s="443" t="s">
        <v>153</v>
      </c>
      <c r="E26" s="476"/>
      <c r="F26" s="477"/>
      <c r="G26" s="443" t="s">
        <v>220</v>
      </c>
      <c r="H26" s="476"/>
      <c r="I26" s="477"/>
      <c r="J26" s="4">
        <v>356.37</v>
      </c>
      <c r="K26" s="14">
        <v>1.2999999999999999E-2</v>
      </c>
      <c r="L26" s="4">
        <v>5.3</v>
      </c>
      <c r="M26" s="275">
        <f t="shared" si="2"/>
        <v>1888.761</v>
      </c>
      <c r="N26" s="310">
        <v>0.7419</v>
      </c>
      <c r="O26" s="443" t="s">
        <v>221</v>
      </c>
      <c r="P26" s="453"/>
    </row>
    <row r="27" spans="1:16" ht="15.75" customHeight="1">
      <c r="A27" s="467"/>
      <c r="B27" s="482"/>
      <c r="C27" s="114">
        <v>3</v>
      </c>
      <c r="D27" s="475" t="s">
        <v>208</v>
      </c>
      <c r="E27" s="476"/>
      <c r="F27" s="477"/>
      <c r="G27" s="475" t="s">
        <v>222</v>
      </c>
      <c r="H27" s="476"/>
      <c r="I27" s="477"/>
      <c r="J27" s="4">
        <v>420.4</v>
      </c>
      <c r="K27" s="14">
        <v>1.9E-2</v>
      </c>
      <c r="L27" s="4">
        <v>1.3</v>
      </c>
      <c r="M27" s="275">
        <f t="shared" si="2"/>
        <v>546.52</v>
      </c>
      <c r="N27" s="4"/>
      <c r="O27" s="459"/>
      <c r="P27" s="464"/>
    </row>
    <row r="28" spans="1:16" ht="15.75" customHeight="1">
      <c r="A28" s="467"/>
      <c r="B28" s="482"/>
      <c r="C28" s="114">
        <v>4</v>
      </c>
      <c r="D28" s="475" t="s">
        <v>223</v>
      </c>
      <c r="E28" s="476"/>
      <c r="F28" s="477"/>
      <c r="G28" s="475" t="s">
        <v>224</v>
      </c>
      <c r="H28" s="476"/>
      <c r="I28" s="477"/>
      <c r="J28" s="4">
        <v>6.1</v>
      </c>
      <c r="K28" s="14">
        <v>1.2999999999999999E-2</v>
      </c>
      <c r="L28" s="4">
        <v>56</v>
      </c>
      <c r="M28" s="275">
        <f t="shared" si="2"/>
        <v>341.59999999999997</v>
      </c>
      <c r="N28" s="4"/>
      <c r="O28" s="459"/>
      <c r="P28" s="464"/>
    </row>
    <row r="29" spans="1:16" ht="15.75" customHeight="1" thickBot="1">
      <c r="A29" s="467"/>
      <c r="B29" s="482"/>
      <c r="C29" s="115">
        <v>5</v>
      </c>
      <c r="D29" s="478" t="s">
        <v>201</v>
      </c>
      <c r="E29" s="479"/>
      <c r="F29" s="480"/>
      <c r="G29" s="478" t="s">
        <v>225</v>
      </c>
      <c r="H29" s="479"/>
      <c r="I29" s="480"/>
      <c r="J29" s="27">
        <v>762.2</v>
      </c>
      <c r="K29" s="30">
        <v>0.01</v>
      </c>
      <c r="L29" s="27">
        <v>0.4</v>
      </c>
      <c r="M29" s="278">
        <f t="shared" si="2"/>
        <v>304.88000000000005</v>
      </c>
      <c r="N29" s="4"/>
      <c r="O29" s="465"/>
      <c r="P29" s="460"/>
    </row>
    <row r="30" spans="1:16" ht="15.75" customHeight="1" thickTop="1" thickBot="1">
      <c r="A30" s="467"/>
      <c r="B30" s="482"/>
      <c r="C30" s="473"/>
      <c r="D30" s="473"/>
      <c r="E30" s="473"/>
      <c r="F30" s="473"/>
      <c r="G30" s="473"/>
      <c r="H30" s="473"/>
      <c r="I30" s="474"/>
      <c r="J30" s="121" t="s">
        <v>195</v>
      </c>
      <c r="K30" s="171" t="e">
        <f>M30/#REF!</f>
        <v>#REF!</v>
      </c>
      <c r="L30" s="121" t="s">
        <v>196</v>
      </c>
      <c r="M30" s="34">
        <v>0</v>
      </c>
      <c r="N30" s="461"/>
      <c r="O30" s="462"/>
      <c r="P30" s="463"/>
    </row>
    <row r="31" spans="1:16" ht="15.75" customHeight="1" thickTop="1"/>
    <row r="32" spans="1:16" ht="15.75" customHeight="1">
      <c r="A32" s="466" t="s">
        <v>185</v>
      </c>
      <c r="B32" s="467"/>
      <c r="C32" s="119" t="s">
        <v>143</v>
      </c>
      <c r="D32" s="468" t="s">
        <v>144</v>
      </c>
      <c r="E32" s="469"/>
      <c r="F32" s="470"/>
      <c r="G32" s="117" t="s">
        <v>188</v>
      </c>
      <c r="H32" s="118"/>
      <c r="I32" s="119"/>
      <c r="J32" s="116" t="s">
        <v>189</v>
      </c>
      <c r="K32" s="116" t="s">
        <v>23</v>
      </c>
      <c r="L32" s="116" t="s">
        <v>190</v>
      </c>
      <c r="M32" s="120" t="s">
        <v>177</v>
      </c>
      <c r="N32" s="120" t="s">
        <v>191</v>
      </c>
      <c r="O32" s="471" t="s">
        <v>149</v>
      </c>
      <c r="P32" s="472"/>
    </row>
    <row r="33" spans="1:16" ht="15.75" customHeight="1">
      <c r="A33" s="467">
        <v>7</v>
      </c>
      <c r="B33" s="481" t="s">
        <v>211</v>
      </c>
      <c r="C33" s="114">
        <v>1</v>
      </c>
      <c r="D33" s="475"/>
      <c r="E33" s="476"/>
      <c r="F33" s="477"/>
      <c r="G33" s="475"/>
      <c r="H33" s="476"/>
      <c r="I33" s="477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467"/>
      <c r="B34" s="482"/>
      <c r="C34" s="114">
        <v>2</v>
      </c>
      <c r="D34" s="475"/>
      <c r="E34" s="476"/>
      <c r="F34" s="477"/>
      <c r="G34" s="475"/>
      <c r="H34" s="476"/>
      <c r="I34" s="47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467"/>
      <c r="B35" s="482"/>
      <c r="C35" s="114">
        <v>3</v>
      </c>
      <c r="D35" s="475"/>
      <c r="E35" s="476"/>
      <c r="F35" s="477"/>
      <c r="G35" s="475"/>
      <c r="H35" s="476"/>
      <c r="I35" s="47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467"/>
      <c r="B36" s="482"/>
      <c r="C36" s="114">
        <v>4</v>
      </c>
      <c r="D36" s="475"/>
      <c r="E36" s="476"/>
      <c r="F36" s="477"/>
      <c r="G36" s="475"/>
      <c r="H36" s="476"/>
      <c r="I36" s="477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467"/>
      <c r="B37" s="482"/>
      <c r="C37" s="115">
        <v>5</v>
      </c>
      <c r="D37" s="478"/>
      <c r="E37" s="479"/>
      <c r="F37" s="480"/>
      <c r="G37" s="478"/>
      <c r="H37" s="479"/>
      <c r="I37" s="480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467"/>
      <c r="B38" s="482"/>
      <c r="C38" s="473"/>
      <c r="D38" s="473"/>
      <c r="E38" s="473"/>
      <c r="F38" s="473"/>
      <c r="G38" s="473"/>
      <c r="H38" s="473"/>
      <c r="I38" s="474"/>
      <c r="J38" s="121" t="s">
        <v>195</v>
      </c>
      <c r="K38" s="171" t="e">
        <f>M38/#REF!</f>
        <v>#REF!</v>
      </c>
      <c r="L38" s="121" t="s">
        <v>196</v>
      </c>
      <c r="M38" s="34">
        <v>0</v>
      </c>
      <c r="N38" s="461"/>
      <c r="O38" s="462"/>
      <c r="P38" s="463"/>
    </row>
    <row r="39" spans="1:16" ht="15.75" customHeight="1" thickTop="1"/>
  </sheetData>
  <mergeCells count="98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1" sqref="F11:H11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311" t="s">
        <v>138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</row>
    <row r="2" spans="1:17" s="123" customFormat="1" ht="15.75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</row>
    <row r="3" spans="1:17" ht="15.75" customHeight="1">
      <c r="A3" s="454" t="s">
        <v>226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</row>
    <row r="4" spans="1:17" s="123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</row>
    <row r="5" spans="1:17" ht="15.75" customHeight="1">
      <c r="A5" s="338" t="s">
        <v>185</v>
      </c>
      <c r="B5" s="438">
        <v>1</v>
      </c>
      <c r="C5" s="438"/>
      <c r="D5" s="438">
        <v>2</v>
      </c>
      <c r="E5" s="438"/>
      <c r="F5" s="438">
        <v>3</v>
      </c>
      <c r="G5" s="438"/>
      <c r="H5" s="438">
        <v>4</v>
      </c>
      <c r="I5" s="438"/>
      <c r="J5" s="438">
        <v>5</v>
      </c>
      <c r="K5" s="438"/>
      <c r="L5" s="438">
        <v>6</v>
      </c>
      <c r="M5" s="438"/>
      <c r="N5" s="438">
        <v>7</v>
      </c>
      <c r="O5" s="438"/>
      <c r="P5" s="457">
        <v>8</v>
      </c>
      <c r="Q5" s="457"/>
    </row>
    <row r="6" spans="1:17" ht="15.75" customHeight="1">
      <c r="A6" s="338"/>
      <c r="B6" s="338" t="s">
        <v>173</v>
      </c>
      <c r="C6" s="338"/>
      <c r="D6" s="338" t="s">
        <v>186</v>
      </c>
      <c r="E6" s="338"/>
      <c r="F6" s="338" t="s">
        <v>175</v>
      </c>
      <c r="G6" s="338"/>
      <c r="H6" s="338" t="s">
        <v>176</v>
      </c>
      <c r="I6" s="338"/>
      <c r="J6" s="338" t="s">
        <v>180</v>
      </c>
      <c r="K6" s="338"/>
      <c r="L6" s="338" t="s">
        <v>181</v>
      </c>
      <c r="M6" s="338"/>
      <c r="N6" s="338" t="s">
        <v>182</v>
      </c>
      <c r="O6" s="338"/>
      <c r="P6" s="458" t="s">
        <v>187</v>
      </c>
      <c r="Q6" s="458"/>
    </row>
    <row r="8" spans="1:17" s="128" customFormat="1" ht="15.75" customHeight="1">
      <c r="A8" s="153" t="s">
        <v>185</v>
      </c>
      <c r="B8" s="177" t="s">
        <v>227</v>
      </c>
      <c r="C8" s="491" t="s">
        <v>144</v>
      </c>
      <c r="D8" s="491"/>
      <c r="E8" s="491"/>
      <c r="F8" s="491" t="s">
        <v>188</v>
      </c>
      <c r="G8" s="491"/>
      <c r="H8" s="491"/>
      <c r="I8" s="177" t="s">
        <v>189</v>
      </c>
      <c r="J8" s="178" t="s">
        <v>228</v>
      </c>
      <c r="K8" s="177" t="s">
        <v>229</v>
      </c>
      <c r="L8" s="177" t="s">
        <v>10</v>
      </c>
      <c r="M8" s="494" t="s">
        <v>230</v>
      </c>
      <c r="N8" s="433"/>
      <c r="O8" s="433"/>
      <c r="P8" s="433"/>
      <c r="Q8" s="433"/>
    </row>
    <row r="9" spans="1:17" ht="15.75" customHeight="1">
      <c r="A9" s="491" t="s">
        <v>231</v>
      </c>
      <c r="B9" s="151">
        <v>1</v>
      </c>
      <c r="C9" s="486"/>
      <c r="D9" s="487"/>
      <c r="E9" s="487"/>
      <c r="F9" s="486"/>
      <c r="G9" s="487"/>
      <c r="H9" s="487"/>
      <c r="I9" s="130"/>
      <c r="J9" s="141"/>
      <c r="K9" s="141"/>
      <c r="L9" s="176">
        <f t="shared" ref="L9:L13" si="0">K9-J9</f>
        <v>0</v>
      </c>
      <c r="M9" s="486"/>
      <c r="N9" s="486"/>
      <c r="O9" s="486"/>
      <c r="P9" s="486"/>
      <c r="Q9" s="486"/>
    </row>
    <row r="10" spans="1:17" ht="15.75" customHeight="1">
      <c r="A10" s="492"/>
      <c r="B10" s="151">
        <v>2</v>
      </c>
      <c r="C10" s="486"/>
      <c r="D10" s="487"/>
      <c r="E10" s="487"/>
      <c r="F10" s="486"/>
      <c r="G10" s="487"/>
      <c r="H10" s="487"/>
      <c r="I10" s="130"/>
      <c r="J10" s="141"/>
      <c r="K10" s="141"/>
      <c r="L10" s="176">
        <f t="shared" si="0"/>
        <v>0</v>
      </c>
      <c r="M10" s="486"/>
      <c r="N10" s="486"/>
      <c r="O10" s="486"/>
      <c r="P10" s="486"/>
      <c r="Q10" s="486"/>
    </row>
    <row r="11" spans="1:17" ht="15.75" customHeight="1">
      <c r="A11" s="492"/>
      <c r="B11" s="151">
        <v>3</v>
      </c>
      <c r="C11" s="486"/>
      <c r="D11" s="487"/>
      <c r="E11" s="487"/>
      <c r="F11" s="486"/>
      <c r="G11" s="487"/>
      <c r="H11" s="487"/>
      <c r="I11" s="130"/>
      <c r="J11" s="141"/>
      <c r="K11" s="141"/>
      <c r="L11" s="176">
        <f t="shared" si="0"/>
        <v>0</v>
      </c>
      <c r="M11" s="486"/>
      <c r="N11" s="486"/>
      <c r="O11" s="486"/>
      <c r="P11" s="486"/>
      <c r="Q11" s="486"/>
    </row>
    <row r="12" spans="1:17" ht="15.75" customHeight="1">
      <c r="A12" s="492"/>
      <c r="B12" s="151">
        <v>4</v>
      </c>
      <c r="C12" s="486"/>
      <c r="D12" s="487"/>
      <c r="E12" s="487"/>
      <c r="F12" s="486"/>
      <c r="G12" s="487"/>
      <c r="H12" s="487"/>
      <c r="I12" s="130"/>
      <c r="J12" s="141"/>
      <c r="K12" s="141"/>
      <c r="L12" s="176">
        <f t="shared" si="0"/>
        <v>0</v>
      </c>
      <c r="M12" s="486"/>
      <c r="N12" s="486"/>
      <c r="O12" s="486"/>
      <c r="P12" s="486"/>
      <c r="Q12" s="486"/>
    </row>
    <row r="13" spans="1:17" ht="15.75" customHeight="1">
      <c r="A13" s="492"/>
      <c r="B13" s="151">
        <v>5</v>
      </c>
      <c r="C13" s="486"/>
      <c r="D13" s="487"/>
      <c r="E13" s="487"/>
      <c r="F13" s="486"/>
      <c r="G13" s="487"/>
      <c r="H13" s="487"/>
      <c r="I13" s="130"/>
      <c r="J13" s="141"/>
      <c r="K13" s="141"/>
      <c r="L13" s="176">
        <f t="shared" si="0"/>
        <v>0</v>
      </c>
      <c r="M13" s="486"/>
      <c r="N13" s="486"/>
      <c r="O13" s="486"/>
      <c r="P13" s="486"/>
      <c r="Q13" s="486"/>
    </row>
    <row r="14" spans="1:17" ht="15.75" customHeight="1">
      <c r="A14" s="489"/>
      <c r="B14" s="489"/>
      <c r="C14" s="489"/>
      <c r="D14" s="489"/>
      <c r="E14" s="489"/>
      <c r="F14" s="489"/>
      <c r="G14" s="489"/>
      <c r="H14" s="489"/>
      <c r="I14" s="489"/>
      <c r="J14" s="489"/>
      <c r="K14" s="489"/>
      <c r="L14" s="489"/>
      <c r="M14" s="489"/>
      <c r="N14" s="489"/>
      <c r="O14" s="490"/>
    </row>
    <row r="15" spans="1:17" s="128" customFormat="1" ht="15.75" customHeight="1">
      <c r="A15" s="153" t="s">
        <v>185</v>
      </c>
      <c r="B15" s="153" t="s">
        <v>227</v>
      </c>
      <c r="C15" s="488" t="s">
        <v>144</v>
      </c>
      <c r="D15" s="488"/>
      <c r="E15" s="488"/>
      <c r="F15" s="488" t="s">
        <v>188</v>
      </c>
      <c r="G15" s="488"/>
      <c r="H15" s="488"/>
      <c r="I15" s="153" t="s">
        <v>189</v>
      </c>
      <c r="J15" s="175" t="s">
        <v>228</v>
      </c>
      <c r="K15" s="153" t="s">
        <v>229</v>
      </c>
      <c r="L15" s="153" t="s">
        <v>10</v>
      </c>
      <c r="M15" s="488" t="s">
        <v>230</v>
      </c>
      <c r="N15" s="488"/>
      <c r="O15" s="488"/>
      <c r="P15" s="488"/>
      <c r="Q15" s="488"/>
    </row>
    <row r="16" spans="1:17" ht="15.75" customHeight="1">
      <c r="A16" s="488" t="s">
        <v>232</v>
      </c>
      <c r="B16" s="151">
        <v>1</v>
      </c>
      <c r="C16" s="486"/>
      <c r="D16" s="487"/>
      <c r="E16" s="487"/>
      <c r="F16" s="486"/>
      <c r="G16" s="487"/>
      <c r="H16" s="487"/>
      <c r="I16" s="130"/>
      <c r="J16" s="141"/>
      <c r="K16" s="141"/>
      <c r="L16" s="176">
        <f t="shared" ref="L16:L19" si="1">K16-J16</f>
        <v>0</v>
      </c>
      <c r="M16" s="486"/>
      <c r="N16" s="486"/>
      <c r="O16" s="486"/>
      <c r="P16" s="486"/>
      <c r="Q16" s="486"/>
    </row>
    <row r="17" spans="1:17" ht="15.75" customHeight="1">
      <c r="A17" s="488"/>
      <c r="B17" s="151">
        <v>2</v>
      </c>
      <c r="C17" s="486"/>
      <c r="D17" s="487"/>
      <c r="E17" s="487"/>
      <c r="F17" s="486"/>
      <c r="G17" s="487"/>
      <c r="H17" s="487"/>
      <c r="I17" s="130"/>
      <c r="J17" s="141"/>
      <c r="K17" s="141"/>
      <c r="L17" s="176">
        <f t="shared" si="1"/>
        <v>0</v>
      </c>
      <c r="M17" s="486"/>
      <c r="N17" s="486"/>
      <c r="O17" s="486"/>
      <c r="P17" s="486"/>
      <c r="Q17" s="486"/>
    </row>
    <row r="18" spans="1:17" ht="15.75" customHeight="1">
      <c r="A18" s="488"/>
      <c r="B18" s="151">
        <v>3</v>
      </c>
      <c r="C18" s="486"/>
      <c r="D18" s="487"/>
      <c r="E18" s="487"/>
      <c r="F18" s="486"/>
      <c r="G18" s="487"/>
      <c r="H18" s="487"/>
      <c r="I18" s="130"/>
      <c r="J18" s="141"/>
      <c r="K18" s="141"/>
      <c r="L18" s="176">
        <f t="shared" si="1"/>
        <v>0</v>
      </c>
      <c r="M18" s="486"/>
      <c r="N18" s="486"/>
      <c r="O18" s="486"/>
      <c r="P18" s="486"/>
      <c r="Q18" s="486"/>
    </row>
    <row r="19" spans="1:17" ht="15.75" customHeight="1">
      <c r="A19" s="488"/>
      <c r="B19" s="151">
        <v>4</v>
      </c>
      <c r="C19" s="486"/>
      <c r="D19" s="487"/>
      <c r="E19" s="487"/>
      <c r="F19" s="486"/>
      <c r="G19" s="487"/>
      <c r="H19" s="487"/>
      <c r="I19" s="130"/>
      <c r="J19" s="141"/>
      <c r="K19" s="141"/>
      <c r="L19" s="176">
        <f t="shared" si="1"/>
        <v>0</v>
      </c>
      <c r="M19" s="486"/>
      <c r="N19" s="486"/>
      <c r="O19" s="486"/>
      <c r="P19" s="486"/>
      <c r="Q19" s="486"/>
    </row>
    <row r="20" spans="1:17" ht="15.75" customHeight="1">
      <c r="A20" s="488"/>
      <c r="B20" s="151">
        <v>5</v>
      </c>
      <c r="C20" s="486"/>
      <c r="D20" s="487"/>
      <c r="E20" s="487"/>
      <c r="F20" s="486"/>
      <c r="G20" s="487"/>
      <c r="H20" s="487"/>
      <c r="I20" s="130"/>
      <c r="J20" s="141"/>
      <c r="K20" s="141"/>
      <c r="L20" s="176">
        <f>K20-J20</f>
        <v>0</v>
      </c>
      <c r="M20" s="486"/>
      <c r="N20" s="486"/>
      <c r="O20" s="486"/>
      <c r="P20" s="486"/>
      <c r="Q20" s="48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B2:AH326"/>
  <sheetViews>
    <sheetView zoomScale="70" zoomScaleNormal="70" workbookViewId="0">
      <pane xSplit="4" ySplit="6" topLeftCell="T7" activePane="bottomRight" state="frozen"/>
      <selection pane="bottomRight" activeCell="V314" sqref="V314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6.85546875" style="196" bestFit="1" customWidth="1"/>
    <col min="13" max="13" width="19.140625" style="196" bestFit="1" customWidth="1"/>
    <col min="14" max="14" width="9.57031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9.5703125" style="196" bestFit="1" customWidth="1"/>
    <col min="20" max="20" width="12.42578125" style="196" bestFit="1" customWidth="1"/>
    <col min="21" max="21" width="25.28515625" style="196" bestFit="1" customWidth="1"/>
    <col min="22" max="22" width="104.28515625" style="196" bestFit="1" customWidth="1"/>
    <col min="23" max="23" width="7.42578125" style="196" bestFit="1" customWidth="1"/>
    <col min="24" max="24" width="69.57031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0" t="s">
        <v>233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Z2" s="197"/>
      <c r="AA2" s="197"/>
    </row>
    <row r="3" spans="2:34" ht="17.100000000000001" customHeight="1">
      <c r="B3" s="502" t="s">
        <v>52</v>
      </c>
      <c r="C3" s="503"/>
      <c r="D3" s="499" t="s">
        <v>234</v>
      </c>
      <c r="E3" s="499"/>
      <c r="F3" s="499"/>
      <c r="G3" s="499" t="s">
        <v>235</v>
      </c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 t="s">
        <v>236</v>
      </c>
      <c r="U3" s="508" t="s">
        <v>237</v>
      </c>
      <c r="V3" s="511" t="s">
        <v>238</v>
      </c>
      <c r="W3" s="511" t="s">
        <v>239</v>
      </c>
      <c r="X3" s="514" t="s">
        <v>240</v>
      </c>
      <c r="Z3" s="499" t="s">
        <v>241</v>
      </c>
      <c r="AA3" s="499"/>
      <c r="AB3" s="499"/>
      <c r="AC3" s="499"/>
      <c r="AD3" s="499"/>
      <c r="AE3" s="499"/>
      <c r="AF3" s="499"/>
      <c r="AG3" s="499"/>
      <c r="AH3" s="499"/>
    </row>
    <row r="4" spans="2:34" ht="17.100000000000001" customHeight="1">
      <c r="B4" s="504"/>
      <c r="C4" s="505"/>
      <c r="D4" s="515" t="s">
        <v>242</v>
      </c>
      <c r="E4" s="499" t="s">
        <v>243</v>
      </c>
      <c r="F4" s="499"/>
      <c r="G4" s="499" t="s">
        <v>244</v>
      </c>
      <c r="H4" s="499"/>
      <c r="I4" s="499"/>
      <c r="J4" s="499"/>
      <c r="K4" s="499"/>
      <c r="L4" s="499"/>
      <c r="M4" s="499"/>
      <c r="N4" s="499"/>
      <c r="O4" s="499" t="s">
        <v>245</v>
      </c>
      <c r="P4" s="499"/>
      <c r="Q4" s="499"/>
      <c r="R4" s="499"/>
      <c r="S4" s="499"/>
      <c r="T4" s="499"/>
      <c r="U4" s="509"/>
      <c r="V4" s="512"/>
      <c r="W4" s="512"/>
      <c r="X4" s="514"/>
      <c r="Z4" s="499"/>
      <c r="AA4" s="499"/>
      <c r="AB4" s="499"/>
      <c r="AC4" s="499"/>
      <c r="AD4" s="499"/>
      <c r="AE4" s="499"/>
      <c r="AF4" s="499"/>
      <c r="AG4" s="499"/>
      <c r="AH4" s="499"/>
    </row>
    <row r="5" spans="2:34" ht="17.100000000000001" customHeight="1">
      <c r="B5" s="504"/>
      <c r="C5" s="505"/>
      <c r="D5" s="515"/>
      <c r="E5" s="515" t="s">
        <v>246</v>
      </c>
      <c r="F5" s="514" t="s">
        <v>247</v>
      </c>
      <c r="G5" s="516" t="s">
        <v>248</v>
      </c>
      <c r="H5" s="516"/>
      <c r="I5" s="516"/>
      <c r="J5" s="516"/>
      <c r="K5" s="516"/>
      <c r="L5" s="516"/>
      <c r="M5" s="516"/>
      <c r="N5" s="516"/>
      <c r="O5" s="516" t="s">
        <v>249</v>
      </c>
      <c r="P5" s="516"/>
      <c r="Q5" s="516" t="s">
        <v>250</v>
      </c>
      <c r="R5" s="516"/>
      <c r="S5" s="516"/>
      <c r="T5" s="499"/>
      <c r="U5" s="509"/>
      <c r="V5" s="512"/>
      <c r="W5" s="512"/>
      <c r="X5" s="514"/>
      <c r="Z5" s="499"/>
      <c r="AA5" s="499"/>
      <c r="AB5" s="499"/>
      <c r="AC5" s="499"/>
      <c r="AD5" s="499"/>
      <c r="AE5" s="499"/>
      <c r="AF5" s="499"/>
      <c r="AG5" s="499"/>
      <c r="AH5" s="499"/>
    </row>
    <row r="6" spans="2:34" ht="38.450000000000003" customHeight="1">
      <c r="B6" s="506"/>
      <c r="C6" s="507"/>
      <c r="D6" s="515"/>
      <c r="E6" s="515"/>
      <c r="F6" s="514"/>
      <c r="G6" s="207" t="s">
        <v>251</v>
      </c>
      <c r="H6" s="207" t="s">
        <v>252</v>
      </c>
      <c r="I6" s="207" t="s">
        <v>253</v>
      </c>
      <c r="J6" s="207" t="s">
        <v>254</v>
      </c>
      <c r="K6" s="207" t="s">
        <v>255</v>
      </c>
      <c r="L6" s="207" t="s">
        <v>256</v>
      </c>
      <c r="M6" s="207" t="s">
        <v>257</v>
      </c>
      <c r="N6" s="207" t="s">
        <v>258</v>
      </c>
      <c r="O6" s="208" t="s">
        <v>259</v>
      </c>
      <c r="P6" s="208" t="s">
        <v>260</v>
      </c>
      <c r="Q6" s="208" t="s">
        <v>259</v>
      </c>
      <c r="R6" s="208" t="s">
        <v>260</v>
      </c>
      <c r="S6" s="207" t="s">
        <v>261</v>
      </c>
      <c r="T6" s="499"/>
      <c r="U6" s="510"/>
      <c r="V6" s="513"/>
      <c r="W6" s="513"/>
      <c r="X6" s="514"/>
      <c r="Z6" s="231" t="s">
        <v>262</v>
      </c>
      <c r="AA6" s="231" t="s">
        <v>263</v>
      </c>
      <c r="AB6" s="222" t="s">
        <v>264</v>
      </c>
      <c r="AC6" s="222" t="s">
        <v>211</v>
      </c>
      <c r="AD6" s="222" t="s">
        <v>265</v>
      </c>
      <c r="AE6" s="222" t="s">
        <v>266</v>
      </c>
      <c r="AF6" s="222" t="s">
        <v>267</v>
      </c>
      <c r="AG6" s="222" t="s">
        <v>268</v>
      </c>
      <c r="AH6" s="222" t="s">
        <v>269</v>
      </c>
    </row>
    <row r="7" spans="2:34" ht="16.5">
      <c r="B7" s="495">
        <v>45870</v>
      </c>
      <c r="C7" s="496" t="s">
        <v>63</v>
      </c>
      <c r="D7" s="209">
        <v>1</v>
      </c>
      <c r="E7" s="198" t="s">
        <v>270</v>
      </c>
      <c r="F7" s="204">
        <v>1356.9360000000001</v>
      </c>
      <c r="G7" s="266">
        <v>30.2</v>
      </c>
      <c r="H7" s="266">
        <v>32.039000000000001</v>
      </c>
      <c r="I7" s="210">
        <f>H7/G7</f>
        <v>1.0608940397350994</v>
      </c>
      <c r="J7" s="205"/>
      <c r="K7" s="210">
        <f>J7/G7</f>
        <v>0</v>
      </c>
      <c r="L7" s="204">
        <v>287.00000000000006</v>
      </c>
      <c r="M7" s="211">
        <f>(H7+J7)/G7</f>
        <v>1.0608940397350994</v>
      </c>
      <c r="N7" s="204">
        <v>527.79300000000001</v>
      </c>
      <c r="O7" s="205">
        <v>4.7279999999999998</v>
      </c>
      <c r="P7" s="206">
        <v>0.15655629139072846</v>
      </c>
      <c r="Q7" s="205">
        <v>-2.8889999999999976</v>
      </c>
      <c r="R7" s="206">
        <v>-9.5662251655629055E-2</v>
      </c>
      <c r="S7" s="204">
        <v>-829.14299999999946</v>
      </c>
      <c r="T7" s="254" t="s">
        <v>271</v>
      </c>
      <c r="U7" s="254" t="s">
        <v>217</v>
      </c>
      <c r="V7" s="205" t="s">
        <v>217</v>
      </c>
      <c r="W7" s="205">
        <v>1</v>
      </c>
      <c r="X7" s="205" t="s">
        <v>272</v>
      </c>
      <c r="Y7" s="201" t="s">
        <v>273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158</v>
      </c>
      <c r="AC7" s="227">
        <f t="shared" ref="AC7:AH7" ca="1" si="0">SUMIF($U$7:$U$10000,TRIM(AC6),$W$7:$W$46)</f>
        <v>0</v>
      </c>
      <c r="AD7" s="227">
        <f t="shared" ca="1" si="0"/>
        <v>26</v>
      </c>
      <c r="AE7" s="227">
        <f t="shared" ca="1" si="0"/>
        <v>13</v>
      </c>
      <c r="AF7" s="227">
        <f t="shared" ca="1" si="0"/>
        <v>59</v>
      </c>
      <c r="AG7" s="227">
        <f t="shared" ca="1" si="0"/>
        <v>33</v>
      </c>
      <c r="AH7" s="227">
        <f t="shared" ca="1" si="0"/>
        <v>0</v>
      </c>
    </row>
    <row r="8" spans="2:34" ht="16.5">
      <c r="B8" s="496"/>
      <c r="C8" s="496"/>
      <c r="D8" s="209">
        <v>2</v>
      </c>
      <c r="E8" s="198" t="s">
        <v>274</v>
      </c>
      <c r="F8" s="204">
        <v>1300.3609999999999</v>
      </c>
      <c r="G8" s="266">
        <v>593.86500000000001</v>
      </c>
      <c r="H8" s="266">
        <v>618.46500000000003</v>
      </c>
      <c r="I8" s="210">
        <f t="shared" ref="I8:I71" si="1">H8/G8</f>
        <v>1.0414235558586549</v>
      </c>
      <c r="J8" s="205"/>
      <c r="K8" s="210">
        <f t="shared" ref="K8:K71" si="2">J8/G8</f>
        <v>0</v>
      </c>
      <c r="L8" s="204">
        <v>156.66999999999999</v>
      </c>
      <c r="M8" s="211">
        <f t="shared" ref="M8:M71" si="3">(H8+J8)/G8</f>
        <v>1.0414235558586549</v>
      </c>
      <c r="N8" s="204">
        <v>3854.0819999999994</v>
      </c>
      <c r="O8" s="205">
        <v>8.3000000000000007</v>
      </c>
      <c r="P8" s="206">
        <v>1.3976240391334731E-2</v>
      </c>
      <c r="Q8" s="205">
        <v>16.300000000000022</v>
      </c>
      <c r="R8" s="206">
        <v>2.7447315467320051E-2</v>
      </c>
      <c r="S8" s="204">
        <v>2553.7210000000032</v>
      </c>
      <c r="T8" s="268" t="s">
        <v>275</v>
      </c>
      <c r="U8" s="254" t="s">
        <v>276</v>
      </c>
      <c r="V8" s="205" t="s">
        <v>276</v>
      </c>
      <c r="W8" s="205">
        <v>1</v>
      </c>
      <c r="X8" s="205" t="s">
        <v>123</v>
      </c>
      <c r="Y8" s="201"/>
      <c r="Z8" s="228"/>
      <c r="AA8" s="230">
        <f ca="1">SUMIF($U$7:$U$466,TRIM(AA6),$F$7:$F$46)</f>
        <v>0</v>
      </c>
      <c r="AB8" s="230">
        <f t="shared" ref="AB8:AH8" ca="1" si="4">SUMIF($U$7:$U$466,TRIM(AB6),$F$7:$F$46)</f>
        <v>145149.76286502476</v>
      </c>
      <c r="AC8" s="230">
        <f t="shared" ca="1" si="4"/>
        <v>0</v>
      </c>
      <c r="AD8" s="230">
        <f t="shared" ca="1" si="4"/>
        <v>26029.411919999995</v>
      </c>
      <c r="AE8" s="230">
        <f t="shared" ca="1" si="4"/>
        <v>14475.081098461538</v>
      </c>
      <c r="AF8" s="230">
        <f t="shared" ca="1" si="4"/>
        <v>57648.977141538468</v>
      </c>
      <c r="AG8" s="230">
        <f t="shared" ca="1" si="4"/>
        <v>63051.268059999988</v>
      </c>
      <c r="AH8" s="230">
        <f t="shared" ca="1" si="4"/>
        <v>0</v>
      </c>
    </row>
    <row r="9" spans="2:34" ht="16.5">
      <c r="B9" s="496"/>
      <c r="C9" s="496"/>
      <c r="D9" s="209">
        <v>3</v>
      </c>
      <c r="E9" s="198" t="s">
        <v>277</v>
      </c>
      <c r="F9" s="204">
        <v>1218.7239999999999</v>
      </c>
      <c r="G9" s="266">
        <v>390.56</v>
      </c>
      <c r="H9" s="266">
        <v>390.71499999999997</v>
      </c>
      <c r="I9" s="210">
        <f t="shared" si="1"/>
        <v>1.0003968660385087</v>
      </c>
      <c r="J9" s="205"/>
      <c r="K9" s="210">
        <f t="shared" si="2"/>
        <v>0</v>
      </c>
      <c r="L9" s="204">
        <v>132.47</v>
      </c>
      <c r="M9" s="211">
        <f t="shared" si="3"/>
        <v>1.0003968660385087</v>
      </c>
      <c r="N9" s="204">
        <v>20.53285</v>
      </c>
      <c r="O9" s="205">
        <v>9.1999999999999993</v>
      </c>
      <c r="P9" s="206">
        <v>2.3555919705038918E-2</v>
      </c>
      <c r="Q9" s="205">
        <v>-9.0450000000000266</v>
      </c>
      <c r="R9" s="206">
        <v>-2.3159053666530177E-2</v>
      </c>
      <c r="S9" s="204">
        <v>-1198.1911500000035</v>
      </c>
      <c r="T9" s="198" t="s">
        <v>278</v>
      </c>
      <c r="U9" s="254" t="s">
        <v>212</v>
      </c>
      <c r="V9" s="205" t="s">
        <v>212</v>
      </c>
      <c r="W9" s="205">
        <v>1</v>
      </c>
      <c r="X9" s="205" t="s">
        <v>151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37</v>
      </c>
      <c r="AC9" s="227">
        <f t="shared" si="5"/>
        <v>0</v>
      </c>
      <c r="AD9" s="227">
        <f t="shared" si="5"/>
        <v>8</v>
      </c>
      <c r="AE9" s="227">
        <f t="shared" si="5"/>
        <v>2</v>
      </c>
      <c r="AF9" s="227">
        <f t="shared" si="5"/>
        <v>22</v>
      </c>
      <c r="AG9" s="227">
        <f t="shared" si="5"/>
        <v>0</v>
      </c>
      <c r="AH9" s="227">
        <f t="shared" si="5"/>
        <v>0</v>
      </c>
    </row>
    <row r="10" spans="2:34" ht="16.5">
      <c r="B10" s="496"/>
      <c r="C10" s="496"/>
      <c r="D10" s="209">
        <v>4</v>
      </c>
      <c r="E10" s="198" t="s">
        <v>279</v>
      </c>
      <c r="F10" s="204">
        <v>941.87275999999997</v>
      </c>
      <c r="G10" s="266">
        <v>229.364</v>
      </c>
      <c r="H10" s="266">
        <v>242.05099999999999</v>
      </c>
      <c r="I10" s="210">
        <f t="shared" si="1"/>
        <v>1.0553138243141904</v>
      </c>
      <c r="J10" s="205"/>
      <c r="K10" s="210">
        <f t="shared" si="2"/>
        <v>0</v>
      </c>
      <c r="L10" s="204">
        <v>140.62</v>
      </c>
      <c r="M10" s="211">
        <f t="shared" si="3"/>
        <v>1.0553138243141904</v>
      </c>
      <c r="N10" s="204">
        <v>1784.04594</v>
      </c>
      <c r="O10" s="205">
        <v>6.6980000000000004</v>
      </c>
      <c r="P10" s="206">
        <v>2.9202490364660542E-2</v>
      </c>
      <c r="Q10" s="205">
        <v>5.988999999999983</v>
      </c>
      <c r="R10" s="206">
        <v>2.6111333949529931E-2</v>
      </c>
      <c r="S10" s="204">
        <v>842.17317999999761</v>
      </c>
      <c r="T10" s="254" t="s">
        <v>280</v>
      </c>
      <c r="U10" s="254" t="s">
        <v>281</v>
      </c>
      <c r="V10" s="205" t="s">
        <v>281</v>
      </c>
      <c r="W10" s="205">
        <v>1</v>
      </c>
      <c r="X10" s="205" t="s">
        <v>129</v>
      </c>
      <c r="Y10" s="201" t="s">
        <v>282</v>
      </c>
      <c r="Z10" s="227"/>
      <c r="AA10" s="230">
        <f t="shared" ref="AA10:AH10" si="6">SUMIF($U$47:$U$116,TRIM(AA6),$F$47:$F$116)</f>
        <v>0</v>
      </c>
      <c r="AB10" s="230">
        <f t="shared" si="6"/>
        <v>48432.531970256408</v>
      </c>
      <c r="AC10" s="230">
        <f t="shared" si="6"/>
        <v>0</v>
      </c>
      <c r="AD10" s="230">
        <f t="shared" si="6"/>
        <v>7988.9654699999992</v>
      </c>
      <c r="AE10" s="230">
        <f t="shared" si="6"/>
        <v>2381.6192646153841</v>
      </c>
      <c r="AF10" s="230">
        <f t="shared" si="6"/>
        <v>25203.38565769231</v>
      </c>
      <c r="AG10" s="230">
        <f t="shared" si="6"/>
        <v>0</v>
      </c>
      <c r="AH10" s="230">
        <f t="shared" si="6"/>
        <v>0</v>
      </c>
    </row>
    <row r="11" spans="2:34" ht="16.5">
      <c r="B11" s="496"/>
      <c r="C11" s="496"/>
      <c r="D11" s="209">
        <v>5</v>
      </c>
      <c r="E11" s="198" t="s">
        <v>283</v>
      </c>
      <c r="F11" s="204">
        <v>902.50803999999994</v>
      </c>
      <c r="G11" s="266">
        <v>209.02500000000001</v>
      </c>
      <c r="H11" s="266">
        <v>216.333</v>
      </c>
      <c r="I11" s="210">
        <f t="shared" si="1"/>
        <v>1.0349623250807318</v>
      </c>
      <c r="J11" s="205"/>
      <c r="K11" s="210">
        <f t="shared" si="2"/>
        <v>0</v>
      </c>
      <c r="L11" s="204">
        <v>162.38</v>
      </c>
      <c r="M11" s="211">
        <f t="shared" si="3"/>
        <v>1.0349623250807318</v>
      </c>
      <c r="N11" s="204">
        <v>1186.6730399999999</v>
      </c>
      <c r="O11" s="205">
        <v>5.5579999999999998</v>
      </c>
      <c r="P11" s="206">
        <v>2.6590120798947493E-2</v>
      </c>
      <c r="Q11" s="205">
        <v>1.7499999999999929</v>
      </c>
      <c r="R11" s="206">
        <v>8.3722042817844407E-3</v>
      </c>
      <c r="S11" s="204">
        <v>284.16499999999883</v>
      </c>
      <c r="T11" s="268" t="s">
        <v>275</v>
      </c>
      <c r="U11" s="254" t="s">
        <v>276</v>
      </c>
      <c r="V11" s="205" t="s">
        <v>276</v>
      </c>
      <c r="W11" s="205">
        <v>1</v>
      </c>
      <c r="X11" s="205" t="s">
        <v>163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6.5">
      <c r="B12" s="496"/>
      <c r="C12" s="496"/>
      <c r="D12" s="209">
        <v>6</v>
      </c>
      <c r="E12" s="198" t="s">
        <v>284</v>
      </c>
      <c r="F12" s="204">
        <v>860.25</v>
      </c>
      <c r="G12" s="266">
        <v>58.640999999999998</v>
      </c>
      <c r="H12" s="266">
        <v>62.433</v>
      </c>
      <c r="I12" s="210">
        <f t="shared" si="1"/>
        <v>1.0646646544226737</v>
      </c>
      <c r="J12" s="205"/>
      <c r="K12" s="210">
        <f t="shared" si="2"/>
        <v>0</v>
      </c>
      <c r="L12" s="204">
        <v>93</v>
      </c>
      <c r="M12" s="211">
        <f t="shared" si="3"/>
        <v>1.0646646544226737</v>
      </c>
      <c r="N12" s="204">
        <v>352.65600000000001</v>
      </c>
      <c r="O12" s="205">
        <v>9.25</v>
      </c>
      <c r="P12" s="206">
        <v>0.15773946556163776</v>
      </c>
      <c r="Q12" s="205">
        <v>-5.4579999999999984</v>
      </c>
      <c r="R12" s="206">
        <v>-9.3074811138964181E-2</v>
      </c>
      <c r="S12" s="204">
        <v>-507.59399999999982</v>
      </c>
      <c r="T12" s="254" t="s">
        <v>280</v>
      </c>
      <c r="U12" s="254" t="s">
        <v>281</v>
      </c>
      <c r="V12" s="205" t="s">
        <v>281</v>
      </c>
      <c r="W12" s="205">
        <v>1</v>
      </c>
      <c r="X12" s="205" t="s">
        <v>204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21</v>
      </c>
      <c r="AC12" s="227">
        <f t="shared" si="7"/>
        <v>0</v>
      </c>
      <c r="AD12" s="227">
        <f t="shared" si="7"/>
        <v>6</v>
      </c>
      <c r="AE12" s="227">
        <f t="shared" si="7"/>
        <v>1</v>
      </c>
      <c r="AF12" s="227">
        <f t="shared" si="7"/>
        <v>10</v>
      </c>
      <c r="AG12" s="227">
        <f t="shared" si="7"/>
        <v>10</v>
      </c>
      <c r="AH12" s="227">
        <f t="shared" si="7"/>
        <v>0</v>
      </c>
    </row>
    <row r="13" spans="2:34" ht="16.5">
      <c r="B13" s="496"/>
      <c r="C13" s="496"/>
      <c r="D13" s="209">
        <v>7</v>
      </c>
      <c r="E13" s="198" t="s">
        <v>285</v>
      </c>
      <c r="F13" s="204">
        <v>773.12159999999994</v>
      </c>
      <c r="G13" s="266">
        <v>50.49</v>
      </c>
      <c r="H13" s="266">
        <v>50.718000000000004</v>
      </c>
      <c r="I13" s="210">
        <f t="shared" si="1"/>
        <v>1.0045157456922162</v>
      </c>
      <c r="J13" s="205"/>
      <c r="K13" s="210">
        <f t="shared" si="2"/>
        <v>0</v>
      </c>
      <c r="L13" s="204">
        <v>536.89</v>
      </c>
      <c r="M13" s="211">
        <f t="shared" si="3"/>
        <v>1.0045157456922162</v>
      </c>
      <c r="N13" s="204">
        <v>122.41091999999999</v>
      </c>
      <c r="O13" s="205">
        <v>1.44</v>
      </c>
      <c r="P13" s="206">
        <v>2.8520499108734401E-2</v>
      </c>
      <c r="Q13" s="205">
        <v>-1.2119999999999984</v>
      </c>
      <c r="R13" s="206">
        <v>-2.4004753416518091E-2</v>
      </c>
      <c r="S13" s="204">
        <v>-650.71067999999912</v>
      </c>
      <c r="T13" s="198" t="s">
        <v>278</v>
      </c>
      <c r="U13" s="254" t="s">
        <v>212</v>
      </c>
      <c r="V13" s="205" t="s">
        <v>212</v>
      </c>
      <c r="W13" s="205">
        <v>1</v>
      </c>
      <c r="X13" s="254" t="s">
        <v>208</v>
      </c>
      <c r="Y13" s="201" t="s">
        <v>286</v>
      </c>
      <c r="Z13" s="227"/>
      <c r="AA13" s="230">
        <f>SUMIF($U$117:$U$186,TRIM(AA6),$F$117:$F$186)</f>
        <v>0</v>
      </c>
      <c r="AB13" s="230">
        <f>SUMIF($U$117:$U$186,TRIM(AB6),$F$117:$F$186)</f>
        <v>27058.166014999995</v>
      </c>
      <c r="AC13" s="230">
        <f t="shared" ref="AC13:AH13" si="8">SUMIF($U$117:$U$186,TRIM(AC6),$F$117:$F$186)</f>
        <v>0</v>
      </c>
      <c r="AD13" s="230">
        <f t="shared" si="8"/>
        <v>6353.0377199999994</v>
      </c>
      <c r="AE13" s="230">
        <f t="shared" si="8"/>
        <v>3286.96</v>
      </c>
      <c r="AF13" s="230">
        <f t="shared" si="8"/>
        <v>10487.437229230771</v>
      </c>
      <c r="AG13" s="230">
        <f t="shared" si="8"/>
        <v>19697.853499999997</v>
      </c>
      <c r="AH13" s="230">
        <f t="shared" si="8"/>
        <v>0</v>
      </c>
    </row>
    <row r="14" spans="2:34" ht="16.5">
      <c r="B14" s="496"/>
      <c r="C14" s="496"/>
      <c r="D14" s="209">
        <v>8</v>
      </c>
      <c r="E14" s="198" t="s">
        <v>287</v>
      </c>
      <c r="F14" s="204">
        <v>711.5015384615383</v>
      </c>
      <c r="G14" s="266">
        <v>97.64</v>
      </c>
      <c r="H14" s="266">
        <v>111.67700000000001</v>
      </c>
      <c r="I14" s="210">
        <f t="shared" si="1"/>
        <v>1.1437628021302746</v>
      </c>
      <c r="J14" s="205">
        <v>6.9</v>
      </c>
      <c r="K14" s="210">
        <f t="shared" si="2"/>
        <v>7.066775911511676E-2</v>
      </c>
      <c r="L14" s="204">
        <v>508.21538461538449</v>
      </c>
      <c r="M14" s="211">
        <f t="shared" si="3"/>
        <v>1.2144305612453914</v>
      </c>
      <c r="N14" s="204">
        <v>10640.505507692305</v>
      </c>
      <c r="O14" s="205">
        <v>1.4</v>
      </c>
      <c r="P14" s="206">
        <v>1.4338385907414992E-2</v>
      </c>
      <c r="Q14" s="205">
        <v>19.537000000000013</v>
      </c>
      <c r="R14" s="206">
        <v>0.20009217533797638</v>
      </c>
      <c r="S14" s="204">
        <v>9929.0039692307728</v>
      </c>
      <c r="T14" s="254" t="s">
        <v>271</v>
      </c>
      <c r="U14" s="254" t="s">
        <v>217</v>
      </c>
      <c r="V14" s="205" t="s">
        <v>217</v>
      </c>
      <c r="W14" s="205">
        <v>1</v>
      </c>
      <c r="X14" s="205" t="s">
        <v>151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6.5">
      <c r="B15" s="496"/>
      <c r="C15" s="496"/>
      <c r="D15" s="209">
        <v>9</v>
      </c>
      <c r="E15" s="198" t="s">
        <v>288</v>
      </c>
      <c r="F15" s="204">
        <v>646</v>
      </c>
      <c r="G15" s="266">
        <v>27.87</v>
      </c>
      <c r="H15" s="266">
        <v>29.4</v>
      </c>
      <c r="I15" s="210">
        <f t="shared" si="1"/>
        <v>1.0548977395048438</v>
      </c>
      <c r="J15" s="205"/>
      <c r="K15" s="210">
        <f t="shared" si="2"/>
        <v>0</v>
      </c>
      <c r="L15" s="204">
        <v>85</v>
      </c>
      <c r="M15" s="211">
        <f t="shared" si="3"/>
        <v>1.0548977395048438</v>
      </c>
      <c r="N15" s="204">
        <v>130.05000000000001</v>
      </c>
      <c r="O15" s="205">
        <v>7.6</v>
      </c>
      <c r="P15" s="206">
        <v>0.27269465374955149</v>
      </c>
      <c r="Q15" s="205">
        <v>-6.0700000000000021</v>
      </c>
      <c r="R15" s="206">
        <v>-0.21779691424470762</v>
      </c>
      <c r="S15" s="204">
        <v>-515.95000000000016</v>
      </c>
      <c r="T15" s="254" t="s">
        <v>271</v>
      </c>
      <c r="U15" s="254" t="s">
        <v>217</v>
      </c>
      <c r="V15" s="205" t="s">
        <v>217</v>
      </c>
      <c r="W15" s="205">
        <v>1</v>
      </c>
      <c r="X15" s="205" t="s">
        <v>163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41</v>
      </c>
      <c r="AC15" s="227">
        <f t="shared" si="9"/>
        <v>0</v>
      </c>
      <c r="AD15" s="227">
        <f t="shared" si="9"/>
        <v>2</v>
      </c>
      <c r="AE15" s="227">
        <f t="shared" si="9"/>
        <v>3</v>
      </c>
      <c r="AF15" s="227">
        <f t="shared" si="9"/>
        <v>7</v>
      </c>
      <c r="AG15" s="227">
        <f t="shared" si="9"/>
        <v>15</v>
      </c>
      <c r="AH15" s="227">
        <f t="shared" si="9"/>
        <v>0</v>
      </c>
    </row>
    <row r="16" spans="2:34" ht="16.5">
      <c r="B16" s="496"/>
      <c r="C16" s="496"/>
      <c r="D16" s="209">
        <v>10</v>
      </c>
      <c r="E16" s="198" t="s">
        <v>289</v>
      </c>
      <c r="F16" s="204">
        <v>608.94000000000005</v>
      </c>
      <c r="G16" s="266">
        <v>310.58999999999997</v>
      </c>
      <c r="H16" s="266">
        <v>367.70400000000001</v>
      </c>
      <c r="I16" s="210">
        <f t="shared" si="1"/>
        <v>1.1838887279049553</v>
      </c>
      <c r="J16" s="205"/>
      <c r="K16" s="210">
        <f t="shared" si="2"/>
        <v>0</v>
      </c>
      <c r="L16" s="204">
        <v>85</v>
      </c>
      <c r="M16" s="211">
        <f t="shared" si="3"/>
        <v>1.1838887279049553</v>
      </c>
      <c r="N16" s="204">
        <v>4854.6900000000005</v>
      </c>
      <c r="O16" s="205">
        <v>7.1639999999999997</v>
      </c>
      <c r="P16" s="206">
        <v>2.3065778035352074E-2</v>
      </c>
      <c r="Q16" s="205">
        <v>49.950000000000031</v>
      </c>
      <c r="R16" s="206">
        <v>0.16082294986960313</v>
      </c>
      <c r="S16" s="204">
        <v>4245.7500000000027</v>
      </c>
      <c r="T16" s="254" t="s">
        <v>280</v>
      </c>
      <c r="U16" s="254" t="s">
        <v>281</v>
      </c>
      <c r="V16" s="205" t="s">
        <v>281</v>
      </c>
      <c r="W16" s="205">
        <v>1</v>
      </c>
      <c r="X16" s="205" t="s">
        <v>168</v>
      </c>
      <c r="Y16" s="201" t="s">
        <v>290</v>
      </c>
      <c r="Z16" s="227"/>
      <c r="AA16" s="230">
        <f>SUMIF($U$187:$U$256,TRIM(AA6),$F$187:$F$256)</f>
        <v>0</v>
      </c>
      <c r="AB16" s="230">
        <f t="shared" ref="AB16:AH16" si="10">SUMIF($U$187:$U$256,TRIM(AB6),$F$187:$F$256)</f>
        <v>32495.397000000001</v>
      </c>
      <c r="AC16" s="230">
        <f t="shared" si="10"/>
        <v>0</v>
      </c>
      <c r="AD16" s="230">
        <f t="shared" si="10"/>
        <v>2127.0891600000004</v>
      </c>
      <c r="AE16" s="230">
        <f t="shared" si="10"/>
        <v>1956.3578000000002</v>
      </c>
      <c r="AF16" s="230">
        <f t="shared" si="10"/>
        <v>5310.9972399999997</v>
      </c>
      <c r="AG16" s="230">
        <f t="shared" si="10"/>
        <v>34517.705559999995</v>
      </c>
      <c r="AH16" s="230">
        <f t="shared" si="10"/>
        <v>0</v>
      </c>
    </row>
    <row r="17" spans="2:34" ht="16.5">
      <c r="B17" s="495">
        <v>45871</v>
      </c>
      <c r="C17" s="496" t="s">
        <v>64</v>
      </c>
      <c r="D17" s="209">
        <v>1</v>
      </c>
      <c r="E17" s="198" t="s">
        <v>288</v>
      </c>
      <c r="F17" s="204">
        <v>1757.3750000000002</v>
      </c>
      <c r="G17" s="266">
        <v>29.85</v>
      </c>
      <c r="H17" s="266">
        <v>31.841000000000001</v>
      </c>
      <c r="I17" s="210">
        <f t="shared" si="1"/>
        <v>1.0667001675041876</v>
      </c>
      <c r="J17" s="205"/>
      <c r="K17" s="210">
        <f t="shared" si="2"/>
        <v>0</v>
      </c>
      <c r="L17" s="204">
        <v>85</v>
      </c>
      <c r="M17" s="211">
        <f t="shared" si="3"/>
        <v>1.0667001675041876</v>
      </c>
      <c r="N17" s="204">
        <v>169.23500000000001</v>
      </c>
      <c r="O17" s="205">
        <v>20.675000000000001</v>
      </c>
      <c r="P17" s="206">
        <v>0.69262981574539362</v>
      </c>
      <c r="Q17" s="205">
        <v>-18.684000000000001</v>
      </c>
      <c r="R17" s="206">
        <v>-0.625929648241206</v>
      </c>
      <c r="S17" s="204">
        <v>-1588.14</v>
      </c>
      <c r="T17" s="254" t="s">
        <v>271</v>
      </c>
      <c r="U17" s="254" t="s">
        <v>217</v>
      </c>
      <c r="V17" s="205" t="s">
        <v>217</v>
      </c>
      <c r="W17" s="205">
        <v>1</v>
      </c>
      <c r="X17" s="205" t="s">
        <v>121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6"/>
      <c r="C18" s="496"/>
      <c r="D18" s="209">
        <v>2</v>
      </c>
      <c r="E18" s="198" t="s">
        <v>277</v>
      </c>
      <c r="F18" s="204">
        <v>1525.92193</v>
      </c>
      <c r="G18" s="266">
        <v>495.52</v>
      </c>
      <c r="H18" s="266">
        <v>495.75599999999997</v>
      </c>
      <c r="I18" s="210">
        <f t="shared" si="1"/>
        <v>1.0004762673555052</v>
      </c>
      <c r="J18" s="205"/>
      <c r="K18" s="210">
        <f t="shared" si="2"/>
        <v>0</v>
      </c>
      <c r="L18" s="204">
        <v>132.47</v>
      </c>
      <c r="M18" s="211">
        <f t="shared" si="3"/>
        <v>1.0004762673555052</v>
      </c>
      <c r="N18" s="204">
        <v>31.262920000000001</v>
      </c>
      <c r="O18" s="205">
        <v>11.519</v>
      </c>
      <c r="P18" s="206">
        <v>2.3246286729092673E-2</v>
      </c>
      <c r="Q18" s="205">
        <v>-11.28300000000001</v>
      </c>
      <c r="R18" s="206">
        <v>-2.2770019373587365E-2</v>
      </c>
      <c r="S18" s="204">
        <v>-1494.6590100000012</v>
      </c>
      <c r="T18" s="198" t="s">
        <v>278</v>
      </c>
      <c r="U18" s="254" t="s">
        <v>212</v>
      </c>
      <c r="V18" s="205" t="s">
        <v>291</v>
      </c>
      <c r="W18" s="205">
        <v>1</v>
      </c>
      <c r="X18" s="205" t="s">
        <v>110</v>
      </c>
      <c r="Y18" s="201"/>
      <c r="Z18" s="228">
        <f>SUM(W257:W326)</f>
        <v>70</v>
      </c>
      <c r="AA18" s="227">
        <f t="shared" ref="AA18:AH18" si="11">SUMIF($U$257:$U$326,TRIM(AA6),$W$257:$W$326)</f>
        <v>0</v>
      </c>
      <c r="AB18" s="227">
        <f t="shared" si="11"/>
        <v>45</v>
      </c>
      <c r="AC18" s="227">
        <f t="shared" si="11"/>
        <v>0</v>
      </c>
      <c r="AD18" s="227">
        <f t="shared" si="11"/>
        <v>3</v>
      </c>
      <c r="AE18" s="227">
        <f t="shared" si="11"/>
        <v>1</v>
      </c>
      <c r="AF18" s="227">
        <f t="shared" si="11"/>
        <v>12</v>
      </c>
      <c r="AG18" s="227">
        <f t="shared" si="11"/>
        <v>8</v>
      </c>
      <c r="AH18" s="227">
        <f t="shared" si="11"/>
        <v>0</v>
      </c>
    </row>
    <row r="19" spans="2:34" ht="16.5">
      <c r="B19" s="496"/>
      <c r="C19" s="496"/>
      <c r="D19" s="209">
        <v>3</v>
      </c>
      <c r="E19" s="198" t="s">
        <v>279</v>
      </c>
      <c r="F19" s="204">
        <v>1177.1300200000001</v>
      </c>
      <c r="G19" s="266">
        <v>389.91199999999998</v>
      </c>
      <c r="H19" s="266">
        <v>402.70699999999999</v>
      </c>
      <c r="I19" s="210">
        <f t="shared" si="1"/>
        <v>1.0328150967397771</v>
      </c>
      <c r="J19" s="205"/>
      <c r="K19" s="210">
        <f t="shared" si="2"/>
        <v>0</v>
      </c>
      <c r="L19" s="204">
        <v>140.62</v>
      </c>
      <c r="M19" s="211">
        <f t="shared" si="3"/>
        <v>1.0328150967397771</v>
      </c>
      <c r="N19" s="204">
        <v>1799.2329</v>
      </c>
      <c r="O19" s="205">
        <v>8.3710000000000004</v>
      </c>
      <c r="P19" s="206">
        <v>2.1468946839286816E-2</v>
      </c>
      <c r="Q19" s="205">
        <v>4.4240000000000155</v>
      </c>
      <c r="R19" s="206">
        <v>1.1346149900490408E-2</v>
      </c>
      <c r="S19" s="204">
        <v>622.10288000000219</v>
      </c>
      <c r="T19" s="268" t="s">
        <v>275</v>
      </c>
      <c r="U19" s="254" t="s">
        <v>276</v>
      </c>
      <c r="V19" s="254" t="s">
        <v>292</v>
      </c>
      <c r="W19" s="205">
        <v>1</v>
      </c>
      <c r="X19" s="205" t="s">
        <v>113</v>
      </c>
      <c r="Y19" s="201" t="s">
        <v>293</v>
      </c>
      <c r="Z19" s="227"/>
      <c r="AA19" s="230">
        <f>SUMIF($U$257:$U$326,TRIM(AA6),$F$257:$F$326)</f>
        <v>0</v>
      </c>
      <c r="AB19" s="230">
        <f t="shared" ref="AB19:AH19" si="12">SUMIF($U$257:$U$326,TRIM(AB6),$F$257:$F$326)</f>
        <v>22422.022899768344</v>
      </c>
      <c r="AC19" s="230">
        <f t="shared" si="12"/>
        <v>0</v>
      </c>
      <c r="AD19" s="230">
        <f t="shared" si="12"/>
        <v>1967.5899999999997</v>
      </c>
      <c r="AE19" s="230">
        <f t="shared" si="12"/>
        <v>1113.5999999999999</v>
      </c>
      <c r="AF19" s="230">
        <f t="shared" si="12"/>
        <v>8128.4168300000001</v>
      </c>
      <c r="AG19" s="230">
        <f t="shared" si="12"/>
        <v>8835.7089999999989</v>
      </c>
      <c r="AH19" s="230">
        <f t="shared" si="12"/>
        <v>0</v>
      </c>
    </row>
    <row r="20" spans="2:34" ht="16.5">
      <c r="B20" s="496"/>
      <c r="C20" s="496"/>
      <c r="D20" s="209">
        <v>4</v>
      </c>
      <c r="E20" s="198" t="s">
        <v>294</v>
      </c>
      <c r="F20" s="204">
        <v>1053.4706800000001</v>
      </c>
      <c r="G20" s="266">
        <v>62.1</v>
      </c>
      <c r="H20" s="266">
        <v>65.122</v>
      </c>
      <c r="I20" s="210">
        <f t="shared" si="1"/>
        <v>1.0486634460547504</v>
      </c>
      <c r="J20" s="205"/>
      <c r="K20" s="210">
        <f t="shared" si="2"/>
        <v>0</v>
      </c>
      <c r="L20" s="204">
        <v>821.74</v>
      </c>
      <c r="M20" s="211">
        <f t="shared" si="3"/>
        <v>1.0486634460547504</v>
      </c>
      <c r="N20" s="204">
        <v>2483.29828</v>
      </c>
      <c r="O20" s="205">
        <v>1.282</v>
      </c>
      <c r="P20" s="206">
        <v>2.0644122383252819E-2</v>
      </c>
      <c r="Q20" s="205">
        <v>1.7399999999999984</v>
      </c>
      <c r="R20" s="206">
        <v>2.8019323671497558E-2</v>
      </c>
      <c r="S20" s="204">
        <v>1429.8275999999987</v>
      </c>
      <c r="T20" s="254" t="s">
        <v>295</v>
      </c>
      <c r="U20" s="254" t="s">
        <v>213</v>
      </c>
      <c r="V20" s="205" t="s">
        <v>296</v>
      </c>
      <c r="W20" s="205">
        <v>1</v>
      </c>
      <c r="X20" s="205" t="s">
        <v>115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6"/>
      <c r="C21" s="496"/>
      <c r="D21" s="209">
        <v>5</v>
      </c>
      <c r="E21" s="198" t="s">
        <v>287</v>
      </c>
      <c r="F21" s="204">
        <v>966.117446153846</v>
      </c>
      <c r="G21" s="266">
        <v>123.88</v>
      </c>
      <c r="H21" s="266">
        <v>129.738</v>
      </c>
      <c r="I21" s="210">
        <f t="shared" si="1"/>
        <v>1.0472876977720376</v>
      </c>
      <c r="J21" s="205"/>
      <c r="K21" s="210">
        <f t="shared" si="2"/>
        <v>0</v>
      </c>
      <c r="L21" s="204">
        <v>508.21538461538449</v>
      </c>
      <c r="M21" s="211">
        <f t="shared" si="3"/>
        <v>1.0472876977720376</v>
      </c>
      <c r="N21" s="204">
        <v>2977.1257230769224</v>
      </c>
      <c r="O21" s="205">
        <v>1.901</v>
      </c>
      <c r="P21" s="206">
        <v>1.5345495640942848E-2</v>
      </c>
      <c r="Q21" s="205">
        <v>3.9570000000000043</v>
      </c>
      <c r="R21" s="206">
        <v>3.1942202131094645E-2</v>
      </c>
      <c r="S21" s="204">
        <v>2011.0082769230787</v>
      </c>
      <c r="T21" s="254" t="s">
        <v>271</v>
      </c>
      <c r="U21" s="254" t="s">
        <v>217</v>
      </c>
      <c r="V21" s="205" t="s">
        <v>297</v>
      </c>
      <c r="W21" s="205">
        <v>1</v>
      </c>
      <c r="X21" s="205" t="s">
        <v>110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6"/>
      <c r="C22" s="496"/>
      <c r="D22" s="209">
        <v>6</v>
      </c>
      <c r="E22" s="198" t="s">
        <v>298</v>
      </c>
      <c r="F22" s="204">
        <v>803.50267999999994</v>
      </c>
      <c r="G22" s="266">
        <v>496.8</v>
      </c>
      <c r="H22" s="266">
        <v>499.608</v>
      </c>
      <c r="I22" s="210">
        <f t="shared" si="1"/>
        <v>1.0056521739130435</v>
      </c>
      <c r="J22" s="205"/>
      <c r="K22" s="210">
        <f t="shared" si="2"/>
        <v>0</v>
      </c>
      <c r="L22" s="204">
        <v>140.62</v>
      </c>
      <c r="M22" s="211">
        <f t="shared" si="3"/>
        <v>1.0056521739130435</v>
      </c>
      <c r="N22" s="204">
        <v>394.86095999999998</v>
      </c>
      <c r="O22" s="205">
        <v>5.7140000000000004</v>
      </c>
      <c r="P22" s="206">
        <v>1.1501610305958133E-2</v>
      </c>
      <c r="Q22" s="205">
        <v>-2.9060000000000077</v>
      </c>
      <c r="R22" s="206">
        <v>-5.8494363929146691E-3</v>
      </c>
      <c r="S22" s="204">
        <v>-408.6417200000011</v>
      </c>
      <c r="T22" s="198" t="s">
        <v>278</v>
      </c>
      <c r="U22" s="254" t="s">
        <v>212</v>
      </c>
      <c r="V22" s="205" t="s">
        <v>299</v>
      </c>
      <c r="W22" s="205">
        <v>1</v>
      </c>
      <c r="X22" s="205" t="s">
        <v>115</v>
      </c>
      <c r="Y22" s="229" t="s">
        <v>300</v>
      </c>
      <c r="Z22" s="227">
        <f>SUM(W7:W10000)</f>
        <v>320</v>
      </c>
      <c r="AA22" s="228">
        <f t="shared" ref="AA22:AH22" si="13">SUMIF($U$7:$U$10000,TRIM(AA6),$W$7:$W$10000)</f>
        <v>0</v>
      </c>
      <c r="AB22" s="228">
        <f t="shared" si="13"/>
        <v>158</v>
      </c>
      <c r="AC22" s="227">
        <f t="shared" si="13"/>
        <v>0</v>
      </c>
      <c r="AD22" s="227">
        <f t="shared" si="13"/>
        <v>26</v>
      </c>
      <c r="AE22" s="227">
        <f t="shared" si="13"/>
        <v>13</v>
      </c>
      <c r="AF22" s="227">
        <f t="shared" si="13"/>
        <v>59</v>
      </c>
      <c r="AG22" s="227">
        <f t="shared" si="13"/>
        <v>33</v>
      </c>
      <c r="AH22" s="227">
        <f t="shared" si="13"/>
        <v>0</v>
      </c>
    </row>
    <row r="23" spans="2:34" ht="16.5">
      <c r="B23" s="496"/>
      <c r="C23" s="496"/>
      <c r="D23" s="209">
        <v>7</v>
      </c>
      <c r="E23" s="198" t="s">
        <v>301</v>
      </c>
      <c r="F23" s="204">
        <v>754.69133999999997</v>
      </c>
      <c r="G23" s="266">
        <v>219.78</v>
      </c>
      <c r="H23" s="266">
        <v>225.256</v>
      </c>
      <c r="I23" s="210">
        <f t="shared" si="1"/>
        <v>1.024915824915825</v>
      </c>
      <c r="J23" s="205"/>
      <c r="K23" s="210">
        <f t="shared" si="2"/>
        <v>0</v>
      </c>
      <c r="L23" s="204">
        <v>111.41</v>
      </c>
      <c r="M23" s="211">
        <f t="shared" si="3"/>
        <v>1.024915824915825</v>
      </c>
      <c r="N23" s="204">
        <v>610.08115999999995</v>
      </c>
      <c r="O23" s="205">
        <v>6.774</v>
      </c>
      <c r="P23" s="206">
        <v>3.0821730821730821E-2</v>
      </c>
      <c r="Q23" s="205">
        <v>-1.2980000000000009</v>
      </c>
      <c r="R23" s="206">
        <v>-5.9059059059059105E-3</v>
      </c>
      <c r="S23" s="204">
        <v>-144.6101800000001</v>
      </c>
      <c r="T23" s="198" t="s">
        <v>278</v>
      </c>
      <c r="U23" s="254" t="s">
        <v>212</v>
      </c>
      <c r="V23" s="205" t="s">
        <v>302</v>
      </c>
      <c r="W23" s="205">
        <v>1</v>
      </c>
      <c r="X23" s="205" t="s">
        <v>111</v>
      </c>
      <c r="Z23" s="227"/>
      <c r="AA23" s="230">
        <f t="shared" ref="AA23:AH23" si="14">SUMIF($U$7:$U$10000,TRIM(AA6),$F$7:$F$10000)</f>
        <v>0</v>
      </c>
      <c r="AB23" s="230">
        <f t="shared" si="14"/>
        <v>145149.76286502476</v>
      </c>
      <c r="AC23" s="230">
        <f t="shared" si="14"/>
        <v>0</v>
      </c>
      <c r="AD23" s="230">
        <f t="shared" si="14"/>
        <v>26029.411919999995</v>
      </c>
      <c r="AE23" s="230">
        <f t="shared" si="14"/>
        <v>14475.081098461538</v>
      </c>
      <c r="AF23" s="230">
        <f t="shared" si="14"/>
        <v>57648.977141538468</v>
      </c>
      <c r="AG23" s="230">
        <f t="shared" si="14"/>
        <v>63051.268059999988</v>
      </c>
      <c r="AH23" s="230">
        <f t="shared" si="14"/>
        <v>0</v>
      </c>
    </row>
    <row r="24" spans="2:34" ht="16.5">
      <c r="B24" s="496"/>
      <c r="C24" s="496"/>
      <c r="D24" s="209">
        <v>8</v>
      </c>
      <c r="E24" s="198" t="s">
        <v>274</v>
      </c>
      <c r="F24" s="204">
        <v>745.90586999999994</v>
      </c>
      <c r="G24" s="266">
        <v>888.03</v>
      </c>
      <c r="H24" s="266">
        <v>912.57799999999997</v>
      </c>
      <c r="I24" s="210">
        <f t="shared" si="1"/>
        <v>1.027643210251906</v>
      </c>
      <c r="J24" s="205"/>
      <c r="K24" s="210">
        <f t="shared" si="2"/>
        <v>0</v>
      </c>
      <c r="L24" s="204">
        <v>156.66999999999999</v>
      </c>
      <c r="M24" s="211">
        <f t="shared" si="3"/>
        <v>1.027643210251906</v>
      </c>
      <c r="N24" s="204">
        <v>3845.9351599999995</v>
      </c>
      <c r="O24" s="205">
        <v>4.7610000000000001</v>
      </c>
      <c r="P24" s="206">
        <v>5.3613053613053617E-3</v>
      </c>
      <c r="Q24" s="205">
        <v>19.787000000000003</v>
      </c>
      <c r="R24" s="206">
        <v>2.2281904890600546E-2</v>
      </c>
      <c r="S24" s="204">
        <v>3100.0292899999999</v>
      </c>
      <c r="T24" s="268" t="s">
        <v>275</v>
      </c>
      <c r="U24" s="254" t="s">
        <v>276</v>
      </c>
      <c r="V24" s="205" t="s">
        <v>303</v>
      </c>
      <c r="W24" s="205">
        <v>1</v>
      </c>
      <c r="X24" s="205" t="s">
        <v>109</v>
      </c>
    </row>
    <row r="25" spans="2:34" ht="16.5">
      <c r="B25" s="496"/>
      <c r="C25" s="496"/>
      <c r="D25" s="209">
        <v>9</v>
      </c>
      <c r="E25" s="198" t="s">
        <v>304</v>
      </c>
      <c r="F25" s="204">
        <v>725.34690000000012</v>
      </c>
      <c r="G25" s="266">
        <v>173.88</v>
      </c>
      <c r="H25" s="266">
        <v>180.934</v>
      </c>
      <c r="I25" s="210">
        <f t="shared" si="1"/>
        <v>1.0405682079595122</v>
      </c>
      <c r="J25" s="205"/>
      <c r="K25" s="210">
        <f t="shared" si="2"/>
        <v>0</v>
      </c>
      <c r="L25" s="204">
        <v>108.18</v>
      </c>
      <c r="M25" s="211">
        <f t="shared" si="3"/>
        <v>1.0405682079595122</v>
      </c>
      <c r="N25" s="204">
        <v>763.10172000000011</v>
      </c>
      <c r="O25" s="205">
        <v>6.7050000000000001</v>
      </c>
      <c r="P25" s="206">
        <v>3.8561076604554864E-2</v>
      </c>
      <c r="Q25" s="205">
        <v>0.34900000000000198</v>
      </c>
      <c r="R25" s="206">
        <v>2.0071313549574533E-3</v>
      </c>
      <c r="S25" s="204">
        <v>37.754820000000215</v>
      </c>
      <c r="T25" s="268" t="s">
        <v>275</v>
      </c>
      <c r="U25" s="254" t="s">
        <v>276</v>
      </c>
      <c r="V25" s="205" t="s">
        <v>305</v>
      </c>
      <c r="W25" s="205">
        <v>1</v>
      </c>
      <c r="X25" s="205" t="s">
        <v>115</v>
      </c>
    </row>
    <row r="26" spans="2:34" ht="16.5">
      <c r="B26" s="496"/>
      <c r="C26" s="496"/>
      <c r="D26" s="209">
        <v>10</v>
      </c>
      <c r="E26" s="198" t="s">
        <v>270</v>
      </c>
      <c r="F26" s="204">
        <v>688.80000000000007</v>
      </c>
      <c r="G26" s="266">
        <v>32.1</v>
      </c>
      <c r="H26" s="266">
        <v>34.430999999999997</v>
      </c>
      <c r="I26" s="210">
        <f t="shared" si="1"/>
        <v>1.0726168224299064</v>
      </c>
      <c r="J26" s="205"/>
      <c r="K26" s="210">
        <f t="shared" si="2"/>
        <v>0</v>
      </c>
      <c r="L26" s="204">
        <v>287.00000000000006</v>
      </c>
      <c r="M26" s="211">
        <f t="shared" si="3"/>
        <v>1.0726168224299064</v>
      </c>
      <c r="N26" s="204">
        <v>668.99700000000007</v>
      </c>
      <c r="O26" s="205">
        <v>2.4</v>
      </c>
      <c r="P26" s="206">
        <v>7.476635514018691E-2</v>
      </c>
      <c r="Q26" s="205">
        <v>-6.9000000000003947E-2</v>
      </c>
      <c r="R26" s="206">
        <v>-2.1495327102804968E-3</v>
      </c>
      <c r="S26" s="204">
        <v>-19.803000000001138</v>
      </c>
      <c r="T26" s="254" t="s">
        <v>271</v>
      </c>
      <c r="U26" s="254" t="s">
        <v>276</v>
      </c>
      <c r="V26" s="205" t="s">
        <v>306</v>
      </c>
      <c r="W26" s="205">
        <v>1</v>
      </c>
      <c r="X26" s="205" t="s">
        <v>307</v>
      </c>
    </row>
    <row r="27" spans="2:34" ht="16.5">
      <c r="B27" s="495">
        <v>45872</v>
      </c>
      <c r="C27" s="496" t="s">
        <v>59</v>
      </c>
      <c r="D27" s="209">
        <v>1</v>
      </c>
      <c r="E27" s="198" t="s">
        <v>283</v>
      </c>
      <c r="F27" s="199">
        <v>1821.9035999999999</v>
      </c>
      <c r="G27" s="267">
        <v>235.89</v>
      </c>
      <c r="H27" s="267">
        <v>242.02199999999999</v>
      </c>
      <c r="I27" s="210">
        <f t="shared" si="1"/>
        <v>1.0259951672389673</v>
      </c>
      <c r="J27" s="198"/>
      <c r="K27" s="210">
        <f t="shared" si="2"/>
        <v>0</v>
      </c>
      <c r="L27" s="199">
        <v>162.38</v>
      </c>
      <c r="M27" s="211">
        <f t="shared" si="3"/>
        <v>1.0259951672389673</v>
      </c>
      <c r="N27" s="199">
        <v>995.71415999999999</v>
      </c>
      <c r="O27" s="198">
        <v>11.22</v>
      </c>
      <c r="P27" s="200">
        <v>4.7564542795370729E-2</v>
      </c>
      <c r="Q27" s="198">
        <v>-5.0879999999999956</v>
      </c>
      <c r="R27" s="200">
        <v>-2.156937555640339E-2</v>
      </c>
      <c r="S27" s="199">
        <v>-826.18943999999931</v>
      </c>
      <c r="T27" s="198" t="s">
        <v>308</v>
      </c>
      <c r="U27" s="254" t="s">
        <v>276</v>
      </c>
      <c r="V27" s="198" t="s">
        <v>309</v>
      </c>
      <c r="W27" s="205">
        <v>1</v>
      </c>
      <c r="X27" s="198" t="s">
        <v>121</v>
      </c>
    </row>
    <row r="28" spans="2:34" ht="16.5">
      <c r="B28" s="496"/>
      <c r="C28" s="496"/>
      <c r="D28" s="209">
        <v>2</v>
      </c>
      <c r="E28" s="198" t="s">
        <v>277</v>
      </c>
      <c r="F28" s="199">
        <v>1558.64202</v>
      </c>
      <c r="G28" s="267">
        <v>489.04</v>
      </c>
      <c r="H28" s="267">
        <v>489.21</v>
      </c>
      <c r="I28" s="210">
        <f t="shared" si="1"/>
        <v>1.000347619826599</v>
      </c>
      <c r="J28" s="198"/>
      <c r="K28" s="210">
        <f t="shared" si="2"/>
        <v>0</v>
      </c>
      <c r="L28" s="199">
        <v>132.47</v>
      </c>
      <c r="M28" s="211">
        <f t="shared" si="3"/>
        <v>1.000347619826599</v>
      </c>
      <c r="N28" s="199">
        <v>22.5199</v>
      </c>
      <c r="O28" s="198">
        <v>11.766</v>
      </c>
      <c r="P28" s="200">
        <v>2.4059381645673155E-2</v>
      </c>
      <c r="Q28" s="198">
        <v>-11.596000000000041</v>
      </c>
      <c r="R28" s="200">
        <v>-2.3711761819074188E-2</v>
      </c>
      <c r="S28" s="199">
        <v>-1536.1221200000055</v>
      </c>
      <c r="T28" s="198" t="s">
        <v>278</v>
      </c>
      <c r="U28" s="254" t="s">
        <v>212</v>
      </c>
      <c r="V28" s="198" t="s">
        <v>310</v>
      </c>
      <c r="W28" s="205">
        <v>1</v>
      </c>
      <c r="X28" s="264" t="s">
        <v>110</v>
      </c>
      <c r="AA28" s="196">
        <v>1</v>
      </c>
      <c r="AB28" s="196" t="s">
        <v>281</v>
      </c>
    </row>
    <row r="29" spans="2:34" ht="16.5">
      <c r="B29" s="496"/>
      <c r="C29" s="496"/>
      <c r="D29" s="209">
        <v>3</v>
      </c>
      <c r="E29" s="198" t="s">
        <v>288</v>
      </c>
      <c r="F29" s="199">
        <v>1506.2850000000001</v>
      </c>
      <c r="G29" s="267">
        <v>31.452000000000002</v>
      </c>
      <c r="H29" s="267">
        <v>33.606999999999999</v>
      </c>
      <c r="I29" s="210">
        <f t="shared" si="1"/>
        <v>1.0685171054304972</v>
      </c>
      <c r="J29" s="198"/>
      <c r="K29" s="210">
        <f t="shared" si="2"/>
        <v>0</v>
      </c>
      <c r="L29" s="199">
        <v>85</v>
      </c>
      <c r="M29" s="211">
        <f t="shared" si="3"/>
        <v>1.0685171054304972</v>
      </c>
      <c r="N29" s="199">
        <v>183.17500000000001</v>
      </c>
      <c r="O29" s="198">
        <v>17.721</v>
      </c>
      <c r="P29" s="200">
        <v>0.56342998855398696</v>
      </c>
      <c r="Q29" s="198">
        <v>-15.566000000000003</v>
      </c>
      <c r="R29" s="200">
        <v>-0.4949128831234898</v>
      </c>
      <c r="S29" s="199">
        <v>-1323.1100000000001</v>
      </c>
      <c r="T29" s="254" t="s">
        <v>271</v>
      </c>
      <c r="U29" s="254" t="s">
        <v>217</v>
      </c>
      <c r="V29" s="198" t="s">
        <v>217</v>
      </c>
      <c r="W29" s="205">
        <v>1</v>
      </c>
      <c r="X29" s="198" t="s">
        <v>121</v>
      </c>
      <c r="AA29" s="196">
        <v>2</v>
      </c>
      <c r="AB29" s="196" t="s">
        <v>276</v>
      </c>
    </row>
    <row r="30" spans="2:34" ht="16.5">
      <c r="B30" s="496"/>
      <c r="C30" s="496"/>
      <c r="D30" s="209">
        <v>4</v>
      </c>
      <c r="E30" s="198" t="s">
        <v>279</v>
      </c>
      <c r="F30" s="199">
        <v>1222.12842</v>
      </c>
      <c r="G30" s="267">
        <v>360.94400000000002</v>
      </c>
      <c r="H30" s="267">
        <v>371.76499999999999</v>
      </c>
      <c r="I30" s="210">
        <f t="shared" si="1"/>
        <v>1.0299797198457377</v>
      </c>
      <c r="J30" s="198"/>
      <c r="K30" s="210">
        <f t="shared" si="2"/>
        <v>0</v>
      </c>
      <c r="L30" s="199">
        <v>140.62</v>
      </c>
      <c r="M30" s="211">
        <f t="shared" si="3"/>
        <v>1.0299797198457377</v>
      </c>
      <c r="N30" s="199">
        <v>1521.6490199999998</v>
      </c>
      <c r="O30" s="198">
        <v>8.6910000000000007</v>
      </c>
      <c r="P30" s="200">
        <v>2.4078527416995434E-2</v>
      </c>
      <c r="Q30" s="198">
        <v>2.1299999999999688</v>
      </c>
      <c r="R30" s="200">
        <v>5.9011924287423224E-3</v>
      </c>
      <c r="S30" s="199">
        <v>299.52059999999562</v>
      </c>
      <c r="T30" s="268" t="s">
        <v>275</v>
      </c>
      <c r="U30" s="254" t="s">
        <v>276</v>
      </c>
      <c r="V30" s="198" t="s">
        <v>311</v>
      </c>
      <c r="W30" s="205">
        <v>1</v>
      </c>
      <c r="X30" s="198" t="s">
        <v>113</v>
      </c>
      <c r="AA30" s="196">
        <v>3</v>
      </c>
      <c r="AB30" s="196" t="s">
        <v>312</v>
      </c>
    </row>
    <row r="31" spans="2:34" ht="16.5">
      <c r="B31" s="496"/>
      <c r="C31" s="496"/>
      <c r="D31" s="209">
        <v>5</v>
      </c>
      <c r="E31" s="198" t="s">
        <v>274</v>
      </c>
      <c r="F31" s="199">
        <v>1075.8528899999999</v>
      </c>
      <c r="G31" s="267">
        <v>850.90499999999997</v>
      </c>
      <c r="H31" s="267">
        <v>869.18499999999995</v>
      </c>
      <c r="I31" s="210">
        <f t="shared" si="1"/>
        <v>1.0214830092666043</v>
      </c>
      <c r="J31" s="198"/>
      <c r="K31" s="210">
        <f t="shared" si="2"/>
        <v>0</v>
      </c>
      <c r="L31" s="199">
        <v>156.66999999999999</v>
      </c>
      <c r="M31" s="211">
        <f t="shared" si="3"/>
        <v>1.0214830092666043</v>
      </c>
      <c r="N31" s="199">
        <v>2863.9275999999995</v>
      </c>
      <c r="O31" s="198">
        <v>6.867</v>
      </c>
      <c r="P31" s="200">
        <v>8.0702311068803212E-3</v>
      </c>
      <c r="Q31" s="198">
        <v>11.412999999999972</v>
      </c>
      <c r="R31" s="200">
        <v>1.3412778159724026E-2</v>
      </c>
      <c r="S31" s="199">
        <v>1788.0747099999955</v>
      </c>
      <c r="T31" s="268" t="s">
        <v>275</v>
      </c>
      <c r="U31" s="254" t="s">
        <v>276</v>
      </c>
      <c r="V31" s="198" t="s">
        <v>313</v>
      </c>
      <c r="W31" s="205">
        <v>1</v>
      </c>
      <c r="X31" s="198" t="s">
        <v>109</v>
      </c>
      <c r="AA31" s="196">
        <v>4</v>
      </c>
      <c r="AB31" s="196" t="s">
        <v>212</v>
      </c>
    </row>
    <row r="32" spans="2:34" ht="16.5">
      <c r="B32" s="496"/>
      <c r="C32" s="496"/>
      <c r="D32" s="209">
        <v>6</v>
      </c>
      <c r="E32" s="198" t="s">
        <v>294</v>
      </c>
      <c r="F32" s="199">
        <v>945.00099999999998</v>
      </c>
      <c r="G32" s="267">
        <v>62.7</v>
      </c>
      <c r="H32" s="267">
        <v>67.459999999999994</v>
      </c>
      <c r="I32" s="210">
        <f t="shared" si="1"/>
        <v>1.0759170653907495</v>
      </c>
      <c r="J32" s="198"/>
      <c r="K32" s="210">
        <f t="shared" si="2"/>
        <v>0</v>
      </c>
      <c r="L32" s="199">
        <v>821.74</v>
      </c>
      <c r="M32" s="211">
        <f t="shared" si="3"/>
        <v>1.0759170653907495</v>
      </c>
      <c r="N32" s="199">
        <v>3911.4824000000003</v>
      </c>
      <c r="O32" s="198">
        <v>1.1499999999999999</v>
      </c>
      <c r="P32" s="200">
        <v>1.8341307814992023E-2</v>
      </c>
      <c r="Q32" s="198">
        <v>3.609999999999991</v>
      </c>
      <c r="R32" s="200">
        <v>5.7575757575757426E-2</v>
      </c>
      <c r="S32" s="199">
        <v>2966.4813999999928</v>
      </c>
      <c r="T32" s="254" t="s">
        <v>295</v>
      </c>
      <c r="U32" s="254" t="s">
        <v>213</v>
      </c>
      <c r="V32" s="198" t="s">
        <v>213</v>
      </c>
      <c r="W32" s="205">
        <v>1</v>
      </c>
      <c r="X32" s="198" t="s">
        <v>115</v>
      </c>
      <c r="AA32" s="196">
        <v>5</v>
      </c>
      <c r="AB32" s="196" t="s">
        <v>213</v>
      </c>
    </row>
    <row r="33" spans="2:28" ht="16.5">
      <c r="B33" s="496"/>
      <c r="C33" s="496"/>
      <c r="D33" s="209">
        <v>7</v>
      </c>
      <c r="E33" s="198" t="s">
        <v>314</v>
      </c>
      <c r="F33" s="199">
        <v>939.10719999999992</v>
      </c>
      <c r="G33" s="267">
        <v>262.10000000000002</v>
      </c>
      <c r="H33" s="267">
        <v>265.86200000000002</v>
      </c>
      <c r="I33" s="210">
        <f t="shared" si="1"/>
        <v>1.0143533002670737</v>
      </c>
      <c r="J33" s="198"/>
      <c r="K33" s="210">
        <f t="shared" si="2"/>
        <v>0</v>
      </c>
      <c r="L33" s="199">
        <v>226.39999999999998</v>
      </c>
      <c r="M33" s="211">
        <f t="shared" si="3"/>
        <v>1.0143533002670737</v>
      </c>
      <c r="N33" s="199">
        <v>851.71679999999992</v>
      </c>
      <c r="O33" s="198">
        <v>4.1479999999999997</v>
      </c>
      <c r="P33" s="200">
        <v>1.5826020602823346E-2</v>
      </c>
      <c r="Q33" s="198">
        <v>-0.38599999999999923</v>
      </c>
      <c r="R33" s="200">
        <v>-1.4727203357497109E-3</v>
      </c>
      <c r="S33" s="199">
        <v>-87.390399999999815</v>
      </c>
      <c r="T33" s="198" t="s">
        <v>315</v>
      </c>
      <c r="U33" s="254" t="s">
        <v>217</v>
      </c>
      <c r="V33" s="198" t="s">
        <v>316</v>
      </c>
      <c r="W33" s="205">
        <v>1</v>
      </c>
      <c r="X33" s="198" t="s">
        <v>121</v>
      </c>
      <c r="AA33" s="196">
        <v>6</v>
      </c>
      <c r="AB33" s="196" t="s">
        <v>217</v>
      </c>
    </row>
    <row r="34" spans="2:28" ht="16.5">
      <c r="B34" s="496"/>
      <c r="C34" s="496"/>
      <c r="D34" s="209">
        <v>8</v>
      </c>
      <c r="E34" s="198" t="s">
        <v>284</v>
      </c>
      <c r="F34" s="199">
        <v>833.00099999999998</v>
      </c>
      <c r="G34" s="267">
        <v>67.715999999999994</v>
      </c>
      <c r="H34" s="267">
        <v>71.353999999999999</v>
      </c>
      <c r="I34" s="210">
        <f t="shared" si="1"/>
        <v>1.0537243782857819</v>
      </c>
      <c r="J34" s="198"/>
      <c r="K34" s="210">
        <f t="shared" si="2"/>
        <v>0</v>
      </c>
      <c r="L34" s="199">
        <v>93</v>
      </c>
      <c r="M34" s="211">
        <f t="shared" si="3"/>
        <v>1.0537243782857819</v>
      </c>
      <c r="N34" s="199">
        <v>338.334</v>
      </c>
      <c r="O34" s="198">
        <v>8.9570000000000007</v>
      </c>
      <c r="P34" s="200">
        <v>0.13227302262389984</v>
      </c>
      <c r="Q34" s="198">
        <v>-5.3189999999999955</v>
      </c>
      <c r="R34" s="200">
        <v>-7.8548644338117965E-2</v>
      </c>
      <c r="S34" s="199">
        <v>-494.66699999999958</v>
      </c>
      <c r="T34" s="254" t="s">
        <v>308</v>
      </c>
      <c r="U34" s="254" t="s">
        <v>281</v>
      </c>
      <c r="V34" s="198" t="s">
        <v>281</v>
      </c>
      <c r="W34" s="205">
        <v>1</v>
      </c>
      <c r="X34" s="198" t="s">
        <v>317</v>
      </c>
      <c r="AA34" s="196">
        <v>7</v>
      </c>
      <c r="AB34" s="196" t="s">
        <v>318</v>
      </c>
    </row>
    <row r="35" spans="2:28" ht="16.5">
      <c r="B35" s="496"/>
      <c r="C35" s="496"/>
      <c r="D35" s="209">
        <v>9</v>
      </c>
      <c r="E35" s="198" t="s">
        <v>304</v>
      </c>
      <c r="F35" s="199">
        <v>795.23118000000011</v>
      </c>
      <c r="G35" s="267">
        <v>175.56</v>
      </c>
      <c r="H35" s="267">
        <v>183</v>
      </c>
      <c r="I35" s="210">
        <f t="shared" si="1"/>
        <v>1.0423786739576213</v>
      </c>
      <c r="J35" s="198"/>
      <c r="K35" s="210">
        <f t="shared" si="2"/>
        <v>0</v>
      </c>
      <c r="L35" s="199">
        <v>108.18</v>
      </c>
      <c r="M35" s="211">
        <f t="shared" si="3"/>
        <v>1.0423786739576213</v>
      </c>
      <c r="N35" s="199">
        <v>804.8592000000001</v>
      </c>
      <c r="O35" s="198">
        <v>7.351</v>
      </c>
      <c r="P35" s="200">
        <v>4.1871724766461609E-2</v>
      </c>
      <c r="Q35" s="198">
        <v>8.8999999999997748E-2</v>
      </c>
      <c r="R35" s="200">
        <v>5.0694919115970463E-4</v>
      </c>
      <c r="S35" s="199">
        <v>9.6280199999997578</v>
      </c>
      <c r="T35" s="268" t="s">
        <v>275</v>
      </c>
      <c r="U35" s="254" t="s">
        <v>276</v>
      </c>
      <c r="V35" s="198" t="s">
        <v>319</v>
      </c>
      <c r="W35" s="205">
        <v>1</v>
      </c>
      <c r="X35" s="198" t="s">
        <v>115</v>
      </c>
      <c r="AA35" s="196">
        <v>8</v>
      </c>
      <c r="AB35" s="196" t="s">
        <v>320</v>
      </c>
    </row>
    <row r="36" spans="2:28" ht="16.5">
      <c r="B36" s="496"/>
      <c r="C36" s="496"/>
      <c r="D36" s="209">
        <v>10</v>
      </c>
      <c r="E36" s="198" t="s">
        <v>270</v>
      </c>
      <c r="F36" s="199">
        <v>635.41800000000012</v>
      </c>
      <c r="G36" s="267">
        <v>34.020000000000003</v>
      </c>
      <c r="H36" s="267">
        <v>39.777000000000001</v>
      </c>
      <c r="I36" s="210">
        <f t="shared" si="1"/>
        <v>1.1692239858906526</v>
      </c>
      <c r="J36" s="198"/>
      <c r="K36" s="210">
        <f t="shared" si="2"/>
        <v>0</v>
      </c>
      <c r="L36" s="199">
        <v>287.00000000000006</v>
      </c>
      <c r="M36" s="211">
        <f t="shared" si="3"/>
        <v>1.1692239858906526</v>
      </c>
      <c r="N36" s="199">
        <v>1652.2590000000002</v>
      </c>
      <c r="O36" s="198">
        <v>2.214</v>
      </c>
      <c r="P36" s="200">
        <v>6.507936507936507E-2</v>
      </c>
      <c r="Q36" s="198">
        <v>3.5429999999999979</v>
      </c>
      <c r="R36" s="200">
        <v>0.10414462081128741</v>
      </c>
      <c r="S36" s="199">
        <v>1016.8409999999996</v>
      </c>
      <c r="T36" s="254" t="s">
        <v>271</v>
      </c>
      <c r="U36" s="254" t="s">
        <v>217</v>
      </c>
      <c r="V36" s="198" t="s">
        <v>217</v>
      </c>
      <c r="W36" s="205">
        <v>1</v>
      </c>
      <c r="X36" s="198" t="s">
        <v>307</v>
      </c>
    </row>
    <row r="37" spans="2:28" ht="16.5">
      <c r="B37" s="495">
        <v>45873</v>
      </c>
      <c r="C37" s="496" t="s">
        <v>65</v>
      </c>
      <c r="D37" s="209">
        <v>1</v>
      </c>
      <c r="E37" s="198" t="s">
        <v>283</v>
      </c>
      <c r="F37" s="199">
        <v>1280.6910599999999</v>
      </c>
      <c r="G37" s="267">
        <v>223.875</v>
      </c>
      <c r="H37" s="267">
        <v>237.9</v>
      </c>
      <c r="I37" s="210">
        <f t="shared" si="1"/>
        <v>1.0626465661641542</v>
      </c>
      <c r="J37" s="198"/>
      <c r="K37" s="210">
        <f t="shared" si="2"/>
        <v>0</v>
      </c>
      <c r="L37" s="199">
        <v>162.38</v>
      </c>
      <c r="M37" s="211">
        <f t="shared" si="3"/>
        <v>1.0626465661641542</v>
      </c>
      <c r="N37" s="199">
        <v>2272.5081</v>
      </c>
      <c r="O37" s="198">
        <v>7.8869999999999996</v>
      </c>
      <c r="P37" s="200">
        <v>3.5229480737018426E-2</v>
      </c>
      <c r="Q37" s="198">
        <v>6.1380000000000061</v>
      </c>
      <c r="R37" s="200">
        <v>2.7417085427135706E-2</v>
      </c>
      <c r="S37" s="199">
        <v>996.68844000000092</v>
      </c>
      <c r="T37" s="254" t="s">
        <v>280</v>
      </c>
      <c r="U37" s="254" t="s">
        <v>276</v>
      </c>
      <c r="V37" s="198" t="s">
        <v>281</v>
      </c>
      <c r="W37" s="205">
        <v>1</v>
      </c>
      <c r="X37" s="198" t="s">
        <v>121</v>
      </c>
    </row>
    <row r="38" spans="2:28" ht="16.5">
      <c r="B38" s="496"/>
      <c r="C38" s="496"/>
      <c r="D38" s="209">
        <v>2</v>
      </c>
      <c r="E38" s="198" t="s">
        <v>321</v>
      </c>
      <c r="F38" s="199">
        <v>1255.482</v>
      </c>
      <c r="G38" s="267">
        <v>65.78</v>
      </c>
      <c r="H38" s="267">
        <v>68</v>
      </c>
      <c r="I38" s="210">
        <f t="shared" si="1"/>
        <v>1.0337488598358164</v>
      </c>
      <c r="J38" s="198"/>
      <c r="K38" s="210">
        <f t="shared" si="2"/>
        <v>0</v>
      </c>
      <c r="L38" s="199">
        <v>697.49</v>
      </c>
      <c r="M38" s="211">
        <f t="shared" si="3"/>
        <v>1.0337488598358164</v>
      </c>
      <c r="N38" s="199">
        <v>252.49137999999999</v>
      </c>
      <c r="O38" s="198">
        <v>1.8</v>
      </c>
      <c r="P38" s="200">
        <v>2.7363940407418668E-2</v>
      </c>
      <c r="Q38" s="198">
        <v>0.41999999999999882</v>
      </c>
      <c r="R38" s="200">
        <v>6.3849194283976708E-3</v>
      </c>
      <c r="S38" s="199">
        <v>292.94579999999917</v>
      </c>
      <c r="T38" s="268" t="s">
        <v>275</v>
      </c>
      <c r="U38" s="254" t="s">
        <v>276</v>
      </c>
      <c r="V38" s="198" t="s">
        <v>322</v>
      </c>
      <c r="W38" s="205">
        <v>1</v>
      </c>
      <c r="X38" s="198" t="s">
        <v>109</v>
      </c>
      <c r="AA38" s="269">
        <v>1</v>
      </c>
      <c r="AB38" s="196" t="s">
        <v>308</v>
      </c>
    </row>
    <row r="39" spans="2:28" ht="16.5">
      <c r="B39" s="496"/>
      <c r="C39" s="496"/>
      <c r="D39" s="209">
        <v>3</v>
      </c>
      <c r="E39" s="198" t="s">
        <v>323</v>
      </c>
      <c r="F39" s="199">
        <v>1044.1641</v>
      </c>
      <c r="G39" s="267">
        <v>119.658</v>
      </c>
      <c r="H39" s="267">
        <v>124.1</v>
      </c>
      <c r="I39" s="210">
        <f t="shared" si="1"/>
        <v>1.0371224656938942</v>
      </c>
      <c r="J39" s="198"/>
      <c r="K39" s="210">
        <f t="shared" si="2"/>
        <v>0</v>
      </c>
      <c r="L39" s="199">
        <v>356.37</v>
      </c>
      <c r="M39" s="211">
        <f t="shared" si="3"/>
        <v>1.0371224656938942</v>
      </c>
      <c r="N39" s="199">
        <v>1582.9955400000001</v>
      </c>
      <c r="O39" s="198">
        <v>2.93</v>
      </c>
      <c r="P39" s="200">
        <v>2.4486453057881632E-2</v>
      </c>
      <c r="Q39" s="198">
        <v>1.5119999999999929</v>
      </c>
      <c r="R39" s="200">
        <v>1.2636012636012576E-2</v>
      </c>
      <c r="S39" s="199">
        <v>538.83143999999743</v>
      </c>
      <c r="T39" s="254" t="s">
        <v>295</v>
      </c>
      <c r="U39" s="254" t="s">
        <v>213</v>
      </c>
      <c r="V39" s="198" t="s">
        <v>213</v>
      </c>
      <c r="W39" s="205">
        <v>1</v>
      </c>
      <c r="X39" s="198" t="s">
        <v>111</v>
      </c>
      <c r="AA39" s="196">
        <v>2</v>
      </c>
      <c r="AB39" s="196" t="s">
        <v>278</v>
      </c>
    </row>
    <row r="40" spans="2:28" ht="16.5">
      <c r="B40" s="496"/>
      <c r="C40" s="496"/>
      <c r="D40" s="209">
        <v>4</v>
      </c>
      <c r="E40" s="198" t="s">
        <v>324</v>
      </c>
      <c r="F40" s="199">
        <v>982.18510000000015</v>
      </c>
      <c r="G40" s="267">
        <v>171.54499999999999</v>
      </c>
      <c r="H40" s="267">
        <v>187.79</v>
      </c>
      <c r="I40" s="210">
        <f t="shared" si="1"/>
        <v>1.0946981841499315</v>
      </c>
      <c r="J40" s="198"/>
      <c r="K40" s="210">
        <f t="shared" si="2"/>
        <v>0</v>
      </c>
      <c r="L40" s="199">
        <v>328.49</v>
      </c>
      <c r="M40" s="211">
        <f t="shared" si="3"/>
        <v>1.0946981841499315</v>
      </c>
      <c r="N40" s="199">
        <v>5334.6776</v>
      </c>
      <c r="O40" s="198">
        <v>2.99</v>
      </c>
      <c r="P40" s="200">
        <v>1.7429828907866741E-2</v>
      </c>
      <c r="Q40" s="198">
        <v>13.255000000000004</v>
      </c>
      <c r="R40" s="200">
        <v>7.7268355242064796E-2</v>
      </c>
      <c r="S40" s="199">
        <v>4354.1349500000015</v>
      </c>
      <c r="T40" s="254" t="s">
        <v>295</v>
      </c>
      <c r="U40" s="254" t="s">
        <v>213</v>
      </c>
      <c r="V40" s="198" t="s">
        <v>213</v>
      </c>
      <c r="W40" s="205">
        <v>1</v>
      </c>
      <c r="X40" s="198" t="s">
        <v>114</v>
      </c>
      <c r="AA40" s="270">
        <v>3</v>
      </c>
      <c r="AB40" s="196" t="s">
        <v>315</v>
      </c>
    </row>
    <row r="41" spans="2:28" ht="16.5">
      <c r="B41" s="496"/>
      <c r="C41" s="496"/>
      <c r="D41" s="209">
        <v>5</v>
      </c>
      <c r="E41" s="198" t="s">
        <v>301</v>
      </c>
      <c r="F41" s="199">
        <v>958.12599999999998</v>
      </c>
      <c r="G41" s="267">
        <v>219.78</v>
      </c>
      <c r="H41" s="267">
        <v>221.35</v>
      </c>
      <c r="I41" s="210">
        <f t="shared" si="1"/>
        <v>1.0071435071435071</v>
      </c>
      <c r="J41" s="198"/>
      <c r="K41" s="210">
        <f t="shared" si="2"/>
        <v>0</v>
      </c>
      <c r="L41" s="199">
        <v>111.41</v>
      </c>
      <c r="M41" s="211">
        <f t="shared" si="3"/>
        <v>1.0071435071435071</v>
      </c>
      <c r="N41" s="199">
        <v>174.91370000000001</v>
      </c>
      <c r="O41" s="198">
        <v>8.6</v>
      </c>
      <c r="P41" s="200">
        <v>3.9130039130039131E-2</v>
      </c>
      <c r="Q41" s="198">
        <v>-7.0300000000000065</v>
      </c>
      <c r="R41" s="200">
        <v>-3.1986531986532014E-2</v>
      </c>
      <c r="S41" s="199">
        <v>-783.21230000000071</v>
      </c>
      <c r="T41" s="198" t="s">
        <v>278</v>
      </c>
      <c r="U41" s="254" t="s">
        <v>212</v>
      </c>
      <c r="V41" s="198" t="s">
        <v>325</v>
      </c>
      <c r="W41" s="205">
        <v>1</v>
      </c>
      <c r="X41" s="198" t="s">
        <v>111</v>
      </c>
      <c r="AA41" s="270">
        <v>4</v>
      </c>
      <c r="AB41" s="196" t="s">
        <v>326</v>
      </c>
    </row>
    <row r="42" spans="2:28" ht="16.5">
      <c r="B42" s="496"/>
      <c r="C42" s="496"/>
      <c r="D42" s="209">
        <v>6</v>
      </c>
      <c r="E42" s="198" t="s">
        <v>279</v>
      </c>
      <c r="F42" s="199">
        <v>914.03</v>
      </c>
      <c r="G42" s="267">
        <v>389.91199999999998</v>
      </c>
      <c r="H42" s="267">
        <v>402.351</v>
      </c>
      <c r="I42" s="210">
        <f t="shared" si="1"/>
        <v>1.0319020702107142</v>
      </c>
      <c r="J42" s="198"/>
      <c r="K42" s="210">
        <f t="shared" si="2"/>
        <v>0</v>
      </c>
      <c r="L42" s="199">
        <v>140.62</v>
      </c>
      <c r="M42" s="211">
        <f t="shared" si="3"/>
        <v>1.0319020702107142</v>
      </c>
      <c r="N42" s="199">
        <v>1749.17218</v>
      </c>
      <c r="O42" s="198">
        <v>6.5</v>
      </c>
      <c r="P42" s="200">
        <v>1.6670428199183407E-2</v>
      </c>
      <c r="Q42" s="198">
        <v>5.9390000000000214</v>
      </c>
      <c r="R42" s="200">
        <v>1.5231642011530863E-2</v>
      </c>
      <c r="S42" s="199">
        <v>835.14218000000301</v>
      </c>
      <c r="T42" s="268" t="s">
        <v>275</v>
      </c>
      <c r="U42" s="254" t="s">
        <v>276</v>
      </c>
      <c r="V42" s="198" t="s">
        <v>327</v>
      </c>
      <c r="W42" s="205">
        <v>1</v>
      </c>
      <c r="X42" s="198" t="s">
        <v>113</v>
      </c>
      <c r="AA42" s="196">
        <v>5</v>
      </c>
      <c r="AB42" s="196" t="s">
        <v>328</v>
      </c>
    </row>
    <row r="43" spans="2:28" ht="16.5">
      <c r="B43" s="496"/>
      <c r="C43" s="496"/>
      <c r="D43" s="209">
        <v>7</v>
      </c>
      <c r="E43" s="198" t="s">
        <v>304</v>
      </c>
      <c r="F43" s="199">
        <v>876.25800000000004</v>
      </c>
      <c r="G43" s="267">
        <v>173.88</v>
      </c>
      <c r="H43" s="267">
        <v>186.113</v>
      </c>
      <c r="I43" s="210">
        <f t="shared" si="1"/>
        <v>1.0703531170922476</v>
      </c>
      <c r="J43" s="198"/>
      <c r="K43" s="210">
        <f t="shared" si="2"/>
        <v>0</v>
      </c>
      <c r="L43" s="199">
        <v>108.18</v>
      </c>
      <c r="M43" s="211">
        <f t="shared" si="3"/>
        <v>1.0703531170922476</v>
      </c>
      <c r="N43" s="199">
        <v>1323.3659400000001</v>
      </c>
      <c r="O43" s="198">
        <v>8.1</v>
      </c>
      <c r="P43" s="200">
        <v>4.6583850931677016E-2</v>
      </c>
      <c r="Q43" s="198">
        <v>4.1330000000000044</v>
      </c>
      <c r="R43" s="200">
        <v>2.3769266160570533E-2</v>
      </c>
      <c r="S43" s="199">
        <v>447.1079400000005</v>
      </c>
      <c r="T43" s="254" t="s">
        <v>308</v>
      </c>
      <c r="U43" s="254" t="s">
        <v>281</v>
      </c>
      <c r="V43" s="198" t="s">
        <v>281</v>
      </c>
      <c r="W43" s="205">
        <v>1</v>
      </c>
      <c r="X43" s="198" t="s">
        <v>115</v>
      </c>
    </row>
    <row r="44" spans="2:28" ht="16.5">
      <c r="B44" s="496"/>
      <c r="C44" s="496"/>
      <c r="D44" s="209">
        <v>8</v>
      </c>
      <c r="E44" s="198" t="s">
        <v>287</v>
      </c>
      <c r="F44" s="199">
        <v>863.96615384615359</v>
      </c>
      <c r="G44" s="267">
        <v>123.88</v>
      </c>
      <c r="H44" s="267">
        <v>133.5</v>
      </c>
      <c r="I44" s="210">
        <f t="shared" si="1"/>
        <v>1.0776557959315467</v>
      </c>
      <c r="J44" s="198"/>
      <c r="K44" s="210">
        <f t="shared" si="2"/>
        <v>0</v>
      </c>
      <c r="L44" s="199">
        <v>508.21538461538449</v>
      </c>
      <c r="M44" s="211">
        <f t="shared" si="3"/>
        <v>1.0776557959315467</v>
      </c>
      <c r="N44" s="199">
        <v>8551.7402769230757</v>
      </c>
      <c r="O44" s="198">
        <v>1.7</v>
      </c>
      <c r="P44" s="200">
        <v>1.3722957701000968E-2</v>
      </c>
      <c r="Q44" s="198">
        <v>7.9200000000000044</v>
      </c>
      <c r="R44" s="200">
        <v>6.3932838230545727E-2</v>
      </c>
      <c r="S44" s="199">
        <v>4025.0658461538474</v>
      </c>
      <c r="T44" s="254" t="s">
        <v>295</v>
      </c>
      <c r="U44" s="254" t="s">
        <v>213</v>
      </c>
      <c r="V44" s="198" t="s">
        <v>213</v>
      </c>
      <c r="W44" s="205">
        <v>1</v>
      </c>
      <c r="X44" s="198" t="s">
        <v>110</v>
      </c>
    </row>
    <row r="45" spans="2:28" ht="16.5">
      <c r="B45" s="496"/>
      <c r="C45" s="496"/>
      <c r="D45" s="209">
        <v>9</v>
      </c>
      <c r="E45" s="198" t="s">
        <v>329</v>
      </c>
      <c r="F45" s="199">
        <v>847.75699999999995</v>
      </c>
      <c r="G45" s="267">
        <v>17.114999999999998</v>
      </c>
      <c r="H45" s="267">
        <v>17.277999999999999</v>
      </c>
      <c r="I45" s="210">
        <f t="shared" si="1"/>
        <v>1.0095238095238095</v>
      </c>
      <c r="J45" s="198"/>
      <c r="K45" s="210">
        <f t="shared" si="2"/>
        <v>0</v>
      </c>
      <c r="L45" s="199">
        <v>584.66</v>
      </c>
      <c r="M45" s="211">
        <f t="shared" si="3"/>
        <v>1.0095238095238095</v>
      </c>
      <c r="N45" s="199">
        <v>95.299579999999992</v>
      </c>
      <c r="O45" s="198">
        <v>1.45</v>
      </c>
      <c r="P45" s="200">
        <v>8.4721004966403751E-2</v>
      </c>
      <c r="Q45" s="198">
        <v>-1.2869999999999997</v>
      </c>
      <c r="R45" s="200">
        <v>-7.5197195442594206E-2</v>
      </c>
      <c r="S45" s="199">
        <v>-752.45741999999973</v>
      </c>
      <c r="T45" s="254" t="s">
        <v>295</v>
      </c>
      <c r="U45" s="254" t="s">
        <v>213</v>
      </c>
      <c r="V45" s="198" t="s">
        <v>213</v>
      </c>
      <c r="W45" s="205">
        <v>1</v>
      </c>
      <c r="X45" s="198" t="s">
        <v>116</v>
      </c>
    </row>
    <row r="46" spans="2:28" ht="16.5">
      <c r="B46" s="496"/>
      <c r="C46" s="496"/>
      <c r="D46" s="209">
        <v>10</v>
      </c>
      <c r="E46" s="198" t="s">
        <v>330</v>
      </c>
      <c r="F46" s="199">
        <v>836.27400000000011</v>
      </c>
      <c r="G46" s="267">
        <v>32.1</v>
      </c>
      <c r="H46" s="267">
        <v>34.113999999999997</v>
      </c>
      <c r="I46" s="210">
        <f t="shared" si="1"/>
        <v>1.0627414330218068</v>
      </c>
      <c r="J46" s="198"/>
      <c r="K46" s="210">
        <f t="shared" si="2"/>
        <v>0</v>
      </c>
      <c r="L46" s="199">
        <v>222.00000000000003</v>
      </c>
      <c r="M46" s="211">
        <f t="shared" si="3"/>
        <v>1.0627414330218068</v>
      </c>
      <c r="N46" s="199">
        <v>447.108</v>
      </c>
      <c r="O46" s="198">
        <v>3.7669999999999999</v>
      </c>
      <c r="P46" s="200">
        <v>0.11735202492211837</v>
      </c>
      <c r="Q46" s="198">
        <v>-1.7530000000000041</v>
      </c>
      <c r="R46" s="200">
        <v>-5.4610591900311652E-2</v>
      </c>
      <c r="S46" s="199">
        <v>-389.16600000000096</v>
      </c>
      <c r="T46" s="254" t="s">
        <v>308</v>
      </c>
      <c r="U46" s="254" t="s">
        <v>276</v>
      </c>
      <c r="V46" s="198" t="s">
        <v>281</v>
      </c>
      <c r="W46" s="205">
        <v>1</v>
      </c>
      <c r="X46" s="198" t="s">
        <v>307</v>
      </c>
    </row>
    <row r="47" spans="2:28" ht="16.5">
      <c r="B47" s="495">
        <v>45874</v>
      </c>
      <c r="C47" s="496" t="s">
        <v>66</v>
      </c>
      <c r="D47" s="209">
        <v>1</v>
      </c>
      <c r="E47" s="198" t="s">
        <v>331</v>
      </c>
      <c r="F47" s="199">
        <v>2615.34</v>
      </c>
      <c r="G47" s="267">
        <v>500.06</v>
      </c>
      <c r="H47" s="267">
        <v>555</v>
      </c>
      <c r="I47" s="210">
        <f t="shared" si="1"/>
        <v>1.1098668159820821</v>
      </c>
      <c r="J47" s="198"/>
      <c r="K47" s="210">
        <f t="shared" si="2"/>
        <v>0</v>
      </c>
      <c r="L47" s="199">
        <v>335.3</v>
      </c>
      <c r="M47" s="211">
        <f t="shared" si="3"/>
        <v>1.1098668159820821</v>
      </c>
      <c r="N47" s="199">
        <v>18421.382000000001</v>
      </c>
      <c r="O47" s="198">
        <v>7.8</v>
      </c>
      <c r="P47" s="200">
        <v>1.5598128224613046E-2</v>
      </c>
      <c r="Q47" s="198">
        <v>47.14</v>
      </c>
      <c r="R47" s="200">
        <v>9.4268687757469105E-2</v>
      </c>
      <c r="S47" s="199">
        <v>15806.042000000001</v>
      </c>
      <c r="T47" s="254" t="s">
        <v>271</v>
      </c>
      <c r="U47" s="254" t="s">
        <v>217</v>
      </c>
      <c r="V47" s="198" t="s">
        <v>332</v>
      </c>
      <c r="W47" s="205">
        <v>1</v>
      </c>
      <c r="X47" s="198" t="s">
        <v>114</v>
      </c>
    </row>
    <row r="48" spans="2:28" ht="16.5">
      <c r="B48" s="496"/>
      <c r="C48" s="496"/>
      <c r="D48" s="209">
        <v>2</v>
      </c>
      <c r="E48" s="198" t="s">
        <v>323</v>
      </c>
      <c r="F48" s="199">
        <v>1298.6122800000001</v>
      </c>
      <c r="G48" s="267">
        <v>115.199</v>
      </c>
      <c r="H48" s="267">
        <v>116.866</v>
      </c>
      <c r="I48" s="210">
        <f t="shared" si="1"/>
        <v>1.0144706117240601</v>
      </c>
      <c r="J48" s="198"/>
      <c r="K48" s="210">
        <f t="shared" si="2"/>
        <v>0</v>
      </c>
      <c r="L48" s="199">
        <v>356.37</v>
      </c>
      <c r="M48" s="211">
        <f t="shared" si="3"/>
        <v>1.0144706117240601</v>
      </c>
      <c r="N48" s="199">
        <v>594.0687900000006</v>
      </c>
      <c r="O48" s="198">
        <v>3.6440000000000001</v>
      </c>
      <c r="P48" s="200">
        <v>3.1632219029679082E-2</v>
      </c>
      <c r="Q48" s="198">
        <v>-1.9769999999999985</v>
      </c>
      <c r="R48" s="200">
        <v>-1.716160730561896E-2</v>
      </c>
      <c r="S48" s="199">
        <v>-704.54348999999945</v>
      </c>
      <c r="T48" s="254" t="s">
        <v>295</v>
      </c>
      <c r="U48" s="254" t="s">
        <v>213</v>
      </c>
      <c r="V48" s="198" t="s">
        <v>213</v>
      </c>
      <c r="W48" s="205">
        <v>1</v>
      </c>
      <c r="X48" s="198" t="s">
        <v>111</v>
      </c>
    </row>
    <row r="49" spans="2:24" ht="16.5">
      <c r="B49" s="496"/>
      <c r="C49" s="496"/>
      <c r="D49" s="209">
        <v>3</v>
      </c>
      <c r="E49" s="198" t="s">
        <v>333</v>
      </c>
      <c r="F49" s="199">
        <v>1168.1077777777775</v>
      </c>
      <c r="G49" s="267">
        <v>1428.9</v>
      </c>
      <c r="H49" s="267">
        <v>1448.21</v>
      </c>
      <c r="I49" s="210">
        <f t="shared" si="1"/>
        <v>1.0135138918048849</v>
      </c>
      <c r="J49" s="198"/>
      <c r="K49" s="210">
        <f t="shared" si="2"/>
        <v>0</v>
      </c>
      <c r="L49" s="199">
        <v>245.55555555555554</v>
      </c>
      <c r="M49" s="211">
        <f t="shared" si="3"/>
        <v>1.0135138918048849</v>
      </c>
      <c r="N49" s="199">
        <v>4741.6777777777643</v>
      </c>
      <c r="O49" s="198">
        <v>4.7569999999999997</v>
      </c>
      <c r="P49" s="200">
        <v>3.3291342991112038E-3</v>
      </c>
      <c r="Q49" s="198">
        <v>14.552999999999946</v>
      </c>
      <c r="R49" s="200">
        <v>1.0184757505773634E-2</v>
      </c>
      <c r="S49" s="199">
        <v>3573.5699999999865</v>
      </c>
      <c r="T49" s="268" t="s">
        <v>275</v>
      </c>
      <c r="U49" s="254" t="s">
        <v>276</v>
      </c>
      <c r="V49" s="198" t="s">
        <v>334</v>
      </c>
      <c r="W49" s="205">
        <v>1</v>
      </c>
      <c r="X49" s="198" t="s">
        <v>109</v>
      </c>
    </row>
    <row r="50" spans="2:24" ht="16.5">
      <c r="B50" s="496"/>
      <c r="C50" s="496"/>
      <c r="D50" s="209">
        <v>4</v>
      </c>
      <c r="E50" s="198" t="s">
        <v>287</v>
      </c>
      <c r="F50" s="199">
        <v>1083.0069846153842</v>
      </c>
      <c r="G50" s="267">
        <v>122.3</v>
      </c>
      <c r="H50" s="267">
        <v>136.185</v>
      </c>
      <c r="I50" s="210">
        <f t="shared" si="1"/>
        <v>1.1135322976287818</v>
      </c>
      <c r="J50" s="198"/>
      <c r="K50" s="210">
        <f t="shared" si="2"/>
        <v>0</v>
      </c>
      <c r="L50" s="199">
        <v>508.21538461538449</v>
      </c>
      <c r="M50" s="211">
        <f t="shared" si="3"/>
        <v>1.1135322976287818</v>
      </c>
      <c r="N50" s="199">
        <v>7056.5706153846158</v>
      </c>
      <c r="O50" s="198">
        <v>2.1309999999999998</v>
      </c>
      <c r="P50" s="200">
        <v>1.7424366312346687E-2</v>
      </c>
      <c r="Q50" s="198">
        <v>11.754000000000005</v>
      </c>
      <c r="R50" s="200">
        <v>9.6107931316435039E-2</v>
      </c>
      <c r="S50" s="199">
        <v>5973.5636307692321</v>
      </c>
      <c r="T50" s="254" t="s">
        <v>328</v>
      </c>
      <c r="U50" s="254" t="s">
        <v>213</v>
      </c>
      <c r="V50" s="198" t="s">
        <v>335</v>
      </c>
      <c r="W50" s="205">
        <v>1</v>
      </c>
      <c r="X50" s="198" t="s">
        <v>110</v>
      </c>
    </row>
    <row r="51" spans="2:24" ht="16.5">
      <c r="B51" s="496"/>
      <c r="C51" s="496"/>
      <c r="D51" s="209">
        <v>5</v>
      </c>
      <c r="E51" s="198" t="s">
        <v>274</v>
      </c>
      <c r="F51" s="199">
        <v>1065.6693399999999</v>
      </c>
      <c r="G51" s="267">
        <v>876.82500000000005</v>
      </c>
      <c r="H51" s="267">
        <v>895</v>
      </c>
      <c r="I51" s="210">
        <f t="shared" si="1"/>
        <v>1.020728195478003</v>
      </c>
      <c r="J51" s="198"/>
      <c r="K51" s="210">
        <f t="shared" si="2"/>
        <v>0</v>
      </c>
      <c r="L51" s="199">
        <v>156.66999999999999</v>
      </c>
      <c r="M51" s="211">
        <f t="shared" si="3"/>
        <v>1.020728195478003</v>
      </c>
      <c r="N51" s="199">
        <v>2847.4772499999926</v>
      </c>
      <c r="O51" s="198">
        <v>6.8019999999999996</v>
      </c>
      <c r="P51" s="200">
        <v>7.757534285632822E-3</v>
      </c>
      <c r="Q51" s="198">
        <v>11.372999999999955</v>
      </c>
      <c r="R51" s="200">
        <v>1.2970661192370147E-2</v>
      </c>
      <c r="S51" s="199">
        <v>1781.8079099999927</v>
      </c>
      <c r="T51" s="268" t="s">
        <v>275</v>
      </c>
      <c r="U51" s="254" t="s">
        <v>276</v>
      </c>
      <c r="V51" s="198" t="s">
        <v>313</v>
      </c>
      <c r="W51" s="205">
        <v>1</v>
      </c>
      <c r="X51" s="198" t="s">
        <v>109</v>
      </c>
    </row>
    <row r="52" spans="2:24" ht="16.5">
      <c r="B52" s="496"/>
      <c r="C52" s="496"/>
      <c r="D52" s="209">
        <v>6</v>
      </c>
      <c r="E52" s="198" t="s">
        <v>277</v>
      </c>
      <c r="F52" s="199">
        <v>1009.5538700000001</v>
      </c>
      <c r="G52" s="267">
        <v>489.2</v>
      </c>
      <c r="H52" s="267">
        <v>498</v>
      </c>
      <c r="I52" s="210">
        <f t="shared" si="1"/>
        <v>1.0179885527391661</v>
      </c>
      <c r="J52" s="198"/>
      <c r="K52" s="210">
        <f t="shared" si="2"/>
        <v>0</v>
      </c>
      <c r="L52" s="199">
        <v>132.47</v>
      </c>
      <c r="M52" s="211">
        <f t="shared" si="3"/>
        <v>1.0179885527391661</v>
      </c>
      <c r="N52" s="199">
        <v>1165.7360000000015</v>
      </c>
      <c r="O52" s="198">
        <v>7.6210000000000004</v>
      </c>
      <c r="P52" s="200">
        <v>1.5578495502861816E-2</v>
      </c>
      <c r="Q52" s="198">
        <v>1.1790000000000109</v>
      </c>
      <c r="R52" s="200">
        <v>2.4100572363041925E-3</v>
      </c>
      <c r="S52" s="199">
        <v>156.18213000000145</v>
      </c>
      <c r="T52" s="268" t="s">
        <v>275</v>
      </c>
      <c r="U52" s="254" t="s">
        <v>276</v>
      </c>
      <c r="V52" s="198" t="s">
        <v>336</v>
      </c>
      <c r="W52" s="205">
        <v>1</v>
      </c>
      <c r="X52" s="198" t="s">
        <v>110</v>
      </c>
    </row>
    <row r="53" spans="2:24" ht="16.5">
      <c r="B53" s="496"/>
      <c r="C53" s="496"/>
      <c r="D53" s="209">
        <v>7</v>
      </c>
      <c r="E53" s="198" t="s">
        <v>337</v>
      </c>
      <c r="F53" s="199">
        <v>1007.75</v>
      </c>
      <c r="G53" s="267">
        <v>44.945999999999998</v>
      </c>
      <c r="H53" s="267">
        <v>59.45</v>
      </c>
      <c r="I53" s="210">
        <f t="shared" si="1"/>
        <v>1.3226983491300672</v>
      </c>
      <c r="J53" s="198"/>
      <c r="K53" s="210">
        <f t="shared" si="2"/>
        <v>0</v>
      </c>
      <c r="L53" s="199">
        <v>695</v>
      </c>
      <c r="M53" s="211">
        <f t="shared" si="3"/>
        <v>1.3226983491300672</v>
      </c>
      <c r="N53" s="199">
        <v>10080.280000000004</v>
      </c>
      <c r="O53" s="198">
        <v>1.45</v>
      </c>
      <c r="P53" s="200">
        <v>3.2260935344635783E-2</v>
      </c>
      <c r="Q53" s="198">
        <v>13.054000000000006</v>
      </c>
      <c r="R53" s="200">
        <v>0.29043741378543153</v>
      </c>
      <c r="S53" s="199">
        <v>9072.5300000000043</v>
      </c>
      <c r="T53" s="254" t="s">
        <v>271</v>
      </c>
      <c r="U53" s="254" t="s">
        <v>217</v>
      </c>
      <c r="V53" s="198" t="s">
        <v>338</v>
      </c>
      <c r="W53" s="205">
        <v>1</v>
      </c>
      <c r="X53" s="198" t="s">
        <v>339</v>
      </c>
    </row>
    <row r="54" spans="2:24" ht="16.5">
      <c r="B54" s="496"/>
      <c r="C54" s="496"/>
      <c r="D54" s="209">
        <v>8</v>
      </c>
      <c r="E54" s="198" t="s">
        <v>284</v>
      </c>
      <c r="F54" s="199">
        <v>867.50399999999991</v>
      </c>
      <c r="G54" s="267">
        <v>67.055999999999997</v>
      </c>
      <c r="H54" s="267">
        <v>69</v>
      </c>
      <c r="I54" s="210">
        <f t="shared" si="1"/>
        <v>1.0289906943450251</v>
      </c>
      <c r="J54" s="198"/>
      <c r="K54" s="210">
        <f t="shared" si="2"/>
        <v>0</v>
      </c>
      <c r="L54" s="199">
        <v>93</v>
      </c>
      <c r="M54" s="211">
        <f t="shared" si="3"/>
        <v>1.0289906943450251</v>
      </c>
      <c r="N54" s="199">
        <v>180.79200000000026</v>
      </c>
      <c r="O54" s="198">
        <v>9.3279999999999994</v>
      </c>
      <c r="P54" s="200">
        <v>0.13910761154855641</v>
      </c>
      <c r="Q54" s="198">
        <v>-7.3839999999999968</v>
      </c>
      <c r="R54" s="200">
        <v>-0.11011691720353134</v>
      </c>
      <c r="S54" s="199">
        <v>-686.71199999999965</v>
      </c>
      <c r="T54" s="268" t="s">
        <v>275</v>
      </c>
      <c r="U54" s="254" t="s">
        <v>276</v>
      </c>
      <c r="V54" s="198" t="s">
        <v>340</v>
      </c>
      <c r="W54" s="205">
        <v>1</v>
      </c>
      <c r="X54" s="198" t="s">
        <v>317</v>
      </c>
    </row>
    <row r="55" spans="2:24" ht="16.5">
      <c r="B55" s="496"/>
      <c r="C55" s="496"/>
      <c r="D55" s="209">
        <v>9</v>
      </c>
      <c r="E55" s="198" t="s">
        <v>330</v>
      </c>
      <c r="F55" s="199">
        <v>855.14400000000012</v>
      </c>
      <c r="G55" s="267">
        <v>32.24</v>
      </c>
      <c r="H55" s="267">
        <v>33.4</v>
      </c>
      <c r="I55" s="210">
        <f t="shared" si="1"/>
        <v>1.0359801488833746</v>
      </c>
      <c r="J55" s="198"/>
      <c r="K55" s="210">
        <f t="shared" si="2"/>
        <v>0</v>
      </c>
      <c r="L55" s="199">
        <v>222.00000000000003</v>
      </c>
      <c r="M55" s="211">
        <f t="shared" si="3"/>
        <v>1.0359801488833746</v>
      </c>
      <c r="N55" s="199">
        <v>257.5199999999993</v>
      </c>
      <c r="O55" s="198">
        <v>3.8519999999999999</v>
      </c>
      <c r="P55" s="200">
        <v>0.1194789081885856</v>
      </c>
      <c r="Q55" s="198">
        <v>-2.6920000000000033</v>
      </c>
      <c r="R55" s="200">
        <v>-8.3498759305211015E-2</v>
      </c>
      <c r="S55" s="199">
        <v>-597.62400000000082</v>
      </c>
      <c r="T55" s="268" t="s">
        <v>278</v>
      </c>
      <c r="U55" s="254" t="s">
        <v>212</v>
      </c>
      <c r="V55" s="198" t="s">
        <v>341</v>
      </c>
      <c r="W55" s="205">
        <v>1</v>
      </c>
      <c r="X55" s="198" t="s">
        <v>307</v>
      </c>
    </row>
    <row r="56" spans="2:24" ht="16.5">
      <c r="B56" s="496"/>
      <c r="C56" s="496"/>
      <c r="D56" s="209">
        <v>10</v>
      </c>
      <c r="E56" s="198" t="s">
        <v>279</v>
      </c>
      <c r="F56" s="199">
        <v>781.56596000000002</v>
      </c>
      <c r="G56" s="267">
        <v>374.34</v>
      </c>
      <c r="H56" s="267">
        <v>387.19600000000003</v>
      </c>
      <c r="I56" s="210">
        <f t="shared" si="1"/>
        <v>1.0343431105412193</v>
      </c>
      <c r="J56" s="198"/>
      <c r="K56" s="210">
        <f t="shared" si="2"/>
        <v>0</v>
      </c>
      <c r="L56" s="199">
        <v>140.62</v>
      </c>
      <c r="M56" s="211">
        <f t="shared" si="3"/>
        <v>1.0343431105412193</v>
      </c>
      <c r="N56" s="199">
        <v>1807.8107200000072</v>
      </c>
      <c r="O56" s="198">
        <v>5.5579999999999998</v>
      </c>
      <c r="P56" s="200">
        <v>1.4847464871507187E-2</v>
      </c>
      <c r="Q56" s="198">
        <v>7.2980000000000516</v>
      </c>
      <c r="R56" s="200">
        <v>1.9495645669712167E-2</v>
      </c>
      <c r="S56" s="199">
        <v>1026.2447600000073</v>
      </c>
      <c r="T56" s="268" t="s">
        <v>275</v>
      </c>
      <c r="U56" s="254" t="s">
        <v>276</v>
      </c>
      <c r="V56" s="198" t="s">
        <v>342</v>
      </c>
      <c r="W56" s="205">
        <v>1</v>
      </c>
      <c r="X56" s="198" t="s">
        <v>113</v>
      </c>
    </row>
    <row r="57" spans="2:24" ht="16.5">
      <c r="B57" s="495">
        <v>45875</v>
      </c>
      <c r="C57" s="496" t="s">
        <v>67</v>
      </c>
      <c r="D57" s="209">
        <v>1</v>
      </c>
      <c r="E57" s="198" t="s">
        <v>270</v>
      </c>
      <c r="F57" s="199">
        <v>2116.9120000000007</v>
      </c>
      <c r="G57" s="267">
        <v>32.24</v>
      </c>
      <c r="H57" s="267">
        <v>33.664999999999999</v>
      </c>
      <c r="I57" s="210">
        <f t="shared" si="1"/>
        <v>1.0441997518610422</v>
      </c>
      <c r="J57" s="198"/>
      <c r="K57" s="210">
        <f t="shared" si="2"/>
        <v>0</v>
      </c>
      <c r="L57" s="199">
        <v>287.00000000000006</v>
      </c>
      <c r="M57" s="211">
        <f t="shared" si="3"/>
        <v>1.0441997518610422</v>
      </c>
      <c r="N57" s="199">
        <v>408.97499999999928</v>
      </c>
      <c r="O57" s="198">
        <v>7.3760000000000003</v>
      </c>
      <c r="P57" s="200">
        <v>0.22878411910669974</v>
      </c>
      <c r="Q57" s="198">
        <v>-5.9510000000000032</v>
      </c>
      <c r="R57" s="200">
        <v>-0.18458436724565766</v>
      </c>
      <c r="S57" s="199">
        <v>-1707.9370000000013</v>
      </c>
      <c r="T57" s="198" t="s">
        <v>315</v>
      </c>
      <c r="U57" s="254" t="s">
        <v>217</v>
      </c>
      <c r="V57" s="198" t="s">
        <v>343</v>
      </c>
      <c r="W57" s="205">
        <v>1</v>
      </c>
      <c r="X57" s="198" t="s">
        <v>307</v>
      </c>
    </row>
    <row r="58" spans="2:24" ht="16.5">
      <c r="B58" s="496"/>
      <c r="C58" s="496"/>
      <c r="D58" s="209">
        <v>2</v>
      </c>
      <c r="E58" s="198" t="s">
        <v>333</v>
      </c>
      <c r="F58" s="199">
        <v>1474.3155555555554</v>
      </c>
      <c r="G58" s="267">
        <v>1403.16</v>
      </c>
      <c r="H58" s="267">
        <v>1425.4929999999999</v>
      </c>
      <c r="I58" s="210">
        <f t="shared" si="1"/>
        <v>1.0159162176800933</v>
      </c>
      <c r="J58" s="198"/>
      <c r="K58" s="210">
        <f t="shared" si="2"/>
        <v>0</v>
      </c>
      <c r="L58" s="199">
        <v>245.55555555555554</v>
      </c>
      <c r="M58" s="211">
        <f t="shared" si="3"/>
        <v>1.0159162176800933</v>
      </c>
      <c r="N58" s="199">
        <v>5483.9922222221867</v>
      </c>
      <c r="O58" s="198">
        <v>6.0039999999999996</v>
      </c>
      <c r="P58" s="200">
        <v>4.2789133099575237E-3</v>
      </c>
      <c r="Q58" s="198">
        <v>16.328999999999859</v>
      </c>
      <c r="R58" s="200">
        <v>1.1637304370135878E-2</v>
      </c>
      <c r="S58" s="199">
        <v>4009.6766666666317</v>
      </c>
      <c r="T58" s="198" t="s">
        <v>308</v>
      </c>
      <c r="U58" s="198" t="s">
        <v>276</v>
      </c>
      <c r="V58" s="264" t="s">
        <v>344</v>
      </c>
      <c r="W58" s="205">
        <v>1</v>
      </c>
      <c r="X58" s="198" t="s">
        <v>109</v>
      </c>
    </row>
    <row r="59" spans="2:24" ht="16.5">
      <c r="B59" s="496"/>
      <c r="C59" s="496"/>
      <c r="D59" s="209">
        <v>3</v>
      </c>
      <c r="E59" s="198" t="s">
        <v>288</v>
      </c>
      <c r="F59" s="199">
        <v>1378.8700000000001</v>
      </c>
      <c r="G59" s="267">
        <v>29.49</v>
      </c>
      <c r="H59" s="267">
        <v>29.652000000000001</v>
      </c>
      <c r="I59" s="210">
        <f t="shared" si="1"/>
        <v>1.0054933875890133</v>
      </c>
      <c r="J59" s="198"/>
      <c r="K59" s="210">
        <f t="shared" si="2"/>
        <v>0</v>
      </c>
      <c r="L59" s="199">
        <v>85</v>
      </c>
      <c r="M59" s="211">
        <f t="shared" si="3"/>
        <v>1.0054933875890133</v>
      </c>
      <c r="N59" s="199">
        <v>13.77000000000022</v>
      </c>
      <c r="O59" s="198">
        <v>16.222000000000001</v>
      </c>
      <c r="P59" s="200">
        <v>0.55008477449983051</v>
      </c>
      <c r="Q59" s="198">
        <v>-16.059999999999999</v>
      </c>
      <c r="R59" s="200">
        <v>-0.54459138691081721</v>
      </c>
      <c r="S59" s="199">
        <v>-1365.1</v>
      </c>
      <c r="T59" s="198" t="s">
        <v>315</v>
      </c>
      <c r="U59" s="198" t="s">
        <v>217</v>
      </c>
      <c r="V59" s="264" t="s">
        <v>345</v>
      </c>
      <c r="W59" s="205">
        <v>1</v>
      </c>
      <c r="X59" s="198" t="s">
        <v>121</v>
      </c>
    </row>
    <row r="60" spans="2:24">
      <c r="B60" s="496"/>
      <c r="C60" s="496"/>
      <c r="D60" s="209">
        <v>4</v>
      </c>
      <c r="E60" s="198" t="s">
        <v>331</v>
      </c>
      <c r="F60" s="199">
        <v>1274.1399999999999</v>
      </c>
      <c r="G60" s="267">
        <v>317.57</v>
      </c>
      <c r="H60" s="267">
        <v>344.60599999999999</v>
      </c>
      <c r="I60" s="210">
        <f t="shared" si="1"/>
        <v>1.0851339862077651</v>
      </c>
      <c r="J60" s="198"/>
      <c r="K60" s="210">
        <f t="shared" si="2"/>
        <v>0</v>
      </c>
      <c r="L60" s="199">
        <v>335.3</v>
      </c>
      <c r="M60" s="211">
        <f t="shared" si="3"/>
        <v>1.0851339862077651</v>
      </c>
      <c r="N60" s="199">
        <v>9065.1707999999999</v>
      </c>
      <c r="O60" s="198">
        <v>3.8</v>
      </c>
      <c r="P60" s="200">
        <v>1.1965865793368391E-2</v>
      </c>
      <c r="Q60" s="198">
        <v>23.236000000000001</v>
      </c>
      <c r="R60" s="200">
        <v>7.3168120414396826E-2</v>
      </c>
      <c r="S60" s="199">
        <v>7791.0308000000005</v>
      </c>
      <c r="T60" s="198" t="s">
        <v>315</v>
      </c>
      <c r="U60" s="198" t="s">
        <v>217</v>
      </c>
      <c r="V60" s="198" t="s">
        <v>346</v>
      </c>
      <c r="W60" s="205">
        <v>1</v>
      </c>
      <c r="X60" s="198" t="s">
        <v>114</v>
      </c>
    </row>
    <row r="61" spans="2:24" ht="16.5">
      <c r="B61" s="496"/>
      <c r="C61" s="496"/>
      <c r="D61" s="209">
        <v>5</v>
      </c>
      <c r="E61" s="198" t="s">
        <v>279</v>
      </c>
      <c r="F61" s="199">
        <v>1239.7059200000001</v>
      </c>
      <c r="G61" s="267">
        <v>363.596</v>
      </c>
      <c r="H61" s="267">
        <v>369</v>
      </c>
      <c r="I61" s="210">
        <f t="shared" si="1"/>
        <v>1.0148626497541227</v>
      </c>
      <c r="J61" s="198"/>
      <c r="K61" s="210">
        <f t="shared" si="2"/>
        <v>0</v>
      </c>
      <c r="L61" s="199">
        <v>140.62</v>
      </c>
      <c r="M61" s="211">
        <f t="shared" si="3"/>
        <v>1.0148626497541227</v>
      </c>
      <c r="N61" s="199">
        <v>759.91047999999955</v>
      </c>
      <c r="O61" s="198">
        <v>8.8160000000000007</v>
      </c>
      <c r="P61" s="200">
        <v>2.4246691382743487E-2</v>
      </c>
      <c r="Q61" s="198">
        <v>-3.4120000000000044</v>
      </c>
      <c r="R61" s="200">
        <v>-9.3840416286207883E-3</v>
      </c>
      <c r="S61" s="199">
        <v>-479.79544000000061</v>
      </c>
      <c r="T61" s="198" t="s">
        <v>308</v>
      </c>
      <c r="U61" s="198" t="s">
        <v>276</v>
      </c>
      <c r="V61" s="264" t="s">
        <v>347</v>
      </c>
      <c r="W61" s="205">
        <v>1</v>
      </c>
      <c r="X61" s="198" t="s">
        <v>279</v>
      </c>
    </row>
    <row r="62" spans="2:24" ht="16.5">
      <c r="B62" s="496"/>
      <c r="C62" s="496"/>
      <c r="D62" s="209">
        <v>6</v>
      </c>
      <c r="E62" s="198" t="s">
        <v>274</v>
      </c>
      <c r="F62" s="199">
        <v>1051.41237</v>
      </c>
      <c r="G62" s="267">
        <v>861.03</v>
      </c>
      <c r="H62" s="267">
        <v>874.55399999999997</v>
      </c>
      <c r="I62" s="210">
        <f t="shared" si="1"/>
        <v>1.0157067697989617</v>
      </c>
      <c r="J62" s="198"/>
      <c r="K62" s="210">
        <f t="shared" si="2"/>
        <v>0</v>
      </c>
      <c r="L62" s="199">
        <v>156.66999999999999</v>
      </c>
      <c r="M62" s="211">
        <f t="shared" si="3"/>
        <v>1.0157067697989617</v>
      </c>
      <c r="N62" s="199">
        <v>2118.8050800000001</v>
      </c>
      <c r="O62" s="198">
        <v>6.7110000000000003</v>
      </c>
      <c r="P62" s="200">
        <v>7.7941535138148499E-3</v>
      </c>
      <c r="Q62" s="198">
        <v>6.8130000000000006</v>
      </c>
      <c r="R62" s="200">
        <v>7.91261628514686E-3</v>
      </c>
      <c r="S62" s="199">
        <v>1067.3927100000001</v>
      </c>
      <c r="T62" s="198" t="s">
        <v>308</v>
      </c>
      <c r="U62" s="198" t="s">
        <v>276</v>
      </c>
      <c r="V62" s="264" t="s">
        <v>344</v>
      </c>
      <c r="W62" s="205">
        <v>1</v>
      </c>
      <c r="X62" s="198" t="s">
        <v>274</v>
      </c>
    </row>
    <row r="63" spans="2:24" ht="16.5">
      <c r="B63" s="496"/>
      <c r="C63" s="496"/>
      <c r="D63" s="209">
        <v>7</v>
      </c>
      <c r="E63" s="198" t="s">
        <v>348</v>
      </c>
      <c r="F63" s="199">
        <v>1010.0029099999998</v>
      </c>
      <c r="G63" s="267">
        <v>548.53</v>
      </c>
      <c r="H63" s="267">
        <v>569.20500000000004</v>
      </c>
      <c r="I63" s="210">
        <f t="shared" si="1"/>
        <v>1.0376916485880445</v>
      </c>
      <c r="J63" s="198"/>
      <c r="K63" s="210">
        <f t="shared" si="2"/>
        <v>0</v>
      </c>
      <c r="L63" s="199">
        <v>100.02999999999999</v>
      </c>
      <c r="M63" s="211">
        <f t="shared" si="3"/>
        <v>1.0376916485880445</v>
      </c>
      <c r="N63" s="199">
        <v>2068.1202500000068</v>
      </c>
      <c r="O63" s="198">
        <v>10.097</v>
      </c>
      <c r="P63" s="200">
        <v>1.8407379723989571E-2</v>
      </c>
      <c r="Q63" s="198">
        <v>10.578000000000069</v>
      </c>
      <c r="R63" s="200">
        <v>1.9284268864054963E-2</v>
      </c>
      <c r="S63" s="199">
        <v>1058.1173400000068</v>
      </c>
      <c r="T63" s="198" t="s">
        <v>308</v>
      </c>
      <c r="U63" s="198" t="s">
        <v>276</v>
      </c>
      <c r="V63" s="264" t="s">
        <v>349</v>
      </c>
      <c r="W63" s="205">
        <v>1</v>
      </c>
      <c r="X63" s="198" t="s">
        <v>348</v>
      </c>
    </row>
    <row r="64" spans="2:24" ht="16.5">
      <c r="B64" s="496"/>
      <c r="C64" s="496"/>
      <c r="D64" s="209">
        <v>8</v>
      </c>
      <c r="E64" s="198" t="s">
        <v>284</v>
      </c>
      <c r="F64" s="199">
        <v>896.42699999999991</v>
      </c>
      <c r="G64" s="267">
        <v>71.016000000000005</v>
      </c>
      <c r="H64" s="267">
        <v>71.813999999999993</v>
      </c>
      <c r="I64" s="210">
        <f t="shared" si="1"/>
        <v>1.0112369043595808</v>
      </c>
      <c r="J64" s="198"/>
      <c r="K64" s="210">
        <f t="shared" si="2"/>
        <v>0</v>
      </c>
      <c r="L64" s="199">
        <v>93</v>
      </c>
      <c r="M64" s="211">
        <f t="shared" si="3"/>
        <v>1.0112369043595808</v>
      </c>
      <c r="N64" s="199">
        <v>74.213999999998848</v>
      </c>
      <c r="O64" s="198">
        <v>9.6389999999999993</v>
      </c>
      <c r="P64" s="200">
        <v>0.13572997634335923</v>
      </c>
      <c r="Q64" s="198">
        <v>-8.8410000000000117</v>
      </c>
      <c r="R64" s="200">
        <v>-0.12449307198377846</v>
      </c>
      <c r="S64" s="199">
        <v>-822.2130000000011</v>
      </c>
      <c r="T64" s="198" t="s">
        <v>278</v>
      </c>
      <c r="U64" s="198" t="s">
        <v>212</v>
      </c>
      <c r="V64" s="264" t="s">
        <v>350</v>
      </c>
      <c r="W64" s="205">
        <v>1</v>
      </c>
      <c r="X64" s="198" t="s">
        <v>317</v>
      </c>
    </row>
    <row r="65" spans="2:24">
      <c r="B65" s="496"/>
      <c r="C65" s="496"/>
      <c r="D65" s="209">
        <v>9</v>
      </c>
      <c r="E65" s="198" t="s">
        <v>277</v>
      </c>
      <c r="F65" s="199">
        <v>887.28406000000007</v>
      </c>
      <c r="G65" s="267">
        <v>529.84</v>
      </c>
      <c r="H65" s="267">
        <v>536.29600000000005</v>
      </c>
      <c r="I65" s="210">
        <f t="shared" si="1"/>
        <v>1.0121848105088329</v>
      </c>
      <c r="J65" s="198"/>
      <c r="K65" s="210">
        <f t="shared" si="2"/>
        <v>0</v>
      </c>
      <c r="L65" s="199">
        <v>132.47</v>
      </c>
      <c r="M65" s="211">
        <f t="shared" si="3"/>
        <v>1.0121848105088329</v>
      </c>
      <c r="N65" s="199">
        <v>855.22632000000226</v>
      </c>
      <c r="O65" s="198">
        <v>6.6980000000000004</v>
      </c>
      <c r="P65" s="200">
        <v>1.2641552166691831E-2</v>
      </c>
      <c r="Q65" s="198">
        <v>-0.24199999999998312</v>
      </c>
      <c r="R65" s="200">
        <v>-4.5674165785894439E-4</v>
      </c>
      <c r="S65" s="199">
        <v>-32.057739999997764</v>
      </c>
      <c r="T65" s="198" t="s">
        <v>308</v>
      </c>
      <c r="U65" s="198" t="s">
        <v>276</v>
      </c>
      <c r="V65" s="198" t="s">
        <v>351</v>
      </c>
      <c r="W65" s="205">
        <v>1</v>
      </c>
      <c r="X65" s="198" t="s">
        <v>110</v>
      </c>
    </row>
    <row r="66" spans="2:24" ht="16.5">
      <c r="B66" s="496"/>
      <c r="C66" s="496"/>
      <c r="D66" s="209">
        <v>10</v>
      </c>
      <c r="E66" s="198" t="s">
        <v>321</v>
      </c>
      <c r="F66" s="199">
        <v>764.44904000000008</v>
      </c>
      <c r="G66" s="267">
        <v>63.78</v>
      </c>
      <c r="H66" s="267">
        <v>65.305999999999997</v>
      </c>
      <c r="I66" s="210">
        <f t="shared" si="1"/>
        <v>1.0239259956099089</v>
      </c>
      <c r="J66" s="198"/>
      <c r="K66" s="210">
        <f t="shared" si="2"/>
        <v>0</v>
      </c>
      <c r="L66" s="199">
        <v>697.49</v>
      </c>
      <c r="M66" s="211">
        <f t="shared" si="3"/>
        <v>1.0239259956099089</v>
      </c>
      <c r="N66" s="199">
        <v>1064.3697399999974</v>
      </c>
      <c r="O66" s="198">
        <v>1.0960000000000001</v>
      </c>
      <c r="P66" s="200">
        <v>1.7184070241455001E-2</v>
      </c>
      <c r="Q66" s="198">
        <v>0.42999999999999616</v>
      </c>
      <c r="R66" s="200">
        <v>6.7419253684540001E-3</v>
      </c>
      <c r="S66" s="199">
        <v>299.92069999999734</v>
      </c>
      <c r="T66" s="198" t="s">
        <v>308</v>
      </c>
      <c r="U66" s="198" t="s">
        <v>276</v>
      </c>
      <c r="V66" s="264" t="s">
        <v>352</v>
      </c>
      <c r="W66" s="205">
        <v>1</v>
      </c>
      <c r="X66" s="198" t="s">
        <v>109</v>
      </c>
    </row>
    <row r="67" spans="2:24" ht="16.5">
      <c r="B67" s="495">
        <v>45876</v>
      </c>
      <c r="C67" s="496" t="s">
        <v>68</v>
      </c>
      <c r="D67" s="209">
        <v>1</v>
      </c>
      <c r="E67" s="198" t="s">
        <v>274</v>
      </c>
      <c r="F67" s="199">
        <v>9549</v>
      </c>
      <c r="G67" s="267">
        <v>917.2</v>
      </c>
      <c r="H67" s="267">
        <v>945.8</v>
      </c>
      <c r="I67" s="210">
        <f t="shared" si="1"/>
        <v>1.0311818578281726</v>
      </c>
      <c r="J67" s="198"/>
      <c r="K67" s="210">
        <f t="shared" si="2"/>
        <v>0</v>
      </c>
      <c r="L67" s="199">
        <v>156.69999999999999</v>
      </c>
      <c r="M67" s="211">
        <f t="shared" si="3"/>
        <v>1.0311818578281726</v>
      </c>
      <c r="N67" s="199">
        <v>4482</v>
      </c>
      <c r="O67" s="198">
        <v>60.95</v>
      </c>
      <c r="P67" s="200">
        <v>6.6000000000000003E-2</v>
      </c>
      <c r="Q67" s="198">
        <v>-32.299999999999997</v>
      </c>
      <c r="R67" s="200">
        <v>-3.5000000000000003E-2</v>
      </c>
      <c r="S67" s="199">
        <v>-5066.7</v>
      </c>
      <c r="T67" s="198" t="s">
        <v>308</v>
      </c>
      <c r="U67" s="198" t="s">
        <v>276</v>
      </c>
      <c r="V67" s="198" t="s">
        <v>353</v>
      </c>
      <c r="W67" s="205">
        <v>1</v>
      </c>
      <c r="X67" s="198" t="s">
        <v>109</v>
      </c>
    </row>
    <row r="68" spans="2:24" ht="16.5">
      <c r="B68" s="496"/>
      <c r="C68" s="496"/>
      <c r="D68" s="209">
        <v>2</v>
      </c>
      <c r="E68" s="198" t="s">
        <v>277</v>
      </c>
      <c r="F68" s="199">
        <v>3087</v>
      </c>
      <c r="G68" s="267">
        <v>475.1</v>
      </c>
      <c r="H68" s="267">
        <v>484.9</v>
      </c>
      <c r="I68" s="210">
        <f t="shared" si="1"/>
        <v>1.02062723637129</v>
      </c>
      <c r="J68" s="198"/>
      <c r="K68" s="210">
        <f t="shared" si="2"/>
        <v>0</v>
      </c>
      <c r="L68" s="199">
        <v>132.5</v>
      </c>
      <c r="M68" s="211">
        <f t="shared" si="3"/>
        <v>1.02062723637129</v>
      </c>
      <c r="N68" s="199">
        <v>1296</v>
      </c>
      <c r="O68" s="198">
        <v>23.3</v>
      </c>
      <c r="P68" s="200">
        <v>4.9000000000000002E-2</v>
      </c>
      <c r="Q68" s="198">
        <v>-13.5</v>
      </c>
      <c r="R68" s="200">
        <v>-2.8000000000000001E-2</v>
      </c>
      <c r="S68" s="199">
        <v>-1791</v>
      </c>
      <c r="T68" s="198" t="s">
        <v>308</v>
      </c>
      <c r="U68" s="198" t="s">
        <v>276</v>
      </c>
      <c r="V68" s="198" t="s">
        <v>354</v>
      </c>
      <c r="W68" s="205">
        <v>1</v>
      </c>
      <c r="X68" s="198" t="s">
        <v>110</v>
      </c>
    </row>
    <row r="69" spans="2:24" ht="16.5">
      <c r="B69" s="496"/>
      <c r="C69" s="496"/>
      <c r="D69" s="209">
        <v>3</v>
      </c>
      <c r="E69" s="198" t="s">
        <v>283</v>
      </c>
      <c r="F69" s="199">
        <v>1169</v>
      </c>
      <c r="G69" s="267">
        <v>190.4</v>
      </c>
      <c r="H69" s="267">
        <v>195.7</v>
      </c>
      <c r="I69" s="210">
        <f t="shared" si="1"/>
        <v>1.0278361344537814</v>
      </c>
      <c r="J69" s="198"/>
      <c r="K69" s="210">
        <f t="shared" si="2"/>
        <v>0</v>
      </c>
      <c r="L69" s="199">
        <v>162.4</v>
      </c>
      <c r="M69" s="211">
        <f t="shared" si="3"/>
        <v>1.0278361344537814</v>
      </c>
      <c r="N69" s="199">
        <v>861</v>
      </c>
      <c r="O69" s="198">
        <v>6.1</v>
      </c>
      <c r="P69" s="200">
        <v>3.2000000000000001E-2</v>
      </c>
      <c r="Q69" s="198">
        <v>-0.8</v>
      </c>
      <c r="R69" s="200">
        <v>-4.0000000000000001E-3</v>
      </c>
      <c r="S69" s="199">
        <v>-129.9</v>
      </c>
      <c r="T69" s="198" t="s">
        <v>308</v>
      </c>
      <c r="U69" s="198" t="s">
        <v>276</v>
      </c>
      <c r="V69" s="198" t="s">
        <v>355</v>
      </c>
      <c r="W69" s="205">
        <v>1</v>
      </c>
      <c r="X69" s="198" t="s">
        <v>121</v>
      </c>
    </row>
    <row r="70" spans="2:24">
      <c r="B70" s="496"/>
      <c r="C70" s="496"/>
      <c r="D70" s="209">
        <v>4</v>
      </c>
      <c r="E70" s="198" t="s">
        <v>356</v>
      </c>
      <c r="F70" s="199">
        <v>757</v>
      </c>
      <c r="G70" s="267">
        <v>11.4</v>
      </c>
      <c r="H70" s="267">
        <v>12</v>
      </c>
      <c r="I70" s="210">
        <f t="shared" si="1"/>
        <v>1.0526315789473684</v>
      </c>
      <c r="J70" s="198"/>
      <c r="K70" s="210">
        <f t="shared" si="2"/>
        <v>0</v>
      </c>
      <c r="L70" s="199">
        <v>922.8</v>
      </c>
      <c r="M70" s="211">
        <f t="shared" si="3"/>
        <v>1.0526315789473684</v>
      </c>
      <c r="N70" s="199">
        <v>581</v>
      </c>
      <c r="O70" s="198">
        <v>0.82</v>
      </c>
      <c r="P70" s="200">
        <v>7.1999999999999995E-2</v>
      </c>
      <c r="Q70" s="198">
        <v>-0.2</v>
      </c>
      <c r="R70" s="200">
        <v>-1.7000000000000001E-2</v>
      </c>
      <c r="S70" s="199">
        <v>-175.3</v>
      </c>
      <c r="T70" s="198" t="s">
        <v>326</v>
      </c>
      <c r="U70" s="198" t="s">
        <v>281</v>
      </c>
      <c r="V70" s="198"/>
      <c r="W70" s="205">
        <v>1</v>
      </c>
      <c r="X70" s="198" t="s">
        <v>115</v>
      </c>
    </row>
    <row r="71" spans="2:24">
      <c r="B71" s="496"/>
      <c r="C71" s="496"/>
      <c r="D71" s="209">
        <v>5</v>
      </c>
      <c r="E71" s="198" t="s">
        <v>314</v>
      </c>
      <c r="F71" s="199">
        <v>754</v>
      </c>
      <c r="G71" s="267">
        <v>211.5</v>
      </c>
      <c r="H71" s="267">
        <v>220.2</v>
      </c>
      <c r="I71" s="210">
        <f t="shared" si="1"/>
        <v>1.0411347517730496</v>
      </c>
      <c r="J71" s="198"/>
      <c r="K71" s="210">
        <f t="shared" si="2"/>
        <v>0</v>
      </c>
      <c r="L71" s="199">
        <v>226.4</v>
      </c>
      <c r="M71" s="211">
        <f t="shared" si="3"/>
        <v>1.0411347517730496</v>
      </c>
      <c r="N71" s="199">
        <v>1970</v>
      </c>
      <c r="O71" s="198">
        <v>3.33</v>
      </c>
      <c r="P71" s="200">
        <v>1.6E-2</v>
      </c>
      <c r="Q71" s="198">
        <v>5.4</v>
      </c>
      <c r="R71" s="200">
        <v>2.5000000000000001E-2</v>
      </c>
      <c r="S71" s="199">
        <v>1215.8</v>
      </c>
      <c r="T71" s="198" t="s">
        <v>315</v>
      </c>
      <c r="U71" s="198" t="s">
        <v>217</v>
      </c>
      <c r="V71" s="198" t="s">
        <v>357</v>
      </c>
      <c r="W71" s="205">
        <v>1</v>
      </c>
      <c r="X71" s="198" t="s">
        <v>121</v>
      </c>
    </row>
    <row r="72" spans="2:24">
      <c r="B72" s="496"/>
      <c r="C72" s="496"/>
      <c r="D72" s="209">
        <v>6</v>
      </c>
      <c r="E72" s="198" t="s">
        <v>331</v>
      </c>
      <c r="F72" s="199">
        <v>746</v>
      </c>
      <c r="G72" s="267">
        <v>301.60000000000002</v>
      </c>
      <c r="H72" s="267">
        <v>337.5</v>
      </c>
      <c r="I72" s="210">
        <f t="shared" ref="I72:I116" si="15">H72/G72</f>
        <v>1.1190318302387268</v>
      </c>
      <c r="J72" s="198"/>
      <c r="K72" s="210">
        <f t="shared" ref="K72:K116" si="16">J72/G72</f>
        <v>0</v>
      </c>
      <c r="L72" s="199">
        <v>335.3</v>
      </c>
      <c r="M72" s="211">
        <f t="shared" ref="M72:M116" si="17">(H72+J72)/G72</f>
        <v>1.1190318302387268</v>
      </c>
      <c r="N72" s="199">
        <v>12021</v>
      </c>
      <c r="O72" s="198">
        <v>2.23</v>
      </c>
      <c r="P72" s="200">
        <v>7.0000000000000001E-3</v>
      </c>
      <c r="Q72" s="198">
        <v>33.6</v>
      </c>
      <c r="R72" s="200">
        <v>0.111</v>
      </c>
      <c r="S72" s="199">
        <v>11274.8</v>
      </c>
      <c r="T72" s="198" t="s">
        <v>315</v>
      </c>
      <c r="U72" s="198" t="s">
        <v>217</v>
      </c>
      <c r="V72" s="198" t="s">
        <v>332</v>
      </c>
      <c r="W72" s="205">
        <v>1</v>
      </c>
      <c r="X72" s="198" t="s">
        <v>114</v>
      </c>
    </row>
    <row r="73" spans="2:24">
      <c r="B73" s="496"/>
      <c r="C73" s="496"/>
      <c r="D73" s="209">
        <v>7</v>
      </c>
      <c r="E73" s="198" t="s">
        <v>321</v>
      </c>
      <c r="F73" s="199">
        <v>696</v>
      </c>
      <c r="G73" s="267">
        <v>67.900000000000006</v>
      </c>
      <c r="H73" s="267">
        <v>70.099999999999994</v>
      </c>
      <c r="I73" s="210">
        <f t="shared" si="15"/>
        <v>1.0324005891016199</v>
      </c>
      <c r="J73" s="198"/>
      <c r="K73" s="210">
        <f t="shared" si="16"/>
        <v>0</v>
      </c>
      <c r="L73" s="199">
        <v>697.5</v>
      </c>
      <c r="M73" s="211">
        <f t="shared" si="17"/>
        <v>1.0324005891016199</v>
      </c>
      <c r="N73" s="199">
        <v>112</v>
      </c>
      <c r="O73" s="198">
        <v>1</v>
      </c>
      <c r="P73" s="200">
        <v>1.4999999999999999E-2</v>
      </c>
      <c r="Q73" s="198">
        <v>1.2</v>
      </c>
      <c r="R73" s="200">
        <v>1.7000000000000001E-2</v>
      </c>
      <c r="S73" s="199">
        <v>810.5</v>
      </c>
      <c r="T73" s="198" t="s">
        <v>308</v>
      </c>
      <c r="U73" s="198" t="s">
        <v>276</v>
      </c>
      <c r="V73" s="198" t="s">
        <v>358</v>
      </c>
      <c r="W73" s="205">
        <v>1</v>
      </c>
      <c r="X73" s="198" t="s">
        <v>109</v>
      </c>
    </row>
    <row r="74" spans="2:24">
      <c r="B74" s="496"/>
      <c r="C74" s="496"/>
      <c r="D74" s="209">
        <v>8</v>
      </c>
      <c r="E74" s="198" t="s">
        <v>298</v>
      </c>
      <c r="F74" s="199">
        <v>573</v>
      </c>
      <c r="G74" s="267">
        <v>455.6</v>
      </c>
      <c r="H74" s="267">
        <v>464.2</v>
      </c>
      <c r="I74" s="210">
        <f t="shared" si="15"/>
        <v>1.0188762071992976</v>
      </c>
      <c r="J74" s="198"/>
      <c r="K74" s="210">
        <f t="shared" si="16"/>
        <v>0</v>
      </c>
      <c r="L74" s="199">
        <v>140.6</v>
      </c>
      <c r="M74" s="211">
        <f t="shared" si="17"/>
        <v>1.0188762071992976</v>
      </c>
      <c r="N74" s="199">
        <v>1203</v>
      </c>
      <c r="O74" s="198">
        <v>4.07</v>
      </c>
      <c r="P74" s="200">
        <v>8.9999999999999993E-3</v>
      </c>
      <c r="Q74" s="198">
        <v>4.5</v>
      </c>
      <c r="R74" s="200">
        <v>0.01</v>
      </c>
      <c r="S74" s="199">
        <v>629.70000000000005</v>
      </c>
      <c r="T74" s="198" t="s">
        <v>308</v>
      </c>
      <c r="U74" s="198" t="s">
        <v>276</v>
      </c>
      <c r="V74" s="198" t="s">
        <v>359</v>
      </c>
      <c r="W74" s="205">
        <v>1</v>
      </c>
      <c r="X74" s="198" t="s">
        <v>115</v>
      </c>
    </row>
    <row r="75" spans="2:24">
      <c r="B75" s="496"/>
      <c r="C75" s="496"/>
      <c r="D75" s="209">
        <v>9</v>
      </c>
      <c r="E75" s="198" t="s">
        <v>288</v>
      </c>
      <c r="F75" s="199">
        <v>536</v>
      </c>
      <c r="G75" s="267">
        <v>25.4</v>
      </c>
      <c r="H75" s="267">
        <v>26.2</v>
      </c>
      <c r="I75" s="210">
        <f t="shared" si="15"/>
        <v>1.0314960629921259</v>
      </c>
      <c r="J75" s="198"/>
      <c r="K75" s="210">
        <f t="shared" si="16"/>
        <v>0</v>
      </c>
      <c r="L75" s="199">
        <v>85</v>
      </c>
      <c r="M75" s="211">
        <f t="shared" si="17"/>
        <v>1.0314960629921259</v>
      </c>
      <c r="N75" s="199">
        <v>68</v>
      </c>
      <c r="O75" s="198">
        <v>6.31</v>
      </c>
      <c r="P75" s="200">
        <v>0.249</v>
      </c>
      <c r="Q75" s="198">
        <v>-5.5</v>
      </c>
      <c r="R75" s="200">
        <v>-0.217</v>
      </c>
      <c r="S75" s="199">
        <v>-468.3</v>
      </c>
      <c r="T75" s="198" t="s">
        <v>308</v>
      </c>
      <c r="U75" s="198" t="s">
        <v>217</v>
      </c>
      <c r="V75" s="198" t="s">
        <v>345</v>
      </c>
      <c r="W75" s="205">
        <v>1</v>
      </c>
      <c r="X75" s="198" t="s">
        <v>121</v>
      </c>
    </row>
    <row r="76" spans="2:24">
      <c r="B76" s="496"/>
      <c r="C76" s="496"/>
      <c r="D76" s="209">
        <v>10</v>
      </c>
      <c r="E76" s="198" t="s">
        <v>330</v>
      </c>
      <c r="F76" s="199">
        <v>534</v>
      </c>
      <c r="G76" s="267">
        <v>30.4</v>
      </c>
      <c r="H76" s="267">
        <v>31.3</v>
      </c>
      <c r="I76" s="210">
        <f t="shared" si="15"/>
        <v>1.0296052631578949</v>
      </c>
      <c r="J76" s="198"/>
      <c r="K76" s="210">
        <f t="shared" si="16"/>
        <v>0</v>
      </c>
      <c r="L76" s="199">
        <v>222</v>
      </c>
      <c r="M76" s="211">
        <f t="shared" si="17"/>
        <v>1.0296052631578949</v>
      </c>
      <c r="N76" s="199">
        <v>195</v>
      </c>
      <c r="O76" s="198">
        <v>2.41</v>
      </c>
      <c r="P76" s="200">
        <v>7.9000000000000001E-2</v>
      </c>
      <c r="Q76" s="198">
        <v>-1.5</v>
      </c>
      <c r="R76" s="200">
        <v>-0.05</v>
      </c>
      <c r="S76" s="199">
        <v>-338.5</v>
      </c>
      <c r="T76" s="198" t="s">
        <v>308</v>
      </c>
      <c r="U76" s="198" t="s">
        <v>276</v>
      </c>
      <c r="V76" s="198" t="s">
        <v>360</v>
      </c>
      <c r="W76" s="205">
        <v>1</v>
      </c>
      <c r="X76" s="198" t="s">
        <v>307</v>
      </c>
    </row>
    <row r="77" spans="2:24">
      <c r="B77" s="495">
        <v>45877</v>
      </c>
      <c r="C77" s="496" t="s">
        <v>63</v>
      </c>
      <c r="D77" s="209">
        <v>1</v>
      </c>
      <c r="E77" s="198" t="s">
        <v>331</v>
      </c>
      <c r="F77" s="199">
        <v>1274</v>
      </c>
      <c r="G77" s="267">
        <v>215.5</v>
      </c>
      <c r="H77" s="267">
        <v>248.7</v>
      </c>
      <c r="I77" s="210">
        <f t="shared" si="15"/>
        <v>1.154060324825986</v>
      </c>
      <c r="J77" s="198"/>
      <c r="K77" s="210">
        <f t="shared" si="16"/>
        <v>0</v>
      </c>
      <c r="L77" s="199">
        <v>335.3</v>
      </c>
      <c r="M77" s="211">
        <f t="shared" si="17"/>
        <v>1.154060324825986</v>
      </c>
      <c r="N77" s="199">
        <v>12178.766600000001</v>
      </c>
      <c r="O77" s="198">
        <v>3.8</v>
      </c>
      <c r="P77" s="200">
        <v>1.7629729290867337E-2</v>
      </c>
      <c r="Q77" s="198">
        <v>29.355</v>
      </c>
      <c r="R77" s="200">
        <v>0.13618965877195019</v>
      </c>
      <c r="S77" s="199">
        <v>9842.7314999999999</v>
      </c>
      <c r="T77" s="198" t="s">
        <v>315</v>
      </c>
      <c r="U77" s="198" t="s">
        <v>217</v>
      </c>
      <c r="V77" s="198" t="s">
        <v>332</v>
      </c>
      <c r="W77" s="205">
        <v>1</v>
      </c>
      <c r="X77" s="198" t="s">
        <v>114</v>
      </c>
    </row>
    <row r="78" spans="2:24">
      <c r="B78" s="496"/>
      <c r="C78" s="496"/>
      <c r="D78" s="209">
        <v>2</v>
      </c>
      <c r="E78" s="198" t="s">
        <v>323</v>
      </c>
      <c r="F78" s="199">
        <v>1105</v>
      </c>
      <c r="G78" s="267">
        <v>86.7</v>
      </c>
      <c r="H78" s="267">
        <v>96.1</v>
      </c>
      <c r="I78" s="210">
        <f t="shared" si="15"/>
        <v>1.1084198385236446</v>
      </c>
      <c r="J78" s="198"/>
      <c r="K78" s="210">
        <f t="shared" si="16"/>
        <v>0</v>
      </c>
      <c r="L78" s="199">
        <v>356.4</v>
      </c>
      <c r="M78" s="211">
        <f t="shared" si="17"/>
        <v>1.1084198385236446</v>
      </c>
      <c r="N78" s="199">
        <v>3339.5432700000033</v>
      </c>
      <c r="O78" s="198">
        <v>3.1</v>
      </c>
      <c r="P78" s="200">
        <v>3.5763316066958158E-2</v>
      </c>
      <c r="Q78" s="198">
        <v>6.2710000000000097</v>
      </c>
      <c r="R78" s="200">
        <v>7.2345727437385474E-2</v>
      </c>
      <c r="S78" s="199">
        <v>2234.7962700000035</v>
      </c>
      <c r="T78" s="198" t="s">
        <v>315</v>
      </c>
      <c r="U78" s="198" t="s">
        <v>217</v>
      </c>
      <c r="V78" s="198" t="s">
        <v>361</v>
      </c>
      <c r="W78" s="205">
        <v>1</v>
      </c>
      <c r="X78" s="198" t="s">
        <v>111</v>
      </c>
    </row>
    <row r="79" spans="2:24">
      <c r="B79" s="496"/>
      <c r="C79" s="496"/>
      <c r="D79" s="209">
        <v>3</v>
      </c>
      <c r="E79" s="198" t="s">
        <v>283</v>
      </c>
      <c r="F79" s="199">
        <v>1072</v>
      </c>
      <c r="G79" s="267">
        <v>132.4</v>
      </c>
      <c r="H79" s="267">
        <v>138</v>
      </c>
      <c r="I79" s="210">
        <f t="shared" si="15"/>
        <v>1.0422960725075527</v>
      </c>
      <c r="J79" s="198"/>
      <c r="K79" s="210">
        <f t="shared" si="16"/>
        <v>0</v>
      </c>
      <c r="L79" s="199">
        <v>162.4</v>
      </c>
      <c r="M79" s="211">
        <f t="shared" si="17"/>
        <v>1.0422960725075527</v>
      </c>
      <c r="N79" s="199">
        <v>903.6446999999996</v>
      </c>
      <c r="O79" s="198">
        <v>6.6</v>
      </c>
      <c r="P79" s="200">
        <v>4.9835768490202735E-2</v>
      </c>
      <c r="Q79" s="198">
        <v>-1.0350000000000019</v>
      </c>
      <c r="R79" s="200">
        <v>-7.815154604145445E-3</v>
      </c>
      <c r="S79" s="199">
        <v>-168.06330000000031</v>
      </c>
      <c r="T79" s="198" t="s">
        <v>308</v>
      </c>
      <c r="U79" s="198" t="s">
        <v>276</v>
      </c>
      <c r="V79" s="198" t="s">
        <v>362</v>
      </c>
      <c r="W79" s="205">
        <v>1</v>
      </c>
      <c r="X79" s="198" t="s">
        <v>121</v>
      </c>
    </row>
    <row r="80" spans="2:24">
      <c r="B80" s="496"/>
      <c r="C80" s="496"/>
      <c r="D80" s="209">
        <v>4</v>
      </c>
      <c r="E80" s="198" t="s">
        <v>274</v>
      </c>
      <c r="F80" s="199">
        <v>1050</v>
      </c>
      <c r="G80" s="267">
        <v>621.1</v>
      </c>
      <c r="H80" s="267">
        <v>632.1</v>
      </c>
      <c r="I80" s="210">
        <f t="shared" si="15"/>
        <v>1.0177105136048945</v>
      </c>
      <c r="J80" s="198"/>
      <c r="K80" s="210">
        <f t="shared" si="16"/>
        <v>0</v>
      </c>
      <c r="L80" s="199">
        <v>156.69999999999999</v>
      </c>
      <c r="M80" s="211">
        <f t="shared" si="17"/>
        <v>1.0177105136048945</v>
      </c>
      <c r="N80" s="199">
        <v>1723.37</v>
      </c>
      <c r="O80" s="198">
        <v>6.7</v>
      </c>
      <c r="P80" s="200">
        <v>1.0786704983618698E-2</v>
      </c>
      <c r="Q80" s="198">
        <v>4.3</v>
      </c>
      <c r="R80" s="200">
        <v>6.9228106611284182E-3</v>
      </c>
      <c r="S80" s="199">
        <v>673.68099999999993</v>
      </c>
      <c r="T80" s="198" t="s">
        <v>308</v>
      </c>
      <c r="U80" s="198" t="s">
        <v>276</v>
      </c>
      <c r="V80" s="198" t="s">
        <v>363</v>
      </c>
      <c r="W80" s="205">
        <v>1</v>
      </c>
      <c r="X80" s="198" t="s">
        <v>109</v>
      </c>
    </row>
    <row r="81" spans="2:24">
      <c r="B81" s="496"/>
      <c r="C81" s="496"/>
      <c r="D81" s="209">
        <v>5</v>
      </c>
      <c r="E81" s="198" t="s">
        <v>348</v>
      </c>
      <c r="F81" s="199">
        <v>910</v>
      </c>
      <c r="G81" s="267">
        <v>372.3</v>
      </c>
      <c r="H81" s="267">
        <v>390.7</v>
      </c>
      <c r="I81" s="210">
        <f t="shared" si="15"/>
        <v>1.049422508729519</v>
      </c>
      <c r="J81" s="198"/>
      <c r="K81" s="210">
        <f t="shared" si="16"/>
        <v>0</v>
      </c>
      <c r="L81" s="199">
        <v>100</v>
      </c>
      <c r="M81" s="211">
        <f t="shared" si="17"/>
        <v>1.049422508729519</v>
      </c>
      <c r="N81" s="199">
        <v>1841.4522699999989</v>
      </c>
      <c r="O81" s="198">
        <v>9.1</v>
      </c>
      <c r="P81" s="200">
        <v>2.4442325512684489E-2</v>
      </c>
      <c r="Q81" s="198">
        <v>9.3089999999999922</v>
      </c>
      <c r="R81" s="200">
        <v>2.5003693208525246E-2</v>
      </c>
      <c r="S81" s="199">
        <v>931.17926999999906</v>
      </c>
      <c r="T81" s="198" t="s">
        <v>308</v>
      </c>
      <c r="U81" s="198" t="s">
        <v>276</v>
      </c>
      <c r="V81" s="198" t="s">
        <v>364</v>
      </c>
      <c r="W81" s="205">
        <v>1</v>
      </c>
      <c r="X81" s="198" t="s">
        <v>114</v>
      </c>
    </row>
    <row r="82" spans="2:24">
      <c r="B82" s="496"/>
      <c r="C82" s="496"/>
      <c r="D82" s="209">
        <v>6</v>
      </c>
      <c r="E82" s="198" t="s">
        <v>301</v>
      </c>
      <c r="F82" s="199">
        <v>802</v>
      </c>
      <c r="G82" s="267">
        <v>159.19999999999999</v>
      </c>
      <c r="H82" s="267">
        <v>166</v>
      </c>
      <c r="I82" s="210">
        <f t="shared" si="15"/>
        <v>1.0427135678391961</v>
      </c>
      <c r="J82" s="198"/>
      <c r="K82" s="210">
        <f t="shared" si="16"/>
        <v>0</v>
      </c>
      <c r="L82" s="199">
        <v>111.4</v>
      </c>
      <c r="M82" s="211">
        <f t="shared" si="17"/>
        <v>1.0427135678391961</v>
      </c>
      <c r="N82" s="199">
        <v>756.47389999999905</v>
      </c>
      <c r="O82" s="198">
        <v>7.2</v>
      </c>
      <c r="P82" s="200">
        <v>4.5223289994347091E-2</v>
      </c>
      <c r="Q82" s="198">
        <v>-0.41000000000000814</v>
      </c>
      <c r="R82" s="200">
        <v>-2.5752151246781489E-3</v>
      </c>
      <c r="S82" s="199">
        <v>-45.678100000000903</v>
      </c>
      <c r="T82" s="198" t="s">
        <v>308</v>
      </c>
      <c r="U82" s="198" t="s">
        <v>276</v>
      </c>
      <c r="V82" s="198" t="s">
        <v>365</v>
      </c>
      <c r="W82" s="205">
        <v>1</v>
      </c>
      <c r="X82" s="198" t="s">
        <v>111</v>
      </c>
    </row>
    <row r="83" spans="2:24">
      <c r="B83" s="496"/>
      <c r="C83" s="496"/>
      <c r="D83" s="209">
        <v>7</v>
      </c>
      <c r="E83" s="198" t="s">
        <v>279</v>
      </c>
      <c r="F83" s="199">
        <v>717</v>
      </c>
      <c r="G83" s="267">
        <v>212.4</v>
      </c>
      <c r="H83" s="267">
        <v>216.8</v>
      </c>
      <c r="I83" s="210">
        <f t="shared" si="15"/>
        <v>1.0207156308851224</v>
      </c>
      <c r="J83" s="198"/>
      <c r="K83" s="210">
        <f t="shared" si="16"/>
        <v>0</v>
      </c>
      <c r="L83" s="199">
        <v>140.6</v>
      </c>
      <c r="M83" s="211">
        <f t="shared" si="17"/>
        <v>1.0207156308851224</v>
      </c>
      <c r="N83" s="199">
        <v>618.58738000000017</v>
      </c>
      <c r="O83" s="198">
        <v>5.0999999999999996</v>
      </c>
      <c r="P83" s="200">
        <v>2.4015369836695482E-2</v>
      </c>
      <c r="Q83" s="198">
        <v>-0.70099999999999874</v>
      </c>
      <c r="R83" s="200">
        <v>-3.3009361285340206E-3</v>
      </c>
      <c r="S83" s="199">
        <v>-98.574619999999825</v>
      </c>
      <c r="T83" s="198" t="s">
        <v>308</v>
      </c>
      <c r="U83" s="198" t="s">
        <v>276</v>
      </c>
      <c r="V83" s="198" t="s">
        <v>366</v>
      </c>
      <c r="W83" s="205">
        <v>1</v>
      </c>
      <c r="X83" s="198" t="s">
        <v>113</v>
      </c>
    </row>
    <row r="84" spans="2:24">
      <c r="B84" s="496"/>
      <c r="C84" s="496"/>
      <c r="D84" s="209">
        <v>8</v>
      </c>
      <c r="E84" s="198" t="s">
        <v>277</v>
      </c>
      <c r="F84" s="199">
        <v>702</v>
      </c>
      <c r="G84" s="267">
        <v>346.2</v>
      </c>
      <c r="H84" s="267">
        <v>355.3</v>
      </c>
      <c r="I84" s="210">
        <f t="shared" si="15"/>
        <v>1.0262853841709996</v>
      </c>
      <c r="J84" s="198"/>
      <c r="K84" s="210">
        <f t="shared" si="16"/>
        <v>0</v>
      </c>
      <c r="L84" s="199">
        <v>132.5</v>
      </c>
      <c r="M84" s="211">
        <f t="shared" si="17"/>
        <v>1.0262853841709996</v>
      </c>
      <c r="N84" s="199">
        <v>1205.3445299999987</v>
      </c>
      <c r="O84" s="198">
        <v>5.3</v>
      </c>
      <c r="P84" s="200">
        <v>1.5307301293900184E-2</v>
      </c>
      <c r="Q84" s="198">
        <v>3.7989999999999897</v>
      </c>
      <c r="R84" s="200">
        <v>1.0972158040665404E-2</v>
      </c>
      <c r="S84" s="199">
        <v>503.25352999999865</v>
      </c>
      <c r="T84" s="198" t="s">
        <v>308</v>
      </c>
      <c r="U84" s="198" t="s">
        <v>276</v>
      </c>
      <c r="V84" s="198" t="s">
        <v>366</v>
      </c>
      <c r="W84" s="205">
        <v>1</v>
      </c>
      <c r="X84" s="198" t="s">
        <v>110</v>
      </c>
    </row>
    <row r="85" spans="2:24">
      <c r="B85" s="496"/>
      <c r="C85" s="496"/>
      <c r="D85" s="209">
        <v>9</v>
      </c>
      <c r="E85" s="198" t="s">
        <v>304</v>
      </c>
      <c r="F85" s="199">
        <v>662</v>
      </c>
      <c r="G85" s="267">
        <v>129.69999999999999</v>
      </c>
      <c r="H85" s="267">
        <v>135</v>
      </c>
      <c r="I85" s="210">
        <f t="shared" si="15"/>
        <v>1.040863531225906</v>
      </c>
      <c r="J85" s="198"/>
      <c r="K85" s="210">
        <f t="shared" si="16"/>
        <v>0</v>
      </c>
      <c r="L85" s="199">
        <v>108.2</v>
      </c>
      <c r="M85" s="211">
        <f t="shared" si="17"/>
        <v>1.040863531225906</v>
      </c>
      <c r="N85" s="199">
        <v>572.2721999999992</v>
      </c>
      <c r="O85" s="198">
        <v>6.12</v>
      </c>
      <c r="P85" s="200">
        <v>4.7182175622542594E-2</v>
      </c>
      <c r="Q85" s="198">
        <v>-0.83000000000000806</v>
      </c>
      <c r="R85" s="200">
        <v>-6.3988898311618846E-3</v>
      </c>
      <c r="S85" s="199">
        <v>-89.789400000000882</v>
      </c>
      <c r="T85" s="198" t="s">
        <v>308</v>
      </c>
      <c r="U85" s="198" t="s">
        <v>276</v>
      </c>
      <c r="V85" s="198" t="s">
        <v>366</v>
      </c>
      <c r="W85" s="205">
        <v>1</v>
      </c>
      <c r="X85" s="198" t="s">
        <v>115</v>
      </c>
    </row>
    <row r="86" spans="2:24">
      <c r="B86" s="496"/>
      <c r="C86" s="496"/>
      <c r="D86" s="209">
        <v>10</v>
      </c>
      <c r="E86" s="198" t="s">
        <v>287</v>
      </c>
      <c r="F86" s="199">
        <v>625</v>
      </c>
      <c r="G86" s="267">
        <v>86.6</v>
      </c>
      <c r="H86" s="267">
        <v>99.6</v>
      </c>
      <c r="I86" s="210">
        <f t="shared" si="15"/>
        <v>1.1501154734411085</v>
      </c>
      <c r="J86" s="198"/>
      <c r="K86" s="210">
        <f t="shared" si="16"/>
        <v>0</v>
      </c>
      <c r="L86" s="199">
        <v>508.2</v>
      </c>
      <c r="M86" s="211">
        <f t="shared" si="17"/>
        <v>1.1501154734411085</v>
      </c>
      <c r="N86" s="199">
        <v>6601.7178461538424</v>
      </c>
      <c r="O86" s="198">
        <v>1.23</v>
      </c>
      <c r="P86" s="200">
        <v>1.4209796672828096E-2</v>
      </c>
      <c r="Q86" s="198">
        <v>11.759999999999994</v>
      </c>
      <c r="R86" s="200">
        <v>0.13585951940850272</v>
      </c>
      <c r="S86" s="199">
        <v>5976.6129230769184</v>
      </c>
      <c r="T86" s="198" t="s">
        <v>315</v>
      </c>
      <c r="U86" s="198" t="s">
        <v>217</v>
      </c>
      <c r="V86" s="198" t="s">
        <v>367</v>
      </c>
      <c r="W86" s="205">
        <v>1</v>
      </c>
      <c r="X86" s="198" t="s">
        <v>110</v>
      </c>
    </row>
    <row r="87" spans="2:24">
      <c r="B87" s="495">
        <v>45878</v>
      </c>
      <c r="C87" s="496" t="s">
        <v>64</v>
      </c>
      <c r="D87" s="209">
        <v>1</v>
      </c>
      <c r="E87" s="198" t="s">
        <v>277</v>
      </c>
      <c r="F87" s="199">
        <v>1675.7455</v>
      </c>
      <c r="G87" s="267">
        <v>330.8</v>
      </c>
      <c r="H87" s="267">
        <v>342</v>
      </c>
      <c r="I87" s="210">
        <f t="shared" si="15"/>
        <v>1.0338573155985489</v>
      </c>
      <c r="J87" s="198"/>
      <c r="K87" s="210">
        <f t="shared" si="16"/>
        <v>0</v>
      </c>
      <c r="L87" s="199">
        <v>132.47</v>
      </c>
      <c r="M87" s="211">
        <f t="shared" si="17"/>
        <v>1.0338573155985489</v>
      </c>
      <c r="N87" s="199">
        <v>1484</v>
      </c>
      <c r="O87" s="198">
        <v>12.65</v>
      </c>
      <c r="P87" s="200">
        <v>3.7999999999999999E-2</v>
      </c>
      <c r="Q87" s="198">
        <v>-1.5</v>
      </c>
      <c r="R87" s="200">
        <v>-4.0000000000000001E-3</v>
      </c>
      <c r="S87" s="199">
        <v>-192.1</v>
      </c>
      <c r="T87" s="198" t="s">
        <v>308</v>
      </c>
      <c r="U87" s="198" t="s">
        <v>276</v>
      </c>
      <c r="V87" s="198" t="s">
        <v>368</v>
      </c>
      <c r="W87" s="205">
        <v>1</v>
      </c>
      <c r="X87" s="198" t="s">
        <v>110</v>
      </c>
    </row>
    <row r="88" spans="2:24">
      <c r="B88" s="496"/>
      <c r="C88" s="496"/>
      <c r="D88" s="209">
        <v>2</v>
      </c>
      <c r="E88" s="198" t="s">
        <v>369</v>
      </c>
      <c r="F88" s="199">
        <v>1256.6588199999999</v>
      </c>
      <c r="G88" s="267">
        <v>202.95</v>
      </c>
      <c r="H88" s="267">
        <v>211.97800000000001</v>
      </c>
      <c r="I88" s="210">
        <f t="shared" si="15"/>
        <v>1.0444838630204485</v>
      </c>
      <c r="J88" s="198"/>
      <c r="K88" s="210">
        <f t="shared" si="16"/>
        <v>0</v>
      </c>
      <c r="L88" s="199">
        <v>141.87</v>
      </c>
      <c r="M88" s="211">
        <f t="shared" si="17"/>
        <v>1.0444838630204485</v>
      </c>
      <c r="N88" s="199">
        <v>1281</v>
      </c>
      <c r="O88" s="198">
        <v>11.2</v>
      </c>
      <c r="P88" s="200">
        <v>5.5E-2</v>
      </c>
      <c r="Q88" s="198">
        <v>-2.2000000000000002</v>
      </c>
      <c r="R88" s="200">
        <v>-1.0999999999999999E-2</v>
      </c>
      <c r="S88" s="199">
        <v>-308.10000000000002</v>
      </c>
      <c r="T88" s="198" t="s">
        <v>308</v>
      </c>
      <c r="U88" s="198" t="s">
        <v>276</v>
      </c>
      <c r="V88" s="198" t="s">
        <v>370</v>
      </c>
      <c r="W88" s="205">
        <v>1</v>
      </c>
      <c r="X88" s="198" t="s">
        <v>116</v>
      </c>
    </row>
    <row r="89" spans="2:24">
      <c r="B89" s="496"/>
      <c r="C89" s="496"/>
      <c r="D89" s="209">
        <v>3</v>
      </c>
      <c r="E89" s="198" t="s">
        <v>274</v>
      </c>
      <c r="F89" s="199">
        <v>1158.5681800000002</v>
      </c>
      <c r="G89" s="267">
        <v>581.85</v>
      </c>
      <c r="H89" s="267">
        <v>593.09400000000005</v>
      </c>
      <c r="I89" s="210">
        <f t="shared" si="15"/>
        <v>1.0193245681876772</v>
      </c>
      <c r="J89" s="198"/>
      <c r="K89" s="210">
        <f t="shared" si="16"/>
        <v>0</v>
      </c>
      <c r="L89" s="199">
        <v>156.66999999999999</v>
      </c>
      <c r="M89" s="211">
        <f t="shared" si="17"/>
        <v>1.0193245681876772</v>
      </c>
      <c r="N89" s="199">
        <v>1762</v>
      </c>
      <c r="O89" s="198">
        <v>8.8000000000000007</v>
      </c>
      <c r="P89" s="200">
        <v>1.4999999999999999E-2</v>
      </c>
      <c r="Q89" s="198">
        <v>2.4</v>
      </c>
      <c r="R89" s="200">
        <v>4.0000000000000001E-3</v>
      </c>
      <c r="S89" s="199">
        <v>382.9</v>
      </c>
      <c r="T89" s="198" t="s">
        <v>308</v>
      </c>
      <c r="U89" s="198" t="s">
        <v>276</v>
      </c>
      <c r="V89" s="198" t="s">
        <v>359</v>
      </c>
      <c r="W89" s="205">
        <v>1</v>
      </c>
      <c r="X89" s="198" t="s">
        <v>109</v>
      </c>
    </row>
    <row r="90" spans="2:24">
      <c r="B90" s="496"/>
      <c r="C90" s="496"/>
      <c r="D90" s="209">
        <v>4</v>
      </c>
      <c r="E90" s="198" t="s">
        <v>283</v>
      </c>
      <c r="F90" s="199">
        <v>1125.6970769230766</v>
      </c>
      <c r="G90" s="267">
        <v>124.74</v>
      </c>
      <c r="H90" s="267">
        <v>126.8</v>
      </c>
      <c r="I90" s="210">
        <f t="shared" si="15"/>
        <v>1.0165143498476832</v>
      </c>
      <c r="J90" s="198"/>
      <c r="K90" s="210">
        <f t="shared" si="16"/>
        <v>0</v>
      </c>
      <c r="L90" s="199">
        <v>162.38</v>
      </c>
      <c r="M90" s="211">
        <f t="shared" si="17"/>
        <v>1.0165143498476832</v>
      </c>
      <c r="N90" s="199">
        <v>335</v>
      </c>
      <c r="O90" s="198">
        <v>7.74</v>
      </c>
      <c r="P90" s="200">
        <v>6.2E-2</v>
      </c>
      <c r="Q90" s="198">
        <v>-5.7</v>
      </c>
      <c r="R90" s="200">
        <v>-4.5999999999999999E-2</v>
      </c>
      <c r="S90" s="199">
        <v>-922.2</v>
      </c>
      <c r="T90" s="198" t="s">
        <v>308</v>
      </c>
      <c r="U90" s="198" t="s">
        <v>276</v>
      </c>
      <c r="V90" s="198" t="s">
        <v>371</v>
      </c>
      <c r="W90" s="205">
        <v>1</v>
      </c>
      <c r="X90" s="198" t="s">
        <v>121</v>
      </c>
    </row>
    <row r="91" spans="2:24">
      <c r="B91" s="496"/>
      <c r="C91" s="496"/>
      <c r="D91" s="209">
        <v>5</v>
      </c>
      <c r="E91" s="198" t="s">
        <v>279</v>
      </c>
      <c r="F91" s="199">
        <v>979.66113000000007</v>
      </c>
      <c r="G91" s="267">
        <v>191.21600000000001</v>
      </c>
      <c r="H91" s="267">
        <v>195.41499999999999</v>
      </c>
      <c r="I91" s="210">
        <f t="shared" si="15"/>
        <v>1.0219594594594594</v>
      </c>
      <c r="J91" s="198"/>
      <c r="K91" s="210">
        <f t="shared" si="16"/>
        <v>0</v>
      </c>
      <c r="L91" s="199">
        <v>140.62</v>
      </c>
      <c r="M91" s="211">
        <f t="shared" si="17"/>
        <v>1.0219594594594594</v>
      </c>
      <c r="N91" s="199">
        <v>590</v>
      </c>
      <c r="O91" s="198">
        <v>8.24</v>
      </c>
      <c r="P91" s="200">
        <v>4.2999999999999997E-2</v>
      </c>
      <c r="Q91" s="198">
        <v>-4</v>
      </c>
      <c r="R91" s="200">
        <v>-2.1000000000000001E-2</v>
      </c>
      <c r="S91" s="199">
        <v>-568.1</v>
      </c>
      <c r="T91" s="198" t="s">
        <v>308</v>
      </c>
      <c r="U91" s="198" t="s">
        <v>276</v>
      </c>
      <c r="V91" s="198" t="s">
        <v>372</v>
      </c>
      <c r="W91" s="205">
        <v>1</v>
      </c>
      <c r="X91" s="198" t="s">
        <v>113</v>
      </c>
    </row>
    <row r="92" spans="2:24">
      <c r="B92" s="496"/>
      <c r="C92" s="496"/>
      <c r="D92" s="209">
        <v>6</v>
      </c>
      <c r="E92" s="198" t="s">
        <v>287</v>
      </c>
      <c r="F92" s="199">
        <v>972.66854000000001</v>
      </c>
      <c r="G92" s="267">
        <v>82.7</v>
      </c>
      <c r="H92" s="267">
        <v>95</v>
      </c>
      <c r="I92" s="210">
        <f t="shared" si="15"/>
        <v>1.1487303506650544</v>
      </c>
      <c r="J92" s="198"/>
      <c r="K92" s="210">
        <f t="shared" si="16"/>
        <v>0</v>
      </c>
      <c r="L92" s="199">
        <v>508.21538461538449</v>
      </c>
      <c r="M92" s="211">
        <f t="shared" si="17"/>
        <v>1.1487303506650544</v>
      </c>
      <c r="N92" s="199">
        <v>6251</v>
      </c>
      <c r="O92" s="198">
        <v>2.2200000000000002</v>
      </c>
      <c r="P92" s="200">
        <v>2.7E-2</v>
      </c>
      <c r="Q92" s="198">
        <v>10.1</v>
      </c>
      <c r="R92" s="200">
        <v>0.122</v>
      </c>
      <c r="S92" s="199">
        <v>5125.3999999999996</v>
      </c>
      <c r="T92" s="198" t="s">
        <v>315</v>
      </c>
      <c r="U92" s="198" t="s">
        <v>217</v>
      </c>
      <c r="V92" s="198" t="s">
        <v>367</v>
      </c>
      <c r="W92" s="205">
        <v>1</v>
      </c>
      <c r="X92" s="198" t="s">
        <v>110</v>
      </c>
    </row>
    <row r="93" spans="2:24">
      <c r="B93" s="496"/>
      <c r="C93" s="496"/>
      <c r="D93" s="209">
        <v>7</v>
      </c>
      <c r="E93" s="198" t="s">
        <v>373</v>
      </c>
      <c r="F93" s="199">
        <v>741.34829999999999</v>
      </c>
      <c r="G93" s="267">
        <v>36.08</v>
      </c>
      <c r="H93" s="267">
        <v>38.200000000000003</v>
      </c>
      <c r="I93" s="210">
        <f t="shared" si="15"/>
        <v>1.0587583148558759</v>
      </c>
      <c r="J93" s="198"/>
      <c r="K93" s="210">
        <f t="shared" si="16"/>
        <v>0</v>
      </c>
      <c r="L93" s="199">
        <v>762.21</v>
      </c>
      <c r="M93" s="211">
        <f t="shared" si="17"/>
        <v>1.0587583148558759</v>
      </c>
      <c r="N93" s="199">
        <v>1616</v>
      </c>
      <c r="O93" s="198">
        <v>1.3</v>
      </c>
      <c r="P93" s="200">
        <v>3.5999999999999997E-2</v>
      </c>
      <c r="Q93" s="198">
        <v>0.8</v>
      </c>
      <c r="R93" s="200">
        <v>2.3E-2</v>
      </c>
      <c r="S93" s="199">
        <v>625</v>
      </c>
      <c r="T93" s="198" t="s">
        <v>315</v>
      </c>
      <c r="U93" s="198" t="s">
        <v>217</v>
      </c>
      <c r="V93" s="198" t="s">
        <v>374</v>
      </c>
      <c r="W93" s="205">
        <v>1</v>
      </c>
      <c r="X93" s="198" t="s">
        <v>116</v>
      </c>
    </row>
    <row r="94" spans="2:24">
      <c r="B94" s="496"/>
      <c r="C94" s="496"/>
      <c r="D94" s="209">
        <v>8</v>
      </c>
      <c r="E94" s="198" t="s">
        <v>323</v>
      </c>
      <c r="F94" s="199">
        <v>617.39279999999985</v>
      </c>
      <c r="G94" s="267">
        <v>84.328999999999994</v>
      </c>
      <c r="H94" s="267">
        <v>86.5</v>
      </c>
      <c r="I94" s="210">
        <f t="shared" si="15"/>
        <v>1.0257444058390353</v>
      </c>
      <c r="J94" s="198"/>
      <c r="K94" s="210">
        <f t="shared" si="16"/>
        <v>0</v>
      </c>
      <c r="L94" s="199">
        <v>356.37</v>
      </c>
      <c r="M94" s="211">
        <f t="shared" si="17"/>
        <v>1.0257444058390353</v>
      </c>
      <c r="N94" s="199">
        <v>774</v>
      </c>
      <c r="O94" s="198">
        <v>2.75</v>
      </c>
      <c r="P94" s="200">
        <v>3.3000000000000002E-2</v>
      </c>
      <c r="Q94" s="198">
        <v>-0.6</v>
      </c>
      <c r="R94" s="200">
        <v>-7.0000000000000001E-3</v>
      </c>
      <c r="S94" s="199">
        <v>-206</v>
      </c>
      <c r="T94" s="198" t="s">
        <v>315</v>
      </c>
      <c r="U94" s="198" t="s">
        <v>217</v>
      </c>
      <c r="V94" s="198" t="s">
        <v>361</v>
      </c>
      <c r="W94" s="205">
        <v>1</v>
      </c>
      <c r="X94" s="198" t="s">
        <v>111</v>
      </c>
    </row>
    <row r="95" spans="2:24">
      <c r="B95" s="496"/>
      <c r="C95" s="496"/>
      <c r="D95" s="209">
        <v>9</v>
      </c>
      <c r="E95" s="198" t="s">
        <v>375</v>
      </c>
      <c r="F95" s="199">
        <v>599.57608999999991</v>
      </c>
      <c r="G95" s="267">
        <v>550.91999999999996</v>
      </c>
      <c r="H95" s="267">
        <v>571.83500000000004</v>
      </c>
      <c r="I95" s="210">
        <f t="shared" si="15"/>
        <v>1.0379637696943296</v>
      </c>
      <c r="J95" s="198"/>
      <c r="K95" s="210">
        <f t="shared" si="16"/>
        <v>0</v>
      </c>
      <c r="L95" s="199">
        <v>77.290000000000006</v>
      </c>
      <c r="M95" s="211">
        <f t="shared" si="17"/>
        <v>1.0379637696943296</v>
      </c>
      <c r="N95" s="199">
        <v>1617</v>
      </c>
      <c r="O95" s="198">
        <v>11</v>
      </c>
      <c r="P95" s="200">
        <v>0.02</v>
      </c>
      <c r="Q95" s="198">
        <v>9.9</v>
      </c>
      <c r="R95" s="200">
        <v>1.7999999999999999E-2</v>
      </c>
      <c r="S95" s="199">
        <v>766.3</v>
      </c>
      <c r="T95" s="198" t="s">
        <v>308</v>
      </c>
      <c r="U95" s="198" t="s">
        <v>276</v>
      </c>
      <c r="V95" s="198" t="s">
        <v>349</v>
      </c>
      <c r="W95" s="205">
        <v>1</v>
      </c>
      <c r="X95" s="198" t="s">
        <v>112</v>
      </c>
    </row>
    <row r="96" spans="2:24">
      <c r="B96" s="496"/>
      <c r="C96" s="496"/>
      <c r="D96" s="209">
        <v>10</v>
      </c>
      <c r="E96" s="198" t="s">
        <v>331</v>
      </c>
      <c r="F96" s="199">
        <v>539.6</v>
      </c>
      <c r="G96" s="267">
        <v>262.02</v>
      </c>
      <c r="H96" s="267">
        <v>278.26</v>
      </c>
      <c r="I96" s="210">
        <f t="shared" si="15"/>
        <v>1.061980001526601</v>
      </c>
      <c r="J96" s="198"/>
      <c r="K96" s="210">
        <f t="shared" si="16"/>
        <v>0</v>
      </c>
      <c r="L96" s="199">
        <v>335.3</v>
      </c>
      <c r="M96" s="211">
        <f t="shared" si="17"/>
        <v>1.061980001526601</v>
      </c>
      <c r="N96" s="199">
        <v>5445</v>
      </c>
      <c r="O96" s="198">
        <v>2.21</v>
      </c>
      <c r="P96" s="200">
        <v>8.0000000000000002E-3</v>
      </c>
      <c r="Q96" s="198">
        <v>14</v>
      </c>
      <c r="R96" s="200">
        <v>5.3999999999999999E-2</v>
      </c>
      <c r="S96" s="199">
        <v>4703.8999999999996</v>
      </c>
      <c r="T96" s="198" t="s">
        <v>315</v>
      </c>
      <c r="U96" s="198" t="s">
        <v>217</v>
      </c>
      <c r="V96" s="198" t="s">
        <v>332</v>
      </c>
      <c r="W96" s="205">
        <v>1</v>
      </c>
      <c r="X96" s="198" t="s">
        <v>114</v>
      </c>
    </row>
    <row r="97" spans="2:24" ht="16.5">
      <c r="B97" s="495">
        <v>45879</v>
      </c>
      <c r="C97" s="496" t="s">
        <v>59</v>
      </c>
      <c r="D97" s="209">
        <v>1</v>
      </c>
      <c r="E97" s="198" t="s">
        <v>283</v>
      </c>
      <c r="F97" s="199">
        <v>2305.4712399999999</v>
      </c>
      <c r="G97" s="267">
        <v>169.785</v>
      </c>
      <c r="H97" s="267">
        <v>174.88300000000001</v>
      </c>
      <c r="I97" s="210">
        <f t="shared" si="15"/>
        <v>1.0300262096180464</v>
      </c>
      <c r="J97" s="198"/>
      <c r="K97" s="210">
        <f t="shared" si="16"/>
        <v>0</v>
      </c>
      <c r="L97" s="199">
        <v>162.38</v>
      </c>
      <c r="M97" s="211">
        <f t="shared" si="17"/>
        <v>1.0300262096180464</v>
      </c>
      <c r="N97" s="199">
        <v>827.81324000000211</v>
      </c>
      <c r="O97" s="198">
        <v>14.198</v>
      </c>
      <c r="P97" s="200">
        <v>8.3623406072385664E-2</v>
      </c>
      <c r="Q97" s="198">
        <v>-9.0999999999999872</v>
      </c>
      <c r="R97" s="200">
        <v>-5.359719645433924E-2</v>
      </c>
      <c r="S97" s="199">
        <v>-1477.6579999999979</v>
      </c>
      <c r="T97" s="198" t="s">
        <v>278</v>
      </c>
      <c r="U97" s="198" t="s">
        <v>212</v>
      </c>
      <c r="V97" s="264" t="s">
        <v>376</v>
      </c>
      <c r="W97" s="205">
        <v>1</v>
      </c>
      <c r="X97" s="198" t="s">
        <v>121</v>
      </c>
    </row>
    <row r="98" spans="2:24">
      <c r="B98" s="496"/>
      <c r="C98" s="496"/>
      <c r="D98" s="209">
        <v>2</v>
      </c>
      <c r="E98" s="198" t="s">
        <v>329</v>
      </c>
      <c r="F98" s="199">
        <v>2187.7359999999999</v>
      </c>
      <c r="G98" s="267">
        <v>141.64500000000001</v>
      </c>
      <c r="H98" s="267">
        <v>156</v>
      </c>
      <c r="I98" s="210">
        <f t="shared" si="15"/>
        <v>1.1013449115747114</v>
      </c>
      <c r="J98" s="198"/>
      <c r="K98" s="210">
        <f t="shared" si="16"/>
        <v>0</v>
      </c>
      <c r="L98" s="199">
        <v>575.72</v>
      </c>
      <c r="M98" s="211">
        <f t="shared" si="17"/>
        <v>1.1013449115747114</v>
      </c>
      <c r="N98" s="199">
        <v>8264.4605999999949</v>
      </c>
      <c r="O98" s="198">
        <v>3.8</v>
      </c>
      <c r="P98" s="200">
        <v>2.6827632461435276E-2</v>
      </c>
      <c r="Q98" s="198">
        <v>10.554999999999989</v>
      </c>
      <c r="R98" s="200">
        <v>7.4517279113276061E-2</v>
      </c>
      <c r="S98" s="199">
        <v>6076.7245999999941</v>
      </c>
      <c r="T98" s="198" t="s">
        <v>308</v>
      </c>
      <c r="U98" s="198" t="s">
        <v>276</v>
      </c>
      <c r="V98" s="198" t="s">
        <v>377</v>
      </c>
      <c r="W98" s="205">
        <v>1</v>
      </c>
      <c r="X98" s="198" t="s">
        <v>113</v>
      </c>
    </row>
    <row r="99" spans="2:24">
      <c r="B99" s="496"/>
      <c r="C99" s="496"/>
      <c r="D99" s="209">
        <v>3</v>
      </c>
      <c r="E99" s="198" t="s">
        <v>287</v>
      </c>
      <c r="F99" s="199">
        <v>1727.9323076923072</v>
      </c>
      <c r="G99" s="267">
        <v>114.06</v>
      </c>
      <c r="H99" s="267">
        <v>130.559</v>
      </c>
      <c r="I99" s="210">
        <f t="shared" si="15"/>
        <v>1.1446519375767139</v>
      </c>
      <c r="J99" s="198"/>
      <c r="K99" s="210">
        <f t="shared" si="16"/>
        <v>0</v>
      </c>
      <c r="L99" s="199">
        <v>508.21538461538449</v>
      </c>
      <c r="M99" s="211">
        <f t="shared" si="17"/>
        <v>1.1446519375767139</v>
      </c>
      <c r="N99" s="199">
        <v>8385.0456307692257</v>
      </c>
      <c r="O99" s="198">
        <v>3.4</v>
      </c>
      <c r="P99" s="200">
        <v>2.9808872523233384E-2</v>
      </c>
      <c r="Q99" s="198">
        <v>13.098999999999995</v>
      </c>
      <c r="R99" s="200">
        <v>0.11484306505348058</v>
      </c>
      <c r="S99" s="199">
        <v>6657.1133230769192</v>
      </c>
      <c r="T99" s="198" t="s">
        <v>315</v>
      </c>
      <c r="U99" s="198" t="s">
        <v>217</v>
      </c>
      <c r="V99" s="198" t="s">
        <v>367</v>
      </c>
      <c r="W99" s="205">
        <v>1</v>
      </c>
      <c r="X99" s="198" t="s">
        <v>110</v>
      </c>
    </row>
    <row r="100" spans="2:24">
      <c r="B100" s="496"/>
      <c r="C100" s="496"/>
      <c r="D100" s="209">
        <v>4</v>
      </c>
      <c r="E100" s="198" t="s">
        <v>270</v>
      </c>
      <c r="F100" s="199">
        <v>1722.0000000000005</v>
      </c>
      <c r="G100" s="267">
        <v>30.42</v>
      </c>
      <c r="H100" s="267">
        <v>36</v>
      </c>
      <c r="I100" s="210">
        <f t="shared" si="15"/>
        <v>1.1834319526627217</v>
      </c>
      <c r="J100" s="198"/>
      <c r="K100" s="210">
        <f t="shared" si="16"/>
        <v>0</v>
      </c>
      <c r="L100" s="199">
        <v>287.00000000000006</v>
      </c>
      <c r="M100" s="211">
        <f t="shared" si="17"/>
        <v>1.1834319526627217</v>
      </c>
      <c r="N100" s="199">
        <v>1601.4599999999998</v>
      </c>
      <c r="O100" s="198">
        <v>6</v>
      </c>
      <c r="P100" s="200">
        <v>0.1972386587771203</v>
      </c>
      <c r="Q100" s="198">
        <v>-0.42000000000000171</v>
      </c>
      <c r="R100" s="200">
        <v>-1.3806706114398477E-2</v>
      </c>
      <c r="S100" s="199">
        <v>-120.54000000000052</v>
      </c>
      <c r="T100" s="198" t="s">
        <v>315</v>
      </c>
      <c r="U100" s="198" t="s">
        <v>217</v>
      </c>
      <c r="V100" s="198" t="s">
        <v>343</v>
      </c>
      <c r="W100" s="205">
        <v>1</v>
      </c>
      <c r="X100" s="198" t="s">
        <v>307</v>
      </c>
    </row>
    <row r="101" spans="2:24">
      <c r="B101" s="496"/>
      <c r="C101" s="496"/>
      <c r="D101" s="209">
        <v>5</v>
      </c>
      <c r="E101" s="198" t="s">
        <v>323</v>
      </c>
      <c r="F101" s="199">
        <v>1277.94282</v>
      </c>
      <c r="G101" s="267">
        <v>107.261</v>
      </c>
      <c r="H101" s="267">
        <v>112.3</v>
      </c>
      <c r="I101" s="210">
        <f t="shared" si="15"/>
        <v>1.0469788646385918</v>
      </c>
      <c r="J101" s="198"/>
      <c r="K101" s="210">
        <f t="shared" si="16"/>
        <v>0</v>
      </c>
      <c r="L101" s="199">
        <v>356.37</v>
      </c>
      <c r="M101" s="211">
        <f t="shared" si="17"/>
        <v>1.0469788646385918</v>
      </c>
      <c r="N101" s="199">
        <v>1795.7484300000006</v>
      </c>
      <c r="O101" s="198">
        <v>3.5859999999999999</v>
      </c>
      <c r="P101" s="200">
        <v>3.3432468464772845E-2</v>
      </c>
      <c r="Q101" s="198">
        <v>1.4530000000000016</v>
      </c>
      <c r="R101" s="200">
        <v>1.3546396173819019E-2</v>
      </c>
      <c r="S101" s="199">
        <v>517.80561000000057</v>
      </c>
      <c r="T101" s="198" t="s">
        <v>315</v>
      </c>
      <c r="U101" s="198" t="s">
        <v>217</v>
      </c>
      <c r="V101" s="198" t="s">
        <v>361</v>
      </c>
      <c r="W101" s="205">
        <v>1</v>
      </c>
      <c r="X101" s="198" t="s">
        <v>111</v>
      </c>
    </row>
    <row r="102" spans="2:24">
      <c r="B102" s="496"/>
      <c r="C102" s="496"/>
      <c r="D102" s="209">
        <v>6</v>
      </c>
      <c r="E102" s="198" t="s">
        <v>288</v>
      </c>
      <c r="F102" s="199">
        <v>1209.55</v>
      </c>
      <c r="G102" s="267">
        <v>22.638000000000002</v>
      </c>
      <c r="H102" s="267">
        <v>23.445</v>
      </c>
      <c r="I102" s="210">
        <f t="shared" si="15"/>
        <v>1.0356480254439437</v>
      </c>
      <c r="J102" s="198"/>
      <c r="K102" s="210">
        <f t="shared" si="16"/>
        <v>0</v>
      </c>
      <c r="L102" s="199">
        <v>85</v>
      </c>
      <c r="M102" s="211">
        <f t="shared" si="17"/>
        <v>1.0356480254439437</v>
      </c>
      <c r="N102" s="199">
        <v>68.594999999999885</v>
      </c>
      <c r="O102" s="198">
        <v>14.23</v>
      </c>
      <c r="P102" s="200">
        <v>0.62858909797685303</v>
      </c>
      <c r="Q102" s="198">
        <v>-13.423000000000002</v>
      </c>
      <c r="R102" s="200">
        <v>-0.59294107253290929</v>
      </c>
      <c r="S102" s="199">
        <v>-1140.9550000000002</v>
      </c>
      <c r="T102" s="198" t="s">
        <v>308</v>
      </c>
      <c r="U102" s="198" t="s">
        <v>276</v>
      </c>
      <c r="V102" s="198" t="s">
        <v>345</v>
      </c>
      <c r="W102" s="205">
        <v>1</v>
      </c>
      <c r="X102" s="198" t="s">
        <v>121</v>
      </c>
    </row>
    <row r="103" spans="2:24">
      <c r="B103" s="496"/>
      <c r="C103" s="496"/>
      <c r="D103" s="209">
        <v>7</v>
      </c>
      <c r="E103" s="198" t="s">
        <v>331</v>
      </c>
      <c r="F103" s="199">
        <v>1173.55</v>
      </c>
      <c r="G103" s="267">
        <v>216.59</v>
      </c>
      <c r="H103" s="267">
        <v>240</v>
      </c>
      <c r="I103" s="210">
        <f t="shared" si="15"/>
        <v>1.1080843990950644</v>
      </c>
      <c r="J103" s="198"/>
      <c r="K103" s="210">
        <f t="shared" si="16"/>
        <v>0</v>
      </c>
      <c r="L103" s="199">
        <v>335.3</v>
      </c>
      <c r="M103" s="211">
        <f t="shared" si="17"/>
        <v>1.1080843990950644</v>
      </c>
      <c r="N103" s="199">
        <v>7849.3729999999987</v>
      </c>
      <c r="O103" s="198">
        <v>3.5</v>
      </c>
      <c r="P103" s="200">
        <v>1.615956415346969E-2</v>
      </c>
      <c r="Q103" s="198">
        <v>19.909999999999997</v>
      </c>
      <c r="R103" s="200">
        <v>9.1924834941594702E-2</v>
      </c>
      <c r="S103" s="199">
        <v>6675.8229999999994</v>
      </c>
      <c r="T103" s="198" t="s">
        <v>315</v>
      </c>
      <c r="U103" s="198" t="s">
        <v>217</v>
      </c>
      <c r="V103" s="198" t="s">
        <v>346</v>
      </c>
      <c r="W103" s="205">
        <v>1</v>
      </c>
      <c r="X103" s="198" t="s">
        <v>114</v>
      </c>
    </row>
    <row r="104" spans="2:24">
      <c r="B104" s="496"/>
      <c r="C104" s="496"/>
      <c r="D104" s="209">
        <v>8</v>
      </c>
      <c r="E104" s="198" t="s">
        <v>294</v>
      </c>
      <c r="F104" s="199">
        <v>1170.1577600000001</v>
      </c>
      <c r="G104" s="267">
        <v>55.15</v>
      </c>
      <c r="H104" s="267">
        <v>55.250999999999998</v>
      </c>
      <c r="I104" s="210">
        <f t="shared" si="15"/>
        <v>1.0018313689936535</v>
      </c>
      <c r="J104" s="198"/>
      <c r="K104" s="210">
        <f t="shared" si="16"/>
        <v>0</v>
      </c>
      <c r="L104" s="199">
        <v>821.74</v>
      </c>
      <c r="M104" s="211">
        <f t="shared" si="17"/>
        <v>1.0018313689936535</v>
      </c>
      <c r="N104" s="199">
        <v>82.995739999999259</v>
      </c>
      <c r="O104" s="198">
        <v>1.4239999999999999</v>
      </c>
      <c r="P104" s="200">
        <v>2.5820489573889393E-2</v>
      </c>
      <c r="Q104" s="198">
        <v>-1.3230000000000008</v>
      </c>
      <c r="R104" s="200">
        <v>-2.3989120580235737E-2</v>
      </c>
      <c r="S104" s="199">
        <v>-1087.1620200000007</v>
      </c>
      <c r="T104" s="198" t="s">
        <v>278</v>
      </c>
      <c r="U104" s="198" t="s">
        <v>212</v>
      </c>
      <c r="V104" s="198" t="s">
        <v>378</v>
      </c>
      <c r="W104" s="205">
        <v>1</v>
      </c>
      <c r="X104" s="198" t="s">
        <v>115</v>
      </c>
    </row>
    <row r="105" spans="2:24">
      <c r="B105" s="496"/>
      <c r="C105" s="496"/>
      <c r="D105" s="209">
        <v>9</v>
      </c>
      <c r="E105" s="198" t="s">
        <v>279</v>
      </c>
      <c r="F105" s="199">
        <v>1079.39912</v>
      </c>
      <c r="G105" s="267">
        <v>275.19600000000003</v>
      </c>
      <c r="H105" s="267">
        <v>276.49</v>
      </c>
      <c r="I105" s="210">
        <f t="shared" si="15"/>
        <v>1.0047021032282446</v>
      </c>
      <c r="J105" s="198"/>
      <c r="K105" s="210">
        <f t="shared" si="16"/>
        <v>0</v>
      </c>
      <c r="L105" s="199">
        <v>140.62</v>
      </c>
      <c r="M105" s="211">
        <f t="shared" si="17"/>
        <v>1.0047021032282446</v>
      </c>
      <c r="N105" s="199">
        <v>181.96227999999758</v>
      </c>
      <c r="O105" s="198">
        <v>7.6760000000000002</v>
      </c>
      <c r="P105" s="200">
        <v>2.7892847279756969E-2</v>
      </c>
      <c r="Q105" s="198">
        <v>-6.3820000000000174</v>
      </c>
      <c r="R105" s="200">
        <v>-2.3190744051512439E-2</v>
      </c>
      <c r="S105" s="199">
        <v>-897.43684000000246</v>
      </c>
      <c r="T105" s="198" t="s">
        <v>308</v>
      </c>
      <c r="U105" s="198" t="s">
        <v>212</v>
      </c>
      <c r="V105" s="198" t="s">
        <v>379</v>
      </c>
      <c r="W105" s="205">
        <v>1</v>
      </c>
      <c r="X105" s="198" t="s">
        <v>113</v>
      </c>
    </row>
    <row r="106" spans="2:24" ht="16.5">
      <c r="B106" s="496"/>
      <c r="C106" s="496"/>
      <c r="D106" s="209">
        <v>10</v>
      </c>
      <c r="E106" s="198" t="s">
        <v>289</v>
      </c>
      <c r="F106" s="199">
        <v>969</v>
      </c>
      <c r="G106" s="267">
        <v>421.47</v>
      </c>
      <c r="H106" s="267">
        <v>479.25900000000001</v>
      </c>
      <c r="I106" s="210">
        <f t="shared" si="15"/>
        <v>1.1371129617766389</v>
      </c>
      <c r="J106" s="198"/>
      <c r="K106" s="210">
        <f t="shared" si="16"/>
        <v>0</v>
      </c>
      <c r="L106" s="199">
        <v>85</v>
      </c>
      <c r="M106" s="211">
        <f t="shared" si="17"/>
        <v>1.1371129617766389</v>
      </c>
      <c r="N106" s="199">
        <v>4912.0649999999987</v>
      </c>
      <c r="O106" s="198">
        <v>11.4</v>
      </c>
      <c r="P106" s="200">
        <v>2.704818848316606E-2</v>
      </c>
      <c r="Q106" s="198">
        <v>46.388999999999989</v>
      </c>
      <c r="R106" s="200">
        <v>0.11006477329347281</v>
      </c>
      <c r="S106" s="199">
        <v>3943.0649999999991</v>
      </c>
      <c r="T106" s="198" t="s">
        <v>308</v>
      </c>
      <c r="U106" s="198" t="s">
        <v>276</v>
      </c>
      <c r="V106" s="264" t="s">
        <v>380</v>
      </c>
      <c r="W106" s="205">
        <v>1</v>
      </c>
      <c r="X106" s="198" t="s">
        <v>134</v>
      </c>
    </row>
    <row r="107" spans="2:24">
      <c r="B107" s="495">
        <v>45880</v>
      </c>
      <c r="C107" s="496" t="s">
        <v>65</v>
      </c>
      <c r="D107" s="209">
        <v>1</v>
      </c>
      <c r="E107" s="198" t="s">
        <v>331</v>
      </c>
      <c r="F107" s="199">
        <v>1413.2895000000001</v>
      </c>
      <c r="G107" s="267">
        <v>195.58</v>
      </c>
      <c r="H107" s="267">
        <v>205.739</v>
      </c>
      <c r="I107" s="210">
        <f t="shared" si="15"/>
        <v>1.0519429389508128</v>
      </c>
      <c r="J107" s="198"/>
      <c r="K107" s="210">
        <f t="shared" si="16"/>
        <v>0</v>
      </c>
      <c r="L107" s="199">
        <v>335.3</v>
      </c>
      <c r="M107" s="211">
        <f t="shared" si="17"/>
        <v>1.0519429389508128</v>
      </c>
      <c r="N107" s="199">
        <v>3406.3126999999972</v>
      </c>
      <c r="O107" s="198">
        <v>4.2149999999999999</v>
      </c>
      <c r="P107" s="200">
        <v>2.1551283362306984E-2</v>
      </c>
      <c r="Q107" s="198">
        <v>5.943999999999992</v>
      </c>
      <c r="R107" s="200">
        <v>3.0391655588505938E-2</v>
      </c>
      <c r="S107" s="199">
        <v>1993.0231999999974</v>
      </c>
      <c r="T107" s="198" t="s">
        <v>315</v>
      </c>
      <c r="U107" s="198" t="s">
        <v>217</v>
      </c>
      <c r="V107" s="198" t="s">
        <v>332</v>
      </c>
      <c r="W107" s="205">
        <v>1</v>
      </c>
      <c r="X107" s="198" t="s">
        <v>114</v>
      </c>
    </row>
    <row r="108" spans="2:24">
      <c r="B108" s="496"/>
      <c r="C108" s="496"/>
      <c r="D108" s="209">
        <v>2</v>
      </c>
      <c r="E108" s="198" t="s">
        <v>279</v>
      </c>
      <c r="F108" s="199">
        <v>1388.48188</v>
      </c>
      <c r="G108" s="267">
        <v>293.012</v>
      </c>
      <c r="H108" s="267">
        <v>302.995</v>
      </c>
      <c r="I108" s="210">
        <f t="shared" si="15"/>
        <v>1.034070276985243</v>
      </c>
      <c r="J108" s="198"/>
      <c r="K108" s="210">
        <f t="shared" si="16"/>
        <v>0</v>
      </c>
      <c r="L108" s="199">
        <v>140.62</v>
      </c>
      <c r="M108" s="211">
        <f t="shared" si="17"/>
        <v>1.034070276985243</v>
      </c>
      <c r="N108" s="199">
        <v>1403.8094600000006</v>
      </c>
      <c r="O108" s="198">
        <v>9.8740000000000006</v>
      </c>
      <c r="P108" s="200">
        <v>3.3698278568795821E-2</v>
      </c>
      <c r="Q108" s="198">
        <v>0.10900000000000354</v>
      </c>
      <c r="R108" s="200">
        <v>3.7199841644712002E-4</v>
      </c>
      <c r="S108" s="199">
        <v>15.327580000000498</v>
      </c>
      <c r="T108" s="198" t="s">
        <v>308</v>
      </c>
      <c r="U108" s="198" t="s">
        <v>276</v>
      </c>
      <c r="V108" s="198" t="s">
        <v>368</v>
      </c>
      <c r="W108" s="205">
        <v>1</v>
      </c>
      <c r="X108" s="198" t="s">
        <v>113</v>
      </c>
    </row>
    <row r="109" spans="2:24">
      <c r="B109" s="496"/>
      <c r="C109" s="496"/>
      <c r="D109" s="209">
        <v>3</v>
      </c>
      <c r="E109" s="198" t="s">
        <v>277</v>
      </c>
      <c r="F109" s="199">
        <v>1216.2070699999999</v>
      </c>
      <c r="G109" s="267">
        <v>476.8</v>
      </c>
      <c r="H109" s="267">
        <v>485.03500000000003</v>
      </c>
      <c r="I109" s="210">
        <f t="shared" si="15"/>
        <v>1.0172713926174497</v>
      </c>
      <c r="J109" s="198"/>
      <c r="K109" s="210">
        <f t="shared" si="16"/>
        <v>0</v>
      </c>
      <c r="L109" s="199">
        <v>132.47</v>
      </c>
      <c r="M109" s="211">
        <f t="shared" si="17"/>
        <v>1.0172713926174497</v>
      </c>
      <c r="N109" s="199">
        <v>1090.8904500000017</v>
      </c>
      <c r="O109" s="198">
        <v>9.1809999999999992</v>
      </c>
      <c r="P109" s="200">
        <v>1.9255453020134226E-2</v>
      </c>
      <c r="Q109" s="198">
        <v>-0.94599999999998552</v>
      </c>
      <c r="R109" s="200">
        <v>-1.9840604026845335E-3</v>
      </c>
      <c r="S109" s="199">
        <v>-125.31661999999808</v>
      </c>
      <c r="T109" s="198" t="s">
        <v>308</v>
      </c>
      <c r="U109" s="198" t="s">
        <v>276</v>
      </c>
      <c r="V109" s="198" t="s">
        <v>371</v>
      </c>
      <c r="W109" s="205">
        <v>1</v>
      </c>
      <c r="X109" s="198" t="s">
        <v>110</v>
      </c>
    </row>
    <row r="110" spans="2:24">
      <c r="B110" s="496"/>
      <c r="C110" s="496"/>
      <c r="D110" s="209">
        <v>4</v>
      </c>
      <c r="E110" s="198" t="s">
        <v>283</v>
      </c>
      <c r="F110" s="199">
        <v>1204.8596</v>
      </c>
      <c r="G110" s="267">
        <v>173.83500000000001</v>
      </c>
      <c r="H110" s="267">
        <v>180.93600000000001</v>
      </c>
      <c r="I110" s="210">
        <f t="shared" si="15"/>
        <v>1.0408490810251101</v>
      </c>
      <c r="J110" s="198"/>
      <c r="K110" s="210">
        <f t="shared" si="16"/>
        <v>0</v>
      </c>
      <c r="L110" s="199">
        <v>162.38</v>
      </c>
      <c r="M110" s="211">
        <f t="shared" si="17"/>
        <v>1.0408490810251101</v>
      </c>
      <c r="N110" s="199">
        <v>1153.0603799999999</v>
      </c>
      <c r="O110" s="198">
        <v>7.42</v>
      </c>
      <c r="P110" s="200">
        <v>4.268415451433831E-2</v>
      </c>
      <c r="Q110" s="198">
        <v>-0.31900000000000084</v>
      </c>
      <c r="R110" s="200">
        <v>-1.8350734892282959E-3</v>
      </c>
      <c r="S110" s="199">
        <v>-51.799220000000133</v>
      </c>
      <c r="T110" s="198" t="s">
        <v>308</v>
      </c>
      <c r="U110" s="198" t="s">
        <v>276</v>
      </c>
      <c r="V110" s="198" t="s">
        <v>381</v>
      </c>
      <c r="W110" s="205">
        <v>1</v>
      </c>
      <c r="X110" s="198" t="s">
        <v>121</v>
      </c>
    </row>
    <row r="111" spans="2:24">
      <c r="B111" s="496"/>
      <c r="C111" s="496"/>
      <c r="D111" s="209">
        <v>5</v>
      </c>
      <c r="E111" s="198" t="s">
        <v>288</v>
      </c>
      <c r="F111" s="199">
        <v>1033.345</v>
      </c>
      <c r="G111" s="267">
        <v>23.178000000000001</v>
      </c>
      <c r="H111" s="267">
        <v>23.445</v>
      </c>
      <c r="I111" s="210">
        <f t="shared" si="15"/>
        <v>1.0115195443955476</v>
      </c>
      <c r="J111" s="198"/>
      <c r="K111" s="210">
        <f t="shared" si="16"/>
        <v>0</v>
      </c>
      <c r="L111" s="199">
        <v>85</v>
      </c>
      <c r="M111" s="211">
        <f t="shared" si="17"/>
        <v>1.0115195443955476</v>
      </c>
      <c r="N111" s="199">
        <v>22.694999999999954</v>
      </c>
      <c r="O111" s="198">
        <v>12.157</v>
      </c>
      <c r="P111" s="200">
        <v>0.52450599706618339</v>
      </c>
      <c r="Q111" s="198">
        <v>-11.89</v>
      </c>
      <c r="R111" s="200">
        <v>-0.51298645267063592</v>
      </c>
      <c r="S111" s="199">
        <v>-1010.6500000000001</v>
      </c>
      <c r="T111" s="198" t="s">
        <v>315</v>
      </c>
      <c r="U111" s="198" t="s">
        <v>217</v>
      </c>
      <c r="V111" s="198" t="s">
        <v>345</v>
      </c>
      <c r="W111" s="205">
        <v>1</v>
      </c>
      <c r="X111" s="198" t="s">
        <v>121</v>
      </c>
    </row>
    <row r="112" spans="2:24">
      <c r="B112" s="496"/>
      <c r="C112" s="496"/>
      <c r="D112" s="209">
        <v>6</v>
      </c>
      <c r="E112" s="198" t="s">
        <v>274</v>
      </c>
      <c r="F112" s="199">
        <v>618.21982000000003</v>
      </c>
      <c r="G112" s="267">
        <v>829.30499999999995</v>
      </c>
      <c r="H112" s="267">
        <v>836.69899999999996</v>
      </c>
      <c r="I112" s="210">
        <f t="shared" si="15"/>
        <v>1.0089158994579799</v>
      </c>
      <c r="J112" s="198"/>
      <c r="K112" s="210">
        <f t="shared" si="16"/>
        <v>0</v>
      </c>
      <c r="L112" s="199">
        <v>156.66999999999999</v>
      </c>
      <c r="M112" s="211">
        <f t="shared" si="17"/>
        <v>1.0089158994579799</v>
      </c>
      <c r="N112" s="199">
        <v>1158.4179800000009</v>
      </c>
      <c r="O112" s="198">
        <v>3.9460000000000002</v>
      </c>
      <c r="P112" s="200">
        <v>4.7582011443317003E-3</v>
      </c>
      <c r="Q112" s="198">
        <v>3.4480000000000053</v>
      </c>
      <c r="R112" s="200">
        <v>4.1576983136481817E-3</v>
      </c>
      <c r="S112" s="199">
        <v>540.19816000000083</v>
      </c>
      <c r="T112" s="198" t="s">
        <v>308</v>
      </c>
      <c r="U112" s="198" t="s">
        <v>276</v>
      </c>
      <c r="V112" s="198" t="s">
        <v>382</v>
      </c>
      <c r="W112" s="205">
        <v>1</v>
      </c>
      <c r="X112" s="198" t="s">
        <v>114</v>
      </c>
    </row>
    <row r="113" spans="2:25" ht="16.5">
      <c r="B113" s="496"/>
      <c r="C113" s="496"/>
      <c r="D113" s="209">
        <v>7</v>
      </c>
      <c r="E113" s="198" t="s">
        <v>298</v>
      </c>
      <c r="F113" s="199">
        <v>588.71177</v>
      </c>
      <c r="G113" s="267">
        <v>947.98</v>
      </c>
      <c r="H113" s="267">
        <v>950.66499999999996</v>
      </c>
      <c r="I113" s="210">
        <f t="shared" si="15"/>
        <v>1.0028323382349837</v>
      </c>
      <c r="J113" s="198"/>
      <c r="K113" s="210">
        <f t="shared" si="16"/>
        <v>0</v>
      </c>
      <c r="L113" s="199">
        <v>47.89</v>
      </c>
      <c r="M113" s="211">
        <f t="shared" si="17"/>
        <v>1.0028323382349837</v>
      </c>
      <c r="N113" s="199">
        <v>128.5846499999974</v>
      </c>
      <c r="O113" s="198">
        <v>12.292999999999999</v>
      </c>
      <c r="P113" s="200">
        <v>1.2967573155551804E-2</v>
      </c>
      <c r="Q113" s="198">
        <v>-9.6080000000000538</v>
      </c>
      <c r="R113" s="200">
        <v>-1.0135234920568E-2</v>
      </c>
      <c r="S113" s="199">
        <v>-460.12712000000261</v>
      </c>
      <c r="T113" s="198" t="s">
        <v>278</v>
      </c>
      <c r="U113" s="198" t="s">
        <v>212</v>
      </c>
      <c r="V113" s="264" t="s">
        <v>383</v>
      </c>
      <c r="W113" s="205">
        <v>1</v>
      </c>
      <c r="X113" s="198" t="s">
        <v>109</v>
      </c>
    </row>
    <row r="114" spans="2:25" ht="16.5">
      <c r="B114" s="496"/>
      <c r="C114" s="496"/>
      <c r="D114" s="209">
        <v>8</v>
      </c>
      <c r="E114" s="198" t="s">
        <v>284</v>
      </c>
      <c r="F114" s="199">
        <v>559.86</v>
      </c>
      <c r="G114" s="267">
        <v>68.837999999999994</v>
      </c>
      <c r="H114" s="267">
        <v>68.861999999999995</v>
      </c>
      <c r="I114" s="210">
        <f t="shared" si="15"/>
        <v>1.0003486446439467</v>
      </c>
      <c r="J114" s="198"/>
      <c r="K114" s="210">
        <f t="shared" si="16"/>
        <v>0</v>
      </c>
      <c r="L114" s="199">
        <v>93</v>
      </c>
      <c r="M114" s="211">
        <f t="shared" si="17"/>
        <v>1.0003486446439467</v>
      </c>
      <c r="N114" s="199">
        <v>2.2320000000000846</v>
      </c>
      <c r="O114" s="198">
        <v>6.02</v>
      </c>
      <c r="P114" s="200">
        <v>8.7451698189953228E-2</v>
      </c>
      <c r="Q114" s="198">
        <v>-5.9959999999999987</v>
      </c>
      <c r="R114" s="200">
        <v>-8.7103053546006559E-2</v>
      </c>
      <c r="S114" s="199">
        <v>-557.62799999999993</v>
      </c>
      <c r="T114" s="198" t="s">
        <v>278</v>
      </c>
      <c r="U114" s="198" t="s">
        <v>212</v>
      </c>
      <c r="V114" s="264" t="s">
        <v>384</v>
      </c>
      <c r="W114" s="205">
        <v>1</v>
      </c>
      <c r="X114" s="198" t="s">
        <v>113</v>
      </c>
    </row>
    <row r="115" spans="2:25">
      <c r="B115" s="496"/>
      <c r="C115" s="496"/>
      <c r="D115" s="209">
        <v>9</v>
      </c>
      <c r="E115" s="198" t="s">
        <v>323</v>
      </c>
      <c r="F115" s="199">
        <v>551.30439000000001</v>
      </c>
      <c r="G115" s="267">
        <v>99.176000000000002</v>
      </c>
      <c r="H115" s="267">
        <v>100.184</v>
      </c>
      <c r="I115" s="210">
        <f t="shared" si="15"/>
        <v>1.010163749294184</v>
      </c>
      <c r="J115" s="198"/>
      <c r="K115" s="210">
        <f t="shared" si="16"/>
        <v>0</v>
      </c>
      <c r="L115" s="199">
        <v>356.37</v>
      </c>
      <c r="M115" s="211">
        <f t="shared" si="17"/>
        <v>1.010163749294184</v>
      </c>
      <c r="N115" s="199">
        <v>359.2209599999984</v>
      </c>
      <c r="O115" s="198">
        <v>1.5469999999999999</v>
      </c>
      <c r="P115" s="200">
        <v>1.5598531902879728E-2</v>
      </c>
      <c r="Q115" s="198">
        <v>-0.53900000000000436</v>
      </c>
      <c r="R115" s="200">
        <v>-5.4347826086956963E-3</v>
      </c>
      <c r="S115" s="199">
        <v>-192.08343000000156</v>
      </c>
      <c r="T115" s="198" t="s">
        <v>315</v>
      </c>
      <c r="U115" s="198" t="s">
        <v>217</v>
      </c>
      <c r="V115" s="198" t="s">
        <v>385</v>
      </c>
      <c r="W115" s="205">
        <v>1</v>
      </c>
      <c r="X115" s="198" t="s">
        <v>317</v>
      </c>
    </row>
    <row r="116" spans="2:25" ht="16.5">
      <c r="B116" s="496"/>
      <c r="C116" s="496"/>
      <c r="D116" s="209">
        <v>10</v>
      </c>
      <c r="E116" s="198" t="s">
        <v>329</v>
      </c>
      <c r="F116" s="199">
        <v>533.79458</v>
      </c>
      <c r="G116" s="267">
        <v>14.83</v>
      </c>
      <c r="H116" s="267">
        <v>15</v>
      </c>
      <c r="I116" s="210">
        <f t="shared" si="15"/>
        <v>1.0114632501685772</v>
      </c>
      <c r="J116" s="198"/>
      <c r="K116" s="210">
        <f t="shared" si="16"/>
        <v>0</v>
      </c>
      <c r="L116" s="199">
        <v>584.66</v>
      </c>
      <c r="M116" s="211">
        <f t="shared" si="17"/>
        <v>1.0114632501685772</v>
      </c>
      <c r="N116" s="199">
        <v>99.39219999999996</v>
      </c>
      <c r="O116" s="198">
        <v>0.91300000000000003</v>
      </c>
      <c r="P116" s="200">
        <v>6.1564396493594069E-2</v>
      </c>
      <c r="Q116" s="198">
        <v>-0.7430000000000001</v>
      </c>
      <c r="R116" s="200">
        <v>-5.0101146325016867E-2</v>
      </c>
      <c r="S116" s="199">
        <v>-434.40238000000005</v>
      </c>
      <c r="T116" s="198" t="s">
        <v>278</v>
      </c>
      <c r="U116" s="198" t="s">
        <v>212</v>
      </c>
      <c r="V116" s="264" t="s">
        <v>386</v>
      </c>
      <c r="W116" s="205">
        <v>1</v>
      </c>
      <c r="X116" s="198" t="s">
        <v>111</v>
      </c>
    </row>
    <row r="117" spans="2:25">
      <c r="B117" s="495">
        <v>45881</v>
      </c>
      <c r="C117" s="496" t="s">
        <v>66</v>
      </c>
      <c r="D117" s="209">
        <v>11</v>
      </c>
      <c r="E117" s="198" t="s">
        <v>294</v>
      </c>
      <c r="F117" s="199">
        <v>1436.4015200000001</v>
      </c>
      <c r="G117" s="267">
        <v>54.674999999999997</v>
      </c>
      <c r="H117" s="267">
        <v>55.177</v>
      </c>
      <c r="I117" s="210">
        <f t="shared" ref="I117:I180" si="18">H117/G117</f>
        <v>1.0091815272062186</v>
      </c>
      <c r="J117" s="198"/>
      <c r="K117" s="210">
        <f t="shared" ref="K117:K180" si="19">J117/G117</f>
        <v>0</v>
      </c>
      <c r="L117" s="199">
        <v>821.74</v>
      </c>
      <c r="M117" s="211">
        <f t="shared" ref="M117:M180" si="20">(H117+J117)/G117</f>
        <v>1.0091815272062186</v>
      </c>
      <c r="N117" s="199">
        <v>412.513480000002</v>
      </c>
      <c r="O117" s="198">
        <v>1.748</v>
      </c>
      <c r="P117" s="200">
        <v>3.1970736168267032E-2</v>
      </c>
      <c r="Q117" s="198">
        <v>-1.2459999999999976</v>
      </c>
      <c r="R117" s="200">
        <v>-2.2789208962048425E-2</v>
      </c>
      <c r="S117" s="199">
        <v>-1023.888039999998</v>
      </c>
      <c r="T117" s="198" t="s">
        <v>278</v>
      </c>
      <c r="U117" s="198" t="s">
        <v>212</v>
      </c>
      <c r="V117" s="198" t="s">
        <v>387</v>
      </c>
      <c r="W117" s="205">
        <v>1</v>
      </c>
      <c r="X117" s="198" t="s">
        <v>115</v>
      </c>
    </row>
    <row r="118" spans="2:25">
      <c r="B118" s="496"/>
      <c r="C118" s="496"/>
      <c r="D118" s="209">
        <v>12</v>
      </c>
      <c r="E118" s="198" t="s">
        <v>283</v>
      </c>
      <c r="F118" s="199">
        <v>1232.4641999999999</v>
      </c>
      <c r="G118" s="267">
        <v>170.05500000000001</v>
      </c>
      <c r="H118" s="267">
        <v>171.1</v>
      </c>
      <c r="I118" s="210">
        <f t="shared" si="18"/>
        <v>1.0061450707124164</v>
      </c>
      <c r="J118" s="198"/>
      <c r="K118" s="210">
        <f t="shared" si="19"/>
        <v>0</v>
      </c>
      <c r="L118" s="199">
        <v>162.38</v>
      </c>
      <c r="M118" s="211">
        <f t="shared" si="20"/>
        <v>1.0061450707124164</v>
      </c>
      <c r="N118" s="199">
        <v>169.68709999999797</v>
      </c>
      <c r="O118" s="198">
        <v>7.59</v>
      </c>
      <c r="P118" s="200">
        <v>4.4632618858604568E-2</v>
      </c>
      <c r="Q118" s="198">
        <v>-6.5450000000000124</v>
      </c>
      <c r="R118" s="200">
        <v>-3.8487548146188072E-2</v>
      </c>
      <c r="S118" s="199">
        <v>-1062.7771000000021</v>
      </c>
      <c r="T118" s="198" t="s">
        <v>278</v>
      </c>
      <c r="U118" s="198" t="s">
        <v>212</v>
      </c>
      <c r="V118" s="198" t="s">
        <v>388</v>
      </c>
      <c r="W118" s="205">
        <v>1</v>
      </c>
      <c r="X118" s="198" t="s">
        <v>121</v>
      </c>
    </row>
    <row r="119" spans="2:25" ht="16.5">
      <c r="B119" s="496"/>
      <c r="C119" s="496"/>
      <c r="D119" s="209">
        <v>13</v>
      </c>
      <c r="E119" s="198" t="s">
        <v>279</v>
      </c>
      <c r="F119" s="199">
        <v>1021.4636800000001</v>
      </c>
      <c r="G119" s="267">
        <v>305.79599999999999</v>
      </c>
      <c r="H119" s="267">
        <v>312.04899999999998</v>
      </c>
      <c r="I119" s="210">
        <f t="shared" si="18"/>
        <v>1.0204482727046789</v>
      </c>
      <c r="J119" s="198"/>
      <c r="K119" s="210">
        <f t="shared" si="19"/>
        <v>0</v>
      </c>
      <c r="L119" s="199">
        <v>140.62</v>
      </c>
      <c r="M119" s="211">
        <f t="shared" si="20"/>
        <v>1.0204482727046789</v>
      </c>
      <c r="N119" s="199">
        <v>879.29685999999799</v>
      </c>
      <c r="O119" s="198">
        <v>7.2640000000000002</v>
      </c>
      <c r="P119" s="200">
        <v>2.3754398357074654E-2</v>
      </c>
      <c r="Q119" s="198">
        <v>-1.0110000000000143</v>
      </c>
      <c r="R119" s="200">
        <v>-3.3061256523957616E-3</v>
      </c>
      <c r="S119" s="199">
        <v>-142.16682000000202</v>
      </c>
      <c r="T119" s="198" t="s">
        <v>308</v>
      </c>
      <c r="U119" s="198" t="s">
        <v>276</v>
      </c>
      <c r="V119" s="264" t="s">
        <v>389</v>
      </c>
      <c r="W119" s="205">
        <v>1</v>
      </c>
      <c r="X119" s="198" t="s">
        <v>113</v>
      </c>
    </row>
    <row r="120" spans="2:25" ht="16.5">
      <c r="B120" s="496"/>
      <c r="C120" s="496"/>
      <c r="D120" s="209">
        <v>14</v>
      </c>
      <c r="E120" s="198" t="s">
        <v>274</v>
      </c>
      <c r="F120" s="199">
        <v>972.13734999999997</v>
      </c>
      <c r="G120" s="267">
        <v>840.375</v>
      </c>
      <c r="H120" s="267">
        <v>850.601</v>
      </c>
      <c r="I120" s="210">
        <f t="shared" si="18"/>
        <v>1.0121683772125538</v>
      </c>
      <c r="J120" s="198"/>
      <c r="K120" s="210">
        <f t="shared" si="19"/>
        <v>0</v>
      </c>
      <c r="L120" s="199">
        <v>156.66999999999999</v>
      </c>
      <c r="M120" s="211">
        <f t="shared" si="20"/>
        <v>1.0121683772125538</v>
      </c>
      <c r="N120" s="199">
        <v>1602.1074199999998</v>
      </c>
      <c r="O120" s="198">
        <v>6.2050000000000001</v>
      </c>
      <c r="P120" s="200">
        <v>7.3836085081065003E-3</v>
      </c>
      <c r="Q120" s="198">
        <v>4.020999999999999</v>
      </c>
      <c r="R120" s="200">
        <v>4.7847687044474179E-3</v>
      </c>
      <c r="S120" s="199">
        <v>629.97006999999985</v>
      </c>
      <c r="T120" s="198" t="s">
        <v>308</v>
      </c>
      <c r="U120" s="198" t="s">
        <v>276</v>
      </c>
      <c r="V120" s="264" t="s">
        <v>351</v>
      </c>
      <c r="W120" s="205">
        <v>1</v>
      </c>
      <c r="X120" s="198" t="s">
        <v>109</v>
      </c>
    </row>
    <row r="121" spans="2:25" ht="16.5">
      <c r="B121" s="496"/>
      <c r="C121" s="496"/>
      <c r="D121" s="209">
        <v>15</v>
      </c>
      <c r="E121" s="198" t="s">
        <v>301</v>
      </c>
      <c r="F121" s="199">
        <v>957.68035999999995</v>
      </c>
      <c r="G121" s="267">
        <v>193.23</v>
      </c>
      <c r="H121" s="267">
        <v>200.22800000000001</v>
      </c>
      <c r="I121" s="210">
        <f t="shared" si="18"/>
        <v>1.0362159085028206</v>
      </c>
      <c r="J121" s="198"/>
      <c r="K121" s="210">
        <f t="shared" si="19"/>
        <v>0</v>
      </c>
      <c r="L121" s="199">
        <v>111.41</v>
      </c>
      <c r="M121" s="211">
        <f t="shared" si="20"/>
        <v>1.0362159085028206</v>
      </c>
      <c r="N121" s="199">
        <v>779.64718000000209</v>
      </c>
      <c r="O121" s="198">
        <v>8.5960000000000001</v>
      </c>
      <c r="P121" s="200">
        <v>4.4485845883144443E-2</v>
      </c>
      <c r="Q121" s="198">
        <v>-1.5979999999999812</v>
      </c>
      <c r="R121" s="200">
        <v>-8.2699373803238694E-3</v>
      </c>
      <c r="S121" s="199">
        <v>-178.03317999999791</v>
      </c>
      <c r="T121" s="198" t="s">
        <v>308</v>
      </c>
      <c r="U121" s="198" t="s">
        <v>276</v>
      </c>
      <c r="V121" s="264" t="s">
        <v>390</v>
      </c>
      <c r="W121" s="205">
        <v>1</v>
      </c>
      <c r="X121" s="198" t="s">
        <v>111</v>
      </c>
    </row>
    <row r="122" spans="2:25" ht="16.5">
      <c r="B122" s="496"/>
      <c r="C122" s="496"/>
      <c r="D122" s="209">
        <v>16</v>
      </c>
      <c r="E122" s="198" t="s">
        <v>277</v>
      </c>
      <c r="F122" s="199">
        <v>955.63858000000005</v>
      </c>
      <c r="G122" s="267">
        <v>490.64</v>
      </c>
      <c r="H122" s="267">
        <v>501.59500000000003</v>
      </c>
      <c r="I122" s="210">
        <f t="shared" si="18"/>
        <v>1.0223279797815099</v>
      </c>
      <c r="J122" s="198"/>
      <c r="K122" s="210">
        <f t="shared" si="19"/>
        <v>0</v>
      </c>
      <c r="L122" s="199">
        <v>132.47</v>
      </c>
      <c r="M122" s="211">
        <f t="shared" si="20"/>
        <v>1.0223279797815099</v>
      </c>
      <c r="N122" s="199">
        <v>1451.2088500000054</v>
      </c>
      <c r="O122" s="198">
        <v>7.2140000000000004</v>
      </c>
      <c r="P122" s="200">
        <v>1.4703244741562043E-2</v>
      </c>
      <c r="Q122" s="198">
        <v>3.7410000000000405</v>
      </c>
      <c r="R122" s="200">
        <v>7.6247350399479058E-3</v>
      </c>
      <c r="S122" s="199">
        <v>495.57027000000534</v>
      </c>
      <c r="T122" s="198" t="s">
        <v>308</v>
      </c>
      <c r="U122" s="198" t="s">
        <v>276</v>
      </c>
      <c r="V122" s="264" t="s">
        <v>372</v>
      </c>
      <c r="W122" s="205">
        <v>1</v>
      </c>
      <c r="X122" s="198" t="s">
        <v>110</v>
      </c>
    </row>
    <row r="123" spans="2:25">
      <c r="B123" s="496"/>
      <c r="C123" s="496"/>
      <c r="D123" s="209">
        <v>17</v>
      </c>
      <c r="E123" s="198" t="s">
        <v>323</v>
      </c>
      <c r="F123" s="199">
        <v>852.08067000000005</v>
      </c>
      <c r="G123" s="267">
        <v>105.203</v>
      </c>
      <c r="H123" s="267">
        <v>117.881</v>
      </c>
      <c r="I123" s="210">
        <f t="shared" si="18"/>
        <v>1.1205098713915003</v>
      </c>
      <c r="J123" s="198"/>
      <c r="K123" s="210">
        <f t="shared" si="19"/>
        <v>0</v>
      </c>
      <c r="L123" s="199">
        <v>356.37</v>
      </c>
      <c r="M123" s="211">
        <f t="shared" si="20"/>
        <v>1.1205098713915003</v>
      </c>
      <c r="N123" s="199">
        <v>4518.0588599999992</v>
      </c>
      <c r="O123" s="198">
        <v>2.391</v>
      </c>
      <c r="P123" s="200">
        <v>2.2727488759826241E-2</v>
      </c>
      <c r="Q123" s="198">
        <v>10.286999999999997</v>
      </c>
      <c r="R123" s="200">
        <v>9.7782382631673978E-2</v>
      </c>
      <c r="S123" s="199">
        <v>3665.9781899999989</v>
      </c>
      <c r="T123" s="198" t="s">
        <v>315</v>
      </c>
      <c r="U123" s="198" t="s">
        <v>217</v>
      </c>
      <c r="V123" s="198" t="s">
        <v>361</v>
      </c>
      <c r="W123" s="205">
        <v>1</v>
      </c>
      <c r="X123" s="198" t="s">
        <v>111</v>
      </c>
    </row>
    <row r="124" spans="2:25">
      <c r="B124" s="496"/>
      <c r="C124" s="496"/>
      <c r="D124" s="209">
        <v>18</v>
      </c>
      <c r="E124" s="198" t="s">
        <v>285</v>
      </c>
      <c r="F124" s="199">
        <v>816.07280000000003</v>
      </c>
      <c r="G124" s="267">
        <v>52.12</v>
      </c>
      <c r="H124" s="267">
        <v>56.777000000000001</v>
      </c>
      <c r="I124" s="210">
        <f t="shared" si="18"/>
        <v>1.0893514965464315</v>
      </c>
      <c r="J124" s="198"/>
      <c r="K124" s="210">
        <f t="shared" si="19"/>
        <v>0</v>
      </c>
      <c r="L124" s="199">
        <v>536.89</v>
      </c>
      <c r="M124" s="211">
        <f t="shared" si="20"/>
        <v>1.0893514965464315</v>
      </c>
      <c r="N124" s="199">
        <v>2500.2967300000018</v>
      </c>
      <c r="O124" s="198">
        <v>1.52</v>
      </c>
      <c r="P124" s="200">
        <v>2.9163468917881814E-2</v>
      </c>
      <c r="Q124" s="198">
        <v>3.1370000000000036</v>
      </c>
      <c r="R124" s="200">
        <v>6.0188027628549572E-2</v>
      </c>
      <c r="S124" s="199">
        <v>1684.2239300000019</v>
      </c>
      <c r="T124" s="198" t="s">
        <v>315</v>
      </c>
      <c r="U124" s="198" t="s">
        <v>217</v>
      </c>
      <c r="V124" s="198" t="s">
        <v>391</v>
      </c>
      <c r="W124" s="205">
        <v>1</v>
      </c>
      <c r="X124" s="198" t="s">
        <v>112</v>
      </c>
    </row>
    <row r="125" spans="2:25">
      <c r="B125" s="496"/>
      <c r="C125" s="496"/>
      <c r="D125" s="209">
        <v>19</v>
      </c>
      <c r="E125" s="198" t="s">
        <v>331</v>
      </c>
      <c r="F125" s="199">
        <v>791.30799999999999</v>
      </c>
      <c r="G125" s="267">
        <v>191.95</v>
      </c>
      <c r="H125" s="267">
        <v>213.36</v>
      </c>
      <c r="I125" s="210">
        <f t="shared" si="18"/>
        <v>1.1115394634019278</v>
      </c>
      <c r="J125" s="198"/>
      <c r="K125" s="210">
        <f t="shared" si="19"/>
        <v>0</v>
      </c>
      <c r="L125" s="199">
        <v>335.3</v>
      </c>
      <c r="M125" s="211">
        <f t="shared" si="20"/>
        <v>1.1115394634019278</v>
      </c>
      <c r="N125" s="199">
        <v>7178.7730000000083</v>
      </c>
      <c r="O125" s="198">
        <v>2.36</v>
      </c>
      <c r="P125" s="200">
        <v>1.2294868455326909E-2</v>
      </c>
      <c r="Q125" s="198">
        <v>19.050000000000026</v>
      </c>
      <c r="R125" s="200">
        <v>9.9244594946600817E-2</v>
      </c>
      <c r="S125" s="199">
        <v>6387.4650000000092</v>
      </c>
      <c r="T125" s="198" t="s">
        <v>315</v>
      </c>
      <c r="U125" s="198" t="s">
        <v>217</v>
      </c>
      <c r="V125" s="198" t="s">
        <v>332</v>
      </c>
      <c r="W125" s="205">
        <v>1</v>
      </c>
      <c r="X125" s="198" t="s">
        <v>114</v>
      </c>
    </row>
    <row r="126" spans="2:25" ht="16.5">
      <c r="B126" s="496"/>
      <c r="C126" s="496"/>
      <c r="D126" s="209">
        <v>20</v>
      </c>
      <c r="E126" s="198" t="s">
        <v>348</v>
      </c>
      <c r="F126" s="199">
        <v>705.71164999999985</v>
      </c>
      <c r="G126" s="267">
        <v>331.55</v>
      </c>
      <c r="H126" s="267">
        <v>344</v>
      </c>
      <c r="I126" s="210">
        <f t="shared" si="18"/>
        <v>1.0375508973005581</v>
      </c>
      <c r="J126" s="198"/>
      <c r="K126" s="210">
        <f t="shared" si="19"/>
        <v>0</v>
      </c>
      <c r="L126" s="199">
        <v>100.02999999999999</v>
      </c>
      <c r="M126" s="211">
        <f t="shared" si="20"/>
        <v>1.0375508973005581</v>
      </c>
      <c r="N126" s="199">
        <v>2197.2589800000005</v>
      </c>
      <c r="O126" s="198">
        <v>7.0549999999999997</v>
      </c>
      <c r="P126" s="200">
        <v>2.1278841803649522E-2</v>
      </c>
      <c r="Q126" s="198">
        <v>5.3949999999999889</v>
      </c>
      <c r="R126" s="200">
        <v>1.6272055496908425E-2</v>
      </c>
      <c r="S126" s="199">
        <v>539.66184999999882</v>
      </c>
      <c r="T126" s="198" t="s">
        <v>308</v>
      </c>
      <c r="U126" s="198" t="s">
        <v>276</v>
      </c>
      <c r="V126" s="264" t="s">
        <v>349</v>
      </c>
      <c r="W126" s="205">
        <v>1</v>
      </c>
      <c r="X126" s="198" t="s">
        <v>114</v>
      </c>
    </row>
    <row r="127" spans="2:25">
      <c r="B127" s="495">
        <v>45882</v>
      </c>
      <c r="C127" s="496" t="s">
        <v>67</v>
      </c>
      <c r="D127" s="209">
        <v>21</v>
      </c>
      <c r="E127" s="198" t="s">
        <v>283</v>
      </c>
      <c r="F127" s="199">
        <v>1891.8893799999998</v>
      </c>
      <c r="G127" s="198">
        <v>174.51</v>
      </c>
      <c r="H127" s="198">
        <v>180.83799999999999</v>
      </c>
      <c r="I127" s="210">
        <f t="shared" si="18"/>
        <v>1.0362615322904132</v>
      </c>
      <c r="J127" s="198"/>
      <c r="K127" s="210">
        <f t="shared" si="19"/>
        <v>0</v>
      </c>
      <c r="L127" s="199">
        <v>821.74</v>
      </c>
      <c r="M127" s="211">
        <f t="shared" si="20"/>
        <v>1.0362615322904132</v>
      </c>
      <c r="N127" s="199">
        <v>1027.5406400000004</v>
      </c>
      <c r="O127" s="198">
        <v>11.651</v>
      </c>
      <c r="P127" s="200">
        <v>6.6764082287547988E-2</v>
      </c>
      <c r="Q127" s="198">
        <v>-5.3229999999999968</v>
      </c>
      <c r="R127" s="200">
        <v>-3.0502549997134819E-2</v>
      </c>
      <c r="S127" s="199">
        <v>-4374.1220199999971</v>
      </c>
      <c r="T127" s="198" t="s">
        <v>308</v>
      </c>
      <c r="U127" s="198" t="s">
        <v>276</v>
      </c>
      <c r="V127" s="198" t="s">
        <v>392</v>
      </c>
      <c r="W127" s="205">
        <v>1</v>
      </c>
      <c r="X127" s="198" t="s">
        <v>121</v>
      </c>
      <c r="Y127" s="201" t="s">
        <v>393</v>
      </c>
    </row>
    <row r="128" spans="2:25" ht="16.5">
      <c r="B128" s="496"/>
      <c r="C128" s="496"/>
      <c r="D128" s="209">
        <v>22</v>
      </c>
      <c r="E128" s="198" t="s">
        <v>274</v>
      </c>
      <c r="F128" s="199">
        <v>1820.6620699999999</v>
      </c>
      <c r="G128" s="198">
        <v>883.84500000000003</v>
      </c>
      <c r="H128" s="198">
        <v>890.55</v>
      </c>
      <c r="I128" s="210">
        <f t="shared" si="18"/>
        <v>1.007586171783514</v>
      </c>
      <c r="J128" s="198"/>
      <c r="K128" s="210">
        <f t="shared" si="19"/>
        <v>0</v>
      </c>
      <c r="L128" s="199">
        <v>162.38</v>
      </c>
      <c r="M128" s="211">
        <f t="shared" si="20"/>
        <v>1.007586171783514</v>
      </c>
      <c r="N128" s="199">
        <v>1050.4723499999884</v>
      </c>
      <c r="O128" s="198">
        <v>11.621</v>
      </c>
      <c r="P128" s="200">
        <v>1.3148233004655794E-2</v>
      </c>
      <c r="Q128" s="198">
        <v>-4.9160000000000732</v>
      </c>
      <c r="R128" s="200">
        <v>-5.5620612211417985E-3</v>
      </c>
      <c r="S128" s="199">
        <v>-798.26008000001184</v>
      </c>
      <c r="T128" s="198" t="s">
        <v>308</v>
      </c>
      <c r="U128" s="198" t="s">
        <v>276</v>
      </c>
      <c r="V128" s="264" t="s">
        <v>394</v>
      </c>
      <c r="W128" s="205">
        <v>1</v>
      </c>
      <c r="X128" s="198" t="s">
        <v>109</v>
      </c>
      <c r="Y128" s="203" t="s">
        <v>395</v>
      </c>
    </row>
    <row r="129" spans="2:24" ht="16.5">
      <c r="B129" s="496"/>
      <c r="C129" s="496"/>
      <c r="D129" s="209">
        <v>23</v>
      </c>
      <c r="E129" s="198" t="s">
        <v>284</v>
      </c>
      <c r="F129" s="199">
        <v>1231.8779999999999</v>
      </c>
      <c r="G129" s="198">
        <v>69.828000000000003</v>
      </c>
      <c r="H129" s="198">
        <v>70.135999999999996</v>
      </c>
      <c r="I129" s="210">
        <f t="shared" si="18"/>
        <v>1.0044108380592311</v>
      </c>
      <c r="J129" s="198"/>
      <c r="K129" s="210">
        <f t="shared" si="19"/>
        <v>0</v>
      </c>
      <c r="L129" s="199">
        <v>140.62</v>
      </c>
      <c r="M129" s="211">
        <f t="shared" si="20"/>
        <v>1.0044108380592311</v>
      </c>
      <c r="N129" s="199">
        <v>28.643999999999323</v>
      </c>
      <c r="O129" s="198">
        <v>13.246</v>
      </c>
      <c r="P129" s="200">
        <v>0.18969467835252335</v>
      </c>
      <c r="Q129" s="198">
        <v>-12.938000000000008</v>
      </c>
      <c r="R129" s="200">
        <v>-0.1852838402932922</v>
      </c>
      <c r="S129" s="199">
        <v>-1819.3415600000012</v>
      </c>
      <c r="T129" s="198" t="s">
        <v>278</v>
      </c>
      <c r="U129" s="198" t="s">
        <v>212</v>
      </c>
      <c r="V129" s="264" t="s">
        <v>396</v>
      </c>
      <c r="W129" s="205">
        <v>1</v>
      </c>
      <c r="X129" s="198" t="s">
        <v>317</v>
      </c>
    </row>
    <row r="130" spans="2:24" ht="16.5">
      <c r="B130" s="496"/>
      <c r="C130" s="496"/>
      <c r="D130" s="209">
        <v>24</v>
      </c>
      <c r="E130" s="198" t="s">
        <v>277</v>
      </c>
      <c r="F130" s="199">
        <v>1047.70523</v>
      </c>
      <c r="G130" s="198">
        <v>495.44</v>
      </c>
      <c r="H130" s="198">
        <v>509.42899999999997</v>
      </c>
      <c r="I130" s="210">
        <f t="shared" si="18"/>
        <v>1.0282355078314225</v>
      </c>
      <c r="J130" s="198"/>
      <c r="K130" s="210">
        <f t="shared" si="19"/>
        <v>0</v>
      </c>
      <c r="L130" s="199">
        <v>156.66999999999999</v>
      </c>
      <c r="M130" s="211">
        <f t="shared" si="20"/>
        <v>1.0282355078314225</v>
      </c>
      <c r="N130" s="199">
        <v>1853.1228299999968</v>
      </c>
      <c r="O130" s="198">
        <v>7.9089999999999998</v>
      </c>
      <c r="P130" s="200">
        <v>1.5963587921847246E-2</v>
      </c>
      <c r="Q130" s="198">
        <v>6.0799999999999761</v>
      </c>
      <c r="R130" s="200">
        <v>1.2271919909575279E-2</v>
      </c>
      <c r="S130" s="199">
        <v>952.55359999999621</v>
      </c>
      <c r="T130" s="198" t="s">
        <v>308</v>
      </c>
      <c r="U130" s="198" t="s">
        <v>276</v>
      </c>
      <c r="V130" s="264" t="s">
        <v>397</v>
      </c>
      <c r="W130" s="205">
        <v>1</v>
      </c>
      <c r="X130" s="198" t="s">
        <v>110</v>
      </c>
    </row>
    <row r="131" spans="2:24" ht="16.5">
      <c r="B131" s="496"/>
      <c r="C131" s="496"/>
      <c r="D131" s="209">
        <v>25</v>
      </c>
      <c r="E131" s="198" t="s">
        <v>301</v>
      </c>
      <c r="F131" s="199">
        <v>836.35486999999989</v>
      </c>
      <c r="G131" s="198">
        <v>204.21</v>
      </c>
      <c r="H131" s="198">
        <v>212.62299999999999</v>
      </c>
      <c r="I131" s="210">
        <f t="shared" si="18"/>
        <v>1.0411977865922335</v>
      </c>
      <c r="J131" s="198"/>
      <c r="K131" s="210">
        <f t="shared" si="19"/>
        <v>0</v>
      </c>
      <c r="L131" s="199">
        <v>111.41</v>
      </c>
      <c r="M131" s="211">
        <f t="shared" si="20"/>
        <v>1.0411977865922335</v>
      </c>
      <c r="N131" s="199">
        <v>937.29232999999806</v>
      </c>
      <c r="O131" s="198">
        <v>7.5069999999999997</v>
      </c>
      <c r="P131" s="200">
        <v>3.6761177219528915E-2</v>
      </c>
      <c r="Q131" s="198">
        <v>0.90599999999998282</v>
      </c>
      <c r="R131" s="200">
        <v>4.4366093727044847E-3</v>
      </c>
      <c r="S131" s="199">
        <v>100.93745999999808</v>
      </c>
      <c r="T131" s="198" t="s">
        <v>308</v>
      </c>
      <c r="U131" s="198" t="s">
        <v>276</v>
      </c>
      <c r="V131" s="264" t="s">
        <v>381</v>
      </c>
      <c r="W131" s="205">
        <v>1</v>
      </c>
      <c r="X131" s="198" t="s">
        <v>111</v>
      </c>
    </row>
    <row r="132" spans="2:24" ht="16.5">
      <c r="B132" s="496"/>
      <c r="C132" s="496"/>
      <c r="D132" s="209">
        <v>26</v>
      </c>
      <c r="E132" s="198" t="s">
        <v>279</v>
      </c>
      <c r="F132" s="199">
        <v>737.97376000000008</v>
      </c>
      <c r="G132" s="198">
        <v>317.084</v>
      </c>
      <c r="H132" s="198">
        <v>321.65199999999999</v>
      </c>
      <c r="I132" s="210">
        <f t="shared" si="18"/>
        <v>1.0144062772009941</v>
      </c>
      <c r="J132" s="198"/>
      <c r="K132" s="210">
        <f t="shared" si="19"/>
        <v>0</v>
      </c>
      <c r="L132" s="199">
        <v>132.47</v>
      </c>
      <c r="M132" s="211">
        <f t="shared" si="20"/>
        <v>1.0144062772009941</v>
      </c>
      <c r="N132" s="199">
        <v>642.35215999999775</v>
      </c>
      <c r="O132" s="198">
        <v>5.2480000000000002</v>
      </c>
      <c r="P132" s="200">
        <v>1.6550819341247115E-2</v>
      </c>
      <c r="Q132" s="198">
        <v>-0.68000000000001659</v>
      </c>
      <c r="R132" s="200">
        <v>-2.1445421402531083E-3</v>
      </c>
      <c r="S132" s="199">
        <v>-90.079600000002202</v>
      </c>
      <c r="T132" s="198" t="s">
        <v>308</v>
      </c>
      <c r="U132" s="198" t="s">
        <v>276</v>
      </c>
      <c r="V132" s="264" t="s">
        <v>398</v>
      </c>
      <c r="W132" s="205">
        <v>1</v>
      </c>
      <c r="X132" s="198" t="s">
        <v>113</v>
      </c>
    </row>
    <row r="133" spans="2:24" ht="16.5">
      <c r="B133" s="496"/>
      <c r="C133" s="496"/>
      <c r="D133" s="209">
        <v>27</v>
      </c>
      <c r="E133" s="198" t="s">
        <v>298</v>
      </c>
      <c r="F133" s="199">
        <v>701.83442000000002</v>
      </c>
      <c r="G133" s="198">
        <v>459.4</v>
      </c>
      <c r="H133" s="198">
        <v>469.51600000000002</v>
      </c>
      <c r="I133" s="210">
        <f t="shared" si="18"/>
        <v>1.0220200261210275</v>
      </c>
      <c r="J133" s="198"/>
      <c r="K133" s="210">
        <f t="shared" si="19"/>
        <v>0</v>
      </c>
      <c r="L133" s="199">
        <v>356.37</v>
      </c>
      <c r="M133" s="211">
        <f t="shared" si="20"/>
        <v>1.0220200261210275</v>
      </c>
      <c r="N133" s="199">
        <v>1422.5119200000061</v>
      </c>
      <c r="O133" s="198">
        <v>4.9909999999999997</v>
      </c>
      <c r="P133" s="200">
        <v>1.086417065737919E-2</v>
      </c>
      <c r="Q133" s="198">
        <v>5.1250000000000426</v>
      </c>
      <c r="R133" s="200">
        <v>1.1155855463648331E-2</v>
      </c>
      <c r="S133" s="199">
        <v>1826.3962500000152</v>
      </c>
      <c r="T133" s="198" t="s">
        <v>308</v>
      </c>
      <c r="U133" s="198" t="s">
        <v>276</v>
      </c>
      <c r="V133" s="264" t="s">
        <v>372</v>
      </c>
      <c r="W133" s="205">
        <v>1</v>
      </c>
      <c r="X133" s="198" t="s">
        <v>115</v>
      </c>
    </row>
    <row r="134" spans="2:24">
      <c r="B134" s="496"/>
      <c r="C134" s="496"/>
      <c r="D134" s="209">
        <v>28</v>
      </c>
      <c r="E134" s="198" t="s">
        <v>285</v>
      </c>
      <c r="F134" s="199">
        <v>677.01828999999998</v>
      </c>
      <c r="G134" s="198">
        <v>60.07</v>
      </c>
      <c r="H134" s="198">
        <v>63.018000000000001</v>
      </c>
      <c r="I134" s="210">
        <f t="shared" si="18"/>
        <v>1.049076077909106</v>
      </c>
      <c r="J134" s="198"/>
      <c r="K134" s="210">
        <f t="shared" si="19"/>
        <v>0</v>
      </c>
      <c r="L134" s="199">
        <v>536.89</v>
      </c>
      <c r="M134" s="211">
        <f t="shared" si="20"/>
        <v>1.049076077909106</v>
      </c>
      <c r="N134" s="199">
        <v>1582.7517200000002</v>
      </c>
      <c r="O134" s="198">
        <v>1.2609999999999999</v>
      </c>
      <c r="P134" s="200">
        <v>2.0992175794905941E-2</v>
      </c>
      <c r="Q134" s="198">
        <v>1.6870000000000005</v>
      </c>
      <c r="R134" s="200">
        <v>2.8083902114200109E-2</v>
      </c>
      <c r="S134" s="199">
        <v>905.73343000000023</v>
      </c>
      <c r="T134" s="198" t="s">
        <v>315</v>
      </c>
      <c r="U134" s="198" t="s">
        <v>217</v>
      </c>
      <c r="V134" s="198" t="s">
        <v>399</v>
      </c>
      <c r="W134" s="205">
        <v>1</v>
      </c>
      <c r="X134" s="198" t="s">
        <v>112</v>
      </c>
    </row>
    <row r="135" spans="2:24">
      <c r="B135" s="496"/>
      <c r="C135" s="496"/>
      <c r="D135" s="209">
        <v>29</v>
      </c>
      <c r="E135" s="198" t="s">
        <v>375</v>
      </c>
      <c r="F135" s="199">
        <v>657.04228999999998</v>
      </c>
      <c r="G135" s="198">
        <v>720.84</v>
      </c>
      <c r="H135" s="198">
        <v>741.31799999999998</v>
      </c>
      <c r="I135" s="210">
        <f t="shared" si="18"/>
        <v>1.0284085233893789</v>
      </c>
      <c r="J135" s="198"/>
      <c r="K135" s="210">
        <f t="shared" si="19"/>
        <v>0</v>
      </c>
      <c r="L135" s="199">
        <v>335.3</v>
      </c>
      <c r="M135" s="211">
        <f t="shared" si="20"/>
        <v>1.0284085233893789</v>
      </c>
      <c r="N135" s="199">
        <v>1582.7446199999963</v>
      </c>
      <c r="O135" s="198">
        <v>8.5009999999999994</v>
      </c>
      <c r="P135" s="200">
        <v>1.1793185727762055E-2</v>
      </c>
      <c r="Q135" s="198">
        <v>11.976999999999952</v>
      </c>
      <c r="R135" s="200">
        <v>1.6615337661616936E-2</v>
      </c>
      <c r="S135" s="199">
        <v>4015.8880999999842</v>
      </c>
      <c r="T135" s="198" t="s">
        <v>308</v>
      </c>
      <c r="U135" s="198" t="s">
        <v>276</v>
      </c>
      <c r="V135" s="198" t="s">
        <v>400</v>
      </c>
      <c r="W135" s="205">
        <v>1</v>
      </c>
      <c r="X135" s="198" t="s">
        <v>112</v>
      </c>
    </row>
    <row r="136" spans="2:24">
      <c r="B136" s="496"/>
      <c r="C136" s="496"/>
      <c r="D136" s="209">
        <v>30</v>
      </c>
      <c r="E136" s="198" t="s">
        <v>401</v>
      </c>
      <c r="F136" s="199">
        <v>613.91499999999996</v>
      </c>
      <c r="G136" s="198">
        <v>62.991</v>
      </c>
      <c r="H136" s="198">
        <v>64.894999999999996</v>
      </c>
      <c r="I136" s="210">
        <f t="shared" si="18"/>
        <v>1.0302265402994077</v>
      </c>
      <c r="J136" s="198"/>
      <c r="K136" s="210">
        <f t="shared" si="19"/>
        <v>0</v>
      </c>
      <c r="L136" s="199">
        <v>100.02999999999999</v>
      </c>
      <c r="M136" s="211">
        <f t="shared" si="20"/>
        <v>1.0302265402994077</v>
      </c>
      <c r="N136" s="199">
        <v>1174.7679999999978</v>
      </c>
      <c r="O136" s="198">
        <v>0.995</v>
      </c>
      <c r="P136" s="200">
        <v>1.5795907351843913E-2</v>
      </c>
      <c r="Q136" s="198">
        <v>0.90899999999999637</v>
      </c>
      <c r="R136" s="200">
        <v>1.443063294756388E-2</v>
      </c>
      <c r="S136" s="199">
        <v>90.927269999999623</v>
      </c>
      <c r="T136" s="198" t="s">
        <v>315</v>
      </c>
      <c r="U136" s="198" t="s">
        <v>217</v>
      </c>
      <c r="V136" s="198" t="s">
        <v>402</v>
      </c>
      <c r="W136" s="205">
        <v>1</v>
      </c>
      <c r="X136" s="198" t="s">
        <v>118</v>
      </c>
    </row>
    <row r="137" spans="2:24">
      <c r="B137" s="495">
        <v>45883</v>
      </c>
      <c r="C137" s="496" t="s">
        <v>68</v>
      </c>
      <c r="D137" s="209">
        <v>31</v>
      </c>
      <c r="E137" s="198" t="s">
        <v>274</v>
      </c>
      <c r="F137" s="199">
        <v>7833.4999999999991</v>
      </c>
      <c r="G137" s="198">
        <v>852.39</v>
      </c>
      <c r="H137" s="198">
        <v>882</v>
      </c>
      <c r="I137" s="210">
        <f t="shared" si="18"/>
        <v>1.0347376201034737</v>
      </c>
      <c r="J137" s="198"/>
      <c r="K137" s="210">
        <f t="shared" si="19"/>
        <v>0</v>
      </c>
      <c r="L137" s="199">
        <v>156.66999999999999</v>
      </c>
      <c r="M137" s="211">
        <f t="shared" si="20"/>
        <v>1.0347376201034737</v>
      </c>
      <c r="N137" s="199">
        <v>4638.9987000000019</v>
      </c>
      <c r="O137" s="198">
        <v>50</v>
      </c>
      <c r="P137" s="200">
        <v>5.8658595243961095E-2</v>
      </c>
      <c r="Q137" s="198">
        <v>-20.389999999999986</v>
      </c>
      <c r="R137" s="200">
        <v>-2.392097514048732E-2</v>
      </c>
      <c r="S137" s="199">
        <v>-3194.5012999999976</v>
      </c>
      <c r="T137" s="198" t="s">
        <v>308</v>
      </c>
      <c r="U137" s="198" t="s">
        <v>276</v>
      </c>
      <c r="V137" s="198"/>
      <c r="W137" s="205">
        <v>1</v>
      </c>
      <c r="X137" s="198" t="s">
        <v>109</v>
      </c>
    </row>
    <row r="138" spans="2:24" ht="16.5">
      <c r="B138" s="496"/>
      <c r="C138" s="496"/>
      <c r="D138" s="209">
        <v>32</v>
      </c>
      <c r="E138" s="198" t="s">
        <v>277</v>
      </c>
      <c r="F138" s="199">
        <v>7418.32</v>
      </c>
      <c r="G138" s="198">
        <v>407.44</v>
      </c>
      <c r="H138" s="198">
        <v>470</v>
      </c>
      <c r="I138" s="210">
        <f t="shared" si="18"/>
        <v>1.1535440801099548</v>
      </c>
      <c r="J138" s="198"/>
      <c r="K138" s="210">
        <f t="shared" si="19"/>
        <v>0</v>
      </c>
      <c r="L138" s="199">
        <v>132.47</v>
      </c>
      <c r="M138" s="211">
        <f t="shared" si="20"/>
        <v>1.1535440801099548</v>
      </c>
      <c r="N138" s="199">
        <v>8287.3232000000007</v>
      </c>
      <c r="O138" s="198">
        <v>56</v>
      </c>
      <c r="P138" s="200">
        <v>0.13744354997054781</v>
      </c>
      <c r="Q138" s="198">
        <v>6.5600000000000023</v>
      </c>
      <c r="R138" s="200">
        <v>1.6100530139407036E-2</v>
      </c>
      <c r="S138" s="199">
        <v>869.00320000000033</v>
      </c>
      <c r="T138" s="198" t="s">
        <v>326</v>
      </c>
      <c r="U138" s="198" t="s">
        <v>318</v>
      </c>
      <c r="V138" s="198" t="s">
        <v>403</v>
      </c>
      <c r="W138" s="205">
        <v>1</v>
      </c>
      <c r="X138" s="198" t="s">
        <v>110</v>
      </c>
    </row>
    <row r="139" spans="2:24" ht="16.5">
      <c r="B139" s="496"/>
      <c r="C139" s="496"/>
      <c r="D139" s="209">
        <v>33</v>
      </c>
      <c r="E139" s="198" t="s">
        <v>294</v>
      </c>
      <c r="F139" s="199">
        <v>3286.96</v>
      </c>
      <c r="G139" s="198">
        <v>55.774999999999999</v>
      </c>
      <c r="H139" s="198">
        <v>55.5</v>
      </c>
      <c r="I139" s="210">
        <f t="shared" si="18"/>
        <v>0.99506947557149261</v>
      </c>
      <c r="J139" s="198"/>
      <c r="K139" s="210">
        <f t="shared" si="19"/>
        <v>0</v>
      </c>
      <c r="L139" s="199">
        <v>821.74</v>
      </c>
      <c r="M139" s="211">
        <f t="shared" si="20"/>
        <v>0.99506947557149261</v>
      </c>
      <c r="N139" s="199">
        <v>0</v>
      </c>
      <c r="O139" s="198">
        <v>4</v>
      </c>
      <c r="P139" s="200">
        <v>7.1716718960107576E-2</v>
      </c>
      <c r="Q139" s="198">
        <v>-4.2749999999999986</v>
      </c>
      <c r="R139" s="200">
        <v>-7.664724338861495E-2</v>
      </c>
      <c r="S139" s="199">
        <v>-3512.9384999999988</v>
      </c>
      <c r="T139" s="198" t="s">
        <v>328</v>
      </c>
      <c r="U139" s="198" t="s">
        <v>213</v>
      </c>
      <c r="V139" s="264" t="s">
        <v>404</v>
      </c>
      <c r="W139" s="205">
        <v>1</v>
      </c>
      <c r="X139" s="198" t="s">
        <v>115</v>
      </c>
    </row>
    <row r="140" spans="2:24">
      <c r="B140" s="496"/>
      <c r="C140" s="496"/>
      <c r="D140" s="209">
        <v>34</v>
      </c>
      <c r="E140" s="198" t="s">
        <v>331</v>
      </c>
      <c r="F140" s="199">
        <v>3252.4100000000012</v>
      </c>
      <c r="G140" s="198">
        <v>240.79</v>
      </c>
      <c r="H140" s="198">
        <v>278.05</v>
      </c>
      <c r="I140" s="210">
        <f t="shared" si="18"/>
        <v>1.1547406453756386</v>
      </c>
      <c r="J140" s="198"/>
      <c r="K140" s="210">
        <f t="shared" si="19"/>
        <v>0</v>
      </c>
      <c r="L140" s="199">
        <v>335.3</v>
      </c>
      <c r="M140" s="211">
        <f t="shared" si="20"/>
        <v>1.1547406453756386</v>
      </c>
      <c r="N140" s="199">
        <v>12493.278000000008</v>
      </c>
      <c r="O140" s="198">
        <v>9.7000000000000028</v>
      </c>
      <c r="P140" s="200">
        <v>4.0284064952863505E-2</v>
      </c>
      <c r="Q140" s="198">
        <v>27.560000000000016</v>
      </c>
      <c r="R140" s="200">
        <v>0.11445658042277511</v>
      </c>
      <c r="S140" s="199">
        <v>9240.8680000000058</v>
      </c>
      <c r="T140" s="198" t="s">
        <v>315</v>
      </c>
      <c r="U140" s="198" t="s">
        <v>217</v>
      </c>
      <c r="V140" s="198" t="s">
        <v>405</v>
      </c>
      <c r="W140" s="205">
        <v>1</v>
      </c>
      <c r="X140" s="198" t="s">
        <v>114</v>
      </c>
    </row>
    <row r="141" spans="2:24">
      <c r="B141" s="496"/>
      <c r="C141" s="496"/>
      <c r="D141" s="209">
        <v>35</v>
      </c>
      <c r="E141" s="198" t="s">
        <v>406</v>
      </c>
      <c r="F141" s="199">
        <v>1518.9185000000002</v>
      </c>
      <c r="G141" s="198">
        <v>26.8</v>
      </c>
      <c r="H141" s="198">
        <v>30.75</v>
      </c>
      <c r="I141" s="210">
        <f t="shared" si="18"/>
        <v>1.1473880597014925</v>
      </c>
      <c r="J141" s="198"/>
      <c r="K141" s="210">
        <f t="shared" si="19"/>
        <v>0</v>
      </c>
      <c r="L141" s="199">
        <v>341.33000000000004</v>
      </c>
      <c r="M141" s="211">
        <f t="shared" si="20"/>
        <v>1.1473880597014925</v>
      </c>
      <c r="N141" s="199">
        <v>1348.2535</v>
      </c>
      <c r="O141" s="198">
        <v>4.45</v>
      </c>
      <c r="P141" s="200">
        <v>0.16604477611940299</v>
      </c>
      <c r="Q141" s="198">
        <v>-0.50000000000000089</v>
      </c>
      <c r="R141" s="200">
        <v>-1.8656716417910481E-2</v>
      </c>
      <c r="S141" s="199">
        <v>-170.66500000000033</v>
      </c>
      <c r="T141" s="198" t="s">
        <v>326</v>
      </c>
      <c r="U141" s="198" t="s">
        <v>318</v>
      </c>
      <c r="V141" s="198" t="s">
        <v>407</v>
      </c>
      <c r="W141" s="205">
        <v>1</v>
      </c>
      <c r="X141" s="198" t="s">
        <v>116</v>
      </c>
    </row>
    <row r="142" spans="2:24">
      <c r="B142" s="496"/>
      <c r="C142" s="496"/>
      <c r="D142" s="209">
        <v>36</v>
      </c>
      <c r="E142" s="198" t="s">
        <v>375</v>
      </c>
      <c r="F142" s="199">
        <v>1313.93</v>
      </c>
      <c r="G142" s="198">
        <v>677.52</v>
      </c>
      <c r="H142" s="198">
        <v>702</v>
      </c>
      <c r="I142" s="210">
        <f t="shared" si="18"/>
        <v>1.0361317747077576</v>
      </c>
      <c r="J142" s="198"/>
      <c r="K142" s="210">
        <f t="shared" si="19"/>
        <v>0</v>
      </c>
      <c r="L142" s="199">
        <v>77.290000000000006</v>
      </c>
      <c r="M142" s="211">
        <f t="shared" si="20"/>
        <v>1.0361317747077576</v>
      </c>
      <c r="N142" s="199">
        <v>1892.0592000000015</v>
      </c>
      <c r="O142" s="198">
        <v>17</v>
      </c>
      <c r="P142" s="200">
        <v>2.5091510213720629E-2</v>
      </c>
      <c r="Q142" s="198">
        <v>6.5600000000000023</v>
      </c>
      <c r="R142" s="200">
        <v>9.6823710001180813E-3</v>
      </c>
      <c r="S142" s="199">
        <v>1010.2400000000004</v>
      </c>
      <c r="T142" s="198" t="s">
        <v>308</v>
      </c>
      <c r="U142" s="198" t="s">
        <v>276</v>
      </c>
      <c r="V142" s="198"/>
      <c r="W142" s="205">
        <v>1</v>
      </c>
      <c r="X142" s="198" t="s">
        <v>112</v>
      </c>
    </row>
    <row r="143" spans="2:24">
      <c r="B143" s="496"/>
      <c r="C143" s="496"/>
      <c r="D143" s="209">
        <v>37</v>
      </c>
      <c r="E143" s="198" t="s">
        <v>408</v>
      </c>
      <c r="F143" s="199">
        <v>1201.2</v>
      </c>
      <c r="G143" s="198">
        <v>147.44</v>
      </c>
      <c r="H143" s="198">
        <v>171</v>
      </c>
      <c r="I143" s="210">
        <f t="shared" si="18"/>
        <v>1.1597938144329898</v>
      </c>
      <c r="J143" s="198"/>
      <c r="K143" s="210">
        <f t="shared" si="19"/>
        <v>0</v>
      </c>
      <c r="L143" s="199">
        <v>154</v>
      </c>
      <c r="M143" s="211">
        <f t="shared" si="20"/>
        <v>1.1597938144329898</v>
      </c>
      <c r="N143" s="199">
        <v>3628.2400000000002</v>
      </c>
      <c r="O143" s="198">
        <v>7.8000000000000007</v>
      </c>
      <c r="P143" s="200">
        <v>5.2902875746066204E-2</v>
      </c>
      <c r="Q143" s="198">
        <v>2.6250000000000107</v>
      </c>
      <c r="R143" s="200">
        <v>1.780385241454158E-2</v>
      </c>
      <c r="S143" s="199">
        <v>262.57875000000104</v>
      </c>
      <c r="T143" s="198" t="s">
        <v>326</v>
      </c>
      <c r="U143" s="198" t="s">
        <v>318</v>
      </c>
      <c r="V143" s="198" t="s">
        <v>407</v>
      </c>
      <c r="W143" s="205">
        <v>1</v>
      </c>
      <c r="X143" s="198" t="s">
        <v>136</v>
      </c>
    </row>
    <row r="144" spans="2:24">
      <c r="B144" s="496"/>
      <c r="C144" s="496"/>
      <c r="D144" s="209">
        <v>38</v>
      </c>
      <c r="E144" s="198" t="s">
        <v>348</v>
      </c>
      <c r="F144" s="199">
        <v>1006.5518749999999</v>
      </c>
      <c r="G144" s="198">
        <v>415.91</v>
      </c>
      <c r="H144" s="198">
        <v>426.33500000000004</v>
      </c>
      <c r="I144" s="210">
        <f t="shared" si="18"/>
        <v>1.0250655189824722</v>
      </c>
      <c r="J144" s="198"/>
      <c r="K144" s="210">
        <f t="shared" si="19"/>
        <v>0</v>
      </c>
      <c r="L144" s="199">
        <v>100.02999999999999</v>
      </c>
      <c r="M144" s="211">
        <f t="shared" si="20"/>
        <v>1.0250655189824722</v>
      </c>
      <c r="N144" s="199">
        <v>1042.812750000001</v>
      </c>
      <c r="O144" s="198">
        <v>10.0625</v>
      </c>
      <c r="P144" s="200">
        <v>2.4193936188117621E-2</v>
      </c>
      <c r="Q144" s="198">
        <v>-6.1272999999999911</v>
      </c>
      <c r="R144" s="200">
        <v>-1.4732273809237553E-2</v>
      </c>
      <c r="S144" s="199">
        <v>-2575.9781929999963</v>
      </c>
      <c r="T144" s="198" t="s">
        <v>308</v>
      </c>
      <c r="U144" s="198" t="s">
        <v>276</v>
      </c>
      <c r="V144" s="198"/>
      <c r="W144" s="205">
        <v>1</v>
      </c>
      <c r="X144" s="198" t="s">
        <v>114</v>
      </c>
    </row>
    <row r="145" spans="2:24">
      <c r="B145" s="496"/>
      <c r="C145" s="496"/>
      <c r="D145" s="209">
        <v>39</v>
      </c>
      <c r="E145" s="198" t="s">
        <v>409</v>
      </c>
      <c r="F145" s="199">
        <v>828.20770000000005</v>
      </c>
      <c r="G145" s="198">
        <v>77.914799999999985</v>
      </c>
      <c r="H145" s="198">
        <v>81.849999999999994</v>
      </c>
      <c r="I145" s="210">
        <f t="shared" si="18"/>
        <v>1.0505064506358228</v>
      </c>
      <c r="J145" s="198"/>
      <c r="K145" s="210">
        <f t="shared" si="19"/>
        <v>0</v>
      </c>
      <c r="L145" s="199">
        <v>420.41</v>
      </c>
      <c r="M145" s="211">
        <f t="shared" si="20"/>
        <v>1.0505064506358228</v>
      </c>
      <c r="N145" s="199">
        <v>1654.3974320000038</v>
      </c>
      <c r="O145" s="198">
        <v>1.97</v>
      </c>
      <c r="P145" s="200">
        <v>2.5284028194900075E-2</v>
      </c>
      <c r="Q145" s="198">
        <v>-1.97</v>
      </c>
      <c r="R145" s="200">
        <v>-2.5284028194900075E-2</v>
      </c>
      <c r="S145" s="199">
        <v>0</v>
      </c>
      <c r="T145" s="198" t="s">
        <v>315</v>
      </c>
      <c r="U145" s="198" t="s">
        <v>217</v>
      </c>
      <c r="V145" s="198" t="s">
        <v>410</v>
      </c>
      <c r="W145" s="205">
        <v>1</v>
      </c>
      <c r="X145" s="198" t="s">
        <v>112</v>
      </c>
    </row>
    <row r="146" spans="2:24">
      <c r="B146" s="496"/>
      <c r="C146" s="496"/>
      <c r="D146" s="209">
        <v>40</v>
      </c>
      <c r="E146" s="198" t="s">
        <v>289</v>
      </c>
      <c r="F146" s="199">
        <v>633.25</v>
      </c>
      <c r="G146" s="198">
        <v>424.9</v>
      </c>
      <c r="H146" s="198">
        <v>511.55</v>
      </c>
      <c r="I146" s="210">
        <f t="shared" si="18"/>
        <v>1.2039303365497764</v>
      </c>
      <c r="J146" s="198">
        <v>34.15</v>
      </c>
      <c r="K146" s="210">
        <f t="shared" si="19"/>
        <v>8.0371852200517777E-2</v>
      </c>
      <c r="L146" s="199">
        <v>85</v>
      </c>
      <c r="M146" s="211">
        <f t="shared" si="20"/>
        <v>1.2843021887502943</v>
      </c>
      <c r="N146" s="199">
        <v>10268.000000000005</v>
      </c>
      <c r="O146" s="198">
        <v>7.45</v>
      </c>
      <c r="P146" s="200">
        <v>1.7533537302894801E-2</v>
      </c>
      <c r="Q146" s="198">
        <v>-0.97</v>
      </c>
      <c r="R146" s="200">
        <v>-2.2828900917863026E-3</v>
      </c>
      <c r="S146" s="199">
        <v>1</v>
      </c>
      <c r="T146" s="198" t="s">
        <v>278</v>
      </c>
      <c r="U146" s="198" t="s">
        <v>212</v>
      </c>
      <c r="V146" s="198"/>
      <c r="W146" s="205">
        <v>1</v>
      </c>
      <c r="X146" s="198" t="s">
        <v>134</v>
      </c>
    </row>
    <row r="147" spans="2:24">
      <c r="B147" s="495">
        <v>45884</v>
      </c>
      <c r="C147" s="496" t="s">
        <v>63</v>
      </c>
      <c r="D147" s="209">
        <v>41</v>
      </c>
      <c r="E147" s="198" t="s">
        <v>369</v>
      </c>
      <c r="F147" s="199">
        <v>1631.5050000000001</v>
      </c>
      <c r="G147" s="198">
        <v>209.52</v>
      </c>
      <c r="H147" s="198">
        <v>222</v>
      </c>
      <c r="I147" s="210">
        <f t="shared" si="18"/>
        <v>1.0595647193585338</v>
      </c>
      <c r="J147" s="198">
        <v>0</v>
      </c>
      <c r="K147" s="210">
        <f t="shared" si="19"/>
        <v>0</v>
      </c>
      <c r="L147" s="199">
        <v>508.21538461538449</v>
      </c>
      <c r="M147" s="211">
        <f t="shared" si="20"/>
        <v>1.0595647193585338</v>
      </c>
      <c r="N147" s="199">
        <v>1770.5375999999985</v>
      </c>
      <c r="O147" s="198">
        <v>11.5</v>
      </c>
      <c r="P147" s="200">
        <v>5.4887361588392511E-2</v>
      </c>
      <c r="Q147" s="198">
        <v>0.97999999999998977</v>
      </c>
      <c r="R147" s="200">
        <v>4.677357770141226E-3</v>
      </c>
      <c r="S147" s="199">
        <v>498.05107692307161</v>
      </c>
      <c r="T147" s="198" t="s">
        <v>326</v>
      </c>
      <c r="U147" s="198" t="s">
        <v>318</v>
      </c>
      <c r="V147" s="198" t="s">
        <v>411</v>
      </c>
      <c r="W147" s="205">
        <v>1</v>
      </c>
      <c r="X147" s="198" t="s">
        <v>116</v>
      </c>
    </row>
    <row r="148" spans="2:24">
      <c r="B148" s="496"/>
      <c r="C148" s="496"/>
      <c r="D148" s="209">
        <v>42</v>
      </c>
      <c r="E148" s="198" t="s">
        <v>348</v>
      </c>
      <c r="F148" s="199">
        <v>1050.3149999999998</v>
      </c>
      <c r="G148" s="198">
        <v>379.24</v>
      </c>
      <c r="H148" s="198">
        <v>379.75</v>
      </c>
      <c r="I148" s="210">
        <f t="shared" si="18"/>
        <v>1.0013447948528635</v>
      </c>
      <c r="J148" s="198">
        <v>20</v>
      </c>
      <c r="K148" s="210">
        <f t="shared" si="19"/>
        <v>5.2737053053475369E-2</v>
      </c>
      <c r="L148" s="199">
        <v>697.49</v>
      </c>
      <c r="M148" s="211">
        <f t="shared" si="20"/>
        <v>1.054081847906339</v>
      </c>
      <c r="N148" s="199">
        <v>2051.615299999999</v>
      </c>
      <c r="O148" s="198">
        <v>10.5</v>
      </c>
      <c r="P148" s="200">
        <v>2.768695285307457E-2</v>
      </c>
      <c r="Q148" s="198">
        <v>10.009999999999991</v>
      </c>
      <c r="R148" s="200">
        <v>2.6394895053264398E-2</v>
      </c>
      <c r="S148" s="199">
        <v>6981.8748999999934</v>
      </c>
      <c r="T148" s="198" t="s">
        <v>278</v>
      </c>
      <c r="U148" s="198" t="s">
        <v>212</v>
      </c>
      <c r="V148" s="198" t="s">
        <v>412</v>
      </c>
      <c r="W148" s="205">
        <v>1</v>
      </c>
      <c r="X148" s="198" t="s">
        <v>114</v>
      </c>
    </row>
    <row r="149" spans="2:24">
      <c r="B149" s="496"/>
      <c r="C149" s="496"/>
      <c r="D149" s="209">
        <v>43</v>
      </c>
      <c r="E149" s="198" t="s">
        <v>331</v>
      </c>
      <c r="F149" s="199">
        <v>955.60500000000002</v>
      </c>
      <c r="G149" s="198">
        <v>239.52</v>
      </c>
      <c r="H149" s="198">
        <v>242</v>
      </c>
      <c r="I149" s="210">
        <f t="shared" si="18"/>
        <v>1.0103540414161656</v>
      </c>
      <c r="J149" s="198">
        <v>0</v>
      </c>
      <c r="K149" s="210">
        <f t="shared" si="19"/>
        <v>0</v>
      </c>
      <c r="L149" s="199">
        <v>156.66999999999999</v>
      </c>
      <c r="M149" s="211">
        <f t="shared" si="20"/>
        <v>1.0103540414161656</v>
      </c>
      <c r="N149" s="199">
        <v>831.54399999999657</v>
      </c>
      <c r="O149" s="198">
        <v>2.85</v>
      </c>
      <c r="P149" s="200">
        <v>1.1898797595190381E-2</v>
      </c>
      <c r="Q149" s="198">
        <v>-0.37000000000001032</v>
      </c>
      <c r="R149" s="200">
        <v>-1.5447561790247592E-3</v>
      </c>
      <c r="S149" s="199">
        <v>-57.967900000001613</v>
      </c>
      <c r="T149" s="198" t="s">
        <v>308</v>
      </c>
      <c r="U149" s="198" t="s">
        <v>276</v>
      </c>
      <c r="V149" s="198" t="s">
        <v>413</v>
      </c>
      <c r="W149" s="205">
        <v>1</v>
      </c>
      <c r="X149" s="198" t="s">
        <v>114</v>
      </c>
    </row>
    <row r="150" spans="2:24">
      <c r="B150" s="496"/>
      <c r="C150" s="496"/>
      <c r="D150" s="209">
        <v>44</v>
      </c>
      <c r="E150" s="198" t="s">
        <v>287</v>
      </c>
      <c r="F150" s="199">
        <v>940.1984615384614</v>
      </c>
      <c r="G150" s="198">
        <v>87.66</v>
      </c>
      <c r="H150" s="198">
        <v>98.5</v>
      </c>
      <c r="I150" s="210">
        <f t="shared" si="18"/>
        <v>1.1236595938854665</v>
      </c>
      <c r="J150" s="198">
        <v>0</v>
      </c>
      <c r="K150" s="210">
        <f t="shared" si="19"/>
        <v>0</v>
      </c>
      <c r="L150" s="199">
        <v>168</v>
      </c>
      <c r="M150" s="211">
        <f t="shared" si="20"/>
        <v>1.1236595938854665</v>
      </c>
      <c r="N150" s="199">
        <v>5509.05476923077</v>
      </c>
      <c r="O150" s="198">
        <v>1.85</v>
      </c>
      <c r="P150" s="200">
        <v>2.1104266484143281E-2</v>
      </c>
      <c r="Q150" s="198">
        <v>8.9900000000000038</v>
      </c>
      <c r="R150" s="200">
        <v>0.10255532740132334</v>
      </c>
      <c r="S150" s="199">
        <v>1510.3200000000006</v>
      </c>
      <c r="T150" s="198" t="s">
        <v>315</v>
      </c>
      <c r="U150" s="198" t="s">
        <v>217</v>
      </c>
      <c r="V150" s="198" t="s">
        <v>367</v>
      </c>
      <c r="W150" s="205">
        <v>1</v>
      </c>
      <c r="X150" s="198" t="s">
        <v>110</v>
      </c>
    </row>
    <row r="151" spans="2:24">
      <c r="B151" s="496"/>
      <c r="C151" s="496"/>
      <c r="D151" s="209">
        <v>45</v>
      </c>
      <c r="E151" s="198" t="s">
        <v>283</v>
      </c>
      <c r="F151" s="199">
        <v>698.23399999999992</v>
      </c>
      <c r="G151" s="198">
        <v>136.80000000000001</v>
      </c>
      <c r="H151" s="198">
        <v>138.80000000000001</v>
      </c>
      <c r="I151" s="210">
        <f t="shared" si="18"/>
        <v>1.0146198830409356</v>
      </c>
      <c r="J151" s="198">
        <v>0</v>
      </c>
      <c r="K151" s="210">
        <f t="shared" si="19"/>
        <v>0</v>
      </c>
      <c r="L151" s="199">
        <v>31.099999999999998</v>
      </c>
      <c r="M151" s="211">
        <f t="shared" si="20"/>
        <v>1.0146198830409356</v>
      </c>
      <c r="N151" s="199">
        <v>324.76</v>
      </c>
      <c r="O151" s="198">
        <v>4.3</v>
      </c>
      <c r="P151" s="200">
        <v>3.1432748538011694E-2</v>
      </c>
      <c r="Q151" s="198">
        <v>-2.2999999999999998</v>
      </c>
      <c r="R151" s="200">
        <v>-1.6812865497076019E-2</v>
      </c>
      <c r="S151" s="199">
        <v>-71.529999999999987</v>
      </c>
      <c r="T151" s="198" t="s">
        <v>308</v>
      </c>
      <c r="U151" s="198"/>
      <c r="V151" s="198" t="s">
        <v>413</v>
      </c>
      <c r="W151" s="205">
        <v>1</v>
      </c>
      <c r="X151" s="198" t="s">
        <v>121</v>
      </c>
    </row>
    <row r="152" spans="2:24">
      <c r="B152" s="496"/>
      <c r="C152" s="496"/>
      <c r="D152" s="209">
        <v>46</v>
      </c>
      <c r="E152" s="198" t="s">
        <v>414</v>
      </c>
      <c r="F152" s="199">
        <v>573.42972972972962</v>
      </c>
      <c r="G152" s="198">
        <v>568.69000000000005</v>
      </c>
      <c r="H152" s="198">
        <v>593</v>
      </c>
      <c r="I152" s="210">
        <f t="shared" si="18"/>
        <v>1.0427473667551741</v>
      </c>
      <c r="J152" s="198">
        <v>0</v>
      </c>
      <c r="K152" s="210">
        <f t="shared" si="19"/>
        <v>0</v>
      </c>
      <c r="L152" s="199">
        <v>58.21621621621621</v>
      </c>
      <c r="M152" s="211">
        <f t="shared" si="20"/>
        <v>1.0427473667551741</v>
      </c>
      <c r="N152" s="199">
        <v>1415.2362162162128</v>
      </c>
      <c r="O152" s="198">
        <v>9.85</v>
      </c>
      <c r="P152" s="200">
        <v>1.7320508537164356E-2</v>
      </c>
      <c r="Q152" s="198">
        <v>6.5600000000000023</v>
      </c>
      <c r="R152" s="200">
        <v>1.1535282843025201E-2</v>
      </c>
      <c r="S152" s="199">
        <v>1010.2400000000004</v>
      </c>
      <c r="T152" s="198" t="s">
        <v>308</v>
      </c>
      <c r="U152" s="198"/>
      <c r="V152" s="198" t="s">
        <v>413</v>
      </c>
      <c r="W152" s="205">
        <v>1</v>
      </c>
      <c r="X152" s="198" t="s">
        <v>117</v>
      </c>
    </row>
    <row r="153" spans="2:24">
      <c r="B153" s="496"/>
      <c r="C153" s="496"/>
      <c r="D153" s="209">
        <v>47</v>
      </c>
      <c r="E153" s="198" t="s">
        <v>406</v>
      </c>
      <c r="F153" s="199">
        <v>511.99500000000006</v>
      </c>
      <c r="G153" s="198">
        <v>23.28</v>
      </c>
      <c r="H153" s="198">
        <v>25.3</v>
      </c>
      <c r="I153" s="210">
        <f t="shared" si="18"/>
        <v>1.0867697594501717</v>
      </c>
      <c r="J153" s="198">
        <v>0</v>
      </c>
      <c r="K153" s="210">
        <f t="shared" si="19"/>
        <v>0</v>
      </c>
      <c r="L153" s="199">
        <v>341.33000000000004</v>
      </c>
      <c r="M153" s="211">
        <f t="shared" si="20"/>
        <v>1.0867697594501717</v>
      </c>
      <c r="N153" s="199">
        <v>689.48659999999995</v>
      </c>
      <c r="O153" s="198">
        <v>1.5</v>
      </c>
      <c r="P153" s="200">
        <v>6.4432989690721643E-2</v>
      </c>
      <c r="Q153" s="198">
        <v>2.6250000000000107</v>
      </c>
      <c r="R153" s="200">
        <v>0.11275773195876333</v>
      </c>
      <c r="S153" s="199">
        <v>262.57875000000104</v>
      </c>
      <c r="T153" s="198" t="s">
        <v>326</v>
      </c>
      <c r="U153" s="198" t="s">
        <v>318</v>
      </c>
      <c r="V153" s="198" t="s">
        <v>411</v>
      </c>
      <c r="W153" s="205">
        <v>1</v>
      </c>
      <c r="X153" s="198" t="s">
        <v>116</v>
      </c>
    </row>
    <row r="154" spans="2:24">
      <c r="B154" s="496"/>
      <c r="C154" s="496"/>
      <c r="D154" s="209">
        <v>48</v>
      </c>
      <c r="E154" s="198" t="s">
        <v>415</v>
      </c>
      <c r="F154" s="199">
        <v>510.3</v>
      </c>
      <c r="G154" s="198">
        <v>158.77500000000001</v>
      </c>
      <c r="H154" s="198">
        <v>173.5</v>
      </c>
      <c r="I154" s="210">
        <f t="shared" si="18"/>
        <v>1.0927413005825855</v>
      </c>
      <c r="J154" s="198">
        <v>0</v>
      </c>
      <c r="K154" s="210">
        <f t="shared" si="19"/>
        <v>0</v>
      </c>
      <c r="L154" s="199">
        <v>81</v>
      </c>
      <c r="M154" s="211">
        <f t="shared" si="20"/>
        <v>1.0927413005825855</v>
      </c>
      <c r="N154" s="199">
        <v>1192.7249999999995</v>
      </c>
      <c r="O154" s="198">
        <v>6.3</v>
      </c>
      <c r="P154" s="200">
        <v>3.967879074161549E-2</v>
      </c>
      <c r="Q154" s="198">
        <v>-6.1272999999999911</v>
      </c>
      <c r="R154" s="200">
        <v>-3.8591088017634959E-2</v>
      </c>
      <c r="S154" s="199">
        <v>-2575.9781929999963</v>
      </c>
      <c r="T154" s="198" t="s">
        <v>326</v>
      </c>
      <c r="U154" s="198" t="s">
        <v>318</v>
      </c>
      <c r="V154" s="198" t="s">
        <v>411</v>
      </c>
      <c r="W154" s="205">
        <v>1</v>
      </c>
      <c r="X154" s="198" t="s">
        <v>339</v>
      </c>
    </row>
    <row r="155" spans="2:24">
      <c r="B155" s="496"/>
      <c r="C155" s="496"/>
      <c r="D155" s="209">
        <v>49</v>
      </c>
      <c r="E155" s="198" t="s">
        <v>356</v>
      </c>
      <c r="F155" s="199">
        <v>461.38</v>
      </c>
      <c r="G155" s="198">
        <v>10.08</v>
      </c>
      <c r="H155" s="198">
        <v>10.3</v>
      </c>
      <c r="I155" s="210">
        <f t="shared" si="18"/>
        <v>1.021825396825397</v>
      </c>
      <c r="J155" s="198">
        <v>0</v>
      </c>
      <c r="K155" s="210">
        <f t="shared" si="19"/>
        <v>0</v>
      </c>
      <c r="L155" s="199">
        <v>136.88999999999999</v>
      </c>
      <c r="M155" s="211">
        <f t="shared" si="20"/>
        <v>1.021825396825397</v>
      </c>
      <c r="N155" s="199">
        <v>203.00720000000058</v>
      </c>
      <c r="O155" s="198">
        <v>0.5</v>
      </c>
      <c r="P155" s="200">
        <v>4.96031746031746E-2</v>
      </c>
      <c r="Q155" s="198">
        <v>-1.97</v>
      </c>
      <c r="R155" s="200">
        <v>-0.19543650793650794</v>
      </c>
      <c r="S155" s="199">
        <v>0</v>
      </c>
      <c r="T155" s="198" t="s">
        <v>308</v>
      </c>
      <c r="U155" s="198"/>
      <c r="V155" s="198" t="s">
        <v>413</v>
      </c>
      <c r="W155" s="205">
        <v>1</v>
      </c>
      <c r="X155" s="198" t="s">
        <v>115</v>
      </c>
    </row>
    <row r="156" spans="2:24">
      <c r="B156" s="496"/>
      <c r="C156" s="496"/>
      <c r="D156" s="209">
        <v>50</v>
      </c>
      <c r="E156" s="198" t="s">
        <v>329</v>
      </c>
      <c r="F156" s="199">
        <v>446.18300000000005</v>
      </c>
      <c r="G156" s="198">
        <v>117.11</v>
      </c>
      <c r="H156" s="198">
        <v>117.89700000000001</v>
      </c>
      <c r="I156" s="210">
        <f t="shared" si="18"/>
        <v>1.0067201776107932</v>
      </c>
      <c r="J156" s="198">
        <v>0</v>
      </c>
      <c r="K156" s="210">
        <f t="shared" si="19"/>
        <v>0</v>
      </c>
      <c r="L156" s="199">
        <v>299.3</v>
      </c>
      <c r="M156" s="211">
        <f t="shared" si="20"/>
        <v>1.0067201776107932</v>
      </c>
      <c r="N156" s="199">
        <v>453.09164000000357</v>
      </c>
      <c r="O156" s="198">
        <v>0.77500000000000002</v>
      </c>
      <c r="P156" s="200">
        <v>6.6177098454444543E-3</v>
      </c>
      <c r="Q156" s="198">
        <v>-0.97</v>
      </c>
      <c r="R156" s="200">
        <v>-8.2828110323627351E-3</v>
      </c>
      <c r="S156" s="199">
        <v>1</v>
      </c>
      <c r="T156" s="198" t="s">
        <v>308</v>
      </c>
      <c r="U156" s="198"/>
      <c r="V156" s="198" t="s">
        <v>413</v>
      </c>
      <c r="W156" s="205">
        <v>1</v>
      </c>
      <c r="X156" s="198" t="s">
        <v>113</v>
      </c>
    </row>
    <row r="157" spans="2:24">
      <c r="B157" s="495">
        <v>45885</v>
      </c>
      <c r="C157" s="496" t="s">
        <v>64</v>
      </c>
      <c r="D157" s="209">
        <v>51</v>
      </c>
      <c r="E157" s="198" t="s">
        <v>331</v>
      </c>
      <c r="F157" s="199">
        <v>1441.79</v>
      </c>
      <c r="G157" s="198">
        <v>232.86</v>
      </c>
      <c r="H157" s="198">
        <v>245.85999999999999</v>
      </c>
      <c r="I157" s="210">
        <f t="shared" si="18"/>
        <v>1.0558275358584557</v>
      </c>
      <c r="J157" s="198"/>
      <c r="K157" s="210">
        <f t="shared" si="19"/>
        <v>0</v>
      </c>
      <c r="L157" s="199">
        <v>335.3</v>
      </c>
      <c r="M157" s="211">
        <f t="shared" si="20"/>
        <v>1.0558275358584557</v>
      </c>
      <c r="N157" s="199">
        <v>4358.8999999999905</v>
      </c>
      <c r="O157" s="198">
        <v>4.3</v>
      </c>
      <c r="P157" s="200">
        <v>1.8466031091643045E-2</v>
      </c>
      <c r="Q157" s="198">
        <v>8.6999999999999709</v>
      </c>
      <c r="R157" s="200">
        <v>3.7361504766812548E-2</v>
      </c>
      <c r="S157" s="199">
        <v>2917.1099999999901</v>
      </c>
      <c r="T157" s="198" t="s">
        <v>315</v>
      </c>
      <c r="U157" s="198" t="s">
        <v>217</v>
      </c>
      <c r="V157" s="198" t="s">
        <v>416</v>
      </c>
      <c r="W157" s="205">
        <v>1</v>
      </c>
      <c r="X157" s="198" t="s">
        <v>114</v>
      </c>
    </row>
    <row r="158" spans="2:24">
      <c r="B158" s="496"/>
      <c r="C158" s="496"/>
      <c r="D158" s="209">
        <v>52</v>
      </c>
      <c r="E158" s="198" t="s">
        <v>274</v>
      </c>
      <c r="F158" s="199">
        <v>1410.03</v>
      </c>
      <c r="G158" s="198">
        <v>546.48</v>
      </c>
      <c r="H158" s="198">
        <v>554.6</v>
      </c>
      <c r="I158" s="210">
        <f t="shared" si="18"/>
        <v>1.0148587322500366</v>
      </c>
      <c r="J158" s="198"/>
      <c r="K158" s="210">
        <f t="shared" si="19"/>
        <v>0</v>
      </c>
      <c r="L158" s="199">
        <v>156.66999999999999</v>
      </c>
      <c r="M158" s="211">
        <f t="shared" si="20"/>
        <v>1.0148587322500366</v>
      </c>
      <c r="N158" s="199">
        <v>1272.1604000000007</v>
      </c>
      <c r="O158" s="198">
        <v>9</v>
      </c>
      <c r="P158" s="200">
        <v>1.6469038208168644E-2</v>
      </c>
      <c r="Q158" s="198">
        <v>-0.87999999999999545</v>
      </c>
      <c r="R158" s="200">
        <v>-1.6103059581320366E-3</v>
      </c>
      <c r="S158" s="199">
        <v>-137.86959999999928</v>
      </c>
      <c r="T158" s="198" t="s">
        <v>308</v>
      </c>
      <c r="U158" s="198" t="s">
        <v>276</v>
      </c>
      <c r="V158" s="198"/>
      <c r="W158" s="205">
        <v>1</v>
      </c>
      <c r="X158" s="198" t="s">
        <v>109</v>
      </c>
    </row>
    <row r="159" spans="2:24">
      <c r="B159" s="496"/>
      <c r="C159" s="496"/>
      <c r="D159" s="209">
        <v>53</v>
      </c>
      <c r="E159" s="198" t="s">
        <v>415</v>
      </c>
      <c r="F159" s="199">
        <v>1198.8</v>
      </c>
      <c r="G159" s="198">
        <v>144.30000000000001</v>
      </c>
      <c r="H159" s="198">
        <v>161</v>
      </c>
      <c r="I159" s="210">
        <f t="shared" si="18"/>
        <v>1.1157311157311156</v>
      </c>
      <c r="J159" s="198"/>
      <c r="K159" s="210">
        <f t="shared" si="19"/>
        <v>0</v>
      </c>
      <c r="L159" s="199">
        <v>81</v>
      </c>
      <c r="M159" s="211">
        <f t="shared" si="20"/>
        <v>1.1157311157311156</v>
      </c>
      <c r="N159" s="199">
        <v>1352.6999999999991</v>
      </c>
      <c r="O159" s="198">
        <v>14.8</v>
      </c>
      <c r="P159" s="200">
        <v>0.10256410256410256</v>
      </c>
      <c r="Q159" s="198">
        <v>1.8999999999999879</v>
      </c>
      <c r="R159" s="200">
        <v>1.3167013167013082E-2</v>
      </c>
      <c r="S159" s="199">
        <v>153.89999999999901</v>
      </c>
      <c r="T159" s="198" t="s">
        <v>326</v>
      </c>
      <c r="U159" s="198" t="s">
        <v>318</v>
      </c>
      <c r="V159" s="198" t="s">
        <v>417</v>
      </c>
      <c r="W159" s="205">
        <v>1</v>
      </c>
      <c r="X159" s="198" t="s">
        <v>339</v>
      </c>
    </row>
    <row r="160" spans="2:24">
      <c r="B160" s="496"/>
      <c r="C160" s="496"/>
      <c r="D160" s="209">
        <v>54</v>
      </c>
      <c r="E160" s="198" t="s">
        <v>301</v>
      </c>
      <c r="F160" s="199">
        <v>768.72900000000004</v>
      </c>
      <c r="G160" s="198">
        <v>165.24</v>
      </c>
      <c r="H160" s="198">
        <v>164.35</v>
      </c>
      <c r="I160" s="210">
        <f t="shared" si="18"/>
        <v>0.99461389494069219</v>
      </c>
      <c r="J160" s="198"/>
      <c r="K160" s="210">
        <f t="shared" si="19"/>
        <v>0</v>
      </c>
      <c r="L160" s="199">
        <v>111.41</v>
      </c>
      <c r="M160" s="211">
        <f t="shared" si="20"/>
        <v>0.99461389494069219</v>
      </c>
      <c r="N160" s="199">
        <v>0</v>
      </c>
      <c r="O160" s="198">
        <v>6.9</v>
      </c>
      <c r="P160" s="200">
        <v>4.1757443718228031E-2</v>
      </c>
      <c r="Q160" s="198">
        <v>-7.7900000000000151</v>
      </c>
      <c r="R160" s="200">
        <v>-4.7143548777535793E-2</v>
      </c>
      <c r="S160" s="199">
        <v>-867.88390000000163</v>
      </c>
      <c r="T160" s="198" t="s">
        <v>278</v>
      </c>
      <c r="U160" s="198" t="s">
        <v>212</v>
      </c>
      <c r="V160" s="198" t="s">
        <v>418</v>
      </c>
      <c r="W160" s="205">
        <v>1</v>
      </c>
      <c r="X160" s="198" t="s">
        <v>111</v>
      </c>
    </row>
    <row r="161" spans="2:24">
      <c r="B161" s="496"/>
      <c r="C161" s="496"/>
      <c r="D161" s="209">
        <v>55</v>
      </c>
      <c r="E161" s="198" t="s">
        <v>277</v>
      </c>
      <c r="F161" s="199">
        <v>768.32600000000002</v>
      </c>
      <c r="G161" s="198">
        <v>336.4</v>
      </c>
      <c r="H161" s="198">
        <v>343.9</v>
      </c>
      <c r="I161" s="210">
        <f t="shared" si="18"/>
        <v>1.022294887039239</v>
      </c>
      <c r="J161" s="198"/>
      <c r="K161" s="210">
        <f t="shared" si="19"/>
        <v>0</v>
      </c>
      <c r="L161" s="199">
        <v>132.47</v>
      </c>
      <c r="M161" s="211">
        <f t="shared" si="20"/>
        <v>1.022294887039239</v>
      </c>
      <c r="N161" s="199">
        <v>993.52499999999998</v>
      </c>
      <c r="O161" s="198">
        <v>5.8</v>
      </c>
      <c r="P161" s="200">
        <v>1.7241379310344827E-2</v>
      </c>
      <c r="Q161" s="198">
        <v>1.7000000000000002</v>
      </c>
      <c r="R161" s="200">
        <v>5.0535077288941747E-3</v>
      </c>
      <c r="S161" s="199">
        <v>225.19900000000001</v>
      </c>
      <c r="T161" s="198" t="s">
        <v>308</v>
      </c>
      <c r="U161" s="198" t="s">
        <v>276</v>
      </c>
      <c r="V161" s="198"/>
      <c r="W161" s="205">
        <v>1</v>
      </c>
      <c r="X161" s="198" t="s">
        <v>110</v>
      </c>
    </row>
    <row r="162" spans="2:24">
      <c r="B162" s="496"/>
      <c r="C162" s="496"/>
      <c r="D162" s="209">
        <v>56</v>
      </c>
      <c r="E162" s="198" t="s">
        <v>314</v>
      </c>
      <c r="F162" s="199">
        <v>713.15999999999985</v>
      </c>
      <c r="G162" s="198">
        <v>146.15</v>
      </c>
      <c r="H162" s="198">
        <v>149.35</v>
      </c>
      <c r="I162" s="210">
        <f t="shared" si="18"/>
        <v>1.0218953130345534</v>
      </c>
      <c r="J162" s="198"/>
      <c r="K162" s="210">
        <f t="shared" si="19"/>
        <v>0</v>
      </c>
      <c r="L162" s="199">
        <v>226.39999999999998</v>
      </c>
      <c r="M162" s="211">
        <f t="shared" si="20"/>
        <v>1.0218953130345534</v>
      </c>
      <c r="N162" s="199">
        <v>724.4799999999974</v>
      </c>
      <c r="O162" s="198">
        <v>3.15</v>
      </c>
      <c r="P162" s="200">
        <v>2.155319876838864E-2</v>
      </c>
      <c r="Q162" s="198">
        <v>6.5600000000000023</v>
      </c>
      <c r="R162" s="200">
        <v>4.4885391720834771E-2</v>
      </c>
      <c r="S162" s="199">
        <v>1010.2400000000004</v>
      </c>
      <c r="T162" s="198" t="s">
        <v>308</v>
      </c>
      <c r="U162" s="198" t="s">
        <v>276</v>
      </c>
      <c r="V162" s="198"/>
      <c r="W162" s="205">
        <v>1</v>
      </c>
      <c r="X162" s="198" t="s">
        <v>121</v>
      </c>
    </row>
    <row r="163" spans="2:24">
      <c r="B163" s="496"/>
      <c r="C163" s="496"/>
      <c r="D163" s="209">
        <v>57</v>
      </c>
      <c r="E163" s="198" t="s">
        <v>321</v>
      </c>
      <c r="F163" s="199">
        <v>383.61950000000002</v>
      </c>
      <c r="G163" s="198">
        <v>40.479999999999997</v>
      </c>
      <c r="H163" s="198">
        <v>41.3</v>
      </c>
      <c r="I163" s="210">
        <f t="shared" si="18"/>
        <v>1.0202569169960474</v>
      </c>
      <c r="J163" s="198"/>
      <c r="K163" s="210">
        <f t="shared" si="19"/>
        <v>0</v>
      </c>
      <c r="L163" s="199">
        <v>697.49</v>
      </c>
      <c r="M163" s="211">
        <f t="shared" si="20"/>
        <v>1.0202569169960474</v>
      </c>
      <c r="N163" s="199">
        <v>571.94180000000017</v>
      </c>
      <c r="O163" s="198">
        <v>0.55000000000000004</v>
      </c>
      <c r="P163" s="200">
        <v>1.3586956521739132E-2</v>
      </c>
      <c r="Q163" s="198">
        <v>2.6250000000000107</v>
      </c>
      <c r="R163" s="200">
        <v>6.4846837944664296E-2</v>
      </c>
      <c r="S163" s="199">
        <v>262.57875000000104</v>
      </c>
      <c r="T163" s="198" t="s">
        <v>308</v>
      </c>
      <c r="U163" s="198" t="s">
        <v>276</v>
      </c>
      <c r="V163" s="198"/>
      <c r="W163" s="205">
        <v>1</v>
      </c>
      <c r="X163" s="198" t="s">
        <v>109</v>
      </c>
    </row>
    <row r="164" spans="2:24">
      <c r="B164" s="496"/>
      <c r="C164" s="496"/>
      <c r="D164" s="209">
        <v>58</v>
      </c>
      <c r="E164" s="198" t="s">
        <v>284</v>
      </c>
      <c r="F164" s="199">
        <v>367.35</v>
      </c>
      <c r="G164" s="198">
        <v>62.765999999999998</v>
      </c>
      <c r="H164" s="198">
        <v>64.099999999999994</v>
      </c>
      <c r="I164" s="210">
        <f t="shared" si="18"/>
        <v>1.0212535449128508</v>
      </c>
      <c r="J164" s="198"/>
      <c r="K164" s="210">
        <f t="shared" si="19"/>
        <v>0</v>
      </c>
      <c r="L164" s="199">
        <v>93</v>
      </c>
      <c r="M164" s="211">
        <f t="shared" si="20"/>
        <v>1.0212535449128508</v>
      </c>
      <c r="N164" s="199">
        <v>124.06199999999964</v>
      </c>
      <c r="O164" s="198">
        <v>3.95</v>
      </c>
      <c r="P164" s="200">
        <v>6.2932160723958838E-2</v>
      </c>
      <c r="Q164" s="198">
        <v>-6.1272999999999911</v>
      </c>
      <c r="R164" s="200">
        <v>-9.7621323646560107E-2</v>
      </c>
      <c r="S164" s="199">
        <v>-2575.9781929999963</v>
      </c>
      <c r="T164" s="198" t="s">
        <v>308</v>
      </c>
      <c r="U164" s="198" t="s">
        <v>276</v>
      </c>
      <c r="V164" s="198"/>
      <c r="W164" s="205">
        <v>1</v>
      </c>
      <c r="X164" s="198" t="s">
        <v>115</v>
      </c>
    </row>
    <row r="165" spans="2:24">
      <c r="B165" s="496"/>
      <c r="C165" s="496"/>
      <c r="D165" s="209">
        <v>59</v>
      </c>
      <c r="E165" s="198" t="s">
        <v>287</v>
      </c>
      <c r="F165" s="199">
        <v>274.43630769230765</v>
      </c>
      <c r="G165" s="198">
        <v>84.1</v>
      </c>
      <c r="H165" s="198">
        <v>94.5</v>
      </c>
      <c r="I165" s="210">
        <f t="shared" si="18"/>
        <v>1.1236623067776457</v>
      </c>
      <c r="J165" s="198"/>
      <c r="K165" s="210">
        <f t="shared" si="19"/>
        <v>0</v>
      </c>
      <c r="L165" s="199">
        <v>508.21538461538449</v>
      </c>
      <c r="M165" s="211">
        <f t="shared" si="20"/>
        <v>1.1236623067776457</v>
      </c>
      <c r="N165" s="199">
        <v>5285.4400000000014</v>
      </c>
      <c r="O165" s="198">
        <v>0.54</v>
      </c>
      <c r="P165" s="200">
        <v>6.4209274673008333E-3</v>
      </c>
      <c r="Q165" s="198">
        <v>-1.97</v>
      </c>
      <c r="R165" s="200">
        <v>-2.342449464922711E-2</v>
      </c>
      <c r="S165" s="199">
        <v>0</v>
      </c>
      <c r="T165" s="198" t="s">
        <v>315</v>
      </c>
      <c r="U165" s="198" t="s">
        <v>217</v>
      </c>
      <c r="V165" s="198" t="s">
        <v>419</v>
      </c>
      <c r="W165" s="205">
        <v>1</v>
      </c>
      <c r="X165" s="198" t="s">
        <v>110</v>
      </c>
    </row>
    <row r="166" spans="2:24">
      <c r="B166" s="496"/>
      <c r="C166" s="496"/>
      <c r="D166" s="209">
        <v>60</v>
      </c>
      <c r="E166" s="198" t="s">
        <v>420</v>
      </c>
      <c r="F166" s="199">
        <v>260.61799999999999</v>
      </c>
      <c r="G166" s="198">
        <v>908.2</v>
      </c>
      <c r="H166" s="198">
        <v>940</v>
      </c>
      <c r="I166" s="210">
        <f t="shared" si="18"/>
        <v>1.0350143140277472</v>
      </c>
      <c r="J166" s="198"/>
      <c r="K166" s="210">
        <f t="shared" si="19"/>
        <v>0</v>
      </c>
      <c r="L166" s="199">
        <v>31.099999999999998</v>
      </c>
      <c r="M166" s="211">
        <f t="shared" si="20"/>
        <v>1.0350143140277472</v>
      </c>
      <c r="N166" s="199">
        <v>988.97999999999854</v>
      </c>
      <c r="O166" s="198">
        <v>8.3800000000000008</v>
      </c>
      <c r="P166" s="200">
        <v>9.2270425016516191E-3</v>
      </c>
      <c r="Q166" s="198">
        <v>-0.97</v>
      </c>
      <c r="R166" s="200">
        <v>-1.068046685752037E-3</v>
      </c>
      <c r="S166" s="199">
        <v>1</v>
      </c>
      <c r="T166" s="198" t="s">
        <v>308</v>
      </c>
      <c r="U166" s="198" t="s">
        <v>320</v>
      </c>
      <c r="V166" s="198"/>
      <c r="W166" s="205">
        <v>1</v>
      </c>
      <c r="X166" s="198" t="s">
        <v>112</v>
      </c>
    </row>
    <row r="167" spans="2:24">
      <c r="B167" s="495">
        <v>45886</v>
      </c>
      <c r="C167" s="496" t="s">
        <v>59</v>
      </c>
      <c r="D167" s="209">
        <v>61</v>
      </c>
      <c r="E167" s="198" t="s">
        <v>274</v>
      </c>
      <c r="F167" s="199">
        <v>1806.09176</v>
      </c>
      <c r="G167" s="198">
        <v>736.83</v>
      </c>
      <c r="H167" s="198">
        <v>743.81700000000001</v>
      </c>
      <c r="I167" s="210">
        <f t="shared" si="18"/>
        <v>1.009482512926998</v>
      </c>
      <c r="J167" s="198"/>
      <c r="K167" s="210">
        <f t="shared" si="19"/>
        <v>0</v>
      </c>
      <c r="L167" s="199">
        <v>156.66999999999999</v>
      </c>
      <c r="M167" s="211">
        <f t="shared" si="20"/>
        <v>1.009482512926998</v>
      </c>
      <c r="N167" s="199">
        <v>1094.6532899999947</v>
      </c>
      <c r="O167" s="198">
        <v>11.528</v>
      </c>
      <c r="P167" s="200">
        <v>1.5645399888712459E-2</v>
      </c>
      <c r="Q167" s="198">
        <v>-4.5410000000000341</v>
      </c>
      <c r="R167" s="200">
        <v>-6.1628869617144167E-3</v>
      </c>
      <c r="S167" s="199">
        <v>-711.43847000000528</v>
      </c>
      <c r="T167" s="198" t="s">
        <v>308</v>
      </c>
      <c r="U167" s="198"/>
      <c r="V167" s="198"/>
      <c r="W167" s="205">
        <v>1</v>
      </c>
      <c r="X167" s="198" t="s">
        <v>109</v>
      </c>
    </row>
    <row r="168" spans="2:24">
      <c r="B168" s="496"/>
      <c r="C168" s="496"/>
      <c r="D168" s="209">
        <v>62</v>
      </c>
      <c r="E168" s="198" t="s">
        <v>284</v>
      </c>
      <c r="F168" s="199">
        <v>1392.21</v>
      </c>
      <c r="G168" s="198">
        <v>68.343000000000004</v>
      </c>
      <c r="H168" s="198">
        <v>69.262</v>
      </c>
      <c r="I168" s="210">
        <f t="shared" si="18"/>
        <v>1.0134468782464918</v>
      </c>
      <c r="J168" s="198"/>
      <c r="K168" s="210">
        <f t="shared" si="19"/>
        <v>0</v>
      </c>
      <c r="L168" s="199">
        <v>93</v>
      </c>
      <c r="M168" s="211">
        <f t="shared" si="20"/>
        <v>1.0134468782464918</v>
      </c>
      <c r="N168" s="199">
        <v>85.466999999999715</v>
      </c>
      <c r="O168" s="198">
        <v>14.97</v>
      </c>
      <c r="P168" s="200">
        <v>0.21904218427637065</v>
      </c>
      <c r="Q168" s="198">
        <v>-14.051000000000004</v>
      </c>
      <c r="R168" s="200">
        <v>-0.20559530602987874</v>
      </c>
      <c r="S168" s="199">
        <v>-1306.7430000000004</v>
      </c>
      <c r="T168" s="198" t="s">
        <v>308</v>
      </c>
      <c r="U168" s="198"/>
      <c r="V168" s="198"/>
      <c r="W168" s="205">
        <v>1</v>
      </c>
      <c r="X168" s="198" t="s">
        <v>317</v>
      </c>
    </row>
    <row r="169" spans="2:24">
      <c r="B169" s="496"/>
      <c r="C169" s="496"/>
      <c r="D169" s="209">
        <v>63</v>
      </c>
      <c r="E169" s="198" t="s">
        <v>279</v>
      </c>
      <c r="F169" s="199">
        <v>956.21600000000001</v>
      </c>
      <c r="G169" s="198">
        <v>277.71199999999999</v>
      </c>
      <c r="H169" s="198">
        <v>287.93099999999998</v>
      </c>
      <c r="I169" s="210">
        <f t="shared" si="18"/>
        <v>1.0367971135564902</v>
      </c>
      <c r="J169" s="198"/>
      <c r="K169" s="210">
        <f t="shared" si="19"/>
        <v>0</v>
      </c>
      <c r="L169" s="199">
        <v>140.62</v>
      </c>
      <c r="M169" s="211">
        <f t="shared" si="20"/>
        <v>1.0367971135564902</v>
      </c>
      <c r="N169" s="199">
        <v>1436.9957799999993</v>
      </c>
      <c r="O169" s="198">
        <v>6.8</v>
      </c>
      <c r="P169" s="200">
        <v>2.4485798237022526E-2</v>
      </c>
      <c r="Q169" s="198">
        <v>3.4189999999999943</v>
      </c>
      <c r="R169" s="200">
        <v>1.2311315319467629E-2</v>
      </c>
      <c r="S169" s="199">
        <v>480.77977999999922</v>
      </c>
      <c r="T169" s="198" t="s">
        <v>308</v>
      </c>
      <c r="U169" s="198"/>
      <c r="V169" s="198"/>
      <c r="W169" s="205">
        <v>1</v>
      </c>
      <c r="X169" s="198" t="s">
        <v>113</v>
      </c>
    </row>
    <row r="170" spans="2:24">
      <c r="B170" s="496"/>
      <c r="C170" s="496"/>
      <c r="D170" s="209">
        <v>64</v>
      </c>
      <c r="E170" s="198" t="s">
        <v>348</v>
      </c>
      <c r="F170" s="199">
        <v>951.68541999999979</v>
      </c>
      <c r="G170" s="198">
        <v>421.61</v>
      </c>
      <c r="H170" s="198">
        <v>433</v>
      </c>
      <c r="I170" s="210">
        <f t="shared" si="18"/>
        <v>1.0270154882474325</v>
      </c>
      <c r="J170" s="198"/>
      <c r="K170" s="210">
        <f t="shared" si="19"/>
        <v>0</v>
      </c>
      <c r="L170" s="199">
        <v>100.02999999999999</v>
      </c>
      <c r="M170" s="211">
        <f t="shared" si="20"/>
        <v>1.0270154882474325</v>
      </c>
      <c r="N170" s="199">
        <v>1139.3416999999986</v>
      </c>
      <c r="O170" s="198">
        <v>9.5139999999999993</v>
      </c>
      <c r="P170" s="200">
        <v>2.2565878418443583E-2</v>
      </c>
      <c r="Q170" s="198">
        <v>1.875999999999987</v>
      </c>
      <c r="R170" s="200">
        <v>4.4496098289888448E-3</v>
      </c>
      <c r="S170" s="199">
        <v>187.65627999999867</v>
      </c>
      <c r="T170" s="198" t="s">
        <v>308</v>
      </c>
      <c r="U170" s="198"/>
      <c r="V170" s="198"/>
      <c r="W170" s="205">
        <v>1</v>
      </c>
      <c r="X170" s="198" t="s">
        <v>114</v>
      </c>
    </row>
    <row r="171" spans="2:24">
      <c r="B171" s="496"/>
      <c r="C171" s="496"/>
      <c r="D171" s="209">
        <v>65</v>
      </c>
      <c r="E171" s="198" t="s">
        <v>304</v>
      </c>
      <c r="F171" s="199">
        <v>888.37416000000007</v>
      </c>
      <c r="G171" s="198">
        <v>160.09</v>
      </c>
      <c r="H171" s="198">
        <v>164.714</v>
      </c>
      <c r="I171" s="210">
        <f t="shared" si="18"/>
        <v>1.0288837528889998</v>
      </c>
      <c r="J171" s="198"/>
      <c r="K171" s="210">
        <f t="shared" si="19"/>
        <v>0</v>
      </c>
      <c r="L171" s="199">
        <v>108.18</v>
      </c>
      <c r="M171" s="211">
        <f t="shared" si="20"/>
        <v>1.0288837528889998</v>
      </c>
      <c r="N171" s="199">
        <v>500.22431999999952</v>
      </c>
      <c r="O171" s="198">
        <v>8.2119999999999997</v>
      </c>
      <c r="P171" s="200">
        <v>5.1296145917921164E-2</v>
      </c>
      <c r="Q171" s="198">
        <v>-3.5880000000000045</v>
      </c>
      <c r="R171" s="200">
        <v>-2.241239302892126E-2</v>
      </c>
      <c r="S171" s="199">
        <v>-388.14984000000049</v>
      </c>
      <c r="T171" s="198" t="s">
        <v>308</v>
      </c>
      <c r="U171" s="198"/>
      <c r="V171" s="198"/>
      <c r="W171" s="205">
        <v>1</v>
      </c>
      <c r="X171" s="198" t="s">
        <v>115</v>
      </c>
    </row>
    <row r="172" spans="2:24">
      <c r="B172" s="496"/>
      <c r="C172" s="496"/>
      <c r="D172" s="209">
        <v>66</v>
      </c>
      <c r="E172" s="198" t="s">
        <v>277</v>
      </c>
      <c r="F172" s="199">
        <v>802.23832000000004</v>
      </c>
      <c r="G172" s="198">
        <v>435.68</v>
      </c>
      <c r="H172" s="198">
        <v>442.78800000000001</v>
      </c>
      <c r="I172" s="210">
        <f t="shared" si="18"/>
        <v>1.0163147264047008</v>
      </c>
      <c r="J172" s="198"/>
      <c r="K172" s="210">
        <f t="shared" si="19"/>
        <v>0</v>
      </c>
      <c r="L172" s="199">
        <v>132.47</v>
      </c>
      <c r="M172" s="211">
        <f t="shared" si="20"/>
        <v>1.0163147264047008</v>
      </c>
      <c r="N172" s="199">
        <v>941.59676000000059</v>
      </c>
      <c r="O172" s="198">
        <v>6.056</v>
      </c>
      <c r="P172" s="200">
        <v>1.3900110172603746E-2</v>
      </c>
      <c r="Q172" s="198">
        <v>6.5600000000000023</v>
      </c>
      <c r="R172" s="200">
        <v>1.5056922511935371E-2</v>
      </c>
      <c r="S172" s="199">
        <v>1010.2400000000004</v>
      </c>
      <c r="T172" s="198" t="s">
        <v>308</v>
      </c>
      <c r="U172" s="198"/>
      <c r="V172" s="198"/>
      <c r="W172" s="205">
        <v>1</v>
      </c>
      <c r="X172" s="198" t="s">
        <v>110</v>
      </c>
    </row>
    <row r="173" spans="2:24">
      <c r="B173" s="496"/>
      <c r="C173" s="496"/>
      <c r="D173" s="209">
        <v>67</v>
      </c>
      <c r="E173" s="198" t="s">
        <v>369</v>
      </c>
      <c r="F173" s="199">
        <v>780.28500000000008</v>
      </c>
      <c r="G173" s="198">
        <v>264.06</v>
      </c>
      <c r="H173" s="198">
        <v>281.60000000000002</v>
      </c>
      <c r="I173" s="210">
        <f t="shared" si="18"/>
        <v>1.0664242975081422</v>
      </c>
      <c r="J173" s="198"/>
      <c r="K173" s="210">
        <f t="shared" si="19"/>
        <v>0</v>
      </c>
      <c r="L173" s="199">
        <v>141.87</v>
      </c>
      <c r="M173" s="211">
        <f t="shared" si="20"/>
        <v>1.0664242975081422</v>
      </c>
      <c r="N173" s="199">
        <v>2488.3998000000029</v>
      </c>
      <c r="O173" s="198">
        <v>5.5</v>
      </c>
      <c r="P173" s="200">
        <v>2.0828599560705902E-2</v>
      </c>
      <c r="Q173" s="198">
        <v>2.6250000000000107</v>
      </c>
      <c r="R173" s="200">
        <v>9.9409225176096752E-3</v>
      </c>
      <c r="S173" s="199">
        <v>262.57875000000104</v>
      </c>
      <c r="T173" s="198" t="s">
        <v>326</v>
      </c>
      <c r="U173" s="198" t="s">
        <v>318</v>
      </c>
      <c r="V173" s="198" t="s">
        <v>417</v>
      </c>
      <c r="W173" s="205">
        <v>1</v>
      </c>
      <c r="X173" s="198" t="s">
        <v>116</v>
      </c>
    </row>
    <row r="174" spans="2:24">
      <c r="B174" s="496"/>
      <c r="C174" s="496"/>
      <c r="D174" s="209">
        <v>68</v>
      </c>
      <c r="E174" s="198" t="s">
        <v>375</v>
      </c>
      <c r="F174" s="199">
        <v>688.57661000000007</v>
      </c>
      <c r="G174" s="198">
        <v>707.28</v>
      </c>
      <c r="H174" s="198">
        <v>730.22799999999995</v>
      </c>
      <c r="I174" s="210">
        <f t="shared" si="18"/>
        <v>1.0324454247257098</v>
      </c>
      <c r="J174" s="198"/>
      <c r="K174" s="210">
        <f t="shared" si="19"/>
        <v>0</v>
      </c>
      <c r="L174" s="199">
        <v>77.290000000000006</v>
      </c>
      <c r="M174" s="211">
        <f t="shared" si="20"/>
        <v>1.0324454247257098</v>
      </c>
      <c r="N174" s="199">
        <v>1773.6509199999985</v>
      </c>
      <c r="O174" s="198">
        <v>8.9090000000000007</v>
      </c>
      <c r="P174" s="200">
        <v>1.2596142970252236E-2</v>
      </c>
      <c r="Q174" s="198">
        <v>-6.1272999999999911</v>
      </c>
      <c r="R174" s="200">
        <v>-8.6631885533310585E-3</v>
      </c>
      <c r="S174" s="199">
        <v>-2575.9781929999963</v>
      </c>
      <c r="T174" s="198" t="s">
        <v>308</v>
      </c>
      <c r="U174" s="198"/>
      <c r="V174" s="198"/>
      <c r="W174" s="205">
        <v>1</v>
      </c>
      <c r="X174" s="198" t="s">
        <v>112</v>
      </c>
    </row>
    <row r="175" spans="2:24">
      <c r="B175" s="496"/>
      <c r="C175" s="496"/>
      <c r="D175" s="209">
        <v>69</v>
      </c>
      <c r="E175" s="198" t="s">
        <v>301</v>
      </c>
      <c r="F175" s="199">
        <v>521.39879999999994</v>
      </c>
      <c r="G175" s="198">
        <v>195.93</v>
      </c>
      <c r="H175" s="198">
        <v>201.62700000000001</v>
      </c>
      <c r="I175" s="210">
        <f t="shared" si="18"/>
        <v>1.0290767110702803</v>
      </c>
      <c r="J175" s="198"/>
      <c r="K175" s="210">
        <f t="shared" si="19"/>
        <v>0</v>
      </c>
      <c r="L175" s="199">
        <v>111.41</v>
      </c>
      <c r="M175" s="211">
        <f t="shared" si="20"/>
        <v>1.0290767110702803</v>
      </c>
      <c r="N175" s="199">
        <v>634.70277000000033</v>
      </c>
      <c r="O175" s="198">
        <v>4.68</v>
      </c>
      <c r="P175" s="200">
        <v>2.3886081763895266E-2</v>
      </c>
      <c r="Q175" s="198">
        <v>-1.97</v>
      </c>
      <c r="R175" s="200">
        <v>-1.0054611340784973E-2</v>
      </c>
      <c r="S175" s="199">
        <v>0</v>
      </c>
      <c r="T175" s="198" t="s">
        <v>308</v>
      </c>
      <c r="U175" s="198"/>
      <c r="V175" s="198"/>
      <c r="W175" s="205">
        <v>1</v>
      </c>
      <c r="X175" s="198" t="s">
        <v>111</v>
      </c>
    </row>
    <row r="176" spans="2:24">
      <c r="B176" s="496"/>
      <c r="C176" s="496"/>
      <c r="D176" s="209">
        <v>70</v>
      </c>
      <c r="E176" s="198" t="s">
        <v>321</v>
      </c>
      <c r="F176" s="199">
        <v>496.61287999999996</v>
      </c>
      <c r="G176" s="198">
        <v>54.58</v>
      </c>
      <c r="H176" s="198">
        <v>55.6</v>
      </c>
      <c r="I176" s="210">
        <f t="shared" si="18"/>
        <v>1.018688164162697</v>
      </c>
      <c r="J176" s="198"/>
      <c r="K176" s="210">
        <f t="shared" si="19"/>
        <v>0</v>
      </c>
      <c r="L176" s="199">
        <v>697.49</v>
      </c>
      <c r="M176" s="211">
        <f t="shared" si="20"/>
        <v>1.018688164162697</v>
      </c>
      <c r="N176" s="199">
        <v>711.43980000000215</v>
      </c>
      <c r="O176" s="198">
        <v>0.71199999999999997</v>
      </c>
      <c r="P176" s="200">
        <v>1.3045071454745328E-2</v>
      </c>
      <c r="Q176" s="198">
        <v>-0.97</v>
      </c>
      <c r="R176" s="200">
        <v>-1.7772077684133383E-2</v>
      </c>
      <c r="S176" s="199">
        <v>1</v>
      </c>
      <c r="T176" s="198" t="s">
        <v>308</v>
      </c>
      <c r="U176" s="198"/>
      <c r="V176" s="198"/>
      <c r="W176" s="205">
        <v>1</v>
      </c>
      <c r="X176" s="198" t="s">
        <v>109</v>
      </c>
    </row>
    <row r="177" spans="2:24">
      <c r="B177" s="495">
        <v>45887</v>
      </c>
      <c r="C177" s="496" t="s">
        <v>65</v>
      </c>
      <c r="D177" s="209">
        <v>71</v>
      </c>
      <c r="E177" s="198" t="s">
        <v>277</v>
      </c>
      <c r="F177" s="199">
        <v>3311.75</v>
      </c>
      <c r="G177" s="198">
        <v>450.88</v>
      </c>
      <c r="H177" s="198">
        <v>481.2</v>
      </c>
      <c r="I177" s="210">
        <f t="shared" si="18"/>
        <v>1.0672462739531583</v>
      </c>
      <c r="J177" s="198"/>
      <c r="K177" s="210">
        <f t="shared" si="19"/>
        <v>0</v>
      </c>
      <c r="L177" s="199">
        <v>132.47</v>
      </c>
      <c r="M177" s="211">
        <f t="shared" si="20"/>
        <v>1.0672462739531583</v>
      </c>
      <c r="N177" s="199">
        <v>4016.4903999999992</v>
      </c>
      <c r="O177" s="198">
        <v>25</v>
      </c>
      <c r="P177" s="200">
        <v>5.5447125621007808E-2</v>
      </c>
      <c r="Q177" s="198">
        <v>5.3199999999999932</v>
      </c>
      <c r="R177" s="200">
        <v>1.1799148332150447E-2</v>
      </c>
      <c r="S177" s="199">
        <v>704.74039999999911</v>
      </c>
      <c r="T177" s="198" t="s">
        <v>326</v>
      </c>
      <c r="U177" s="198" t="s">
        <v>318</v>
      </c>
      <c r="V177" s="198" t="s">
        <v>411</v>
      </c>
      <c r="W177" s="205">
        <v>1</v>
      </c>
      <c r="X177" s="198" t="s">
        <v>110</v>
      </c>
    </row>
    <row r="178" spans="2:24">
      <c r="B178" s="496"/>
      <c r="C178" s="496"/>
      <c r="D178" s="209">
        <v>72</v>
      </c>
      <c r="E178" s="198" t="s">
        <v>356</v>
      </c>
      <c r="F178" s="199">
        <v>1614.78</v>
      </c>
      <c r="G178" s="198">
        <v>14.5</v>
      </c>
      <c r="H178" s="198">
        <v>17</v>
      </c>
      <c r="I178" s="210">
        <f t="shared" si="18"/>
        <v>1.1724137931034482</v>
      </c>
      <c r="J178" s="198"/>
      <c r="K178" s="210">
        <f t="shared" si="19"/>
        <v>0</v>
      </c>
      <c r="L178" s="199">
        <v>922.73</v>
      </c>
      <c r="M178" s="211">
        <f t="shared" si="20"/>
        <v>1.1724137931034482</v>
      </c>
      <c r="N178" s="199">
        <v>2280.9885599999998</v>
      </c>
      <c r="O178" s="198">
        <v>1.75</v>
      </c>
      <c r="P178" s="200">
        <v>0.1206896551724138</v>
      </c>
      <c r="Q178" s="198">
        <v>0.75</v>
      </c>
      <c r="R178" s="200">
        <v>5.1724137931034482E-2</v>
      </c>
      <c r="S178" s="199">
        <v>692.04750000000001</v>
      </c>
      <c r="T178" s="198" t="s">
        <v>326</v>
      </c>
      <c r="U178" s="198" t="s">
        <v>318</v>
      </c>
      <c r="V178" s="198" t="s">
        <v>411</v>
      </c>
      <c r="W178" s="205">
        <v>1</v>
      </c>
      <c r="X178" s="198" t="s">
        <v>121</v>
      </c>
    </row>
    <row r="179" spans="2:24">
      <c r="B179" s="496"/>
      <c r="C179" s="496"/>
      <c r="D179" s="209">
        <v>73</v>
      </c>
      <c r="E179" s="198" t="s">
        <v>274</v>
      </c>
      <c r="F179" s="199">
        <v>841.94457999999986</v>
      </c>
      <c r="G179" s="198">
        <v>773.68499999999995</v>
      </c>
      <c r="H179" s="198">
        <v>781.96799999999996</v>
      </c>
      <c r="I179" s="210">
        <f t="shared" si="18"/>
        <v>1.0107059074429516</v>
      </c>
      <c r="J179" s="198"/>
      <c r="K179" s="210">
        <f t="shared" si="19"/>
        <v>0</v>
      </c>
      <c r="L179" s="199">
        <v>156.66999999999999</v>
      </c>
      <c r="M179" s="211">
        <f t="shared" si="20"/>
        <v>1.0107059074429516</v>
      </c>
      <c r="N179" s="199">
        <v>1297.6976100000022</v>
      </c>
      <c r="O179" s="198">
        <v>5.3739999999999997</v>
      </c>
      <c r="P179" s="200">
        <v>6.9459793068238369E-3</v>
      </c>
      <c r="Q179" s="198">
        <v>2.9090000000000158</v>
      </c>
      <c r="R179" s="200">
        <v>3.7599281361277727E-3</v>
      </c>
      <c r="S179" s="199">
        <v>455.75303000000241</v>
      </c>
      <c r="T179" s="198" t="s">
        <v>308</v>
      </c>
      <c r="U179" s="198"/>
      <c r="V179" s="198"/>
      <c r="W179" s="205">
        <v>1</v>
      </c>
      <c r="X179" s="198" t="s">
        <v>109</v>
      </c>
    </row>
    <row r="180" spans="2:24">
      <c r="B180" s="496"/>
      <c r="C180" s="496"/>
      <c r="D180" s="209">
        <v>74</v>
      </c>
      <c r="E180" s="198" t="s">
        <v>331</v>
      </c>
      <c r="F180" s="199">
        <v>777.89599999999996</v>
      </c>
      <c r="G180" s="198">
        <v>243</v>
      </c>
      <c r="H180" s="198">
        <v>257</v>
      </c>
      <c r="I180" s="210">
        <f t="shared" si="18"/>
        <v>1.0576131687242798</v>
      </c>
      <c r="J180" s="198"/>
      <c r="K180" s="210">
        <f t="shared" si="19"/>
        <v>0</v>
      </c>
      <c r="L180" s="199">
        <v>335.3</v>
      </c>
      <c r="M180" s="211">
        <f t="shared" si="20"/>
        <v>1.0576131687242798</v>
      </c>
      <c r="N180" s="199">
        <v>4694.2</v>
      </c>
      <c r="O180" s="198">
        <v>2.3199999999999998</v>
      </c>
      <c r="P180" s="200">
        <v>9.5473251028806577E-3</v>
      </c>
      <c r="Q180" s="198">
        <v>11.68</v>
      </c>
      <c r="R180" s="200">
        <v>4.8065843621399179E-2</v>
      </c>
      <c r="S180" s="199">
        <v>3916.3040000000001</v>
      </c>
      <c r="T180" s="198" t="s">
        <v>308</v>
      </c>
      <c r="U180" s="198"/>
      <c r="V180" s="198"/>
      <c r="W180" s="205">
        <v>1</v>
      </c>
      <c r="X180" s="198" t="s">
        <v>114</v>
      </c>
    </row>
    <row r="181" spans="2:24">
      <c r="B181" s="496"/>
      <c r="C181" s="496"/>
      <c r="D181" s="209">
        <v>75</v>
      </c>
      <c r="E181" s="198" t="s">
        <v>375</v>
      </c>
      <c r="F181" s="199">
        <v>725.67580999999996</v>
      </c>
      <c r="G181" s="198">
        <v>705.36</v>
      </c>
      <c r="H181" s="198">
        <v>726.22299999999996</v>
      </c>
      <c r="I181" s="210">
        <f t="shared" ref="I181:I244" si="21">H181/G181</f>
        <v>1.0295778042418056</v>
      </c>
      <c r="J181" s="198"/>
      <c r="K181" s="210">
        <f t="shared" ref="K181:K244" si="22">J181/G181</f>
        <v>0</v>
      </c>
      <c r="L181" s="199">
        <v>77.290000000000006</v>
      </c>
      <c r="M181" s="211">
        <f t="shared" ref="M181:M244" si="23">(H181+J181)/G181</f>
        <v>1.0295778042418056</v>
      </c>
      <c r="N181" s="199">
        <v>1612.5012699999957</v>
      </c>
      <c r="O181" s="198">
        <v>9.3889999999999993</v>
      </c>
      <c r="P181" s="200">
        <v>1.3310933424067141E-2</v>
      </c>
      <c r="Q181" s="198">
        <v>11.473999999999943</v>
      </c>
      <c r="R181" s="200">
        <v>1.626687081773838E-2</v>
      </c>
      <c r="S181" s="199">
        <v>886.8254599999957</v>
      </c>
      <c r="T181" s="198" t="s">
        <v>308</v>
      </c>
      <c r="U181" s="198"/>
      <c r="V181" s="198"/>
      <c r="W181" s="205">
        <v>1</v>
      </c>
      <c r="X181" s="198" t="s">
        <v>112</v>
      </c>
    </row>
    <row r="182" spans="2:24">
      <c r="B182" s="496"/>
      <c r="C182" s="496"/>
      <c r="D182" s="209">
        <v>76</v>
      </c>
      <c r="E182" s="198" t="s">
        <v>279</v>
      </c>
      <c r="F182" s="199">
        <v>715.75580000000002</v>
      </c>
      <c r="G182" s="198">
        <v>280.5</v>
      </c>
      <c r="H182" s="198">
        <v>287</v>
      </c>
      <c r="I182" s="210">
        <f t="shared" si="21"/>
        <v>1.0231729055258467</v>
      </c>
      <c r="J182" s="198"/>
      <c r="K182" s="210">
        <f t="shared" si="22"/>
        <v>0</v>
      </c>
      <c r="L182" s="199">
        <v>140.62</v>
      </c>
      <c r="M182" s="211">
        <f t="shared" si="23"/>
        <v>1.0231729055258467</v>
      </c>
      <c r="N182" s="199">
        <v>914.03</v>
      </c>
      <c r="O182" s="198">
        <v>5.09</v>
      </c>
      <c r="P182" s="200">
        <v>1.8146167557932264E-2</v>
      </c>
      <c r="Q182" s="198">
        <v>6.5600000000000023</v>
      </c>
      <c r="R182" s="200">
        <v>2.3386809269162218E-2</v>
      </c>
      <c r="S182" s="199">
        <v>1010.2400000000004</v>
      </c>
      <c r="T182" s="198" t="s">
        <v>308</v>
      </c>
      <c r="U182" s="198"/>
      <c r="V182" s="198"/>
      <c r="W182" s="205">
        <v>1</v>
      </c>
      <c r="X182" s="198" t="s">
        <v>113</v>
      </c>
    </row>
    <row r="183" spans="2:24">
      <c r="B183" s="496"/>
      <c r="C183" s="496"/>
      <c r="D183" s="209">
        <v>77</v>
      </c>
      <c r="E183" s="198" t="s">
        <v>285</v>
      </c>
      <c r="F183" s="199">
        <v>670.35397</v>
      </c>
      <c r="G183" s="198">
        <v>58.78</v>
      </c>
      <c r="H183" s="198">
        <v>59.264000000000003</v>
      </c>
      <c r="I183" s="210">
        <f t="shared" si="21"/>
        <v>1.0082340932289895</v>
      </c>
      <c r="J183" s="198"/>
      <c r="K183" s="210">
        <f t="shared" si="22"/>
        <v>0</v>
      </c>
      <c r="L183" s="199">
        <v>536.89</v>
      </c>
      <c r="M183" s="211">
        <f t="shared" si="23"/>
        <v>1.0082340932289895</v>
      </c>
      <c r="N183" s="199">
        <v>259.85476000000097</v>
      </c>
      <c r="O183" s="198">
        <v>1.1870000000000001</v>
      </c>
      <c r="P183" s="200">
        <v>2.0193943518203472E-2</v>
      </c>
      <c r="Q183" s="198">
        <v>2.6250000000000107</v>
      </c>
      <c r="R183" s="200">
        <v>4.4658046954746691E-2</v>
      </c>
      <c r="S183" s="199">
        <v>262.57875000000104</v>
      </c>
      <c r="T183" s="198" t="s">
        <v>308</v>
      </c>
      <c r="U183" s="198"/>
      <c r="V183" s="198"/>
      <c r="W183" s="205">
        <v>1</v>
      </c>
      <c r="X183" s="198" t="s">
        <v>112</v>
      </c>
    </row>
    <row r="184" spans="2:24">
      <c r="B184" s="496"/>
      <c r="C184" s="496"/>
      <c r="D184" s="209">
        <v>78</v>
      </c>
      <c r="E184" s="198" t="s">
        <v>329</v>
      </c>
      <c r="F184" s="199">
        <v>637.28843000000006</v>
      </c>
      <c r="G184" s="198">
        <v>14.265000000000001</v>
      </c>
      <c r="H184" s="198">
        <v>14.598000000000001</v>
      </c>
      <c r="I184" s="210">
        <f t="shared" si="21"/>
        <v>1.0233438485804416</v>
      </c>
      <c r="J184" s="198"/>
      <c r="K184" s="210">
        <f t="shared" si="22"/>
        <v>0</v>
      </c>
      <c r="L184" s="199">
        <v>584.66</v>
      </c>
      <c r="M184" s="211">
        <f t="shared" si="23"/>
        <v>1.0233438485804416</v>
      </c>
      <c r="N184" s="199">
        <v>194.69178000000011</v>
      </c>
      <c r="O184" s="198">
        <v>0.96</v>
      </c>
      <c r="P184" s="200">
        <v>6.7297581493165087E-2</v>
      </c>
      <c r="Q184" s="198">
        <v>-6.1272999999999911</v>
      </c>
      <c r="R184" s="200">
        <v>-0.4295338240448644</v>
      </c>
      <c r="S184" s="199">
        <v>-2575.9781929999963</v>
      </c>
      <c r="T184" s="198" t="s">
        <v>308</v>
      </c>
      <c r="U184" s="198"/>
      <c r="V184" s="198"/>
      <c r="W184" s="205">
        <v>1</v>
      </c>
      <c r="X184" s="198" t="s">
        <v>116</v>
      </c>
    </row>
    <row r="185" spans="2:24">
      <c r="B185" s="496"/>
      <c r="C185" s="496"/>
      <c r="D185" s="209">
        <v>79</v>
      </c>
      <c r="E185" s="198" t="s">
        <v>348</v>
      </c>
      <c r="F185" s="199">
        <v>561.27359999999999</v>
      </c>
      <c r="G185" s="198">
        <v>384.75</v>
      </c>
      <c r="H185" s="198">
        <v>392</v>
      </c>
      <c r="I185" s="210">
        <f t="shared" si="21"/>
        <v>1.018843404808317</v>
      </c>
      <c r="J185" s="198"/>
      <c r="K185" s="210">
        <f t="shared" si="22"/>
        <v>0</v>
      </c>
      <c r="L185" s="199">
        <v>100.02999999999999</v>
      </c>
      <c r="M185" s="211">
        <f t="shared" si="23"/>
        <v>1.018843404808317</v>
      </c>
      <c r="N185" s="199">
        <v>725.21749999999986</v>
      </c>
      <c r="O185" s="198">
        <v>5.5570000000000004</v>
      </c>
      <c r="P185" s="200">
        <v>1.4443144899285252E-2</v>
      </c>
      <c r="Q185" s="198">
        <v>-1.97</v>
      </c>
      <c r="R185" s="200">
        <v>-5.1202079272254708E-3</v>
      </c>
      <c r="S185" s="199">
        <v>0</v>
      </c>
      <c r="T185" s="198" t="s">
        <v>308</v>
      </c>
      <c r="U185" s="198"/>
      <c r="V185" s="198"/>
      <c r="W185" s="205">
        <v>1</v>
      </c>
      <c r="X185" s="198" t="s">
        <v>114</v>
      </c>
    </row>
    <row r="186" spans="2:24">
      <c r="B186" s="496"/>
      <c r="C186" s="496"/>
      <c r="D186" s="209">
        <v>80</v>
      </c>
      <c r="E186" s="198" t="s">
        <v>284</v>
      </c>
      <c r="F186" s="199">
        <v>555.86671000000001</v>
      </c>
      <c r="G186" s="198">
        <v>70.751999999999995</v>
      </c>
      <c r="H186" s="198">
        <v>71.730999999999995</v>
      </c>
      <c r="I186" s="210">
        <f t="shared" si="21"/>
        <v>1.0138370646766168</v>
      </c>
      <c r="J186" s="198"/>
      <c r="K186" s="210">
        <f t="shared" si="22"/>
        <v>0</v>
      </c>
      <c r="L186" s="199">
        <v>93</v>
      </c>
      <c r="M186" s="211">
        <f t="shared" si="23"/>
        <v>1.0138370646766168</v>
      </c>
      <c r="N186" s="199">
        <v>91.046999999999926</v>
      </c>
      <c r="O186" s="198">
        <v>5.9480000000000004</v>
      </c>
      <c r="P186" s="200">
        <v>8.4068294889190417E-2</v>
      </c>
      <c r="Q186" s="198">
        <v>-0.97</v>
      </c>
      <c r="R186" s="200">
        <v>-1.3709859791949344E-2</v>
      </c>
      <c r="S186" s="199">
        <v>1</v>
      </c>
      <c r="T186" s="198" t="s">
        <v>308</v>
      </c>
      <c r="U186" s="198"/>
      <c r="V186" s="198"/>
      <c r="W186" s="205">
        <v>1</v>
      </c>
      <c r="X186" s="198" t="s">
        <v>317</v>
      </c>
    </row>
    <row r="187" spans="2:24">
      <c r="B187" s="495">
        <v>45888</v>
      </c>
      <c r="C187" s="496" t="s">
        <v>66</v>
      </c>
      <c r="D187" s="209">
        <v>81</v>
      </c>
      <c r="E187" s="198" t="s">
        <v>277</v>
      </c>
      <c r="F187" s="199">
        <v>5298.8</v>
      </c>
      <c r="G187" s="198">
        <v>431.36</v>
      </c>
      <c r="H187" s="198">
        <v>470</v>
      </c>
      <c r="I187" s="210">
        <f t="shared" si="21"/>
        <v>1.0895771513353116</v>
      </c>
      <c r="J187" s="198"/>
      <c r="K187" s="210">
        <f t="shared" si="22"/>
        <v>0</v>
      </c>
      <c r="L187" s="199">
        <v>132.47</v>
      </c>
      <c r="M187" s="211">
        <f t="shared" si="23"/>
        <v>1.0895771513353116</v>
      </c>
      <c r="N187" s="199">
        <v>5118.6407999999983</v>
      </c>
      <c r="O187" s="198">
        <v>40</v>
      </c>
      <c r="P187" s="200">
        <v>9.2729970326409492E-2</v>
      </c>
      <c r="Q187" s="198">
        <v>-1.3600000000000136</v>
      </c>
      <c r="R187" s="200">
        <v>-3.1528189910979545E-3</v>
      </c>
      <c r="S187" s="199">
        <v>-180.15920000000182</v>
      </c>
      <c r="T187" s="198" t="s">
        <v>326</v>
      </c>
      <c r="U187" s="198" t="s">
        <v>318</v>
      </c>
      <c r="V187" s="198" t="s">
        <v>417</v>
      </c>
      <c r="W187" s="205">
        <v>1</v>
      </c>
      <c r="X187" s="198" t="s">
        <v>110</v>
      </c>
    </row>
    <row r="188" spans="2:24">
      <c r="B188" s="496"/>
      <c r="C188" s="496"/>
      <c r="D188" s="209">
        <v>82</v>
      </c>
      <c r="E188" s="198" t="s">
        <v>421</v>
      </c>
      <c r="F188" s="199">
        <v>3242.5499999999997</v>
      </c>
      <c r="G188" s="198">
        <v>997.15</v>
      </c>
      <c r="H188" s="198">
        <v>1012</v>
      </c>
      <c r="I188" s="210">
        <f t="shared" si="21"/>
        <v>1.014892443463872</v>
      </c>
      <c r="J188" s="198"/>
      <c r="K188" s="210">
        <f t="shared" si="22"/>
        <v>0</v>
      </c>
      <c r="L188" s="199">
        <v>216.17</v>
      </c>
      <c r="M188" s="211">
        <f t="shared" si="23"/>
        <v>1.014892443463872</v>
      </c>
      <c r="N188" s="199">
        <v>3210.1245000000049</v>
      </c>
      <c r="O188" s="198">
        <v>15</v>
      </c>
      <c r="P188" s="200">
        <v>1.5042872185729328E-2</v>
      </c>
      <c r="Q188" s="198">
        <v>-0.14999999999997726</v>
      </c>
      <c r="R188" s="200">
        <v>-1.504287218572705E-4</v>
      </c>
      <c r="S188" s="199">
        <v>-32.425499999995083</v>
      </c>
      <c r="T188" s="198" t="s">
        <v>308</v>
      </c>
      <c r="U188" s="198" t="s">
        <v>276</v>
      </c>
      <c r="V188" s="198"/>
      <c r="W188" s="205">
        <v>1</v>
      </c>
      <c r="X188" s="198" t="s">
        <v>127</v>
      </c>
    </row>
    <row r="189" spans="2:24">
      <c r="B189" s="496"/>
      <c r="C189" s="496"/>
      <c r="D189" s="209">
        <v>83</v>
      </c>
      <c r="E189" s="198" t="s">
        <v>283</v>
      </c>
      <c r="F189" s="199">
        <v>1542.61</v>
      </c>
      <c r="G189" s="198">
        <v>144.85499999999999</v>
      </c>
      <c r="H189" s="198">
        <v>155</v>
      </c>
      <c r="I189" s="210">
        <f t="shared" si="21"/>
        <v>1.0700355527941736</v>
      </c>
      <c r="J189" s="198"/>
      <c r="K189" s="210">
        <f t="shared" si="22"/>
        <v>0</v>
      </c>
      <c r="L189" s="199">
        <v>162.38</v>
      </c>
      <c r="M189" s="211">
        <f t="shared" si="23"/>
        <v>1.0700355527941736</v>
      </c>
      <c r="N189" s="199">
        <v>1647.3451000000016</v>
      </c>
      <c r="O189" s="198">
        <v>9.5</v>
      </c>
      <c r="P189" s="200">
        <v>6.5582824203513856E-2</v>
      </c>
      <c r="Q189" s="198">
        <v>0.64500000000001023</v>
      </c>
      <c r="R189" s="200">
        <v>4.452728590659696E-3</v>
      </c>
      <c r="S189" s="199">
        <v>104.73510000000167</v>
      </c>
      <c r="T189" s="198" t="s">
        <v>326</v>
      </c>
      <c r="U189" s="198" t="s">
        <v>318</v>
      </c>
      <c r="V189" s="198" t="s">
        <v>417</v>
      </c>
      <c r="W189" s="205">
        <v>1</v>
      </c>
      <c r="X189" s="198" t="s">
        <v>121</v>
      </c>
    </row>
    <row r="190" spans="2:24" ht="16.5">
      <c r="B190" s="496"/>
      <c r="C190" s="496"/>
      <c r="D190" s="209">
        <v>84</v>
      </c>
      <c r="E190" s="198" t="s">
        <v>304</v>
      </c>
      <c r="F190" s="199">
        <v>1039.8261600000001</v>
      </c>
      <c r="G190" s="198">
        <v>146.22999999999999</v>
      </c>
      <c r="H190" s="198">
        <v>150.048</v>
      </c>
      <c r="I190" s="210">
        <f t="shared" si="21"/>
        <v>1.0261095534432061</v>
      </c>
      <c r="J190" s="198"/>
      <c r="K190" s="210">
        <f t="shared" si="22"/>
        <v>0</v>
      </c>
      <c r="L190" s="199">
        <v>108.18</v>
      </c>
      <c r="M190" s="211">
        <f t="shared" si="23"/>
        <v>1.0261095534432061</v>
      </c>
      <c r="N190" s="199">
        <v>413.03124000000133</v>
      </c>
      <c r="O190" s="198">
        <v>9.6120000000000001</v>
      </c>
      <c r="P190" s="200">
        <v>6.5732065923545108E-2</v>
      </c>
      <c r="Q190" s="198">
        <v>-5.793999999999988</v>
      </c>
      <c r="R190" s="200">
        <v>-3.9622512480339114E-2</v>
      </c>
      <c r="S190" s="199">
        <v>-626.7949199999988</v>
      </c>
      <c r="T190" s="198" t="s">
        <v>278</v>
      </c>
      <c r="U190" s="198" t="s">
        <v>212</v>
      </c>
      <c r="V190" s="264" t="s">
        <v>422</v>
      </c>
      <c r="W190" s="205">
        <v>1</v>
      </c>
      <c r="X190" s="198" t="s">
        <v>115</v>
      </c>
    </row>
    <row r="191" spans="2:24">
      <c r="B191" s="496"/>
      <c r="C191" s="496"/>
      <c r="D191" s="209">
        <v>85</v>
      </c>
      <c r="E191" s="198" t="s">
        <v>323</v>
      </c>
      <c r="F191" s="199">
        <v>712.74</v>
      </c>
      <c r="G191" s="198">
        <v>92.316000000000003</v>
      </c>
      <c r="H191" s="198">
        <v>97</v>
      </c>
      <c r="I191" s="210">
        <f t="shared" si="21"/>
        <v>1.0507387668443173</v>
      </c>
      <c r="J191" s="198"/>
      <c r="K191" s="210">
        <f t="shared" si="22"/>
        <v>0</v>
      </c>
      <c r="L191" s="199">
        <v>356.37</v>
      </c>
      <c r="M191" s="211">
        <f t="shared" si="23"/>
        <v>1.0507387668443173</v>
      </c>
      <c r="N191" s="199">
        <v>1669.2370799999992</v>
      </c>
      <c r="O191" s="198">
        <v>2</v>
      </c>
      <c r="P191" s="200">
        <v>2.1664716842150874E-2</v>
      </c>
      <c r="Q191" s="198">
        <v>2.6839999999999975</v>
      </c>
      <c r="R191" s="200">
        <v>2.9074050002166445E-2</v>
      </c>
      <c r="S191" s="199">
        <v>956.49707999999907</v>
      </c>
      <c r="T191" s="198" t="s">
        <v>315</v>
      </c>
      <c r="U191" s="198" t="s">
        <v>217</v>
      </c>
      <c r="V191" s="198" t="s">
        <v>423</v>
      </c>
      <c r="W191" s="205">
        <v>1</v>
      </c>
      <c r="X191" s="198" t="s">
        <v>111</v>
      </c>
    </row>
    <row r="192" spans="2:24">
      <c r="B192" s="496"/>
      <c r="C192" s="496"/>
      <c r="D192" s="209">
        <v>86</v>
      </c>
      <c r="E192" s="198" t="s">
        <v>424</v>
      </c>
      <c r="F192" s="199">
        <v>539</v>
      </c>
      <c r="G192" s="198">
        <v>154.88</v>
      </c>
      <c r="H192" s="198">
        <v>166.70699999999999</v>
      </c>
      <c r="I192" s="210">
        <f t="shared" si="21"/>
        <v>1.0763623450413222</v>
      </c>
      <c r="J192" s="198"/>
      <c r="K192" s="210">
        <f t="shared" si="22"/>
        <v>0</v>
      </c>
      <c r="L192" s="199">
        <v>98</v>
      </c>
      <c r="M192" s="211">
        <f t="shared" si="23"/>
        <v>1.0763623450413222</v>
      </c>
      <c r="N192" s="199">
        <v>1159.0459999999998</v>
      </c>
      <c r="O192" s="198">
        <v>5.5</v>
      </c>
      <c r="P192" s="200">
        <v>3.551136363636364E-2</v>
      </c>
      <c r="Q192" s="198">
        <v>6.5600000000000023</v>
      </c>
      <c r="R192" s="200">
        <v>4.2355371900826465E-2</v>
      </c>
      <c r="S192" s="199">
        <v>1010.2400000000004</v>
      </c>
      <c r="T192" s="198" t="s">
        <v>326</v>
      </c>
      <c r="U192" s="198" t="s">
        <v>318</v>
      </c>
      <c r="V192" s="198" t="s">
        <v>411</v>
      </c>
      <c r="W192" s="205">
        <v>1</v>
      </c>
      <c r="X192" s="198" t="s">
        <v>118</v>
      </c>
    </row>
    <row r="193" spans="2:24">
      <c r="B193" s="496"/>
      <c r="C193" s="496"/>
      <c r="D193" s="209">
        <v>87</v>
      </c>
      <c r="E193" s="198" t="s">
        <v>298</v>
      </c>
      <c r="F193" s="199">
        <v>492.17</v>
      </c>
      <c r="G193" s="198">
        <v>417.8</v>
      </c>
      <c r="H193" s="198">
        <v>427</v>
      </c>
      <c r="I193" s="210">
        <f t="shared" si="21"/>
        <v>1.0220201053135471</v>
      </c>
      <c r="J193" s="198"/>
      <c r="K193" s="210">
        <f t="shared" si="22"/>
        <v>0</v>
      </c>
      <c r="L193" s="199">
        <v>140.62</v>
      </c>
      <c r="M193" s="211">
        <f t="shared" si="23"/>
        <v>1.0220201053135471</v>
      </c>
      <c r="N193" s="199">
        <v>1293.7039999999984</v>
      </c>
      <c r="O193" s="198">
        <v>3.5</v>
      </c>
      <c r="P193" s="200">
        <v>8.3772139779798947E-3</v>
      </c>
      <c r="Q193" s="198">
        <v>2.6250000000000107</v>
      </c>
      <c r="R193" s="200">
        <v>6.2829104834849466E-3</v>
      </c>
      <c r="S193" s="199">
        <v>262.57875000000104</v>
      </c>
      <c r="T193" s="198" t="s">
        <v>308</v>
      </c>
      <c r="U193" s="198" t="s">
        <v>276</v>
      </c>
      <c r="V193" s="198"/>
      <c r="W193" s="205">
        <v>1</v>
      </c>
      <c r="X193" s="198" t="s">
        <v>115</v>
      </c>
    </row>
    <row r="194" spans="2:24">
      <c r="B194" s="496"/>
      <c r="C194" s="496"/>
      <c r="D194" s="209">
        <v>88</v>
      </c>
      <c r="E194" s="198" t="s">
        <v>289</v>
      </c>
      <c r="F194" s="199">
        <v>471.41</v>
      </c>
      <c r="G194" s="198">
        <v>415.26</v>
      </c>
      <c r="H194" s="198">
        <v>416.25400000000002</v>
      </c>
      <c r="I194" s="210">
        <f t="shared" si="21"/>
        <v>1.0023936810672833</v>
      </c>
      <c r="J194" s="198"/>
      <c r="K194" s="210">
        <f t="shared" si="22"/>
        <v>0</v>
      </c>
      <c r="L194" s="199">
        <v>85</v>
      </c>
      <c r="M194" s="211">
        <f t="shared" si="23"/>
        <v>1.0023936810672833</v>
      </c>
      <c r="N194" s="199">
        <v>84.490000000002397</v>
      </c>
      <c r="O194" s="198">
        <v>5.5460000000000003</v>
      </c>
      <c r="P194" s="200">
        <v>1.3355488127919859E-2</v>
      </c>
      <c r="Q194" s="198">
        <v>-6.1272999999999911</v>
      </c>
      <c r="R194" s="200">
        <v>-1.475533400760967E-2</v>
      </c>
      <c r="S194" s="199">
        <v>-2575.9781929999963</v>
      </c>
      <c r="T194" s="198" t="s">
        <v>308</v>
      </c>
      <c r="U194" s="198" t="s">
        <v>276</v>
      </c>
      <c r="V194" s="198"/>
      <c r="W194" s="205">
        <v>1</v>
      </c>
      <c r="X194" s="198" t="s">
        <v>134</v>
      </c>
    </row>
    <row r="195" spans="2:24">
      <c r="B195" s="496"/>
      <c r="C195" s="496"/>
      <c r="D195" s="209">
        <v>89</v>
      </c>
      <c r="E195" s="198" t="s">
        <v>348</v>
      </c>
      <c r="F195" s="199">
        <v>450.13499999999993</v>
      </c>
      <c r="G195" s="198">
        <v>333.73500000000001</v>
      </c>
      <c r="H195" s="198">
        <v>335</v>
      </c>
      <c r="I195" s="210">
        <f t="shared" si="21"/>
        <v>1.0037904325288027</v>
      </c>
      <c r="J195" s="198"/>
      <c r="K195" s="210">
        <f t="shared" si="22"/>
        <v>0</v>
      </c>
      <c r="L195" s="199">
        <v>100.02999999999999</v>
      </c>
      <c r="M195" s="211">
        <f t="shared" si="23"/>
        <v>1.0037904325288027</v>
      </c>
      <c r="N195" s="199">
        <v>126.53794999999862</v>
      </c>
      <c r="O195" s="198">
        <v>4.5</v>
      </c>
      <c r="P195" s="200">
        <v>1.3483752078745111E-2</v>
      </c>
      <c r="Q195" s="198">
        <v>-1.97</v>
      </c>
      <c r="R195" s="200">
        <v>-5.9028870211395267E-3</v>
      </c>
      <c r="S195" s="199">
        <v>0</v>
      </c>
      <c r="T195" s="198" t="s">
        <v>308</v>
      </c>
      <c r="U195" s="198" t="s">
        <v>276</v>
      </c>
      <c r="V195" s="198"/>
      <c r="W195" s="205">
        <v>1</v>
      </c>
      <c r="X195" s="198" t="s">
        <v>114</v>
      </c>
    </row>
    <row r="196" spans="2:24">
      <c r="B196" s="496"/>
      <c r="C196" s="496"/>
      <c r="D196" s="209">
        <v>90</v>
      </c>
      <c r="E196" s="198" t="s">
        <v>321</v>
      </c>
      <c r="F196" s="199">
        <v>432.44380000000001</v>
      </c>
      <c r="G196" s="198">
        <v>55.64</v>
      </c>
      <c r="H196" s="198">
        <v>56.177999999999997</v>
      </c>
      <c r="I196" s="210">
        <f t="shared" si="21"/>
        <v>1.0096693026599568</v>
      </c>
      <c r="J196" s="198"/>
      <c r="K196" s="210">
        <f t="shared" si="22"/>
        <v>0</v>
      </c>
      <c r="L196" s="199">
        <v>697.49</v>
      </c>
      <c r="M196" s="211">
        <f t="shared" si="23"/>
        <v>1.0096693026599568</v>
      </c>
      <c r="N196" s="199">
        <v>375.24961999999772</v>
      </c>
      <c r="O196" s="198">
        <v>0.62</v>
      </c>
      <c r="P196" s="200">
        <v>1.1143062544931704E-2</v>
      </c>
      <c r="Q196" s="198">
        <v>-0.97</v>
      </c>
      <c r="R196" s="200">
        <v>-1.7433501078360891E-2</v>
      </c>
      <c r="S196" s="199">
        <v>1</v>
      </c>
      <c r="T196" s="198" t="s">
        <v>308</v>
      </c>
      <c r="U196" s="198" t="s">
        <v>276</v>
      </c>
      <c r="V196" s="198"/>
      <c r="W196" s="205">
        <v>1</v>
      </c>
      <c r="X196" s="198" t="s">
        <v>109</v>
      </c>
    </row>
    <row r="197" spans="2:24">
      <c r="B197" s="495">
        <v>45889</v>
      </c>
      <c r="C197" s="496" t="s">
        <v>67</v>
      </c>
      <c r="D197" s="209">
        <v>91</v>
      </c>
      <c r="E197" s="198" t="s">
        <v>277</v>
      </c>
      <c r="F197" s="199">
        <v>7815.73</v>
      </c>
      <c r="G197" s="198">
        <v>414.4</v>
      </c>
      <c r="H197" s="198">
        <v>469.5</v>
      </c>
      <c r="I197" s="210">
        <f t="shared" si="21"/>
        <v>1.1329633204633205</v>
      </c>
      <c r="J197" s="198"/>
      <c r="K197" s="210">
        <f t="shared" si="22"/>
        <v>0</v>
      </c>
      <c r="L197" s="199">
        <v>132.47</v>
      </c>
      <c r="M197" s="211">
        <f t="shared" si="23"/>
        <v>1.1329633204633205</v>
      </c>
      <c r="N197" s="199">
        <v>7299.0970000000034</v>
      </c>
      <c r="O197" s="198">
        <v>59</v>
      </c>
      <c r="P197" s="200">
        <v>0.1423745173745174</v>
      </c>
      <c r="Q197" s="198">
        <v>-3.8999999999999773</v>
      </c>
      <c r="R197" s="200">
        <v>-9.4111969111968577E-3</v>
      </c>
      <c r="S197" s="199">
        <v>-516.63299999999697</v>
      </c>
      <c r="T197" s="198" t="s">
        <v>326</v>
      </c>
      <c r="U197" s="198" t="s">
        <v>318</v>
      </c>
      <c r="V197" s="198" t="s">
        <v>417</v>
      </c>
      <c r="W197" s="205">
        <v>1</v>
      </c>
      <c r="X197" s="198" t="s">
        <v>110</v>
      </c>
    </row>
    <row r="198" spans="2:24" ht="16.5">
      <c r="B198" s="496"/>
      <c r="C198" s="496"/>
      <c r="D198" s="209">
        <v>92</v>
      </c>
      <c r="E198" s="198" t="s">
        <v>369</v>
      </c>
      <c r="F198" s="199">
        <v>1404.5130000000001</v>
      </c>
      <c r="G198" s="198">
        <v>236.88</v>
      </c>
      <c r="H198" s="198">
        <v>247</v>
      </c>
      <c r="I198" s="210">
        <f t="shared" si="21"/>
        <v>1.0427220533603512</v>
      </c>
      <c r="J198" s="198"/>
      <c r="K198" s="210">
        <f t="shared" si="22"/>
        <v>0</v>
      </c>
      <c r="L198" s="199">
        <v>141.87</v>
      </c>
      <c r="M198" s="211">
        <f t="shared" si="23"/>
        <v>1.0427220533603512</v>
      </c>
      <c r="N198" s="199">
        <v>1435.7244000000007</v>
      </c>
      <c r="O198" s="198">
        <v>9.9</v>
      </c>
      <c r="P198" s="200">
        <v>4.1793313069908813E-2</v>
      </c>
      <c r="Q198" s="198">
        <v>0.22000000000000419</v>
      </c>
      <c r="R198" s="200">
        <v>9.2874029044243578E-4</v>
      </c>
      <c r="S198" s="199">
        <v>31.211400000000594</v>
      </c>
      <c r="T198" s="198" t="s">
        <v>308</v>
      </c>
      <c r="U198" s="198" t="s">
        <v>276</v>
      </c>
      <c r="V198" s="264" t="s">
        <v>425</v>
      </c>
      <c r="W198" s="205">
        <v>1</v>
      </c>
      <c r="X198" s="198" t="s">
        <v>116</v>
      </c>
    </row>
    <row r="199" spans="2:24">
      <c r="B199" s="496"/>
      <c r="C199" s="496"/>
      <c r="D199" s="209">
        <v>93</v>
      </c>
      <c r="E199" s="198" t="s">
        <v>331</v>
      </c>
      <c r="F199" s="199">
        <v>1274.1399999999999</v>
      </c>
      <c r="G199" s="198">
        <v>209.22</v>
      </c>
      <c r="H199" s="198">
        <v>222</v>
      </c>
      <c r="I199" s="210">
        <f t="shared" si="21"/>
        <v>1.0610840263837109</v>
      </c>
      <c r="J199" s="198"/>
      <c r="K199" s="210">
        <f t="shared" si="22"/>
        <v>0</v>
      </c>
      <c r="L199" s="199">
        <v>335.3</v>
      </c>
      <c r="M199" s="211">
        <f t="shared" si="23"/>
        <v>1.0610840263837109</v>
      </c>
      <c r="N199" s="199">
        <v>4285.1340000000009</v>
      </c>
      <c r="O199" s="198">
        <v>3.8</v>
      </c>
      <c r="P199" s="200">
        <v>1.8162699550712168E-2</v>
      </c>
      <c r="Q199" s="198">
        <v>8.98</v>
      </c>
      <c r="R199" s="200">
        <v>4.2921326832998763E-2</v>
      </c>
      <c r="S199" s="199">
        <v>3010.9940000000001</v>
      </c>
      <c r="T199" s="198" t="s">
        <v>315</v>
      </c>
      <c r="U199" s="198" t="s">
        <v>217</v>
      </c>
      <c r="V199" s="198" t="s">
        <v>416</v>
      </c>
      <c r="W199" s="205">
        <v>1</v>
      </c>
      <c r="X199" s="198" t="s">
        <v>114</v>
      </c>
    </row>
    <row r="200" spans="2:24" ht="16.5">
      <c r="B200" s="496"/>
      <c r="C200" s="496"/>
      <c r="D200" s="209">
        <v>94</v>
      </c>
      <c r="E200" s="198" t="s">
        <v>415</v>
      </c>
      <c r="F200" s="199">
        <v>810</v>
      </c>
      <c r="G200" s="198">
        <v>156.44999999999999</v>
      </c>
      <c r="H200" s="198">
        <v>165</v>
      </c>
      <c r="I200" s="210">
        <f t="shared" si="21"/>
        <v>1.0546500479386387</v>
      </c>
      <c r="J200" s="198"/>
      <c r="K200" s="210">
        <f t="shared" si="22"/>
        <v>0</v>
      </c>
      <c r="L200" s="199">
        <v>81</v>
      </c>
      <c r="M200" s="211">
        <f t="shared" si="23"/>
        <v>1.0546500479386387</v>
      </c>
      <c r="N200" s="199">
        <v>692.55000000000086</v>
      </c>
      <c r="O200" s="198">
        <v>10</v>
      </c>
      <c r="P200" s="200">
        <v>6.3918184723553859E-2</v>
      </c>
      <c r="Q200" s="198">
        <v>-1.4499999999999886</v>
      </c>
      <c r="R200" s="200">
        <v>-9.2681367849152367E-3</v>
      </c>
      <c r="S200" s="199">
        <v>-117.44999999999908</v>
      </c>
      <c r="T200" s="198" t="s">
        <v>308</v>
      </c>
      <c r="U200" s="198" t="s">
        <v>281</v>
      </c>
      <c r="V200" s="264" t="s">
        <v>426</v>
      </c>
      <c r="W200" s="205">
        <v>1</v>
      </c>
      <c r="X200" s="198" t="s">
        <v>339</v>
      </c>
    </row>
    <row r="201" spans="2:24">
      <c r="B201" s="496"/>
      <c r="C201" s="496"/>
      <c r="D201" s="209">
        <v>95</v>
      </c>
      <c r="E201" s="198" t="s">
        <v>283</v>
      </c>
      <c r="F201" s="199">
        <v>757.98983999999996</v>
      </c>
      <c r="G201" s="198">
        <v>151.02000000000001</v>
      </c>
      <c r="H201" s="198">
        <v>153.88499999999999</v>
      </c>
      <c r="I201" s="210">
        <f t="shared" si="21"/>
        <v>1.0189709972189114</v>
      </c>
      <c r="J201" s="198"/>
      <c r="K201" s="210">
        <f t="shared" si="22"/>
        <v>0</v>
      </c>
      <c r="L201" s="199">
        <v>162.38</v>
      </c>
      <c r="M201" s="211">
        <f t="shared" si="23"/>
        <v>1.0189709972189114</v>
      </c>
      <c r="N201" s="199">
        <v>465.21869999999683</v>
      </c>
      <c r="O201" s="198">
        <v>4.6680000000000001</v>
      </c>
      <c r="P201" s="200">
        <v>3.0909813269765593E-2</v>
      </c>
      <c r="Q201" s="198">
        <v>-1.8030000000000195</v>
      </c>
      <c r="R201" s="200">
        <v>-1.193881605085432E-2</v>
      </c>
      <c r="S201" s="199">
        <v>-292.77114000000313</v>
      </c>
      <c r="T201" s="198" t="s">
        <v>308</v>
      </c>
      <c r="U201" s="198" t="s">
        <v>276</v>
      </c>
      <c r="V201" s="198"/>
      <c r="W201" s="205">
        <v>1</v>
      </c>
      <c r="X201" s="198" t="s">
        <v>121</v>
      </c>
    </row>
    <row r="202" spans="2:24">
      <c r="B202" s="496"/>
      <c r="C202" s="496"/>
      <c r="D202" s="209">
        <v>96</v>
      </c>
      <c r="E202" s="198" t="s">
        <v>348</v>
      </c>
      <c r="F202" s="199">
        <v>660.79817999999989</v>
      </c>
      <c r="G202" s="198">
        <v>331.26499999999999</v>
      </c>
      <c r="H202" s="198">
        <v>335.27199999999999</v>
      </c>
      <c r="I202" s="210">
        <f t="shared" si="21"/>
        <v>1.0120960560276515</v>
      </c>
      <c r="J202" s="198"/>
      <c r="K202" s="210">
        <f t="shared" si="22"/>
        <v>0</v>
      </c>
      <c r="L202" s="199">
        <v>100.02999999999999</v>
      </c>
      <c r="M202" s="211">
        <f t="shared" si="23"/>
        <v>1.0120960560276515</v>
      </c>
      <c r="N202" s="199">
        <v>400.82021000000043</v>
      </c>
      <c r="O202" s="198">
        <v>6.6059999999999999</v>
      </c>
      <c r="P202" s="200">
        <v>1.9941738487313784E-2</v>
      </c>
      <c r="Q202" s="198">
        <v>6.5600000000000023</v>
      </c>
      <c r="R202" s="200">
        <v>1.9802876850859592E-2</v>
      </c>
      <c r="S202" s="199">
        <v>1010.2400000000004</v>
      </c>
      <c r="T202" s="198" t="s">
        <v>308</v>
      </c>
      <c r="U202" s="198" t="s">
        <v>276</v>
      </c>
      <c r="V202" s="198"/>
      <c r="W202" s="205">
        <v>1</v>
      </c>
      <c r="X202" s="198" t="s">
        <v>114</v>
      </c>
    </row>
    <row r="203" spans="2:24">
      <c r="B203" s="496"/>
      <c r="C203" s="496"/>
      <c r="D203" s="209">
        <v>97</v>
      </c>
      <c r="E203" s="198" t="s">
        <v>298</v>
      </c>
      <c r="F203" s="199">
        <v>658.82272999999998</v>
      </c>
      <c r="G203" s="198">
        <v>853.38</v>
      </c>
      <c r="H203" s="198">
        <v>857.851</v>
      </c>
      <c r="I203" s="210">
        <f t="shared" si="21"/>
        <v>1.0052391666080762</v>
      </c>
      <c r="J203" s="198"/>
      <c r="K203" s="210">
        <f t="shared" si="22"/>
        <v>0</v>
      </c>
      <c r="L203" s="199">
        <v>47.89</v>
      </c>
      <c r="M203" s="211">
        <f t="shared" si="23"/>
        <v>1.0052391666080762</v>
      </c>
      <c r="N203" s="199">
        <v>214.11619000000019</v>
      </c>
      <c r="O203" s="198">
        <v>13.757</v>
      </c>
      <c r="P203" s="200">
        <v>1.6120602779535493E-2</v>
      </c>
      <c r="Q203" s="198">
        <v>2.6250000000000107</v>
      </c>
      <c r="R203" s="200">
        <v>3.0760036560500722E-3</v>
      </c>
      <c r="S203" s="199">
        <v>262.57875000000104</v>
      </c>
      <c r="T203" s="198" t="s">
        <v>308</v>
      </c>
      <c r="U203" s="198" t="s">
        <v>276</v>
      </c>
      <c r="V203" s="198"/>
      <c r="W203" s="205">
        <v>1</v>
      </c>
      <c r="X203" s="198" t="s">
        <v>113</v>
      </c>
    </row>
    <row r="204" spans="2:24">
      <c r="B204" s="496"/>
      <c r="C204" s="496"/>
      <c r="D204" s="209">
        <v>98</v>
      </c>
      <c r="E204" s="198" t="s">
        <v>329</v>
      </c>
      <c r="F204" s="199">
        <v>550.38832000000002</v>
      </c>
      <c r="G204" s="198">
        <v>135.76499999999999</v>
      </c>
      <c r="H204" s="198">
        <v>137.68799999999999</v>
      </c>
      <c r="I204" s="210">
        <f t="shared" si="21"/>
        <v>1.014164180753508</v>
      </c>
      <c r="J204" s="198"/>
      <c r="K204" s="210">
        <f t="shared" si="22"/>
        <v>0</v>
      </c>
      <c r="L204" s="199">
        <v>575.72</v>
      </c>
      <c r="M204" s="211">
        <f t="shared" si="23"/>
        <v>1.014164180753508</v>
      </c>
      <c r="N204" s="199">
        <v>1107.109560000001</v>
      </c>
      <c r="O204" s="198">
        <v>0.95599999999999996</v>
      </c>
      <c r="P204" s="200">
        <v>7.0415791993518216E-3</v>
      </c>
      <c r="Q204" s="198">
        <v>-6.1272999999999911</v>
      </c>
      <c r="R204" s="200">
        <v>-4.5131661326556854E-2</v>
      </c>
      <c r="S204" s="199">
        <v>-2575.9781929999963</v>
      </c>
      <c r="T204" s="198" t="s">
        <v>308</v>
      </c>
      <c r="U204" s="198" t="s">
        <v>276</v>
      </c>
      <c r="V204" s="198"/>
      <c r="W204" s="205">
        <v>1</v>
      </c>
      <c r="X204" s="198" t="s">
        <v>113</v>
      </c>
    </row>
    <row r="205" spans="2:24">
      <c r="B205" s="496"/>
      <c r="C205" s="496"/>
      <c r="D205" s="209">
        <v>99</v>
      </c>
      <c r="E205" s="198" t="s">
        <v>427</v>
      </c>
      <c r="F205" s="199">
        <v>542.11199999999997</v>
      </c>
      <c r="G205" s="198">
        <v>155.5</v>
      </c>
      <c r="H205" s="198">
        <v>160</v>
      </c>
      <c r="I205" s="210">
        <f t="shared" si="21"/>
        <v>1.0289389067524115</v>
      </c>
      <c r="J205" s="198"/>
      <c r="K205" s="210">
        <f t="shared" si="22"/>
        <v>0</v>
      </c>
      <c r="L205" s="199">
        <v>112.94</v>
      </c>
      <c r="M205" s="211">
        <f t="shared" si="23"/>
        <v>1.0289389067524115</v>
      </c>
      <c r="N205" s="199">
        <v>508.23</v>
      </c>
      <c r="O205" s="198">
        <v>4.8</v>
      </c>
      <c r="P205" s="200">
        <v>3.0868167202572346E-2</v>
      </c>
      <c r="Q205" s="198">
        <v>-1.97</v>
      </c>
      <c r="R205" s="200">
        <v>-1.2668810289389067E-2</v>
      </c>
      <c r="S205" s="199">
        <v>0</v>
      </c>
      <c r="T205" s="198" t="s">
        <v>308</v>
      </c>
      <c r="U205" s="198" t="s">
        <v>276</v>
      </c>
      <c r="V205" s="198"/>
      <c r="W205" s="205">
        <v>1</v>
      </c>
      <c r="X205" s="198" t="s">
        <v>117</v>
      </c>
    </row>
    <row r="206" spans="2:24">
      <c r="B206" s="496"/>
      <c r="C206" s="496"/>
      <c r="D206" s="209">
        <v>100</v>
      </c>
      <c r="E206" s="198" t="s">
        <v>298</v>
      </c>
      <c r="F206" s="199">
        <v>421.86</v>
      </c>
      <c r="G206" s="198">
        <v>422.6</v>
      </c>
      <c r="H206" s="198">
        <v>432.44499999999999</v>
      </c>
      <c r="I206" s="210">
        <f t="shared" si="21"/>
        <v>1.0232962612399432</v>
      </c>
      <c r="J206" s="198"/>
      <c r="K206" s="210">
        <f t="shared" si="22"/>
        <v>0</v>
      </c>
      <c r="L206" s="199">
        <v>140.62</v>
      </c>
      <c r="M206" s="211">
        <f t="shared" si="23"/>
        <v>1.0232962612399432</v>
      </c>
      <c r="N206" s="199">
        <v>1384.4038999999959</v>
      </c>
      <c r="O206" s="198">
        <v>3</v>
      </c>
      <c r="P206" s="200">
        <v>7.0989115002366302E-3</v>
      </c>
      <c r="Q206" s="198">
        <v>-0.97</v>
      </c>
      <c r="R206" s="200">
        <v>-2.2953147184098435E-3</v>
      </c>
      <c r="S206" s="199">
        <v>1</v>
      </c>
      <c r="T206" s="198" t="s">
        <v>308</v>
      </c>
      <c r="U206" s="198" t="s">
        <v>276</v>
      </c>
      <c r="V206" s="198"/>
      <c r="W206" s="205">
        <v>1</v>
      </c>
      <c r="X206" s="198" t="s">
        <v>115</v>
      </c>
    </row>
    <row r="207" spans="2:24">
      <c r="B207" s="495">
        <v>45890</v>
      </c>
      <c r="C207" s="496" t="s">
        <v>68</v>
      </c>
      <c r="D207" s="209">
        <v>101</v>
      </c>
      <c r="E207" s="198" t="s">
        <v>369</v>
      </c>
      <c r="F207" s="199">
        <v>3121.1400000000003</v>
      </c>
      <c r="G207" s="198">
        <v>211.14</v>
      </c>
      <c r="H207" s="198">
        <v>233</v>
      </c>
      <c r="I207" s="210">
        <f t="shared" si="21"/>
        <v>1.1035332007199015</v>
      </c>
      <c r="J207" s="198"/>
      <c r="K207" s="210">
        <f t="shared" si="22"/>
        <v>0</v>
      </c>
      <c r="L207" s="199">
        <v>141.87</v>
      </c>
      <c r="M207" s="211">
        <f t="shared" si="23"/>
        <v>1.1035332007199015</v>
      </c>
      <c r="N207" s="199">
        <v>3101.278200000002</v>
      </c>
      <c r="O207" s="198">
        <v>22</v>
      </c>
      <c r="P207" s="200">
        <v>0.10419626787913233</v>
      </c>
      <c r="Q207" s="198">
        <v>-0.13999999999998636</v>
      </c>
      <c r="R207" s="200">
        <v>-6.6306715923077747E-4</v>
      </c>
      <c r="S207" s="199">
        <v>-19.861799999998066</v>
      </c>
      <c r="T207" s="198" t="s">
        <v>326</v>
      </c>
      <c r="U207" s="198" t="s">
        <v>318</v>
      </c>
      <c r="V207" s="198" t="s">
        <v>417</v>
      </c>
      <c r="W207" s="205">
        <v>1</v>
      </c>
      <c r="X207" s="198" t="s">
        <v>116</v>
      </c>
    </row>
    <row r="208" spans="2:24">
      <c r="B208" s="496"/>
      <c r="C208" s="496"/>
      <c r="D208" s="209">
        <v>102</v>
      </c>
      <c r="E208" s="198" t="s">
        <v>375</v>
      </c>
      <c r="F208" s="199">
        <v>2971.8005000000003</v>
      </c>
      <c r="G208" s="198">
        <v>603.12</v>
      </c>
      <c r="H208" s="198">
        <v>650</v>
      </c>
      <c r="I208" s="210">
        <f t="shared" si="21"/>
        <v>1.0777291417959942</v>
      </c>
      <c r="J208" s="198"/>
      <c r="K208" s="210">
        <f t="shared" si="22"/>
        <v>0</v>
      </c>
      <c r="L208" s="199">
        <v>77.290000000000006</v>
      </c>
      <c r="M208" s="211">
        <f t="shared" si="23"/>
        <v>1.0777291417959942</v>
      </c>
      <c r="N208" s="199">
        <v>3623.3552</v>
      </c>
      <c r="O208" s="198">
        <v>38.450000000000003</v>
      </c>
      <c r="P208" s="200">
        <v>6.3751823849316894E-2</v>
      </c>
      <c r="Q208" s="198">
        <v>8.4299999999999926</v>
      </c>
      <c r="R208" s="200">
        <v>1.3977317946677266E-2</v>
      </c>
      <c r="S208" s="199">
        <v>651.55469999999946</v>
      </c>
      <c r="T208" s="198" t="s">
        <v>326</v>
      </c>
      <c r="U208" s="198" t="s">
        <v>318</v>
      </c>
      <c r="V208" s="198" t="s">
        <v>411</v>
      </c>
      <c r="W208" s="205">
        <v>1</v>
      </c>
      <c r="X208" s="198" t="s">
        <v>112</v>
      </c>
    </row>
    <row r="209" spans="2:24">
      <c r="B209" s="496"/>
      <c r="C209" s="496"/>
      <c r="D209" s="209">
        <v>103</v>
      </c>
      <c r="E209" s="198" t="s">
        <v>283</v>
      </c>
      <c r="F209" s="199">
        <v>2354.5099999999998</v>
      </c>
      <c r="G209" s="198">
        <v>136.39500000000001</v>
      </c>
      <c r="H209" s="198">
        <v>153</v>
      </c>
      <c r="I209" s="210">
        <f t="shared" si="21"/>
        <v>1.1217419993401516</v>
      </c>
      <c r="J209" s="198"/>
      <c r="K209" s="210">
        <f t="shared" si="22"/>
        <v>0</v>
      </c>
      <c r="L209" s="199">
        <v>162.38</v>
      </c>
      <c r="M209" s="211">
        <f t="shared" si="23"/>
        <v>1.1217419993401516</v>
      </c>
      <c r="N209" s="199">
        <v>2696.3198999999981</v>
      </c>
      <c r="O209" s="198">
        <v>14.5</v>
      </c>
      <c r="P209" s="200">
        <v>0.10630888229040653</v>
      </c>
      <c r="Q209" s="198">
        <v>2.1049999999999898</v>
      </c>
      <c r="R209" s="200">
        <v>1.5433117049745149E-2</v>
      </c>
      <c r="S209" s="199">
        <v>341.80989999999832</v>
      </c>
      <c r="T209" s="198" t="s">
        <v>326</v>
      </c>
      <c r="U209" s="198" t="s">
        <v>318</v>
      </c>
      <c r="V209" s="198" t="s">
        <v>411</v>
      </c>
      <c r="W209" s="205">
        <v>1</v>
      </c>
      <c r="X209" s="198" t="s">
        <v>121</v>
      </c>
    </row>
    <row r="210" spans="2:24">
      <c r="B210" s="496"/>
      <c r="C210" s="496"/>
      <c r="D210" s="209">
        <v>104</v>
      </c>
      <c r="E210" s="198" t="s">
        <v>427</v>
      </c>
      <c r="F210" s="199">
        <v>1903.0390000000002</v>
      </c>
      <c r="G210" s="198">
        <v>146.30000000000001</v>
      </c>
      <c r="H210" s="198">
        <v>158</v>
      </c>
      <c r="I210" s="210">
        <f t="shared" si="21"/>
        <v>1.0799726589200274</v>
      </c>
      <c r="J210" s="198"/>
      <c r="K210" s="210">
        <f t="shared" si="22"/>
        <v>0</v>
      </c>
      <c r="L210" s="199">
        <v>112.94</v>
      </c>
      <c r="M210" s="211">
        <f t="shared" si="23"/>
        <v>1.0799726589200274</v>
      </c>
      <c r="N210" s="199">
        <v>1321.3979999999988</v>
      </c>
      <c r="O210" s="198">
        <v>16.850000000000001</v>
      </c>
      <c r="P210" s="200">
        <v>0.11517429938482571</v>
      </c>
      <c r="Q210" s="198">
        <v>-5.1500000000000128</v>
      </c>
      <c r="R210" s="200">
        <v>-3.5201640464798442E-2</v>
      </c>
      <c r="S210" s="199">
        <v>-581.64100000000144</v>
      </c>
      <c r="T210" s="198" t="s">
        <v>326</v>
      </c>
      <c r="U210" s="198" t="s">
        <v>318</v>
      </c>
      <c r="V210" s="198" t="s">
        <v>411</v>
      </c>
      <c r="W210" s="205">
        <v>1</v>
      </c>
      <c r="X210" s="198" t="s">
        <v>117</v>
      </c>
    </row>
    <row r="211" spans="2:24">
      <c r="B211" s="496"/>
      <c r="C211" s="496"/>
      <c r="D211" s="209">
        <v>105</v>
      </c>
      <c r="E211" s="198" t="s">
        <v>415</v>
      </c>
      <c r="F211" s="199">
        <v>1441.8</v>
      </c>
      <c r="G211" s="198">
        <v>145.80000000000001</v>
      </c>
      <c r="H211" s="198">
        <v>160</v>
      </c>
      <c r="I211" s="210">
        <f t="shared" si="21"/>
        <v>1.0973936899862824</v>
      </c>
      <c r="J211" s="198"/>
      <c r="K211" s="210">
        <f t="shared" si="22"/>
        <v>0</v>
      </c>
      <c r="L211" s="199">
        <v>81</v>
      </c>
      <c r="M211" s="211">
        <f t="shared" si="23"/>
        <v>1.0973936899862824</v>
      </c>
      <c r="N211" s="199">
        <v>1150.1999999999991</v>
      </c>
      <c r="O211" s="198">
        <v>17.8</v>
      </c>
      <c r="P211" s="200">
        <v>0.12208504801097393</v>
      </c>
      <c r="Q211" s="198">
        <v>-3.6000000000000121</v>
      </c>
      <c r="R211" s="200">
        <v>-2.469135802469144E-2</v>
      </c>
      <c r="S211" s="199">
        <v>-291.60000000000099</v>
      </c>
      <c r="T211" s="198" t="s">
        <v>326</v>
      </c>
      <c r="U211" s="198" t="s">
        <v>318</v>
      </c>
      <c r="V211" s="198" t="s">
        <v>411</v>
      </c>
      <c r="W211" s="205">
        <v>1</v>
      </c>
      <c r="X211" s="198" t="s">
        <v>339</v>
      </c>
    </row>
    <row r="212" spans="2:24" ht="16.5">
      <c r="B212" s="496"/>
      <c r="C212" s="496"/>
      <c r="D212" s="209">
        <v>106</v>
      </c>
      <c r="E212" s="198" t="s">
        <v>284</v>
      </c>
      <c r="F212" s="199">
        <v>1087.2630000000001</v>
      </c>
      <c r="G212" s="198">
        <v>67.914000000000001</v>
      </c>
      <c r="H212" s="198">
        <v>68.135999999999996</v>
      </c>
      <c r="I212" s="210">
        <f t="shared" si="21"/>
        <v>1.0032688400035339</v>
      </c>
      <c r="J212" s="198"/>
      <c r="K212" s="210">
        <f t="shared" si="22"/>
        <v>0</v>
      </c>
      <c r="L212" s="199">
        <v>93</v>
      </c>
      <c r="M212" s="211">
        <f t="shared" si="23"/>
        <v>1.0032688400035339</v>
      </c>
      <c r="N212" s="199">
        <v>20.645999999999461</v>
      </c>
      <c r="O212" s="198">
        <v>11.691000000000001</v>
      </c>
      <c r="P212" s="200">
        <v>0.17214418234826398</v>
      </c>
      <c r="Q212" s="198">
        <v>6.5600000000000023</v>
      </c>
      <c r="R212" s="200">
        <v>9.6592749653974172E-2</v>
      </c>
      <c r="S212" s="199">
        <v>1010.2400000000004</v>
      </c>
      <c r="T212" s="198" t="s">
        <v>278</v>
      </c>
      <c r="U212" s="198" t="s">
        <v>212</v>
      </c>
      <c r="V212" s="264" t="s">
        <v>428</v>
      </c>
      <c r="W212" s="205">
        <v>1</v>
      </c>
      <c r="X212" s="198" t="s">
        <v>317</v>
      </c>
    </row>
    <row r="213" spans="2:24">
      <c r="B213" s="496"/>
      <c r="C213" s="496"/>
      <c r="D213" s="209">
        <v>107</v>
      </c>
      <c r="E213" s="198" t="s">
        <v>274</v>
      </c>
      <c r="F213" s="199">
        <v>924.35299999999995</v>
      </c>
      <c r="G213" s="198">
        <v>689.44500000000005</v>
      </c>
      <c r="H213" s="198">
        <v>695.69</v>
      </c>
      <c r="I213" s="210">
        <f t="shared" si="21"/>
        <v>1.0090580104286782</v>
      </c>
      <c r="J213" s="198"/>
      <c r="K213" s="210">
        <f t="shared" si="22"/>
        <v>0</v>
      </c>
      <c r="L213" s="199">
        <v>156.66999999999999</v>
      </c>
      <c r="M213" s="211">
        <f t="shared" si="23"/>
        <v>1.0090580104286782</v>
      </c>
      <c r="N213" s="199">
        <v>978.40415000000064</v>
      </c>
      <c r="O213" s="198">
        <v>5.9</v>
      </c>
      <c r="P213" s="200">
        <v>8.5576079310169771E-3</v>
      </c>
      <c r="Q213" s="198">
        <v>2.6250000000000107</v>
      </c>
      <c r="R213" s="200">
        <v>3.8074103082914668E-3</v>
      </c>
      <c r="S213" s="199">
        <v>262.57875000000104</v>
      </c>
      <c r="T213" s="198" t="s">
        <v>308</v>
      </c>
      <c r="U213" s="198" t="s">
        <v>276</v>
      </c>
      <c r="V213" s="198"/>
      <c r="W213" s="205">
        <v>1</v>
      </c>
      <c r="X213" s="198" t="s">
        <v>109</v>
      </c>
    </row>
    <row r="214" spans="2:24">
      <c r="B214" s="496"/>
      <c r="C214" s="496"/>
      <c r="D214" s="209">
        <v>108</v>
      </c>
      <c r="E214" s="198" t="s">
        <v>323</v>
      </c>
      <c r="F214" s="199">
        <v>677.10299999999995</v>
      </c>
      <c r="G214" s="198">
        <v>97.902000000000001</v>
      </c>
      <c r="H214" s="198">
        <v>98.5</v>
      </c>
      <c r="I214" s="210">
        <f t="shared" si="21"/>
        <v>1.0061081489652919</v>
      </c>
      <c r="J214" s="198"/>
      <c r="K214" s="210">
        <f t="shared" si="22"/>
        <v>0</v>
      </c>
      <c r="L214" s="199">
        <v>356.37</v>
      </c>
      <c r="M214" s="211">
        <f t="shared" si="23"/>
        <v>1.0061081489652919</v>
      </c>
      <c r="N214" s="199">
        <v>213.10925999999964</v>
      </c>
      <c r="O214" s="198">
        <v>1.9</v>
      </c>
      <c r="P214" s="200">
        <v>1.9407162264305122E-2</v>
      </c>
      <c r="Q214" s="198">
        <v>-6.1272999999999911</v>
      </c>
      <c r="R214" s="200">
        <v>-6.2586055443198202E-2</v>
      </c>
      <c r="S214" s="199">
        <v>-2575.9781929999963</v>
      </c>
      <c r="T214" s="198" t="s">
        <v>315</v>
      </c>
      <c r="U214" s="198" t="s">
        <v>217</v>
      </c>
      <c r="V214" s="198" t="s">
        <v>423</v>
      </c>
      <c r="W214" s="205">
        <v>1</v>
      </c>
      <c r="X214" s="198" t="s">
        <v>111</v>
      </c>
    </row>
    <row r="215" spans="2:24">
      <c r="B215" s="496"/>
      <c r="C215" s="496"/>
      <c r="D215" s="209">
        <v>109</v>
      </c>
      <c r="E215" s="198" t="s">
        <v>298</v>
      </c>
      <c r="F215" s="199">
        <v>627.21532999999999</v>
      </c>
      <c r="G215" s="198">
        <v>807.62</v>
      </c>
      <c r="H215" s="198">
        <v>810.88800000000003</v>
      </c>
      <c r="I215" s="210">
        <f t="shared" si="21"/>
        <v>1.0040464574923851</v>
      </c>
      <c r="J215" s="198"/>
      <c r="K215" s="210">
        <f t="shared" si="22"/>
        <v>0</v>
      </c>
      <c r="L215" s="199">
        <v>47.89</v>
      </c>
      <c r="M215" s="211">
        <f t="shared" si="23"/>
        <v>1.0040464574923851</v>
      </c>
      <c r="N215" s="199">
        <v>156.50452000000141</v>
      </c>
      <c r="O215" s="198">
        <v>13.097</v>
      </c>
      <c r="P215" s="200">
        <v>1.6216785121715659E-2</v>
      </c>
      <c r="Q215" s="198">
        <v>-1.97</v>
      </c>
      <c r="R215" s="200">
        <v>-2.4392659914316138E-3</v>
      </c>
      <c r="S215" s="199">
        <v>0</v>
      </c>
      <c r="T215" s="198" t="s">
        <v>308</v>
      </c>
      <c r="U215" s="198" t="s">
        <v>276</v>
      </c>
      <c r="V215" s="198"/>
      <c r="W215" s="205">
        <v>1</v>
      </c>
      <c r="X215" s="198" t="s">
        <v>113</v>
      </c>
    </row>
    <row r="216" spans="2:24">
      <c r="B216" s="496"/>
      <c r="C216" s="496"/>
      <c r="D216" s="209">
        <v>110</v>
      </c>
      <c r="E216" s="198" t="s">
        <v>289</v>
      </c>
      <c r="F216" s="199">
        <v>607.83500000000004</v>
      </c>
      <c r="G216" s="198">
        <v>375.12</v>
      </c>
      <c r="H216" s="198">
        <v>375.161</v>
      </c>
      <c r="I216" s="210">
        <f t="shared" si="21"/>
        <v>1.0001092983578588</v>
      </c>
      <c r="J216" s="198"/>
      <c r="K216" s="210">
        <f t="shared" si="22"/>
        <v>0</v>
      </c>
      <c r="L216" s="199">
        <v>85</v>
      </c>
      <c r="M216" s="211">
        <f t="shared" si="23"/>
        <v>1.0001092983578588</v>
      </c>
      <c r="N216" s="199">
        <v>3.4849999999997294</v>
      </c>
      <c r="O216" s="198">
        <v>7.1509999999999998</v>
      </c>
      <c r="P216" s="200">
        <v>1.9063233098741736E-2</v>
      </c>
      <c r="Q216" s="198">
        <v>-0.97</v>
      </c>
      <c r="R216" s="200">
        <v>-2.5858391981232673E-3</v>
      </c>
      <c r="S216" s="199">
        <v>1</v>
      </c>
      <c r="T216" s="198" t="s">
        <v>308</v>
      </c>
      <c r="U216" s="198" t="s">
        <v>276</v>
      </c>
      <c r="V216" s="198"/>
      <c r="W216" s="205">
        <v>1</v>
      </c>
      <c r="X216" s="198" t="s">
        <v>134</v>
      </c>
    </row>
    <row r="217" spans="2:24">
      <c r="B217" s="495">
        <v>45891</v>
      </c>
      <c r="C217" s="496" t="s">
        <v>63</v>
      </c>
      <c r="D217" s="209">
        <v>111</v>
      </c>
      <c r="E217" s="198" t="s">
        <v>304</v>
      </c>
      <c r="F217" s="199">
        <v>1056.7022400000001</v>
      </c>
      <c r="G217" s="198">
        <v>118.72</v>
      </c>
      <c r="H217" s="198">
        <v>126.066</v>
      </c>
      <c r="I217" s="210">
        <f t="shared" si="21"/>
        <v>1.0618766846361187</v>
      </c>
      <c r="J217" s="198"/>
      <c r="K217" s="210">
        <f t="shared" si="22"/>
        <v>0</v>
      </c>
      <c r="L217" s="199">
        <v>108.18</v>
      </c>
      <c r="M217" s="211">
        <f t="shared" si="23"/>
        <v>1.0618766846361187</v>
      </c>
      <c r="N217" s="199">
        <v>794.69028000000048</v>
      </c>
      <c r="O217" s="198">
        <v>9.7680000000000007</v>
      </c>
      <c r="P217" s="200">
        <v>8.2277628032345021E-2</v>
      </c>
      <c r="Q217" s="198">
        <v>-2.421999999999997</v>
      </c>
      <c r="R217" s="200">
        <v>-2.040094339622639E-2</v>
      </c>
      <c r="S217" s="199">
        <v>-262.0119599999997</v>
      </c>
      <c r="T217" s="198" t="s">
        <v>326</v>
      </c>
      <c r="U217" s="198" t="s">
        <v>318</v>
      </c>
      <c r="V217" s="198" t="s">
        <v>411</v>
      </c>
      <c r="W217" s="205">
        <v>1</v>
      </c>
      <c r="X217" s="198" t="s">
        <v>115</v>
      </c>
    </row>
    <row r="218" spans="2:24">
      <c r="B218" s="496"/>
      <c r="C218" s="496"/>
      <c r="D218" s="209">
        <v>112</v>
      </c>
      <c r="E218" s="198" t="s">
        <v>427</v>
      </c>
      <c r="F218" s="199">
        <v>1039.048</v>
      </c>
      <c r="G218" s="198">
        <v>135.30000000000001</v>
      </c>
      <c r="H218" s="198">
        <v>148</v>
      </c>
      <c r="I218" s="210">
        <f t="shared" si="21"/>
        <v>1.0938654841093864</v>
      </c>
      <c r="J218" s="198"/>
      <c r="K218" s="210">
        <f t="shared" si="22"/>
        <v>0</v>
      </c>
      <c r="L218" s="199">
        <v>112.94</v>
      </c>
      <c r="M218" s="211">
        <f t="shared" si="23"/>
        <v>1.0938654841093864</v>
      </c>
      <c r="N218" s="199">
        <v>1434.3379999999986</v>
      </c>
      <c r="O218" s="198">
        <v>9.1999999999999993</v>
      </c>
      <c r="P218" s="200">
        <v>6.7997043606799687E-2</v>
      </c>
      <c r="Q218" s="198">
        <v>3.4999999999999893</v>
      </c>
      <c r="R218" s="200">
        <v>2.5868440502586763E-2</v>
      </c>
      <c r="S218" s="199">
        <v>395.28999999999877</v>
      </c>
      <c r="T218" s="198" t="s">
        <v>326</v>
      </c>
      <c r="U218" s="198" t="s">
        <v>318</v>
      </c>
      <c r="V218" s="198" t="s">
        <v>411</v>
      </c>
      <c r="W218" s="205">
        <v>1</v>
      </c>
      <c r="X218" s="198" t="s">
        <v>117</v>
      </c>
    </row>
    <row r="219" spans="2:24">
      <c r="B219" s="496"/>
      <c r="C219" s="496"/>
      <c r="D219" s="209">
        <v>113</v>
      </c>
      <c r="E219" s="198" t="s">
        <v>279</v>
      </c>
      <c r="F219" s="199">
        <v>957.48158000000001</v>
      </c>
      <c r="G219" s="198">
        <v>192.78</v>
      </c>
      <c r="H219" s="198">
        <v>195.006</v>
      </c>
      <c r="I219" s="210">
        <f t="shared" si="21"/>
        <v>1.0115468409586057</v>
      </c>
      <c r="J219" s="198"/>
      <c r="K219" s="210">
        <f t="shared" si="22"/>
        <v>0</v>
      </c>
      <c r="L219" s="199">
        <v>140.62</v>
      </c>
      <c r="M219" s="211">
        <f t="shared" si="23"/>
        <v>1.0115468409586057</v>
      </c>
      <c r="N219" s="199">
        <v>313.02011999999991</v>
      </c>
      <c r="O219" s="198">
        <v>6.8090000000000002</v>
      </c>
      <c r="P219" s="200">
        <v>3.5320053947504926E-2</v>
      </c>
      <c r="Q219" s="198">
        <v>-4.5830000000000011</v>
      </c>
      <c r="R219" s="200">
        <v>-2.377321298889927E-2</v>
      </c>
      <c r="S219" s="199">
        <v>-644.46146000000022</v>
      </c>
      <c r="T219" s="198" t="s">
        <v>308</v>
      </c>
      <c r="U219" s="198" t="s">
        <v>276</v>
      </c>
      <c r="V219" s="198"/>
      <c r="W219" s="205">
        <v>1</v>
      </c>
      <c r="X219" s="198" t="s">
        <v>113</v>
      </c>
    </row>
    <row r="220" spans="2:24">
      <c r="B220" s="496"/>
      <c r="C220" s="496"/>
      <c r="D220" s="209">
        <v>114</v>
      </c>
      <c r="E220" s="198" t="s">
        <v>283</v>
      </c>
      <c r="F220" s="199">
        <v>941.80399999999997</v>
      </c>
      <c r="G220" s="198">
        <v>105.075</v>
      </c>
      <c r="H220" s="198">
        <v>110</v>
      </c>
      <c r="I220" s="210">
        <f t="shared" si="21"/>
        <v>1.046871282417321</v>
      </c>
      <c r="J220" s="198"/>
      <c r="K220" s="210">
        <f t="shared" si="22"/>
        <v>0</v>
      </c>
      <c r="L220" s="199">
        <v>162.38</v>
      </c>
      <c r="M220" s="211">
        <f t="shared" si="23"/>
        <v>1.046871282417321</v>
      </c>
      <c r="N220" s="199">
        <v>799.72149999999954</v>
      </c>
      <c r="O220" s="198">
        <v>5.8</v>
      </c>
      <c r="P220" s="200">
        <v>5.5198667618367829E-2</v>
      </c>
      <c r="Q220" s="198">
        <v>-0.87500000000000266</v>
      </c>
      <c r="R220" s="200">
        <v>-8.3273852010468958E-3</v>
      </c>
      <c r="S220" s="199">
        <v>-142.08250000000044</v>
      </c>
      <c r="T220" s="198" t="s">
        <v>326</v>
      </c>
      <c r="U220" s="198" t="s">
        <v>318</v>
      </c>
      <c r="V220" s="198" t="s">
        <v>411</v>
      </c>
      <c r="W220" s="205">
        <v>1</v>
      </c>
      <c r="X220" s="198" t="s">
        <v>121</v>
      </c>
    </row>
    <row r="221" spans="2:24">
      <c r="B221" s="496"/>
      <c r="C221" s="496"/>
      <c r="D221" s="209">
        <v>115</v>
      </c>
      <c r="E221" s="198" t="s">
        <v>284</v>
      </c>
      <c r="F221" s="199">
        <v>868.34100000000001</v>
      </c>
      <c r="G221" s="198">
        <v>60.258000000000003</v>
      </c>
      <c r="H221" s="198">
        <v>60.619</v>
      </c>
      <c r="I221" s="210">
        <f t="shared" si="21"/>
        <v>1.0059909057718477</v>
      </c>
      <c r="J221" s="198"/>
      <c r="K221" s="210">
        <f t="shared" si="22"/>
        <v>0</v>
      </c>
      <c r="L221" s="199">
        <v>93</v>
      </c>
      <c r="M221" s="211">
        <f t="shared" si="23"/>
        <v>1.0059909057718477</v>
      </c>
      <c r="N221" s="199">
        <v>33.57299999999973</v>
      </c>
      <c r="O221" s="198">
        <v>9.3369999999999997</v>
      </c>
      <c r="P221" s="200">
        <v>0.15495038003252679</v>
      </c>
      <c r="Q221" s="198">
        <v>-8.9760000000000026</v>
      </c>
      <c r="R221" s="200">
        <v>-0.14895947426067913</v>
      </c>
      <c r="S221" s="199">
        <v>-834.76800000000026</v>
      </c>
      <c r="T221" s="198" t="s">
        <v>308</v>
      </c>
      <c r="U221" s="198" t="s">
        <v>276</v>
      </c>
      <c r="V221" s="198"/>
      <c r="W221" s="205">
        <v>1</v>
      </c>
      <c r="X221" s="198" t="s">
        <v>317</v>
      </c>
    </row>
    <row r="222" spans="2:24">
      <c r="B222" s="496"/>
      <c r="C222" s="496"/>
      <c r="D222" s="209">
        <v>116</v>
      </c>
      <c r="E222" s="198" t="s">
        <v>277</v>
      </c>
      <c r="F222" s="199">
        <v>755.07900000000006</v>
      </c>
      <c r="G222" s="198">
        <v>314.56</v>
      </c>
      <c r="H222" s="198">
        <v>322</v>
      </c>
      <c r="I222" s="210">
        <f t="shared" si="21"/>
        <v>1.0236520854526958</v>
      </c>
      <c r="J222" s="198"/>
      <c r="K222" s="210">
        <f t="shared" si="22"/>
        <v>0</v>
      </c>
      <c r="L222" s="199">
        <v>132.47</v>
      </c>
      <c r="M222" s="211">
        <f t="shared" si="23"/>
        <v>1.0236520854526958</v>
      </c>
      <c r="N222" s="199">
        <v>985.57679999999971</v>
      </c>
      <c r="O222" s="198">
        <v>5.7</v>
      </c>
      <c r="P222" s="200">
        <v>1.8120549338758903E-2</v>
      </c>
      <c r="Q222" s="198">
        <v>6.5600000000000023</v>
      </c>
      <c r="R222" s="200">
        <v>2.0854526958290952E-2</v>
      </c>
      <c r="S222" s="199">
        <v>1010.2400000000004</v>
      </c>
      <c r="T222" s="198" t="s">
        <v>308</v>
      </c>
      <c r="U222" s="198" t="s">
        <v>276</v>
      </c>
      <c r="V222" s="198"/>
      <c r="W222" s="205">
        <v>1</v>
      </c>
      <c r="X222" s="198" t="s">
        <v>110</v>
      </c>
    </row>
    <row r="223" spans="2:24">
      <c r="B223" s="496"/>
      <c r="C223" s="496"/>
      <c r="D223" s="209">
        <v>117</v>
      </c>
      <c r="E223" s="198" t="s">
        <v>375</v>
      </c>
      <c r="F223" s="199">
        <v>661.21595000000002</v>
      </c>
      <c r="G223" s="198">
        <v>487.2</v>
      </c>
      <c r="H223" s="198">
        <v>499</v>
      </c>
      <c r="I223" s="210">
        <f t="shared" si="21"/>
        <v>1.0242200328407225</v>
      </c>
      <c r="J223" s="198"/>
      <c r="K223" s="210">
        <f t="shared" si="22"/>
        <v>0</v>
      </c>
      <c r="L223" s="199">
        <v>77.290000000000006</v>
      </c>
      <c r="M223" s="211">
        <f t="shared" si="23"/>
        <v>1.0242200328407225</v>
      </c>
      <c r="N223" s="199">
        <v>912.02200000000096</v>
      </c>
      <c r="O223" s="198">
        <v>8.5549999999999997</v>
      </c>
      <c r="P223" s="200">
        <v>1.755952380952381E-2</v>
      </c>
      <c r="Q223" s="198">
        <v>2.6250000000000107</v>
      </c>
      <c r="R223" s="200">
        <v>5.3879310344827807E-3</v>
      </c>
      <c r="S223" s="199">
        <v>262.57875000000104</v>
      </c>
      <c r="T223" s="198" t="s">
        <v>308</v>
      </c>
      <c r="U223" s="198" t="s">
        <v>276</v>
      </c>
      <c r="V223" s="198"/>
      <c r="W223" s="205">
        <v>1</v>
      </c>
      <c r="X223" s="198" t="s">
        <v>112</v>
      </c>
    </row>
    <row r="224" spans="2:24">
      <c r="B224" s="496"/>
      <c r="C224" s="496"/>
      <c r="D224" s="209">
        <v>118</v>
      </c>
      <c r="E224" s="198" t="s">
        <v>333</v>
      </c>
      <c r="F224" s="199">
        <v>657.84333333333325</v>
      </c>
      <c r="G224" s="198">
        <v>870.32</v>
      </c>
      <c r="H224" s="198">
        <v>877.53099999999995</v>
      </c>
      <c r="I224" s="210">
        <f t="shared" si="21"/>
        <v>1.0082854582222629</v>
      </c>
      <c r="J224" s="198"/>
      <c r="K224" s="210">
        <f t="shared" si="22"/>
        <v>0</v>
      </c>
      <c r="L224" s="199">
        <v>245.55555555555554</v>
      </c>
      <c r="M224" s="211">
        <f t="shared" si="23"/>
        <v>1.0082854582222629</v>
      </c>
      <c r="N224" s="199">
        <v>1770.7011111110862</v>
      </c>
      <c r="O224" s="198">
        <v>2.6789999999999998</v>
      </c>
      <c r="P224" s="200">
        <v>3.0781781413732876E-3</v>
      </c>
      <c r="Q224" s="198">
        <v>-6.1272999999999911</v>
      </c>
      <c r="R224" s="200">
        <v>-7.0402840334589474E-3</v>
      </c>
      <c r="S224" s="199">
        <v>-2575.9781929999963</v>
      </c>
      <c r="T224" s="198" t="s">
        <v>308</v>
      </c>
      <c r="U224" s="198" t="s">
        <v>276</v>
      </c>
      <c r="V224" s="198"/>
      <c r="W224" s="205">
        <v>1</v>
      </c>
      <c r="X224" s="198" t="s">
        <v>109</v>
      </c>
    </row>
    <row r="225" spans="2:24">
      <c r="B225" s="496"/>
      <c r="C225" s="496"/>
      <c r="D225" s="209">
        <v>119</v>
      </c>
      <c r="E225" s="198" t="s">
        <v>331</v>
      </c>
      <c r="F225" s="199">
        <v>603.54000000000008</v>
      </c>
      <c r="G225" s="198">
        <v>174.66</v>
      </c>
      <c r="H225" s="198">
        <v>188</v>
      </c>
      <c r="I225" s="210">
        <f t="shared" si="21"/>
        <v>1.0763769609527081</v>
      </c>
      <c r="J225" s="198"/>
      <c r="K225" s="210">
        <f t="shared" si="22"/>
        <v>0</v>
      </c>
      <c r="L225" s="199">
        <v>335.3</v>
      </c>
      <c r="M225" s="211">
        <f t="shared" si="23"/>
        <v>1.0763769609527081</v>
      </c>
      <c r="N225" s="199">
        <v>4472.902000000001</v>
      </c>
      <c r="O225" s="198">
        <v>1.8</v>
      </c>
      <c r="P225" s="200">
        <v>1.0305736860185504E-2</v>
      </c>
      <c r="Q225" s="198">
        <v>-1.97</v>
      </c>
      <c r="R225" s="200">
        <v>-1.1279056452536356E-2</v>
      </c>
      <c r="S225" s="199">
        <v>0</v>
      </c>
      <c r="T225" s="198" t="s">
        <v>315</v>
      </c>
      <c r="U225" s="198" t="s">
        <v>217</v>
      </c>
      <c r="V225" s="198" t="s">
        <v>416</v>
      </c>
      <c r="W225" s="205">
        <v>1</v>
      </c>
      <c r="X225" s="198" t="s">
        <v>114</v>
      </c>
    </row>
    <row r="226" spans="2:24">
      <c r="B226" s="496"/>
      <c r="C226" s="496"/>
      <c r="D226" s="209">
        <v>120</v>
      </c>
      <c r="E226" s="198" t="s">
        <v>321</v>
      </c>
      <c r="F226" s="199">
        <v>552.41208000000006</v>
      </c>
      <c r="G226" s="198">
        <v>39.56</v>
      </c>
      <c r="H226" s="198">
        <v>39.581000000000003</v>
      </c>
      <c r="I226" s="210">
        <f t="shared" si="21"/>
        <v>1.0005308392315471</v>
      </c>
      <c r="J226" s="198"/>
      <c r="K226" s="210">
        <f t="shared" si="22"/>
        <v>0</v>
      </c>
      <c r="L226" s="199">
        <v>697.49</v>
      </c>
      <c r="M226" s="211">
        <f t="shared" si="23"/>
        <v>1.0005308392315471</v>
      </c>
      <c r="N226" s="199">
        <v>14.647290000000556</v>
      </c>
      <c r="O226" s="198">
        <v>0.79200000000000004</v>
      </c>
      <c r="P226" s="200">
        <v>2.0020222446916078E-2</v>
      </c>
      <c r="Q226" s="198">
        <v>-0.97</v>
      </c>
      <c r="R226" s="200">
        <v>-2.4519716885743174E-2</v>
      </c>
      <c r="S226" s="199">
        <v>1</v>
      </c>
      <c r="T226" s="198" t="s">
        <v>308</v>
      </c>
      <c r="U226" s="198" t="s">
        <v>276</v>
      </c>
      <c r="V226" s="198"/>
      <c r="W226" s="205">
        <v>1</v>
      </c>
      <c r="X226" s="198" t="s">
        <v>109</v>
      </c>
    </row>
    <row r="227" spans="2:24">
      <c r="B227" s="495">
        <v>45892</v>
      </c>
      <c r="C227" s="496" t="s">
        <v>64</v>
      </c>
      <c r="D227" s="209">
        <v>121</v>
      </c>
      <c r="E227" s="198" t="s">
        <v>277</v>
      </c>
      <c r="F227" s="199">
        <v>567.48</v>
      </c>
      <c r="G227" s="198">
        <v>314.39999999999998</v>
      </c>
      <c r="H227" s="198">
        <v>322</v>
      </c>
      <c r="I227" s="210">
        <f t="shared" si="21"/>
        <v>1.024173027989822</v>
      </c>
      <c r="J227" s="198"/>
      <c r="K227" s="210">
        <f t="shared" si="22"/>
        <v>0</v>
      </c>
      <c r="L227" s="199">
        <v>132.47</v>
      </c>
      <c r="M227" s="211">
        <f t="shared" si="23"/>
        <v>1.024173027989822</v>
      </c>
      <c r="N227" s="199">
        <v>1437.8293800000056</v>
      </c>
      <c r="O227" s="198">
        <v>5.6929999999999996</v>
      </c>
      <c r="P227" s="200">
        <v>1.8107506361323154E-2</v>
      </c>
      <c r="Q227" s="198">
        <v>1.9070000000000231</v>
      </c>
      <c r="R227" s="200">
        <v>6.0655216284988015E-3</v>
      </c>
      <c r="S227" s="199">
        <v>252.62029000000305</v>
      </c>
      <c r="T227" s="198" t="s">
        <v>308</v>
      </c>
      <c r="U227" s="198" t="s">
        <v>276</v>
      </c>
      <c r="V227" s="198"/>
      <c r="W227" s="205">
        <v>1</v>
      </c>
      <c r="X227" s="198" t="s">
        <v>110</v>
      </c>
    </row>
    <row r="228" spans="2:24">
      <c r="B228" s="496"/>
      <c r="C228" s="496"/>
      <c r="D228" s="209">
        <v>122</v>
      </c>
      <c r="E228" s="198" t="s">
        <v>375</v>
      </c>
      <c r="F228" s="199">
        <v>405.95</v>
      </c>
      <c r="G228" s="198">
        <v>491.04</v>
      </c>
      <c r="H228" s="198">
        <v>502</v>
      </c>
      <c r="I228" s="210">
        <f t="shared" si="21"/>
        <v>1.0223199739328772</v>
      </c>
      <c r="J228" s="198"/>
      <c r="K228" s="210">
        <f t="shared" si="22"/>
        <v>0</v>
      </c>
      <c r="L228" s="199">
        <v>77.290000000000006</v>
      </c>
      <c r="M228" s="211">
        <f t="shared" si="23"/>
        <v>1.0223199739328772</v>
      </c>
      <c r="N228" s="199">
        <v>847.09839999999849</v>
      </c>
      <c r="O228" s="198">
        <v>8.9</v>
      </c>
      <c r="P228" s="200">
        <v>1.8124796350602802E-2</v>
      </c>
      <c r="Q228" s="198">
        <v>2.0599999999999792</v>
      </c>
      <c r="R228" s="200">
        <v>4.1951775822743143E-3</v>
      </c>
      <c r="S228" s="199">
        <v>159.21739999999841</v>
      </c>
      <c r="T228" s="198" t="s">
        <v>308</v>
      </c>
      <c r="U228" s="198" t="s">
        <v>276</v>
      </c>
      <c r="V228" s="198"/>
      <c r="W228" s="205">
        <v>1</v>
      </c>
      <c r="X228" s="198" t="s">
        <v>112</v>
      </c>
    </row>
    <row r="229" spans="2:24">
      <c r="B229" s="496"/>
      <c r="C229" s="496"/>
      <c r="D229" s="209">
        <v>123</v>
      </c>
      <c r="E229" s="198" t="s">
        <v>285</v>
      </c>
      <c r="F229" s="199">
        <v>922.76</v>
      </c>
      <c r="G229" s="198">
        <v>17.809999999999999</v>
      </c>
      <c r="H229" s="198">
        <v>18</v>
      </c>
      <c r="I229" s="210">
        <f t="shared" si="21"/>
        <v>1.0106681639528357</v>
      </c>
      <c r="J229" s="198"/>
      <c r="K229" s="210">
        <f t="shared" si="22"/>
        <v>0</v>
      </c>
      <c r="L229" s="199">
        <v>570</v>
      </c>
      <c r="M229" s="211">
        <f t="shared" si="23"/>
        <v>1.0106681639528357</v>
      </c>
      <c r="N229" s="199">
        <v>108.30000000000072</v>
      </c>
      <c r="O229" s="198">
        <v>1.2</v>
      </c>
      <c r="P229" s="200">
        <v>6.7377877596855706E-2</v>
      </c>
      <c r="Q229" s="198">
        <v>-1.0099999999999987</v>
      </c>
      <c r="R229" s="200">
        <v>-5.6709713644020145E-2</v>
      </c>
      <c r="S229" s="199">
        <v>-575.69999999999925</v>
      </c>
      <c r="T229" s="198" t="s">
        <v>308</v>
      </c>
      <c r="U229" s="198" t="s">
        <v>276</v>
      </c>
      <c r="V229" s="198"/>
      <c r="W229" s="205">
        <v>1</v>
      </c>
      <c r="X229" s="198" t="s">
        <v>339</v>
      </c>
    </row>
    <row r="230" spans="2:24">
      <c r="B230" s="496"/>
      <c r="C230" s="496"/>
      <c r="D230" s="209">
        <v>124</v>
      </c>
      <c r="E230" s="198" t="s">
        <v>331</v>
      </c>
      <c r="F230" s="199">
        <v>754.15170999999998</v>
      </c>
      <c r="G230" s="198">
        <v>179.22</v>
      </c>
      <c r="H230" s="198">
        <v>190</v>
      </c>
      <c r="I230" s="210">
        <f t="shared" si="21"/>
        <v>1.0601495368820444</v>
      </c>
      <c r="J230" s="198"/>
      <c r="K230" s="210">
        <f t="shared" si="22"/>
        <v>0</v>
      </c>
      <c r="L230" s="199">
        <v>335.3</v>
      </c>
      <c r="M230" s="211">
        <f t="shared" si="23"/>
        <v>1.0601495368820444</v>
      </c>
      <c r="N230" s="199">
        <v>3614.5340000000006</v>
      </c>
      <c r="O230" s="198">
        <v>2.0099999999999998</v>
      </c>
      <c r="P230" s="200">
        <v>1.1215266153331101E-2</v>
      </c>
      <c r="Q230" s="198">
        <v>8.7700000000000014</v>
      </c>
      <c r="R230" s="200">
        <v>4.8934270728713321E-2</v>
      </c>
      <c r="S230" s="199">
        <v>2940.5810000000006</v>
      </c>
      <c r="T230" s="198" t="s">
        <v>308</v>
      </c>
      <c r="U230" s="198" t="s">
        <v>276</v>
      </c>
      <c r="V230" s="198"/>
      <c r="W230" s="205">
        <v>1</v>
      </c>
      <c r="X230" s="198" t="s">
        <v>114</v>
      </c>
    </row>
    <row r="231" spans="2:24">
      <c r="B231" s="496"/>
      <c r="C231" s="496"/>
      <c r="D231" s="209">
        <v>125</v>
      </c>
      <c r="E231" s="198" t="s">
        <v>294</v>
      </c>
      <c r="F231" s="199">
        <v>687.88100000000009</v>
      </c>
      <c r="G231" s="198">
        <v>40.549999999999997</v>
      </c>
      <c r="H231" s="198">
        <v>40.844999999999999</v>
      </c>
      <c r="I231" s="210">
        <f t="shared" si="21"/>
        <v>1.0072749691738594</v>
      </c>
      <c r="J231" s="198"/>
      <c r="K231" s="210">
        <f t="shared" si="22"/>
        <v>0</v>
      </c>
      <c r="L231" s="199">
        <v>821.74</v>
      </c>
      <c r="M231" s="211">
        <f t="shared" si="23"/>
        <v>1.0072749691738594</v>
      </c>
      <c r="N231" s="199">
        <v>242.41330000000141</v>
      </c>
      <c r="O231" s="198">
        <v>0.79300000000000004</v>
      </c>
      <c r="P231" s="200">
        <v>1.9556103575832307E-2</v>
      </c>
      <c r="Q231" s="198">
        <v>-0.49799999999999833</v>
      </c>
      <c r="R231" s="200">
        <v>-1.2281134401972833E-2</v>
      </c>
      <c r="S231" s="199">
        <v>-409.22651999999863</v>
      </c>
      <c r="T231" s="198" t="s">
        <v>328</v>
      </c>
      <c r="U231" s="198" t="s">
        <v>213</v>
      </c>
      <c r="V231" s="198"/>
      <c r="W231" s="205">
        <v>1</v>
      </c>
      <c r="X231" s="198" t="s">
        <v>115</v>
      </c>
    </row>
    <row r="232" spans="2:24">
      <c r="B232" s="496"/>
      <c r="C232" s="496"/>
      <c r="D232" s="209">
        <v>126</v>
      </c>
      <c r="E232" s="198" t="s">
        <v>406</v>
      </c>
      <c r="F232" s="199">
        <v>684</v>
      </c>
      <c r="G232" s="198">
        <v>21.36</v>
      </c>
      <c r="H232" s="198">
        <v>22.5</v>
      </c>
      <c r="I232" s="210">
        <f t="shared" si="21"/>
        <v>1.053370786516854</v>
      </c>
      <c r="J232" s="198"/>
      <c r="K232" s="210">
        <f t="shared" si="22"/>
        <v>0</v>
      </c>
      <c r="L232" s="199">
        <v>341.33000000000004</v>
      </c>
      <c r="M232" s="211">
        <f t="shared" si="23"/>
        <v>1.053370786516854</v>
      </c>
      <c r="N232" s="199">
        <v>389.11620000000022</v>
      </c>
      <c r="O232" s="198">
        <v>1.8</v>
      </c>
      <c r="P232" s="200">
        <v>8.4269662921348312E-2</v>
      </c>
      <c r="Q232" s="198">
        <v>-0.65999999999999948</v>
      </c>
      <c r="R232" s="200">
        <v>-3.0898876404494357E-2</v>
      </c>
      <c r="S232" s="199">
        <v>1010.2400000000004</v>
      </c>
      <c r="T232" s="198" t="s">
        <v>326</v>
      </c>
      <c r="U232" s="198" t="s">
        <v>318</v>
      </c>
      <c r="V232" s="198" t="s">
        <v>417</v>
      </c>
      <c r="W232" s="205">
        <v>1</v>
      </c>
      <c r="X232" s="198" t="s">
        <v>116</v>
      </c>
    </row>
    <row r="233" spans="2:24">
      <c r="B233" s="496"/>
      <c r="C233" s="496"/>
      <c r="D233" s="209">
        <v>127</v>
      </c>
      <c r="E233" s="198" t="s">
        <v>329</v>
      </c>
      <c r="F233" s="199">
        <v>673.95299999999997</v>
      </c>
      <c r="G233" s="198">
        <v>10.68</v>
      </c>
      <c r="H233" s="198">
        <v>11</v>
      </c>
      <c r="I233" s="210">
        <f t="shared" si="21"/>
        <v>1.0299625468164795</v>
      </c>
      <c r="J233" s="198"/>
      <c r="K233" s="210">
        <f t="shared" si="22"/>
        <v>0</v>
      </c>
      <c r="L233" s="199">
        <v>584.66</v>
      </c>
      <c r="M233" s="211">
        <f t="shared" si="23"/>
        <v>1.0299625468164795</v>
      </c>
      <c r="N233" s="199">
        <v>187.09120000000016</v>
      </c>
      <c r="O233" s="198">
        <v>1.01</v>
      </c>
      <c r="P233" s="200">
        <v>9.4569288389513118E-2</v>
      </c>
      <c r="Q233" s="198">
        <v>-0.68999999999999972</v>
      </c>
      <c r="R233" s="200">
        <v>-6.4606741573033685E-2</v>
      </c>
      <c r="S233" s="199">
        <v>262.57875000000104</v>
      </c>
      <c r="T233" s="198" t="s">
        <v>328</v>
      </c>
      <c r="U233" s="198" t="s">
        <v>213</v>
      </c>
      <c r="V233" s="198"/>
      <c r="W233" s="205">
        <v>1</v>
      </c>
      <c r="X233" s="198" t="s">
        <v>116</v>
      </c>
    </row>
    <row r="234" spans="2:24">
      <c r="B234" s="496"/>
      <c r="C234" s="496"/>
      <c r="D234" s="209">
        <v>128</v>
      </c>
      <c r="E234" s="198" t="s">
        <v>369</v>
      </c>
      <c r="F234" s="199">
        <v>651.63981999999999</v>
      </c>
      <c r="G234" s="198">
        <v>192.24</v>
      </c>
      <c r="H234" s="198">
        <v>200</v>
      </c>
      <c r="I234" s="210">
        <f t="shared" si="21"/>
        <v>1.0403662089055348</v>
      </c>
      <c r="J234" s="198"/>
      <c r="K234" s="210">
        <f t="shared" si="22"/>
        <v>0</v>
      </c>
      <c r="L234" s="199">
        <v>141.87</v>
      </c>
      <c r="M234" s="211">
        <f t="shared" si="23"/>
        <v>1.0403662089055348</v>
      </c>
      <c r="N234" s="199">
        <v>1100.9111999999986</v>
      </c>
      <c r="O234" s="198">
        <v>4</v>
      </c>
      <c r="P234" s="200">
        <v>2.0807324178110695E-2</v>
      </c>
      <c r="Q234" s="198">
        <v>3.7599999999999909</v>
      </c>
      <c r="R234" s="200">
        <v>1.9558884727424005E-2</v>
      </c>
      <c r="S234" s="199">
        <v>-2575.9781929999963</v>
      </c>
      <c r="T234" s="198" t="s">
        <v>326</v>
      </c>
      <c r="U234" s="198" t="s">
        <v>318</v>
      </c>
      <c r="V234" s="198" t="s">
        <v>417</v>
      </c>
      <c r="W234" s="205">
        <v>1</v>
      </c>
      <c r="X234" s="198" t="s">
        <v>116</v>
      </c>
    </row>
    <row r="235" spans="2:24">
      <c r="B235" s="496"/>
      <c r="C235" s="496"/>
      <c r="D235" s="209">
        <v>129</v>
      </c>
      <c r="E235" s="198" t="s">
        <v>323</v>
      </c>
      <c r="F235" s="199">
        <v>614.39400000000012</v>
      </c>
      <c r="G235" s="198">
        <v>86.093000000000004</v>
      </c>
      <c r="H235" s="198">
        <v>87.8</v>
      </c>
      <c r="I235" s="210">
        <f t="shared" si="21"/>
        <v>1.0198273959555364</v>
      </c>
      <c r="J235" s="198"/>
      <c r="K235" s="210">
        <f t="shared" si="22"/>
        <v>0</v>
      </c>
      <c r="L235" s="199">
        <v>356.37</v>
      </c>
      <c r="M235" s="211">
        <f t="shared" si="23"/>
        <v>1.0198273959555364</v>
      </c>
      <c r="N235" s="199">
        <v>608.32358999999769</v>
      </c>
      <c r="O235" s="198">
        <v>1.5</v>
      </c>
      <c r="P235" s="200">
        <v>1.7423019293090029E-2</v>
      </c>
      <c r="Q235" s="198">
        <v>0.20699999999999363</v>
      </c>
      <c r="R235" s="200">
        <v>2.4043766624463501E-3</v>
      </c>
      <c r="S235" s="199">
        <v>0</v>
      </c>
      <c r="T235" s="198" t="s">
        <v>315</v>
      </c>
      <c r="U235" s="198" t="s">
        <v>217</v>
      </c>
      <c r="V235" s="198" t="s">
        <v>385</v>
      </c>
      <c r="W235" s="205">
        <v>1</v>
      </c>
      <c r="X235" s="198" t="s">
        <v>111</v>
      </c>
    </row>
    <row r="236" spans="2:24">
      <c r="B236" s="496"/>
      <c r="C236" s="496"/>
      <c r="D236" s="209">
        <v>130</v>
      </c>
      <c r="E236" s="198" t="s">
        <v>348</v>
      </c>
      <c r="F236" s="199">
        <v>590.50659999999993</v>
      </c>
      <c r="G236" s="198">
        <v>283.76499999999999</v>
      </c>
      <c r="H236" s="198">
        <v>289.43700000000001</v>
      </c>
      <c r="I236" s="210">
        <f t="shared" si="21"/>
        <v>1.01998837065882</v>
      </c>
      <c r="J236" s="198"/>
      <c r="K236" s="210">
        <f t="shared" si="22"/>
        <v>0</v>
      </c>
      <c r="L236" s="199">
        <v>100.02999999999999</v>
      </c>
      <c r="M236" s="211">
        <f t="shared" si="23"/>
        <v>1.01998837065882</v>
      </c>
      <c r="N236" s="199">
        <v>767.4301600000025</v>
      </c>
      <c r="O236" s="198">
        <v>5.2910000000000004</v>
      </c>
      <c r="P236" s="200">
        <v>1.8645710358923758E-2</v>
      </c>
      <c r="Q236" s="198">
        <v>0.3810000000000251</v>
      </c>
      <c r="R236" s="200">
        <v>1.3426602998961293E-3</v>
      </c>
      <c r="S236" s="199">
        <v>1</v>
      </c>
      <c r="T236" s="198" t="s">
        <v>308</v>
      </c>
      <c r="U236" s="198" t="s">
        <v>276</v>
      </c>
      <c r="V236" s="198"/>
      <c r="W236" s="205">
        <v>1</v>
      </c>
      <c r="X236" s="198" t="s">
        <v>114</v>
      </c>
    </row>
    <row r="237" spans="2:24">
      <c r="B237" s="495">
        <v>45893</v>
      </c>
      <c r="C237" s="496" t="s">
        <v>59</v>
      </c>
      <c r="D237" s="209">
        <v>131</v>
      </c>
      <c r="E237" s="198" t="s">
        <v>277</v>
      </c>
      <c r="F237" s="199">
        <v>1239.38932</v>
      </c>
      <c r="G237" s="198">
        <v>434</v>
      </c>
      <c r="H237" s="198">
        <v>447.96499999999997</v>
      </c>
      <c r="I237" s="210">
        <f t="shared" si="21"/>
        <v>1.0321774193548388</v>
      </c>
      <c r="J237" s="198"/>
      <c r="K237" s="210">
        <f t="shared" si="22"/>
        <v>0</v>
      </c>
      <c r="L237" s="199">
        <v>132.47</v>
      </c>
      <c r="M237" s="211">
        <f t="shared" si="23"/>
        <v>1.0321774193548388</v>
      </c>
      <c r="N237" s="199">
        <v>1849.9435499999968</v>
      </c>
      <c r="O237" s="198">
        <v>9.3559999999999999</v>
      </c>
      <c r="P237" s="200">
        <v>2.1557603686635944E-2</v>
      </c>
      <c r="Q237" s="198">
        <v>4.6089999999999751</v>
      </c>
      <c r="R237" s="200">
        <v>1.0619815668202708E-2</v>
      </c>
      <c r="S237" s="199">
        <v>610.55422999999666</v>
      </c>
      <c r="T237" s="198" t="s">
        <v>308</v>
      </c>
      <c r="U237" s="198" t="s">
        <v>276</v>
      </c>
      <c r="V237" s="198"/>
      <c r="W237" s="205">
        <v>1</v>
      </c>
      <c r="X237" s="198" t="s">
        <v>110</v>
      </c>
    </row>
    <row r="238" spans="2:24">
      <c r="B238" s="496"/>
      <c r="C238" s="496"/>
      <c r="D238" s="209">
        <v>132</v>
      </c>
      <c r="E238" s="198" t="s">
        <v>294</v>
      </c>
      <c r="F238" s="199">
        <v>1219.46216</v>
      </c>
      <c r="G238" s="198">
        <v>52.725000000000001</v>
      </c>
      <c r="H238" s="198">
        <v>53.281999999999996</v>
      </c>
      <c r="I238" s="210">
        <f t="shared" si="21"/>
        <v>1.0105642484589852</v>
      </c>
      <c r="J238" s="198"/>
      <c r="K238" s="210">
        <f t="shared" si="22"/>
        <v>0</v>
      </c>
      <c r="L238" s="199">
        <v>821.74</v>
      </c>
      <c r="M238" s="211">
        <f t="shared" si="23"/>
        <v>1.0105642484589852</v>
      </c>
      <c r="N238" s="199">
        <v>457.70917999999597</v>
      </c>
      <c r="O238" s="198">
        <v>1.484</v>
      </c>
      <c r="P238" s="200">
        <v>2.8146040777619723E-2</v>
      </c>
      <c r="Q238" s="198">
        <v>-0.92700000000000493</v>
      </c>
      <c r="R238" s="200">
        <v>-1.7581792318634517E-2</v>
      </c>
      <c r="S238" s="199">
        <v>-761.75298000000407</v>
      </c>
      <c r="T238" s="198" t="s">
        <v>308</v>
      </c>
      <c r="U238" s="198" t="s">
        <v>276</v>
      </c>
      <c r="V238" s="198"/>
      <c r="W238" s="205">
        <v>1</v>
      </c>
      <c r="X238" s="198" t="s">
        <v>115</v>
      </c>
    </row>
    <row r="239" spans="2:24">
      <c r="B239" s="496"/>
      <c r="C239" s="496"/>
      <c r="D239" s="209">
        <v>133</v>
      </c>
      <c r="E239" s="198" t="s">
        <v>333</v>
      </c>
      <c r="F239" s="199">
        <v>993.02666666666653</v>
      </c>
      <c r="G239" s="198">
        <v>1200.32</v>
      </c>
      <c r="H239" s="198">
        <v>1205.2729999999999</v>
      </c>
      <c r="I239" s="210">
        <f t="shared" si="21"/>
        <v>1.0041263996267662</v>
      </c>
      <c r="J239" s="198"/>
      <c r="K239" s="210">
        <f t="shared" si="22"/>
        <v>0</v>
      </c>
      <c r="L239" s="199">
        <v>245.55555555555554</v>
      </c>
      <c r="M239" s="211">
        <f t="shared" si="23"/>
        <v>1.0041263996267662</v>
      </c>
      <c r="N239" s="199">
        <v>1216.2366666666603</v>
      </c>
      <c r="O239" s="198">
        <v>4.0439999999999996</v>
      </c>
      <c r="P239" s="200">
        <v>3.3691015729138893E-3</v>
      </c>
      <c r="Q239" s="198">
        <v>0.90899999999997494</v>
      </c>
      <c r="R239" s="200">
        <v>7.5729805385228526E-4</v>
      </c>
      <c r="S239" s="199">
        <v>223.20999999999384</v>
      </c>
      <c r="T239" s="198" t="s">
        <v>308</v>
      </c>
      <c r="U239" s="198" t="s">
        <v>276</v>
      </c>
      <c r="V239" s="198"/>
      <c r="W239" s="205">
        <v>1</v>
      </c>
      <c r="X239" s="198" t="s">
        <v>109</v>
      </c>
    </row>
    <row r="240" spans="2:24">
      <c r="B240" s="496"/>
      <c r="C240" s="496"/>
      <c r="D240" s="209">
        <v>134</v>
      </c>
      <c r="E240" s="198" t="s">
        <v>274</v>
      </c>
      <c r="F240" s="199">
        <v>989.37104999999997</v>
      </c>
      <c r="G240" s="198">
        <v>736.56</v>
      </c>
      <c r="H240" s="198">
        <v>748.904</v>
      </c>
      <c r="I240" s="210">
        <f t="shared" si="21"/>
        <v>1.0167589877267298</v>
      </c>
      <c r="J240" s="198"/>
      <c r="K240" s="210">
        <f t="shared" si="22"/>
        <v>0</v>
      </c>
      <c r="L240" s="199">
        <v>156.66999999999999</v>
      </c>
      <c r="M240" s="211">
        <f t="shared" si="23"/>
        <v>1.0167589877267298</v>
      </c>
      <c r="N240" s="199">
        <v>1933.9344800000079</v>
      </c>
      <c r="O240" s="198">
        <v>6.3150000000000004</v>
      </c>
      <c r="P240" s="200">
        <v>8.5736396220267193E-3</v>
      </c>
      <c r="Q240" s="198">
        <v>6.0290000000000505</v>
      </c>
      <c r="R240" s="200">
        <v>8.1853481047030122E-3</v>
      </c>
      <c r="S240" s="199">
        <v>944.56343000000788</v>
      </c>
      <c r="T240" s="198" t="s">
        <v>308</v>
      </c>
      <c r="U240" s="198" t="s">
        <v>276</v>
      </c>
      <c r="V240" s="198"/>
      <c r="W240" s="205">
        <v>1</v>
      </c>
      <c r="X240" s="198" t="s">
        <v>109</v>
      </c>
    </row>
    <row r="241" spans="2:24">
      <c r="B241" s="496"/>
      <c r="C241" s="496"/>
      <c r="D241" s="209">
        <v>135</v>
      </c>
      <c r="E241" s="198" t="s">
        <v>279</v>
      </c>
      <c r="F241" s="199">
        <v>775.51929999999993</v>
      </c>
      <c r="G241" s="198">
        <v>272.88400000000001</v>
      </c>
      <c r="H241" s="198">
        <v>276.74700000000001</v>
      </c>
      <c r="I241" s="210">
        <f t="shared" si="21"/>
        <v>1.0141561982380791</v>
      </c>
      <c r="J241" s="198"/>
      <c r="K241" s="210">
        <f t="shared" si="22"/>
        <v>0</v>
      </c>
      <c r="L241" s="199">
        <v>140.62</v>
      </c>
      <c r="M241" s="211">
        <f t="shared" si="23"/>
        <v>1.0141561982380791</v>
      </c>
      <c r="N241" s="199">
        <v>543.21505999999999</v>
      </c>
      <c r="O241" s="198">
        <v>5.5149999999999997</v>
      </c>
      <c r="P241" s="200">
        <v>2.0210052623092594E-2</v>
      </c>
      <c r="Q241" s="198">
        <v>-1.6520000000000001</v>
      </c>
      <c r="R241" s="200">
        <v>-6.0538543850134127E-3</v>
      </c>
      <c r="S241" s="199">
        <v>-232.30424000000002</v>
      </c>
      <c r="T241" s="198" t="s">
        <v>308</v>
      </c>
      <c r="U241" s="198" t="s">
        <v>276</v>
      </c>
      <c r="V241" s="198"/>
      <c r="W241" s="205">
        <v>1</v>
      </c>
      <c r="X241" s="198" t="s">
        <v>113</v>
      </c>
    </row>
    <row r="242" spans="2:24">
      <c r="B242" s="496"/>
      <c r="C242" s="496"/>
      <c r="D242" s="209">
        <v>136</v>
      </c>
      <c r="E242" s="198" t="s">
        <v>298</v>
      </c>
      <c r="F242" s="199">
        <v>728.98158000000001</v>
      </c>
      <c r="G242" s="198">
        <v>882.86</v>
      </c>
      <c r="H242" s="198">
        <v>889.10299999999995</v>
      </c>
      <c r="I242" s="210">
        <f t="shared" si="21"/>
        <v>1.0070713363387174</v>
      </c>
      <c r="J242" s="198"/>
      <c r="K242" s="210">
        <f t="shared" si="22"/>
        <v>0</v>
      </c>
      <c r="L242" s="199">
        <v>47.89</v>
      </c>
      <c r="M242" s="211">
        <f t="shared" si="23"/>
        <v>1.0070713363387174</v>
      </c>
      <c r="N242" s="199">
        <v>298.97726999999702</v>
      </c>
      <c r="O242" s="198">
        <v>15.222</v>
      </c>
      <c r="P242" s="200">
        <v>1.7241691774460277E-2</v>
      </c>
      <c r="Q242" s="198">
        <v>6.5600000000000023</v>
      </c>
      <c r="R242" s="200">
        <v>7.430396665382962E-3</v>
      </c>
      <c r="S242" s="199">
        <v>1010.2400000000004</v>
      </c>
      <c r="T242" s="198" t="s">
        <v>308</v>
      </c>
      <c r="U242" s="198" t="s">
        <v>276</v>
      </c>
      <c r="V242" s="198"/>
      <c r="W242" s="205">
        <v>1</v>
      </c>
      <c r="X242" s="198" t="s">
        <v>113</v>
      </c>
    </row>
    <row r="243" spans="2:24">
      <c r="B243" s="496"/>
      <c r="C243" s="496"/>
      <c r="D243" s="209">
        <v>137</v>
      </c>
      <c r="E243" s="198" t="s">
        <v>348</v>
      </c>
      <c r="F243" s="199">
        <v>655.29652999999996</v>
      </c>
      <c r="G243" s="198">
        <v>375.63</v>
      </c>
      <c r="H243" s="198">
        <v>378.83499999999998</v>
      </c>
      <c r="I243" s="210">
        <f t="shared" si="21"/>
        <v>1.0085323323483215</v>
      </c>
      <c r="J243" s="198"/>
      <c r="K243" s="210">
        <f t="shared" si="22"/>
        <v>0</v>
      </c>
      <c r="L243" s="199">
        <v>100.02999999999999</v>
      </c>
      <c r="M243" s="211">
        <f t="shared" si="23"/>
        <v>1.0085323323483215</v>
      </c>
      <c r="N243" s="199">
        <v>520.65614999999832</v>
      </c>
      <c r="O243" s="198">
        <v>6.5510000000000002</v>
      </c>
      <c r="P243" s="200">
        <v>1.744003407608551E-2</v>
      </c>
      <c r="Q243" s="198">
        <v>2.6250000000000107</v>
      </c>
      <c r="R243" s="200">
        <v>6.9882597236642727E-3</v>
      </c>
      <c r="S243" s="199">
        <v>262.57875000000104</v>
      </c>
      <c r="T243" s="198" t="s">
        <v>308</v>
      </c>
      <c r="U243" s="198" t="s">
        <v>276</v>
      </c>
      <c r="V243" s="198"/>
      <c r="W243" s="205">
        <v>1</v>
      </c>
      <c r="X243" s="198" t="s">
        <v>114</v>
      </c>
    </row>
    <row r="244" spans="2:24">
      <c r="B244" s="496"/>
      <c r="C244" s="496"/>
      <c r="D244" s="209">
        <v>138</v>
      </c>
      <c r="E244" s="198" t="s">
        <v>323</v>
      </c>
      <c r="F244" s="199">
        <v>624.36023999999998</v>
      </c>
      <c r="G244" s="198">
        <v>105.938</v>
      </c>
      <c r="H244" s="198">
        <v>108.663</v>
      </c>
      <c r="I244" s="210">
        <f t="shared" si="21"/>
        <v>1.0257225924597406</v>
      </c>
      <c r="J244" s="198"/>
      <c r="K244" s="210">
        <f t="shared" si="22"/>
        <v>0</v>
      </c>
      <c r="L244" s="199">
        <v>356.37</v>
      </c>
      <c r="M244" s="211">
        <f t="shared" si="23"/>
        <v>1.0257225924597406</v>
      </c>
      <c r="N244" s="199">
        <v>971.10824999999795</v>
      </c>
      <c r="O244" s="198">
        <v>1.752</v>
      </c>
      <c r="P244" s="200">
        <v>1.6537975042005701E-2</v>
      </c>
      <c r="Q244" s="198">
        <v>-6.1272999999999911</v>
      </c>
      <c r="R244" s="200">
        <v>-5.783854707470399E-2</v>
      </c>
      <c r="S244" s="199">
        <v>-2575.9781929999963</v>
      </c>
      <c r="T244" s="198" t="s">
        <v>315</v>
      </c>
      <c r="U244" s="198" t="s">
        <v>217</v>
      </c>
      <c r="V244" s="198" t="s">
        <v>423</v>
      </c>
      <c r="W244" s="205">
        <v>1</v>
      </c>
      <c r="X244" s="198" t="s">
        <v>111</v>
      </c>
    </row>
    <row r="245" spans="2:24">
      <c r="B245" s="496"/>
      <c r="C245" s="496"/>
      <c r="D245" s="209">
        <v>139</v>
      </c>
      <c r="E245" s="198" t="s">
        <v>304</v>
      </c>
      <c r="F245" s="199">
        <v>614.4624</v>
      </c>
      <c r="G245" s="198">
        <v>147.63</v>
      </c>
      <c r="H245" s="198">
        <v>149.245</v>
      </c>
      <c r="I245" s="210">
        <f t="shared" ref="I245:I308" si="24">H245/G245</f>
        <v>1.010939510939511</v>
      </c>
      <c r="J245" s="198"/>
      <c r="K245" s="210">
        <f t="shared" ref="K245:K308" si="25">J245/G245</f>
        <v>0</v>
      </c>
      <c r="L245" s="199">
        <v>108.18</v>
      </c>
      <c r="M245" s="211">
        <f t="shared" ref="M245:M308" si="26">(H245+J245)/G245</f>
        <v>1.010939510939511</v>
      </c>
      <c r="N245" s="199">
        <v>174.710700000001</v>
      </c>
      <c r="O245" s="198">
        <v>5.68</v>
      </c>
      <c r="P245" s="200">
        <v>3.8474564790354264E-2</v>
      </c>
      <c r="Q245" s="198">
        <v>-1.97</v>
      </c>
      <c r="R245" s="200">
        <v>-1.3344171238908081E-2</v>
      </c>
      <c r="S245" s="199">
        <v>0</v>
      </c>
      <c r="T245" s="198" t="s">
        <v>308</v>
      </c>
      <c r="U245" s="198" t="s">
        <v>276</v>
      </c>
      <c r="V245" s="198"/>
      <c r="W245" s="205">
        <v>1</v>
      </c>
      <c r="X245" s="198" t="s">
        <v>115</v>
      </c>
    </row>
    <row r="246" spans="2:24">
      <c r="B246" s="496"/>
      <c r="C246" s="496"/>
      <c r="D246" s="209">
        <v>140</v>
      </c>
      <c r="E246" s="198" t="s">
        <v>301</v>
      </c>
      <c r="F246" s="199">
        <v>532.53980000000001</v>
      </c>
      <c r="G246" s="198">
        <v>194.58</v>
      </c>
      <c r="H246" s="198">
        <v>205.35</v>
      </c>
      <c r="I246" s="210">
        <f t="shared" si="24"/>
        <v>1.055349984582177</v>
      </c>
      <c r="J246" s="198"/>
      <c r="K246" s="210">
        <f t="shared" si="25"/>
        <v>0</v>
      </c>
      <c r="L246" s="199">
        <v>111.41</v>
      </c>
      <c r="M246" s="211">
        <f t="shared" si="26"/>
        <v>1.055349984582177</v>
      </c>
      <c r="N246" s="199">
        <v>1199.885699999998</v>
      </c>
      <c r="O246" s="198">
        <v>4.78</v>
      </c>
      <c r="P246" s="200">
        <v>2.4565731318737793E-2</v>
      </c>
      <c r="Q246" s="198">
        <v>-0.97</v>
      </c>
      <c r="R246" s="200">
        <v>-4.9850961044300536E-3</v>
      </c>
      <c r="S246" s="199">
        <v>1</v>
      </c>
      <c r="T246" s="198" t="s">
        <v>308</v>
      </c>
      <c r="U246" s="198" t="s">
        <v>281</v>
      </c>
      <c r="V246" s="198"/>
      <c r="W246" s="205">
        <v>1</v>
      </c>
      <c r="X246" s="198" t="s">
        <v>111</v>
      </c>
    </row>
    <row r="247" spans="2:24">
      <c r="B247" s="495">
        <v>45894</v>
      </c>
      <c r="C247" s="496" t="s">
        <v>65</v>
      </c>
      <c r="D247" s="209">
        <v>141</v>
      </c>
      <c r="E247" s="198" t="s">
        <v>421</v>
      </c>
      <c r="F247" s="199">
        <v>3156.0819999999999</v>
      </c>
      <c r="G247" s="198">
        <v>145.41999999999999</v>
      </c>
      <c r="H247" s="198">
        <v>155</v>
      </c>
      <c r="I247" s="210">
        <f t="shared" si="24"/>
        <v>1.0658781460596893</v>
      </c>
      <c r="J247" s="198"/>
      <c r="K247" s="210">
        <f t="shared" si="25"/>
        <v>0</v>
      </c>
      <c r="L247" s="199">
        <v>216.17</v>
      </c>
      <c r="M247" s="211">
        <f t="shared" si="26"/>
        <v>1.0658781460596893</v>
      </c>
      <c r="N247" s="199">
        <v>2070.9086000000025</v>
      </c>
      <c r="O247" s="198">
        <v>14.6</v>
      </c>
      <c r="P247" s="200">
        <v>0.10039884472562234</v>
      </c>
      <c r="Q247" s="198">
        <v>-5.0199999999999871</v>
      </c>
      <c r="R247" s="200">
        <v>-3.4520698665933075E-2</v>
      </c>
      <c r="S247" s="199">
        <v>-1085.1733999999972</v>
      </c>
      <c r="T247" s="198" t="s">
        <v>326</v>
      </c>
      <c r="U247" s="198" t="s">
        <v>318</v>
      </c>
      <c r="V247" s="198" t="s">
        <v>411</v>
      </c>
      <c r="W247" s="205">
        <v>1</v>
      </c>
      <c r="X247" s="198" t="s">
        <v>127</v>
      </c>
    </row>
    <row r="248" spans="2:24">
      <c r="B248" s="496"/>
      <c r="C248" s="496"/>
      <c r="D248" s="209">
        <v>142</v>
      </c>
      <c r="E248" s="198" t="s">
        <v>429</v>
      </c>
      <c r="F248" s="199">
        <v>825.17750000000001</v>
      </c>
      <c r="G248" s="198">
        <v>736.40599999999995</v>
      </c>
      <c r="H248" s="198">
        <v>754</v>
      </c>
      <c r="I248" s="210">
        <f t="shared" si="24"/>
        <v>1.0238917119089199</v>
      </c>
      <c r="J248" s="198"/>
      <c r="K248" s="210">
        <f t="shared" si="25"/>
        <v>0</v>
      </c>
      <c r="L248" s="199">
        <v>54.11</v>
      </c>
      <c r="M248" s="211">
        <f t="shared" si="26"/>
        <v>1.0238917119089199</v>
      </c>
      <c r="N248" s="199">
        <v>952.01134000000275</v>
      </c>
      <c r="O248" s="198">
        <v>15.25</v>
      </c>
      <c r="P248" s="200">
        <v>2.0708685154656535E-2</v>
      </c>
      <c r="Q248" s="198">
        <v>2.3440000000000509</v>
      </c>
      <c r="R248" s="200">
        <v>3.1830267542633426E-3</v>
      </c>
      <c r="S248" s="199">
        <v>126.83384000000275</v>
      </c>
      <c r="T248" s="198" t="s">
        <v>308</v>
      </c>
      <c r="U248" s="198" t="s">
        <v>276</v>
      </c>
      <c r="V248" s="198"/>
      <c r="W248" s="205">
        <v>1</v>
      </c>
      <c r="X248" s="198" t="s">
        <v>126</v>
      </c>
    </row>
    <row r="249" spans="2:24">
      <c r="B249" s="496"/>
      <c r="C249" s="496"/>
      <c r="D249" s="209">
        <v>143</v>
      </c>
      <c r="E249" s="198" t="s">
        <v>356</v>
      </c>
      <c r="F249" s="199">
        <v>812.02880000000005</v>
      </c>
      <c r="G249" s="198">
        <v>10.62</v>
      </c>
      <c r="H249" s="198">
        <v>10.98</v>
      </c>
      <c r="I249" s="210">
        <f t="shared" si="24"/>
        <v>1.0338983050847459</v>
      </c>
      <c r="J249" s="198"/>
      <c r="K249" s="210">
        <f t="shared" si="25"/>
        <v>0</v>
      </c>
      <c r="L249" s="199">
        <v>922.76</v>
      </c>
      <c r="M249" s="211">
        <f t="shared" si="26"/>
        <v>1.0338983050847459</v>
      </c>
      <c r="N249" s="199">
        <v>332.19360000000108</v>
      </c>
      <c r="O249" s="198">
        <v>0.88</v>
      </c>
      <c r="P249" s="200">
        <v>8.2862523540489647E-2</v>
      </c>
      <c r="Q249" s="198">
        <v>-0.5199999999999988</v>
      </c>
      <c r="R249" s="200">
        <v>-4.8964218455743773E-2</v>
      </c>
      <c r="S249" s="199">
        <v>-479.83519999999891</v>
      </c>
      <c r="T249" s="198" t="s">
        <v>308</v>
      </c>
      <c r="U249" s="198" t="s">
        <v>276</v>
      </c>
      <c r="V249" s="198"/>
      <c r="W249" s="205">
        <v>1</v>
      </c>
      <c r="X249" s="198" t="s">
        <v>115</v>
      </c>
    </row>
    <row r="250" spans="2:24">
      <c r="B250" s="496"/>
      <c r="C250" s="496"/>
      <c r="D250" s="209">
        <v>144</v>
      </c>
      <c r="E250" s="198" t="s">
        <v>331</v>
      </c>
      <c r="F250" s="199">
        <v>804.72</v>
      </c>
      <c r="G250" s="198">
        <v>225.3</v>
      </c>
      <c r="H250" s="198">
        <v>238</v>
      </c>
      <c r="I250" s="210">
        <f t="shared" si="24"/>
        <v>1.0563692853972482</v>
      </c>
      <c r="J250" s="198"/>
      <c r="K250" s="210">
        <f t="shared" si="25"/>
        <v>0</v>
      </c>
      <c r="L250" s="199">
        <v>335.3</v>
      </c>
      <c r="M250" s="211">
        <f t="shared" si="26"/>
        <v>1.0563692853972482</v>
      </c>
      <c r="N250" s="199">
        <v>4258.3099999999968</v>
      </c>
      <c r="O250" s="198">
        <v>2.4</v>
      </c>
      <c r="P250" s="200">
        <v>1.0652463382157123E-2</v>
      </c>
      <c r="Q250" s="198">
        <v>10.299999999999988</v>
      </c>
      <c r="R250" s="200">
        <v>4.5716822015090933E-2</v>
      </c>
      <c r="S250" s="199">
        <v>3453.5899999999961</v>
      </c>
      <c r="T250" s="198" t="s">
        <v>315</v>
      </c>
      <c r="U250" s="198" t="s">
        <v>217</v>
      </c>
      <c r="V250" s="198" t="s">
        <v>416</v>
      </c>
      <c r="W250" s="205">
        <v>1</v>
      </c>
      <c r="X250" s="198" t="s">
        <v>114</v>
      </c>
    </row>
    <row r="251" spans="2:24">
      <c r="B251" s="496"/>
      <c r="C251" s="496"/>
      <c r="D251" s="209">
        <v>145</v>
      </c>
      <c r="E251" s="198" t="s">
        <v>298</v>
      </c>
      <c r="F251" s="199">
        <v>795.74023999999997</v>
      </c>
      <c r="G251" s="198">
        <v>884.18</v>
      </c>
      <c r="H251" s="198">
        <v>885.33100000000002</v>
      </c>
      <c r="I251" s="210">
        <f t="shared" si="24"/>
        <v>1.0013017711325749</v>
      </c>
      <c r="J251" s="198"/>
      <c r="K251" s="210">
        <f t="shared" si="25"/>
        <v>0</v>
      </c>
      <c r="L251" s="199">
        <v>47.89</v>
      </c>
      <c r="M251" s="211">
        <f t="shared" si="26"/>
        <v>1.0013017711325749</v>
      </c>
      <c r="N251" s="199">
        <v>55.121390000003224</v>
      </c>
      <c r="O251" s="198">
        <v>16.616</v>
      </c>
      <c r="P251" s="200">
        <v>1.8792553552444073E-2</v>
      </c>
      <c r="Q251" s="198">
        <v>-15.464999999999932</v>
      </c>
      <c r="R251" s="200">
        <v>-1.7490782419869181E-2</v>
      </c>
      <c r="S251" s="199">
        <v>-740.61884999999677</v>
      </c>
      <c r="T251" s="198" t="s">
        <v>308</v>
      </c>
      <c r="U251" s="198" t="s">
        <v>276</v>
      </c>
      <c r="V251" s="198"/>
      <c r="W251" s="205">
        <v>1</v>
      </c>
      <c r="X251" s="198" t="s">
        <v>113</v>
      </c>
    </row>
    <row r="252" spans="2:24">
      <c r="B252" s="496"/>
      <c r="C252" s="496"/>
      <c r="D252" s="209">
        <v>146</v>
      </c>
      <c r="E252" s="198" t="s">
        <v>284</v>
      </c>
      <c r="F252" s="199">
        <v>780.17699999999991</v>
      </c>
      <c r="G252" s="198">
        <v>73.721999999999994</v>
      </c>
      <c r="H252" s="198">
        <v>74.177999999999997</v>
      </c>
      <c r="I252" s="210">
        <f t="shared" si="24"/>
        <v>1.006185399202409</v>
      </c>
      <c r="J252" s="198"/>
      <c r="K252" s="210">
        <f t="shared" si="25"/>
        <v>0</v>
      </c>
      <c r="L252" s="199">
        <v>93</v>
      </c>
      <c r="M252" s="211">
        <f t="shared" si="26"/>
        <v>1.006185399202409</v>
      </c>
      <c r="N252" s="199">
        <v>42.408000000000285</v>
      </c>
      <c r="O252" s="198">
        <v>8.3889999999999993</v>
      </c>
      <c r="P252" s="200">
        <v>0.11379235506361737</v>
      </c>
      <c r="Q252" s="198">
        <v>6.5600000000000023</v>
      </c>
      <c r="R252" s="200">
        <v>8.898293589430567E-2</v>
      </c>
      <c r="S252" s="199">
        <v>1010.2400000000004</v>
      </c>
      <c r="T252" s="198" t="s">
        <v>308</v>
      </c>
      <c r="U252" s="198" t="s">
        <v>276</v>
      </c>
      <c r="V252" s="198"/>
      <c r="W252" s="205">
        <v>1</v>
      </c>
      <c r="X252" s="198" t="s">
        <v>317</v>
      </c>
    </row>
    <row r="253" spans="2:24">
      <c r="B253" s="496"/>
      <c r="C253" s="496"/>
      <c r="D253" s="209">
        <v>147</v>
      </c>
      <c r="E253" s="198" t="s">
        <v>283</v>
      </c>
      <c r="F253" s="199">
        <v>738.82899999999995</v>
      </c>
      <c r="G253" s="198">
        <v>154.62</v>
      </c>
      <c r="H253" s="198">
        <v>159</v>
      </c>
      <c r="I253" s="210">
        <f t="shared" si="24"/>
        <v>1.0283275126115639</v>
      </c>
      <c r="J253" s="198"/>
      <c r="K253" s="210">
        <f t="shared" si="25"/>
        <v>0</v>
      </c>
      <c r="L253" s="199">
        <v>162.38</v>
      </c>
      <c r="M253" s="211">
        <f t="shared" si="26"/>
        <v>1.0283275126115639</v>
      </c>
      <c r="N253" s="199">
        <v>711.22439999999926</v>
      </c>
      <c r="O253" s="198">
        <v>4.55</v>
      </c>
      <c r="P253" s="200">
        <v>2.9426982279135944E-2</v>
      </c>
      <c r="Q253" s="198">
        <v>2.6250000000000107</v>
      </c>
      <c r="R253" s="200">
        <v>1.6977105161040038E-2</v>
      </c>
      <c r="S253" s="199">
        <v>262.57875000000104</v>
      </c>
      <c r="T253" s="198" t="s">
        <v>308</v>
      </c>
      <c r="U253" s="198" t="s">
        <v>276</v>
      </c>
      <c r="V253" s="198"/>
      <c r="W253" s="205">
        <v>1</v>
      </c>
      <c r="X253" s="198" t="s">
        <v>121</v>
      </c>
    </row>
    <row r="254" spans="2:24">
      <c r="B254" s="496"/>
      <c r="C254" s="496"/>
      <c r="D254" s="209">
        <v>148</v>
      </c>
      <c r="E254" s="198" t="s">
        <v>304</v>
      </c>
      <c r="F254" s="199">
        <v>713.98800000000006</v>
      </c>
      <c r="G254" s="198">
        <v>148.68</v>
      </c>
      <c r="H254" s="198">
        <v>150.85</v>
      </c>
      <c r="I254" s="210">
        <f t="shared" si="24"/>
        <v>1.0145951035781544</v>
      </c>
      <c r="J254" s="198"/>
      <c r="K254" s="210">
        <f t="shared" si="25"/>
        <v>0</v>
      </c>
      <c r="L254" s="199">
        <v>108.18</v>
      </c>
      <c r="M254" s="211">
        <f t="shared" si="26"/>
        <v>1.0145951035781544</v>
      </c>
      <c r="N254" s="199">
        <v>234.75059999999866</v>
      </c>
      <c r="O254" s="198">
        <v>6.6</v>
      </c>
      <c r="P254" s="200">
        <v>4.4390637610976592E-2</v>
      </c>
      <c r="Q254" s="198">
        <v>-6.1272999999999911</v>
      </c>
      <c r="R254" s="200">
        <v>-4.1211326338444917E-2</v>
      </c>
      <c r="S254" s="199">
        <v>-2575.9781929999963</v>
      </c>
      <c r="T254" s="198" t="s">
        <v>308</v>
      </c>
      <c r="U254" s="198" t="s">
        <v>276</v>
      </c>
      <c r="V254" s="198"/>
      <c r="W254" s="205">
        <v>1</v>
      </c>
      <c r="X254" s="198" t="s">
        <v>115</v>
      </c>
    </row>
    <row r="255" spans="2:24">
      <c r="B255" s="496"/>
      <c r="C255" s="496"/>
      <c r="D255" s="209">
        <v>149</v>
      </c>
      <c r="E255" s="198" t="s">
        <v>430</v>
      </c>
      <c r="F255" s="199">
        <v>676.12999999999988</v>
      </c>
      <c r="G255" s="198">
        <v>236.28</v>
      </c>
      <c r="H255" s="198">
        <v>240</v>
      </c>
      <c r="I255" s="210">
        <f t="shared" si="24"/>
        <v>1.015744032503809</v>
      </c>
      <c r="J255" s="198"/>
      <c r="K255" s="210">
        <f t="shared" si="25"/>
        <v>0</v>
      </c>
      <c r="L255" s="199">
        <v>193.17999999999998</v>
      </c>
      <c r="M255" s="211">
        <f t="shared" si="26"/>
        <v>1.015744032503809</v>
      </c>
      <c r="N255" s="199">
        <v>718.62959999999975</v>
      </c>
      <c r="O255" s="198">
        <v>3.5</v>
      </c>
      <c r="P255" s="200">
        <v>1.4812933807347215E-2</v>
      </c>
      <c r="Q255" s="198">
        <v>-1.97</v>
      </c>
      <c r="R255" s="200">
        <v>-8.3375656001354326E-3</v>
      </c>
      <c r="S255" s="199">
        <v>0</v>
      </c>
      <c r="T255" s="198" t="s">
        <v>308</v>
      </c>
      <c r="U255" s="198" t="s">
        <v>276</v>
      </c>
      <c r="V255" s="198"/>
      <c r="W255" s="205">
        <v>1</v>
      </c>
      <c r="X255" s="198" t="s">
        <v>126</v>
      </c>
    </row>
    <row r="256" spans="2:24">
      <c r="B256" s="496"/>
      <c r="C256" s="496"/>
      <c r="D256" s="209">
        <v>150</v>
      </c>
      <c r="E256" s="198" t="s">
        <v>373</v>
      </c>
      <c r="F256" s="199">
        <v>594.52380000000005</v>
      </c>
      <c r="G256" s="198">
        <v>42.064</v>
      </c>
      <c r="H256" s="198">
        <v>45.3</v>
      </c>
      <c r="I256" s="210">
        <f t="shared" si="24"/>
        <v>1.0769303917839481</v>
      </c>
      <c r="J256" s="198"/>
      <c r="K256" s="210">
        <f t="shared" si="25"/>
        <v>0</v>
      </c>
      <c r="L256" s="199">
        <v>762.21</v>
      </c>
      <c r="M256" s="211">
        <f t="shared" si="26"/>
        <v>1.0769303917839481</v>
      </c>
      <c r="N256" s="199">
        <v>2466.5115599999981</v>
      </c>
      <c r="O256" s="198">
        <v>0.78</v>
      </c>
      <c r="P256" s="200">
        <v>1.8543172308862686E-2</v>
      </c>
      <c r="Q256" s="198">
        <v>-0.97</v>
      </c>
      <c r="R256" s="200">
        <v>-2.3060098896918981E-2</v>
      </c>
      <c r="S256" s="199">
        <v>1</v>
      </c>
      <c r="T256" s="198" t="s">
        <v>328</v>
      </c>
      <c r="U256" s="198" t="s">
        <v>213</v>
      </c>
      <c r="V256" s="198" t="s">
        <v>431</v>
      </c>
      <c r="W256" s="205">
        <v>1</v>
      </c>
      <c r="X256" s="198" t="s">
        <v>116</v>
      </c>
    </row>
    <row r="257" spans="2:24">
      <c r="B257" s="495">
        <v>45895</v>
      </c>
      <c r="C257" s="496" t="s">
        <v>66</v>
      </c>
      <c r="D257" s="209">
        <v>151</v>
      </c>
      <c r="E257" s="198" t="s">
        <v>430</v>
      </c>
      <c r="F257" s="199">
        <v>2076.6849999999999</v>
      </c>
      <c r="G257" s="198">
        <v>223.8</v>
      </c>
      <c r="H257" s="198">
        <v>237</v>
      </c>
      <c r="I257" s="210">
        <f t="shared" si="24"/>
        <v>1.0589812332439679</v>
      </c>
      <c r="J257" s="267">
        <v>0</v>
      </c>
      <c r="K257" s="210">
        <f t="shared" si="25"/>
        <v>0</v>
      </c>
      <c r="L257" s="199">
        <v>193.17999999999998</v>
      </c>
      <c r="M257" s="211">
        <f t="shared" si="26"/>
        <v>1.0589812332439679</v>
      </c>
      <c r="N257" s="199">
        <v>2549.9759999999974</v>
      </c>
      <c r="O257" s="198">
        <v>10.75</v>
      </c>
      <c r="P257" s="200">
        <v>4.8033958891867734E-2</v>
      </c>
      <c r="Q257" s="198">
        <v>2.4499999999999886</v>
      </c>
      <c r="R257" s="200">
        <v>1.0947274352100038E-2</v>
      </c>
      <c r="S257" s="199">
        <v>473.29099999999772</v>
      </c>
      <c r="T257" s="198" t="s">
        <v>326</v>
      </c>
      <c r="U257" s="198" t="s">
        <v>318</v>
      </c>
      <c r="V257" s="198" t="s">
        <v>411</v>
      </c>
      <c r="W257" s="205">
        <v>1</v>
      </c>
      <c r="X257" s="198" t="s">
        <v>126</v>
      </c>
    </row>
    <row r="258" spans="2:24">
      <c r="B258" s="496"/>
      <c r="C258" s="496"/>
      <c r="D258" s="209">
        <v>152</v>
      </c>
      <c r="E258" s="198" t="s">
        <v>427</v>
      </c>
      <c r="F258" s="199">
        <v>959.99</v>
      </c>
      <c r="G258" s="198">
        <v>153.19999999999999</v>
      </c>
      <c r="H258" s="198">
        <v>163</v>
      </c>
      <c r="I258" s="210">
        <f t="shared" si="24"/>
        <v>1.0639686684073109</v>
      </c>
      <c r="J258" s="267">
        <v>0</v>
      </c>
      <c r="K258" s="210">
        <f t="shared" si="25"/>
        <v>0</v>
      </c>
      <c r="L258" s="199">
        <v>112.94</v>
      </c>
      <c r="M258" s="211">
        <f t="shared" si="26"/>
        <v>1.0639686684073109</v>
      </c>
      <c r="N258" s="199">
        <v>1106.8120000000013</v>
      </c>
      <c r="O258" s="198">
        <v>8.5</v>
      </c>
      <c r="P258" s="200">
        <v>5.5483028720626638E-2</v>
      </c>
      <c r="Q258" s="198">
        <v>1.3000000000000114</v>
      </c>
      <c r="R258" s="200">
        <v>8.4856396866841485E-3</v>
      </c>
      <c r="S258" s="199">
        <v>146.82200000000128</v>
      </c>
      <c r="T258" s="198" t="s">
        <v>326</v>
      </c>
      <c r="U258" s="198" t="s">
        <v>318</v>
      </c>
      <c r="V258" s="198" t="s">
        <v>411</v>
      </c>
      <c r="W258" s="205">
        <v>1</v>
      </c>
      <c r="X258" s="198" t="s">
        <v>117</v>
      </c>
    </row>
    <row r="259" spans="2:24">
      <c r="B259" s="496"/>
      <c r="C259" s="496"/>
      <c r="D259" s="209">
        <v>153</v>
      </c>
      <c r="E259" s="198" t="s">
        <v>285</v>
      </c>
      <c r="F259" s="199">
        <v>851.15</v>
      </c>
      <c r="G259" s="198">
        <v>63.14</v>
      </c>
      <c r="H259" s="198">
        <v>63.177999999999997</v>
      </c>
      <c r="I259" s="210">
        <f t="shared" si="24"/>
        <v>1.000601837187203</v>
      </c>
      <c r="J259" s="267">
        <v>13</v>
      </c>
      <c r="K259" s="210">
        <f t="shared" si="25"/>
        <v>0.20589166930630345</v>
      </c>
      <c r="L259" s="199">
        <v>587</v>
      </c>
      <c r="M259" s="211">
        <f t="shared" si="26"/>
        <v>1.2064935064935065</v>
      </c>
      <c r="N259" s="199">
        <v>7653.3059999999978</v>
      </c>
      <c r="O259" s="198">
        <v>1.45</v>
      </c>
      <c r="P259" s="200">
        <v>2.2964840038010768E-2</v>
      </c>
      <c r="Q259" s="198">
        <v>11.587999999999997</v>
      </c>
      <c r="R259" s="200">
        <v>0.18352866645549568</v>
      </c>
      <c r="S259" s="199">
        <v>6802.1559999999981</v>
      </c>
      <c r="T259" s="198" t="s">
        <v>278</v>
      </c>
      <c r="U259" s="198" t="s">
        <v>212</v>
      </c>
      <c r="V259" s="198"/>
      <c r="W259" s="205">
        <v>1</v>
      </c>
      <c r="X259" s="198" t="s">
        <v>432</v>
      </c>
    </row>
    <row r="260" spans="2:24">
      <c r="B260" s="496"/>
      <c r="C260" s="496"/>
      <c r="D260" s="209">
        <v>154</v>
      </c>
      <c r="E260" s="198" t="s">
        <v>298</v>
      </c>
      <c r="F260" s="199">
        <v>804.55200000000002</v>
      </c>
      <c r="G260" s="198">
        <v>868.56</v>
      </c>
      <c r="H260" s="198">
        <v>872.17</v>
      </c>
      <c r="I260" s="210">
        <f t="shared" si="24"/>
        <v>1.0041563046882196</v>
      </c>
      <c r="J260" s="267">
        <v>0</v>
      </c>
      <c r="K260" s="210">
        <f t="shared" si="25"/>
        <v>0</v>
      </c>
      <c r="L260" s="199">
        <v>47.89</v>
      </c>
      <c r="M260" s="211">
        <f t="shared" si="26"/>
        <v>1.0041563046882196</v>
      </c>
      <c r="N260" s="199">
        <v>172.88290000000066</v>
      </c>
      <c r="O260" s="198">
        <v>16.8</v>
      </c>
      <c r="P260" s="200">
        <v>1.9342359767891684E-2</v>
      </c>
      <c r="Q260" s="198">
        <v>-13.189999999999987</v>
      </c>
      <c r="R260" s="200">
        <v>-1.5186055079672087E-2</v>
      </c>
      <c r="S260" s="199">
        <v>-631.66909999999939</v>
      </c>
      <c r="T260" s="198" t="s">
        <v>308</v>
      </c>
      <c r="U260" s="198" t="s">
        <v>276</v>
      </c>
      <c r="V260" s="198"/>
      <c r="W260" s="205">
        <v>1</v>
      </c>
      <c r="X260" s="198" t="s">
        <v>113</v>
      </c>
    </row>
    <row r="261" spans="2:24">
      <c r="B261" s="496"/>
      <c r="C261" s="496"/>
      <c r="D261" s="209">
        <v>155</v>
      </c>
      <c r="E261" s="198" t="s">
        <v>331</v>
      </c>
      <c r="F261" s="199">
        <v>764.48399999999992</v>
      </c>
      <c r="G261" s="198">
        <v>212.76</v>
      </c>
      <c r="H261" s="198">
        <v>221.28299999999999</v>
      </c>
      <c r="I261" s="210">
        <f t="shared" si="24"/>
        <v>1.0400592216582065</v>
      </c>
      <c r="J261" s="267">
        <v>0</v>
      </c>
      <c r="K261" s="210">
        <f t="shared" si="25"/>
        <v>0</v>
      </c>
      <c r="L261" s="199">
        <v>335.3</v>
      </c>
      <c r="M261" s="211">
        <f t="shared" si="26"/>
        <v>1.0400592216582065</v>
      </c>
      <c r="N261" s="199">
        <v>2857.7618999999986</v>
      </c>
      <c r="O261" s="198">
        <v>2.2799999999999998</v>
      </c>
      <c r="P261" s="200">
        <v>1.0716300056401579E-2</v>
      </c>
      <c r="Q261" s="198">
        <v>6.2429999999999968</v>
      </c>
      <c r="R261" s="200">
        <v>2.9342921601804836E-2</v>
      </c>
      <c r="S261" s="199">
        <v>2093.2778999999991</v>
      </c>
      <c r="T261" s="198" t="s">
        <v>315</v>
      </c>
      <c r="U261" s="198" t="s">
        <v>217</v>
      </c>
      <c r="V261" s="198" t="s">
        <v>416</v>
      </c>
      <c r="W261" s="205">
        <v>1</v>
      </c>
      <c r="X261" s="198" t="s">
        <v>114</v>
      </c>
    </row>
    <row r="262" spans="2:24">
      <c r="B262" s="496"/>
      <c r="C262" s="496"/>
      <c r="D262" s="209">
        <v>156</v>
      </c>
      <c r="E262" s="198" t="s">
        <v>375</v>
      </c>
      <c r="F262" s="199">
        <v>734.25500000000011</v>
      </c>
      <c r="G262" s="198">
        <v>675.12</v>
      </c>
      <c r="H262" s="198">
        <v>690</v>
      </c>
      <c r="I262" s="210">
        <f t="shared" si="24"/>
        <v>1.0220405261286882</v>
      </c>
      <c r="J262" s="267">
        <v>0</v>
      </c>
      <c r="K262" s="210">
        <f t="shared" si="25"/>
        <v>0</v>
      </c>
      <c r="L262" s="199">
        <v>77.290000000000006</v>
      </c>
      <c r="M262" s="211">
        <f t="shared" si="26"/>
        <v>1.0220405261286882</v>
      </c>
      <c r="N262" s="199">
        <v>1150.0751999999998</v>
      </c>
      <c r="O262" s="198">
        <v>9.5</v>
      </c>
      <c r="P262" s="200">
        <v>1.4071572461192084E-2</v>
      </c>
      <c r="Q262" s="198">
        <v>6.5600000000000023</v>
      </c>
      <c r="R262" s="200">
        <v>9.7167910889915908E-3</v>
      </c>
      <c r="S262" s="199">
        <v>1010.2400000000004</v>
      </c>
      <c r="T262" s="198" t="s">
        <v>308</v>
      </c>
      <c r="U262" s="198" t="s">
        <v>276</v>
      </c>
      <c r="V262" s="198"/>
      <c r="W262" s="205">
        <v>1</v>
      </c>
      <c r="X262" s="198" t="s">
        <v>112</v>
      </c>
    </row>
    <row r="263" spans="2:24">
      <c r="B263" s="496"/>
      <c r="C263" s="496"/>
      <c r="D263" s="209">
        <v>157</v>
      </c>
      <c r="E263" s="198" t="s">
        <v>283</v>
      </c>
      <c r="F263" s="199">
        <v>651.63094000000001</v>
      </c>
      <c r="G263" s="198">
        <v>143.72999999999999</v>
      </c>
      <c r="H263" s="198">
        <v>144.94499999999999</v>
      </c>
      <c r="I263" s="210">
        <f t="shared" si="24"/>
        <v>1.0084533500313086</v>
      </c>
      <c r="J263" s="267">
        <v>0</v>
      </c>
      <c r="K263" s="210">
        <f t="shared" si="25"/>
        <v>0</v>
      </c>
      <c r="L263" s="199">
        <v>162.38</v>
      </c>
      <c r="M263" s="211">
        <f t="shared" si="26"/>
        <v>1.0084533500313086</v>
      </c>
      <c r="N263" s="199">
        <v>197.29170000000056</v>
      </c>
      <c r="O263" s="198">
        <v>4.0129999999999999</v>
      </c>
      <c r="P263" s="200">
        <v>2.7920406317400684E-2</v>
      </c>
      <c r="Q263" s="198">
        <v>2.6250000000000107</v>
      </c>
      <c r="R263" s="200">
        <v>1.8263410561469497E-2</v>
      </c>
      <c r="S263" s="199">
        <v>262.57875000000104</v>
      </c>
      <c r="T263" s="198" t="s">
        <v>308</v>
      </c>
      <c r="U263" s="198" t="s">
        <v>276</v>
      </c>
      <c r="V263" s="198"/>
      <c r="W263" s="205">
        <v>1</v>
      </c>
      <c r="X263" s="198" t="s">
        <v>121</v>
      </c>
    </row>
    <row r="264" spans="2:24">
      <c r="B264" s="496"/>
      <c r="C264" s="496"/>
      <c r="D264" s="209">
        <v>158</v>
      </c>
      <c r="E264" s="198" t="s">
        <v>433</v>
      </c>
      <c r="F264" s="199">
        <v>593.67600000000004</v>
      </c>
      <c r="G264" s="198">
        <v>409.63</v>
      </c>
      <c r="H264" s="198">
        <v>439</v>
      </c>
      <c r="I264" s="210">
        <f t="shared" si="24"/>
        <v>1.0716988501818714</v>
      </c>
      <c r="J264" s="267">
        <v>0</v>
      </c>
      <c r="K264" s="210">
        <f t="shared" si="25"/>
        <v>0</v>
      </c>
      <c r="L264" s="199">
        <v>54.97</v>
      </c>
      <c r="M264" s="211">
        <f t="shared" si="26"/>
        <v>1.0716988501818714</v>
      </c>
      <c r="N264" s="199">
        <v>1614.4689000000003</v>
      </c>
      <c r="O264" s="198">
        <v>10.8</v>
      </c>
      <c r="P264" s="200">
        <v>2.6365256450943536E-2</v>
      </c>
      <c r="Q264" s="198">
        <v>-6.1272999999999911</v>
      </c>
      <c r="R264" s="200">
        <v>-1.4958132949246859E-2</v>
      </c>
      <c r="S264" s="199">
        <v>-2575.9781929999963</v>
      </c>
      <c r="T264" s="198" t="s">
        <v>308</v>
      </c>
      <c r="U264" s="198" t="s">
        <v>281</v>
      </c>
      <c r="V264" s="198" t="s">
        <v>434</v>
      </c>
      <c r="W264" s="205">
        <v>1</v>
      </c>
      <c r="X264" s="198" t="s">
        <v>435</v>
      </c>
    </row>
    <row r="265" spans="2:24">
      <c r="B265" s="496"/>
      <c r="C265" s="496"/>
      <c r="D265" s="209">
        <v>159</v>
      </c>
      <c r="E265" s="198" t="s">
        <v>409</v>
      </c>
      <c r="F265" s="199">
        <v>525.51250000000005</v>
      </c>
      <c r="G265" s="198">
        <v>67.512</v>
      </c>
      <c r="H265" s="198">
        <v>70</v>
      </c>
      <c r="I265" s="210">
        <f t="shared" si="24"/>
        <v>1.0368527076667851</v>
      </c>
      <c r="J265" s="267">
        <v>0</v>
      </c>
      <c r="K265" s="210">
        <f t="shared" si="25"/>
        <v>0</v>
      </c>
      <c r="L265" s="199">
        <v>420.41</v>
      </c>
      <c r="M265" s="211">
        <f t="shared" si="26"/>
        <v>1.0368527076667851</v>
      </c>
      <c r="N265" s="199">
        <v>1045.9800799999998</v>
      </c>
      <c r="O265" s="198">
        <v>1.25</v>
      </c>
      <c r="P265" s="200">
        <v>1.8515226922621163E-2</v>
      </c>
      <c r="Q265" s="198">
        <v>-1.97</v>
      </c>
      <c r="R265" s="200">
        <v>-2.9179997630050955E-2</v>
      </c>
      <c r="S265" s="199">
        <v>0</v>
      </c>
      <c r="T265" s="198" t="s">
        <v>315</v>
      </c>
      <c r="U265" s="198" t="s">
        <v>217</v>
      </c>
      <c r="V265" s="198" t="s">
        <v>436</v>
      </c>
      <c r="W265" s="205">
        <v>1</v>
      </c>
      <c r="X265" s="198" t="s">
        <v>112</v>
      </c>
    </row>
    <row r="266" spans="2:24">
      <c r="B266" s="496"/>
      <c r="C266" s="496"/>
      <c r="D266" s="209">
        <v>160</v>
      </c>
      <c r="E266" s="198" t="s">
        <v>421</v>
      </c>
      <c r="F266" s="199">
        <v>497.19099999999992</v>
      </c>
      <c r="G266" s="198">
        <v>166.98</v>
      </c>
      <c r="H266" s="198">
        <v>169</v>
      </c>
      <c r="I266" s="210">
        <f t="shared" si="24"/>
        <v>1.0120972571565459</v>
      </c>
      <c r="J266" s="267">
        <v>0</v>
      </c>
      <c r="K266" s="210">
        <f t="shared" si="25"/>
        <v>0</v>
      </c>
      <c r="L266" s="199">
        <v>216.17</v>
      </c>
      <c r="M266" s="211">
        <f t="shared" si="26"/>
        <v>1.0120972571565459</v>
      </c>
      <c r="N266" s="199">
        <v>436.66340000000218</v>
      </c>
      <c r="O266" s="198">
        <v>2.2999999999999998</v>
      </c>
      <c r="P266" s="200">
        <v>1.3774104683195593E-2</v>
      </c>
      <c r="Q266" s="198">
        <v>-0.97</v>
      </c>
      <c r="R266" s="200">
        <v>-5.8090789316085764E-3</v>
      </c>
      <c r="S266" s="199">
        <v>1</v>
      </c>
      <c r="T266" s="198" t="s">
        <v>308</v>
      </c>
      <c r="U266" s="198" t="s">
        <v>276</v>
      </c>
      <c r="V266" s="198"/>
      <c r="W266" s="205">
        <v>1</v>
      </c>
      <c r="X266" s="198" t="s">
        <v>127</v>
      </c>
    </row>
    <row r="267" spans="2:24">
      <c r="B267" s="495">
        <v>45896</v>
      </c>
      <c r="C267" s="496" t="s">
        <v>67</v>
      </c>
      <c r="D267" s="209">
        <v>161</v>
      </c>
      <c r="E267" s="198" t="s">
        <v>348</v>
      </c>
      <c r="F267" s="199">
        <v>1125.9376799999998</v>
      </c>
      <c r="G267" s="198">
        <v>320.05500000000001</v>
      </c>
      <c r="H267" s="198">
        <v>321.22199999999998</v>
      </c>
      <c r="I267" s="210">
        <f t="shared" si="24"/>
        <v>1.0036462483010731</v>
      </c>
      <c r="J267" s="198">
        <v>0</v>
      </c>
      <c r="K267" s="210">
        <f t="shared" si="25"/>
        <v>0</v>
      </c>
      <c r="L267" s="199">
        <v>100.02999999999999</v>
      </c>
      <c r="M267" s="211">
        <f t="shared" si="26"/>
        <v>1.0036462483010731</v>
      </c>
      <c r="N267" s="199">
        <v>116.7350099999973</v>
      </c>
      <c r="O267" s="198">
        <v>11.256</v>
      </c>
      <c r="P267" s="200">
        <v>3.5168955335801659E-2</v>
      </c>
      <c r="Q267" s="198">
        <v>-10.089000000000027</v>
      </c>
      <c r="R267" s="200">
        <v>-3.1522707034728488E-2</v>
      </c>
      <c r="S267" s="199">
        <v>-1009.2026700000026</v>
      </c>
      <c r="T267" s="198" t="s">
        <v>308</v>
      </c>
      <c r="U267" s="198" t="s">
        <v>276</v>
      </c>
      <c r="V267" s="198"/>
      <c r="W267" s="205">
        <v>1</v>
      </c>
      <c r="X267" s="198" t="s">
        <v>114</v>
      </c>
    </row>
    <row r="268" spans="2:24">
      <c r="B268" s="496"/>
      <c r="C268" s="496"/>
      <c r="D268" s="209">
        <v>162</v>
      </c>
      <c r="E268" s="198" t="s">
        <v>437</v>
      </c>
      <c r="F268" s="199">
        <v>1113.5999999999999</v>
      </c>
      <c r="G268" s="198">
        <v>33.008000000000003</v>
      </c>
      <c r="H268" s="198">
        <v>31.2</v>
      </c>
      <c r="I268" s="210">
        <f t="shared" si="24"/>
        <v>0.94522539990305365</v>
      </c>
      <c r="J268" s="198">
        <v>4.5</v>
      </c>
      <c r="K268" s="210">
        <f t="shared" si="25"/>
        <v>0.13633058652447891</v>
      </c>
      <c r="L268" s="199">
        <v>742.4</v>
      </c>
      <c r="M268" s="211">
        <f t="shared" si="26"/>
        <v>1.0815559864275328</v>
      </c>
      <c r="N268" s="199">
        <v>1998.5408</v>
      </c>
      <c r="O268" s="198">
        <v>1.5</v>
      </c>
      <c r="P268" s="200">
        <v>4.5443528841492969E-2</v>
      </c>
      <c r="Q268" s="198">
        <v>1.1920000000000002</v>
      </c>
      <c r="R268" s="200">
        <v>3.6112457586039752E-2</v>
      </c>
      <c r="S268" s="199">
        <v>884.94080000000008</v>
      </c>
      <c r="T268" s="198" t="s">
        <v>328</v>
      </c>
      <c r="U268" s="198" t="s">
        <v>213</v>
      </c>
      <c r="V268" s="198"/>
      <c r="W268" s="205">
        <v>1</v>
      </c>
      <c r="X268" s="198" t="s">
        <v>127</v>
      </c>
    </row>
    <row r="269" spans="2:24">
      <c r="B269" s="496"/>
      <c r="C269" s="496"/>
      <c r="D269" s="209">
        <v>163</v>
      </c>
      <c r="E269" s="198" t="s">
        <v>285</v>
      </c>
      <c r="F269" s="199">
        <v>821.8</v>
      </c>
      <c r="G269" s="198">
        <v>74.144000000000005</v>
      </c>
      <c r="H269" s="198">
        <v>74</v>
      </c>
      <c r="I269" s="210">
        <f t="shared" si="24"/>
        <v>0.99805783340526533</v>
      </c>
      <c r="J269" s="198">
        <v>5</v>
      </c>
      <c r="K269" s="210">
        <f t="shared" si="25"/>
        <v>6.7436340094950364E-2</v>
      </c>
      <c r="L269" s="199">
        <v>587</v>
      </c>
      <c r="M269" s="211">
        <f t="shared" si="26"/>
        <v>1.0654941735002157</v>
      </c>
      <c r="N269" s="199">
        <v>2850.471999999997</v>
      </c>
      <c r="O269" s="198">
        <v>1.4</v>
      </c>
      <c r="P269" s="200">
        <v>1.8882175226586102E-2</v>
      </c>
      <c r="Q269" s="198">
        <v>3.4559999999999946</v>
      </c>
      <c r="R269" s="200">
        <v>4.6611998273629621E-2</v>
      </c>
      <c r="S269" s="199">
        <v>2028.6719999999968</v>
      </c>
      <c r="T269" s="198" t="s">
        <v>278</v>
      </c>
      <c r="U269" s="198" t="s">
        <v>212</v>
      </c>
      <c r="V269" s="198"/>
      <c r="W269" s="205">
        <v>1</v>
      </c>
      <c r="X269" s="198" t="s">
        <v>432</v>
      </c>
    </row>
    <row r="270" spans="2:24">
      <c r="B270" s="496"/>
      <c r="C270" s="496"/>
      <c r="D270" s="209">
        <v>164</v>
      </c>
      <c r="E270" s="198" t="s">
        <v>414</v>
      </c>
      <c r="F270" s="199">
        <v>698.59459459459458</v>
      </c>
      <c r="G270" s="198">
        <v>550.19000000000005</v>
      </c>
      <c r="H270" s="198">
        <v>564</v>
      </c>
      <c r="I270" s="210">
        <f t="shared" si="24"/>
        <v>1.0251004198549591</v>
      </c>
      <c r="J270" s="198">
        <v>0</v>
      </c>
      <c r="K270" s="210">
        <f t="shared" si="25"/>
        <v>0</v>
      </c>
      <c r="L270" s="199">
        <v>58.21621621621621</v>
      </c>
      <c r="M270" s="211">
        <f t="shared" si="26"/>
        <v>1.0251004198549591</v>
      </c>
      <c r="N270" s="199">
        <v>803.96594594594274</v>
      </c>
      <c r="O270" s="198">
        <v>12</v>
      </c>
      <c r="P270" s="200">
        <v>2.1810647230956576E-2</v>
      </c>
      <c r="Q270" s="198">
        <v>1.8099999999999454</v>
      </c>
      <c r="R270" s="200">
        <v>3.2897726240025179E-3</v>
      </c>
      <c r="S270" s="199">
        <v>105.37135135134817</v>
      </c>
      <c r="T270" s="198" t="s">
        <v>308</v>
      </c>
      <c r="U270" s="198" t="s">
        <v>276</v>
      </c>
      <c r="V270" s="198"/>
      <c r="W270" s="205">
        <v>1</v>
      </c>
      <c r="X270" s="198" t="s">
        <v>117</v>
      </c>
    </row>
    <row r="271" spans="2:24">
      <c r="B271" s="496"/>
      <c r="C271" s="496"/>
      <c r="D271" s="209">
        <v>165</v>
      </c>
      <c r="E271" s="198" t="s">
        <v>304</v>
      </c>
      <c r="F271" s="199">
        <v>662.71068000000002</v>
      </c>
      <c r="G271" s="198">
        <v>144.9</v>
      </c>
      <c r="H271" s="198">
        <v>148.68299999999999</v>
      </c>
      <c r="I271" s="210">
        <f t="shared" si="24"/>
        <v>1.0261076604554864</v>
      </c>
      <c r="J271" s="198">
        <v>0</v>
      </c>
      <c r="K271" s="210">
        <f t="shared" si="25"/>
        <v>0</v>
      </c>
      <c r="L271" s="199">
        <v>108.18</v>
      </c>
      <c r="M271" s="211">
        <f t="shared" si="26"/>
        <v>1.0261076604554864</v>
      </c>
      <c r="N271" s="199">
        <v>409.24493999999862</v>
      </c>
      <c r="O271" s="198">
        <v>6.1260000000000003</v>
      </c>
      <c r="P271" s="200">
        <v>4.2277432712215318E-2</v>
      </c>
      <c r="Q271" s="198">
        <v>-2.3430000000000133</v>
      </c>
      <c r="R271" s="200">
        <v>-1.616977225672887E-2</v>
      </c>
      <c r="S271" s="199">
        <v>-253.46574000000146</v>
      </c>
      <c r="T271" s="198" t="s">
        <v>308</v>
      </c>
      <c r="U271" s="198" t="s">
        <v>276</v>
      </c>
      <c r="V271" s="198"/>
      <c r="W271" s="205">
        <v>1</v>
      </c>
      <c r="X271" s="198" t="s">
        <v>115</v>
      </c>
    </row>
    <row r="272" spans="2:24">
      <c r="B272" s="496"/>
      <c r="C272" s="496"/>
      <c r="D272" s="209">
        <v>166</v>
      </c>
      <c r="E272" s="198" t="s">
        <v>329</v>
      </c>
      <c r="F272" s="199">
        <v>564.19689999999991</v>
      </c>
      <c r="G272" s="198">
        <v>12.44</v>
      </c>
      <c r="H272" s="198">
        <v>12.69</v>
      </c>
      <c r="I272" s="210">
        <f t="shared" si="24"/>
        <v>1.020096463022508</v>
      </c>
      <c r="J272" s="198">
        <v>0</v>
      </c>
      <c r="K272" s="210">
        <f t="shared" si="25"/>
        <v>0</v>
      </c>
      <c r="L272" s="199">
        <v>584.66</v>
      </c>
      <c r="M272" s="211">
        <f t="shared" si="26"/>
        <v>1.020096463022508</v>
      </c>
      <c r="N272" s="199">
        <v>146.16499999999999</v>
      </c>
      <c r="O272" s="198">
        <v>0.96499999999999997</v>
      </c>
      <c r="P272" s="200">
        <v>7.7572347266881031E-2</v>
      </c>
      <c r="Q272" s="198">
        <v>6.5600000000000023</v>
      </c>
      <c r="R272" s="200">
        <v>0.5273311897106111</v>
      </c>
      <c r="S272" s="199">
        <v>1010.2400000000004</v>
      </c>
      <c r="T272" s="198" t="s">
        <v>308</v>
      </c>
      <c r="U272" s="198" t="s">
        <v>276</v>
      </c>
      <c r="V272" s="198"/>
      <c r="W272" s="205">
        <v>1</v>
      </c>
      <c r="X272" s="198" t="s">
        <v>116</v>
      </c>
    </row>
    <row r="273" spans="2:24">
      <c r="B273" s="496"/>
      <c r="C273" s="496"/>
      <c r="D273" s="209">
        <v>167</v>
      </c>
      <c r="E273" s="198" t="s">
        <v>438</v>
      </c>
      <c r="F273" s="199">
        <v>517</v>
      </c>
      <c r="G273" s="198">
        <v>348.4</v>
      </c>
      <c r="H273" s="198">
        <v>359</v>
      </c>
      <c r="I273" s="210">
        <f t="shared" si="24"/>
        <v>1.0304247990815156</v>
      </c>
      <c r="J273" s="198">
        <v>0</v>
      </c>
      <c r="K273" s="210">
        <f t="shared" si="25"/>
        <v>0</v>
      </c>
      <c r="L273" s="199">
        <v>47</v>
      </c>
      <c r="M273" s="211">
        <f t="shared" si="26"/>
        <v>1.0304247990815156</v>
      </c>
      <c r="N273" s="199">
        <v>498.20000000000107</v>
      </c>
      <c r="O273" s="198">
        <v>11</v>
      </c>
      <c r="P273" s="200">
        <v>3.157290470723307E-2</v>
      </c>
      <c r="Q273" s="198">
        <v>2.6250000000000107</v>
      </c>
      <c r="R273" s="200">
        <v>7.5344431687715584E-3</v>
      </c>
      <c r="S273" s="199">
        <v>262.57875000000104</v>
      </c>
      <c r="T273" s="198" t="s">
        <v>308</v>
      </c>
      <c r="U273" s="198" t="s">
        <v>276</v>
      </c>
      <c r="V273" s="198"/>
      <c r="W273" s="205">
        <v>1</v>
      </c>
      <c r="X273" s="198" t="s">
        <v>339</v>
      </c>
    </row>
    <row r="274" spans="2:24">
      <c r="B274" s="496"/>
      <c r="C274" s="496"/>
      <c r="D274" s="209">
        <v>168</v>
      </c>
      <c r="E274" s="198" t="s">
        <v>427</v>
      </c>
      <c r="F274" s="199">
        <v>513.87699999999995</v>
      </c>
      <c r="G274" s="198">
        <v>148.69999999999999</v>
      </c>
      <c r="H274" s="198">
        <v>156</v>
      </c>
      <c r="I274" s="210">
        <f t="shared" si="24"/>
        <v>1.0490921318090116</v>
      </c>
      <c r="J274" s="198">
        <v>0</v>
      </c>
      <c r="K274" s="210">
        <f t="shared" si="25"/>
        <v>0</v>
      </c>
      <c r="L274" s="199">
        <v>112.94</v>
      </c>
      <c r="M274" s="211">
        <f t="shared" si="26"/>
        <v>1.0490921318090116</v>
      </c>
      <c r="N274" s="199">
        <v>824.46200000000124</v>
      </c>
      <c r="O274" s="198">
        <v>4.55</v>
      </c>
      <c r="P274" s="200">
        <v>3.0598520511096169E-2</v>
      </c>
      <c r="Q274" s="198">
        <v>-6.1272999999999911</v>
      </c>
      <c r="R274" s="200">
        <v>-4.1205783456624019E-2</v>
      </c>
      <c r="S274" s="199">
        <v>-2575.9781929999963</v>
      </c>
      <c r="T274" s="198" t="s">
        <v>326</v>
      </c>
      <c r="U274" s="198" t="s">
        <v>318</v>
      </c>
      <c r="V274" s="198" t="s">
        <v>417</v>
      </c>
      <c r="W274" s="205">
        <v>1</v>
      </c>
      <c r="X274" s="198" t="s">
        <v>117</v>
      </c>
    </row>
    <row r="275" spans="2:24">
      <c r="B275" s="496"/>
      <c r="C275" s="496"/>
      <c r="D275" s="209">
        <v>169</v>
      </c>
      <c r="E275" s="198" t="s">
        <v>279</v>
      </c>
      <c r="F275" s="199">
        <v>471.07700000000006</v>
      </c>
      <c r="G275" s="198">
        <v>263.22800000000001</v>
      </c>
      <c r="H275" s="198">
        <v>265</v>
      </c>
      <c r="I275" s="210">
        <f t="shared" si="24"/>
        <v>1.0067318066467092</v>
      </c>
      <c r="J275" s="198">
        <v>0</v>
      </c>
      <c r="K275" s="210">
        <f t="shared" si="25"/>
        <v>0</v>
      </c>
      <c r="L275" s="199">
        <v>140.62</v>
      </c>
      <c r="M275" s="211">
        <f t="shared" si="26"/>
        <v>1.0067318066467092</v>
      </c>
      <c r="N275" s="199">
        <v>249.17863999999878</v>
      </c>
      <c r="O275" s="198">
        <v>3.35</v>
      </c>
      <c r="P275" s="200">
        <v>1.2726609631194249E-2</v>
      </c>
      <c r="Q275" s="198">
        <v>-1.97</v>
      </c>
      <c r="R275" s="200">
        <v>-7.4840062607321404E-3</v>
      </c>
      <c r="S275" s="199">
        <v>0</v>
      </c>
      <c r="T275" s="198" t="s">
        <v>308</v>
      </c>
      <c r="U275" s="198" t="s">
        <v>276</v>
      </c>
      <c r="V275" s="198"/>
      <c r="W275" s="205">
        <v>1</v>
      </c>
      <c r="X275" s="198" t="s">
        <v>113</v>
      </c>
    </row>
    <row r="276" spans="2:24">
      <c r="B276" s="496"/>
      <c r="C276" s="496"/>
      <c r="D276" s="209">
        <v>170</v>
      </c>
      <c r="E276" s="198" t="s">
        <v>329</v>
      </c>
      <c r="F276" s="199">
        <v>460.57600000000002</v>
      </c>
      <c r="G276" s="198">
        <v>135.48500000000001</v>
      </c>
      <c r="H276" s="198">
        <v>136.249</v>
      </c>
      <c r="I276" s="210">
        <f t="shared" si="24"/>
        <v>1.0056390006273757</v>
      </c>
      <c r="J276" s="198">
        <v>0</v>
      </c>
      <c r="K276" s="210">
        <f t="shared" si="25"/>
        <v>0</v>
      </c>
      <c r="L276" s="199">
        <v>575.72</v>
      </c>
      <c r="M276" s="211">
        <f t="shared" si="26"/>
        <v>1.0056390006273757</v>
      </c>
      <c r="N276" s="199">
        <v>439.85007999998942</v>
      </c>
      <c r="O276" s="198">
        <v>0.8</v>
      </c>
      <c r="P276" s="200">
        <v>5.9047126988227474E-3</v>
      </c>
      <c r="Q276" s="198">
        <v>-0.97</v>
      </c>
      <c r="R276" s="200">
        <v>-7.1594641473225811E-3</v>
      </c>
      <c r="S276" s="199">
        <v>1</v>
      </c>
      <c r="T276" s="198" t="s">
        <v>308</v>
      </c>
      <c r="U276" s="198" t="s">
        <v>276</v>
      </c>
      <c r="V276" s="198"/>
      <c r="W276" s="205">
        <v>1</v>
      </c>
      <c r="X276" s="198" t="s">
        <v>113</v>
      </c>
    </row>
    <row r="277" spans="2:24">
      <c r="B277" s="495">
        <v>45897</v>
      </c>
      <c r="C277" s="496" t="s">
        <v>68</v>
      </c>
      <c r="D277" s="209">
        <v>171</v>
      </c>
      <c r="E277" s="198" t="s">
        <v>348</v>
      </c>
      <c r="F277" s="199">
        <v>782.53468999999996</v>
      </c>
      <c r="G277" s="198">
        <v>317.58499999999998</v>
      </c>
      <c r="H277" s="198">
        <v>320.02499999999998</v>
      </c>
      <c r="I277" s="210">
        <f t="shared" si="24"/>
        <v>1.0076829825086198</v>
      </c>
      <c r="J277" s="198">
        <v>0</v>
      </c>
      <c r="K277" s="210">
        <f t="shared" si="25"/>
        <v>0</v>
      </c>
      <c r="L277" s="199">
        <v>100.02999999999999</v>
      </c>
      <c r="M277" s="211">
        <f t="shared" si="26"/>
        <v>1.0076829825086198</v>
      </c>
      <c r="N277" s="199">
        <v>244.07319999999973</v>
      </c>
      <c r="O277" s="198">
        <v>7.8230000000000004</v>
      </c>
      <c r="P277" s="200">
        <v>2.4632775477431243E-2</v>
      </c>
      <c r="Q277" s="198">
        <v>-5.3830000000000027</v>
      </c>
      <c r="R277" s="200">
        <v>-1.6949792968811508E-2</v>
      </c>
      <c r="S277" s="199">
        <v>-538.46149000000025</v>
      </c>
      <c r="T277" s="198" t="s">
        <v>308</v>
      </c>
      <c r="U277" s="198" t="s">
        <v>276</v>
      </c>
      <c r="V277" s="198"/>
      <c r="W277" s="205">
        <v>1</v>
      </c>
      <c r="X277" s="198" t="s">
        <v>114</v>
      </c>
    </row>
    <row r="278" spans="2:24">
      <c r="B278" s="496"/>
      <c r="C278" s="496"/>
      <c r="D278" s="209">
        <v>172</v>
      </c>
      <c r="E278" s="198" t="s">
        <v>323</v>
      </c>
      <c r="F278" s="199">
        <v>735.54768000000001</v>
      </c>
      <c r="G278" s="198">
        <v>100.59699999999999</v>
      </c>
      <c r="H278" s="198">
        <v>100.28100000000001</v>
      </c>
      <c r="I278" s="210">
        <f t="shared" si="24"/>
        <v>0.99685875324313855</v>
      </c>
      <c r="J278" s="198">
        <v>0</v>
      </c>
      <c r="K278" s="210">
        <f t="shared" si="25"/>
        <v>0</v>
      </c>
      <c r="L278" s="199">
        <v>356.37</v>
      </c>
      <c r="M278" s="211">
        <f t="shared" si="26"/>
        <v>0.99685875324313855</v>
      </c>
      <c r="N278" s="199">
        <v>0</v>
      </c>
      <c r="O278" s="198">
        <v>2.0640000000000001</v>
      </c>
      <c r="P278" s="200">
        <v>2.0517510462538645E-2</v>
      </c>
      <c r="Q278" s="198">
        <v>-2.3799999999999883</v>
      </c>
      <c r="R278" s="200">
        <v>-2.3658757219400067E-2</v>
      </c>
      <c r="S278" s="199">
        <v>-848.16059999999584</v>
      </c>
      <c r="T278" s="198" t="s">
        <v>315</v>
      </c>
      <c r="U278" s="198" t="s">
        <v>217</v>
      </c>
      <c r="V278" s="198" t="s">
        <v>423</v>
      </c>
      <c r="W278" s="205">
        <v>1</v>
      </c>
      <c r="X278" s="198" t="s">
        <v>111</v>
      </c>
    </row>
    <row r="279" spans="2:24">
      <c r="B279" s="496"/>
      <c r="C279" s="496"/>
      <c r="D279" s="209">
        <v>173</v>
      </c>
      <c r="E279" s="198" t="s">
        <v>321</v>
      </c>
      <c r="F279" s="199">
        <v>640.29582000000005</v>
      </c>
      <c r="G279" s="198">
        <v>53.82</v>
      </c>
      <c r="H279" s="198">
        <v>54.021000000000001</v>
      </c>
      <c r="I279" s="210">
        <f t="shared" si="24"/>
        <v>1.0037346711259756</v>
      </c>
      <c r="J279" s="198">
        <v>0</v>
      </c>
      <c r="K279" s="210">
        <f t="shared" si="25"/>
        <v>0</v>
      </c>
      <c r="L279" s="199">
        <v>697.49</v>
      </c>
      <c r="M279" s="211">
        <f t="shared" si="26"/>
        <v>1.0037346711259756</v>
      </c>
      <c r="N279" s="199">
        <v>140.19549000000035</v>
      </c>
      <c r="O279" s="198">
        <v>0.91800000000000004</v>
      </c>
      <c r="P279" s="200">
        <v>1.705685618729097E-2</v>
      </c>
      <c r="Q279" s="198">
        <v>-0.71699999999999953</v>
      </c>
      <c r="R279" s="200">
        <v>-1.3322185061315488E-2</v>
      </c>
      <c r="S279" s="199">
        <v>-500.1003299999997</v>
      </c>
      <c r="T279" s="198" t="s">
        <v>308</v>
      </c>
      <c r="U279" s="198" t="s">
        <v>276</v>
      </c>
      <c r="V279" s="198"/>
      <c r="W279" s="205">
        <v>1</v>
      </c>
      <c r="X279" s="198" t="s">
        <v>109</v>
      </c>
    </row>
    <row r="280" spans="2:24">
      <c r="B280" s="496"/>
      <c r="C280" s="496"/>
      <c r="D280" s="209">
        <v>174</v>
      </c>
      <c r="E280" s="198" t="s">
        <v>294</v>
      </c>
      <c r="F280" s="199">
        <v>546.45710000000008</v>
      </c>
      <c r="G280" s="198">
        <v>52.325000000000003</v>
      </c>
      <c r="H280" s="198">
        <v>52.481000000000002</v>
      </c>
      <c r="I280" s="210">
        <f t="shared" si="24"/>
        <v>1.0029813664596272</v>
      </c>
      <c r="J280" s="198">
        <v>0</v>
      </c>
      <c r="K280" s="210">
        <f t="shared" si="25"/>
        <v>0</v>
      </c>
      <c r="L280" s="199">
        <v>821.74</v>
      </c>
      <c r="M280" s="211">
        <f t="shared" si="26"/>
        <v>1.0029813664596272</v>
      </c>
      <c r="N280" s="199">
        <v>128.19143999999903</v>
      </c>
      <c r="O280" s="198">
        <v>0.66500000000000004</v>
      </c>
      <c r="P280" s="200">
        <v>1.2709030100334449E-2</v>
      </c>
      <c r="Q280" s="198">
        <v>-0.50900000000000123</v>
      </c>
      <c r="R280" s="200">
        <v>-9.7276636407071411E-3</v>
      </c>
      <c r="S280" s="199">
        <v>-418.26566000000099</v>
      </c>
      <c r="T280" s="198" t="s">
        <v>308</v>
      </c>
      <c r="U280" s="198" t="s">
        <v>276</v>
      </c>
      <c r="V280" s="198"/>
      <c r="W280" s="205">
        <v>1</v>
      </c>
      <c r="X280" s="198" t="s">
        <v>115</v>
      </c>
    </row>
    <row r="281" spans="2:24">
      <c r="B281" s="496"/>
      <c r="C281" s="496"/>
      <c r="D281" s="209">
        <v>175</v>
      </c>
      <c r="E281" s="198" t="s">
        <v>283</v>
      </c>
      <c r="F281" s="199">
        <v>507.59987999999998</v>
      </c>
      <c r="G281" s="198">
        <v>143.55000000000001</v>
      </c>
      <c r="H281" s="198">
        <v>144.84100000000001</v>
      </c>
      <c r="I281" s="210">
        <f t="shared" si="24"/>
        <v>1.0089933820968304</v>
      </c>
      <c r="J281" s="198">
        <v>0</v>
      </c>
      <c r="K281" s="210">
        <f t="shared" si="25"/>
        <v>0</v>
      </c>
      <c r="L281" s="199">
        <v>162.38</v>
      </c>
      <c r="M281" s="211">
        <f t="shared" si="26"/>
        <v>1.0089933820968304</v>
      </c>
      <c r="N281" s="199">
        <v>209.63257999999948</v>
      </c>
      <c r="O281" s="198">
        <v>3.1259999999999999</v>
      </c>
      <c r="P281" s="200">
        <v>2.1776384535005223E-2</v>
      </c>
      <c r="Q281" s="198">
        <v>-1.8350000000000031</v>
      </c>
      <c r="R281" s="200">
        <v>-1.2783002438174873E-2</v>
      </c>
      <c r="S281" s="199">
        <v>-297.96730000000048</v>
      </c>
      <c r="T281" s="198" t="s">
        <v>308</v>
      </c>
      <c r="U281" s="198" t="s">
        <v>276</v>
      </c>
      <c r="V281" s="198"/>
      <c r="W281" s="205">
        <v>1</v>
      </c>
      <c r="X281" s="198" t="s">
        <v>121</v>
      </c>
    </row>
    <row r="282" spans="2:24">
      <c r="B282" s="496"/>
      <c r="C282" s="496"/>
      <c r="D282" s="209">
        <v>176</v>
      </c>
      <c r="E282" s="198" t="s">
        <v>289</v>
      </c>
      <c r="F282" s="199">
        <v>495.89</v>
      </c>
      <c r="G282" s="198">
        <v>364.86</v>
      </c>
      <c r="H282" s="198">
        <v>371</v>
      </c>
      <c r="I282" s="210">
        <f t="shared" si="24"/>
        <v>1.0168283725264484</v>
      </c>
      <c r="J282" s="198">
        <v>0</v>
      </c>
      <c r="K282" s="210">
        <f t="shared" si="25"/>
        <v>0</v>
      </c>
      <c r="L282" s="199">
        <v>85</v>
      </c>
      <c r="M282" s="211">
        <f t="shared" si="26"/>
        <v>1.0168283725264484</v>
      </c>
      <c r="N282" s="199">
        <v>521.89999999999884</v>
      </c>
      <c r="O282" s="198">
        <v>5.8339999999999996</v>
      </c>
      <c r="P282" s="200">
        <v>1.5989694677410512E-2</v>
      </c>
      <c r="Q282" s="198">
        <v>6.5600000000000023</v>
      </c>
      <c r="R282" s="200">
        <v>1.7979498985912411E-2</v>
      </c>
      <c r="S282" s="199">
        <v>1010.2400000000004</v>
      </c>
      <c r="T282" s="198" t="s">
        <v>308</v>
      </c>
      <c r="U282" s="198" t="s">
        <v>276</v>
      </c>
      <c r="V282" s="198"/>
      <c r="W282" s="205">
        <v>1</v>
      </c>
      <c r="X282" s="198" t="s">
        <v>134</v>
      </c>
    </row>
    <row r="283" spans="2:24">
      <c r="B283" s="496"/>
      <c r="C283" s="496"/>
      <c r="D283" s="209">
        <v>177</v>
      </c>
      <c r="E283" s="198" t="s">
        <v>279</v>
      </c>
      <c r="F283" s="199">
        <v>495.12302</v>
      </c>
      <c r="G283" s="198">
        <v>255.06800000000001</v>
      </c>
      <c r="H283" s="198">
        <v>255.07</v>
      </c>
      <c r="I283" s="210">
        <f t="shared" si="24"/>
        <v>1.0000078410463091</v>
      </c>
      <c r="J283" s="198">
        <v>0</v>
      </c>
      <c r="K283" s="210">
        <f t="shared" si="25"/>
        <v>0</v>
      </c>
      <c r="L283" s="199">
        <v>140.62</v>
      </c>
      <c r="M283" s="211">
        <f t="shared" si="26"/>
        <v>1.0000078410463091</v>
      </c>
      <c r="N283" s="199">
        <v>0.28123999999734622</v>
      </c>
      <c r="O283" s="198">
        <v>3.5209999999999999</v>
      </c>
      <c r="P283" s="200">
        <v>1.3804162027380933E-2</v>
      </c>
      <c r="Q283" s="198">
        <v>2.6250000000000107</v>
      </c>
      <c r="R283" s="200">
        <v>1.0291373280850637E-2</v>
      </c>
      <c r="S283" s="199">
        <v>262.57875000000104</v>
      </c>
      <c r="T283" s="198" t="s">
        <v>308</v>
      </c>
      <c r="U283" s="198" t="s">
        <v>276</v>
      </c>
      <c r="V283" s="198"/>
      <c r="W283" s="205">
        <v>1</v>
      </c>
      <c r="X283" s="198" t="s">
        <v>113</v>
      </c>
    </row>
    <row r="284" spans="2:24">
      <c r="B284" s="496"/>
      <c r="C284" s="496"/>
      <c r="D284" s="209">
        <v>178</v>
      </c>
      <c r="E284" s="198" t="s">
        <v>375</v>
      </c>
      <c r="F284" s="199">
        <v>482.90792000000005</v>
      </c>
      <c r="G284" s="198">
        <v>626.76</v>
      </c>
      <c r="H284" s="198">
        <v>627.03099999999995</v>
      </c>
      <c r="I284" s="210">
        <f t="shared" si="24"/>
        <v>1.0004323824111301</v>
      </c>
      <c r="J284" s="198">
        <v>0</v>
      </c>
      <c r="K284" s="210">
        <f t="shared" si="25"/>
        <v>0</v>
      </c>
      <c r="L284" s="199">
        <v>77.290000000000006</v>
      </c>
      <c r="M284" s="211">
        <f t="shared" si="26"/>
        <v>1.0004323824111301</v>
      </c>
      <c r="N284" s="199">
        <v>20.94558999999677</v>
      </c>
      <c r="O284" s="198">
        <v>6.2480000000000002</v>
      </c>
      <c r="P284" s="200">
        <v>9.9687280617780337E-3</v>
      </c>
      <c r="Q284" s="198">
        <v>-6.1272999999999911</v>
      </c>
      <c r="R284" s="200">
        <v>-9.7761503605845804E-3</v>
      </c>
      <c r="S284" s="199">
        <v>-2575.9781929999963</v>
      </c>
      <c r="T284" s="198" t="s">
        <v>308</v>
      </c>
      <c r="U284" s="198" t="s">
        <v>276</v>
      </c>
      <c r="V284" s="198"/>
      <c r="W284" s="205">
        <v>1</v>
      </c>
      <c r="X284" s="198" t="s">
        <v>112</v>
      </c>
    </row>
    <row r="285" spans="2:24">
      <c r="B285" s="496"/>
      <c r="C285" s="496"/>
      <c r="D285" s="209">
        <v>179</v>
      </c>
      <c r="E285" s="198" t="s">
        <v>414</v>
      </c>
      <c r="F285" s="199">
        <v>423.11545945945943</v>
      </c>
      <c r="G285" s="198">
        <v>547.97</v>
      </c>
      <c r="H285" s="198">
        <v>549.39800000000002</v>
      </c>
      <c r="I285" s="210">
        <f t="shared" si="24"/>
        <v>1.002605982079311</v>
      </c>
      <c r="J285" s="198">
        <v>0</v>
      </c>
      <c r="K285" s="210">
        <f t="shared" si="25"/>
        <v>0</v>
      </c>
      <c r="L285" s="199">
        <v>58.21621621621621</v>
      </c>
      <c r="M285" s="211">
        <f t="shared" si="26"/>
        <v>1.002605982079311</v>
      </c>
      <c r="N285" s="199">
        <v>83.132756756756592</v>
      </c>
      <c r="O285" s="198">
        <v>7.2679999999999998</v>
      </c>
      <c r="P285" s="200">
        <v>1.3263499826632844E-2</v>
      </c>
      <c r="Q285" s="198">
        <v>-1.97</v>
      </c>
      <c r="R285" s="200">
        <v>-3.5950873222986659E-3</v>
      </c>
      <c r="S285" s="199">
        <v>0</v>
      </c>
      <c r="T285" s="198" t="s">
        <v>308</v>
      </c>
      <c r="U285" s="198" t="s">
        <v>276</v>
      </c>
      <c r="V285" s="198"/>
      <c r="W285" s="205">
        <v>1</v>
      </c>
      <c r="X285" s="198" t="s">
        <v>117</v>
      </c>
    </row>
    <row r="286" spans="2:24">
      <c r="B286" s="496"/>
      <c r="C286" s="496"/>
      <c r="D286" s="209">
        <v>180</v>
      </c>
      <c r="E286" s="198" t="s">
        <v>427</v>
      </c>
      <c r="F286" s="199">
        <v>395.28999999999996</v>
      </c>
      <c r="G286" s="198">
        <v>148.1</v>
      </c>
      <c r="H286" s="198">
        <v>151</v>
      </c>
      <c r="I286" s="210">
        <f t="shared" si="24"/>
        <v>1.0195813639432816</v>
      </c>
      <c r="J286" s="198">
        <v>0</v>
      </c>
      <c r="K286" s="210">
        <f t="shared" si="25"/>
        <v>0</v>
      </c>
      <c r="L286" s="199">
        <v>112.94</v>
      </c>
      <c r="M286" s="211">
        <f t="shared" si="26"/>
        <v>1.0195813639432816</v>
      </c>
      <c r="N286" s="199">
        <v>327.52600000000064</v>
      </c>
      <c r="O286" s="198">
        <v>3.5</v>
      </c>
      <c r="P286" s="200">
        <v>2.3632680621201892E-2</v>
      </c>
      <c r="Q286" s="198">
        <v>-0.97</v>
      </c>
      <c r="R286" s="200">
        <v>-6.5496286293045243E-3</v>
      </c>
      <c r="S286" s="199">
        <v>1</v>
      </c>
      <c r="T286" s="198" t="s">
        <v>308</v>
      </c>
      <c r="U286" s="198" t="s">
        <v>276</v>
      </c>
      <c r="V286" s="198"/>
      <c r="W286" s="205">
        <v>1</v>
      </c>
      <c r="X286" s="198" t="s">
        <v>117</v>
      </c>
    </row>
    <row r="287" spans="2:24">
      <c r="B287" s="495">
        <v>45898</v>
      </c>
      <c r="C287" s="496" t="s">
        <v>63</v>
      </c>
      <c r="D287" s="209">
        <v>181</v>
      </c>
      <c r="E287" s="198" t="s">
        <v>331</v>
      </c>
      <c r="F287" s="199">
        <v>1000.1999000000001</v>
      </c>
      <c r="G287" s="198">
        <v>169.62</v>
      </c>
      <c r="H287" s="198">
        <v>177</v>
      </c>
      <c r="I287" s="210">
        <f t="shared" si="24"/>
        <v>1.0435090201627166</v>
      </c>
      <c r="J287" s="198">
        <v>0</v>
      </c>
      <c r="K287" s="210">
        <f t="shared" si="25"/>
        <v>0</v>
      </c>
      <c r="L287" s="199">
        <v>335.3</v>
      </c>
      <c r="M287" s="211">
        <f t="shared" si="26"/>
        <v>1.0435090201627166</v>
      </c>
      <c r="N287" s="199">
        <v>2474.5139999999988</v>
      </c>
      <c r="O287" s="198">
        <v>2.9830000000000001</v>
      </c>
      <c r="P287" s="200">
        <v>1.7586369531894824E-2</v>
      </c>
      <c r="Q287" s="198">
        <v>4.3969999999999949</v>
      </c>
      <c r="R287" s="200">
        <v>2.5922650630821806E-2</v>
      </c>
      <c r="S287" s="199">
        <v>1474.3140999999982</v>
      </c>
      <c r="T287" s="198" t="s">
        <v>315</v>
      </c>
      <c r="U287" s="198" t="s">
        <v>217</v>
      </c>
      <c r="V287" s="198" t="s">
        <v>416</v>
      </c>
      <c r="W287" s="205">
        <v>1</v>
      </c>
      <c r="X287" s="198" t="s">
        <v>114</v>
      </c>
    </row>
    <row r="288" spans="2:24">
      <c r="B288" s="496"/>
      <c r="C288" s="496"/>
      <c r="D288" s="209">
        <v>182</v>
      </c>
      <c r="E288" s="198" t="s">
        <v>433</v>
      </c>
      <c r="F288" s="199">
        <v>577.19000000000005</v>
      </c>
      <c r="G288" s="198">
        <v>119.4</v>
      </c>
      <c r="H288" s="198">
        <v>130</v>
      </c>
      <c r="I288" s="210">
        <f t="shared" si="24"/>
        <v>1.0887772194304857</v>
      </c>
      <c r="J288" s="198">
        <v>0</v>
      </c>
      <c r="K288" s="210">
        <f t="shared" si="25"/>
        <v>0</v>
      </c>
      <c r="L288" s="199">
        <v>54.97</v>
      </c>
      <c r="M288" s="211">
        <f t="shared" si="26"/>
        <v>1.0887772194304857</v>
      </c>
      <c r="N288" s="199">
        <v>581.79999999999995</v>
      </c>
      <c r="O288" s="198">
        <v>10.5</v>
      </c>
      <c r="P288" s="200">
        <v>8.7939698492462304E-2</v>
      </c>
      <c r="Q288" s="198">
        <v>9.9999999999994316E-2</v>
      </c>
      <c r="R288" s="200">
        <v>8.3752093802340289E-4</v>
      </c>
      <c r="S288" s="199">
        <v>5.4969999999996872</v>
      </c>
      <c r="T288" s="198" t="s">
        <v>326</v>
      </c>
      <c r="U288" s="198" t="s">
        <v>318</v>
      </c>
      <c r="V288" s="198" t="s">
        <v>417</v>
      </c>
      <c r="W288" s="205">
        <v>1</v>
      </c>
      <c r="X288" s="198" t="s">
        <v>435</v>
      </c>
    </row>
    <row r="289" spans="2:24">
      <c r="B289" s="496"/>
      <c r="C289" s="496"/>
      <c r="D289" s="209">
        <v>183</v>
      </c>
      <c r="E289" s="198" t="s">
        <v>348</v>
      </c>
      <c r="F289" s="199">
        <v>560.36806000000001</v>
      </c>
      <c r="G289" s="198">
        <v>268.565</v>
      </c>
      <c r="H289" s="198">
        <v>272.51299999999998</v>
      </c>
      <c r="I289" s="210">
        <f t="shared" si="24"/>
        <v>1.0147003518701245</v>
      </c>
      <c r="J289" s="198">
        <v>0</v>
      </c>
      <c r="K289" s="210">
        <f t="shared" si="25"/>
        <v>0</v>
      </c>
      <c r="L289" s="199">
        <v>100.02999999999999</v>
      </c>
      <c r="M289" s="211">
        <f t="shared" si="26"/>
        <v>1.0147003518701245</v>
      </c>
      <c r="N289" s="199">
        <v>394.91843999999787</v>
      </c>
      <c r="O289" s="198">
        <v>5.6020000000000003</v>
      </c>
      <c r="P289" s="200">
        <v>2.0859009923109864E-2</v>
      </c>
      <c r="Q289" s="198">
        <v>-1.6540000000000212</v>
      </c>
      <c r="R289" s="200">
        <v>-6.1586580529853895E-3</v>
      </c>
      <c r="S289" s="199">
        <v>-165.44962000000211</v>
      </c>
      <c r="T289" s="198" t="s">
        <v>308</v>
      </c>
      <c r="U289" s="198" t="s">
        <v>276</v>
      </c>
      <c r="V289" s="198"/>
      <c r="W289" s="205">
        <v>1</v>
      </c>
      <c r="X289" s="198" t="s">
        <v>114</v>
      </c>
    </row>
    <row r="290" spans="2:24">
      <c r="B290" s="496"/>
      <c r="C290" s="496"/>
      <c r="D290" s="209">
        <v>184</v>
      </c>
      <c r="E290" s="198" t="s">
        <v>409</v>
      </c>
      <c r="F290" s="199">
        <v>481.78985999999998</v>
      </c>
      <c r="G290" s="198">
        <v>51.287999999999997</v>
      </c>
      <c r="H290" s="198">
        <v>52.045999999999999</v>
      </c>
      <c r="I290" s="210">
        <f t="shared" si="24"/>
        <v>1.0147792856028701</v>
      </c>
      <c r="J290" s="198">
        <v>0</v>
      </c>
      <c r="K290" s="210">
        <f t="shared" si="25"/>
        <v>0</v>
      </c>
      <c r="L290" s="199">
        <v>420.41</v>
      </c>
      <c r="M290" s="211">
        <f t="shared" si="26"/>
        <v>1.0147792856028701</v>
      </c>
      <c r="N290" s="199">
        <v>318.67078000000112</v>
      </c>
      <c r="O290" s="198">
        <v>1.1459999999999999</v>
      </c>
      <c r="P290" s="200">
        <v>2.2344408048666355E-2</v>
      </c>
      <c r="Q290" s="198">
        <v>-0.38799999999999724</v>
      </c>
      <c r="R290" s="200">
        <v>-7.5651224457962346E-3</v>
      </c>
      <c r="S290" s="199">
        <v>-163.11907999999886</v>
      </c>
      <c r="T290" s="198" t="s">
        <v>308</v>
      </c>
      <c r="U290" s="198" t="s">
        <v>276</v>
      </c>
      <c r="V290" s="198"/>
      <c r="W290" s="205">
        <v>1</v>
      </c>
      <c r="X290" s="198" t="s">
        <v>112</v>
      </c>
    </row>
    <row r="291" spans="2:24">
      <c r="B291" s="496"/>
      <c r="C291" s="496"/>
      <c r="D291" s="209">
        <v>185</v>
      </c>
      <c r="E291" s="198" t="s">
        <v>279</v>
      </c>
      <c r="F291" s="199">
        <v>451.39019999999999</v>
      </c>
      <c r="G291" s="198">
        <v>203.048</v>
      </c>
      <c r="H291" s="198">
        <v>203.6</v>
      </c>
      <c r="I291" s="210">
        <f t="shared" si="24"/>
        <v>1.0027185690083134</v>
      </c>
      <c r="J291" s="198">
        <v>0</v>
      </c>
      <c r="K291" s="210">
        <f t="shared" si="25"/>
        <v>0</v>
      </c>
      <c r="L291" s="199">
        <v>140.62</v>
      </c>
      <c r="M291" s="211">
        <f t="shared" si="26"/>
        <v>1.0027185690083134</v>
      </c>
      <c r="N291" s="199">
        <v>77.622239999998953</v>
      </c>
      <c r="O291" s="198">
        <v>3.21</v>
      </c>
      <c r="P291" s="200">
        <v>1.5809069776604547E-2</v>
      </c>
      <c r="Q291" s="198">
        <v>-2.6580000000000075</v>
      </c>
      <c r="R291" s="200">
        <v>-1.3090500768291278E-2</v>
      </c>
      <c r="S291" s="199">
        <v>-373.76796000000104</v>
      </c>
      <c r="T291" s="198" t="s">
        <v>308</v>
      </c>
      <c r="U291" s="198" t="s">
        <v>276</v>
      </c>
      <c r="V291" s="198"/>
      <c r="W291" s="205">
        <v>1</v>
      </c>
      <c r="X291" s="198" t="s">
        <v>113</v>
      </c>
    </row>
    <row r="292" spans="2:24">
      <c r="B292" s="496"/>
      <c r="C292" s="496"/>
      <c r="D292" s="209">
        <v>186</v>
      </c>
      <c r="E292" s="198" t="s">
        <v>415</v>
      </c>
      <c r="F292" s="199">
        <v>443.88000000000005</v>
      </c>
      <c r="G292" s="198">
        <v>119.55</v>
      </c>
      <c r="H292" s="198">
        <v>125</v>
      </c>
      <c r="I292" s="210">
        <f t="shared" si="24"/>
        <v>1.0455876202425765</v>
      </c>
      <c r="J292" s="198">
        <v>0</v>
      </c>
      <c r="K292" s="210">
        <f t="shared" si="25"/>
        <v>0</v>
      </c>
      <c r="L292" s="199">
        <v>81</v>
      </c>
      <c r="M292" s="211">
        <f t="shared" si="26"/>
        <v>1.0455876202425765</v>
      </c>
      <c r="N292" s="199">
        <v>441.45000000000022</v>
      </c>
      <c r="O292" s="198">
        <v>5.48</v>
      </c>
      <c r="P292" s="200">
        <v>4.5838561271434548E-2</v>
      </c>
      <c r="Q292" s="198">
        <v>6.5600000000000023</v>
      </c>
      <c r="R292" s="200">
        <v>5.4872438310330424E-2</v>
      </c>
      <c r="S292" s="199">
        <v>1010.2400000000004</v>
      </c>
      <c r="T292" s="198" t="s">
        <v>326</v>
      </c>
      <c r="U292" s="198" t="s">
        <v>318</v>
      </c>
      <c r="V292" s="198" t="s">
        <v>417</v>
      </c>
      <c r="W292" s="205">
        <v>1</v>
      </c>
      <c r="X292" s="198" t="s">
        <v>339</v>
      </c>
    </row>
    <row r="293" spans="2:24">
      <c r="B293" s="496"/>
      <c r="C293" s="496"/>
      <c r="D293" s="209">
        <v>187</v>
      </c>
      <c r="E293" s="198" t="s">
        <v>285</v>
      </c>
      <c r="F293" s="199">
        <v>438.10223999999994</v>
      </c>
      <c r="G293" s="198">
        <v>42.74</v>
      </c>
      <c r="H293" s="198">
        <v>42.853999999999999</v>
      </c>
      <c r="I293" s="210">
        <f t="shared" si="24"/>
        <v>1.002667290594291</v>
      </c>
      <c r="J293" s="198">
        <v>0</v>
      </c>
      <c r="K293" s="210">
        <f t="shared" si="25"/>
        <v>0</v>
      </c>
      <c r="L293" s="199">
        <v>536.89</v>
      </c>
      <c r="M293" s="211">
        <f t="shared" si="26"/>
        <v>1.002667290594291</v>
      </c>
      <c r="N293" s="199">
        <v>61.205459999998503</v>
      </c>
      <c r="O293" s="198">
        <v>0.81599999999999995</v>
      </c>
      <c r="P293" s="200">
        <v>1.9092185306504444E-2</v>
      </c>
      <c r="Q293" s="198">
        <v>2.6250000000000107</v>
      </c>
      <c r="R293" s="200">
        <v>6.1417875526439181E-2</v>
      </c>
      <c r="S293" s="199">
        <v>262.57875000000104</v>
      </c>
      <c r="T293" s="198" t="s">
        <v>308</v>
      </c>
      <c r="U293" s="198" t="s">
        <v>276</v>
      </c>
      <c r="V293" s="198"/>
      <c r="W293" s="205">
        <v>1</v>
      </c>
      <c r="X293" s="198" t="s">
        <v>112</v>
      </c>
    </row>
    <row r="294" spans="2:24">
      <c r="B294" s="496"/>
      <c r="C294" s="496"/>
      <c r="D294" s="209">
        <v>188</v>
      </c>
      <c r="E294" s="198" t="s">
        <v>439</v>
      </c>
      <c r="F294" s="199">
        <v>436.21428571428578</v>
      </c>
      <c r="G294" s="198">
        <v>19.222000000000001</v>
      </c>
      <c r="H294" s="198">
        <v>20</v>
      </c>
      <c r="I294" s="210">
        <f t="shared" si="24"/>
        <v>1.0404744563520965</v>
      </c>
      <c r="J294" s="198">
        <v>0</v>
      </c>
      <c r="K294" s="210">
        <f t="shared" si="25"/>
        <v>0</v>
      </c>
      <c r="L294" s="199">
        <v>281.42857142857144</v>
      </c>
      <c r="M294" s="211">
        <f t="shared" si="26"/>
        <v>1.0404744563520965</v>
      </c>
      <c r="N294" s="199">
        <v>218.95142857142821</v>
      </c>
      <c r="O294" s="198">
        <v>1.55</v>
      </c>
      <c r="P294" s="200">
        <v>8.0636770367287475E-2</v>
      </c>
      <c r="Q294" s="198">
        <v>-6.1272999999999911</v>
      </c>
      <c r="R294" s="200">
        <v>-0.31876495682030959</v>
      </c>
      <c r="S294" s="199">
        <v>-2575.9781929999963</v>
      </c>
      <c r="T294" s="198" t="s">
        <v>308</v>
      </c>
      <c r="U294" s="198" t="s">
        <v>276</v>
      </c>
      <c r="V294" s="198"/>
      <c r="W294" s="205">
        <v>1</v>
      </c>
      <c r="X294" s="198" t="s">
        <v>117</v>
      </c>
    </row>
    <row r="295" spans="2:24">
      <c r="B295" s="496"/>
      <c r="C295" s="496"/>
      <c r="D295" s="209">
        <v>189</v>
      </c>
      <c r="E295" s="198" t="s">
        <v>375</v>
      </c>
      <c r="F295" s="199">
        <v>400.20762000000002</v>
      </c>
      <c r="G295" s="198">
        <v>512.88</v>
      </c>
      <c r="H295" s="198">
        <v>513.05999999999995</v>
      </c>
      <c r="I295" s="210">
        <f t="shared" si="24"/>
        <v>1.0003509592887223</v>
      </c>
      <c r="J295" s="198">
        <v>0</v>
      </c>
      <c r="K295" s="210">
        <f t="shared" si="25"/>
        <v>0</v>
      </c>
      <c r="L295" s="199">
        <v>77.290000000000006</v>
      </c>
      <c r="M295" s="211">
        <f t="shared" si="26"/>
        <v>1.0003509592887223</v>
      </c>
      <c r="N295" s="199">
        <v>13.912199999996135</v>
      </c>
      <c r="O295" s="198">
        <v>5.1779999999999999</v>
      </c>
      <c r="P295" s="200">
        <v>1.0095928872250819E-2</v>
      </c>
      <c r="Q295" s="198">
        <v>-1.97</v>
      </c>
      <c r="R295" s="200">
        <v>-3.8410544376852283E-3</v>
      </c>
      <c r="S295" s="199">
        <v>0</v>
      </c>
      <c r="T295" s="198" t="s">
        <v>308</v>
      </c>
      <c r="U295" s="198" t="s">
        <v>276</v>
      </c>
      <c r="V295" s="198"/>
      <c r="W295" s="205">
        <v>1</v>
      </c>
      <c r="X295" s="198" t="s">
        <v>112</v>
      </c>
    </row>
    <row r="296" spans="2:24">
      <c r="B296" s="496"/>
      <c r="C296" s="496"/>
      <c r="D296" s="209">
        <v>190</v>
      </c>
      <c r="E296" s="198" t="s">
        <v>284</v>
      </c>
      <c r="F296" s="199">
        <v>358.70100000000002</v>
      </c>
      <c r="G296" s="198">
        <v>61.71</v>
      </c>
      <c r="H296" s="198">
        <v>62.578000000000003</v>
      </c>
      <c r="I296" s="210">
        <f t="shared" si="24"/>
        <v>1.0140657916058986</v>
      </c>
      <c r="J296" s="198">
        <v>0</v>
      </c>
      <c r="K296" s="210">
        <f t="shared" si="25"/>
        <v>0</v>
      </c>
      <c r="L296" s="199">
        <v>93</v>
      </c>
      <c r="M296" s="211">
        <f t="shared" si="26"/>
        <v>1.0140657916058986</v>
      </c>
      <c r="N296" s="199">
        <v>80.724000000000188</v>
      </c>
      <c r="O296" s="198">
        <v>3.8570000000000002</v>
      </c>
      <c r="P296" s="200">
        <v>6.2502025603629885E-2</v>
      </c>
      <c r="Q296" s="198">
        <v>-0.97</v>
      </c>
      <c r="R296" s="200">
        <v>-1.5718684167882028E-2</v>
      </c>
      <c r="S296" s="199">
        <v>1</v>
      </c>
      <c r="T296" s="198" t="s">
        <v>308</v>
      </c>
      <c r="U296" s="198" t="s">
        <v>276</v>
      </c>
      <c r="V296" s="198"/>
      <c r="W296" s="205">
        <v>1</v>
      </c>
      <c r="X296" s="198" t="s">
        <v>317</v>
      </c>
    </row>
    <row r="297" spans="2:24">
      <c r="B297" s="495">
        <v>45899</v>
      </c>
      <c r="C297" s="496" t="s">
        <v>64</v>
      </c>
      <c r="D297" s="209">
        <v>191</v>
      </c>
      <c r="E297" s="198" t="s">
        <v>433</v>
      </c>
      <c r="F297" s="199">
        <v>1331.3733999999999</v>
      </c>
      <c r="G297" s="198">
        <v>144.71600000000001</v>
      </c>
      <c r="H297" s="198">
        <v>174</v>
      </c>
      <c r="I297" s="210">
        <f t="shared" si="24"/>
        <v>1.2023549572956687</v>
      </c>
      <c r="J297" s="198">
        <v>0</v>
      </c>
      <c r="K297" s="210">
        <f t="shared" si="25"/>
        <v>0</v>
      </c>
      <c r="L297" s="199">
        <v>54.97</v>
      </c>
      <c r="M297" s="211">
        <f t="shared" si="26"/>
        <v>1.2023549572956687</v>
      </c>
      <c r="N297" s="199">
        <v>1609.7414799999995</v>
      </c>
      <c r="O297" s="198">
        <v>24.22</v>
      </c>
      <c r="P297" s="200">
        <v>0.1673622819867879</v>
      </c>
      <c r="Q297" s="198">
        <v>5.063999999999993</v>
      </c>
      <c r="R297" s="200">
        <v>3.499267530888079E-2</v>
      </c>
      <c r="S297" s="199">
        <v>278.36807999999962</v>
      </c>
      <c r="T297" s="198" t="s">
        <v>326</v>
      </c>
      <c r="U297" s="198" t="s">
        <v>318</v>
      </c>
      <c r="V297" s="198" t="s">
        <v>417</v>
      </c>
      <c r="W297" s="205">
        <v>1</v>
      </c>
      <c r="X297" s="198" t="s">
        <v>435</v>
      </c>
    </row>
    <row r="298" spans="2:24">
      <c r="B298" s="496"/>
      <c r="C298" s="496"/>
      <c r="D298" s="209">
        <v>192</v>
      </c>
      <c r="E298" s="198" t="s">
        <v>294</v>
      </c>
      <c r="F298" s="199">
        <v>657.39200000000005</v>
      </c>
      <c r="G298" s="198">
        <v>45.725000000000001</v>
      </c>
      <c r="H298" s="198">
        <v>45.81</v>
      </c>
      <c r="I298" s="210">
        <f t="shared" si="24"/>
        <v>1.001858939311099</v>
      </c>
      <c r="J298" s="198">
        <v>0</v>
      </c>
      <c r="K298" s="210">
        <f t="shared" si="25"/>
        <v>0</v>
      </c>
      <c r="L298" s="199">
        <v>821.74</v>
      </c>
      <c r="M298" s="211">
        <f t="shared" si="26"/>
        <v>1.001858939311099</v>
      </c>
      <c r="N298" s="199">
        <v>69.847900000000706</v>
      </c>
      <c r="O298" s="198">
        <v>0.8</v>
      </c>
      <c r="P298" s="200">
        <v>1.7495899398578457E-2</v>
      </c>
      <c r="Q298" s="198">
        <v>-0.71499999999999919</v>
      </c>
      <c r="R298" s="200">
        <v>-1.563696008747948E-2</v>
      </c>
      <c r="S298" s="199">
        <v>-587.54409999999939</v>
      </c>
      <c r="T298" s="198" t="s">
        <v>308</v>
      </c>
      <c r="U298" s="198" t="s">
        <v>276</v>
      </c>
      <c r="V298" s="198"/>
      <c r="W298" s="205">
        <v>1</v>
      </c>
      <c r="X298" s="198" t="s">
        <v>115</v>
      </c>
    </row>
    <row r="299" spans="2:24">
      <c r="B299" s="496"/>
      <c r="C299" s="496"/>
      <c r="D299" s="209">
        <v>193</v>
      </c>
      <c r="E299" s="198" t="s">
        <v>329</v>
      </c>
      <c r="F299" s="199">
        <v>586.99864000000002</v>
      </c>
      <c r="G299" s="198">
        <v>11.45</v>
      </c>
      <c r="H299" s="198">
        <v>11.545999999999999</v>
      </c>
      <c r="I299" s="210">
        <f t="shared" si="24"/>
        <v>1.0083842794759825</v>
      </c>
      <c r="J299" s="198">
        <v>0</v>
      </c>
      <c r="K299" s="210">
        <f t="shared" si="25"/>
        <v>0</v>
      </c>
      <c r="L299" s="199">
        <v>584.66</v>
      </c>
      <c r="M299" s="211">
        <f t="shared" si="26"/>
        <v>1.0083842794759825</v>
      </c>
      <c r="N299" s="199">
        <v>56.127360000000046</v>
      </c>
      <c r="O299" s="198">
        <v>1.004</v>
      </c>
      <c r="P299" s="200">
        <v>8.7685589519650664E-2</v>
      </c>
      <c r="Q299" s="198">
        <v>-0.90799999999999992</v>
      </c>
      <c r="R299" s="200">
        <v>-7.9301310043668125E-2</v>
      </c>
      <c r="S299" s="199">
        <v>-530.87127999999996</v>
      </c>
      <c r="T299" s="198" t="s">
        <v>308</v>
      </c>
      <c r="U299" s="198" t="s">
        <v>276</v>
      </c>
      <c r="V299" s="198"/>
      <c r="W299" s="205">
        <v>1</v>
      </c>
      <c r="X299" s="198" t="s">
        <v>116</v>
      </c>
    </row>
    <row r="300" spans="2:24">
      <c r="B300" s="496"/>
      <c r="C300" s="496"/>
      <c r="D300" s="209">
        <v>194</v>
      </c>
      <c r="E300" s="198" t="s">
        <v>285</v>
      </c>
      <c r="F300" s="199">
        <v>475.68453999999997</v>
      </c>
      <c r="G300" s="198">
        <v>42.88</v>
      </c>
      <c r="H300" s="198">
        <v>43.036999999999999</v>
      </c>
      <c r="I300" s="210">
        <f t="shared" si="24"/>
        <v>1.0036613805970149</v>
      </c>
      <c r="J300" s="198">
        <v>0</v>
      </c>
      <c r="K300" s="210">
        <f t="shared" si="25"/>
        <v>0</v>
      </c>
      <c r="L300" s="199">
        <v>536.89</v>
      </c>
      <c r="M300" s="211">
        <f t="shared" si="26"/>
        <v>1.0036613805970149</v>
      </c>
      <c r="N300" s="199">
        <v>84.291729999998111</v>
      </c>
      <c r="O300" s="198">
        <v>0.88600000000000001</v>
      </c>
      <c r="P300" s="200">
        <v>2.0662313432835821E-2</v>
      </c>
      <c r="Q300" s="198">
        <v>-0.72900000000000353</v>
      </c>
      <c r="R300" s="200">
        <v>-1.7000932835820978E-2</v>
      </c>
      <c r="S300" s="199">
        <v>-391.39281000000187</v>
      </c>
      <c r="T300" s="198" t="s">
        <v>308</v>
      </c>
      <c r="U300" s="198" t="s">
        <v>276</v>
      </c>
      <c r="V300" s="198"/>
      <c r="W300" s="205">
        <v>1</v>
      </c>
      <c r="X300" s="198" t="s">
        <v>112</v>
      </c>
    </row>
    <row r="301" spans="2:24">
      <c r="B301" s="496"/>
      <c r="C301" s="496"/>
      <c r="D301" s="209">
        <v>195</v>
      </c>
      <c r="E301" s="198" t="s">
        <v>331</v>
      </c>
      <c r="F301" s="199">
        <v>348.71200000000005</v>
      </c>
      <c r="G301" s="198">
        <v>174.12</v>
      </c>
      <c r="H301" s="198">
        <v>180.315</v>
      </c>
      <c r="I301" s="210">
        <f t="shared" si="24"/>
        <v>1.035578911095796</v>
      </c>
      <c r="J301" s="198">
        <v>0</v>
      </c>
      <c r="K301" s="210">
        <f t="shared" si="25"/>
        <v>0</v>
      </c>
      <c r="L301" s="199">
        <v>335.3</v>
      </c>
      <c r="M301" s="211">
        <f t="shared" si="26"/>
        <v>1.035578911095796</v>
      </c>
      <c r="N301" s="199">
        <v>2077.1834999999978</v>
      </c>
      <c r="O301" s="198">
        <v>1.04</v>
      </c>
      <c r="P301" s="200">
        <v>5.9728922582127269E-3</v>
      </c>
      <c r="Q301" s="198">
        <v>5.1549999999999931</v>
      </c>
      <c r="R301" s="200">
        <v>2.9606018837583237E-2</v>
      </c>
      <c r="S301" s="199">
        <v>1728.4714999999978</v>
      </c>
      <c r="T301" s="198" t="s">
        <v>315</v>
      </c>
      <c r="U301" s="198" t="s">
        <v>217</v>
      </c>
      <c r="V301" s="198" t="s">
        <v>416</v>
      </c>
      <c r="W301" s="205">
        <v>1</v>
      </c>
      <c r="X301" s="198" t="s">
        <v>114</v>
      </c>
    </row>
    <row r="302" spans="2:24">
      <c r="B302" s="496"/>
      <c r="C302" s="496"/>
      <c r="D302" s="209">
        <v>196</v>
      </c>
      <c r="E302" s="198" t="s">
        <v>323</v>
      </c>
      <c r="F302" s="199">
        <v>339.97697999999997</v>
      </c>
      <c r="G302" s="198">
        <v>96.823999999999998</v>
      </c>
      <c r="H302" s="198">
        <v>97.438999999999993</v>
      </c>
      <c r="I302" s="210">
        <f t="shared" si="24"/>
        <v>1.006351730975791</v>
      </c>
      <c r="J302" s="198">
        <v>0</v>
      </c>
      <c r="K302" s="210">
        <f t="shared" si="25"/>
        <v>0</v>
      </c>
      <c r="L302" s="199">
        <v>356.37</v>
      </c>
      <c r="M302" s="211">
        <f t="shared" si="26"/>
        <v>1.006351730975791</v>
      </c>
      <c r="N302" s="199">
        <v>219.16754999999819</v>
      </c>
      <c r="O302" s="198">
        <v>0.95399999999999996</v>
      </c>
      <c r="P302" s="200">
        <v>9.8529290258613563E-3</v>
      </c>
      <c r="Q302" s="198">
        <v>-0.33900000000000508</v>
      </c>
      <c r="R302" s="200">
        <v>-3.5011980500702831E-3</v>
      </c>
      <c r="S302" s="199">
        <v>1010.2400000000004</v>
      </c>
      <c r="T302" s="198" t="s">
        <v>315</v>
      </c>
      <c r="U302" s="198" t="s">
        <v>217</v>
      </c>
      <c r="V302" s="198" t="s">
        <v>423</v>
      </c>
      <c r="W302" s="205">
        <v>1</v>
      </c>
      <c r="X302" s="198" t="s">
        <v>111</v>
      </c>
    </row>
    <row r="303" spans="2:24">
      <c r="B303" s="496"/>
      <c r="C303" s="496"/>
      <c r="D303" s="209">
        <v>197</v>
      </c>
      <c r="E303" s="198" t="s">
        <v>440</v>
      </c>
      <c r="F303" s="199">
        <v>315.54935999999998</v>
      </c>
      <c r="G303" s="198">
        <v>239.14</v>
      </c>
      <c r="H303" s="198">
        <v>243.46799999999999</v>
      </c>
      <c r="I303" s="210">
        <f t="shared" si="24"/>
        <v>1.0180981851635025</v>
      </c>
      <c r="J303" s="198">
        <v>0</v>
      </c>
      <c r="K303" s="210">
        <f t="shared" si="25"/>
        <v>0</v>
      </c>
      <c r="L303" s="199">
        <v>115.08</v>
      </c>
      <c r="M303" s="211">
        <f t="shared" si="26"/>
        <v>1.0180981851635025</v>
      </c>
      <c r="N303" s="199">
        <v>498.06624000000033</v>
      </c>
      <c r="O303" s="198">
        <v>2.742</v>
      </c>
      <c r="P303" s="200">
        <v>1.1466086811073013E-2</v>
      </c>
      <c r="Q303" s="198">
        <v>1.586000000000003</v>
      </c>
      <c r="R303" s="200">
        <v>6.632098352429552E-3</v>
      </c>
      <c r="S303" s="199">
        <v>262.57875000000104</v>
      </c>
      <c r="T303" s="198" t="s">
        <v>308</v>
      </c>
      <c r="U303" s="198" t="s">
        <v>276</v>
      </c>
      <c r="V303" s="198"/>
      <c r="W303" s="205">
        <v>1</v>
      </c>
      <c r="X303" s="198" t="s">
        <v>432</v>
      </c>
    </row>
    <row r="304" spans="2:24">
      <c r="B304" s="496"/>
      <c r="C304" s="496"/>
      <c r="D304" s="209">
        <v>198</v>
      </c>
      <c r="E304" s="198" t="s">
        <v>285</v>
      </c>
      <c r="F304" s="199">
        <v>294.64</v>
      </c>
      <c r="G304" s="198">
        <v>9.76</v>
      </c>
      <c r="H304" s="198">
        <v>9.7629999999999999</v>
      </c>
      <c r="I304" s="210">
        <f t="shared" si="24"/>
        <v>1.0003073770491804</v>
      </c>
      <c r="J304" s="198">
        <v>0</v>
      </c>
      <c r="K304" s="210">
        <f t="shared" si="25"/>
        <v>0</v>
      </c>
      <c r="L304" s="199">
        <v>290</v>
      </c>
      <c r="M304" s="211">
        <f t="shared" si="26"/>
        <v>1.0003073770491804</v>
      </c>
      <c r="N304" s="199">
        <v>0.87000000000003297</v>
      </c>
      <c r="O304" s="198">
        <v>1.016</v>
      </c>
      <c r="P304" s="200">
        <v>0.10409836065573772</v>
      </c>
      <c r="Q304" s="198">
        <v>-1.0129999999999999</v>
      </c>
      <c r="R304" s="200">
        <v>-0.10379098360655736</v>
      </c>
      <c r="S304" s="199">
        <v>-2575.9781929999963</v>
      </c>
      <c r="T304" s="198" t="s">
        <v>278</v>
      </c>
      <c r="U304" s="198" t="s">
        <v>212</v>
      </c>
      <c r="V304" s="198"/>
      <c r="W304" s="205">
        <v>1</v>
      </c>
      <c r="X304" s="198" t="s">
        <v>317</v>
      </c>
    </row>
    <row r="305" spans="2:24">
      <c r="B305" s="496"/>
      <c r="C305" s="496"/>
      <c r="D305" s="209">
        <v>199</v>
      </c>
      <c r="E305" s="198" t="s">
        <v>314</v>
      </c>
      <c r="F305" s="199">
        <v>285.83</v>
      </c>
      <c r="G305" s="198">
        <v>16608</v>
      </c>
      <c r="H305" s="198">
        <v>16708</v>
      </c>
      <c r="I305" s="210">
        <f t="shared" si="24"/>
        <v>1.0060211946050097</v>
      </c>
      <c r="J305" s="198">
        <v>0</v>
      </c>
      <c r="K305" s="210">
        <f t="shared" si="25"/>
        <v>0</v>
      </c>
      <c r="L305" s="199">
        <v>2.83</v>
      </c>
      <c r="M305" s="211">
        <f t="shared" si="26"/>
        <v>1.0060211946050097</v>
      </c>
      <c r="N305" s="199">
        <v>283</v>
      </c>
      <c r="O305" s="198">
        <v>101</v>
      </c>
      <c r="P305" s="200">
        <v>6.0814065510597301E-3</v>
      </c>
      <c r="Q305" s="198">
        <v>-1</v>
      </c>
      <c r="R305" s="200">
        <v>-6.0211946050096338E-5</v>
      </c>
      <c r="S305" s="199">
        <v>0</v>
      </c>
      <c r="T305" s="198" t="s">
        <v>308</v>
      </c>
      <c r="U305" s="198" t="s">
        <v>276</v>
      </c>
      <c r="V305" s="198"/>
      <c r="W305" s="205">
        <v>1</v>
      </c>
      <c r="X305" s="198" t="s">
        <v>121</v>
      </c>
    </row>
    <row r="306" spans="2:24">
      <c r="B306" s="496"/>
      <c r="C306" s="496"/>
      <c r="D306" s="209">
        <v>200</v>
      </c>
      <c r="E306" s="198" t="s">
        <v>356</v>
      </c>
      <c r="F306" s="199">
        <v>277.74173000000002</v>
      </c>
      <c r="G306" s="198">
        <v>11.071999999999999</v>
      </c>
      <c r="H306" s="198">
        <v>11.329000000000001</v>
      </c>
      <c r="I306" s="210">
        <f t="shared" si="24"/>
        <v>1.0232117052023122</v>
      </c>
      <c r="J306" s="198">
        <v>0</v>
      </c>
      <c r="K306" s="210">
        <f t="shared" si="25"/>
        <v>0</v>
      </c>
      <c r="L306" s="199">
        <v>922.73</v>
      </c>
      <c r="M306" s="211">
        <f t="shared" si="26"/>
        <v>1.0232117052023122</v>
      </c>
      <c r="N306" s="199">
        <v>237.14161000000135</v>
      </c>
      <c r="O306" s="198">
        <v>0.30099999999999999</v>
      </c>
      <c r="P306" s="200">
        <v>2.7185693641618498E-2</v>
      </c>
      <c r="Q306" s="198">
        <v>-4.399999999999854E-2</v>
      </c>
      <c r="R306" s="200">
        <v>-3.9739884393062272E-3</v>
      </c>
      <c r="S306" s="199">
        <v>1</v>
      </c>
      <c r="T306" s="198" t="s">
        <v>308</v>
      </c>
      <c r="U306" s="198" t="s">
        <v>276</v>
      </c>
      <c r="V306" s="198"/>
      <c r="W306" s="205">
        <v>1</v>
      </c>
      <c r="X306" s="198" t="s">
        <v>121</v>
      </c>
    </row>
    <row r="307" spans="2:24">
      <c r="B307" s="497">
        <v>45900</v>
      </c>
      <c r="C307" s="496" t="s">
        <v>59</v>
      </c>
      <c r="D307" s="209">
        <v>201</v>
      </c>
      <c r="E307" s="198" t="s">
        <v>421</v>
      </c>
      <c r="F307" s="199">
        <v>2334.64</v>
      </c>
      <c r="G307" s="198">
        <v>208.01</v>
      </c>
      <c r="H307" s="198">
        <v>219.7</v>
      </c>
      <c r="I307" s="210">
        <f t="shared" si="24"/>
        <v>1.056199221191289</v>
      </c>
      <c r="J307" s="198">
        <v>0</v>
      </c>
      <c r="K307" s="210">
        <f t="shared" si="25"/>
        <v>0</v>
      </c>
      <c r="L307" s="199">
        <v>216.17</v>
      </c>
      <c r="M307" s="211">
        <f t="shared" si="26"/>
        <v>1.056199221191289</v>
      </c>
      <c r="N307" s="199">
        <v>2527.0272999999993</v>
      </c>
      <c r="O307" s="198">
        <v>10.8</v>
      </c>
      <c r="P307" s="200">
        <v>5.1920580741310521E-2</v>
      </c>
      <c r="Q307" s="198">
        <v>0.88999999999999702</v>
      </c>
      <c r="R307" s="200">
        <v>4.2786404499783525E-3</v>
      </c>
      <c r="S307" s="199">
        <v>192.39129999999935</v>
      </c>
      <c r="T307" s="198" t="s">
        <v>326</v>
      </c>
      <c r="U307" s="198" t="s">
        <v>318</v>
      </c>
      <c r="V307" s="198" t="s">
        <v>417</v>
      </c>
      <c r="W307" s="205">
        <v>1</v>
      </c>
      <c r="X307" s="198" t="s">
        <v>127</v>
      </c>
    </row>
    <row r="308" spans="2:24">
      <c r="B308" s="498"/>
      <c r="C308" s="496"/>
      <c r="D308" s="209">
        <v>202</v>
      </c>
      <c r="E308" s="198" t="s">
        <v>331</v>
      </c>
      <c r="F308" s="199">
        <v>681.32960000000003</v>
      </c>
      <c r="G308" s="198">
        <v>229.86</v>
      </c>
      <c r="H308" s="198">
        <v>242</v>
      </c>
      <c r="I308" s="210">
        <f t="shared" si="24"/>
        <v>1.052814756808492</v>
      </c>
      <c r="J308" s="198">
        <v>0</v>
      </c>
      <c r="K308" s="210">
        <f t="shared" si="25"/>
        <v>0</v>
      </c>
      <c r="L308" s="199">
        <v>335.3</v>
      </c>
      <c r="M308" s="211">
        <f t="shared" si="26"/>
        <v>1.052814756808492</v>
      </c>
      <c r="N308" s="199">
        <v>4070.5419999999954</v>
      </c>
      <c r="O308" s="198">
        <v>2.032</v>
      </c>
      <c r="P308" s="200">
        <v>8.8401635778299834E-3</v>
      </c>
      <c r="Q308" s="198">
        <v>10.107999999999986</v>
      </c>
      <c r="R308" s="200">
        <v>4.3974593230662079E-2</v>
      </c>
      <c r="S308" s="199">
        <v>3389.2123999999953</v>
      </c>
      <c r="T308" s="198" t="s">
        <v>315</v>
      </c>
      <c r="U308" s="198" t="s">
        <v>217</v>
      </c>
      <c r="V308" s="198" t="s">
        <v>416</v>
      </c>
      <c r="W308" s="205">
        <v>1</v>
      </c>
      <c r="X308" s="198" t="s">
        <v>114</v>
      </c>
    </row>
    <row r="309" spans="2:24">
      <c r="B309" s="498"/>
      <c r="C309" s="496"/>
      <c r="D309" s="209">
        <v>203</v>
      </c>
      <c r="E309" s="198" t="s">
        <v>433</v>
      </c>
      <c r="F309" s="199">
        <v>598.07360000000006</v>
      </c>
      <c r="G309" s="198">
        <v>108.1</v>
      </c>
      <c r="H309" s="198">
        <v>125</v>
      </c>
      <c r="I309" s="210">
        <f t="shared" ref="I309:I326" si="27">H309/G309</f>
        <v>1.1563367252543941</v>
      </c>
      <c r="J309" s="198">
        <v>0</v>
      </c>
      <c r="K309" s="210">
        <f t="shared" ref="K309:K326" si="28">J309/G309</f>
        <v>0</v>
      </c>
      <c r="L309" s="199">
        <v>54.97</v>
      </c>
      <c r="M309" s="211">
        <f t="shared" ref="M309:M326" si="29">(H309+J309)/G309</f>
        <v>1.1563367252543941</v>
      </c>
      <c r="N309" s="199">
        <v>928.99300000000028</v>
      </c>
      <c r="O309" s="198">
        <v>10.88</v>
      </c>
      <c r="P309" s="200">
        <v>0.10064754856614247</v>
      </c>
      <c r="Q309" s="198">
        <v>6.0200000000000049</v>
      </c>
      <c r="R309" s="200">
        <v>5.5689176688251664E-2</v>
      </c>
      <c r="S309" s="199">
        <v>330.91940000000028</v>
      </c>
      <c r="T309" s="198" t="s">
        <v>326</v>
      </c>
      <c r="U309" s="198" t="s">
        <v>318</v>
      </c>
      <c r="V309" s="198" t="s">
        <v>417</v>
      </c>
      <c r="W309" s="205">
        <v>1</v>
      </c>
      <c r="X309" s="198" t="s">
        <v>435</v>
      </c>
    </row>
    <row r="310" spans="2:24">
      <c r="B310" s="498"/>
      <c r="C310" s="496"/>
      <c r="D310" s="209">
        <v>204</v>
      </c>
      <c r="E310" s="198" t="s">
        <v>329</v>
      </c>
      <c r="F310" s="199">
        <v>535.99532000000011</v>
      </c>
      <c r="G310" s="198">
        <v>147</v>
      </c>
      <c r="H310" s="198">
        <v>150</v>
      </c>
      <c r="I310" s="210">
        <f t="shared" si="27"/>
        <v>1.0204081632653061</v>
      </c>
      <c r="J310" s="198">
        <v>0</v>
      </c>
      <c r="K310" s="210">
        <f t="shared" si="28"/>
        <v>0</v>
      </c>
      <c r="L310" s="199">
        <v>575.72</v>
      </c>
      <c r="M310" s="211">
        <f t="shared" si="29"/>
        <v>1.0204081632653061</v>
      </c>
      <c r="N310" s="199">
        <v>386.88383999999832</v>
      </c>
      <c r="O310" s="198">
        <v>0.93100000000000005</v>
      </c>
      <c r="P310" s="200">
        <v>6.333333333333334E-3</v>
      </c>
      <c r="Q310" s="198">
        <v>2.069</v>
      </c>
      <c r="R310" s="200">
        <v>1.4074829931972789E-2</v>
      </c>
      <c r="S310" s="199">
        <v>1191.1646800000001</v>
      </c>
      <c r="T310" s="198" t="s">
        <v>308</v>
      </c>
      <c r="U310" s="198" t="s">
        <v>276</v>
      </c>
      <c r="V310" s="198"/>
      <c r="W310" s="205">
        <v>1</v>
      </c>
      <c r="X310" s="198" t="s">
        <v>113</v>
      </c>
    </row>
    <row r="311" spans="2:24">
      <c r="B311" s="498"/>
      <c r="C311" s="496"/>
      <c r="D311" s="209">
        <v>205</v>
      </c>
      <c r="E311" s="198" t="s">
        <v>277</v>
      </c>
      <c r="F311" s="199">
        <v>516.63300000000004</v>
      </c>
      <c r="G311" s="198">
        <v>457.6</v>
      </c>
      <c r="H311" s="198">
        <v>461</v>
      </c>
      <c r="I311" s="210">
        <f t="shared" si="27"/>
        <v>1.0074300699300698</v>
      </c>
      <c r="J311" s="198">
        <v>0</v>
      </c>
      <c r="K311" s="210">
        <f t="shared" si="28"/>
        <v>0</v>
      </c>
      <c r="L311" s="199">
        <v>132.47</v>
      </c>
      <c r="M311" s="211">
        <f t="shared" si="29"/>
        <v>1.0074300699300698</v>
      </c>
      <c r="N311" s="199">
        <v>450.39799999999701</v>
      </c>
      <c r="O311" s="198">
        <v>3.9</v>
      </c>
      <c r="P311" s="200">
        <v>8.5227272727272721E-3</v>
      </c>
      <c r="Q311" s="198">
        <v>-0.50000000000002265</v>
      </c>
      <c r="R311" s="200">
        <v>-1.0926573426573922E-3</v>
      </c>
      <c r="S311" s="199">
        <v>-66.235000000002998</v>
      </c>
      <c r="T311" s="198" t="s">
        <v>308</v>
      </c>
      <c r="U311" s="198" t="s">
        <v>276</v>
      </c>
      <c r="V311" s="198"/>
      <c r="W311" s="205">
        <v>1</v>
      </c>
      <c r="X311" s="198" t="s">
        <v>110</v>
      </c>
    </row>
    <row r="312" spans="2:24">
      <c r="B312" s="498"/>
      <c r="C312" s="496"/>
      <c r="D312" s="209">
        <v>206</v>
      </c>
      <c r="E312" s="198" t="s">
        <v>285</v>
      </c>
      <c r="F312" s="199">
        <v>368.30654000000004</v>
      </c>
      <c r="G312" s="198">
        <v>59.11</v>
      </c>
      <c r="H312" s="198">
        <v>59.209000000000003</v>
      </c>
      <c r="I312" s="210">
        <f t="shared" si="27"/>
        <v>1.0016748435120961</v>
      </c>
      <c r="J312" s="198">
        <v>0</v>
      </c>
      <c r="K312" s="210">
        <f t="shared" si="28"/>
        <v>0</v>
      </c>
      <c r="L312" s="199">
        <v>536.89</v>
      </c>
      <c r="M312" s="211">
        <f t="shared" si="29"/>
        <v>1.0016748435120961</v>
      </c>
      <c r="N312" s="199">
        <v>53.152110000002011</v>
      </c>
      <c r="O312" s="198">
        <v>0.68600000000000005</v>
      </c>
      <c r="P312" s="200">
        <v>1.1605481306039589E-2</v>
      </c>
      <c r="Q312" s="198">
        <v>6.5600000000000023</v>
      </c>
      <c r="R312" s="200">
        <v>0.11097952969040775</v>
      </c>
      <c r="S312" s="199">
        <v>1010.2400000000004</v>
      </c>
      <c r="T312" s="198" t="s">
        <v>308</v>
      </c>
      <c r="U312" s="198" t="s">
        <v>276</v>
      </c>
      <c r="V312" s="198"/>
      <c r="W312" s="205">
        <v>1</v>
      </c>
      <c r="X312" s="198" t="s">
        <v>112</v>
      </c>
    </row>
    <row r="313" spans="2:24">
      <c r="B313" s="498"/>
      <c r="C313" s="496"/>
      <c r="D313" s="209">
        <v>207</v>
      </c>
      <c r="E313" s="198" t="s">
        <v>323</v>
      </c>
      <c r="F313" s="199">
        <v>362.42828999999995</v>
      </c>
      <c r="G313" s="198">
        <v>116.277</v>
      </c>
      <c r="H313" s="198">
        <v>116.755</v>
      </c>
      <c r="I313" s="210">
        <f t="shared" si="27"/>
        <v>1.0041108731735424</v>
      </c>
      <c r="J313" s="198">
        <v>0</v>
      </c>
      <c r="K313" s="210">
        <f t="shared" si="28"/>
        <v>0</v>
      </c>
      <c r="L313" s="199">
        <v>356.37</v>
      </c>
      <c r="M313" s="211">
        <f t="shared" si="29"/>
        <v>1.0041108731735424</v>
      </c>
      <c r="N313" s="199">
        <v>170.34485999999802</v>
      </c>
      <c r="O313" s="198">
        <v>1.0169999999999999</v>
      </c>
      <c r="P313" s="200">
        <v>8.7463556851311939E-3</v>
      </c>
      <c r="Q313" s="198">
        <v>2.6250000000000107</v>
      </c>
      <c r="R313" s="200">
        <v>2.2575401842152881E-2</v>
      </c>
      <c r="S313" s="199">
        <v>262.57875000000104</v>
      </c>
      <c r="T313" s="198" t="s">
        <v>315</v>
      </c>
      <c r="U313" s="198" t="s">
        <v>217</v>
      </c>
      <c r="V313" s="198" t="s">
        <v>423</v>
      </c>
      <c r="W313" s="205">
        <v>1</v>
      </c>
      <c r="X313" s="198" t="s">
        <v>111</v>
      </c>
    </row>
    <row r="314" spans="2:24">
      <c r="B314" s="498"/>
      <c r="C314" s="496"/>
      <c r="D314" s="209">
        <v>208</v>
      </c>
      <c r="E314" s="198" t="s">
        <v>301</v>
      </c>
      <c r="F314" s="199">
        <v>334.45281999999997</v>
      </c>
      <c r="G314" s="198">
        <v>213.57</v>
      </c>
      <c r="H314" s="198">
        <v>213.803</v>
      </c>
      <c r="I314" s="210">
        <f t="shared" si="27"/>
        <v>1.0010909771971719</v>
      </c>
      <c r="J314" s="198">
        <v>0</v>
      </c>
      <c r="K314" s="210">
        <f t="shared" si="28"/>
        <v>0</v>
      </c>
      <c r="L314" s="199">
        <v>111.41</v>
      </c>
      <c r="M314" s="211">
        <f t="shared" si="29"/>
        <v>1.0010909771971719</v>
      </c>
      <c r="N314" s="199">
        <v>25.958530000000454</v>
      </c>
      <c r="O314" s="198">
        <v>3.0019999999999998</v>
      </c>
      <c r="P314" s="200">
        <v>1.405628131291848E-2</v>
      </c>
      <c r="Q314" s="198">
        <v>-6.1272999999999911</v>
      </c>
      <c r="R314" s="200">
        <v>-2.8689890902280243E-2</v>
      </c>
      <c r="S314" s="199">
        <v>-2575.9781929999963</v>
      </c>
      <c r="T314" s="198" t="s">
        <v>308</v>
      </c>
      <c r="U314" s="198" t="s">
        <v>276</v>
      </c>
      <c r="V314" s="198"/>
      <c r="W314" s="205">
        <v>1</v>
      </c>
      <c r="X314" s="198" t="s">
        <v>111</v>
      </c>
    </row>
    <row r="315" spans="2:24">
      <c r="B315" s="498"/>
      <c r="C315" s="496"/>
      <c r="D315" s="209">
        <v>209</v>
      </c>
      <c r="E315" s="198" t="s">
        <v>285</v>
      </c>
      <c r="F315" s="199">
        <v>329.73</v>
      </c>
      <c r="G315" s="198">
        <v>11.215</v>
      </c>
      <c r="H315" s="198">
        <v>11.247999999999999</v>
      </c>
      <c r="I315" s="210">
        <f t="shared" si="27"/>
        <v>1.0029424877396345</v>
      </c>
      <c r="J315" s="198">
        <v>0</v>
      </c>
      <c r="K315" s="210">
        <f t="shared" si="28"/>
        <v>0</v>
      </c>
      <c r="L315" s="199">
        <v>290</v>
      </c>
      <c r="M315" s="211">
        <f t="shared" si="29"/>
        <v>1.0029424877396345</v>
      </c>
      <c r="N315" s="199">
        <v>9.5699999999998475</v>
      </c>
      <c r="O315" s="198">
        <v>1.137</v>
      </c>
      <c r="P315" s="200">
        <v>0.10138207757467678</v>
      </c>
      <c r="Q315" s="198">
        <v>-1.97</v>
      </c>
      <c r="R315" s="200">
        <v>-0.17565760142666073</v>
      </c>
      <c r="S315" s="199">
        <v>0</v>
      </c>
      <c r="T315" s="198" t="s">
        <v>308</v>
      </c>
      <c r="U315" s="198" t="s">
        <v>276</v>
      </c>
      <c r="V315" s="198"/>
      <c r="W315" s="205">
        <v>1</v>
      </c>
      <c r="X315" s="198" t="s">
        <v>317</v>
      </c>
    </row>
    <row r="316" spans="2:24">
      <c r="B316" s="498"/>
      <c r="C316" s="496"/>
      <c r="D316" s="209">
        <v>210</v>
      </c>
      <c r="E316" s="198" t="s">
        <v>373</v>
      </c>
      <c r="F316" s="199">
        <v>326.22588000000002</v>
      </c>
      <c r="G316" s="198">
        <v>44.527999999999999</v>
      </c>
      <c r="H316" s="198">
        <v>44.884999999999998</v>
      </c>
      <c r="I316" s="210">
        <f t="shared" si="27"/>
        <v>1.0080174272367948</v>
      </c>
      <c r="J316" s="198">
        <v>0</v>
      </c>
      <c r="K316" s="210">
        <f t="shared" si="28"/>
        <v>0</v>
      </c>
      <c r="L316" s="199">
        <v>762.21</v>
      </c>
      <c r="M316" s="211">
        <f t="shared" si="29"/>
        <v>1.0080174272367948</v>
      </c>
      <c r="N316" s="199">
        <v>272.10896999999949</v>
      </c>
      <c r="O316" s="198">
        <v>0.42799999999999999</v>
      </c>
      <c r="P316" s="200">
        <v>9.6119295724038812E-3</v>
      </c>
      <c r="Q316" s="198">
        <v>-0.97</v>
      </c>
      <c r="R316" s="200">
        <v>-2.1784045993532161E-2</v>
      </c>
      <c r="S316" s="199">
        <v>1</v>
      </c>
      <c r="T316" s="198" t="s">
        <v>315</v>
      </c>
      <c r="U316" s="198" t="s">
        <v>217</v>
      </c>
      <c r="V316" s="198" t="s">
        <v>441</v>
      </c>
      <c r="W316" s="205">
        <v>1</v>
      </c>
      <c r="X316" s="198" t="s">
        <v>116</v>
      </c>
    </row>
    <row r="317" spans="2:24">
      <c r="B317" s="497">
        <v>45901</v>
      </c>
      <c r="C317" s="496" t="s">
        <v>65</v>
      </c>
      <c r="D317" s="209">
        <v>211</v>
      </c>
      <c r="E317" s="198" t="s">
        <v>331</v>
      </c>
      <c r="F317" s="199">
        <v>2251</v>
      </c>
      <c r="G317" s="198">
        <v>222.5</v>
      </c>
      <c r="H317" s="198">
        <v>231.6</v>
      </c>
      <c r="I317" s="210">
        <f t="shared" si="27"/>
        <v>1.0408988764044944</v>
      </c>
      <c r="J317" s="198">
        <v>0</v>
      </c>
      <c r="K317" s="210">
        <f t="shared" si="28"/>
        <v>0</v>
      </c>
      <c r="L317" s="199">
        <v>335.3</v>
      </c>
      <c r="M317" s="211">
        <f t="shared" si="29"/>
        <v>1.0408988764044944</v>
      </c>
      <c r="N317" s="199">
        <v>3051</v>
      </c>
      <c r="O317" s="198">
        <v>2.39</v>
      </c>
      <c r="P317" s="200">
        <v>1.0999999999999999E-2</v>
      </c>
      <c r="Q317" s="198">
        <v>6.7</v>
      </c>
      <c r="R317" s="200">
        <v>0.03</v>
      </c>
      <c r="S317" s="199">
        <v>2251.1999999999998</v>
      </c>
      <c r="T317" s="198" t="s">
        <v>315</v>
      </c>
      <c r="U317" s="198" t="s">
        <v>217</v>
      </c>
      <c r="V317" s="198" t="s">
        <v>442</v>
      </c>
      <c r="W317" s="205">
        <v>1</v>
      </c>
      <c r="X317" s="198" t="s">
        <v>114</v>
      </c>
    </row>
    <row r="318" spans="2:24">
      <c r="B318" s="498"/>
      <c r="C318" s="496"/>
      <c r="D318" s="209">
        <v>212</v>
      </c>
      <c r="E318" s="198" t="s">
        <v>283</v>
      </c>
      <c r="F318" s="199">
        <v>595</v>
      </c>
      <c r="G318" s="198">
        <v>153</v>
      </c>
      <c r="H318" s="198">
        <v>154.4</v>
      </c>
      <c r="I318" s="210">
        <f t="shared" si="27"/>
        <v>1.0091503267973856</v>
      </c>
      <c r="J318" s="198">
        <v>0</v>
      </c>
      <c r="K318" s="210">
        <f t="shared" si="28"/>
        <v>0</v>
      </c>
      <c r="L318" s="199">
        <v>162.4</v>
      </c>
      <c r="M318" s="211">
        <f t="shared" si="29"/>
        <v>1.0091503267973856</v>
      </c>
      <c r="N318" s="199">
        <v>217</v>
      </c>
      <c r="O318" s="198">
        <v>3.66</v>
      </c>
      <c r="P318" s="200">
        <v>2.4E-2</v>
      </c>
      <c r="Q318" s="198">
        <v>-2.2999999999999998</v>
      </c>
      <c r="R318" s="200">
        <v>-1.4999999999999999E-2</v>
      </c>
      <c r="S318" s="199">
        <v>-378.2</v>
      </c>
      <c r="T318" s="198" t="s">
        <v>308</v>
      </c>
      <c r="U318" s="198" t="s">
        <v>276</v>
      </c>
      <c r="V318" s="198"/>
      <c r="W318" s="205">
        <v>1</v>
      </c>
      <c r="X318" s="198" t="s">
        <v>121</v>
      </c>
    </row>
    <row r="319" spans="2:24">
      <c r="B319" s="498"/>
      <c r="C319" s="496"/>
      <c r="D319" s="209">
        <v>213</v>
      </c>
      <c r="E319" s="198" t="s">
        <v>323</v>
      </c>
      <c r="F319" s="199">
        <v>453</v>
      </c>
      <c r="G319" s="198">
        <v>106.8</v>
      </c>
      <c r="H319" s="198">
        <v>107.6</v>
      </c>
      <c r="I319" s="210">
        <f t="shared" si="27"/>
        <v>1.0074906367041199</v>
      </c>
      <c r="J319" s="198">
        <v>0</v>
      </c>
      <c r="K319" s="210">
        <f t="shared" si="28"/>
        <v>0</v>
      </c>
      <c r="L319" s="199">
        <v>356.4</v>
      </c>
      <c r="M319" s="211">
        <f t="shared" si="29"/>
        <v>1.0074906367041199</v>
      </c>
      <c r="N319" s="199">
        <v>292</v>
      </c>
      <c r="O319" s="198">
        <v>1.27</v>
      </c>
      <c r="P319" s="200">
        <v>1.2E-2</v>
      </c>
      <c r="Q319" s="198">
        <v>-0.5</v>
      </c>
      <c r="R319" s="200">
        <v>-4.0000000000000001E-3</v>
      </c>
      <c r="S319" s="199">
        <v>-161.1</v>
      </c>
      <c r="T319" s="198" t="s">
        <v>315</v>
      </c>
      <c r="U319" s="198" t="s">
        <v>217</v>
      </c>
      <c r="V319" s="198" t="s">
        <v>423</v>
      </c>
      <c r="W319" s="205">
        <v>1</v>
      </c>
      <c r="X319" s="198" t="s">
        <v>111</v>
      </c>
    </row>
    <row r="320" spans="2:24">
      <c r="B320" s="498"/>
      <c r="C320" s="496"/>
      <c r="D320" s="209">
        <v>214</v>
      </c>
      <c r="E320" s="198" t="s">
        <v>440</v>
      </c>
      <c r="F320" s="199">
        <v>367</v>
      </c>
      <c r="G320" s="198">
        <v>255.3</v>
      </c>
      <c r="H320" s="198">
        <v>257.8</v>
      </c>
      <c r="I320" s="210">
        <f t="shared" si="27"/>
        <v>1.0097924010967489</v>
      </c>
      <c r="J320" s="198">
        <v>0</v>
      </c>
      <c r="K320" s="210">
        <f t="shared" si="28"/>
        <v>0</v>
      </c>
      <c r="L320" s="199">
        <v>115.1</v>
      </c>
      <c r="M320" s="211">
        <f t="shared" si="29"/>
        <v>1.0097924010967489</v>
      </c>
      <c r="N320" s="199">
        <v>289</v>
      </c>
      <c r="O320" s="198">
        <v>3.19</v>
      </c>
      <c r="P320" s="200">
        <v>1.2E-2</v>
      </c>
      <c r="Q320" s="198">
        <v>-0.7</v>
      </c>
      <c r="R320" s="200">
        <v>-3.0000000000000001E-3</v>
      </c>
      <c r="S320" s="199">
        <v>-78</v>
      </c>
      <c r="T320" s="198" t="s">
        <v>308</v>
      </c>
      <c r="U320" s="198" t="s">
        <v>276</v>
      </c>
      <c r="V320" s="198"/>
      <c r="W320" s="205">
        <v>1</v>
      </c>
      <c r="X320" s="198" t="s">
        <v>432</v>
      </c>
    </row>
    <row r="321" spans="2:24">
      <c r="B321" s="498"/>
      <c r="C321" s="496"/>
      <c r="D321" s="209">
        <v>215</v>
      </c>
      <c r="E321" s="198" t="s">
        <v>285</v>
      </c>
      <c r="F321" s="199">
        <v>359</v>
      </c>
      <c r="G321" s="198">
        <v>21.5</v>
      </c>
      <c r="H321" s="198">
        <v>21.8</v>
      </c>
      <c r="I321" s="210">
        <f t="shared" si="27"/>
        <v>1.0139534883720931</v>
      </c>
      <c r="J321" s="198">
        <v>0</v>
      </c>
      <c r="K321" s="210">
        <f t="shared" si="28"/>
        <v>0</v>
      </c>
      <c r="L321" s="199">
        <v>570</v>
      </c>
      <c r="M321" s="211">
        <f t="shared" si="29"/>
        <v>1.0139534883720931</v>
      </c>
      <c r="N321" s="199">
        <v>1911</v>
      </c>
      <c r="O321" s="198">
        <v>0.63</v>
      </c>
      <c r="P321" s="200">
        <v>2.9000000000000001E-2</v>
      </c>
      <c r="Q321" s="198">
        <v>-0.4</v>
      </c>
      <c r="R321" s="200">
        <v>-1.7999999999999999E-2</v>
      </c>
      <c r="S321" s="199">
        <v>-215.5</v>
      </c>
      <c r="T321" s="198" t="s">
        <v>308</v>
      </c>
      <c r="U321" s="198" t="s">
        <v>276</v>
      </c>
      <c r="V321" s="198"/>
      <c r="W321" s="205">
        <v>1</v>
      </c>
      <c r="X321" s="198" t="s">
        <v>339</v>
      </c>
    </row>
    <row r="322" spans="2:24">
      <c r="B322" s="498"/>
      <c r="C322" s="496"/>
      <c r="D322" s="209">
        <v>216</v>
      </c>
      <c r="E322" s="198" t="s">
        <v>321</v>
      </c>
      <c r="F322" s="199">
        <v>355</v>
      </c>
      <c r="G322" s="198">
        <v>59.7</v>
      </c>
      <c r="H322" s="198">
        <v>59.8</v>
      </c>
      <c r="I322" s="210">
        <f t="shared" si="27"/>
        <v>1.0016750418760467</v>
      </c>
      <c r="J322" s="198">
        <v>0</v>
      </c>
      <c r="K322" s="210">
        <f t="shared" si="28"/>
        <v>0</v>
      </c>
      <c r="L322" s="199">
        <v>697.5</v>
      </c>
      <c r="M322" s="211">
        <f t="shared" si="29"/>
        <v>1.0016750418760467</v>
      </c>
      <c r="N322" s="199">
        <v>59</v>
      </c>
      <c r="O322" s="198">
        <v>0.51</v>
      </c>
      <c r="P322" s="200">
        <v>8.9999999999999993E-3</v>
      </c>
      <c r="Q322" s="198">
        <v>-0.4</v>
      </c>
      <c r="R322" s="200">
        <v>-7.0000000000000001E-3</v>
      </c>
      <c r="S322" s="199">
        <v>-295.7</v>
      </c>
      <c r="T322" s="198" t="s">
        <v>308</v>
      </c>
      <c r="U322" s="198" t="s">
        <v>276</v>
      </c>
      <c r="V322" s="198"/>
      <c r="W322" s="205">
        <v>1</v>
      </c>
      <c r="X322" s="198" t="s">
        <v>109</v>
      </c>
    </row>
    <row r="323" spans="2:24">
      <c r="B323" s="498"/>
      <c r="C323" s="496"/>
      <c r="D323" s="209">
        <v>217</v>
      </c>
      <c r="E323" s="198" t="s">
        <v>337</v>
      </c>
      <c r="F323" s="199">
        <v>340</v>
      </c>
      <c r="G323" s="198">
        <v>4302</v>
      </c>
      <c r="H323" s="198">
        <v>4358</v>
      </c>
      <c r="I323" s="210">
        <f t="shared" si="27"/>
        <v>1.0130172013017202</v>
      </c>
      <c r="J323" s="198">
        <v>0</v>
      </c>
      <c r="K323" s="210">
        <f t="shared" si="28"/>
        <v>0</v>
      </c>
      <c r="L323" s="199">
        <v>6.1</v>
      </c>
      <c r="M323" s="211">
        <f t="shared" si="29"/>
        <v>1.0130172013017202</v>
      </c>
      <c r="N323" s="199">
        <v>340</v>
      </c>
      <c r="O323" s="198">
        <v>56</v>
      </c>
      <c r="P323" s="200">
        <v>1.2999999999999999E-2</v>
      </c>
      <c r="Q323" s="198">
        <v>0</v>
      </c>
      <c r="R323" s="200">
        <v>0</v>
      </c>
      <c r="S323" s="199">
        <v>0</v>
      </c>
      <c r="T323" s="198" t="s">
        <v>315</v>
      </c>
      <c r="U323" s="198" t="s">
        <v>217</v>
      </c>
      <c r="V323" s="198" t="s">
        <v>443</v>
      </c>
      <c r="W323" s="205">
        <v>1</v>
      </c>
      <c r="X323" s="198" t="s">
        <v>339</v>
      </c>
    </row>
    <row r="324" spans="2:24">
      <c r="B324" s="498"/>
      <c r="C324" s="496"/>
      <c r="D324" s="209">
        <v>218</v>
      </c>
      <c r="E324" s="198" t="s">
        <v>333</v>
      </c>
      <c r="F324" s="199">
        <v>336</v>
      </c>
      <c r="G324" s="198">
        <v>815.8</v>
      </c>
      <c r="H324" s="198">
        <v>836.4</v>
      </c>
      <c r="I324" s="210">
        <f t="shared" si="27"/>
        <v>1.0252512870801667</v>
      </c>
      <c r="J324" s="198">
        <v>0</v>
      </c>
      <c r="K324" s="210">
        <f t="shared" si="28"/>
        <v>0</v>
      </c>
      <c r="L324" s="199">
        <v>35.9</v>
      </c>
      <c r="M324" s="211">
        <f t="shared" si="29"/>
        <v>1.0252512870801667</v>
      </c>
      <c r="N324" s="199">
        <v>742</v>
      </c>
      <c r="O324" s="198">
        <v>9.35</v>
      </c>
      <c r="P324" s="200">
        <v>1.0999999999999999E-2</v>
      </c>
      <c r="Q324" s="198">
        <v>11.3</v>
      </c>
      <c r="R324" s="200">
        <v>1.4E-2</v>
      </c>
      <c r="S324" s="199">
        <v>406.3</v>
      </c>
      <c r="T324" s="198" t="s">
        <v>308</v>
      </c>
      <c r="U324" s="198" t="s">
        <v>276</v>
      </c>
      <c r="V324" s="198"/>
      <c r="W324" s="205">
        <v>1</v>
      </c>
      <c r="X324" s="198" t="s">
        <v>114</v>
      </c>
    </row>
    <row r="325" spans="2:24">
      <c r="B325" s="498"/>
      <c r="C325" s="496"/>
      <c r="D325" s="209">
        <v>219</v>
      </c>
      <c r="E325" s="198" t="s">
        <v>333</v>
      </c>
      <c r="F325" s="199">
        <v>326</v>
      </c>
      <c r="G325" s="198">
        <v>1314.3</v>
      </c>
      <c r="H325" s="198">
        <v>1314.5</v>
      </c>
      <c r="I325" s="210">
        <f t="shared" si="27"/>
        <v>1.0001521722589972</v>
      </c>
      <c r="J325" s="198">
        <v>0</v>
      </c>
      <c r="K325" s="210">
        <f t="shared" si="28"/>
        <v>0</v>
      </c>
      <c r="L325" s="199">
        <v>34.6</v>
      </c>
      <c r="M325" s="211">
        <f t="shared" si="29"/>
        <v>1.0001521722589972</v>
      </c>
      <c r="N325" s="199">
        <v>9</v>
      </c>
      <c r="O325" s="198">
        <v>9.43</v>
      </c>
      <c r="P325" s="200">
        <v>7.0000000000000001E-3</v>
      </c>
      <c r="Q325" s="198">
        <v>-9.1999999999999993</v>
      </c>
      <c r="R325" s="200">
        <v>-7.0000000000000001E-3</v>
      </c>
      <c r="S325" s="199">
        <v>-317.3</v>
      </c>
      <c r="T325" s="198" t="s">
        <v>308</v>
      </c>
      <c r="U325" s="198" t="s">
        <v>276</v>
      </c>
      <c r="V325" s="198"/>
      <c r="W325" s="205">
        <v>1</v>
      </c>
      <c r="X325" s="198" t="s">
        <v>109</v>
      </c>
    </row>
    <row r="326" spans="2:24">
      <c r="B326" s="498"/>
      <c r="C326" s="496"/>
      <c r="D326" s="209">
        <v>220</v>
      </c>
      <c r="E326" s="198" t="s">
        <v>356</v>
      </c>
      <c r="F326" s="199">
        <v>316</v>
      </c>
      <c r="G326" s="198">
        <v>13.6</v>
      </c>
      <c r="H326" s="198">
        <v>13.7</v>
      </c>
      <c r="I326" s="210">
        <f t="shared" si="27"/>
        <v>1.0073529411764706</v>
      </c>
      <c r="J326" s="198">
        <v>0</v>
      </c>
      <c r="K326" s="210">
        <f t="shared" si="28"/>
        <v>0</v>
      </c>
      <c r="L326" s="199">
        <v>922.7</v>
      </c>
      <c r="M326" s="211">
        <f t="shared" si="29"/>
        <v>1.0073529411764706</v>
      </c>
      <c r="N326" s="199">
        <v>73</v>
      </c>
      <c r="O326" s="198">
        <v>0.34</v>
      </c>
      <c r="P326" s="200">
        <v>2.5000000000000001E-2</v>
      </c>
      <c r="Q326" s="198">
        <v>-0.3</v>
      </c>
      <c r="R326" s="200">
        <v>-1.9E-2</v>
      </c>
      <c r="S326" s="199">
        <v>-243.6</v>
      </c>
      <c r="T326" s="198" t="s">
        <v>308</v>
      </c>
      <c r="U326" s="198" t="s">
        <v>276</v>
      </c>
      <c r="V326" s="198"/>
      <c r="W326" s="205">
        <v>1</v>
      </c>
      <c r="X326" s="198" t="s">
        <v>121</v>
      </c>
    </row>
  </sheetData>
  <mergeCells count="83"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C117:C126"/>
    <mergeCell ref="C127:C13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317:B326"/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B257:B266"/>
    <mergeCell ref="B247:B256"/>
    <mergeCell ref="B267:B276"/>
    <mergeCell ref="B277:B28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187:B196"/>
    <mergeCell ref="B197:B206"/>
  </mergeCells>
  <phoneticPr fontId="16" type="noConversion"/>
  <dataValidations count="2">
    <dataValidation type="list" allowBlank="1" showInputMessage="1" showErrorMessage="1" sqref="U1:U1048576" xr:uid="{00000000-0002-0000-0F00-000000000000}">
      <formula1>$AB$28:$AB$35</formula1>
    </dataValidation>
    <dataValidation type="list" allowBlank="1" showInputMessage="1" showErrorMessage="1" sqref="T1:T1048576" xr:uid="{00000000-0002-0000-0F00-000001000000}">
      <formula1>$AB$38:$AB$42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CC"/>
  </sheetPr>
  <dimension ref="B2:AH326"/>
  <sheetViews>
    <sheetView zoomScale="70" zoomScaleNormal="70" workbookViewId="0">
      <pane xSplit="4" ySplit="6" topLeftCell="T273" activePane="bottomRight" state="frozen"/>
      <selection pane="bottomRight" activeCell="V329" sqref="V329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6.85546875" style="196" customWidth="1"/>
    <col min="5" max="5" width="39.28515625" style="196" bestFit="1" customWidth="1"/>
    <col min="6" max="6" width="11.42578125" style="196" bestFit="1" customWidth="1"/>
    <col min="7" max="7" width="16" style="196" bestFit="1" customWidth="1"/>
    <col min="8" max="8" width="11.42578125" style="196" bestFit="1" customWidth="1"/>
    <col min="9" max="9" width="16.85546875" style="196" customWidth="1"/>
    <col min="10" max="10" width="10.28515625" style="196" bestFit="1" customWidth="1"/>
    <col min="11" max="11" width="11.5703125" style="196" bestFit="1" customWidth="1"/>
    <col min="12" max="12" width="10.28515625" style="196" bestFit="1" customWidth="1"/>
    <col min="13" max="13" width="19.42578125" style="196" customWidth="1"/>
    <col min="14" max="14" width="9.5703125" style="196" bestFit="1" customWidth="1"/>
    <col min="15" max="18" width="14" style="196" customWidth="1"/>
    <col min="19" max="19" width="17.42578125" style="196" bestFit="1" customWidth="1"/>
    <col min="20" max="20" width="16.42578125" style="196" bestFit="1" customWidth="1"/>
    <col min="21" max="21" width="35.28515625" style="196" bestFit="1" customWidth="1"/>
    <col min="22" max="22" width="96.28515625" style="196" customWidth="1"/>
    <col min="23" max="23" width="7.42578125" style="196" bestFit="1" customWidth="1"/>
    <col min="24" max="24" width="39.285156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0" t="s">
        <v>444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Z2" s="197"/>
      <c r="AA2" s="197"/>
    </row>
    <row r="3" spans="2:34" ht="17.100000000000001" customHeight="1">
      <c r="B3" s="502" t="s">
        <v>52</v>
      </c>
      <c r="C3" s="503"/>
      <c r="D3" s="499" t="s">
        <v>234</v>
      </c>
      <c r="E3" s="499"/>
      <c r="F3" s="499"/>
      <c r="G3" s="499" t="s">
        <v>235</v>
      </c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 t="s">
        <v>236</v>
      </c>
      <c r="U3" s="511" t="s">
        <v>237</v>
      </c>
      <c r="V3" s="511" t="s">
        <v>238</v>
      </c>
      <c r="W3" s="511" t="s">
        <v>239</v>
      </c>
      <c r="X3" s="514" t="s">
        <v>240</v>
      </c>
      <c r="Z3" s="499" t="s">
        <v>241</v>
      </c>
      <c r="AA3" s="499"/>
      <c r="AB3" s="499"/>
      <c r="AC3" s="499"/>
      <c r="AD3" s="499"/>
      <c r="AE3" s="499"/>
      <c r="AF3" s="499"/>
      <c r="AG3" s="499"/>
      <c r="AH3" s="499"/>
    </row>
    <row r="4" spans="2:34" ht="17.100000000000001" customHeight="1">
      <c r="B4" s="504"/>
      <c r="C4" s="505"/>
      <c r="D4" s="515" t="s">
        <v>242</v>
      </c>
      <c r="E4" s="499" t="s">
        <v>243</v>
      </c>
      <c r="F4" s="499"/>
      <c r="G4" s="499" t="s">
        <v>244</v>
      </c>
      <c r="H4" s="499"/>
      <c r="I4" s="499"/>
      <c r="J4" s="499"/>
      <c r="K4" s="499"/>
      <c r="L4" s="499"/>
      <c r="M4" s="499"/>
      <c r="N4" s="499"/>
      <c r="O4" s="499" t="s">
        <v>245</v>
      </c>
      <c r="P4" s="499"/>
      <c r="Q4" s="499"/>
      <c r="R4" s="499"/>
      <c r="S4" s="499"/>
      <c r="T4" s="499"/>
      <c r="U4" s="512"/>
      <c r="V4" s="512"/>
      <c r="W4" s="512"/>
      <c r="X4" s="514"/>
      <c r="Z4" s="499"/>
      <c r="AA4" s="499"/>
      <c r="AB4" s="499"/>
      <c r="AC4" s="499"/>
      <c r="AD4" s="499"/>
      <c r="AE4" s="499"/>
      <c r="AF4" s="499"/>
      <c r="AG4" s="499"/>
      <c r="AH4" s="499"/>
    </row>
    <row r="5" spans="2:34" ht="17.100000000000001" customHeight="1">
      <c r="B5" s="504"/>
      <c r="C5" s="505"/>
      <c r="D5" s="515"/>
      <c r="E5" s="515" t="s">
        <v>246</v>
      </c>
      <c r="F5" s="514" t="s">
        <v>445</v>
      </c>
      <c r="G5" s="516" t="s">
        <v>248</v>
      </c>
      <c r="H5" s="516"/>
      <c r="I5" s="516"/>
      <c r="J5" s="516"/>
      <c r="K5" s="516"/>
      <c r="L5" s="516"/>
      <c r="M5" s="516"/>
      <c r="N5" s="516"/>
      <c r="O5" s="518" t="s">
        <v>249</v>
      </c>
      <c r="P5" s="519"/>
      <c r="Q5" s="520"/>
      <c r="R5" s="516" t="s">
        <v>250</v>
      </c>
      <c r="S5" s="516"/>
      <c r="T5" s="499"/>
      <c r="U5" s="512"/>
      <c r="V5" s="512"/>
      <c r="W5" s="512"/>
      <c r="X5" s="514"/>
      <c r="Z5" s="499"/>
      <c r="AA5" s="499"/>
      <c r="AB5" s="499"/>
      <c r="AC5" s="499"/>
      <c r="AD5" s="499"/>
      <c r="AE5" s="499"/>
      <c r="AF5" s="499"/>
      <c r="AG5" s="499"/>
      <c r="AH5" s="499"/>
    </row>
    <row r="6" spans="2:34" ht="38.450000000000003" customHeight="1">
      <c r="B6" s="506"/>
      <c r="C6" s="507"/>
      <c r="D6" s="515"/>
      <c r="E6" s="515"/>
      <c r="F6" s="514"/>
      <c r="G6" s="207" t="s">
        <v>251</v>
      </c>
      <c r="H6" s="207" t="s">
        <v>252</v>
      </c>
      <c r="I6" s="207" t="s">
        <v>253</v>
      </c>
      <c r="J6" s="207" t="s">
        <v>254</v>
      </c>
      <c r="K6" s="207" t="s">
        <v>255</v>
      </c>
      <c r="L6" s="207" t="s">
        <v>256</v>
      </c>
      <c r="M6" s="207" t="s">
        <v>257</v>
      </c>
      <c r="N6" s="207" t="s">
        <v>258</v>
      </c>
      <c r="O6" s="208" t="s">
        <v>259</v>
      </c>
      <c r="P6" s="208" t="s">
        <v>260</v>
      </c>
      <c r="Q6" s="207" t="s">
        <v>261</v>
      </c>
      <c r="R6" s="208" t="s">
        <v>259</v>
      </c>
      <c r="S6" s="208" t="s">
        <v>260</v>
      </c>
      <c r="T6" s="499"/>
      <c r="U6" s="513"/>
      <c r="V6" s="513"/>
      <c r="W6" s="513"/>
      <c r="X6" s="514"/>
      <c r="Z6" s="231" t="s">
        <v>262</v>
      </c>
      <c r="AA6" s="231" t="s">
        <v>263</v>
      </c>
      <c r="AB6" s="222" t="s">
        <v>264</v>
      </c>
      <c r="AC6" s="222" t="s">
        <v>211</v>
      </c>
      <c r="AD6" s="222" t="s">
        <v>265</v>
      </c>
      <c r="AE6" s="222" t="s">
        <v>266</v>
      </c>
      <c r="AF6" s="222" t="s">
        <v>267</v>
      </c>
      <c r="AG6" s="222" t="s">
        <v>268</v>
      </c>
      <c r="AH6" s="222" t="s">
        <v>269</v>
      </c>
    </row>
    <row r="7" spans="2:34" ht="16.5">
      <c r="B7" s="495">
        <v>45870</v>
      </c>
      <c r="C7" s="496" t="s">
        <v>63</v>
      </c>
      <c r="D7" s="209">
        <v>1</v>
      </c>
      <c r="E7" s="198" t="s">
        <v>287</v>
      </c>
      <c r="F7" s="204">
        <v>6422.3178153846138</v>
      </c>
      <c r="G7" s="205">
        <v>97.64</v>
      </c>
      <c r="H7" s="266">
        <v>111.67700000000001</v>
      </c>
      <c r="I7" s="210">
        <f>H7/G7</f>
        <v>1.1437628021302746</v>
      </c>
      <c r="J7" s="205">
        <v>6.9</v>
      </c>
      <c r="K7" s="210">
        <f>J7/G7</f>
        <v>7.066775911511676E-2</v>
      </c>
      <c r="L7" s="266">
        <v>508.21538461538449</v>
      </c>
      <c r="M7" s="211">
        <f>(H7+J7)/G7</f>
        <v>1.2144305612453914</v>
      </c>
      <c r="N7" s="204">
        <v>10640.505507692305</v>
      </c>
      <c r="O7" s="266">
        <v>1.4</v>
      </c>
      <c r="P7" s="206">
        <v>1.4338385907414992E-2</v>
      </c>
      <c r="Q7" s="271">
        <v>711.5015384615383</v>
      </c>
      <c r="R7" s="255">
        <v>19.537000000000013</v>
      </c>
      <c r="S7" s="206">
        <v>0.20009217533797638</v>
      </c>
      <c r="T7" s="254" t="s">
        <v>271</v>
      </c>
      <c r="U7" s="198" t="s">
        <v>217</v>
      </c>
      <c r="V7" s="205" t="s">
        <v>367</v>
      </c>
      <c r="W7" s="205">
        <v>1</v>
      </c>
      <c r="X7" s="205" t="s">
        <v>110</v>
      </c>
      <c r="Y7" s="201" t="s">
        <v>273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44</v>
      </c>
      <c r="AC7" s="227">
        <f t="shared" ref="AC7:AH7" ca="1" si="0">SUMIF($U$7:$U$10000,TRIM(AC6),$W$7:$W$46)</f>
        <v>0</v>
      </c>
      <c r="AD7" s="227">
        <f t="shared" ca="1" si="0"/>
        <v>135</v>
      </c>
      <c r="AE7" s="227">
        <f t="shared" ca="1" si="0"/>
        <v>9</v>
      </c>
      <c r="AF7" s="227">
        <f t="shared" ca="1" si="0"/>
        <v>114</v>
      </c>
      <c r="AG7" s="227">
        <f t="shared" ca="1" si="0"/>
        <v>7</v>
      </c>
      <c r="AH7" s="227">
        <f t="shared" ca="1" si="0"/>
        <v>0</v>
      </c>
    </row>
    <row r="8" spans="2:34" ht="16.5">
      <c r="B8" s="496"/>
      <c r="C8" s="496"/>
      <c r="D8" s="209">
        <v>2</v>
      </c>
      <c r="E8" s="198" t="s">
        <v>324</v>
      </c>
      <c r="F8" s="204">
        <v>4853.1112599999997</v>
      </c>
      <c r="G8" s="205">
        <v>154.715</v>
      </c>
      <c r="H8" s="266">
        <v>169.809</v>
      </c>
      <c r="I8" s="210">
        <f t="shared" ref="I8:I71" si="1">H8/G8</f>
        <v>1.097560029732088</v>
      </c>
      <c r="J8" s="205"/>
      <c r="K8" s="210">
        <f t="shared" ref="K8:K71" si="2">J8/G8</f>
        <v>0</v>
      </c>
      <c r="L8" s="266">
        <v>328.49</v>
      </c>
      <c r="M8" s="211">
        <f t="shared" ref="M8:M71" si="3">(H8+J8)/G8</f>
        <v>1.097560029732088</v>
      </c>
      <c r="N8" s="204">
        <v>4958.2280600000004</v>
      </c>
      <c r="O8" s="266">
        <v>0.32</v>
      </c>
      <c r="P8" s="206">
        <v>2.0683191675015351E-3</v>
      </c>
      <c r="Q8" s="271">
        <v>105.11680000000001</v>
      </c>
      <c r="R8" s="255">
        <v>14.773999999999994</v>
      </c>
      <c r="S8" s="206">
        <v>9.5491710564586454E-2</v>
      </c>
      <c r="T8" s="254" t="s">
        <v>271</v>
      </c>
      <c r="U8" s="198" t="s">
        <v>217</v>
      </c>
      <c r="V8" s="205" t="s">
        <v>332</v>
      </c>
      <c r="W8" s="205">
        <v>1</v>
      </c>
      <c r="X8" s="205" t="s">
        <v>114</v>
      </c>
      <c r="Y8" s="201"/>
      <c r="Z8" s="228"/>
      <c r="AA8" s="230">
        <f t="shared" ref="AA8:AH8" ca="1" si="4">SUMIF($U$7:$U$466,TRIM(AA6),$F$7:$F$46)</f>
        <v>0</v>
      </c>
      <c r="AB8" s="230">
        <f t="shared" ca="1" si="4"/>
        <v>122154.62335326121</v>
      </c>
      <c r="AC8" s="230">
        <f t="shared" ca="1" si="4"/>
        <v>0</v>
      </c>
      <c r="AD8" s="230">
        <f t="shared" ca="1" si="4"/>
        <v>153271.33862507506</v>
      </c>
      <c r="AE8" s="230">
        <f t="shared" ca="1" si="4"/>
        <v>7818.7244999999984</v>
      </c>
      <c r="AF8" s="230">
        <f t="shared" ca="1" si="4"/>
        <v>464531.74917278602</v>
      </c>
      <c r="AG8" s="230">
        <f t="shared" ca="1" si="4"/>
        <v>11296.466060000004</v>
      </c>
      <c r="AH8" s="230">
        <f t="shared" ca="1" si="4"/>
        <v>0</v>
      </c>
    </row>
    <row r="9" spans="2:34" ht="15.75">
      <c r="B9" s="496"/>
      <c r="C9" s="496"/>
      <c r="D9" s="209">
        <v>3</v>
      </c>
      <c r="E9" s="198" t="s">
        <v>289</v>
      </c>
      <c r="F9" s="204">
        <v>4245.75</v>
      </c>
      <c r="G9" s="205">
        <v>310.58999999999997</v>
      </c>
      <c r="H9" s="266">
        <v>367.70400000000001</v>
      </c>
      <c r="I9" s="210">
        <f t="shared" si="1"/>
        <v>1.1838887279049553</v>
      </c>
      <c r="J9" s="205"/>
      <c r="K9" s="210">
        <f t="shared" si="2"/>
        <v>0</v>
      </c>
      <c r="L9" s="266">
        <v>85</v>
      </c>
      <c r="M9" s="211">
        <f t="shared" si="3"/>
        <v>1.1838887279049553</v>
      </c>
      <c r="N9" s="204">
        <v>4854.6900000000005</v>
      </c>
      <c r="O9" s="266">
        <v>7.1639999999999997</v>
      </c>
      <c r="P9" s="206">
        <v>2.3065778035352074E-2</v>
      </c>
      <c r="Q9" s="271">
        <v>608.93999999999994</v>
      </c>
      <c r="R9" s="255">
        <v>49.950000000000031</v>
      </c>
      <c r="S9" s="206">
        <v>0.16082294986960313</v>
      </c>
      <c r="T9" s="268" t="s">
        <v>275</v>
      </c>
      <c r="U9" s="198" t="s">
        <v>276</v>
      </c>
      <c r="V9" s="205" t="s">
        <v>413</v>
      </c>
      <c r="W9" s="205">
        <v>1</v>
      </c>
      <c r="X9" s="205" t="s">
        <v>134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22</v>
      </c>
      <c r="AC9" s="227">
        <f t="shared" si="5"/>
        <v>0</v>
      </c>
      <c r="AD9" s="227">
        <f t="shared" si="5"/>
        <v>7</v>
      </c>
      <c r="AE9" s="227">
        <f t="shared" si="5"/>
        <v>0</v>
      </c>
      <c r="AF9" s="227">
        <f t="shared" si="5"/>
        <v>41</v>
      </c>
      <c r="AG9" s="227">
        <f t="shared" si="5"/>
        <v>0</v>
      </c>
      <c r="AH9" s="227">
        <f t="shared" si="5"/>
        <v>0</v>
      </c>
    </row>
    <row r="10" spans="2:34" ht="15.75">
      <c r="B10" s="496"/>
      <c r="C10" s="496"/>
      <c r="D10" s="209">
        <v>4</v>
      </c>
      <c r="E10" s="198" t="s">
        <v>274</v>
      </c>
      <c r="F10" s="204">
        <v>2553.7209999999995</v>
      </c>
      <c r="G10" s="205">
        <v>593.86500000000001</v>
      </c>
      <c r="H10" s="266">
        <v>618.46500000000003</v>
      </c>
      <c r="I10" s="210">
        <f t="shared" si="1"/>
        <v>1.0414235558586549</v>
      </c>
      <c r="J10" s="205"/>
      <c r="K10" s="210">
        <f t="shared" si="2"/>
        <v>0</v>
      </c>
      <c r="L10" s="266">
        <v>156.66999999999999</v>
      </c>
      <c r="M10" s="211">
        <f t="shared" si="3"/>
        <v>1.0414235558586549</v>
      </c>
      <c r="N10" s="204">
        <v>3854.0819999999994</v>
      </c>
      <c r="O10" s="266">
        <v>8.3000000000000007</v>
      </c>
      <c r="P10" s="206">
        <v>1.3976240391334731E-2</v>
      </c>
      <c r="Q10" s="271">
        <v>1300.3610000000001</v>
      </c>
      <c r="R10" s="255">
        <v>16.300000000000022</v>
      </c>
      <c r="S10" s="206">
        <v>2.7447315467320051E-2</v>
      </c>
      <c r="T10" s="268" t="s">
        <v>275</v>
      </c>
      <c r="U10" s="198" t="s">
        <v>276</v>
      </c>
      <c r="V10" s="205" t="s">
        <v>413</v>
      </c>
      <c r="W10" s="205">
        <v>1</v>
      </c>
      <c r="X10" s="205" t="s">
        <v>109</v>
      </c>
      <c r="Y10" s="201" t="s">
        <v>282</v>
      </c>
      <c r="Z10" s="227"/>
      <c r="AA10" s="230">
        <f t="shared" ref="AA10:AH10" si="6">SUMIF($U$47:$U$116,TRIM(AA6),$F$47:$F$116)</f>
        <v>0</v>
      </c>
      <c r="AB10" s="230">
        <f t="shared" si="6"/>
        <v>81154.639888666585</v>
      </c>
      <c r="AC10" s="230">
        <f t="shared" si="6"/>
        <v>0</v>
      </c>
      <c r="AD10" s="230">
        <f t="shared" si="6"/>
        <v>11848.411845675688</v>
      </c>
      <c r="AE10" s="230">
        <f t="shared" si="6"/>
        <v>0</v>
      </c>
      <c r="AF10" s="230">
        <f t="shared" si="6"/>
        <v>224861.08174692301</v>
      </c>
      <c r="AG10" s="230">
        <f t="shared" si="6"/>
        <v>0</v>
      </c>
      <c r="AH10" s="230">
        <f t="shared" si="6"/>
        <v>0</v>
      </c>
    </row>
    <row r="11" spans="2:34" ht="16.5">
      <c r="B11" s="496"/>
      <c r="C11" s="496"/>
      <c r="D11" s="209">
        <v>5</v>
      </c>
      <c r="E11" s="198" t="s">
        <v>323</v>
      </c>
      <c r="F11" s="204">
        <v>2241.5673000000002</v>
      </c>
      <c r="G11" s="205">
        <v>100.744</v>
      </c>
      <c r="H11" s="266">
        <v>108.23399999999999</v>
      </c>
      <c r="I11" s="210">
        <f t="shared" si="1"/>
        <v>1.0743468593663146</v>
      </c>
      <c r="J11" s="205"/>
      <c r="K11" s="210">
        <f t="shared" si="2"/>
        <v>0</v>
      </c>
      <c r="L11" s="266">
        <v>356.37</v>
      </c>
      <c r="M11" s="211">
        <f t="shared" si="3"/>
        <v>1.0743468593663146</v>
      </c>
      <c r="N11" s="204">
        <v>2669.2112999999999</v>
      </c>
      <c r="O11" s="266">
        <v>1.2</v>
      </c>
      <c r="P11" s="206">
        <v>1.1911379337727308E-2</v>
      </c>
      <c r="Q11" s="271">
        <v>427.64400000000001</v>
      </c>
      <c r="R11" s="255">
        <v>6.2899999999999947</v>
      </c>
      <c r="S11" s="206">
        <v>6.2435480028587259E-2</v>
      </c>
      <c r="T11" s="254" t="s">
        <v>271</v>
      </c>
      <c r="U11" s="198" t="s">
        <v>217</v>
      </c>
      <c r="V11" s="205" t="s">
        <v>361</v>
      </c>
      <c r="W11" s="205">
        <v>1</v>
      </c>
      <c r="X11" s="205" t="s">
        <v>111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6.5">
      <c r="B12" s="496"/>
      <c r="C12" s="496"/>
      <c r="D12" s="209">
        <v>6</v>
      </c>
      <c r="E12" s="198" t="s">
        <v>314</v>
      </c>
      <c r="F12" s="204">
        <v>1867.1207999999999</v>
      </c>
      <c r="G12" s="205">
        <v>232.25</v>
      </c>
      <c r="H12" s="266">
        <v>240.87700000000001</v>
      </c>
      <c r="I12" s="210">
        <f t="shared" si="1"/>
        <v>1.0371453175457481</v>
      </c>
      <c r="J12" s="205">
        <v>1.54</v>
      </c>
      <c r="K12" s="210">
        <f t="shared" si="2"/>
        <v>6.630785791173305E-3</v>
      </c>
      <c r="L12" s="266">
        <v>226.39999999999998</v>
      </c>
      <c r="M12" s="211">
        <f t="shared" si="3"/>
        <v>1.0437761033369215</v>
      </c>
      <c r="N12" s="204">
        <v>2301.8087999999998</v>
      </c>
      <c r="O12" s="266">
        <v>0.38</v>
      </c>
      <c r="P12" s="206">
        <v>1.636167922497309E-3</v>
      </c>
      <c r="Q12" s="271">
        <v>86.031999999999996</v>
      </c>
      <c r="R12" s="255">
        <v>9.7870000000000008</v>
      </c>
      <c r="S12" s="206">
        <v>4.2139935414424116E-2</v>
      </c>
      <c r="T12" s="254" t="s">
        <v>271</v>
      </c>
      <c r="U12" s="198" t="s">
        <v>217</v>
      </c>
      <c r="V12" s="205" t="s">
        <v>357</v>
      </c>
      <c r="W12" s="205">
        <v>1</v>
      </c>
      <c r="X12" s="205" t="s">
        <v>121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1</v>
      </c>
      <c r="AC12" s="227">
        <f t="shared" si="7"/>
        <v>0</v>
      </c>
      <c r="AD12" s="227">
        <f t="shared" si="7"/>
        <v>30</v>
      </c>
      <c r="AE12" s="227">
        <f t="shared" si="7"/>
        <v>0</v>
      </c>
      <c r="AF12" s="227">
        <f t="shared" si="7"/>
        <v>30</v>
      </c>
      <c r="AG12" s="227">
        <f t="shared" si="7"/>
        <v>4</v>
      </c>
      <c r="AH12" s="227">
        <f t="shared" si="7"/>
        <v>0</v>
      </c>
    </row>
    <row r="13" spans="2:34" ht="15.75">
      <c r="B13" s="496"/>
      <c r="C13" s="496"/>
      <c r="D13" s="209">
        <v>7</v>
      </c>
      <c r="E13" s="198" t="s">
        <v>408</v>
      </c>
      <c r="F13" s="204">
        <v>1394.932</v>
      </c>
      <c r="G13" s="205">
        <v>156.08500000000001</v>
      </c>
      <c r="H13" s="266">
        <v>166.25800000000001</v>
      </c>
      <c r="I13" s="210">
        <f t="shared" si="1"/>
        <v>1.0651760258833327</v>
      </c>
      <c r="J13" s="205"/>
      <c r="K13" s="210">
        <f t="shared" si="2"/>
        <v>0</v>
      </c>
      <c r="L13" s="266">
        <v>154</v>
      </c>
      <c r="M13" s="211">
        <f t="shared" si="3"/>
        <v>1.0651760258833327</v>
      </c>
      <c r="N13" s="204">
        <v>1566.6420000000001</v>
      </c>
      <c r="O13" s="266">
        <v>1.115</v>
      </c>
      <c r="P13" s="206">
        <v>7.1435435820226155E-3</v>
      </c>
      <c r="Q13" s="271">
        <v>171.71</v>
      </c>
      <c r="R13" s="255">
        <v>9.0580000000000016</v>
      </c>
      <c r="S13" s="206">
        <v>5.8032482301310188E-2</v>
      </c>
      <c r="T13" s="268" t="s">
        <v>275</v>
      </c>
      <c r="U13" s="198" t="s">
        <v>276</v>
      </c>
      <c r="V13" s="205" t="s">
        <v>413</v>
      </c>
      <c r="W13" s="205">
        <v>1</v>
      </c>
      <c r="X13" s="205" t="s">
        <v>136</v>
      </c>
      <c r="Y13" s="201" t="s">
        <v>286</v>
      </c>
      <c r="Z13" s="227"/>
      <c r="AA13" s="230">
        <f t="shared" ref="AA13:AH13" si="8">SUMIF($U$117:$U$186,TRIM(AA6),$F$117:$F$186)</f>
        <v>0</v>
      </c>
      <c r="AB13" s="230">
        <f t="shared" si="8"/>
        <v>2149.5446699999993</v>
      </c>
      <c r="AC13" s="230">
        <f t="shared" si="8"/>
        <v>0</v>
      </c>
      <c r="AD13" s="230">
        <f t="shared" si="8"/>
        <v>32516.007807567559</v>
      </c>
      <c r="AE13" s="230">
        <f t="shared" si="8"/>
        <v>0</v>
      </c>
      <c r="AF13" s="230">
        <f t="shared" si="8"/>
        <v>133343.94540153843</v>
      </c>
      <c r="AG13" s="230">
        <f t="shared" si="8"/>
        <v>7877.8714200000013</v>
      </c>
      <c r="AH13" s="230">
        <f t="shared" si="8"/>
        <v>0</v>
      </c>
    </row>
    <row r="14" spans="2:34" ht="15.75">
      <c r="B14" s="496"/>
      <c r="C14" s="496"/>
      <c r="D14" s="209">
        <v>8</v>
      </c>
      <c r="E14" s="198" t="s">
        <v>420</v>
      </c>
      <c r="F14" s="204">
        <v>1277.0282</v>
      </c>
      <c r="G14" s="205">
        <v>1009.8</v>
      </c>
      <c r="H14" s="266">
        <v>1053.3340000000001</v>
      </c>
      <c r="I14" s="210">
        <f t="shared" si="1"/>
        <v>1.0431115072291544</v>
      </c>
      <c r="J14" s="205"/>
      <c r="K14" s="210">
        <f t="shared" si="2"/>
        <v>0</v>
      </c>
      <c r="L14" s="266">
        <v>337.99999999999994</v>
      </c>
      <c r="M14" s="211">
        <f t="shared" si="3"/>
        <v>1.0431115072291544</v>
      </c>
      <c r="N14" s="204">
        <v>1353.9074000000001</v>
      </c>
      <c r="O14" s="266">
        <v>2.472</v>
      </c>
      <c r="P14" s="206">
        <v>2.4480095068330362E-3</v>
      </c>
      <c r="Q14" s="271">
        <v>835.53599999999983</v>
      </c>
      <c r="R14" s="255">
        <v>41.062000000000104</v>
      </c>
      <c r="S14" s="206">
        <v>4.0663497722321355E-2</v>
      </c>
      <c r="T14" s="268" t="s">
        <v>275</v>
      </c>
      <c r="U14" s="198" t="s">
        <v>276</v>
      </c>
      <c r="V14" s="205" t="s">
        <v>413</v>
      </c>
      <c r="W14" s="205">
        <v>1</v>
      </c>
      <c r="X14" s="205" t="s">
        <v>112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5.75">
      <c r="B15" s="496"/>
      <c r="C15" s="496"/>
      <c r="D15" s="209">
        <v>9</v>
      </c>
      <c r="E15" s="198" t="s">
        <v>369</v>
      </c>
      <c r="F15" s="204">
        <v>1255.9751099999999</v>
      </c>
      <c r="G15" s="205">
        <v>254.07</v>
      </c>
      <c r="H15" s="266">
        <v>263.82</v>
      </c>
      <c r="I15" s="210">
        <f t="shared" si="1"/>
        <v>1.0383752509151021</v>
      </c>
      <c r="J15" s="205"/>
      <c r="K15" s="210">
        <f t="shared" si="2"/>
        <v>0</v>
      </c>
      <c r="L15" s="266">
        <v>31.099999999999998</v>
      </c>
      <c r="M15" s="211">
        <f t="shared" si="3"/>
        <v>1.0383752509151021</v>
      </c>
      <c r="N15" s="204">
        <v>1383.2325000000001</v>
      </c>
      <c r="O15" s="266">
        <v>0.89700000000000002</v>
      </c>
      <c r="P15" s="206">
        <v>3.5305230841893966E-3</v>
      </c>
      <c r="Q15" s="271">
        <v>27.896699999999999</v>
      </c>
      <c r="R15" s="255">
        <v>8.8529999999999998</v>
      </c>
      <c r="S15" s="206">
        <v>3.484472783091274E-2</v>
      </c>
      <c r="T15" s="268" t="s">
        <v>275</v>
      </c>
      <c r="U15" s="198" t="s">
        <v>276</v>
      </c>
      <c r="V15" s="205" t="s">
        <v>413</v>
      </c>
      <c r="W15" s="205">
        <v>1</v>
      </c>
      <c r="X15" s="205" t="s">
        <v>116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4</v>
      </c>
      <c r="AC15" s="227">
        <f t="shared" si="9"/>
        <v>0</v>
      </c>
      <c r="AD15" s="227">
        <f t="shared" si="9"/>
        <v>48</v>
      </c>
      <c r="AE15" s="227">
        <f t="shared" si="9"/>
        <v>1</v>
      </c>
      <c r="AF15" s="227">
        <f t="shared" si="9"/>
        <v>11</v>
      </c>
      <c r="AG15" s="227">
        <f t="shared" si="9"/>
        <v>3</v>
      </c>
      <c r="AH15" s="227">
        <f t="shared" si="9"/>
        <v>0</v>
      </c>
    </row>
    <row r="16" spans="2:34" ht="15.75">
      <c r="B16" s="496"/>
      <c r="C16" s="496"/>
      <c r="D16" s="209">
        <v>10</v>
      </c>
      <c r="E16" s="198" t="s">
        <v>414</v>
      </c>
      <c r="F16" s="204">
        <v>1133.7025945945945</v>
      </c>
      <c r="G16" s="205">
        <v>580.16</v>
      </c>
      <c r="H16" s="266">
        <v>601.14400000000001</v>
      </c>
      <c r="I16" s="210">
        <f t="shared" si="1"/>
        <v>1.036169332597904</v>
      </c>
      <c r="J16" s="205"/>
      <c r="K16" s="210">
        <f t="shared" si="2"/>
        <v>0</v>
      </c>
      <c r="L16" s="266">
        <v>141.87</v>
      </c>
      <c r="M16" s="211">
        <f t="shared" si="3"/>
        <v>1.036169332597904</v>
      </c>
      <c r="N16" s="204">
        <v>1221.6090810810811</v>
      </c>
      <c r="O16" s="266">
        <v>1.51</v>
      </c>
      <c r="P16" s="206">
        <v>2.6027302813017099E-3</v>
      </c>
      <c r="Q16" s="271">
        <v>214.22370000000001</v>
      </c>
      <c r="R16" s="255">
        <v>19.474000000000036</v>
      </c>
      <c r="S16" s="206">
        <v>3.3566602316602377E-2</v>
      </c>
      <c r="T16" s="268" t="s">
        <v>275</v>
      </c>
      <c r="U16" s="198" t="s">
        <v>276</v>
      </c>
      <c r="V16" s="205" t="s">
        <v>413</v>
      </c>
      <c r="W16" s="205">
        <v>1</v>
      </c>
      <c r="X16" s="205" t="s">
        <v>117</v>
      </c>
      <c r="Y16" s="201" t="s">
        <v>290</v>
      </c>
      <c r="Z16" s="227"/>
      <c r="AA16" s="230">
        <f t="shared" ref="AA16:AH16" si="10">SUMIF($U$187:$U$256,TRIM(AA6),$F$187:$F$256)</f>
        <v>0</v>
      </c>
      <c r="AB16" s="230">
        <f t="shared" si="10"/>
        <v>6669.0930000000208</v>
      </c>
      <c r="AC16" s="230">
        <f t="shared" si="10"/>
        <v>0</v>
      </c>
      <c r="AD16" s="230">
        <f t="shared" si="10"/>
        <v>60327.542291831844</v>
      </c>
      <c r="AE16" s="230">
        <f t="shared" si="10"/>
        <v>1871.9877599999977</v>
      </c>
      <c r="AF16" s="230">
        <f t="shared" si="10"/>
        <v>30662.047829999996</v>
      </c>
      <c r="AG16" s="230">
        <f t="shared" si="10"/>
        <v>3418.594640000003</v>
      </c>
      <c r="AH16" s="230">
        <f t="shared" si="10"/>
        <v>0</v>
      </c>
    </row>
    <row r="17" spans="2:34" ht="16.5">
      <c r="B17" s="495">
        <v>45871</v>
      </c>
      <c r="C17" s="496" t="s">
        <v>64</v>
      </c>
      <c r="D17" s="209">
        <v>1</v>
      </c>
      <c r="E17" s="198" t="s">
        <v>288</v>
      </c>
      <c r="F17" s="204">
        <v>1757.3750000000002</v>
      </c>
      <c r="G17" s="205">
        <v>29.85</v>
      </c>
      <c r="H17" s="266">
        <v>31.841000000000001</v>
      </c>
      <c r="I17" s="210">
        <f t="shared" si="1"/>
        <v>1.0667001675041876</v>
      </c>
      <c r="J17" s="205"/>
      <c r="K17" s="210">
        <f t="shared" si="2"/>
        <v>0</v>
      </c>
      <c r="L17" s="266">
        <v>85</v>
      </c>
      <c r="M17" s="211">
        <f t="shared" si="3"/>
        <v>1.0667001675041876</v>
      </c>
      <c r="N17" s="204">
        <v>169.23500000000001</v>
      </c>
      <c r="O17" s="266">
        <v>0.27100000000000002</v>
      </c>
      <c r="P17" s="206">
        <v>1.5797604127196947E-3</v>
      </c>
      <c r="Q17" s="271">
        <v>89.020790000000005</v>
      </c>
      <c r="R17" s="255">
        <v>15.333000000000013</v>
      </c>
      <c r="S17" s="206">
        <v>8.9381794864321393E-2</v>
      </c>
      <c r="T17" s="254" t="s">
        <v>271</v>
      </c>
      <c r="U17" s="198" t="s">
        <v>217</v>
      </c>
      <c r="V17" s="205" t="s">
        <v>332</v>
      </c>
      <c r="W17" s="205">
        <v>1</v>
      </c>
      <c r="X17" s="205" t="s">
        <v>121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6"/>
      <c r="C18" s="496"/>
      <c r="D18" s="209">
        <v>2</v>
      </c>
      <c r="E18" s="198" t="s">
        <v>277</v>
      </c>
      <c r="F18" s="204">
        <v>1525.92193</v>
      </c>
      <c r="G18" s="205">
        <v>495.52</v>
      </c>
      <c r="H18" s="266">
        <v>495.75599999999997</v>
      </c>
      <c r="I18" s="210">
        <f t="shared" si="1"/>
        <v>1.0004762673555052</v>
      </c>
      <c r="J18" s="205"/>
      <c r="K18" s="210">
        <f t="shared" si="2"/>
        <v>0</v>
      </c>
      <c r="L18" s="266">
        <v>132.47</v>
      </c>
      <c r="M18" s="211">
        <f t="shared" si="3"/>
        <v>1.0004762673555052</v>
      </c>
      <c r="N18" s="204">
        <v>31.262920000000001</v>
      </c>
      <c r="O18" s="266">
        <v>5.9790000000000001</v>
      </c>
      <c r="P18" s="206">
        <v>1.4357755204956415E-2</v>
      </c>
      <c r="Q18" s="271">
        <v>508.21500000000003</v>
      </c>
      <c r="R18" s="255">
        <v>50.105000000000004</v>
      </c>
      <c r="S18" s="206">
        <v>0.12032034195423001</v>
      </c>
      <c r="T18" s="254" t="s">
        <v>280</v>
      </c>
      <c r="U18" s="198" t="s">
        <v>281</v>
      </c>
      <c r="V18" s="205" t="s">
        <v>413</v>
      </c>
      <c r="W18" s="205">
        <v>1</v>
      </c>
      <c r="X18" s="205" t="s">
        <v>110</v>
      </c>
      <c r="Y18" s="201"/>
      <c r="Z18" s="228">
        <f>SUM(W257:W326)</f>
        <v>70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47</v>
      </c>
      <c r="AE18" s="227">
        <f t="shared" si="11"/>
        <v>7</v>
      </c>
      <c r="AF18" s="227">
        <f t="shared" si="11"/>
        <v>16</v>
      </c>
      <c r="AG18" s="227">
        <f t="shared" si="11"/>
        <v>0</v>
      </c>
      <c r="AH18" s="227">
        <f t="shared" si="11"/>
        <v>0</v>
      </c>
    </row>
    <row r="19" spans="2:34" ht="15.75">
      <c r="B19" s="496"/>
      <c r="C19" s="496"/>
      <c r="D19" s="209">
        <v>3</v>
      </c>
      <c r="E19" s="198" t="s">
        <v>279</v>
      </c>
      <c r="F19" s="204">
        <v>1177.1300200000001</v>
      </c>
      <c r="G19" s="205">
        <v>389.91199999999998</v>
      </c>
      <c r="H19" s="266">
        <v>402.70699999999999</v>
      </c>
      <c r="I19" s="210">
        <f t="shared" si="1"/>
        <v>1.0328150967397771</v>
      </c>
      <c r="J19" s="205"/>
      <c r="K19" s="210">
        <f t="shared" si="2"/>
        <v>0</v>
      </c>
      <c r="L19" s="266">
        <v>140.62</v>
      </c>
      <c r="M19" s="211">
        <f t="shared" si="3"/>
        <v>1.0328150967397771</v>
      </c>
      <c r="N19" s="204">
        <v>1799.2329</v>
      </c>
      <c r="O19" s="266">
        <v>4.7610000000000001</v>
      </c>
      <c r="P19" s="206">
        <v>5.3613053613053617E-3</v>
      </c>
      <c r="Q19" s="271">
        <v>745.90586999999994</v>
      </c>
      <c r="R19" s="255">
        <v>19.787000000000003</v>
      </c>
      <c r="S19" s="206">
        <v>2.2281904890600546E-2</v>
      </c>
      <c r="T19" s="268" t="s">
        <v>275</v>
      </c>
      <c r="U19" s="198" t="s">
        <v>276</v>
      </c>
      <c r="V19" s="205" t="s">
        <v>413</v>
      </c>
      <c r="W19" s="205">
        <v>1</v>
      </c>
      <c r="X19" s="205" t="s">
        <v>113</v>
      </c>
      <c r="Y19" s="201" t="s">
        <v>293</v>
      </c>
      <c r="Z19" s="227"/>
      <c r="AA19" s="230">
        <f t="shared" ref="AA19:AH19" si="12">SUMIF($U$257:$U$326,TRIM(AA6),$F$257:$F$326)</f>
        <v>0</v>
      </c>
      <c r="AB19" s="230">
        <f t="shared" si="12"/>
        <v>0</v>
      </c>
      <c r="AC19" s="230">
        <f t="shared" si="12"/>
        <v>0</v>
      </c>
      <c r="AD19" s="230">
        <f t="shared" si="12"/>
        <v>43701.706999999988</v>
      </c>
      <c r="AE19" s="230">
        <f t="shared" si="12"/>
        <v>5221.3898399999998</v>
      </c>
      <c r="AF19" s="230">
        <f t="shared" si="12"/>
        <v>32108.820190000017</v>
      </c>
      <c r="AG19" s="230">
        <f t="shared" si="12"/>
        <v>0</v>
      </c>
      <c r="AH19" s="230">
        <f t="shared" si="12"/>
        <v>0</v>
      </c>
    </row>
    <row r="20" spans="2:34">
      <c r="B20" s="496"/>
      <c r="C20" s="496"/>
      <c r="D20" s="209">
        <v>4</v>
      </c>
      <c r="E20" s="198" t="s">
        <v>294</v>
      </c>
      <c r="F20" s="204">
        <v>1053.4706800000001</v>
      </c>
      <c r="G20" s="205">
        <v>62.1</v>
      </c>
      <c r="H20" s="266">
        <v>65.122</v>
      </c>
      <c r="I20" s="210">
        <f t="shared" si="1"/>
        <v>1.0486634460547504</v>
      </c>
      <c r="J20" s="205"/>
      <c r="K20" s="210">
        <f t="shared" si="2"/>
        <v>0</v>
      </c>
      <c r="L20" s="266">
        <v>821.74</v>
      </c>
      <c r="M20" s="211">
        <f t="shared" si="3"/>
        <v>1.0486634460547504</v>
      </c>
      <c r="N20" s="204">
        <v>2483.29828</v>
      </c>
      <c r="O20" s="266">
        <v>0.20200000000000001</v>
      </c>
      <c r="P20" s="206">
        <v>2.6520671681962006E-3</v>
      </c>
      <c r="Q20" s="271">
        <v>124.63400000000001</v>
      </c>
      <c r="R20" s="255">
        <v>3.4139999999999997</v>
      </c>
      <c r="S20" s="206">
        <v>4.4822560951593204E-2</v>
      </c>
      <c r="T20" s="198" t="s">
        <v>278</v>
      </c>
      <c r="U20" s="198" t="s">
        <v>212</v>
      </c>
      <c r="V20" s="205" t="s">
        <v>250</v>
      </c>
      <c r="W20" s="205">
        <v>1</v>
      </c>
      <c r="X20" s="205" t="s">
        <v>115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6"/>
      <c r="C21" s="496"/>
      <c r="D21" s="209">
        <v>5</v>
      </c>
      <c r="E21" s="198" t="s">
        <v>287</v>
      </c>
      <c r="F21" s="204">
        <v>966.117446153846</v>
      </c>
      <c r="G21" s="205">
        <v>123.88</v>
      </c>
      <c r="H21" s="266">
        <v>129.738</v>
      </c>
      <c r="I21" s="210">
        <f t="shared" si="1"/>
        <v>1.0472876977720376</v>
      </c>
      <c r="J21" s="205"/>
      <c r="K21" s="210">
        <f t="shared" si="2"/>
        <v>0</v>
      </c>
      <c r="L21" s="266">
        <v>508.21538461538449</v>
      </c>
      <c r="M21" s="211">
        <f t="shared" si="3"/>
        <v>1.0472876977720376</v>
      </c>
      <c r="N21" s="204">
        <v>2977.1257230769224</v>
      </c>
      <c r="O21" s="266">
        <v>1.901</v>
      </c>
      <c r="P21" s="206">
        <v>1.5345495640942848E-2</v>
      </c>
      <c r="Q21" s="271">
        <v>966.11744615384589</v>
      </c>
      <c r="R21" s="255">
        <v>3.9570000000000043</v>
      </c>
      <c r="S21" s="206">
        <v>3.1942202131094645E-2</v>
      </c>
      <c r="T21" s="254" t="s">
        <v>271</v>
      </c>
      <c r="U21" s="198" t="s">
        <v>217</v>
      </c>
      <c r="V21" s="205" t="s">
        <v>367</v>
      </c>
      <c r="W21" s="205">
        <v>1</v>
      </c>
      <c r="X21" s="205" t="s">
        <v>110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6"/>
      <c r="C22" s="496"/>
      <c r="D22" s="209">
        <v>6</v>
      </c>
      <c r="E22" s="198" t="s">
        <v>298</v>
      </c>
      <c r="F22" s="204">
        <v>803.50267999999994</v>
      </c>
      <c r="G22" s="205">
        <v>496.8</v>
      </c>
      <c r="H22" s="266">
        <v>499.608</v>
      </c>
      <c r="I22" s="210">
        <f t="shared" si="1"/>
        <v>1.0056521739130435</v>
      </c>
      <c r="J22" s="205"/>
      <c r="K22" s="210">
        <f t="shared" si="2"/>
        <v>0</v>
      </c>
      <c r="L22" s="266">
        <v>140.62</v>
      </c>
      <c r="M22" s="211">
        <f t="shared" si="3"/>
        <v>1.0056521739130435</v>
      </c>
      <c r="N22" s="204">
        <v>394.86095999999998</v>
      </c>
      <c r="O22" s="266">
        <v>0.83599999999999997</v>
      </c>
      <c r="P22" s="206">
        <v>3.7342266890005582E-3</v>
      </c>
      <c r="Q22" s="271">
        <v>135.74967999999998</v>
      </c>
      <c r="R22" s="255">
        <v>11.405000000000014</v>
      </c>
      <c r="S22" s="206">
        <v>5.0943606923506482E-2</v>
      </c>
      <c r="T22" s="254" t="s">
        <v>280</v>
      </c>
      <c r="U22" s="198" t="s">
        <v>281</v>
      </c>
      <c r="V22" s="205" t="s">
        <v>413</v>
      </c>
      <c r="W22" s="205">
        <v>1</v>
      </c>
      <c r="X22" s="205" t="s">
        <v>115</v>
      </c>
      <c r="Y22" s="229" t="s">
        <v>300</v>
      </c>
      <c r="Z22" s="227">
        <f>SUM(W7:W10000)</f>
        <v>320</v>
      </c>
      <c r="AA22" s="228">
        <f t="shared" ref="AA22:AH22" si="13">SUMIF($U$7:$U$10000,TRIM(AA6),$W$7:$W$10000)</f>
        <v>0</v>
      </c>
      <c r="AB22" s="228">
        <f t="shared" si="13"/>
        <v>44</v>
      </c>
      <c r="AC22" s="227">
        <f t="shared" si="13"/>
        <v>0</v>
      </c>
      <c r="AD22" s="227">
        <f t="shared" si="13"/>
        <v>135</v>
      </c>
      <c r="AE22" s="227">
        <f t="shared" si="13"/>
        <v>9</v>
      </c>
      <c r="AF22" s="227">
        <f t="shared" si="13"/>
        <v>114</v>
      </c>
      <c r="AG22" s="227">
        <f t="shared" si="13"/>
        <v>7</v>
      </c>
      <c r="AH22" s="227">
        <f t="shared" si="13"/>
        <v>0</v>
      </c>
    </row>
    <row r="23" spans="2:34" ht="16.5">
      <c r="B23" s="496"/>
      <c r="C23" s="496"/>
      <c r="D23" s="209">
        <v>7</v>
      </c>
      <c r="E23" s="198" t="s">
        <v>301</v>
      </c>
      <c r="F23" s="204">
        <v>754.69133999999997</v>
      </c>
      <c r="G23" s="205">
        <v>219.78</v>
      </c>
      <c r="H23" s="266">
        <v>225.256</v>
      </c>
      <c r="I23" s="210">
        <f t="shared" si="1"/>
        <v>1.024915824915825</v>
      </c>
      <c r="J23" s="205"/>
      <c r="K23" s="210">
        <f t="shared" si="2"/>
        <v>0</v>
      </c>
      <c r="L23" s="266">
        <v>111.41</v>
      </c>
      <c r="M23" s="211">
        <f t="shared" si="3"/>
        <v>1.024915824915825</v>
      </c>
      <c r="N23" s="204">
        <v>610.08115999999995</v>
      </c>
      <c r="O23" s="266">
        <v>0.217</v>
      </c>
      <c r="P23" s="206">
        <v>3.9621676891615542E-3</v>
      </c>
      <c r="Q23" s="271">
        <v>165.39957000000001</v>
      </c>
      <c r="R23" s="255">
        <v>2.1570000000000022</v>
      </c>
      <c r="S23" s="206">
        <v>3.9384312007011431E-2</v>
      </c>
      <c r="T23" s="254" t="s">
        <v>271</v>
      </c>
      <c r="U23" s="198" t="s">
        <v>217</v>
      </c>
      <c r="V23" s="205" t="s">
        <v>446</v>
      </c>
      <c r="W23" s="205">
        <v>1</v>
      </c>
      <c r="X23" s="205" t="s">
        <v>111</v>
      </c>
      <c r="Z23" s="227"/>
      <c r="AA23" s="230">
        <f t="shared" ref="AA23:AH23" si="14">SUMIF($U$7:$U$10000,TRIM(AA6),$F$7:$F$10000)</f>
        <v>0</v>
      </c>
      <c r="AB23" s="230">
        <f t="shared" si="14"/>
        <v>122154.62335326121</v>
      </c>
      <c r="AC23" s="230">
        <f t="shared" si="14"/>
        <v>0</v>
      </c>
      <c r="AD23" s="230">
        <f t="shared" si="14"/>
        <v>153271.33862507506</v>
      </c>
      <c r="AE23" s="230">
        <f t="shared" si="14"/>
        <v>7818.7244999999984</v>
      </c>
      <c r="AF23" s="230">
        <f t="shared" si="14"/>
        <v>464531.74917278602</v>
      </c>
      <c r="AG23" s="230">
        <f t="shared" si="14"/>
        <v>11296.466060000004</v>
      </c>
      <c r="AH23" s="230">
        <f t="shared" si="14"/>
        <v>0</v>
      </c>
    </row>
    <row r="24" spans="2:34" ht="16.5">
      <c r="B24" s="496"/>
      <c r="C24" s="496"/>
      <c r="D24" s="209">
        <v>8</v>
      </c>
      <c r="E24" s="198" t="s">
        <v>274</v>
      </c>
      <c r="F24" s="204">
        <v>745.90586999999994</v>
      </c>
      <c r="G24" s="205">
        <v>888.03</v>
      </c>
      <c r="H24" s="266">
        <v>912.57799999999997</v>
      </c>
      <c r="I24" s="210">
        <f t="shared" si="1"/>
        <v>1.027643210251906</v>
      </c>
      <c r="J24" s="205"/>
      <c r="K24" s="210">
        <f t="shared" si="2"/>
        <v>0</v>
      </c>
      <c r="L24" s="266">
        <v>156.66999999999999</v>
      </c>
      <c r="M24" s="211">
        <f t="shared" si="3"/>
        <v>1.027643210251906</v>
      </c>
      <c r="N24" s="204">
        <v>3845.9351599999995</v>
      </c>
      <c r="O24" s="266">
        <v>2.5230000000000001</v>
      </c>
      <c r="P24" s="206">
        <v>1.0142713567839197E-2</v>
      </c>
      <c r="Q24" s="271">
        <v>571.20719999999994</v>
      </c>
      <c r="R24" s="255">
        <v>6.5619999999999798</v>
      </c>
      <c r="S24" s="206">
        <v>2.6379899497487355E-2</v>
      </c>
      <c r="T24" s="254" t="s">
        <v>271</v>
      </c>
      <c r="U24" s="198" t="s">
        <v>217</v>
      </c>
      <c r="V24" s="205" t="s">
        <v>357</v>
      </c>
      <c r="W24" s="205">
        <v>1</v>
      </c>
      <c r="X24" s="205" t="s">
        <v>109</v>
      </c>
    </row>
    <row r="25" spans="2:34" ht="16.5">
      <c r="B25" s="496"/>
      <c r="C25" s="496"/>
      <c r="D25" s="209">
        <v>9</v>
      </c>
      <c r="E25" s="198" t="s">
        <v>304</v>
      </c>
      <c r="F25" s="204">
        <v>725.34690000000012</v>
      </c>
      <c r="G25" s="205">
        <v>173.88</v>
      </c>
      <c r="H25" s="266">
        <v>180.934</v>
      </c>
      <c r="I25" s="210">
        <f t="shared" si="1"/>
        <v>1.0405682079595122</v>
      </c>
      <c r="J25" s="205"/>
      <c r="K25" s="210">
        <f t="shared" si="2"/>
        <v>0</v>
      </c>
      <c r="L25" s="266">
        <v>108.18</v>
      </c>
      <c r="M25" s="211">
        <f t="shared" si="3"/>
        <v>1.0405682079595122</v>
      </c>
      <c r="N25" s="204">
        <v>763.10172000000011</v>
      </c>
      <c r="O25" s="266">
        <v>1.282</v>
      </c>
      <c r="P25" s="206">
        <v>2.0644122383252819E-2</v>
      </c>
      <c r="Q25" s="271">
        <v>1053.4706800000001</v>
      </c>
      <c r="R25" s="266">
        <v>1.7399999999999984</v>
      </c>
      <c r="S25" s="206">
        <v>2.8019323671497558E-2</v>
      </c>
      <c r="T25" s="254" t="s">
        <v>295</v>
      </c>
      <c r="U25" s="198" t="s">
        <v>213</v>
      </c>
      <c r="V25" s="205" t="s">
        <v>413</v>
      </c>
      <c r="W25" s="205">
        <v>1</v>
      </c>
      <c r="X25" s="205" t="s">
        <v>115</v>
      </c>
    </row>
    <row r="26" spans="2:34" ht="15.75">
      <c r="B26" s="496"/>
      <c r="C26" s="496"/>
      <c r="D26" s="209">
        <v>10</v>
      </c>
      <c r="E26" s="198" t="s">
        <v>270</v>
      </c>
      <c r="F26" s="204">
        <v>688.80000000000007</v>
      </c>
      <c r="G26" s="205">
        <v>32.1</v>
      </c>
      <c r="H26" s="266">
        <v>34.430999999999997</v>
      </c>
      <c r="I26" s="210">
        <f t="shared" si="1"/>
        <v>1.0726168224299064</v>
      </c>
      <c r="J26" s="205"/>
      <c r="K26" s="210">
        <f t="shared" si="2"/>
        <v>0</v>
      </c>
      <c r="L26" s="266">
        <v>287.00000000000006</v>
      </c>
      <c r="M26" s="211">
        <f t="shared" si="3"/>
        <v>1.0726168224299064</v>
      </c>
      <c r="N26" s="204">
        <v>668.99700000000007</v>
      </c>
      <c r="O26" s="266">
        <v>0.82299999999999995</v>
      </c>
      <c r="P26" s="206">
        <v>4.1008520603916486E-3</v>
      </c>
      <c r="Q26" s="271">
        <v>473.81756000000001</v>
      </c>
      <c r="R26" s="266">
        <v>4.3729999999999976</v>
      </c>
      <c r="S26" s="206">
        <v>2.1789825103393282E-2</v>
      </c>
      <c r="T26" s="268" t="s">
        <v>275</v>
      </c>
      <c r="U26" s="198" t="s">
        <v>276</v>
      </c>
      <c r="V26" s="205" t="s">
        <v>413</v>
      </c>
      <c r="W26" s="205">
        <v>1</v>
      </c>
      <c r="X26" s="205" t="s">
        <v>307</v>
      </c>
    </row>
    <row r="27" spans="2:34" ht="16.5">
      <c r="B27" s="495">
        <v>45872</v>
      </c>
      <c r="C27" s="496" t="s">
        <v>59</v>
      </c>
      <c r="D27" s="209">
        <v>1</v>
      </c>
      <c r="E27" s="198" t="s">
        <v>324</v>
      </c>
      <c r="F27" s="199">
        <v>5217.7351600000002</v>
      </c>
      <c r="G27" s="198">
        <v>174.29499999999999</v>
      </c>
      <c r="H27" s="267">
        <v>190.28</v>
      </c>
      <c r="I27" s="210">
        <f t="shared" si="1"/>
        <v>1.0917123268022606</v>
      </c>
      <c r="J27" s="198"/>
      <c r="K27" s="210">
        <f t="shared" si="2"/>
        <v>0</v>
      </c>
      <c r="L27" s="267">
        <v>328.49</v>
      </c>
      <c r="M27" s="211">
        <f t="shared" si="3"/>
        <v>1.0917123268022606</v>
      </c>
      <c r="N27" s="199">
        <v>5250.9126500000002</v>
      </c>
      <c r="O27" s="267">
        <v>0.10100000000000001</v>
      </c>
      <c r="P27" s="200">
        <v>5.7947732292951614E-4</v>
      </c>
      <c r="Q27" s="271">
        <v>33.177490000000006</v>
      </c>
      <c r="R27" s="267">
        <v>15.884000000000013</v>
      </c>
      <c r="S27" s="200">
        <v>9.1132849479331104E-2</v>
      </c>
      <c r="T27" s="254" t="s">
        <v>271</v>
      </c>
      <c r="U27" s="198" t="s">
        <v>217</v>
      </c>
      <c r="V27" s="198" t="s">
        <v>332</v>
      </c>
      <c r="W27" s="205">
        <v>1</v>
      </c>
      <c r="X27" s="198" t="s">
        <v>114</v>
      </c>
    </row>
    <row r="28" spans="2:34" ht="15.75">
      <c r="B28" s="496"/>
      <c r="C28" s="496"/>
      <c r="D28" s="209">
        <v>2</v>
      </c>
      <c r="E28" s="198" t="s">
        <v>289</v>
      </c>
      <c r="F28" s="199">
        <v>4350.7250000000004</v>
      </c>
      <c r="G28" s="198">
        <v>414.36</v>
      </c>
      <c r="H28" s="267">
        <v>472.44099999999997</v>
      </c>
      <c r="I28" s="210">
        <f t="shared" si="1"/>
        <v>1.1401703832416255</v>
      </c>
      <c r="J28" s="198"/>
      <c r="K28" s="210">
        <f t="shared" si="2"/>
        <v>0</v>
      </c>
      <c r="L28" s="267">
        <v>85</v>
      </c>
      <c r="M28" s="211">
        <f t="shared" si="3"/>
        <v>1.1401703832416255</v>
      </c>
      <c r="N28" s="199">
        <v>4936.8850000000002</v>
      </c>
      <c r="O28" s="267">
        <v>6.8959999999999999</v>
      </c>
      <c r="P28" s="200">
        <v>1.6642533063036972E-2</v>
      </c>
      <c r="Q28" s="271">
        <v>586.16</v>
      </c>
      <c r="R28" s="267">
        <v>51.18499999999996</v>
      </c>
      <c r="S28" s="200">
        <v>0.12352785017858857</v>
      </c>
      <c r="T28" s="268" t="s">
        <v>275</v>
      </c>
      <c r="U28" s="198" t="s">
        <v>276</v>
      </c>
      <c r="V28" s="205" t="s">
        <v>413</v>
      </c>
      <c r="W28" s="205">
        <v>1</v>
      </c>
      <c r="X28" s="198" t="s">
        <v>134</v>
      </c>
    </row>
    <row r="29" spans="2:34" ht="16.5">
      <c r="B29" s="496"/>
      <c r="C29" s="496"/>
      <c r="D29" s="209">
        <v>3</v>
      </c>
      <c r="E29" s="198" t="s">
        <v>287</v>
      </c>
      <c r="F29" s="199">
        <v>3577.3280923076918</v>
      </c>
      <c r="G29" s="198">
        <v>122.26</v>
      </c>
      <c r="H29" s="267">
        <v>129.49299999999999</v>
      </c>
      <c r="I29" s="210">
        <f t="shared" si="1"/>
        <v>1.0591608048421397</v>
      </c>
      <c r="J29" s="198"/>
      <c r="K29" s="210">
        <f t="shared" si="2"/>
        <v>0</v>
      </c>
      <c r="L29" s="267">
        <v>508.21538461538449</v>
      </c>
      <c r="M29" s="211">
        <f t="shared" si="3"/>
        <v>1.0591608048421397</v>
      </c>
      <c r="N29" s="199">
        <v>3675.9218769230761</v>
      </c>
      <c r="O29" s="267">
        <v>0.19400000000000001</v>
      </c>
      <c r="P29" s="200">
        <v>1.5867822672991983E-3</v>
      </c>
      <c r="Q29" s="271">
        <v>98.593784615384592</v>
      </c>
      <c r="R29" s="267">
        <v>7.0389999999999899</v>
      </c>
      <c r="S29" s="200">
        <v>5.7574022574840421E-2</v>
      </c>
      <c r="T29" s="254" t="s">
        <v>271</v>
      </c>
      <c r="U29" s="198" t="s">
        <v>217</v>
      </c>
      <c r="V29" s="198" t="s">
        <v>367</v>
      </c>
      <c r="W29" s="205">
        <v>1</v>
      </c>
      <c r="X29" s="198" t="s">
        <v>110</v>
      </c>
    </row>
    <row r="30" spans="2:34" ht="16.5">
      <c r="B30" s="496"/>
      <c r="C30" s="496"/>
      <c r="D30" s="209">
        <v>4</v>
      </c>
      <c r="E30" s="198" t="s">
        <v>323</v>
      </c>
      <c r="F30" s="199">
        <v>2185.9735800000003</v>
      </c>
      <c r="G30" s="198">
        <v>125.19499999999999</v>
      </c>
      <c r="H30" s="267">
        <v>131.75399999999999</v>
      </c>
      <c r="I30" s="210">
        <f t="shared" si="1"/>
        <v>1.0523902711769639</v>
      </c>
      <c r="J30" s="198"/>
      <c r="K30" s="210">
        <f t="shared" si="2"/>
        <v>0</v>
      </c>
      <c r="L30" s="267">
        <v>356.37</v>
      </c>
      <c r="M30" s="211">
        <f t="shared" si="3"/>
        <v>1.0523902711769639</v>
      </c>
      <c r="N30" s="199">
        <v>2337.4308300000002</v>
      </c>
      <c r="O30" s="267">
        <v>0.42499999999999999</v>
      </c>
      <c r="P30" s="200">
        <v>3.3947042613522906E-3</v>
      </c>
      <c r="Q30" s="271">
        <v>151.45724999999999</v>
      </c>
      <c r="R30" s="267">
        <v>6.1339999999999977</v>
      </c>
      <c r="S30" s="200">
        <v>4.8995566915611632E-2</v>
      </c>
      <c r="T30" s="254" t="s">
        <v>271</v>
      </c>
      <c r="U30" s="198" t="s">
        <v>217</v>
      </c>
      <c r="V30" s="198" t="s">
        <v>361</v>
      </c>
      <c r="W30" s="205">
        <v>1</v>
      </c>
      <c r="X30" s="198" t="s">
        <v>111</v>
      </c>
      <c r="AA30" s="196">
        <v>1</v>
      </c>
      <c r="AB30" s="196" t="s">
        <v>281</v>
      </c>
    </row>
    <row r="31" spans="2:34" ht="15.75">
      <c r="B31" s="496"/>
      <c r="C31" s="496"/>
      <c r="D31" s="209">
        <v>5</v>
      </c>
      <c r="E31" s="198" t="s">
        <v>274</v>
      </c>
      <c r="F31" s="199">
        <v>1788.0747099999996</v>
      </c>
      <c r="G31" s="198">
        <v>850.90499999999997</v>
      </c>
      <c r="H31" s="267">
        <v>869.18499999999995</v>
      </c>
      <c r="I31" s="210">
        <f t="shared" si="1"/>
        <v>1.0214830092666043</v>
      </c>
      <c r="J31" s="198"/>
      <c r="K31" s="210">
        <f t="shared" si="2"/>
        <v>0</v>
      </c>
      <c r="L31" s="267">
        <v>156.66999999999999</v>
      </c>
      <c r="M31" s="211">
        <f t="shared" si="3"/>
        <v>1.0214830092666043</v>
      </c>
      <c r="N31" s="199">
        <v>2863.9275999999995</v>
      </c>
      <c r="O31" s="267">
        <v>6.867</v>
      </c>
      <c r="P31" s="200">
        <v>8.0702311068803212E-3</v>
      </c>
      <c r="Q31" s="271">
        <v>1075.8528899999999</v>
      </c>
      <c r="R31" s="267">
        <v>11.412999999999972</v>
      </c>
      <c r="S31" s="200">
        <v>1.3412778159724026E-2</v>
      </c>
      <c r="T31" s="268" t="s">
        <v>275</v>
      </c>
      <c r="U31" s="198" t="s">
        <v>276</v>
      </c>
      <c r="V31" s="205" t="s">
        <v>413</v>
      </c>
      <c r="W31" s="205">
        <v>1</v>
      </c>
      <c r="X31" s="198" t="s">
        <v>109</v>
      </c>
      <c r="AA31" s="196">
        <v>2</v>
      </c>
      <c r="AB31" s="196" t="s">
        <v>276</v>
      </c>
    </row>
    <row r="32" spans="2:34" ht="15.75">
      <c r="B32" s="496"/>
      <c r="C32" s="496"/>
      <c r="D32" s="209">
        <v>6</v>
      </c>
      <c r="E32" s="198" t="s">
        <v>408</v>
      </c>
      <c r="F32" s="199">
        <v>1577.422</v>
      </c>
      <c r="G32" s="198">
        <v>189.14500000000001</v>
      </c>
      <c r="H32" s="267">
        <v>199.7</v>
      </c>
      <c r="I32" s="210">
        <f t="shared" si="1"/>
        <v>1.0558037484469585</v>
      </c>
      <c r="J32" s="198"/>
      <c r="K32" s="210">
        <f t="shared" si="2"/>
        <v>0</v>
      </c>
      <c r="L32" s="267">
        <v>154</v>
      </c>
      <c r="M32" s="211">
        <f t="shared" si="3"/>
        <v>1.0558037484469585</v>
      </c>
      <c r="N32" s="199">
        <v>1625.47</v>
      </c>
      <c r="O32" s="267">
        <v>0.312</v>
      </c>
      <c r="P32" s="200">
        <v>1.6495281397869359E-3</v>
      </c>
      <c r="Q32" s="271">
        <v>48.048000000000002</v>
      </c>
      <c r="R32" s="267">
        <v>10.242999999999979</v>
      </c>
      <c r="S32" s="200">
        <v>5.4154220307171631E-2</v>
      </c>
      <c r="T32" s="268" t="s">
        <v>275</v>
      </c>
      <c r="U32" s="198" t="s">
        <v>276</v>
      </c>
      <c r="V32" s="198" t="s">
        <v>413</v>
      </c>
      <c r="W32" s="205">
        <v>1</v>
      </c>
      <c r="X32" s="198" t="s">
        <v>136</v>
      </c>
      <c r="AA32" s="196">
        <v>3</v>
      </c>
      <c r="AB32" s="196" t="s">
        <v>312</v>
      </c>
    </row>
    <row r="33" spans="2:28" ht="16.5">
      <c r="B33" s="496"/>
      <c r="C33" s="496"/>
      <c r="D33" s="209">
        <v>7</v>
      </c>
      <c r="E33" s="198" t="s">
        <v>414</v>
      </c>
      <c r="F33" s="199">
        <v>1427.1123243243242</v>
      </c>
      <c r="G33" s="198">
        <v>673.77</v>
      </c>
      <c r="H33" s="267">
        <v>700</v>
      </c>
      <c r="I33" s="210">
        <f t="shared" si="1"/>
        <v>1.0389301987325053</v>
      </c>
      <c r="J33" s="198"/>
      <c r="K33" s="210">
        <f t="shared" si="2"/>
        <v>0</v>
      </c>
      <c r="L33" s="267">
        <v>58.21621621621621</v>
      </c>
      <c r="M33" s="211">
        <f t="shared" si="3"/>
        <v>1.0389301987325053</v>
      </c>
      <c r="N33" s="199">
        <v>1527.0113513513513</v>
      </c>
      <c r="O33" s="267">
        <v>1.716</v>
      </c>
      <c r="P33" s="200">
        <v>2.5468631728928271E-3</v>
      </c>
      <c r="Q33" s="271">
        <v>99.899027027027017</v>
      </c>
      <c r="R33" s="267">
        <v>24.514000000000017</v>
      </c>
      <c r="S33" s="200">
        <v>3.6383335559612359E-2</v>
      </c>
      <c r="T33" s="254" t="s">
        <v>271</v>
      </c>
      <c r="U33" s="198" t="s">
        <v>217</v>
      </c>
      <c r="V33" s="198" t="s">
        <v>332</v>
      </c>
      <c r="W33" s="205">
        <v>1</v>
      </c>
      <c r="X33" s="198" t="s">
        <v>117</v>
      </c>
      <c r="AA33" s="196">
        <v>4</v>
      </c>
      <c r="AB33" s="196" t="s">
        <v>212</v>
      </c>
    </row>
    <row r="34" spans="2:28">
      <c r="B34" s="496"/>
      <c r="C34" s="496"/>
      <c r="D34" s="209">
        <v>8</v>
      </c>
      <c r="E34" s="198" t="s">
        <v>401</v>
      </c>
      <c r="F34" s="199">
        <v>1139.5989999999999</v>
      </c>
      <c r="G34" s="198">
        <v>76.923000000000002</v>
      </c>
      <c r="H34" s="267">
        <v>79</v>
      </c>
      <c r="I34" s="210">
        <f t="shared" si="1"/>
        <v>1.027001027001027</v>
      </c>
      <c r="J34" s="198"/>
      <c r="K34" s="210">
        <f t="shared" si="2"/>
        <v>0</v>
      </c>
      <c r="L34" s="267">
        <v>617</v>
      </c>
      <c r="M34" s="211">
        <f t="shared" si="3"/>
        <v>1.027001027001027</v>
      </c>
      <c r="N34" s="199">
        <v>1281.509</v>
      </c>
      <c r="O34" s="267">
        <v>0.23</v>
      </c>
      <c r="P34" s="200">
        <v>2.99000299000299E-3</v>
      </c>
      <c r="Q34" s="271">
        <v>141.91</v>
      </c>
      <c r="R34" s="267">
        <v>1.8469999999999982</v>
      </c>
      <c r="S34" s="200">
        <v>2.4011024011023986E-2</v>
      </c>
      <c r="T34" s="198" t="s">
        <v>278</v>
      </c>
      <c r="U34" s="205" t="s">
        <v>212</v>
      </c>
      <c r="V34" s="205" t="s">
        <v>250</v>
      </c>
      <c r="W34" s="205">
        <v>1</v>
      </c>
      <c r="X34" s="198" t="s">
        <v>118</v>
      </c>
      <c r="AA34" s="196">
        <v>5</v>
      </c>
      <c r="AB34" s="196" t="s">
        <v>213</v>
      </c>
    </row>
    <row r="35" spans="2:28" ht="15.75">
      <c r="B35" s="496"/>
      <c r="C35" s="496"/>
      <c r="D35" s="209">
        <v>9</v>
      </c>
      <c r="E35" s="198" t="s">
        <v>420</v>
      </c>
      <c r="F35" s="199">
        <v>1070.8041000000001</v>
      </c>
      <c r="G35" s="198">
        <v>1297.5999999999999</v>
      </c>
      <c r="H35" s="267">
        <v>1334.4659999999999</v>
      </c>
      <c r="I35" s="210">
        <f t="shared" si="1"/>
        <v>1.0284109124537608</v>
      </c>
      <c r="J35" s="198"/>
      <c r="K35" s="210">
        <f t="shared" si="2"/>
        <v>0</v>
      </c>
      <c r="L35" s="267">
        <v>31.099999999999998</v>
      </c>
      <c r="M35" s="211">
        <f t="shared" si="3"/>
        <v>1.0284109124537608</v>
      </c>
      <c r="N35" s="199">
        <v>1146.5326</v>
      </c>
      <c r="O35" s="267">
        <v>2.4350000000000001</v>
      </c>
      <c r="P35" s="200">
        <v>1.8765413070283602E-3</v>
      </c>
      <c r="Q35" s="271">
        <v>75.728499999999997</v>
      </c>
      <c r="R35" s="267">
        <v>34.430999999999983</v>
      </c>
      <c r="S35" s="200">
        <v>2.6534371146732419E-2</v>
      </c>
      <c r="T35" s="268" t="s">
        <v>275</v>
      </c>
      <c r="U35" s="198" t="s">
        <v>276</v>
      </c>
      <c r="V35" s="198" t="s">
        <v>413</v>
      </c>
      <c r="W35" s="205">
        <v>1</v>
      </c>
      <c r="X35" s="198" t="s">
        <v>112</v>
      </c>
      <c r="AA35" s="196">
        <v>6</v>
      </c>
      <c r="AB35" s="196" t="s">
        <v>217</v>
      </c>
    </row>
    <row r="36" spans="2:28" ht="15.75">
      <c r="B36" s="496"/>
      <c r="C36" s="496"/>
      <c r="D36" s="209">
        <v>10</v>
      </c>
      <c r="E36" s="198" t="s">
        <v>427</v>
      </c>
      <c r="F36" s="199">
        <v>1048.6478999999999</v>
      </c>
      <c r="G36" s="198">
        <v>182.1</v>
      </c>
      <c r="H36" s="267">
        <v>193.47499999999999</v>
      </c>
      <c r="I36" s="210">
        <f t="shared" si="1"/>
        <v>1.0624656781987918</v>
      </c>
      <c r="J36" s="198"/>
      <c r="K36" s="210">
        <f t="shared" si="2"/>
        <v>0</v>
      </c>
      <c r="L36" s="267">
        <v>112.94</v>
      </c>
      <c r="M36" s="211">
        <f t="shared" si="3"/>
        <v>1.0624656781987918</v>
      </c>
      <c r="N36" s="199">
        <v>1284.6924999999999</v>
      </c>
      <c r="O36" s="267">
        <v>2.09</v>
      </c>
      <c r="P36" s="200">
        <v>1.1477210323997802E-2</v>
      </c>
      <c r="Q36" s="271">
        <v>236.04459999999997</v>
      </c>
      <c r="R36" s="267">
        <v>9.2850000000000001</v>
      </c>
      <c r="S36" s="200">
        <v>5.0988467874794073E-2</v>
      </c>
      <c r="T36" s="268" t="s">
        <v>275</v>
      </c>
      <c r="U36" s="198" t="s">
        <v>276</v>
      </c>
      <c r="V36" s="198" t="s">
        <v>413</v>
      </c>
      <c r="W36" s="205">
        <v>1</v>
      </c>
      <c r="X36" s="198" t="s">
        <v>117</v>
      </c>
      <c r="AA36" s="196">
        <v>7</v>
      </c>
      <c r="AB36" s="196" t="s">
        <v>318</v>
      </c>
    </row>
    <row r="37" spans="2:28" ht="16.5">
      <c r="B37" s="495">
        <v>45873</v>
      </c>
      <c r="C37" s="496" t="s">
        <v>65</v>
      </c>
      <c r="D37" s="209">
        <v>1</v>
      </c>
      <c r="E37" s="198" t="s">
        <v>324</v>
      </c>
      <c r="F37" s="199">
        <v>4354.1349500000015</v>
      </c>
      <c r="G37" s="198">
        <v>171.54499999999999</v>
      </c>
      <c r="H37" s="267">
        <v>187.79</v>
      </c>
      <c r="I37" s="210">
        <f t="shared" si="1"/>
        <v>1.0946981841499315</v>
      </c>
      <c r="J37" s="198"/>
      <c r="K37" s="210">
        <f t="shared" si="2"/>
        <v>0</v>
      </c>
      <c r="L37" s="267">
        <v>328.49</v>
      </c>
      <c r="M37" s="211">
        <f t="shared" si="3"/>
        <v>1.0946981841499315</v>
      </c>
      <c r="N37" s="199">
        <v>5334.6776</v>
      </c>
      <c r="O37" s="267">
        <v>2.99</v>
      </c>
      <c r="P37" s="200">
        <v>1.7429828907866741E-2</v>
      </c>
      <c r="Q37" s="272">
        <v>982.18510000000015</v>
      </c>
      <c r="R37" s="267">
        <v>13.255000000000004</v>
      </c>
      <c r="S37" s="200">
        <v>7.7268355242064796E-2</v>
      </c>
      <c r="T37" s="254" t="s">
        <v>271</v>
      </c>
      <c r="U37" s="198" t="s">
        <v>217</v>
      </c>
      <c r="V37" s="198" t="s">
        <v>332</v>
      </c>
      <c r="W37" s="205">
        <v>1</v>
      </c>
      <c r="X37" s="198" t="s">
        <v>114</v>
      </c>
      <c r="AA37" s="196">
        <v>8</v>
      </c>
      <c r="AB37" s="196" t="s">
        <v>320</v>
      </c>
    </row>
    <row r="38" spans="2:28" ht="15.75">
      <c r="B38" s="496"/>
      <c r="C38" s="496"/>
      <c r="D38" s="209">
        <v>2</v>
      </c>
      <c r="E38" s="198" t="s">
        <v>289</v>
      </c>
      <c r="F38" s="199">
        <v>4072.6049999999987</v>
      </c>
      <c r="G38" s="198">
        <v>416.43</v>
      </c>
      <c r="H38" s="267">
        <v>471.97399999999999</v>
      </c>
      <c r="I38" s="210">
        <f t="shared" si="1"/>
        <v>1.133381360612828</v>
      </c>
      <c r="J38" s="198"/>
      <c r="K38" s="210">
        <f t="shared" si="2"/>
        <v>0</v>
      </c>
      <c r="L38" s="267">
        <v>85</v>
      </c>
      <c r="M38" s="211">
        <f t="shared" si="3"/>
        <v>1.133381360612828</v>
      </c>
      <c r="N38" s="199">
        <v>4721.24</v>
      </c>
      <c r="O38" s="267">
        <v>7.6310000000000002</v>
      </c>
      <c r="P38" s="200">
        <v>1.8324808491223015E-2</v>
      </c>
      <c r="Q38" s="272">
        <v>648.63499999999999</v>
      </c>
      <c r="R38" s="267">
        <v>47.912999999999982</v>
      </c>
      <c r="S38" s="200">
        <v>0.11505655212160502</v>
      </c>
      <c r="T38" s="268" t="s">
        <v>275</v>
      </c>
      <c r="U38" s="198" t="s">
        <v>276</v>
      </c>
      <c r="V38" s="198" t="s">
        <v>413</v>
      </c>
      <c r="W38" s="205">
        <v>1</v>
      </c>
      <c r="X38" s="198" t="s">
        <v>134</v>
      </c>
    </row>
    <row r="39" spans="2:28" ht="16.5">
      <c r="B39" s="496"/>
      <c r="C39" s="496"/>
      <c r="D39" s="209">
        <v>3</v>
      </c>
      <c r="E39" s="198" t="s">
        <v>287</v>
      </c>
      <c r="F39" s="199">
        <v>4025.0658461538474</v>
      </c>
      <c r="G39" s="198">
        <v>123.88</v>
      </c>
      <c r="H39" s="267">
        <v>133.5</v>
      </c>
      <c r="I39" s="210">
        <f t="shared" si="1"/>
        <v>1.0776557959315467</v>
      </c>
      <c r="J39" s="198"/>
      <c r="K39" s="210">
        <f t="shared" si="2"/>
        <v>0</v>
      </c>
      <c r="L39" s="267">
        <v>508.21538461538449</v>
      </c>
      <c r="M39" s="211">
        <f t="shared" si="3"/>
        <v>1.0776557959315467</v>
      </c>
      <c r="N39" s="199">
        <v>8551.7402769230757</v>
      </c>
      <c r="O39" s="267">
        <v>1.7</v>
      </c>
      <c r="P39" s="200">
        <v>1.3722957701000968E-2</v>
      </c>
      <c r="Q39" s="272">
        <v>863.96615384615359</v>
      </c>
      <c r="R39" s="267">
        <v>7.9200000000000044</v>
      </c>
      <c r="S39" s="200">
        <v>6.3932838230545727E-2</v>
      </c>
      <c r="T39" s="254" t="s">
        <v>271</v>
      </c>
      <c r="U39" s="198" t="s">
        <v>217</v>
      </c>
      <c r="V39" s="198" t="s">
        <v>367</v>
      </c>
      <c r="W39" s="205">
        <v>1</v>
      </c>
      <c r="X39" s="198" t="s">
        <v>110</v>
      </c>
    </row>
    <row r="40" spans="2:28" ht="16.5">
      <c r="B40" s="496"/>
      <c r="C40" s="496"/>
      <c r="D40" s="209">
        <v>4</v>
      </c>
      <c r="E40" s="198" t="s">
        <v>447</v>
      </c>
      <c r="F40" s="199">
        <v>2684.6000000000026</v>
      </c>
      <c r="G40" s="198">
        <v>201.15199999999999</v>
      </c>
      <c r="H40" s="267">
        <v>215</v>
      </c>
      <c r="I40" s="210">
        <f t="shared" si="1"/>
        <v>1.0688434616608338</v>
      </c>
      <c r="J40" s="198"/>
      <c r="K40" s="210">
        <f t="shared" si="2"/>
        <v>0</v>
      </c>
      <c r="L40" s="267">
        <v>200</v>
      </c>
      <c r="M40" s="211">
        <f t="shared" si="3"/>
        <v>1.0688434616608338</v>
      </c>
      <c r="N40" s="199">
        <v>70.599999999999994</v>
      </c>
      <c r="O40" s="267">
        <v>0.42499999999999999</v>
      </c>
      <c r="P40" s="200">
        <v>2.1128300986318804E-3</v>
      </c>
      <c r="Q40" s="272">
        <v>85</v>
      </c>
      <c r="R40" s="267">
        <v>13.423000000000012</v>
      </c>
      <c r="S40" s="200">
        <v>6.6730631562201784E-2</v>
      </c>
      <c r="T40" s="198" t="s">
        <v>278</v>
      </c>
      <c r="U40" s="264" t="s">
        <v>212</v>
      </c>
      <c r="V40" s="264" t="s">
        <v>448</v>
      </c>
      <c r="W40" s="205">
        <v>1</v>
      </c>
      <c r="X40" s="198" t="s">
        <v>112</v>
      </c>
      <c r="AA40" s="269">
        <v>1</v>
      </c>
      <c r="AB40" s="196" t="s">
        <v>308</v>
      </c>
    </row>
    <row r="41" spans="2:28" ht="16.5">
      <c r="B41" s="496"/>
      <c r="C41" s="496"/>
      <c r="D41" s="209">
        <v>5</v>
      </c>
      <c r="E41" s="198" t="s">
        <v>294</v>
      </c>
      <c r="F41" s="199">
        <v>2583.550560000001</v>
      </c>
      <c r="G41" s="198">
        <v>62.1</v>
      </c>
      <c r="H41" s="267">
        <v>66.194000000000003</v>
      </c>
      <c r="I41" s="210">
        <f t="shared" si="1"/>
        <v>1.0659259259259259</v>
      </c>
      <c r="J41" s="198"/>
      <c r="K41" s="210">
        <f t="shared" si="2"/>
        <v>0</v>
      </c>
      <c r="L41" s="267">
        <v>821.74</v>
      </c>
      <c r="M41" s="211">
        <f t="shared" si="3"/>
        <v>1.0659259259259259</v>
      </c>
      <c r="N41" s="199">
        <v>3364.2035600000004</v>
      </c>
      <c r="O41" s="267">
        <v>0.95</v>
      </c>
      <c r="P41" s="200">
        <v>1.5297906602254427E-2</v>
      </c>
      <c r="Q41" s="272">
        <v>780.65300000000002</v>
      </c>
      <c r="R41" s="267">
        <v>3.144000000000001</v>
      </c>
      <c r="S41" s="200">
        <v>5.062801932367151E-2</v>
      </c>
      <c r="T41" s="254" t="s">
        <v>280</v>
      </c>
      <c r="U41" s="198" t="s">
        <v>281</v>
      </c>
      <c r="V41" s="198"/>
      <c r="W41" s="205">
        <v>1</v>
      </c>
      <c r="X41" s="198" t="s">
        <v>115</v>
      </c>
      <c r="AA41" s="196">
        <v>2</v>
      </c>
      <c r="AB41" s="196" t="s">
        <v>278</v>
      </c>
    </row>
    <row r="42" spans="2:28" ht="16.5">
      <c r="B42" s="496"/>
      <c r="C42" s="496"/>
      <c r="D42" s="209">
        <v>6</v>
      </c>
      <c r="E42" s="198" t="s">
        <v>274</v>
      </c>
      <c r="F42" s="199">
        <v>2440.9186000000041</v>
      </c>
      <c r="G42" s="198">
        <v>888.03</v>
      </c>
      <c r="H42" s="267">
        <v>906</v>
      </c>
      <c r="I42" s="210">
        <f t="shared" si="1"/>
        <v>1.0202358028444984</v>
      </c>
      <c r="J42" s="198"/>
      <c r="K42" s="210">
        <f t="shared" si="2"/>
        <v>0</v>
      </c>
      <c r="L42" s="267">
        <v>156.66999999999999</v>
      </c>
      <c r="M42" s="211">
        <f t="shared" si="3"/>
        <v>1.0202358028444984</v>
      </c>
      <c r="N42" s="199">
        <v>2879.7512699999997</v>
      </c>
      <c r="O42" s="267">
        <v>2.39</v>
      </c>
      <c r="P42" s="200">
        <v>2.6913505174374743E-3</v>
      </c>
      <c r="Q42" s="272">
        <v>374.44130000000001</v>
      </c>
      <c r="R42" s="267">
        <v>15.580000000000027</v>
      </c>
      <c r="S42" s="200">
        <v>1.7544452327061054E-2</v>
      </c>
      <c r="T42" s="268" t="s">
        <v>275</v>
      </c>
      <c r="U42" s="198" t="s">
        <v>276</v>
      </c>
      <c r="V42" s="198" t="s">
        <v>413</v>
      </c>
      <c r="W42" s="205">
        <v>1</v>
      </c>
      <c r="X42" s="198" t="s">
        <v>109</v>
      </c>
      <c r="AA42" s="270">
        <v>3</v>
      </c>
      <c r="AB42" s="196" t="s">
        <v>315</v>
      </c>
    </row>
    <row r="43" spans="2:28" ht="16.5">
      <c r="B43" s="496"/>
      <c r="C43" s="496"/>
      <c r="D43" s="209">
        <v>7</v>
      </c>
      <c r="E43" s="198" t="s">
        <v>409</v>
      </c>
      <c r="F43" s="199">
        <v>1615.2152200000007</v>
      </c>
      <c r="G43" s="198">
        <v>86.207999999999998</v>
      </c>
      <c r="H43" s="267">
        <v>90.5</v>
      </c>
      <c r="I43" s="210">
        <f t="shared" si="1"/>
        <v>1.0497865627319971</v>
      </c>
      <c r="J43" s="198"/>
      <c r="K43" s="210">
        <f t="shared" si="2"/>
        <v>0</v>
      </c>
      <c r="L43" s="267">
        <v>420.41</v>
      </c>
      <c r="M43" s="211">
        <f t="shared" si="3"/>
        <v>1.0497865627319971</v>
      </c>
      <c r="N43" s="199">
        <v>3846.7515000000003</v>
      </c>
      <c r="O43" s="267">
        <v>0.45</v>
      </c>
      <c r="P43" s="200">
        <v>5.2199331848552339E-3</v>
      </c>
      <c r="Q43" s="272">
        <v>189.18450000000001</v>
      </c>
      <c r="R43" s="267">
        <v>3.8420000000000014</v>
      </c>
      <c r="S43" s="200">
        <v>4.4566629547141814E-2</v>
      </c>
      <c r="T43" s="254" t="s">
        <v>271</v>
      </c>
      <c r="U43" s="198" t="s">
        <v>217</v>
      </c>
      <c r="V43" s="198" t="s">
        <v>449</v>
      </c>
      <c r="W43" s="205">
        <v>1</v>
      </c>
      <c r="X43" s="198" t="s">
        <v>112</v>
      </c>
      <c r="AA43" s="270">
        <v>4</v>
      </c>
      <c r="AB43" s="196" t="s">
        <v>326</v>
      </c>
    </row>
    <row r="44" spans="2:28" ht="16.5">
      <c r="B44" s="496"/>
      <c r="C44" s="496"/>
      <c r="D44" s="209">
        <v>8</v>
      </c>
      <c r="E44" s="198" t="s">
        <v>408</v>
      </c>
      <c r="F44" s="199">
        <v>1545.0820000000019</v>
      </c>
      <c r="G44" s="198">
        <v>176.22499999999999</v>
      </c>
      <c r="H44" s="267">
        <v>187.16800000000001</v>
      </c>
      <c r="I44" s="210">
        <f t="shared" si="1"/>
        <v>1.062096751312243</v>
      </c>
      <c r="J44" s="198"/>
      <c r="K44" s="210">
        <f t="shared" si="2"/>
        <v>0</v>
      </c>
      <c r="L44" s="267">
        <v>154</v>
      </c>
      <c r="M44" s="211">
        <f t="shared" si="3"/>
        <v>1.062096751312243</v>
      </c>
      <c r="N44" s="199">
        <v>1685.222</v>
      </c>
      <c r="O44" s="267">
        <v>0.91</v>
      </c>
      <c r="P44" s="200">
        <v>5.1638530287984111E-3</v>
      </c>
      <c r="Q44" s="272">
        <v>140.14000000000001</v>
      </c>
      <c r="R44" s="267">
        <v>10.033000000000012</v>
      </c>
      <c r="S44" s="200">
        <v>5.6932898283444527E-2</v>
      </c>
      <c r="T44" s="254" t="s">
        <v>271</v>
      </c>
      <c r="U44" s="198" t="s">
        <v>217</v>
      </c>
      <c r="V44" s="198" t="s">
        <v>450</v>
      </c>
      <c r="W44" s="205">
        <v>1</v>
      </c>
      <c r="X44" s="198" t="s">
        <v>136</v>
      </c>
      <c r="AA44" s="196">
        <v>5</v>
      </c>
      <c r="AB44" s="196" t="s">
        <v>328</v>
      </c>
    </row>
    <row r="45" spans="2:28" ht="16.5">
      <c r="B45" s="496"/>
      <c r="C45" s="496"/>
      <c r="D45" s="209">
        <v>9</v>
      </c>
      <c r="E45" s="198" t="s">
        <v>329</v>
      </c>
      <c r="F45" s="199">
        <v>1107.1095600000017</v>
      </c>
      <c r="G45" s="198">
        <v>200.69</v>
      </c>
      <c r="H45" s="267">
        <v>202.893</v>
      </c>
      <c r="I45" s="210">
        <f t="shared" si="1"/>
        <v>1.0109771289052769</v>
      </c>
      <c r="J45" s="198"/>
      <c r="K45" s="210">
        <f t="shared" si="2"/>
        <v>0</v>
      </c>
      <c r="L45" s="267">
        <v>575.72</v>
      </c>
      <c r="M45" s="211">
        <f t="shared" si="3"/>
        <v>1.0109771289052769</v>
      </c>
      <c r="N45" s="199">
        <v>1268.31116</v>
      </c>
      <c r="O45" s="267">
        <v>0.28000000000000003</v>
      </c>
      <c r="P45" s="200">
        <v>1.3951866062085806E-3</v>
      </c>
      <c r="Q45" s="272">
        <v>161.20160000000001</v>
      </c>
      <c r="R45" s="267">
        <v>1.9230000000000029</v>
      </c>
      <c r="S45" s="200">
        <v>9.5819422990682298E-3</v>
      </c>
      <c r="T45" s="268" t="s">
        <v>275</v>
      </c>
      <c r="U45" s="198" t="s">
        <v>276</v>
      </c>
      <c r="V45" s="264" t="s">
        <v>451</v>
      </c>
      <c r="W45" s="205">
        <v>1</v>
      </c>
      <c r="X45" s="198" t="s">
        <v>113</v>
      </c>
    </row>
    <row r="46" spans="2:28" ht="15.75">
      <c r="B46" s="496"/>
      <c r="C46" s="496"/>
      <c r="D46" s="209">
        <v>10</v>
      </c>
      <c r="E46" s="198" t="s">
        <v>452</v>
      </c>
      <c r="F46" s="199">
        <v>998</v>
      </c>
      <c r="G46" s="198">
        <v>74.031999999999996</v>
      </c>
      <c r="H46" s="267">
        <v>80.3</v>
      </c>
      <c r="I46" s="210">
        <f t="shared" si="1"/>
        <v>1.0846660903393128</v>
      </c>
      <c r="J46" s="198"/>
      <c r="K46" s="210">
        <f t="shared" si="2"/>
        <v>0</v>
      </c>
      <c r="L46" s="267">
        <v>158</v>
      </c>
      <c r="M46" s="211">
        <f t="shared" si="3"/>
        <v>1.0846660903393128</v>
      </c>
      <c r="N46" s="199">
        <v>1161.4580000000001</v>
      </c>
      <c r="O46" s="267">
        <v>0.55500000000000005</v>
      </c>
      <c r="P46" s="200">
        <v>7.4967581586341051E-3</v>
      </c>
      <c r="Q46" s="272">
        <v>87.690000000000012</v>
      </c>
      <c r="R46" s="267">
        <v>5.713000000000001</v>
      </c>
      <c r="S46" s="200">
        <v>7.7169332180678646E-2</v>
      </c>
      <c r="T46" s="268" t="s">
        <v>275</v>
      </c>
      <c r="U46" s="198" t="s">
        <v>276</v>
      </c>
      <c r="V46" s="198" t="s">
        <v>453</v>
      </c>
      <c r="W46" s="205">
        <v>1</v>
      </c>
      <c r="X46" s="198" t="s">
        <v>134</v>
      </c>
    </row>
    <row r="47" spans="2:28">
      <c r="B47" s="495">
        <v>45874</v>
      </c>
      <c r="C47" s="496" t="s">
        <v>66</v>
      </c>
      <c r="D47" s="209">
        <v>1</v>
      </c>
      <c r="E47" s="198" t="s">
        <v>331</v>
      </c>
      <c r="F47" s="199">
        <v>15806.042000000001</v>
      </c>
      <c r="G47" s="198">
        <v>500.06</v>
      </c>
      <c r="H47" s="267">
        <v>555</v>
      </c>
      <c r="I47" s="210">
        <f t="shared" si="1"/>
        <v>1.1098668159820821</v>
      </c>
      <c r="J47" s="198"/>
      <c r="K47" s="210">
        <f t="shared" si="2"/>
        <v>0</v>
      </c>
      <c r="L47" s="267">
        <v>335.3</v>
      </c>
      <c r="M47" s="211">
        <f t="shared" si="3"/>
        <v>1.1098668159820821</v>
      </c>
      <c r="N47" s="199">
        <v>18421.382000000001</v>
      </c>
      <c r="O47" s="267">
        <v>7.8</v>
      </c>
      <c r="P47" s="200">
        <v>1.5598128224613046E-2</v>
      </c>
      <c r="Q47" s="272">
        <v>2615.34</v>
      </c>
      <c r="R47" s="267">
        <v>47.14</v>
      </c>
      <c r="S47" s="200">
        <v>9.4268687757469105E-2</v>
      </c>
      <c r="T47" s="198" t="s">
        <v>315</v>
      </c>
      <c r="U47" s="198" t="s">
        <v>217</v>
      </c>
      <c r="V47" s="198" t="s">
        <v>332</v>
      </c>
      <c r="W47" s="205">
        <v>1</v>
      </c>
      <c r="X47" s="198" t="s">
        <v>114</v>
      </c>
    </row>
    <row r="48" spans="2:28">
      <c r="B48" s="496"/>
      <c r="C48" s="496"/>
      <c r="D48" s="209">
        <v>2</v>
      </c>
      <c r="E48" s="198" t="s">
        <v>337</v>
      </c>
      <c r="F48" s="199">
        <v>9072.5300000000043</v>
      </c>
      <c r="G48" s="198">
        <v>44.945999999999998</v>
      </c>
      <c r="H48" s="267">
        <v>59.45</v>
      </c>
      <c r="I48" s="210">
        <f t="shared" si="1"/>
        <v>1.3226983491300672</v>
      </c>
      <c r="J48" s="198"/>
      <c r="K48" s="210">
        <f t="shared" si="2"/>
        <v>0</v>
      </c>
      <c r="L48" s="267">
        <v>695</v>
      </c>
      <c r="M48" s="211">
        <f t="shared" si="3"/>
        <v>1.3226983491300672</v>
      </c>
      <c r="N48" s="199">
        <v>10080.280000000004</v>
      </c>
      <c r="O48" s="267">
        <v>1.45</v>
      </c>
      <c r="P48" s="200">
        <v>3.2260935344635783E-2</v>
      </c>
      <c r="Q48" s="272">
        <v>1007.75</v>
      </c>
      <c r="R48" s="267">
        <v>13.054000000000006</v>
      </c>
      <c r="S48" s="200">
        <v>0.29043741378543153</v>
      </c>
      <c r="T48" s="198" t="s">
        <v>315</v>
      </c>
      <c r="U48" s="198" t="s">
        <v>217</v>
      </c>
      <c r="V48" s="198" t="s">
        <v>338</v>
      </c>
      <c r="W48" s="205">
        <v>1</v>
      </c>
      <c r="X48" s="198" t="s">
        <v>339</v>
      </c>
    </row>
    <row r="49" spans="2:24">
      <c r="B49" s="496"/>
      <c r="C49" s="496"/>
      <c r="D49" s="209">
        <v>3</v>
      </c>
      <c r="E49" s="198" t="s">
        <v>409</v>
      </c>
      <c r="F49" s="199">
        <v>6463.3833399999985</v>
      </c>
      <c r="G49" s="198">
        <v>81.42</v>
      </c>
      <c r="H49" s="267">
        <v>97.8</v>
      </c>
      <c r="I49" s="210">
        <f t="shared" si="1"/>
        <v>1.2011790714812085</v>
      </c>
      <c r="J49" s="198"/>
      <c r="K49" s="210">
        <f t="shared" si="2"/>
        <v>0</v>
      </c>
      <c r="L49" s="267">
        <v>420.41</v>
      </c>
      <c r="M49" s="211">
        <f t="shared" si="3"/>
        <v>1.2011790714812085</v>
      </c>
      <c r="N49" s="199">
        <v>6886.3157999999985</v>
      </c>
      <c r="O49" s="267">
        <v>1.006</v>
      </c>
      <c r="P49" s="200">
        <v>1.2355686563497913E-2</v>
      </c>
      <c r="Q49" s="272">
        <v>422.93246000000005</v>
      </c>
      <c r="R49" s="267">
        <v>15.373999999999995</v>
      </c>
      <c r="S49" s="200">
        <v>0.18882338491771058</v>
      </c>
      <c r="T49" s="198" t="s">
        <v>315</v>
      </c>
      <c r="U49" s="198" t="s">
        <v>217</v>
      </c>
      <c r="V49" s="198" t="s">
        <v>454</v>
      </c>
      <c r="W49" s="205">
        <v>1</v>
      </c>
      <c r="X49" s="198" t="s">
        <v>112</v>
      </c>
    </row>
    <row r="50" spans="2:24">
      <c r="B50" s="496"/>
      <c r="C50" s="496"/>
      <c r="D50" s="209">
        <v>4</v>
      </c>
      <c r="E50" s="198" t="s">
        <v>287</v>
      </c>
      <c r="F50" s="199">
        <v>5973.5636307692321</v>
      </c>
      <c r="G50" s="198">
        <v>122.3</v>
      </c>
      <c r="H50" s="267">
        <v>136.185</v>
      </c>
      <c r="I50" s="210">
        <f t="shared" si="1"/>
        <v>1.1135322976287818</v>
      </c>
      <c r="J50" s="198"/>
      <c r="K50" s="210">
        <f t="shared" si="2"/>
        <v>0</v>
      </c>
      <c r="L50" s="267">
        <v>508.21538461538449</v>
      </c>
      <c r="M50" s="211">
        <f t="shared" si="3"/>
        <v>1.1135322976287818</v>
      </c>
      <c r="N50" s="199">
        <v>7056.5706153846158</v>
      </c>
      <c r="O50" s="267">
        <v>2.1309999999999998</v>
      </c>
      <c r="P50" s="200">
        <v>1.7424366312346687E-2</v>
      </c>
      <c r="Q50" s="272">
        <v>1083.0069846153842</v>
      </c>
      <c r="R50" s="267">
        <v>11.754000000000005</v>
      </c>
      <c r="S50" s="200">
        <v>9.6107931316435039E-2</v>
      </c>
      <c r="T50" s="198" t="s">
        <v>315</v>
      </c>
      <c r="U50" s="198" t="s">
        <v>217</v>
      </c>
      <c r="V50" s="198" t="s">
        <v>367</v>
      </c>
      <c r="W50" s="205">
        <v>1</v>
      </c>
      <c r="X50" s="198" t="s">
        <v>110</v>
      </c>
    </row>
    <row r="51" spans="2:24">
      <c r="B51" s="496"/>
      <c r="C51" s="496"/>
      <c r="D51" s="209">
        <v>5</v>
      </c>
      <c r="E51" s="198" t="s">
        <v>289</v>
      </c>
      <c r="F51" s="199">
        <v>4035.4599999999973</v>
      </c>
      <c r="G51" s="198">
        <v>403.11</v>
      </c>
      <c r="H51" s="267">
        <v>456.89499999999998</v>
      </c>
      <c r="I51" s="210">
        <f t="shared" si="1"/>
        <v>1.1334251196943761</v>
      </c>
      <c r="J51" s="198"/>
      <c r="K51" s="210">
        <f t="shared" si="2"/>
        <v>0</v>
      </c>
      <c r="L51" s="267">
        <v>85</v>
      </c>
      <c r="M51" s="211">
        <f t="shared" si="3"/>
        <v>1.1334251196943761</v>
      </c>
      <c r="N51" s="199">
        <v>4571.7249999999976</v>
      </c>
      <c r="O51" s="267">
        <v>6.3090000000000002</v>
      </c>
      <c r="P51" s="200">
        <v>1.5650814914043312E-2</v>
      </c>
      <c r="Q51" s="272">
        <v>536.26499999999999</v>
      </c>
      <c r="R51" s="267">
        <v>47.475999999999971</v>
      </c>
      <c r="S51" s="200">
        <v>0.11777430478033284</v>
      </c>
      <c r="T51" s="198" t="s">
        <v>308</v>
      </c>
      <c r="U51" s="198" t="s">
        <v>276</v>
      </c>
      <c r="V51" s="198" t="s">
        <v>413</v>
      </c>
      <c r="W51" s="205">
        <v>1</v>
      </c>
      <c r="X51" s="198" t="s">
        <v>134</v>
      </c>
    </row>
    <row r="52" spans="2:24">
      <c r="B52" s="496"/>
      <c r="C52" s="496"/>
      <c r="D52" s="209">
        <v>6</v>
      </c>
      <c r="E52" s="198" t="s">
        <v>294</v>
      </c>
      <c r="F52" s="199">
        <v>3901.6215200000038</v>
      </c>
      <c r="G52" s="198">
        <v>64.55</v>
      </c>
      <c r="H52" s="267">
        <v>69.548000000000002</v>
      </c>
      <c r="I52" s="210">
        <f t="shared" si="1"/>
        <v>1.077428350116189</v>
      </c>
      <c r="J52" s="198"/>
      <c r="K52" s="210">
        <f t="shared" si="2"/>
        <v>0</v>
      </c>
      <c r="L52" s="267">
        <v>821.74</v>
      </c>
      <c r="M52" s="211">
        <f t="shared" si="3"/>
        <v>1.077428350116189</v>
      </c>
      <c r="N52" s="199">
        <v>4107.0565200000037</v>
      </c>
      <c r="O52" s="267">
        <v>0.25</v>
      </c>
      <c r="P52" s="200">
        <v>3.8729666924864447E-3</v>
      </c>
      <c r="Q52" s="272">
        <v>205.435</v>
      </c>
      <c r="R52" s="267">
        <v>4.7480000000000047</v>
      </c>
      <c r="S52" s="200">
        <v>7.355538342370263E-2</v>
      </c>
      <c r="T52" s="198" t="s">
        <v>308</v>
      </c>
      <c r="U52" s="198" t="s">
        <v>276</v>
      </c>
      <c r="V52" s="198" t="s">
        <v>413</v>
      </c>
      <c r="W52" s="205">
        <v>1</v>
      </c>
      <c r="X52" s="198" t="s">
        <v>115</v>
      </c>
    </row>
    <row r="53" spans="2:24">
      <c r="B53" s="496"/>
      <c r="C53" s="496"/>
      <c r="D53" s="209">
        <v>7</v>
      </c>
      <c r="E53" s="198" t="s">
        <v>333</v>
      </c>
      <c r="F53" s="199">
        <v>3573.5699999999865</v>
      </c>
      <c r="G53" s="198">
        <v>1428.9</v>
      </c>
      <c r="H53" s="267">
        <v>1448.21</v>
      </c>
      <c r="I53" s="210">
        <f t="shared" si="1"/>
        <v>1.0135138918048849</v>
      </c>
      <c r="J53" s="198"/>
      <c r="K53" s="210">
        <f t="shared" si="2"/>
        <v>0</v>
      </c>
      <c r="L53" s="267">
        <v>245.55555555555554</v>
      </c>
      <c r="M53" s="211">
        <f t="shared" si="3"/>
        <v>1.0135138918048849</v>
      </c>
      <c r="N53" s="199">
        <v>4741.6777777777643</v>
      </c>
      <c r="O53" s="267">
        <v>4.7569999999999997</v>
      </c>
      <c r="P53" s="200">
        <v>3.3291342991112038E-3</v>
      </c>
      <c r="Q53" s="272">
        <v>1168.1077777777775</v>
      </c>
      <c r="R53" s="267">
        <v>14.552999999999946</v>
      </c>
      <c r="S53" s="200">
        <v>1.0184757505773634E-2</v>
      </c>
      <c r="T53" s="198" t="s">
        <v>308</v>
      </c>
      <c r="U53" s="198" t="s">
        <v>276</v>
      </c>
      <c r="V53" s="198" t="s">
        <v>413</v>
      </c>
      <c r="W53" s="205">
        <v>1</v>
      </c>
      <c r="X53" s="198" t="s">
        <v>109</v>
      </c>
    </row>
    <row r="54" spans="2:24">
      <c r="B54" s="496"/>
      <c r="C54" s="496"/>
      <c r="D54" s="209">
        <v>8</v>
      </c>
      <c r="E54" s="198" t="s">
        <v>401</v>
      </c>
      <c r="F54" s="199">
        <v>3310.8220000000033</v>
      </c>
      <c r="G54" s="198">
        <v>69.983999999999995</v>
      </c>
      <c r="H54" s="267">
        <v>75.5</v>
      </c>
      <c r="I54" s="210">
        <f t="shared" si="1"/>
        <v>1.0788180155464107</v>
      </c>
      <c r="J54" s="198"/>
      <c r="K54" s="210">
        <f t="shared" si="2"/>
        <v>0</v>
      </c>
      <c r="L54" s="267">
        <v>617</v>
      </c>
      <c r="M54" s="211">
        <f t="shared" si="3"/>
        <v>1.0788180155464107</v>
      </c>
      <c r="N54" s="199">
        <v>3403.3720000000035</v>
      </c>
      <c r="O54" s="267">
        <v>0.15</v>
      </c>
      <c r="P54" s="200">
        <v>2.1433470507544582E-3</v>
      </c>
      <c r="Q54" s="272">
        <v>92.55</v>
      </c>
      <c r="R54" s="267">
        <v>5.366000000000005</v>
      </c>
      <c r="S54" s="200">
        <v>7.6674668495656226E-2</v>
      </c>
      <c r="T54" s="198" t="s">
        <v>278</v>
      </c>
      <c r="U54" s="198" t="s">
        <v>212</v>
      </c>
      <c r="V54" s="198" t="s">
        <v>455</v>
      </c>
      <c r="W54" s="205">
        <v>1</v>
      </c>
      <c r="X54" s="198" t="s">
        <v>118</v>
      </c>
    </row>
    <row r="55" spans="2:24">
      <c r="B55" s="496"/>
      <c r="C55" s="496"/>
      <c r="D55" s="209">
        <v>9</v>
      </c>
      <c r="E55" s="198" t="s">
        <v>373</v>
      </c>
      <c r="F55" s="199">
        <v>3301.8937200000009</v>
      </c>
      <c r="G55" s="198">
        <v>55.167999999999999</v>
      </c>
      <c r="H55" s="267">
        <v>59.5</v>
      </c>
      <c r="I55" s="210">
        <f t="shared" si="1"/>
        <v>1.0785237819025522</v>
      </c>
      <c r="J55" s="198"/>
      <c r="K55" s="210">
        <f t="shared" si="2"/>
        <v>0</v>
      </c>
      <c r="L55" s="267">
        <v>762.21</v>
      </c>
      <c r="M55" s="211">
        <f t="shared" si="3"/>
        <v>1.0785237819025522</v>
      </c>
      <c r="N55" s="199">
        <v>3301.8937200000009</v>
      </c>
      <c r="O55" s="267">
        <v>0</v>
      </c>
      <c r="P55" s="200">
        <v>0</v>
      </c>
      <c r="Q55" s="272">
        <v>0</v>
      </c>
      <c r="R55" s="267">
        <v>4.3320000000000007</v>
      </c>
      <c r="S55" s="200">
        <v>7.8523781902552214E-2</v>
      </c>
      <c r="T55" s="198" t="s">
        <v>315</v>
      </c>
      <c r="U55" s="198" t="s">
        <v>217</v>
      </c>
      <c r="V55" s="198" t="s">
        <v>374</v>
      </c>
      <c r="W55" s="205">
        <v>1</v>
      </c>
      <c r="X55" s="198" t="s">
        <v>116</v>
      </c>
    </row>
    <row r="56" spans="2:24">
      <c r="B56" s="496"/>
      <c r="C56" s="496"/>
      <c r="D56" s="209">
        <v>10</v>
      </c>
      <c r="E56" s="198" t="s">
        <v>274</v>
      </c>
      <c r="F56" s="199">
        <v>1781.8079099999927</v>
      </c>
      <c r="G56" s="198">
        <v>876.82500000000005</v>
      </c>
      <c r="H56" s="267">
        <v>895</v>
      </c>
      <c r="I56" s="210">
        <f t="shared" si="1"/>
        <v>1.020728195478003</v>
      </c>
      <c r="J56" s="198"/>
      <c r="K56" s="210">
        <f t="shared" si="2"/>
        <v>0</v>
      </c>
      <c r="L56" s="267">
        <v>156.66999999999999</v>
      </c>
      <c r="M56" s="211">
        <f t="shared" si="3"/>
        <v>1.020728195478003</v>
      </c>
      <c r="N56" s="199">
        <v>2847.4772499999926</v>
      </c>
      <c r="O56" s="267">
        <v>6.8019999999999996</v>
      </c>
      <c r="P56" s="200">
        <v>7.757534285632822E-3</v>
      </c>
      <c r="Q56" s="272">
        <v>1065.6693399999999</v>
      </c>
      <c r="R56" s="267">
        <v>11.372999999999955</v>
      </c>
      <c r="S56" s="200">
        <v>1.2970661192370147E-2</v>
      </c>
      <c r="T56" s="198" t="s">
        <v>308</v>
      </c>
      <c r="U56" s="198" t="s">
        <v>276</v>
      </c>
      <c r="V56" s="198" t="s">
        <v>413</v>
      </c>
      <c r="W56" s="205">
        <v>1</v>
      </c>
      <c r="X56" s="198" t="s">
        <v>109</v>
      </c>
    </row>
    <row r="57" spans="2:24">
      <c r="B57" s="495">
        <v>45875</v>
      </c>
      <c r="C57" s="496" t="s">
        <v>67</v>
      </c>
      <c r="D57" s="209">
        <v>1</v>
      </c>
      <c r="E57" s="198" t="s">
        <v>287</v>
      </c>
      <c r="F57" s="199">
        <v>9875.1331384615278</v>
      </c>
      <c r="G57" s="198">
        <v>132.46</v>
      </c>
      <c r="H57" s="267">
        <v>153.39099999999999</v>
      </c>
      <c r="I57" s="210">
        <f t="shared" si="1"/>
        <v>1.1580175147214251</v>
      </c>
      <c r="J57" s="198"/>
      <c r="K57" s="210">
        <f t="shared" si="2"/>
        <v>0</v>
      </c>
      <c r="L57" s="267">
        <v>508.21538461538449</v>
      </c>
      <c r="M57" s="211">
        <f t="shared" si="3"/>
        <v>1.1580175147214251</v>
      </c>
      <c r="N57" s="199">
        <v>10637.456215384604</v>
      </c>
      <c r="O57" s="267">
        <v>1.5</v>
      </c>
      <c r="P57" s="200">
        <v>1.132417333534652E-2</v>
      </c>
      <c r="Q57" s="272">
        <v>762.32307692307677</v>
      </c>
      <c r="R57" s="267">
        <v>19.430999999999983</v>
      </c>
      <c r="S57" s="200">
        <v>0.14669334138607867</v>
      </c>
      <c r="T57" s="198" t="s">
        <v>315</v>
      </c>
      <c r="U57" s="198" t="s">
        <v>217</v>
      </c>
      <c r="V57" s="198" t="s">
        <v>367</v>
      </c>
      <c r="W57" s="205">
        <v>1</v>
      </c>
      <c r="X57" s="198" t="s">
        <v>110</v>
      </c>
    </row>
    <row r="58" spans="2:24">
      <c r="B58" s="496"/>
      <c r="C58" s="496"/>
      <c r="D58" s="209">
        <v>2</v>
      </c>
      <c r="E58" s="198" t="s">
        <v>331</v>
      </c>
      <c r="F58" s="199">
        <v>7791.0308000000005</v>
      </c>
      <c r="G58" s="198">
        <v>317.57</v>
      </c>
      <c r="H58" s="267">
        <v>344.60599999999999</v>
      </c>
      <c r="I58" s="210">
        <f t="shared" si="1"/>
        <v>1.0851339862077651</v>
      </c>
      <c r="J58" s="198"/>
      <c r="K58" s="210">
        <f t="shared" si="2"/>
        <v>0</v>
      </c>
      <c r="L58" s="267">
        <v>335.3</v>
      </c>
      <c r="M58" s="211">
        <f t="shared" si="3"/>
        <v>1.0851339862077651</v>
      </c>
      <c r="N58" s="199">
        <v>9065.1707999999999</v>
      </c>
      <c r="O58" s="267">
        <v>3.8</v>
      </c>
      <c r="P58" s="200">
        <v>1.1965865793368391E-2</v>
      </c>
      <c r="Q58" s="272">
        <v>1274.1399999999999</v>
      </c>
      <c r="R58" s="267">
        <v>23.236000000000001</v>
      </c>
      <c r="S58" s="200">
        <v>7.3168120414396826E-2</v>
      </c>
      <c r="T58" s="198" t="s">
        <v>315</v>
      </c>
      <c r="U58" s="198" t="s">
        <v>217</v>
      </c>
      <c r="V58" s="198" t="s">
        <v>332</v>
      </c>
      <c r="W58" s="205">
        <v>1</v>
      </c>
      <c r="X58" s="198" t="s">
        <v>114</v>
      </c>
    </row>
    <row r="59" spans="2:24">
      <c r="B59" s="496"/>
      <c r="C59" s="496"/>
      <c r="D59" s="209">
        <v>3</v>
      </c>
      <c r="E59" s="198" t="s">
        <v>409</v>
      </c>
      <c r="F59" s="199">
        <v>6047.597850000001</v>
      </c>
      <c r="G59" s="198">
        <v>81.072000000000003</v>
      </c>
      <c r="H59" s="267">
        <v>96.477000000000004</v>
      </c>
      <c r="I59" s="210">
        <f t="shared" si="1"/>
        <v>1.1900162818235642</v>
      </c>
      <c r="J59" s="198"/>
      <c r="K59" s="210">
        <f t="shared" si="2"/>
        <v>0</v>
      </c>
      <c r="L59" s="267">
        <v>420.41</v>
      </c>
      <c r="M59" s="211">
        <f t="shared" si="3"/>
        <v>1.1900162818235642</v>
      </c>
      <c r="N59" s="199">
        <v>6476.4160500000007</v>
      </c>
      <c r="O59" s="267">
        <v>1.02</v>
      </c>
      <c r="P59" s="200">
        <v>1.2581409117821196E-2</v>
      </c>
      <c r="Q59" s="272">
        <v>428.81820000000005</v>
      </c>
      <c r="R59" s="267">
        <v>14.385000000000002</v>
      </c>
      <c r="S59" s="200">
        <v>0.17743487270574307</v>
      </c>
      <c r="T59" s="198" t="s">
        <v>315</v>
      </c>
      <c r="U59" s="198" t="s">
        <v>217</v>
      </c>
      <c r="V59" s="198" t="s">
        <v>454</v>
      </c>
      <c r="W59" s="205">
        <v>1</v>
      </c>
      <c r="X59" s="198" t="s">
        <v>112</v>
      </c>
    </row>
    <row r="60" spans="2:24">
      <c r="B60" s="496"/>
      <c r="C60" s="496"/>
      <c r="D60" s="209">
        <v>4</v>
      </c>
      <c r="E60" s="198" t="s">
        <v>373</v>
      </c>
      <c r="F60" s="199">
        <v>5144.9175000000032</v>
      </c>
      <c r="G60" s="198">
        <v>53.695999999999998</v>
      </c>
      <c r="H60" s="267">
        <v>60.496000000000002</v>
      </c>
      <c r="I60" s="210">
        <f t="shared" si="1"/>
        <v>1.1266388557806915</v>
      </c>
      <c r="J60" s="198"/>
      <c r="K60" s="210">
        <f t="shared" si="2"/>
        <v>0</v>
      </c>
      <c r="L60" s="267">
        <v>762.21</v>
      </c>
      <c r="M60" s="211">
        <f t="shared" si="3"/>
        <v>1.1266388557806915</v>
      </c>
      <c r="N60" s="199">
        <v>5183.0280000000039</v>
      </c>
      <c r="O60" s="267">
        <v>0.05</v>
      </c>
      <c r="P60" s="200">
        <v>9.3116805721096547E-4</v>
      </c>
      <c r="Q60" s="272">
        <v>38.110500000000002</v>
      </c>
      <c r="R60" s="267">
        <v>6.7500000000000044</v>
      </c>
      <c r="S60" s="200">
        <v>0.12570768772348043</v>
      </c>
      <c r="T60" s="198" t="s">
        <v>315</v>
      </c>
      <c r="U60" s="198" t="s">
        <v>217</v>
      </c>
      <c r="V60" s="198" t="s">
        <v>374</v>
      </c>
      <c r="W60" s="205">
        <v>1</v>
      </c>
      <c r="X60" s="198" t="s">
        <v>116</v>
      </c>
    </row>
    <row r="61" spans="2:24">
      <c r="B61" s="496"/>
      <c r="C61" s="496"/>
      <c r="D61" s="209">
        <v>5</v>
      </c>
      <c r="E61" s="198" t="s">
        <v>289</v>
      </c>
      <c r="F61" s="199">
        <v>4536.79</v>
      </c>
      <c r="G61" s="198">
        <v>395.91</v>
      </c>
      <c r="H61" s="267">
        <v>454.94400000000002</v>
      </c>
      <c r="I61" s="210">
        <f t="shared" si="1"/>
        <v>1.1491096461316965</v>
      </c>
      <c r="J61" s="198"/>
      <c r="K61" s="210">
        <f t="shared" si="2"/>
        <v>0</v>
      </c>
      <c r="L61" s="267">
        <v>85</v>
      </c>
      <c r="M61" s="211">
        <f t="shared" si="3"/>
        <v>1.1491096461316965</v>
      </c>
      <c r="N61" s="199">
        <v>5017.8899999999994</v>
      </c>
      <c r="O61" s="267">
        <v>5.66</v>
      </c>
      <c r="P61" s="200">
        <v>1.4296178424389381E-2</v>
      </c>
      <c r="Q61" s="272">
        <v>481.1</v>
      </c>
      <c r="R61" s="267">
        <v>53.373999999999995</v>
      </c>
      <c r="S61" s="200">
        <v>0.13481346770730721</v>
      </c>
      <c r="T61" s="198" t="s">
        <v>308</v>
      </c>
      <c r="U61" s="198" t="s">
        <v>276</v>
      </c>
      <c r="V61" s="198" t="s">
        <v>413</v>
      </c>
      <c r="W61" s="205">
        <v>1</v>
      </c>
      <c r="X61" s="198" t="s">
        <v>134</v>
      </c>
    </row>
    <row r="62" spans="2:24">
      <c r="B62" s="496"/>
      <c r="C62" s="496"/>
      <c r="D62" s="209">
        <v>6</v>
      </c>
      <c r="E62" s="198" t="s">
        <v>337</v>
      </c>
      <c r="F62" s="199">
        <v>4265.9099999999971</v>
      </c>
      <c r="G62" s="198">
        <v>43.128</v>
      </c>
      <c r="H62" s="267">
        <v>49.540999999999997</v>
      </c>
      <c r="I62" s="210">
        <f t="shared" si="1"/>
        <v>1.1486969022444815</v>
      </c>
      <c r="J62" s="198"/>
      <c r="K62" s="210">
        <f t="shared" si="2"/>
        <v>0</v>
      </c>
      <c r="L62" s="267">
        <v>695</v>
      </c>
      <c r="M62" s="211">
        <f t="shared" si="3"/>
        <v>1.1486969022444815</v>
      </c>
      <c r="N62" s="199">
        <v>4457.034999999998</v>
      </c>
      <c r="O62" s="267">
        <v>0.28000000000000003</v>
      </c>
      <c r="P62" s="200">
        <v>6.4923019847894642E-3</v>
      </c>
      <c r="Q62" s="272">
        <v>194.60000000000002</v>
      </c>
      <c r="R62" s="267">
        <v>6.1329999999999965</v>
      </c>
      <c r="S62" s="200">
        <v>0.142204600259692</v>
      </c>
      <c r="T62" s="198" t="s">
        <v>315</v>
      </c>
      <c r="U62" s="198" t="s">
        <v>217</v>
      </c>
      <c r="V62" s="198" t="s">
        <v>456</v>
      </c>
      <c r="W62" s="205">
        <v>1</v>
      </c>
      <c r="X62" s="198" t="s">
        <v>339</v>
      </c>
    </row>
    <row r="63" spans="2:24">
      <c r="B63" s="496"/>
      <c r="C63" s="496"/>
      <c r="D63" s="209">
        <v>7</v>
      </c>
      <c r="E63" s="198" t="s">
        <v>333</v>
      </c>
      <c r="F63" s="199">
        <v>4009.6766666666317</v>
      </c>
      <c r="G63" s="198">
        <v>1403.16</v>
      </c>
      <c r="H63" s="267">
        <v>1425.4929999999999</v>
      </c>
      <c r="I63" s="210">
        <f t="shared" si="1"/>
        <v>1.0159162176800933</v>
      </c>
      <c r="J63" s="198"/>
      <c r="K63" s="210">
        <f t="shared" si="2"/>
        <v>0</v>
      </c>
      <c r="L63" s="267">
        <v>245.55555555555554</v>
      </c>
      <c r="M63" s="211">
        <f t="shared" si="3"/>
        <v>1.0159162176800933</v>
      </c>
      <c r="N63" s="199">
        <v>5483.9922222221867</v>
      </c>
      <c r="O63" s="267">
        <v>6.0039999999999996</v>
      </c>
      <c r="P63" s="200">
        <v>4.2789133099575237E-3</v>
      </c>
      <c r="Q63" s="272">
        <v>1474.3155555555554</v>
      </c>
      <c r="R63" s="267">
        <v>16.328999999999859</v>
      </c>
      <c r="S63" s="200">
        <v>1.1637304370135878E-2</v>
      </c>
      <c r="T63" s="198" t="s">
        <v>308</v>
      </c>
      <c r="U63" s="198" t="s">
        <v>276</v>
      </c>
      <c r="V63" s="198" t="s">
        <v>413</v>
      </c>
      <c r="W63" s="205">
        <v>1</v>
      </c>
      <c r="X63" s="198" t="s">
        <v>109</v>
      </c>
    </row>
    <row r="64" spans="2:24">
      <c r="B64" s="496"/>
      <c r="C64" s="496"/>
      <c r="D64" s="209">
        <v>8</v>
      </c>
      <c r="E64" s="198" t="s">
        <v>323</v>
      </c>
      <c r="F64" s="199">
        <v>3932.1865799999978</v>
      </c>
      <c r="G64" s="198">
        <v>118.23699999999999</v>
      </c>
      <c r="H64" s="267">
        <v>129.67599999999999</v>
      </c>
      <c r="I64" s="210">
        <f t="shared" si="1"/>
        <v>1.0967463653509477</v>
      </c>
      <c r="J64" s="198"/>
      <c r="K64" s="210">
        <f t="shared" si="2"/>
        <v>0</v>
      </c>
      <c r="L64" s="267">
        <v>356.37</v>
      </c>
      <c r="M64" s="211">
        <f t="shared" si="3"/>
        <v>1.0967463653509477</v>
      </c>
      <c r="N64" s="199">
        <v>4076.5164299999974</v>
      </c>
      <c r="O64" s="267">
        <v>0.40500000000000003</v>
      </c>
      <c r="P64" s="200">
        <v>3.425323714234969E-3</v>
      </c>
      <c r="Q64" s="272">
        <v>144.32985000000002</v>
      </c>
      <c r="R64" s="267">
        <v>11.033999999999994</v>
      </c>
      <c r="S64" s="200">
        <v>9.3321041636712648E-2</v>
      </c>
      <c r="T64" s="198" t="s">
        <v>315</v>
      </c>
      <c r="U64" s="198" t="s">
        <v>217</v>
      </c>
      <c r="V64" s="198" t="s">
        <v>361</v>
      </c>
      <c r="W64" s="205">
        <v>1</v>
      </c>
      <c r="X64" s="198" t="s">
        <v>111</v>
      </c>
    </row>
    <row r="65" spans="2:24">
      <c r="B65" s="496"/>
      <c r="C65" s="496"/>
      <c r="D65" s="209">
        <v>9</v>
      </c>
      <c r="E65" s="198" t="s">
        <v>329</v>
      </c>
      <c r="F65" s="199">
        <v>3413.2135919999987</v>
      </c>
      <c r="G65" s="198">
        <v>187.14500000000001</v>
      </c>
      <c r="H65" s="267">
        <v>216.821</v>
      </c>
      <c r="I65" s="210">
        <f t="shared" si="1"/>
        <v>1.1585722300889685</v>
      </c>
      <c r="J65" s="198"/>
      <c r="K65" s="210">
        <f t="shared" si="2"/>
        <v>0</v>
      </c>
      <c r="L65" s="267">
        <v>575.72</v>
      </c>
      <c r="M65" s="211">
        <f t="shared" si="3"/>
        <v>1.1585722300889685</v>
      </c>
      <c r="N65" s="199">
        <v>17085.066719999995</v>
      </c>
      <c r="O65" s="267">
        <v>0.03</v>
      </c>
      <c r="P65" s="200">
        <v>1.603035079750995E-4</v>
      </c>
      <c r="Q65" s="272">
        <v>17.271599999999999</v>
      </c>
      <c r="R65" s="267">
        <v>29.645999999999987</v>
      </c>
      <c r="S65" s="200">
        <v>0.15841192658099326</v>
      </c>
      <c r="T65" s="198" t="s">
        <v>308</v>
      </c>
      <c r="U65" s="198" t="s">
        <v>276</v>
      </c>
      <c r="V65" s="198" t="s">
        <v>457</v>
      </c>
      <c r="W65" s="205">
        <v>1</v>
      </c>
      <c r="X65" s="198" t="s">
        <v>113</v>
      </c>
    </row>
    <row r="66" spans="2:24">
      <c r="B66" s="496"/>
      <c r="C66" s="496"/>
      <c r="D66" s="209">
        <v>10</v>
      </c>
      <c r="E66" s="198" t="s">
        <v>314</v>
      </c>
      <c r="F66" s="199">
        <v>3129.9799999999982</v>
      </c>
      <c r="G66" s="198">
        <v>245.75</v>
      </c>
      <c r="H66" s="267">
        <v>259.59399999999999</v>
      </c>
      <c r="I66" s="210">
        <f t="shared" si="1"/>
        <v>1.0563336724313326</v>
      </c>
      <c r="J66" s="198"/>
      <c r="K66" s="210">
        <f t="shared" si="2"/>
        <v>0</v>
      </c>
      <c r="L66" s="267">
        <v>226.39999999999998</v>
      </c>
      <c r="M66" s="211">
        <f t="shared" si="3"/>
        <v>1.0563336724313326</v>
      </c>
      <c r="N66" s="199">
        <v>3134.2815999999984</v>
      </c>
      <c r="O66" s="267">
        <v>0.02</v>
      </c>
      <c r="P66" s="200">
        <v>8.1383519837232955E-5</v>
      </c>
      <c r="Q66" s="272">
        <v>4.5279999999999996</v>
      </c>
      <c r="R66" s="267">
        <v>13.823999999999995</v>
      </c>
      <c r="S66" s="200">
        <v>5.6252288911495398E-2</v>
      </c>
      <c r="T66" s="198" t="s">
        <v>315</v>
      </c>
      <c r="U66" s="198" t="s">
        <v>217</v>
      </c>
      <c r="V66" s="198" t="s">
        <v>357</v>
      </c>
      <c r="W66" s="205">
        <v>1</v>
      </c>
      <c r="X66" s="198" t="s">
        <v>121</v>
      </c>
    </row>
    <row r="67" spans="2:24">
      <c r="B67" s="495">
        <v>45876</v>
      </c>
      <c r="C67" s="496" t="s">
        <v>68</v>
      </c>
      <c r="D67" s="209">
        <v>1</v>
      </c>
      <c r="E67" s="198" t="s">
        <v>331</v>
      </c>
      <c r="F67" s="199">
        <v>11275</v>
      </c>
      <c r="G67" s="198">
        <v>301.60000000000002</v>
      </c>
      <c r="H67" s="267">
        <v>337.5</v>
      </c>
      <c r="I67" s="210">
        <f t="shared" si="1"/>
        <v>1.1190318302387268</v>
      </c>
      <c r="J67" s="198"/>
      <c r="K67" s="210">
        <f t="shared" si="2"/>
        <v>0</v>
      </c>
      <c r="L67" s="267">
        <v>335.3</v>
      </c>
      <c r="M67" s="211">
        <f t="shared" si="3"/>
        <v>1.1190318302387268</v>
      </c>
      <c r="N67" s="199">
        <v>12021</v>
      </c>
      <c r="O67" s="198">
        <v>2.23</v>
      </c>
      <c r="P67" s="200">
        <v>7.0000000000000001E-3</v>
      </c>
      <c r="Q67" s="272">
        <v>746</v>
      </c>
      <c r="R67" s="198">
        <v>33.6</v>
      </c>
      <c r="S67" s="200">
        <v>0.111</v>
      </c>
      <c r="T67" s="198" t="s">
        <v>315</v>
      </c>
      <c r="U67" s="198" t="s">
        <v>217</v>
      </c>
      <c r="V67" s="198" t="s">
        <v>332</v>
      </c>
      <c r="W67" s="205">
        <v>1</v>
      </c>
      <c r="X67" s="198" t="s">
        <v>114</v>
      </c>
    </row>
    <row r="68" spans="2:24">
      <c r="B68" s="496"/>
      <c r="C68" s="496"/>
      <c r="D68" s="209">
        <v>2</v>
      </c>
      <c r="E68" s="198" t="s">
        <v>287</v>
      </c>
      <c r="F68" s="199">
        <v>10045</v>
      </c>
      <c r="G68" s="198">
        <v>118.8</v>
      </c>
      <c r="H68" s="267">
        <v>139</v>
      </c>
      <c r="I68" s="210">
        <f t="shared" si="1"/>
        <v>1.17003367003367</v>
      </c>
      <c r="J68" s="198"/>
      <c r="K68" s="210">
        <f t="shared" si="2"/>
        <v>0</v>
      </c>
      <c r="L68" s="267">
        <v>508.2</v>
      </c>
      <c r="M68" s="211">
        <f t="shared" si="3"/>
        <v>1.17003367003367</v>
      </c>
      <c r="N68" s="199">
        <v>10252</v>
      </c>
      <c r="O68" s="198">
        <v>0.41</v>
      </c>
      <c r="P68" s="200">
        <v>3.0000000000000001E-3</v>
      </c>
      <c r="Q68" s="272">
        <v>207</v>
      </c>
      <c r="R68" s="198">
        <v>19.8</v>
      </c>
      <c r="S68" s="200">
        <v>0.16600000000000001</v>
      </c>
      <c r="T68" s="198" t="s">
        <v>315</v>
      </c>
      <c r="U68" s="198" t="s">
        <v>217</v>
      </c>
      <c r="V68" s="198" t="s">
        <v>367</v>
      </c>
      <c r="W68" s="205">
        <v>1</v>
      </c>
      <c r="X68" s="198" t="s">
        <v>110</v>
      </c>
    </row>
    <row r="69" spans="2:24" ht="16.5">
      <c r="B69" s="496"/>
      <c r="C69" s="496"/>
      <c r="D69" s="209">
        <v>3</v>
      </c>
      <c r="E69" s="198" t="s">
        <v>329</v>
      </c>
      <c r="F69" s="199">
        <v>8953</v>
      </c>
      <c r="G69" s="198">
        <v>159.80000000000001</v>
      </c>
      <c r="H69" s="267">
        <v>175.9</v>
      </c>
      <c r="I69" s="210">
        <f t="shared" si="1"/>
        <v>1.1007509386733416</v>
      </c>
      <c r="J69" s="198"/>
      <c r="K69" s="210">
        <f t="shared" si="2"/>
        <v>0</v>
      </c>
      <c r="L69" s="267">
        <v>575.70000000000005</v>
      </c>
      <c r="M69" s="211">
        <f t="shared" si="3"/>
        <v>1.1007509386733416</v>
      </c>
      <c r="N69" s="199">
        <v>9233</v>
      </c>
      <c r="O69" s="198">
        <v>0.49</v>
      </c>
      <c r="P69" s="200">
        <v>3.0000000000000001E-3</v>
      </c>
      <c r="Q69" s="272">
        <v>280</v>
      </c>
      <c r="R69" s="198">
        <v>15.6</v>
      </c>
      <c r="S69" s="200">
        <v>9.7000000000000003E-2</v>
      </c>
      <c r="T69" s="198" t="s">
        <v>308</v>
      </c>
      <c r="U69" s="198" t="s">
        <v>276</v>
      </c>
      <c r="V69" s="264" t="s">
        <v>458</v>
      </c>
      <c r="W69" s="205">
        <v>1</v>
      </c>
      <c r="X69" s="198" t="s">
        <v>113</v>
      </c>
    </row>
    <row r="70" spans="2:24">
      <c r="B70" s="496"/>
      <c r="C70" s="496"/>
      <c r="D70" s="209">
        <v>4</v>
      </c>
      <c r="E70" s="198" t="s">
        <v>409</v>
      </c>
      <c r="F70" s="199">
        <v>6215</v>
      </c>
      <c r="G70" s="198">
        <v>76.5</v>
      </c>
      <c r="H70" s="267">
        <v>92.4</v>
      </c>
      <c r="I70" s="210">
        <f t="shared" si="1"/>
        <v>1.2078431372549021</v>
      </c>
      <c r="J70" s="198"/>
      <c r="K70" s="210">
        <f t="shared" si="2"/>
        <v>0</v>
      </c>
      <c r="L70" s="267">
        <v>420.4</v>
      </c>
      <c r="M70" s="211">
        <f t="shared" si="3"/>
        <v>1.2078431372549021</v>
      </c>
      <c r="N70" s="199">
        <v>6684</v>
      </c>
      <c r="O70" s="198">
        <v>1.1200000000000001</v>
      </c>
      <c r="P70" s="200">
        <v>1.4999999999999999E-2</v>
      </c>
      <c r="Q70" s="272">
        <v>469</v>
      </c>
      <c r="R70" s="198">
        <v>14.8</v>
      </c>
      <c r="S70" s="200">
        <v>0.193</v>
      </c>
      <c r="T70" s="198" t="s">
        <v>315</v>
      </c>
      <c r="U70" s="198" t="s">
        <v>217</v>
      </c>
      <c r="V70" s="198" t="s">
        <v>454</v>
      </c>
      <c r="W70" s="205">
        <v>1</v>
      </c>
      <c r="X70" s="198" t="s">
        <v>112</v>
      </c>
    </row>
    <row r="71" spans="2:24" ht="16.5">
      <c r="B71" s="496"/>
      <c r="C71" s="496"/>
      <c r="D71" s="209">
        <v>5</v>
      </c>
      <c r="E71" s="198" t="s">
        <v>289</v>
      </c>
      <c r="F71" s="199">
        <v>4325</v>
      </c>
      <c r="G71" s="198">
        <v>366.1</v>
      </c>
      <c r="H71" s="267">
        <v>422.5</v>
      </c>
      <c r="I71" s="210">
        <f t="shared" si="1"/>
        <v>1.1540562687790221</v>
      </c>
      <c r="J71" s="198"/>
      <c r="K71" s="210">
        <f t="shared" si="2"/>
        <v>0</v>
      </c>
      <c r="L71" s="267">
        <v>85</v>
      </c>
      <c r="M71" s="211">
        <f t="shared" si="3"/>
        <v>1.1540562687790221</v>
      </c>
      <c r="N71" s="199">
        <v>4789</v>
      </c>
      <c r="O71" s="198">
        <v>5.46</v>
      </c>
      <c r="P71" s="200">
        <v>1.4999999999999999E-2</v>
      </c>
      <c r="Q71" s="272">
        <v>464</v>
      </c>
      <c r="R71" s="198">
        <v>50.9</v>
      </c>
      <c r="S71" s="200">
        <v>0.13900000000000001</v>
      </c>
      <c r="T71" s="198" t="s">
        <v>308</v>
      </c>
      <c r="U71" s="198" t="s">
        <v>276</v>
      </c>
      <c r="V71" s="264" t="s">
        <v>380</v>
      </c>
      <c r="W71" s="205">
        <v>1</v>
      </c>
      <c r="X71" s="198" t="s">
        <v>134</v>
      </c>
    </row>
    <row r="72" spans="2:24">
      <c r="B72" s="496"/>
      <c r="C72" s="496"/>
      <c r="D72" s="209">
        <v>6</v>
      </c>
      <c r="E72" s="198" t="s">
        <v>373</v>
      </c>
      <c r="F72" s="199">
        <v>3861</v>
      </c>
      <c r="G72" s="198">
        <v>46.4</v>
      </c>
      <c r="H72" s="267">
        <v>52</v>
      </c>
      <c r="I72" s="210">
        <f t="shared" ref="I72:I135" si="15">H72/G72</f>
        <v>1.1206896551724139</v>
      </c>
      <c r="J72" s="198"/>
      <c r="K72" s="210">
        <f t="shared" ref="K72:K135" si="16">J72/G72</f>
        <v>0</v>
      </c>
      <c r="L72" s="267">
        <v>762.2</v>
      </c>
      <c r="M72" s="211">
        <f t="shared" ref="M72:M135" si="17">(H72+J72)/G72</f>
        <v>1.1206896551724139</v>
      </c>
      <c r="N72" s="199">
        <v>4206</v>
      </c>
      <c r="O72" s="198">
        <v>0.45</v>
      </c>
      <c r="P72" s="200">
        <v>0.01</v>
      </c>
      <c r="Q72" s="272">
        <v>345</v>
      </c>
      <c r="R72" s="198">
        <v>5.0999999999999996</v>
      </c>
      <c r="S72" s="200">
        <v>0.109</v>
      </c>
      <c r="T72" s="198" t="s">
        <v>315</v>
      </c>
      <c r="U72" s="198" t="s">
        <v>217</v>
      </c>
      <c r="V72" s="198" t="s">
        <v>374</v>
      </c>
      <c r="W72" s="205">
        <v>1</v>
      </c>
      <c r="X72" s="198" t="s">
        <v>116</v>
      </c>
    </row>
    <row r="73" spans="2:24">
      <c r="B73" s="496"/>
      <c r="C73" s="496"/>
      <c r="D73" s="209">
        <v>7</v>
      </c>
      <c r="E73" s="198" t="s">
        <v>337</v>
      </c>
      <c r="F73" s="199">
        <v>2516</v>
      </c>
      <c r="G73" s="198">
        <v>57.4</v>
      </c>
      <c r="H73" s="267">
        <v>61.2</v>
      </c>
      <c r="I73" s="210">
        <f t="shared" si="15"/>
        <v>1.0662020905923346</v>
      </c>
      <c r="J73" s="198"/>
      <c r="K73" s="210">
        <f t="shared" si="16"/>
        <v>0</v>
      </c>
      <c r="L73" s="267">
        <v>695</v>
      </c>
      <c r="M73" s="211">
        <f t="shared" si="17"/>
        <v>1.0662020905923346</v>
      </c>
      <c r="N73" s="199">
        <v>2666</v>
      </c>
      <c r="O73" s="198">
        <v>0.22</v>
      </c>
      <c r="P73" s="200">
        <v>4.0000000000000001E-3</v>
      </c>
      <c r="Q73" s="272">
        <v>150</v>
      </c>
      <c r="R73" s="198">
        <v>3.6</v>
      </c>
      <c r="S73" s="200">
        <v>6.3E-2</v>
      </c>
      <c r="T73" s="198" t="s">
        <v>315</v>
      </c>
      <c r="U73" s="198" t="s">
        <v>217</v>
      </c>
      <c r="V73" s="198" t="s">
        <v>456</v>
      </c>
      <c r="W73" s="205">
        <v>1</v>
      </c>
      <c r="X73" s="198" t="s">
        <v>339</v>
      </c>
    </row>
    <row r="74" spans="2:24">
      <c r="B74" s="496"/>
      <c r="C74" s="496"/>
      <c r="D74" s="209">
        <v>8</v>
      </c>
      <c r="E74" s="198" t="s">
        <v>323</v>
      </c>
      <c r="F74" s="199">
        <v>2118</v>
      </c>
      <c r="G74" s="198">
        <v>109.1</v>
      </c>
      <c r="H74" s="267">
        <v>115.9</v>
      </c>
      <c r="I74" s="210">
        <f t="shared" si="15"/>
        <v>1.0623281393217232</v>
      </c>
      <c r="J74" s="198"/>
      <c r="K74" s="210">
        <f t="shared" si="16"/>
        <v>0</v>
      </c>
      <c r="L74" s="267">
        <v>356.4</v>
      </c>
      <c r="M74" s="211">
        <f t="shared" si="17"/>
        <v>1.0623281393217232</v>
      </c>
      <c r="N74" s="199">
        <v>2420</v>
      </c>
      <c r="O74" s="198">
        <v>0.85</v>
      </c>
      <c r="P74" s="200">
        <v>8.0000000000000002E-3</v>
      </c>
      <c r="Q74" s="272">
        <v>303</v>
      </c>
      <c r="R74" s="198">
        <v>5.9</v>
      </c>
      <c r="S74" s="200">
        <v>5.3999999999999999E-2</v>
      </c>
      <c r="T74" s="198" t="s">
        <v>315</v>
      </c>
      <c r="U74" s="198" t="s">
        <v>217</v>
      </c>
      <c r="V74" s="198" t="s">
        <v>361</v>
      </c>
      <c r="W74" s="205">
        <v>1</v>
      </c>
      <c r="X74" s="198" t="s">
        <v>111</v>
      </c>
    </row>
    <row r="75" spans="2:24">
      <c r="B75" s="496"/>
      <c r="C75" s="496"/>
      <c r="D75" s="209">
        <v>9</v>
      </c>
      <c r="E75" s="198" t="s">
        <v>369</v>
      </c>
      <c r="F75" s="199">
        <v>1691</v>
      </c>
      <c r="G75" s="198">
        <v>261.2</v>
      </c>
      <c r="H75" s="267">
        <v>273.5</v>
      </c>
      <c r="I75" s="210">
        <f t="shared" si="15"/>
        <v>1.0470903522205208</v>
      </c>
      <c r="J75" s="198"/>
      <c r="K75" s="210">
        <f t="shared" si="16"/>
        <v>0</v>
      </c>
      <c r="L75" s="267">
        <v>141.9</v>
      </c>
      <c r="M75" s="211">
        <f t="shared" si="17"/>
        <v>1.0470903522205208</v>
      </c>
      <c r="N75" s="199">
        <v>1744</v>
      </c>
      <c r="O75" s="198">
        <v>0.38</v>
      </c>
      <c r="P75" s="200">
        <v>1E-3</v>
      </c>
      <c r="Q75" s="272">
        <v>53</v>
      </c>
      <c r="R75" s="198">
        <v>11.9</v>
      </c>
      <c r="S75" s="200">
        <v>4.5999999999999999E-2</v>
      </c>
      <c r="T75" s="198" t="s">
        <v>308</v>
      </c>
      <c r="U75" s="198" t="s">
        <v>276</v>
      </c>
      <c r="V75" s="198" t="s">
        <v>459</v>
      </c>
      <c r="W75" s="205">
        <v>1</v>
      </c>
      <c r="X75" s="198" t="s">
        <v>116</v>
      </c>
    </row>
    <row r="76" spans="2:24">
      <c r="B76" s="496"/>
      <c r="C76" s="496"/>
      <c r="D76" s="209">
        <v>10</v>
      </c>
      <c r="E76" s="198" t="s">
        <v>348</v>
      </c>
      <c r="F76" s="199">
        <v>1600</v>
      </c>
      <c r="G76" s="198">
        <v>521</v>
      </c>
      <c r="H76" s="267">
        <v>538.1</v>
      </c>
      <c r="I76" s="210">
        <f t="shared" si="15"/>
        <v>1.0328214971209213</v>
      </c>
      <c r="J76" s="198"/>
      <c r="K76" s="210">
        <f t="shared" si="16"/>
        <v>0</v>
      </c>
      <c r="L76" s="267">
        <v>100</v>
      </c>
      <c r="M76" s="211">
        <f t="shared" si="17"/>
        <v>1.0328214971209213</v>
      </c>
      <c r="N76" s="199">
        <v>1710</v>
      </c>
      <c r="O76" s="198">
        <v>1.1000000000000001</v>
      </c>
      <c r="P76" s="200">
        <v>2E-3</v>
      </c>
      <c r="Q76" s="272">
        <v>110</v>
      </c>
      <c r="R76" s="198">
        <v>16</v>
      </c>
      <c r="S76" s="200">
        <v>3.1E-2</v>
      </c>
      <c r="T76" s="198" t="s">
        <v>308</v>
      </c>
      <c r="U76" s="198" t="s">
        <v>276</v>
      </c>
      <c r="V76" s="198" t="s">
        <v>460</v>
      </c>
      <c r="W76" s="205">
        <v>1</v>
      </c>
      <c r="X76" s="198" t="s">
        <v>114</v>
      </c>
    </row>
    <row r="77" spans="2:24">
      <c r="B77" s="495">
        <v>45877</v>
      </c>
      <c r="C77" s="496" t="s">
        <v>63</v>
      </c>
      <c r="D77" s="209">
        <v>1</v>
      </c>
      <c r="E77" s="198" t="s">
        <v>331</v>
      </c>
      <c r="F77" s="199">
        <v>9842.7314999999999</v>
      </c>
      <c r="G77" s="198">
        <v>215.54499999999999</v>
      </c>
      <c r="H77" s="267">
        <v>248.7</v>
      </c>
      <c r="I77" s="210">
        <f t="shared" si="15"/>
        <v>1.1538193880628176</v>
      </c>
      <c r="J77" s="198"/>
      <c r="K77" s="210">
        <f t="shared" si="16"/>
        <v>0</v>
      </c>
      <c r="L77" s="267">
        <v>335.3</v>
      </c>
      <c r="M77" s="211">
        <f t="shared" si="17"/>
        <v>1.1538193880628176</v>
      </c>
      <c r="N77" s="199">
        <v>11116.871500000001</v>
      </c>
      <c r="O77" s="198">
        <v>3.8</v>
      </c>
      <c r="P77" s="200">
        <v>1.7629729290867337E-2</v>
      </c>
      <c r="Q77" s="272">
        <v>1274.1399999999999</v>
      </c>
      <c r="R77" s="198">
        <v>29.355</v>
      </c>
      <c r="S77" s="200">
        <v>0.13618965877195019</v>
      </c>
      <c r="T77" s="198" t="s">
        <v>315</v>
      </c>
      <c r="U77" s="198" t="s">
        <v>217</v>
      </c>
      <c r="V77" s="198" t="s">
        <v>332</v>
      </c>
      <c r="W77" s="205">
        <v>1</v>
      </c>
      <c r="X77" s="198" t="s">
        <v>114</v>
      </c>
    </row>
    <row r="78" spans="2:24">
      <c r="B78" s="496"/>
      <c r="C78" s="496"/>
      <c r="D78" s="209">
        <v>2</v>
      </c>
      <c r="E78" s="198" t="s">
        <v>329</v>
      </c>
      <c r="F78" s="199">
        <v>6157.3253999999961</v>
      </c>
      <c r="G78" s="198">
        <v>109.30500000000001</v>
      </c>
      <c r="H78" s="267">
        <v>121</v>
      </c>
      <c r="I78" s="210">
        <f t="shared" si="15"/>
        <v>1.1069941905676774</v>
      </c>
      <c r="J78" s="198"/>
      <c r="K78" s="210">
        <f t="shared" si="16"/>
        <v>0</v>
      </c>
      <c r="L78" s="267">
        <v>575.72</v>
      </c>
      <c r="M78" s="211">
        <f t="shared" si="17"/>
        <v>1.1069941905676774</v>
      </c>
      <c r="N78" s="199">
        <v>6733.0453999999963</v>
      </c>
      <c r="O78" s="198">
        <v>1</v>
      </c>
      <c r="P78" s="200">
        <v>9.1487123187411375E-3</v>
      </c>
      <c r="Q78" s="272">
        <v>575.72</v>
      </c>
      <c r="R78" s="198">
        <v>10.694999999999993</v>
      </c>
      <c r="S78" s="200">
        <v>9.7845478248936399E-2</v>
      </c>
      <c r="T78" s="198" t="s">
        <v>308</v>
      </c>
      <c r="U78" s="198" t="s">
        <v>276</v>
      </c>
      <c r="V78" s="198" t="s">
        <v>461</v>
      </c>
      <c r="W78" s="205">
        <v>1</v>
      </c>
      <c r="X78" s="198" t="s">
        <v>113</v>
      </c>
    </row>
    <row r="79" spans="2:24">
      <c r="B79" s="496"/>
      <c r="C79" s="496"/>
      <c r="D79" s="209">
        <v>3</v>
      </c>
      <c r="E79" s="198" t="s">
        <v>287</v>
      </c>
      <c r="F79" s="199">
        <v>5976.6129230769184</v>
      </c>
      <c r="G79" s="198">
        <v>86.56</v>
      </c>
      <c r="H79" s="267">
        <v>99.55</v>
      </c>
      <c r="I79" s="210">
        <f t="shared" si="15"/>
        <v>1.1500693160813309</v>
      </c>
      <c r="J79" s="198"/>
      <c r="K79" s="210">
        <f t="shared" si="16"/>
        <v>0</v>
      </c>
      <c r="L79" s="267">
        <v>508.21538461538449</v>
      </c>
      <c r="M79" s="211">
        <f t="shared" si="17"/>
        <v>1.1500693160813309</v>
      </c>
      <c r="N79" s="199">
        <v>6601.7178461538424</v>
      </c>
      <c r="O79" s="198">
        <v>1.23</v>
      </c>
      <c r="P79" s="200">
        <v>1.4209796672828096E-2</v>
      </c>
      <c r="Q79" s="272">
        <v>625.10492307692289</v>
      </c>
      <c r="R79" s="198">
        <v>11.759999999999994</v>
      </c>
      <c r="S79" s="200">
        <v>0.13585951940850272</v>
      </c>
      <c r="T79" s="198" t="s">
        <v>315</v>
      </c>
      <c r="U79" s="198" t="s">
        <v>217</v>
      </c>
      <c r="V79" s="198" t="s">
        <v>367</v>
      </c>
      <c r="W79" s="205">
        <v>1</v>
      </c>
      <c r="X79" s="198" t="s">
        <v>110</v>
      </c>
    </row>
    <row r="80" spans="2:24">
      <c r="B80" s="496"/>
      <c r="C80" s="496"/>
      <c r="D80" s="209">
        <v>4</v>
      </c>
      <c r="E80" s="198" t="s">
        <v>337</v>
      </c>
      <c r="F80" s="199">
        <v>4257.57</v>
      </c>
      <c r="G80" s="198">
        <v>39.545999999999999</v>
      </c>
      <c r="H80" s="267">
        <v>45.716999999999999</v>
      </c>
      <c r="I80" s="210">
        <f t="shared" si="15"/>
        <v>1.1560461235017447</v>
      </c>
      <c r="J80" s="198"/>
      <c r="K80" s="210">
        <f t="shared" si="16"/>
        <v>0</v>
      </c>
      <c r="L80" s="267">
        <v>695</v>
      </c>
      <c r="M80" s="211">
        <f t="shared" si="17"/>
        <v>1.1560461235017447</v>
      </c>
      <c r="N80" s="199">
        <v>4288.8449999999993</v>
      </c>
      <c r="O80" s="198">
        <v>4.4999999999999998E-2</v>
      </c>
      <c r="P80" s="200">
        <v>1.137915339098771E-3</v>
      </c>
      <c r="Q80" s="272">
        <v>31.274999999999999</v>
      </c>
      <c r="R80" s="198">
        <v>6.1259999999999994</v>
      </c>
      <c r="S80" s="200">
        <v>0.15490820816264603</v>
      </c>
      <c r="T80" s="198" t="s">
        <v>315</v>
      </c>
      <c r="U80" s="198" t="s">
        <v>217</v>
      </c>
      <c r="V80" s="198" t="s">
        <v>456</v>
      </c>
      <c r="W80" s="205">
        <v>1</v>
      </c>
      <c r="X80" s="198" t="s">
        <v>339</v>
      </c>
    </row>
    <row r="81" spans="2:24">
      <c r="B81" s="496"/>
      <c r="C81" s="496"/>
      <c r="D81" s="209">
        <v>5</v>
      </c>
      <c r="E81" s="198" t="s">
        <v>409</v>
      </c>
      <c r="F81" s="199">
        <v>4233.9491100000005</v>
      </c>
      <c r="G81" s="198">
        <v>56.832000000000001</v>
      </c>
      <c r="H81" s="267">
        <v>67</v>
      </c>
      <c r="I81" s="210">
        <f t="shared" si="15"/>
        <v>1.1789132882882882</v>
      </c>
      <c r="J81" s="198"/>
      <c r="K81" s="210">
        <f t="shared" si="16"/>
        <v>0</v>
      </c>
      <c r="L81" s="267">
        <v>420.41</v>
      </c>
      <c r="M81" s="211">
        <f t="shared" si="17"/>
        <v>1.1789132882882882</v>
      </c>
      <c r="N81" s="199">
        <v>4274.7288799999997</v>
      </c>
      <c r="O81" s="198">
        <v>9.7000000000000003E-2</v>
      </c>
      <c r="P81" s="200">
        <v>1.70678490990991E-3</v>
      </c>
      <c r="Q81" s="272">
        <v>40.779770000000006</v>
      </c>
      <c r="R81" s="198">
        <v>10.071</v>
      </c>
      <c r="S81" s="200">
        <v>0.17720650337837837</v>
      </c>
      <c r="T81" s="198" t="s">
        <v>315</v>
      </c>
      <c r="U81" s="198" t="s">
        <v>217</v>
      </c>
      <c r="V81" s="198" t="s">
        <v>454</v>
      </c>
      <c r="W81" s="205">
        <v>1</v>
      </c>
      <c r="X81" s="198" t="s">
        <v>112</v>
      </c>
    </row>
    <row r="82" spans="2:24">
      <c r="B82" s="496"/>
      <c r="C82" s="496"/>
      <c r="D82" s="209">
        <v>6</v>
      </c>
      <c r="E82" s="198" t="s">
        <v>373</v>
      </c>
      <c r="F82" s="199">
        <v>3937.5768599999992</v>
      </c>
      <c r="G82" s="198">
        <v>35.712000000000003</v>
      </c>
      <c r="H82" s="267">
        <v>41.124000000000002</v>
      </c>
      <c r="I82" s="210">
        <f t="shared" si="15"/>
        <v>1.1515456989247312</v>
      </c>
      <c r="J82" s="198"/>
      <c r="K82" s="210">
        <f t="shared" si="16"/>
        <v>0</v>
      </c>
      <c r="L82" s="267">
        <v>762.21</v>
      </c>
      <c r="M82" s="211">
        <f t="shared" si="17"/>
        <v>1.1515456989247312</v>
      </c>
      <c r="N82" s="199">
        <v>4125.0805199999995</v>
      </c>
      <c r="O82" s="198">
        <v>0.246</v>
      </c>
      <c r="P82" s="200">
        <v>6.8884408602150528E-3</v>
      </c>
      <c r="Q82" s="272">
        <v>187.50366</v>
      </c>
      <c r="R82" s="198">
        <v>5.1659999999999986</v>
      </c>
      <c r="S82" s="200">
        <v>0.14465725806451607</v>
      </c>
      <c r="T82" s="198" t="s">
        <v>315</v>
      </c>
      <c r="U82" s="198" t="s">
        <v>217</v>
      </c>
      <c r="V82" s="198" t="s">
        <v>374</v>
      </c>
      <c r="W82" s="205">
        <v>1</v>
      </c>
      <c r="X82" s="198" t="s">
        <v>116</v>
      </c>
    </row>
    <row r="83" spans="2:24">
      <c r="B83" s="496"/>
      <c r="C83" s="496"/>
      <c r="D83" s="209">
        <v>7</v>
      </c>
      <c r="E83" s="198" t="s">
        <v>289</v>
      </c>
      <c r="F83" s="199">
        <v>3899.7999999999997</v>
      </c>
      <c r="G83" s="198">
        <v>310.32</v>
      </c>
      <c r="H83" s="267">
        <v>360.7</v>
      </c>
      <c r="I83" s="210">
        <f t="shared" si="15"/>
        <v>1.1623485434390306</v>
      </c>
      <c r="J83" s="198"/>
      <c r="K83" s="210">
        <f t="shared" si="16"/>
        <v>0</v>
      </c>
      <c r="L83" s="267">
        <v>85</v>
      </c>
      <c r="M83" s="211">
        <f t="shared" si="17"/>
        <v>1.1623485434390306</v>
      </c>
      <c r="N83" s="199">
        <v>4282.2999999999993</v>
      </c>
      <c r="O83" s="198">
        <v>4.5</v>
      </c>
      <c r="P83" s="200">
        <v>1.4501160092807426E-2</v>
      </c>
      <c r="Q83" s="272">
        <v>382.5</v>
      </c>
      <c r="R83" s="198">
        <v>45.879999999999995</v>
      </c>
      <c r="S83" s="200">
        <v>0.14784738334622324</v>
      </c>
      <c r="T83" s="198" t="s">
        <v>308</v>
      </c>
      <c r="U83" s="198" t="s">
        <v>276</v>
      </c>
      <c r="V83" s="198" t="s">
        <v>462</v>
      </c>
      <c r="W83" s="205">
        <v>1</v>
      </c>
      <c r="X83" s="198" t="s">
        <v>134</v>
      </c>
    </row>
    <row r="84" spans="2:24">
      <c r="B84" s="496"/>
      <c r="C84" s="496"/>
      <c r="D84" s="209">
        <v>8</v>
      </c>
      <c r="E84" s="198" t="s">
        <v>314</v>
      </c>
      <c r="F84" s="199">
        <v>1471.5999999999985</v>
      </c>
      <c r="G84" s="198">
        <v>147.15</v>
      </c>
      <c r="H84" s="267">
        <v>155</v>
      </c>
      <c r="I84" s="210">
        <f t="shared" si="15"/>
        <v>1.0533469249065579</v>
      </c>
      <c r="J84" s="198"/>
      <c r="K84" s="210">
        <f t="shared" si="16"/>
        <v>0</v>
      </c>
      <c r="L84" s="267">
        <v>226.39999999999998</v>
      </c>
      <c r="M84" s="211">
        <f t="shared" si="17"/>
        <v>1.0533469249065579</v>
      </c>
      <c r="N84" s="199">
        <v>1777.2399999999986</v>
      </c>
      <c r="O84" s="198">
        <v>1.35</v>
      </c>
      <c r="P84" s="200">
        <v>9.1743119266055051E-3</v>
      </c>
      <c r="Q84" s="272">
        <v>305.64</v>
      </c>
      <c r="R84" s="198">
        <v>6.4999999999999947</v>
      </c>
      <c r="S84" s="200">
        <v>4.417261297995239E-2</v>
      </c>
      <c r="T84" s="198" t="s">
        <v>315</v>
      </c>
      <c r="U84" s="198" t="s">
        <v>217</v>
      </c>
      <c r="V84" s="198" t="s">
        <v>357</v>
      </c>
      <c r="W84" s="205">
        <v>1</v>
      </c>
      <c r="X84" s="198" t="s">
        <v>121</v>
      </c>
    </row>
    <row r="85" spans="2:24" ht="16.5">
      <c r="B85" s="496"/>
      <c r="C85" s="496"/>
      <c r="D85" s="209">
        <v>9</v>
      </c>
      <c r="E85" s="198" t="s">
        <v>401</v>
      </c>
      <c r="F85" s="199">
        <v>1025.4540000000004</v>
      </c>
      <c r="G85" s="198">
        <v>51.920999999999999</v>
      </c>
      <c r="H85" s="267">
        <v>53.628</v>
      </c>
      <c r="I85" s="210">
        <f t="shared" si="15"/>
        <v>1.0328768706303808</v>
      </c>
      <c r="J85" s="198"/>
      <c r="K85" s="210">
        <f t="shared" si="16"/>
        <v>0</v>
      </c>
      <c r="L85" s="267">
        <v>617</v>
      </c>
      <c r="M85" s="211">
        <f t="shared" si="17"/>
        <v>1.0328768706303808</v>
      </c>
      <c r="N85" s="199">
        <v>1053.2190000000005</v>
      </c>
      <c r="O85" s="198">
        <v>4.4999999999999998E-2</v>
      </c>
      <c r="P85" s="200">
        <v>8.6670133472005549E-4</v>
      </c>
      <c r="Q85" s="272">
        <v>27.765000000000001</v>
      </c>
      <c r="R85" s="198">
        <v>1.6620000000000008</v>
      </c>
      <c r="S85" s="200">
        <v>3.201016929566073E-2</v>
      </c>
      <c r="T85" s="198" t="s">
        <v>278</v>
      </c>
      <c r="U85" s="198" t="s">
        <v>212</v>
      </c>
      <c r="V85" s="264" t="s">
        <v>463</v>
      </c>
      <c r="W85" s="205">
        <v>1</v>
      </c>
      <c r="X85" s="198" t="s">
        <v>118</v>
      </c>
    </row>
    <row r="86" spans="2:24">
      <c r="B86" s="496"/>
      <c r="C86" s="496"/>
      <c r="D86" s="209">
        <v>10</v>
      </c>
      <c r="E86" s="198" t="s">
        <v>375</v>
      </c>
      <c r="F86" s="199">
        <v>956.85019999999611</v>
      </c>
      <c r="G86" s="198">
        <v>568.32000000000005</v>
      </c>
      <c r="H86" s="267">
        <v>587</v>
      </c>
      <c r="I86" s="210">
        <f t="shared" si="15"/>
        <v>1.0328688063063063</v>
      </c>
      <c r="J86" s="198"/>
      <c r="K86" s="210">
        <f t="shared" si="16"/>
        <v>0</v>
      </c>
      <c r="L86" s="267">
        <v>77.290000000000006</v>
      </c>
      <c r="M86" s="211">
        <f t="shared" si="17"/>
        <v>1.0328688063063063</v>
      </c>
      <c r="N86" s="199">
        <v>1443.7771999999964</v>
      </c>
      <c r="O86" s="198">
        <v>6.3</v>
      </c>
      <c r="P86" s="200">
        <v>1.1085304054054054E-2</v>
      </c>
      <c r="Q86" s="272">
        <v>486.92700000000002</v>
      </c>
      <c r="R86" s="198">
        <v>12.379999999999949</v>
      </c>
      <c r="S86" s="200">
        <v>2.178350225225216E-2</v>
      </c>
      <c r="T86" s="198" t="s">
        <v>308</v>
      </c>
      <c r="U86" s="198" t="s">
        <v>276</v>
      </c>
      <c r="V86" s="198" t="s">
        <v>464</v>
      </c>
      <c r="W86" s="205">
        <v>1</v>
      </c>
      <c r="X86" s="198" t="s">
        <v>116</v>
      </c>
    </row>
    <row r="87" spans="2:24" ht="16.5">
      <c r="B87" s="495">
        <v>45878</v>
      </c>
      <c r="C87" s="496" t="s">
        <v>64</v>
      </c>
      <c r="D87" s="209">
        <v>1</v>
      </c>
      <c r="E87" s="198" t="s">
        <v>329</v>
      </c>
      <c r="F87" s="199">
        <v>6036</v>
      </c>
      <c r="G87" s="198">
        <v>98.4</v>
      </c>
      <c r="H87" s="267">
        <v>109</v>
      </c>
      <c r="I87" s="210">
        <f t="shared" si="15"/>
        <v>1.1077235772357723</v>
      </c>
      <c r="J87" s="198"/>
      <c r="K87" s="210">
        <f t="shared" si="16"/>
        <v>0</v>
      </c>
      <c r="L87" s="267">
        <v>575.70000000000005</v>
      </c>
      <c r="M87" s="211">
        <f t="shared" si="17"/>
        <v>1.1077235772357723</v>
      </c>
      <c r="N87" s="199">
        <v>6091</v>
      </c>
      <c r="O87" s="198">
        <v>0.1</v>
      </c>
      <c r="P87" s="200">
        <v>1E-3</v>
      </c>
      <c r="Q87" s="272">
        <v>55</v>
      </c>
      <c r="R87" s="198">
        <v>10.5</v>
      </c>
      <c r="S87" s="200">
        <v>0.107</v>
      </c>
      <c r="T87" s="198" t="s">
        <v>308</v>
      </c>
      <c r="U87" s="198" t="s">
        <v>276</v>
      </c>
      <c r="V87" s="264" t="s">
        <v>377</v>
      </c>
      <c r="W87" s="205">
        <v>1</v>
      </c>
      <c r="X87" s="198" t="s">
        <v>113</v>
      </c>
    </row>
    <row r="88" spans="2:24">
      <c r="B88" s="496"/>
      <c r="C88" s="496"/>
      <c r="D88" s="209">
        <v>2</v>
      </c>
      <c r="E88" s="198" t="s">
        <v>287</v>
      </c>
      <c r="F88" s="199">
        <v>5125</v>
      </c>
      <c r="G88" s="198">
        <v>82.7</v>
      </c>
      <c r="H88" s="267">
        <v>95</v>
      </c>
      <c r="I88" s="210">
        <f t="shared" si="15"/>
        <v>1.1487303506650544</v>
      </c>
      <c r="J88" s="198"/>
      <c r="K88" s="210">
        <f t="shared" si="16"/>
        <v>0</v>
      </c>
      <c r="L88" s="267">
        <v>508.2</v>
      </c>
      <c r="M88" s="211">
        <f t="shared" si="17"/>
        <v>1.1487303506650544</v>
      </c>
      <c r="N88" s="199">
        <v>6251</v>
      </c>
      <c r="O88" s="198">
        <v>2.2200000000000002</v>
      </c>
      <c r="P88" s="200">
        <v>2.7E-2</v>
      </c>
      <c r="Q88" s="272">
        <v>1126</v>
      </c>
      <c r="R88" s="198">
        <v>10.1</v>
      </c>
      <c r="S88" s="200">
        <v>0.122</v>
      </c>
      <c r="T88" s="198" t="s">
        <v>315</v>
      </c>
      <c r="U88" s="198" t="s">
        <v>217</v>
      </c>
      <c r="V88" s="198" t="s">
        <v>367</v>
      </c>
      <c r="W88" s="205">
        <v>1</v>
      </c>
      <c r="X88" s="198" t="s">
        <v>110</v>
      </c>
    </row>
    <row r="89" spans="2:24">
      <c r="B89" s="496"/>
      <c r="C89" s="496"/>
      <c r="D89" s="209">
        <v>3</v>
      </c>
      <c r="E89" s="198" t="s">
        <v>337</v>
      </c>
      <c r="F89" s="199">
        <v>4988</v>
      </c>
      <c r="G89" s="198">
        <v>44.5</v>
      </c>
      <c r="H89" s="267">
        <v>52</v>
      </c>
      <c r="I89" s="210">
        <f t="shared" si="15"/>
        <v>1.1685393258426966</v>
      </c>
      <c r="J89" s="198"/>
      <c r="K89" s="210">
        <f t="shared" si="16"/>
        <v>0</v>
      </c>
      <c r="L89" s="267">
        <v>695</v>
      </c>
      <c r="M89" s="211">
        <f t="shared" si="17"/>
        <v>1.1685393258426966</v>
      </c>
      <c r="N89" s="199">
        <v>5215</v>
      </c>
      <c r="O89" s="198">
        <v>0.33</v>
      </c>
      <c r="P89" s="200">
        <v>7.0000000000000001E-3</v>
      </c>
      <c r="Q89" s="272">
        <v>227</v>
      </c>
      <c r="R89" s="198">
        <v>7.2</v>
      </c>
      <c r="S89" s="200">
        <v>0.161</v>
      </c>
      <c r="T89" s="198" t="s">
        <v>315</v>
      </c>
      <c r="U89" s="198" t="s">
        <v>217</v>
      </c>
      <c r="V89" s="198" t="s">
        <v>456</v>
      </c>
      <c r="W89" s="205">
        <v>1</v>
      </c>
      <c r="X89" s="198" t="s">
        <v>339</v>
      </c>
    </row>
    <row r="90" spans="2:24">
      <c r="B90" s="496"/>
      <c r="C90" s="496"/>
      <c r="D90" s="209">
        <v>4</v>
      </c>
      <c r="E90" s="198" t="s">
        <v>331</v>
      </c>
      <c r="F90" s="199">
        <v>4704</v>
      </c>
      <c r="G90" s="198">
        <v>262</v>
      </c>
      <c r="H90" s="267">
        <v>278.3</v>
      </c>
      <c r="I90" s="210">
        <f t="shared" si="15"/>
        <v>1.0622137404580154</v>
      </c>
      <c r="J90" s="198"/>
      <c r="K90" s="210">
        <f t="shared" si="16"/>
        <v>0</v>
      </c>
      <c r="L90" s="267">
        <v>335.3</v>
      </c>
      <c r="M90" s="211">
        <f t="shared" si="17"/>
        <v>1.0622137404580154</v>
      </c>
      <c r="N90" s="199">
        <v>5445</v>
      </c>
      <c r="O90" s="198">
        <v>2.21</v>
      </c>
      <c r="P90" s="200">
        <v>8.0000000000000002E-3</v>
      </c>
      <c r="Q90" s="272">
        <v>741</v>
      </c>
      <c r="R90" s="198">
        <v>14</v>
      </c>
      <c r="S90" s="200">
        <v>5.3999999999999999E-2</v>
      </c>
      <c r="T90" s="198" t="s">
        <v>315</v>
      </c>
      <c r="U90" s="198" t="s">
        <v>217</v>
      </c>
      <c r="V90" s="198" t="s">
        <v>332</v>
      </c>
      <c r="W90" s="205">
        <v>1</v>
      </c>
      <c r="X90" s="198" t="s">
        <v>114</v>
      </c>
    </row>
    <row r="91" spans="2:24">
      <c r="B91" s="496"/>
      <c r="C91" s="496"/>
      <c r="D91" s="209">
        <v>5</v>
      </c>
      <c r="E91" s="198" t="s">
        <v>289</v>
      </c>
      <c r="F91" s="199">
        <v>4023</v>
      </c>
      <c r="G91" s="198">
        <v>325.60000000000002</v>
      </c>
      <c r="H91" s="267">
        <v>377.3</v>
      </c>
      <c r="I91" s="210">
        <f t="shared" si="15"/>
        <v>1.1587837837837838</v>
      </c>
      <c r="J91" s="198"/>
      <c r="K91" s="210">
        <f t="shared" si="16"/>
        <v>0</v>
      </c>
      <c r="L91" s="267">
        <v>85</v>
      </c>
      <c r="M91" s="211">
        <f t="shared" si="17"/>
        <v>1.1587837837837838</v>
      </c>
      <c r="N91" s="199">
        <v>4393</v>
      </c>
      <c r="O91" s="198">
        <v>4.3499999999999996</v>
      </c>
      <c r="P91" s="200">
        <v>1.2999999999999999E-2</v>
      </c>
      <c r="Q91" s="272">
        <v>370</v>
      </c>
      <c r="R91" s="198">
        <v>47.3</v>
      </c>
      <c r="S91" s="200">
        <v>0.14499999999999999</v>
      </c>
      <c r="T91" s="198" t="s">
        <v>308</v>
      </c>
      <c r="U91" s="198" t="s">
        <v>276</v>
      </c>
      <c r="V91" s="198" t="s">
        <v>462</v>
      </c>
      <c r="W91" s="205">
        <v>1</v>
      </c>
      <c r="X91" s="198" t="s">
        <v>134</v>
      </c>
    </row>
    <row r="92" spans="2:24">
      <c r="B92" s="496"/>
      <c r="C92" s="496"/>
      <c r="D92" s="209">
        <v>6</v>
      </c>
      <c r="E92" s="198" t="s">
        <v>409</v>
      </c>
      <c r="F92" s="199">
        <v>2778</v>
      </c>
      <c r="G92" s="198">
        <v>55.1</v>
      </c>
      <c r="H92" s="267">
        <v>63</v>
      </c>
      <c r="I92" s="210">
        <f t="shared" si="15"/>
        <v>1.1433756805807622</v>
      </c>
      <c r="J92" s="198"/>
      <c r="K92" s="210">
        <f t="shared" si="16"/>
        <v>0</v>
      </c>
      <c r="L92" s="267">
        <v>420.4</v>
      </c>
      <c r="M92" s="211">
        <f t="shared" si="17"/>
        <v>1.1433756805807622</v>
      </c>
      <c r="N92" s="199">
        <v>3304</v>
      </c>
      <c r="O92" s="198">
        <v>1.25</v>
      </c>
      <c r="P92" s="200">
        <v>2.3E-2</v>
      </c>
      <c r="Q92" s="272">
        <v>526</v>
      </c>
      <c r="R92" s="198">
        <v>6.6</v>
      </c>
      <c r="S92" s="200">
        <v>0.12</v>
      </c>
      <c r="T92" s="198" t="s">
        <v>315</v>
      </c>
      <c r="U92" s="198" t="s">
        <v>217</v>
      </c>
      <c r="V92" s="198" t="s">
        <v>454</v>
      </c>
      <c r="W92" s="205">
        <v>1</v>
      </c>
      <c r="X92" s="198" t="s">
        <v>112</v>
      </c>
    </row>
    <row r="93" spans="2:24">
      <c r="B93" s="496"/>
      <c r="C93" s="496"/>
      <c r="D93" s="209">
        <v>7</v>
      </c>
      <c r="E93" s="198" t="s">
        <v>314</v>
      </c>
      <c r="F93" s="199">
        <v>2386</v>
      </c>
      <c r="G93" s="198">
        <v>138.6</v>
      </c>
      <c r="H93" s="267">
        <v>151.9</v>
      </c>
      <c r="I93" s="210">
        <f t="shared" si="15"/>
        <v>1.095959595959596</v>
      </c>
      <c r="J93" s="198"/>
      <c r="K93" s="210">
        <f t="shared" si="16"/>
        <v>0</v>
      </c>
      <c r="L93" s="267">
        <v>226.4</v>
      </c>
      <c r="M93" s="211">
        <f t="shared" si="17"/>
        <v>1.095959595959596</v>
      </c>
      <c r="N93" s="199">
        <v>3003</v>
      </c>
      <c r="O93" s="198">
        <v>2.73</v>
      </c>
      <c r="P93" s="200">
        <v>0.02</v>
      </c>
      <c r="Q93" s="272">
        <v>617</v>
      </c>
      <c r="R93" s="198">
        <v>10.5</v>
      </c>
      <c r="S93" s="200">
        <v>7.5999999999999998E-2</v>
      </c>
      <c r="T93" s="198" t="s">
        <v>315</v>
      </c>
      <c r="U93" s="198" t="s">
        <v>217</v>
      </c>
      <c r="V93" s="198" t="s">
        <v>357</v>
      </c>
      <c r="W93" s="205">
        <v>1</v>
      </c>
      <c r="X93" s="198" t="s">
        <v>121</v>
      </c>
    </row>
    <row r="94" spans="2:24">
      <c r="B94" s="496"/>
      <c r="C94" s="496"/>
      <c r="D94" s="209">
        <v>8</v>
      </c>
      <c r="E94" s="198" t="s">
        <v>298</v>
      </c>
      <c r="F94" s="199">
        <v>1774</v>
      </c>
      <c r="G94" s="198">
        <v>344</v>
      </c>
      <c r="H94" s="267">
        <v>358.1</v>
      </c>
      <c r="I94" s="210">
        <f t="shared" si="15"/>
        <v>1.0409883720930233</v>
      </c>
      <c r="J94" s="198"/>
      <c r="K94" s="210">
        <f t="shared" si="16"/>
        <v>0</v>
      </c>
      <c r="L94" s="267">
        <v>140.6</v>
      </c>
      <c r="M94" s="211">
        <f t="shared" si="17"/>
        <v>1.0409883720930233</v>
      </c>
      <c r="N94" s="199">
        <v>1985</v>
      </c>
      <c r="O94" s="198">
        <v>1.5</v>
      </c>
      <c r="P94" s="200">
        <v>4.0000000000000001E-3</v>
      </c>
      <c r="Q94" s="272">
        <v>211</v>
      </c>
      <c r="R94" s="198">
        <v>12.6</v>
      </c>
      <c r="S94" s="200">
        <v>3.6999999999999998E-2</v>
      </c>
      <c r="T94" s="198" t="s">
        <v>308</v>
      </c>
      <c r="U94" s="198" t="s">
        <v>276</v>
      </c>
      <c r="V94" s="198" t="s">
        <v>465</v>
      </c>
      <c r="W94" s="205">
        <v>1</v>
      </c>
      <c r="X94" s="198" t="s">
        <v>115</v>
      </c>
    </row>
    <row r="95" spans="2:24">
      <c r="B95" s="496"/>
      <c r="C95" s="496"/>
      <c r="D95" s="209">
        <v>9</v>
      </c>
      <c r="E95" s="198" t="s">
        <v>348</v>
      </c>
      <c r="F95" s="199">
        <v>1422</v>
      </c>
      <c r="G95" s="198">
        <v>452.6</v>
      </c>
      <c r="H95" s="267">
        <v>470</v>
      </c>
      <c r="I95" s="210">
        <f t="shared" si="15"/>
        <v>1.03844454264251</v>
      </c>
      <c r="J95" s="198"/>
      <c r="K95" s="210">
        <f t="shared" si="16"/>
        <v>0</v>
      </c>
      <c r="L95" s="267">
        <v>100</v>
      </c>
      <c r="M95" s="211">
        <f t="shared" si="17"/>
        <v>1.03844454264251</v>
      </c>
      <c r="N95" s="199">
        <v>1743</v>
      </c>
      <c r="O95" s="198">
        <v>3.2</v>
      </c>
      <c r="P95" s="200">
        <v>7.0000000000000001E-3</v>
      </c>
      <c r="Q95" s="272">
        <v>320</v>
      </c>
      <c r="R95" s="198">
        <v>14.2</v>
      </c>
      <c r="S95" s="200">
        <v>3.1E-2</v>
      </c>
      <c r="T95" s="198" t="s">
        <v>308</v>
      </c>
      <c r="U95" s="198" t="s">
        <v>276</v>
      </c>
      <c r="V95" s="198" t="s">
        <v>466</v>
      </c>
      <c r="W95" s="205">
        <v>1</v>
      </c>
      <c r="X95" s="198" t="s">
        <v>114</v>
      </c>
    </row>
    <row r="96" spans="2:24">
      <c r="B96" s="496"/>
      <c r="C96" s="496"/>
      <c r="D96" s="209">
        <v>10</v>
      </c>
      <c r="E96" s="198" t="s">
        <v>414</v>
      </c>
      <c r="F96" s="199">
        <v>1076</v>
      </c>
      <c r="G96" s="198">
        <v>508.8</v>
      </c>
      <c r="H96" s="267">
        <v>529.4</v>
      </c>
      <c r="I96" s="210">
        <f t="shared" si="15"/>
        <v>1.0404874213836477</v>
      </c>
      <c r="J96" s="198"/>
      <c r="K96" s="210">
        <f t="shared" si="16"/>
        <v>0</v>
      </c>
      <c r="L96" s="267">
        <v>58</v>
      </c>
      <c r="M96" s="211">
        <f t="shared" si="17"/>
        <v>1.0404874213836477</v>
      </c>
      <c r="N96" s="199">
        <v>1204</v>
      </c>
      <c r="O96" s="198">
        <v>2.2000000000000002</v>
      </c>
      <c r="P96" s="200">
        <v>4.0000000000000001E-3</v>
      </c>
      <c r="Q96" s="272">
        <v>128</v>
      </c>
      <c r="R96" s="198">
        <v>18.5</v>
      </c>
      <c r="S96" s="200">
        <v>3.5999999999999997E-2</v>
      </c>
      <c r="T96" s="198" t="s">
        <v>308</v>
      </c>
      <c r="U96" s="198" t="s">
        <v>276</v>
      </c>
      <c r="V96" s="198" t="s">
        <v>467</v>
      </c>
      <c r="W96" s="205">
        <v>1</v>
      </c>
      <c r="X96" s="198" t="s">
        <v>117</v>
      </c>
    </row>
    <row r="97" spans="2:24">
      <c r="B97" s="495">
        <v>45879</v>
      </c>
      <c r="C97" s="496" t="s">
        <v>59</v>
      </c>
      <c r="D97" s="209">
        <v>1</v>
      </c>
      <c r="E97" s="198" t="s">
        <v>331</v>
      </c>
      <c r="F97" s="199">
        <v>6675.8229999999994</v>
      </c>
      <c r="G97" s="198">
        <v>216.59</v>
      </c>
      <c r="H97" s="267">
        <v>240</v>
      </c>
      <c r="I97" s="210">
        <f t="shared" si="15"/>
        <v>1.1080843990950644</v>
      </c>
      <c r="J97" s="198"/>
      <c r="K97" s="210">
        <f t="shared" si="16"/>
        <v>0</v>
      </c>
      <c r="L97" s="267">
        <v>335.3</v>
      </c>
      <c r="M97" s="211">
        <f t="shared" si="17"/>
        <v>1.1080843990950644</v>
      </c>
      <c r="N97" s="199">
        <v>7849.3729999999987</v>
      </c>
      <c r="O97" s="198">
        <v>3.5</v>
      </c>
      <c r="P97" s="200">
        <v>1.615956415346969E-2</v>
      </c>
      <c r="Q97" s="272">
        <v>1173.55</v>
      </c>
      <c r="R97" s="198">
        <v>19.909999999999997</v>
      </c>
      <c r="S97" s="200">
        <v>9.1924834941594702E-2</v>
      </c>
      <c r="T97" s="198" t="s">
        <v>315</v>
      </c>
      <c r="U97" s="198" t="s">
        <v>217</v>
      </c>
      <c r="V97" s="198" t="s">
        <v>332</v>
      </c>
      <c r="W97" s="205">
        <v>1</v>
      </c>
      <c r="X97" s="198" t="s">
        <v>114</v>
      </c>
    </row>
    <row r="98" spans="2:24">
      <c r="B98" s="496"/>
      <c r="C98" s="496"/>
      <c r="D98" s="209">
        <v>2</v>
      </c>
      <c r="E98" s="198" t="s">
        <v>287</v>
      </c>
      <c r="F98" s="199">
        <v>6657.1133230769192</v>
      </c>
      <c r="G98" s="198">
        <v>114.06</v>
      </c>
      <c r="H98" s="267">
        <v>130.559</v>
      </c>
      <c r="I98" s="210">
        <f t="shared" si="15"/>
        <v>1.1446519375767139</v>
      </c>
      <c r="J98" s="198"/>
      <c r="K98" s="210">
        <f t="shared" si="16"/>
        <v>0</v>
      </c>
      <c r="L98" s="267">
        <v>508.21538461538449</v>
      </c>
      <c r="M98" s="211">
        <f t="shared" si="17"/>
        <v>1.1446519375767139</v>
      </c>
      <c r="N98" s="199">
        <v>8385.0456307692257</v>
      </c>
      <c r="O98" s="198">
        <v>3.4</v>
      </c>
      <c r="P98" s="200">
        <v>2.9808872523233384E-2</v>
      </c>
      <c r="Q98" s="272">
        <v>1727.9323076923072</v>
      </c>
      <c r="R98" s="198">
        <v>13.098999999999995</v>
      </c>
      <c r="S98" s="200">
        <v>0.11484306505348058</v>
      </c>
      <c r="T98" s="198" t="s">
        <v>315</v>
      </c>
      <c r="U98" s="198" t="s">
        <v>217</v>
      </c>
      <c r="V98" s="198" t="s">
        <v>367</v>
      </c>
      <c r="W98" s="205">
        <v>1</v>
      </c>
      <c r="X98" s="198" t="s">
        <v>110</v>
      </c>
    </row>
    <row r="99" spans="2:24">
      <c r="B99" s="496"/>
      <c r="C99" s="496"/>
      <c r="D99" s="209">
        <v>3</v>
      </c>
      <c r="E99" s="198" t="s">
        <v>329</v>
      </c>
      <c r="F99" s="199">
        <v>6076.7245999999941</v>
      </c>
      <c r="G99" s="198">
        <v>141.64500000000001</v>
      </c>
      <c r="H99" s="267">
        <v>156</v>
      </c>
      <c r="I99" s="210">
        <f t="shared" si="15"/>
        <v>1.1013449115747114</v>
      </c>
      <c r="J99" s="198"/>
      <c r="K99" s="210">
        <f t="shared" si="16"/>
        <v>0</v>
      </c>
      <c r="L99" s="267">
        <v>575.72</v>
      </c>
      <c r="M99" s="211">
        <f t="shared" si="17"/>
        <v>1.1013449115747114</v>
      </c>
      <c r="N99" s="199">
        <v>8264.4605999999949</v>
      </c>
      <c r="O99" s="198">
        <v>3.8</v>
      </c>
      <c r="P99" s="200">
        <v>2.6827632461435276E-2</v>
      </c>
      <c r="Q99" s="272">
        <v>2187.7359999999999</v>
      </c>
      <c r="R99" s="198">
        <v>10.554999999999989</v>
      </c>
      <c r="S99" s="200">
        <v>7.4517279113276061E-2</v>
      </c>
      <c r="T99" s="198" t="s">
        <v>308</v>
      </c>
      <c r="U99" s="198" t="s">
        <v>276</v>
      </c>
      <c r="V99" s="198" t="s">
        <v>468</v>
      </c>
      <c r="W99" s="205">
        <v>1</v>
      </c>
      <c r="X99" s="198" t="s">
        <v>113</v>
      </c>
    </row>
    <row r="100" spans="2:24">
      <c r="B100" s="496"/>
      <c r="C100" s="496"/>
      <c r="D100" s="209">
        <v>4</v>
      </c>
      <c r="E100" s="198" t="s">
        <v>409</v>
      </c>
      <c r="F100" s="199">
        <v>4469.7991199999988</v>
      </c>
      <c r="G100" s="198">
        <v>74.567999999999998</v>
      </c>
      <c r="H100" s="267">
        <v>87.1</v>
      </c>
      <c r="I100" s="210">
        <f t="shared" si="15"/>
        <v>1.1680613668061366</v>
      </c>
      <c r="J100" s="198"/>
      <c r="K100" s="210">
        <f t="shared" si="16"/>
        <v>0</v>
      </c>
      <c r="L100" s="267">
        <v>420.41</v>
      </c>
      <c r="M100" s="211">
        <f t="shared" si="17"/>
        <v>1.1680613668061366</v>
      </c>
      <c r="N100" s="199">
        <v>5268.5781199999992</v>
      </c>
      <c r="O100" s="198">
        <v>1.9</v>
      </c>
      <c r="P100" s="200">
        <v>2.5480098701856024E-2</v>
      </c>
      <c r="Q100" s="272">
        <v>798.779</v>
      </c>
      <c r="R100" s="198">
        <v>10.631999999999996</v>
      </c>
      <c r="S100" s="200">
        <v>0.1425812681042806</v>
      </c>
      <c r="T100" s="198" t="s">
        <v>315</v>
      </c>
      <c r="U100" s="198" t="s">
        <v>217</v>
      </c>
      <c r="V100" s="198" t="s">
        <v>454</v>
      </c>
      <c r="W100" s="205">
        <v>1</v>
      </c>
      <c r="X100" s="198" t="s">
        <v>112</v>
      </c>
    </row>
    <row r="101" spans="2:24">
      <c r="B101" s="496"/>
      <c r="C101" s="496"/>
      <c r="D101" s="209">
        <v>5</v>
      </c>
      <c r="E101" s="198" t="s">
        <v>289</v>
      </c>
      <c r="F101" s="199">
        <v>3943.0649999999991</v>
      </c>
      <c r="G101" s="198">
        <v>421.47</v>
      </c>
      <c r="H101" s="267">
        <v>479.25900000000001</v>
      </c>
      <c r="I101" s="210">
        <f t="shared" si="15"/>
        <v>1.1371129617766389</v>
      </c>
      <c r="J101" s="198"/>
      <c r="K101" s="210">
        <f t="shared" si="16"/>
        <v>0</v>
      </c>
      <c r="L101" s="267">
        <v>85</v>
      </c>
      <c r="M101" s="211">
        <f t="shared" si="17"/>
        <v>1.1371129617766389</v>
      </c>
      <c r="N101" s="199">
        <v>4912.0649999999987</v>
      </c>
      <c r="O101" s="198">
        <v>11.4</v>
      </c>
      <c r="P101" s="200">
        <v>2.704818848316606E-2</v>
      </c>
      <c r="Q101" s="272">
        <v>969</v>
      </c>
      <c r="R101" s="198">
        <v>46.388999999999989</v>
      </c>
      <c r="S101" s="200">
        <v>0.11006477329347281</v>
      </c>
      <c r="T101" s="198" t="s">
        <v>308</v>
      </c>
      <c r="U101" s="198" t="s">
        <v>276</v>
      </c>
      <c r="V101" s="198" t="s">
        <v>462</v>
      </c>
      <c r="W101" s="205">
        <v>1</v>
      </c>
      <c r="X101" s="198" t="s">
        <v>134</v>
      </c>
    </row>
    <row r="102" spans="2:24" ht="16.5">
      <c r="B102" s="496"/>
      <c r="C102" s="496"/>
      <c r="D102" s="209">
        <v>6</v>
      </c>
      <c r="E102" s="198" t="s">
        <v>314</v>
      </c>
      <c r="F102" s="199">
        <v>2230.0399999999986</v>
      </c>
      <c r="G102" s="198">
        <v>188.65</v>
      </c>
      <c r="H102" s="267">
        <v>199</v>
      </c>
      <c r="I102" s="210">
        <f t="shared" si="15"/>
        <v>1.0548635038430956</v>
      </c>
      <c r="J102" s="198">
        <v>5.5</v>
      </c>
      <c r="K102" s="210">
        <f t="shared" si="16"/>
        <v>2.9154518950437316E-2</v>
      </c>
      <c r="L102" s="267">
        <v>226.39999999999998</v>
      </c>
      <c r="M102" s="211">
        <f t="shared" si="17"/>
        <v>1.084018022793533</v>
      </c>
      <c r="N102" s="199">
        <v>3588.4399999999982</v>
      </c>
      <c r="O102" s="198">
        <v>0.5</v>
      </c>
      <c r="P102" s="200">
        <v>2.6504108136761197E-3</v>
      </c>
      <c r="Q102" s="272">
        <v>113.19999999999999</v>
      </c>
      <c r="R102" s="198">
        <v>15.349999999999994</v>
      </c>
      <c r="S102" s="200">
        <v>8.1367611979856841E-2</v>
      </c>
      <c r="T102" s="198" t="s">
        <v>278</v>
      </c>
      <c r="U102" s="198" t="s">
        <v>212</v>
      </c>
      <c r="V102" s="264" t="s">
        <v>469</v>
      </c>
      <c r="W102" s="205">
        <v>1</v>
      </c>
      <c r="X102" s="198" t="s">
        <v>121</v>
      </c>
    </row>
    <row r="103" spans="2:24">
      <c r="B103" s="496"/>
      <c r="C103" s="496"/>
      <c r="D103" s="209">
        <v>7</v>
      </c>
      <c r="E103" s="198" t="s">
        <v>337</v>
      </c>
      <c r="F103" s="199">
        <v>1967.5449999999971</v>
      </c>
      <c r="G103" s="198">
        <v>80.603999999999999</v>
      </c>
      <c r="H103" s="267">
        <v>83.492999999999995</v>
      </c>
      <c r="I103" s="210">
        <f t="shared" si="15"/>
        <v>1.0358418937025458</v>
      </c>
      <c r="J103" s="198"/>
      <c r="K103" s="210">
        <f t="shared" si="16"/>
        <v>0</v>
      </c>
      <c r="L103" s="267">
        <v>695</v>
      </c>
      <c r="M103" s="211">
        <f t="shared" si="17"/>
        <v>1.0358418937025458</v>
      </c>
      <c r="N103" s="199">
        <v>2007.8549999999971</v>
      </c>
      <c r="O103" s="198">
        <v>5.8000000000000003E-2</v>
      </c>
      <c r="P103" s="200">
        <v>7.1956726713314476E-4</v>
      </c>
      <c r="Q103" s="272">
        <v>40.31</v>
      </c>
      <c r="R103" s="198">
        <v>2.830999999999996</v>
      </c>
      <c r="S103" s="200">
        <v>3.5122326435412583E-2</v>
      </c>
      <c r="T103" s="198" t="s">
        <v>315</v>
      </c>
      <c r="U103" s="198" t="s">
        <v>217</v>
      </c>
      <c r="V103" s="198" t="s">
        <v>470</v>
      </c>
      <c r="W103" s="205">
        <v>1</v>
      </c>
      <c r="X103" s="198" t="s">
        <v>339</v>
      </c>
    </row>
    <row r="104" spans="2:24" ht="16.5">
      <c r="B104" s="496"/>
      <c r="C104" s="496"/>
      <c r="D104" s="209">
        <v>8</v>
      </c>
      <c r="E104" s="198" t="s">
        <v>298</v>
      </c>
      <c r="F104" s="199">
        <v>1393.4035800000011</v>
      </c>
      <c r="G104" s="198">
        <v>441.2</v>
      </c>
      <c r="H104" s="267">
        <v>453.291</v>
      </c>
      <c r="I104" s="210">
        <f t="shared" si="15"/>
        <v>1.0274048050770626</v>
      </c>
      <c r="J104" s="198"/>
      <c r="K104" s="210">
        <f t="shared" si="16"/>
        <v>0</v>
      </c>
      <c r="L104" s="267">
        <v>140.62</v>
      </c>
      <c r="M104" s="211">
        <f t="shared" si="17"/>
        <v>1.0274048050770626</v>
      </c>
      <c r="N104" s="199">
        <v>1700.2364200000013</v>
      </c>
      <c r="O104" s="198">
        <v>2.1819999999999999</v>
      </c>
      <c r="P104" s="200">
        <v>4.9456029011786034E-3</v>
      </c>
      <c r="Q104" s="272">
        <v>306.83283999999998</v>
      </c>
      <c r="R104" s="198">
        <v>9.9090000000000078</v>
      </c>
      <c r="S104" s="200">
        <v>2.2459202175883972E-2</v>
      </c>
      <c r="T104" s="198" t="s">
        <v>278</v>
      </c>
      <c r="U104" s="198" t="s">
        <v>212</v>
      </c>
      <c r="V104" s="264" t="s">
        <v>471</v>
      </c>
      <c r="W104" s="205">
        <v>1</v>
      </c>
      <c r="X104" s="198" t="s">
        <v>115</v>
      </c>
    </row>
    <row r="105" spans="2:24">
      <c r="B105" s="496"/>
      <c r="C105" s="496"/>
      <c r="D105" s="209">
        <v>9</v>
      </c>
      <c r="E105" s="198" t="s">
        <v>375</v>
      </c>
      <c r="F105" s="199">
        <v>1212.1390700000065</v>
      </c>
      <c r="G105" s="198">
        <v>745.68</v>
      </c>
      <c r="H105" s="267">
        <v>764.38800000000003</v>
      </c>
      <c r="I105" s="210">
        <f t="shared" si="15"/>
        <v>1.0250885098165434</v>
      </c>
      <c r="J105" s="198"/>
      <c r="K105" s="210">
        <f t="shared" si="16"/>
        <v>0</v>
      </c>
      <c r="L105" s="267">
        <v>77.290000000000006</v>
      </c>
      <c r="M105" s="211">
        <f t="shared" si="17"/>
        <v>1.0250885098165434</v>
      </c>
      <c r="N105" s="199">
        <v>1445.9413200000065</v>
      </c>
      <c r="O105" s="198">
        <v>3.0249999999999999</v>
      </c>
      <c r="P105" s="200">
        <v>4.0566999249007623E-3</v>
      </c>
      <c r="Q105" s="272">
        <v>233.80225000000002</v>
      </c>
      <c r="R105" s="198">
        <v>15.683000000000083</v>
      </c>
      <c r="S105" s="200">
        <v>2.103180989164264E-2</v>
      </c>
      <c r="T105" s="198" t="s">
        <v>278</v>
      </c>
      <c r="U105" s="198" t="s">
        <v>212</v>
      </c>
      <c r="V105" s="198" t="s">
        <v>472</v>
      </c>
      <c r="W105" s="205">
        <v>1</v>
      </c>
      <c r="X105" s="198" t="s">
        <v>112</v>
      </c>
    </row>
    <row r="106" spans="2:24">
      <c r="B106" s="496"/>
      <c r="C106" s="496"/>
      <c r="D106" s="209">
        <v>10</v>
      </c>
      <c r="E106" s="198" t="s">
        <v>414</v>
      </c>
      <c r="F106" s="199">
        <v>989.67567567567721</v>
      </c>
      <c r="G106" s="198">
        <v>596.80999999999995</v>
      </c>
      <c r="H106" s="267">
        <v>617.07799999999997</v>
      </c>
      <c r="I106" s="210">
        <f t="shared" si="15"/>
        <v>1.0339605569611769</v>
      </c>
      <c r="J106" s="198"/>
      <c r="K106" s="210">
        <f t="shared" si="16"/>
        <v>0</v>
      </c>
      <c r="L106" s="267">
        <v>58.21621621621621</v>
      </c>
      <c r="M106" s="211">
        <f t="shared" si="17"/>
        <v>1.0339605569611769</v>
      </c>
      <c r="N106" s="199">
        <v>1179.9262702702717</v>
      </c>
      <c r="O106" s="198">
        <v>3.2679999999999998</v>
      </c>
      <c r="P106" s="200">
        <v>5.4757795613344278E-3</v>
      </c>
      <c r="Q106" s="272">
        <v>190.25059459459456</v>
      </c>
      <c r="R106" s="198">
        <v>17.000000000000028</v>
      </c>
      <c r="S106" s="200">
        <v>2.8484777399842547E-2</v>
      </c>
      <c r="T106" s="198" t="s">
        <v>278</v>
      </c>
      <c r="U106" s="198" t="s">
        <v>212</v>
      </c>
      <c r="V106" s="198" t="s">
        <v>473</v>
      </c>
      <c r="W106" s="205">
        <v>1</v>
      </c>
      <c r="X106" s="198" t="s">
        <v>117</v>
      </c>
    </row>
    <row r="107" spans="2:24">
      <c r="B107" s="495">
        <v>45880</v>
      </c>
      <c r="C107" s="496" t="s">
        <v>65</v>
      </c>
      <c r="D107" s="209">
        <v>1</v>
      </c>
      <c r="E107" s="198" t="s">
        <v>287</v>
      </c>
      <c r="F107" s="199">
        <v>9456.3636615384567</v>
      </c>
      <c r="G107" s="198">
        <v>122.66</v>
      </c>
      <c r="H107" s="267">
        <v>142.04599999999999</v>
      </c>
      <c r="I107" s="210">
        <f t="shared" si="15"/>
        <v>1.158046632969183</v>
      </c>
      <c r="J107" s="198"/>
      <c r="K107" s="210">
        <f t="shared" si="16"/>
        <v>0</v>
      </c>
      <c r="L107" s="267">
        <v>508.21538461538449</v>
      </c>
      <c r="M107" s="211">
        <f t="shared" si="17"/>
        <v>1.158046632969183</v>
      </c>
      <c r="N107" s="199">
        <v>9852.2634461538419</v>
      </c>
      <c r="O107" s="198">
        <v>0.77900000000000003</v>
      </c>
      <c r="P107" s="200">
        <v>6.350888635251916E-3</v>
      </c>
      <c r="Q107" s="272">
        <v>395.89978461538453</v>
      </c>
      <c r="R107" s="198">
        <v>18.606999999999996</v>
      </c>
      <c r="S107" s="200">
        <v>0.15169574433393115</v>
      </c>
      <c r="T107" s="198" t="s">
        <v>315</v>
      </c>
      <c r="U107" s="198" t="s">
        <v>217</v>
      </c>
      <c r="V107" s="198" t="s">
        <v>367</v>
      </c>
      <c r="W107" s="205">
        <v>1</v>
      </c>
      <c r="X107" s="198" t="s">
        <v>110</v>
      </c>
    </row>
    <row r="108" spans="2:24">
      <c r="B108" s="496"/>
      <c r="C108" s="496"/>
      <c r="D108" s="209">
        <v>2</v>
      </c>
      <c r="E108" s="198" t="s">
        <v>331</v>
      </c>
      <c r="F108" s="199">
        <v>6387.4650000000092</v>
      </c>
      <c r="G108" s="198">
        <v>191.95</v>
      </c>
      <c r="H108" s="267">
        <v>213.36</v>
      </c>
      <c r="I108" s="210">
        <f t="shared" si="15"/>
        <v>1.1115394634019278</v>
      </c>
      <c r="J108" s="198"/>
      <c r="K108" s="210">
        <f t="shared" si="16"/>
        <v>0</v>
      </c>
      <c r="L108" s="267">
        <v>335.3</v>
      </c>
      <c r="M108" s="211">
        <f t="shared" si="17"/>
        <v>1.1115394634019278</v>
      </c>
      <c r="N108" s="199">
        <v>7178.7730000000083</v>
      </c>
      <c r="O108" s="198">
        <v>2.36</v>
      </c>
      <c r="P108" s="200">
        <v>1.2294868455326909E-2</v>
      </c>
      <c r="Q108" s="272">
        <v>791.30799999999999</v>
      </c>
      <c r="R108" s="198">
        <v>19.050000000000026</v>
      </c>
      <c r="S108" s="200">
        <v>9.9244594946600817E-2</v>
      </c>
      <c r="T108" s="198" t="s">
        <v>315</v>
      </c>
      <c r="U108" s="198" t="s">
        <v>217</v>
      </c>
      <c r="V108" s="198" t="s">
        <v>332</v>
      </c>
      <c r="W108" s="205">
        <v>1</v>
      </c>
      <c r="X108" s="198" t="s">
        <v>114</v>
      </c>
    </row>
    <row r="109" spans="2:24">
      <c r="B109" s="496"/>
      <c r="C109" s="496"/>
      <c r="D109" s="209">
        <v>3</v>
      </c>
      <c r="E109" s="198" t="s">
        <v>409</v>
      </c>
      <c r="F109" s="199">
        <v>6083.3327000000027</v>
      </c>
      <c r="G109" s="198">
        <v>62.543999999999997</v>
      </c>
      <c r="H109" s="267">
        <v>78.227000000000004</v>
      </c>
      <c r="I109" s="210">
        <f t="shared" si="15"/>
        <v>1.2507514709644412</v>
      </c>
      <c r="J109" s="198"/>
      <c r="K109" s="210">
        <f t="shared" si="16"/>
        <v>0</v>
      </c>
      <c r="L109" s="267">
        <v>420.41</v>
      </c>
      <c r="M109" s="211">
        <f t="shared" si="17"/>
        <v>1.2507514709644412</v>
      </c>
      <c r="N109" s="199">
        <v>6593.2900300000038</v>
      </c>
      <c r="O109" s="198">
        <v>1.2130000000000001</v>
      </c>
      <c r="P109" s="200">
        <v>1.9394346380148378E-2</v>
      </c>
      <c r="Q109" s="272">
        <v>509.95733000000007</v>
      </c>
      <c r="R109" s="198">
        <v>14.470000000000006</v>
      </c>
      <c r="S109" s="200">
        <v>0.23135712458429278</v>
      </c>
      <c r="T109" s="198" t="s">
        <v>315</v>
      </c>
      <c r="U109" s="198" t="s">
        <v>217</v>
      </c>
      <c r="V109" s="198" t="s">
        <v>454</v>
      </c>
      <c r="W109" s="205">
        <v>1</v>
      </c>
      <c r="X109" s="198" t="s">
        <v>112</v>
      </c>
    </row>
    <row r="110" spans="2:24">
      <c r="B110" s="496"/>
      <c r="C110" s="496"/>
      <c r="D110" s="209">
        <v>4</v>
      </c>
      <c r="E110" s="198" t="s">
        <v>289</v>
      </c>
      <c r="F110" s="199">
        <v>3968.7349999999983</v>
      </c>
      <c r="G110" s="198">
        <v>405</v>
      </c>
      <c r="H110" s="267">
        <v>458.72199999999998</v>
      </c>
      <c r="I110" s="210">
        <f t="shared" si="15"/>
        <v>1.1326469135802468</v>
      </c>
      <c r="J110" s="198"/>
      <c r="K110" s="210">
        <f t="shared" si="16"/>
        <v>0</v>
      </c>
      <c r="L110" s="267">
        <v>85</v>
      </c>
      <c r="M110" s="211">
        <f t="shared" si="17"/>
        <v>1.1326469135802468</v>
      </c>
      <c r="N110" s="199">
        <v>4566.3699999999981</v>
      </c>
      <c r="O110" s="198">
        <v>7.0309999999999997</v>
      </c>
      <c r="P110" s="200">
        <v>1.7360493827160494E-2</v>
      </c>
      <c r="Q110" s="272">
        <v>597.63499999999999</v>
      </c>
      <c r="R110" s="198">
        <v>46.690999999999981</v>
      </c>
      <c r="S110" s="200">
        <v>0.11528641975308637</v>
      </c>
      <c r="T110" s="198" t="s">
        <v>308</v>
      </c>
      <c r="U110" s="198" t="s">
        <v>276</v>
      </c>
      <c r="V110" s="198" t="s">
        <v>413</v>
      </c>
      <c r="W110" s="205">
        <v>1</v>
      </c>
      <c r="X110" s="198" t="s">
        <v>134</v>
      </c>
    </row>
    <row r="111" spans="2:24">
      <c r="B111" s="496"/>
      <c r="C111" s="496"/>
      <c r="D111" s="209">
        <v>5</v>
      </c>
      <c r="E111" s="198" t="s">
        <v>373</v>
      </c>
      <c r="F111" s="199">
        <v>3811.05</v>
      </c>
      <c r="G111" s="198">
        <v>46.4</v>
      </c>
      <c r="H111" s="267">
        <v>51.4</v>
      </c>
      <c r="I111" s="210">
        <f t="shared" si="15"/>
        <v>1.1077586206896552</v>
      </c>
      <c r="J111" s="198">
        <v>2.4</v>
      </c>
      <c r="K111" s="210">
        <f t="shared" si="16"/>
        <v>5.1724137931034482E-2</v>
      </c>
      <c r="L111" s="267">
        <v>762.21</v>
      </c>
      <c r="M111" s="211">
        <f t="shared" si="17"/>
        <v>1.1594827586206897</v>
      </c>
      <c r="N111" s="199">
        <v>5640.3539999999994</v>
      </c>
      <c r="O111" s="198">
        <v>0</v>
      </c>
      <c r="P111" s="200">
        <v>0</v>
      </c>
      <c r="Q111" s="272">
        <v>0</v>
      </c>
      <c r="R111" s="198">
        <v>7.3999999999999986</v>
      </c>
      <c r="S111" s="200">
        <v>0.15948275862068964</v>
      </c>
      <c r="T111" s="198" t="s">
        <v>315</v>
      </c>
      <c r="U111" s="198" t="s">
        <v>217</v>
      </c>
      <c r="V111" s="198" t="s">
        <v>374</v>
      </c>
      <c r="W111" s="205">
        <v>1</v>
      </c>
      <c r="X111" s="198" t="s">
        <v>116</v>
      </c>
    </row>
    <row r="112" spans="2:24">
      <c r="B112" s="496"/>
      <c r="C112" s="496"/>
      <c r="D112" s="209">
        <v>6</v>
      </c>
      <c r="E112" s="198" t="s">
        <v>337</v>
      </c>
      <c r="F112" s="199">
        <v>3746.0499999999965</v>
      </c>
      <c r="G112" s="198">
        <v>48.6</v>
      </c>
      <c r="H112" s="267">
        <v>54.168999999999997</v>
      </c>
      <c r="I112" s="210">
        <f t="shared" si="15"/>
        <v>1.1145884773662551</v>
      </c>
      <c r="J112" s="198"/>
      <c r="K112" s="210">
        <f t="shared" si="16"/>
        <v>0</v>
      </c>
      <c r="L112" s="267">
        <v>695</v>
      </c>
      <c r="M112" s="211">
        <f t="shared" si="17"/>
        <v>1.1145884773662551</v>
      </c>
      <c r="N112" s="199">
        <v>3870.4549999999967</v>
      </c>
      <c r="O112" s="198">
        <v>0.17899999999999999</v>
      </c>
      <c r="P112" s="200">
        <v>3.6831275720164607E-3</v>
      </c>
      <c r="Q112" s="272">
        <v>124.405</v>
      </c>
      <c r="R112" s="198">
        <v>5.3899999999999952</v>
      </c>
      <c r="S112" s="200">
        <v>0.11090534979423858</v>
      </c>
      <c r="T112" s="198" t="s">
        <v>315</v>
      </c>
      <c r="U112" s="198" t="s">
        <v>217</v>
      </c>
      <c r="V112" s="198" t="s">
        <v>338</v>
      </c>
      <c r="W112" s="205">
        <v>1</v>
      </c>
      <c r="X112" s="198" t="s">
        <v>339</v>
      </c>
    </row>
    <row r="113" spans="2:25">
      <c r="B113" s="496"/>
      <c r="C113" s="496"/>
      <c r="D113" s="209">
        <v>7</v>
      </c>
      <c r="E113" s="198" t="s">
        <v>323</v>
      </c>
      <c r="F113" s="199">
        <v>3665.9781899999989</v>
      </c>
      <c r="G113" s="198">
        <v>105.203</v>
      </c>
      <c r="H113" s="267">
        <v>117.881</v>
      </c>
      <c r="I113" s="210">
        <f t="shared" si="15"/>
        <v>1.1205098713915003</v>
      </c>
      <c r="J113" s="198"/>
      <c r="K113" s="210">
        <f t="shared" si="16"/>
        <v>0</v>
      </c>
      <c r="L113" s="267">
        <v>356.37</v>
      </c>
      <c r="M113" s="211">
        <f t="shared" si="17"/>
        <v>1.1205098713915003</v>
      </c>
      <c r="N113" s="199">
        <v>4518.0588599999992</v>
      </c>
      <c r="O113" s="198">
        <v>2.391</v>
      </c>
      <c r="P113" s="200">
        <v>2.2727488759826241E-2</v>
      </c>
      <c r="Q113" s="272">
        <v>852.08067000000005</v>
      </c>
      <c r="R113" s="198">
        <v>10.286999999999997</v>
      </c>
      <c r="S113" s="200">
        <v>9.7782382631673978E-2</v>
      </c>
      <c r="T113" s="198" t="s">
        <v>315</v>
      </c>
      <c r="U113" s="198" t="s">
        <v>217</v>
      </c>
      <c r="V113" s="198" t="s">
        <v>361</v>
      </c>
      <c r="W113" s="205">
        <v>1</v>
      </c>
      <c r="X113" s="198" t="s">
        <v>111</v>
      </c>
    </row>
    <row r="114" spans="2:25">
      <c r="B114" s="496"/>
      <c r="C114" s="496"/>
      <c r="D114" s="209">
        <v>8</v>
      </c>
      <c r="E114" s="198" t="s">
        <v>314</v>
      </c>
      <c r="F114" s="199">
        <v>3056.8528000000001</v>
      </c>
      <c r="G114" s="198">
        <v>188.95</v>
      </c>
      <c r="H114" s="267">
        <v>202.86699999999999</v>
      </c>
      <c r="I114" s="210">
        <f t="shared" si="15"/>
        <v>1.0736544059274939</v>
      </c>
      <c r="J114" s="198"/>
      <c r="K114" s="210">
        <f t="shared" si="16"/>
        <v>0</v>
      </c>
      <c r="L114" s="267">
        <v>226.39999999999998</v>
      </c>
      <c r="M114" s="211">
        <f t="shared" si="17"/>
        <v>1.0736544059274939</v>
      </c>
      <c r="N114" s="199">
        <v>3150.8088000000002</v>
      </c>
      <c r="O114" s="198">
        <v>0.41499999999999998</v>
      </c>
      <c r="P114" s="200">
        <v>2.196348240275205E-3</v>
      </c>
      <c r="Q114" s="272">
        <v>93.955999999999989</v>
      </c>
      <c r="R114" s="198">
        <v>13.502000000000002</v>
      </c>
      <c r="S114" s="200">
        <v>7.1458057687218857E-2</v>
      </c>
      <c r="T114" s="198" t="s">
        <v>315</v>
      </c>
      <c r="U114" s="198" t="s">
        <v>217</v>
      </c>
      <c r="V114" s="198" t="s">
        <v>357</v>
      </c>
      <c r="W114" s="205">
        <v>1</v>
      </c>
      <c r="X114" s="198" t="s">
        <v>121</v>
      </c>
    </row>
    <row r="115" spans="2:25">
      <c r="B115" s="496"/>
      <c r="C115" s="496"/>
      <c r="D115" s="209">
        <v>9</v>
      </c>
      <c r="E115" s="198" t="s">
        <v>408</v>
      </c>
      <c r="F115" s="199">
        <v>2348.5000000000009</v>
      </c>
      <c r="G115" s="198">
        <v>155.04</v>
      </c>
      <c r="H115" s="267">
        <v>170.708</v>
      </c>
      <c r="I115" s="210">
        <f t="shared" si="15"/>
        <v>1.1010577915376678</v>
      </c>
      <c r="J115" s="198"/>
      <c r="K115" s="210">
        <f t="shared" si="16"/>
        <v>0</v>
      </c>
      <c r="L115" s="267">
        <v>154</v>
      </c>
      <c r="M115" s="211">
        <f t="shared" si="17"/>
        <v>1.1010577915376678</v>
      </c>
      <c r="N115" s="199">
        <v>2412.8720000000012</v>
      </c>
      <c r="O115" s="198">
        <v>0.41799999999999998</v>
      </c>
      <c r="P115" s="200">
        <v>2.696078431372549E-3</v>
      </c>
      <c r="Q115" s="272">
        <v>64.372</v>
      </c>
      <c r="R115" s="198">
        <v>15.250000000000007</v>
      </c>
      <c r="S115" s="200">
        <v>9.8361713106295198E-2</v>
      </c>
      <c r="T115" s="198" t="s">
        <v>315</v>
      </c>
      <c r="U115" s="198" t="s">
        <v>217</v>
      </c>
      <c r="V115" s="198" t="s">
        <v>474</v>
      </c>
      <c r="W115" s="205">
        <v>1</v>
      </c>
      <c r="X115" s="198" t="s">
        <v>136</v>
      </c>
    </row>
    <row r="116" spans="2:25">
      <c r="B116" s="496"/>
      <c r="C116" s="496"/>
      <c r="D116" s="209">
        <v>10</v>
      </c>
      <c r="E116" s="198" t="s">
        <v>298</v>
      </c>
      <c r="F116" s="199">
        <v>1686.8775200000009</v>
      </c>
      <c r="G116" s="198">
        <v>437.4</v>
      </c>
      <c r="H116" s="267">
        <v>450.43099999999998</v>
      </c>
      <c r="I116" s="210">
        <f t="shared" si="15"/>
        <v>1.0297919524462735</v>
      </c>
      <c r="J116" s="198"/>
      <c r="K116" s="210">
        <f t="shared" si="16"/>
        <v>0</v>
      </c>
      <c r="L116" s="267">
        <v>140.62</v>
      </c>
      <c r="M116" s="211">
        <f t="shared" si="17"/>
        <v>1.0297919524462735</v>
      </c>
      <c r="N116" s="199">
        <v>1832.4192200000009</v>
      </c>
      <c r="O116" s="198">
        <v>1.0349999999999999</v>
      </c>
      <c r="P116" s="200">
        <v>2.3662551440329217E-3</v>
      </c>
      <c r="Q116" s="272">
        <v>145.54169999999999</v>
      </c>
      <c r="R116" s="198">
        <v>11.996000000000006</v>
      </c>
      <c r="S116" s="200">
        <v>2.7425697302240527E-2</v>
      </c>
      <c r="T116" s="198" t="s">
        <v>278</v>
      </c>
      <c r="U116" s="198" t="s">
        <v>212</v>
      </c>
      <c r="V116" s="198" t="s">
        <v>250</v>
      </c>
      <c r="W116" s="205">
        <v>1</v>
      </c>
      <c r="X116" s="198" t="s">
        <v>115</v>
      </c>
    </row>
    <row r="117" spans="2:25">
      <c r="B117" s="495">
        <v>45881</v>
      </c>
      <c r="C117" s="496" t="s">
        <v>66</v>
      </c>
      <c r="D117" s="209">
        <v>11</v>
      </c>
      <c r="E117" s="198" t="s">
        <v>287</v>
      </c>
      <c r="F117" s="199">
        <v>10131.78190769231</v>
      </c>
      <c r="G117" s="198">
        <v>123.86</v>
      </c>
      <c r="H117" s="267">
        <v>144.01300000000001</v>
      </c>
      <c r="I117" s="210">
        <f t="shared" si="15"/>
        <v>1.1627078960116262</v>
      </c>
      <c r="J117" s="198"/>
      <c r="K117" s="210">
        <f t="shared" si="16"/>
        <v>0</v>
      </c>
      <c r="L117" s="267">
        <v>508.21538461538449</v>
      </c>
      <c r="M117" s="211">
        <f t="shared" si="17"/>
        <v>1.1627078960116262</v>
      </c>
      <c r="N117" s="199">
        <v>10242.064646153847</v>
      </c>
      <c r="O117" s="198">
        <v>0.217</v>
      </c>
      <c r="P117" s="200">
        <v>1.7519780397222671E-3</v>
      </c>
      <c r="Q117" s="272">
        <v>110.28273846153843</v>
      </c>
      <c r="R117" s="198">
        <v>19.936000000000007</v>
      </c>
      <c r="S117" s="200">
        <v>0.16095591797190381</v>
      </c>
      <c r="T117" s="198" t="s">
        <v>315</v>
      </c>
      <c r="U117" s="198" t="s">
        <v>217</v>
      </c>
      <c r="V117" s="198" t="s">
        <v>367</v>
      </c>
      <c r="W117" s="205">
        <v>1</v>
      </c>
      <c r="X117" s="198" t="s">
        <v>110</v>
      </c>
    </row>
    <row r="118" spans="2:25">
      <c r="B118" s="496"/>
      <c r="C118" s="496"/>
      <c r="D118" s="209">
        <v>12</v>
      </c>
      <c r="E118" s="198" t="s">
        <v>331</v>
      </c>
      <c r="F118" s="199">
        <v>9003.1402999999991</v>
      </c>
      <c r="G118" s="198">
        <v>228.63499999999999</v>
      </c>
      <c r="H118" s="267">
        <v>255.50399999999999</v>
      </c>
      <c r="I118" s="210">
        <f t="shared" si="15"/>
        <v>1.1175191899752881</v>
      </c>
      <c r="J118" s="198"/>
      <c r="K118" s="210">
        <f t="shared" si="16"/>
        <v>0</v>
      </c>
      <c r="L118" s="267">
        <v>335.3</v>
      </c>
      <c r="M118" s="211">
        <f t="shared" si="17"/>
        <v>1.1175191899752881</v>
      </c>
      <c r="N118" s="199">
        <v>9009.1756999999998</v>
      </c>
      <c r="O118" s="198">
        <v>1.7999999999999999E-2</v>
      </c>
      <c r="P118" s="200">
        <v>7.8728103746145595E-5</v>
      </c>
      <c r="Q118" s="272">
        <v>6.0354000000000001</v>
      </c>
      <c r="R118" s="198">
        <v>26.850999999999999</v>
      </c>
      <c r="S118" s="200">
        <v>0.11744046187154197</v>
      </c>
      <c r="T118" s="198" t="s">
        <v>315</v>
      </c>
      <c r="U118" s="198" t="s">
        <v>217</v>
      </c>
      <c r="V118" s="198" t="s">
        <v>332</v>
      </c>
      <c r="W118" s="205">
        <v>1</v>
      </c>
      <c r="X118" s="198" t="s">
        <v>114</v>
      </c>
    </row>
    <row r="119" spans="2:25">
      <c r="B119" s="496"/>
      <c r="C119" s="496"/>
      <c r="D119" s="209">
        <v>13</v>
      </c>
      <c r="E119" s="198" t="s">
        <v>409</v>
      </c>
      <c r="F119" s="199">
        <v>6315.3990200000017</v>
      </c>
      <c r="G119" s="198">
        <v>72.084000000000003</v>
      </c>
      <c r="H119" s="267">
        <v>87.781000000000006</v>
      </c>
      <c r="I119" s="210">
        <f t="shared" si="15"/>
        <v>1.2177598357471839</v>
      </c>
      <c r="J119" s="198"/>
      <c r="K119" s="210">
        <f t="shared" si="16"/>
        <v>0</v>
      </c>
      <c r="L119" s="267">
        <v>420.41</v>
      </c>
      <c r="M119" s="211">
        <f t="shared" si="17"/>
        <v>1.2177598357471839</v>
      </c>
      <c r="N119" s="199">
        <v>6599.1757700000016</v>
      </c>
      <c r="O119" s="198">
        <v>0.67500000000000004</v>
      </c>
      <c r="P119" s="200">
        <v>9.3640752455468618E-3</v>
      </c>
      <c r="Q119" s="272">
        <v>283.77675000000005</v>
      </c>
      <c r="R119" s="198">
        <v>15.022000000000002</v>
      </c>
      <c r="S119" s="200">
        <v>0.208395760501637</v>
      </c>
      <c r="T119" s="198" t="s">
        <v>315</v>
      </c>
      <c r="U119" s="198" t="s">
        <v>217</v>
      </c>
      <c r="V119" s="198" t="s">
        <v>454</v>
      </c>
      <c r="W119" s="205">
        <v>1</v>
      </c>
      <c r="X119" s="198" t="s">
        <v>112</v>
      </c>
    </row>
    <row r="120" spans="2:25">
      <c r="B120" s="496"/>
      <c r="C120" s="496"/>
      <c r="D120" s="209">
        <v>14</v>
      </c>
      <c r="E120" s="198" t="s">
        <v>337</v>
      </c>
      <c r="F120" s="199">
        <v>5088.0950000000012</v>
      </c>
      <c r="G120" s="198">
        <v>52.11</v>
      </c>
      <c r="H120" s="267">
        <v>59.896000000000001</v>
      </c>
      <c r="I120" s="210">
        <f t="shared" si="15"/>
        <v>1.1494146996737671</v>
      </c>
      <c r="J120" s="198"/>
      <c r="K120" s="210">
        <f t="shared" si="16"/>
        <v>0</v>
      </c>
      <c r="L120" s="267">
        <v>695</v>
      </c>
      <c r="M120" s="211">
        <f t="shared" si="17"/>
        <v>1.1494146996737671</v>
      </c>
      <c r="N120" s="199">
        <v>5411.2700000000013</v>
      </c>
      <c r="O120" s="198">
        <v>0.46500000000000002</v>
      </c>
      <c r="P120" s="200">
        <v>8.9234312032239506E-3</v>
      </c>
      <c r="Q120" s="272">
        <v>323.17500000000001</v>
      </c>
      <c r="R120" s="198">
        <v>7.3210000000000015</v>
      </c>
      <c r="S120" s="200">
        <v>0.14049126847054311</v>
      </c>
      <c r="T120" s="198" t="s">
        <v>315</v>
      </c>
      <c r="U120" s="198" t="s">
        <v>217</v>
      </c>
      <c r="V120" s="198" t="s">
        <v>338</v>
      </c>
      <c r="W120" s="205">
        <v>1</v>
      </c>
      <c r="X120" s="198" t="s">
        <v>339</v>
      </c>
    </row>
    <row r="121" spans="2:25" ht="16.5">
      <c r="B121" s="496"/>
      <c r="C121" s="496"/>
      <c r="D121" s="209">
        <v>15</v>
      </c>
      <c r="E121" s="198" t="s">
        <v>289</v>
      </c>
      <c r="F121" s="199">
        <v>4422.7200000000039</v>
      </c>
      <c r="G121" s="198">
        <v>407.34</v>
      </c>
      <c r="H121" s="267">
        <v>464.36200000000002</v>
      </c>
      <c r="I121" s="210">
        <f t="shared" si="15"/>
        <v>1.1399862522708304</v>
      </c>
      <c r="J121" s="198"/>
      <c r="K121" s="210">
        <f t="shared" si="16"/>
        <v>0</v>
      </c>
      <c r="L121" s="267">
        <v>85</v>
      </c>
      <c r="M121" s="211">
        <f t="shared" si="17"/>
        <v>1.1399862522708304</v>
      </c>
      <c r="N121" s="199">
        <v>4846.8700000000044</v>
      </c>
      <c r="O121" s="198">
        <v>4.99</v>
      </c>
      <c r="P121" s="200">
        <v>1.2250208670889185E-2</v>
      </c>
      <c r="Q121" s="272">
        <v>424.15000000000003</v>
      </c>
      <c r="R121" s="198">
        <v>52.032000000000046</v>
      </c>
      <c r="S121" s="200">
        <v>0.1277360435999412</v>
      </c>
      <c r="T121" s="198" t="s">
        <v>278</v>
      </c>
      <c r="U121" s="198" t="s">
        <v>320</v>
      </c>
      <c r="V121" s="264" t="s">
        <v>475</v>
      </c>
      <c r="W121" s="205">
        <v>1</v>
      </c>
      <c r="X121" s="198" t="s">
        <v>134</v>
      </c>
    </row>
    <row r="122" spans="2:25">
      <c r="B122" s="496"/>
      <c r="C122" s="496"/>
      <c r="D122" s="209">
        <v>16</v>
      </c>
      <c r="E122" s="198" t="s">
        <v>373</v>
      </c>
      <c r="F122" s="199">
        <v>3785.8970699999963</v>
      </c>
      <c r="G122" s="198">
        <v>44.944000000000003</v>
      </c>
      <c r="H122" s="267">
        <v>50.006999999999998</v>
      </c>
      <c r="I122" s="210">
        <f t="shared" si="15"/>
        <v>1.1126512993948023</v>
      </c>
      <c r="J122" s="198"/>
      <c r="K122" s="210">
        <f t="shared" si="16"/>
        <v>0</v>
      </c>
      <c r="L122" s="267">
        <v>762.21</v>
      </c>
      <c r="M122" s="211">
        <f t="shared" si="17"/>
        <v>1.1126512993948023</v>
      </c>
      <c r="N122" s="199">
        <v>3859.0692299999964</v>
      </c>
      <c r="O122" s="198">
        <v>9.6000000000000002E-2</v>
      </c>
      <c r="P122" s="200">
        <v>2.135991456034176E-3</v>
      </c>
      <c r="Q122" s="272">
        <v>73.172160000000005</v>
      </c>
      <c r="R122" s="198">
        <v>4.9669999999999952</v>
      </c>
      <c r="S122" s="200">
        <v>0.11051530793876813</v>
      </c>
      <c r="T122" s="198" t="s">
        <v>315</v>
      </c>
      <c r="U122" s="198" t="s">
        <v>217</v>
      </c>
      <c r="V122" s="198" t="s">
        <v>374</v>
      </c>
      <c r="W122" s="205">
        <v>1</v>
      </c>
      <c r="X122" s="198" t="s">
        <v>116</v>
      </c>
    </row>
    <row r="123" spans="2:25">
      <c r="B123" s="496"/>
      <c r="C123" s="496"/>
      <c r="D123" s="209">
        <v>17</v>
      </c>
      <c r="E123" s="198" t="s">
        <v>314</v>
      </c>
      <c r="F123" s="199">
        <v>2590.921600000001</v>
      </c>
      <c r="G123" s="198">
        <v>193.9</v>
      </c>
      <c r="H123" s="267">
        <v>207.3</v>
      </c>
      <c r="I123" s="210">
        <f t="shared" si="15"/>
        <v>1.06910778751934</v>
      </c>
      <c r="J123" s="198"/>
      <c r="K123" s="210">
        <f t="shared" si="16"/>
        <v>0</v>
      </c>
      <c r="L123" s="267">
        <v>226.39999999999998</v>
      </c>
      <c r="M123" s="211">
        <f t="shared" si="17"/>
        <v>1.06910778751934</v>
      </c>
      <c r="N123" s="199">
        <v>4278.9600000000009</v>
      </c>
      <c r="O123" s="198">
        <v>1.956</v>
      </c>
      <c r="P123" s="200">
        <v>1.0087674058793192E-2</v>
      </c>
      <c r="Q123" s="272">
        <v>442.83839999999992</v>
      </c>
      <c r="R123" s="198">
        <v>11.444000000000006</v>
      </c>
      <c r="S123" s="200">
        <v>5.9020113460546704E-2</v>
      </c>
      <c r="T123" s="198" t="s">
        <v>315</v>
      </c>
      <c r="U123" s="198" t="s">
        <v>217</v>
      </c>
      <c r="V123" s="198" t="s">
        <v>357</v>
      </c>
      <c r="W123" s="205">
        <v>1</v>
      </c>
      <c r="X123" s="198" t="s">
        <v>121</v>
      </c>
    </row>
    <row r="124" spans="2:25">
      <c r="B124" s="496"/>
      <c r="C124" s="496"/>
      <c r="D124" s="209">
        <v>18</v>
      </c>
      <c r="E124" s="198" t="s">
        <v>323</v>
      </c>
      <c r="F124" s="199">
        <v>2408.7048300000006</v>
      </c>
      <c r="G124" s="198">
        <v>111.181</v>
      </c>
      <c r="H124" s="267">
        <v>118.485</v>
      </c>
      <c r="I124" s="210">
        <f t="shared" si="15"/>
        <v>1.0656946780475081</v>
      </c>
      <c r="J124" s="198"/>
      <c r="K124" s="210">
        <f t="shared" si="16"/>
        <v>0</v>
      </c>
      <c r="L124" s="267">
        <v>356.37</v>
      </c>
      <c r="M124" s="211">
        <f t="shared" si="17"/>
        <v>1.0656946780475081</v>
      </c>
      <c r="N124" s="199">
        <v>2602.9264800000005</v>
      </c>
      <c r="O124" s="198">
        <v>0.54500000000000004</v>
      </c>
      <c r="P124" s="200">
        <v>4.9019166943992231E-3</v>
      </c>
      <c r="Q124" s="272">
        <v>194.22165000000001</v>
      </c>
      <c r="R124" s="198">
        <v>6.7590000000000021</v>
      </c>
      <c r="S124" s="200">
        <v>6.0792761353108918E-2</v>
      </c>
      <c r="T124" s="198" t="s">
        <v>315</v>
      </c>
      <c r="U124" s="198" t="s">
        <v>217</v>
      </c>
      <c r="V124" s="198" t="s">
        <v>361</v>
      </c>
      <c r="W124" s="205">
        <v>1</v>
      </c>
      <c r="X124" s="198" t="s">
        <v>111</v>
      </c>
    </row>
    <row r="125" spans="2:25">
      <c r="B125" s="496"/>
      <c r="C125" s="496"/>
      <c r="D125" s="209">
        <v>19</v>
      </c>
      <c r="E125" s="198" t="s">
        <v>408</v>
      </c>
      <c r="F125" s="199">
        <v>2266.2640000000038</v>
      </c>
      <c r="G125" s="198">
        <v>162.63999999999999</v>
      </c>
      <c r="H125" s="267">
        <v>178.28200000000001</v>
      </c>
      <c r="I125" s="210">
        <f t="shared" si="15"/>
        <v>1.0961756025577964</v>
      </c>
      <c r="J125" s="198"/>
      <c r="K125" s="210">
        <f t="shared" si="16"/>
        <v>0</v>
      </c>
      <c r="L125" s="267">
        <v>154</v>
      </c>
      <c r="M125" s="211">
        <f t="shared" si="17"/>
        <v>1.0961756025577964</v>
      </c>
      <c r="N125" s="199">
        <v>2408.8680000000036</v>
      </c>
      <c r="O125" s="198">
        <v>0.92600000000000005</v>
      </c>
      <c r="P125" s="200">
        <v>5.6935563207083139E-3</v>
      </c>
      <c r="Q125" s="272">
        <v>142.60400000000001</v>
      </c>
      <c r="R125" s="198">
        <v>14.716000000000024</v>
      </c>
      <c r="S125" s="200">
        <v>9.0482046237088207E-2</v>
      </c>
      <c r="T125" s="198" t="s">
        <v>315</v>
      </c>
      <c r="U125" s="198" t="s">
        <v>217</v>
      </c>
      <c r="V125" s="198" t="s">
        <v>474</v>
      </c>
      <c r="W125" s="205">
        <v>1</v>
      </c>
      <c r="X125" s="198" t="s">
        <v>136</v>
      </c>
    </row>
    <row r="126" spans="2:25" ht="16.5">
      <c r="B126" s="496"/>
      <c r="C126" s="496"/>
      <c r="D126" s="209">
        <v>20</v>
      </c>
      <c r="E126" s="198" t="s">
        <v>348</v>
      </c>
      <c r="F126" s="199">
        <v>2149.5446699999993</v>
      </c>
      <c r="G126" s="198">
        <v>394.91500000000002</v>
      </c>
      <c r="H126" s="267">
        <v>418.62900000000002</v>
      </c>
      <c r="I126" s="210">
        <f t="shared" si="15"/>
        <v>1.060048364838003</v>
      </c>
      <c r="J126" s="198"/>
      <c r="K126" s="210">
        <f t="shared" si="16"/>
        <v>0</v>
      </c>
      <c r="L126" s="267">
        <v>100.02999999999999</v>
      </c>
      <c r="M126" s="211">
        <f t="shared" si="17"/>
        <v>1.060048364838003</v>
      </c>
      <c r="N126" s="199">
        <v>2372.1114199999997</v>
      </c>
      <c r="O126" s="198">
        <v>2.2250000000000001</v>
      </c>
      <c r="P126" s="200">
        <v>5.6341237987921448E-3</v>
      </c>
      <c r="Q126" s="272">
        <v>222.56674999999998</v>
      </c>
      <c r="R126" s="198">
        <v>21.488999999999997</v>
      </c>
      <c r="S126" s="200">
        <v>5.4414241039210963E-2</v>
      </c>
      <c r="T126" s="198" t="s">
        <v>278</v>
      </c>
      <c r="U126" s="198" t="s">
        <v>212</v>
      </c>
      <c r="V126" s="264" t="s">
        <v>476</v>
      </c>
      <c r="W126" s="205">
        <v>1</v>
      </c>
      <c r="X126" s="198" t="s">
        <v>114</v>
      </c>
    </row>
    <row r="127" spans="2:25">
      <c r="B127" s="495">
        <v>45882</v>
      </c>
      <c r="C127" s="496" t="s">
        <v>67</v>
      </c>
      <c r="D127" s="209">
        <v>21</v>
      </c>
      <c r="E127" s="198" t="s">
        <v>287</v>
      </c>
      <c r="F127" s="199">
        <v>10131.78190769231</v>
      </c>
      <c r="G127" s="198">
        <v>123.86</v>
      </c>
      <c r="H127" s="267">
        <v>144.01300000000001</v>
      </c>
      <c r="I127" s="210">
        <f t="shared" si="15"/>
        <v>1.1627078960116262</v>
      </c>
      <c r="J127" s="198"/>
      <c r="K127" s="210">
        <f t="shared" si="16"/>
        <v>0</v>
      </c>
      <c r="L127" s="267">
        <v>508.21538461538449</v>
      </c>
      <c r="M127" s="211">
        <f t="shared" si="17"/>
        <v>1.1627078960116262</v>
      </c>
      <c r="N127" s="199">
        <v>10242.064646153847</v>
      </c>
      <c r="O127" s="198">
        <v>0.217</v>
      </c>
      <c r="P127" s="200">
        <v>1.7519780397222671E-3</v>
      </c>
      <c r="Q127" s="272">
        <v>110.28273846153843</v>
      </c>
      <c r="R127" s="198">
        <v>19.936000000000007</v>
      </c>
      <c r="S127" s="200">
        <v>0.16095591797190381</v>
      </c>
      <c r="T127" s="198" t="s">
        <v>315</v>
      </c>
      <c r="U127" s="198" t="s">
        <v>217</v>
      </c>
      <c r="V127" s="198" t="s">
        <v>367</v>
      </c>
      <c r="W127" s="205">
        <v>1</v>
      </c>
      <c r="X127" s="198" t="s">
        <v>110</v>
      </c>
      <c r="Y127" s="201" t="s">
        <v>393</v>
      </c>
    </row>
    <row r="128" spans="2:25">
      <c r="B128" s="496"/>
      <c r="C128" s="496"/>
      <c r="D128" s="209">
        <v>22</v>
      </c>
      <c r="E128" s="198" t="s">
        <v>331</v>
      </c>
      <c r="F128" s="199">
        <v>9003.1402999999991</v>
      </c>
      <c r="G128" s="198">
        <v>228.63499999999999</v>
      </c>
      <c r="H128" s="267">
        <v>255.50399999999999</v>
      </c>
      <c r="I128" s="210">
        <f t="shared" si="15"/>
        <v>1.1175191899752881</v>
      </c>
      <c r="J128" s="198"/>
      <c r="K128" s="210">
        <f t="shared" si="16"/>
        <v>0</v>
      </c>
      <c r="L128" s="267">
        <v>335.3</v>
      </c>
      <c r="M128" s="211">
        <f t="shared" si="17"/>
        <v>1.1175191899752881</v>
      </c>
      <c r="N128" s="199">
        <v>9009.1756999999998</v>
      </c>
      <c r="O128" s="198">
        <v>1.7999999999999999E-2</v>
      </c>
      <c r="P128" s="200">
        <v>7.8728103746145595E-5</v>
      </c>
      <c r="Q128" s="272">
        <v>6.0354000000000001</v>
      </c>
      <c r="R128" s="198">
        <v>26.850999999999999</v>
      </c>
      <c r="S128" s="200">
        <v>0.11744046187154197</v>
      </c>
      <c r="T128" s="198" t="s">
        <v>315</v>
      </c>
      <c r="U128" s="198" t="s">
        <v>217</v>
      </c>
      <c r="V128" s="198" t="s">
        <v>332</v>
      </c>
      <c r="W128" s="205">
        <v>1</v>
      </c>
      <c r="X128" s="198" t="s">
        <v>114</v>
      </c>
      <c r="Y128" s="203" t="s">
        <v>395</v>
      </c>
    </row>
    <row r="129" spans="2:24">
      <c r="B129" s="496"/>
      <c r="C129" s="496"/>
      <c r="D129" s="209">
        <v>23</v>
      </c>
      <c r="E129" s="198" t="s">
        <v>409</v>
      </c>
      <c r="F129" s="199">
        <v>6315.3990200000017</v>
      </c>
      <c r="G129" s="198">
        <v>72.084000000000003</v>
      </c>
      <c r="H129" s="267">
        <v>87.781000000000006</v>
      </c>
      <c r="I129" s="210">
        <f t="shared" si="15"/>
        <v>1.2177598357471839</v>
      </c>
      <c r="J129" s="198"/>
      <c r="K129" s="210">
        <f t="shared" si="16"/>
        <v>0</v>
      </c>
      <c r="L129" s="267">
        <v>420.41</v>
      </c>
      <c r="M129" s="211">
        <f t="shared" si="17"/>
        <v>1.2177598357471839</v>
      </c>
      <c r="N129" s="199">
        <v>6599.1757700000016</v>
      </c>
      <c r="O129" s="198">
        <v>0.67500000000000004</v>
      </c>
      <c r="P129" s="200">
        <v>9.3640752455468618E-3</v>
      </c>
      <c r="Q129" s="272">
        <v>283.77675000000005</v>
      </c>
      <c r="R129" s="198">
        <v>15.022000000000002</v>
      </c>
      <c r="S129" s="200">
        <v>0.208395760501637</v>
      </c>
      <c r="T129" s="198" t="s">
        <v>315</v>
      </c>
      <c r="U129" s="198" t="s">
        <v>217</v>
      </c>
      <c r="V129" s="198" t="s">
        <v>454</v>
      </c>
      <c r="W129" s="205">
        <v>1</v>
      </c>
      <c r="X129" s="198" t="s">
        <v>112</v>
      </c>
    </row>
    <row r="130" spans="2:24">
      <c r="B130" s="496"/>
      <c r="C130" s="496"/>
      <c r="D130" s="209">
        <v>24</v>
      </c>
      <c r="E130" s="198" t="s">
        <v>337</v>
      </c>
      <c r="F130" s="199">
        <v>5088.0950000000012</v>
      </c>
      <c r="G130" s="198">
        <v>52.11</v>
      </c>
      <c r="H130" s="267">
        <v>59.896000000000001</v>
      </c>
      <c r="I130" s="210">
        <f t="shared" si="15"/>
        <v>1.1494146996737671</v>
      </c>
      <c r="J130" s="198"/>
      <c r="K130" s="210">
        <f t="shared" si="16"/>
        <v>0</v>
      </c>
      <c r="L130" s="267">
        <v>695</v>
      </c>
      <c r="M130" s="211">
        <f t="shared" si="17"/>
        <v>1.1494146996737671</v>
      </c>
      <c r="N130" s="199">
        <v>5411.2700000000013</v>
      </c>
      <c r="O130" s="198">
        <v>0.46500000000000002</v>
      </c>
      <c r="P130" s="200">
        <v>8.9234312032239506E-3</v>
      </c>
      <c r="Q130" s="272">
        <v>323.17500000000001</v>
      </c>
      <c r="R130" s="198">
        <v>7.3210000000000015</v>
      </c>
      <c r="S130" s="200">
        <v>0.14049126847054311</v>
      </c>
      <c r="T130" s="198" t="s">
        <v>315</v>
      </c>
      <c r="U130" s="198" t="s">
        <v>217</v>
      </c>
      <c r="V130" s="198" t="s">
        <v>338</v>
      </c>
      <c r="W130" s="205">
        <v>1</v>
      </c>
      <c r="X130" s="198" t="s">
        <v>339</v>
      </c>
    </row>
    <row r="131" spans="2:24" ht="16.5">
      <c r="B131" s="496"/>
      <c r="C131" s="496"/>
      <c r="D131" s="209">
        <v>25</v>
      </c>
      <c r="E131" s="198" t="s">
        <v>289</v>
      </c>
      <c r="F131" s="199">
        <v>4422.7200000000039</v>
      </c>
      <c r="G131" s="198">
        <v>407.34</v>
      </c>
      <c r="H131" s="267">
        <v>464.36200000000002</v>
      </c>
      <c r="I131" s="210">
        <f t="shared" si="15"/>
        <v>1.1399862522708304</v>
      </c>
      <c r="J131" s="198"/>
      <c r="K131" s="210">
        <f t="shared" si="16"/>
        <v>0</v>
      </c>
      <c r="L131" s="267">
        <v>85</v>
      </c>
      <c r="M131" s="211">
        <f t="shared" si="17"/>
        <v>1.1399862522708304</v>
      </c>
      <c r="N131" s="199">
        <v>4846.8700000000044</v>
      </c>
      <c r="O131" s="198">
        <v>4.99</v>
      </c>
      <c r="P131" s="200">
        <v>1.2250208670889185E-2</v>
      </c>
      <c r="Q131" s="272">
        <v>424.15000000000003</v>
      </c>
      <c r="R131" s="198">
        <v>52.032000000000046</v>
      </c>
      <c r="S131" s="200">
        <v>0.1277360435999412</v>
      </c>
      <c r="T131" s="198" t="s">
        <v>278</v>
      </c>
      <c r="U131" s="198" t="s">
        <v>320</v>
      </c>
      <c r="V131" s="264" t="s">
        <v>475</v>
      </c>
      <c r="W131" s="205">
        <v>1</v>
      </c>
      <c r="X131" s="198" t="s">
        <v>134</v>
      </c>
    </row>
    <row r="132" spans="2:24">
      <c r="B132" s="496"/>
      <c r="C132" s="496"/>
      <c r="D132" s="209">
        <v>26</v>
      </c>
      <c r="E132" s="198" t="s">
        <v>373</v>
      </c>
      <c r="F132" s="199">
        <v>3785.8970699999963</v>
      </c>
      <c r="G132" s="198">
        <v>44.944000000000003</v>
      </c>
      <c r="H132" s="267">
        <v>50.006999999999998</v>
      </c>
      <c r="I132" s="210">
        <f t="shared" si="15"/>
        <v>1.1126512993948023</v>
      </c>
      <c r="J132" s="198"/>
      <c r="K132" s="210">
        <f t="shared" si="16"/>
        <v>0</v>
      </c>
      <c r="L132" s="267">
        <v>762.21</v>
      </c>
      <c r="M132" s="211">
        <f t="shared" si="17"/>
        <v>1.1126512993948023</v>
      </c>
      <c r="N132" s="199">
        <v>3859.0692299999964</v>
      </c>
      <c r="O132" s="198">
        <v>9.6000000000000002E-2</v>
      </c>
      <c r="P132" s="200">
        <v>2.135991456034176E-3</v>
      </c>
      <c r="Q132" s="272">
        <v>73.172160000000005</v>
      </c>
      <c r="R132" s="198">
        <v>4.9669999999999952</v>
      </c>
      <c r="S132" s="200">
        <v>0.11051530793876813</v>
      </c>
      <c r="T132" s="198" t="s">
        <v>315</v>
      </c>
      <c r="U132" s="198" t="s">
        <v>217</v>
      </c>
      <c r="V132" s="198" t="s">
        <v>374</v>
      </c>
      <c r="W132" s="205">
        <v>1</v>
      </c>
      <c r="X132" s="198" t="s">
        <v>116</v>
      </c>
    </row>
    <row r="133" spans="2:24">
      <c r="B133" s="496"/>
      <c r="C133" s="496"/>
      <c r="D133" s="209">
        <v>27</v>
      </c>
      <c r="E133" s="198" t="s">
        <v>314</v>
      </c>
      <c r="F133" s="199">
        <v>2590.921600000001</v>
      </c>
      <c r="G133" s="198">
        <v>193.9</v>
      </c>
      <c r="H133" s="267">
        <v>207.3</v>
      </c>
      <c r="I133" s="210">
        <f t="shared" si="15"/>
        <v>1.06910778751934</v>
      </c>
      <c r="J133" s="198"/>
      <c r="K133" s="210">
        <f t="shared" si="16"/>
        <v>0</v>
      </c>
      <c r="L133" s="267">
        <v>226.39999999999998</v>
      </c>
      <c r="M133" s="211">
        <f t="shared" si="17"/>
        <v>1.06910778751934</v>
      </c>
      <c r="N133" s="199">
        <v>4278.9600000000009</v>
      </c>
      <c r="O133" s="198">
        <v>1.956</v>
      </c>
      <c r="P133" s="200">
        <v>1.0087674058793192E-2</v>
      </c>
      <c r="Q133" s="272">
        <v>442.83839999999992</v>
      </c>
      <c r="R133" s="198">
        <v>11.444000000000006</v>
      </c>
      <c r="S133" s="200">
        <v>5.9020113460546704E-2</v>
      </c>
      <c r="T133" s="198" t="s">
        <v>315</v>
      </c>
      <c r="U133" s="198" t="s">
        <v>217</v>
      </c>
      <c r="V133" s="198" t="s">
        <v>357</v>
      </c>
      <c r="W133" s="205">
        <v>1</v>
      </c>
      <c r="X133" s="198" t="s">
        <v>121</v>
      </c>
    </row>
    <row r="134" spans="2:24">
      <c r="B134" s="496"/>
      <c r="C134" s="496"/>
      <c r="D134" s="209">
        <v>28</v>
      </c>
      <c r="E134" s="198" t="s">
        <v>323</v>
      </c>
      <c r="F134" s="199">
        <v>2408.7048300000006</v>
      </c>
      <c r="G134" s="198">
        <v>111.181</v>
      </c>
      <c r="H134" s="267">
        <v>118.485</v>
      </c>
      <c r="I134" s="210">
        <f t="shared" si="15"/>
        <v>1.0656946780475081</v>
      </c>
      <c r="J134" s="198"/>
      <c r="K134" s="210">
        <f t="shared" si="16"/>
        <v>0</v>
      </c>
      <c r="L134" s="267">
        <v>356.37</v>
      </c>
      <c r="M134" s="211">
        <f t="shared" si="17"/>
        <v>1.0656946780475081</v>
      </c>
      <c r="N134" s="199">
        <v>2602.9264800000005</v>
      </c>
      <c r="O134" s="198">
        <v>0.54500000000000004</v>
      </c>
      <c r="P134" s="200">
        <v>4.9019166943992231E-3</v>
      </c>
      <c r="Q134" s="272">
        <v>194.22165000000001</v>
      </c>
      <c r="R134" s="198">
        <v>6.7590000000000021</v>
      </c>
      <c r="S134" s="200">
        <v>6.0792761353108918E-2</v>
      </c>
      <c r="T134" s="198" t="s">
        <v>315</v>
      </c>
      <c r="U134" s="198" t="s">
        <v>217</v>
      </c>
      <c r="V134" s="198" t="s">
        <v>361</v>
      </c>
      <c r="W134" s="205">
        <v>1</v>
      </c>
      <c r="X134" s="198" t="s">
        <v>111</v>
      </c>
    </row>
    <row r="135" spans="2:24">
      <c r="B135" s="496"/>
      <c r="C135" s="496"/>
      <c r="D135" s="209">
        <v>29</v>
      </c>
      <c r="E135" s="198" t="s">
        <v>408</v>
      </c>
      <c r="F135" s="199">
        <v>2266.2640000000038</v>
      </c>
      <c r="G135" s="198">
        <v>162.63999999999999</v>
      </c>
      <c r="H135" s="267">
        <v>178.28200000000001</v>
      </c>
      <c r="I135" s="210">
        <f t="shared" si="15"/>
        <v>1.0961756025577964</v>
      </c>
      <c r="J135" s="198"/>
      <c r="K135" s="210">
        <f t="shared" si="16"/>
        <v>0</v>
      </c>
      <c r="L135" s="267">
        <v>154</v>
      </c>
      <c r="M135" s="211">
        <f t="shared" si="17"/>
        <v>1.0961756025577964</v>
      </c>
      <c r="N135" s="199">
        <v>2408.8680000000036</v>
      </c>
      <c r="O135" s="198">
        <v>0.92600000000000005</v>
      </c>
      <c r="P135" s="200">
        <v>5.6935563207083139E-3</v>
      </c>
      <c r="Q135" s="272">
        <v>142.60400000000001</v>
      </c>
      <c r="R135" s="198">
        <v>14.716000000000024</v>
      </c>
      <c r="S135" s="200">
        <v>9.0482046237088207E-2</v>
      </c>
      <c r="T135" s="198" t="s">
        <v>315</v>
      </c>
      <c r="U135" s="198" t="s">
        <v>217</v>
      </c>
      <c r="V135" s="198" t="s">
        <v>477</v>
      </c>
      <c r="W135" s="205">
        <v>1</v>
      </c>
      <c r="X135" s="198" t="s">
        <v>136</v>
      </c>
    </row>
    <row r="136" spans="2:24">
      <c r="B136" s="496"/>
      <c r="C136" s="496"/>
      <c r="D136" s="209">
        <v>30</v>
      </c>
      <c r="E136" s="198" t="s">
        <v>348</v>
      </c>
      <c r="F136" s="199">
        <v>2149.5446699999993</v>
      </c>
      <c r="G136" s="198">
        <v>394.91500000000002</v>
      </c>
      <c r="H136" s="267">
        <v>418.62900000000002</v>
      </c>
      <c r="I136" s="210">
        <f t="shared" ref="I136:I199" si="18">H136/G136</f>
        <v>1.060048364838003</v>
      </c>
      <c r="J136" s="198"/>
      <c r="K136" s="210">
        <f t="shared" ref="K136:K199" si="19">J136/G136</f>
        <v>0</v>
      </c>
      <c r="L136" s="267">
        <v>100.02999999999999</v>
      </c>
      <c r="M136" s="211">
        <f t="shared" ref="M136:M199" si="20">(H136+J136)/G136</f>
        <v>1.060048364838003</v>
      </c>
      <c r="N136" s="199">
        <v>2372.1114199999997</v>
      </c>
      <c r="O136" s="198">
        <v>2.2250000000000001</v>
      </c>
      <c r="P136" s="200">
        <v>5.6341237987921448E-3</v>
      </c>
      <c r="Q136" s="272">
        <v>222.56674999999998</v>
      </c>
      <c r="R136" s="198">
        <v>21.488999999999997</v>
      </c>
      <c r="S136" s="200">
        <v>5.4414241039210963E-2</v>
      </c>
      <c r="T136" s="198" t="s">
        <v>308</v>
      </c>
      <c r="U136" s="198" t="s">
        <v>276</v>
      </c>
      <c r="V136" s="198" t="s">
        <v>478</v>
      </c>
      <c r="W136" s="205">
        <v>1</v>
      </c>
      <c r="X136" s="198" t="s">
        <v>114</v>
      </c>
    </row>
    <row r="137" spans="2:24">
      <c r="B137" s="495">
        <v>45883</v>
      </c>
      <c r="C137" s="496" t="s">
        <v>68</v>
      </c>
      <c r="D137" s="209">
        <v>31</v>
      </c>
      <c r="E137" s="198" t="s">
        <v>331</v>
      </c>
      <c r="F137" s="199">
        <v>9240.8680000000058</v>
      </c>
      <c r="G137" s="198">
        <v>240.79</v>
      </c>
      <c r="H137" s="267">
        <v>278.05</v>
      </c>
      <c r="I137" s="210">
        <f t="shared" si="18"/>
        <v>1.1547406453756386</v>
      </c>
      <c r="J137" s="198"/>
      <c r="K137" s="210">
        <f t="shared" si="19"/>
        <v>0</v>
      </c>
      <c r="L137" s="267">
        <v>335.3</v>
      </c>
      <c r="M137" s="211">
        <f t="shared" si="20"/>
        <v>1.1547406453756386</v>
      </c>
      <c r="N137" s="199">
        <v>12493.278000000008</v>
      </c>
      <c r="O137" s="198">
        <v>9.7000000000000028</v>
      </c>
      <c r="P137" s="200">
        <v>4.0284064952863505E-2</v>
      </c>
      <c r="Q137" s="272">
        <v>3252.4100000000012</v>
      </c>
      <c r="R137" s="198">
        <v>27.560000000000016</v>
      </c>
      <c r="S137" s="200">
        <v>0.11445658042277511</v>
      </c>
      <c r="T137" s="198" t="s">
        <v>315</v>
      </c>
      <c r="U137" s="198" t="s">
        <v>217</v>
      </c>
      <c r="V137" s="198"/>
      <c r="W137" s="205">
        <v>1</v>
      </c>
      <c r="X137" s="198" t="s">
        <v>114</v>
      </c>
    </row>
    <row r="138" spans="2:24">
      <c r="B138" s="496"/>
      <c r="C138" s="496"/>
      <c r="D138" s="209">
        <v>32</v>
      </c>
      <c r="E138" s="198" t="s">
        <v>337</v>
      </c>
      <c r="F138" s="199">
        <v>8605.489999999998</v>
      </c>
      <c r="G138" s="198">
        <v>57.618000000000002</v>
      </c>
      <c r="H138" s="267">
        <v>70</v>
      </c>
      <c r="I138" s="210">
        <f t="shared" si="18"/>
        <v>1.2148981221146169</v>
      </c>
      <c r="J138" s="198"/>
      <c r="K138" s="210">
        <f t="shared" si="19"/>
        <v>0</v>
      </c>
      <c r="L138" s="267">
        <v>695</v>
      </c>
      <c r="M138" s="211">
        <f t="shared" si="20"/>
        <v>1.2148981221146169</v>
      </c>
      <c r="N138" s="199">
        <v>8605.489999999998</v>
      </c>
      <c r="O138" s="198">
        <v>0</v>
      </c>
      <c r="P138" s="200">
        <v>0</v>
      </c>
      <c r="Q138" s="272">
        <v>0</v>
      </c>
      <c r="R138" s="198">
        <v>12.381999999999998</v>
      </c>
      <c r="S138" s="200">
        <v>0.21489812211461692</v>
      </c>
      <c r="T138" s="198" t="s">
        <v>315</v>
      </c>
      <c r="U138" s="198" t="s">
        <v>217</v>
      </c>
      <c r="V138" s="198"/>
      <c r="W138" s="205">
        <v>1</v>
      </c>
      <c r="X138" s="198" t="s">
        <v>339</v>
      </c>
    </row>
    <row r="139" spans="2:24" ht="16.5">
      <c r="B139" s="496"/>
      <c r="C139" s="496"/>
      <c r="D139" s="209">
        <v>33</v>
      </c>
      <c r="E139" s="198" t="s">
        <v>289</v>
      </c>
      <c r="F139" s="199">
        <v>6732.0000000000027</v>
      </c>
      <c r="G139" s="198">
        <v>424.9</v>
      </c>
      <c r="H139" s="267">
        <v>511.55</v>
      </c>
      <c r="I139" s="210">
        <f t="shared" si="18"/>
        <v>1.2039303365497764</v>
      </c>
      <c r="J139" s="198">
        <v>34.15</v>
      </c>
      <c r="K139" s="210">
        <f t="shared" si="19"/>
        <v>8.0371852200517777E-2</v>
      </c>
      <c r="L139" s="267">
        <v>85</v>
      </c>
      <c r="M139" s="211">
        <f t="shared" si="20"/>
        <v>1.2843021887502943</v>
      </c>
      <c r="N139" s="199">
        <v>10268.000000000005</v>
      </c>
      <c r="O139" s="198">
        <v>7.45</v>
      </c>
      <c r="P139" s="200">
        <v>1.7533537302894801E-2</v>
      </c>
      <c r="Q139" s="272">
        <v>633.25</v>
      </c>
      <c r="R139" s="198">
        <v>113.35000000000007</v>
      </c>
      <c r="S139" s="200">
        <v>0.26676865144739953</v>
      </c>
      <c r="T139" s="198" t="s">
        <v>278</v>
      </c>
      <c r="U139" s="198" t="s">
        <v>320</v>
      </c>
      <c r="V139" s="264" t="s">
        <v>475</v>
      </c>
      <c r="W139" s="205">
        <v>1</v>
      </c>
      <c r="X139" s="198" t="s">
        <v>134</v>
      </c>
    </row>
    <row r="140" spans="2:24">
      <c r="B140" s="496"/>
      <c r="C140" s="496"/>
      <c r="D140" s="209">
        <v>34</v>
      </c>
      <c r="E140" s="198" t="s">
        <v>373</v>
      </c>
      <c r="F140" s="199">
        <v>4016.8466999999973</v>
      </c>
      <c r="G140" s="198">
        <v>42.88</v>
      </c>
      <c r="H140" s="267">
        <v>48.15</v>
      </c>
      <c r="I140" s="210">
        <f t="shared" si="18"/>
        <v>1.122901119402985</v>
      </c>
      <c r="J140" s="198"/>
      <c r="K140" s="210">
        <f t="shared" si="19"/>
        <v>0</v>
      </c>
      <c r="L140" s="267">
        <v>762.21</v>
      </c>
      <c r="M140" s="211">
        <f t="shared" si="20"/>
        <v>1.122901119402985</v>
      </c>
      <c r="N140" s="199">
        <v>4016.8466999999973</v>
      </c>
      <c r="O140" s="198">
        <v>0</v>
      </c>
      <c r="P140" s="200">
        <v>0</v>
      </c>
      <c r="Q140" s="272">
        <v>0</v>
      </c>
      <c r="R140" s="198">
        <v>5.269999999999996</v>
      </c>
      <c r="S140" s="200">
        <v>0.12290111940298497</v>
      </c>
      <c r="T140" s="198" t="s">
        <v>315</v>
      </c>
      <c r="U140" s="198" t="s">
        <v>217</v>
      </c>
      <c r="V140" s="198" t="s">
        <v>374</v>
      </c>
      <c r="W140" s="205">
        <v>1</v>
      </c>
      <c r="X140" s="198" t="s">
        <v>116</v>
      </c>
    </row>
    <row r="141" spans="2:24">
      <c r="B141" s="496"/>
      <c r="C141" s="496"/>
      <c r="D141" s="209">
        <v>35</v>
      </c>
      <c r="E141" s="198" t="s">
        <v>287</v>
      </c>
      <c r="F141" s="199">
        <v>2593.9313230769208</v>
      </c>
      <c r="G141" s="198">
        <v>112.04600000000001</v>
      </c>
      <c r="H141" s="267">
        <v>118.2</v>
      </c>
      <c r="I141" s="210">
        <f t="shared" si="18"/>
        <v>1.0549238705531656</v>
      </c>
      <c r="J141" s="198"/>
      <c r="K141" s="210">
        <f t="shared" si="19"/>
        <v>0</v>
      </c>
      <c r="L141" s="267">
        <v>508.21538461538449</v>
      </c>
      <c r="M141" s="211">
        <f t="shared" si="20"/>
        <v>1.0549238705531656</v>
      </c>
      <c r="N141" s="199">
        <v>3127.5574769230743</v>
      </c>
      <c r="O141" s="198">
        <v>1.05</v>
      </c>
      <c r="P141" s="200">
        <v>9.3711511343555331E-3</v>
      </c>
      <c r="Q141" s="272">
        <v>533.62615384615378</v>
      </c>
      <c r="R141" s="198">
        <v>5.1039999999999965</v>
      </c>
      <c r="S141" s="200">
        <v>4.5552719418810096E-2</v>
      </c>
      <c r="T141" s="198" t="s">
        <v>315</v>
      </c>
      <c r="U141" s="198" t="s">
        <v>217</v>
      </c>
      <c r="V141" s="198" t="s">
        <v>367</v>
      </c>
      <c r="W141" s="205">
        <v>1</v>
      </c>
      <c r="X141" s="198" t="s">
        <v>110</v>
      </c>
    </row>
    <row r="142" spans="2:24">
      <c r="B142" s="496"/>
      <c r="C142" s="496"/>
      <c r="D142" s="209">
        <v>36</v>
      </c>
      <c r="E142" s="198" t="s">
        <v>314</v>
      </c>
      <c r="F142" s="199">
        <v>2456.4399999999987</v>
      </c>
      <c r="G142" s="198">
        <v>191.05</v>
      </c>
      <c r="H142" s="267">
        <v>201.9</v>
      </c>
      <c r="I142" s="210">
        <f t="shared" si="18"/>
        <v>1.0567914158597225</v>
      </c>
      <c r="J142" s="198"/>
      <c r="K142" s="210">
        <f t="shared" si="19"/>
        <v>0</v>
      </c>
      <c r="L142" s="267">
        <v>226.39999999999998</v>
      </c>
      <c r="M142" s="211">
        <f t="shared" si="20"/>
        <v>1.0567914158597225</v>
      </c>
      <c r="N142" s="199">
        <v>3271.4799999999973</v>
      </c>
      <c r="O142" s="198">
        <v>0</v>
      </c>
      <c r="P142" s="200">
        <v>0</v>
      </c>
      <c r="Q142" s="272">
        <v>0</v>
      </c>
      <c r="R142" s="198">
        <v>10.849999999999994</v>
      </c>
      <c r="S142" s="200">
        <v>5.6791415859722555E-2</v>
      </c>
      <c r="T142" s="198" t="s">
        <v>315</v>
      </c>
      <c r="U142" s="198" t="s">
        <v>217</v>
      </c>
      <c r="V142" s="198" t="s">
        <v>357</v>
      </c>
      <c r="W142" s="205">
        <v>1</v>
      </c>
      <c r="X142" s="198" t="s">
        <v>121</v>
      </c>
    </row>
    <row r="143" spans="2:24">
      <c r="B143" s="496"/>
      <c r="C143" s="496"/>
      <c r="D143" s="209">
        <v>37</v>
      </c>
      <c r="E143" s="198" t="s">
        <v>408</v>
      </c>
      <c r="F143" s="199">
        <v>2427.0400000000004</v>
      </c>
      <c r="G143" s="198">
        <v>147.44</v>
      </c>
      <c r="H143" s="267">
        <v>171</v>
      </c>
      <c r="I143" s="210">
        <f t="shared" si="18"/>
        <v>1.1597938144329898</v>
      </c>
      <c r="J143" s="198"/>
      <c r="K143" s="210">
        <f t="shared" si="19"/>
        <v>0</v>
      </c>
      <c r="L143" s="267">
        <v>154</v>
      </c>
      <c r="M143" s="211">
        <f t="shared" si="20"/>
        <v>1.1597938144329898</v>
      </c>
      <c r="N143" s="199">
        <v>3628.2400000000002</v>
      </c>
      <c r="O143" s="198">
        <v>7.8000000000000007</v>
      </c>
      <c r="P143" s="200">
        <v>5.2902875746066204E-2</v>
      </c>
      <c r="Q143" s="272">
        <v>1201.2</v>
      </c>
      <c r="R143" s="198">
        <v>15.760000000000002</v>
      </c>
      <c r="S143" s="200">
        <v>0.10689093868692351</v>
      </c>
      <c r="T143" s="198" t="s">
        <v>326</v>
      </c>
      <c r="U143" s="198" t="s">
        <v>318</v>
      </c>
      <c r="V143" s="198" t="s">
        <v>479</v>
      </c>
      <c r="W143" s="205">
        <v>1</v>
      </c>
      <c r="X143" s="198" t="s">
        <v>136</v>
      </c>
    </row>
    <row r="144" spans="2:24">
      <c r="B144" s="496"/>
      <c r="C144" s="496"/>
      <c r="D144" s="209">
        <v>38</v>
      </c>
      <c r="E144" s="198" t="s">
        <v>329</v>
      </c>
      <c r="F144" s="199">
        <v>1982.6357500000036</v>
      </c>
      <c r="G144" s="198">
        <v>192.10624999999999</v>
      </c>
      <c r="H144" s="267">
        <v>195.85</v>
      </c>
      <c r="I144" s="210">
        <f t="shared" si="18"/>
        <v>1.019487913589485</v>
      </c>
      <c r="J144" s="198"/>
      <c r="K144" s="210">
        <f t="shared" si="19"/>
        <v>0</v>
      </c>
      <c r="L144" s="267">
        <v>575.72</v>
      </c>
      <c r="M144" s="211">
        <f t="shared" si="20"/>
        <v>1.019487913589485</v>
      </c>
      <c r="N144" s="199">
        <v>2155.3517500000034</v>
      </c>
      <c r="O144" s="198">
        <v>0.3</v>
      </c>
      <c r="P144" s="200">
        <v>1.5616358135146567E-3</v>
      </c>
      <c r="Q144" s="272">
        <v>172.71600000000001</v>
      </c>
      <c r="R144" s="198">
        <v>3.4437500000000059</v>
      </c>
      <c r="S144" s="200">
        <v>1.7926277775970362E-2</v>
      </c>
      <c r="T144" s="198" t="s">
        <v>308</v>
      </c>
      <c r="U144" s="198" t="s">
        <v>320</v>
      </c>
      <c r="V144" s="198"/>
      <c r="W144" s="205">
        <v>1</v>
      </c>
      <c r="X144" s="198" t="s">
        <v>113</v>
      </c>
    </row>
    <row r="145" spans="2:24">
      <c r="B145" s="496"/>
      <c r="C145" s="496"/>
      <c r="D145" s="209">
        <v>39</v>
      </c>
      <c r="E145" s="198" t="s">
        <v>447</v>
      </c>
      <c r="F145" s="199">
        <v>1568.0000000000007</v>
      </c>
      <c r="G145" s="198">
        <v>32.159999999999997</v>
      </c>
      <c r="H145" s="267">
        <v>40</v>
      </c>
      <c r="I145" s="210">
        <f t="shared" si="18"/>
        <v>1.2437810945273633</v>
      </c>
      <c r="J145" s="198"/>
      <c r="K145" s="210">
        <f t="shared" si="19"/>
        <v>0</v>
      </c>
      <c r="L145" s="267">
        <v>200</v>
      </c>
      <c r="M145" s="211">
        <f t="shared" si="20"/>
        <v>1.2437810945273633</v>
      </c>
      <c r="N145" s="199">
        <v>1568.0000000000007</v>
      </c>
      <c r="O145" s="198">
        <v>0</v>
      </c>
      <c r="P145" s="200">
        <v>0</v>
      </c>
      <c r="Q145" s="272">
        <v>0</v>
      </c>
      <c r="R145" s="198">
        <v>7.8400000000000034</v>
      </c>
      <c r="S145" s="200">
        <v>0.24378109452736332</v>
      </c>
      <c r="T145" s="198" t="s">
        <v>278</v>
      </c>
      <c r="U145" s="198" t="s">
        <v>212</v>
      </c>
      <c r="V145" s="198"/>
      <c r="W145" s="205">
        <v>1</v>
      </c>
      <c r="X145" s="198" t="s">
        <v>116</v>
      </c>
    </row>
    <row r="146" spans="2:24">
      <c r="B146" s="496"/>
      <c r="C146" s="496"/>
      <c r="D146" s="209">
        <v>40</v>
      </c>
      <c r="E146" s="198" t="s">
        <v>438</v>
      </c>
      <c r="F146" s="199">
        <v>1539.7889999999984</v>
      </c>
      <c r="G146" s="198">
        <v>640.20000000000005</v>
      </c>
      <c r="H146" s="267">
        <v>668</v>
      </c>
      <c r="I146" s="210">
        <f t="shared" si="18"/>
        <v>1.0434239300218682</v>
      </c>
      <c r="J146" s="198"/>
      <c r="K146" s="210">
        <f t="shared" si="19"/>
        <v>0</v>
      </c>
      <c r="L146" s="267">
        <v>47</v>
      </c>
      <c r="M146" s="211">
        <f t="shared" si="20"/>
        <v>1.0434239300218682</v>
      </c>
      <c r="N146" s="199">
        <v>1307</v>
      </c>
      <c r="O146" s="198">
        <v>0</v>
      </c>
      <c r="P146" s="200">
        <v>0</v>
      </c>
      <c r="Q146" s="272">
        <v>0</v>
      </c>
      <c r="R146" s="198">
        <v>27.799999999999955</v>
      </c>
      <c r="S146" s="200">
        <v>4.342393002186809E-2</v>
      </c>
      <c r="T146" s="198" t="s">
        <v>308</v>
      </c>
      <c r="U146" s="198" t="s">
        <v>320</v>
      </c>
      <c r="V146" s="198"/>
      <c r="W146" s="205">
        <v>1</v>
      </c>
      <c r="X146" s="198" t="s">
        <v>339</v>
      </c>
    </row>
    <row r="147" spans="2:24">
      <c r="B147" s="495">
        <v>45884</v>
      </c>
      <c r="C147" s="496" t="s">
        <v>63</v>
      </c>
      <c r="D147" s="209">
        <v>41</v>
      </c>
      <c r="E147" s="198" t="s">
        <v>287</v>
      </c>
      <c r="F147" s="199">
        <v>4568.8563076923083</v>
      </c>
      <c r="G147" s="198">
        <v>87.66</v>
      </c>
      <c r="H147" s="267">
        <v>98.5</v>
      </c>
      <c r="I147" s="210">
        <f t="shared" si="18"/>
        <v>1.1236595938854665</v>
      </c>
      <c r="J147" s="198">
        <v>0</v>
      </c>
      <c r="K147" s="210">
        <f t="shared" si="19"/>
        <v>0</v>
      </c>
      <c r="L147" s="267">
        <v>508.21538461538449</v>
      </c>
      <c r="M147" s="211">
        <f t="shared" si="20"/>
        <v>1.1236595938854665</v>
      </c>
      <c r="N147" s="199">
        <v>5509.05476923077</v>
      </c>
      <c r="O147" s="198">
        <v>1.85</v>
      </c>
      <c r="P147" s="200">
        <v>2.1104266484143281E-2</v>
      </c>
      <c r="Q147" s="272">
        <v>940.1984615384614</v>
      </c>
      <c r="R147" s="198">
        <v>8.9900000000000038</v>
      </c>
      <c r="S147" s="200">
        <v>0.10255532740132334</v>
      </c>
      <c r="T147" s="198" t="s">
        <v>315</v>
      </c>
      <c r="U147" s="198" t="s">
        <v>217</v>
      </c>
      <c r="V147" s="198" t="s">
        <v>367</v>
      </c>
      <c r="W147" s="205">
        <v>1</v>
      </c>
      <c r="X147" s="198" t="s">
        <v>110</v>
      </c>
    </row>
    <row r="148" spans="2:24">
      <c r="B148" s="496"/>
      <c r="C148" s="496"/>
      <c r="D148" s="209">
        <v>42</v>
      </c>
      <c r="E148" s="198" t="s">
        <v>274</v>
      </c>
      <c r="F148" s="199">
        <v>1506.3820500000013</v>
      </c>
      <c r="G148" s="198">
        <v>533.38499999999999</v>
      </c>
      <c r="H148" s="267">
        <v>543</v>
      </c>
      <c r="I148" s="210">
        <f t="shared" si="18"/>
        <v>1.018026378694564</v>
      </c>
      <c r="J148" s="198">
        <v>0</v>
      </c>
      <c r="K148" s="210">
        <f t="shared" si="19"/>
        <v>0</v>
      </c>
      <c r="L148" s="267">
        <v>156.66999999999999</v>
      </c>
      <c r="M148" s="211">
        <f t="shared" si="20"/>
        <v>1.018026378694564</v>
      </c>
      <c r="N148" s="199">
        <v>1506.3820500000013</v>
      </c>
      <c r="O148" s="198">
        <v>0</v>
      </c>
      <c r="P148" s="200">
        <v>0</v>
      </c>
      <c r="Q148" s="272">
        <v>0</v>
      </c>
      <c r="R148" s="198">
        <v>9.6150000000000091</v>
      </c>
      <c r="S148" s="200">
        <v>1.8026378694563982E-2</v>
      </c>
      <c r="T148" s="198" t="s">
        <v>278</v>
      </c>
      <c r="U148" s="198" t="s">
        <v>212</v>
      </c>
      <c r="V148" s="198" t="s">
        <v>412</v>
      </c>
      <c r="W148" s="205">
        <v>1</v>
      </c>
      <c r="X148" s="198" t="s">
        <v>109</v>
      </c>
    </row>
    <row r="149" spans="2:24">
      <c r="B149" s="496"/>
      <c r="C149" s="496"/>
      <c r="D149" s="209">
        <v>43</v>
      </c>
      <c r="E149" s="198" t="s">
        <v>480</v>
      </c>
      <c r="F149" s="199">
        <v>1149.1199999999999</v>
      </c>
      <c r="G149" s="198">
        <v>12.16</v>
      </c>
      <c r="H149" s="267">
        <v>19</v>
      </c>
      <c r="I149" s="210">
        <f t="shared" si="18"/>
        <v>1.5625</v>
      </c>
      <c r="J149" s="198">
        <v>0</v>
      </c>
      <c r="K149" s="210">
        <f t="shared" si="19"/>
        <v>0</v>
      </c>
      <c r="L149" s="267">
        <v>168</v>
      </c>
      <c r="M149" s="211">
        <f t="shared" si="20"/>
        <v>1.5625</v>
      </c>
      <c r="N149" s="199">
        <v>1149.1199999999999</v>
      </c>
      <c r="O149" s="198">
        <v>0</v>
      </c>
      <c r="P149" s="200">
        <v>0</v>
      </c>
      <c r="Q149" s="272">
        <v>0</v>
      </c>
      <c r="R149" s="198">
        <v>6.84</v>
      </c>
      <c r="S149" s="200">
        <v>0.5625</v>
      </c>
      <c r="T149" s="198" t="s">
        <v>278</v>
      </c>
      <c r="U149" s="198" t="s">
        <v>212</v>
      </c>
      <c r="V149" s="198" t="s">
        <v>412</v>
      </c>
      <c r="W149" s="205">
        <v>1</v>
      </c>
      <c r="X149" s="198" t="s">
        <v>121</v>
      </c>
    </row>
    <row r="150" spans="2:24">
      <c r="B150" s="496"/>
      <c r="C150" s="496"/>
      <c r="D150" s="209">
        <v>44</v>
      </c>
      <c r="E150" s="198" t="s">
        <v>420</v>
      </c>
      <c r="F150" s="199">
        <v>925</v>
      </c>
      <c r="G150" s="198">
        <v>928.6</v>
      </c>
      <c r="H150" s="267">
        <v>966</v>
      </c>
      <c r="I150" s="210">
        <f t="shared" si="18"/>
        <v>1.040275683825113</v>
      </c>
      <c r="J150" s="198">
        <v>0</v>
      </c>
      <c r="K150" s="210">
        <f t="shared" si="19"/>
        <v>0</v>
      </c>
      <c r="L150" s="267">
        <v>31.099999999999998</v>
      </c>
      <c r="M150" s="211">
        <f t="shared" si="20"/>
        <v>1.040275683825113</v>
      </c>
      <c r="N150" s="199">
        <v>1163.1399999999992</v>
      </c>
      <c r="O150" s="198">
        <v>7.65</v>
      </c>
      <c r="P150" s="200">
        <v>8.2382080551367653E-3</v>
      </c>
      <c r="Q150" s="272">
        <v>237.91499999999999</v>
      </c>
      <c r="R150" s="198">
        <v>29.749999999999979</v>
      </c>
      <c r="S150" s="200">
        <v>3.2037475769976287E-2</v>
      </c>
      <c r="T150" s="198" t="s">
        <v>278</v>
      </c>
      <c r="U150" s="198" t="s">
        <v>212</v>
      </c>
      <c r="V150" s="198" t="s">
        <v>412</v>
      </c>
      <c r="W150" s="205">
        <v>1</v>
      </c>
      <c r="X150" s="198" t="s">
        <v>112</v>
      </c>
    </row>
    <row r="151" spans="2:24">
      <c r="B151" s="496"/>
      <c r="C151" s="496"/>
      <c r="D151" s="209">
        <v>45</v>
      </c>
      <c r="E151" s="198" t="s">
        <v>424</v>
      </c>
      <c r="F151" s="199">
        <v>910.42000000000144</v>
      </c>
      <c r="G151" s="198">
        <v>161.76</v>
      </c>
      <c r="H151" s="267">
        <v>171.9</v>
      </c>
      <c r="I151" s="210">
        <f t="shared" si="18"/>
        <v>1.062685459940653</v>
      </c>
      <c r="J151" s="198">
        <v>2.7</v>
      </c>
      <c r="K151" s="210">
        <f t="shared" si="19"/>
        <v>1.669139465875371E-2</v>
      </c>
      <c r="L151" s="267">
        <v>98</v>
      </c>
      <c r="M151" s="211">
        <f t="shared" si="20"/>
        <v>1.0793768545994065</v>
      </c>
      <c r="N151" s="199">
        <v>1258.3200000000004</v>
      </c>
      <c r="O151" s="198">
        <v>0.85</v>
      </c>
      <c r="P151" s="200">
        <v>5.2546983184965385E-3</v>
      </c>
      <c r="Q151" s="272">
        <v>83.3</v>
      </c>
      <c r="R151" s="198">
        <v>11.990000000000004</v>
      </c>
      <c r="S151" s="200">
        <v>7.4122156280910012E-2</v>
      </c>
      <c r="T151" s="198" t="s">
        <v>326</v>
      </c>
      <c r="U151" s="198" t="s">
        <v>318</v>
      </c>
      <c r="V151" s="198" t="s">
        <v>481</v>
      </c>
      <c r="W151" s="205">
        <v>1</v>
      </c>
      <c r="X151" s="198" t="s">
        <v>118</v>
      </c>
    </row>
    <row r="152" spans="2:24">
      <c r="B152" s="496"/>
      <c r="C152" s="496"/>
      <c r="D152" s="209">
        <v>46</v>
      </c>
      <c r="E152" s="198" t="s">
        <v>414</v>
      </c>
      <c r="F152" s="199">
        <v>841.80648648648321</v>
      </c>
      <c r="G152" s="198">
        <v>568.69000000000005</v>
      </c>
      <c r="H152" s="267">
        <v>593</v>
      </c>
      <c r="I152" s="210">
        <f t="shared" si="18"/>
        <v>1.0427473667551741</v>
      </c>
      <c r="J152" s="198">
        <v>0</v>
      </c>
      <c r="K152" s="210">
        <f t="shared" si="19"/>
        <v>0</v>
      </c>
      <c r="L152" s="267">
        <v>58.21621621621621</v>
      </c>
      <c r="M152" s="211">
        <f t="shared" si="20"/>
        <v>1.0427473667551741</v>
      </c>
      <c r="N152" s="199">
        <v>1415.2362162162128</v>
      </c>
      <c r="O152" s="198">
        <v>9.85</v>
      </c>
      <c r="P152" s="200">
        <v>1.7320508537164356E-2</v>
      </c>
      <c r="Q152" s="272">
        <v>573.42972972972962</v>
      </c>
      <c r="R152" s="198">
        <v>14.459999999999946</v>
      </c>
      <c r="S152" s="200">
        <v>2.5426858218009715E-2</v>
      </c>
      <c r="T152" s="198" t="s">
        <v>278</v>
      </c>
      <c r="U152" s="198" t="s">
        <v>212</v>
      </c>
      <c r="V152" s="198" t="s">
        <v>413</v>
      </c>
      <c r="W152" s="205">
        <v>1</v>
      </c>
      <c r="X152" s="198" t="s">
        <v>117</v>
      </c>
    </row>
    <row r="153" spans="2:24">
      <c r="B153" s="496"/>
      <c r="C153" s="496"/>
      <c r="D153" s="209">
        <v>47</v>
      </c>
      <c r="E153" s="198" t="s">
        <v>333</v>
      </c>
      <c r="F153" s="199">
        <v>691.59999999999991</v>
      </c>
      <c r="G153" s="198">
        <v>964.26</v>
      </c>
      <c r="H153" s="267">
        <v>984.26</v>
      </c>
      <c r="I153" s="210">
        <f t="shared" si="18"/>
        <v>1.0207412938419098</v>
      </c>
      <c r="J153" s="198">
        <v>0</v>
      </c>
      <c r="K153" s="210">
        <f t="shared" si="19"/>
        <v>0</v>
      </c>
      <c r="L153" s="267">
        <v>34.58</v>
      </c>
      <c r="M153" s="211">
        <f t="shared" si="20"/>
        <v>1.0207412938419098</v>
      </c>
      <c r="N153" s="199">
        <v>691.59999999999991</v>
      </c>
      <c r="O153" s="198">
        <v>0</v>
      </c>
      <c r="P153" s="200">
        <v>0</v>
      </c>
      <c r="Q153" s="272">
        <v>0</v>
      </c>
      <c r="R153" s="198">
        <v>20</v>
      </c>
      <c r="S153" s="200">
        <v>2.0741293841909859E-2</v>
      </c>
      <c r="T153" s="198" t="s">
        <v>278</v>
      </c>
      <c r="U153" s="198" t="s">
        <v>212</v>
      </c>
      <c r="V153" s="198" t="s">
        <v>413</v>
      </c>
      <c r="W153" s="205">
        <v>1</v>
      </c>
      <c r="X153" s="198" t="s">
        <v>110</v>
      </c>
    </row>
    <row r="154" spans="2:24">
      <c r="B154" s="496"/>
      <c r="C154" s="496"/>
      <c r="D154" s="209">
        <v>48</v>
      </c>
      <c r="E154" s="198" t="s">
        <v>415</v>
      </c>
      <c r="F154" s="199">
        <v>682.4249999999995</v>
      </c>
      <c r="G154" s="198">
        <v>158.77500000000001</v>
      </c>
      <c r="H154" s="267">
        <v>173.5</v>
      </c>
      <c r="I154" s="210">
        <f t="shared" si="18"/>
        <v>1.0927413005825855</v>
      </c>
      <c r="J154" s="198">
        <v>0</v>
      </c>
      <c r="K154" s="210">
        <f t="shared" si="19"/>
        <v>0</v>
      </c>
      <c r="L154" s="267">
        <v>81</v>
      </c>
      <c r="M154" s="211">
        <f t="shared" si="20"/>
        <v>1.0927413005825855</v>
      </c>
      <c r="N154" s="199">
        <v>1192.7249999999995</v>
      </c>
      <c r="O154" s="198">
        <v>6.3</v>
      </c>
      <c r="P154" s="200">
        <v>3.967879074161549E-2</v>
      </c>
      <c r="Q154" s="272">
        <v>510.3</v>
      </c>
      <c r="R154" s="198">
        <v>8.4249999999999936</v>
      </c>
      <c r="S154" s="200">
        <v>5.3062509840969885E-2</v>
      </c>
      <c r="T154" s="198" t="s">
        <v>326</v>
      </c>
      <c r="U154" s="198" t="s">
        <v>318</v>
      </c>
      <c r="V154" s="198" t="s">
        <v>411</v>
      </c>
      <c r="W154" s="205">
        <v>1</v>
      </c>
      <c r="X154" s="198" t="s">
        <v>339</v>
      </c>
    </row>
    <row r="155" spans="2:24">
      <c r="B155" s="496"/>
      <c r="C155" s="496"/>
      <c r="D155" s="209">
        <v>49</v>
      </c>
      <c r="E155" s="198" t="s">
        <v>482</v>
      </c>
      <c r="F155" s="199">
        <v>642.2600000000001</v>
      </c>
      <c r="G155" s="198">
        <v>4.6109999999999998</v>
      </c>
      <c r="H155" s="267">
        <v>6.5</v>
      </c>
      <c r="I155" s="210">
        <f t="shared" si="18"/>
        <v>1.4096725222294513</v>
      </c>
      <c r="J155" s="198">
        <v>0</v>
      </c>
      <c r="K155" s="210">
        <f t="shared" si="19"/>
        <v>0</v>
      </c>
      <c r="L155" s="267">
        <v>340</v>
      </c>
      <c r="M155" s="211">
        <f t="shared" si="20"/>
        <v>1.4096725222294513</v>
      </c>
      <c r="N155" s="199">
        <v>642.2600000000001</v>
      </c>
      <c r="O155" s="198">
        <v>0</v>
      </c>
      <c r="P155" s="200">
        <v>0</v>
      </c>
      <c r="Q155" s="272">
        <v>0</v>
      </c>
      <c r="R155" s="198">
        <v>1.8890000000000002</v>
      </c>
      <c r="S155" s="200">
        <v>0.40967252222945139</v>
      </c>
      <c r="T155" s="198" t="s">
        <v>278</v>
      </c>
      <c r="U155" s="198" t="s">
        <v>212</v>
      </c>
      <c r="V155" s="198" t="s">
        <v>412</v>
      </c>
      <c r="W155" s="205">
        <v>1</v>
      </c>
      <c r="X155" s="198" t="s">
        <v>117</v>
      </c>
    </row>
    <row r="156" spans="2:24">
      <c r="B156" s="496"/>
      <c r="C156" s="496"/>
      <c r="D156" s="209">
        <v>50</v>
      </c>
      <c r="E156" s="198" t="s">
        <v>483</v>
      </c>
      <c r="F156" s="199">
        <v>629</v>
      </c>
      <c r="G156" s="198">
        <v>26.055</v>
      </c>
      <c r="H156" s="267">
        <v>30</v>
      </c>
      <c r="I156" s="210">
        <f t="shared" si="18"/>
        <v>1.1514104778353482</v>
      </c>
      <c r="J156" s="198">
        <v>0</v>
      </c>
      <c r="K156" s="210">
        <f t="shared" si="19"/>
        <v>0</v>
      </c>
      <c r="L156" s="267">
        <v>197</v>
      </c>
      <c r="M156" s="211">
        <f t="shared" si="20"/>
        <v>1.1514104778353482</v>
      </c>
      <c r="N156" s="199">
        <v>777.16500000000008</v>
      </c>
      <c r="O156" s="198">
        <v>0.75</v>
      </c>
      <c r="P156" s="200">
        <v>2.8785261945883708E-2</v>
      </c>
      <c r="Q156" s="272">
        <v>147.75</v>
      </c>
      <c r="R156" s="198">
        <v>3.1950000000000003</v>
      </c>
      <c r="S156" s="200">
        <v>0.12262521588946461</v>
      </c>
      <c r="T156" s="198" t="s">
        <v>278</v>
      </c>
      <c r="U156" s="198" t="s">
        <v>212</v>
      </c>
      <c r="V156" s="198" t="s">
        <v>412</v>
      </c>
      <c r="W156" s="205">
        <v>1</v>
      </c>
      <c r="X156" s="198" t="s">
        <v>125</v>
      </c>
    </row>
    <row r="157" spans="2:24">
      <c r="B157" s="495">
        <v>45885</v>
      </c>
      <c r="C157" s="496" t="s">
        <v>64</v>
      </c>
      <c r="D157" s="209">
        <v>51</v>
      </c>
      <c r="E157" s="198" t="s">
        <v>287</v>
      </c>
      <c r="F157" s="199">
        <v>5011.0036923076941</v>
      </c>
      <c r="G157" s="198">
        <v>84.1</v>
      </c>
      <c r="H157" s="267">
        <v>94.5</v>
      </c>
      <c r="I157" s="210">
        <f t="shared" si="18"/>
        <v>1.1236623067776457</v>
      </c>
      <c r="J157" s="198"/>
      <c r="K157" s="210">
        <f t="shared" si="19"/>
        <v>0</v>
      </c>
      <c r="L157" s="267">
        <v>508.21538461538449</v>
      </c>
      <c r="M157" s="211">
        <f t="shared" si="20"/>
        <v>1.1236623067776457</v>
      </c>
      <c r="N157" s="199">
        <v>5285.4400000000014</v>
      </c>
      <c r="O157" s="198">
        <v>0.54</v>
      </c>
      <c r="P157" s="200">
        <v>6.4209274673008333E-3</v>
      </c>
      <c r="Q157" s="272">
        <v>274.43630769230765</v>
      </c>
      <c r="R157" s="198">
        <v>9.8600000000000065</v>
      </c>
      <c r="S157" s="200">
        <v>0.11724137931034491</v>
      </c>
      <c r="T157" s="198" t="s">
        <v>315</v>
      </c>
      <c r="U157" s="198" t="s">
        <v>217</v>
      </c>
      <c r="V157" s="198" t="s">
        <v>367</v>
      </c>
      <c r="W157" s="205">
        <v>1</v>
      </c>
      <c r="X157" s="198" t="s">
        <v>110</v>
      </c>
    </row>
    <row r="158" spans="2:24">
      <c r="B158" s="496"/>
      <c r="C158" s="496"/>
      <c r="D158" s="209">
        <v>52</v>
      </c>
      <c r="E158" s="198" t="s">
        <v>331</v>
      </c>
      <c r="F158" s="199">
        <v>2917.1099999999901</v>
      </c>
      <c r="G158" s="198">
        <v>232.86</v>
      </c>
      <c r="H158" s="267">
        <v>245.85999999999999</v>
      </c>
      <c r="I158" s="210">
        <f t="shared" si="18"/>
        <v>1.0558275358584557</v>
      </c>
      <c r="J158" s="198"/>
      <c r="K158" s="210">
        <f t="shared" si="19"/>
        <v>0</v>
      </c>
      <c r="L158" s="267">
        <v>335.3</v>
      </c>
      <c r="M158" s="211">
        <f t="shared" si="20"/>
        <v>1.0558275358584557</v>
      </c>
      <c r="N158" s="199">
        <v>4358.8999999999905</v>
      </c>
      <c r="O158" s="198">
        <v>4.3</v>
      </c>
      <c r="P158" s="200">
        <v>1.8466031091643045E-2</v>
      </c>
      <c r="Q158" s="272">
        <v>1441.79</v>
      </c>
      <c r="R158" s="198">
        <v>8.6999999999999709</v>
      </c>
      <c r="S158" s="200">
        <v>3.7361504766812548E-2</v>
      </c>
      <c r="T158" s="198" t="s">
        <v>315</v>
      </c>
      <c r="U158" s="198" t="s">
        <v>217</v>
      </c>
      <c r="V158" s="198" t="s">
        <v>416</v>
      </c>
      <c r="W158" s="205">
        <v>1</v>
      </c>
      <c r="X158" s="198" t="s">
        <v>114</v>
      </c>
    </row>
    <row r="159" spans="2:24" ht="16.5">
      <c r="B159" s="496"/>
      <c r="C159" s="496"/>
      <c r="D159" s="209">
        <v>53</v>
      </c>
      <c r="E159" s="198" t="s">
        <v>447</v>
      </c>
      <c r="F159" s="199">
        <v>2311.9999999999995</v>
      </c>
      <c r="G159" s="198">
        <v>28.44</v>
      </c>
      <c r="H159" s="267">
        <v>40</v>
      </c>
      <c r="I159" s="210">
        <f t="shared" si="18"/>
        <v>1.4064697609001406</v>
      </c>
      <c r="J159" s="198"/>
      <c r="K159" s="210">
        <f t="shared" si="19"/>
        <v>0</v>
      </c>
      <c r="L159" s="267">
        <v>200</v>
      </c>
      <c r="M159" s="211">
        <f t="shared" si="20"/>
        <v>1.4064697609001406</v>
      </c>
      <c r="N159" s="199">
        <v>2311.9999999999995</v>
      </c>
      <c r="O159" s="198">
        <v>0</v>
      </c>
      <c r="P159" s="200">
        <v>0</v>
      </c>
      <c r="Q159" s="272">
        <v>0</v>
      </c>
      <c r="R159" s="198">
        <v>11.559999999999999</v>
      </c>
      <c r="S159" s="200">
        <v>0.40646976090014059</v>
      </c>
      <c r="T159" s="198" t="s">
        <v>278</v>
      </c>
      <c r="U159" s="198" t="s">
        <v>212</v>
      </c>
      <c r="V159" s="264" t="s">
        <v>484</v>
      </c>
      <c r="W159" s="205">
        <v>1</v>
      </c>
      <c r="X159" s="198" t="s">
        <v>116</v>
      </c>
    </row>
    <row r="160" spans="2:24" ht="15.75" customHeight="1">
      <c r="B160" s="496"/>
      <c r="C160" s="496"/>
      <c r="D160" s="209">
        <v>54</v>
      </c>
      <c r="E160" s="198" t="s">
        <v>375</v>
      </c>
      <c r="F160" s="199">
        <v>1061.1917000000014</v>
      </c>
      <c r="G160" s="198">
        <v>544.91999999999996</v>
      </c>
      <c r="H160" s="267">
        <v>558.65</v>
      </c>
      <c r="I160" s="210">
        <f t="shared" si="18"/>
        <v>1.0251963590985833</v>
      </c>
      <c r="J160" s="198"/>
      <c r="K160" s="210">
        <f t="shared" si="19"/>
        <v>0</v>
      </c>
      <c r="L160" s="267">
        <v>77.290000000000006</v>
      </c>
      <c r="M160" s="211">
        <f t="shared" si="20"/>
        <v>1.0251963590985833</v>
      </c>
      <c r="N160" s="199">
        <v>1061.1917000000014</v>
      </c>
      <c r="O160" s="198">
        <v>0</v>
      </c>
      <c r="P160" s="200">
        <v>0</v>
      </c>
      <c r="Q160" s="272">
        <v>0</v>
      </c>
      <c r="R160" s="198">
        <v>13.730000000000018</v>
      </c>
      <c r="S160" s="200">
        <v>2.5196359098583313E-2</v>
      </c>
      <c r="T160" s="198" t="s">
        <v>278</v>
      </c>
      <c r="U160" s="198" t="s">
        <v>212</v>
      </c>
      <c r="V160" s="198"/>
      <c r="W160" s="205">
        <v>1</v>
      </c>
      <c r="X160" s="198" t="s">
        <v>112</v>
      </c>
    </row>
    <row r="161" spans="2:24">
      <c r="B161" s="496"/>
      <c r="C161" s="496"/>
      <c r="D161" s="209">
        <v>55</v>
      </c>
      <c r="E161" s="198" t="s">
        <v>485</v>
      </c>
      <c r="F161" s="199">
        <v>1046.3999999999999</v>
      </c>
      <c r="G161" s="198">
        <v>64.768000000000001</v>
      </c>
      <c r="H161" s="267">
        <v>70</v>
      </c>
      <c r="I161" s="210">
        <f t="shared" si="18"/>
        <v>1.0807806324110671</v>
      </c>
      <c r="J161" s="198"/>
      <c r="K161" s="210">
        <f t="shared" si="19"/>
        <v>0</v>
      </c>
      <c r="L161" s="267">
        <v>200</v>
      </c>
      <c r="M161" s="211">
        <f t="shared" si="20"/>
        <v>1.0807806324110671</v>
      </c>
      <c r="N161" s="199">
        <v>1046.3999999999999</v>
      </c>
      <c r="O161" s="198">
        <v>0</v>
      </c>
      <c r="P161" s="200">
        <v>0</v>
      </c>
      <c r="Q161" s="272">
        <v>0</v>
      </c>
      <c r="R161" s="198">
        <v>5.2319999999999993</v>
      </c>
      <c r="S161" s="200">
        <v>8.0780632411067185E-2</v>
      </c>
      <c r="T161" s="198" t="s">
        <v>278</v>
      </c>
      <c r="U161" s="198" t="s">
        <v>212</v>
      </c>
      <c r="V161" s="198"/>
      <c r="W161" s="205">
        <v>1</v>
      </c>
      <c r="X161" s="198" t="s">
        <v>109</v>
      </c>
    </row>
    <row r="162" spans="2:24">
      <c r="B162" s="496"/>
      <c r="C162" s="496"/>
      <c r="D162" s="209">
        <v>56</v>
      </c>
      <c r="E162" s="198" t="s">
        <v>279</v>
      </c>
      <c r="F162" s="199">
        <v>992.77720000000033</v>
      </c>
      <c r="G162" s="198">
        <v>212.84</v>
      </c>
      <c r="H162" s="267">
        <v>219.9</v>
      </c>
      <c r="I162" s="210">
        <f t="shared" si="18"/>
        <v>1.0331704566810751</v>
      </c>
      <c r="J162" s="198"/>
      <c r="K162" s="210">
        <f t="shared" si="19"/>
        <v>0</v>
      </c>
      <c r="L162" s="267">
        <v>140.62</v>
      </c>
      <c r="M162" s="211">
        <f t="shared" si="20"/>
        <v>1.0331704566810751</v>
      </c>
      <c r="N162" s="199">
        <v>992.77720000000033</v>
      </c>
      <c r="O162" s="198">
        <v>0</v>
      </c>
      <c r="P162" s="200">
        <v>0</v>
      </c>
      <c r="Q162" s="272">
        <v>0</v>
      </c>
      <c r="R162" s="198">
        <v>7.0600000000000023</v>
      </c>
      <c r="S162" s="200">
        <v>3.3170456681074996E-2</v>
      </c>
      <c r="T162" s="198" t="s">
        <v>278</v>
      </c>
      <c r="U162" s="198" t="s">
        <v>212</v>
      </c>
      <c r="V162" s="198"/>
      <c r="W162" s="205">
        <v>1</v>
      </c>
      <c r="X162" s="198" t="s">
        <v>113</v>
      </c>
    </row>
    <row r="163" spans="2:24">
      <c r="B163" s="496"/>
      <c r="C163" s="496"/>
      <c r="D163" s="209">
        <v>57</v>
      </c>
      <c r="E163" s="198" t="s">
        <v>414</v>
      </c>
      <c r="F163" s="199">
        <v>961.73189189189077</v>
      </c>
      <c r="G163" s="198">
        <v>556.48</v>
      </c>
      <c r="H163" s="267">
        <v>573</v>
      </c>
      <c r="I163" s="210">
        <f t="shared" si="18"/>
        <v>1.029686601495112</v>
      </c>
      <c r="J163" s="198"/>
      <c r="K163" s="210">
        <f t="shared" si="19"/>
        <v>0</v>
      </c>
      <c r="L163" s="267">
        <v>58.21621621621621</v>
      </c>
      <c r="M163" s="211">
        <f t="shared" si="20"/>
        <v>1.029686601495112</v>
      </c>
      <c r="N163" s="199">
        <v>961.73189189189077</v>
      </c>
      <c r="O163" s="198">
        <v>0</v>
      </c>
      <c r="P163" s="200">
        <v>0</v>
      </c>
      <c r="Q163" s="272">
        <v>0</v>
      </c>
      <c r="R163" s="198">
        <v>16.519999999999982</v>
      </c>
      <c r="S163" s="200">
        <v>2.9686601495112101E-2</v>
      </c>
      <c r="T163" s="198" t="s">
        <v>278</v>
      </c>
      <c r="U163" s="198" t="s">
        <v>212</v>
      </c>
      <c r="V163" s="198"/>
      <c r="W163" s="205">
        <v>1</v>
      </c>
      <c r="X163" s="198" t="s">
        <v>117</v>
      </c>
    </row>
    <row r="164" spans="2:24">
      <c r="B164" s="496"/>
      <c r="C164" s="496"/>
      <c r="D164" s="209">
        <v>58</v>
      </c>
      <c r="E164" s="198" t="s">
        <v>486</v>
      </c>
      <c r="F164" s="199">
        <v>936.12000000000046</v>
      </c>
      <c r="G164" s="198">
        <v>9.6199999999999992</v>
      </c>
      <c r="H164" s="267">
        <v>15.000000000000002</v>
      </c>
      <c r="I164" s="210">
        <f t="shared" si="18"/>
        <v>1.5592515592515597</v>
      </c>
      <c r="J164" s="198"/>
      <c r="K164" s="210">
        <f t="shared" si="19"/>
        <v>0</v>
      </c>
      <c r="L164" s="267">
        <v>174</v>
      </c>
      <c r="M164" s="211">
        <f t="shared" si="20"/>
        <v>1.5592515592515597</v>
      </c>
      <c r="N164" s="199">
        <v>936.12000000000046</v>
      </c>
      <c r="O164" s="198">
        <v>0</v>
      </c>
      <c r="P164" s="200">
        <v>0</v>
      </c>
      <c r="Q164" s="272">
        <v>0</v>
      </c>
      <c r="R164" s="198">
        <v>5.3800000000000026</v>
      </c>
      <c r="S164" s="200">
        <v>0.55925155925155956</v>
      </c>
      <c r="T164" s="198" t="s">
        <v>278</v>
      </c>
      <c r="U164" s="198" t="s">
        <v>212</v>
      </c>
      <c r="V164" s="198"/>
      <c r="W164" s="205">
        <v>1</v>
      </c>
      <c r="X164" s="198" t="s">
        <v>339</v>
      </c>
    </row>
    <row r="165" spans="2:24">
      <c r="B165" s="496"/>
      <c r="C165" s="496"/>
      <c r="D165" s="209">
        <v>59</v>
      </c>
      <c r="E165" s="198" t="s">
        <v>420</v>
      </c>
      <c r="F165" s="199">
        <v>728.36199999999849</v>
      </c>
      <c r="G165" s="198">
        <v>908.2</v>
      </c>
      <c r="H165" s="267">
        <v>940</v>
      </c>
      <c r="I165" s="210">
        <f t="shared" si="18"/>
        <v>1.0350143140277472</v>
      </c>
      <c r="J165" s="198"/>
      <c r="K165" s="210">
        <f t="shared" si="19"/>
        <v>0</v>
      </c>
      <c r="L165" s="267">
        <v>31.099999999999998</v>
      </c>
      <c r="M165" s="211">
        <f t="shared" si="20"/>
        <v>1.0350143140277472</v>
      </c>
      <c r="N165" s="199">
        <v>988.97999999999854</v>
      </c>
      <c r="O165" s="198">
        <v>8.3800000000000008</v>
      </c>
      <c r="P165" s="200">
        <v>9.2270425016516191E-3</v>
      </c>
      <c r="Q165" s="272">
        <v>260.61799999999999</v>
      </c>
      <c r="R165" s="198">
        <v>23.419999999999952</v>
      </c>
      <c r="S165" s="200">
        <v>2.5787271526095518E-2</v>
      </c>
      <c r="T165" s="198" t="s">
        <v>278</v>
      </c>
      <c r="U165" s="198" t="s">
        <v>212</v>
      </c>
      <c r="V165" s="198"/>
      <c r="W165" s="205">
        <v>1</v>
      </c>
      <c r="X165" s="198" t="s">
        <v>112</v>
      </c>
    </row>
    <row r="166" spans="2:24">
      <c r="B166" s="496"/>
      <c r="C166" s="496"/>
      <c r="D166" s="209">
        <v>60</v>
      </c>
      <c r="E166" s="198" t="s">
        <v>333</v>
      </c>
      <c r="F166" s="199">
        <v>691.59999999999991</v>
      </c>
      <c r="G166" s="198">
        <v>890.56</v>
      </c>
      <c r="H166" s="267">
        <v>910.56</v>
      </c>
      <c r="I166" s="210">
        <f t="shared" si="18"/>
        <v>1.0224577793747753</v>
      </c>
      <c r="J166" s="198"/>
      <c r="K166" s="210">
        <f t="shared" si="19"/>
        <v>0</v>
      </c>
      <c r="L166" s="267">
        <v>34.58</v>
      </c>
      <c r="M166" s="211">
        <f t="shared" si="20"/>
        <v>1.0224577793747753</v>
      </c>
      <c r="N166" s="199">
        <v>691.59999999999991</v>
      </c>
      <c r="O166" s="198">
        <v>0</v>
      </c>
      <c r="P166" s="200">
        <v>0</v>
      </c>
      <c r="Q166" s="272">
        <v>0</v>
      </c>
      <c r="R166" s="198">
        <v>20</v>
      </c>
      <c r="S166" s="200">
        <v>2.2457779374775423E-2</v>
      </c>
      <c r="T166" s="198" t="s">
        <v>278</v>
      </c>
      <c r="U166" s="198" t="s">
        <v>212</v>
      </c>
      <c r="V166" s="198"/>
      <c r="W166" s="205">
        <v>1</v>
      </c>
      <c r="X166" s="198" t="s">
        <v>109</v>
      </c>
    </row>
    <row r="167" spans="2:24">
      <c r="B167" s="495">
        <v>45886</v>
      </c>
      <c r="C167" s="496" t="s">
        <v>59</v>
      </c>
      <c r="D167" s="209">
        <v>61</v>
      </c>
      <c r="E167" s="198" t="s">
        <v>331</v>
      </c>
      <c r="F167" s="199">
        <v>2429.2485000000001</v>
      </c>
      <c r="G167" s="198">
        <v>245</v>
      </c>
      <c r="H167" s="267">
        <v>253</v>
      </c>
      <c r="I167" s="210">
        <f t="shared" si="18"/>
        <v>1.0326530612244897</v>
      </c>
      <c r="J167" s="198"/>
      <c r="K167" s="210">
        <f t="shared" si="19"/>
        <v>0</v>
      </c>
      <c r="L167" s="267">
        <v>335.3</v>
      </c>
      <c r="M167" s="211">
        <f t="shared" si="20"/>
        <v>1.0326530612244897</v>
      </c>
      <c r="N167" s="199">
        <v>2682.4</v>
      </c>
      <c r="O167" s="198">
        <v>0.755</v>
      </c>
      <c r="P167" s="200">
        <v>3.0816326530612244E-3</v>
      </c>
      <c r="Q167" s="272">
        <v>253.1515</v>
      </c>
      <c r="R167" s="198">
        <v>7.2450000000000001</v>
      </c>
      <c r="S167" s="200">
        <v>2.9571428571428571E-2</v>
      </c>
      <c r="T167" s="198" t="s">
        <v>315</v>
      </c>
      <c r="U167" s="198" t="s">
        <v>217</v>
      </c>
      <c r="V167" s="198" t="s">
        <v>416</v>
      </c>
      <c r="W167" s="205">
        <v>1</v>
      </c>
      <c r="X167" s="198" t="s">
        <v>114</v>
      </c>
    </row>
    <row r="168" spans="2:24">
      <c r="B168" s="496"/>
      <c r="C168" s="496"/>
      <c r="D168" s="209">
        <v>62</v>
      </c>
      <c r="E168" s="198" t="s">
        <v>369</v>
      </c>
      <c r="F168" s="199">
        <v>1708.114800000003</v>
      </c>
      <c r="G168" s="198">
        <v>264.06</v>
      </c>
      <c r="H168" s="267">
        <v>281.60000000000002</v>
      </c>
      <c r="I168" s="210">
        <f t="shared" si="18"/>
        <v>1.0664242975081422</v>
      </c>
      <c r="J168" s="198"/>
      <c r="K168" s="210">
        <f t="shared" si="19"/>
        <v>0</v>
      </c>
      <c r="L168" s="267">
        <v>141.87</v>
      </c>
      <c r="M168" s="211">
        <f t="shared" si="20"/>
        <v>1.0664242975081422</v>
      </c>
      <c r="N168" s="199">
        <v>2488.3998000000029</v>
      </c>
      <c r="O168" s="198">
        <v>5.5</v>
      </c>
      <c r="P168" s="200">
        <v>2.0828599560705902E-2</v>
      </c>
      <c r="Q168" s="272">
        <v>780.28500000000008</v>
      </c>
      <c r="R168" s="198">
        <v>12.04000000000002</v>
      </c>
      <c r="S168" s="200">
        <v>4.5595697947436266E-2</v>
      </c>
      <c r="T168" s="198" t="s">
        <v>278</v>
      </c>
      <c r="U168" s="198" t="s">
        <v>212</v>
      </c>
      <c r="V168" s="198"/>
      <c r="W168" s="205">
        <v>1</v>
      </c>
      <c r="X168" s="198" t="s">
        <v>116</v>
      </c>
    </row>
    <row r="169" spans="2:24">
      <c r="B169" s="496"/>
      <c r="C169" s="496"/>
      <c r="D169" s="209">
        <v>63</v>
      </c>
      <c r="E169" s="198" t="s">
        <v>287</v>
      </c>
      <c r="F169" s="199">
        <v>1338.6393230769218</v>
      </c>
      <c r="G169" s="198">
        <v>108.92</v>
      </c>
      <c r="H169" s="267">
        <v>112</v>
      </c>
      <c r="I169" s="210">
        <f t="shared" si="18"/>
        <v>1.0282776349614395</v>
      </c>
      <c r="J169" s="198"/>
      <c r="K169" s="210">
        <f t="shared" si="19"/>
        <v>0</v>
      </c>
      <c r="L169" s="267">
        <v>508.21538461538449</v>
      </c>
      <c r="M169" s="211">
        <f t="shared" si="20"/>
        <v>1.0282776349614395</v>
      </c>
      <c r="N169" s="199">
        <v>1565.3033846153833</v>
      </c>
      <c r="O169" s="198">
        <v>0.44600000000000001</v>
      </c>
      <c r="P169" s="200">
        <v>4.094748439221447E-3</v>
      </c>
      <c r="Q169" s="272">
        <v>226.66406153846148</v>
      </c>
      <c r="R169" s="198">
        <v>2.6339999999999981</v>
      </c>
      <c r="S169" s="200">
        <v>2.4182886522218124E-2</v>
      </c>
      <c r="T169" s="198" t="s">
        <v>315</v>
      </c>
      <c r="U169" s="198" t="s">
        <v>217</v>
      </c>
      <c r="V169" s="198" t="s">
        <v>367</v>
      </c>
      <c r="W169" s="205">
        <v>1</v>
      </c>
      <c r="X169" s="198" t="s">
        <v>110</v>
      </c>
    </row>
    <row r="170" spans="2:24">
      <c r="B170" s="496"/>
      <c r="C170" s="496"/>
      <c r="D170" s="209">
        <v>64</v>
      </c>
      <c r="E170" s="198" t="s">
        <v>314</v>
      </c>
      <c r="F170" s="199">
        <v>1320.1384000000023</v>
      </c>
      <c r="G170" s="198">
        <v>191.2</v>
      </c>
      <c r="H170" s="267">
        <v>198</v>
      </c>
      <c r="I170" s="210">
        <f t="shared" si="18"/>
        <v>1.0355648535564854</v>
      </c>
      <c r="J170" s="198"/>
      <c r="K170" s="210">
        <f t="shared" si="19"/>
        <v>0</v>
      </c>
      <c r="L170" s="267">
        <v>226.39999999999998</v>
      </c>
      <c r="M170" s="211">
        <f t="shared" si="20"/>
        <v>1.0355648535564854</v>
      </c>
      <c r="N170" s="199">
        <v>1539.5200000000025</v>
      </c>
      <c r="O170" s="198">
        <v>0.96899999999999997</v>
      </c>
      <c r="P170" s="200">
        <v>5.0679916317991633E-3</v>
      </c>
      <c r="Q170" s="272">
        <v>219.38159999999996</v>
      </c>
      <c r="R170" s="198">
        <v>5.8310000000000111</v>
      </c>
      <c r="S170" s="200">
        <v>3.0496861924686251E-2</v>
      </c>
      <c r="T170" s="198" t="s">
        <v>315</v>
      </c>
      <c r="U170" s="198" t="s">
        <v>217</v>
      </c>
      <c r="V170" s="198" t="s">
        <v>357</v>
      </c>
      <c r="W170" s="205">
        <v>1</v>
      </c>
      <c r="X170" s="198" t="s">
        <v>121</v>
      </c>
    </row>
    <row r="171" spans="2:24">
      <c r="B171" s="496"/>
      <c r="C171" s="496"/>
      <c r="D171" s="209">
        <v>65</v>
      </c>
      <c r="E171" s="198" t="s">
        <v>406</v>
      </c>
      <c r="F171" s="199">
        <v>1232.2013000000011</v>
      </c>
      <c r="G171" s="198">
        <v>29.34</v>
      </c>
      <c r="H171" s="267">
        <v>32.950000000000003</v>
      </c>
      <c r="I171" s="210">
        <f t="shared" si="18"/>
        <v>1.1230402181322428</v>
      </c>
      <c r="J171" s="198"/>
      <c r="K171" s="210">
        <f t="shared" si="19"/>
        <v>0</v>
      </c>
      <c r="L171" s="267">
        <v>341.33000000000004</v>
      </c>
      <c r="M171" s="211">
        <f t="shared" si="20"/>
        <v>1.1230402181322428</v>
      </c>
      <c r="N171" s="199">
        <v>1232.2013000000011</v>
      </c>
      <c r="O171" s="198">
        <v>0</v>
      </c>
      <c r="P171" s="200">
        <v>0</v>
      </c>
      <c r="Q171" s="272">
        <v>0</v>
      </c>
      <c r="R171" s="198">
        <v>3.610000000000003</v>
      </c>
      <c r="S171" s="200">
        <v>0.12304021813224278</v>
      </c>
      <c r="T171" s="198" t="s">
        <v>278</v>
      </c>
      <c r="U171" s="198" t="s">
        <v>212</v>
      </c>
      <c r="V171" s="198"/>
      <c r="W171" s="205">
        <v>1</v>
      </c>
      <c r="X171" s="198" t="s">
        <v>116</v>
      </c>
    </row>
    <row r="172" spans="2:24">
      <c r="B172" s="496"/>
      <c r="C172" s="496"/>
      <c r="D172" s="209">
        <v>66</v>
      </c>
      <c r="E172" s="198" t="s">
        <v>375</v>
      </c>
      <c r="F172" s="199">
        <v>1085.0743099999984</v>
      </c>
      <c r="G172" s="198">
        <v>707.28</v>
      </c>
      <c r="H172" s="267">
        <v>730.22799999999995</v>
      </c>
      <c r="I172" s="210">
        <f t="shared" si="18"/>
        <v>1.0324454247257098</v>
      </c>
      <c r="J172" s="198"/>
      <c r="K172" s="210">
        <f t="shared" si="19"/>
        <v>0</v>
      </c>
      <c r="L172" s="267">
        <v>77.290000000000006</v>
      </c>
      <c r="M172" s="211">
        <f t="shared" si="20"/>
        <v>1.0324454247257098</v>
      </c>
      <c r="N172" s="199">
        <v>1773.6509199999985</v>
      </c>
      <c r="O172" s="198">
        <v>8.9090000000000007</v>
      </c>
      <c r="P172" s="200">
        <v>1.2596142970252236E-2</v>
      </c>
      <c r="Q172" s="272">
        <v>688.57661000000007</v>
      </c>
      <c r="R172" s="198">
        <v>14.038999999999978</v>
      </c>
      <c r="S172" s="200">
        <v>1.9849281755457499E-2</v>
      </c>
      <c r="T172" s="198" t="s">
        <v>278</v>
      </c>
      <c r="U172" s="198" t="s">
        <v>212</v>
      </c>
      <c r="V172" s="198"/>
      <c r="W172" s="205">
        <v>1</v>
      </c>
      <c r="X172" s="198" t="s">
        <v>112</v>
      </c>
    </row>
    <row r="173" spans="2:24">
      <c r="B173" s="496"/>
      <c r="C173" s="496"/>
      <c r="D173" s="209">
        <v>67</v>
      </c>
      <c r="E173" s="198" t="s">
        <v>447</v>
      </c>
      <c r="F173" s="199">
        <v>958.40000000000032</v>
      </c>
      <c r="G173" s="198">
        <v>35.207999999999998</v>
      </c>
      <c r="H173" s="267">
        <v>40</v>
      </c>
      <c r="I173" s="210">
        <f t="shared" si="18"/>
        <v>1.1361054305839582</v>
      </c>
      <c r="J173" s="198"/>
      <c r="K173" s="210">
        <f t="shared" si="19"/>
        <v>0</v>
      </c>
      <c r="L173" s="267">
        <v>200</v>
      </c>
      <c r="M173" s="211">
        <f t="shared" si="20"/>
        <v>1.1361054305839582</v>
      </c>
      <c r="N173" s="199">
        <v>958.40000000000032</v>
      </c>
      <c r="O173" s="198">
        <v>0</v>
      </c>
      <c r="P173" s="200">
        <v>0</v>
      </c>
      <c r="Q173" s="272">
        <v>0</v>
      </c>
      <c r="R173" s="198">
        <v>4.7920000000000016</v>
      </c>
      <c r="S173" s="200">
        <v>0.13610543058395824</v>
      </c>
      <c r="T173" s="198" t="s">
        <v>278</v>
      </c>
      <c r="U173" s="198" t="s">
        <v>212</v>
      </c>
      <c r="V173" s="198"/>
      <c r="W173" s="205">
        <v>1</v>
      </c>
      <c r="X173" s="198" t="s">
        <v>116</v>
      </c>
    </row>
    <row r="174" spans="2:24">
      <c r="B174" s="496"/>
      <c r="C174" s="496"/>
      <c r="D174" s="209">
        <v>68</v>
      </c>
      <c r="E174" s="198" t="s">
        <v>414</v>
      </c>
      <c r="F174" s="199">
        <v>901.65275675675662</v>
      </c>
      <c r="G174" s="198">
        <v>610.5</v>
      </c>
      <c r="H174" s="267">
        <v>629.25</v>
      </c>
      <c r="I174" s="210">
        <f t="shared" si="18"/>
        <v>1.0307125307125307</v>
      </c>
      <c r="J174" s="198"/>
      <c r="K174" s="210">
        <f t="shared" si="19"/>
        <v>0</v>
      </c>
      <c r="L174" s="267">
        <v>58.21621621621621</v>
      </c>
      <c r="M174" s="211">
        <f t="shared" si="20"/>
        <v>1.0307125307125307</v>
      </c>
      <c r="N174" s="199">
        <v>1091.5540540540539</v>
      </c>
      <c r="O174" s="198">
        <v>3.262</v>
      </c>
      <c r="P174" s="200">
        <v>5.343161343161343E-3</v>
      </c>
      <c r="Q174" s="272">
        <v>189.90129729729728</v>
      </c>
      <c r="R174" s="198">
        <v>15.488</v>
      </c>
      <c r="S174" s="200">
        <v>2.5369369369369368E-2</v>
      </c>
      <c r="T174" s="198" t="s">
        <v>278</v>
      </c>
      <c r="U174" s="198" t="s">
        <v>212</v>
      </c>
      <c r="V174" s="198"/>
      <c r="W174" s="205">
        <v>1</v>
      </c>
      <c r="X174" s="198" t="s">
        <v>117</v>
      </c>
    </row>
    <row r="175" spans="2:24">
      <c r="B175" s="496"/>
      <c r="C175" s="496"/>
      <c r="D175" s="209">
        <v>69</v>
      </c>
      <c r="E175" s="198" t="s">
        <v>401</v>
      </c>
      <c r="F175" s="199">
        <v>769.39899999999909</v>
      </c>
      <c r="G175" s="198">
        <v>62.343000000000004</v>
      </c>
      <c r="H175" s="267">
        <v>63.99</v>
      </c>
      <c r="I175" s="210">
        <f t="shared" si="18"/>
        <v>1.0264183629276742</v>
      </c>
      <c r="J175" s="198"/>
      <c r="K175" s="210">
        <f t="shared" si="19"/>
        <v>0</v>
      </c>
      <c r="L175" s="267">
        <v>617</v>
      </c>
      <c r="M175" s="211">
        <f t="shared" si="20"/>
        <v>1.0264183629276742</v>
      </c>
      <c r="N175" s="199">
        <v>1016.198999999999</v>
      </c>
      <c r="O175" s="198">
        <v>0.4</v>
      </c>
      <c r="P175" s="200">
        <v>6.4161172866239995E-3</v>
      </c>
      <c r="Q175" s="272">
        <v>246.8</v>
      </c>
      <c r="R175" s="198">
        <v>1.2469999999999986</v>
      </c>
      <c r="S175" s="200">
        <v>2.0002245641050295E-2</v>
      </c>
      <c r="T175" s="198" t="s">
        <v>278</v>
      </c>
      <c r="U175" s="198" t="s">
        <v>212</v>
      </c>
      <c r="V175" s="198"/>
      <c r="W175" s="205">
        <v>1</v>
      </c>
      <c r="X175" s="198" t="s">
        <v>118</v>
      </c>
    </row>
    <row r="176" spans="2:24">
      <c r="B176" s="496"/>
      <c r="C176" s="496"/>
      <c r="D176" s="209">
        <v>70</v>
      </c>
      <c r="E176" s="198" t="s">
        <v>408</v>
      </c>
      <c r="F176" s="199">
        <v>752.2899999999986</v>
      </c>
      <c r="G176" s="198">
        <v>163.11500000000001</v>
      </c>
      <c r="H176" s="267">
        <v>168</v>
      </c>
      <c r="I176" s="210">
        <f t="shared" si="18"/>
        <v>1.0299481960579959</v>
      </c>
      <c r="J176" s="198"/>
      <c r="K176" s="210">
        <f t="shared" si="19"/>
        <v>0</v>
      </c>
      <c r="L176" s="267">
        <v>154</v>
      </c>
      <c r="M176" s="211">
        <f t="shared" si="20"/>
        <v>1.0299481960579959</v>
      </c>
      <c r="N176" s="199">
        <v>752.2899999999986</v>
      </c>
      <c r="O176" s="198">
        <v>0</v>
      </c>
      <c r="P176" s="200">
        <v>0</v>
      </c>
      <c r="Q176" s="272">
        <v>0</v>
      </c>
      <c r="R176" s="198">
        <v>4.8849999999999909</v>
      </c>
      <c r="S176" s="200">
        <v>2.9948196057995834E-2</v>
      </c>
      <c r="T176" s="198" t="s">
        <v>315</v>
      </c>
      <c r="U176" s="198" t="s">
        <v>217</v>
      </c>
      <c r="V176" s="198" t="s">
        <v>487</v>
      </c>
      <c r="W176" s="205">
        <v>1</v>
      </c>
      <c r="X176" s="198" t="s">
        <v>136</v>
      </c>
    </row>
    <row r="177" spans="2:24">
      <c r="B177" s="495">
        <v>45887</v>
      </c>
      <c r="C177" s="496" t="s">
        <v>65</v>
      </c>
      <c r="D177" s="209">
        <v>71</v>
      </c>
      <c r="E177" s="198" t="s">
        <v>331</v>
      </c>
      <c r="F177" s="199">
        <v>3916.3040000000001</v>
      </c>
      <c r="G177" s="198">
        <v>243</v>
      </c>
      <c r="H177" s="267">
        <v>257</v>
      </c>
      <c r="I177" s="210">
        <f t="shared" si="18"/>
        <v>1.0576131687242798</v>
      </c>
      <c r="J177" s="198"/>
      <c r="K177" s="210">
        <f t="shared" si="19"/>
        <v>0</v>
      </c>
      <c r="L177" s="267">
        <v>335</v>
      </c>
      <c r="M177" s="211">
        <f t="shared" si="20"/>
        <v>1.0576131687242798</v>
      </c>
      <c r="N177" s="199">
        <v>4694.2</v>
      </c>
      <c r="O177" s="198">
        <v>2.3199999999999998</v>
      </c>
      <c r="P177" s="200">
        <v>9.5473251028806577E-3</v>
      </c>
      <c r="Q177" s="272">
        <v>10890.543999999998</v>
      </c>
      <c r="R177" s="198">
        <v>11.68</v>
      </c>
      <c r="S177" s="200">
        <v>4.8065843621399179E-2</v>
      </c>
      <c r="T177" s="198" t="s">
        <v>315</v>
      </c>
      <c r="U177" s="198" t="s">
        <v>217</v>
      </c>
      <c r="V177" s="198" t="s">
        <v>416</v>
      </c>
      <c r="W177" s="205">
        <v>1</v>
      </c>
      <c r="X177" s="198" t="s">
        <v>114</v>
      </c>
    </row>
    <row r="178" spans="2:24">
      <c r="B178" s="496"/>
      <c r="C178" s="496"/>
      <c r="D178" s="209">
        <v>72</v>
      </c>
      <c r="E178" s="198" t="s">
        <v>283</v>
      </c>
      <c r="F178" s="199">
        <v>3857.9864200000006</v>
      </c>
      <c r="G178" s="198">
        <v>163.44</v>
      </c>
      <c r="H178" s="267">
        <v>188</v>
      </c>
      <c r="I178" s="210">
        <f t="shared" si="18"/>
        <v>1.1502692119432207</v>
      </c>
      <c r="J178" s="198"/>
      <c r="K178" s="210">
        <f t="shared" si="19"/>
        <v>0</v>
      </c>
      <c r="L178" s="267">
        <v>162</v>
      </c>
      <c r="M178" s="211">
        <f t="shared" si="20"/>
        <v>1.1502692119432207</v>
      </c>
      <c r="N178" s="199">
        <v>3988.0528000000004</v>
      </c>
      <c r="O178" s="198">
        <v>0.80100000000000005</v>
      </c>
      <c r="P178" s="200">
        <v>4.9008810572687229E-3</v>
      </c>
      <c r="Q178" s="272">
        <v>3194.4302928000006</v>
      </c>
      <c r="R178" s="198">
        <v>23.759000000000004</v>
      </c>
      <c r="S178" s="200">
        <v>0.14536833088595205</v>
      </c>
      <c r="T178" s="198" t="s">
        <v>326</v>
      </c>
      <c r="U178" s="198" t="s">
        <v>318</v>
      </c>
      <c r="V178" s="198" t="s">
        <v>417</v>
      </c>
      <c r="W178" s="205">
        <v>1</v>
      </c>
      <c r="X178" s="198" t="s">
        <v>121</v>
      </c>
    </row>
    <row r="179" spans="2:24">
      <c r="B179" s="496"/>
      <c r="C179" s="496"/>
      <c r="D179" s="209">
        <v>73</v>
      </c>
      <c r="E179" s="198" t="s">
        <v>447</v>
      </c>
      <c r="F179" s="199">
        <v>1152.8000000000006</v>
      </c>
      <c r="G179" s="198">
        <v>34.235999999999997</v>
      </c>
      <c r="H179" s="267">
        <v>40</v>
      </c>
      <c r="I179" s="210">
        <f t="shared" si="18"/>
        <v>1.168360789811894</v>
      </c>
      <c r="J179" s="198"/>
      <c r="K179" s="210">
        <f t="shared" si="19"/>
        <v>0</v>
      </c>
      <c r="L179" s="267">
        <v>200</v>
      </c>
      <c r="M179" s="211">
        <f t="shared" si="20"/>
        <v>1.168360789811894</v>
      </c>
      <c r="N179" s="199">
        <v>1152.8000000000006</v>
      </c>
      <c r="O179" s="198">
        <v>0</v>
      </c>
      <c r="P179" s="200">
        <v>0</v>
      </c>
      <c r="Q179" s="272">
        <v>0</v>
      </c>
      <c r="R179" s="198">
        <v>5.7640000000000029</v>
      </c>
      <c r="S179" s="200">
        <v>0.16836078981189401</v>
      </c>
      <c r="T179" s="198" t="s">
        <v>278</v>
      </c>
      <c r="U179" s="198" t="s">
        <v>212</v>
      </c>
      <c r="V179" s="198"/>
      <c r="W179" s="205">
        <v>1</v>
      </c>
      <c r="X179" s="198" t="s">
        <v>116</v>
      </c>
    </row>
    <row r="180" spans="2:24">
      <c r="B180" s="496"/>
      <c r="C180" s="496"/>
      <c r="D180" s="209">
        <v>74</v>
      </c>
      <c r="E180" s="198" t="s">
        <v>483</v>
      </c>
      <c r="F180" s="199">
        <v>1141.6150000000002</v>
      </c>
      <c r="G180" s="198">
        <v>26.204999999999998</v>
      </c>
      <c r="H180" s="267">
        <v>32</v>
      </c>
      <c r="I180" s="210">
        <f t="shared" si="18"/>
        <v>1.2211410036252623</v>
      </c>
      <c r="J180" s="198"/>
      <c r="K180" s="210">
        <f t="shared" si="19"/>
        <v>0</v>
      </c>
      <c r="L180" s="267">
        <v>197</v>
      </c>
      <c r="M180" s="211">
        <f t="shared" si="20"/>
        <v>1.2211410036252623</v>
      </c>
      <c r="N180" s="199">
        <v>1141.6150000000002</v>
      </c>
      <c r="O180" s="198">
        <v>0</v>
      </c>
      <c r="P180" s="200">
        <v>0</v>
      </c>
      <c r="Q180" s="272">
        <v>0</v>
      </c>
      <c r="R180" s="198">
        <v>5.7950000000000017</v>
      </c>
      <c r="S180" s="200">
        <v>0.22114100362526243</v>
      </c>
      <c r="T180" s="198" t="s">
        <v>278</v>
      </c>
      <c r="U180" s="198" t="s">
        <v>212</v>
      </c>
      <c r="V180" s="198"/>
      <c r="W180" s="205">
        <v>1</v>
      </c>
      <c r="X180" s="198" t="s">
        <v>125</v>
      </c>
    </row>
    <row r="181" spans="2:24">
      <c r="B181" s="496"/>
      <c r="C181" s="496"/>
      <c r="D181" s="209">
        <v>75</v>
      </c>
      <c r="E181" s="198" t="s">
        <v>298</v>
      </c>
      <c r="F181" s="199">
        <v>1100.3514999999986</v>
      </c>
      <c r="G181" s="198">
        <v>434.6</v>
      </c>
      <c r="H181" s="267">
        <v>442.84800000000001</v>
      </c>
      <c r="I181" s="210">
        <f t="shared" si="18"/>
        <v>1.0189783709157847</v>
      </c>
      <c r="J181" s="198"/>
      <c r="K181" s="210">
        <f t="shared" si="19"/>
        <v>0</v>
      </c>
      <c r="L181" s="267">
        <v>141</v>
      </c>
      <c r="M181" s="211">
        <f t="shared" si="20"/>
        <v>1.0189783709157847</v>
      </c>
      <c r="N181" s="199">
        <v>1159.8337599999986</v>
      </c>
      <c r="O181" s="198">
        <v>0.42299999999999999</v>
      </c>
      <c r="P181" s="200">
        <v>9.7330878969167044E-4</v>
      </c>
      <c r="Q181" s="272">
        <v>490.60968047999938</v>
      </c>
      <c r="R181" s="198">
        <v>7.8249999999999904</v>
      </c>
      <c r="S181" s="200">
        <v>1.8005062126092937E-2</v>
      </c>
      <c r="T181" s="198" t="s">
        <v>278</v>
      </c>
      <c r="U181" s="198" t="s">
        <v>212</v>
      </c>
      <c r="V181" s="198"/>
      <c r="W181" s="205">
        <v>1</v>
      </c>
      <c r="X181" s="198" t="s">
        <v>115</v>
      </c>
    </row>
    <row r="182" spans="2:24">
      <c r="B182" s="496"/>
      <c r="C182" s="496"/>
      <c r="D182" s="209">
        <v>76</v>
      </c>
      <c r="E182" s="198" t="s">
        <v>409</v>
      </c>
      <c r="F182" s="199">
        <v>996.37170000000106</v>
      </c>
      <c r="G182" s="198">
        <v>70.536000000000001</v>
      </c>
      <c r="H182" s="267">
        <v>72.968000000000004</v>
      </c>
      <c r="I182" s="210">
        <f t="shared" si="18"/>
        <v>1.034478847680617</v>
      </c>
      <c r="J182" s="198">
        <v>3</v>
      </c>
      <c r="K182" s="210">
        <f t="shared" si="19"/>
        <v>4.2531473290234774E-2</v>
      </c>
      <c r="L182" s="267">
        <v>420</v>
      </c>
      <c r="M182" s="211">
        <f t="shared" si="20"/>
        <v>1.0770103209708517</v>
      </c>
      <c r="N182" s="199">
        <v>2283.667120000001</v>
      </c>
      <c r="O182" s="198">
        <v>6.2E-2</v>
      </c>
      <c r="P182" s="200">
        <v>8.7898378133151865E-4</v>
      </c>
      <c r="Q182" s="272">
        <v>141.58736144000005</v>
      </c>
      <c r="R182" s="198">
        <v>5.3700000000000019</v>
      </c>
      <c r="S182" s="200">
        <v>7.6131337189520268E-2</v>
      </c>
      <c r="T182" s="198" t="s">
        <v>315</v>
      </c>
      <c r="U182" s="198" t="s">
        <v>217</v>
      </c>
      <c r="V182" s="198" t="s">
        <v>410</v>
      </c>
      <c r="W182" s="205">
        <v>1</v>
      </c>
      <c r="X182" s="198" t="s">
        <v>112</v>
      </c>
    </row>
    <row r="183" spans="2:24">
      <c r="B183" s="496"/>
      <c r="C183" s="496"/>
      <c r="D183" s="209">
        <v>77</v>
      </c>
      <c r="E183" s="198" t="s">
        <v>369</v>
      </c>
      <c r="F183" s="199">
        <v>975.63999000000206</v>
      </c>
      <c r="G183" s="198">
        <v>256.77</v>
      </c>
      <c r="H183" s="267">
        <v>264.267</v>
      </c>
      <c r="I183" s="210">
        <f t="shared" si="18"/>
        <v>1.0291973361373994</v>
      </c>
      <c r="J183" s="198"/>
      <c r="K183" s="210">
        <f t="shared" si="19"/>
        <v>0</v>
      </c>
      <c r="L183" s="267">
        <v>142</v>
      </c>
      <c r="M183" s="211">
        <f t="shared" si="20"/>
        <v>1.0291973361373994</v>
      </c>
      <c r="N183" s="199">
        <v>1063.5993900000021</v>
      </c>
      <c r="O183" s="198">
        <v>0.62</v>
      </c>
      <c r="P183" s="200">
        <v>2.4146122989445809E-3</v>
      </c>
      <c r="Q183" s="272">
        <v>659.43162180000127</v>
      </c>
      <c r="R183" s="198">
        <v>6.877000000000014</v>
      </c>
      <c r="S183" s="200">
        <v>2.6782723838454703E-2</v>
      </c>
      <c r="T183" s="198" t="s">
        <v>278</v>
      </c>
      <c r="U183" s="198" t="s">
        <v>212</v>
      </c>
      <c r="V183" s="198"/>
      <c r="W183" s="205">
        <v>1</v>
      </c>
      <c r="X183" s="198" t="s">
        <v>116</v>
      </c>
    </row>
    <row r="184" spans="2:24">
      <c r="B184" s="496"/>
      <c r="C184" s="496"/>
      <c r="D184" s="209">
        <v>78</v>
      </c>
      <c r="E184" s="198" t="s">
        <v>414</v>
      </c>
      <c r="F184" s="199">
        <v>952.18443243243121</v>
      </c>
      <c r="G184" s="198">
        <v>576.09</v>
      </c>
      <c r="H184" s="267">
        <v>594.11</v>
      </c>
      <c r="I184" s="210">
        <f t="shared" si="18"/>
        <v>1.0312798347480427</v>
      </c>
      <c r="J184" s="198"/>
      <c r="K184" s="210">
        <f t="shared" si="19"/>
        <v>0</v>
      </c>
      <c r="L184" s="267">
        <v>58</v>
      </c>
      <c r="M184" s="211">
        <f t="shared" si="20"/>
        <v>1.0312798347480427</v>
      </c>
      <c r="N184" s="199">
        <v>1049.056216216215</v>
      </c>
      <c r="O184" s="198">
        <v>1.6639999999999999</v>
      </c>
      <c r="P184" s="200">
        <v>2.8884375705184951E-3</v>
      </c>
      <c r="Q184" s="272">
        <v>1745.6295437837816</v>
      </c>
      <c r="R184" s="198">
        <v>16.35599999999998</v>
      </c>
      <c r="S184" s="200">
        <v>2.839139717752431E-2</v>
      </c>
      <c r="T184" s="198" t="s">
        <v>278</v>
      </c>
      <c r="U184" s="198" t="s">
        <v>212</v>
      </c>
      <c r="V184" s="198"/>
      <c r="W184" s="205">
        <v>1</v>
      </c>
      <c r="X184" s="198" t="s">
        <v>117</v>
      </c>
    </row>
    <row r="185" spans="2:24">
      <c r="B185" s="496"/>
      <c r="C185" s="496"/>
      <c r="D185" s="209">
        <v>79</v>
      </c>
      <c r="E185" s="198" t="s">
        <v>375</v>
      </c>
      <c r="F185" s="199">
        <v>886.8254599999957</v>
      </c>
      <c r="G185" s="198">
        <v>705.36</v>
      </c>
      <c r="H185" s="267">
        <v>726.22299999999996</v>
      </c>
      <c r="I185" s="210">
        <f t="shared" si="18"/>
        <v>1.0295778042418056</v>
      </c>
      <c r="J185" s="198"/>
      <c r="K185" s="210">
        <f t="shared" si="19"/>
        <v>0</v>
      </c>
      <c r="L185" s="267">
        <v>77</v>
      </c>
      <c r="M185" s="211">
        <f t="shared" si="20"/>
        <v>1.0295778042418056</v>
      </c>
      <c r="N185" s="199">
        <v>1612.5012699999957</v>
      </c>
      <c r="O185" s="198">
        <v>9.3889999999999993</v>
      </c>
      <c r="P185" s="200">
        <v>1.3310933424067141E-2</v>
      </c>
      <c r="Q185" s="272">
        <v>15139.774424029958</v>
      </c>
      <c r="R185" s="198">
        <v>11.473999999999943</v>
      </c>
      <c r="S185" s="200">
        <v>1.626687081773838E-2</v>
      </c>
      <c r="T185" s="198" t="s">
        <v>278</v>
      </c>
      <c r="U185" s="198" t="s">
        <v>212</v>
      </c>
      <c r="V185" s="198"/>
      <c r="W185" s="205">
        <v>1</v>
      </c>
      <c r="X185" s="198" t="s">
        <v>112</v>
      </c>
    </row>
    <row r="186" spans="2:24">
      <c r="B186" s="496"/>
      <c r="C186" s="496"/>
      <c r="D186" s="209">
        <v>80</v>
      </c>
      <c r="E186" s="198" t="s">
        <v>321</v>
      </c>
      <c r="F186" s="199">
        <v>818.85325999999839</v>
      </c>
      <c r="G186" s="198">
        <v>57.31</v>
      </c>
      <c r="H186" s="267">
        <v>58.5</v>
      </c>
      <c r="I186" s="210">
        <f t="shared" si="18"/>
        <v>1.0207642645262607</v>
      </c>
      <c r="J186" s="198"/>
      <c r="K186" s="210">
        <f t="shared" si="19"/>
        <v>0</v>
      </c>
      <c r="L186" s="267">
        <v>697</v>
      </c>
      <c r="M186" s="211">
        <f t="shared" si="20"/>
        <v>1.0207642645262607</v>
      </c>
      <c r="N186" s="199">
        <v>830.01309999999842</v>
      </c>
      <c r="O186" s="198">
        <v>1.6E-2</v>
      </c>
      <c r="P186" s="200">
        <v>2.7918338858837899E-4</v>
      </c>
      <c r="Q186" s="272">
        <v>13.280209599999974</v>
      </c>
      <c r="R186" s="198">
        <v>1.1739999999999977</v>
      </c>
      <c r="S186" s="200">
        <v>2.0485081137672268E-2</v>
      </c>
      <c r="T186" s="198" t="s">
        <v>278</v>
      </c>
      <c r="U186" s="198" t="s">
        <v>212</v>
      </c>
      <c r="V186" s="198"/>
      <c r="W186" s="205">
        <v>1</v>
      </c>
      <c r="X186" s="198" t="s">
        <v>109</v>
      </c>
    </row>
    <row r="187" spans="2:24">
      <c r="B187" s="495">
        <v>45888</v>
      </c>
      <c r="C187" s="496" t="s">
        <v>66</v>
      </c>
      <c r="D187" s="209">
        <v>81</v>
      </c>
      <c r="E187" s="198" t="s">
        <v>331</v>
      </c>
      <c r="F187" s="199">
        <v>3493.8259999999996</v>
      </c>
      <c r="G187" s="198">
        <v>210.78</v>
      </c>
      <c r="H187" s="267">
        <v>222</v>
      </c>
      <c r="I187" s="210">
        <f t="shared" si="18"/>
        <v>1.0532308568175348</v>
      </c>
      <c r="J187" s="198"/>
      <c r="K187" s="210">
        <f t="shared" si="19"/>
        <v>0</v>
      </c>
      <c r="L187" s="267">
        <v>335.3</v>
      </c>
      <c r="M187" s="211">
        <f t="shared" si="20"/>
        <v>1.0532308568175348</v>
      </c>
      <c r="N187" s="199">
        <v>3762.0659999999998</v>
      </c>
      <c r="O187" s="198">
        <v>0.8</v>
      </c>
      <c r="P187" s="200">
        <v>3.7954265110541801E-3</v>
      </c>
      <c r="Q187" s="272">
        <v>268.24</v>
      </c>
      <c r="R187" s="198">
        <v>10.419999999999998</v>
      </c>
      <c r="S187" s="200">
        <v>4.9435430306480684E-2</v>
      </c>
      <c r="T187" s="198" t="s">
        <v>315</v>
      </c>
      <c r="U187" s="198" t="s">
        <v>217</v>
      </c>
      <c r="V187" s="198" t="s">
        <v>416</v>
      </c>
      <c r="W187" s="205">
        <v>1</v>
      </c>
      <c r="X187" s="198" t="s">
        <v>114</v>
      </c>
    </row>
    <row r="188" spans="2:24">
      <c r="B188" s="496"/>
      <c r="C188" s="496"/>
      <c r="D188" s="209">
        <v>82</v>
      </c>
      <c r="E188" s="198" t="s">
        <v>333</v>
      </c>
      <c r="F188" s="199">
        <v>3362.2133999999992</v>
      </c>
      <c r="G188" s="198">
        <v>1813</v>
      </c>
      <c r="H188" s="267">
        <v>1822.779</v>
      </c>
      <c r="I188" s="210">
        <f t="shared" si="18"/>
        <v>1.0053938223938224</v>
      </c>
      <c r="J188" s="198"/>
      <c r="K188" s="210">
        <f t="shared" si="19"/>
        <v>0</v>
      </c>
      <c r="L188" s="267">
        <v>345.8</v>
      </c>
      <c r="M188" s="211">
        <f t="shared" si="20"/>
        <v>1.0053938223938224</v>
      </c>
      <c r="N188" s="199">
        <v>3381.578199999999</v>
      </c>
      <c r="O188" s="198">
        <v>5.6000000000000001E-2</v>
      </c>
      <c r="P188" s="200">
        <v>3.0888030888030889E-5</v>
      </c>
      <c r="Q188" s="272">
        <v>19.364800000000002</v>
      </c>
      <c r="R188" s="198">
        <v>9.7229999999999972</v>
      </c>
      <c r="S188" s="200">
        <v>5.3629343629343611E-3</v>
      </c>
      <c r="T188" s="198" t="s">
        <v>308</v>
      </c>
      <c r="U188" s="198" t="s">
        <v>276</v>
      </c>
      <c r="V188" s="198"/>
      <c r="W188" s="205">
        <v>1</v>
      </c>
      <c r="X188" s="198" t="s">
        <v>127</v>
      </c>
    </row>
    <row r="189" spans="2:24">
      <c r="B189" s="496"/>
      <c r="C189" s="496"/>
      <c r="D189" s="209">
        <v>83</v>
      </c>
      <c r="E189" s="198" t="s">
        <v>488</v>
      </c>
      <c r="F189" s="199">
        <v>2097.2991999999986</v>
      </c>
      <c r="G189" s="198">
        <v>53.92</v>
      </c>
      <c r="H189" s="267">
        <v>60.8</v>
      </c>
      <c r="I189" s="210">
        <f t="shared" si="18"/>
        <v>1.1275964391691393</v>
      </c>
      <c r="J189" s="198"/>
      <c r="K189" s="210">
        <f t="shared" si="19"/>
        <v>0</v>
      </c>
      <c r="L189" s="267">
        <v>304.83999999999997</v>
      </c>
      <c r="M189" s="211">
        <f t="shared" si="20"/>
        <v>1.1275964391691393</v>
      </c>
      <c r="N189" s="199">
        <v>2097.2991999999986</v>
      </c>
      <c r="O189" s="198">
        <v>0</v>
      </c>
      <c r="P189" s="200">
        <v>0</v>
      </c>
      <c r="Q189" s="272">
        <v>0</v>
      </c>
      <c r="R189" s="198">
        <v>6.8799999999999955</v>
      </c>
      <c r="S189" s="200">
        <v>0.12759643916913938</v>
      </c>
      <c r="T189" s="198" t="s">
        <v>278</v>
      </c>
      <c r="U189" s="198" t="s">
        <v>212</v>
      </c>
      <c r="V189" s="198" t="s">
        <v>489</v>
      </c>
      <c r="W189" s="205">
        <v>1</v>
      </c>
      <c r="X189" s="198" t="s">
        <v>110</v>
      </c>
    </row>
    <row r="190" spans="2:24" ht="16.5">
      <c r="B190" s="496"/>
      <c r="C190" s="496"/>
      <c r="D190" s="209">
        <v>84</v>
      </c>
      <c r="E190" s="198" t="s">
        <v>485</v>
      </c>
      <c r="F190" s="199">
        <v>1795.1999999999998</v>
      </c>
      <c r="G190" s="198">
        <v>89.024000000000001</v>
      </c>
      <c r="H190" s="267">
        <v>98</v>
      </c>
      <c r="I190" s="210">
        <f t="shared" si="18"/>
        <v>1.1008267433501078</v>
      </c>
      <c r="J190" s="198"/>
      <c r="K190" s="210">
        <f t="shared" si="19"/>
        <v>0</v>
      </c>
      <c r="L190" s="267">
        <v>200</v>
      </c>
      <c r="M190" s="211">
        <f t="shared" si="20"/>
        <v>1.1008267433501078</v>
      </c>
      <c r="N190" s="199">
        <v>1795.1999999999998</v>
      </c>
      <c r="O190" s="198">
        <v>0</v>
      </c>
      <c r="P190" s="200">
        <v>0</v>
      </c>
      <c r="Q190" s="272">
        <v>0</v>
      </c>
      <c r="R190" s="198">
        <v>8.9759999999999991</v>
      </c>
      <c r="S190" s="200">
        <v>0.10082674335010783</v>
      </c>
      <c r="T190" s="198" t="s">
        <v>278</v>
      </c>
      <c r="U190" s="198" t="s">
        <v>212</v>
      </c>
      <c r="V190" s="264" t="s">
        <v>490</v>
      </c>
      <c r="W190" s="205">
        <v>1</v>
      </c>
      <c r="X190" s="198" t="s">
        <v>109</v>
      </c>
    </row>
    <row r="191" spans="2:24" ht="16.5">
      <c r="B191" s="496"/>
      <c r="C191" s="496"/>
      <c r="D191" s="209">
        <v>85</v>
      </c>
      <c r="E191" s="198" t="s">
        <v>491</v>
      </c>
      <c r="F191" s="199">
        <v>1533.6699999999971</v>
      </c>
      <c r="G191" s="198">
        <v>63.511000000000003</v>
      </c>
      <c r="H191" s="267">
        <v>65</v>
      </c>
      <c r="I191" s="210">
        <f t="shared" si="18"/>
        <v>1.0234447576010455</v>
      </c>
      <c r="J191" s="198"/>
      <c r="K191" s="210">
        <f t="shared" si="19"/>
        <v>0</v>
      </c>
      <c r="L191" s="267">
        <v>1030</v>
      </c>
      <c r="M191" s="211">
        <f t="shared" si="20"/>
        <v>1.0234447576010455</v>
      </c>
      <c r="N191" s="199">
        <v>1533.6699999999971</v>
      </c>
      <c r="O191" s="198">
        <v>0</v>
      </c>
      <c r="P191" s="200">
        <v>0</v>
      </c>
      <c r="Q191" s="272">
        <v>0</v>
      </c>
      <c r="R191" s="198">
        <v>1.4889999999999972</v>
      </c>
      <c r="S191" s="200">
        <v>2.3444757601045443E-2</v>
      </c>
      <c r="T191" s="198" t="s">
        <v>278</v>
      </c>
      <c r="U191" s="198" t="s">
        <v>212</v>
      </c>
      <c r="V191" s="264" t="s">
        <v>492</v>
      </c>
      <c r="W191" s="205">
        <v>1</v>
      </c>
      <c r="X191" s="198" t="s">
        <v>432</v>
      </c>
    </row>
    <row r="192" spans="2:24" ht="16.5">
      <c r="B192" s="496"/>
      <c r="C192" s="496"/>
      <c r="D192" s="209">
        <v>86</v>
      </c>
      <c r="E192" s="198" t="s">
        <v>375</v>
      </c>
      <c r="F192" s="199">
        <v>1397.325910000005</v>
      </c>
      <c r="G192" s="198">
        <v>665.52</v>
      </c>
      <c r="H192" s="267">
        <v>685.17600000000004</v>
      </c>
      <c r="I192" s="210">
        <f t="shared" si="18"/>
        <v>1.029534799855752</v>
      </c>
      <c r="J192" s="198"/>
      <c r="K192" s="210">
        <f t="shared" si="19"/>
        <v>0</v>
      </c>
      <c r="L192" s="267">
        <v>77.290000000000006</v>
      </c>
      <c r="M192" s="211">
        <f t="shared" si="20"/>
        <v>1.029534799855752</v>
      </c>
      <c r="N192" s="199">
        <v>1519.2122400000051</v>
      </c>
      <c r="O192" s="198">
        <v>1.577</v>
      </c>
      <c r="P192" s="200">
        <v>2.3695756701526626E-3</v>
      </c>
      <c r="Q192" s="272">
        <v>121.88633</v>
      </c>
      <c r="R192" s="198">
        <v>18.079000000000065</v>
      </c>
      <c r="S192" s="200">
        <v>2.7165224185599329E-2</v>
      </c>
      <c r="T192" s="198" t="s">
        <v>278</v>
      </c>
      <c r="U192" s="198" t="s">
        <v>212</v>
      </c>
      <c r="V192" s="264" t="s">
        <v>493</v>
      </c>
      <c r="W192" s="205">
        <v>1</v>
      </c>
      <c r="X192" s="198" t="s">
        <v>112</v>
      </c>
    </row>
    <row r="193" spans="2:24">
      <c r="B193" s="496"/>
      <c r="C193" s="496"/>
      <c r="D193" s="209">
        <v>87</v>
      </c>
      <c r="E193" s="198" t="s">
        <v>440</v>
      </c>
      <c r="F193" s="199">
        <v>1009.2516000000032</v>
      </c>
      <c r="G193" s="198">
        <v>998.03</v>
      </c>
      <c r="H193" s="267">
        <v>1008</v>
      </c>
      <c r="I193" s="210">
        <f t="shared" si="18"/>
        <v>1.0099896796689478</v>
      </c>
      <c r="J193" s="198"/>
      <c r="K193" s="210">
        <f t="shared" si="19"/>
        <v>0</v>
      </c>
      <c r="L193" s="267">
        <v>115.08</v>
      </c>
      <c r="M193" s="211">
        <f t="shared" si="20"/>
        <v>1.0099896796689478</v>
      </c>
      <c r="N193" s="199">
        <v>1147.347600000003</v>
      </c>
      <c r="O193" s="198">
        <v>1.2</v>
      </c>
      <c r="P193" s="200">
        <v>1.202368666272557E-3</v>
      </c>
      <c r="Q193" s="272">
        <v>138.096</v>
      </c>
      <c r="R193" s="198">
        <v>8.770000000000028</v>
      </c>
      <c r="S193" s="200">
        <v>8.7873110026752983E-3</v>
      </c>
      <c r="T193" s="198" t="s">
        <v>308</v>
      </c>
      <c r="U193" s="198" t="s">
        <v>276</v>
      </c>
      <c r="V193" s="198"/>
      <c r="W193" s="205">
        <v>1</v>
      </c>
      <c r="X193" s="198" t="s">
        <v>432</v>
      </c>
    </row>
    <row r="194" spans="2:24">
      <c r="B194" s="496"/>
      <c r="C194" s="496"/>
      <c r="D194" s="209">
        <v>88</v>
      </c>
      <c r="E194" s="198" t="s">
        <v>323</v>
      </c>
      <c r="F194" s="199">
        <v>956.49707999999907</v>
      </c>
      <c r="G194" s="198">
        <v>92.316000000000003</v>
      </c>
      <c r="H194" s="267">
        <v>97</v>
      </c>
      <c r="I194" s="210">
        <f t="shared" si="18"/>
        <v>1.0507387668443173</v>
      </c>
      <c r="J194" s="198"/>
      <c r="K194" s="210">
        <f t="shared" si="19"/>
        <v>0</v>
      </c>
      <c r="L194" s="267">
        <v>356.37</v>
      </c>
      <c r="M194" s="211">
        <f t="shared" si="20"/>
        <v>1.0507387668443173</v>
      </c>
      <c r="N194" s="199">
        <v>1669.2370799999992</v>
      </c>
      <c r="O194" s="198">
        <v>2</v>
      </c>
      <c r="P194" s="200">
        <v>2.1664716842150874E-2</v>
      </c>
      <c r="Q194" s="272">
        <v>712.74</v>
      </c>
      <c r="R194" s="198">
        <v>2.6839999999999975</v>
      </c>
      <c r="S194" s="200">
        <v>2.9074050002166445E-2</v>
      </c>
      <c r="T194" s="198" t="s">
        <v>315</v>
      </c>
      <c r="U194" s="198" t="s">
        <v>217</v>
      </c>
      <c r="V194" s="198" t="s">
        <v>423</v>
      </c>
      <c r="W194" s="205">
        <v>1</v>
      </c>
      <c r="X194" s="198" t="s">
        <v>111</v>
      </c>
    </row>
    <row r="195" spans="2:24" ht="16.5">
      <c r="B195" s="496"/>
      <c r="C195" s="496"/>
      <c r="D195" s="209">
        <v>89</v>
      </c>
      <c r="E195" s="198" t="s">
        <v>494</v>
      </c>
      <c r="F195" s="199">
        <v>898.64000000000033</v>
      </c>
      <c r="G195" s="198">
        <v>16.175999999999998</v>
      </c>
      <c r="H195" s="267">
        <v>20</v>
      </c>
      <c r="I195" s="210">
        <f t="shared" si="18"/>
        <v>1.2363996043521268</v>
      </c>
      <c r="J195" s="198"/>
      <c r="K195" s="210">
        <f t="shared" si="19"/>
        <v>0</v>
      </c>
      <c r="L195" s="267">
        <v>235</v>
      </c>
      <c r="M195" s="211">
        <f t="shared" si="20"/>
        <v>1.2363996043521268</v>
      </c>
      <c r="N195" s="199">
        <v>898.64000000000033</v>
      </c>
      <c r="O195" s="198">
        <v>0</v>
      </c>
      <c r="P195" s="200">
        <v>0</v>
      </c>
      <c r="Q195" s="272">
        <v>0</v>
      </c>
      <c r="R195" s="198">
        <v>3.8240000000000016</v>
      </c>
      <c r="S195" s="200">
        <v>0.23639960435212673</v>
      </c>
      <c r="T195" s="198" t="s">
        <v>278</v>
      </c>
      <c r="U195" s="198" t="s">
        <v>212</v>
      </c>
      <c r="V195" s="264" t="s">
        <v>495</v>
      </c>
      <c r="W195" s="205">
        <v>1</v>
      </c>
      <c r="X195" s="198" t="s">
        <v>110</v>
      </c>
    </row>
    <row r="196" spans="2:24" ht="16.5">
      <c r="B196" s="496"/>
      <c r="C196" s="496"/>
      <c r="D196" s="209">
        <v>90</v>
      </c>
      <c r="E196" s="198" t="s">
        <v>369</v>
      </c>
      <c r="F196" s="199">
        <v>864.55578000000082</v>
      </c>
      <c r="G196" s="198">
        <v>227.88</v>
      </c>
      <c r="H196" s="267">
        <v>234.036</v>
      </c>
      <c r="I196" s="210">
        <f t="shared" si="18"/>
        <v>1.0270142180094788</v>
      </c>
      <c r="J196" s="198"/>
      <c r="K196" s="210">
        <f t="shared" si="19"/>
        <v>0</v>
      </c>
      <c r="L196" s="267">
        <v>141.87</v>
      </c>
      <c r="M196" s="211">
        <f t="shared" si="20"/>
        <v>1.0270142180094788</v>
      </c>
      <c r="N196" s="199">
        <v>873.35172000000091</v>
      </c>
      <c r="O196" s="198">
        <v>6.2E-2</v>
      </c>
      <c r="P196" s="200">
        <v>2.7207302088818675E-4</v>
      </c>
      <c r="Q196" s="272">
        <v>8.7959399999999999</v>
      </c>
      <c r="R196" s="198">
        <v>6.0940000000000056</v>
      </c>
      <c r="S196" s="200">
        <v>2.674214498859051E-2</v>
      </c>
      <c r="T196" s="198" t="s">
        <v>278</v>
      </c>
      <c r="U196" s="198" t="s">
        <v>212</v>
      </c>
      <c r="V196" s="264" t="s">
        <v>493</v>
      </c>
      <c r="W196" s="205">
        <v>1</v>
      </c>
      <c r="X196" s="198" t="s">
        <v>116</v>
      </c>
    </row>
    <row r="197" spans="2:24">
      <c r="B197" s="495">
        <v>45889</v>
      </c>
      <c r="C197" s="496" t="s">
        <v>67</v>
      </c>
      <c r="D197" s="209">
        <v>91</v>
      </c>
      <c r="E197" s="198" t="s">
        <v>331</v>
      </c>
      <c r="F197" s="199">
        <v>3010.9940000000001</v>
      </c>
      <c r="G197" s="198">
        <v>209.22</v>
      </c>
      <c r="H197" s="267">
        <v>222</v>
      </c>
      <c r="I197" s="210">
        <f t="shared" si="18"/>
        <v>1.0610840263837109</v>
      </c>
      <c r="J197" s="198"/>
      <c r="K197" s="210">
        <f t="shared" si="19"/>
        <v>0</v>
      </c>
      <c r="L197" s="267">
        <v>335.3</v>
      </c>
      <c r="M197" s="211">
        <f t="shared" si="20"/>
        <v>1.0610840263837109</v>
      </c>
      <c r="N197" s="199">
        <v>4285.1340000000009</v>
      </c>
      <c r="O197" s="198">
        <v>3.8</v>
      </c>
      <c r="P197" s="200">
        <v>1.8162699550712168E-2</v>
      </c>
      <c r="Q197" s="272">
        <v>1274.1399999999999</v>
      </c>
      <c r="R197" s="198">
        <v>8.98</v>
      </c>
      <c r="S197" s="200">
        <v>4.2921326832998763E-2</v>
      </c>
      <c r="T197" s="198" t="s">
        <v>315</v>
      </c>
      <c r="U197" s="198" t="s">
        <v>217</v>
      </c>
      <c r="V197" s="198" t="s">
        <v>442</v>
      </c>
      <c r="W197" s="205">
        <v>1</v>
      </c>
      <c r="X197" s="198" t="s">
        <v>114</v>
      </c>
    </row>
    <row r="198" spans="2:24">
      <c r="B198" s="496"/>
      <c r="C198" s="496"/>
      <c r="D198" s="209">
        <v>92</v>
      </c>
      <c r="E198" s="198" t="s">
        <v>323</v>
      </c>
      <c r="F198" s="199">
        <v>1360.2642899999996</v>
      </c>
      <c r="G198" s="198">
        <v>101.283</v>
      </c>
      <c r="H198" s="267">
        <v>106</v>
      </c>
      <c r="I198" s="210">
        <f t="shared" si="18"/>
        <v>1.0465724751439036</v>
      </c>
      <c r="J198" s="198"/>
      <c r="K198" s="210">
        <f t="shared" si="19"/>
        <v>0</v>
      </c>
      <c r="L198" s="267">
        <v>356.37</v>
      </c>
      <c r="M198" s="211">
        <f t="shared" si="20"/>
        <v>1.0465724751439036</v>
      </c>
      <c r="N198" s="199">
        <v>1680.9972899999996</v>
      </c>
      <c r="O198" s="198">
        <v>0.9</v>
      </c>
      <c r="P198" s="200">
        <v>8.8859927134859757E-3</v>
      </c>
      <c r="Q198" s="272">
        <v>320.733</v>
      </c>
      <c r="R198" s="198">
        <v>3.8169999999999988</v>
      </c>
      <c r="S198" s="200">
        <v>3.768648243041773E-2</v>
      </c>
      <c r="T198" s="198" t="s">
        <v>315</v>
      </c>
      <c r="U198" s="198" t="s">
        <v>217</v>
      </c>
      <c r="V198" s="198" t="s">
        <v>423</v>
      </c>
      <c r="W198" s="205">
        <v>1</v>
      </c>
      <c r="X198" s="198" t="s">
        <v>111</v>
      </c>
    </row>
    <row r="199" spans="2:24" ht="16.5">
      <c r="B199" s="496"/>
      <c r="C199" s="496"/>
      <c r="D199" s="209">
        <v>93</v>
      </c>
      <c r="E199" s="198" t="s">
        <v>440</v>
      </c>
      <c r="F199" s="199">
        <v>1290.5071200000014</v>
      </c>
      <c r="G199" s="198">
        <v>589.71</v>
      </c>
      <c r="H199" s="267">
        <v>601.92100000000005</v>
      </c>
      <c r="I199" s="210">
        <f t="shared" si="18"/>
        <v>1.0207067880822778</v>
      </c>
      <c r="J199" s="198"/>
      <c r="K199" s="210">
        <f t="shared" si="19"/>
        <v>0</v>
      </c>
      <c r="L199" s="267">
        <v>115.08</v>
      </c>
      <c r="M199" s="211">
        <f t="shared" si="20"/>
        <v>1.0207067880822778</v>
      </c>
      <c r="N199" s="199">
        <v>1405.2418800000014</v>
      </c>
      <c r="O199" s="198">
        <v>0.997</v>
      </c>
      <c r="P199" s="200">
        <v>1.6906615115904427E-3</v>
      </c>
      <c r="Q199" s="272">
        <v>114.73475999999999</v>
      </c>
      <c r="R199" s="198">
        <v>11.214000000000013</v>
      </c>
      <c r="S199" s="200">
        <v>1.9016126570687308E-2</v>
      </c>
      <c r="T199" s="198" t="s">
        <v>278</v>
      </c>
      <c r="U199" s="198" t="s">
        <v>212</v>
      </c>
      <c r="V199" s="264" t="s">
        <v>496</v>
      </c>
      <c r="W199" s="205">
        <v>1</v>
      </c>
      <c r="X199" s="198" t="s">
        <v>432</v>
      </c>
    </row>
    <row r="200" spans="2:24" ht="16.5">
      <c r="B200" s="496"/>
      <c r="C200" s="496"/>
      <c r="D200" s="209">
        <v>94</v>
      </c>
      <c r="E200" s="198" t="s">
        <v>375</v>
      </c>
      <c r="F200" s="199">
        <v>1140.1047899999987</v>
      </c>
      <c r="G200" s="198">
        <v>649.91999999999996</v>
      </c>
      <c r="H200" s="267">
        <v>666.76199999999994</v>
      </c>
      <c r="I200" s="210">
        <f t="shared" ref="I200:I263" si="21">H200/G200</f>
        <v>1.0259139586410635</v>
      </c>
      <c r="J200" s="198"/>
      <c r="K200" s="210">
        <f t="shared" ref="K200:K263" si="22">J200/G200</f>
        <v>0</v>
      </c>
      <c r="L200" s="267">
        <v>77.290000000000006</v>
      </c>
      <c r="M200" s="211">
        <f t="shared" ref="M200:M263" si="23">(H200+J200)/G200</f>
        <v>1.0259139586410635</v>
      </c>
      <c r="N200" s="199">
        <v>1301.7181799999989</v>
      </c>
      <c r="O200" s="198">
        <v>2.0910000000000002</v>
      </c>
      <c r="P200" s="200">
        <v>3.2173190546528809E-3</v>
      </c>
      <c r="Q200" s="272">
        <v>161.61339000000004</v>
      </c>
      <c r="R200" s="198">
        <v>14.750999999999983</v>
      </c>
      <c r="S200" s="200">
        <v>2.2696639586410612E-2</v>
      </c>
      <c r="T200" s="198" t="s">
        <v>278</v>
      </c>
      <c r="U200" s="198" t="s">
        <v>212</v>
      </c>
      <c r="V200" s="264" t="s">
        <v>492</v>
      </c>
      <c r="W200" s="205">
        <v>1</v>
      </c>
      <c r="X200" s="198" t="s">
        <v>112</v>
      </c>
    </row>
    <row r="201" spans="2:24">
      <c r="B201" s="496"/>
      <c r="C201" s="496"/>
      <c r="D201" s="209">
        <v>95</v>
      </c>
      <c r="E201" s="198" t="s">
        <v>424</v>
      </c>
      <c r="F201" s="199">
        <v>1026.8440000000012</v>
      </c>
      <c r="G201" s="198">
        <v>169.04</v>
      </c>
      <c r="H201" s="267">
        <v>181.864</v>
      </c>
      <c r="I201" s="210">
        <f t="shared" si="21"/>
        <v>1.0758637008991956</v>
      </c>
      <c r="J201" s="198"/>
      <c r="K201" s="210">
        <f t="shared" si="22"/>
        <v>0</v>
      </c>
      <c r="L201" s="267">
        <v>98</v>
      </c>
      <c r="M201" s="211">
        <f t="shared" si="23"/>
        <v>1.0758637008991956</v>
      </c>
      <c r="N201" s="199">
        <v>1256.7520000000013</v>
      </c>
      <c r="O201" s="198">
        <v>2.3460000000000001</v>
      </c>
      <c r="P201" s="200">
        <v>1.3878371982962613E-2</v>
      </c>
      <c r="Q201" s="272">
        <v>229.90800000000002</v>
      </c>
      <c r="R201" s="198">
        <v>10.478000000000012</v>
      </c>
      <c r="S201" s="200">
        <v>6.1985328916232922E-2</v>
      </c>
      <c r="T201" s="198" t="s">
        <v>326</v>
      </c>
      <c r="U201" s="198" t="s">
        <v>318</v>
      </c>
      <c r="V201" s="198" t="s">
        <v>417</v>
      </c>
      <c r="W201" s="205">
        <v>1</v>
      </c>
      <c r="X201" s="198" t="s">
        <v>118</v>
      </c>
    </row>
    <row r="202" spans="2:24" ht="16.5">
      <c r="B202" s="496"/>
      <c r="C202" s="496"/>
      <c r="D202" s="209">
        <v>96</v>
      </c>
      <c r="E202" s="198" t="s">
        <v>447</v>
      </c>
      <c r="F202" s="199">
        <v>1012.284</v>
      </c>
      <c r="G202" s="198">
        <v>13.086</v>
      </c>
      <c r="H202" s="267">
        <v>18</v>
      </c>
      <c r="I202" s="210">
        <f t="shared" si="21"/>
        <v>1.3755158184319118</v>
      </c>
      <c r="J202" s="198"/>
      <c r="K202" s="210">
        <f t="shared" si="22"/>
        <v>0</v>
      </c>
      <c r="L202" s="267">
        <v>206</v>
      </c>
      <c r="M202" s="211">
        <f t="shared" si="23"/>
        <v>1.3755158184319118</v>
      </c>
      <c r="N202" s="199">
        <v>1012.284</v>
      </c>
      <c r="O202" s="198">
        <v>0</v>
      </c>
      <c r="P202" s="200">
        <v>0</v>
      </c>
      <c r="Q202" s="272">
        <v>0</v>
      </c>
      <c r="R202" s="198">
        <v>4.9139999999999997</v>
      </c>
      <c r="S202" s="200">
        <v>0.37551581843191195</v>
      </c>
      <c r="T202" s="198" t="s">
        <v>278</v>
      </c>
      <c r="U202" s="198" t="s">
        <v>212</v>
      </c>
      <c r="V202" s="264" t="s">
        <v>497</v>
      </c>
      <c r="W202" s="205">
        <v>1</v>
      </c>
      <c r="X202" s="198" t="s">
        <v>317</v>
      </c>
    </row>
    <row r="203" spans="2:24" ht="16.5">
      <c r="B203" s="496"/>
      <c r="C203" s="496"/>
      <c r="D203" s="209">
        <v>97</v>
      </c>
      <c r="E203" s="198" t="s">
        <v>298</v>
      </c>
      <c r="F203" s="199">
        <v>962.54389999999592</v>
      </c>
      <c r="G203" s="198">
        <v>422.6</v>
      </c>
      <c r="H203" s="267">
        <v>432.44499999999999</v>
      </c>
      <c r="I203" s="210">
        <f t="shared" si="21"/>
        <v>1.0232962612399432</v>
      </c>
      <c r="J203" s="198"/>
      <c r="K203" s="210">
        <f t="shared" si="22"/>
        <v>0</v>
      </c>
      <c r="L203" s="267">
        <v>140.62</v>
      </c>
      <c r="M203" s="211">
        <f t="shared" si="23"/>
        <v>1.0232962612399432</v>
      </c>
      <c r="N203" s="199">
        <v>1384.4038999999959</v>
      </c>
      <c r="O203" s="198">
        <v>3</v>
      </c>
      <c r="P203" s="200">
        <v>7.0989115002366302E-3</v>
      </c>
      <c r="Q203" s="272">
        <v>421.86</v>
      </c>
      <c r="R203" s="198">
        <v>6.8449999999999704</v>
      </c>
      <c r="S203" s="200">
        <v>1.6197349739706508E-2</v>
      </c>
      <c r="T203" s="198" t="s">
        <v>278</v>
      </c>
      <c r="U203" s="198" t="s">
        <v>212</v>
      </c>
      <c r="V203" s="264" t="s">
        <v>498</v>
      </c>
      <c r="W203" s="205">
        <v>1</v>
      </c>
      <c r="X203" s="198" t="s">
        <v>115</v>
      </c>
    </row>
    <row r="204" spans="2:24">
      <c r="B204" s="496"/>
      <c r="C204" s="496"/>
      <c r="D204" s="209">
        <v>98</v>
      </c>
      <c r="E204" s="198" t="s">
        <v>421</v>
      </c>
      <c r="F204" s="199">
        <v>960.44331000000693</v>
      </c>
      <c r="G204" s="198">
        <v>589.92999999999995</v>
      </c>
      <c r="H204" s="267">
        <v>595.04399999999998</v>
      </c>
      <c r="I204" s="210">
        <f t="shared" si="21"/>
        <v>1.0086688251148441</v>
      </c>
      <c r="J204" s="198"/>
      <c r="K204" s="210">
        <f t="shared" si="22"/>
        <v>0</v>
      </c>
      <c r="L204" s="267">
        <v>216.17</v>
      </c>
      <c r="M204" s="211">
        <f t="shared" si="23"/>
        <v>1.0086688251148441</v>
      </c>
      <c r="N204" s="199">
        <v>1105.4933800000069</v>
      </c>
      <c r="O204" s="198">
        <v>0.67100000000000004</v>
      </c>
      <c r="P204" s="200">
        <v>1.1374230840947232E-3</v>
      </c>
      <c r="Q204" s="272">
        <v>145.05007000000001</v>
      </c>
      <c r="R204" s="198">
        <v>4.4430000000000325</v>
      </c>
      <c r="S204" s="200">
        <v>7.5314020307494667E-3</v>
      </c>
      <c r="T204" s="198" t="s">
        <v>278</v>
      </c>
      <c r="U204" s="198" t="s">
        <v>212</v>
      </c>
      <c r="V204" s="198"/>
      <c r="W204" s="205">
        <v>1</v>
      </c>
      <c r="X204" s="198" t="s">
        <v>127</v>
      </c>
    </row>
    <row r="205" spans="2:24" ht="16.5">
      <c r="B205" s="496"/>
      <c r="C205" s="496"/>
      <c r="D205" s="209">
        <v>99</v>
      </c>
      <c r="E205" s="198" t="s">
        <v>414</v>
      </c>
      <c r="F205" s="199">
        <v>923.13454054053932</v>
      </c>
      <c r="G205" s="198">
        <v>575.35</v>
      </c>
      <c r="H205" s="267">
        <v>592.495</v>
      </c>
      <c r="I205" s="210">
        <f t="shared" si="21"/>
        <v>1.0297992526288346</v>
      </c>
      <c r="J205" s="198"/>
      <c r="K205" s="210">
        <f t="shared" si="22"/>
        <v>0</v>
      </c>
      <c r="L205" s="267">
        <v>58.21621621621621</v>
      </c>
      <c r="M205" s="211">
        <f t="shared" si="23"/>
        <v>1.0297992526288346</v>
      </c>
      <c r="N205" s="199">
        <v>998.11702702702587</v>
      </c>
      <c r="O205" s="198">
        <v>1.288</v>
      </c>
      <c r="P205" s="200">
        <v>2.238637351177544E-3</v>
      </c>
      <c r="Q205" s="272">
        <v>74.982486486486479</v>
      </c>
      <c r="R205" s="198">
        <v>15.856999999999982</v>
      </c>
      <c r="S205" s="200">
        <v>2.7560615277657047E-2</v>
      </c>
      <c r="T205" s="198" t="s">
        <v>278</v>
      </c>
      <c r="U205" s="198" t="s">
        <v>212</v>
      </c>
      <c r="V205" s="264" t="s">
        <v>499</v>
      </c>
      <c r="W205" s="205">
        <v>1</v>
      </c>
      <c r="X205" s="198" t="s">
        <v>117</v>
      </c>
    </row>
    <row r="206" spans="2:24">
      <c r="B206" s="496"/>
      <c r="C206" s="496"/>
      <c r="D206" s="209">
        <v>100</v>
      </c>
      <c r="E206" s="198" t="s">
        <v>333</v>
      </c>
      <c r="F206" s="199">
        <v>897.00520000004656</v>
      </c>
      <c r="G206" s="198">
        <v>1072.5999999999999</v>
      </c>
      <c r="H206" s="267">
        <v>1075.902</v>
      </c>
      <c r="I206" s="210">
        <f t="shared" si="21"/>
        <v>1.0030785008390828</v>
      </c>
      <c r="J206" s="198"/>
      <c r="K206" s="210">
        <f t="shared" si="22"/>
        <v>0</v>
      </c>
      <c r="L206" s="267">
        <v>345.8</v>
      </c>
      <c r="M206" s="211">
        <f t="shared" si="23"/>
        <v>1.0030785008390828</v>
      </c>
      <c r="N206" s="199">
        <v>1141.8316000000466</v>
      </c>
      <c r="O206" s="198">
        <v>0.70799999999999996</v>
      </c>
      <c r="P206" s="200">
        <v>6.6007831437628198E-4</v>
      </c>
      <c r="Q206" s="272">
        <v>244.82640000000001</v>
      </c>
      <c r="R206" s="198">
        <v>2.5940000000001344</v>
      </c>
      <c r="S206" s="200">
        <v>2.4184225247064466E-3</v>
      </c>
      <c r="T206" s="198" t="s">
        <v>278</v>
      </c>
      <c r="U206" s="198" t="s">
        <v>212</v>
      </c>
      <c r="V206" s="198"/>
      <c r="W206" s="205">
        <v>1</v>
      </c>
      <c r="X206" s="198" t="s">
        <v>127</v>
      </c>
    </row>
    <row r="207" spans="2:24">
      <c r="B207" s="495">
        <v>45890</v>
      </c>
      <c r="C207" s="496" t="s">
        <v>68</v>
      </c>
      <c r="D207" s="209">
        <v>101</v>
      </c>
      <c r="E207" s="198" t="s">
        <v>331</v>
      </c>
      <c r="F207" s="199">
        <v>4790.0958000000046</v>
      </c>
      <c r="G207" s="198">
        <v>190.14</v>
      </c>
      <c r="H207" s="267">
        <v>204.857</v>
      </c>
      <c r="I207" s="210">
        <f t="shared" si="21"/>
        <v>1.0774008625223521</v>
      </c>
      <c r="J207" s="198"/>
      <c r="K207" s="210">
        <f t="shared" si="22"/>
        <v>0</v>
      </c>
      <c r="L207" s="267">
        <v>335.3</v>
      </c>
      <c r="M207" s="211">
        <f t="shared" si="23"/>
        <v>1.0774008625223521</v>
      </c>
      <c r="N207" s="199">
        <v>4934.6101000000044</v>
      </c>
      <c r="O207" s="198">
        <v>0.43099999999999999</v>
      </c>
      <c r="P207" s="200">
        <v>2.2667508151888085E-3</v>
      </c>
      <c r="Q207" s="272">
        <v>144.51429999999999</v>
      </c>
      <c r="R207" s="198">
        <v>14.286000000000014</v>
      </c>
      <c r="S207" s="200">
        <v>7.513411170716322E-2</v>
      </c>
      <c r="T207" s="198" t="s">
        <v>315</v>
      </c>
      <c r="U207" s="198" t="s">
        <v>217</v>
      </c>
      <c r="V207" s="198" t="s">
        <v>416</v>
      </c>
      <c r="W207" s="205">
        <v>1</v>
      </c>
      <c r="X207" s="198" t="s">
        <v>114</v>
      </c>
    </row>
    <row r="208" spans="2:24" ht="16.5">
      <c r="B208" s="496"/>
      <c r="C208" s="496"/>
      <c r="D208" s="209">
        <v>102</v>
      </c>
      <c r="E208" s="198" t="s">
        <v>421</v>
      </c>
      <c r="F208" s="199">
        <v>3581.0722199999987</v>
      </c>
      <c r="G208" s="198">
        <v>554.17999999999995</v>
      </c>
      <c r="H208" s="267">
        <v>570.88699999999994</v>
      </c>
      <c r="I208" s="210">
        <f t="shared" si="21"/>
        <v>1.0301472445775741</v>
      </c>
      <c r="J208" s="198"/>
      <c r="K208" s="210">
        <f t="shared" si="22"/>
        <v>0</v>
      </c>
      <c r="L208" s="267">
        <v>216.17</v>
      </c>
      <c r="M208" s="211">
        <f t="shared" si="23"/>
        <v>1.0301472445775741</v>
      </c>
      <c r="N208" s="199">
        <v>3611.5521899999985</v>
      </c>
      <c r="O208" s="198">
        <v>0.14099999999999999</v>
      </c>
      <c r="P208" s="200">
        <v>2.5442996860225919E-4</v>
      </c>
      <c r="Q208" s="272">
        <v>30.479969999999994</v>
      </c>
      <c r="R208" s="198">
        <v>16.565999999999995</v>
      </c>
      <c r="S208" s="200">
        <v>2.9892814608971807E-2</v>
      </c>
      <c r="T208" s="198" t="s">
        <v>278</v>
      </c>
      <c r="U208" s="198" t="s">
        <v>212</v>
      </c>
      <c r="V208" s="264" t="s">
        <v>500</v>
      </c>
      <c r="W208" s="205">
        <v>1</v>
      </c>
      <c r="X208" s="198" t="s">
        <v>127</v>
      </c>
    </row>
    <row r="209" spans="2:24" ht="16.5">
      <c r="B209" s="496"/>
      <c r="C209" s="496"/>
      <c r="D209" s="209">
        <v>103</v>
      </c>
      <c r="E209" s="198" t="s">
        <v>447</v>
      </c>
      <c r="F209" s="199">
        <v>2369.6</v>
      </c>
      <c r="G209" s="198">
        <v>28.152000000000001</v>
      </c>
      <c r="H209" s="267">
        <v>40</v>
      </c>
      <c r="I209" s="210">
        <f t="shared" si="21"/>
        <v>1.4208581983518045</v>
      </c>
      <c r="J209" s="198"/>
      <c r="K209" s="210">
        <f t="shared" si="22"/>
        <v>0</v>
      </c>
      <c r="L209" s="267">
        <v>200</v>
      </c>
      <c r="M209" s="211">
        <f t="shared" si="23"/>
        <v>1.4208581983518045</v>
      </c>
      <c r="N209" s="199">
        <v>2369.6</v>
      </c>
      <c r="O209" s="198">
        <v>0</v>
      </c>
      <c r="P209" s="200">
        <v>0</v>
      </c>
      <c r="Q209" s="272">
        <v>0</v>
      </c>
      <c r="R209" s="198">
        <v>11.847999999999999</v>
      </c>
      <c r="S209" s="200">
        <v>0.42085819835180444</v>
      </c>
      <c r="T209" s="198" t="s">
        <v>278</v>
      </c>
      <c r="U209" s="198" t="s">
        <v>212</v>
      </c>
      <c r="V209" s="264" t="s">
        <v>501</v>
      </c>
      <c r="W209" s="205">
        <v>1</v>
      </c>
      <c r="X209" s="198" t="s">
        <v>116</v>
      </c>
    </row>
    <row r="210" spans="2:24">
      <c r="B210" s="496"/>
      <c r="C210" s="496"/>
      <c r="D210" s="209">
        <v>104</v>
      </c>
      <c r="E210" s="198" t="s">
        <v>279</v>
      </c>
      <c r="F210" s="199">
        <v>1739.750640000002</v>
      </c>
      <c r="G210" s="198">
        <v>249.62799999999999</v>
      </c>
      <c r="H210" s="267">
        <v>262</v>
      </c>
      <c r="I210" s="210">
        <f t="shared" si="21"/>
        <v>1.0495617478808468</v>
      </c>
      <c r="J210" s="198"/>
      <c r="K210" s="210">
        <f t="shared" si="22"/>
        <v>0</v>
      </c>
      <c r="L210" s="267">
        <v>140.62</v>
      </c>
      <c r="M210" s="211">
        <f t="shared" si="23"/>
        <v>1.0495617478808468</v>
      </c>
      <c r="N210" s="199">
        <v>1739.750640000002</v>
      </c>
      <c r="O210" s="198">
        <v>0</v>
      </c>
      <c r="P210" s="200">
        <v>0</v>
      </c>
      <c r="Q210" s="272">
        <v>0</v>
      </c>
      <c r="R210" s="198">
        <v>12.372000000000014</v>
      </c>
      <c r="S210" s="200">
        <v>4.956174788084676E-2</v>
      </c>
      <c r="T210" s="198" t="s">
        <v>326</v>
      </c>
      <c r="U210" s="198" t="s">
        <v>318</v>
      </c>
      <c r="V210" s="198" t="s">
        <v>417</v>
      </c>
      <c r="W210" s="205">
        <v>1</v>
      </c>
      <c r="X210" s="198" t="s">
        <v>113</v>
      </c>
    </row>
    <row r="211" spans="2:24">
      <c r="B211" s="496"/>
      <c r="C211" s="496"/>
      <c r="D211" s="209">
        <v>105</v>
      </c>
      <c r="E211" s="198" t="s">
        <v>333</v>
      </c>
      <c r="F211" s="199">
        <v>1664.6812000000104</v>
      </c>
      <c r="G211" s="198">
        <v>1007.6</v>
      </c>
      <c r="H211" s="267">
        <v>1013.1420000000001</v>
      </c>
      <c r="I211" s="210">
        <f t="shared" si="21"/>
        <v>1.0055001984914649</v>
      </c>
      <c r="J211" s="198"/>
      <c r="K211" s="210">
        <f t="shared" si="22"/>
        <v>0</v>
      </c>
      <c r="L211" s="267">
        <v>345.8</v>
      </c>
      <c r="M211" s="211">
        <f t="shared" si="23"/>
        <v>1.0055001984914649</v>
      </c>
      <c r="N211" s="199">
        <v>1916.4236000000105</v>
      </c>
      <c r="O211" s="198">
        <v>0.72799999999999998</v>
      </c>
      <c r="P211" s="200">
        <v>7.2250893211591902E-4</v>
      </c>
      <c r="Q211" s="272">
        <v>251.7424</v>
      </c>
      <c r="R211" s="198">
        <v>4.8140000000000303</v>
      </c>
      <c r="S211" s="200">
        <v>4.7776895593489776E-3</v>
      </c>
      <c r="T211" s="198" t="s">
        <v>308</v>
      </c>
      <c r="U211" s="198" t="s">
        <v>276</v>
      </c>
      <c r="V211" s="198"/>
      <c r="W211" s="205">
        <v>1</v>
      </c>
      <c r="X211" s="198" t="s">
        <v>127</v>
      </c>
    </row>
    <row r="212" spans="2:24" ht="16.5">
      <c r="B212" s="496"/>
      <c r="C212" s="496"/>
      <c r="D212" s="209">
        <v>106</v>
      </c>
      <c r="E212" s="198" t="s">
        <v>485</v>
      </c>
      <c r="F212" s="199">
        <v>1657.5999999999995</v>
      </c>
      <c r="G212" s="198">
        <v>81.712000000000003</v>
      </c>
      <c r="H212" s="267">
        <v>90</v>
      </c>
      <c r="I212" s="210">
        <f t="shared" si="21"/>
        <v>1.1014294106128841</v>
      </c>
      <c r="J212" s="198"/>
      <c r="K212" s="210">
        <f t="shared" si="22"/>
        <v>0</v>
      </c>
      <c r="L212" s="267">
        <v>200</v>
      </c>
      <c r="M212" s="211">
        <f t="shared" si="23"/>
        <v>1.1014294106128841</v>
      </c>
      <c r="N212" s="199">
        <v>1657.5999999999995</v>
      </c>
      <c r="O212" s="198">
        <v>0</v>
      </c>
      <c r="P212" s="200">
        <v>0</v>
      </c>
      <c r="Q212" s="272">
        <v>0</v>
      </c>
      <c r="R212" s="198">
        <v>8.2879999999999967</v>
      </c>
      <c r="S212" s="200">
        <v>0.10142941061288423</v>
      </c>
      <c r="T212" s="198" t="s">
        <v>278</v>
      </c>
      <c r="U212" s="198" t="s">
        <v>212</v>
      </c>
      <c r="V212" s="264" t="s">
        <v>490</v>
      </c>
      <c r="W212" s="205">
        <v>1</v>
      </c>
      <c r="X212" s="198" t="s">
        <v>109</v>
      </c>
    </row>
    <row r="213" spans="2:24">
      <c r="B213" s="496"/>
      <c r="C213" s="496"/>
      <c r="D213" s="209">
        <v>107</v>
      </c>
      <c r="E213" s="198" t="s">
        <v>298</v>
      </c>
      <c r="F213" s="199">
        <v>766.66023999999811</v>
      </c>
      <c r="G213" s="198">
        <v>397.8</v>
      </c>
      <c r="H213" s="267">
        <v>404.452</v>
      </c>
      <c r="I213" s="210">
        <f t="shared" si="21"/>
        <v>1.0167219708396178</v>
      </c>
      <c r="J213" s="198"/>
      <c r="K213" s="210">
        <f t="shared" si="22"/>
        <v>0</v>
      </c>
      <c r="L213" s="267">
        <v>140.62</v>
      </c>
      <c r="M213" s="211">
        <f t="shared" si="23"/>
        <v>1.0167219708396178</v>
      </c>
      <c r="N213" s="199">
        <v>935.40423999999814</v>
      </c>
      <c r="O213" s="198">
        <v>1.2</v>
      </c>
      <c r="P213" s="200">
        <v>3.0165912518853692E-3</v>
      </c>
      <c r="Q213" s="272">
        <v>168.744</v>
      </c>
      <c r="R213" s="198">
        <v>5.4519999999999866</v>
      </c>
      <c r="S213" s="200">
        <v>1.3705379587732495E-2</v>
      </c>
      <c r="T213" s="198" t="s">
        <v>278</v>
      </c>
      <c r="U213" s="198" t="s">
        <v>212</v>
      </c>
      <c r="V213" s="198"/>
      <c r="W213" s="205">
        <v>1</v>
      </c>
      <c r="X213" s="198" t="s">
        <v>115</v>
      </c>
    </row>
    <row r="214" spans="2:24">
      <c r="B214" s="496"/>
      <c r="C214" s="496"/>
      <c r="D214" s="209">
        <v>108</v>
      </c>
      <c r="E214" s="198" t="s">
        <v>298</v>
      </c>
      <c r="F214" s="199">
        <v>765.93032999999843</v>
      </c>
      <c r="G214" s="198">
        <v>666.82</v>
      </c>
      <c r="H214" s="267">
        <v>685.58100000000002</v>
      </c>
      <c r="I214" s="210">
        <f t="shared" si="21"/>
        <v>1.0281350289433431</v>
      </c>
      <c r="J214" s="198"/>
      <c r="K214" s="210">
        <f t="shared" si="22"/>
        <v>0</v>
      </c>
      <c r="L214" s="267">
        <v>46.53</v>
      </c>
      <c r="M214" s="211">
        <f t="shared" si="23"/>
        <v>1.0281350289433431</v>
      </c>
      <c r="N214" s="199">
        <v>872.94932999999855</v>
      </c>
      <c r="O214" s="198">
        <v>2.2999999999999998</v>
      </c>
      <c r="P214" s="200">
        <v>3.4492066824630329E-3</v>
      </c>
      <c r="Q214" s="272">
        <v>107.01899999999999</v>
      </c>
      <c r="R214" s="198">
        <v>16.460999999999967</v>
      </c>
      <c r="S214" s="200">
        <v>2.4685822260879946E-2</v>
      </c>
      <c r="T214" s="198" t="s">
        <v>278</v>
      </c>
      <c r="U214" s="198" t="s">
        <v>212</v>
      </c>
      <c r="V214" s="198"/>
      <c r="W214" s="205">
        <v>1</v>
      </c>
      <c r="X214" s="198" t="s">
        <v>121</v>
      </c>
    </row>
    <row r="215" spans="2:24">
      <c r="B215" s="496"/>
      <c r="C215" s="496"/>
      <c r="D215" s="209">
        <v>109</v>
      </c>
      <c r="E215" s="198" t="s">
        <v>491</v>
      </c>
      <c r="F215" s="199">
        <v>655.08000000000288</v>
      </c>
      <c r="G215" s="198">
        <v>35.363999999999997</v>
      </c>
      <c r="H215" s="267">
        <v>36</v>
      </c>
      <c r="I215" s="210">
        <f t="shared" si="21"/>
        <v>1.0179843909060062</v>
      </c>
      <c r="J215" s="198"/>
      <c r="K215" s="210">
        <f t="shared" si="22"/>
        <v>0</v>
      </c>
      <c r="L215" s="267">
        <v>1030</v>
      </c>
      <c r="M215" s="211">
        <f t="shared" si="23"/>
        <v>1.0179843909060062</v>
      </c>
      <c r="N215" s="199">
        <v>655.08000000000288</v>
      </c>
      <c r="O215" s="198">
        <v>0</v>
      </c>
      <c r="P215" s="200">
        <v>0</v>
      </c>
      <c r="Q215" s="272">
        <v>0</v>
      </c>
      <c r="R215" s="198">
        <v>0.63600000000000279</v>
      </c>
      <c r="S215" s="200">
        <v>1.798439090600619E-2</v>
      </c>
      <c r="T215" s="198" t="s">
        <v>278</v>
      </c>
      <c r="U215" s="198" t="s">
        <v>212</v>
      </c>
      <c r="V215" s="198" t="s">
        <v>500</v>
      </c>
      <c r="W215" s="205">
        <v>1</v>
      </c>
      <c r="X215" s="198" t="s">
        <v>432</v>
      </c>
    </row>
    <row r="216" spans="2:24">
      <c r="B216" s="496"/>
      <c r="C216" s="496"/>
      <c r="D216" s="209">
        <v>110</v>
      </c>
      <c r="E216" s="198" t="s">
        <v>375</v>
      </c>
      <c r="F216" s="199">
        <v>652</v>
      </c>
      <c r="G216" s="198">
        <v>603.12</v>
      </c>
      <c r="H216" s="267">
        <v>650</v>
      </c>
      <c r="I216" s="210">
        <f t="shared" si="21"/>
        <v>1.0777291417959942</v>
      </c>
      <c r="J216" s="198"/>
      <c r="K216" s="210">
        <f t="shared" si="22"/>
        <v>0</v>
      </c>
      <c r="L216" s="267">
        <v>77.3</v>
      </c>
      <c r="M216" s="211">
        <f t="shared" si="23"/>
        <v>1.0777291417959942</v>
      </c>
      <c r="N216" s="199">
        <v>3623.3552</v>
      </c>
      <c r="O216" s="198">
        <v>38.450000000000003</v>
      </c>
      <c r="P216" s="200">
        <v>6.3751823849316894E-2</v>
      </c>
      <c r="Q216" s="272">
        <v>2971.8005000000003</v>
      </c>
      <c r="R216" s="198">
        <v>8.4299999999999926</v>
      </c>
      <c r="S216" s="200">
        <v>1.3977317946677266E-2</v>
      </c>
      <c r="T216" s="198" t="s">
        <v>326</v>
      </c>
      <c r="U216" s="198" t="s">
        <v>318</v>
      </c>
      <c r="V216" s="198" t="s">
        <v>417</v>
      </c>
      <c r="W216" s="205">
        <v>1</v>
      </c>
      <c r="X216" s="198" t="s">
        <v>112</v>
      </c>
    </row>
    <row r="217" spans="2:24">
      <c r="B217" s="495">
        <v>45891</v>
      </c>
      <c r="C217" s="496" t="s">
        <v>63</v>
      </c>
      <c r="D217" s="209">
        <v>111</v>
      </c>
      <c r="E217" s="198" t="s">
        <v>331</v>
      </c>
      <c r="F217" s="199">
        <v>3869.362000000001</v>
      </c>
      <c r="G217" s="198">
        <v>174.66</v>
      </c>
      <c r="H217" s="267">
        <v>188</v>
      </c>
      <c r="I217" s="210">
        <f t="shared" si="21"/>
        <v>1.0763769609527081</v>
      </c>
      <c r="J217" s="198"/>
      <c r="K217" s="210">
        <f t="shared" si="22"/>
        <v>0</v>
      </c>
      <c r="L217" s="267">
        <v>335.3</v>
      </c>
      <c r="M217" s="211">
        <f t="shared" si="23"/>
        <v>1.0763769609527081</v>
      </c>
      <c r="N217" s="199">
        <v>4472.902000000001</v>
      </c>
      <c r="O217" s="198">
        <v>1.8</v>
      </c>
      <c r="P217" s="200">
        <v>1.0305736860185504E-2</v>
      </c>
      <c r="Q217" s="272">
        <v>603.54000000000008</v>
      </c>
      <c r="R217" s="198">
        <v>11.540000000000003</v>
      </c>
      <c r="S217" s="200">
        <v>6.6071224092522626E-2</v>
      </c>
      <c r="T217" s="198" t="s">
        <v>315</v>
      </c>
      <c r="U217" s="198" t="s">
        <v>217</v>
      </c>
      <c r="V217" s="198" t="s">
        <v>416</v>
      </c>
      <c r="W217" s="205">
        <v>1</v>
      </c>
      <c r="X217" s="198" t="s">
        <v>114</v>
      </c>
    </row>
    <row r="218" spans="2:24" ht="16.5">
      <c r="B218" s="496"/>
      <c r="C218" s="496"/>
      <c r="D218" s="209">
        <v>112</v>
      </c>
      <c r="E218" s="198" t="s">
        <v>447</v>
      </c>
      <c r="F218" s="199">
        <v>2000.8000000000002</v>
      </c>
      <c r="G218" s="198">
        <v>24.995999999999999</v>
      </c>
      <c r="H218" s="267">
        <v>35</v>
      </c>
      <c r="I218" s="210">
        <f t="shared" si="21"/>
        <v>1.4002240358457354</v>
      </c>
      <c r="J218" s="198"/>
      <c r="K218" s="210">
        <f t="shared" si="22"/>
        <v>0</v>
      </c>
      <c r="L218" s="267">
        <v>200</v>
      </c>
      <c r="M218" s="211">
        <f t="shared" si="23"/>
        <v>1.4002240358457354</v>
      </c>
      <c r="N218" s="199">
        <v>2000.8000000000002</v>
      </c>
      <c r="O218" s="198">
        <v>0</v>
      </c>
      <c r="P218" s="200">
        <v>0</v>
      </c>
      <c r="Q218" s="272">
        <v>0</v>
      </c>
      <c r="R218" s="198">
        <v>10.004000000000001</v>
      </c>
      <c r="S218" s="200">
        <v>0.4002240358457354</v>
      </c>
      <c r="T218" s="198" t="s">
        <v>278</v>
      </c>
      <c r="U218" s="198" t="s">
        <v>212</v>
      </c>
      <c r="V218" s="264" t="s">
        <v>502</v>
      </c>
      <c r="W218" s="205">
        <v>1</v>
      </c>
      <c r="X218" s="198" t="s">
        <v>116</v>
      </c>
    </row>
    <row r="219" spans="2:24" ht="16.5">
      <c r="B219" s="496"/>
      <c r="C219" s="496"/>
      <c r="D219" s="209">
        <v>113</v>
      </c>
      <c r="E219" s="198" t="s">
        <v>491</v>
      </c>
      <c r="F219" s="199">
        <v>1841.6400000000003</v>
      </c>
      <c r="G219" s="198">
        <v>16.212</v>
      </c>
      <c r="H219" s="267">
        <v>18</v>
      </c>
      <c r="I219" s="210">
        <f t="shared" si="21"/>
        <v>1.1102886750555145</v>
      </c>
      <c r="J219" s="198"/>
      <c r="K219" s="210">
        <f t="shared" si="22"/>
        <v>0</v>
      </c>
      <c r="L219" s="267">
        <v>1030</v>
      </c>
      <c r="M219" s="211">
        <f t="shared" si="23"/>
        <v>1.1102886750555145</v>
      </c>
      <c r="N219" s="199">
        <v>1841.6400000000003</v>
      </c>
      <c r="O219" s="198">
        <v>0</v>
      </c>
      <c r="P219" s="200">
        <v>0</v>
      </c>
      <c r="Q219" s="272">
        <v>0</v>
      </c>
      <c r="R219" s="198">
        <v>1.7880000000000003</v>
      </c>
      <c r="S219" s="200">
        <v>0.11028867505551446</v>
      </c>
      <c r="T219" s="198" t="s">
        <v>278</v>
      </c>
      <c r="U219" s="198" t="s">
        <v>212</v>
      </c>
      <c r="V219" s="264" t="s">
        <v>503</v>
      </c>
      <c r="W219" s="205">
        <v>1</v>
      </c>
      <c r="X219" s="198" t="s">
        <v>432</v>
      </c>
    </row>
    <row r="220" spans="2:24">
      <c r="B220" s="496"/>
      <c r="C220" s="496"/>
      <c r="D220" s="209">
        <v>114</v>
      </c>
      <c r="E220" s="198" t="s">
        <v>333</v>
      </c>
      <c r="F220" s="199">
        <v>1112.857777777753</v>
      </c>
      <c r="G220" s="198">
        <v>870.32</v>
      </c>
      <c r="H220" s="267">
        <v>877.53099999999995</v>
      </c>
      <c r="I220" s="210">
        <f t="shared" si="21"/>
        <v>1.0082854582222629</v>
      </c>
      <c r="J220" s="198"/>
      <c r="K220" s="210">
        <f t="shared" si="22"/>
        <v>0</v>
      </c>
      <c r="L220" s="267">
        <v>245.55555555555554</v>
      </c>
      <c r="M220" s="211">
        <f t="shared" si="23"/>
        <v>1.0082854582222629</v>
      </c>
      <c r="N220" s="199">
        <v>1770.7011111110862</v>
      </c>
      <c r="O220" s="198">
        <v>2.6789999999999998</v>
      </c>
      <c r="P220" s="200">
        <v>3.0781781413732876E-3</v>
      </c>
      <c r="Q220" s="272">
        <v>657.84333333333325</v>
      </c>
      <c r="R220" s="198">
        <v>4.5319999999998988</v>
      </c>
      <c r="S220" s="200">
        <v>5.2072800808896707E-3</v>
      </c>
      <c r="T220" s="198" t="s">
        <v>278</v>
      </c>
      <c r="U220" s="198" t="s">
        <v>212</v>
      </c>
      <c r="V220" s="198"/>
      <c r="W220" s="205">
        <v>1</v>
      </c>
      <c r="X220" s="198" t="s">
        <v>109</v>
      </c>
    </row>
    <row r="221" spans="2:24">
      <c r="B221" s="496"/>
      <c r="C221" s="496"/>
      <c r="D221" s="209">
        <v>115</v>
      </c>
      <c r="E221" s="198" t="s">
        <v>333</v>
      </c>
      <c r="F221" s="199">
        <v>909.10819999999126</v>
      </c>
      <c r="G221" s="198">
        <v>336</v>
      </c>
      <c r="H221" s="267">
        <v>338.70299999999997</v>
      </c>
      <c r="I221" s="210">
        <f t="shared" si="21"/>
        <v>1.0080446428571428</v>
      </c>
      <c r="J221" s="198"/>
      <c r="K221" s="210">
        <f t="shared" si="22"/>
        <v>0</v>
      </c>
      <c r="L221" s="267">
        <v>345.8</v>
      </c>
      <c r="M221" s="211">
        <f t="shared" si="23"/>
        <v>1.0080446428571428</v>
      </c>
      <c r="N221" s="199">
        <v>934.69739999999126</v>
      </c>
      <c r="O221" s="198">
        <v>7.3999999999999996E-2</v>
      </c>
      <c r="P221" s="200">
        <v>2.2023809523809523E-4</v>
      </c>
      <c r="Q221" s="272">
        <v>25.589199999999998</v>
      </c>
      <c r="R221" s="198">
        <v>2.6289999999999747</v>
      </c>
      <c r="S221" s="200">
        <v>7.824404761904687E-3</v>
      </c>
      <c r="T221" s="198" t="s">
        <v>278</v>
      </c>
      <c r="U221" s="198" t="s">
        <v>212</v>
      </c>
      <c r="V221" s="198"/>
      <c r="W221" s="205">
        <v>1</v>
      </c>
      <c r="X221" s="198" t="s">
        <v>127</v>
      </c>
    </row>
    <row r="222" spans="2:24" ht="16.5">
      <c r="B222" s="496"/>
      <c r="C222" s="496"/>
      <c r="D222" s="209">
        <v>116</v>
      </c>
      <c r="E222" s="198" t="s">
        <v>494</v>
      </c>
      <c r="F222" s="199">
        <v>752.94000000000017</v>
      </c>
      <c r="G222" s="198">
        <v>11.795999999999999</v>
      </c>
      <c r="H222" s="267">
        <v>15</v>
      </c>
      <c r="I222" s="210">
        <f t="shared" si="21"/>
        <v>1.2716174974567651</v>
      </c>
      <c r="J222" s="198"/>
      <c r="K222" s="210">
        <f t="shared" si="22"/>
        <v>0</v>
      </c>
      <c r="L222" s="267">
        <v>235</v>
      </c>
      <c r="M222" s="211">
        <f t="shared" si="23"/>
        <v>1.2716174974567651</v>
      </c>
      <c r="N222" s="199">
        <v>752.94000000000017</v>
      </c>
      <c r="O222" s="198">
        <v>0</v>
      </c>
      <c r="P222" s="200">
        <v>0</v>
      </c>
      <c r="Q222" s="272">
        <v>0</v>
      </c>
      <c r="R222" s="198">
        <v>3.2040000000000006</v>
      </c>
      <c r="S222" s="200">
        <v>0.27161749745676506</v>
      </c>
      <c r="T222" s="198" t="s">
        <v>278</v>
      </c>
      <c r="U222" s="198" t="s">
        <v>212</v>
      </c>
      <c r="V222" s="264" t="s">
        <v>504</v>
      </c>
      <c r="W222" s="205">
        <v>1</v>
      </c>
      <c r="X222" s="198" t="s">
        <v>110</v>
      </c>
    </row>
    <row r="223" spans="2:24">
      <c r="B223" s="496"/>
      <c r="C223" s="496"/>
      <c r="D223" s="209">
        <v>117</v>
      </c>
      <c r="E223" s="198" t="s">
        <v>333</v>
      </c>
      <c r="F223" s="199">
        <v>680.43065999999988</v>
      </c>
      <c r="G223" s="198">
        <v>865.04</v>
      </c>
      <c r="H223" s="267">
        <v>888.27099999999996</v>
      </c>
      <c r="I223" s="210">
        <f t="shared" si="21"/>
        <v>1.02685540553038</v>
      </c>
      <c r="J223" s="198"/>
      <c r="K223" s="210">
        <f t="shared" si="22"/>
        <v>0</v>
      </c>
      <c r="L223" s="267">
        <v>34.58</v>
      </c>
      <c r="M223" s="211">
        <f t="shared" si="23"/>
        <v>1.02685540553038</v>
      </c>
      <c r="N223" s="199">
        <v>803.3279799999998</v>
      </c>
      <c r="O223" s="198">
        <v>3.5539999999999998</v>
      </c>
      <c r="P223" s="200">
        <v>4.1084805326921294E-3</v>
      </c>
      <c r="Q223" s="272">
        <v>122.89731999999999</v>
      </c>
      <c r="R223" s="198">
        <v>19.676999999999996</v>
      </c>
      <c r="S223" s="200">
        <v>2.2746924997687965E-2</v>
      </c>
      <c r="T223" s="198" t="s">
        <v>278</v>
      </c>
      <c r="U223" s="198" t="s">
        <v>212</v>
      </c>
      <c r="V223" s="198"/>
      <c r="W223" s="205">
        <v>1</v>
      </c>
      <c r="X223" s="198" t="s">
        <v>110</v>
      </c>
    </row>
    <row r="224" spans="2:24">
      <c r="B224" s="496"/>
      <c r="C224" s="496"/>
      <c r="D224" s="209">
        <v>118</v>
      </c>
      <c r="E224" s="198" t="s">
        <v>274</v>
      </c>
      <c r="F224" s="199">
        <v>632.94680000000847</v>
      </c>
      <c r="G224" s="198">
        <v>534.05999999999995</v>
      </c>
      <c r="H224" s="267">
        <v>540</v>
      </c>
      <c r="I224" s="210">
        <f t="shared" si="21"/>
        <v>1.0111223458038423</v>
      </c>
      <c r="J224" s="198"/>
      <c r="K224" s="210">
        <f t="shared" si="22"/>
        <v>0</v>
      </c>
      <c r="L224" s="267">
        <v>156.66999999999999</v>
      </c>
      <c r="M224" s="211">
        <f t="shared" si="23"/>
        <v>1.0111223458038423</v>
      </c>
      <c r="N224" s="199">
        <v>930.61980000000847</v>
      </c>
      <c r="O224" s="198">
        <v>1.9</v>
      </c>
      <c r="P224" s="200">
        <v>3.5576526981987043E-3</v>
      </c>
      <c r="Q224" s="272">
        <v>297.67299999999994</v>
      </c>
      <c r="R224" s="198">
        <v>4.0400000000000542</v>
      </c>
      <c r="S224" s="200">
        <v>7.564693105643663E-3</v>
      </c>
      <c r="T224" s="198" t="s">
        <v>308</v>
      </c>
      <c r="U224" s="198" t="s">
        <v>276</v>
      </c>
      <c r="V224" s="198"/>
      <c r="W224" s="205">
        <v>1</v>
      </c>
      <c r="X224" s="198" t="s">
        <v>109</v>
      </c>
    </row>
    <row r="225" spans="2:24">
      <c r="B225" s="496"/>
      <c r="C225" s="496"/>
      <c r="D225" s="209">
        <v>119</v>
      </c>
      <c r="E225" s="198" t="s">
        <v>420</v>
      </c>
      <c r="F225" s="199">
        <v>616.52639999999838</v>
      </c>
      <c r="G225" s="198">
        <v>812</v>
      </c>
      <c r="H225" s="267">
        <v>833.85799999999995</v>
      </c>
      <c r="I225" s="210">
        <f t="shared" si="21"/>
        <v>1.0269187192118225</v>
      </c>
      <c r="J225" s="198"/>
      <c r="K225" s="210">
        <f t="shared" si="22"/>
        <v>0</v>
      </c>
      <c r="L225" s="267">
        <v>31.099999999999998</v>
      </c>
      <c r="M225" s="211">
        <f t="shared" si="23"/>
        <v>1.0269187192118225</v>
      </c>
      <c r="N225" s="199">
        <v>679.78379999999834</v>
      </c>
      <c r="O225" s="198">
        <v>2.0339999999999998</v>
      </c>
      <c r="P225" s="200">
        <v>2.5049261083743839E-3</v>
      </c>
      <c r="Q225" s="272">
        <v>63.25739999999999</v>
      </c>
      <c r="R225" s="198">
        <v>19.823999999999948</v>
      </c>
      <c r="S225" s="200">
        <v>2.4413793103448211E-2</v>
      </c>
      <c r="T225" s="198" t="s">
        <v>278</v>
      </c>
      <c r="U225" s="198" t="s">
        <v>212</v>
      </c>
      <c r="V225" s="198"/>
      <c r="W225" s="205">
        <v>1</v>
      </c>
      <c r="X225" s="198" t="s">
        <v>112</v>
      </c>
    </row>
    <row r="226" spans="2:24">
      <c r="B226" s="496"/>
      <c r="C226" s="496"/>
      <c r="D226" s="209">
        <v>120</v>
      </c>
      <c r="E226" s="198" t="s">
        <v>373</v>
      </c>
      <c r="F226" s="199">
        <v>512.20511999999781</v>
      </c>
      <c r="G226" s="198">
        <v>33.328000000000003</v>
      </c>
      <c r="H226" s="267">
        <v>34</v>
      </c>
      <c r="I226" s="210">
        <f t="shared" si="21"/>
        <v>1.0201632261161786</v>
      </c>
      <c r="J226" s="198"/>
      <c r="K226" s="210">
        <f t="shared" si="22"/>
        <v>0</v>
      </c>
      <c r="L226" s="267">
        <v>762.21</v>
      </c>
      <c r="M226" s="211">
        <f t="shared" si="23"/>
        <v>1.0201632261161786</v>
      </c>
      <c r="N226" s="199">
        <v>512.20511999999781</v>
      </c>
      <c r="O226" s="198">
        <v>0</v>
      </c>
      <c r="P226" s="200">
        <v>0</v>
      </c>
      <c r="Q226" s="272">
        <v>0</v>
      </c>
      <c r="R226" s="198">
        <v>0.67199999999999704</v>
      </c>
      <c r="S226" s="200">
        <v>2.0163226116178497E-2</v>
      </c>
      <c r="T226" s="198" t="s">
        <v>315</v>
      </c>
      <c r="U226" s="198" t="s">
        <v>217</v>
      </c>
      <c r="V226" s="198" t="s">
        <v>441</v>
      </c>
      <c r="W226" s="205">
        <v>1</v>
      </c>
      <c r="X226" s="198" t="s">
        <v>116</v>
      </c>
    </row>
    <row r="227" spans="2:24">
      <c r="B227" s="495">
        <v>45892</v>
      </c>
      <c r="C227" s="496" t="s">
        <v>64</v>
      </c>
      <c r="D227" s="209">
        <v>121</v>
      </c>
      <c r="E227" s="198" t="s">
        <v>331</v>
      </c>
      <c r="F227" s="199">
        <v>2940.5810000000006</v>
      </c>
      <c r="G227" s="198">
        <v>179.22</v>
      </c>
      <c r="H227" s="267">
        <v>190</v>
      </c>
      <c r="I227" s="210">
        <f t="shared" si="21"/>
        <v>1.0601495368820444</v>
      </c>
      <c r="J227" s="198"/>
      <c r="K227" s="210">
        <f t="shared" si="22"/>
        <v>0</v>
      </c>
      <c r="L227" s="267">
        <v>335.3</v>
      </c>
      <c r="M227" s="211">
        <f t="shared" si="23"/>
        <v>1.0601495368820444</v>
      </c>
      <c r="N227" s="199">
        <v>3614.5340000000006</v>
      </c>
      <c r="O227" s="198">
        <v>2.0099999999999998</v>
      </c>
      <c r="P227" s="200">
        <v>1.1215266153331101E-2</v>
      </c>
      <c r="Q227" s="272">
        <v>673.95299999999997</v>
      </c>
      <c r="R227" s="198">
        <v>8.7700000000000014</v>
      </c>
      <c r="S227" s="200">
        <v>4.8934270728713321E-2</v>
      </c>
      <c r="T227" s="198" t="s">
        <v>315</v>
      </c>
      <c r="U227" s="198" t="s">
        <v>217</v>
      </c>
      <c r="V227" s="198" t="s">
        <v>416</v>
      </c>
      <c r="W227" s="205">
        <v>1</v>
      </c>
      <c r="X227" s="198" t="s">
        <v>114</v>
      </c>
    </row>
    <row r="228" spans="2:24" ht="16.5">
      <c r="B228" s="496"/>
      <c r="C228" s="496"/>
      <c r="D228" s="209">
        <v>122</v>
      </c>
      <c r="E228" s="198" t="s">
        <v>491</v>
      </c>
      <c r="F228" s="199">
        <v>2596.630000000001</v>
      </c>
      <c r="G228" s="198">
        <v>24.478999999999999</v>
      </c>
      <c r="H228" s="267">
        <v>27</v>
      </c>
      <c r="I228" s="210">
        <f t="shared" si="21"/>
        <v>1.1029862330977573</v>
      </c>
      <c r="J228" s="198"/>
      <c r="K228" s="210">
        <f t="shared" si="22"/>
        <v>0</v>
      </c>
      <c r="L228" s="267">
        <v>1030</v>
      </c>
      <c r="M228" s="211">
        <f t="shared" si="23"/>
        <v>1.1029862330977573</v>
      </c>
      <c r="N228" s="199">
        <v>2596.630000000001</v>
      </c>
      <c r="O228" s="198">
        <v>0</v>
      </c>
      <c r="P228" s="200">
        <v>0</v>
      </c>
      <c r="Q228" s="272">
        <v>0</v>
      </c>
      <c r="R228" s="198">
        <v>2.5210000000000008</v>
      </c>
      <c r="S228" s="200">
        <v>0.1029862330977573</v>
      </c>
      <c r="T228" s="198" t="s">
        <v>278</v>
      </c>
      <c r="U228" s="198" t="s">
        <v>212</v>
      </c>
      <c r="V228" s="264" t="s">
        <v>500</v>
      </c>
      <c r="W228" s="205">
        <v>1</v>
      </c>
      <c r="X228" s="198" t="s">
        <v>432</v>
      </c>
    </row>
    <row r="229" spans="2:24" ht="16.5">
      <c r="B229" s="496"/>
      <c r="C229" s="496"/>
      <c r="D229" s="209">
        <v>123</v>
      </c>
      <c r="E229" s="198" t="s">
        <v>333</v>
      </c>
      <c r="F229" s="199">
        <v>1509.7628000000043</v>
      </c>
      <c r="G229" s="198">
        <v>568</v>
      </c>
      <c r="H229" s="267">
        <v>572.68700000000001</v>
      </c>
      <c r="I229" s="210">
        <f t="shared" si="21"/>
        <v>1.0082517605633803</v>
      </c>
      <c r="J229" s="198"/>
      <c r="K229" s="210">
        <f t="shared" si="22"/>
        <v>0</v>
      </c>
      <c r="L229" s="267">
        <v>345.8</v>
      </c>
      <c r="M229" s="211">
        <f t="shared" si="23"/>
        <v>1.0082517605633803</v>
      </c>
      <c r="N229" s="199">
        <v>1620.7646000000041</v>
      </c>
      <c r="O229" s="198">
        <v>0.32100000000000001</v>
      </c>
      <c r="P229" s="200">
        <v>5.651408450704226E-4</v>
      </c>
      <c r="Q229" s="272">
        <v>111.0018</v>
      </c>
      <c r="R229" s="198">
        <v>4.3660000000000121</v>
      </c>
      <c r="S229" s="200">
        <v>7.6866197183098808E-3</v>
      </c>
      <c r="T229" s="198" t="s">
        <v>308</v>
      </c>
      <c r="U229" s="198" t="s">
        <v>320</v>
      </c>
      <c r="V229" s="264" t="s">
        <v>505</v>
      </c>
      <c r="W229" s="205">
        <v>1</v>
      </c>
      <c r="X229" s="198" t="s">
        <v>127</v>
      </c>
    </row>
    <row r="230" spans="2:24" ht="16.5">
      <c r="B230" s="496"/>
      <c r="C230" s="496"/>
      <c r="D230" s="209">
        <v>124</v>
      </c>
      <c r="E230" s="198" t="s">
        <v>333</v>
      </c>
      <c r="F230" s="199">
        <v>740.58110000000124</v>
      </c>
      <c r="G230" s="198">
        <v>657.14</v>
      </c>
      <c r="H230" s="267">
        <v>680.12400000000002</v>
      </c>
      <c r="I230" s="210">
        <f t="shared" si="21"/>
        <v>1.0349758042426271</v>
      </c>
      <c r="J230" s="198"/>
      <c r="K230" s="210">
        <f t="shared" si="22"/>
        <v>0</v>
      </c>
      <c r="L230" s="267">
        <v>35.9</v>
      </c>
      <c r="M230" s="211">
        <f t="shared" si="23"/>
        <v>1.0349758042426271</v>
      </c>
      <c r="N230" s="199">
        <v>825.12560000000133</v>
      </c>
      <c r="O230" s="198">
        <v>2.355</v>
      </c>
      <c r="P230" s="200">
        <v>3.5837112335271024E-3</v>
      </c>
      <c r="Q230" s="272">
        <v>84.544499999999999</v>
      </c>
      <c r="R230" s="198">
        <v>20.629000000000037</v>
      </c>
      <c r="S230" s="200">
        <v>3.1392093009100099E-2</v>
      </c>
      <c r="T230" s="198" t="s">
        <v>308</v>
      </c>
      <c r="U230" s="198" t="s">
        <v>320</v>
      </c>
      <c r="V230" s="264" t="s">
        <v>505</v>
      </c>
      <c r="W230" s="205">
        <v>1</v>
      </c>
      <c r="X230" s="198" t="s">
        <v>114</v>
      </c>
    </row>
    <row r="231" spans="2:24">
      <c r="B231" s="496"/>
      <c r="C231" s="496"/>
      <c r="D231" s="209">
        <v>125</v>
      </c>
      <c r="E231" s="198" t="s">
        <v>298</v>
      </c>
      <c r="F231" s="199">
        <v>565.29240000000323</v>
      </c>
      <c r="G231" s="198">
        <v>324.39999999999998</v>
      </c>
      <c r="H231" s="267">
        <v>330</v>
      </c>
      <c r="I231" s="210">
        <f t="shared" si="21"/>
        <v>1.0172626387176327</v>
      </c>
      <c r="J231" s="198"/>
      <c r="K231" s="210">
        <f t="shared" si="22"/>
        <v>0</v>
      </c>
      <c r="L231" s="267">
        <v>140.62</v>
      </c>
      <c r="M231" s="211">
        <f t="shared" si="23"/>
        <v>1.0172626387176327</v>
      </c>
      <c r="N231" s="199">
        <v>787.47200000000328</v>
      </c>
      <c r="O231" s="198">
        <v>1.58</v>
      </c>
      <c r="P231" s="200">
        <v>4.8705302096177568E-3</v>
      </c>
      <c r="Q231" s="272">
        <v>222.17960000000002</v>
      </c>
      <c r="R231" s="198">
        <v>4.0200000000000227</v>
      </c>
      <c r="S231" s="200">
        <v>1.2392108508014867E-2</v>
      </c>
      <c r="T231" s="198" t="s">
        <v>278</v>
      </c>
      <c r="U231" s="198" t="s">
        <v>212</v>
      </c>
      <c r="V231" s="198"/>
      <c r="W231" s="205">
        <v>1</v>
      </c>
      <c r="X231" s="198" t="s">
        <v>115</v>
      </c>
    </row>
    <row r="232" spans="2:24">
      <c r="B232" s="496"/>
      <c r="C232" s="496"/>
      <c r="D232" s="209">
        <v>126</v>
      </c>
      <c r="E232" s="198" t="s">
        <v>369</v>
      </c>
      <c r="F232" s="199">
        <v>533.43119999999874</v>
      </c>
      <c r="G232" s="198">
        <v>192.24</v>
      </c>
      <c r="H232" s="267">
        <v>200</v>
      </c>
      <c r="I232" s="210">
        <f t="shared" si="21"/>
        <v>1.0403662089055348</v>
      </c>
      <c r="J232" s="198"/>
      <c r="K232" s="210">
        <f t="shared" si="22"/>
        <v>0</v>
      </c>
      <c r="L232" s="267">
        <v>141.87</v>
      </c>
      <c r="M232" s="211">
        <f t="shared" si="23"/>
        <v>1.0403662089055348</v>
      </c>
      <c r="N232" s="199">
        <v>1100.9111999999986</v>
      </c>
      <c r="O232" s="198">
        <v>4</v>
      </c>
      <c r="P232" s="200">
        <v>2.0807324178110695E-2</v>
      </c>
      <c r="Q232" s="272">
        <v>567.48</v>
      </c>
      <c r="R232" s="198">
        <v>3.7599999999999909</v>
      </c>
      <c r="S232" s="200">
        <v>1.9558884727424005E-2</v>
      </c>
      <c r="T232" s="198" t="s">
        <v>278</v>
      </c>
      <c r="U232" s="198" t="s">
        <v>212</v>
      </c>
      <c r="V232" s="198"/>
      <c r="W232" s="205">
        <v>1</v>
      </c>
      <c r="X232" s="198" t="s">
        <v>116</v>
      </c>
    </row>
    <row r="233" spans="2:24">
      <c r="B233" s="496"/>
      <c r="C233" s="496"/>
      <c r="D233" s="209">
        <v>127</v>
      </c>
      <c r="E233" s="198" t="s">
        <v>329</v>
      </c>
      <c r="F233" s="199">
        <v>523.90520000000129</v>
      </c>
      <c r="G233" s="198">
        <v>102.27</v>
      </c>
      <c r="H233" s="267">
        <v>104.08</v>
      </c>
      <c r="I233" s="210">
        <f t="shared" si="21"/>
        <v>1.017698249731104</v>
      </c>
      <c r="J233" s="198"/>
      <c r="K233" s="210">
        <f t="shared" si="22"/>
        <v>0</v>
      </c>
      <c r="L233" s="267">
        <v>575.72</v>
      </c>
      <c r="M233" s="211">
        <f t="shared" si="23"/>
        <v>1.017698249731104</v>
      </c>
      <c r="N233" s="199">
        <v>1042.0532000000014</v>
      </c>
      <c r="O233" s="198">
        <v>0.9</v>
      </c>
      <c r="P233" s="200">
        <v>8.8002346729246124E-3</v>
      </c>
      <c r="Q233" s="272">
        <v>518.14800000000002</v>
      </c>
      <c r="R233" s="198">
        <v>0.91000000000000225</v>
      </c>
      <c r="S233" s="200">
        <v>8.8980150581793524E-3</v>
      </c>
      <c r="T233" s="198" t="s">
        <v>278</v>
      </c>
      <c r="U233" s="198" t="s">
        <v>212</v>
      </c>
      <c r="V233" s="198"/>
      <c r="W233" s="205">
        <v>1</v>
      </c>
      <c r="X233" s="198" t="s">
        <v>113</v>
      </c>
    </row>
    <row r="234" spans="2:24" ht="16.5">
      <c r="B234" s="496"/>
      <c r="C234" s="496"/>
      <c r="D234" s="209">
        <v>128</v>
      </c>
      <c r="E234" s="198" t="s">
        <v>304</v>
      </c>
      <c r="F234" s="199">
        <v>504.1187999999994</v>
      </c>
      <c r="G234" s="198">
        <v>113.54</v>
      </c>
      <c r="H234" s="267">
        <v>122</v>
      </c>
      <c r="I234" s="210">
        <f t="shared" si="21"/>
        <v>1.0745111854852916</v>
      </c>
      <c r="J234" s="198"/>
      <c r="K234" s="210">
        <f t="shared" si="22"/>
        <v>0</v>
      </c>
      <c r="L234" s="267">
        <v>108.18</v>
      </c>
      <c r="M234" s="211">
        <f t="shared" si="23"/>
        <v>1.0745111854852916</v>
      </c>
      <c r="N234" s="199">
        <v>915.20279999999934</v>
      </c>
      <c r="O234" s="198">
        <v>3.8</v>
      </c>
      <c r="P234" s="200">
        <v>3.3468381187246779E-2</v>
      </c>
      <c r="Q234" s="272">
        <v>411.084</v>
      </c>
      <c r="R234" s="198">
        <v>4.6599999999999939</v>
      </c>
      <c r="S234" s="200">
        <v>4.1042804298044688E-2</v>
      </c>
      <c r="T234" s="198" t="s">
        <v>278</v>
      </c>
      <c r="U234" s="198" t="s">
        <v>212</v>
      </c>
      <c r="V234" s="264" t="s">
        <v>506</v>
      </c>
      <c r="W234" s="205">
        <v>1</v>
      </c>
      <c r="X234" s="198" t="s">
        <v>115</v>
      </c>
    </row>
    <row r="235" spans="2:24">
      <c r="B235" s="496"/>
      <c r="C235" s="496"/>
      <c r="D235" s="209">
        <v>129</v>
      </c>
      <c r="E235" s="198" t="s">
        <v>283</v>
      </c>
      <c r="F235" s="199">
        <v>479.02100000000047</v>
      </c>
      <c r="G235" s="198">
        <v>116.55</v>
      </c>
      <c r="H235" s="267">
        <v>122</v>
      </c>
      <c r="I235" s="210">
        <f t="shared" si="21"/>
        <v>1.0467610467610469</v>
      </c>
      <c r="J235" s="198"/>
      <c r="K235" s="210">
        <f t="shared" si="22"/>
        <v>0</v>
      </c>
      <c r="L235" s="267">
        <v>162.38</v>
      </c>
      <c r="M235" s="211">
        <f t="shared" si="23"/>
        <v>1.0467610467610469</v>
      </c>
      <c r="N235" s="199">
        <v>884.97100000000046</v>
      </c>
      <c r="O235" s="198">
        <v>2.5</v>
      </c>
      <c r="P235" s="200">
        <v>2.145002145002145E-2</v>
      </c>
      <c r="Q235" s="272">
        <v>405.95</v>
      </c>
      <c r="R235" s="198">
        <v>2.9500000000000028</v>
      </c>
      <c r="S235" s="200">
        <v>2.5311025311025335E-2</v>
      </c>
      <c r="T235" s="198" t="s">
        <v>278</v>
      </c>
      <c r="U235" s="198" t="s">
        <v>212</v>
      </c>
      <c r="V235" s="198"/>
      <c r="W235" s="205">
        <v>1</v>
      </c>
      <c r="X235" s="198" t="s">
        <v>121</v>
      </c>
    </row>
    <row r="236" spans="2:24">
      <c r="B236" s="496"/>
      <c r="C236" s="496"/>
      <c r="D236" s="209">
        <v>130</v>
      </c>
      <c r="E236" s="198" t="s">
        <v>373</v>
      </c>
      <c r="F236" s="199">
        <v>475.6190399999964</v>
      </c>
      <c r="G236" s="198">
        <v>34.176000000000002</v>
      </c>
      <c r="H236" s="267">
        <v>34.799999999999997</v>
      </c>
      <c r="I236" s="210">
        <f t="shared" si="21"/>
        <v>1.018258426966292</v>
      </c>
      <c r="J236" s="198"/>
      <c r="K236" s="210">
        <f t="shared" si="22"/>
        <v>0</v>
      </c>
      <c r="L236" s="267">
        <v>762.21</v>
      </c>
      <c r="M236" s="211">
        <f t="shared" si="23"/>
        <v>1.018258426966292</v>
      </c>
      <c r="N236" s="199">
        <v>475.6190399999964</v>
      </c>
      <c r="O236" s="198">
        <v>0</v>
      </c>
      <c r="P236" s="200">
        <v>0</v>
      </c>
      <c r="Q236" s="272">
        <v>0</v>
      </c>
      <c r="R236" s="198">
        <v>0.62399999999999523</v>
      </c>
      <c r="S236" s="200">
        <v>1.8258426966291996E-2</v>
      </c>
      <c r="T236" s="198" t="s">
        <v>315</v>
      </c>
      <c r="U236" s="198" t="s">
        <v>217</v>
      </c>
      <c r="V236" s="198" t="s">
        <v>441</v>
      </c>
      <c r="W236" s="205">
        <v>1</v>
      </c>
      <c r="X236" s="198" t="s">
        <v>116</v>
      </c>
    </row>
    <row r="237" spans="2:24">
      <c r="B237" s="495">
        <v>45893</v>
      </c>
      <c r="C237" s="496" t="s">
        <v>59</v>
      </c>
      <c r="D237" s="209">
        <v>131</v>
      </c>
      <c r="E237" s="198" t="s">
        <v>331</v>
      </c>
      <c r="F237" s="199">
        <v>5799.0134999999964</v>
      </c>
      <c r="G237" s="198">
        <v>237.24</v>
      </c>
      <c r="H237" s="267">
        <v>255.98699999999999</v>
      </c>
      <c r="I237" s="210">
        <f t="shared" si="21"/>
        <v>1.0790212443095599</v>
      </c>
      <c r="J237" s="198"/>
      <c r="K237" s="210">
        <f t="shared" si="22"/>
        <v>0</v>
      </c>
      <c r="L237" s="267">
        <v>335.3</v>
      </c>
      <c r="M237" s="211">
        <f t="shared" si="23"/>
        <v>1.0790212443095599</v>
      </c>
      <c r="N237" s="199">
        <v>6285.8690999999953</v>
      </c>
      <c r="O237" s="198">
        <v>1.452</v>
      </c>
      <c r="P237" s="200">
        <v>6.1203844208396552E-3</v>
      </c>
      <c r="Q237" s="272">
        <v>486.85559999999998</v>
      </c>
      <c r="R237" s="198">
        <v>17.294999999999987</v>
      </c>
      <c r="S237" s="200">
        <v>7.2900859888720221E-2</v>
      </c>
      <c r="T237" s="198" t="s">
        <v>315</v>
      </c>
      <c r="U237" s="198" t="s">
        <v>217</v>
      </c>
      <c r="V237" s="198" t="s">
        <v>416</v>
      </c>
      <c r="W237" s="205">
        <v>1</v>
      </c>
      <c r="X237" s="198" t="s">
        <v>114</v>
      </c>
    </row>
    <row r="238" spans="2:24">
      <c r="B238" s="496"/>
      <c r="C238" s="496"/>
      <c r="D238" s="209">
        <v>132</v>
      </c>
      <c r="E238" s="198" t="s">
        <v>333</v>
      </c>
      <c r="F238" s="199">
        <v>4257.8353999999999</v>
      </c>
      <c r="G238" s="198">
        <v>269.39999999999998</v>
      </c>
      <c r="H238" s="267">
        <v>282.64999999999998</v>
      </c>
      <c r="I238" s="210">
        <f t="shared" si="21"/>
        <v>1.0491833704528581</v>
      </c>
      <c r="J238" s="198"/>
      <c r="K238" s="210">
        <f t="shared" si="22"/>
        <v>0</v>
      </c>
      <c r="L238" s="267">
        <v>345.8</v>
      </c>
      <c r="M238" s="211">
        <f t="shared" si="23"/>
        <v>1.0491833704528581</v>
      </c>
      <c r="N238" s="199">
        <v>4581.8500000000004</v>
      </c>
      <c r="O238" s="198">
        <v>0.93700000000000006</v>
      </c>
      <c r="P238" s="200">
        <v>3.4780994803266523E-3</v>
      </c>
      <c r="Q238" s="272">
        <v>324.01460000000003</v>
      </c>
      <c r="R238" s="198">
        <v>12.313000000000001</v>
      </c>
      <c r="S238" s="200">
        <v>4.5705270972531555E-2</v>
      </c>
      <c r="T238" s="198" t="s">
        <v>308</v>
      </c>
      <c r="U238" s="198" t="s">
        <v>320</v>
      </c>
      <c r="V238" s="198" t="s">
        <v>507</v>
      </c>
      <c r="W238" s="205">
        <v>1</v>
      </c>
      <c r="X238" s="198" t="s">
        <v>116</v>
      </c>
    </row>
    <row r="239" spans="2:24" ht="16.5">
      <c r="B239" s="496"/>
      <c r="C239" s="496"/>
      <c r="D239" s="209">
        <v>133</v>
      </c>
      <c r="E239" s="198" t="s">
        <v>421</v>
      </c>
      <c r="F239" s="199">
        <v>3726.5546300000037</v>
      </c>
      <c r="G239" s="198">
        <v>148.16999999999999</v>
      </c>
      <c r="H239" s="267">
        <v>165.56100000000001</v>
      </c>
      <c r="I239" s="210">
        <f t="shared" si="21"/>
        <v>1.1173719376391984</v>
      </c>
      <c r="J239" s="198"/>
      <c r="K239" s="210">
        <f t="shared" si="22"/>
        <v>0</v>
      </c>
      <c r="L239" s="267">
        <v>216.17</v>
      </c>
      <c r="M239" s="211">
        <f t="shared" si="23"/>
        <v>1.1173719376391984</v>
      </c>
      <c r="N239" s="199">
        <v>3759.4124700000039</v>
      </c>
      <c r="O239" s="198">
        <v>0.152</v>
      </c>
      <c r="P239" s="200">
        <v>1.0258486873186206E-3</v>
      </c>
      <c r="Q239" s="272">
        <v>32.857839999999996</v>
      </c>
      <c r="R239" s="198">
        <v>17.239000000000019</v>
      </c>
      <c r="S239" s="200">
        <v>0.11634608895187973</v>
      </c>
      <c r="T239" s="198" t="s">
        <v>278</v>
      </c>
      <c r="U239" s="198" t="s">
        <v>212</v>
      </c>
      <c r="V239" s="264" t="s">
        <v>508</v>
      </c>
      <c r="W239" s="205">
        <v>1</v>
      </c>
      <c r="X239" s="198" t="s">
        <v>116</v>
      </c>
    </row>
    <row r="240" spans="2:24">
      <c r="B240" s="496"/>
      <c r="C240" s="496"/>
      <c r="D240" s="209">
        <v>134</v>
      </c>
      <c r="E240" s="198" t="s">
        <v>401</v>
      </c>
      <c r="F240" s="199">
        <v>1830.6390000000019</v>
      </c>
      <c r="G240" s="198">
        <v>58.670999999999999</v>
      </c>
      <c r="H240" s="267">
        <v>62.011000000000003</v>
      </c>
      <c r="I240" s="210">
        <f t="shared" si="21"/>
        <v>1.0569276133012904</v>
      </c>
      <c r="J240" s="198"/>
      <c r="K240" s="210">
        <f t="shared" si="22"/>
        <v>0</v>
      </c>
      <c r="L240" s="267">
        <v>617</v>
      </c>
      <c r="M240" s="211">
        <f t="shared" si="23"/>
        <v>1.0569276133012904</v>
      </c>
      <c r="N240" s="199">
        <v>2060.780000000002</v>
      </c>
      <c r="O240" s="198">
        <v>0.373</v>
      </c>
      <c r="P240" s="200">
        <v>6.3574849584973839E-3</v>
      </c>
      <c r="Q240" s="272">
        <v>230.14099999999999</v>
      </c>
      <c r="R240" s="198">
        <v>2.9670000000000032</v>
      </c>
      <c r="S240" s="200">
        <v>5.0570128342792918E-2</v>
      </c>
      <c r="T240" s="198" t="s">
        <v>278</v>
      </c>
      <c r="U240" s="198" t="s">
        <v>212</v>
      </c>
      <c r="V240" s="198"/>
      <c r="W240" s="205">
        <v>1</v>
      </c>
      <c r="X240" s="198" t="s">
        <v>126</v>
      </c>
    </row>
    <row r="241" spans="2:24">
      <c r="B241" s="496"/>
      <c r="C241" s="496"/>
      <c r="D241" s="209">
        <v>135</v>
      </c>
      <c r="E241" s="198" t="s">
        <v>369</v>
      </c>
      <c r="F241" s="199">
        <v>1393.163400000001</v>
      </c>
      <c r="G241" s="198">
        <v>239.13</v>
      </c>
      <c r="H241" s="267">
        <v>249.816</v>
      </c>
      <c r="I241" s="210">
        <f t="shared" si="21"/>
        <v>1.0446869903399825</v>
      </c>
      <c r="J241" s="198"/>
      <c r="K241" s="210">
        <f t="shared" si="22"/>
        <v>0</v>
      </c>
      <c r="L241" s="267">
        <v>141.87</v>
      </c>
      <c r="M241" s="211">
        <f t="shared" si="23"/>
        <v>1.0446869903399825</v>
      </c>
      <c r="N241" s="199">
        <v>1516.022820000001</v>
      </c>
      <c r="O241" s="198">
        <v>0.86599999999999999</v>
      </c>
      <c r="P241" s="200">
        <v>3.6214611299293271E-3</v>
      </c>
      <c r="Q241" s="272">
        <v>122.85942</v>
      </c>
      <c r="R241" s="198">
        <v>9.8200000000000074</v>
      </c>
      <c r="S241" s="200">
        <v>4.1065529210053138E-2</v>
      </c>
      <c r="T241" s="198" t="s">
        <v>278</v>
      </c>
      <c r="U241" s="198" t="s">
        <v>212</v>
      </c>
      <c r="V241" s="198"/>
      <c r="W241" s="205">
        <v>1</v>
      </c>
      <c r="X241" s="198" t="s">
        <v>112</v>
      </c>
    </row>
    <row r="242" spans="2:24">
      <c r="B242" s="496"/>
      <c r="C242" s="496"/>
      <c r="D242" s="209">
        <v>136</v>
      </c>
      <c r="E242" s="198" t="s">
        <v>424</v>
      </c>
      <c r="F242" s="199">
        <v>1283.5059999999985</v>
      </c>
      <c r="G242" s="198">
        <v>173.84</v>
      </c>
      <c r="H242" s="267">
        <v>187.18199999999999</v>
      </c>
      <c r="I242" s="210">
        <f t="shared" si="21"/>
        <v>1.0767487344684767</v>
      </c>
      <c r="J242" s="198"/>
      <c r="K242" s="210">
        <f t="shared" si="22"/>
        <v>0</v>
      </c>
      <c r="L242" s="267">
        <v>98</v>
      </c>
      <c r="M242" s="211">
        <f t="shared" si="23"/>
        <v>1.0767487344684767</v>
      </c>
      <c r="N242" s="199">
        <v>1307.5159999999985</v>
      </c>
      <c r="O242" s="198">
        <v>0.245</v>
      </c>
      <c r="P242" s="200">
        <v>1.4093419236079153E-3</v>
      </c>
      <c r="Q242" s="272">
        <v>24.009999999999998</v>
      </c>
      <c r="R242" s="198">
        <v>13.096999999999985</v>
      </c>
      <c r="S242" s="200">
        <v>7.5339392544868752E-2</v>
      </c>
      <c r="T242" s="198" t="s">
        <v>278</v>
      </c>
      <c r="U242" s="198" t="s">
        <v>212</v>
      </c>
      <c r="V242" s="198"/>
      <c r="W242" s="205">
        <v>1</v>
      </c>
      <c r="X242" s="198" t="s">
        <v>127</v>
      </c>
    </row>
    <row r="243" spans="2:24">
      <c r="B243" s="496"/>
      <c r="C243" s="496"/>
      <c r="D243" s="209">
        <v>137</v>
      </c>
      <c r="E243" s="198" t="s">
        <v>414</v>
      </c>
      <c r="F243" s="199">
        <v>1135.5655135135103</v>
      </c>
      <c r="G243" s="198">
        <v>577.20000000000005</v>
      </c>
      <c r="H243" s="267">
        <v>599.63499999999999</v>
      </c>
      <c r="I243" s="210">
        <f t="shared" si="21"/>
        <v>1.0388686763686763</v>
      </c>
      <c r="J243" s="198"/>
      <c r="K243" s="210">
        <f t="shared" si="22"/>
        <v>0</v>
      </c>
      <c r="L243" s="267">
        <v>58.21621621621621</v>
      </c>
      <c r="M243" s="211">
        <f t="shared" si="23"/>
        <v>1.0388686763686763</v>
      </c>
      <c r="N243" s="199">
        <v>1306.0808108108074</v>
      </c>
      <c r="O243" s="198">
        <v>2.9289999999999998</v>
      </c>
      <c r="P243" s="200">
        <v>5.0744975744975735E-3</v>
      </c>
      <c r="Q243" s="272">
        <v>170.51529729729728</v>
      </c>
      <c r="R243" s="198">
        <v>19.505999999999947</v>
      </c>
      <c r="S243" s="200">
        <v>3.3794178794178696E-2</v>
      </c>
      <c r="T243" s="198" t="s">
        <v>278</v>
      </c>
      <c r="U243" s="198" t="s">
        <v>212</v>
      </c>
      <c r="V243" s="198"/>
      <c r="W243" s="205">
        <v>1</v>
      </c>
      <c r="X243" s="198" t="s">
        <v>116</v>
      </c>
    </row>
    <row r="244" spans="2:24">
      <c r="B244" s="496"/>
      <c r="C244" s="496"/>
      <c r="D244" s="209">
        <v>138</v>
      </c>
      <c r="E244" s="198" t="s">
        <v>430</v>
      </c>
      <c r="F244" s="199">
        <v>1051.2855599999978</v>
      </c>
      <c r="G244" s="198">
        <v>232.68</v>
      </c>
      <c r="H244" s="267">
        <v>238.398</v>
      </c>
      <c r="I244" s="210">
        <f t="shared" si="21"/>
        <v>1.0245745229499741</v>
      </c>
      <c r="J244" s="198"/>
      <c r="K244" s="210">
        <f t="shared" si="22"/>
        <v>0</v>
      </c>
      <c r="L244" s="267">
        <v>193.17999999999998</v>
      </c>
      <c r="M244" s="211">
        <f t="shared" si="23"/>
        <v>1.0245745229499741</v>
      </c>
      <c r="N244" s="199">
        <v>1104.6032399999979</v>
      </c>
      <c r="O244" s="198">
        <v>0.27600000000000002</v>
      </c>
      <c r="P244" s="200">
        <v>1.1861784424961322E-3</v>
      </c>
      <c r="Q244" s="272">
        <v>53.317679999999996</v>
      </c>
      <c r="R244" s="198">
        <v>5.4419999999999895</v>
      </c>
      <c r="S244" s="200">
        <v>2.3388344507478037E-2</v>
      </c>
      <c r="T244" s="198" t="s">
        <v>278</v>
      </c>
      <c r="U244" s="198" t="s">
        <v>212</v>
      </c>
      <c r="V244" s="198"/>
      <c r="W244" s="205">
        <v>1</v>
      </c>
      <c r="X244" s="198" t="s">
        <v>112</v>
      </c>
    </row>
    <row r="245" spans="2:24">
      <c r="B245" s="496"/>
      <c r="C245" s="496"/>
      <c r="D245" s="209">
        <v>139</v>
      </c>
      <c r="E245" s="198" t="s">
        <v>375</v>
      </c>
      <c r="F245" s="199">
        <v>1024.1697900000011</v>
      </c>
      <c r="G245" s="198">
        <v>661.68</v>
      </c>
      <c r="H245" s="267">
        <v>680.04</v>
      </c>
      <c r="I245" s="210">
        <f t="shared" si="21"/>
        <v>1.0277475516866159</v>
      </c>
      <c r="J245" s="198"/>
      <c r="K245" s="210">
        <f t="shared" si="22"/>
        <v>0</v>
      </c>
      <c r="L245" s="267">
        <v>77.290000000000006</v>
      </c>
      <c r="M245" s="211">
        <f t="shared" si="23"/>
        <v>1.0277475516866159</v>
      </c>
      <c r="N245" s="199">
        <v>1419.0444000000011</v>
      </c>
      <c r="O245" s="198">
        <v>5.109</v>
      </c>
      <c r="P245" s="200">
        <v>7.7212549873050419E-3</v>
      </c>
      <c r="Q245" s="272">
        <v>394.87461000000002</v>
      </c>
      <c r="R245" s="198">
        <v>13.251000000000014</v>
      </c>
      <c r="S245" s="200">
        <v>2.0026296699310869E-2</v>
      </c>
      <c r="T245" s="198" t="s">
        <v>278</v>
      </c>
      <c r="U245" s="198" t="s">
        <v>212</v>
      </c>
      <c r="V245" s="198"/>
      <c r="W245" s="205">
        <v>1</v>
      </c>
      <c r="X245" s="198" t="s">
        <v>110</v>
      </c>
    </row>
    <row r="246" spans="2:24">
      <c r="B246" s="496"/>
      <c r="C246" s="496"/>
      <c r="D246" s="209">
        <v>140</v>
      </c>
      <c r="E246" s="198" t="s">
        <v>274</v>
      </c>
      <c r="F246" s="199">
        <v>944.56343000000788</v>
      </c>
      <c r="G246" s="198">
        <v>736.56</v>
      </c>
      <c r="H246" s="267">
        <v>748.904</v>
      </c>
      <c r="I246" s="210">
        <f t="shared" si="21"/>
        <v>1.0167589877267298</v>
      </c>
      <c r="J246" s="198"/>
      <c r="K246" s="210">
        <f t="shared" si="22"/>
        <v>0</v>
      </c>
      <c r="L246" s="267">
        <v>156.66999999999999</v>
      </c>
      <c r="M246" s="211">
        <f t="shared" si="23"/>
        <v>1.0167589877267298</v>
      </c>
      <c r="N246" s="199">
        <v>1933.9344800000079</v>
      </c>
      <c r="O246" s="198">
        <v>6.3150000000000004</v>
      </c>
      <c r="P246" s="200">
        <v>8.5736396220267193E-3</v>
      </c>
      <c r="Q246" s="272">
        <v>989.37104999999997</v>
      </c>
      <c r="R246" s="198">
        <v>6.0290000000000505</v>
      </c>
      <c r="S246" s="200">
        <v>8.1853481047030122E-3</v>
      </c>
      <c r="T246" s="198" t="s">
        <v>278</v>
      </c>
      <c r="U246" s="198" t="s">
        <v>212</v>
      </c>
      <c r="V246" s="198"/>
      <c r="W246" s="205">
        <v>1</v>
      </c>
      <c r="X246" s="198" t="s">
        <v>113</v>
      </c>
    </row>
    <row r="247" spans="2:24">
      <c r="B247" s="495">
        <v>45894</v>
      </c>
      <c r="C247" s="496" t="s">
        <v>65</v>
      </c>
      <c r="D247" s="209">
        <v>141</v>
      </c>
      <c r="E247" s="198" t="s">
        <v>485</v>
      </c>
      <c r="F247" s="199">
        <v>4913.5999999999995</v>
      </c>
      <c r="G247" s="198">
        <v>92.432000000000002</v>
      </c>
      <c r="H247" s="267">
        <v>117</v>
      </c>
      <c r="I247" s="210">
        <f t="shared" si="21"/>
        <v>1.2657953955340142</v>
      </c>
      <c r="J247" s="198"/>
      <c r="K247" s="210">
        <f t="shared" si="22"/>
        <v>0</v>
      </c>
      <c r="L247" s="267">
        <v>200</v>
      </c>
      <c r="M247" s="211">
        <f t="shared" si="23"/>
        <v>1.2657953955340142</v>
      </c>
      <c r="N247" s="199">
        <v>4913.5999999999995</v>
      </c>
      <c r="O247" s="198">
        <v>0</v>
      </c>
      <c r="P247" s="200">
        <v>0</v>
      </c>
      <c r="Q247" s="272">
        <v>0</v>
      </c>
      <c r="R247" s="198">
        <v>24.567999999999998</v>
      </c>
      <c r="S247" s="200">
        <v>0.26579539553401416</v>
      </c>
      <c r="T247" s="198" t="s">
        <v>278</v>
      </c>
      <c r="U247" s="198" t="s">
        <v>212</v>
      </c>
      <c r="V247" s="198"/>
      <c r="W247" s="205">
        <v>1</v>
      </c>
      <c r="X247" s="198" t="s">
        <v>109</v>
      </c>
    </row>
    <row r="248" spans="2:24">
      <c r="B248" s="496"/>
      <c r="C248" s="496"/>
      <c r="D248" s="209">
        <v>142</v>
      </c>
      <c r="E248" s="198" t="s">
        <v>331</v>
      </c>
      <c r="F248" s="199">
        <v>3453.5899999999961</v>
      </c>
      <c r="G248" s="198">
        <v>225.3</v>
      </c>
      <c r="H248" s="267">
        <v>238</v>
      </c>
      <c r="I248" s="210">
        <f t="shared" si="21"/>
        <v>1.0563692853972482</v>
      </c>
      <c r="J248" s="198"/>
      <c r="K248" s="210">
        <f t="shared" si="22"/>
        <v>0</v>
      </c>
      <c r="L248" s="267">
        <v>335.3</v>
      </c>
      <c r="M248" s="211">
        <f t="shared" si="23"/>
        <v>1.0563692853972482</v>
      </c>
      <c r="N248" s="199">
        <v>4258.3099999999968</v>
      </c>
      <c r="O248" s="198">
        <v>2.4</v>
      </c>
      <c r="P248" s="200">
        <v>1.0652463382157123E-2</v>
      </c>
      <c r="Q248" s="272">
        <v>804.72</v>
      </c>
      <c r="R248" s="198">
        <v>10.299999999999988</v>
      </c>
      <c r="S248" s="200">
        <v>4.5716822015090933E-2</v>
      </c>
      <c r="T248" s="198" t="s">
        <v>315</v>
      </c>
      <c r="U248" s="198" t="s">
        <v>217</v>
      </c>
      <c r="V248" s="198"/>
      <c r="W248" s="205">
        <v>1</v>
      </c>
      <c r="X248" s="198" t="s">
        <v>114</v>
      </c>
    </row>
    <row r="249" spans="2:24">
      <c r="B249" s="496"/>
      <c r="C249" s="496"/>
      <c r="D249" s="209">
        <v>143</v>
      </c>
      <c r="E249" s="198" t="s">
        <v>373</v>
      </c>
      <c r="F249" s="199">
        <v>1871.9877599999977</v>
      </c>
      <c r="G249" s="198">
        <v>42.064</v>
      </c>
      <c r="H249" s="267">
        <v>45.3</v>
      </c>
      <c r="I249" s="210">
        <f t="shared" si="21"/>
        <v>1.0769303917839481</v>
      </c>
      <c r="J249" s="198"/>
      <c r="K249" s="210">
        <f t="shared" si="22"/>
        <v>0</v>
      </c>
      <c r="L249" s="267">
        <v>762.21</v>
      </c>
      <c r="M249" s="211">
        <f t="shared" si="23"/>
        <v>1.0769303917839481</v>
      </c>
      <c r="N249" s="199">
        <v>2466.5115599999981</v>
      </c>
      <c r="O249" s="198">
        <v>0.78</v>
      </c>
      <c r="P249" s="200">
        <v>1.8543172308862686E-2</v>
      </c>
      <c r="Q249" s="272">
        <v>594.52380000000005</v>
      </c>
      <c r="R249" s="198">
        <v>2.4559999999999969</v>
      </c>
      <c r="S249" s="200">
        <v>5.838721947508551E-2</v>
      </c>
      <c r="T249" s="198" t="s">
        <v>328</v>
      </c>
      <c r="U249" s="198" t="s">
        <v>213</v>
      </c>
      <c r="V249" s="198" t="s">
        <v>509</v>
      </c>
      <c r="W249" s="205">
        <v>1</v>
      </c>
      <c r="X249" s="198" t="s">
        <v>116</v>
      </c>
    </row>
    <row r="250" spans="2:24">
      <c r="B250" s="496"/>
      <c r="C250" s="496"/>
      <c r="D250" s="209">
        <v>144</v>
      </c>
      <c r="E250" s="198" t="s">
        <v>494</v>
      </c>
      <c r="F250" s="199">
        <v>1294.615</v>
      </c>
      <c r="G250" s="198">
        <v>16.491</v>
      </c>
      <c r="H250" s="267">
        <v>22</v>
      </c>
      <c r="I250" s="210">
        <f t="shared" si="21"/>
        <v>1.3340610029713178</v>
      </c>
      <c r="J250" s="198"/>
      <c r="K250" s="210">
        <f t="shared" si="22"/>
        <v>0</v>
      </c>
      <c r="L250" s="267">
        <v>235</v>
      </c>
      <c r="M250" s="211">
        <f t="shared" si="23"/>
        <v>1.3340610029713178</v>
      </c>
      <c r="N250" s="199">
        <v>1294.615</v>
      </c>
      <c r="O250" s="198">
        <v>0</v>
      </c>
      <c r="P250" s="200">
        <v>0</v>
      </c>
      <c r="Q250" s="272">
        <v>0</v>
      </c>
      <c r="R250" s="198">
        <v>5.5090000000000003</v>
      </c>
      <c r="S250" s="200">
        <v>0.33406100297131769</v>
      </c>
      <c r="T250" s="198" t="s">
        <v>278</v>
      </c>
      <c r="U250" s="198" t="s">
        <v>212</v>
      </c>
      <c r="V250" s="198"/>
      <c r="W250" s="205">
        <v>1</v>
      </c>
      <c r="X250" s="198" t="s">
        <v>110</v>
      </c>
    </row>
    <row r="251" spans="2:24">
      <c r="B251" s="496"/>
      <c r="C251" s="496"/>
      <c r="D251" s="209">
        <v>145</v>
      </c>
      <c r="E251" s="198" t="s">
        <v>440</v>
      </c>
      <c r="F251" s="199">
        <v>692.20619999999826</v>
      </c>
      <c r="G251" s="198">
        <v>243.87</v>
      </c>
      <c r="H251" s="267">
        <v>250.45</v>
      </c>
      <c r="I251" s="210">
        <f t="shared" si="21"/>
        <v>1.0269815885512772</v>
      </c>
      <c r="J251" s="198"/>
      <c r="K251" s="210">
        <f t="shared" si="22"/>
        <v>0</v>
      </c>
      <c r="L251" s="267">
        <v>115.08</v>
      </c>
      <c r="M251" s="211">
        <f t="shared" si="23"/>
        <v>1.0269815885512772</v>
      </c>
      <c r="N251" s="199">
        <v>757.22639999999819</v>
      </c>
      <c r="O251" s="198">
        <v>0.56499999999999995</v>
      </c>
      <c r="P251" s="200">
        <v>2.3168081354820189E-3</v>
      </c>
      <c r="Q251" s="272">
        <v>65.020199999999988</v>
      </c>
      <c r="R251" s="198">
        <v>6.0149999999999846</v>
      </c>
      <c r="S251" s="200">
        <v>2.4664780415795236E-2</v>
      </c>
      <c r="T251" s="198" t="s">
        <v>278</v>
      </c>
      <c r="U251" s="198" t="s">
        <v>212</v>
      </c>
      <c r="V251" s="198"/>
      <c r="W251" s="205">
        <v>1</v>
      </c>
      <c r="X251" s="198" t="s">
        <v>432</v>
      </c>
    </row>
    <row r="252" spans="2:24">
      <c r="B252" s="496"/>
      <c r="C252" s="496"/>
      <c r="D252" s="209">
        <v>146</v>
      </c>
      <c r="E252" s="198" t="s">
        <v>409</v>
      </c>
      <c r="F252" s="199">
        <v>539.8064399999954</v>
      </c>
      <c r="G252" s="198">
        <v>68.016000000000005</v>
      </c>
      <c r="H252" s="267">
        <v>70.099999999999994</v>
      </c>
      <c r="I252" s="210">
        <f t="shared" si="21"/>
        <v>1.0306398494471887</v>
      </c>
      <c r="J252" s="198"/>
      <c r="K252" s="210">
        <f t="shared" si="22"/>
        <v>0</v>
      </c>
      <c r="L252" s="267">
        <v>420.41</v>
      </c>
      <c r="M252" s="211">
        <f t="shared" si="23"/>
        <v>1.0306398494471887</v>
      </c>
      <c r="N252" s="199">
        <v>876.13443999999538</v>
      </c>
      <c r="O252" s="198">
        <v>0.8</v>
      </c>
      <c r="P252" s="200">
        <v>1.1761938367442954E-2</v>
      </c>
      <c r="Q252" s="272">
        <v>336.32800000000003</v>
      </c>
      <c r="R252" s="198">
        <v>1.2839999999999889</v>
      </c>
      <c r="S252" s="200">
        <v>1.8877911079745777E-2</v>
      </c>
      <c r="T252" s="198" t="s">
        <v>278</v>
      </c>
      <c r="U252" s="198" t="s">
        <v>212</v>
      </c>
      <c r="V252" s="198"/>
      <c r="W252" s="205">
        <v>1</v>
      </c>
      <c r="X252" s="198" t="s">
        <v>112</v>
      </c>
    </row>
    <row r="253" spans="2:24">
      <c r="B253" s="496"/>
      <c r="C253" s="496"/>
      <c r="D253" s="209">
        <v>147</v>
      </c>
      <c r="E253" s="198" t="s">
        <v>375</v>
      </c>
      <c r="F253" s="199">
        <v>529.43650000000252</v>
      </c>
      <c r="G253" s="198">
        <v>680.16</v>
      </c>
      <c r="H253" s="267">
        <v>688</v>
      </c>
      <c r="I253" s="210">
        <f t="shared" si="21"/>
        <v>1.0115266996000942</v>
      </c>
      <c r="J253" s="198"/>
      <c r="K253" s="210">
        <f t="shared" si="22"/>
        <v>0</v>
      </c>
      <c r="L253" s="267">
        <v>77.290000000000006</v>
      </c>
      <c r="M253" s="211">
        <f t="shared" si="23"/>
        <v>1.0115266996000942</v>
      </c>
      <c r="N253" s="199">
        <v>605.95360000000255</v>
      </c>
      <c r="O253" s="198">
        <v>0.99</v>
      </c>
      <c r="P253" s="200">
        <v>1.4555398729710657E-3</v>
      </c>
      <c r="Q253" s="272">
        <v>76.517099999999999</v>
      </c>
      <c r="R253" s="198">
        <v>6.8500000000000316</v>
      </c>
      <c r="S253" s="200">
        <v>1.0071159727123077E-2</v>
      </c>
      <c r="T253" s="198" t="s">
        <v>278</v>
      </c>
      <c r="U253" s="198" t="s">
        <v>212</v>
      </c>
      <c r="V253" s="198"/>
      <c r="W253" s="205">
        <v>1</v>
      </c>
      <c r="X253" s="198" t="s">
        <v>112</v>
      </c>
    </row>
    <row r="254" spans="2:24">
      <c r="B254" s="496"/>
      <c r="C254" s="496"/>
      <c r="D254" s="209">
        <v>148</v>
      </c>
      <c r="E254" s="198" t="s">
        <v>510</v>
      </c>
      <c r="F254" s="199">
        <v>477.74194999999838</v>
      </c>
      <c r="G254" s="198">
        <v>473.22</v>
      </c>
      <c r="H254" s="267">
        <v>489.07799999999997</v>
      </c>
      <c r="I254" s="210">
        <f t="shared" si="21"/>
        <v>1.0335108406238112</v>
      </c>
      <c r="J254" s="198"/>
      <c r="K254" s="210">
        <f t="shared" si="22"/>
        <v>0</v>
      </c>
      <c r="L254" s="267">
        <v>30.169999999999998</v>
      </c>
      <c r="M254" s="211">
        <f t="shared" si="23"/>
        <v>1.0335108406238112</v>
      </c>
      <c r="N254" s="199">
        <v>478.4358599999984</v>
      </c>
      <c r="O254" s="198">
        <v>2.3E-2</v>
      </c>
      <c r="P254" s="200">
        <v>4.860318667850048E-5</v>
      </c>
      <c r="Q254" s="272">
        <v>0.69390999999999992</v>
      </c>
      <c r="R254" s="198">
        <v>15.834999999999948</v>
      </c>
      <c r="S254" s="200">
        <v>3.3462237437132725E-2</v>
      </c>
      <c r="T254" s="198" t="s">
        <v>278</v>
      </c>
      <c r="U254" s="198" t="s">
        <v>212</v>
      </c>
      <c r="V254" s="198"/>
      <c r="W254" s="205">
        <v>1</v>
      </c>
      <c r="X254" s="198" t="s">
        <v>116</v>
      </c>
    </row>
    <row r="255" spans="2:24">
      <c r="B255" s="496"/>
      <c r="C255" s="496"/>
      <c r="D255" s="209">
        <v>149</v>
      </c>
      <c r="E255" s="198" t="s">
        <v>298</v>
      </c>
      <c r="F255" s="199">
        <v>422.49240000000191</v>
      </c>
      <c r="G255" s="198">
        <v>755.92</v>
      </c>
      <c r="H255" s="267">
        <v>765</v>
      </c>
      <c r="I255" s="210">
        <f t="shared" si="21"/>
        <v>1.0120118531061488</v>
      </c>
      <c r="J255" s="198"/>
      <c r="K255" s="210">
        <f t="shared" si="22"/>
        <v>0</v>
      </c>
      <c r="L255" s="267">
        <v>46.53</v>
      </c>
      <c r="M255" s="211">
        <f t="shared" si="23"/>
        <v>1.0120118531061488</v>
      </c>
      <c r="N255" s="199">
        <v>422.49240000000191</v>
      </c>
      <c r="O255" s="198">
        <v>0</v>
      </c>
      <c r="P255" s="200">
        <v>0</v>
      </c>
      <c r="Q255" s="272">
        <v>0</v>
      </c>
      <c r="R255" s="198">
        <v>9.0800000000000409</v>
      </c>
      <c r="S255" s="200">
        <v>1.2011853106148853E-2</v>
      </c>
      <c r="T255" s="198" t="s">
        <v>278</v>
      </c>
      <c r="U255" s="198" t="s">
        <v>212</v>
      </c>
      <c r="V255" s="198"/>
      <c r="W255" s="205">
        <v>1</v>
      </c>
      <c r="X255" s="198" t="s">
        <v>121</v>
      </c>
    </row>
    <row r="256" spans="2:24">
      <c r="B256" s="496"/>
      <c r="C256" s="496"/>
      <c r="D256" s="209">
        <v>150</v>
      </c>
      <c r="E256" s="198" t="s">
        <v>277</v>
      </c>
      <c r="F256" s="199">
        <v>382.8383000000012</v>
      </c>
      <c r="G256" s="198">
        <v>439.76</v>
      </c>
      <c r="H256" s="267">
        <v>444</v>
      </c>
      <c r="I256" s="210">
        <f t="shared" si="21"/>
        <v>1.0096416227032927</v>
      </c>
      <c r="J256" s="198"/>
      <c r="K256" s="210">
        <f t="shared" si="22"/>
        <v>0</v>
      </c>
      <c r="L256" s="267">
        <v>132.47</v>
      </c>
      <c r="M256" s="211">
        <f t="shared" si="23"/>
        <v>1.0096416227032927</v>
      </c>
      <c r="N256" s="199">
        <v>561.67280000000119</v>
      </c>
      <c r="O256" s="198">
        <v>1.35</v>
      </c>
      <c r="P256" s="200">
        <v>3.0698562852464984E-3</v>
      </c>
      <c r="Q256" s="272">
        <v>178.83450000000002</v>
      </c>
      <c r="R256" s="198">
        <v>2.890000000000009</v>
      </c>
      <c r="S256" s="200">
        <v>6.5717664180462276E-3</v>
      </c>
      <c r="T256" s="198" t="s">
        <v>278</v>
      </c>
      <c r="U256" s="198" t="s">
        <v>212</v>
      </c>
      <c r="V256" s="198"/>
      <c r="W256" s="205">
        <v>1</v>
      </c>
      <c r="X256" s="198" t="s">
        <v>110</v>
      </c>
    </row>
    <row r="257" spans="2:24">
      <c r="B257" s="495">
        <v>45895</v>
      </c>
      <c r="C257" s="496" t="s">
        <v>66</v>
      </c>
      <c r="D257" s="209">
        <v>151</v>
      </c>
      <c r="E257" s="198" t="s">
        <v>285</v>
      </c>
      <c r="F257" s="199">
        <v>6802.1559999999981</v>
      </c>
      <c r="G257" s="198">
        <v>63.14</v>
      </c>
      <c r="H257" s="267">
        <v>63.177999999999997</v>
      </c>
      <c r="I257" s="210">
        <f t="shared" si="21"/>
        <v>1.000601837187203</v>
      </c>
      <c r="J257" s="267">
        <v>13</v>
      </c>
      <c r="K257" s="210">
        <f t="shared" si="22"/>
        <v>0.20589166930630345</v>
      </c>
      <c r="L257" s="267">
        <v>587</v>
      </c>
      <c r="M257" s="211">
        <f t="shared" si="23"/>
        <v>1.2064935064935065</v>
      </c>
      <c r="N257" s="199">
        <v>7653.3059999999978</v>
      </c>
      <c r="O257" s="198">
        <v>1.45</v>
      </c>
      <c r="P257" s="200">
        <v>2.2964840038010768E-2</v>
      </c>
      <c r="Q257" s="272">
        <v>851.15</v>
      </c>
      <c r="R257" s="198">
        <v>11.587999999999997</v>
      </c>
      <c r="S257" s="200">
        <v>0.18352866645549568</v>
      </c>
      <c r="T257" s="198" t="s">
        <v>278</v>
      </c>
      <c r="U257" s="198" t="s">
        <v>212</v>
      </c>
      <c r="V257" s="198"/>
      <c r="W257" s="205">
        <v>1</v>
      </c>
      <c r="X257" s="198" t="s">
        <v>432</v>
      </c>
    </row>
    <row r="258" spans="2:24">
      <c r="B258" s="496"/>
      <c r="C258" s="496"/>
      <c r="D258" s="209">
        <v>152</v>
      </c>
      <c r="E258" s="198" t="s">
        <v>511</v>
      </c>
      <c r="F258" s="199">
        <v>4575.3000699999993</v>
      </c>
      <c r="G258" s="198">
        <v>240.435</v>
      </c>
      <c r="H258" s="267">
        <v>218</v>
      </c>
      <c r="I258" s="210">
        <f t="shared" si="21"/>
        <v>0.90668995778484829</v>
      </c>
      <c r="J258" s="267">
        <v>79</v>
      </c>
      <c r="K258" s="210">
        <f t="shared" si="22"/>
        <v>0.3285711314908395</v>
      </c>
      <c r="L258" s="267">
        <v>81.19</v>
      </c>
      <c r="M258" s="211">
        <f t="shared" si="23"/>
        <v>1.2352610892756879</v>
      </c>
      <c r="N258" s="199">
        <v>4592.51235</v>
      </c>
      <c r="O258" s="198">
        <v>0.21199999999999999</v>
      </c>
      <c r="P258" s="200">
        <v>8.8173518830453128E-4</v>
      </c>
      <c r="Q258" s="272">
        <v>17.21228</v>
      </c>
      <c r="R258" s="198">
        <v>56.352999999999994</v>
      </c>
      <c r="S258" s="200">
        <v>0.23437935408738325</v>
      </c>
      <c r="T258" s="198" t="s">
        <v>315</v>
      </c>
      <c r="U258" s="198" t="s">
        <v>217</v>
      </c>
      <c r="V258" s="198" t="s">
        <v>512</v>
      </c>
      <c r="W258" s="205">
        <v>1</v>
      </c>
      <c r="X258" s="198" t="s">
        <v>435</v>
      </c>
    </row>
    <row r="259" spans="2:24">
      <c r="B259" s="496"/>
      <c r="C259" s="496"/>
      <c r="D259" s="209">
        <v>153</v>
      </c>
      <c r="E259" s="198" t="s">
        <v>513</v>
      </c>
      <c r="F259" s="199">
        <v>3008.7036000000044</v>
      </c>
      <c r="G259" s="198">
        <v>427.44</v>
      </c>
      <c r="H259" s="267">
        <v>430.22500000000002</v>
      </c>
      <c r="I259" s="210">
        <f t="shared" si="21"/>
        <v>1.0065155343440015</v>
      </c>
      <c r="J259" s="267">
        <v>20</v>
      </c>
      <c r="K259" s="210">
        <f t="shared" si="22"/>
        <v>4.6790192775594236E-2</v>
      </c>
      <c r="L259" s="267">
        <v>146.16000000000003</v>
      </c>
      <c r="M259" s="211">
        <f t="shared" si="23"/>
        <v>1.0533057271195958</v>
      </c>
      <c r="N259" s="199">
        <v>3330.2556000000041</v>
      </c>
      <c r="O259" s="198">
        <v>2.2000000000000002</v>
      </c>
      <c r="P259" s="200">
        <v>5.1469212053153668E-3</v>
      </c>
      <c r="Q259" s="272">
        <v>321.55200000000008</v>
      </c>
      <c r="R259" s="198">
        <v>20.585000000000026</v>
      </c>
      <c r="S259" s="200">
        <v>4.8158805914280428E-2</v>
      </c>
      <c r="T259" s="198" t="s">
        <v>315</v>
      </c>
      <c r="U259" s="198" t="s">
        <v>217</v>
      </c>
      <c r="V259" s="198" t="s">
        <v>514</v>
      </c>
      <c r="W259" s="205">
        <v>1</v>
      </c>
      <c r="X259" s="198" t="s">
        <v>435</v>
      </c>
    </row>
    <row r="260" spans="2:24">
      <c r="B260" s="496"/>
      <c r="C260" s="496"/>
      <c r="D260" s="209">
        <v>154</v>
      </c>
      <c r="E260" s="198" t="s">
        <v>331</v>
      </c>
      <c r="F260" s="199">
        <v>2093.2778999999991</v>
      </c>
      <c r="G260" s="198">
        <v>212.76</v>
      </c>
      <c r="H260" s="267">
        <v>221.28299999999999</v>
      </c>
      <c r="I260" s="210">
        <f t="shared" si="21"/>
        <v>1.0400592216582065</v>
      </c>
      <c r="J260" s="267">
        <v>0</v>
      </c>
      <c r="K260" s="210">
        <f t="shared" si="22"/>
        <v>0</v>
      </c>
      <c r="L260" s="267">
        <v>335.3</v>
      </c>
      <c r="M260" s="211">
        <f t="shared" si="23"/>
        <v>1.0400592216582065</v>
      </c>
      <c r="N260" s="199">
        <v>2857.7618999999986</v>
      </c>
      <c r="O260" s="198">
        <v>2.2799999999999998</v>
      </c>
      <c r="P260" s="200">
        <v>1.0716300056401579E-2</v>
      </c>
      <c r="Q260" s="272">
        <v>764.48399999999992</v>
      </c>
      <c r="R260" s="198">
        <v>6.2429999999999968</v>
      </c>
      <c r="S260" s="200">
        <v>2.9342921601804836E-2</v>
      </c>
      <c r="T260" s="198" t="s">
        <v>315</v>
      </c>
      <c r="U260" s="198" t="s">
        <v>217</v>
      </c>
      <c r="V260" s="198" t="s">
        <v>416</v>
      </c>
      <c r="W260" s="205">
        <v>1</v>
      </c>
      <c r="X260" s="198" t="s">
        <v>114</v>
      </c>
    </row>
    <row r="261" spans="2:24">
      <c r="B261" s="496"/>
      <c r="C261" s="496"/>
      <c r="D261" s="209">
        <v>155</v>
      </c>
      <c r="E261" s="198" t="s">
        <v>433</v>
      </c>
      <c r="F261" s="199">
        <v>1020.7929000000001</v>
      </c>
      <c r="G261" s="198">
        <v>409.63</v>
      </c>
      <c r="H261" s="267">
        <v>439</v>
      </c>
      <c r="I261" s="210">
        <f t="shared" si="21"/>
        <v>1.0716988501818714</v>
      </c>
      <c r="J261" s="267">
        <v>0</v>
      </c>
      <c r="K261" s="210">
        <f t="shared" si="22"/>
        <v>0</v>
      </c>
      <c r="L261" s="267">
        <v>54.97</v>
      </c>
      <c r="M261" s="211">
        <f t="shared" si="23"/>
        <v>1.0716988501818714</v>
      </c>
      <c r="N261" s="199">
        <v>1614.4689000000003</v>
      </c>
      <c r="O261" s="198">
        <v>10.8</v>
      </c>
      <c r="P261" s="200">
        <v>2.6365256450943536E-2</v>
      </c>
      <c r="Q261" s="272">
        <v>593.67600000000004</v>
      </c>
      <c r="R261" s="198">
        <v>18.570000000000004</v>
      </c>
      <c r="S261" s="200">
        <v>4.5333593730927921E-2</v>
      </c>
      <c r="T261" s="198" t="s">
        <v>278</v>
      </c>
      <c r="U261" s="198" t="s">
        <v>212</v>
      </c>
      <c r="V261" s="198" t="s">
        <v>515</v>
      </c>
      <c r="W261" s="205">
        <v>1</v>
      </c>
      <c r="X261" s="198" t="s">
        <v>435</v>
      </c>
    </row>
    <row r="262" spans="2:24" ht="16.5">
      <c r="B262" s="496"/>
      <c r="C262" s="496"/>
      <c r="D262" s="209">
        <v>156</v>
      </c>
      <c r="E262" s="198" t="s">
        <v>437</v>
      </c>
      <c r="F262" s="199">
        <v>873.80479999999989</v>
      </c>
      <c r="G262" s="198">
        <v>24.288</v>
      </c>
      <c r="H262" s="267">
        <v>24</v>
      </c>
      <c r="I262" s="210">
        <f t="shared" si="21"/>
        <v>0.98814229249011853</v>
      </c>
      <c r="J262" s="267">
        <v>1.5</v>
      </c>
      <c r="K262" s="210">
        <f t="shared" si="22"/>
        <v>6.1758893280632408E-2</v>
      </c>
      <c r="L262" s="267">
        <v>742.4</v>
      </c>
      <c r="M262" s="211">
        <f t="shared" si="23"/>
        <v>1.049901185770751</v>
      </c>
      <c r="N262" s="199">
        <v>899.78879999999981</v>
      </c>
      <c r="O262" s="198">
        <v>3.5000000000000003E-2</v>
      </c>
      <c r="P262" s="200">
        <v>1.4410408432147565E-3</v>
      </c>
      <c r="Q262" s="272">
        <v>25.984000000000002</v>
      </c>
      <c r="R262" s="198">
        <v>1.1769999999999998</v>
      </c>
      <c r="S262" s="200">
        <v>4.8460144927536225E-2</v>
      </c>
      <c r="T262" s="198" t="s">
        <v>328</v>
      </c>
      <c r="U262" s="198" t="s">
        <v>213</v>
      </c>
      <c r="V262" s="264" t="s">
        <v>516</v>
      </c>
      <c r="W262" s="205">
        <v>1</v>
      </c>
      <c r="X262" s="198" t="s">
        <v>127</v>
      </c>
    </row>
    <row r="263" spans="2:24">
      <c r="B263" s="496"/>
      <c r="C263" s="496"/>
      <c r="D263" s="209">
        <v>157</v>
      </c>
      <c r="E263" s="198" t="s">
        <v>373</v>
      </c>
      <c r="F263" s="199">
        <v>829.28448000000208</v>
      </c>
      <c r="G263" s="198">
        <v>41.167999999999999</v>
      </c>
      <c r="H263" s="267">
        <v>42.743000000000002</v>
      </c>
      <c r="I263" s="210">
        <f t="shared" si="21"/>
        <v>1.0382578701904392</v>
      </c>
      <c r="J263" s="267">
        <v>0</v>
      </c>
      <c r="K263" s="210">
        <f t="shared" si="22"/>
        <v>0</v>
      </c>
      <c r="L263" s="267">
        <v>762.21</v>
      </c>
      <c r="M263" s="211">
        <f t="shared" si="23"/>
        <v>1.0382578701904392</v>
      </c>
      <c r="N263" s="199">
        <v>1200.4807500000022</v>
      </c>
      <c r="O263" s="198">
        <v>0.48699999999999999</v>
      </c>
      <c r="P263" s="200">
        <v>1.1829576369996113E-2</v>
      </c>
      <c r="Q263" s="272">
        <v>371.19627000000003</v>
      </c>
      <c r="R263" s="198">
        <v>1.0880000000000027</v>
      </c>
      <c r="S263" s="200">
        <v>2.6428293820443129E-2</v>
      </c>
      <c r="T263" s="198" t="s">
        <v>315</v>
      </c>
      <c r="U263" s="198" t="s">
        <v>217</v>
      </c>
      <c r="V263" s="198" t="s">
        <v>441</v>
      </c>
      <c r="W263" s="205">
        <v>1</v>
      </c>
      <c r="X263" s="198" t="s">
        <v>116</v>
      </c>
    </row>
    <row r="264" spans="2:24" ht="16.5">
      <c r="B264" s="496"/>
      <c r="C264" s="496"/>
      <c r="D264" s="209">
        <v>158</v>
      </c>
      <c r="E264" s="198" t="s">
        <v>447</v>
      </c>
      <c r="F264" s="199">
        <v>824.79999999999973</v>
      </c>
      <c r="G264" s="198">
        <v>30.876000000000001</v>
      </c>
      <c r="H264" s="267">
        <v>35</v>
      </c>
      <c r="I264" s="210">
        <f t="shared" ref="I264:I326" si="24">H264/G264</f>
        <v>1.1335665241611608</v>
      </c>
      <c r="J264" s="267">
        <v>0</v>
      </c>
      <c r="K264" s="210">
        <f t="shared" ref="K264:K326" si="25">J264/G264</f>
        <v>0</v>
      </c>
      <c r="L264" s="267">
        <v>200</v>
      </c>
      <c r="M264" s="211">
        <f t="shared" ref="M264:M326" si="26">(H264+J264)/G264</f>
        <v>1.1335665241611608</v>
      </c>
      <c r="N264" s="199">
        <v>824.79999999999973</v>
      </c>
      <c r="O264" s="198">
        <v>0</v>
      </c>
      <c r="P264" s="200">
        <v>0</v>
      </c>
      <c r="Q264" s="272">
        <v>0</v>
      </c>
      <c r="R264" s="198">
        <v>4.1239999999999988</v>
      </c>
      <c r="S264" s="200">
        <v>0.13356652416116072</v>
      </c>
      <c r="T264" s="198" t="s">
        <v>278</v>
      </c>
      <c r="U264" s="198" t="s">
        <v>212</v>
      </c>
      <c r="V264" s="264" t="s">
        <v>517</v>
      </c>
      <c r="W264" s="205">
        <v>1</v>
      </c>
      <c r="X264" s="198" t="s">
        <v>116</v>
      </c>
    </row>
    <row r="265" spans="2:24">
      <c r="B265" s="496"/>
      <c r="C265" s="496"/>
      <c r="D265" s="209">
        <v>159</v>
      </c>
      <c r="E265" s="198" t="s">
        <v>298</v>
      </c>
      <c r="F265" s="199">
        <v>607.47839999999849</v>
      </c>
      <c r="G265" s="198">
        <v>422.8</v>
      </c>
      <c r="H265" s="267">
        <v>429</v>
      </c>
      <c r="I265" s="210">
        <f t="shared" si="24"/>
        <v>1.0146641438032167</v>
      </c>
      <c r="J265" s="267">
        <v>0</v>
      </c>
      <c r="K265" s="210">
        <f t="shared" si="25"/>
        <v>0</v>
      </c>
      <c r="L265" s="267">
        <v>140.62</v>
      </c>
      <c r="M265" s="211">
        <f t="shared" si="26"/>
        <v>1.0146641438032167</v>
      </c>
      <c r="N265" s="199">
        <v>871.84399999999846</v>
      </c>
      <c r="O265" s="198">
        <v>1.88</v>
      </c>
      <c r="P265" s="200">
        <v>4.4465468306527905E-3</v>
      </c>
      <c r="Q265" s="272">
        <v>264.36559999999997</v>
      </c>
      <c r="R265" s="198">
        <v>4.3199999999999887</v>
      </c>
      <c r="S265" s="200">
        <v>1.0217596972563832E-2</v>
      </c>
      <c r="T265" s="198" t="s">
        <v>278</v>
      </c>
      <c r="U265" s="198" t="s">
        <v>212</v>
      </c>
      <c r="V265" s="198"/>
      <c r="W265" s="205">
        <v>1</v>
      </c>
      <c r="X265" s="198" t="s">
        <v>115</v>
      </c>
    </row>
    <row r="266" spans="2:24" ht="16.5">
      <c r="B266" s="496"/>
      <c r="C266" s="496"/>
      <c r="D266" s="209">
        <v>160</v>
      </c>
      <c r="E266" s="198" t="s">
        <v>494</v>
      </c>
      <c r="F266" s="199">
        <v>539.55999999999983</v>
      </c>
      <c r="G266" s="198">
        <v>16.704000000000001</v>
      </c>
      <c r="H266" s="267">
        <v>19</v>
      </c>
      <c r="I266" s="210">
        <f t="shared" si="24"/>
        <v>1.1374521072796935</v>
      </c>
      <c r="J266" s="267">
        <v>0</v>
      </c>
      <c r="K266" s="210">
        <f t="shared" si="25"/>
        <v>0</v>
      </c>
      <c r="L266" s="267">
        <v>235</v>
      </c>
      <c r="M266" s="211">
        <f t="shared" si="26"/>
        <v>1.1374521072796935</v>
      </c>
      <c r="N266" s="199">
        <v>539.55999999999983</v>
      </c>
      <c r="O266" s="198">
        <v>0</v>
      </c>
      <c r="P266" s="200">
        <v>0</v>
      </c>
      <c r="Q266" s="272">
        <v>0</v>
      </c>
      <c r="R266" s="198">
        <v>2.2959999999999994</v>
      </c>
      <c r="S266" s="200">
        <v>0.13745210727969345</v>
      </c>
      <c r="T266" s="198" t="s">
        <v>278</v>
      </c>
      <c r="U266" s="198" t="s">
        <v>212</v>
      </c>
      <c r="V266" s="264" t="s">
        <v>517</v>
      </c>
      <c r="W266" s="205">
        <v>1</v>
      </c>
      <c r="X266" s="198" t="s">
        <v>110</v>
      </c>
    </row>
    <row r="267" spans="2:24">
      <c r="B267" s="495">
        <v>45896</v>
      </c>
      <c r="C267" s="496" t="s">
        <v>67</v>
      </c>
      <c r="D267" s="209">
        <v>161</v>
      </c>
      <c r="E267" s="198" t="s">
        <v>331</v>
      </c>
      <c r="F267" s="199">
        <v>2980.8170000000064</v>
      </c>
      <c r="G267" s="198">
        <v>202.14</v>
      </c>
      <c r="H267" s="267">
        <v>212.15</v>
      </c>
      <c r="I267" s="210">
        <f t="shared" si="24"/>
        <v>1.0495201345602059</v>
      </c>
      <c r="J267" s="198">
        <v>0</v>
      </c>
      <c r="K267" s="210">
        <f t="shared" si="25"/>
        <v>0</v>
      </c>
      <c r="L267" s="267">
        <v>335.3</v>
      </c>
      <c r="M267" s="211">
        <f t="shared" si="26"/>
        <v>1.0495201345602059</v>
      </c>
      <c r="N267" s="199">
        <v>3356.3530000000064</v>
      </c>
      <c r="O267" s="198">
        <v>1.1200000000000001</v>
      </c>
      <c r="P267" s="200">
        <v>5.5407143563866636E-3</v>
      </c>
      <c r="Q267" s="272">
        <v>375.53600000000006</v>
      </c>
      <c r="R267" s="198">
        <v>8.8900000000000183</v>
      </c>
      <c r="S267" s="200">
        <v>4.3979420203819231E-2</v>
      </c>
      <c r="T267" s="198" t="s">
        <v>315</v>
      </c>
      <c r="U267" s="198" t="s">
        <v>217</v>
      </c>
      <c r="V267" s="198" t="s">
        <v>416</v>
      </c>
      <c r="W267" s="205">
        <v>1</v>
      </c>
      <c r="X267" s="198" t="s">
        <v>114</v>
      </c>
    </row>
    <row r="268" spans="2:24">
      <c r="B268" s="496"/>
      <c r="C268" s="496"/>
      <c r="D268" s="209">
        <v>162</v>
      </c>
      <c r="E268" s="198" t="s">
        <v>373</v>
      </c>
      <c r="F268" s="199">
        <v>2288.1544200000003</v>
      </c>
      <c r="G268" s="198">
        <v>39.808</v>
      </c>
      <c r="H268" s="267">
        <v>43</v>
      </c>
      <c r="I268" s="210">
        <f t="shared" si="24"/>
        <v>1.080184887459807</v>
      </c>
      <c r="J268" s="198">
        <v>0</v>
      </c>
      <c r="K268" s="210">
        <f t="shared" si="25"/>
        <v>0</v>
      </c>
      <c r="L268" s="267">
        <v>762.21</v>
      </c>
      <c r="M268" s="211">
        <f t="shared" si="26"/>
        <v>1.080184887459807</v>
      </c>
      <c r="N268" s="199">
        <v>2432.9743200000003</v>
      </c>
      <c r="O268" s="198">
        <v>0.19</v>
      </c>
      <c r="P268" s="200">
        <v>4.7729099678456592E-3</v>
      </c>
      <c r="Q268" s="272">
        <v>144.81990000000002</v>
      </c>
      <c r="R268" s="198">
        <v>3.0020000000000002</v>
      </c>
      <c r="S268" s="200">
        <v>7.5411977491961421E-2</v>
      </c>
      <c r="T268" s="198" t="s">
        <v>315</v>
      </c>
      <c r="U268" s="198" t="s">
        <v>217</v>
      </c>
      <c r="V268" s="198" t="s">
        <v>441</v>
      </c>
      <c r="W268" s="205">
        <v>1</v>
      </c>
      <c r="X268" s="198" t="s">
        <v>116</v>
      </c>
    </row>
    <row r="269" spans="2:24">
      <c r="B269" s="496"/>
      <c r="C269" s="496"/>
      <c r="D269" s="209">
        <v>163</v>
      </c>
      <c r="E269" s="198" t="s">
        <v>485</v>
      </c>
      <c r="F269" s="199">
        <v>2204.8000000000002</v>
      </c>
      <c r="G269" s="198">
        <v>88.975999999999999</v>
      </c>
      <c r="H269" s="267">
        <v>100</v>
      </c>
      <c r="I269" s="210">
        <f t="shared" si="24"/>
        <v>1.1238985793921956</v>
      </c>
      <c r="J269" s="198">
        <v>0</v>
      </c>
      <c r="K269" s="210">
        <f t="shared" si="25"/>
        <v>0</v>
      </c>
      <c r="L269" s="267">
        <v>200</v>
      </c>
      <c r="M269" s="211">
        <f t="shared" si="26"/>
        <v>1.1238985793921956</v>
      </c>
      <c r="N269" s="199">
        <v>2204.8000000000002</v>
      </c>
      <c r="O269" s="198">
        <v>0</v>
      </c>
      <c r="P269" s="200">
        <v>0</v>
      </c>
      <c r="Q269" s="272">
        <v>0</v>
      </c>
      <c r="R269" s="198">
        <v>11.024000000000001</v>
      </c>
      <c r="S269" s="200">
        <v>0.12389857939219566</v>
      </c>
      <c r="T269" s="198" t="s">
        <v>278</v>
      </c>
      <c r="U269" s="198" t="s">
        <v>212</v>
      </c>
      <c r="V269" s="198"/>
      <c r="W269" s="205">
        <v>1</v>
      </c>
      <c r="X269" s="198" t="s">
        <v>109</v>
      </c>
    </row>
    <row r="270" spans="2:24">
      <c r="B270" s="496"/>
      <c r="C270" s="496"/>
      <c r="D270" s="209">
        <v>164</v>
      </c>
      <c r="E270" s="198" t="s">
        <v>285</v>
      </c>
      <c r="F270" s="199">
        <v>2028.6719999999968</v>
      </c>
      <c r="G270" s="198">
        <v>74.144000000000005</v>
      </c>
      <c r="H270" s="267">
        <v>74</v>
      </c>
      <c r="I270" s="210">
        <f t="shared" si="24"/>
        <v>0.99805783340526533</v>
      </c>
      <c r="J270" s="198">
        <v>5</v>
      </c>
      <c r="K270" s="210">
        <f t="shared" si="25"/>
        <v>6.7436340094950364E-2</v>
      </c>
      <c r="L270" s="267">
        <v>587</v>
      </c>
      <c r="M270" s="211">
        <f t="shared" si="26"/>
        <v>1.0654941735002157</v>
      </c>
      <c r="N270" s="199">
        <v>2850.471999999997</v>
      </c>
      <c r="O270" s="198">
        <v>1.4</v>
      </c>
      <c r="P270" s="200">
        <v>1.8882175226586102E-2</v>
      </c>
      <c r="Q270" s="272">
        <v>821.8</v>
      </c>
      <c r="R270" s="198">
        <v>3.4559999999999946</v>
      </c>
      <c r="S270" s="200">
        <v>4.6611998273629621E-2</v>
      </c>
      <c r="T270" s="198" t="s">
        <v>278</v>
      </c>
      <c r="U270" s="198" t="s">
        <v>212</v>
      </c>
      <c r="V270" s="198"/>
      <c r="W270" s="205">
        <v>1</v>
      </c>
      <c r="X270" s="198" t="s">
        <v>432</v>
      </c>
    </row>
    <row r="271" spans="2:24">
      <c r="B271" s="496"/>
      <c r="C271" s="496"/>
      <c r="D271" s="209">
        <v>165</v>
      </c>
      <c r="E271" s="198" t="s">
        <v>421</v>
      </c>
      <c r="F271" s="199">
        <v>955.47139999999843</v>
      </c>
      <c r="G271" s="198">
        <v>226.93</v>
      </c>
      <c r="H271" s="267">
        <v>232</v>
      </c>
      <c r="I271" s="210">
        <f t="shared" si="24"/>
        <v>1.0223416912704357</v>
      </c>
      <c r="J271" s="198">
        <v>0</v>
      </c>
      <c r="K271" s="210">
        <f t="shared" si="25"/>
        <v>0</v>
      </c>
      <c r="L271" s="267">
        <v>216.17</v>
      </c>
      <c r="M271" s="211">
        <f t="shared" si="26"/>
        <v>1.0223416912704357</v>
      </c>
      <c r="N271" s="199">
        <v>1095.9818999999984</v>
      </c>
      <c r="O271" s="198">
        <v>0.65</v>
      </c>
      <c r="P271" s="200">
        <v>2.8643193936456176E-3</v>
      </c>
      <c r="Q271" s="272">
        <v>140.51050000000001</v>
      </c>
      <c r="R271" s="198">
        <v>4.4199999999999928</v>
      </c>
      <c r="S271" s="200">
        <v>1.9477371876790169E-2</v>
      </c>
      <c r="T271" s="198" t="s">
        <v>278</v>
      </c>
      <c r="U271" s="198" t="s">
        <v>212</v>
      </c>
      <c r="V271" s="198"/>
      <c r="W271" s="205">
        <v>1</v>
      </c>
      <c r="X271" s="198" t="s">
        <v>127</v>
      </c>
    </row>
    <row r="272" spans="2:24">
      <c r="B272" s="496"/>
      <c r="C272" s="496"/>
      <c r="D272" s="209">
        <v>166</v>
      </c>
      <c r="E272" s="198" t="s">
        <v>437</v>
      </c>
      <c r="F272" s="199">
        <v>884.94080000000008</v>
      </c>
      <c r="G272" s="198">
        <v>33.008000000000003</v>
      </c>
      <c r="H272" s="267">
        <v>31.2</v>
      </c>
      <c r="I272" s="210">
        <f t="shared" si="24"/>
        <v>0.94522539990305365</v>
      </c>
      <c r="J272" s="198">
        <v>4.5</v>
      </c>
      <c r="K272" s="210">
        <f t="shared" si="25"/>
        <v>0.13633058652447891</v>
      </c>
      <c r="L272" s="267">
        <v>742.4</v>
      </c>
      <c r="M272" s="211">
        <f t="shared" si="26"/>
        <v>1.0815559864275328</v>
      </c>
      <c r="N272" s="199">
        <v>1998.5408</v>
      </c>
      <c r="O272" s="198">
        <v>1.5</v>
      </c>
      <c r="P272" s="200">
        <v>4.5443528841492969E-2</v>
      </c>
      <c r="Q272" s="272">
        <v>1113.5999999999999</v>
      </c>
      <c r="R272" s="198">
        <v>1.1920000000000002</v>
      </c>
      <c r="S272" s="200">
        <v>3.6112457586039752E-2</v>
      </c>
      <c r="T272" s="198" t="s">
        <v>278</v>
      </c>
      <c r="U272" s="198" t="s">
        <v>212</v>
      </c>
      <c r="V272" s="198"/>
      <c r="W272" s="205">
        <v>1</v>
      </c>
      <c r="X272" s="198" t="s">
        <v>127</v>
      </c>
    </row>
    <row r="273" spans="2:24">
      <c r="B273" s="496"/>
      <c r="C273" s="496"/>
      <c r="D273" s="209">
        <v>167</v>
      </c>
      <c r="E273" s="198" t="s">
        <v>513</v>
      </c>
      <c r="F273" s="199">
        <v>877.10615999999823</v>
      </c>
      <c r="G273" s="198">
        <v>255.45599999999999</v>
      </c>
      <c r="H273" s="267">
        <v>255.52699999999999</v>
      </c>
      <c r="I273" s="210">
        <f t="shared" si="24"/>
        <v>1.0002779343605162</v>
      </c>
      <c r="J273" s="198">
        <v>6.7</v>
      </c>
      <c r="K273" s="210">
        <f t="shared" si="25"/>
        <v>2.6227608668420395E-2</v>
      </c>
      <c r="L273" s="267">
        <v>146.16000000000003</v>
      </c>
      <c r="M273" s="211">
        <f t="shared" si="26"/>
        <v>1.0265055430289365</v>
      </c>
      <c r="N273" s="199">
        <v>989.64935999999818</v>
      </c>
      <c r="O273" s="198">
        <v>0.77</v>
      </c>
      <c r="P273" s="200">
        <v>3.014217712639359E-3</v>
      </c>
      <c r="Q273" s="272">
        <v>112.54320000000003</v>
      </c>
      <c r="R273" s="198">
        <v>6.000999999999987</v>
      </c>
      <c r="S273" s="200">
        <v>2.3491325316297083E-2</v>
      </c>
      <c r="T273" s="198" t="s">
        <v>315</v>
      </c>
      <c r="U273" s="198" t="s">
        <v>213</v>
      </c>
      <c r="V273" s="198" t="s">
        <v>518</v>
      </c>
      <c r="W273" s="205">
        <v>1</v>
      </c>
      <c r="X273" s="198" t="s">
        <v>435</v>
      </c>
    </row>
    <row r="274" spans="2:24">
      <c r="B274" s="496"/>
      <c r="C274" s="496"/>
      <c r="D274" s="209">
        <v>168</v>
      </c>
      <c r="E274" s="198" t="s">
        <v>519</v>
      </c>
      <c r="F274" s="199">
        <v>592.63599999999929</v>
      </c>
      <c r="G274" s="198">
        <v>10644</v>
      </c>
      <c r="H274" s="267">
        <v>10933</v>
      </c>
      <c r="I274" s="210">
        <f t="shared" si="24"/>
        <v>1.027151446824502</v>
      </c>
      <c r="J274" s="198">
        <v>7.4</v>
      </c>
      <c r="K274" s="210">
        <f t="shared" si="25"/>
        <v>6.9522735813603914E-4</v>
      </c>
      <c r="L274" s="267">
        <v>2</v>
      </c>
      <c r="M274" s="211">
        <f t="shared" si="26"/>
        <v>1.027846674182638</v>
      </c>
      <c r="N274" s="199">
        <v>592.79999999999927</v>
      </c>
      <c r="O274" s="198">
        <v>8.2000000000000003E-2</v>
      </c>
      <c r="P274" s="200">
        <v>7.7038707252912434E-6</v>
      </c>
      <c r="Q274" s="272">
        <v>0.16400000000000001</v>
      </c>
      <c r="R274" s="198">
        <v>296.31799999999964</v>
      </c>
      <c r="S274" s="200">
        <v>2.7838970311912781E-2</v>
      </c>
      <c r="T274" s="198" t="s">
        <v>315</v>
      </c>
      <c r="U274" s="198" t="s">
        <v>213</v>
      </c>
      <c r="V274" s="198" t="s">
        <v>520</v>
      </c>
      <c r="W274" s="205">
        <v>1</v>
      </c>
      <c r="X274" s="198" t="s">
        <v>435</v>
      </c>
    </row>
    <row r="275" spans="2:24">
      <c r="B275" s="496"/>
      <c r="C275" s="496"/>
      <c r="D275" s="209">
        <v>169</v>
      </c>
      <c r="E275" s="198" t="s">
        <v>491</v>
      </c>
      <c r="F275" s="199">
        <v>477.91999999999859</v>
      </c>
      <c r="G275" s="198">
        <v>18.536000000000001</v>
      </c>
      <c r="H275" s="267">
        <v>19</v>
      </c>
      <c r="I275" s="210">
        <f t="shared" si="24"/>
        <v>1.0250323694432455</v>
      </c>
      <c r="J275" s="198">
        <v>0</v>
      </c>
      <c r="K275" s="210">
        <f t="shared" si="25"/>
        <v>0</v>
      </c>
      <c r="L275" s="267">
        <v>1030</v>
      </c>
      <c r="M275" s="211">
        <f t="shared" si="26"/>
        <v>1.0250323694432455</v>
      </c>
      <c r="N275" s="199">
        <v>477.91999999999859</v>
      </c>
      <c r="O275" s="198">
        <v>0</v>
      </c>
      <c r="P275" s="200">
        <v>0</v>
      </c>
      <c r="Q275" s="272">
        <v>0</v>
      </c>
      <c r="R275" s="198">
        <v>0.46399999999999864</v>
      </c>
      <c r="S275" s="200">
        <v>2.5032369443245502E-2</v>
      </c>
      <c r="T275" s="198" t="s">
        <v>278</v>
      </c>
      <c r="U275" s="198" t="s">
        <v>212</v>
      </c>
      <c r="V275" s="198"/>
      <c r="W275" s="205">
        <v>1</v>
      </c>
      <c r="X275" s="198" t="s">
        <v>432</v>
      </c>
    </row>
    <row r="276" spans="2:24">
      <c r="B276" s="496"/>
      <c r="C276" s="496"/>
      <c r="D276" s="209">
        <v>170</v>
      </c>
      <c r="E276" s="198" t="s">
        <v>298</v>
      </c>
      <c r="F276" s="199">
        <v>387.90899999999863</v>
      </c>
      <c r="G276" s="198">
        <v>414</v>
      </c>
      <c r="H276" s="267">
        <v>423.13099999999997</v>
      </c>
      <c r="I276" s="210">
        <f t="shared" si="24"/>
        <v>1.0220555555555555</v>
      </c>
      <c r="J276" s="198">
        <v>0</v>
      </c>
      <c r="K276" s="210">
        <f t="shared" si="25"/>
        <v>0</v>
      </c>
      <c r="L276" s="267">
        <v>47.89</v>
      </c>
      <c r="M276" s="211">
        <f t="shared" si="26"/>
        <v>1.0220555555555555</v>
      </c>
      <c r="N276" s="199">
        <v>437.28358999999864</v>
      </c>
      <c r="O276" s="198">
        <v>1.0309999999999999</v>
      </c>
      <c r="P276" s="200">
        <v>2.4903381642512076E-3</v>
      </c>
      <c r="Q276" s="272">
        <v>49.374589999999998</v>
      </c>
      <c r="R276" s="198">
        <v>8.0999999999999712</v>
      </c>
      <c r="S276" s="200">
        <v>1.956521739130428E-2</v>
      </c>
      <c r="T276" s="198" t="s">
        <v>278</v>
      </c>
      <c r="U276" s="198" t="s">
        <v>212</v>
      </c>
      <c r="V276" s="198"/>
      <c r="W276" s="205">
        <v>1</v>
      </c>
      <c r="X276" s="198" t="s">
        <v>115</v>
      </c>
    </row>
    <row r="277" spans="2:24">
      <c r="B277" s="495">
        <v>45897</v>
      </c>
      <c r="C277" s="496" t="s">
        <v>68</v>
      </c>
      <c r="D277" s="209">
        <v>171</v>
      </c>
      <c r="E277" s="198" t="s">
        <v>331</v>
      </c>
      <c r="F277" s="199">
        <v>2425.5602000000008</v>
      </c>
      <c r="G277" s="198">
        <v>200.58</v>
      </c>
      <c r="H277" s="267">
        <v>208.61600000000001</v>
      </c>
      <c r="I277" s="210">
        <f t="shared" si="24"/>
        <v>1.0400638149366837</v>
      </c>
      <c r="J277" s="198">
        <v>0</v>
      </c>
      <c r="K277" s="210">
        <f t="shared" si="25"/>
        <v>0</v>
      </c>
      <c r="L277" s="267">
        <v>335.3</v>
      </c>
      <c r="M277" s="211">
        <f t="shared" si="26"/>
        <v>1.0400638149366837</v>
      </c>
      <c r="N277" s="199">
        <v>2694.4708000000005</v>
      </c>
      <c r="O277" s="198">
        <v>0.80200000000000005</v>
      </c>
      <c r="P277" s="200">
        <v>3.9984046265829094E-3</v>
      </c>
      <c r="Q277" s="272">
        <v>268.91060000000004</v>
      </c>
      <c r="R277" s="198">
        <v>7.2340000000000018</v>
      </c>
      <c r="S277" s="200">
        <v>3.6065410310100715E-2</v>
      </c>
      <c r="T277" s="198" t="s">
        <v>315</v>
      </c>
      <c r="U277" s="198" t="s">
        <v>217</v>
      </c>
      <c r="V277" s="198" t="s">
        <v>416</v>
      </c>
      <c r="W277" s="205">
        <v>1</v>
      </c>
      <c r="X277" s="198" t="s">
        <v>114</v>
      </c>
    </row>
    <row r="278" spans="2:24" ht="16.5">
      <c r="B278" s="496"/>
      <c r="C278" s="496"/>
      <c r="D278" s="209">
        <v>172</v>
      </c>
      <c r="E278" s="198" t="s">
        <v>485</v>
      </c>
      <c r="F278" s="199">
        <v>2377.6000000000013</v>
      </c>
      <c r="G278" s="198">
        <v>86.111999999999995</v>
      </c>
      <c r="H278" s="267">
        <v>98</v>
      </c>
      <c r="I278" s="210">
        <f t="shared" si="24"/>
        <v>1.1380527684875512</v>
      </c>
      <c r="J278" s="198">
        <v>0</v>
      </c>
      <c r="K278" s="210">
        <f t="shared" si="25"/>
        <v>0</v>
      </c>
      <c r="L278" s="267">
        <v>200</v>
      </c>
      <c r="M278" s="211">
        <f t="shared" si="26"/>
        <v>1.1380527684875512</v>
      </c>
      <c r="N278" s="199">
        <v>2377.6000000000013</v>
      </c>
      <c r="O278" s="198">
        <v>0</v>
      </c>
      <c r="P278" s="200">
        <v>0</v>
      </c>
      <c r="Q278" s="272">
        <v>0</v>
      </c>
      <c r="R278" s="198">
        <v>11.888000000000005</v>
      </c>
      <c r="S278" s="200">
        <v>0.13805276848755116</v>
      </c>
      <c r="T278" s="198" t="s">
        <v>278</v>
      </c>
      <c r="U278" s="198" t="s">
        <v>212</v>
      </c>
      <c r="V278" s="264" t="s">
        <v>517</v>
      </c>
      <c r="W278" s="205">
        <v>1</v>
      </c>
      <c r="X278" s="198" t="s">
        <v>109</v>
      </c>
    </row>
    <row r="279" spans="2:24">
      <c r="B279" s="496"/>
      <c r="C279" s="496"/>
      <c r="D279" s="209">
        <v>173</v>
      </c>
      <c r="E279" s="198" t="s">
        <v>373</v>
      </c>
      <c r="F279" s="199">
        <v>1155.5103600000007</v>
      </c>
      <c r="G279" s="198">
        <v>37.072000000000003</v>
      </c>
      <c r="H279" s="267">
        <v>38.843000000000004</v>
      </c>
      <c r="I279" s="210">
        <f t="shared" si="24"/>
        <v>1.0477719033232629</v>
      </c>
      <c r="J279" s="198">
        <v>0</v>
      </c>
      <c r="K279" s="210">
        <f t="shared" si="25"/>
        <v>0</v>
      </c>
      <c r="L279" s="267">
        <v>762.21</v>
      </c>
      <c r="M279" s="211">
        <f t="shared" si="26"/>
        <v>1.0477719033232629</v>
      </c>
      <c r="N279" s="199">
        <v>1349.8739100000007</v>
      </c>
      <c r="O279" s="198">
        <v>0.255</v>
      </c>
      <c r="P279" s="200">
        <v>6.8785066896849371E-3</v>
      </c>
      <c r="Q279" s="272">
        <v>194.36355</v>
      </c>
      <c r="R279" s="198">
        <v>1.5160000000000009</v>
      </c>
      <c r="S279" s="200">
        <v>4.0893396633577925E-2</v>
      </c>
      <c r="T279" s="198" t="s">
        <v>315</v>
      </c>
      <c r="U279" s="198" t="s">
        <v>217</v>
      </c>
      <c r="V279" s="198" t="s">
        <v>441</v>
      </c>
      <c r="W279" s="205">
        <v>1</v>
      </c>
      <c r="X279" s="198" t="s">
        <v>116</v>
      </c>
    </row>
    <row r="280" spans="2:24" ht="16.5">
      <c r="B280" s="496"/>
      <c r="C280" s="496"/>
      <c r="D280" s="209">
        <v>174</v>
      </c>
      <c r="E280" s="198" t="s">
        <v>447</v>
      </c>
      <c r="F280" s="199">
        <v>751.2</v>
      </c>
      <c r="G280" s="198">
        <v>146.244</v>
      </c>
      <c r="H280" s="267">
        <v>150</v>
      </c>
      <c r="I280" s="210">
        <f t="shared" si="24"/>
        <v>1.0256831049478954</v>
      </c>
      <c r="J280" s="198">
        <v>0</v>
      </c>
      <c r="K280" s="210">
        <f t="shared" si="25"/>
        <v>0</v>
      </c>
      <c r="L280" s="267">
        <v>200</v>
      </c>
      <c r="M280" s="211">
        <f t="shared" si="26"/>
        <v>1.0256831049478954</v>
      </c>
      <c r="N280" s="199">
        <v>751.2</v>
      </c>
      <c r="O280" s="198">
        <v>0</v>
      </c>
      <c r="P280" s="200">
        <v>0</v>
      </c>
      <c r="Q280" s="272">
        <v>0</v>
      </c>
      <c r="R280" s="198">
        <v>3.7560000000000002</v>
      </c>
      <c r="S280" s="200">
        <v>2.5683104947895299E-2</v>
      </c>
      <c r="T280" s="198" t="s">
        <v>278</v>
      </c>
      <c r="U280" s="198" t="s">
        <v>212</v>
      </c>
      <c r="V280" s="264" t="s">
        <v>517</v>
      </c>
      <c r="W280" s="205">
        <v>1</v>
      </c>
      <c r="X280" s="198" t="s">
        <v>112</v>
      </c>
    </row>
    <row r="281" spans="2:24" ht="16.5">
      <c r="B281" s="496"/>
      <c r="C281" s="496"/>
      <c r="D281" s="209">
        <v>175</v>
      </c>
      <c r="E281" s="198" t="s">
        <v>298</v>
      </c>
      <c r="F281" s="199">
        <v>675.15030000000161</v>
      </c>
      <c r="G281" s="198">
        <v>701.8</v>
      </c>
      <c r="H281" s="267">
        <v>709.74900000000002</v>
      </c>
      <c r="I281" s="210">
        <f t="shared" si="24"/>
        <v>1.01132658877173</v>
      </c>
      <c r="J281" s="198">
        <v>11.04</v>
      </c>
      <c r="K281" s="210">
        <f t="shared" si="25"/>
        <v>1.573097748646338E-2</v>
      </c>
      <c r="L281" s="267">
        <v>46.53</v>
      </c>
      <c r="M281" s="211">
        <f t="shared" si="26"/>
        <v>1.0270575662581933</v>
      </c>
      <c r="N281" s="199">
        <v>883.5581700000015</v>
      </c>
      <c r="O281" s="198">
        <v>4.4790000000000001</v>
      </c>
      <c r="P281" s="200">
        <v>6.3821601595896275E-3</v>
      </c>
      <c r="Q281" s="272">
        <v>208.40787</v>
      </c>
      <c r="R281" s="198">
        <v>14.510000000000034</v>
      </c>
      <c r="S281" s="200">
        <v>2.0675406098603639E-2</v>
      </c>
      <c r="T281" s="198" t="s">
        <v>278</v>
      </c>
      <c r="U281" s="198" t="s">
        <v>212</v>
      </c>
      <c r="V281" s="264" t="s">
        <v>517</v>
      </c>
      <c r="W281" s="205">
        <v>1</v>
      </c>
      <c r="X281" s="198" t="s">
        <v>121</v>
      </c>
    </row>
    <row r="282" spans="2:24">
      <c r="B282" s="496"/>
      <c r="C282" s="496"/>
      <c r="D282" s="209">
        <v>176</v>
      </c>
      <c r="E282" s="198" t="s">
        <v>421</v>
      </c>
      <c r="F282" s="199">
        <v>658.66998999999657</v>
      </c>
      <c r="G282" s="198">
        <v>222.86</v>
      </c>
      <c r="H282" s="267">
        <v>226.071</v>
      </c>
      <c r="I282" s="210">
        <f t="shared" si="24"/>
        <v>1.0144081486134793</v>
      </c>
      <c r="J282" s="198">
        <v>0</v>
      </c>
      <c r="K282" s="210">
        <f t="shared" si="25"/>
        <v>0</v>
      </c>
      <c r="L282" s="267">
        <v>216.17</v>
      </c>
      <c r="M282" s="211">
        <f t="shared" si="26"/>
        <v>1.0144081486134793</v>
      </c>
      <c r="N282" s="199">
        <v>694.12186999999653</v>
      </c>
      <c r="O282" s="198">
        <v>0.16400000000000001</v>
      </c>
      <c r="P282" s="200">
        <v>7.3588800143587906E-4</v>
      </c>
      <c r="Q282" s="272">
        <v>35.451880000000003</v>
      </c>
      <c r="R282" s="198">
        <v>3.0469999999999842</v>
      </c>
      <c r="S282" s="200">
        <v>1.3672260612043364E-2</v>
      </c>
      <c r="T282" s="198" t="s">
        <v>278</v>
      </c>
      <c r="U282" s="198" t="s">
        <v>212</v>
      </c>
      <c r="V282" s="198"/>
      <c r="W282" s="205">
        <v>1</v>
      </c>
      <c r="X282" s="198" t="s">
        <v>127</v>
      </c>
    </row>
    <row r="283" spans="2:24" ht="16.5">
      <c r="B283" s="496"/>
      <c r="C283" s="496"/>
      <c r="D283" s="209">
        <v>177</v>
      </c>
      <c r="E283" s="198" t="s">
        <v>333</v>
      </c>
      <c r="F283" s="199">
        <v>647.42059999999981</v>
      </c>
      <c r="G283" s="198">
        <v>735.46</v>
      </c>
      <c r="H283" s="267">
        <v>760.44100000000003</v>
      </c>
      <c r="I283" s="210">
        <f t="shared" si="24"/>
        <v>1.0339664971582412</v>
      </c>
      <c r="J283" s="198">
        <v>0</v>
      </c>
      <c r="K283" s="210">
        <f t="shared" si="25"/>
        <v>0</v>
      </c>
      <c r="L283" s="267">
        <v>35.9</v>
      </c>
      <c r="M283" s="211">
        <f t="shared" si="26"/>
        <v>1.0339664971582412</v>
      </c>
      <c r="N283" s="199">
        <v>896.81789999999978</v>
      </c>
      <c r="O283" s="198">
        <v>6.9470000000000001</v>
      </c>
      <c r="P283" s="200">
        <v>9.4457890299948326E-3</v>
      </c>
      <c r="Q283" s="272">
        <v>249.3973</v>
      </c>
      <c r="R283" s="198">
        <v>18.033999999999995</v>
      </c>
      <c r="S283" s="200">
        <v>2.452070812824626E-2</v>
      </c>
      <c r="T283" s="198" t="s">
        <v>278</v>
      </c>
      <c r="U283" s="198" t="s">
        <v>212</v>
      </c>
      <c r="V283" s="264" t="s">
        <v>521</v>
      </c>
      <c r="W283" s="205">
        <v>1</v>
      </c>
      <c r="X283" s="198" t="s">
        <v>114</v>
      </c>
    </row>
    <row r="284" spans="2:24">
      <c r="B284" s="496"/>
      <c r="C284" s="496"/>
      <c r="D284" s="209">
        <v>178</v>
      </c>
      <c r="E284" s="198" t="s">
        <v>430</v>
      </c>
      <c r="F284" s="199">
        <v>500.72256000000084</v>
      </c>
      <c r="G284" s="198">
        <v>205.38</v>
      </c>
      <c r="H284" s="267">
        <v>208</v>
      </c>
      <c r="I284" s="210">
        <f t="shared" si="24"/>
        <v>1.0127568409776999</v>
      </c>
      <c r="J284" s="198">
        <v>0</v>
      </c>
      <c r="K284" s="210">
        <f t="shared" si="25"/>
        <v>0</v>
      </c>
      <c r="L284" s="267">
        <v>193.17999999999998</v>
      </c>
      <c r="M284" s="211">
        <f t="shared" si="26"/>
        <v>1.0127568409776999</v>
      </c>
      <c r="N284" s="199">
        <v>506.13160000000084</v>
      </c>
      <c r="O284" s="198">
        <v>2.8000000000000001E-2</v>
      </c>
      <c r="P284" s="200">
        <v>1.3633265167007499E-4</v>
      </c>
      <c r="Q284" s="272">
        <v>5.4090399999999992</v>
      </c>
      <c r="R284" s="198">
        <v>2.5920000000000045</v>
      </c>
      <c r="S284" s="200">
        <v>1.262050832602982E-2</v>
      </c>
      <c r="T284" s="198" t="s">
        <v>278</v>
      </c>
      <c r="U284" s="198" t="s">
        <v>212</v>
      </c>
      <c r="V284" s="198"/>
      <c r="W284" s="205">
        <v>1</v>
      </c>
      <c r="X284" s="198" t="s">
        <v>126</v>
      </c>
    </row>
    <row r="285" spans="2:24" ht="16.5">
      <c r="B285" s="496"/>
      <c r="C285" s="496"/>
      <c r="D285" s="209">
        <v>179</v>
      </c>
      <c r="E285" s="198" t="s">
        <v>447</v>
      </c>
      <c r="F285" s="199">
        <v>439.20000000000027</v>
      </c>
      <c r="G285" s="198">
        <v>27.803999999999998</v>
      </c>
      <c r="H285" s="267">
        <v>30</v>
      </c>
      <c r="I285" s="210">
        <f t="shared" si="24"/>
        <v>1.0789814415192058</v>
      </c>
      <c r="J285" s="198">
        <v>0</v>
      </c>
      <c r="K285" s="210">
        <f t="shared" si="25"/>
        <v>0</v>
      </c>
      <c r="L285" s="267">
        <v>200</v>
      </c>
      <c r="M285" s="211">
        <f t="shared" si="26"/>
        <v>1.0789814415192058</v>
      </c>
      <c r="N285" s="199">
        <v>439.20000000000027</v>
      </c>
      <c r="O285" s="198">
        <v>0</v>
      </c>
      <c r="P285" s="200">
        <v>0</v>
      </c>
      <c r="Q285" s="272">
        <v>0</v>
      </c>
      <c r="R285" s="198">
        <v>2.1960000000000015</v>
      </c>
      <c r="S285" s="200">
        <v>7.8981441519205928E-2</v>
      </c>
      <c r="T285" s="198" t="s">
        <v>278</v>
      </c>
      <c r="U285" s="198" t="s">
        <v>212</v>
      </c>
      <c r="V285" s="264" t="s">
        <v>517</v>
      </c>
      <c r="W285" s="205">
        <v>1</v>
      </c>
      <c r="X285" s="198" t="s">
        <v>116</v>
      </c>
    </row>
    <row r="286" spans="2:24" ht="16.5">
      <c r="B286" s="496"/>
      <c r="C286" s="496"/>
      <c r="D286" s="209">
        <v>180</v>
      </c>
      <c r="E286" s="198" t="s">
        <v>513</v>
      </c>
      <c r="F286" s="199">
        <v>419.91768000000201</v>
      </c>
      <c r="G286" s="198">
        <v>241.44</v>
      </c>
      <c r="H286" s="267">
        <v>241.53200000000001</v>
      </c>
      <c r="I286" s="210">
        <f t="shared" si="24"/>
        <v>1.0003810470510273</v>
      </c>
      <c r="J286" s="198">
        <v>3</v>
      </c>
      <c r="K286" s="210">
        <f t="shared" si="25"/>
        <v>1.2425447316103381E-2</v>
      </c>
      <c r="L286" s="267">
        <v>146.16000000000003</v>
      </c>
      <c r="M286" s="211">
        <f t="shared" si="26"/>
        <v>1.0128064943671307</v>
      </c>
      <c r="N286" s="199">
        <v>451.92672000000198</v>
      </c>
      <c r="O286" s="198">
        <v>0.219</v>
      </c>
      <c r="P286" s="200">
        <v>9.0705765407554672E-4</v>
      </c>
      <c r="Q286" s="272">
        <v>32.009040000000006</v>
      </c>
      <c r="R286" s="198">
        <v>2.8730000000000131</v>
      </c>
      <c r="S286" s="200">
        <v>1.1899436713055057E-2</v>
      </c>
      <c r="T286" s="198" t="s">
        <v>328</v>
      </c>
      <c r="U286" s="198" t="s">
        <v>213</v>
      </c>
      <c r="V286" s="264" t="s">
        <v>522</v>
      </c>
      <c r="W286" s="205">
        <v>1</v>
      </c>
      <c r="X286" s="198" t="s">
        <v>435</v>
      </c>
    </row>
    <row r="287" spans="2:24">
      <c r="B287" s="495">
        <v>45898</v>
      </c>
      <c r="C287" s="496" t="s">
        <v>63</v>
      </c>
      <c r="D287" s="209">
        <v>181</v>
      </c>
      <c r="E287" s="198" t="s">
        <v>373</v>
      </c>
      <c r="F287" s="199">
        <v>2128.0903200000012</v>
      </c>
      <c r="G287" s="198">
        <v>34.207999999999998</v>
      </c>
      <c r="H287" s="267">
        <v>37</v>
      </c>
      <c r="I287" s="210">
        <f t="shared" si="24"/>
        <v>1.0816183348924229</v>
      </c>
      <c r="J287" s="198">
        <v>0</v>
      </c>
      <c r="K287" s="210">
        <f t="shared" si="25"/>
        <v>0</v>
      </c>
      <c r="L287" s="267">
        <v>762.21</v>
      </c>
      <c r="M287" s="211">
        <f t="shared" si="26"/>
        <v>1.0816183348924229</v>
      </c>
      <c r="N287" s="199">
        <v>2128.0903200000012</v>
      </c>
      <c r="O287" s="198">
        <v>0</v>
      </c>
      <c r="P287" s="200">
        <v>0</v>
      </c>
      <c r="Q287" s="272">
        <v>0</v>
      </c>
      <c r="R287" s="198">
        <v>2.7920000000000016</v>
      </c>
      <c r="S287" s="200">
        <v>8.1618334892422872E-2</v>
      </c>
      <c r="T287" s="198" t="s">
        <v>315</v>
      </c>
      <c r="U287" s="198" t="s">
        <v>217</v>
      </c>
      <c r="V287" s="198" t="s">
        <v>441</v>
      </c>
      <c r="W287" s="205">
        <v>1</v>
      </c>
      <c r="X287" s="198" t="s">
        <v>116</v>
      </c>
    </row>
    <row r="288" spans="2:24">
      <c r="B288" s="496"/>
      <c r="C288" s="496"/>
      <c r="D288" s="209">
        <v>182</v>
      </c>
      <c r="E288" s="198" t="s">
        <v>331</v>
      </c>
      <c r="F288" s="199">
        <v>1474.3140999999982</v>
      </c>
      <c r="G288" s="198">
        <v>169.62</v>
      </c>
      <c r="H288" s="267">
        <v>177</v>
      </c>
      <c r="I288" s="210">
        <f t="shared" si="24"/>
        <v>1.0435090201627166</v>
      </c>
      <c r="J288" s="198">
        <v>0</v>
      </c>
      <c r="K288" s="210">
        <f t="shared" si="25"/>
        <v>0</v>
      </c>
      <c r="L288" s="267">
        <v>335.3</v>
      </c>
      <c r="M288" s="211">
        <f t="shared" si="26"/>
        <v>1.0435090201627166</v>
      </c>
      <c r="N288" s="199">
        <v>2474.5139999999988</v>
      </c>
      <c r="O288" s="198">
        <v>2.9830000000000001</v>
      </c>
      <c r="P288" s="200">
        <v>1.7586369531894824E-2</v>
      </c>
      <c r="Q288" s="272">
        <v>1000.1999000000001</v>
      </c>
      <c r="R288" s="198">
        <v>4.3969999999999949</v>
      </c>
      <c r="S288" s="200">
        <v>2.5922650630821806E-2</v>
      </c>
      <c r="T288" s="198" t="s">
        <v>315</v>
      </c>
      <c r="U288" s="198" t="s">
        <v>217</v>
      </c>
      <c r="V288" s="198" t="s">
        <v>416</v>
      </c>
      <c r="W288" s="205">
        <v>1</v>
      </c>
      <c r="X288" s="198" t="s">
        <v>114</v>
      </c>
    </row>
    <row r="289" spans="2:24" ht="16.5">
      <c r="B289" s="496"/>
      <c r="C289" s="496"/>
      <c r="D289" s="209">
        <v>183</v>
      </c>
      <c r="E289" s="198" t="s">
        <v>485</v>
      </c>
      <c r="F289" s="199">
        <v>1355.1999999999994</v>
      </c>
      <c r="G289" s="198">
        <v>68.224000000000004</v>
      </c>
      <c r="H289" s="267">
        <v>75</v>
      </c>
      <c r="I289" s="210">
        <f t="shared" si="24"/>
        <v>1.0993198874296435</v>
      </c>
      <c r="J289" s="198">
        <v>0</v>
      </c>
      <c r="K289" s="210">
        <f t="shared" si="25"/>
        <v>0</v>
      </c>
      <c r="L289" s="267">
        <v>200</v>
      </c>
      <c r="M289" s="211">
        <f t="shared" si="26"/>
        <v>1.0993198874296435</v>
      </c>
      <c r="N289" s="199">
        <v>1355.1999999999994</v>
      </c>
      <c r="O289" s="198">
        <v>0</v>
      </c>
      <c r="P289" s="200">
        <v>0</v>
      </c>
      <c r="Q289" s="272">
        <v>0</v>
      </c>
      <c r="R289" s="198">
        <v>6.7759999999999962</v>
      </c>
      <c r="S289" s="200">
        <v>9.9319887429643469E-2</v>
      </c>
      <c r="T289" s="198" t="s">
        <v>278</v>
      </c>
      <c r="U289" s="198" t="s">
        <v>212</v>
      </c>
      <c r="V289" s="264" t="s">
        <v>517</v>
      </c>
      <c r="W289" s="205">
        <v>1</v>
      </c>
      <c r="X289" s="198" t="s">
        <v>109</v>
      </c>
    </row>
    <row r="290" spans="2:24" ht="16.5">
      <c r="B290" s="496"/>
      <c r="C290" s="496"/>
      <c r="D290" s="209">
        <v>184</v>
      </c>
      <c r="E290" s="198" t="s">
        <v>447</v>
      </c>
      <c r="F290" s="199">
        <v>831.4000000000002</v>
      </c>
      <c r="G290" s="198">
        <v>25.655999999999999</v>
      </c>
      <c r="H290" s="267">
        <v>30</v>
      </c>
      <c r="I290" s="210">
        <f t="shared" si="24"/>
        <v>1.1693171188026192</v>
      </c>
      <c r="J290" s="198">
        <v>0</v>
      </c>
      <c r="K290" s="210">
        <f t="shared" si="25"/>
        <v>0</v>
      </c>
      <c r="L290" s="267">
        <v>200</v>
      </c>
      <c r="M290" s="211">
        <f t="shared" si="26"/>
        <v>1.1693171188026192</v>
      </c>
      <c r="N290" s="199">
        <v>868.80000000000018</v>
      </c>
      <c r="O290" s="198">
        <v>0.187</v>
      </c>
      <c r="P290" s="200">
        <v>7.2887433738696604E-3</v>
      </c>
      <c r="Q290" s="272">
        <v>37.4</v>
      </c>
      <c r="R290" s="198">
        <v>4.1570000000000009</v>
      </c>
      <c r="S290" s="200">
        <v>0.16202837542874965</v>
      </c>
      <c r="T290" s="198" t="s">
        <v>278</v>
      </c>
      <c r="U290" s="198" t="s">
        <v>212</v>
      </c>
      <c r="V290" s="264" t="s">
        <v>517</v>
      </c>
      <c r="W290" s="205">
        <v>1</v>
      </c>
      <c r="X290" s="198" t="s">
        <v>116</v>
      </c>
    </row>
    <row r="291" spans="2:24">
      <c r="B291" s="496"/>
      <c r="C291" s="496"/>
      <c r="D291" s="209">
        <v>185</v>
      </c>
      <c r="E291" s="198" t="s">
        <v>401</v>
      </c>
      <c r="F291" s="199">
        <v>753.97399999999641</v>
      </c>
      <c r="G291" s="198">
        <v>43.578000000000003</v>
      </c>
      <c r="H291" s="267">
        <v>44.8</v>
      </c>
      <c r="I291" s="210">
        <f t="shared" si="24"/>
        <v>1.0280416724035062</v>
      </c>
      <c r="J291" s="198">
        <v>0</v>
      </c>
      <c r="K291" s="210">
        <f t="shared" si="25"/>
        <v>0</v>
      </c>
      <c r="L291" s="267">
        <v>617</v>
      </c>
      <c r="M291" s="211">
        <f t="shared" si="26"/>
        <v>1.0280416724035062</v>
      </c>
      <c r="N291" s="199">
        <v>753.97399999999641</v>
      </c>
      <c r="O291" s="198">
        <v>0</v>
      </c>
      <c r="P291" s="200">
        <v>0</v>
      </c>
      <c r="Q291" s="272">
        <v>0</v>
      </c>
      <c r="R291" s="198">
        <v>1.2219999999999942</v>
      </c>
      <c r="S291" s="200">
        <v>2.8041672403506222E-2</v>
      </c>
      <c r="T291" s="198" t="s">
        <v>278</v>
      </c>
      <c r="U291" s="198" t="s">
        <v>212</v>
      </c>
      <c r="V291" s="198"/>
      <c r="W291" s="205">
        <v>1</v>
      </c>
      <c r="X291" s="198" t="s">
        <v>118</v>
      </c>
    </row>
    <row r="292" spans="2:24">
      <c r="B292" s="496"/>
      <c r="C292" s="496"/>
      <c r="D292" s="209">
        <v>186</v>
      </c>
      <c r="E292" s="198" t="s">
        <v>421</v>
      </c>
      <c r="F292" s="199">
        <v>612.40961000000425</v>
      </c>
      <c r="G292" s="198">
        <v>200.64</v>
      </c>
      <c r="H292" s="267">
        <v>203.53100000000001</v>
      </c>
      <c r="I292" s="210">
        <f t="shared" si="24"/>
        <v>1.0144088915470495</v>
      </c>
      <c r="J292" s="198">
        <v>0</v>
      </c>
      <c r="K292" s="210">
        <f t="shared" si="25"/>
        <v>0</v>
      </c>
      <c r="L292" s="267">
        <v>216.17</v>
      </c>
      <c r="M292" s="211">
        <f t="shared" si="26"/>
        <v>1.0144088915470495</v>
      </c>
      <c r="N292" s="199">
        <v>624.94747000000416</v>
      </c>
      <c r="O292" s="198">
        <v>5.8000000000000003E-2</v>
      </c>
      <c r="P292" s="200">
        <v>2.8907496012759175E-4</v>
      </c>
      <c r="Q292" s="272">
        <v>12.53786</v>
      </c>
      <c r="R292" s="198">
        <v>2.8330000000000197</v>
      </c>
      <c r="S292" s="200">
        <v>1.4119816586921949E-2</v>
      </c>
      <c r="T292" s="198" t="s">
        <v>278</v>
      </c>
      <c r="U292" s="198" t="s">
        <v>212</v>
      </c>
      <c r="V292" s="198"/>
      <c r="W292" s="205">
        <v>1</v>
      </c>
      <c r="X292" s="198" t="s">
        <v>127</v>
      </c>
    </row>
    <row r="293" spans="2:24">
      <c r="B293" s="496"/>
      <c r="C293" s="496"/>
      <c r="D293" s="209">
        <v>187</v>
      </c>
      <c r="E293" s="198" t="s">
        <v>430</v>
      </c>
      <c r="F293" s="199">
        <v>544.5744200000006</v>
      </c>
      <c r="G293" s="198">
        <v>167.52</v>
      </c>
      <c r="H293" s="267">
        <v>170.49100000000001</v>
      </c>
      <c r="I293" s="210">
        <f t="shared" si="24"/>
        <v>1.0177351957975167</v>
      </c>
      <c r="J293" s="198">
        <v>0</v>
      </c>
      <c r="K293" s="210">
        <f t="shared" si="25"/>
        <v>0</v>
      </c>
      <c r="L293" s="267">
        <v>193.17999999999998</v>
      </c>
      <c r="M293" s="211">
        <f t="shared" si="26"/>
        <v>1.0177351957975167</v>
      </c>
      <c r="N293" s="199">
        <v>573.93778000000066</v>
      </c>
      <c r="O293" s="198">
        <v>0.152</v>
      </c>
      <c r="P293" s="200">
        <v>9.0735434574976115E-4</v>
      </c>
      <c r="Q293" s="272">
        <v>29.363359999999997</v>
      </c>
      <c r="R293" s="198">
        <v>2.8190000000000035</v>
      </c>
      <c r="S293" s="200">
        <v>1.6827841451766974E-2</v>
      </c>
      <c r="T293" s="198" t="s">
        <v>278</v>
      </c>
      <c r="U293" s="198" t="s">
        <v>212</v>
      </c>
      <c r="V293" s="198"/>
      <c r="W293" s="205">
        <v>1</v>
      </c>
      <c r="X293" s="198" t="s">
        <v>126</v>
      </c>
    </row>
    <row r="294" spans="2:24">
      <c r="B294" s="496"/>
      <c r="C294" s="496"/>
      <c r="D294" s="209">
        <v>188</v>
      </c>
      <c r="E294" s="198" t="s">
        <v>333</v>
      </c>
      <c r="F294" s="199">
        <v>418.737599999998</v>
      </c>
      <c r="G294" s="198">
        <v>621.94000000000005</v>
      </c>
      <c r="H294" s="267">
        <v>640</v>
      </c>
      <c r="I294" s="210">
        <f t="shared" si="24"/>
        <v>1.0290381708846512</v>
      </c>
      <c r="J294" s="198">
        <v>0</v>
      </c>
      <c r="K294" s="210">
        <f t="shared" si="25"/>
        <v>0</v>
      </c>
      <c r="L294" s="267">
        <v>35.9</v>
      </c>
      <c r="M294" s="211">
        <f t="shared" si="26"/>
        <v>1.0290381708846512</v>
      </c>
      <c r="N294" s="199">
        <v>648.353999999998</v>
      </c>
      <c r="O294" s="198">
        <v>6.3959999999999999</v>
      </c>
      <c r="P294" s="200">
        <v>1.0283950220278483E-2</v>
      </c>
      <c r="Q294" s="272">
        <v>229.6164</v>
      </c>
      <c r="R294" s="198">
        <v>11.663999999999945</v>
      </c>
      <c r="S294" s="200">
        <v>1.8754220664372677E-2</v>
      </c>
      <c r="T294" s="198" t="s">
        <v>278</v>
      </c>
      <c r="U294" s="198" t="s">
        <v>212</v>
      </c>
      <c r="V294" s="198"/>
      <c r="W294" s="205">
        <v>1</v>
      </c>
      <c r="X294" s="198" t="s">
        <v>114</v>
      </c>
    </row>
    <row r="295" spans="2:24">
      <c r="B295" s="496"/>
      <c r="C295" s="496"/>
      <c r="D295" s="209">
        <v>189</v>
      </c>
      <c r="E295" s="198" t="s">
        <v>287</v>
      </c>
      <c r="F295" s="199">
        <v>323.70749999999998</v>
      </c>
      <c r="G295" s="198">
        <v>12708</v>
      </c>
      <c r="H295" s="267">
        <v>12780</v>
      </c>
      <c r="I295" s="210">
        <f t="shared" si="24"/>
        <v>1.0056657223796035</v>
      </c>
      <c r="J295" s="198">
        <v>0</v>
      </c>
      <c r="K295" s="210">
        <f t="shared" si="25"/>
        <v>0</v>
      </c>
      <c r="L295" s="267">
        <v>4.5</v>
      </c>
      <c r="M295" s="211">
        <f t="shared" si="26"/>
        <v>1.0056657223796035</v>
      </c>
      <c r="N295" s="199">
        <v>324</v>
      </c>
      <c r="O295" s="198">
        <v>6.5000000000000002E-2</v>
      </c>
      <c r="P295" s="200">
        <v>5.1148882593641799E-6</v>
      </c>
      <c r="Q295" s="272">
        <v>0.29249999999999998</v>
      </c>
      <c r="R295" s="198">
        <v>71.935000000000002</v>
      </c>
      <c r="S295" s="200">
        <v>5.6606074913440356E-3</v>
      </c>
      <c r="T295" s="198" t="s">
        <v>315</v>
      </c>
      <c r="U295" s="198" t="s">
        <v>217</v>
      </c>
      <c r="V295" s="198"/>
      <c r="W295" s="205">
        <v>1</v>
      </c>
      <c r="X295" s="198" t="s">
        <v>110</v>
      </c>
    </row>
    <row r="296" spans="2:24">
      <c r="B296" s="496"/>
      <c r="C296" s="496"/>
      <c r="D296" s="209">
        <v>190</v>
      </c>
      <c r="E296" s="198" t="s">
        <v>523</v>
      </c>
      <c r="F296" s="199">
        <v>293.27300000000031</v>
      </c>
      <c r="G296" s="198">
        <v>322.8</v>
      </c>
      <c r="H296" s="267">
        <v>330.61700000000002</v>
      </c>
      <c r="I296" s="210">
        <f t="shared" si="24"/>
        <v>1.024216232961586</v>
      </c>
      <c r="J296" s="198">
        <v>0</v>
      </c>
      <c r="K296" s="210">
        <f t="shared" si="25"/>
        <v>0</v>
      </c>
      <c r="L296" s="267">
        <v>41</v>
      </c>
      <c r="M296" s="211">
        <f t="shared" si="26"/>
        <v>1.024216232961586</v>
      </c>
      <c r="N296" s="199">
        <v>320.4970000000003</v>
      </c>
      <c r="O296" s="198">
        <v>0.66400000000000003</v>
      </c>
      <c r="P296" s="200">
        <v>2.0570012391573729E-3</v>
      </c>
      <c r="Q296" s="272">
        <v>27.224</v>
      </c>
      <c r="R296" s="198">
        <v>7.1530000000000076</v>
      </c>
      <c r="S296" s="200">
        <v>2.2159231722428771E-2</v>
      </c>
      <c r="T296" s="198" t="s">
        <v>278</v>
      </c>
      <c r="U296" s="198" t="s">
        <v>212</v>
      </c>
      <c r="V296" s="198"/>
      <c r="W296" s="205">
        <v>1</v>
      </c>
      <c r="X296" s="198" t="s">
        <v>118</v>
      </c>
    </row>
    <row r="297" spans="2:24">
      <c r="B297" s="495">
        <v>45899</v>
      </c>
      <c r="C297" s="496" t="s">
        <v>64</v>
      </c>
      <c r="D297" s="209">
        <v>191</v>
      </c>
      <c r="E297" s="198" t="s">
        <v>331</v>
      </c>
      <c r="F297" s="199">
        <v>1728.4714999999978</v>
      </c>
      <c r="G297" s="198">
        <v>174.12</v>
      </c>
      <c r="H297" s="267">
        <v>180.315</v>
      </c>
      <c r="I297" s="210">
        <f t="shared" si="24"/>
        <v>1.035578911095796</v>
      </c>
      <c r="J297" s="198">
        <v>0</v>
      </c>
      <c r="K297" s="210">
        <f t="shared" si="25"/>
        <v>0</v>
      </c>
      <c r="L297" s="267">
        <v>335.3</v>
      </c>
      <c r="M297" s="211">
        <f t="shared" si="26"/>
        <v>1.035578911095796</v>
      </c>
      <c r="N297" s="199">
        <v>2077.1834999999978</v>
      </c>
      <c r="O297" s="198">
        <v>1.04</v>
      </c>
      <c r="P297" s="200">
        <v>5.9728922582127269E-3</v>
      </c>
      <c r="Q297" s="272">
        <v>348.71200000000005</v>
      </c>
      <c r="R297" s="198">
        <v>5.1549999999999931</v>
      </c>
      <c r="S297" s="200">
        <v>2.9606018837583237E-2</v>
      </c>
      <c r="T297" s="198" t="s">
        <v>315</v>
      </c>
      <c r="U297" s="198" t="s">
        <v>217</v>
      </c>
      <c r="V297" s="198" t="s">
        <v>416</v>
      </c>
      <c r="W297" s="205">
        <v>1</v>
      </c>
      <c r="X297" s="198" t="s">
        <v>114</v>
      </c>
    </row>
    <row r="298" spans="2:24" ht="16.5">
      <c r="B298" s="496"/>
      <c r="C298" s="496"/>
      <c r="D298" s="209">
        <v>192</v>
      </c>
      <c r="E298" s="198" t="s">
        <v>494</v>
      </c>
      <c r="F298" s="199">
        <v>1489.8999999999999</v>
      </c>
      <c r="G298" s="198">
        <v>12.66</v>
      </c>
      <c r="H298" s="267">
        <v>19</v>
      </c>
      <c r="I298" s="210">
        <f t="shared" si="24"/>
        <v>1.5007898894154819</v>
      </c>
      <c r="J298" s="198">
        <v>0</v>
      </c>
      <c r="K298" s="210">
        <f t="shared" si="25"/>
        <v>0</v>
      </c>
      <c r="L298" s="267">
        <v>235</v>
      </c>
      <c r="M298" s="211">
        <f t="shared" si="26"/>
        <v>1.5007898894154819</v>
      </c>
      <c r="N298" s="199">
        <v>1489.8999999999999</v>
      </c>
      <c r="O298" s="198">
        <v>0</v>
      </c>
      <c r="P298" s="200">
        <v>0</v>
      </c>
      <c r="Q298" s="272">
        <v>0</v>
      </c>
      <c r="R298" s="198">
        <v>6.34</v>
      </c>
      <c r="S298" s="200">
        <v>0.50078988941548186</v>
      </c>
      <c r="T298" s="198" t="s">
        <v>278</v>
      </c>
      <c r="U298" s="198" t="s">
        <v>212</v>
      </c>
      <c r="V298" s="264" t="s">
        <v>517</v>
      </c>
      <c r="W298" s="205">
        <v>1</v>
      </c>
      <c r="X298" s="198" t="s">
        <v>110</v>
      </c>
    </row>
    <row r="299" spans="2:24">
      <c r="B299" s="496"/>
      <c r="C299" s="496"/>
      <c r="D299" s="209">
        <v>193</v>
      </c>
      <c r="E299" s="198" t="s">
        <v>373</v>
      </c>
      <c r="F299" s="199">
        <v>858.2484599999998</v>
      </c>
      <c r="G299" s="198">
        <v>36.64</v>
      </c>
      <c r="H299" s="267">
        <v>38.07</v>
      </c>
      <c r="I299" s="210">
        <f t="shared" si="24"/>
        <v>1.0390283842794761</v>
      </c>
      <c r="J299" s="198">
        <v>0</v>
      </c>
      <c r="K299" s="210">
        <f t="shared" si="25"/>
        <v>0</v>
      </c>
      <c r="L299" s="267">
        <v>762.21</v>
      </c>
      <c r="M299" s="211">
        <f t="shared" si="26"/>
        <v>1.0390283842794761</v>
      </c>
      <c r="N299" s="199">
        <v>1089.9602999999997</v>
      </c>
      <c r="O299" s="198">
        <v>0.30399999999999999</v>
      </c>
      <c r="P299" s="200">
        <v>8.296943231441048E-3</v>
      </c>
      <c r="Q299" s="272">
        <v>231.71184</v>
      </c>
      <c r="R299" s="198">
        <v>1.1259999999999997</v>
      </c>
      <c r="S299" s="200">
        <v>3.0731441048034925E-2</v>
      </c>
      <c r="T299" s="198" t="s">
        <v>315</v>
      </c>
      <c r="U299" s="198" t="s">
        <v>217</v>
      </c>
      <c r="V299" s="198" t="s">
        <v>441</v>
      </c>
      <c r="W299" s="205">
        <v>1</v>
      </c>
      <c r="X299" s="198" t="s">
        <v>116</v>
      </c>
    </row>
    <row r="300" spans="2:24">
      <c r="B300" s="496"/>
      <c r="C300" s="496"/>
      <c r="D300" s="209">
        <v>194</v>
      </c>
      <c r="E300" s="198" t="s">
        <v>513</v>
      </c>
      <c r="F300" s="199">
        <v>598.96368000000029</v>
      </c>
      <c r="G300" s="198">
        <v>151.00800000000001</v>
      </c>
      <c r="H300" s="267">
        <v>152.18100000000001</v>
      </c>
      <c r="I300" s="210">
        <f t="shared" si="24"/>
        <v>1.0077678003814368</v>
      </c>
      <c r="J300" s="198">
        <v>0</v>
      </c>
      <c r="K300" s="210">
        <f t="shared" si="25"/>
        <v>0</v>
      </c>
      <c r="L300" s="267">
        <v>146.16000000000003</v>
      </c>
      <c r="M300" s="211">
        <f t="shared" si="26"/>
        <v>1.0077678003814368</v>
      </c>
      <c r="N300" s="199">
        <v>609.9256800000004</v>
      </c>
      <c r="O300" s="198">
        <v>7.4999999999999997E-2</v>
      </c>
      <c r="P300" s="200">
        <v>4.966624284806103E-4</v>
      </c>
      <c r="Q300" s="272">
        <v>10.962000000000002</v>
      </c>
      <c r="R300" s="198">
        <v>1.0980000000000019</v>
      </c>
      <c r="S300" s="200">
        <v>7.2711379529561467E-3</v>
      </c>
      <c r="T300" s="198" t="s">
        <v>315</v>
      </c>
      <c r="U300" s="198" t="s">
        <v>217</v>
      </c>
      <c r="V300" s="198" t="s">
        <v>524</v>
      </c>
      <c r="W300" s="205">
        <v>1</v>
      </c>
      <c r="X300" s="198" t="s">
        <v>435</v>
      </c>
    </row>
    <row r="301" spans="2:24" ht="16.5">
      <c r="B301" s="496"/>
      <c r="C301" s="496"/>
      <c r="D301" s="209">
        <v>195</v>
      </c>
      <c r="E301" s="198" t="s">
        <v>447</v>
      </c>
      <c r="F301" s="199">
        <v>503.99999999999989</v>
      </c>
      <c r="G301" s="198">
        <v>27.48</v>
      </c>
      <c r="H301" s="267">
        <v>30</v>
      </c>
      <c r="I301" s="210">
        <f t="shared" si="24"/>
        <v>1.0917030567685588</v>
      </c>
      <c r="J301" s="198">
        <v>3</v>
      </c>
      <c r="K301" s="210">
        <f t="shared" si="25"/>
        <v>0.1091703056768559</v>
      </c>
      <c r="L301" s="267">
        <v>200</v>
      </c>
      <c r="M301" s="211">
        <f t="shared" si="26"/>
        <v>1.2008733624454149</v>
      </c>
      <c r="N301" s="199">
        <v>503.99999999999989</v>
      </c>
      <c r="O301" s="198">
        <v>0</v>
      </c>
      <c r="P301" s="200">
        <v>0</v>
      </c>
      <c r="Q301" s="272">
        <v>0</v>
      </c>
      <c r="R301" s="198">
        <v>5.52</v>
      </c>
      <c r="S301" s="200">
        <v>0.20087336244541482</v>
      </c>
      <c r="T301" s="198" t="s">
        <v>278</v>
      </c>
      <c r="U301" s="198" t="s">
        <v>212</v>
      </c>
      <c r="V301" s="264" t="s">
        <v>517</v>
      </c>
      <c r="W301" s="205">
        <v>1</v>
      </c>
      <c r="X301" s="198" t="s">
        <v>116</v>
      </c>
    </row>
    <row r="302" spans="2:24">
      <c r="B302" s="496"/>
      <c r="C302" s="496"/>
      <c r="D302" s="209">
        <v>196</v>
      </c>
      <c r="E302" s="198" t="s">
        <v>369</v>
      </c>
      <c r="F302" s="199">
        <v>466.8941700000006</v>
      </c>
      <c r="G302" s="198">
        <v>206.1</v>
      </c>
      <c r="H302" s="267">
        <v>210.083</v>
      </c>
      <c r="I302" s="210">
        <f t="shared" si="24"/>
        <v>1.0193255701115964</v>
      </c>
      <c r="J302" s="198">
        <v>0</v>
      </c>
      <c r="K302" s="210">
        <f t="shared" si="25"/>
        <v>0</v>
      </c>
      <c r="L302" s="267">
        <v>141.87</v>
      </c>
      <c r="M302" s="211">
        <f t="shared" si="26"/>
        <v>1.0193255701115964</v>
      </c>
      <c r="N302" s="199">
        <v>565.06821000000059</v>
      </c>
      <c r="O302" s="198">
        <v>0.69199999999999995</v>
      </c>
      <c r="P302" s="200">
        <v>3.3575934012615234E-3</v>
      </c>
      <c r="Q302" s="272">
        <v>98.174039999999991</v>
      </c>
      <c r="R302" s="198">
        <v>3.2910000000000039</v>
      </c>
      <c r="S302" s="200">
        <v>1.596797671033481E-2</v>
      </c>
      <c r="T302" s="198" t="s">
        <v>278</v>
      </c>
      <c r="U302" s="198" t="s">
        <v>212</v>
      </c>
      <c r="V302" s="198"/>
      <c r="W302" s="205">
        <v>1</v>
      </c>
      <c r="X302" s="198" t="s">
        <v>116</v>
      </c>
    </row>
    <row r="303" spans="2:24">
      <c r="B303" s="496"/>
      <c r="C303" s="496"/>
      <c r="D303" s="209">
        <v>197</v>
      </c>
      <c r="E303" s="198" t="s">
        <v>430</v>
      </c>
      <c r="F303" s="199">
        <v>442.7685599999952</v>
      </c>
      <c r="G303" s="198">
        <v>172.08</v>
      </c>
      <c r="H303" s="267">
        <v>174.42599999999999</v>
      </c>
      <c r="I303" s="210">
        <f t="shared" si="24"/>
        <v>1.0136331938633192</v>
      </c>
      <c r="J303" s="198">
        <v>0</v>
      </c>
      <c r="K303" s="210">
        <f t="shared" si="25"/>
        <v>0</v>
      </c>
      <c r="L303" s="267">
        <v>193.17999999999998</v>
      </c>
      <c r="M303" s="211">
        <f t="shared" si="26"/>
        <v>1.0136331938633192</v>
      </c>
      <c r="N303" s="199">
        <v>453.20027999999519</v>
      </c>
      <c r="O303" s="198">
        <v>5.3999999999999999E-2</v>
      </c>
      <c r="P303" s="200">
        <v>3.1380753138075313E-4</v>
      </c>
      <c r="Q303" s="272">
        <v>10.431719999999999</v>
      </c>
      <c r="R303" s="198">
        <v>2.2919999999999754</v>
      </c>
      <c r="S303" s="200">
        <v>1.331938633193849E-2</v>
      </c>
      <c r="T303" s="198" t="s">
        <v>278</v>
      </c>
      <c r="U303" s="198" t="s">
        <v>212</v>
      </c>
      <c r="V303" s="198"/>
      <c r="W303" s="205">
        <v>1</v>
      </c>
      <c r="X303" s="198" t="s">
        <v>126</v>
      </c>
    </row>
    <row r="304" spans="2:24">
      <c r="B304" s="496"/>
      <c r="C304" s="496"/>
      <c r="D304" s="209">
        <v>198</v>
      </c>
      <c r="E304" s="198" t="s">
        <v>525</v>
      </c>
      <c r="F304" s="199">
        <v>403.21709999999996</v>
      </c>
      <c r="G304" s="198">
        <v>3146</v>
      </c>
      <c r="H304" s="267">
        <v>3240</v>
      </c>
      <c r="I304" s="210">
        <f t="shared" si="24"/>
        <v>1.0298792116973936</v>
      </c>
      <c r="J304" s="198">
        <v>0</v>
      </c>
      <c r="K304" s="210">
        <f t="shared" si="25"/>
        <v>0</v>
      </c>
      <c r="L304" s="267">
        <v>4.29</v>
      </c>
      <c r="M304" s="211">
        <f t="shared" si="26"/>
        <v>1.0298792116973936</v>
      </c>
      <c r="N304" s="199">
        <v>403.26</v>
      </c>
      <c r="O304" s="198">
        <v>0.01</v>
      </c>
      <c r="P304" s="200">
        <v>3.1786395422759062E-6</v>
      </c>
      <c r="Q304" s="272">
        <v>4.2900000000000001E-2</v>
      </c>
      <c r="R304" s="198">
        <v>93.99</v>
      </c>
      <c r="S304" s="200">
        <v>2.9876033057851237E-2</v>
      </c>
      <c r="T304" s="198" t="s">
        <v>328</v>
      </c>
      <c r="U304" s="198" t="s">
        <v>213</v>
      </c>
      <c r="V304" s="198" t="s">
        <v>526</v>
      </c>
      <c r="W304" s="205">
        <v>1</v>
      </c>
      <c r="X304" s="198" t="s">
        <v>435</v>
      </c>
    </row>
    <row r="305" spans="2:24">
      <c r="B305" s="496"/>
      <c r="C305" s="496"/>
      <c r="D305" s="209">
        <v>199</v>
      </c>
      <c r="E305" s="198" t="s">
        <v>333</v>
      </c>
      <c r="F305" s="199">
        <v>369.80589999999609</v>
      </c>
      <c r="G305" s="198">
        <v>638.44000000000005</v>
      </c>
      <c r="H305" s="267">
        <v>651.43499999999995</v>
      </c>
      <c r="I305" s="210">
        <f t="shared" si="24"/>
        <v>1.0203543011089529</v>
      </c>
      <c r="J305" s="198">
        <v>0</v>
      </c>
      <c r="K305" s="210">
        <f t="shared" si="25"/>
        <v>0</v>
      </c>
      <c r="L305" s="267">
        <v>35.9</v>
      </c>
      <c r="M305" s="211">
        <f t="shared" si="26"/>
        <v>1.0203543011089529</v>
      </c>
      <c r="N305" s="199">
        <v>466.52049999999605</v>
      </c>
      <c r="O305" s="198">
        <v>2.694</v>
      </c>
      <c r="P305" s="200">
        <v>4.2196604222793054E-3</v>
      </c>
      <c r="Q305" s="272">
        <v>96.71459999999999</v>
      </c>
      <c r="R305" s="198">
        <v>10.300999999999892</v>
      </c>
      <c r="S305" s="200">
        <v>1.6134640686673595E-2</v>
      </c>
      <c r="T305" s="198" t="s">
        <v>278</v>
      </c>
      <c r="U305" s="198" t="s">
        <v>212</v>
      </c>
      <c r="V305" s="198"/>
      <c r="W305" s="205">
        <v>1</v>
      </c>
      <c r="X305" s="198" t="s">
        <v>114</v>
      </c>
    </row>
    <row r="306" spans="2:24">
      <c r="B306" s="496"/>
      <c r="C306" s="496"/>
      <c r="D306" s="209">
        <v>200</v>
      </c>
      <c r="E306" s="198" t="s">
        <v>424</v>
      </c>
      <c r="F306" s="199">
        <v>342.01999999999879</v>
      </c>
      <c r="G306" s="198">
        <v>145.52000000000001</v>
      </c>
      <c r="H306" s="267">
        <v>150.196</v>
      </c>
      <c r="I306" s="210">
        <f t="shared" si="24"/>
        <v>1.0321330401319406</v>
      </c>
      <c r="J306" s="198">
        <v>0</v>
      </c>
      <c r="K306" s="210">
        <f t="shared" si="25"/>
        <v>0</v>
      </c>
      <c r="L306" s="267">
        <v>98</v>
      </c>
      <c r="M306" s="211">
        <f t="shared" si="26"/>
        <v>1.0321330401319406</v>
      </c>
      <c r="N306" s="199">
        <v>458.2479999999988</v>
      </c>
      <c r="O306" s="198">
        <v>1.1859999999999999</v>
      </c>
      <c r="P306" s="200">
        <v>8.1500824628916984E-3</v>
      </c>
      <c r="Q306" s="272">
        <v>116.22799999999999</v>
      </c>
      <c r="R306" s="198">
        <v>3.4899999999999878</v>
      </c>
      <c r="S306" s="200">
        <v>2.3982957669048843E-2</v>
      </c>
      <c r="T306" s="198" t="s">
        <v>278</v>
      </c>
      <c r="U306" s="198" t="s">
        <v>212</v>
      </c>
      <c r="V306" s="198"/>
      <c r="W306" s="205">
        <v>1</v>
      </c>
      <c r="X306" s="198" t="s">
        <v>118</v>
      </c>
    </row>
    <row r="307" spans="2:24">
      <c r="B307" s="497">
        <v>45900</v>
      </c>
      <c r="C307" s="496" t="s">
        <v>59</v>
      </c>
      <c r="D307" s="209">
        <v>201</v>
      </c>
      <c r="E307" s="198" t="s">
        <v>331</v>
      </c>
      <c r="F307" s="199">
        <v>3389.2123999999953</v>
      </c>
      <c r="G307" s="198">
        <v>229.86</v>
      </c>
      <c r="H307" s="267">
        <v>242</v>
      </c>
      <c r="I307" s="210">
        <f t="shared" si="24"/>
        <v>1.052814756808492</v>
      </c>
      <c r="J307" s="198">
        <v>0</v>
      </c>
      <c r="K307" s="210">
        <f t="shared" si="25"/>
        <v>0</v>
      </c>
      <c r="L307" s="267">
        <v>335.3</v>
      </c>
      <c r="M307" s="211">
        <f t="shared" si="26"/>
        <v>1.052814756808492</v>
      </c>
      <c r="N307" s="199">
        <v>4070.5419999999954</v>
      </c>
      <c r="O307" s="198">
        <v>2.032</v>
      </c>
      <c r="P307" s="200">
        <v>8.8401635778299834E-3</v>
      </c>
      <c r="Q307" s="272">
        <v>681.32960000000003</v>
      </c>
      <c r="R307" s="198">
        <v>10.107999999999986</v>
      </c>
      <c r="S307" s="200">
        <v>4.3974593230662079E-2</v>
      </c>
      <c r="T307" s="198" t="s">
        <v>315</v>
      </c>
      <c r="U307" s="198" t="s">
        <v>217</v>
      </c>
      <c r="V307" s="198" t="s">
        <v>416</v>
      </c>
      <c r="W307" s="205">
        <v>1</v>
      </c>
      <c r="X307" s="198" t="s">
        <v>114</v>
      </c>
    </row>
    <row r="308" spans="2:24">
      <c r="B308" s="498"/>
      <c r="C308" s="496"/>
      <c r="D308" s="209">
        <v>202</v>
      </c>
      <c r="E308" s="198" t="s">
        <v>485</v>
      </c>
      <c r="F308" s="199">
        <v>1609.6000000000004</v>
      </c>
      <c r="G308" s="198">
        <v>93.951999999999998</v>
      </c>
      <c r="H308" s="267">
        <v>102</v>
      </c>
      <c r="I308" s="210">
        <f t="shared" si="24"/>
        <v>1.0856607629427792</v>
      </c>
      <c r="J308" s="198">
        <v>0</v>
      </c>
      <c r="K308" s="210">
        <f t="shared" si="25"/>
        <v>0</v>
      </c>
      <c r="L308" s="267">
        <v>200</v>
      </c>
      <c r="M308" s="211">
        <f t="shared" si="26"/>
        <v>1.0856607629427792</v>
      </c>
      <c r="N308" s="199">
        <v>1609.6000000000004</v>
      </c>
      <c r="O308" s="198">
        <v>0</v>
      </c>
      <c r="P308" s="200">
        <v>0</v>
      </c>
      <c r="Q308" s="272">
        <v>0</v>
      </c>
      <c r="R308" s="198">
        <v>8.0480000000000018</v>
      </c>
      <c r="S308" s="200">
        <v>8.5660762942779314E-2</v>
      </c>
      <c r="T308" s="198" t="s">
        <v>278</v>
      </c>
      <c r="U308" s="198" t="s">
        <v>212</v>
      </c>
      <c r="V308" s="198"/>
      <c r="W308" s="205">
        <v>1</v>
      </c>
      <c r="X308" s="198" t="s">
        <v>109</v>
      </c>
    </row>
    <row r="309" spans="2:24">
      <c r="B309" s="498"/>
      <c r="C309" s="496"/>
      <c r="D309" s="209">
        <v>203</v>
      </c>
      <c r="E309" s="198" t="s">
        <v>511</v>
      </c>
      <c r="F309" s="199">
        <v>1506.0744999999997</v>
      </c>
      <c r="G309" s="198">
        <v>63.45</v>
      </c>
      <c r="H309" s="267">
        <v>82</v>
      </c>
      <c r="I309" s="210">
        <f t="shared" si="24"/>
        <v>1.2923561859732071</v>
      </c>
      <c r="J309" s="198">
        <v>0</v>
      </c>
      <c r="K309" s="210">
        <f t="shared" si="25"/>
        <v>0</v>
      </c>
      <c r="L309" s="267">
        <v>81.19</v>
      </c>
      <c r="M309" s="211">
        <f t="shared" si="26"/>
        <v>1.2923561859732071</v>
      </c>
      <c r="N309" s="199">
        <v>1506.0744999999997</v>
      </c>
      <c r="O309" s="198">
        <v>0</v>
      </c>
      <c r="P309" s="200">
        <v>0</v>
      </c>
      <c r="Q309" s="272">
        <v>0</v>
      </c>
      <c r="R309" s="198">
        <v>18.549999999999997</v>
      </c>
      <c r="S309" s="200">
        <v>0.29235618597320717</v>
      </c>
      <c r="T309" s="198" t="s">
        <v>328</v>
      </c>
      <c r="U309" s="198" t="s">
        <v>213</v>
      </c>
      <c r="V309" s="198"/>
      <c r="W309" s="205">
        <v>1</v>
      </c>
      <c r="X309" s="198" t="s">
        <v>435</v>
      </c>
    </row>
    <row r="310" spans="2:24">
      <c r="B310" s="498"/>
      <c r="C310" s="496"/>
      <c r="D310" s="209">
        <v>204</v>
      </c>
      <c r="E310" s="198" t="s">
        <v>447</v>
      </c>
      <c r="F310" s="199">
        <v>1320.7999999999997</v>
      </c>
      <c r="G310" s="198">
        <v>33.396000000000001</v>
      </c>
      <c r="H310" s="267">
        <v>40</v>
      </c>
      <c r="I310" s="210">
        <f t="shared" si="24"/>
        <v>1.1977482333213558</v>
      </c>
      <c r="J310" s="198">
        <v>0</v>
      </c>
      <c r="K310" s="210">
        <f t="shared" si="25"/>
        <v>0</v>
      </c>
      <c r="L310" s="267">
        <v>200</v>
      </c>
      <c r="M310" s="211">
        <f t="shared" si="26"/>
        <v>1.1977482333213558</v>
      </c>
      <c r="N310" s="199">
        <v>1320.7999999999997</v>
      </c>
      <c r="O310" s="198">
        <v>0</v>
      </c>
      <c r="P310" s="200">
        <v>0</v>
      </c>
      <c r="Q310" s="272">
        <v>0</v>
      </c>
      <c r="R310" s="198">
        <v>6.6039999999999992</v>
      </c>
      <c r="S310" s="200">
        <v>0.19774823332135583</v>
      </c>
      <c r="T310" s="198" t="s">
        <v>278</v>
      </c>
      <c r="U310" s="198" t="s">
        <v>212</v>
      </c>
      <c r="V310" s="198"/>
      <c r="W310" s="205">
        <v>1</v>
      </c>
      <c r="X310" s="198" t="s">
        <v>116</v>
      </c>
    </row>
    <row r="311" spans="2:24">
      <c r="B311" s="498"/>
      <c r="C311" s="496"/>
      <c r="D311" s="209">
        <v>205</v>
      </c>
      <c r="E311" s="198" t="s">
        <v>527</v>
      </c>
      <c r="F311" s="199">
        <v>720.00000000000011</v>
      </c>
      <c r="G311" s="198">
        <v>1.26</v>
      </c>
      <c r="H311" s="267">
        <v>1.36</v>
      </c>
      <c r="I311" s="210">
        <f t="shared" si="24"/>
        <v>1.0793650793650795</v>
      </c>
      <c r="J311" s="198">
        <v>0.5</v>
      </c>
      <c r="K311" s="210">
        <f t="shared" si="25"/>
        <v>0.3968253968253968</v>
      </c>
      <c r="L311" s="267">
        <v>1200</v>
      </c>
      <c r="M311" s="211">
        <f t="shared" si="26"/>
        <v>1.4761904761904763</v>
      </c>
      <c r="N311" s="199">
        <v>720.00000000000011</v>
      </c>
      <c r="O311" s="198">
        <v>0</v>
      </c>
      <c r="P311" s="200">
        <v>0</v>
      </c>
      <c r="Q311" s="272">
        <v>0</v>
      </c>
      <c r="R311" s="198">
        <v>0.60000000000000009</v>
      </c>
      <c r="S311" s="200">
        <v>0.47619047619047628</v>
      </c>
      <c r="T311" s="198" t="s">
        <v>278</v>
      </c>
      <c r="U311" s="198" t="s">
        <v>212</v>
      </c>
      <c r="V311" s="198"/>
      <c r="W311" s="205">
        <v>1</v>
      </c>
      <c r="X311" s="198" t="s">
        <v>113</v>
      </c>
    </row>
    <row r="312" spans="2:24">
      <c r="B312" s="498"/>
      <c r="C312" s="496"/>
      <c r="D312" s="209">
        <v>206</v>
      </c>
      <c r="E312" s="198" t="s">
        <v>333</v>
      </c>
      <c r="F312" s="199">
        <v>679.65879999999754</v>
      </c>
      <c r="G312" s="198">
        <v>842.82</v>
      </c>
      <c r="H312" s="267">
        <v>864.29399999999998</v>
      </c>
      <c r="I312" s="210">
        <f t="shared" si="24"/>
        <v>1.025478749911013</v>
      </c>
      <c r="J312" s="198">
        <v>0</v>
      </c>
      <c r="K312" s="210">
        <f t="shared" si="25"/>
        <v>0</v>
      </c>
      <c r="L312" s="267">
        <v>35.9</v>
      </c>
      <c r="M312" s="211">
        <f t="shared" si="26"/>
        <v>1.025478749911013</v>
      </c>
      <c r="N312" s="199">
        <v>770.91659999999752</v>
      </c>
      <c r="O312" s="198">
        <v>2.5419999999999998</v>
      </c>
      <c r="P312" s="200">
        <v>3.0160651147338692E-3</v>
      </c>
      <c r="Q312" s="272">
        <v>91.257799999999989</v>
      </c>
      <c r="R312" s="198">
        <v>18.931999999999931</v>
      </c>
      <c r="S312" s="200">
        <v>2.2462684796279074E-2</v>
      </c>
      <c r="T312" s="198" t="s">
        <v>278</v>
      </c>
      <c r="U312" s="198" t="s">
        <v>212</v>
      </c>
      <c r="V312" s="198"/>
      <c r="W312" s="205">
        <v>1</v>
      </c>
      <c r="X312" s="198" t="s">
        <v>114</v>
      </c>
    </row>
    <row r="313" spans="2:24">
      <c r="B313" s="498"/>
      <c r="C313" s="496"/>
      <c r="D313" s="209">
        <v>207</v>
      </c>
      <c r="E313" s="198" t="s">
        <v>494</v>
      </c>
      <c r="F313" s="199">
        <v>658.2349999999999</v>
      </c>
      <c r="G313" s="198">
        <v>17.16</v>
      </c>
      <c r="H313" s="267">
        <v>20</v>
      </c>
      <c r="I313" s="210">
        <f t="shared" si="24"/>
        <v>1.1655011655011656</v>
      </c>
      <c r="J313" s="198">
        <v>0</v>
      </c>
      <c r="K313" s="210">
        <f t="shared" si="25"/>
        <v>0</v>
      </c>
      <c r="L313" s="267">
        <v>235</v>
      </c>
      <c r="M313" s="211">
        <f t="shared" si="26"/>
        <v>1.1655011655011656</v>
      </c>
      <c r="N313" s="199">
        <v>667.4</v>
      </c>
      <c r="O313" s="198">
        <v>3.9E-2</v>
      </c>
      <c r="P313" s="200">
        <v>2.2727272727272726E-3</v>
      </c>
      <c r="Q313" s="272">
        <v>9.1649999999999991</v>
      </c>
      <c r="R313" s="198">
        <v>2.8009999999999997</v>
      </c>
      <c r="S313" s="200">
        <v>0.16322843822843822</v>
      </c>
      <c r="T313" s="198" t="s">
        <v>278</v>
      </c>
      <c r="U313" s="198" t="s">
        <v>212</v>
      </c>
      <c r="V313" s="198"/>
      <c r="W313" s="205">
        <v>1</v>
      </c>
      <c r="X313" s="198" t="s">
        <v>110</v>
      </c>
    </row>
    <row r="314" spans="2:24">
      <c r="B314" s="498"/>
      <c r="C314" s="496"/>
      <c r="D314" s="209">
        <v>208</v>
      </c>
      <c r="E314" s="198" t="s">
        <v>285</v>
      </c>
      <c r="F314" s="199">
        <v>609.9000000000018</v>
      </c>
      <c r="G314" s="198">
        <v>22.33</v>
      </c>
      <c r="H314" s="267">
        <v>20.5</v>
      </c>
      <c r="I314" s="210">
        <f t="shared" si="24"/>
        <v>0.91804746977160778</v>
      </c>
      <c r="J314" s="198">
        <v>3.1</v>
      </c>
      <c r="K314" s="210">
        <f t="shared" si="25"/>
        <v>0.1388266905508285</v>
      </c>
      <c r="L314" s="267">
        <v>570</v>
      </c>
      <c r="M314" s="211">
        <f t="shared" si="26"/>
        <v>1.0568741603224363</v>
      </c>
      <c r="N314" s="199">
        <v>723.9000000000018</v>
      </c>
      <c r="O314" s="198">
        <v>0.2</v>
      </c>
      <c r="P314" s="200">
        <v>8.9565606806986126E-3</v>
      </c>
      <c r="Q314" s="272">
        <v>114</v>
      </c>
      <c r="R314" s="198">
        <v>1.0700000000000032</v>
      </c>
      <c r="S314" s="200">
        <v>4.7917599641737717E-2</v>
      </c>
      <c r="T314" s="198" t="s">
        <v>278</v>
      </c>
      <c r="U314" s="198" t="s">
        <v>212</v>
      </c>
      <c r="V314" s="198"/>
      <c r="W314" s="205">
        <v>1</v>
      </c>
      <c r="X314" s="198" t="s">
        <v>339</v>
      </c>
    </row>
    <row r="315" spans="2:24">
      <c r="B315" s="498"/>
      <c r="C315" s="496"/>
      <c r="D315" s="209">
        <v>209</v>
      </c>
      <c r="E315" s="198" t="s">
        <v>437</v>
      </c>
      <c r="F315" s="199">
        <v>548.63360000000091</v>
      </c>
      <c r="G315" s="198">
        <v>30.256</v>
      </c>
      <c r="H315" s="267">
        <v>30.3</v>
      </c>
      <c r="I315" s="210">
        <f t="shared" si="24"/>
        <v>1.0014542570068747</v>
      </c>
      <c r="J315" s="198">
        <v>0.8</v>
      </c>
      <c r="K315" s="210">
        <f t="shared" si="25"/>
        <v>2.6441036488630356E-2</v>
      </c>
      <c r="L315" s="267">
        <v>742.4</v>
      </c>
      <c r="M315" s="211">
        <f t="shared" si="26"/>
        <v>1.027895293495505</v>
      </c>
      <c r="N315" s="199">
        <v>626.58560000000091</v>
      </c>
      <c r="O315" s="198">
        <v>0.105</v>
      </c>
      <c r="P315" s="200">
        <v>3.4703860391327337E-3</v>
      </c>
      <c r="Q315" s="272">
        <v>77.951999999999998</v>
      </c>
      <c r="R315" s="198">
        <v>0.73900000000000121</v>
      </c>
      <c r="S315" s="200">
        <v>2.4424907456372328E-2</v>
      </c>
      <c r="T315" s="198" t="s">
        <v>328</v>
      </c>
      <c r="U315" s="198" t="s">
        <v>213</v>
      </c>
      <c r="V315" s="198"/>
      <c r="W315" s="205">
        <v>1</v>
      </c>
      <c r="X315" s="198" t="s">
        <v>127</v>
      </c>
    </row>
    <row r="316" spans="2:24">
      <c r="B316" s="498"/>
      <c r="C316" s="496"/>
      <c r="D316" s="209">
        <v>210</v>
      </c>
      <c r="E316" s="198" t="s">
        <v>409</v>
      </c>
      <c r="F316" s="199">
        <v>542</v>
      </c>
      <c r="G316" s="198">
        <v>70.932000000000002</v>
      </c>
      <c r="H316" s="267">
        <v>72.349999999999994</v>
      </c>
      <c r="I316" s="210">
        <f t="shared" si="24"/>
        <v>1.0199909772740088</v>
      </c>
      <c r="J316" s="198">
        <v>0</v>
      </c>
      <c r="K316" s="210">
        <f t="shared" si="25"/>
        <v>0</v>
      </c>
      <c r="L316" s="267">
        <v>420.41</v>
      </c>
      <c r="M316" s="211">
        <f t="shared" si="26"/>
        <v>1.0199909772740088</v>
      </c>
      <c r="N316" s="199">
        <v>596.98220000000072</v>
      </c>
      <c r="O316" s="198">
        <v>0.13</v>
      </c>
      <c r="P316" s="200">
        <v>1.832741216940168E-3</v>
      </c>
      <c r="Q316" s="272">
        <v>54.653300000000009</v>
      </c>
      <c r="R316" s="198">
        <v>1.2879999999999923</v>
      </c>
      <c r="S316" s="200">
        <v>1.8158236057068632E-2</v>
      </c>
      <c r="T316" s="198" t="s">
        <v>278</v>
      </c>
      <c r="U316" s="198" t="s">
        <v>212</v>
      </c>
      <c r="V316" s="198"/>
      <c r="W316" s="205">
        <v>1</v>
      </c>
      <c r="X316" s="198" t="s">
        <v>112</v>
      </c>
    </row>
    <row r="317" spans="2:24">
      <c r="B317" s="497">
        <v>45901</v>
      </c>
      <c r="C317" s="517" t="s">
        <v>65</v>
      </c>
      <c r="D317" s="209">
        <v>211</v>
      </c>
      <c r="E317" s="198" t="s">
        <v>331</v>
      </c>
      <c r="F317" s="199">
        <v>2251.204200000006</v>
      </c>
      <c r="G317" s="198">
        <v>222.48</v>
      </c>
      <c r="H317" s="267">
        <v>231.57900000000001</v>
      </c>
      <c r="I317" s="210">
        <f t="shared" si="24"/>
        <v>1.0408980582524272</v>
      </c>
      <c r="J317" s="198">
        <v>0</v>
      </c>
      <c r="K317" s="210">
        <f t="shared" si="25"/>
        <v>0</v>
      </c>
      <c r="L317" s="267">
        <v>335.3</v>
      </c>
      <c r="M317" s="211">
        <f t="shared" si="26"/>
        <v>1.0408980582524272</v>
      </c>
      <c r="N317" s="199">
        <v>3051</v>
      </c>
      <c r="O317" s="198">
        <v>2.39</v>
      </c>
      <c r="P317" s="200">
        <v>1.0999999999999999E-2</v>
      </c>
      <c r="Q317" s="272">
        <v>800</v>
      </c>
      <c r="R317" s="198">
        <v>6.7</v>
      </c>
      <c r="S317" s="200">
        <v>0.03</v>
      </c>
      <c r="T317" s="198" t="s">
        <v>315</v>
      </c>
      <c r="U317" s="198" t="s">
        <v>217</v>
      </c>
      <c r="V317" s="198" t="s">
        <v>416</v>
      </c>
      <c r="W317" s="205">
        <v>1</v>
      </c>
      <c r="X317" s="198" t="s">
        <v>114</v>
      </c>
    </row>
    <row r="318" spans="2:24" ht="16.5">
      <c r="B318" s="498"/>
      <c r="C318" s="496"/>
      <c r="D318" s="209">
        <v>212</v>
      </c>
      <c r="E318" s="198" t="s">
        <v>433</v>
      </c>
      <c r="F318" s="199">
        <v>901</v>
      </c>
      <c r="G318" s="198">
        <v>98.21</v>
      </c>
      <c r="H318" s="267">
        <v>118.1</v>
      </c>
      <c r="I318" s="210">
        <f t="shared" si="24"/>
        <v>1.2025252010996843</v>
      </c>
      <c r="J318" s="198">
        <v>0</v>
      </c>
      <c r="K318" s="210">
        <f t="shared" si="25"/>
        <v>0</v>
      </c>
      <c r="L318" s="267">
        <v>55</v>
      </c>
      <c r="M318" s="211">
        <f t="shared" si="26"/>
        <v>1.2025252010996843</v>
      </c>
      <c r="N318" s="199">
        <v>1093</v>
      </c>
      <c r="O318" s="198">
        <v>3.5</v>
      </c>
      <c r="P318" s="200">
        <v>3.5999999999999997E-2</v>
      </c>
      <c r="Q318" s="272">
        <v>192</v>
      </c>
      <c r="R318" s="198">
        <v>16.399999999999999</v>
      </c>
      <c r="S318" s="200">
        <v>0.16700000000000001</v>
      </c>
      <c r="T318" s="198" t="s">
        <v>278</v>
      </c>
      <c r="U318" s="198" t="s">
        <v>212</v>
      </c>
      <c r="V318" s="264" t="s">
        <v>528</v>
      </c>
      <c r="W318" s="205">
        <v>1</v>
      </c>
      <c r="X318" s="198" t="s">
        <v>435</v>
      </c>
    </row>
    <row r="319" spans="2:24">
      <c r="B319" s="498"/>
      <c r="C319" s="496"/>
      <c r="D319" s="209">
        <v>213</v>
      </c>
      <c r="E319" s="198" t="s">
        <v>369</v>
      </c>
      <c r="F319" s="199">
        <v>899.45580000000109</v>
      </c>
      <c r="G319" s="198">
        <v>247.14</v>
      </c>
      <c r="H319" s="267">
        <v>247</v>
      </c>
      <c r="I319" s="210">
        <f t="shared" si="24"/>
        <v>0.9994335194626528</v>
      </c>
      <c r="J319" s="198">
        <v>7.6</v>
      </c>
      <c r="K319" s="210">
        <f t="shared" si="25"/>
        <v>3.0751800598850854E-2</v>
      </c>
      <c r="L319" s="267">
        <v>141.9</v>
      </c>
      <c r="M319" s="211">
        <f t="shared" si="26"/>
        <v>1.0301853200615037</v>
      </c>
      <c r="N319" s="199">
        <v>1058</v>
      </c>
      <c r="O319" s="198">
        <v>1.1200000000000001</v>
      </c>
      <c r="P319" s="200">
        <v>5.0000000000000001E-3</v>
      </c>
      <c r="Q319" s="272">
        <v>159</v>
      </c>
      <c r="R319" s="198">
        <v>6.3</v>
      </c>
      <c r="S319" s="200">
        <v>2.5999999999999999E-2</v>
      </c>
      <c r="T319" s="198" t="s">
        <v>278</v>
      </c>
      <c r="U319" s="198" t="s">
        <v>212</v>
      </c>
      <c r="V319" s="198"/>
      <c r="W319" s="205">
        <v>1</v>
      </c>
      <c r="X319" s="198" t="s">
        <v>116</v>
      </c>
    </row>
    <row r="320" spans="2:24">
      <c r="B320" s="498"/>
      <c r="C320" s="496"/>
      <c r="D320" s="209">
        <v>214</v>
      </c>
      <c r="E320" s="198" t="s">
        <v>298</v>
      </c>
      <c r="F320" s="199">
        <v>885.4658999999956</v>
      </c>
      <c r="G320" s="198">
        <v>748.22</v>
      </c>
      <c r="H320" s="267">
        <v>754.49199999999996</v>
      </c>
      <c r="I320" s="210">
        <f t="shared" si="24"/>
        <v>1.0083825612787682</v>
      </c>
      <c r="J320" s="198">
        <v>17.7</v>
      </c>
      <c r="K320" s="210">
        <f t="shared" si="25"/>
        <v>2.3656143914891341E-2</v>
      </c>
      <c r="L320" s="267">
        <v>46.5</v>
      </c>
      <c r="M320" s="211">
        <f t="shared" si="26"/>
        <v>1.0320387051936597</v>
      </c>
      <c r="N320" s="199">
        <v>1116</v>
      </c>
      <c r="O320" s="198">
        <v>4.95</v>
      </c>
      <c r="P320" s="200">
        <v>7.0000000000000001E-3</v>
      </c>
      <c r="Q320" s="272">
        <v>230</v>
      </c>
      <c r="R320" s="198">
        <v>19</v>
      </c>
      <c r="S320" s="200">
        <v>2.5000000000000001E-2</v>
      </c>
      <c r="T320" s="198" t="s">
        <v>278</v>
      </c>
      <c r="U320" s="198" t="s">
        <v>212</v>
      </c>
      <c r="V320" s="198"/>
      <c r="W320" s="205">
        <v>1</v>
      </c>
      <c r="X320" s="198" t="s">
        <v>121</v>
      </c>
    </row>
    <row r="321" spans="2:24">
      <c r="B321" s="498"/>
      <c r="C321" s="496"/>
      <c r="D321" s="209">
        <v>215</v>
      </c>
      <c r="E321" s="198" t="s">
        <v>274</v>
      </c>
      <c r="F321" s="199">
        <v>817.03404999999157</v>
      </c>
      <c r="G321" s="198">
        <v>806.49</v>
      </c>
      <c r="H321" s="267">
        <v>811.92499999999995</v>
      </c>
      <c r="I321" s="210">
        <f t="shared" si="24"/>
        <v>1.006739079219829</v>
      </c>
      <c r="J321" s="198">
        <v>0</v>
      </c>
      <c r="K321" s="210">
        <f t="shared" si="25"/>
        <v>0</v>
      </c>
      <c r="L321" s="267">
        <v>156.69999999999999</v>
      </c>
      <c r="M321" s="211">
        <f t="shared" si="26"/>
        <v>1.006739079219829</v>
      </c>
      <c r="N321" s="199">
        <v>852</v>
      </c>
      <c r="O321" s="198">
        <v>0.22</v>
      </c>
      <c r="P321" s="200">
        <v>0</v>
      </c>
      <c r="Q321" s="272">
        <v>34</v>
      </c>
      <c r="R321" s="198">
        <v>5.2</v>
      </c>
      <c r="S321" s="200">
        <v>6.0000000000000001E-3</v>
      </c>
      <c r="T321" s="198" t="s">
        <v>278</v>
      </c>
      <c r="U321" s="198" t="s">
        <v>212</v>
      </c>
      <c r="V321" s="198"/>
      <c r="W321" s="205">
        <v>1</v>
      </c>
      <c r="X321" s="198" t="s">
        <v>109</v>
      </c>
    </row>
    <row r="322" spans="2:24">
      <c r="B322" s="498"/>
      <c r="C322" s="496"/>
      <c r="D322" s="209">
        <v>216</v>
      </c>
      <c r="E322" s="198" t="s">
        <v>447</v>
      </c>
      <c r="F322" s="199">
        <v>699.20000000000186</v>
      </c>
      <c r="G322" s="198">
        <v>168.50399999999999</v>
      </c>
      <c r="H322" s="267">
        <v>172</v>
      </c>
      <c r="I322" s="210">
        <f t="shared" si="24"/>
        <v>1.020747281963633</v>
      </c>
      <c r="J322" s="198">
        <v>0</v>
      </c>
      <c r="K322" s="210">
        <f t="shared" si="25"/>
        <v>0</v>
      </c>
      <c r="L322" s="267">
        <v>200</v>
      </c>
      <c r="M322" s="211">
        <f t="shared" si="26"/>
        <v>1.020747281963633</v>
      </c>
      <c r="N322" s="199">
        <v>699</v>
      </c>
      <c r="O322" s="198">
        <v>0</v>
      </c>
      <c r="P322" s="200">
        <v>0</v>
      </c>
      <c r="Q322" s="272">
        <v>0</v>
      </c>
      <c r="R322" s="198">
        <v>3.5</v>
      </c>
      <c r="S322" s="200">
        <v>2.1000000000000001E-2</v>
      </c>
      <c r="T322" s="198" t="s">
        <v>278</v>
      </c>
      <c r="U322" s="198" t="s">
        <v>212</v>
      </c>
      <c r="V322" s="198"/>
      <c r="W322" s="205">
        <v>1</v>
      </c>
      <c r="X322" s="198" t="s">
        <v>112</v>
      </c>
    </row>
    <row r="323" spans="2:24">
      <c r="B323" s="498"/>
      <c r="C323" s="496"/>
      <c r="D323" s="209">
        <v>217</v>
      </c>
      <c r="E323" s="198" t="s">
        <v>289</v>
      </c>
      <c r="F323" s="199">
        <v>679.99999999999761</v>
      </c>
      <c r="G323" s="198">
        <v>405.72</v>
      </c>
      <c r="H323" s="267">
        <v>415</v>
      </c>
      <c r="I323" s="210">
        <f t="shared" si="24"/>
        <v>1.022872917282855</v>
      </c>
      <c r="J323" s="198">
        <v>0</v>
      </c>
      <c r="K323" s="210">
        <f t="shared" si="25"/>
        <v>0</v>
      </c>
      <c r="L323" s="267">
        <v>85</v>
      </c>
      <c r="M323" s="211">
        <f t="shared" si="26"/>
        <v>1.022872917282855</v>
      </c>
      <c r="N323" s="199">
        <v>789</v>
      </c>
      <c r="O323" s="198">
        <v>1.28</v>
      </c>
      <c r="P323" s="200">
        <v>3.0000000000000001E-3</v>
      </c>
      <c r="Q323" s="272">
        <v>109</v>
      </c>
      <c r="R323" s="198">
        <v>8</v>
      </c>
      <c r="S323" s="200">
        <v>0.02</v>
      </c>
      <c r="T323" s="198" t="s">
        <v>278</v>
      </c>
      <c r="U323" s="198" t="s">
        <v>212</v>
      </c>
      <c r="V323" s="198"/>
      <c r="W323" s="205">
        <v>1</v>
      </c>
      <c r="X323" s="198" t="s">
        <v>134</v>
      </c>
    </row>
    <row r="324" spans="2:24">
      <c r="B324" s="498"/>
      <c r="C324" s="496"/>
      <c r="D324" s="209">
        <v>218</v>
      </c>
      <c r="E324" s="198" t="s">
        <v>429</v>
      </c>
      <c r="F324" s="199">
        <v>561.87823999999796</v>
      </c>
      <c r="G324" s="198">
        <v>730.60900000000004</v>
      </c>
      <c r="H324" s="267">
        <v>741</v>
      </c>
      <c r="I324" s="210">
        <f t="shared" si="24"/>
        <v>1.0142223816021976</v>
      </c>
      <c r="J324" s="198">
        <v>0</v>
      </c>
      <c r="K324" s="210">
        <f t="shared" si="25"/>
        <v>0</v>
      </c>
      <c r="L324" s="267">
        <v>54.1</v>
      </c>
      <c r="M324" s="211">
        <f t="shared" si="26"/>
        <v>1.0142223816021976</v>
      </c>
      <c r="N324" s="199">
        <v>562</v>
      </c>
      <c r="O324" s="198">
        <v>0.01</v>
      </c>
      <c r="P324" s="200">
        <v>0</v>
      </c>
      <c r="Q324" s="272">
        <v>0</v>
      </c>
      <c r="R324" s="198">
        <v>10.4</v>
      </c>
      <c r="S324" s="200">
        <v>1.4E-2</v>
      </c>
      <c r="T324" s="198" t="s">
        <v>278</v>
      </c>
      <c r="U324" s="198" t="s">
        <v>212</v>
      </c>
      <c r="V324" s="198"/>
      <c r="W324" s="205">
        <v>1</v>
      </c>
      <c r="X324" s="198" t="s">
        <v>126</v>
      </c>
    </row>
    <row r="325" spans="2:24" ht="16.5">
      <c r="B325" s="498"/>
      <c r="C325" s="496"/>
      <c r="D325" s="209">
        <v>219</v>
      </c>
      <c r="E325" s="198" t="s">
        <v>486</v>
      </c>
      <c r="F325" s="199">
        <v>486.33</v>
      </c>
      <c r="G325" s="198">
        <v>10.755000000000001</v>
      </c>
      <c r="H325" s="267">
        <v>13.55</v>
      </c>
      <c r="I325" s="210">
        <f t="shared" si="24"/>
        <v>1.2598791259879125</v>
      </c>
      <c r="J325" s="198">
        <v>0</v>
      </c>
      <c r="K325" s="210">
        <f t="shared" si="25"/>
        <v>0</v>
      </c>
      <c r="L325" s="267">
        <v>174</v>
      </c>
      <c r="M325" s="211">
        <f t="shared" si="26"/>
        <v>1.2598791259879125</v>
      </c>
      <c r="N325" s="199">
        <v>486</v>
      </c>
      <c r="O325" s="198">
        <v>0</v>
      </c>
      <c r="P325" s="200">
        <v>0</v>
      </c>
      <c r="Q325" s="272">
        <v>0</v>
      </c>
      <c r="R325" s="198">
        <v>2.8</v>
      </c>
      <c r="S325" s="200">
        <v>0.26</v>
      </c>
      <c r="T325" s="198" t="s">
        <v>278</v>
      </c>
      <c r="U325" s="198" t="s">
        <v>212</v>
      </c>
      <c r="V325" s="264" t="s">
        <v>517</v>
      </c>
      <c r="W325" s="205">
        <v>1</v>
      </c>
      <c r="X325" s="198" t="s">
        <v>339</v>
      </c>
    </row>
    <row r="326" spans="2:24" ht="16.5">
      <c r="B326" s="498"/>
      <c r="C326" s="496"/>
      <c r="D326" s="209">
        <v>220</v>
      </c>
      <c r="E326" s="198" t="s">
        <v>529</v>
      </c>
      <c r="F326" s="199">
        <v>421.72799999999995</v>
      </c>
      <c r="G326" s="198">
        <v>0.74160000000000004</v>
      </c>
      <c r="H326" s="267">
        <v>1.2</v>
      </c>
      <c r="I326" s="210">
        <f t="shared" si="24"/>
        <v>1.6181229773462782</v>
      </c>
      <c r="J326" s="198">
        <v>0</v>
      </c>
      <c r="K326" s="210">
        <f t="shared" si="25"/>
        <v>0</v>
      </c>
      <c r="L326" s="267">
        <v>920</v>
      </c>
      <c r="M326" s="211">
        <f t="shared" si="26"/>
        <v>1.6181229773462782</v>
      </c>
      <c r="N326" s="199">
        <v>422</v>
      </c>
      <c r="O326" s="198">
        <v>0</v>
      </c>
      <c r="P326" s="200">
        <v>0</v>
      </c>
      <c r="Q326" s="272">
        <v>0</v>
      </c>
      <c r="R326" s="198">
        <v>0.5</v>
      </c>
      <c r="S326" s="200">
        <v>0.61799999999999999</v>
      </c>
      <c r="T326" s="198" t="s">
        <v>278</v>
      </c>
      <c r="U326" s="198" t="s">
        <v>212</v>
      </c>
      <c r="V326" s="264" t="s">
        <v>517</v>
      </c>
      <c r="W326" s="205">
        <v>1</v>
      </c>
      <c r="X326" s="198" t="s">
        <v>114</v>
      </c>
    </row>
  </sheetData>
  <mergeCells count="83"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17:B226"/>
    <mergeCell ref="C217:C226"/>
    <mergeCell ref="B227:B236"/>
    <mergeCell ref="C227:C236"/>
    <mergeCell ref="B237:B246"/>
    <mergeCell ref="C237:C246"/>
    <mergeCell ref="B187:B196"/>
    <mergeCell ref="C187:C196"/>
    <mergeCell ref="B197:B206"/>
    <mergeCell ref="C197:C206"/>
    <mergeCell ref="B207:B216"/>
    <mergeCell ref="C207:C216"/>
    <mergeCell ref="B157:B166"/>
    <mergeCell ref="C157:C166"/>
    <mergeCell ref="B167:B176"/>
    <mergeCell ref="C167:C176"/>
    <mergeCell ref="B177:B186"/>
    <mergeCell ref="C177:C18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317:B32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</mergeCells>
  <phoneticPr fontId="16" type="noConversion"/>
  <dataValidations count="2">
    <dataValidation type="list" allowBlank="1" showInputMessage="1" showErrorMessage="1" sqref="V42:V46 U1:U1048576" xr:uid="{00000000-0002-0000-1000-000000000000}">
      <formula1>$AB$30:$AB$37</formula1>
    </dataValidation>
    <dataValidation type="list" allowBlank="1" showInputMessage="1" showErrorMessage="1" sqref="T1:T1048576" xr:uid="{00000000-0002-0000-1000-000001000000}">
      <formula1>$AB$40:$AB$44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530</v>
      </c>
      <c r="D2" s="5" t="s">
        <v>531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532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35</v>
      </c>
      <c r="P5" s="49" t="s">
        <v>13</v>
      </c>
      <c r="Q5" s="49" t="s">
        <v>36</v>
      </c>
      <c r="R5" s="67"/>
      <c r="S5" s="7"/>
      <c r="T5" s="49" t="s">
        <v>8</v>
      </c>
      <c r="U5" s="49" t="s">
        <v>35</v>
      </c>
      <c r="V5" s="49" t="s">
        <v>13</v>
      </c>
      <c r="W5" s="49" t="s">
        <v>36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533</v>
      </c>
      <c r="H6" s="11">
        <v>110</v>
      </c>
      <c r="I6" s="11">
        <v>100</v>
      </c>
      <c r="J6" s="11">
        <v>90</v>
      </c>
      <c r="K6" s="12"/>
      <c r="L6" s="62" t="s">
        <v>534</v>
      </c>
      <c r="M6" s="49" t="s">
        <v>535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535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536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537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537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538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539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539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540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541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541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542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543</v>
      </c>
      <c r="N10" s="9" t="s">
        <v>544</v>
      </c>
      <c r="O10" s="13" t="str">
        <f t="shared" si="2"/>
        <v/>
      </c>
      <c r="P10" s="4" t="s">
        <v>545</v>
      </c>
      <c r="Q10" s="13" t="str">
        <f t="shared" si="3"/>
        <v/>
      </c>
      <c r="S10" s="49" t="s">
        <v>543</v>
      </c>
      <c r="T10" s="9" t="s">
        <v>544</v>
      </c>
      <c r="U10" s="13" t="str">
        <f t="shared" si="4"/>
        <v/>
      </c>
      <c r="V10" s="4" t="s">
        <v>545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546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547</v>
      </c>
      <c r="N11" s="9" t="s">
        <v>544</v>
      </c>
      <c r="O11" s="13" t="str">
        <f t="shared" si="2"/>
        <v/>
      </c>
      <c r="P11" s="4" t="s">
        <v>545</v>
      </c>
      <c r="Q11" s="13" t="str">
        <f t="shared" si="3"/>
        <v/>
      </c>
      <c r="S11" s="49" t="s">
        <v>547</v>
      </c>
      <c r="T11" s="9" t="s">
        <v>544</v>
      </c>
      <c r="U11" s="13" t="str">
        <f t="shared" si="4"/>
        <v/>
      </c>
      <c r="V11" s="4" t="s">
        <v>545</v>
      </c>
      <c r="W11" s="13" t="str">
        <f t="shared" si="5"/>
        <v/>
      </c>
    </row>
    <row r="12" spans="1:23" ht="15.75" customHeight="1">
      <c r="M12" s="49" t="s">
        <v>548</v>
      </c>
      <c r="N12" s="9" t="s">
        <v>544</v>
      </c>
      <c r="O12" s="13" t="str">
        <f t="shared" si="2"/>
        <v/>
      </c>
      <c r="P12" s="4" t="s">
        <v>545</v>
      </c>
      <c r="Q12" s="13" t="str">
        <f t="shared" si="3"/>
        <v/>
      </c>
      <c r="S12" s="49" t="s">
        <v>548</v>
      </c>
      <c r="T12" s="9" t="s">
        <v>544</v>
      </c>
      <c r="U12" s="13" t="str">
        <f t="shared" si="4"/>
        <v/>
      </c>
      <c r="V12" s="4" t="s">
        <v>545</v>
      </c>
      <c r="W12" s="13" t="str">
        <f t="shared" si="5"/>
        <v/>
      </c>
    </row>
    <row r="13" spans="1:23" ht="15.75" customHeight="1">
      <c r="A13" s="60" t="s">
        <v>549</v>
      </c>
      <c r="B13" s="67"/>
      <c r="C13" s="67"/>
      <c r="D13" s="67"/>
      <c r="E13" s="67"/>
      <c r="F13" s="67"/>
      <c r="M13" s="49" t="s">
        <v>550</v>
      </c>
      <c r="N13" s="9" t="s">
        <v>544</v>
      </c>
      <c r="O13" s="13" t="str">
        <f t="shared" si="2"/>
        <v/>
      </c>
      <c r="P13" s="4" t="s">
        <v>545</v>
      </c>
      <c r="Q13" s="13" t="str">
        <f t="shared" si="3"/>
        <v/>
      </c>
      <c r="S13" s="49" t="s">
        <v>550</v>
      </c>
      <c r="T13" s="9" t="s">
        <v>544</v>
      </c>
      <c r="U13" s="13" t="str">
        <f t="shared" si="4"/>
        <v/>
      </c>
      <c r="V13" s="4" t="s">
        <v>545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535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543</v>
      </c>
      <c r="H15" s="4"/>
      <c r="I15" s="4"/>
      <c r="J15" s="16">
        <f t="shared" ref="J15:J18" si="12">H15-I15</f>
        <v>0</v>
      </c>
      <c r="K15" s="17"/>
      <c r="M15" s="60" t="s">
        <v>551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537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547</v>
      </c>
      <c r="H16" s="4"/>
      <c r="I16" s="4"/>
      <c r="J16" s="16">
        <f t="shared" si="12"/>
        <v>0</v>
      </c>
      <c r="K16" s="17"/>
      <c r="M16" s="18"/>
      <c r="N16" s="46" t="s">
        <v>172</v>
      </c>
      <c r="O16" s="19"/>
      <c r="P16" s="58" t="s">
        <v>231</v>
      </c>
      <c r="Q16" s="19"/>
      <c r="R16" s="51" t="s">
        <v>552</v>
      </c>
      <c r="S16" s="19"/>
    </row>
    <row r="17" spans="1:27" ht="15.75" customHeight="1">
      <c r="A17" s="49" t="s">
        <v>539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548</v>
      </c>
      <c r="H17" s="4"/>
      <c r="I17" s="4"/>
      <c r="J17" s="16">
        <f t="shared" si="12"/>
        <v>0</v>
      </c>
      <c r="K17" s="17"/>
      <c r="M17" s="20"/>
      <c r="N17" s="21" t="s">
        <v>177</v>
      </c>
      <c r="O17" s="50" t="s">
        <v>35</v>
      </c>
      <c r="P17" s="8" t="s">
        <v>177</v>
      </c>
      <c r="Q17" s="50" t="s">
        <v>35</v>
      </c>
      <c r="R17" s="8" t="s">
        <v>177</v>
      </c>
      <c r="S17" s="50" t="s">
        <v>35</v>
      </c>
    </row>
    <row r="18" spans="1:27" ht="15.75" customHeight="1">
      <c r="A18" s="49" t="s">
        <v>541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550</v>
      </c>
      <c r="H18" s="4"/>
      <c r="I18" s="4"/>
      <c r="J18" s="16">
        <f t="shared" si="12"/>
        <v>0</v>
      </c>
      <c r="K18" s="17"/>
      <c r="M18" s="49" t="s">
        <v>538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540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553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143</v>
      </c>
      <c r="C21" s="544" t="s">
        <v>144</v>
      </c>
      <c r="D21" s="527"/>
      <c r="E21" s="521"/>
      <c r="F21" s="49" t="s">
        <v>145</v>
      </c>
      <c r="G21" s="49" t="s">
        <v>554</v>
      </c>
      <c r="H21" s="49" t="s">
        <v>555</v>
      </c>
      <c r="I21" s="8" t="s">
        <v>148</v>
      </c>
      <c r="J21" s="536" t="s">
        <v>149</v>
      </c>
      <c r="K21" s="521"/>
      <c r="M21" s="60" t="s">
        <v>556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535</v>
      </c>
      <c r="B22" s="6">
        <v>1</v>
      </c>
      <c r="C22" s="475" t="s">
        <v>557</v>
      </c>
      <c r="D22" s="527"/>
      <c r="E22" s="521"/>
      <c r="F22" s="4">
        <v>3</v>
      </c>
      <c r="G22" s="4">
        <v>3000</v>
      </c>
      <c r="H22" s="4">
        <v>1000</v>
      </c>
      <c r="I22" s="4">
        <v>10</v>
      </c>
      <c r="J22" s="526" t="s">
        <v>558</v>
      </c>
      <c r="K22" s="521"/>
      <c r="M22" s="52" t="s">
        <v>538</v>
      </c>
      <c r="N22" s="57" t="s">
        <v>143</v>
      </c>
      <c r="O22" s="532" t="s">
        <v>144</v>
      </c>
      <c r="P22" s="527"/>
      <c r="Q22" s="521"/>
      <c r="R22" s="538" t="s">
        <v>188</v>
      </c>
      <c r="S22" s="527"/>
      <c r="T22" s="521"/>
      <c r="U22" s="57" t="s">
        <v>189</v>
      </c>
      <c r="V22" s="57" t="s">
        <v>23</v>
      </c>
      <c r="W22" s="57" t="s">
        <v>190</v>
      </c>
      <c r="X22" s="8" t="s">
        <v>177</v>
      </c>
      <c r="Y22" s="8" t="s">
        <v>148</v>
      </c>
      <c r="Z22" s="536" t="s">
        <v>149</v>
      </c>
      <c r="AA22" s="521"/>
    </row>
    <row r="23" spans="1:27" ht="15.75" customHeight="1">
      <c r="A23" s="23"/>
      <c r="B23" s="6">
        <v>2</v>
      </c>
      <c r="C23" s="541"/>
      <c r="D23" s="527"/>
      <c r="E23" s="521"/>
      <c r="F23" s="4"/>
      <c r="G23" s="4"/>
      <c r="H23" s="4"/>
      <c r="I23" s="4"/>
      <c r="J23" s="541"/>
      <c r="K23" s="521"/>
      <c r="M23" s="56" t="s">
        <v>231</v>
      </c>
      <c r="N23" s="24">
        <v>1</v>
      </c>
      <c r="O23" s="526" t="s">
        <v>559</v>
      </c>
      <c r="P23" s="527"/>
      <c r="Q23" s="521"/>
      <c r="R23" s="526" t="s">
        <v>560</v>
      </c>
      <c r="S23" s="527"/>
      <c r="T23" s="521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26" t="s">
        <v>561</v>
      </c>
      <c r="AA23" s="521"/>
    </row>
    <row r="24" spans="1:27" ht="15.75" customHeight="1">
      <c r="A24" s="23"/>
      <c r="B24" s="6">
        <v>3</v>
      </c>
      <c r="C24" s="541"/>
      <c r="D24" s="527"/>
      <c r="E24" s="521"/>
      <c r="F24" s="4"/>
      <c r="G24" s="4"/>
      <c r="H24" s="4"/>
      <c r="I24" s="4"/>
      <c r="J24" s="541"/>
      <c r="K24" s="521"/>
      <c r="M24" s="25"/>
      <c r="N24" s="24">
        <v>2</v>
      </c>
      <c r="O24" s="475"/>
      <c r="P24" s="527"/>
      <c r="Q24" s="521"/>
      <c r="R24" s="475"/>
      <c r="S24" s="527"/>
      <c r="T24" s="521"/>
      <c r="U24" s="4"/>
      <c r="V24" s="14"/>
      <c r="W24" s="4"/>
      <c r="X24" s="16">
        <f t="shared" si="16"/>
        <v>0</v>
      </c>
      <c r="Y24" s="4"/>
      <c r="Z24" s="475"/>
      <c r="AA24" s="521"/>
    </row>
    <row r="25" spans="1:27" ht="15.75" customHeight="1">
      <c r="A25" s="23"/>
      <c r="B25" s="6">
        <v>4</v>
      </c>
      <c r="C25" s="541"/>
      <c r="D25" s="527"/>
      <c r="E25" s="521"/>
      <c r="F25" s="4"/>
      <c r="G25" s="4"/>
      <c r="H25" s="4"/>
      <c r="I25" s="4"/>
      <c r="J25" s="541"/>
      <c r="K25" s="521"/>
      <c r="M25" s="25"/>
      <c r="N25" s="24">
        <v>3</v>
      </c>
      <c r="O25" s="475"/>
      <c r="P25" s="527"/>
      <c r="Q25" s="521"/>
      <c r="R25" s="475"/>
      <c r="S25" s="527"/>
      <c r="T25" s="521"/>
      <c r="U25" s="4"/>
      <c r="V25" s="14"/>
      <c r="W25" s="4"/>
      <c r="X25" s="16">
        <f t="shared" si="16"/>
        <v>0</v>
      </c>
      <c r="Y25" s="4"/>
      <c r="Z25" s="475"/>
      <c r="AA25" s="521"/>
    </row>
    <row r="26" spans="1:27" ht="15.75" customHeight="1">
      <c r="A26" s="23"/>
      <c r="B26" s="26">
        <v>5</v>
      </c>
      <c r="C26" s="545"/>
      <c r="D26" s="528"/>
      <c r="E26" s="522"/>
      <c r="F26" s="27"/>
      <c r="G26" s="27"/>
      <c r="H26" s="27"/>
      <c r="I26" s="27"/>
      <c r="J26" s="545"/>
      <c r="K26" s="522"/>
      <c r="M26" s="25"/>
      <c r="N26" s="24">
        <v>4</v>
      </c>
      <c r="O26" s="475"/>
      <c r="P26" s="527"/>
      <c r="Q26" s="521"/>
      <c r="R26" s="475"/>
      <c r="S26" s="527"/>
      <c r="T26" s="521"/>
      <c r="U26" s="4"/>
      <c r="V26" s="14"/>
      <c r="W26" s="4"/>
      <c r="X26" s="16">
        <f t="shared" si="16"/>
        <v>0</v>
      </c>
      <c r="Y26" s="4"/>
      <c r="Z26" s="475"/>
      <c r="AA26" s="521"/>
    </row>
    <row r="27" spans="1:27" ht="15.75" customHeight="1">
      <c r="A27" s="23"/>
      <c r="B27" s="69" t="s">
        <v>562</v>
      </c>
      <c r="C27" s="529" t="s">
        <v>563</v>
      </c>
      <c r="D27" s="530"/>
      <c r="E27" s="531"/>
      <c r="F27" s="28">
        <v>4</v>
      </c>
      <c r="G27" s="28">
        <v>2800</v>
      </c>
      <c r="H27" s="28">
        <v>700</v>
      </c>
      <c r="I27" s="28" t="s">
        <v>564</v>
      </c>
      <c r="J27" s="529" t="s">
        <v>565</v>
      </c>
      <c r="K27" s="531"/>
      <c r="M27" s="25"/>
      <c r="N27" s="29">
        <v>5</v>
      </c>
      <c r="O27" s="478"/>
      <c r="P27" s="528"/>
      <c r="Q27" s="522"/>
      <c r="R27" s="478"/>
      <c r="S27" s="528"/>
      <c r="T27" s="522"/>
      <c r="U27" s="27"/>
      <c r="V27" s="30"/>
      <c r="W27" s="27"/>
      <c r="X27" s="31">
        <f t="shared" si="16"/>
        <v>0</v>
      </c>
      <c r="Y27" s="4"/>
      <c r="Z27" s="478"/>
      <c r="AA27" s="522"/>
    </row>
    <row r="28" spans="1:27" ht="15.75" customHeight="1">
      <c r="A28" s="23"/>
      <c r="B28" s="70" t="s">
        <v>566</v>
      </c>
      <c r="C28" s="541"/>
      <c r="D28" s="527"/>
      <c r="E28" s="521"/>
      <c r="F28" s="4"/>
      <c r="G28" s="4"/>
      <c r="H28" s="4"/>
      <c r="I28" s="4"/>
      <c r="J28" s="541"/>
      <c r="K28" s="521"/>
      <c r="M28" s="32"/>
      <c r="N28" s="55"/>
      <c r="O28" s="523"/>
      <c r="P28" s="527"/>
      <c r="Q28" s="527"/>
      <c r="R28" s="523"/>
      <c r="S28" s="527"/>
      <c r="T28" s="527"/>
      <c r="U28" s="59" t="s">
        <v>195</v>
      </c>
      <c r="V28" s="33">
        <f>X28/N18</f>
        <v>8.3333333333333329E-2</v>
      </c>
      <c r="W28" s="59" t="s">
        <v>196</v>
      </c>
      <c r="X28" s="34">
        <f>SUM(X23:X27)</f>
        <v>100</v>
      </c>
      <c r="Y28" s="45"/>
      <c r="Z28" s="523"/>
      <c r="AA28" s="521"/>
    </row>
    <row r="29" spans="1:27" ht="15.75" customHeight="1">
      <c r="A29" s="23"/>
      <c r="B29" s="70" t="s">
        <v>567</v>
      </c>
      <c r="C29" s="541"/>
      <c r="D29" s="527"/>
      <c r="E29" s="521"/>
      <c r="F29" s="4"/>
      <c r="G29" s="4"/>
      <c r="H29" s="4"/>
      <c r="I29" s="4"/>
      <c r="J29" s="541"/>
      <c r="K29" s="521"/>
      <c r="M29" s="56" t="s">
        <v>552</v>
      </c>
      <c r="N29" s="24">
        <v>1</v>
      </c>
      <c r="O29" s="542" t="s">
        <v>568</v>
      </c>
      <c r="P29" s="543"/>
      <c r="Q29" s="525"/>
      <c r="R29" s="524" t="s">
        <v>569</v>
      </c>
      <c r="S29" s="543"/>
      <c r="T29" s="52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24" t="s">
        <v>570</v>
      </c>
      <c r="AA29" s="525"/>
    </row>
    <row r="30" spans="1:27" ht="15.75" customHeight="1">
      <c r="A30" s="23"/>
      <c r="B30" s="70" t="s">
        <v>571</v>
      </c>
      <c r="C30" s="541"/>
      <c r="D30" s="527"/>
      <c r="E30" s="521"/>
      <c r="F30" s="4"/>
      <c r="G30" s="4"/>
      <c r="H30" s="4"/>
      <c r="I30" s="4"/>
      <c r="J30" s="541"/>
      <c r="K30" s="521"/>
      <c r="M30" s="25"/>
      <c r="N30" s="24">
        <v>2</v>
      </c>
      <c r="O30" s="475"/>
      <c r="P30" s="527"/>
      <c r="Q30" s="521"/>
      <c r="R30" s="475"/>
      <c r="S30" s="527"/>
      <c r="T30" s="521"/>
      <c r="U30" s="4"/>
      <c r="V30" s="14"/>
      <c r="W30" s="4"/>
      <c r="X30" s="16">
        <f t="shared" si="17"/>
        <v>0</v>
      </c>
      <c r="Y30" s="4"/>
      <c r="Z30" s="475"/>
      <c r="AA30" s="521"/>
    </row>
    <row r="31" spans="1:27" ht="15.75" customHeight="1">
      <c r="A31" s="20"/>
      <c r="B31" s="70" t="s">
        <v>572</v>
      </c>
      <c r="C31" s="541"/>
      <c r="D31" s="527"/>
      <c r="E31" s="521"/>
      <c r="F31" s="4"/>
      <c r="G31" s="4"/>
      <c r="H31" s="4"/>
      <c r="I31" s="4"/>
      <c r="J31" s="541"/>
      <c r="K31" s="521"/>
      <c r="M31" s="25"/>
      <c r="N31" s="24">
        <v>3</v>
      </c>
      <c r="O31" s="475"/>
      <c r="P31" s="527"/>
      <c r="Q31" s="521"/>
      <c r="R31" s="475"/>
      <c r="S31" s="527"/>
      <c r="T31" s="521"/>
      <c r="U31" s="4"/>
      <c r="V31" s="14"/>
      <c r="W31" s="4"/>
      <c r="X31" s="16">
        <f t="shared" si="17"/>
        <v>0</v>
      </c>
      <c r="Y31" s="4"/>
      <c r="Z31" s="475"/>
      <c r="AA31" s="521"/>
    </row>
    <row r="32" spans="1:27" ht="15.75" customHeight="1">
      <c r="A32" s="67"/>
      <c r="M32" s="25"/>
      <c r="N32" s="24">
        <v>4</v>
      </c>
      <c r="O32" s="475"/>
      <c r="P32" s="527"/>
      <c r="Q32" s="521"/>
      <c r="R32" s="475"/>
      <c r="S32" s="527"/>
      <c r="T32" s="521"/>
      <c r="U32" s="4"/>
      <c r="V32" s="14"/>
      <c r="W32" s="4"/>
      <c r="X32" s="16">
        <f t="shared" si="17"/>
        <v>0</v>
      </c>
      <c r="Y32" s="4"/>
      <c r="Z32" s="475"/>
      <c r="AA32" s="521"/>
    </row>
    <row r="33" spans="1:27" ht="15.75" customHeight="1">
      <c r="A33" s="18"/>
      <c r="B33" s="49" t="s">
        <v>143</v>
      </c>
      <c r="C33" s="544" t="s">
        <v>144</v>
      </c>
      <c r="D33" s="527"/>
      <c r="E33" s="521"/>
      <c r="F33" s="49" t="s">
        <v>145</v>
      </c>
      <c r="G33" s="49" t="s">
        <v>554</v>
      </c>
      <c r="H33" s="49" t="s">
        <v>555</v>
      </c>
      <c r="I33" s="8" t="s">
        <v>148</v>
      </c>
      <c r="J33" s="536" t="s">
        <v>149</v>
      </c>
      <c r="K33" s="521"/>
      <c r="M33" s="25"/>
      <c r="N33" s="29">
        <v>5</v>
      </c>
      <c r="O33" s="475"/>
      <c r="P33" s="527"/>
      <c r="Q33" s="521"/>
      <c r="R33" s="475"/>
      <c r="S33" s="527"/>
      <c r="T33" s="521"/>
      <c r="U33" s="27"/>
      <c r="V33" s="30"/>
      <c r="W33" s="27"/>
      <c r="X33" s="31">
        <f t="shared" si="17"/>
        <v>0</v>
      </c>
      <c r="Y33" s="4"/>
      <c r="Z33" s="475"/>
      <c r="AA33" s="521"/>
    </row>
    <row r="34" spans="1:27" ht="15.75" customHeight="1">
      <c r="A34" s="52" t="s">
        <v>537</v>
      </c>
      <c r="B34" s="6">
        <v>1</v>
      </c>
      <c r="C34" s="526" t="s">
        <v>573</v>
      </c>
      <c r="D34" s="527"/>
      <c r="E34" s="521"/>
      <c r="F34" s="4">
        <v>3</v>
      </c>
      <c r="G34" s="4">
        <v>2500</v>
      </c>
      <c r="H34" s="4">
        <v>833.33</v>
      </c>
      <c r="I34" s="4">
        <v>20</v>
      </c>
      <c r="J34" s="526" t="s">
        <v>574</v>
      </c>
      <c r="K34" s="521"/>
      <c r="M34" s="68"/>
      <c r="N34" s="45"/>
      <c r="O34" s="523"/>
      <c r="P34" s="527"/>
      <c r="Q34" s="527"/>
      <c r="R34" s="523"/>
      <c r="S34" s="527"/>
      <c r="T34" s="527"/>
      <c r="U34" s="59" t="s">
        <v>195</v>
      </c>
      <c r="V34" s="33">
        <f>X34/N18</f>
        <v>0.23125000000000001</v>
      </c>
      <c r="W34" s="59" t="s">
        <v>196</v>
      </c>
      <c r="X34" s="34">
        <f>SUM(X29:X33)</f>
        <v>277.5</v>
      </c>
      <c r="Y34" s="45"/>
      <c r="Z34" s="523"/>
      <c r="AA34" s="521"/>
    </row>
    <row r="35" spans="1:27" ht="15.75" customHeight="1">
      <c r="A35" s="23"/>
      <c r="B35" s="6">
        <v>2</v>
      </c>
      <c r="C35" s="475"/>
      <c r="D35" s="527"/>
      <c r="E35" s="521"/>
      <c r="F35" s="4"/>
      <c r="G35" s="4"/>
      <c r="H35" s="4"/>
      <c r="I35" s="4"/>
      <c r="J35" s="475"/>
      <c r="K35" s="521"/>
      <c r="M35" s="1"/>
      <c r="N35" s="1"/>
      <c r="O35" s="534"/>
      <c r="P35" s="535"/>
      <c r="Q35" s="535"/>
      <c r="R35" s="534"/>
      <c r="S35" s="535"/>
      <c r="T35" s="535"/>
      <c r="U35" s="1"/>
      <c r="V35" s="38"/>
      <c r="W35" s="1"/>
      <c r="X35" s="1"/>
      <c r="Y35" s="534"/>
      <c r="Z35" s="535"/>
      <c r="AA35" s="535"/>
    </row>
    <row r="36" spans="1:27" ht="15.75" customHeight="1">
      <c r="A36" s="23"/>
      <c r="B36" s="6">
        <v>3</v>
      </c>
      <c r="C36" s="475"/>
      <c r="D36" s="527"/>
      <c r="E36" s="521"/>
      <c r="F36" s="4"/>
      <c r="G36" s="4"/>
      <c r="H36" s="4"/>
      <c r="I36" s="4"/>
      <c r="J36" s="475"/>
      <c r="K36" s="521"/>
      <c r="M36" s="52" t="s">
        <v>540</v>
      </c>
      <c r="N36" s="57" t="s">
        <v>143</v>
      </c>
      <c r="O36" s="532" t="s">
        <v>144</v>
      </c>
      <c r="P36" s="523"/>
      <c r="Q36" s="533"/>
      <c r="R36" s="538" t="s">
        <v>188</v>
      </c>
      <c r="S36" s="539"/>
      <c r="T36" s="540"/>
      <c r="U36" s="57" t="s">
        <v>189</v>
      </c>
      <c r="V36" s="57" t="s">
        <v>23</v>
      </c>
      <c r="W36" s="57" t="s">
        <v>190</v>
      </c>
      <c r="X36" s="8" t="s">
        <v>177</v>
      </c>
      <c r="Y36" s="8" t="s">
        <v>148</v>
      </c>
      <c r="Z36" s="536" t="s">
        <v>149</v>
      </c>
      <c r="AA36" s="537"/>
    </row>
    <row r="37" spans="1:27" ht="15.75" customHeight="1">
      <c r="A37" s="23"/>
      <c r="B37" s="6">
        <v>4</v>
      </c>
      <c r="C37" s="475"/>
      <c r="D37" s="527"/>
      <c r="E37" s="521"/>
      <c r="F37" s="4"/>
      <c r="G37" s="4"/>
      <c r="H37" s="4"/>
      <c r="I37" s="4"/>
      <c r="J37" s="475"/>
      <c r="K37" s="521"/>
      <c r="M37" s="56" t="s">
        <v>231</v>
      </c>
      <c r="N37" s="24">
        <v>1</v>
      </c>
      <c r="O37" s="526" t="s">
        <v>575</v>
      </c>
      <c r="P37" s="527"/>
      <c r="Q37" s="521"/>
      <c r="R37" s="526" t="s">
        <v>576</v>
      </c>
      <c r="S37" s="527"/>
      <c r="T37" s="521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26" t="s">
        <v>577</v>
      </c>
      <c r="AA37" s="521"/>
    </row>
    <row r="38" spans="1:27" ht="15.75" customHeight="1">
      <c r="A38" s="23"/>
      <c r="B38" s="26">
        <v>5</v>
      </c>
      <c r="C38" s="478"/>
      <c r="D38" s="528"/>
      <c r="E38" s="522"/>
      <c r="F38" s="27"/>
      <c r="G38" s="27"/>
      <c r="H38" s="27"/>
      <c r="I38" s="27"/>
      <c r="J38" s="478"/>
      <c r="K38" s="522"/>
      <c r="M38" s="25"/>
      <c r="N38" s="24">
        <v>2</v>
      </c>
      <c r="O38" s="475"/>
      <c r="P38" s="527"/>
      <c r="Q38" s="521"/>
      <c r="R38" s="475"/>
      <c r="S38" s="527"/>
      <c r="T38" s="521"/>
      <c r="U38" s="4"/>
      <c r="V38" s="14"/>
      <c r="W38" s="4"/>
      <c r="X38" s="16">
        <f t="shared" si="18"/>
        <v>0</v>
      </c>
      <c r="Y38" s="4"/>
      <c r="Z38" s="475"/>
      <c r="AA38" s="521"/>
    </row>
    <row r="39" spans="1:27" ht="14.25">
      <c r="A39" s="23"/>
      <c r="B39" s="69" t="s">
        <v>562</v>
      </c>
      <c r="C39" s="529" t="s">
        <v>578</v>
      </c>
      <c r="D39" s="530"/>
      <c r="E39" s="531"/>
      <c r="F39" s="28">
        <v>7</v>
      </c>
      <c r="G39" s="28">
        <v>2200</v>
      </c>
      <c r="H39" s="28">
        <v>314.29000000000002</v>
      </c>
      <c r="I39" s="28">
        <v>-15</v>
      </c>
      <c r="J39" s="529" t="s">
        <v>579</v>
      </c>
      <c r="K39" s="531"/>
      <c r="M39" s="25"/>
      <c r="N39" s="24">
        <v>3</v>
      </c>
      <c r="O39" s="475"/>
      <c r="P39" s="527"/>
      <c r="Q39" s="521"/>
      <c r="R39" s="475"/>
      <c r="S39" s="527"/>
      <c r="T39" s="521"/>
      <c r="U39" s="4"/>
      <c r="V39" s="14"/>
      <c r="W39" s="4"/>
      <c r="X39" s="16">
        <f t="shared" si="18"/>
        <v>0</v>
      </c>
      <c r="Y39" s="4"/>
      <c r="Z39" s="475"/>
      <c r="AA39" s="521"/>
    </row>
    <row r="40" spans="1:27" ht="14.25">
      <c r="A40" s="23"/>
      <c r="B40" s="70" t="s">
        <v>566</v>
      </c>
      <c r="C40" s="475"/>
      <c r="D40" s="527"/>
      <c r="E40" s="521"/>
      <c r="F40" s="4"/>
      <c r="G40" s="4"/>
      <c r="H40" s="4"/>
      <c r="I40" s="4"/>
      <c r="J40" s="475"/>
      <c r="K40" s="521"/>
      <c r="M40" s="25"/>
      <c r="N40" s="24">
        <v>4</v>
      </c>
      <c r="O40" s="475"/>
      <c r="P40" s="527"/>
      <c r="Q40" s="521"/>
      <c r="R40" s="475"/>
      <c r="S40" s="527"/>
      <c r="T40" s="521"/>
      <c r="U40" s="4"/>
      <c r="V40" s="14"/>
      <c r="W40" s="4"/>
      <c r="X40" s="16">
        <f t="shared" si="18"/>
        <v>0</v>
      </c>
      <c r="Y40" s="4"/>
      <c r="Z40" s="475"/>
      <c r="AA40" s="521"/>
    </row>
    <row r="41" spans="1:27" ht="14.25">
      <c r="A41" s="23"/>
      <c r="B41" s="70" t="s">
        <v>567</v>
      </c>
      <c r="C41" s="475"/>
      <c r="D41" s="527"/>
      <c r="E41" s="521"/>
      <c r="F41" s="4"/>
      <c r="G41" s="4"/>
      <c r="H41" s="4"/>
      <c r="I41" s="4"/>
      <c r="J41" s="475"/>
      <c r="K41" s="521"/>
      <c r="M41" s="25"/>
      <c r="N41" s="29">
        <v>5</v>
      </c>
      <c r="O41" s="478"/>
      <c r="P41" s="528"/>
      <c r="Q41" s="522"/>
      <c r="R41" s="478"/>
      <c r="S41" s="528"/>
      <c r="T41" s="522"/>
      <c r="U41" s="27"/>
      <c r="V41" s="30"/>
      <c r="W41" s="27"/>
      <c r="X41" s="31">
        <f t="shared" si="18"/>
        <v>0</v>
      </c>
      <c r="Y41" s="4"/>
      <c r="Z41" s="475"/>
      <c r="AA41" s="521"/>
    </row>
    <row r="42" spans="1:27" ht="14.25">
      <c r="A42" s="23"/>
      <c r="B42" s="70" t="s">
        <v>571</v>
      </c>
      <c r="C42" s="475"/>
      <c r="D42" s="527"/>
      <c r="E42" s="521"/>
      <c r="F42" s="4"/>
      <c r="G42" s="4"/>
      <c r="H42" s="4"/>
      <c r="I42" s="4"/>
      <c r="J42" s="475"/>
      <c r="K42" s="521"/>
      <c r="M42" s="32"/>
      <c r="N42" s="54"/>
      <c r="O42" s="523"/>
      <c r="P42" s="527"/>
      <c r="Q42" s="527"/>
      <c r="R42" s="523"/>
      <c r="S42" s="527"/>
      <c r="T42" s="527"/>
      <c r="U42" s="59" t="s">
        <v>195</v>
      </c>
      <c r="V42" s="33">
        <f>X42/N19</f>
        <v>5.5555555555555552E-2</v>
      </c>
      <c r="W42" s="59" t="s">
        <v>196</v>
      </c>
      <c r="X42" s="34">
        <f>SUM(X37:X41)</f>
        <v>250</v>
      </c>
      <c r="Y42" s="45"/>
      <c r="Z42" s="523"/>
      <c r="AA42" s="521"/>
    </row>
    <row r="43" spans="1:27" ht="14.25">
      <c r="A43" s="20"/>
      <c r="B43" s="70" t="s">
        <v>572</v>
      </c>
      <c r="C43" s="475"/>
      <c r="D43" s="527"/>
      <c r="E43" s="521"/>
      <c r="F43" s="4"/>
      <c r="G43" s="4"/>
      <c r="H43" s="4"/>
      <c r="I43" s="4"/>
      <c r="J43" s="475"/>
      <c r="K43" s="521"/>
      <c r="M43" s="56" t="s">
        <v>552</v>
      </c>
      <c r="N43" s="24">
        <v>1</v>
      </c>
      <c r="O43" s="526" t="s">
        <v>575</v>
      </c>
      <c r="P43" s="527"/>
      <c r="Q43" s="521"/>
      <c r="R43" s="524" t="s">
        <v>580</v>
      </c>
      <c r="S43" s="543"/>
      <c r="T43" s="52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26" t="s">
        <v>581</v>
      </c>
      <c r="AA43" s="521"/>
    </row>
    <row r="44" spans="1:27" ht="14.25">
      <c r="A44" s="67"/>
      <c r="M44" s="25"/>
      <c r="N44" s="24">
        <v>2</v>
      </c>
      <c r="O44" s="475"/>
      <c r="P44" s="527"/>
      <c r="Q44" s="521"/>
      <c r="R44" s="475"/>
      <c r="S44" s="527"/>
      <c r="T44" s="521"/>
      <c r="U44" s="4"/>
      <c r="V44" s="14"/>
      <c r="W44" s="4"/>
      <c r="X44" s="37">
        <f t="shared" si="19"/>
        <v>0</v>
      </c>
      <c r="Y44" s="4"/>
      <c r="Z44" s="475"/>
      <c r="AA44" s="521"/>
    </row>
    <row r="45" spans="1:27" ht="14.25">
      <c r="A45" s="18"/>
      <c r="B45" s="49" t="s">
        <v>143</v>
      </c>
      <c r="C45" s="544" t="s">
        <v>144</v>
      </c>
      <c r="D45" s="527"/>
      <c r="E45" s="521"/>
      <c r="F45" s="49" t="s">
        <v>145</v>
      </c>
      <c r="G45" s="49" t="s">
        <v>554</v>
      </c>
      <c r="H45" s="49" t="s">
        <v>555</v>
      </c>
      <c r="I45" s="8" t="s">
        <v>148</v>
      </c>
      <c r="J45" s="536" t="s">
        <v>149</v>
      </c>
      <c r="K45" s="521"/>
      <c r="M45" s="25"/>
      <c r="N45" s="24">
        <v>3</v>
      </c>
      <c r="O45" s="475"/>
      <c r="P45" s="527"/>
      <c r="Q45" s="521"/>
      <c r="R45" s="475"/>
      <c r="S45" s="527"/>
      <c r="T45" s="521"/>
      <c r="U45" s="4"/>
      <c r="V45" s="14"/>
      <c r="W45" s="4"/>
      <c r="X45" s="37">
        <f t="shared" si="19"/>
        <v>0</v>
      </c>
      <c r="Y45" s="4"/>
      <c r="Z45" s="475"/>
      <c r="AA45" s="521"/>
    </row>
    <row r="46" spans="1:27" ht="14.25">
      <c r="A46" s="52" t="s">
        <v>539</v>
      </c>
      <c r="B46" s="6">
        <v>1</v>
      </c>
      <c r="C46" s="526" t="s">
        <v>559</v>
      </c>
      <c r="D46" s="527"/>
      <c r="E46" s="521"/>
      <c r="F46" s="4">
        <v>15</v>
      </c>
      <c r="G46" s="4">
        <v>1200</v>
      </c>
      <c r="H46" s="4">
        <v>80</v>
      </c>
      <c r="I46" s="4">
        <v>5</v>
      </c>
      <c r="J46" s="526" t="s">
        <v>582</v>
      </c>
      <c r="K46" s="521"/>
      <c r="M46" s="25"/>
      <c r="N46" s="24">
        <v>4</v>
      </c>
      <c r="O46" s="475"/>
      <c r="P46" s="527"/>
      <c r="Q46" s="521"/>
      <c r="R46" s="475"/>
      <c r="S46" s="527"/>
      <c r="T46" s="521"/>
      <c r="U46" s="4"/>
      <c r="V46" s="14"/>
      <c r="W46" s="4"/>
      <c r="X46" s="37">
        <f t="shared" si="19"/>
        <v>0</v>
      </c>
      <c r="Y46" s="4"/>
      <c r="Z46" s="475"/>
      <c r="AA46" s="521"/>
    </row>
    <row r="47" spans="1:27" ht="14.25">
      <c r="A47" s="23"/>
      <c r="B47" s="6">
        <v>2</v>
      </c>
      <c r="C47" s="475"/>
      <c r="D47" s="527"/>
      <c r="E47" s="521"/>
      <c r="F47" s="4"/>
      <c r="G47" s="4"/>
      <c r="H47" s="4"/>
      <c r="I47" s="4"/>
      <c r="J47" s="475"/>
      <c r="K47" s="521"/>
      <c r="M47" s="25"/>
      <c r="N47" s="29">
        <v>5</v>
      </c>
      <c r="O47" s="475"/>
      <c r="P47" s="527"/>
      <c r="Q47" s="521"/>
      <c r="R47" s="475"/>
      <c r="S47" s="527"/>
      <c r="T47" s="521"/>
      <c r="U47" s="27"/>
      <c r="V47" s="30"/>
      <c r="W47" s="27"/>
      <c r="X47" s="40">
        <f t="shared" si="19"/>
        <v>0</v>
      </c>
      <c r="Y47" s="4"/>
      <c r="Z47" s="475"/>
      <c r="AA47" s="521"/>
    </row>
    <row r="48" spans="1:27" ht="14.25">
      <c r="A48" s="23"/>
      <c r="B48" s="6">
        <v>3</v>
      </c>
      <c r="C48" s="475"/>
      <c r="D48" s="527"/>
      <c r="E48" s="521"/>
      <c r="F48" s="4"/>
      <c r="G48" s="4"/>
      <c r="H48" s="4"/>
      <c r="I48" s="4"/>
      <c r="J48" s="475"/>
      <c r="K48" s="521"/>
      <c r="M48" s="68"/>
      <c r="N48" s="45"/>
      <c r="O48" s="523"/>
      <c r="P48" s="527"/>
      <c r="Q48" s="527"/>
      <c r="R48" s="523"/>
      <c r="S48" s="527"/>
      <c r="T48" s="527"/>
      <c r="U48" s="59" t="s">
        <v>195</v>
      </c>
      <c r="V48" s="33">
        <f>X48/N19</f>
        <v>0.13333333333333333</v>
      </c>
      <c r="W48" s="59" t="s">
        <v>196</v>
      </c>
      <c r="X48" s="34">
        <f>SUM(X43:X47)</f>
        <v>600</v>
      </c>
      <c r="Y48" s="45"/>
      <c r="Z48" s="523"/>
      <c r="AA48" s="521"/>
    </row>
    <row r="49" spans="1:27" ht="14.25">
      <c r="A49" s="23"/>
      <c r="B49" s="6">
        <v>4</v>
      </c>
      <c r="C49" s="475"/>
      <c r="D49" s="527"/>
      <c r="E49" s="521"/>
      <c r="F49" s="4"/>
      <c r="G49" s="4"/>
      <c r="H49" s="4"/>
      <c r="I49" s="4"/>
      <c r="J49" s="475"/>
      <c r="K49" s="52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78"/>
      <c r="D50" s="528"/>
      <c r="E50" s="522"/>
      <c r="F50" s="27"/>
      <c r="G50" s="27"/>
      <c r="H50" s="27"/>
      <c r="I50" s="27"/>
      <c r="J50" s="478"/>
      <c r="K50" s="522"/>
      <c r="M50" s="64" t="s">
        <v>583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562</v>
      </c>
      <c r="C51" s="529" t="s">
        <v>575</v>
      </c>
      <c r="D51" s="530"/>
      <c r="E51" s="531"/>
      <c r="F51" s="28">
        <v>18</v>
      </c>
      <c r="G51" s="28">
        <v>800</v>
      </c>
      <c r="H51" s="28">
        <v>44.44</v>
      </c>
      <c r="I51" s="28">
        <v>-15</v>
      </c>
      <c r="J51" s="529" t="s">
        <v>584</v>
      </c>
      <c r="K51" s="531"/>
      <c r="M51" s="8"/>
      <c r="N51" s="8" t="s">
        <v>227</v>
      </c>
      <c r="O51" s="532" t="s">
        <v>144</v>
      </c>
      <c r="P51" s="523"/>
      <c r="Q51" s="533"/>
      <c r="R51" s="538" t="s">
        <v>188</v>
      </c>
      <c r="S51" s="539"/>
      <c r="T51" s="540"/>
      <c r="U51" s="57" t="s">
        <v>189</v>
      </c>
      <c r="V51" s="39" t="s">
        <v>228</v>
      </c>
      <c r="W51" s="57" t="s">
        <v>229</v>
      </c>
      <c r="X51" s="8" t="s">
        <v>10</v>
      </c>
      <c r="Y51" s="532" t="s">
        <v>230</v>
      </c>
      <c r="Z51" s="523"/>
      <c r="AA51" s="533"/>
    </row>
    <row r="52" spans="1:27" ht="14.25">
      <c r="A52" s="23"/>
      <c r="B52" s="70" t="s">
        <v>566</v>
      </c>
      <c r="C52" s="475"/>
      <c r="D52" s="527"/>
      <c r="E52" s="521"/>
      <c r="F52" s="4"/>
      <c r="G52" s="4"/>
      <c r="H52" s="4"/>
      <c r="I52" s="4"/>
      <c r="J52" s="475"/>
      <c r="K52" s="521"/>
      <c r="M52" s="56" t="s">
        <v>231</v>
      </c>
      <c r="N52" s="24">
        <v>1</v>
      </c>
      <c r="O52" s="526" t="s">
        <v>575</v>
      </c>
      <c r="P52" s="527"/>
      <c r="Q52" s="521"/>
      <c r="R52" s="524" t="s">
        <v>580</v>
      </c>
      <c r="S52" s="543"/>
      <c r="T52" s="52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26" t="s">
        <v>585</v>
      </c>
      <c r="Z52" s="527"/>
      <c r="AA52" s="521"/>
    </row>
    <row r="53" spans="1:27" ht="14.25">
      <c r="A53" s="23"/>
      <c r="B53" s="70" t="s">
        <v>567</v>
      </c>
      <c r="C53" s="475"/>
      <c r="D53" s="527"/>
      <c r="E53" s="521"/>
      <c r="F53" s="4"/>
      <c r="G53" s="4"/>
      <c r="H53" s="4"/>
      <c r="I53" s="4"/>
      <c r="J53" s="475"/>
      <c r="K53" s="521"/>
      <c r="M53" s="25"/>
      <c r="N53" s="29">
        <v>2</v>
      </c>
      <c r="O53" s="478"/>
      <c r="P53" s="528"/>
      <c r="Q53" s="522"/>
      <c r="R53" s="478"/>
      <c r="S53" s="528"/>
      <c r="T53" s="522"/>
      <c r="U53" s="27"/>
      <c r="V53" s="30"/>
      <c r="W53" s="30"/>
      <c r="X53" s="41">
        <f t="shared" si="20"/>
        <v>0</v>
      </c>
      <c r="Y53" s="478"/>
      <c r="Z53" s="528"/>
      <c r="AA53" s="522"/>
    </row>
    <row r="54" spans="1:27" ht="14.25">
      <c r="A54" s="23"/>
      <c r="B54" s="70" t="s">
        <v>571</v>
      </c>
      <c r="C54" s="475"/>
      <c r="D54" s="527"/>
      <c r="E54" s="521"/>
      <c r="F54" s="4"/>
      <c r="G54" s="4"/>
      <c r="H54" s="4"/>
      <c r="I54" s="4"/>
      <c r="J54" s="475"/>
      <c r="K54" s="521"/>
      <c r="M54" s="56" t="s">
        <v>552</v>
      </c>
      <c r="N54" s="42">
        <v>1</v>
      </c>
      <c r="O54" s="529" t="s">
        <v>586</v>
      </c>
      <c r="P54" s="530"/>
      <c r="Q54" s="531"/>
      <c r="R54" s="529" t="s">
        <v>587</v>
      </c>
      <c r="S54" s="530"/>
      <c r="T54" s="53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29" t="s">
        <v>588</v>
      </c>
      <c r="Z54" s="530"/>
      <c r="AA54" s="531"/>
    </row>
    <row r="55" spans="1:27" ht="14.25">
      <c r="A55" s="20"/>
      <c r="B55" s="70" t="s">
        <v>572</v>
      </c>
      <c r="C55" s="475"/>
      <c r="D55" s="527"/>
      <c r="E55" s="521"/>
      <c r="F55" s="4"/>
      <c r="G55" s="4"/>
      <c r="H55" s="4"/>
      <c r="I55" s="4"/>
      <c r="J55" s="475"/>
      <c r="K55" s="521"/>
      <c r="M55" s="22"/>
      <c r="N55" s="24">
        <v>2</v>
      </c>
      <c r="O55" s="475"/>
      <c r="P55" s="527"/>
      <c r="Q55" s="521"/>
      <c r="R55" s="475"/>
      <c r="S55" s="527"/>
      <c r="T55" s="521"/>
      <c r="U55" s="4"/>
      <c r="V55" s="14"/>
      <c r="W55" s="14"/>
      <c r="X55" s="13">
        <f t="shared" si="20"/>
        <v>0</v>
      </c>
      <c r="Y55" s="475"/>
      <c r="Z55" s="527"/>
      <c r="AA55" s="521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3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15"/>
    <col min="3" max="3" width="14" style="215" bestFit="1" customWidth="1"/>
    <col min="4" max="4" width="0.28515625" style="215" customWidth="1"/>
    <col min="5" max="5" width="8.7109375" style="215"/>
    <col min="6" max="6" width="16.28515625" style="215" bestFit="1" customWidth="1"/>
    <col min="7" max="16384" width="8.7109375" style="215"/>
  </cols>
  <sheetData>
    <row r="2" spans="2:7" ht="15.75">
      <c r="B2" s="546" t="s">
        <v>589</v>
      </c>
      <c r="C2" s="546"/>
      <c r="D2" s="546"/>
      <c r="E2" s="546"/>
      <c r="F2" s="546"/>
    </row>
    <row r="3" spans="2:7" ht="15">
      <c r="B3" s="216" t="s">
        <v>590</v>
      </c>
      <c r="C3" s="216" t="s">
        <v>591</v>
      </c>
      <c r="D3" s="217"/>
      <c r="E3" s="216" t="s">
        <v>592</v>
      </c>
      <c r="F3" s="216" t="s">
        <v>593</v>
      </c>
      <c r="G3" s="217"/>
    </row>
    <row r="4" spans="2:7" ht="15">
      <c r="B4" s="218" t="s">
        <v>594</v>
      </c>
      <c r="C4" s="218" t="s">
        <v>595</v>
      </c>
      <c r="D4" s="217"/>
      <c r="E4" s="218" t="s">
        <v>596</v>
      </c>
      <c r="F4" s="218" t="s">
        <v>597</v>
      </c>
      <c r="G4" s="217"/>
    </row>
    <row r="5" spans="2:7" ht="15">
      <c r="B5" s="218" t="s">
        <v>598</v>
      </c>
      <c r="C5" s="218" t="s">
        <v>599</v>
      </c>
      <c r="D5" s="217"/>
      <c r="E5" s="218" t="s">
        <v>600</v>
      </c>
      <c r="F5" s="218" t="s">
        <v>601</v>
      </c>
      <c r="G5" s="217"/>
    </row>
    <row r="6" spans="2:7" ht="15">
      <c r="B6" s="218" t="s">
        <v>602</v>
      </c>
      <c r="C6" s="218" t="s">
        <v>603</v>
      </c>
      <c r="D6" s="217"/>
      <c r="E6" s="219" t="s">
        <v>604</v>
      </c>
      <c r="F6" s="219" t="s">
        <v>605</v>
      </c>
      <c r="G6" s="217"/>
    </row>
    <row r="7" spans="2:7" ht="15">
      <c r="B7" s="219" t="s">
        <v>606</v>
      </c>
      <c r="C7" s="219" t="s">
        <v>607</v>
      </c>
      <c r="D7" s="217"/>
      <c r="E7" s="218" t="s">
        <v>608</v>
      </c>
      <c r="F7" s="218" t="s">
        <v>609</v>
      </c>
      <c r="G7" s="217"/>
    </row>
    <row r="8" spans="2:7" ht="15">
      <c r="B8" s="218" t="s">
        <v>610</v>
      </c>
      <c r="C8" s="218" t="s">
        <v>611</v>
      </c>
      <c r="D8" s="217"/>
      <c r="E8" s="218" t="s">
        <v>612</v>
      </c>
      <c r="F8" s="218" t="s">
        <v>613</v>
      </c>
      <c r="G8" s="217"/>
    </row>
    <row r="9" spans="2:7" ht="15">
      <c r="B9" s="218" t="s">
        <v>614</v>
      </c>
      <c r="C9" s="218" t="s">
        <v>615</v>
      </c>
      <c r="D9" s="217"/>
      <c r="E9" s="219" t="s">
        <v>616</v>
      </c>
      <c r="F9" s="219" t="s">
        <v>108</v>
      </c>
      <c r="G9" s="217"/>
    </row>
    <row r="10" spans="2:7" ht="15">
      <c r="B10" s="218" t="s">
        <v>617</v>
      </c>
      <c r="C10" s="218" t="s">
        <v>618</v>
      </c>
      <c r="D10" s="217"/>
      <c r="E10" s="218" t="s">
        <v>619</v>
      </c>
      <c r="F10" s="218" t="s">
        <v>620</v>
      </c>
      <c r="G10" s="217"/>
    </row>
    <row r="11" spans="2:7" ht="15">
      <c r="B11" s="218" t="s">
        <v>621</v>
      </c>
      <c r="C11" s="218" t="s">
        <v>622</v>
      </c>
      <c r="D11" s="217"/>
      <c r="E11" s="218" t="s">
        <v>623</v>
      </c>
      <c r="F11" s="218" t="s">
        <v>613</v>
      </c>
      <c r="G11" s="217"/>
    </row>
    <row r="12" spans="2:7" ht="15">
      <c r="B12" s="218" t="s">
        <v>624</v>
      </c>
      <c r="C12" s="218" t="s">
        <v>625</v>
      </c>
      <c r="D12" s="217"/>
      <c r="E12" s="218" t="s">
        <v>626</v>
      </c>
      <c r="F12" s="218" t="s">
        <v>627</v>
      </c>
      <c r="G12" s="217"/>
    </row>
    <row r="13" spans="2:7" ht="15">
      <c r="B13" s="219" t="s">
        <v>628</v>
      </c>
      <c r="C13" s="219" t="s">
        <v>629</v>
      </c>
      <c r="D13" s="217"/>
      <c r="E13" s="218" t="s">
        <v>630</v>
      </c>
      <c r="F13" s="218" t="s">
        <v>631</v>
      </c>
      <c r="G13" s="217"/>
    </row>
    <row r="14" spans="2:7" ht="15">
      <c r="B14" s="218" t="s">
        <v>632</v>
      </c>
      <c r="C14" s="218" t="s">
        <v>633</v>
      </c>
      <c r="D14" s="217"/>
      <c r="E14" s="219" t="s">
        <v>634</v>
      </c>
      <c r="F14" s="219" t="s">
        <v>635</v>
      </c>
      <c r="G14" s="217"/>
    </row>
    <row r="15" spans="2:7" ht="15">
      <c r="B15" s="219" t="s">
        <v>636</v>
      </c>
      <c r="C15" s="219" t="s">
        <v>637</v>
      </c>
      <c r="D15" s="217"/>
      <c r="E15" s="218" t="s">
        <v>638</v>
      </c>
      <c r="F15" s="218" t="s">
        <v>635</v>
      </c>
      <c r="G15" s="217"/>
    </row>
    <row r="16" spans="2:7" ht="15">
      <c r="B16" s="218" t="s">
        <v>639</v>
      </c>
      <c r="C16" s="218" t="s">
        <v>640</v>
      </c>
      <c r="D16" s="217"/>
      <c r="E16" s="219" t="s">
        <v>641</v>
      </c>
      <c r="F16" s="219" t="s">
        <v>642</v>
      </c>
      <c r="G16" s="217"/>
    </row>
    <row r="17" spans="2:7" ht="15">
      <c r="B17" s="218" t="s">
        <v>643</v>
      </c>
      <c r="C17" s="218" t="s">
        <v>644</v>
      </c>
      <c r="D17" s="217"/>
      <c r="E17" s="218" t="s">
        <v>645</v>
      </c>
      <c r="F17" s="218" t="s">
        <v>646</v>
      </c>
      <c r="G17" s="217"/>
    </row>
    <row r="18" spans="2:7" ht="15">
      <c r="B18" s="218" t="s">
        <v>647</v>
      </c>
      <c r="C18" s="218" t="s">
        <v>648</v>
      </c>
      <c r="D18" s="217"/>
      <c r="E18" s="218" t="s">
        <v>649</v>
      </c>
      <c r="F18" s="218" t="s">
        <v>650</v>
      </c>
      <c r="G18" s="217"/>
    </row>
    <row r="19" spans="2:7" ht="15">
      <c r="B19" s="218" t="s">
        <v>651</v>
      </c>
      <c r="C19" s="218" t="s">
        <v>652</v>
      </c>
      <c r="D19" s="217"/>
      <c r="E19" s="218" t="s">
        <v>653</v>
      </c>
      <c r="F19" s="218" t="s">
        <v>654</v>
      </c>
      <c r="G19" s="217"/>
    </row>
    <row r="20" spans="2:7" ht="15">
      <c r="B20" s="218" t="s">
        <v>655</v>
      </c>
      <c r="C20" s="218" t="s">
        <v>656</v>
      </c>
      <c r="D20" s="217"/>
      <c r="G20" s="217"/>
    </row>
    <row r="21" spans="2:7" ht="15">
      <c r="D21" s="217"/>
      <c r="G21" s="217"/>
    </row>
    <row r="22" spans="2:7" ht="15">
      <c r="D22" s="217"/>
      <c r="G22" s="217"/>
    </row>
    <row r="23" spans="2:7" ht="15">
      <c r="D23" s="217"/>
      <c r="G23" s="217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5"/>
  <sheetViews>
    <sheetView workbookViewId="0">
      <selection activeCell="B15" sqref="B15"/>
    </sheetView>
  </sheetViews>
  <sheetFormatPr defaultRowHeight="15"/>
  <cols>
    <col min="1" max="1" width="27.140625" style="247" customWidth="1"/>
    <col min="2" max="6" width="9.140625" style="247"/>
    <col min="7" max="7" width="26" style="247" bestFit="1" customWidth="1"/>
    <col min="8" max="16384" width="9.140625" style="247"/>
  </cols>
  <sheetData>
    <row r="1" spans="1:4" ht="15.75">
      <c r="A1" s="245" t="s">
        <v>657</v>
      </c>
      <c r="B1" s="245" t="s">
        <v>658</v>
      </c>
      <c r="C1" s="245" t="s">
        <v>659</v>
      </c>
      <c r="D1" s="246"/>
    </row>
    <row r="2" spans="1:4" ht="15.75">
      <c r="A2" s="245" t="s">
        <v>660</v>
      </c>
      <c r="B2" s="245">
        <v>14</v>
      </c>
      <c r="C2" s="245">
        <v>1714</v>
      </c>
      <c r="D2" s="248" t="s">
        <v>661</v>
      </c>
    </row>
    <row r="3" spans="1:4" ht="15.75">
      <c r="A3" s="245" t="s">
        <v>660</v>
      </c>
      <c r="B3" s="245">
        <v>15</v>
      </c>
      <c r="C3" s="245">
        <v>1565</v>
      </c>
      <c r="D3" s="248" t="s">
        <v>662</v>
      </c>
    </row>
    <row r="4" spans="1:4" ht="15.75">
      <c r="A4" s="245" t="s">
        <v>663</v>
      </c>
      <c r="B4" s="245">
        <v>16</v>
      </c>
      <c r="C4" s="245">
        <v>1915</v>
      </c>
      <c r="D4" s="246"/>
    </row>
    <row r="5" spans="1:4" ht="15.75">
      <c r="A5" s="245" t="s">
        <v>664</v>
      </c>
      <c r="B5" s="245">
        <v>12</v>
      </c>
      <c r="C5" s="245">
        <v>2000</v>
      </c>
      <c r="D5" s="246"/>
    </row>
    <row r="6" spans="1:4" ht="15.75">
      <c r="A6" s="245" t="s">
        <v>665</v>
      </c>
      <c r="B6" s="245">
        <v>18</v>
      </c>
      <c r="C6" s="245">
        <v>1565</v>
      </c>
      <c r="D6" s="246"/>
    </row>
    <row r="7" spans="1:4" ht="15.75">
      <c r="A7" s="245" t="s">
        <v>666</v>
      </c>
      <c r="B7" s="245">
        <v>13</v>
      </c>
      <c r="C7" s="245">
        <v>2000</v>
      </c>
      <c r="D7" s="246"/>
    </row>
    <row r="8" spans="1:4" ht="15.75">
      <c r="A8" s="245" t="s">
        <v>114</v>
      </c>
      <c r="B8" s="245">
        <v>16</v>
      </c>
      <c r="C8" s="245">
        <v>1818</v>
      </c>
      <c r="D8" s="246"/>
    </row>
    <row r="9" spans="1:4" ht="15.75">
      <c r="A9" s="245" t="s">
        <v>115</v>
      </c>
      <c r="B9" s="245">
        <v>16</v>
      </c>
      <c r="C9" s="245">
        <v>1552</v>
      </c>
      <c r="D9" s="246"/>
    </row>
    <row r="10" spans="1:4" ht="15.75">
      <c r="A10" s="245" t="s">
        <v>116</v>
      </c>
      <c r="B10" s="245">
        <v>17</v>
      </c>
      <c r="C10" s="245">
        <v>1565</v>
      </c>
      <c r="D10" s="246"/>
    </row>
    <row r="11" spans="1:4" ht="15.75">
      <c r="A11" s="245" t="s">
        <v>117</v>
      </c>
      <c r="B11" s="245">
        <v>16</v>
      </c>
      <c r="C11" s="245">
        <v>1390</v>
      </c>
      <c r="D11" s="246"/>
    </row>
    <row r="12" spans="1:4" ht="15.75">
      <c r="A12" s="245" t="s">
        <v>118</v>
      </c>
      <c r="B12" s="245">
        <v>18</v>
      </c>
      <c r="C12" s="245">
        <v>1565</v>
      </c>
      <c r="D12" s="246"/>
    </row>
    <row r="13" spans="1:4" ht="15.75">
      <c r="A13" s="245" t="s">
        <v>119</v>
      </c>
      <c r="B13" s="245">
        <v>18</v>
      </c>
      <c r="C13" s="245">
        <v>1500</v>
      </c>
      <c r="D13" s="246"/>
    </row>
    <row r="14" spans="1:4" ht="15.75">
      <c r="A14" s="245" t="s">
        <v>120</v>
      </c>
      <c r="B14" s="245">
        <v>16</v>
      </c>
      <c r="C14" s="245">
        <v>1636</v>
      </c>
      <c r="D14" s="246"/>
    </row>
    <row r="15" spans="1:4" ht="15.75">
      <c r="A15" s="245" t="s">
        <v>667</v>
      </c>
      <c r="B15" s="245">
        <v>16</v>
      </c>
      <c r="C15" s="245">
        <v>1333</v>
      </c>
      <c r="D15" s="246"/>
    </row>
    <row r="16" spans="1:4" ht="15.75">
      <c r="A16" s="245" t="s">
        <v>668</v>
      </c>
      <c r="B16" s="245">
        <v>17</v>
      </c>
      <c r="C16" s="245">
        <v>1333</v>
      </c>
      <c r="D16" s="246"/>
    </row>
    <row r="17" spans="1:5" ht="15.75">
      <c r="A17" s="245" t="s">
        <v>669</v>
      </c>
      <c r="B17" s="245">
        <v>18</v>
      </c>
      <c r="C17" s="245">
        <v>1200</v>
      </c>
      <c r="D17" s="246"/>
    </row>
    <row r="18" spans="1:5" ht="15.75">
      <c r="A18" s="245" t="s">
        <v>134</v>
      </c>
      <c r="B18" s="245">
        <v>12</v>
      </c>
      <c r="C18" s="245">
        <v>1714</v>
      </c>
      <c r="D18" s="246"/>
    </row>
    <row r="19" spans="1:5" ht="15.75">
      <c r="A19" s="245" t="s">
        <v>670</v>
      </c>
      <c r="B19" s="245">
        <v>11</v>
      </c>
      <c r="C19" s="245">
        <v>1800</v>
      </c>
      <c r="D19" s="246"/>
    </row>
    <row r="20" spans="1:5" ht="15.75">
      <c r="A20" s="245" t="s">
        <v>136</v>
      </c>
      <c r="B20" s="245">
        <v>10</v>
      </c>
      <c r="C20" s="245">
        <v>1500</v>
      </c>
      <c r="D20" s="246"/>
    </row>
    <row r="21" spans="1:5" ht="15.75">
      <c r="A21" s="249"/>
      <c r="B21" s="250"/>
      <c r="C21" s="250"/>
    </row>
    <row r="22" spans="1:5" ht="15.75">
      <c r="A22" s="251"/>
      <c r="B22" s="252"/>
      <c r="C22" s="252"/>
      <c r="E22" s="247" t="s">
        <v>671</v>
      </c>
    </row>
    <row r="23" spans="1:5" ht="15.75">
      <c r="A23" s="253"/>
      <c r="B23" s="252"/>
      <c r="C23" s="252"/>
    </row>
    <row r="24" spans="1:5">
      <c r="A24" s="252"/>
      <c r="B24" s="252"/>
      <c r="C24" s="252"/>
    </row>
    <row r="25" spans="1:5">
      <c r="A25" s="252"/>
      <c r="B25" s="252"/>
      <c r="C25" s="252"/>
    </row>
  </sheetData>
  <phoneticPr fontId="1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5"/>
  <sheetViews>
    <sheetView workbookViewId="0">
      <selection activeCell="F18" sqref="F18"/>
    </sheetView>
  </sheetViews>
  <sheetFormatPr defaultRowHeight="15"/>
  <cols>
    <col min="1" max="1" width="27.140625" style="258" customWidth="1"/>
    <col min="2" max="6" width="9.140625" style="258"/>
    <col min="7" max="7" width="26" style="258" bestFit="1" customWidth="1"/>
    <col min="8" max="16384" width="9.140625" style="258"/>
  </cols>
  <sheetData>
    <row r="1" spans="1:4" ht="15.75">
      <c r="A1" s="256" t="s">
        <v>657</v>
      </c>
      <c r="B1" s="256" t="s">
        <v>658</v>
      </c>
      <c r="C1" s="256" t="s">
        <v>659</v>
      </c>
      <c r="D1" s="257"/>
    </row>
    <row r="2" spans="1:4" ht="15.75">
      <c r="A2" s="256" t="s">
        <v>672</v>
      </c>
      <c r="B2" s="256">
        <v>14</v>
      </c>
      <c r="C2" s="256">
        <v>1714</v>
      </c>
      <c r="D2" s="259" t="s">
        <v>661</v>
      </c>
    </row>
    <row r="3" spans="1:4" ht="15.75">
      <c r="A3" s="256" t="s">
        <v>660</v>
      </c>
      <c r="B3" s="256">
        <v>15</v>
      </c>
      <c r="C3" s="256">
        <v>1565</v>
      </c>
      <c r="D3" s="259" t="s">
        <v>662</v>
      </c>
    </row>
    <row r="4" spans="1:4" ht="15.75">
      <c r="A4" s="256" t="s">
        <v>663</v>
      </c>
      <c r="B4" s="256">
        <v>16</v>
      </c>
      <c r="C4" s="256">
        <v>1915</v>
      </c>
      <c r="D4" s="257"/>
    </row>
    <row r="5" spans="1:4" ht="15.75">
      <c r="A5" s="256" t="s">
        <v>664</v>
      </c>
      <c r="B5" s="256">
        <v>12</v>
      </c>
      <c r="C5" s="256">
        <v>2000</v>
      </c>
      <c r="D5" s="257"/>
    </row>
    <row r="6" spans="1:4" ht="15.75">
      <c r="A6" s="256" t="s">
        <v>665</v>
      </c>
      <c r="B6" s="256">
        <v>18</v>
      </c>
      <c r="C6" s="256">
        <v>1565</v>
      </c>
      <c r="D6" s="257"/>
    </row>
    <row r="7" spans="1:4" ht="15.75">
      <c r="A7" s="256" t="s">
        <v>666</v>
      </c>
      <c r="B7" s="256">
        <v>13</v>
      </c>
      <c r="C7" s="256">
        <v>2000</v>
      </c>
      <c r="D7" s="257"/>
    </row>
    <row r="8" spans="1:4" ht="15.75">
      <c r="A8" s="256" t="s">
        <v>673</v>
      </c>
      <c r="B8" s="256">
        <v>17</v>
      </c>
      <c r="C8" s="256">
        <v>1895</v>
      </c>
      <c r="D8" s="257"/>
    </row>
    <row r="9" spans="1:4" ht="15.75">
      <c r="A9" s="256" t="s">
        <v>115</v>
      </c>
      <c r="B9" s="256">
        <v>16</v>
      </c>
      <c r="C9" s="256">
        <v>1552</v>
      </c>
      <c r="D9" s="257"/>
    </row>
    <row r="10" spans="1:4" ht="15.75">
      <c r="A10" s="256" t="s">
        <v>116</v>
      </c>
      <c r="B10" s="256">
        <v>17</v>
      </c>
      <c r="C10" s="256">
        <v>1565</v>
      </c>
      <c r="D10" s="257"/>
    </row>
    <row r="11" spans="1:4" ht="15.75">
      <c r="A11" s="256" t="s">
        <v>117</v>
      </c>
      <c r="B11" s="256">
        <v>16</v>
      </c>
      <c r="C11" s="256">
        <v>1390</v>
      </c>
      <c r="D11" s="257"/>
    </row>
    <row r="12" spans="1:4" ht="15.75">
      <c r="A12" s="256" t="s">
        <v>118</v>
      </c>
      <c r="B12" s="256">
        <v>18</v>
      </c>
      <c r="C12" s="256">
        <v>1565</v>
      </c>
      <c r="D12" s="257"/>
    </row>
    <row r="13" spans="1:4" ht="15.75">
      <c r="A13" s="256" t="s">
        <v>119</v>
      </c>
      <c r="B13" s="256">
        <v>18</v>
      </c>
      <c r="C13" s="256">
        <v>1500</v>
      </c>
      <c r="D13" s="257"/>
    </row>
    <row r="14" spans="1:4" ht="15.75">
      <c r="A14" s="256" t="s">
        <v>674</v>
      </c>
      <c r="B14" s="256">
        <v>18</v>
      </c>
      <c r="C14" s="256">
        <v>1714</v>
      </c>
      <c r="D14" s="257"/>
    </row>
    <row r="15" spans="1:4" ht="15.75">
      <c r="A15" s="256"/>
      <c r="B15" s="256"/>
      <c r="C15" s="256"/>
      <c r="D15" s="257"/>
    </row>
    <row r="16" spans="1:4" ht="15.75">
      <c r="A16" s="256" t="s">
        <v>668</v>
      </c>
      <c r="B16" s="256">
        <v>17</v>
      </c>
      <c r="C16" s="256">
        <v>1333</v>
      </c>
      <c r="D16" s="257"/>
    </row>
    <row r="17" spans="1:5" ht="15.75">
      <c r="A17" s="256" t="s">
        <v>669</v>
      </c>
      <c r="B17" s="256">
        <v>18</v>
      </c>
      <c r="C17" s="256">
        <v>1200</v>
      </c>
      <c r="D17" s="257"/>
    </row>
    <row r="18" spans="1:5" ht="15.75">
      <c r="A18" s="256" t="s">
        <v>134</v>
      </c>
      <c r="B18" s="256">
        <v>12</v>
      </c>
      <c r="C18" s="256">
        <v>1714</v>
      </c>
      <c r="D18" s="257"/>
    </row>
    <row r="19" spans="1:5" ht="15.75">
      <c r="A19" s="256" t="s">
        <v>670</v>
      </c>
      <c r="B19" s="256">
        <v>11</v>
      </c>
      <c r="C19" s="256">
        <v>1800</v>
      </c>
      <c r="D19" s="257"/>
    </row>
    <row r="20" spans="1:5" ht="15.75">
      <c r="A20" s="256" t="s">
        <v>136</v>
      </c>
      <c r="B20" s="256">
        <v>10</v>
      </c>
      <c r="C20" s="256">
        <v>1500</v>
      </c>
      <c r="D20" s="257"/>
    </row>
    <row r="21" spans="1:5" ht="15.75">
      <c r="A21" s="260"/>
      <c r="B21" s="261"/>
      <c r="C21" s="261"/>
    </row>
    <row r="22" spans="1:5" ht="15.75">
      <c r="A22" s="262"/>
      <c r="B22" s="263"/>
      <c r="C22" s="263"/>
      <c r="E22" s="258" t="s">
        <v>675</v>
      </c>
    </row>
    <row r="23" spans="1:5" ht="15.75">
      <c r="A23" s="253"/>
      <c r="B23" s="263"/>
      <c r="C23" s="263"/>
    </row>
    <row r="24" spans="1:5">
      <c r="A24" s="263"/>
      <c r="B24" s="263"/>
      <c r="C24" s="263"/>
    </row>
    <row r="25" spans="1:5">
      <c r="A25" s="263"/>
      <c r="B25" s="263"/>
      <c r="C25" s="263"/>
    </row>
  </sheetData>
  <phoneticPr fontId="1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6"/>
  <sheetViews>
    <sheetView workbookViewId="0">
      <selection activeCell="A16" sqref="A16"/>
    </sheetView>
  </sheetViews>
  <sheetFormatPr defaultRowHeight="15"/>
  <cols>
    <col min="1" max="1" width="27.140625" style="281" customWidth="1"/>
    <col min="2" max="6" width="9.140625" style="281"/>
    <col min="7" max="7" width="26" style="281" bestFit="1" customWidth="1"/>
    <col min="8" max="16384" width="9.140625" style="281"/>
  </cols>
  <sheetData>
    <row r="1" spans="1:4" ht="15.75">
      <c r="A1" s="279" t="s">
        <v>657</v>
      </c>
      <c r="B1" s="279" t="s">
        <v>658</v>
      </c>
      <c r="C1" s="279" t="s">
        <v>659</v>
      </c>
      <c r="D1" s="280"/>
    </row>
    <row r="2" spans="1:4" ht="15.75">
      <c r="A2" s="279" t="s">
        <v>672</v>
      </c>
      <c r="B2" s="279">
        <v>14</v>
      </c>
      <c r="C2" s="279">
        <v>1714</v>
      </c>
      <c r="D2" s="282" t="s">
        <v>661</v>
      </c>
    </row>
    <row r="3" spans="1:4" ht="15.75">
      <c r="A3" s="279" t="s">
        <v>660</v>
      </c>
      <c r="B3" s="279">
        <v>15</v>
      </c>
      <c r="C3" s="279">
        <v>1565</v>
      </c>
      <c r="D3" s="282" t="s">
        <v>662</v>
      </c>
    </row>
    <row r="4" spans="1:4" ht="15.75">
      <c r="A4" s="279" t="s">
        <v>663</v>
      </c>
      <c r="B4" s="279">
        <v>16</v>
      </c>
      <c r="C4" s="279">
        <v>1915</v>
      </c>
      <c r="D4" s="280"/>
    </row>
    <row r="5" spans="1:4" ht="15.75">
      <c r="A5" s="279" t="s">
        <v>664</v>
      </c>
      <c r="B5" s="279">
        <v>12</v>
      </c>
      <c r="C5" s="279">
        <v>2000</v>
      </c>
      <c r="D5" s="280"/>
    </row>
    <row r="6" spans="1:4" ht="15.75">
      <c r="A6" s="279" t="s">
        <v>665</v>
      </c>
      <c r="B6" s="279">
        <v>18</v>
      </c>
      <c r="C6" s="279">
        <v>1565</v>
      </c>
      <c r="D6" s="280"/>
    </row>
    <row r="7" spans="1:4" ht="15.75">
      <c r="A7" s="279" t="s">
        <v>666</v>
      </c>
      <c r="B7" s="279">
        <v>13</v>
      </c>
      <c r="C7" s="279">
        <v>2000</v>
      </c>
      <c r="D7" s="280"/>
    </row>
    <row r="8" spans="1:4" ht="15.75">
      <c r="A8" s="279" t="s">
        <v>673</v>
      </c>
      <c r="B8" s="279">
        <v>16</v>
      </c>
      <c r="C8" s="279">
        <v>1895</v>
      </c>
      <c r="D8" s="280"/>
    </row>
    <row r="9" spans="1:4" ht="15.75">
      <c r="A9" s="279" t="s">
        <v>115</v>
      </c>
      <c r="B9" s="279">
        <v>16</v>
      </c>
      <c r="C9" s="279">
        <v>1552</v>
      </c>
      <c r="D9" s="280"/>
    </row>
    <row r="10" spans="1:4" ht="15.75">
      <c r="A10" s="279" t="s">
        <v>116</v>
      </c>
      <c r="B10" s="279">
        <v>17</v>
      </c>
      <c r="C10" s="279">
        <v>1565</v>
      </c>
      <c r="D10" s="280"/>
    </row>
    <row r="11" spans="1:4" ht="15.75">
      <c r="A11" s="279" t="s">
        <v>117</v>
      </c>
      <c r="B11" s="279">
        <v>16</v>
      </c>
      <c r="C11" s="279">
        <v>1390</v>
      </c>
      <c r="D11" s="280"/>
    </row>
    <row r="12" spans="1:4" ht="15.75">
      <c r="A12" s="279" t="s">
        <v>118</v>
      </c>
      <c r="B12" s="279">
        <v>19</v>
      </c>
      <c r="C12" s="279">
        <v>1565</v>
      </c>
      <c r="D12" s="280"/>
    </row>
    <row r="13" spans="1:4" ht="15.75">
      <c r="A13" s="279" t="s">
        <v>119</v>
      </c>
      <c r="B13" s="279">
        <v>18</v>
      </c>
      <c r="C13" s="279">
        <v>1500</v>
      </c>
      <c r="D13" s="280"/>
    </row>
    <row r="14" spans="1:4" ht="15.75">
      <c r="A14" s="279" t="s">
        <v>674</v>
      </c>
      <c r="B14" s="279">
        <v>18</v>
      </c>
      <c r="C14" s="279">
        <v>1714</v>
      </c>
      <c r="D14" s="280"/>
    </row>
    <row r="15" spans="1:4" ht="15.75">
      <c r="A15" s="279" t="s">
        <v>676</v>
      </c>
      <c r="B15" s="279">
        <v>16</v>
      </c>
      <c r="C15" s="279">
        <v>1636</v>
      </c>
      <c r="D15" s="280"/>
    </row>
    <row r="16" spans="1:4" ht="15.75">
      <c r="A16" s="279" t="s">
        <v>677</v>
      </c>
      <c r="B16" s="279">
        <v>17</v>
      </c>
      <c r="C16" s="279">
        <v>1636</v>
      </c>
      <c r="D16" s="280"/>
    </row>
    <row r="17" spans="1:5" ht="15.75">
      <c r="A17" s="279" t="s">
        <v>678</v>
      </c>
      <c r="B17" s="279">
        <v>18</v>
      </c>
      <c r="C17" s="279">
        <v>1565</v>
      </c>
      <c r="D17" s="280"/>
    </row>
    <row r="18" spans="1:5" ht="15.75">
      <c r="A18" s="279" t="s">
        <v>669</v>
      </c>
      <c r="B18" s="279">
        <v>18</v>
      </c>
      <c r="C18" s="279">
        <v>1385</v>
      </c>
      <c r="D18" s="280"/>
    </row>
    <row r="19" spans="1:5" ht="15.75">
      <c r="A19" s="279" t="s">
        <v>134</v>
      </c>
      <c r="B19" s="279">
        <v>13</v>
      </c>
      <c r="C19" s="279">
        <v>1565</v>
      </c>
      <c r="D19" s="280"/>
    </row>
    <row r="20" spans="1:5" ht="15.75">
      <c r="A20" s="279" t="s">
        <v>670</v>
      </c>
      <c r="B20" s="279">
        <v>12</v>
      </c>
      <c r="C20" s="279">
        <v>1565</v>
      </c>
      <c r="D20" s="280"/>
    </row>
    <row r="21" spans="1:5" ht="15.75">
      <c r="A21" s="279" t="s">
        <v>136</v>
      </c>
      <c r="B21" s="279">
        <v>12</v>
      </c>
      <c r="C21" s="279">
        <v>1500</v>
      </c>
      <c r="D21" s="280"/>
    </row>
    <row r="22" spans="1:5" ht="15.75">
      <c r="A22" s="283"/>
      <c r="B22" s="284"/>
      <c r="C22" s="284"/>
    </row>
    <row r="23" spans="1:5" ht="15.75">
      <c r="A23" s="285"/>
      <c r="B23" s="286"/>
      <c r="C23" s="286"/>
      <c r="E23" s="281" t="s">
        <v>679</v>
      </c>
    </row>
    <row r="24" spans="1:5" ht="15.75">
      <c r="A24" s="253"/>
      <c r="B24" s="286"/>
      <c r="C24" s="286"/>
    </row>
    <row r="25" spans="1:5">
      <c r="A25" s="286"/>
      <c r="B25" s="286"/>
      <c r="C25" s="286"/>
    </row>
    <row r="26" spans="1:5">
      <c r="A26" s="286"/>
      <c r="B26" s="286"/>
      <c r="C26" s="286"/>
    </row>
  </sheetData>
  <phoneticPr fontId="16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3F9DD-38CF-4F79-ABDA-BC39DD75453A}"/>
</file>

<file path=customXml/itemProps2.xml><?xml version="1.0" encoding="utf-8"?>
<ds:datastoreItem xmlns:ds="http://schemas.openxmlformats.org/officeDocument/2006/customXml" ds:itemID="{393EF5C0-0A2D-4238-8230-AC6B2E7EC373}"/>
</file>

<file path=customXml/itemProps3.xml><?xml version="1.0" encoding="utf-8"?>
<ds:datastoreItem xmlns:ds="http://schemas.openxmlformats.org/officeDocument/2006/customXml" ds:itemID="{1C599D79-0BB8-40F9-8323-A7AADF6E1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2025-09-24T06:10:05Z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